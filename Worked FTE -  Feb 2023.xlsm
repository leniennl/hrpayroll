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Financial Reporting\FY23\05 Feb 2023\"/>
    </mc:Choice>
  </mc:AlternateContent>
  <bookViews>
    <workbookView xWindow="0" yWindow="0" windowWidth="28140" windowHeight="11445" tabRatio="754" firstSheet="1" activeTab="5"/>
  </bookViews>
  <sheets>
    <sheet name="Instructions" sheetId="4" state="hidden" r:id="rId1"/>
    <sheet name="Pivot" sheetId="5" r:id="rId2"/>
    <sheet name="Ops - Pivot" sheetId="7" r:id="rId3"/>
    <sheet name="Overtime" sheetId="8" r:id="rId4"/>
    <sheet name="Sheet1" sheetId="9" r:id="rId5"/>
    <sheet name="Summary - Monthly" sheetId="3" r:id="rId6"/>
    <sheet name="TRANS EMP EXTRACT - COST CENTRE" sheetId="2" r:id="rId7"/>
    <sheet name="TRANS EMP EXTRACT - EMP CATEGOR" sheetId="1" r:id="rId8"/>
    <sheet name="Leave Balance" sheetId="19" r:id="rId9"/>
    <sheet name="Departments" sheetId="6" state="hidden" r:id="rId10"/>
    <sheet name="Management Report" sheetId="18" r:id="rId11"/>
  </sheets>
  <functionGroups builtInGroupCount="18"/>
  <externalReferences>
    <externalReference r:id="rId12"/>
  </externalReferences>
  <definedNames>
    <definedName name="_xlnm._FilterDatabase" localSheetId="9" hidden="1">Departments!$A$1:$D$49</definedName>
    <definedName name="_xlnm._FilterDatabase" localSheetId="8" hidden="1">'Leave Balance'!$A$1:$AA$9145</definedName>
    <definedName name="_xlnm._FilterDatabase" localSheetId="5" hidden="1">'Summary - Monthly'!$A$3:$AU$269</definedName>
    <definedName name="_xlnm._FilterDatabase" localSheetId="6" hidden="1">'TRANS EMP EXTRACT - COST CENTRE'!$A$2:$BG$283</definedName>
    <definedName name="_xlnm._FilterDatabase" localSheetId="7" hidden="1">'TRANS EMP EXTRACT - EMP CATEGOR'!$A$2:$Y$330</definedName>
  </definedNames>
  <calcPr calcId="152511"/>
  <pivotCaches>
    <pivotCache cacheId="0" r:id="rId13"/>
    <pivotCache cacheId="1" r:id="rId14"/>
    <pivotCache cacheId="2" r:id="rId15"/>
  </pivotCaches>
</workbook>
</file>

<file path=xl/calcChain.xml><?xml version="1.0" encoding="utf-8"?>
<calcChain xmlns="http://schemas.openxmlformats.org/spreadsheetml/2006/main">
  <c r="AP2" i="3" l="1"/>
  <c r="E154" i="3" l="1"/>
  <c r="K264" i="3"/>
  <c r="J211" i="3"/>
  <c r="K269" i="3"/>
  <c r="K209" i="3"/>
  <c r="J255" i="3"/>
  <c r="J236" i="3"/>
  <c r="J180" i="3"/>
  <c r="K262" i="3"/>
  <c r="K179" i="3"/>
  <c r="J223" i="3"/>
  <c r="K198" i="3"/>
  <c r="K260" i="3"/>
  <c r="K231" i="3"/>
  <c r="J169" i="3"/>
  <c r="K234" i="3"/>
  <c r="J194" i="3"/>
  <c r="J268" i="3"/>
  <c r="J262" i="3"/>
  <c r="J160" i="3"/>
  <c r="J212" i="3"/>
  <c r="J244" i="3"/>
  <c r="K217" i="3"/>
  <c r="K267" i="3"/>
  <c r="J202" i="3"/>
  <c r="K175" i="3"/>
  <c r="J232" i="3"/>
  <c r="J206" i="3"/>
  <c r="K189" i="3"/>
  <c r="J207" i="3"/>
  <c r="K192" i="3"/>
  <c r="J240" i="3"/>
  <c r="K239" i="3"/>
  <c r="K238" i="3"/>
  <c r="J221" i="3"/>
  <c r="K167" i="3"/>
  <c r="K206" i="3"/>
  <c r="K240" i="3"/>
  <c r="K208" i="3"/>
  <c r="K233" i="3"/>
  <c r="J167" i="3"/>
  <c r="K187" i="3"/>
  <c r="J269" i="3"/>
  <c r="J210" i="3"/>
  <c r="J188" i="3"/>
  <c r="J263" i="3"/>
  <c r="J174" i="3"/>
  <c r="J246" i="3"/>
  <c r="K219" i="3"/>
  <c r="K251" i="3"/>
  <c r="K177" i="3"/>
  <c r="J215" i="3"/>
  <c r="J165" i="3"/>
  <c r="K169" i="3"/>
  <c r="J252" i="3"/>
  <c r="J260" i="3"/>
  <c r="K165" i="3"/>
  <c r="K261" i="3"/>
  <c r="K222" i="3"/>
  <c r="K218" i="3"/>
  <c r="J189" i="3"/>
  <c r="K224" i="3"/>
  <c r="K191" i="3"/>
  <c r="K203" i="3"/>
  <c r="J203" i="3"/>
  <c r="K202" i="3"/>
  <c r="K215" i="3"/>
  <c r="J220" i="3"/>
  <c r="K201" i="3"/>
  <c r="J178" i="3"/>
  <c r="J177" i="3"/>
  <c r="J183" i="3"/>
  <c r="K225" i="3"/>
  <c r="K242" i="3"/>
  <c r="K236" i="3"/>
  <c r="J213" i="3"/>
  <c r="K268" i="3"/>
  <c r="K223" i="3"/>
  <c r="J222" i="3"/>
  <c r="K255" i="3"/>
  <c r="K227" i="3"/>
  <c r="K247" i="3"/>
  <c r="J204" i="3"/>
  <c r="K181" i="3"/>
  <c r="J258" i="3"/>
  <c r="K180" i="3"/>
  <c r="K170" i="3"/>
  <c r="J200" i="3"/>
  <c r="K173" i="3"/>
  <c r="J256" i="3"/>
  <c r="J184" i="3"/>
  <c r="K252" i="3"/>
  <c r="K205" i="3"/>
  <c r="K253" i="3"/>
  <c r="K199" i="3"/>
  <c r="J267" i="3"/>
  <c r="K216" i="3"/>
  <c r="K213" i="3"/>
  <c r="K212" i="3"/>
  <c r="J163" i="3"/>
  <c r="J201" i="3"/>
  <c r="J185" i="3"/>
  <c r="J209" i="3"/>
  <c r="K243" i="3"/>
  <c r="J225" i="3"/>
  <c r="K168" i="3"/>
  <c r="J239" i="3"/>
  <c r="K188" i="3"/>
  <c r="J235" i="3"/>
  <c r="J164" i="3"/>
  <c r="K183" i="3"/>
  <c r="J181" i="3"/>
  <c r="J254" i="3"/>
  <c r="J261" i="3"/>
  <c r="K171" i="3"/>
  <c r="J175" i="3"/>
  <c r="K204" i="3"/>
  <c r="K249" i="3"/>
  <c r="K258" i="3"/>
  <c r="K193" i="3"/>
  <c r="K162" i="3"/>
  <c r="J192" i="3"/>
  <c r="J237" i="3"/>
  <c r="J159" i="3"/>
  <c r="K185" i="3"/>
  <c r="K210" i="3"/>
  <c r="K237" i="3"/>
  <c r="K197" i="3"/>
  <c r="J186" i="3"/>
  <c r="J227" i="3"/>
  <c r="J198" i="3"/>
  <c r="K244" i="3"/>
  <c r="K194" i="3"/>
  <c r="J231" i="3"/>
  <c r="J234" i="3"/>
  <c r="J250" i="3"/>
  <c r="J229" i="3"/>
  <c r="J257" i="3"/>
  <c r="J228" i="3"/>
  <c r="J251" i="3"/>
  <c r="K241" i="3"/>
  <c r="K265" i="3"/>
  <c r="J168" i="3"/>
  <c r="K250" i="3"/>
  <c r="J182" i="3"/>
  <c r="J265" i="3"/>
  <c r="K186" i="3"/>
  <c r="K257" i="3"/>
  <c r="K229" i="3"/>
  <c r="J242" i="3"/>
  <c r="K254" i="3"/>
  <c r="J245" i="3"/>
  <c r="K184" i="3"/>
  <c r="K196" i="3"/>
  <c r="K182" i="3"/>
  <c r="K220" i="3"/>
  <c r="K226" i="3"/>
  <c r="K159" i="3"/>
  <c r="J195" i="3"/>
  <c r="J248" i="3"/>
  <c r="J259" i="3"/>
  <c r="J243" i="3"/>
  <c r="J217" i="3"/>
  <c r="J191" i="3"/>
  <c r="J230" i="3"/>
  <c r="J162" i="3"/>
  <c r="K174" i="3"/>
  <c r="J161" i="3"/>
  <c r="J218" i="3"/>
  <c r="K160" i="3"/>
  <c r="J179" i="3"/>
  <c r="J226" i="3"/>
  <c r="K172" i="3"/>
  <c r="J199" i="3"/>
  <c r="K235" i="3"/>
  <c r="K161" i="3"/>
  <c r="J266" i="3"/>
  <c r="K245" i="3"/>
  <c r="J176" i="3"/>
  <c r="K230" i="3"/>
  <c r="K228" i="3"/>
  <c r="J172" i="3"/>
  <c r="K163" i="3"/>
  <c r="K214" i="3"/>
  <c r="J238" i="3"/>
  <c r="J154" i="3"/>
  <c r="K176" i="3"/>
  <c r="K178" i="3"/>
  <c r="K232" i="3"/>
  <c r="J219" i="3"/>
  <c r="K200" i="3"/>
  <c r="K211" i="3"/>
  <c r="K246" i="3"/>
  <c r="J196" i="3"/>
  <c r="J264" i="3"/>
  <c r="J224" i="3"/>
  <c r="K166" i="3"/>
  <c r="K221" i="3"/>
  <c r="K266" i="3"/>
  <c r="K164" i="3"/>
  <c r="K195" i="3"/>
  <c r="K190" i="3"/>
  <c r="J247" i="3"/>
  <c r="J197" i="3"/>
  <c r="K263" i="3"/>
  <c r="J187" i="3"/>
  <c r="J214" i="3"/>
  <c r="J208" i="3"/>
  <c r="J166" i="3"/>
  <c r="J190" i="3"/>
  <c r="J253" i="3"/>
  <c r="J205" i="3"/>
  <c r="K248" i="3"/>
  <c r="J171" i="3"/>
  <c r="J173" i="3"/>
  <c r="K154" i="3"/>
  <c r="J193" i="3"/>
  <c r="K259" i="3"/>
  <c r="J216" i="3"/>
  <c r="J233" i="3"/>
  <c r="K256" i="3"/>
  <c r="J241" i="3"/>
  <c r="J249" i="3"/>
  <c r="J170" i="3"/>
  <c r="K207" i="3"/>
  <c r="F66" i="18" l="1"/>
  <c r="G66" i="18"/>
  <c r="H66" i="18"/>
  <c r="F45" i="18"/>
  <c r="G45" i="18"/>
  <c r="I45" i="18" s="1"/>
  <c r="H45" i="18"/>
  <c r="F24" i="18"/>
  <c r="G24" i="18"/>
  <c r="H24" i="18"/>
  <c r="I24" i="18" l="1"/>
  <c r="I66" i="18"/>
  <c r="C26" i="18"/>
  <c r="B26" i="18"/>
  <c r="H26" i="18" l="1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25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46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4" i="18"/>
  <c r="G47" i="18"/>
  <c r="I47" i="18" s="1"/>
  <c r="G48" i="18"/>
  <c r="I48" i="18" s="1"/>
  <c r="G49" i="18"/>
  <c r="I49" i="18" s="1"/>
  <c r="G50" i="18"/>
  <c r="I50" i="18" s="1"/>
  <c r="G51" i="18"/>
  <c r="I51" i="18" s="1"/>
  <c r="G52" i="18"/>
  <c r="I52" i="18" s="1"/>
  <c r="G53" i="18"/>
  <c r="I53" i="18" s="1"/>
  <c r="G54" i="18"/>
  <c r="I54" i="18" s="1"/>
  <c r="G55" i="18"/>
  <c r="I55" i="18" s="1"/>
  <c r="G56" i="18"/>
  <c r="I56" i="18" s="1"/>
  <c r="G57" i="18"/>
  <c r="I57" i="18" s="1"/>
  <c r="G58" i="18"/>
  <c r="I58" i="18" s="1"/>
  <c r="G59" i="18"/>
  <c r="I59" i="18" s="1"/>
  <c r="G60" i="18"/>
  <c r="I60" i="18" s="1"/>
  <c r="G61" i="18"/>
  <c r="I61" i="18" s="1"/>
  <c r="G62" i="18"/>
  <c r="I62" i="18" s="1"/>
  <c r="G63" i="18"/>
  <c r="I63" i="18" s="1"/>
  <c r="G64" i="18"/>
  <c r="I64" i="18" s="1"/>
  <c r="G65" i="18"/>
  <c r="I65" i="18" s="1"/>
  <c r="G46" i="18"/>
  <c r="I46" i="18" s="1"/>
  <c r="G44" i="18"/>
  <c r="I44" i="18" s="1"/>
  <c r="G26" i="18"/>
  <c r="I26" i="18" s="1"/>
  <c r="G27" i="18"/>
  <c r="I27" i="18" s="1"/>
  <c r="G28" i="18"/>
  <c r="I28" i="18" s="1"/>
  <c r="G29" i="18"/>
  <c r="I29" i="18" s="1"/>
  <c r="G30" i="18"/>
  <c r="I30" i="18" s="1"/>
  <c r="G31" i="18"/>
  <c r="I31" i="18" s="1"/>
  <c r="G32" i="18"/>
  <c r="I32" i="18" s="1"/>
  <c r="G33" i="18"/>
  <c r="G34" i="18"/>
  <c r="I34" i="18" s="1"/>
  <c r="G35" i="18"/>
  <c r="I35" i="18" s="1"/>
  <c r="G36" i="18"/>
  <c r="I36" i="18" s="1"/>
  <c r="G37" i="18"/>
  <c r="I37" i="18" s="1"/>
  <c r="G38" i="18"/>
  <c r="I38" i="18" s="1"/>
  <c r="G39" i="18"/>
  <c r="I39" i="18" s="1"/>
  <c r="G40" i="18"/>
  <c r="I40" i="18" s="1"/>
  <c r="G41" i="18"/>
  <c r="G42" i="18"/>
  <c r="I42" i="18" s="1"/>
  <c r="G43" i="18"/>
  <c r="I43" i="18" s="1"/>
  <c r="G25" i="18"/>
  <c r="I25" i="18" s="1"/>
  <c r="G5" i="18"/>
  <c r="I5" i="18" s="1"/>
  <c r="G6" i="18"/>
  <c r="I6" i="18" s="1"/>
  <c r="G7" i="18"/>
  <c r="I7" i="18" s="1"/>
  <c r="G8" i="18"/>
  <c r="I8" i="18" s="1"/>
  <c r="G9" i="18"/>
  <c r="G10" i="18"/>
  <c r="G11" i="18"/>
  <c r="G12" i="18"/>
  <c r="G13" i="18"/>
  <c r="I13" i="18" s="1"/>
  <c r="G14" i="18"/>
  <c r="I14" i="18" s="1"/>
  <c r="G15" i="18"/>
  <c r="I15" i="18" s="1"/>
  <c r="G16" i="18"/>
  <c r="I16" i="18" s="1"/>
  <c r="G17" i="18"/>
  <c r="G18" i="18"/>
  <c r="G19" i="18"/>
  <c r="G20" i="18"/>
  <c r="G21" i="18"/>
  <c r="I21" i="18" s="1"/>
  <c r="G22" i="18"/>
  <c r="I22" i="18" s="1"/>
  <c r="G23" i="18"/>
  <c r="I23" i="18" s="1"/>
  <c r="G4" i="18"/>
  <c r="I4" i="18" s="1"/>
  <c r="F64" i="18"/>
  <c r="F65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46" i="18"/>
  <c r="F41" i="18"/>
  <c r="F42" i="18"/>
  <c r="F43" i="18"/>
  <c r="F44" i="18"/>
  <c r="F38" i="18"/>
  <c r="F39" i="18"/>
  <c r="F40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25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4" i="18"/>
  <c r="D26" i="18"/>
  <c r="I20" i="18" l="1"/>
  <c r="I12" i="18"/>
  <c r="I19" i="18"/>
  <c r="I11" i="18"/>
  <c r="I18" i="18"/>
  <c r="I10" i="18"/>
  <c r="I17" i="18"/>
  <c r="I9" i="18"/>
  <c r="I41" i="18"/>
  <c r="I33" i="18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B160" i="3"/>
  <c r="AU160" i="3" s="1"/>
  <c r="B161" i="3"/>
  <c r="AU161" i="3" s="1"/>
  <c r="B162" i="3"/>
  <c r="B163" i="3"/>
  <c r="B164" i="3"/>
  <c r="AU164" i="3" s="1"/>
  <c r="B165" i="3"/>
  <c r="AU165" i="3" s="1"/>
  <c r="B166" i="3"/>
  <c r="B167" i="3"/>
  <c r="B168" i="3"/>
  <c r="B169" i="3"/>
  <c r="B170" i="3"/>
  <c r="B171" i="3"/>
  <c r="B172" i="3"/>
  <c r="B173" i="3"/>
  <c r="B174" i="3"/>
  <c r="A174" i="3" s="1"/>
  <c r="B175" i="3"/>
  <c r="B176" i="3"/>
  <c r="B177" i="3"/>
  <c r="B178" i="3"/>
  <c r="B179" i="3"/>
  <c r="B180" i="3"/>
  <c r="B181" i="3"/>
  <c r="B182" i="3"/>
  <c r="AQ182" i="3" s="1"/>
  <c r="B183" i="3"/>
  <c r="B184" i="3"/>
  <c r="B185" i="3"/>
  <c r="B186" i="3"/>
  <c r="B187" i="3"/>
  <c r="B188" i="3"/>
  <c r="B189" i="3"/>
  <c r="B190" i="3"/>
  <c r="AQ190" i="3" s="1"/>
  <c r="B191" i="3"/>
  <c r="B192" i="3"/>
  <c r="B193" i="3"/>
  <c r="B194" i="3"/>
  <c r="B195" i="3"/>
  <c r="B196" i="3"/>
  <c r="B197" i="3"/>
  <c r="B198" i="3"/>
  <c r="AQ198" i="3" s="1"/>
  <c r="B199" i="3"/>
  <c r="B200" i="3"/>
  <c r="B201" i="3"/>
  <c r="B202" i="3"/>
  <c r="AQ202" i="3" s="1"/>
  <c r="B203" i="3"/>
  <c r="B204" i="3"/>
  <c r="B205" i="3"/>
  <c r="B206" i="3"/>
  <c r="B207" i="3"/>
  <c r="B208" i="3"/>
  <c r="B209" i="3"/>
  <c r="B210" i="3"/>
  <c r="B211" i="3"/>
  <c r="B212" i="3"/>
  <c r="B213" i="3"/>
  <c r="B214" i="3"/>
  <c r="AQ214" i="3" s="1"/>
  <c r="B215" i="3"/>
  <c r="B216" i="3"/>
  <c r="B217" i="3"/>
  <c r="B218" i="3"/>
  <c r="B219" i="3"/>
  <c r="B220" i="3"/>
  <c r="B221" i="3"/>
  <c r="B222" i="3"/>
  <c r="AQ222" i="3" s="1"/>
  <c r="B223" i="3"/>
  <c r="B224" i="3"/>
  <c r="B225" i="3"/>
  <c r="B226" i="3"/>
  <c r="B227" i="3"/>
  <c r="B228" i="3"/>
  <c r="B229" i="3"/>
  <c r="B230" i="3"/>
  <c r="AQ230" i="3" s="1"/>
  <c r="B231" i="3"/>
  <c r="B232" i="3"/>
  <c r="B233" i="3"/>
  <c r="B234" i="3"/>
  <c r="AQ234" i="3" s="1"/>
  <c r="B235" i="3"/>
  <c r="B236" i="3"/>
  <c r="B237" i="3"/>
  <c r="B238" i="3"/>
  <c r="A238" i="3" s="1"/>
  <c r="B239" i="3"/>
  <c r="B240" i="3"/>
  <c r="B241" i="3"/>
  <c r="B242" i="3"/>
  <c r="B243" i="3"/>
  <c r="B244" i="3"/>
  <c r="B245" i="3"/>
  <c r="B246" i="3"/>
  <c r="AQ246" i="3" s="1"/>
  <c r="B247" i="3"/>
  <c r="B248" i="3"/>
  <c r="B249" i="3"/>
  <c r="B250" i="3"/>
  <c r="B251" i="3"/>
  <c r="B252" i="3"/>
  <c r="B253" i="3"/>
  <c r="B254" i="3"/>
  <c r="AQ254" i="3" s="1"/>
  <c r="B255" i="3"/>
  <c r="B256" i="3"/>
  <c r="B257" i="3"/>
  <c r="B258" i="3"/>
  <c r="B259" i="3"/>
  <c r="B260" i="3"/>
  <c r="B261" i="3"/>
  <c r="B262" i="3"/>
  <c r="AQ262" i="3" s="1"/>
  <c r="B263" i="3"/>
  <c r="B264" i="3"/>
  <c r="B265" i="3"/>
  <c r="B266" i="3"/>
  <c r="AQ266" i="3" s="1"/>
  <c r="B267" i="3"/>
  <c r="B268" i="3"/>
  <c r="B269" i="3"/>
  <c r="A223" i="3" l="1"/>
  <c r="A207" i="3"/>
  <c r="A269" i="3"/>
  <c r="A261" i="3"/>
  <c r="A253" i="3"/>
  <c r="A245" i="3"/>
  <c r="A237" i="3"/>
  <c r="A229" i="3"/>
  <c r="A221" i="3"/>
  <c r="A213" i="3"/>
  <c r="A205" i="3"/>
  <c r="A197" i="3"/>
  <c r="A189" i="3"/>
  <c r="A181" i="3"/>
  <c r="A173" i="3"/>
  <c r="A206" i="3"/>
  <c r="AQ260" i="3"/>
  <c r="AU260" i="3"/>
  <c r="AQ244" i="3"/>
  <c r="AU244" i="3"/>
  <c r="AQ228" i="3"/>
  <c r="AU228" i="3"/>
  <c r="AQ204" i="3"/>
  <c r="AU204" i="3"/>
  <c r="AQ235" i="3"/>
  <c r="AU235" i="3"/>
  <c r="A266" i="3"/>
  <c r="AU266" i="3"/>
  <c r="A258" i="3"/>
  <c r="AU258" i="3"/>
  <c r="A250" i="3"/>
  <c r="AU250" i="3"/>
  <c r="A242" i="3"/>
  <c r="AU242" i="3"/>
  <c r="A234" i="3"/>
  <c r="AU234" i="3"/>
  <c r="A226" i="3"/>
  <c r="AU226" i="3"/>
  <c r="A218" i="3"/>
  <c r="AU218" i="3"/>
  <c r="A210" i="3"/>
  <c r="AU210" i="3"/>
  <c r="A202" i="3"/>
  <c r="AU202" i="3"/>
  <c r="A194" i="3"/>
  <c r="AU194" i="3"/>
  <c r="A186" i="3"/>
  <c r="AU186" i="3"/>
  <c r="A178" i="3"/>
  <c r="AU178" i="3"/>
  <c r="A170" i="3"/>
  <c r="AU170" i="3"/>
  <c r="A222" i="3"/>
  <c r="A268" i="3"/>
  <c r="A260" i="3"/>
  <c r="A252" i="3"/>
  <c r="A244" i="3"/>
  <c r="A236" i="3"/>
  <c r="A228" i="3"/>
  <c r="A220" i="3"/>
  <c r="A212" i="3"/>
  <c r="A204" i="3"/>
  <c r="A196" i="3"/>
  <c r="A188" i="3"/>
  <c r="A180" i="3"/>
  <c r="A172" i="3"/>
  <c r="AQ258" i="3"/>
  <c r="AQ226" i="3"/>
  <c r="AQ194" i="3"/>
  <c r="AQ268" i="3"/>
  <c r="AU268" i="3"/>
  <c r="AQ259" i="3"/>
  <c r="AU259" i="3"/>
  <c r="AQ251" i="3"/>
  <c r="AU251" i="3"/>
  <c r="AQ243" i="3"/>
  <c r="AU243" i="3"/>
  <c r="AQ227" i="3"/>
  <c r="AU227" i="3"/>
  <c r="AQ211" i="3"/>
  <c r="AU211" i="3"/>
  <c r="AQ203" i="3"/>
  <c r="AU203" i="3"/>
  <c r="AQ195" i="3"/>
  <c r="AU195" i="3"/>
  <c r="AQ187" i="3"/>
  <c r="AU187" i="3"/>
  <c r="AQ179" i="3"/>
  <c r="AU179" i="3"/>
  <c r="AQ171" i="3"/>
  <c r="AU171" i="3"/>
  <c r="AQ177" i="3"/>
  <c r="AU177" i="3"/>
  <c r="AQ264" i="3"/>
  <c r="AU264" i="3"/>
  <c r="AQ256" i="3"/>
  <c r="AU256" i="3"/>
  <c r="AQ248" i="3"/>
  <c r="AU248" i="3"/>
  <c r="AQ240" i="3"/>
  <c r="AU240" i="3"/>
  <c r="AQ232" i="3"/>
  <c r="AU232" i="3"/>
  <c r="AQ224" i="3"/>
  <c r="AU224" i="3"/>
  <c r="AQ216" i="3"/>
  <c r="AU216" i="3"/>
  <c r="AQ208" i="3"/>
  <c r="AU208" i="3"/>
  <c r="AQ200" i="3"/>
  <c r="AU200" i="3"/>
  <c r="AQ192" i="3"/>
  <c r="AU192" i="3"/>
  <c r="AQ184" i="3"/>
  <c r="AU184" i="3"/>
  <c r="AQ176" i="3"/>
  <c r="AU176" i="3"/>
  <c r="AQ250" i="3"/>
  <c r="AQ218" i="3"/>
  <c r="AQ186" i="3"/>
  <c r="AQ265" i="3"/>
  <c r="AU265" i="3"/>
  <c r="AQ249" i="3"/>
  <c r="AU249" i="3"/>
  <c r="AQ233" i="3"/>
  <c r="AU233" i="3"/>
  <c r="AQ225" i="3"/>
  <c r="AU225" i="3"/>
  <c r="AQ209" i="3"/>
  <c r="AU209" i="3"/>
  <c r="AQ201" i="3"/>
  <c r="AU201" i="3"/>
  <c r="AQ193" i="3"/>
  <c r="AU193" i="3"/>
  <c r="AQ185" i="3"/>
  <c r="AU185" i="3"/>
  <c r="AQ252" i="3"/>
  <c r="AU252" i="3"/>
  <c r="AQ236" i="3"/>
  <c r="AU236" i="3"/>
  <c r="AQ220" i="3"/>
  <c r="AU220" i="3"/>
  <c r="AQ212" i="3"/>
  <c r="AU212" i="3"/>
  <c r="AQ196" i="3"/>
  <c r="AU196" i="3"/>
  <c r="AQ188" i="3"/>
  <c r="AU188" i="3"/>
  <c r="AQ180" i="3"/>
  <c r="AU180" i="3"/>
  <c r="AQ172" i="3"/>
  <c r="AU172" i="3"/>
  <c r="AQ267" i="3"/>
  <c r="AU267" i="3"/>
  <c r="AQ219" i="3"/>
  <c r="AU219" i="3"/>
  <c r="AQ257" i="3"/>
  <c r="AU257" i="3"/>
  <c r="AQ241" i="3"/>
  <c r="AU241" i="3"/>
  <c r="AQ217" i="3"/>
  <c r="AU217" i="3"/>
  <c r="AQ263" i="3"/>
  <c r="AU263" i="3"/>
  <c r="AQ255" i="3"/>
  <c r="AU255" i="3"/>
  <c r="AQ247" i="3"/>
  <c r="AU247" i="3"/>
  <c r="AQ239" i="3"/>
  <c r="AU239" i="3"/>
  <c r="AQ231" i="3"/>
  <c r="AU231" i="3"/>
  <c r="AQ223" i="3"/>
  <c r="AU223" i="3"/>
  <c r="AQ215" i="3"/>
  <c r="AU215" i="3"/>
  <c r="AQ207" i="3"/>
  <c r="AU207" i="3"/>
  <c r="AQ199" i="3"/>
  <c r="AU199" i="3"/>
  <c r="AQ191" i="3"/>
  <c r="AU191" i="3"/>
  <c r="AQ183" i="3"/>
  <c r="AU183" i="3"/>
  <c r="AQ175" i="3"/>
  <c r="AU175" i="3"/>
  <c r="A255" i="3"/>
  <c r="A191" i="3"/>
  <c r="AR262" i="3"/>
  <c r="AU262" i="3"/>
  <c r="AR254" i="3"/>
  <c r="AU254" i="3"/>
  <c r="AR246" i="3"/>
  <c r="AU246" i="3"/>
  <c r="AR238" i="3"/>
  <c r="AU238" i="3"/>
  <c r="AR230" i="3"/>
  <c r="AU230" i="3"/>
  <c r="AR222" i="3"/>
  <c r="AU222" i="3"/>
  <c r="AR214" i="3"/>
  <c r="AU214" i="3"/>
  <c r="AR206" i="3"/>
  <c r="AU206" i="3"/>
  <c r="AR198" i="3"/>
  <c r="AU198" i="3"/>
  <c r="AR190" i="3"/>
  <c r="AU190" i="3"/>
  <c r="AR182" i="3"/>
  <c r="AU182" i="3"/>
  <c r="AR174" i="3"/>
  <c r="AU174" i="3"/>
  <c r="A254" i="3"/>
  <c r="A190" i="3"/>
  <c r="AQ242" i="3"/>
  <c r="AQ210" i="3"/>
  <c r="AQ178" i="3"/>
  <c r="AQ269" i="3"/>
  <c r="AU269" i="3"/>
  <c r="AQ261" i="3"/>
  <c r="AU261" i="3"/>
  <c r="AQ253" i="3"/>
  <c r="AU253" i="3"/>
  <c r="AQ245" i="3"/>
  <c r="AU245" i="3"/>
  <c r="AQ237" i="3"/>
  <c r="AU237" i="3"/>
  <c r="AQ229" i="3"/>
  <c r="AU229" i="3"/>
  <c r="AQ221" i="3"/>
  <c r="AU221" i="3"/>
  <c r="AQ213" i="3"/>
  <c r="AU213" i="3"/>
  <c r="AQ205" i="3"/>
  <c r="AU205" i="3"/>
  <c r="AQ197" i="3"/>
  <c r="AU197" i="3"/>
  <c r="AQ189" i="3"/>
  <c r="AU189" i="3"/>
  <c r="AQ181" i="3"/>
  <c r="AU181" i="3"/>
  <c r="AQ173" i="3"/>
  <c r="AU173" i="3"/>
  <c r="A239" i="3"/>
  <c r="A175" i="3"/>
  <c r="AQ238" i="3"/>
  <c r="AQ206" i="3"/>
  <c r="AQ174" i="3"/>
  <c r="A164" i="3"/>
  <c r="A163" i="3"/>
  <c r="AU163" i="3"/>
  <c r="AQ169" i="3"/>
  <c r="AU169" i="3"/>
  <c r="AQ168" i="3"/>
  <c r="AU168" i="3"/>
  <c r="AQ166" i="3"/>
  <c r="AU166" i="3"/>
  <c r="A162" i="3"/>
  <c r="AU162" i="3"/>
  <c r="AQ167" i="3"/>
  <c r="AU167" i="3"/>
  <c r="A262" i="3"/>
  <c r="A246" i="3"/>
  <c r="A230" i="3"/>
  <c r="A214" i="3"/>
  <c r="A198" i="3"/>
  <c r="A182" i="3"/>
  <c r="A166" i="3"/>
  <c r="A264" i="3"/>
  <c r="A256" i="3"/>
  <c r="A248" i="3"/>
  <c r="A240" i="3"/>
  <c r="A232" i="3"/>
  <c r="A224" i="3"/>
  <c r="A216" i="3"/>
  <c r="A208" i="3"/>
  <c r="A200" i="3"/>
  <c r="A192" i="3"/>
  <c r="A184" i="3"/>
  <c r="A176" i="3"/>
  <c r="A168" i="3"/>
  <c r="A160" i="3"/>
  <c r="AR266" i="3"/>
  <c r="AR258" i="3"/>
  <c r="AR250" i="3"/>
  <c r="AR242" i="3"/>
  <c r="AR234" i="3"/>
  <c r="AR226" i="3"/>
  <c r="AR218" i="3"/>
  <c r="AR210" i="3"/>
  <c r="AR202" i="3"/>
  <c r="AR194" i="3"/>
  <c r="AR186" i="3"/>
  <c r="AR178" i="3"/>
  <c r="AR170" i="3"/>
  <c r="A259" i="3"/>
  <c r="A227" i="3"/>
  <c r="A179" i="3"/>
  <c r="AQ170" i="3"/>
  <c r="A243" i="3"/>
  <c r="A211" i="3"/>
  <c r="A195" i="3"/>
  <c r="AR269" i="3"/>
  <c r="AR265" i="3"/>
  <c r="AR261" i="3"/>
  <c r="AR257" i="3"/>
  <c r="AR253" i="3"/>
  <c r="AR249" i="3"/>
  <c r="AR245" i="3"/>
  <c r="AR241" i="3"/>
  <c r="AR237" i="3"/>
  <c r="AR233" i="3"/>
  <c r="AR229" i="3"/>
  <c r="AR225" i="3"/>
  <c r="AR221" i="3"/>
  <c r="AR217" i="3"/>
  <c r="AR213" i="3"/>
  <c r="AR209" i="3"/>
  <c r="AR205" i="3"/>
  <c r="AR201" i="3"/>
  <c r="AR197" i="3"/>
  <c r="AR193" i="3"/>
  <c r="AR189" i="3"/>
  <c r="AR185" i="3"/>
  <c r="AR181" i="3"/>
  <c r="AR177" i="3"/>
  <c r="AR173" i="3"/>
  <c r="AR169" i="3"/>
  <c r="A165" i="3"/>
  <c r="AR268" i="3"/>
  <c r="AR264" i="3"/>
  <c r="AR260" i="3"/>
  <c r="AR256" i="3"/>
  <c r="AR252" i="3"/>
  <c r="AR248" i="3"/>
  <c r="AR244" i="3"/>
  <c r="AR240" i="3"/>
  <c r="AR236" i="3"/>
  <c r="AR232" i="3"/>
  <c r="AR228" i="3"/>
  <c r="AR224" i="3"/>
  <c r="AR220" i="3"/>
  <c r="AR216" i="3"/>
  <c r="AR212" i="3"/>
  <c r="AR208" i="3"/>
  <c r="AR204" i="3"/>
  <c r="AR200" i="3"/>
  <c r="AR196" i="3"/>
  <c r="AR192" i="3"/>
  <c r="AR188" i="3"/>
  <c r="AR184" i="3"/>
  <c r="AR180" i="3"/>
  <c r="AR176" i="3"/>
  <c r="AR172" i="3"/>
  <c r="AR168" i="3"/>
  <c r="A267" i="3"/>
  <c r="A251" i="3"/>
  <c r="A235" i="3"/>
  <c r="A219" i="3"/>
  <c r="A203" i="3"/>
  <c r="A187" i="3"/>
  <c r="A171" i="3"/>
  <c r="AR267" i="3"/>
  <c r="AR263" i="3"/>
  <c r="AR259" i="3"/>
  <c r="AR255" i="3"/>
  <c r="AR251" i="3"/>
  <c r="AR247" i="3"/>
  <c r="AR243" i="3"/>
  <c r="AR239" i="3"/>
  <c r="AR235" i="3"/>
  <c r="AR231" i="3"/>
  <c r="AR227" i="3"/>
  <c r="AR223" i="3"/>
  <c r="AR219" i="3"/>
  <c r="AR215" i="3"/>
  <c r="AR211" i="3"/>
  <c r="AR207" i="3"/>
  <c r="AR203" i="3"/>
  <c r="AR199" i="3"/>
  <c r="AR195" i="3"/>
  <c r="AR191" i="3"/>
  <c r="AR187" i="3"/>
  <c r="AR183" i="3"/>
  <c r="AR179" i="3"/>
  <c r="AR175" i="3"/>
  <c r="AR171" i="3"/>
  <c r="AR167" i="3"/>
  <c r="A263" i="3"/>
  <c r="A247" i="3"/>
  <c r="A231" i="3"/>
  <c r="A215" i="3"/>
  <c r="A199" i="3"/>
  <c r="A183" i="3"/>
  <c r="A167" i="3"/>
  <c r="A265" i="3"/>
  <c r="A257" i="3"/>
  <c r="A249" i="3"/>
  <c r="A241" i="3"/>
  <c r="A233" i="3"/>
  <c r="A225" i="3"/>
  <c r="A217" i="3"/>
  <c r="A209" i="3"/>
  <c r="A201" i="3"/>
  <c r="A193" i="3"/>
  <c r="A185" i="3"/>
  <c r="A177" i="3"/>
  <c r="A169" i="3"/>
  <c r="A161" i="3"/>
  <c r="AR166" i="3"/>
  <c r="H166" i="3"/>
  <c r="I166" i="3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T269" i="3"/>
  <c r="AS269" i="3"/>
  <c r="AT268" i="3"/>
  <c r="AS268" i="3"/>
  <c r="F268" i="3"/>
  <c r="AT266" i="3"/>
  <c r="AS266" i="3"/>
  <c r="AM266" i="3"/>
  <c r="F266" i="3"/>
  <c r="AT265" i="3"/>
  <c r="AS265" i="3"/>
  <c r="AM265" i="3"/>
  <c r="AT264" i="3"/>
  <c r="AS264" i="3"/>
  <c r="AM264" i="3"/>
  <c r="F264" i="3"/>
  <c r="AT263" i="3"/>
  <c r="AS263" i="3"/>
  <c r="AM263" i="3"/>
  <c r="AT262" i="3"/>
  <c r="AS262" i="3"/>
  <c r="AM262" i="3"/>
  <c r="F262" i="3"/>
  <c r="AT261" i="3"/>
  <c r="AS261" i="3"/>
  <c r="AM261" i="3"/>
  <c r="AT260" i="3"/>
  <c r="AS260" i="3"/>
  <c r="AM260" i="3"/>
  <c r="F260" i="3"/>
  <c r="AT259" i="3"/>
  <c r="AS259" i="3"/>
  <c r="AM259" i="3"/>
  <c r="AT258" i="3"/>
  <c r="AS258" i="3"/>
  <c r="AM258" i="3"/>
  <c r="F258" i="3"/>
  <c r="AT257" i="3"/>
  <c r="AS257" i="3"/>
  <c r="AM257" i="3"/>
  <c r="AT256" i="3"/>
  <c r="AS256" i="3"/>
  <c r="AM256" i="3"/>
  <c r="F256" i="3"/>
  <c r="AT255" i="3"/>
  <c r="AS255" i="3"/>
  <c r="AM255" i="3"/>
  <c r="AT254" i="3"/>
  <c r="AS254" i="3"/>
  <c r="AM254" i="3"/>
  <c r="F254" i="3"/>
  <c r="AT253" i="3"/>
  <c r="AS253" i="3"/>
  <c r="AM253" i="3"/>
  <c r="AT252" i="3"/>
  <c r="AS252" i="3"/>
  <c r="AM252" i="3"/>
  <c r="F252" i="3"/>
  <c r="AT251" i="3"/>
  <c r="AS251" i="3"/>
  <c r="AM251" i="3"/>
  <c r="AT250" i="3"/>
  <c r="AS250" i="3"/>
  <c r="AM250" i="3"/>
  <c r="F250" i="3"/>
  <c r="AT249" i="3"/>
  <c r="AS249" i="3"/>
  <c r="AM249" i="3"/>
  <c r="AT248" i="3"/>
  <c r="AS248" i="3"/>
  <c r="AM248" i="3"/>
  <c r="F248" i="3"/>
  <c r="AT247" i="3"/>
  <c r="AS247" i="3"/>
  <c r="AM247" i="3"/>
  <c r="AT246" i="3"/>
  <c r="AS246" i="3"/>
  <c r="AM246" i="3"/>
  <c r="F246" i="3"/>
  <c r="AT245" i="3"/>
  <c r="AS245" i="3"/>
  <c r="AM245" i="3"/>
  <c r="AT244" i="3"/>
  <c r="AS244" i="3"/>
  <c r="AM244" i="3"/>
  <c r="F244" i="3"/>
  <c r="AT243" i="3"/>
  <c r="AS243" i="3"/>
  <c r="AM243" i="3"/>
  <c r="AT242" i="3"/>
  <c r="AS242" i="3"/>
  <c r="AM242" i="3"/>
  <c r="F242" i="3"/>
  <c r="AT241" i="3"/>
  <c r="AS241" i="3"/>
  <c r="AM241" i="3"/>
  <c r="AT240" i="3"/>
  <c r="AS240" i="3"/>
  <c r="AM240" i="3"/>
  <c r="F240" i="3"/>
  <c r="AT239" i="3"/>
  <c r="AS239" i="3"/>
  <c r="AM239" i="3"/>
  <c r="AT238" i="3"/>
  <c r="AS238" i="3"/>
  <c r="AM238" i="3"/>
  <c r="F238" i="3"/>
  <c r="AT237" i="3"/>
  <c r="AS237" i="3"/>
  <c r="AM237" i="3"/>
  <c r="AT236" i="3"/>
  <c r="AS236" i="3"/>
  <c r="AM236" i="3"/>
  <c r="F236" i="3"/>
  <c r="AT235" i="3"/>
  <c r="AS235" i="3"/>
  <c r="AM235" i="3"/>
  <c r="AT234" i="3"/>
  <c r="AS234" i="3"/>
  <c r="AM234" i="3"/>
  <c r="F234" i="3"/>
  <c r="AT233" i="3"/>
  <c r="AS233" i="3"/>
  <c r="AM233" i="3"/>
  <c r="F233" i="3"/>
  <c r="AT232" i="3"/>
  <c r="AS232" i="3"/>
  <c r="AM232" i="3"/>
  <c r="F232" i="3"/>
  <c r="AT231" i="3"/>
  <c r="AS231" i="3"/>
  <c r="AM231" i="3"/>
  <c r="F231" i="3"/>
  <c r="AT230" i="3"/>
  <c r="AS230" i="3"/>
  <c r="AM230" i="3"/>
  <c r="F230" i="3"/>
  <c r="AT229" i="3"/>
  <c r="AS229" i="3"/>
  <c r="AM229" i="3"/>
  <c r="F229" i="3"/>
  <c r="AT228" i="3"/>
  <c r="AS228" i="3"/>
  <c r="AM228" i="3"/>
  <c r="F228" i="3"/>
  <c r="AT227" i="3"/>
  <c r="AS227" i="3"/>
  <c r="AM227" i="3"/>
  <c r="F227" i="3"/>
  <c r="AT226" i="3"/>
  <c r="AS226" i="3"/>
  <c r="AM226" i="3"/>
  <c r="F226" i="3"/>
  <c r="AT225" i="3"/>
  <c r="AS225" i="3"/>
  <c r="AM225" i="3"/>
  <c r="F225" i="3"/>
  <c r="AT224" i="3"/>
  <c r="AS224" i="3"/>
  <c r="AM224" i="3"/>
  <c r="F224" i="3"/>
  <c r="AT223" i="3"/>
  <c r="AS223" i="3"/>
  <c r="AM223" i="3"/>
  <c r="AT222" i="3"/>
  <c r="AS222" i="3"/>
  <c r="AM222" i="3"/>
  <c r="AT221" i="3"/>
  <c r="AS221" i="3"/>
  <c r="AM221" i="3"/>
  <c r="AT220" i="3"/>
  <c r="AS220" i="3"/>
  <c r="AM220" i="3"/>
  <c r="AT219" i="3"/>
  <c r="AS219" i="3"/>
  <c r="AM219" i="3"/>
  <c r="F219" i="3"/>
  <c r="AT218" i="3"/>
  <c r="AS218" i="3"/>
  <c r="AM218" i="3"/>
  <c r="AT217" i="3"/>
  <c r="AS217" i="3"/>
  <c r="AM217" i="3"/>
  <c r="F217" i="3"/>
  <c r="AT216" i="3"/>
  <c r="AS216" i="3"/>
  <c r="AM216" i="3"/>
  <c r="F216" i="3"/>
  <c r="AT215" i="3"/>
  <c r="AS215" i="3"/>
  <c r="AM215" i="3"/>
  <c r="F215" i="3"/>
  <c r="AT214" i="3"/>
  <c r="AS214" i="3"/>
  <c r="AM214" i="3"/>
  <c r="AT213" i="3"/>
  <c r="AS213" i="3"/>
  <c r="AM213" i="3"/>
  <c r="F213" i="3"/>
  <c r="AT212" i="3"/>
  <c r="AS212" i="3"/>
  <c r="AM212" i="3"/>
  <c r="F212" i="3"/>
  <c r="AT211" i="3"/>
  <c r="AS211" i="3"/>
  <c r="AM211" i="3"/>
  <c r="F211" i="3"/>
  <c r="AT210" i="3"/>
  <c r="AS210" i="3"/>
  <c r="AM210" i="3"/>
  <c r="F210" i="3"/>
  <c r="AT209" i="3"/>
  <c r="AS209" i="3"/>
  <c r="AM209" i="3"/>
  <c r="F209" i="3"/>
  <c r="AT208" i="3"/>
  <c r="AS208" i="3"/>
  <c r="AM208" i="3"/>
  <c r="F208" i="3"/>
  <c r="AT207" i="3"/>
  <c r="AS207" i="3"/>
  <c r="AM207" i="3"/>
  <c r="F207" i="3"/>
  <c r="AT206" i="3"/>
  <c r="AS206" i="3"/>
  <c r="AM206" i="3"/>
  <c r="F206" i="3"/>
  <c r="AT205" i="3"/>
  <c r="AS205" i="3"/>
  <c r="AM205" i="3"/>
  <c r="F205" i="3"/>
  <c r="AT204" i="3"/>
  <c r="AS204" i="3"/>
  <c r="AM204" i="3"/>
  <c r="F204" i="3"/>
  <c r="AT203" i="3"/>
  <c r="AS203" i="3"/>
  <c r="AM203" i="3"/>
  <c r="F203" i="3"/>
  <c r="AT202" i="3"/>
  <c r="AS202" i="3"/>
  <c r="AM202" i="3"/>
  <c r="F202" i="3"/>
  <c r="AT201" i="3"/>
  <c r="AS201" i="3"/>
  <c r="AM201" i="3"/>
  <c r="F201" i="3"/>
  <c r="AT200" i="3"/>
  <c r="AS200" i="3"/>
  <c r="AM200" i="3"/>
  <c r="AT199" i="3"/>
  <c r="AS199" i="3"/>
  <c r="AM199" i="3"/>
  <c r="AT198" i="3"/>
  <c r="AS198" i="3"/>
  <c r="AM198" i="3"/>
  <c r="AT197" i="3"/>
  <c r="AS197" i="3"/>
  <c r="AM197" i="3"/>
  <c r="AT196" i="3"/>
  <c r="AS196" i="3"/>
  <c r="AM196" i="3"/>
  <c r="AT195" i="3"/>
  <c r="AS195" i="3"/>
  <c r="AM195" i="3"/>
  <c r="AT194" i="3"/>
  <c r="AS194" i="3"/>
  <c r="AM194" i="3"/>
  <c r="AT193" i="3"/>
  <c r="AS193" i="3"/>
  <c r="AM193" i="3"/>
  <c r="AT192" i="3"/>
  <c r="AS192" i="3"/>
  <c r="AM192" i="3"/>
  <c r="AT191" i="3"/>
  <c r="AS191" i="3"/>
  <c r="AM191" i="3"/>
  <c r="AT190" i="3"/>
  <c r="AS190" i="3"/>
  <c r="AM190" i="3"/>
  <c r="AT189" i="3"/>
  <c r="AS189" i="3"/>
  <c r="AM189" i="3"/>
  <c r="AT188" i="3"/>
  <c r="AS188" i="3"/>
  <c r="AM188" i="3"/>
  <c r="AT187" i="3"/>
  <c r="AS187" i="3"/>
  <c r="AM187" i="3"/>
  <c r="AT186" i="3"/>
  <c r="AS186" i="3"/>
  <c r="AM186" i="3"/>
  <c r="AT185" i="3"/>
  <c r="AS185" i="3"/>
  <c r="AM185" i="3"/>
  <c r="AT184" i="3"/>
  <c r="AS184" i="3"/>
  <c r="AM184" i="3"/>
  <c r="AT183" i="3"/>
  <c r="AS183" i="3"/>
  <c r="AM183" i="3"/>
  <c r="AT182" i="3"/>
  <c r="AS182" i="3"/>
  <c r="AM182" i="3"/>
  <c r="AT181" i="3"/>
  <c r="AS181" i="3"/>
  <c r="AM181" i="3"/>
  <c r="AT180" i="3"/>
  <c r="AS180" i="3"/>
  <c r="AM180" i="3"/>
  <c r="AT179" i="3"/>
  <c r="AS179" i="3"/>
  <c r="AM179" i="3"/>
  <c r="AT178" i="3"/>
  <c r="AS178" i="3"/>
  <c r="AM178" i="3"/>
  <c r="AT177" i="3"/>
  <c r="AS177" i="3"/>
  <c r="AM177" i="3"/>
  <c r="AT176" i="3"/>
  <c r="AS176" i="3"/>
  <c r="AM176" i="3"/>
  <c r="AT175" i="3"/>
  <c r="AS175" i="3"/>
  <c r="AM175" i="3"/>
  <c r="AT174" i="3"/>
  <c r="AS174" i="3"/>
  <c r="AM174" i="3"/>
  <c r="AT173" i="3"/>
  <c r="AS173" i="3"/>
  <c r="AM173" i="3"/>
  <c r="AT172" i="3"/>
  <c r="AS172" i="3"/>
  <c r="AM172" i="3"/>
  <c r="AT171" i="3"/>
  <c r="AS171" i="3"/>
  <c r="AM171" i="3"/>
  <c r="AT170" i="3"/>
  <c r="AS170" i="3"/>
  <c r="AM170" i="3"/>
  <c r="AT169" i="3"/>
  <c r="AS169" i="3"/>
  <c r="AM169" i="3"/>
  <c r="AT168" i="3"/>
  <c r="AS168" i="3"/>
  <c r="AM168" i="3"/>
  <c r="AT167" i="3"/>
  <c r="AS167" i="3"/>
  <c r="AM167" i="3"/>
  <c r="F167" i="3"/>
  <c r="AR165" i="3"/>
  <c r="H165" i="3"/>
  <c r="AQ164" i="3"/>
  <c r="I164" i="3"/>
  <c r="H164" i="3"/>
  <c r="F164" i="3"/>
  <c r="AR164" i="3"/>
  <c r="AR163" i="3"/>
  <c r="AQ162" i="3"/>
  <c r="I162" i="3"/>
  <c r="H162" i="3"/>
  <c r="F162" i="3"/>
  <c r="AR162" i="3"/>
  <c r="AQ160" i="3"/>
  <c r="I160" i="3"/>
  <c r="H160" i="3"/>
  <c r="F160" i="3"/>
  <c r="AR160" i="3"/>
  <c r="H159" i="3"/>
  <c r="B159" i="3"/>
  <c r="AU159" i="3" s="1"/>
  <c r="E158" i="3"/>
  <c r="B158" i="3"/>
  <c r="E157" i="3"/>
  <c r="B157" i="3"/>
  <c r="AR157" i="3" s="1"/>
  <c r="E156" i="3"/>
  <c r="B156" i="3"/>
  <c r="E155" i="3"/>
  <c r="B155" i="3"/>
  <c r="B154" i="3"/>
  <c r="E153" i="3"/>
  <c r="B153" i="3"/>
  <c r="E152" i="3"/>
  <c r="B152" i="3"/>
  <c r="AQ152" i="3" s="1"/>
  <c r="E151" i="3"/>
  <c r="B151" i="3"/>
  <c r="AU151" i="3" s="1"/>
  <c r="E150" i="3"/>
  <c r="B150" i="3"/>
  <c r="E149" i="3"/>
  <c r="B149" i="3"/>
  <c r="AU149" i="3" s="1"/>
  <c r="E148" i="3"/>
  <c r="B148" i="3"/>
  <c r="E147" i="3"/>
  <c r="B147" i="3"/>
  <c r="E146" i="3"/>
  <c r="B146" i="3"/>
  <c r="E145" i="3"/>
  <c r="B145" i="3"/>
  <c r="AR145" i="3" s="1"/>
  <c r="E144" i="3"/>
  <c r="B144" i="3"/>
  <c r="E143" i="3"/>
  <c r="B143" i="3"/>
  <c r="E142" i="3"/>
  <c r="B142" i="3"/>
  <c r="E141" i="3"/>
  <c r="B141" i="3"/>
  <c r="AR141" i="3" s="1"/>
  <c r="E140" i="3"/>
  <c r="B140" i="3"/>
  <c r="E139" i="3"/>
  <c r="B139" i="3"/>
  <c r="AU139" i="3" s="1"/>
  <c r="E138" i="3"/>
  <c r="B138" i="3"/>
  <c r="E137" i="3"/>
  <c r="B137" i="3"/>
  <c r="E136" i="3"/>
  <c r="B136" i="3"/>
  <c r="E135" i="3"/>
  <c r="B135" i="3"/>
  <c r="E134" i="3"/>
  <c r="B134" i="3"/>
  <c r="E133" i="3"/>
  <c r="B133" i="3"/>
  <c r="E132" i="3"/>
  <c r="B132" i="3"/>
  <c r="AU132" i="3" s="1"/>
  <c r="E131" i="3"/>
  <c r="B131" i="3"/>
  <c r="E130" i="3"/>
  <c r="B130" i="3"/>
  <c r="E129" i="3"/>
  <c r="B129" i="3"/>
  <c r="E128" i="3"/>
  <c r="B128" i="3"/>
  <c r="E127" i="3"/>
  <c r="B127" i="3"/>
  <c r="E126" i="3"/>
  <c r="B126" i="3"/>
  <c r="AU126" i="3" s="1"/>
  <c r="E125" i="3"/>
  <c r="B125" i="3"/>
  <c r="AQ125" i="3" s="1"/>
  <c r="E124" i="3"/>
  <c r="B124" i="3"/>
  <c r="AR124" i="3" s="1"/>
  <c r="E123" i="3"/>
  <c r="B123" i="3"/>
  <c r="E122" i="3"/>
  <c r="B122" i="3"/>
  <c r="E121" i="3"/>
  <c r="B121" i="3"/>
  <c r="AQ121" i="3" s="1"/>
  <c r="E120" i="3"/>
  <c r="B120" i="3"/>
  <c r="E119" i="3"/>
  <c r="B119" i="3"/>
  <c r="AQ119" i="3" s="1"/>
  <c r="E118" i="3"/>
  <c r="B118" i="3"/>
  <c r="E117" i="3"/>
  <c r="B117" i="3"/>
  <c r="E116" i="3"/>
  <c r="B116" i="3"/>
  <c r="E115" i="3"/>
  <c r="B115" i="3"/>
  <c r="E114" i="3"/>
  <c r="B114" i="3"/>
  <c r="E113" i="3"/>
  <c r="B113" i="3"/>
  <c r="AQ113" i="3" s="1"/>
  <c r="E112" i="3"/>
  <c r="B112" i="3"/>
  <c r="E111" i="3"/>
  <c r="B111" i="3"/>
  <c r="E110" i="3"/>
  <c r="B110" i="3"/>
  <c r="E109" i="3"/>
  <c r="B109" i="3"/>
  <c r="E108" i="3"/>
  <c r="B108" i="3"/>
  <c r="E107" i="3"/>
  <c r="B107" i="3"/>
  <c r="AQ107" i="3" s="1"/>
  <c r="E106" i="3"/>
  <c r="B106" i="3"/>
  <c r="E105" i="3"/>
  <c r="B105" i="3"/>
  <c r="AQ105" i="3" s="1"/>
  <c r="E104" i="3"/>
  <c r="B104" i="3"/>
  <c r="AU104" i="3" s="1"/>
  <c r="E103" i="3"/>
  <c r="B103" i="3"/>
  <c r="E102" i="3"/>
  <c r="B102" i="3"/>
  <c r="AU102" i="3" s="1"/>
  <c r="E101" i="3"/>
  <c r="B101" i="3"/>
  <c r="AQ101" i="3" s="1"/>
  <c r="E100" i="3"/>
  <c r="B100" i="3"/>
  <c r="AU100" i="3" s="1"/>
  <c r="E99" i="3"/>
  <c r="B99" i="3"/>
  <c r="E98" i="3"/>
  <c r="B98" i="3"/>
  <c r="E97" i="3"/>
  <c r="B97" i="3"/>
  <c r="AU97" i="3" s="1"/>
  <c r="E96" i="3"/>
  <c r="B96" i="3"/>
  <c r="AQ96" i="3" s="1"/>
  <c r="E95" i="3"/>
  <c r="B95" i="3"/>
  <c r="E94" i="3"/>
  <c r="B94" i="3"/>
  <c r="E93" i="3"/>
  <c r="B93" i="3"/>
  <c r="AU93" i="3" s="1"/>
  <c r="E92" i="3"/>
  <c r="B92" i="3"/>
  <c r="E91" i="3"/>
  <c r="B91" i="3"/>
  <c r="AU91" i="3" s="1"/>
  <c r="E90" i="3"/>
  <c r="B90" i="3"/>
  <c r="AQ90" i="3" s="1"/>
  <c r="E89" i="3"/>
  <c r="B89" i="3"/>
  <c r="AU89" i="3" s="1"/>
  <c r="E88" i="3"/>
  <c r="B88" i="3"/>
  <c r="E87" i="3"/>
  <c r="B87" i="3"/>
  <c r="AU87" i="3" s="1"/>
  <c r="E86" i="3"/>
  <c r="B86" i="3"/>
  <c r="E85" i="3"/>
  <c r="B85" i="3"/>
  <c r="AU85" i="3" s="1"/>
  <c r="E84" i="3"/>
  <c r="B84" i="3"/>
  <c r="AQ84" i="3" s="1"/>
  <c r="E83" i="3"/>
  <c r="B83" i="3"/>
  <c r="AU83" i="3" s="1"/>
  <c r="E82" i="3"/>
  <c r="B82" i="3"/>
  <c r="E81" i="3"/>
  <c r="B81" i="3"/>
  <c r="E80" i="3"/>
  <c r="B80" i="3"/>
  <c r="E79" i="3"/>
  <c r="B79" i="3"/>
  <c r="AU79" i="3" s="1"/>
  <c r="E78" i="3"/>
  <c r="B78" i="3"/>
  <c r="AQ78" i="3" s="1"/>
  <c r="E77" i="3"/>
  <c r="B77" i="3"/>
  <c r="AU77" i="3" s="1"/>
  <c r="E76" i="3"/>
  <c r="B76" i="3"/>
  <c r="AU76" i="3" s="1"/>
  <c r="E75" i="3"/>
  <c r="B75" i="3"/>
  <c r="E74" i="3"/>
  <c r="B74" i="3"/>
  <c r="E73" i="3"/>
  <c r="B73" i="3"/>
  <c r="AU73" i="3" s="1"/>
  <c r="E72" i="3"/>
  <c r="B72" i="3"/>
  <c r="AQ72" i="3" s="1"/>
  <c r="E71" i="3"/>
  <c r="B71" i="3"/>
  <c r="AR71" i="3" s="1"/>
  <c r="E70" i="3"/>
  <c r="B70" i="3"/>
  <c r="E69" i="3"/>
  <c r="B69" i="3"/>
  <c r="AU69" i="3" s="1"/>
  <c r="E68" i="3"/>
  <c r="B68" i="3"/>
  <c r="E67" i="3"/>
  <c r="B67" i="3"/>
  <c r="E66" i="3"/>
  <c r="B66" i="3"/>
  <c r="E65" i="3"/>
  <c r="B65" i="3"/>
  <c r="A65" i="3" s="1"/>
  <c r="E64" i="3"/>
  <c r="B64" i="3"/>
  <c r="E63" i="3"/>
  <c r="B63" i="3"/>
  <c r="E62" i="3"/>
  <c r="B62" i="3"/>
  <c r="AQ62" i="3" s="1"/>
  <c r="E61" i="3"/>
  <c r="B61" i="3"/>
  <c r="E60" i="3"/>
  <c r="B60" i="3"/>
  <c r="E59" i="3"/>
  <c r="B59" i="3"/>
  <c r="E58" i="3"/>
  <c r="B58" i="3"/>
  <c r="E57" i="3"/>
  <c r="B57" i="3"/>
  <c r="E56" i="3"/>
  <c r="B56" i="3"/>
  <c r="E55" i="3"/>
  <c r="B55" i="3"/>
  <c r="E54" i="3"/>
  <c r="B54" i="3"/>
  <c r="AU54" i="3" s="1"/>
  <c r="E53" i="3"/>
  <c r="B53" i="3"/>
  <c r="AU53" i="3" s="1"/>
  <c r="E52" i="3"/>
  <c r="B52" i="3"/>
  <c r="E51" i="3"/>
  <c r="B51" i="3"/>
  <c r="E50" i="3"/>
  <c r="B50" i="3"/>
  <c r="E49" i="3"/>
  <c r="B49" i="3"/>
  <c r="E48" i="3"/>
  <c r="B48" i="3"/>
  <c r="AR48" i="3" s="1"/>
  <c r="E47" i="3"/>
  <c r="B47" i="3"/>
  <c r="AR47" i="3" s="1"/>
  <c r="E46" i="3"/>
  <c r="B46" i="3"/>
  <c r="AU46" i="3" s="1"/>
  <c r="E45" i="3"/>
  <c r="B45" i="3"/>
  <c r="E44" i="3"/>
  <c r="B44" i="3"/>
  <c r="E43" i="3"/>
  <c r="B43" i="3"/>
  <c r="E42" i="3"/>
  <c r="B42" i="3"/>
  <c r="E41" i="3"/>
  <c r="B41" i="3"/>
  <c r="E40" i="3"/>
  <c r="B40" i="3"/>
  <c r="E39" i="3"/>
  <c r="B39" i="3"/>
  <c r="E38" i="3"/>
  <c r="B38" i="3"/>
  <c r="E37" i="3"/>
  <c r="B37" i="3"/>
  <c r="E36" i="3"/>
  <c r="B36" i="3"/>
  <c r="E35" i="3"/>
  <c r="B35" i="3"/>
  <c r="AQ35" i="3" s="1"/>
  <c r="E34" i="3"/>
  <c r="B34" i="3"/>
  <c r="E33" i="3"/>
  <c r="B33" i="3"/>
  <c r="E32" i="3"/>
  <c r="B32" i="3"/>
  <c r="E31" i="3"/>
  <c r="B31" i="3"/>
  <c r="E30" i="3"/>
  <c r="B30" i="3"/>
  <c r="AU30" i="3" s="1"/>
  <c r="E29" i="3"/>
  <c r="B29" i="3"/>
  <c r="AQ29" i="3" s="1"/>
  <c r="E28" i="3"/>
  <c r="B28" i="3"/>
  <c r="AR28" i="3" s="1"/>
  <c r="E27" i="3"/>
  <c r="B27" i="3"/>
  <c r="AQ27" i="3" s="1"/>
  <c r="E26" i="3"/>
  <c r="B26" i="3"/>
  <c r="AU26" i="3" s="1"/>
  <c r="E25" i="3"/>
  <c r="B25" i="3"/>
  <c r="E24" i="3"/>
  <c r="B24" i="3"/>
  <c r="E23" i="3"/>
  <c r="B23" i="3"/>
  <c r="E22" i="3"/>
  <c r="B22" i="3"/>
  <c r="E21" i="3"/>
  <c r="B21" i="3"/>
  <c r="E20" i="3"/>
  <c r="B20" i="3"/>
  <c r="E19" i="3"/>
  <c r="B19" i="3"/>
  <c r="E18" i="3"/>
  <c r="B18" i="3"/>
  <c r="E17" i="3"/>
  <c r="B17" i="3"/>
  <c r="AQ17" i="3" s="1"/>
  <c r="E16" i="3"/>
  <c r="B16" i="3"/>
  <c r="E15" i="3"/>
  <c r="B15" i="3"/>
  <c r="E14" i="3"/>
  <c r="B14" i="3"/>
  <c r="E13" i="3"/>
  <c r="B13" i="3"/>
  <c r="E12" i="3"/>
  <c r="B12" i="3"/>
  <c r="E11" i="3"/>
  <c r="B11" i="3"/>
  <c r="AQ11" i="3" s="1"/>
  <c r="E10" i="3"/>
  <c r="B10" i="3"/>
  <c r="E9" i="3"/>
  <c r="B9" i="3"/>
  <c r="AQ9" i="3" s="1"/>
  <c r="E8" i="3"/>
  <c r="B8" i="3"/>
  <c r="E7" i="3"/>
  <c r="B7" i="3"/>
  <c r="E6" i="3"/>
  <c r="B6" i="3"/>
  <c r="E5" i="3"/>
  <c r="B5" i="3"/>
  <c r="E4" i="3"/>
  <c r="B4" i="3"/>
  <c r="D2" i="3"/>
  <c r="C2" i="3"/>
  <c r="B2" i="3"/>
  <c r="J96" i="3"/>
  <c r="K109" i="3"/>
  <c r="K140" i="3"/>
  <c r="K93" i="3"/>
  <c r="J59" i="3"/>
  <c r="K131" i="3"/>
  <c r="K57" i="3"/>
  <c r="J20" i="3"/>
  <c r="K32" i="3"/>
  <c r="K13" i="3"/>
  <c r="K82" i="3"/>
  <c r="J134" i="3"/>
  <c r="J79" i="3"/>
  <c r="J33" i="3"/>
  <c r="J66" i="3"/>
  <c r="K53" i="3"/>
  <c r="K92" i="3"/>
  <c r="J64" i="3"/>
  <c r="J112" i="3"/>
  <c r="K90" i="3"/>
  <c r="K100" i="3"/>
  <c r="K112" i="3"/>
  <c r="K14" i="3"/>
  <c r="K136" i="3"/>
  <c r="J105" i="3"/>
  <c r="J60" i="3"/>
  <c r="K88" i="3"/>
  <c r="K12" i="3"/>
  <c r="K34" i="3"/>
  <c r="K48" i="3"/>
  <c r="K98" i="3"/>
  <c r="J116" i="3"/>
  <c r="J126" i="3"/>
  <c r="J43" i="3"/>
  <c r="J142" i="3"/>
  <c r="K105" i="3"/>
  <c r="J147" i="3"/>
  <c r="K127" i="3"/>
  <c r="K69" i="3"/>
  <c r="K132" i="3"/>
  <c r="J13" i="3"/>
  <c r="K138" i="3"/>
  <c r="K116" i="3"/>
  <c r="K43" i="3"/>
  <c r="K81" i="3"/>
  <c r="J124" i="3"/>
  <c r="K79" i="3"/>
  <c r="K61" i="3"/>
  <c r="K64" i="3"/>
  <c r="K27" i="3"/>
  <c r="J121" i="3"/>
  <c r="K144" i="3"/>
  <c r="K99" i="3"/>
  <c r="K71" i="3"/>
  <c r="J30" i="3"/>
  <c r="J113" i="3"/>
  <c r="K128" i="3"/>
  <c r="J9" i="3"/>
  <c r="K107" i="3"/>
  <c r="J100" i="3"/>
  <c r="K114" i="3"/>
  <c r="K72" i="3"/>
  <c r="K104" i="3"/>
  <c r="J149" i="3"/>
  <c r="K76" i="3"/>
  <c r="J155" i="3"/>
  <c r="K125" i="3"/>
  <c r="J132" i="3"/>
  <c r="K63" i="3"/>
  <c r="K38" i="3"/>
  <c r="J4" i="3"/>
  <c r="K7" i="3"/>
  <c r="J84" i="3"/>
  <c r="K106" i="3"/>
  <c r="J101" i="3"/>
  <c r="K50" i="3"/>
  <c r="J92" i="3"/>
  <c r="J49" i="3"/>
  <c r="J69" i="3"/>
  <c r="K23" i="3"/>
  <c r="J58" i="3"/>
  <c r="J27" i="3"/>
  <c r="J97" i="3"/>
  <c r="J41" i="3"/>
  <c r="K89" i="3"/>
  <c r="J93" i="3"/>
  <c r="K10" i="3"/>
  <c r="J108" i="3"/>
  <c r="K45" i="3"/>
  <c r="J135" i="3"/>
  <c r="K145" i="3"/>
  <c r="K97" i="3"/>
  <c r="K11" i="3"/>
  <c r="J109" i="3"/>
  <c r="J110" i="3"/>
  <c r="J141" i="3"/>
  <c r="K119" i="3"/>
  <c r="J119" i="3"/>
  <c r="K86" i="3"/>
  <c r="J90" i="3"/>
  <c r="K40" i="3"/>
  <c r="K73" i="3"/>
  <c r="J54" i="3"/>
  <c r="J122" i="3"/>
  <c r="K18" i="3"/>
  <c r="K130" i="3"/>
  <c r="K80" i="3"/>
  <c r="J114" i="3"/>
  <c r="J156" i="3"/>
  <c r="J77" i="3"/>
  <c r="K101" i="3"/>
  <c r="J38" i="3"/>
  <c r="J12" i="3"/>
  <c r="K151" i="3"/>
  <c r="K54" i="3"/>
  <c r="J150" i="3"/>
  <c r="J16" i="3"/>
  <c r="J74" i="3"/>
  <c r="J50" i="3"/>
  <c r="K139" i="3"/>
  <c r="J129" i="3"/>
  <c r="J127" i="3"/>
  <c r="J71" i="3"/>
  <c r="K39" i="3"/>
  <c r="K110" i="3"/>
  <c r="K22" i="3"/>
  <c r="J148" i="3"/>
  <c r="J19" i="3"/>
  <c r="K134" i="3"/>
  <c r="J137" i="3"/>
  <c r="K31" i="3"/>
  <c r="K120" i="3"/>
  <c r="J53" i="3"/>
  <c r="K68" i="3"/>
  <c r="K156" i="3"/>
  <c r="J47" i="3"/>
  <c r="J46" i="3"/>
  <c r="K36" i="3"/>
  <c r="J45" i="3"/>
  <c r="K95" i="3"/>
  <c r="J86" i="3"/>
  <c r="K141" i="3"/>
  <c r="J99" i="3"/>
  <c r="J120" i="3"/>
  <c r="J17" i="3"/>
  <c r="J95" i="3"/>
  <c r="K17" i="3"/>
  <c r="K87" i="3"/>
  <c r="K78" i="3"/>
  <c r="K126" i="3"/>
  <c r="J106" i="3"/>
  <c r="K16" i="3"/>
  <c r="K56" i="3"/>
  <c r="K153" i="3"/>
  <c r="K60" i="3"/>
  <c r="K77" i="3"/>
  <c r="J76" i="3"/>
  <c r="J102" i="3"/>
  <c r="J91" i="3"/>
  <c r="K150" i="3"/>
  <c r="J104" i="3"/>
  <c r="J40" i="3"/>
  <c r="J15" i="3"/>
  <c r="J32" i="3"/>
  <c r="K47" i="3"/>
  <c r="J98" i="3"/>
  <c r="J23" i="3"/>
  <c r="K59" i="3"/>
  <c r="J85" i="3"/>
  <c r="K149" i="3"/>
  <c r="K29" i="3"/>
  <c r="K158" i="3"/>
  <c r="J67" i="3"/>
  <c r="K9" i="3"/>
  <c r="J80" i="3"/>
  <c r="J14" i="3"/>
  <c r="K94" i="3"/>
  <c r="K85" i="3"/>
  <c r="J158" i="3"/>
  <c r="J118" i="3"/>
  <c r="J123" i="3"/>
  <c r="J44" i="3"/>
  <c r="J31" i="3"/>
  <c r="K37" i="3"/>
  <c r="J88" i="3"/>
  <c r="J152" i="3"/>
  <c r="J62" i="3"/>
  <c r="J36" i="3"/>
  <c r="J61" i="3"/>
  <c r="J130" i="3"/>
  <c r="K41" i="3"/>
  <c r="J82" i="3"/>
  <c r="J57" i="3"/>
  <c r="J103" i="3"/>
  <c r="K142" i="3"/>
  <c r="K124" i="3"/>
  <c r="J131" i="3"/>
  <c r="J151" i="3"/>
  <c r="J140" i="3"/>
  <c r="J75" i="3"/>
  <c r="K58" i="3"/>
  <c r="K55" i="3"/>
  <c r="K111" i="3"/>
  <c r="J22" i="3"/>
  <c r="J136" i="3"/>
  <c r="K133" i="3"/>
  <c r="K28" i="3"/>
  <c r="J144" i="3"/>
  <c r="J48" i="3"/>
  <c r="K6" i="3"/>
  <c r="J8" i="3"/>
  <c r="J70" i="3"/>
  <c r="K15" i="3"/>
  <c r="K91" i="3"/>
  <c r="J115" i="3"/>
  <c r="J7" i="3"/>
  <c r="K62" i="3"/>
  <c r="J25" i="3"/>
  <c r="K103" i="3"/>
  <c r="K122" i="3"/>
  <c r="K102" i="3"/>
  <c r="J65" i="3"/>
  <c r="K135" i="3"/>
  <c r="J39" i="3"/>
  <c r="K21" i="3"/>
  <c r="J56" i="3"/>
  <c r="J111" i="3"/>
  <c r="K5" i="3"/>
  <c r="J139" i="3"/>
  <c r="K4" i="3"/>
  <c r="K155" i="3"/>
  <c r="K75" i="3"/>
  <c r="J81" i="3"/>
  <c r="K74" i="3"/>
  <c r="J146" i="3"/>
  <c r="K83" i="3"/>
  <c r="K46" i="3"/>
  <c r="K24" i="3"/>
  <c r="J29" i="3"/>
  <c r="J138" i="3"/>
  <c r="J73" i="3"/>
  <c r="J83" i="3"/>
  <c r="K113" i="3"/>
  <c r="K146" i="3"/>
  <c r="K84" i="3"/>
  <c r="J72" i="3"/>
  <c r="K66" i="3"/>
  <c r="J28" i="3"/>
  <c r="K51" i="3"/>
  <c r="K42" i="3"/>
  <c r="J153" i="3"/>
  <c r="K108" i="3"/>
  <c r="J34" i="3"/>
  <c r="K129" i="3"/>
  <c r="K70" i="3"/>
  <c r="K44" i="3"/>
  <c r="K123" i="3"/>
  <c r="J87" i="3"/>
  <c r="J6" i="3"/>
  <c r="J11" i="3"/>
  <c r="K49" i="3"/>
  <c r="K65" i="3"/>
  <c r="K115" i="3"/>
  <c r="K19" i="3"/>
  <c r="J10" i="3"/>
  <c r="J143" i="3"/>
  <c r="J26" i="3"/>
  <c r="J51" i="3"/>
  <c r="J117" i="3"/>
  <c r="J94" i="3"/>
  <c r="J68" i="3"/>
  <c r="K137" i="3"/>
  <c r="J107" i="3"/>
  <c r="K96" i="3"/>
  <c r="K20" i="3"/>
  <c r="K30" i="3"/>
  <c r="K117" i="3"/>
  <c r="K143" i="3"/>
  <c r="J145" i="3"/>
  <c r="J35" i="3"/>
  <c r="J89" i="3"/>
  <c r="K52" i="3"/>
  <c r="K152" i="3"/>
  <c r="J21" i="3"/>
  <c r="J55" i="3"/>
  <c r="J63" i="3"/>
  <c r="K26" i="3"/>
  <c r="K35" i="3"/>
  <c r="J5" i="3"/>
  <c r="J128" i="3"/>
  <c r="J78" i="3"/>
  <c r="K25" i="3"/>
  <c r="J42" i="3"/>
  <c r="J52" i="3"/>
  <c r="K67" i="3"/>
  <c r="K157" i="3"/>
  <c r="J37" i="3"/>
  <c r="J125" i="3"/>
  <c r="K118" i="3"/>
  <c r="J157" i="3"/>
  <c r="J18" i="3"/>
  <c r="K148" i="3"/>
  <c r="K33" i="3"/>
  <c r="K147" i="3"/>
  <c r="K8" i="3"/>
  <c r="K121" i="3"/>
  <c r="J133" i="3"/>
  <c r="J24" i="3"/>
  <c r="F115" i="3" l="1"/>
  <c r="F140" i="3"/>
  <c r="AC65" i="3"/>
  <c r="A60" i="3"/>
  <c r="AB60" i="3" s="1"/>
  <c r="I73" i="3"/>
  <c r="F143" i="3"/>
  <c r="D6" i="3"/>
  <c r="A78" i="3"/>
  <c r="Y78" i="3" s="1"/>
  <c r="I46" i="3"/>
  <c r="I51" i="3"/>
  <c r="I62" i="3"/>
  <c r="F74" i="3"/>
  <c r="H88" i="3"/>
  <c r="H105" i="3"/>
  <c r="H26" i="3"/>
  <c r="H28" i="3"/>
  <c r="I58" i="3"/>
  <c r="I59" i="3"/>
  <c r="I60" i="3"/>
  <c r="I117" i="3"/>
  <c r="F119" i="3"/>
  <c r="I140" i="3"/>
  <c r="I142" i="3"/>
  <c r="I145" i="3"/>
  <c r="I19" i="3"/>
  <c r="H24" i="3"/>
  <c r="H42" i="3"/>
  <c r="H43" i="3"/>
  <c r="F44" i="3"/>
  <c r="I50" i="3"/>
  <c r="F56" i="3"/>
  <c r="F57" i="3"/>
  <c r="I63" i="3"/>
  <c r="H69" i="3"/>
  <c r="F72" i="3"/>
  <c r="I76" i="3"/>
  <c r="I78" i="3"/>
  <c r="H81" i="3"/>
  <c r="I86" i="3"/>
  <c r="H97" i="3"/>
  <c r="H111" i="3"/>
  <c r="H115" i="3"/>
  <c r="I118" i="3"/>
  <c r="I120" i="3"/>
  <c r="I122" i="3"/>
  <c r="I124" i="3"/>
  <c r="F129" i="3"/>
  <c r="F139" i="3"/>
  <c r="I149" i="3"/>
  <c r="I152" i="3"/>
  <c r="F154" i="3"/>
  <c r="H15" i="3"/>
  <c r="F23" i="3"/>
  <c r="I31" i="3"/>
  <c r="I33" i="3"/>
  <c r="I37" i="3"/>
  <c r="I40" i="3"/>
  <c r="F48" i="3"/>
  <c r="I53" i="3"/>
  <c r="H64" i="3"/>
  <c r="I65" i="3"/>
  <c r="I68" i="3"/>
  <c r="I70" i="3"/>
  <c r="H79" i="3"/>
  <c r="H83" i="3"/>
  <c r="F90" i="3"/>
  <c r="F94" i="3"/>
  <c r="I98" i="3"/>
  <c r="I99" i="3"/>
  <c r="H104" i="3"/>
  <c r="I107" i="3"/>
  <c r="H109" i="3"/>
  <c r="H112" i="3"/>
  <c r="F133" i="3"/>
  <c r="I137" i="3"/>
  <c r="F146" i="3"/>
  <c r="I151" i="3"/>
  <c r="F156" i="3"/>
  <c r="I157" i="3"/>
  <c r="H5" i="3"/>
  <c r="F7" i="3"/>
  <c r="H11" i="3"/>
  <c r="F21" i="3"/>
  <c r="F25" i="3"/>
  <c r="F27" i="3"/>
  <c r="I32" i="3"/>
  <c r="I52" i="3"/>
  <c r="H66" i="3"/>
  <c r="I67" i="3"/>
  <c r="I82" i="3"/>
  <c r="H91" i="3"/>
  <c r="I92" i="3"/>
  <c r="I96" i="3"/>
  <c r="H103" i="3"/>
  <c r="I113" i="3"/>
  <c r="I121" i="3"/>
  <c r="H126" i="3"/>
  <c r="I131" i="3"/>
  <c r="F135" i="3"/>
  <c r="A131" i="3"/>
  <c r="AH131" i="3" s="1"/>
  <c r="A103" i="3"/>
  <c r="AI103" i="3" s="1"/>
  <c r="A107" i="3"/>
  <c r="A50" i="3"/>
  <c r="W50" i="3" s="1"/>
  <c r="I5" i="3"/>
  <c r="A109" i="3"/>
  <c r="AK109" i="3" s="1"/>
  <c r="AQ151" i="3"/>
  <c r="A13" i="3"/>
  <c r="AK13" i="3" s="1"/>
  <c r="A156" i="3"/>
  <c r="P156" i="3" s="1"/>
  <c r="F37" i="3"/>
  <c r="H37" i="3"/>
  <c r="AR85" i="3"/>
  <c r="I88" i="3"/>
  <c r="A140" i="3"/>
  <c r="X140" i="3" s="1"/>
  <c r="F59" i="3"/>
  <c r="A75" i="3"/>
  <c r="O75" i="3" s="1"/>
  <c r="A86" i="3"/>
  <c r="Z86" i="3" s="1"/>
  <c r="AR100" i="3"/>
  <c r="A115" i="3"/>
  <c r="AG115" i="3" s="1"/>
  <c r="C73" i="3"/>
  <c r="D84" i="3"/>
  <c r="C123" i="3"/>
  <c r="D138" i="3"/>
  <c r="D29" i="3"/>
  <c r="C106" i="3"/>
  <c r="D36" i="3"/>
  <c r="D13" i="3"/>
  <c r="C110" i="3"/>
  <c r="C100" i="3"/>
  <c r="D132" i="3"/>
  <c r="D75" i="3"/>
  <c r="I156" i="3"/>
  <c r="H90" i="3"/>
  <c r="H119" i="3"/>
  <c r="F33" i="3"/>
  <c r="H13" i="3"/>
  <c r="I15" i="3"/>
  <c r="F60" i="3"/>
  <c r="F63" i="3"/>
  <c r="H86" i="3"/>
  <c r="F109" i="3"/>
  <c r="H117" i="3"/>
  <c r="H129" i="3"/>
  <c r="I135" i="3"/>
  <c r="M166" i="3"/>
  <c r="D33" i="3"/>
  <c r="AQ131" i="3"/>
  <c r="F15" i="3"/>
  <c r="I90" i="3"/>
  <c r="I13" i="3"/>
  <c r="AR151" i="3"/>
  <c r="D5" i="3"/>
  <c r="H40" i="3"/>
  <c r="F78" i="3"/>
  <c r="A90" i="3"/>
  <c r="AC90" i="3" s="1"/>
  <c r="F107" i="3"/>
  <c r="D124" i="3"/>
  <c r="I26" i="3"/>
  <c r="I111" i="3"/>
  <c r="F117" i="3"/>
  <c r="A32" i="3"/>
  <c r="AI32" i="3" s="1"/>
  <c r="H78" i="3"/>
  <c r="AR87" i="3"/>
  <c r="H107" i="3"/>
  <c r="A137" i="3"/>
  <c r="S137" i="3" s="1"/>
  <c r="C15" i="3"/>
  <c r="C111" i="3"/>
  <c r="A117" i="3"/>
  <c r="AH117" i="3" s="1"/>
  <c r="A144" i="3"/>
  <c r="P144" i="3" s="1"/>
  <c r="A147" i="3"/>
  <c r="AA147" i="3" s="1"/>
  <c r="C11" i="3"/>
  <c r="D39" i="3"/>
  <c r="C69" i="3"/>
  <c r="D87" i="3"/>
  <c r="D89" i="3"/>
  <c r="D98" i="3"/>
  <c r="D101" i="3"/>
  <c r="C114" i="3"/>
  <c r="C119" i="3"/>
  <c r="C127" i="3"/>
  <c r="D79" i="3"/>
  <c r="D91" i="3"/>
  <c r="C104" i="3"/>
  <c r="C109" i="3"/>
  <c r="C117" i="3"/>
  <c r="D16" i="3"/>
  <c r="D122" i="3"/>
  <c r="D128" i="3"/>
  <c r="D137" i="3"/>
  <c r="D9" i="3"/>
  <c r="D88" i="3"/>
  <c r="C90" i="3"/>
  <c r="D102" i="3"/>
  <c r="C115" i="3"/>
  <c r="D17" i="3"/>
  <c r="C64" i="3"/>
  <c r="C78" i="3"/>
  <c r="D80" i="3"/>
  <c r="D86" i="3"/>
  <c r="C88" i="3"/>
  <c r="D135" i="3"/>
  <c r="D10" i="3"/>
  <c r="C13" i="3"/>
  <c r="C71" i="3"/>
  <c r="C103" i="3"/>
  <c r="AR33" i="3"/>
  <c r="AU33" i="3"/>
  <c r="F24" i="3"/>
  <c r="H32" i="3"/>
  <c r="AR5" i="3"/>
  <c r="AU5" i="3"/>
  <c r="C9" i="3"/>
  <c r="AR11" i="3"/>
  <c r="AU11" i="3"/>
  <c r="AR14" i="3"/>
  <c r="AU14" i="3"/>
  <c r="AR20" i="3"/>
  <c r="AU20" i="3"/>
  <c r="D23" i="3"/>
  <c r="AQ25" i="3"/>
  <c r="AU25" i="3"/>
  <c r="A33" i="3"/>
  <c r="V33" i="3" s="1"/>
  <c r="A43" i="3"/>
  <c r="AA43" i="3" s="1"/>
  <c r="AU43" i="3"/>
  <c r="AR51" i="3"/>
  <c r="AU51" i="3"/>
  <c r="AQ58" i="3"/>
  <c r="AU58" i="3"/>
  <c r="C96" i="3"/>
  <c r="AR98" i="3"/>
  <c r="AU98" i="3"/>
  <c r="D100" i="3"/>
  <c r="I105" i="3"/>
  <c r="AR111" i="3"/>
  <c r="AU111" i="3"/>
  <c r="D112" i="3"/>
  <c r="D121" i="3"/>
  <c r="D123" i="3"/>
  <c r="AR125" i="3"/>
  <c r="AU125" i="3"/>
  <c r="AR127" i="3"/>
  <c r="AU127" i="3"/>
  <c r="AR130" i="3"/>
  <c r="AU130" i="3"/>
  <c r="AQ49" i="3"/>
  <c r="AU49" i="3"/>
  <c r="AQ55" i="3"/>
  <c r="AU55" i="3"/>
  <c r="AR114" i="3"/>
  <c r="AU114" i="3"/>
  <c r="AQ115" i="3"/>
  <c r="AR135" i="3"/>
  <c r="AU135" i="3"/>
  <c r="AR137" i="3"/>
  <c r="AU137" i="3"/>
  <c r="AQ144" i="3"/>
  <c r="AU144" i="3"/>
  <c r="AQ146" i="3"/>
  <c r="AU146" i="3"/>
  <c r="AQ153" i="3"/>
  <c r="AU153" i="3"/>
  <c r="C135" i="3"/>
  <c r="AR13" i="3"/>
  <c r="AU13" i="3"/>
  <c r="AR94" i="3"/>
  <c r="AU94" i="3"/>
  <c r="AR21" i="3"/>
  <c r="AU21" i="3"/>
  <c r="H23" i="3"/>
  <c r="H25" i="3"/>
  <c r="A49" i="3"/>
  <c r="M49" i="3" s="1"/>
  <c r="F58" i="3"/>
  <c r="AQ61" i="3"/>
  <c r="AU61" i="3"/>
  <c r="A68" i="3"/>
  <c r="AB68" i="3" s="1"/>
  <c r="AU68" i="3"/>
  <c r="AR75" i="3"/>
  <c r="AU75" i="3"/>
  <c r="AR78" i="3"/>
  <c r="AU78" i="3"/>
  <c r="A82" i="3"/>
  <c r="AL82" i="3" s="1"/>
  <c r="AR86" i="3"/>
  <c r="AU86" i="3"/>
  <c r="AR88" i="3"/>
  <c r="AU88" i="3"/>
  <c r="AR90" i="3"/>
  <c r="AU90" i="3"/>
  <c r="F96" i="3"/>
  <c r="AR103" i="3"/>
  <c r="AU103" i="3"/>
  <c r="A105" i="3"/>
  <c r="AI105" i="3" s="1"/>
  <c r="AR106" i="3"/>
  <c r="AU106" i="3"/>
  <c r="A113" i="3"/>
  <c r="Z113" i="3" s="1"/>
  <c r="AR116" i="3"/>
  <c r="AU116" i="3"/>
  <c r="AQ117" i="3"/>
  <c r="H121" i="3"/>
  <c r="H123" i="3"/>
  <c r="F127" i="3"/>
  <c r="AR142" i="3"/>
  <c r="AU142" i="3"/>
  <c r="A153" i="3"/>
  <c r="AI153" i="3" s="1"/>
  <c r="AR156" i="3"/>
  <c r="AU156" i="3"/>
  <c r="AR158" i="3"/>
  <c r="AU158" i="3"/>
  <c r="AQ65" i="3"/>
  <c r="AU65" i="3"/>
  <c r="AQ70" i="3"/>
  <c r="AU70" i="3"/>
  <c r="AR15" i="3"/>
  <c r="AU15" i="3"/>
  <c r="F5" i="3"/>
  <c r="H7" i="3"/>
  <c r="H9" i="3"/>
  <c r="F11" i="3"/>
  <c r="I23" i="3"/>
  <c r="AQ38" i="3"/>
  <c r="AU38" i="3"/>
  <c r="AR41" i="3"/>
  <c r="AU41" i="3"/>
  <c r="AQ43" i="3"/>
  <c r="AQ47" i="3"/>
  <c r="AU47" i="3"/>
  <c r="AR52" i="3"/>
  <c r="AU52" i="3"/>
  <c r="AQ56" i="3"/>
  <c r="AU56" i="3"/>
  <c r="AQ59" i="3"/>
  <c r="AU59" i="3"/>
  <c r="A64" i="3"/>
  <c r="AF64" i="3" s="1"/>
  <c r="F65" i="3"/>
  <c r="AQ71" i="3"/>
  <c r="AU71" i="3"/>
  <c r="AR82" i="3"/>
  <c r="AU82" i="3"/>
  <c r="AR84" i="3"/>
  <c r="AU84" i="3"/>
  <c r="H94" i="3"/>
  <c r="H96" i="3"/>
  <c r="H98" i="3"/>
  <c r="AR101" i="3"/>
  <c r="AU101" i="3"/>
  <c r="AR105" i="3"/>
  <c r="AU105" i="3"/>
  <c r="AQ109" i="3"/>
  <c r="F111" i="3"/>
  <c r="AR113" i="3"/>
  <c r="AU113" i="3"/>
  <c r="AR118" i="3"/>
  <c r="AU118" i="3"/>
  <c r="I123" i="3"/>
  <c r="AR128" i="3"/>
  <c r="AU128" i="3"/>
  <c r="AR131" i="3"/>
  <c r="AU131" i="3"/>
  <c r="AR140" i="3"/>
  <c r="AU140" i="3"/>
  <c r="AR144" i="3"/>
  <c r="A152" i="3"/>
  <c r="G152" i="3" s="1"/>
  <c r="A154" i="3"/>
  <c r="W154" i="3" s="1"/>
  <c r="AR31" i="3"/>
  <c r="AU31" i="3"/>
  <c r="F9" i="3"/>
  <c r="AR8" i="3"/>
  <c r="AU8" i="3"/>
  <c r="I9" i="3"/>
  <c r="I11" i="3"/>
  <c r="F13" i="3"/>
  <c r="AR18" i="3"/>
  <c r="AU18" i="3"/>
  <c r="H21" i="3"/>
  <c r="A24" i="3"/>
  <c r="AL24" i="3" s="1"/>
  <c r="AU24" i="3"/>
  <c r="AR29" i="3"/>
  <c r="AU29" i="3"/>
  <c r="AR32" i="3"/>
  <c r="AU32" i="3"/>
  <c r="A36" i="3"/>
  <c r="AH36" i="3" s="1"/>
  <c r="AU36" i="3"/>
  <c r="AR44" i="3"/>
  <c r="AU44" i="3"/>
  <c r="AR50" i="3"/>
  <c r="AU50" i="3"/>
  <c r="AR62" i="3"/>
  <c r="AU62" i="3"/>
  <c r="AR64" i="3"/>
  <c r="AU64" i="3"/>
  <c r="AQ75" i="3"/>
  <c r="AR79" i="3"/>
  <c r="D82" i="3"/>
  <c r="AR91" i="3"/>
  <c r="AR95" i="3"/>
  <c r="AU95" i="3"/>
  <c r="AQ98" i="3"/>
  <c r="F103" i="3"/>
  <c r="C105" i="3"/>
  <c r="AR108" i="3"/>
  <c r="AU108" i="3"/>
  <c r="AR110" i="3"/>
  <c r="AU110" i="3"/>
  <c r="C113" i="3"/>
  <c r="C118" i="3"/>
  <c r="AR120" i="3"/>
  <c r="AU120" i="3"/>
  <c r="AR122" i="3"/>
  <c r="AU122" i="3"/>
  <c r="A124" i="3"/>
  <c r="AL124" i="3" s="1"/>
  <c r="AU124" i="3"/>
  <c r="C126" i="3"/>
  <c r="C131" i="3"/>
  <c r="AR133" i="3"/>
  <c r="AU133" i="3"/>
  <c r="H135" i="3"/>
  <c r="H137" i="3"/>
  <c r="AQ145" i="3"/>
  <c r="AU145" i="3"/>
  <c r="AR147" i="3"/>
  <c r="AU147" i="3"/>
  <c r="AR150" i="3"/>
  <c r="AU150" i="3"/>
  <c r="AR152" i="3"/>
  <c r="AU152" i="3"/>
  <c r="AR154" i="3"/>
  <c r="AU154" i="3"/>
  <c r="AR17" i="3"/>
  <c r="AU17" i="3"/>
  <c r="AQ42" i="3"/>
  <c r="AU42" i="3"/>
  <c r="AR80" i="3"/>
  <c r="AU80" i="3"/>
  <c r="AR92" i="3"/>
  <c r="AU92" i="3"/>
  <c r="AQ99" i="3"/>
  <c r="AU99" i="3"/>
  <c r="AR115" i="3"/>
  <c r="AU115" i="3"/>
  <c r="AR117" i="3"/>
  <c r="AU117" i="3"/>
  <c r="AR129" i="3"/>
  <c r="AU129" i="3"/>
  <c r="AQ137" i="3"/>
  <c r="AQ143" i="3"/>
  <c r="AU143" i="3"/>
  <c r="AQ28" i="3"/>
  <c r="AU28" i="3"/>
  <c r="AR35" i="3"/>
  <c r="AU35" i="3"/>
  <c r="AR22" i="3"/>
  <c r="AU22" i="3"/>
  <c r="AR39" i="3"/>
  <c r="AU39" i="3"/>
  <c r="AR4" i="3"/>
  <c r="AU4" i="3"/>
  <c r="AR6" i="3"/>
  <c r="AU6" i="3"/>
  <c r="A9" i="3"/>
  <c r="AH9" i="3" s="1"/>
  <c r="AR10" i="3"/>
  <c r="AU10" i="3"/>
  <c r="AR12" i="3"/>
  <c r="AU12" i="3"/>
  <c r="AQ33" i="3"/>
  <c r="AR37" i="3"/>
  <c r="AU37" i="3"/>
  <c r="I44" i="3"/>
  <c r="AQ48" i="3"/>
  <c r="AU48" i="3"/>
  <c r="F50" i="3"/>
  <c r="AR57" i="3"/>
  <c r="AU57" i="3"/>
  <c r="AR72" i="3"/>
  <c r="AU72" i="3"/>
  <c r="AQ74" i="3"/>
  <c r="AU74" i="3"/>
  <c r="H82" i="3"/>
  <c r="AQ86" i="3"/>
  <c r="A96" i="3"/>
  <c r="AK96" i="3" s="1"/>
  <c r="AQ103" i="3"/>
  <c r="F105" i="3"/>
  <c r="AR107" i="3"/>
  <c r="AU107" i="3"/>
  <c r="H110" i="3"/>
  <c r="AQ111" i="3"/>
  <c r="F113" i="3"/>
  <c r="A119" i="3"/>
  <c r="AI119" i="3" s="1"/>
  <c r="A121" i="3"/>
  <c r="AI121" i="3" s="1"/>
  <c r="F131" i="3"/>
  <c r="H133" i="3"/>
  <c r="AR136" i="3"/>
  <c r="AU136" i="3"/>
  <c r="AR138" i="3"/>
  <c r="AU138" i="3"/>
  <c r="F145" i="3"/>
  <c r="I147" i="3"/>
  <c r="F152" i="3"/>
  <c r="AQ156" i="3"/>
  <c r="AR159" i="3"/>
  <c r="AR7" i="3"/>
  <c r="AU7" i="3"/>
  <c r="A66" i="3"/>
  <c r="AB66" i="3" s="1"/>
  <c r="AU66" i="3"/>
  <c r="AR19" i="3"/>
  <c r="AU19" i="3"/>
  <c r="AR27" i="3"/>
  <c r="AU27" i="3"/>
  <c r="AR9" i="3"/>
  <c r="AU9" i="3"/>
  <c r="AQ13" i="3"/>
  <c r="AR16" i="3"/>
  <c r="AU16" i="3"/>
  <c r="AR23" i="3"/>
  <c r="AU23" i="3"/>
  <c r="AQ34" i="3"/>
  <c r="AU34" i="3"/>
  <c r="A40" i="3"/>
  <c r="AD40" i="3" s="1"/>
  <c r="AU40" i="3"/>
  <c r="I42" i="3"/>
  <c r="AQ45" i="3"/>
  <c r="AU45" i="3"/>
  <c r="AQ60" i="3"/>
  <c r="AU60" i="3"/>
  <c r="A63" i="3"/>
  <c r="L63" i="3" s="1"/>
  <c r="AU63" i="3"/>
  <c r="I64" i="3"/>
  <c r="AR67" i="3"/>
  <c r="AU67" i="3"/>
  <c r="AR81" i="3"/>
  <c r="AU81" i="3"/>
  <c r="AQ82" i="3"/>
  <c r="AR96" i="3"/>
  <c r="AU96" i="3"/>
  <c r="A98" i="3"/>
  <c r="AD98" i="3" s="1"/>
  <c r="C107" i="3"/>
  <c r="AR109" i="3"/>
  <c r="AU109" i="3"/>
  <c r="A111" i="3"/>
  <c r="AI111" i="3" s="1"/>
  <c r="AR112" i="3"/>
  <c r="AU112" i="3"/>
  <c r="H113" i="3"/>
  <c r="AR119" i="3"/>
  <c r="AU119" i="3"/>
  <c r="AR121" i="3"/>
  <c r="AU121" i="3"/>
  <c r="AR123" i="3"/>
  <c r="AU123" i="3"/>
  <c r="A127" i="3"/>
  <c r="AD127" i="3" s="1"/>
  <c r="H131" i="3"/>
  <c r="AR134" i="3"/>
  <c r="AU134" i="3"/>
  <c r="AQ141" i="3"/>
  <c r="AU141" i="3"/>
  <c r="AR148" i="3"/>
  <c r="AU148" i="3"/>
  <c r="C151" i="3"/>
  <c r="AR155" i="3"/>
  <c r="AU155" i="3"/>
  <c r="AQ157" i="3"/>
  <c r="AU157" i="3"/>
  <c r="I7" i="3"/>
  <c r="A11" i="3"/>
  <c r="AH11" i="3" s="1"/>
  <c r="A15" i="3"/>
  <c r="AI15" i="3" s="1"/>
  <c r="AQ15" i="3"/>
  <c r="F17" i="3"/>
  <c r="C19" i="3"/>
  <c r="D20" i="3"/>
  <c r="I21" i="3"/>
  <c r="D24" i="3"/>
  <c r="A27" i="3"/>
  <c r="M27" i="3" s="1"/>
  <c r="I28" i="3"/>
  <c r="F29" i="3"/>
  <c r="C31" i="3"/>
  <c r="C33" i="3"/>
  <c r="AQ36" i="3"/>
  <c r="AQ37" i="3"/>
  <c r="H39" i="3"/>
  <c r="D41" i="3"/>
  <c r="AR42" i="3"/>
  <c r="AR43" i="3"/>
  <c r="A48" i="3"/>
  <c r="S48" i="3" s="1"/>
  <c r="F49" i="3"/>
  <c r="AQ50" i="3"/>
  <c r="A53" i="3"/>
  <c r="W53" i="3" s="1"/>
  <c r="AR56" i="3"/>
  <c r="C61" i="3"/>
  <c r="C66" i="3"/>
  <c r="D67" i="3"/>
  <c r="AQ68" i="3"/>
  <c r="C70" i="3"/>
  <c r="F71" i="3"/>
  <c r="D74" i="3"/>
  <c r="D78" i="3"/>
  <c r="F80" i="3"/>
  <c r="F84" i="3"/>
  <c r="AF90" i="3"/>
  <c r="C92" i="3"/>
  <c r="D93" i="3"/>
  <c r="I94" i="3"/>
  <c r="D96" i="3"/>
  <c r="A97" i="3"/>
  <c r="R97" i="3" s="1"/>
  <c r="F101" i="3"/>
  <c r="C102" i="3"/>
  <c r="AG105" i="3"/>
  <c r="D107" i="3"/>
  <c r="D113" i="3"/>
  <c r="D114" i="3"/>
  <c r="D117" i="3"/>
  <c r="D118" i="3"/>
  <c r="D126" i="3"/>
  <c r="H127" i="3"/>
  <c r="H128" i="3"/>
  <c r="I129" i="3"/>
  <c r="D131" i="3"/>
  <c r="I133" i="3"/>
  <c r="AQ150" i="3"/>
  <c r="I153" i="3"/>
  <c r="A157" i="3"/>
  <c r="AI157" i="3" s="1"/>
  <c r="AQ158" i="3"/>
  <c r="A7" i="3"/>
  <c r="S7" i="3" s="1"/>
  <c r="AQ7" i="3"/>
  <c r="H17" i="3"/>
  <c r="D19" i="3"/>
  <c r="A21" i="3"/>
  <c r="AI21" i="3" s="1"/>
  <c r="AQ21" i="3"/>
  <c r="C24" i="3"/>
  <c r="H29" i="3"/>
  <c r="D31" i="3"/>
  <c r="D32" i="3"/>
  <c r="AR36" i="3"/>
  <c r="A38" i="3"/>
  <c r="AH38" i="3" s="1"/>
  <c r="AQ39" i="3"/>
  <c r="A41" i="3"/>
  <c r="P41" i="3" s="1"/>
  <c r="A44" i="3"/>
  <c r="Q44" i="3" s="1"/>
  <c r="A46" i="3"/>
  <c r="AE46" i="3" s="1"/>
  <c r="AR49" i="3"/>
  <c r="A51" i="3"/>
  <c r="U51" i="3" s="1"/>
  <c r="C53" i="3"/>
  <c r="A55" i="3"/>
  <c r="AK55" i="3" s="1"/>
  <c r="AR59" i="3"/>
  <c r="D66" i="3"/>
  <c r="F67" i="3"/>
  <c r="D70" i="3"/>
  <c r="C75" i="3"/>
  <c r="A76" i="3"/>
  <c r="Z76" i="3" s="1"/>
  <c r="H80" i="3"/>
  <c r="AQ80" i="3"/>
  <c r="C82" i="3"/>
  <c r="H84" i="3"/>
  <c r="C86" i="3"/>
  <c r="F88" i="3"/>
  <c r="D92" i="3"/>
  <c r="A94" i="3"/>
  <c r="AH94" i="3" s="1"/>
  <c r="AQ94" i="3"/>
  <c r="D97" i="3"/>
  <c r="C98" i="3"/>
  <c r="H100" i="3"/>
  <c r="H101" i="3"/>
  <c r="H102" i="3"/>
  <c r="I103" i="3"/>
  <c r="C108" i="3"/>
  <c r="I109" i="3"/>
  <c r="I115" i="3"/>
  <c r="I119" i="3"/>
  <c r="C121" i="3"/>
  <c r="C122" i="3"/>
  <c r="F123" i="3"/>
  <c r="AQ124" i="3"/>
  <c r="I127" i="3"/>
  <c r="A129" i="3"/>
  <c r="AH129" i="3" s="1"/>
  <c r="AQ129" i="3"/>
  <c r="A133" i="3"/>
  <c r="AH133" i="3" s="1"/>
  <c r="AQ133" i="3"/>
  <c r="C137" i="3"/>
  <c r="A151" i="3"/>
  <c r="AA151" i="3" s="1"/>
  <c r="AR153" i="3"/>
  <c r="AQ155" i="3"/>
  <c r="D161" i="3"/>
  <c r="C166" i="3"/>
  <c r="I29" i="3"/>
  <c r="AQ41" i="3"/>
  <c r="C7" i="3"/>
  <c r="D8" i="3"/>
  <c r="D11" i="3"/>
  <c r="D15" i="3"/>
  <c r="A17" i="3"/>
  <c r="AI17" i="3" s="1"/>
  <c r="F19" i="3"/>
  <c r="C21" i="3"/>
  <c r="D22" i="3"/>
  <c r="H27" i="3"/>
  <c r="A29" i="3"/>
  <c r="AK29" i="3" s="1"/>
  <c r="F31" i="3"/>
  <c r="C37" i="3"/>
  <c r="D38" i="3"/>
  <c r="D40" i="3"/>
  <c r="C43" i="3"/>
  <c r="C51" i="3"/>
  <c r="F53" i="3"/>
  <c r="C55" i="3"/>
  <c r="AR58" i="3"/>
  <c r="C63" i="3"/>
  <c r="D64" i="3"/>
  <c r="F66" i="3"/>
  <c r="AQ67" i="3"/>
  <c r="D69" i="3"/>
  <c r="D73" i="3"/>
  <c r="F75" i="3"/>
  <c r="A80" i="3"/>
  <c r="P80" i="3" s="1"/>
  <c r="D81" i="3"/>
  <c r="A84" i="3"/>
  <c r="AL84" i="3" s="1"/>
  <c r="D90" i="3"/>
  <c r="F92" i="3"/>
  <c r="C94" i="3"/>
  <c r="F99" i="3"/>
  <c r="A101" i="3"/>
  <c r="M101" i="3" s="1"/>
  <c r="D105" i="3"/>
  <c r="D111" i="3"/>
  <c r="AQ127" i="3"/>
  <c r="C129" i="3"/>
  <c r="C133" i="3"/>
  <c r="D134" i="3"/>
  <c r="C149" i="3"/>
  <c r="D4" i="3"/>
  <c r="A5" i="3"/>
  <c r="O5" i="3" s="1"/>
  <c r="AQ5" i="3"/>
  <c r="D7" i="3"/>
  <c r="H19" i="3"/>
  <c r="D21" i="3"/>
  <c r="A23" i="3"/>
  <c r="M23" i="3" s="1"/>
  <c r="AQ24" i="3"/>
  <c r="D26" i="3"/>
  <c r="H31" i="3"/>
  <c r="AQ32" i="3"/>
  <c r="A34" i="3"/>
  <c r="AC34" i="3" s="1"/>
  <c r="D37" i="3"/>
  <c r="H38" i="3"/>
  <c r="D42" i="3"/>
  <c r="F43" i="3"/>
  <c r="F51" i="3"/>
  <c r="AR55" i="3"/>
  <c r="A58" i="3"/>
  <c r="N58" i="3" s="1"/>
  <c r="D62" i="3"/>
  <c r="D63" i="3"/>
  <c r="P65" i="3"/>
  <c r="I66" i="3"/>
  <c r="F69" i="3"/>
  <c r="D72" i="3"/>
  <c r="H73" i="3"/>
  <c r="I75" i="3"/>
  <c r="F82" i="3"/>
  <c r="F86" i="3"/>
  <c r="A88" i="3"/>
  <c r="AG88" i="3" s="1"/>
  <c r="AQ88" i="3"/>
  <c r="H92" i="3"/>
  <c r="D94" i="3"/>
  <c r="F98" i="3"/>
  <c r="C116" i="3"/>
  <c r="C120" i="3"/>
  <c r="F121" i="3"/>
  <c r="A123" i="3"/>
  <c r="AI123" i="3" s="1"/>
  <c r="AQ123" i="3"/>
  <c r="A125" i="3"/>
  <c r="AE125" i="3" s="1"/>
  <c r="D129" i="3"/>
  <c r="D133" i="3"/>
  <c r="A135" i="3"/>
  <c r="AI135" i="3" s="1"/>
  <c r="AQ135" i="3"/>
  <c r="F137" i="3"/>
  <c r="C139" i="3"/>
  <c r="C145" i="3"/>
  <c r="H149" i="3"/>
  <c r="AR25" i="3"/>
  <c r="I80" i="3"/>
  <c r="I101" i="3"/>
  <c r="D18" i="3"/>
  <c r="C29" i="3"/>
  <c r="AR38" i="3"/>
  <c r="C59" i="3"/>
  <c r="AE65" i="3"/>
  <c r="A71" i="3"/>
  <c r="AG71" i="3" s="1"/>
  <c r="C80" i="3"/>
  <c r="C84" i="3"/>
  <c r="X96" i="3"/>
  <c r="C101" i="3"/>
  <c r="D103" i="3"/>
  <c r="D104" i="3"/>
  <c r="AI107" i="3"/>
  <c r="AC107" i="3"/>
  <c r="D109" i="3"/>
  <c r="D110" i="3"/>
  <c r="AA113" i="3"/>
  <c r="D115" i="3"/>
  <c r="D119" i="3"/>
  <c r="D120" i="3"/>
  <c r="D127" i="3"/>
  <c r="C128" i="3"/>
  <c r="C141" i="3"/>
  <c r="C147" i="3"/>
  <c r="I17" i="3"/>
  <c r="I84" i="3"/>
  <c r="C17" i="3"/>
  <c r="AR24" i="3"/>
  <c r="A28" i="3"/>
  <c r="AK28" i="3" s="1"/>
  <c r="D34" i="3"/>
  <c r="C47" i="3"/>
  <c r="C5" i="3"/>
  <c r="C6" i="3"/>
  <c r="A19" i="3"/>
  <c r="AH19" i="3" s="1"/>
  <c r="AQ19" i="3"/>
  <c r="C23" i="3"/>
  <c r="AQ23" i="3"/>
  <c r="A25" i="3"/>
  <c r="AD25" i="3" s="1"/>
  <c r="D28" i="3"/>
  <c r="A31" i="3"/>
  <c r="AK31" i="3" s="1"/>
  <c r="AQ31" i="3"/>
  <c r="H34" i="3"/>
  <c r="I43" i="3"/>
  <c r="AQ44" i="3"/>
  <c r="AQ53" i="3"/>
  <c r="H63" i="3"/>
  <c r="AQ64" i="3"/>
  <c r="AR65" i="3"/>
  <c r="AQ66" i="3"/>
  <c r="I69" i="3"/>
  <c r="I72" i="3"/>
  <c r="A74" i="3"/>
  <c r="W74" i="3" s="1"/>
  <c r="A92" i="3"/>
  <c r="AK92" i="3" s="1"/>
  <c r="AQ92" i="3"/>
  <c r="AD107" i="3"/>
  <c r="C124" i="3"/>
  <c r="D136" i="3"/>
  <c r="AR143" i="3"/>
  <c r="F147" i="3"/>
  <c r="AQ154" i="3"/>
  <c r="AA115" i="3"/>
  <c r="Q107" i="3"/>
  <c r="S107" i="3"/>
  <c r="AF33" i="3"/>
  <c r="AJ60" i="3"/>
  <c r="Y60" i="3"/>
  <c r="G60" i="3"/>
  <c r="AD33" i="3"/>
  <c r="U82" i="3"/>
  <c r="Y103" i="3"/>
  <c r="N107" i="3"/>
  <c r="Z107" i="3"/>
  <c r="AL107" i="3"/>
  <c r="G113" i="3"/>
  <c r="R115" i="3"/>
  <c r="R121" i="3"/>
  <c r="AC121" i="3"/>
  <c r="AJ166" i="3"/>
  <c r="AF166" i="3"/>
  <c r="AB166" i="3"/>
  <c r="X166" i="3"/>
  <c r="T166" i="3"/>
  <c r="P166" i="3"/>
  <c r="L166" i="3"/>
  <c r="Q103" i="3"/>
  <c r="AC103" i="3"/>
  <c r="U121" i="3"/>
  <c r="AG121" i="3"/>
  <c r="AI166" i="3"/>
  <c r="AE166" i="3"/>
  <c r="AA166" i="3"/>
  <c r="W166" i="3"/>
  <c r="S166" i="3"/>
  <c r="O166" i="3"/>
  <c r="U103" i="3"/>
  <c r="AG103" i="3"/>
  <c r="M121" i="3"/>
  <c r="Y121" i="3"/>
  <c r="AH121" i="3"/>
  <c r="AL166" i="3"/>
  <c r="AH166" i="3"/>
  <c r="AD166" i="3"/>
  <c r="Z166" i="3"/>
  <c r="V166" i="3"/>
  <c r="R166" i="3"/>
  <c r="N166" i="3"/>
  <c r="X103" i="3"/>
  <c r="Y107" i="3"/>
  <c r="G121" i="3"/>
  <c r="Q121" i="3"/>
  <c r="Z121" i="3"/>
  <c r="AK121" i="3"/>
  <c r="AK166" i="3"/>
  <c r="AG166" i="3"/>
  <c r="AC166" i="3"/>
  <c r="Y166" i="3"/>
  <c r="U166" i="3"/>
  <c r="Q166" i="3"/>
  <c r="D14" i="3"/>
  <c r="C14" i="3"/>
  <c r="I14" i="3"/>
  <c r="H14" i="3"/>
  <c r="F14" i="3"/>
  <c r="AQ26" i="3"/>
  <c r="A26" i="3"/>
  <c r="AR26" i="3"/>
  <c r="AJ27" i="3"/>
  <c r="A30" i="3"/>
  <c r="AG43" i="3"/>
  <c r="AL43" i="3"/>
  <c r="AC43" i="3"/>
  <c r="U43" i="3"/>
  <c r="M43" i="3"/>
  <c r="AK43" i="3"/>
  <c r="AB43" i="3"/>
  <c r="T43" i="3"/>
  <c r="L43" i="3"/>
  <c r="AH43" i="3"/>
  <c r="Y43" i="3"/>
  <c r="Q43" i="3"/>
  <c r="G43" i="3"/>
  <c r="X43" i="3"/>
  <c r="AJ43" i="3"/>
  <c r="W43" i="3"/>
  <c r="AI43" i="3"/>
  <c r="V43" i="3"/>
  <c r="AF43" i="3"/>
  <c r="S43" i="3"/>
  <c r="AD43" i="3"/>
  <c r="AE43" i="3"/>
  <c r="R43" i="3"/>
  <c r="P43" i="3"/>
  <c r="Z43" i="3"/>
  <c r="N43" i="3"/>
  <c r="AF32" i="3"/>
  <c r="Q32" i="3"/>
  <c r="C4" i="3"/>
  <c r="AH49" i="3"/>
  <c r="Z49" i="3"/>
  <c r="R49" i="3"/>
  <c r="AG49" i="3"/>
  <c r="Y49" i="3"/>
  <c r="Q49" i="3"/>
  <c r="G49" i="3"/>
  <c r="AL49" i="3"/>
  <c r="AD49" i="3"/>
  <c r="V49" i="3"/>
  <c r="N49" i="3"/>
  <c r="AE49" i="3"/>
  <c r="S49" i="3"/>
  <c r="AC49" i="3"/>
  <c r="P49" i="3"/>
  <c r="AK49" i="3"/>
  <c r="X49" i="3"/>
  <c r="L49" i="3"/>
  <c r="AB49" i="3"/>
  <c r="AA49" i="3"/>
  <c r="W49" i="3"/>
  <c r="U49" i="3"/>
  <c r="T49" i="3"/>
  <c r="AJ49" i="3"/>
  <c r="O49" i="3"/>
  <c r="AF49" i="3"/>
  <c r="A54" i="3"/>
  <c r="AQ54" i="3"/>
  <c r="F30" i="3"/>
  <c r="C30" i="3"/>
  <c r="I30" i="3"/>
  <c r="H30" i="3"/>
  <c r="D30" i="3"/>
  <c r="C10" i="3"/>
  <c r="I10" i="3"/>
  <c r="H10" i="3"/>
  <c r="F10" i="3"/>
  <c r="Y24" i="3"/>
  <c r="AE24" i="3"/>
  <c r="G24" i="3"/>
  <c r="H4" i="3"/>
  <c r="I4" i="3"/>
  <c r="F4" i="3"/>
  <c r="D12" i="3"/>
  <c r="C12" i="3"/>
  <c r="I12" i="3"/>
  <c r="H12" i="3"/>
  <c r="F12" i="3"/>
  <c r="I6" i="3"/>
  <c r="H6" i="3"/>
  <c r="F6" i="3"/>
  <c r="C8" i="3"/>
  <c r="I8" i="3"/>
  <c r="H8" i="3"/>
  <c r="F8" i="3"/>
  <c r="AK34" i="3"/>
  <c r="Z34" i="3"/>
  <c r="AG34" i="3"/>
  <c r="A35" i="3"/>
  <c r="I35" i="3"/>
  <c r="H35" i="3"/>
  <c r="F35" i="3"/>
  <c r="D35" i="3"/>
  <c r="C35" i="3"/>
  <c r="O43" i="3"/>
  <c r="AI49" i="3"/>
  <c r="AR54" i="3"/>
  <c r="H45" i="3"/>
  <c r="D45" i="3"/>
  <c r="F45" i="3"/>
  <c r="AR46" i="3"/>
  <c r="F16" i="3"/>
  <c r="F18" i="3"/>
  <c r="F20" i="3"/>
  <c r="F22" i="3"/>
  <c r="I25" i="3"/>
  <c r="I27" i="3"/>
  <c r="H33" i="3"/>
  <c r="A37" i="3"/>
  <c r="I38" i="3"/>
  <c r="F39" i="3"/>
  <c r="F40" i="3"/>
  <c r="C40" i="3"/>
  <c r="C41" i="3"/>
  <c r="F42" i="3"/>
  <c r="C42" i="3"/>
  <c r="I45" i="3"/>
  <c r="D46" i="3"/>
  <c r="C46" i="3"/>
  <c r="H46" i="3"/>
  <c r="F46" i="3"/>
  <c r="I49" i="3"/>
  <c r="AR53" i="3"/>
  <c r="H57" i="3"/>
  <c r="D57" i="3"/>
  <c r="I57" i="3"/>
  <c r="C57" i="3"/>
  <c r="X60" i="3"/>
  <c r="AR60" i="3"/>
  <c r="I34" i="3"/>
  <c r="D54" i="3"/>
  <c r="C54" i="3"/>
  <c r="H54" i="3"/>
  <c r="R55" i="3"/>
  <c r="AQ63" i="3"/>
  <c r="AR63" i="3"/>
  <c r="AR73" i="3"/>
  <c r="AQ73" i="3"/>
  <c r="A73" i="3"/>
  <c r="AN268" i="3"/>
  <c r="AN266" i="3"/>
  <c r="AN264" i="3"/>
  <c r="AN262" i="3"/>
  <c r="AN260" i="3"/>
  <c r="AN258" i="3"/>
  <c r="AN256" i="3"/>
  <c r="AN254" i="3"/>
  <c r="AN252" i="3"/>
  <c r="AN250" i="3"/>
  <c r="AN248" i="3"/>
  <c r="AN246" i="3"/>
  <c r="AN244" i="3"/>
  <c r="AN242" i="3"/>
  <c r="AN240" i="3"/>
  <c r="AN238" i="3"/>
  <c r="AN269" i="3"/>
  <c r="AN267" i="3"/>
  <c r="AN265" i="3"/>
  <c r="AN263" i="3"/>
  <c r="AN261" i="3"/>
  <c r="AN259" i="3"/>
  <c r="AN257" i="3"/>
  <c r="AN255" i="3"/>
  <c r="AN253" i="3"/>
  <c r="AN251" i="3"/>
  <c r="AN249" i="3"/>
  <c r="AN247" i="3"/>
  <c r="AN245" i="3"/>
  <c r="AN243" i="3"/>
  <c r="AN241" i="3"/>
  <c r="AN239" i="3"/>
  <c r="AN237" i="3"/>
  <c r="AN235" i="3"/>
  <c r="AN233" i="3"/>
  <c r="AP252" i="3"/>
  <c r="AP236" i="3"/>
  <c r="AP258" i="3"/>
  <c r="AP242" i="3"/>
  <c r="AN236" i="3"/>
  <c r="AN216" i="3"/>
  <c r="AN212" i="3"/>
  <c r="AN210" i="3"/>
  <c r="AN208" i="3"/>
  <c r="AN206" i="3"/>
  <c r="AN204" i="3"/>
  <c r="AN202" i="3"/>
  <c r="AN200" i="3"/>
  <c r="AN198" i="3"/>
  <c r="AN196" i="3"/>
  <c r="AN194" i="3"/>
  <c r="AN192" i="3"/>
  <c r="AN190" i="3"/>
  <c r="AN188" i="3"/>
  <c r="AN186" i="3"/>
  <c r="AP264" i="3"/>
  <c r="AP248" i="3"/>
  <c r="AP254" i="3"/>
  <c r="AP238" i="3"/>
  <c r="AN214" i="3"/>
  <c r="AP260" i="3"/>
  <c r="AP244" i="3"/>
  <c r="AP262" i="3"/>
  <c r="AP246" i="3"/>
  <c r="AN234" i="3"/>
  <c r="AN218" i="3"/>
  <c r="AN232" i="3"/>
  <c r="AN227" i="3"/>
  <c r="AP222" i="3"/>
  <c r="AP214" i="3"/>
  <c r="AN184" i="3"/>
  <c r="AN183" i="3"/>
  <c r="AO182" i="3"/>
  <c r="AO169" i="3"/>
  <c r="AO167" i="3"/>
  <c r="AP228" i="3"/>
  <c r="AN222" i="3"/>
  <c r="AN215" i="3"/>
  <c r="AP240" i="3"/>
  <c r="AN228" i="3"/>
  <c r="AN223" i="3"/>
  <c r="AN180" i="3"/>
  <c r="AN179" i="3"/>
  <c r="AP234" i="3"/>
  <c r="AN229" i="3"/>
  <c r="AP224" i="3"/>
  <c r="AN217" i="3"/>
  <c r="AN178" i="3"/>
  <c r="AN177" i="3"/>
  <c r="AP256" i="3"/>
  <c r="AP230" i="3"/>
  <c r="AN224" i="3"/>
  <c r="AP219" i="3"/>
  <c r="AP250" i="3"/>
  <c r="AP266" i="3"/>
  <c r="AP232" i="3"/>
  <c r="AN226" i="3"/>
  <c r="AN221" i="3"/>
  <c r="AN219" i="3"/>
  <c r="AN211" i="3"/>
  <c r="AO200" i="3"/>
  <c r="AN195" i="3"/>
  <c r="AP226" i="3"/>
  <c r="AP220" i="3"/>
  <c r="AO212" i="3"/>
  <c r="AO206" i="3"/>
  <c r="AN201" i="3"/>
  <c r="AO190" i="3"/>
  <c r="AN185" i="3"/>
  <c r="AN220" i="3"/>
  <c r="AN213" i="3"/>
  <c r="AN207" i="3"/>
  <c r="AO196" i="3"/>
  <c r="AN191" i="3"/>
  <c r="AO180" i="3"/>
  <c r="AO170" i="3"/>
  <c r="AP169" i="3"/>
  <c r="AO202" i="3"/>
  <c r="AN197" i="3"/>
  <c r="AO186" i="3"/>
  <c r="AN181" i="3"/>
  <c r="AN173" i="3"/>
  <c r="AO172" i="3"/>
  <c r="AN170" i="3"/>
  <c r="AN169" i="3"/>
  <c r="AO168" i="3"/>
  <c r="AN230" i="3"/>
  <c r="AO208" i="3"/>
  <c r="AN203" i="3"/>
  <c r="AO192" i="3"/>
  <c r="AN187" i="3"/>
  <c r="AN182" i="3"/>
  <c r="AN172" i="3"/>
  <c r="AN171" i="3"/>
  <c r="AN168" i="3"/>
  <c r="AP167" i="3"/>
  <c r="AN209" i="3"/>
  <c r="AO198" i="3"/>
  <c r="AN193" i="3"/>
  <c r="AN176" i="3"/>
  <c r="AN175" i="3"/>
  <c r="AN174" i="3"/>
  <c r="AN167" i="3"/>
  <c r="AN225" i="3"/>
  <c r="AO210" i="3"/>
  <c r="AN205" i="3"/>
  <c r="AO194" i="3"/>
  <c r="AN189" i="3"/>
  <c r="AO204" i="3"/>
  <c r="AN231" i="3"/>
  <c r="AO188" i="3"/>
  <c r="AP218" i="3"/>
  <c r="AN199" i="3"/>
  <c r="H16" i="3"/>
  <c r="Y33" i="3"/>
  <c r="F36" i="3"/>
  <c r="C36" i="3"/>
  <c r="M38" i="3"/>
  <c r="I39" i="3"/>
  <c r="H47" i="3"/>
  <c r="D47" i="3"/>
  <c r="I47" i="3"/>
  <c r="A4" i="3"/>
  <c r="AQ4" i="3"/>
  <c r="A6" i="3"/>
  <c r="AQ6" i="3"/>
  <c r="A8" i="3"/>
  <c r="AQ8" i="3"/>
  <c r="A10" i="3"/>
  <c r="AQ10" i="3"/>
  <c r="A12" i="3"/>
  <c r="AQ12" i="3"/>
  <c r="A14" i="3"/>
  <c r="AQ14" i="3"/>
  <c r="A16" i="3"/>
  <c r="I16" i="3"/>
  <c r="AQ16" i="3"/>
  <c r="A18" i="3"/>
  <c r="I18" i="3"/>
  <c r="AQ18" i="3"/>
  <c r="AE19" i="3"/>
  <c r="A20" i="3"/>
  <c r="I20" i="3"/>
  <c r="AQ20" i="3"/>
  <c r="A22" i="3"/>
  <c r="I22" i="3"/>
  <c r="AQ22" i="3"/>
  <c r="C25" i="3"/>
  <c r="F26" i="3"/>
  <c r="C26" i="3"/>
  <c r="C27" i="3"/>
  <c r="AR34" i="3"/>
  <c r="A39" i="3"/>
  <c r="AQ40" i="3"/>
  <c r="F41" i="3"/>
  <c r="D43" i="3"/>
  <c r="F47" i="3"/>
  <c r="AQ51" i="3"/>
  <c r="F54" i="3"/>
  <c r="A59" i="3"/>
  <c r="AE60" i="3"/>
  <c r="D61" i="3"/>
  <c r="I61" i="3"/>
  <c r="F61" i="3"/>
  <c r="H61" i="3"/>
  <c r="H62" i="3"/>
  <c r="C62" i="3"/>
  <c r="A62" i="3"/>
  <c r="F62" i="3"/>
  <c r="H18" i="3"/>
  <c r="H20" i="3"/>
  <c r="H22" i="3"/>
  <c r="I24" i="3"/>
  <c r="D25" i="3"/>
  <c r="D27" i="3"/>
  <c r="AQ30" i="3"/>
  <c r="F32" i="3"/>
  <c r="C32" i="3"/>
  <c r="H36" i="3"/>
  <c r="AR40" i="3"/>
  <c r="H41" i="3"/>
  <c r="D48" i="3"/>
  <c r="C48" i="3"/>
  <c r="H48" i="3"/>
  <c r="I48" i="3"/>
  <c r="A52" i="3"/>
  <c r="AQ52" i="3"/>
  <c r="I54" i="3"/>
  <c r="L60" i="3"/>
  <c r="AI60" i="3"/>
  <c r="C16" i="3"/>
  <c r="C18" i="3"/>
  <c r="G19" i="3"/>
  <c r="C20" i="3"/>
  <c r="C22" i="3"/>
  <c r="AR30" i="3"/>
  <c r="I36" i="3"/>
  <c r="F38" i="3"/>
  <c r="C38" i="3"/>
  <c r="C39" i="3"/>
  <c r="I41" i="3"/>
  <c r="A42" i="3"/>
  <c r="A45" i="3"/>
  <c r="AR45" i="3"/>
  <c r="H55" i="3"/>
  <c r="D55" i="3"/>
  <c r="I55" i="3"/>
  <c r="F55" i="3"/>
  <c r="P60" i="3"/>
  <c r="R21" i="3"/>
  <c r="F28" i="3"/>
  <c r="C28" i="3"/>
  <c r="C45" i="3"/>
  <c r="AQ46" i="3"/>
  <c r="H49" i="3"/>
  <c r="D49" i="3"/>
  <c r="C49" i="3"/>
  <c r="D52" i="3"/>
  <c r="C52" i="3"/>
  <c r="H52" i="3"/>
  <c r="F52" i="3"/>
  <c r="D56" i="3"/>
  <c r="C56" i="3"/>
  <c r="H56" i="3"/>
  <c r="I56" i="3"/>
  <c r="A57" i="3"/>
  <c r="AQ57" i="3"/>
  <c r="AL60" i="3"/>
  <c r="AD60" i="3"/>
  <c r="V60" i="3"/>
  <c r="N60" i="3"/>
  <c r="AK60" i="3"/>
  <c r="AC60" i="3"/>
  <c r="U60" i="3"/>
  <c r="M60" i="3"/>
  <c r="AH60" i="3"/>
  <c r="Z60" i="3"/>
  <c r="R60" i="3"/>
  <c r="AG60" i="3"/>
  <c r="T60" i="3"/>
  <c r="AF60" i="3"/>
  <c r="S60" i="3"/>
  <c r="AA60" i="3"/>
  <c r="O60" i="3"/>
  <c r="Q60" i="3"/>
  <c r="F34" i="3"/>
  <c r="C34" i="3"/>
  <c r="W60" i="3"/>
  <c r="D50" i="3"/>
  <c r="C50" i="3"/>
  <c r="H50" i="3"/>
  <c r="H59" i="3"/>
  <c r="D59" i="3"/>
  <c r="M65" i="3"/>
  <c r="H68" i="3"/>
  <c r="C68" i="3"/>
  <c r="D68" i="3"/>
  <c r="F68" i="3"/>
  <c r="AL65" i="3"/>
  <c r="AD65" i="3"/>
  <c r="V65" i="3"/>
  <c r="N65" i="3"/>
  <c r="AK65" i="3"/>
  <c r="AB65" i="3"/>
  <c r="S65" i="3"/>
  <c r="AJ65" i="3"/>
  <c r="AA65" i="3"/>
  <c r="R65" i="3"/>
  <c r="G65" i="3"/>
  <c r="AG65" i="3"/>
  <c r="X65" i="3"/>
  <c r="O65" i="3"/>
  <c r="Q65" i="3"/>
  <c r="AF65" i="3"/>
  <c r="AG78" i="3"/>
  <c r="W78" i="3"/>
  <c r="AB78" i="3"/>
  <c r="AI78" i="3"/>
  <c r="S78" i="3"/>
  <c r="AD78" i="3"/>
  <c r="U78" i="3"/>
  <c r="D44" i="3"/>
  <c r="C44" i="3"/>
  <c r="H44" i="3"/>
  <c r="A47" i="3"/>
  <c r="H53" i="3"/>
  <c r="D53" i="3"/>
  <c r="A56" i="3"/>
  <c r="D60" i="3"/>
  <c r="C60" i="3"/>
  <c r="H60" i="3"/>
  <c r="T65" i="3"/>
  <c r="AH65" i="3"/>
  <c r="R78" i="3"/>
  <c r="H51" i="3"/>
  <c r="D51" i="3"/>
  <c r="D58" i="3"/>
  <c r="C58" i="3"/>
  <c r="H58" i="3"/>
  <c r="A61" i="3"/>
  <c r="AR61" i="3"/>
  <c r="D65" i="3"/>
  <c r="H65" i="3"/>
  <c r="C65" i="3"/>
  <c r="U65" i="3"/>
  <c r="AI65" i="3"/>
  <c r="S66" i="3"/>
  <c r="AQ69" i="3"/>
  <c r="AR69" i="3"/>
  <c r="A69" i="3"/>
  <c r="AR70" i="3"/>
  <c r="A70" i="3"/>
  <c r="W65" i="3"/>
  <c r="Y65" i="3"/>
  <c r="AQ77" i="3"/>
  <c r="A77" i="3"/>
  <c r="AR77" i="3"/>
  <c r="L65" i="3"/>
  <c r="Z65" i="3"/>
  <c r="C77" i="3"/>
  <c r="I77" i="3"/>
  <c r="F77" i="3"/>
  <c r="H77" i="3"/>
  <c r="D77" i="3"/>
  <c r="AR66" i="3"/>
  <c r="H67" i="3"/>
  <c r="I71" i="3"/>
  <c r="C74" i="3"/>
  <c r="H74" i="3"/>
  <c r="I74" i="3"/>
  <c r="AR74" i="3"/>
  <c r="AQ81" i="3"/>
  <c r="A81" i="3"/>
  <c r="C85" i="3"/>
  <c r="I85" i="3"/>
  <c r="F85" i="3"/>
  <c r="D85" i="3"/>
  <c r="W88" i="3"/>
  <c r="Z88" i="3"/>
  <c r="A67" i="3"/>
  <c r="AR68" i="3"/>
  <c r="AQ83" i="3"/>
  <c r="A83" i="3"/>
  <c r="AR83" i="3"/>
  <c r="H85" i="3"/>
  <c r="F64" i="3"/>
  <c r="C67" i="3"/>
  <c r="H70" i="3"/>
  <c r="F70" i="3"/>
  <c r="A72" i="3"/>
  <c r="F73" i="3"/>
  <c r="D71" i="3"/>
  <c r="H71" i="3"/>
  <c r="AR76" i="3"/>
  <c r="AQ76" i="3"/>
  <c r="C72" i="3"/>
  <c r="H72" i="3"/>
  <c r="C76" i="3"/>
  <c r="H76" i="3"/>
  <c r="F76" i="3"/>
  <c r="D76" i="3"/>
  <c r="C83" i="3"/>
  <c r="I83" i="3"/>
  <c r="F83" i="3"/>
  <c r="D83" i="3"/>
  <c r="AQ91" i="3"/>
  <c r="A91" i="3"/>
  <c r="O86" i="3"/>
  <c r="AQ87" i="3"/>
  <c r="A87" i="3"/>
  <c r="C95" i="3"/>
  <c r="I95" i="3"/>
  <c r="F95" i="3"/>
  <c r="D95" i="3"/>
  <c r="C87" i="3"/>
  <c r="I87" i="3"/>
  <c r="F87" i="3"/>
  <c r="H87" i="3"/>
  <c r="AQ89" i="3"/>
  <c r="A89" i="3"/>
  <c r="AR89" i="3"/>
  <c r="H95" i="3"/>
  <c r="H75" i="3"/>
  <c r="C79" i="3"/>
  <c r="I79" i="3"/>
  <c r="F79" i="3"/>
  <c r="Q82" i="3"/>
  <c r="W82" i="3"/>
  <c r="L82" i="3"/>
  <c r="AF82" i="3"/>
  <c r="C89" i="3"/>
  <c r="I89" i="3"/>
  <c r="F89" i="3"/>
  <c r="H89" i="3"/>
  <c r="AQ93" i="3"/>
  <c r="A93" i="3"/>
  <c r="AR93" i="3"/>
  <c r="AQ79" i="3"/>
  <c r="A79" i="3"/>
  <c r="C91" i="3"/>
  <c r="I91" i="3"/>
  <c r="F91" i="3"/>
  <c r="AQ95" i="3"/>
  <c r="A95" i="3"/>
  <c r="AQ97" i="3"/>
  <c r="AQ102" i="3"/>
  <c r="A102" i="3"/>
  <c r="AR102" i="3"/>
  <c r="AE103" i="3"/>
  <c r="W103" i="3"/>
  <c r="O103" i="3"/>
  <c r="AJ103" i="3"/>
  <c r="AB103" i="3"/>
  <c r="T103" i="3"/>
  <c r="L103" i="3"/>
  <c r="AD103" i="3"/>
  <c r="S103" i="3"/>
  <c r="G103" i="3"/>
  <c r="AH103" i="3"/>
  <c r="V103" i="3"/>
  <c r="AF103" i="3"/>
  <c r="R103" i="3"/>
  <c r="AA103" i="3"/>
  <c r="P103" i="3"/>
  <c r="AL103" i="3"/>
  <c r="Z103" i="3"/>
  <c r="N103" i="3"/>
  <c r="M103" i="3"/>
  <c r="AK103" i="3"/>
  <c r="C93" i="3"/>
  <c r="I93" i="3"/>
  <c r="F93" i="3"/>
  <c r="X97" i="3"/>
  <c r="AR97" i="3"/>
  <c r="I108" i="3"/>
  <c r="F108" i="3"/>
  <c r="D108" i="3"/>
  <c r="H108" i="3"/>
  <c r="N98" i="3"/>
  <c r="AR99" i="3"/>
  <c r="A99" i="3"/>
  <c r="C81" i="3"/>
  <c r="I81" i="3"/>
  <c r="F81" i="3"/>
  <c r="AQ85" i="3"/>
  <c r="A85" i="3"/>
  <c r="H93" i="3"/>
  <c r="AG96" i="3"/>
  <c r="AB96" i="3"/>
  <c r="C97" i="3"/>
  <c r="I97" i="3"/>
  <c r="F97" i="3"/>
  <c r="C99" i="3"/>
  <c r="D99" i="3"/>
  <c r="H99" i="3"/>
  <c r="AQ104" i="3"/>
  <c r="A104" i="3"/>
  <c r="AR104" i="3"/>
  <c r="AB109" i="3"/>
  <c r="I106" i="3"/>
  <c r="F106" i="3"/>
  <c r="D106" i="3"/>
  <c r="H106" i="3"/>
  <c r="AF107" i="3"/>
  <c r="X107" i="3"/>
  <c r="P107" i="3"/>
  <c r="AE107" i="3"/>
  <c r="W107" i="3"/>
  <c r="O107" i="3"/>
  <c r="AJ107" i="3"/>
  <c r="AB107" i="3"/>
  <c r="T107" i="3"/>
  <c r="L107" i="3"/>
  <c r="AH107" i="3"/>
  <c r="U107" i="3"/>
  <c r="G107" i="3"/>
  <c r="M107" i="3"/>
  <c r="AA107" i="3"/>
  <c r="I112" i="3"/>
  <c r="F112" i="3"/>
  <c r="C112" i="3"/>
  <c r="AC115" i="3"/>
  <c r="I116" i="3"/>
  <c r="H116" i="3"/>
  <c r="F116" i="3"/>
  <c r="D116" i="3"/>
  <c r="AF115" i="3"/>
  <c r="X115" i="3"/>
  <c r="P115" i="3"/>
  <c r="AE115" i="3"/>
  <c r="W115" i="3"/>
  <c r="O115" i="3"/>
  <c r="AL115" i="3"/>
  <c r="AD115" i="3"/>
  <c r="V115" i="3"/>
  <c r="N115" i="3"/>
  <c r="AJ115" i="3"/>
  <c r="AB115" i="3"/>
  <c r="T115" i="3"/>
  <c r="L115" i="3"/>
  <c r="Y115" i="3"/>
  <c r="G115" i="3"/>
  <c r="AI115" i="3"/>
  <c r="S115" i="3"/>
  <c r="M115" i="3"/>
  <c r="AH115" i="3"/>
  <c r="AQ106" i="3"/>
  <c r="A106" i="3"/>
  <c r="R107" i="3"/>
  <c r="AG107" i="3"/>
  <c r="I110" i="3"/>
  <c r="F110" i="3"/>
  <c r="Q115" i="3"/>
  <c r="AK115" i="3"/>
  <c r="AQ100" i="3"/>
  <c r="A100" i="3"/>
  <c r="I102" i="3"/>
  <c r="F102" i="3"/>
  <c r="V107" i="3"/>
  <c r="AK107" i="3"/>
  <c r="U115" i="3"/>
  <c r="X113" i="3"/>
  <c r="N113" i="3"/>
  <c r="Z115" i="3"/>
  <c r="I125" i="3"/>
  <c r="I100" i="3"/>
  <c r="F100" i="3"/>
  <c r="I104" i="3"/>
  <c r="F104" i="3"/>
  <c r="AF111" i="3"/>
  <c r="AE111" i="3"/>
  <c r="T111" i="3"/>
  <c r="AK111" i="3"/>
  <c r="I114" i="3"/>
  <c r="H114" i="3"/>
  <c r="F114" i="3"/>
  <c r="G257" i="3"/>
  <c r="G241" i="3"/>
  <c r="G263" i="3"/>
  <c r="G247" i="3"/>
  <c r="G245" i="3"/>
  <c r="G239" i="3"/>
  <c r="G255" i="3"/>
  <c r="G249" i="3"/>
  <c r="G219" i="3"/>
  <c r="AF164" i="3"/>
  <c r="R164" i="3"/>
  <c r="G265" i="3"/>
  <c r="AA164" i="3"/>
  <c r="P164" i="3"/>
  <c r="AD162" i="3"/>
  <c r="Q162" i="3"/>
  <c r="AH164" i="3"/>
  <c r="V164" i="3"/>
  <c r="G164" i="3"/>
  <c r="AI162" i="3"/>
  <c r="X162" i="3"/>
  <c r="AL160" i="3"/>
  <c r="N160" i="3"/>
  <c r="AI164" i="3"/>
  <c r="AL162" i="3"/>
  <c r="X164" i="3"/>
  <c r="AF156" i="3"/>
  <c r="AG152" i="3"/>
  <c r="Y162" i="3"/>
  <c r="AJ147" i="3"/>
  <c r="AA131" i="3"/>
  <c r="A139" i="3"/>
  <c r="AR139" i="3"/>
  <c r="W124" i="3"/>
  <c r="L124" i="3"/>
  <c r="S124" i="3"/>
  <c r="X124" i="3"/>
  <c r="AQ126" i="3"/>
  <c r="A126" i="3"/>
  <c r="AR126" i="3"/>
  <c r="C130" i="3"/>
  <c r="I130" i="3"/>
  <c r="F130" i="3"/>
  <c r="H130" i="3"/>
  <c r="D130" i="3"/>
  <c r="AQ139" i="3"/>
  <c r="C125" i="3"/>
  <c r="H125" i="3"/>
  <c r="F125" i="3"/>
  <c r="D125" i="3"/>
  <c r="F118" i="3"/>
  <c r="AJ119" i="3"/>
  <c r="F120" i="3"/>
  <c r="L121" i="3"/>
  <c r="T121" i="3"/>
  <c r="AB121" i="3"/>
  <c r="AJ121" i="3"/>
  <c r="F122" i="3"/>
  <c r="F124" i="3"/>
  <c r="I128" i="3"/>
  <c r="F128" i="3"/>
  <c r="AQ132" i="3"/>
  <c r="A132" i="3"/>
  <c r="H118" i="3"/>
  <c r="AD119" i="3"/>
  <c r="H120" i="3"/>
  <c r="N121" i="3"/>
  <c r="V121" i="3"/>
  <c r="AD121" i="3"/>
  <c r="AL121" i="3"/>
  <c r="H122" i="3"/>
  <c r="AL123" i="3"/>
  <c r="H124" i="3"/>
  <c r="C132" i="3"/>
  <c r="I132" i="3"/>
  <c r="H132" i="3"/>
  <c r="F132" i="3"/>
  <c r="Z133" i="3"/>
  <c r="C138" i="3"/>
  <c r="I138" i="3"/>
  <c r="H138" i="3"/>
  <c r="F138" i="3"/>
  <c r="D148" i="3"/>
  <c r="C148" i="3"/>
  <c r="H148" i="3"/>
  <c r="I148" i="3"/>
  <c r="F148" i="3"/>
  <c r="A108" i="3"/>
  <c r="AQ108" i="3"/>
  <c r="A110" i="3"/>
  <c r="AQ110" i="3"/>
  <c r="A112" i="3"/>
  <c r="AQ112" i="3"/>
  <c r="A114" i="3"/>
  <c r="AQ114" i="3"/>
  <c r="A116" i="3"/>
  <c r="AQ116" i="3"/>
  <c r="A118" i="3"/>
  <c r="AQ118" i="3"/>
  <c r="A120" i="3"/>
  <c r="AQ120" i="3"/>
  <c r="O121" i="3"/>
  <c r="W121" i="3"/>
  <c r="AE121" i="3"/>
  <c r="A122" i="3"/>
  <c r="AQ122" i="3"/>
  <c r="W123" i="3"/>
  <c r="AR146" i="3"/>
  <c r="A146" i="3"/>
  <c r="P121" i="3"/>
  <c r="X121" i="3"/>
  <c r="AF121" i="3"/>
  <c r="I126" i="3"/>
  <c r="F126" i="3"/>
  <c r="AR132" i="3"/>
  <c r="H150" i="3"/>
  <c r="C150" i="3"/>
  <c r="A150" i="3"/>
  <c r="I150" i="3"/>
  <c r="F150" i="3"/>
  <c r="D150" i="3"/>
  <c r="Y160" i="3"/>
  <c r="AQ128" i="3"/>
  <c r="A128" i="3"/>
  <c r="C134" i="3"/>
  <c r="I134" i="3"/>
  <c r="H134" i="3"/>
  <c r="F134" i="3"/>
  <c r="AK144" i="3"/>
  <c r="M144" i="3"/>
  <c r="L144" i="3"/>
  <c r="AI144" i="3"/>
  <c r="AF144" i="3"/>
  <c r="Q144" i="3"/>
  <c r="AR149" i="3"/>
  <c r="AQ149" i="3"/>
  <c r="A149" i="3"/>
  <c r="Q133" i="3"/>
  <c r="AE133" i="3"/>
  <c r="AL133" i="3"/>
  <c r="AB133" i="3"/>
  <c r="M133" i="3"/>
  <c r="C136" i="3"/>
  <c r="I136" i="3"/>
  <c r="H136" i="3"/>
  <c r="F136" i="3"/>
  <c r="AH153" i="3"/>
  <c r="Z153" i="3"/>
  <c r="R153" i="3"/>
  <c r="AG153" i="3"/>
  <c r="Y153" i="3"/>
  <c r="Q153" i="3"/>
  <c r="G153" i="3"/>
  <c r="AF153" i="3"/>
  <c r="X153" i="3"/>
  <c r="P153" i="3"/>
  <c r="AL153" i="3"/>
  <c r="AD153" i="3"/>
  <c r="V153" i="3"/>
  <c r="N153" i="3"/>
  <c r="AK153" i="3"/>
  <c r="AC153" i="3"/>
  <c r="U153" i="3"/>
  <c r="M153" i="3"/>
  <c r="S153" i="3"/>
  <c r="AJ153" i="3"/>
  <c r="O153" i="3"/>
  <c r="AE153" i="3"/>
  <c r="AB153" i="3"/>
  <c r="W153" i="3"/>
  <c r="T153" i="3"/>
  <c r="L153" i="3"/>
  <c r="AA153" i="3"/>
  <c r="S121" i="3"/>
  <c r="AA121" i="3"/>
  <c r="AQ130" i="3"/>
  <c r="A130" i="3"/>
  <c r="O131" i="3"/>
  <c r="AL131" i="3"/>
  <c r="L131" i="3"/>
  <c r="M131" i="3"/>
  <c r="AK133" i="3"/>
  <c r="H141" i="3"/>
  <c r="D141" i="3"/>
  <c r="I141" i="3"/>
  <c r="F141" i="3"/>
  <c r="H143" i="3"/>
  <c r="D143" i="3"/>
  <c r="H155" i="3"/>
  <c r="F155" i="3"/>
  <c r="D155" i="3"/>
  <c r="C155" i="3"/>
  <c r="I155" i="3"/>
  <c r="H139" i="3"/>
  <c r="D139" i="3"/>
  <c r="A142" i="3"/>
  <c r="I143" i="3"/>
  <c r="D146" i="3"/>
  <c r="C146" i="3"/>
  <c r="H146" i="3"/>
  <c r="M152" i="3"/>
  <c r="T152" i="3"/>
  <c r="G217" i="3"/>
  <c r="AB140" i="3"/>
  <c r="AQ142" i="3"/>
  <c r="D144" i="3"/>
  <c r="C144" i="3"/>
  <c r="H144" i="3"/>
  <c r="AB147" i="3"/>
  <c r="I139" i="3"/>
  <c r="AQ140" i="3"/>
  <c r="D142" i="3"/>
  <c r="C142" i="3"/>
  <c r="H142" i="3"/>
  <c r="F144" i="3"/>
  <c r="A145" i="3"/>
  <c r="AQ147" i="3"/>
  <c r="AP175" i="3"/>
  <c r="AO175" i="3"/>
  <c r="A134" i="3"/>
  <c r="AQ134" i="3"/>
  <c r="A136" i="3"/>
  <c r="AQ136" i="3"/>
  <c r="A138" i="3"/>
  <c r="AQ138" i="3"/>
  <c r="D140" i="3"/>
  <c r="C140" i="3"/>
  <c r="H140" i="3"/>
  <c r="F142" i="3"/>
  <c r="A143" i="3"/>
  <c r="I146" i="3"/>
  <c r="A141" i="3"/>
  <c r="I144" i="3"/>
  <c r="H147" i="3"/>
  <c r="D147" i="3"/>
  <c r="AQ148" i="3"/>
  <c r="C143" i="3"/>
  <c r="H145" i="3"/>
  <c r="D145" i="3"/>
  <c r="A148" i="3"/>
  <c r="D266" i="3"/>
  <c r="D250" i="3"/>
  <c r="D256" i="3"/>
  <c r="D240" i="3"/>
  <c r="D233" i="3"/>
  <c r="D262" i="3"/>
  <c r="D246" i="3"/>
  <c r="D268" i="3"/>
  <c r="D252" i="3"/>
  <c r="D258" i="3"/>
  <c r="D242" i="3"/>
  <c r="D236" i="3"/>
  <c r="D260" i="3"/>
  <c r="D244" i="3"/>
  <c r="D238" i="3"/>
  <c r="D219" i="3"/>
  <c r="D254" i="3"/>
  <c r="D212" i="3"/>
  <c r="D248" i="3"/>
  <c r="D213" i="3"/>
  <c r="D211" i="3"/>
  <c r="D209" i="3"/>
  <c r="D207" i="3"/>
  <c r="D205" i="3"/>
  <c r="D203" i="3"/>
  <c r="D201" i="3"/>
  <c r="D264" i="3"/>
  <c r="D234" i="3"/>
  <c r="D167" i="3"/>
  <c r="D164" i="3"/>
  <c r="D162" i="3"/>
  <c r="D216" i="3"/>
  <c r="D160" i="3"/>
  <c r="C163" i="3"/>
  <c r="H153" i="3"/>
  <c r="F153" i="3"/>
  <c r="D153" i="3"/>
  <c r="C153" i="3"/>
  <c r="A155" i="3"/>
  <c r="AO250" i="3"/>
  <c r="D154" i="3"/>
  <c r="C154" i="3"/>
  <c r="H154" i="3"/>
  <c r="AL156" i="3"/>
  <c r="AC156" i="3"/>
  <c r="AJ156" i="3"/>
  <c r="Z156" i="3"/>
  <c r="Y156" i="3"/>
  <c r="AL164" i="3"/>
  <c r="AP174" i="3"/>
  <c r="AO174" i="3"/>
  <c r="N157" i="3"/>
  <c r="D158" i="3"/>
  <c r="C158" i="3"/>
  <c r="I158" i="3"/>
  <c r="A158" i="3"/>
  <c r="H158" i="3"/>
  <c r="I161" i="3"/>
  <c r="F161" i="3"/>
  <c r="C161" i="3"/>
  <c r="H161" i="3"/>
  <c r="G166" i="3"/>
  <c r="AP177" i="3"/>
  <c r="AO177" i="3"/>
  <c r="H151" i="3"/>
  <c r="F151" i="3"/>
  <c r="D151" i="3"/>
  <c r="D152" i="3"/>
  <c r="C152" i="3"/>
  <c r="H152" i="3"/>
  <c r="I154" i="3"/>
  <c r="D156" i="3"/>
  <c r="C156" i="3"/>
  <c r="H156" i="3"/>
  <c r="AA156" i="3"/>
  <c r="F158" i="3"/>
  <c r="D163" i="3"/>
  <c r="C165" i="3"/>
  <c r="F149" i="3"/>
  <c r="D149" i="3"/>
  <c r="AE156" i="3"/>
  <c r="H157" i="3"/>
  <c r="F157" i="3"/>
  <c r="D157" i="3"/>
  <c r="C157" i="3"/>
  <c r="I159" i="3"/>
  <c r="F159" i="3"/>
  <c r="D159" i="3"/>
  <c r="C159" i="3"/>
  <c r="AE160" i="3"/>
  <c r="W160" i="3"/>
  <c r="O160" i="3"/>
  <c r="AK160" i="3"/>
  <c r="AC160" i="3"/>
  <c r="U160" i="3"/>
  <c r="M160" i="3"/>
  <c r="AJ160" i="3"/>
  <c r="AB160" i="3"/>
  <c r="T160" i="3"/>
  <c r="L160" i="3"/>
  <c r="AI160" i="3"/>
  <c r="X160" i="3"/>
  <c r="AH160" i="3"/>
  <c r="V160" i="3"/>
  <c r="G160" i="3"/>
  <c r="AG160" i="3"/>
  <c r="S160" i="3"/>
  <c r="AF160" i="3"/>
  <c r="R160" i="3"/>
  <c r="AD160" i="3"/>
  <c r="Q160" i="3"/>
  <c r="AA160" i="3"/>
  <c r="P160" i="3"/>
  <c r="Z160" i="3"/>
  <c r="D165" i="3"/>
  <c r="AP176" i="3"/>
  <c r="AO176" i="3"/>
  <c r="AQ165" i="3"/>
  <c r="AP183" i="3"/>
  <c r="AO183" i="3"/>
  <c r="AO218" i="3"/>
  <c r="AE162" i="3"/>
  <c r="W162" i="3"/>
  <c r="O162" i="3"/>
  <c r="AK162" i="3"/>
  <c r="AC162" i="3"/>
  <c r="U162" i="3"/>
  <c r="M162" i="3"/>
  <c r="AJ162" i="3"/>
  <c r="AB162" i="3"/>
  <c r="T162" i="3"/>
  <c r="L162" i="3"/>
  <c r="N162" i="3"/>
  <c r="Z162" i="3"/>
  <c r="I163" i="3"/>
  <c r="F163" i="3"/>
  <c r="Y164" i="3"/>
  <c r="AP168" i="3"/>
  <c r="AP171" i="3"/>
  <c r="AO171" i="3"/>
  <c r="AP172" i="3"/>
  <c r="G216" i="3"/>
  <c r="P162" i="3"/>
  <c r="AA162" i="3"/>
  <c r="H163" i="3"/>
  <c r="AE164" i="3"/>
  <c r="W164" i="3"/>
  <c r="O164" i="3"/>
  <c r="AK164" i="3"/>
  <c r="AC164" i="3"/>
  <c r="U164" i="3"/>
  <c r="M164" i="3"/>
  <c r="AJ164" i="3"/>
  <c r="AB164" i="3"/>
  <c r="T164" i="3"/>
  <c r="L164" i="3"/>
  <c r="N164" i="3"/>
  <c r="Z164" i="3"/>
  <c r="I165" i="3"/>
  <c r="F165" i="3"/>
  <c r="AP173" i="3"/>
  <c r="AO173" i="3"/>
  <c r="G223" i="3"/>
  <c r="G229" i="3"/>
  <c r="AO244" i="3"/>
  <c r="C160" i="3"/>
  <c r="AQ159" i="3"/>
  <c r="A159" i="3"/>
  <c r="C162" i="3"/>
  <c r="R162" i="3"/>
  <c r="AF162" i="3"/>
  <c r="Q164" i="3"/>
  <c r="AD164" i="3"/>
  <c r="G167" i="3"/>
  <c r="D259" i="3"/>
  <c r="G264" i="3"/>
  <c r="AQ161" i="3"/>
  <c r="S162" i="3"/>
  <c r="AG162" i="3"/>
  <c r="C164" i="3"/>
  <c r="F166" i="3"/>
  <c r="D166" i="3"/>
  <c r="AP184" i="3"/>
  <c r="G228" i="3"/>
  <c r="G237" i="3"/>
  <c r="AR161" i="3"/>
  <c r="G162" i="3"/>
  <c r="V162" i="3"/>
  <c r="AH162" i="3"/>
  <c r="AQ163" i="3"/>
  <c r="S164" i="3"/>
  <c r="AG164" i="3"/>
  <c r="AP178" i="3"/>
  <c r="AO178" i="3"/>
  <c r="AO184" i="3"/>
  <c r="F218" i="3"/>
  <c r="D218" i="3"/>
  <c r="AP225" i="3"/>
  <c r="AO225" i="3"/>
  <c r="G224" i="3"/>
  <c r="AP231" i="3"/>
  <c r="AO231" i="3"/>
  <c r="D235" i="3"/>
  <c r="F235" i="3"/>
  <c r="G259" i="3"/>
  <c r="D265" i="3"/>
  <c r="G243" i="3"/>
  <c r="D249" i="3"/>
  <c r="G261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D215" i="3"/>
  <c r="AP217" i="3"/>
  <c r="G222" i="3"/>
  <c r="F223" i="3"/>
  <c r="D223" i="3"/>
  <c r="AP229" i="3"/>
  <c r="AO229" i="3"/>
  <c r="G233" i="3"/>
  <c r="AP237" i="3"/>
  <c r="AO237" i="3"/>
  <c r="D243" i="3"/>
  <c r="G248" i="3"/>
  <c r="G258" i="3"/>
  <c r="G269" i="3"/>
  <c r="AP179" i="3"/>
  <c r="AO179" i="3"/>
  <c r="AP180" i="3"/>
  <c r="F214" i="3"/>
  <c r="D214" i="3"/>
  <c r="AO216" i="3"/>
  <c r="F222" i="3"/>
  <c r="D222" i="3"/>
  <c r="AP223" i="3"/>
  <c r="AO223" i="3"/>
  <c r="G227" i="3"/>
  <c r="G232" i="3"/>
  <c r="G236" i="3"/>
  <c r="AP261" i="3"/>
  <c r="AO261" i="3"/>
  <c r="D269" i="3"/>
  <c r="AP181" i="3"/>
  <c r="AO181" i="3"/>
  <c r="AP182" i="3"/>
  <c r="D202" i="3"/>
  <c r="D204" i="3"/>
  <c r="D206" i="3"/>
  <c r="D208" i="3"/>
  <c r="D210" i="3"/>
  <c r="AP216" i="3"/>
  <c r="G221" i="3"/>
  <c r="G226" i="3"/>
  <c r="AP233" i="3"/>
  <c r="AO233" i="3"/>
  <c r="G242" i="3"/>
  <c r="G251" i="3"/>
  <c r="AP255" i="3"/>
  <c r="AO255" i="3"/>
  <c r="G220" i="3"/>
  <c r="F221" i="3"/>
  <c r="D221" i="3"/>
  <c r="AP227" i="3"/>
  <c r="AO227" i="3"/>
  <c r="G231" i="3"/>
  <c r="AO236" i="3"/>
  <c r="AP245" i="3"/>
  <c r="AO245" i="3"/>
  <c r="AP170" i="3"/>
  <c r="AP185" i="3"/>
  <c r="AO185" i="3"/>
  <c r="AP186" i="3"/>
  <c r="AP187" i="3"/>
  <c r="AO187" i="3"/>
  <c r="AP188" i="3"/>
  <c r="AP189" i="3"/>
  <c r="AO189" i="3"/>
  <c r="AP190" i="3"/>
  <c r="AP191" i="3"/>
  <c r="AO191" i="3"/>
  <c r="AP192" i="3"/>
  <c r="AP193" i="3"/>
  <c r="AO193" i="3"/>
  <c r="AP194" i="3"/>
  <c r="AP195" i="3"/>
  <c r="AO195" i="3"/>
  <c r="AP196" i="3"/>
  <c r="AP197" i="3"/>
  <c r="AO197" i="3"/>
  <c r="AP198" i="3"/>
  <c r="AP199" i="3"/>
  <c r="AO199" i="3"/>
  <c r="AP200" i="3"/>
  <c r="AP201" i="3"/>
  <c r="AO201" i="3"/>
  <c r="AP202" i="3"/>
  <c r="AP203" i="3"/>
  <c r="AO203" i="3"/>
  <c r="AP204" i="3"/>
  <c r="AP205" i="3"/>
  <c r="AO205" i="3"/>
  <c r="AP206" i="3"/>
  <c r="AP207" i="3"/>
  <c r="AO207" i="3"/>
  <c r="AP208" i="3"/>
  <c r="AP209" i="3"/>
  <c r="AO209" i="3"/>
  <c r="AP210" i="3"/>
  <c r="AP211" i="3"/>
  <c r="AO211" i="3"/>
  <c r="AP212" i="3"/>
  <c r="AP213" i="3"/>
  <c r="AO213" i="3"/>
  <c r="F220" i="3"/>
  <c r="D220" i="3"/>
  <c r="AP221" i="3"/>
  <c r="AO221" i="3"/>
  <c r="G225" i="3"/>
  <c r="G230" i="3"/>
  <c r="AP239" i="3"/>
  <c r="AO239" i="3"/>
  <c r="G253" i="3"/>
  <c r="AO260" i="3"/>
  <c r="AO266" i="3"/>
  <c r="G215" i="3"/>
  <c r="AO219" i="3"/>
  <c r="AO220" i="3"/>
  <c r="AO222" i="3"/>
  <c r="AO224" i="3"/>
  <c r="AO226" i="3"/>
  <c r="AO228" i="3"/>
  <c r="AO230" i="3"/>
  <c r="AO232" i="3"/>
  <c r="G238" i="3"/>
  <c r="D239" i="3"/>
  <c r="AO240" i="3"/>
  <c r="AP251" i="3"/>
  <c r="AO251" i="3"/>
  <c r="G254" i="3"/>
  <c r="D255" i="3"/>
  <c r="AO256" i="3"/>
  <c r="AO214" i="3"/>
  <c r="D217" i="3"/>
  <c r="G218" i="3"/>
  <c r="D237" i="3"/>
  <c r="AO238" i="3"/>
  <c r="AP249" i="3"/>
  <c r="AO249" i="3"/>
  <c r="G252" i="3"/>
  <c r="D253" i="3"/>
  <c r="AO254" i="3"/>
  <c r="AP265" i="3"/>
  <c r="AO265" i="3"/>
  <c r="G268" i="3"/>
  <c r="AO215" i="3"/>
  <c r="G234" i="3"/>
  <c r="G235" i="3"/>
  <c r="AP243" i="3"/>
  <c r="AO243" i="3"/>
  <c r="G246" i="3"/>
  <c r="D247" i="3"/>
  <c r="AO248" i="3"/>
  <c r="AP259" i="3"/>
  <c r="AO259" i="3"/>
  <c r="G262" i="3"/>
  <c r="D263" i="3"/>
  <c r="AO264" i="3"/>
  <c r="G240" i="3"/>
  <c r="D241" i="3"/>
  <c r="AO242" i="3"/>
  <c r="AP253" i="3"/>
  <c r="AO253" i="3"/>
  <c r="G256" i="3"/>
  <c r="D257" i="3"/>
  <c r="AO258" i="3"/>
  <c r="AD267" i="3"/>
  <c r="AP215" i="3"/>
  <c r="AO217" i="3"/>
  <c r="D224" i="3"/>
  <c r="D225" i="3"/>
  <c r="D226" i="3"/>
  <c r="D227" i="3"/>
  <c r="D228" i="3"/>
  <c r="D229" i="3"/>
  <c r="D230" i="3"/>
  <c r="D231" i="3"/>
  <c r="D232" i="3"/>
  <c r="AP247" i="3"/>
  <c r="AO247" i="3"/>
  <c r="G250" i="3"/>
  <c r="D251" i="3"/>
  <c r="AO252" i="3"/>
  <c r="AP263" i="3"/>
  <c r="AO263" i="3"/>
  <c r="G266" i="3"/>
  <c r="D267" i="3"/>
  <c r="AO234" i="3"/>
  <c r="AP235" i="3"/>
  <c r="AO235" i="3"/>
  <c r="AP241" i="3"/>
  <c r="AO241" i="3"/>
  <c r="G244" i="3"/>
  <c r="D245" i="3"/>
  <c r="AO246" i="3"/>
  <c r="AP257" i="3"/>
  <c r="AO257" i="3"/>
  <c r="G260" i="3"/>
  <c r="D261" i="3"/>
  <c r="AO262" i="3"/>
  <c r="G267" i="3"/>
  <c r="F237" i="3"/>
  <c r="F239" i="3"/>
  <c r="F241" i="3"/>
  <c r="F243" i="3"/>
  <c r="F245" i="3"/>
  <c r="F247" i="3"/>
  <c r="F249" i="3"/>
  <c r="F251" i="3"/>
  <c r="F253" i="3"/>
  <c r="F255" i="3"/>
  <c r="F257" i="3"/>
  <c r="F259" i="3"/>
  <c r="F261" i="3"/>
  <c r="F263" i="3"/>
  <c r="F265" i="3"/>
  <c r="F267" i="3"/>
  <c r="F269" i="3"/>
  <c r="G157" i="3" l="1"/>
  <c r="V152" i="3"/>
  <c r="AB154" i="3"/>
  <c r="P152" i="3"/>
  <c r="O152" i="3"/>
  <c r="AE152" i="3"/>
  <c r="X152" i="3"/>
  <c r="X50" i="3"/>
  <c r="AF117" i="3"/>
  <c r="AB157" i="3"/>
  <c r="V157" i="3"/>
  <c r="Q157" i="3"/>
  <c r="AB117" i="3"/>
  <c r="O50" i="3"/>
  <c r="Z50" i="3"/>
  <c r="V23" i="3"/>
  <c r="U50" i="3"/>
  <c r="Y117" i="3"/>
  <c r="V117" i="3"/>
  <c r="AJ23" i="3"/>
  <c r="AD50" i="3"/>
  <c r="V41" i="3"/>
  <c r="G41" i="3"/>
  <c r="O23" i="3"/>
  <c r="AG117" i="3"/>
  <c r="W23" i="3"/>
  <c r="S147" i="3"/>
  <c r="Y154" i="3"/>
  <c r="AG147" i="3"/>
  <c r="AJ154" i="3"/>
  <c r="L140" i="3"/>
  <c r="AL109" i="3"/>
  <c r="AD154" i="3"/>
  <c r="M109" i="3"/>
  <c r="AI9" i="3"/>
  <c r="AL154" i="3"/>
  <c r="W147" i="3"/>
  <c r="T109" i="3"/>
  <c r="AG109" i="3"/>
  <c r="AE9" i="3"/>
  <c r="Q9" i="3"/>
  <c r="O147" i="3"/>
  <c r="AC140" i="3"/>
  <c r="AF109" i="3"/>
  <c r="Y9" i="3"/>
  <c r="Z109" i="3"/>
  <c r="AE147" i="3"/>
  <c r="Q154" i="3"/>
  <c r="Y147" i="3"/>
  <c r="AK140" i="3"/>
  <c r="AE154" i="3"/>
  <c r="G109" i="3"/>
  <c r="AD75" i="3"/>
  <c r="AG36" i="3"/>
  <c r="AA119" i="3"/>
  <c r="AE119" i="3"/>
  <c r="N119" i="3"/>
  <c r="T119" i="3"/>
  <c r="U113" i="3"/>
  <c r="AD113" i="3"/>
  <c r="AI113" i="3"/>
  <c r="O96" i="3"/>
  <c r="R33" i="3"/>
  <c r="AI33" i="3"/>
  <c r="L33" i="3"/>
  <c r="AE33" i="3"/>
  <c r="AA24" i="3"/>
  <c r="W24" i="3"/>
  <c r="Q24" i="3"/>
  <c r="M33" i="3"/>
  <c r="P96" i="3"/>
  <c r="W119" i="3"/>
  <c r="L119" i="3"/>
  <c r="AK113" i="3"/>
  <c r="AL113" i="3"/>
  <c r="Y113" i="3"/>
  <c r="R113" i="3"/>
  <c r="AL96" i="3"/>
  <c r="W96" i="3"/>
  <c r="AK33" i="3"/>
  <c r="X33" i="3"/>
  <c r="T33" i="3"/>
  <c r="U33" i="3"/>
  <c r="AJ24" i="3"/>
  <c r="AF24" i="3"/>
  <c r="Z24" i="3"/>
  <c r="AB24" i="3"/>
  <c r="AH119" i="3"/>
  <c r="S33" i="3"/>
  <c r="S119" i="3"/>
  <c r="AF119" i="3"/>
  <c r="O119" i="3"/>
  <c r="L113" i="3"/>
  <c r="O113" i="3"/>
  <c r="Z96" i="3"/>
  <c r="AE96" i="3"/>
  <c r="Z33" i="3"/>
  <c r="N33" i="3"/>
  <c r="AH33" i="3"/>
  <c r="AB33" i="3"/>
  <c r="AT33" i="3" s="1"/>
  <c r="AD24" i="3"/>
  <c r="O24" i="3"/>
  <c r="M24" i="3"/>
  <c r="Y119" i="3"/>
  <c r="X119" i="3"/>
  <c r="T113" i="3"/>
  <c r="W113" i="3"/>
  <c r="AH113" i="3"/>
  <c r="M96" i="3"/>
  <c r="G96" i="3"/>
  <c r="U96" i="3"/>
  <c r="AL33" i="3"/>
  <c r="O33" i="3"/>
  <c r="W33" i="3"/>
  <c r="AJ33" i="3"/>
  <c r="AJ55" i="3"/>
  <c r="T24" i="3"/>
  <c r="X24" i="3"/>
  <c r="U24" i="3"/>
  <c r="S24" i="3"/>
  <c r="S96" i="3"/>
  <c r="P119" i="3"/>
  <c r="AB113" i="3"/>
  <c r="AE113" i="3"/>
  <c r="Q113" i="3"/>
  <c r="L96" i="3"/>
  <c r="Q96" i="3"/>
  <c r="Q31" i="3"/>
  <c r="AA33" i="3"/>
  <c r="G33" i="3"/>
  <c r="N55" i="3"/>
  <c r="L24" i="3"/>
  <c r="AG24" i="3"/>
  <c r="AC24" i="3"/>
  <c r="M113" i="3"/>
  <c r="AG113" i="3"/>
  <c r="AF55" i="3"/>
  <c r="L38" i="3"/>
  <c r="W38" i="3"/>
  <c r="AL119" i="3"/>
  <c r="AJ113" i="3"/>
  <c r="P113" i="3"/>
  <c r="T96" i="3"/>
  <c r="Y96" i="3"/>
  <c r="AM96" i="3" s="1"/>
  <c r="L55" i="3"/>
  <c r="P33" i="3"/>
  <c r="Q33" i="3"/>
  <c r="AG55" i="3"/>
  <c r="AI24" i="3"/>
  <c r="V24" i="3"/>
  <c r="P24" i="3"/>
  <c r="AK24" i="3"/>
  <c r="S113" i="3"/>
  <c r="T38" i="3"/>
  <c r="N38" i="3"/>
  <c r="V119" i="3"/>
  <c r="AB119" i="3"/>
  <c r="AC113" i="3"/>
  <c r="V113" i="3"/>
  <c r="AF113" i="3"/>
  <c r="AJ96" i="3"/>
  <c r="AC33" i="3"/>
  <c r="AL38" i="3"/>
  <c r="U38" i="3"/>
  <c r="AG33" i="3"/>
  <c r="R24" i="3"/>
  <c r="N24" i="3"/>
  <c r="AH24" i="3"/>
  <c r="U119" i="3"/>
  <c r="AA96" i="3"/>
  <c r="AI96" i="3"/>
  <c r="AH96" i="3"/>
  <c r="T131" i="3"/>
  <c r="W131" i="3"/>
  <c r="AI98" i="3"/>
  <c r="Y86" i="3"/>
  <c r="AD38" i="3"/>
  <c r="AA38" i="3"/>
  <c r="AC38" i="3"/>
  <c r="T55" i="3"/>
  <c r="V55" i="3"/>
  <c r="Z55" i="3"/>
  <c r="L34" i="3"/>
  <c r="AJ34" i="3"/>
  <c r="P34" i="3"/>
  <c r="AD96" i="3"/>
  <c r="M119" i="3"/>
  <c r="X131" i="3"/>
  <c r="AB131" i="3"/>
  <c r="AE131" i="3"/>
  <c r="AI131" i="3"/>
  <c r="AB137" i="3"/>
  <c r="AF131" i="3"/>
  <c r="AC98" i="3"/>
  <c r="G66" i="3"/>
  <c r="AG66" i="3"/>
  <c r="M55" i="3"/>
  <c r="S38" i="3"/>
  <c r="AB55" i="3"/>
  <c r="Q38" i="3"/>
  <c r="AK38" i="3"/>
  <c r="P55" i="3"/>
  <c r="AD55" i="3"/>
  <c r="AH55" i="3"/>
  <c r="R34" i="3"/>
  <c r="W34" i="3"/>
  <c r="Q34" i="3"/>
  <c r="X34" i="3"/>
  <c r="AK119" i="3"/>
  <c r="V96" i="3"/>
  <c r="AC96" i="3"/>
  <c r="AJ131" i="3"/>
  <c r="G131" i="3"/>
  <c r="AK131" i="3"/>
  <c r="S131" i="3"/>
  <c r="U137" i="3"/>
  <c r="P131" i="3"/>
  <c r="AK98" i="3"/>
  <c r="V98" i="3"/>
  <c r="T66" i="3"/>
  <c r="G38" i="3"/>
  <c r="X55" i="3"/>
  <c r="AJ38" i="3"/>
  <c r="P38" i="3"/>
  <c r="AC55" i="3"/>
  <c r="AL55" i="3"/>
  <c r="AG38" i="3"/>
  <c r="AB34" i="3"/>
  <c r="AH34" i="3"/>
  <c r="AA34" i="3"/>
  <c r="AF34" i="3"/>
  <c r="Z119" i="3"/>
  <c r="N96" i="3"/>
  <c r="R96" i="3"/>
  <c r="N131" i="3"/>
  <c r="Q131" i="3"/>
  <c r="U131" i="3"/>
  <c r="AD137" i="3"/>
  <c r="AG98" i="3"/>
  <c r="L66" i="3"/>
  <c r="Z38" i="3"/>
  <c r="X38" i="3"/>
  <c r="U55" i="3"/>
  <c r="G55" i="3"/>
  <c r="V38" i="3"/>
  <c r="G34" i="3"/>
  <c r="N34" i="3"/>
  <c r="AL34" i="3"/>
  <c r="Q119" i="3"/>
  <c r="S55" i="3"/>
  <c r="AC119" i="3"/>
  <c r="AA86" i="3"/>
  <c r="V131" i="3"/>
  <c r="Y131" i="3"/>
  <c r="W137" i="3"/>
  <c r="AE66" i="3"/>
  <c r="AB38" i="3"/>
  <c r="O38" i="3"/>
  <c r="AI38" i="3"/>
  <c r="AF38" i="3"/>
  <c r="AI55" i="3"/>
  <c r="Q55" i="3"/>
  <c r="O55" i="3"/>
  <c r="S34" i="3"/>
  <c r="Y34" i="3"/>
  <c r="M34" i="3"/>
  <c r="G119" i="3"/>
  <c r="R119" i="3"/>
  <c r="AN119" i="3" s="1"/>
  <c r="X86" i="3"/>
  <c r="AC131" i="3"/>
  <c r="AD131" i="3"/>
  <c r="AG131" i="3"/>
  <c r="G137" i="3"/>
  <c r="P86" i="3"/>
  <c r="Q66" i="3"/>
  <c r="AH66" i="3"/>
  <c r="AE55" i="3"/>
  <c r="R38" i="3"/>
  <c r="AA55" i="3"/>
  <c r="Y38" i="3"/>
  <c r="W55" i="3"/>
  <c r="Y55" i="3"/>
  <c r="AD34" i="3"/>
  <c r="AI34" i="3"/>
  <c r="U34" i="3"/>
  <c r="AG119" i="3"/>
  <c r="AF96" i="3"/>
  <c r="AG137" i="3"/>
  <c r="Z131" i="3"/>
  <c r="V86" i="3"/>
  <c r="T86" i="3"/>
  <c r="V34" i="3"/>
  <c r="AS34" i="3" s="1"/>
  <c r="O34" i="3"/>
  <c r="S127" i="3"/>
  <c r="AI44" i="3"/>
  <c r="X27" i="3"/>
  <c r="AA111" i="3"/>
  <c r="V32" i="3"/>
  <c r="Y27" i="3"/>
  <c r="V124" i="3"/>
  <c r="S32" i="3"/>
  <c r="AI82" i="3"/>
  <c r="T44" i="3"/>
  <c r="Y32" i="3"/>
  <c r="L11" i="3"/>
  <c r="AK44" i="3"/>
  <c r="AE11" i="3"/>
  <c r="Q75" i="3"/>
  <c r="AG44" i="3"/>
  <c r="AB19" i="3"/>
  <c r="AA11" i="3"/>
  <c r="V11" i="3"/>
  <c r="O32" i="3"/>
  <c r="AE27" i="3"/>
  <c r="AD68" i="3"/>
  <c r="N44" i="3"/>
  <c r="X31" i="3"/>
  <c r="L9" i="3"/>
  <c r="AF11" i="3"/>
  <c r="AE32" i="3"/>
  <c r="AK27" i="3"/>
  <c r="P75" i="3"/>
  <c r="AI19" i="3"/>
  <c r="W9" i="3"/>
  <c r="Y11" i="3"/>
  <c r="AK32" i="3"/>
  <c r="U27" i="3"/>
  <c r="AD124" i="3"/>
  <c r="AG111" i="3"/>
  <c r="Q48" i="3"/>
  <c r="L36" i="3"/>
  <c r="M40" i="3"/>
  <c r="AC64" i="3"/>
  <c r="AJ13" i="3"/>
  <c r="P64" i="3"/>
  <c r="AF48" i="3"/>
  <c r="O13" i="3"/>
  <c r="AH75" i="3"/>
  <c r="Q64" i="3"/>
  <c r="S36" i="3"/>
  <c r="P13" i="3"/>
  <c r="X75" i="3"/>
  <c r="AH64" i="3"/>
  <c r="AI36" i="3"/>
  <c r="G13" i="3"/>
  <c r="AB75" i="3"/>
  <c r="X36" i="3"/>
  <c r="Z13" i="3"/>
  <c r="AS13" i="3" s="1"/>
  <c r="Z48" i="3"/>
  <c r="AD48" i="3"/>
  <c r="R40" i="3"/>
  <c r="AH40" i="3"/>
  <c r="M19" i="3"/>
  <c r="Q36" i="3"/>
  <c r="AC111" i="3"/>
  <c r="Y124" i="3"/>
  <c r="V111" i="3"/>
  <c r="AL127" i="3"/>
  <c r="U11" i="3"/>
  <c r="AL27" i="3"/>
  <c r="AB64" i="3"/>
  <c r="AI152" i="3"/>
  <c r="AF152" i="3"/>
  <c r="AB152" i="3"/>
  <c r="AD152" i="3"/>
  <c r="AA123" i="3"/>
  <c r="AE144" i="3"/>
  <c r="X144" i="3"/>
  <c r="U144" i="3"/>
  <c r="U124" i="3"/>
  <c r="AA124" i="3"/>
  <c r="AE124" i="3"/>
  <c r="Y111" i="3"/>
  <c r="P111" i="3"/>
  <c r="AH124" i="3"/>
  <c r="X82" i="3"/>
  <c r="AE82" i="3"/>
  <c r="M88" i="3"/>
  <c r="Q88" i="3"/>
  <c r="AF75" i="3"/>
  <c r="AK75" i="3"/>
  <c r="AL75" i="3"/>
  <c r="Z78" i="3"/>
  <c r="AK78" i="3"/>
  <c r="AJ78" i="3"/>
  <c r="Y64" i="3"/>
  <c r="Y36" i="3"/>
  <c r="AF36" i="3"/>
  <c r="Y31" i="3"/>
  <c r="L48" i="3"/>
  <c r="V36" i="3"/>
  <c r="G36" i="3"/>
  <c r="AE48" i="3"/>
  <c r="AH48" i="3"/>
  <c r="AL48" i="3"/>
  <c r="AL31" i="3"/>
  <c r="AJ36" i="3"/>
  <c r="N31" i="3"/>
  <c r="V13" i="3"/>
  <c r="X13" i="3"/>
  <c r="AH13" i="3"/>
  <c r="W41" i="3"/>
  <c r="AC13" i="3"/>
  <c r="O11" i="3"/>
  <c r="G11" i="3"/>
  <c r="AA32" i="3"/>
  <c r="AD32" i="3"/>
  <c r="P32" i="3"/>
  <c r="AB40" i="3"/>
  <c r="N40" i="3"/>
  <c r="U40" i="3"/>
  <c r="V27" i="3"/>
  <c r="P27" i="3"/>
  <c r="G27" i="3"/>
  <c r="G123" i="3"/>
  <c r="Q124" i="3"/>
  <c r="Z82" i="3"/>
  <c r="AC124" i="3"/>
  <c r="Z111" i="3"/>
  <c r="AC123" i="3"/>
  <c r="AL111" i="3"/>
  <c r="S64" i="3"/>
  <c r="AA152" i="3"/>
  <c r="W152" i="3"/>
  <c r="AJ152" i="3"/>
  <c r="AL152" i="3"/>
  <c r="S123" i="3"/>
  <c r="S144" i="3"/>
  <c r="AJ144" i="3"/>
  <c r="AC144" i="3"/>
  <c r="P124" i="3"/>
  <c r="AJ124" i="3"/>
  <c r="AF124" i="3"/>
  <c r="L111" i="3"/>
  <c r="X111" i="3"/>
  <c r="M124" i="3"/>
  <c r="AK82" i="3"/>
  <c r="G82" i="3"/>
  <c r="AI88" i="3"/>
  <c r="R88" i="3"/>
  <c r="S75" i="3"/>
  <c r="R75" i="3"/>
  <c r="G75" i="3"/>
  <c r="AC78" i="3"/>
  <c r="AT78" i="3" s="1"/>
  <c r="V78" i="3"/>
  <c r="O78" i="3"/>
  <c r="AI64" i="3"/>
  <c r="N36" i="3"/>
  <c r="AG31" i="3"/>
  <c r="G48" i="3"/>
  <c r="M48" i="3"/>
  <c r="Z36" i="3"/>
  <c r="AL13" i="3"/>
  <c r="AF13" i="3"/>
  <c r="AL41" i="3"/>
  <c r="M11" i="3"/>
  <c r="W11" i="3"/>
  <c r="Q11" i="3"/>
  <c r="AA13" i="3"/>
  <c r="AL32" i="3"/>
  <c r="T32" i="3"/>
  <c r="X32" i="3"/>
  <c r="T40" i="3"/>
  <c r="Y40" i="3"/>
  <c r="AC40" i="3"/>
  <c r="AF27" i="3"/>
  <c r="AA27" i="3"/>
  <c r="Q27" i="3"/>
  <c r="AH111" i="3"/>
  <c r="P82" i="3"/>
  <c r="G124" i="3"/>
  <c r="R111" i="3"/>
  <c r="AD111" i="3"/>
  <c r="AD82" i="3"/>
  <c r="O48" i="3"/>
  <c r="U13" i="3"/>
  <c r="AC75" i="3"/>
  <c r="U48" i="3"/>
  <c r="O36" i="3"/>
  <c r="AE40" i="3"/>
  <c r="AI40" i="3"/>
  <c r="AK40" i="3"/>
  <c r="R152" i="3"/>
  <c r="U152" i="3"/>
  <c r="T144" i="3"/>
  <c r="Y144" i="3"/>
  <c r="N144" i="3"/>
  <c r="N123" i="3"/>
  <c r="AG124" i="3"/>
  <c r="T124" i="3"/>
  <c r="Y152" i="3"/>
  <c r="N124" i="3"/>
  <c r="AB111" i="3"/>
  <c r="T82" i="3"/>
  <c r="Y82" i="3"/>
  <c r="P88" i="3"/>
  <c r="U75" i="3"/>
  <c r="T75" i="3"/>
  <c r="Y75" i="3"/>
  <c r="AH78" i="3"/>
  <c r="N78" i="3"/>
  <c r="AE78" i="3"/>
  <c r="N64" i="3"/>
  <c r="AA64" i="3"/>
  <c r="U36" i="3"/>
  <c r="AH31" i="3"/>
  <c r="T31" i="3"/>
  <c r="AA48" i="3"/>
  <c r="AI48" i="3"/>
  <c r="AC48" i="3"/>
  <c r="R36" i="3"/>
  <c r="M13" i="3"/>
  <c r="W13" i="3"/>
  <c r="Q13" i="3"/>
  <c r="AG41" i="3"/>
  <c r="T11" i="3"/>
  <c r="N11" i="3"/>
  <c r="AG11" i="3"/>
  <c r="L32" i="3"/>
  <c r="AJ32" i="3"/>
  <c r="AG32" i="3"/>
  <c r="V40" i="3"/>
  <c r="O40" i="3"/>
  <c r="P40" i="3"/>
  <c r="N27" i="3"/>
  <c r="R27" i="3"/>
  <c r="AG27" i="3"/>
  <c r="S13" i="3"/>
  <c r="U111" i="3"/>
  <c r="AA82" i="3"/>
  <c r="S111" i="3"/>
  <c r="Q111" i="3"/>
  <c r="S11" i="3"/>
  <c r="X64" i="3"/>
  <c r="T64" i="3"/>
  <c r="M36" i="3"/>
  <c r="L31" i="3"/>
  <c r="AA31" i="3"/>
  <c r="W48" i="3"/>
  <c r="AK64" i="3"/>
  <c r="AD64" i="3"/>
  <c r="Z152" i="3"/>
  <c r="AC152" i="3"/>
  <c r="AG144" i="3"/>
  <c r="R144" i="3"/>
  <c r="V144" i="3"/>
  <c r="R124" i="3"/>
  <c r="AB124" i="3"/>
  <c r="AJ111" i="3"/>
  <c r="AC82" i="3"/>
  <c r="AB82" i="3"/>
  <c r="AG82" i="3"/>
  <c r="AC88" i="3"/>
  <c r="AA75" i="3"/>
  <c r="AI75" i="3"/>
  <c r="AE75" i="3"/>
  <c r="AG75" i="3"/>
  <c r="X78" i="3"/>
  <c r="AA78" i="3"/>
  <c r="G78" i="3"/>
  <c r="M64" i="3"/>
  <c r="AJ64" i="3"/>
  <c r="AC36" i="3"/>
  <c r="W31" i="3"/>
  <c r="AB31" i="3"/>
  <c r="X48" i="3"/>
  <c r="AK48" i="3"/>
  <c r="L13" i="3"/>
  <c r="AE13" i="3"/>
  <c r="Y13" i="3"/>
  <c r="S40" i="3"/>
  <c r="O41" i="3"/>
  <c r="AJ41" i="3"/>
  <c r="AB11" i="3"/>
  <c r="AL11" i="3"/>
  <c r="R11" i="3"/>
  <c r="W32" i="3"/>
  <c r="R32" i="3"/>
  <c r="M32" i="3"/>
  <c r="AG40" i="3"/>
  <c r="Z40" i="3"/>
  <c r="X40" i="3"/>
  <c r="AI27" i="3"/>
  <c r="AC27" i="3"/>
  <c r="L27" i="3"/>
  <c r="N111" i="3"/>
  <c r="R82" i="3"/>
  <c r="M111" i="3"/>
  <c r="AH82" i="3"/>
  <c r="L64" i="3"/>
  <c r="AG64" i="3"/>
  <c r="G64" i="3"/>
  <c r="AB36" i="3"/>
  <c r="AH152" i="3"/>
  <c r="AK152" i="3"/>
  <c r="O144" i="3"/>
  <c r="G144" i="3"/>
  <c r="Z144" i="3"/>
  <c r="AD144" i="3"/>
  <c r="Z124" i="3"/>
  <c r="AK124" i="3"/>
  <c r="Q152" i="3"/>
  <c r="O111" i="3"/>
  <c r="M82" i="3"/>
  <c r="AJ82" i="3"/>
  <c r="L88" i="3"/>
  <c r="L75" i="3"/>
  <c r="W75" i="3"/>
  <c r="N75" i="3"/>
  <c r="M78" i="3"/>
  <c r="P78" i="3"/>
  <c r="L78" i="3"/>
  <c r="Q78" i="3"/>
  <c r="AN78" i="3" s="1"/>
  <c r="V64" i="3"/>
  <c r="R64" i="3"/>
  <c r="AK36" i="3"/>
  <c r="M31" i="3"/>
  <c r="AJ31" i="3"/>
  <c r="AB48" i="3"/>
  <c r="AE31" i="3"/>
  <c r="AE36" i="3"/>
  <c r="AD31" i="3"/>
  <c r="Y48" i="3"/>
  <c r="AC31" i="3"/>
  <c r="AJ48" i="3"/>
  <c r="N48" i="3"/>
  <c r="T13" i="3"/>
  <c r="N13" i="3"/>
  <c r="AG13" i="3"/>
  <c r="N32" i="3"/>
  <c r="AD41" i="3"/>
  <c r="AC41" i="3"/>
  <c r="AJ11" i="3"/>
  <c r="P11" i="3"/>
  <c r="Z11" i="3"/>
  <c r="AH32" i="3"/>
  <c r="AB32" i="3"/>
  <c r="U32" i="3"/>
  <c r="Q40" i="3"/>
  <c r="L40" i="3"/>
  <c r="AJ40" i="3"/>
  <c r="AF40" i="3"/>
  <c r="O27" i="3"/>
  <c r="S27" i="3"/>
  <c r="T27" i="3"/>
  <c r="G111" i="3"/>
  <c r="W64" i="3"/>
  <c r="V82" i="3"/>
  <c r="AA36" i="3"/>
  <c r="U64" i="3"/>
  <c r="AL36" i="3"/>
  <c r="V31" i="3"/>
  <c r="S152" i="3"/>
  <c r="L152" i="3"/>
  <c r="N152" i="3"/>
  <c r="AA144" i="3"/>
  <c r="W144" i="3"/>
  <c r="AH144" i="3"/>
  <c r="AL144" i="3"/>
  <c r="L123" i="3"/>
  <c r="AI124" i="3"/>
  <c r="O124" i="3"/>
  <c r="W111" i="3"/>
  <c r="S82" i="3"/>
  <c r="O82" i="3"/>
  <c r="O88" i="3"/>
  <c r="Z75" i="3"/>
  <c r="AJ75" i="3"/>
  <c r="V75" i="3"/>
  <c r="AL78" i="3"/>
  <c r="AF78" i="3"/>
  <c r="T78" i="3"/>
  <c r="AE64" i="3"/>
  <c r="Z64" i="3"/>
  <c r="P36" i="3"/>
  <c r="G31" i="3"/>
  <c r="W36" i="3"/>
  <c r="U31" i="3"/>
  <c r="T36" i="3"/>
  <c r="S31" i="3"/>
  <c r="AD36" i="3"/>
  <c r="R31" i="3"/>
  <c r="T48" i="3"/>
  <c r="R48" i="3"/>
  <c r="V48" i="3"/>
  <c r="P31" i="3"/>
  <c r="AI31" i="3"/>
  <c r="AB13" i="3"/>
  <c r="AD13" i="3"/>
  <c r="R13" i="3"/>
  <c r="AH27" i="3"/>
  <c r="AI13" i="3"/>
  <c r="AF41" i="3"/>
  <c r="G40" i="3"/>
  <c r="AD11" i="3"/>
  <c r="X11" i="3"/>
  <c r="Z32" i="3"/>
  <c r="G32" i="3"/>
  <c r="AC32" i="3"/>
  <c r="AL40" i="3"/>
  <c r="W40" i="3"/>
  <c r="AA40" i="3"/>
  <c r="Z27" i="3"/>
  <c r="AD27" i="3"/>
  <c r="AB27" i="3"/>
  <c r="O64" i="3"/>
  <c r="N82" i="3"/>
  <c r="AB144" i="3"/>
  <c r="W27" i="3"/>
  <c r="AL64" i="3"/>
  <c r="M75" i="3"/>
  <c r="AE50" i="3"/>
  <c r="X21" i="3"/>
  <c r="AA50" i="3"/>
  <c r="S50" i="3"/>
  <c r="AH50" i="3"/>
  <c r="AL50" i="3"/>
  <c r="R131" i="3"/>
  <c r="AE97" i="3"/>
  <c r="W21" i="3"/>
  <c r="AF50" i="3"/>
  <c r="M50" i="3"/>
  <c r="AF97" i="3"/>
  <c r="AI97" i="3"/>
  <c r="M97" i="3"/>
  <c r="V21" i="3"/>
  <c r="AD21" i="3"/>
  <c r="AB21" i="3"/>
  <c r="AJ50" i="3"/>
  <c r="AC50" i="3"/>
  <c r="AF66" i="3"/>
  <c r="AC97" i="3"/>
  <c r="AI50" i="3"/>
  <c r="AG21" i="3"/>
  <c r="AB50" i="3"/>
  <c r="T50" i="3"/>
  <c r="L50" i="3"/>
  <c r="AK50" i="3"/>
  <c r="Y97" i="3"/>
  <c r="AH97" i="3"/>
  <c r="Q50" i="3"/>
  <c r="AA21" i="3"/>
  <c r="P50" i="3"/>
  <c r="G21" i="3"/>
  <c r="G50" i="3"/>
  <c r="Y50" i="3"/>
  <c r="N50" i="3"/>
  <c r="Z117" i="3"/>
  <c r="G97" i="3"/>
  <c r="AG50" i="3"/>
  <c r="R50" i="3"/>
  <c r="V50" i="3"/>
  <c r="Z31" i="3"/>
  <c r="AF31" i="3"/>
  <c r="R125" i="3"/>
  <c r="AH105" i="3"/>
  <c r="AI68" i="3"/>
  <c r="Z127" i="3"/>
  <c r="T105" i="3"/>
  <c r="W68" i="3"/>
  <c r="AE38" i="3"/>
  <c r="AL151" i="3"/>
  <c r="AB127" i="3"/>
  <c r="O90" i="3"/>
  <c r="AJ46" i="3"/>
  <c r="Y63" i="3"/>
  <c r="P46" i="3"/>
  <c r="AH90" i="3"/>
  <c r="Z46" i="3"/>
  <c r="P105" i="3"/>
  <c r="AD46" i="3"/>
  <c r="N90" i="3"/>
  <c r="U63" i="3"/>
  <c r="Z63" i="3"/>
  <c r="AC105" i="3"/>
  <c r="AL90" i="3"/>
  <c r="AB46" i="3"/>
  <c r="X29" i="3"/>
  <c r="AK157" i="3"/>
  <c r="AF157" i="3"/>
  <c r="T147" i="3"/>
  <c r="AE151" i="3"/>
  <c r="G154" i="3"/>
  <c r="T154" i="3"/>
  <c r="V154" i="3"/>
  <c r="T157" i="3"/>
  <c r="Q147" i="3"/>
  <c r="U140" i="3"/>
  <c r="V151" i="3"/>
  <c r="AA140" i="3"/>
  <c r="T127" i="3"/>
  <c r="X147" i="3"/>
  <c r="AJ157" i="3"/>
  <c r="AA125" i="3"/>
  <c r="V105" i="3"/>
  <c r="L105" i="3"/>
  <c r="Y109" i="3"/>
  <c r="L109" i="3"/>
  <c r="X109" i="3"/>
  <c r="AA105" i="3"/>
  <c r="U105" i="3"/>
  <c r="AJ90" i="3"/>
  <c r="X68" i="3"/>
  <c r="N68" i="3"/>
  <c r="G44" i="3"/>
  <c r="S46" i="3"/>
  <c r="G15" i="3"/>
  <c r="AG29" i="3"/>
  <c r="AE23" i="3"/>
  <c r="AF44" i="3"/>
  <c r="AC44" i="3"/>
  <c r="AL23" i="3"/>
  <c r="Y46" i="3"/>
  <c r="R46" i="3"/>
  <c r="V46" i="3"/>
  <c r="O9" i="3"/>
  <c r="G9" i="3"/>
  <c r="S63" i="3"/>
  <c r="AK63" i="3"/>
  <c r="P63" i="3"/>
  <c r="AC9" i="3"/>
  <c r="U90" i="3"/>
  <c r="AJ127" i="3"/>
  <c r="O46" i="3"/>
  <c r="AD157" i="3"/>
  <c r="Y157" i="3"/>
  <c r="AI140" i="3"/>
  <c r="X154" i="3"/>
  <c r="AG154" i="3"/>
  <c r="M154" i="3"/>
  <c r="N147" i="3"/>
  <c r="R147" i="3"/>
  <c r="P140" i="3"/>
  <c r="N140" i="3"/>
  <c r="R151" i="3"/>
  <c r="O140" i="3"/>
  <c r="Y127" i="3"/>
  <c r="AH127" i="3"/>
  <c r="O127" i="3"/>
  <c r="AK147" i="3"/>
  <c r="Q151" i="3"/>
  <c r="N101" i="3"/>
  <c r="T125" i="3"/>
  <c r="AK105" i="3"/>
  <c r="Z105" i="3"/>
  <c r="AJ105" i="3"/>
  <c r="AA109" i="3"/>
  <c r="AJ109" i="3"/>
  <c r="G105" i="3"/>
  <c r="Z90" i="3"/>
  <c r="AE90" i="3"/>
  <c r="AC68" i="3"/>
  <c r="Y68" i="3"/>
  <c r="R68" i="3"/>
  <c r="AH23" i="3"/>
  <c r="Y44" i="3"/>
  <c r="AF23" i="3"/>
  <c r="N23" i="3"/>
  <c r="W44" i="3"/>
  <c r="AF46" i="3"/>
  <c r="R44" i="3"/>
  <c r="V44" i="3"/>
  <c r="L44" i="3"/>
  <c r="AB23" i="3"/>
  <c r="T46" i="3"/>
  <c r="M46" i="3"/>
  <c r="T9" i="3"/>
  <c r="N9" i="3"/>
  <c r="AG9" i="3"/>
  <c r="AA63" i="3"/>
  <c r="T63" i="3"/>
  <c r="N63" i="3"/>
  <c r="AA127" i="3"/>
  <c r="R90" i="3"/>
  <c r="S90" i="3"/>
  <c r="M15" i="3"/>
  <c r="AG151" i="3"/>
  <c r="G127" i="3"/>
  <c r="AK127" i="3"/>
  <c r="M105" i="3"/>
  <c r="AB105" i="3"/>
  <c r="S68" i="3"/>
  <c r="AF68" i="3"/>
  <c r="G63" i="3"/>
  <c r="AB63" i="3"/>
  <c r="AH63" i="3"/>
  <c r="AA157" i="3"/>
  <c r="W157" i="3"/>
  <c r="AL157" i="3"/>
  <c r="AG157" i="3"/>
  <c r="S157" i="3"/>
  <c r="W140" i="3"/>
  <c r="AA154" i="3"/>
  <c r="R154" i="3"/>
  <c r="U154" i="3"/>
  <c r="V147" i="3"/>
  <c r="Z147" i="3"/>
  <c r="R140" i="3"/>
  <c r="V140" i="3"/>
  <c r="W151" i="3"/>
  <c r="AH151" i="3"/>
  <c r="N127" i="3"/>
  <c r="X127" i="3"/>
  <c r="W127" i="3"/>
  <c r="S154" i="3"/>
  <c r="AB101" i="3"/>
  <c r="R105" i="3"/>
  <c r="AL105" i="3"/>
  <c r="O105" i="3"/>
  <c r="S109" i="3"/>
  <c r="N109" i="3"/>
  <c r="O109" i="3"/>
  <c r="X105" i="3"/>
  <c r="M90" i="3"/>
  <c r="G90" i="3"/>
  <c r="L68" i="3"/>
  <c r="AJ68" i="3"/>
  <c r="Z68" i="3"/>
  <c r="Q68" i="3"/>
  <c r="Z23" i="3"/>
  <c r="AG23" i="3"/>
  <c r="X23" i="3"/>
  <c r="L46" i="3"/>
  <c r="Z44" i="3"/>
  <c r="AD44" i="3"/>
  <c r="AA46" i="3"/>
  <c r="T23" i="3"/>
  <c r="AJ15" i="3"/>
  <c r="AG46" i="3"/>
  <c r="U46" i="3"/>
  <c r="M9" i="3"/>
  <c r="AB9" i="3"/>
  <c r="AD9" i="3"/>
  <c r="AJ63" i="3"/>
  <c r="AE63" i="3"/>
  <c r="AC63" i="3"/>
  <c r="V63" i="3"/>
  <c r="AA9" i="3"/>
  <c r="AK90" i="3"/>
  <c r="X125" i="3"/>
  <c r="O68" i="3"/>
  <c r="AH46" i="3"/>
  <c r="AA90" i="3"/>
  <c r="M157" i="3"/>
  <c r="AE157" i="3"/>
  <c r="R157" i="3"/>
  <c r="G140" i="3"/>
  <c r="AG140" i="3"/>
  <c r="AF154" i="3"/>
  <c r="Z154" i="3"/>
  <c r="AC154" i="3"/>
  <c r="AC147" i="3"/>
  <c r="AE140" i="3"/>
  <c r="AD147" i="3"/>
  <c r="AH147" i="3"/>
  <c r="Z140" i="3"/>
  <c r="AD140" i="3"/>
  <c r="O151" i="3"/>
  <c r="M147" i="3"/>
  <c r="M127" i="3"/>
  <c r="AG127" i="3"/>
  <c r="AE127" i="3"/>
  <c r="Y140" i="3"/>
  <c r="L147" i="3"/>
  <c r="P154" i="3"/>
  <c r="W101" i="3"/>
  <c r="AD105" i="3"/>
  <c r="N105" i="3"/>
  <c r="W105" i="3"/>
  <c r="AH109" i="3"/>
  <c r="AD109" i="3"/>
  <c r="W109" i="3"/>
  <c r="L90" i="3"/>
  <c r="Q90" i="3"/>
  <c r="V68" i="3"/>
  <c r="P68" i="3"/>
  <c r="AH68" i="3"/>
  <c r="U68" i="3"/>
  <c r="T68" i="3"/>
  <c r="S23" i="3"/>
  <c r="X46" i="3"/>
  <c r="R23" i="3"/>
  <c r="Y23" i="3"/>
  <c r="Q46" i="3"/>
  <c r="P23" i="3"/>
  <c r="O44" i="3"/>
  <c r="AH44" i="3"/>
  <c r="AL44" i="3"/>
  <c r="L23" i="3"/>
  <c r="L15" i="3"/>
  <c r="G46" i="3"/>
  <c r="AC46" i="3"/>
  <c r="AJ9" i="3"/>
  <c r="P9" i="3"/>
  <c r="AI63" i="3"/>
  <c r="R63" i="3"/>
  <c r="O63" i="3"/>
  <c r="AD63" i="3"/>
  <c r="AD90" i="3"/>
  <c r="P127" i="3"/>
  <c r="S29" i="3"/>
  <c r="Q127" i="3"/>
  <c r="AI127" i="3"/>
  <c r="Q105" i="3"/>
  <c r="AN105" i="3" s="1"/>
  <c r="W90" i="3"/>
  <c r="AL46" i="3"/>
  <c r="U157" i="3"/>
  <c r="P157" i="3"/>
  <c r="Z157" i="3"/>
  <c r="AI147" i="3"/>
  <c r="T140" i="3"/>
  <c r="AF140" i="3"/>
  <c r="O154" i="3"/>
  <c r="AH154" i="3"/>
  <c r="AK154" i="3"/>
  <c r="P147" i="3"/>
  <c r="Q140" i="3"/>
  <c r="AL147" i="3"/>
  <c r="AH140" i="3"/>
  <c r="AL140" i="3"/>
  <c r="T151" i="3"/>
  <c r="V127" i="3"/>
  <c r="AJ140" i="3"/>
  <c r="R127" i="3"/>
  <c r="O157" i="3"/>
  <c r="V125" i="3"/>
  <c r="S105" i="3"/>
  <c r="Y105" i="3"/>
  <c r="AE105" i="3"/>
  <c r="U109" i="3"/>
  <c r="Q109" i="3"/>
  <c r="AE109" i="3"/>
  <c r="T90" i="3"/>
  <c r="Y90" i="3"/>
  <c r="AG68" i="3"/>
  <c r="AA68" i="3"/>
  <c r="Q23" i="3"/>
  <c r="X44" i="3"/>
  <c r="AA44" i="3"/>
  <c r="M44" i="3"/>
  <c r="W46" i="3"/>
  <c r="AK46" i="3"/>
  <c r="AA23" i="3"/>
  <c r="AK9" i="3"/>
  <c r="V9" i="3"/>
  <c r="X9" i="3"/>
  <c r="M63" i="3"/>
  <c r="AF63" i="3"/>
  <c r="X63" i="3"/>
  <c r="AL63" i="3"/>
  <c r="AL68" i="3"/>
  <c r="V90" i="3"/>
  <c r="AI90" i="3"/>
  <c r="AE44" i="3"/>
  <c r="V109" i="3"/>
  <c r="U23" i="3"/>
  <c r="AE68" i="3"/>
  <c r="X90" i="3"/>
  <c r="AC157" i="3"/>
  <c r="X157" i="3"/>
  <c r="AH157" i="3"/>
  <c r="U147" i="3"/>
  <c r="AF147" i="3"/>
  <c r="S140" i="3"/>
  <c r="AI154" i="3"/>
  <c r="L154" i="3"/>
  <c r="N154" i="3"/>
  <c r="G147" i="3"/>
  <c r="M140" i="3"/>
  <c r="N151" i="3"/>
  <c r="L127" i="3"/>
  <c r="S151" i="3"/>
  <c r="AC127" i="3"/>
  <c r="L157" i="3"/>
  <c r="AG125" i="3"/>
  <c r="AF105" i="3"/>
  <c r="R109" i="3"/>
  <c r="AI109" i="3"/>
  <c r="AC109" i="3"/>
  <c r="P109" i="3"/>
  <c r="AB90" i="3"/>
  <c r="AG90" i="3"/>
  <c r="M68" i="3"/>
  <c r="AK68" i="3"/>
  <c r="AB44" i="3"/>
  <c r="G23" i="3"/>
  <c r="Q15" i="3"/>
  <c r="G29" i="3"/>
  <c r="P15" i="3"/>
  <c r="AD15" i="3"/>
  <c r="S44" i="3"/>
  <c r="U44" i="3"/>
  <c r="AD23" i="3"/>
  <c r="R29" i="3"/>
  <c r="AI46" i="3"/>
  <c r="N46" i="3"/>
  <c r="R9" i="3"/>
  <c r="AL9" i="3"/>
  <c r="AF9" i="3"/>
  <c r="Q63" i="3"/>
  <c r="W63" i="3"/>
  <c r="AG63" i="3"/>
  <c r="U9" i="3"/>
  <c r="P90" i="3"/>
  <c r="Z101" i="3"/>
  <c r="S9" i="3"/>
  <c r="AG156" i="3"/>
  <c r="M156" i="3"/>
  <c r="L133" i="3"/>
  <c r="O133" i="3"/>
  <c r="Y133" i="3"/>
  <c r="AA137" i="3"/>
  <c r="AL117" i="3"/>
  <c r="AJ137" i="3"/>
  <c r="AL137" i="3"/>
  <c r="Q137" i="3"/>
  <c r="AH98" i="3"/>
  <c r="P98" i="3"/>
  <c r="AL98" i="3"/>
  <c r="Q97" i="3"/>
  <c r="U97" i="3"/>
  <c r="AI86" i="3"/>
  <c r="AD86" i="3"/>
  <c r="AB86" i="3"/>
  <c r="AG86" i="3"/>
  <c r="W66" i="3"/>
  <c r="AC66" i="3"/>
  <c r="R66" i="3"/>
  <c r="AN66" i="3" s="1"/>
  <c r="S21" i="3"/>
  <c r="AH21" i="3"/>
  <c r="Y21" i="3"/>
  <c r="N19" i="3"/>
  <c r="W19" i="3"/>
  <c r="AL19" i="3"/>
  <c r="T19" i="3"/>
  <c r="AA19" i="3"/>
  <c r="M117" i="3"/>
  <c r="U117" i="3"/>
  <c r="AK21" i="3"/>
  <c r="W98" i="3"/>
  <c r="R156" i="3"/>
  <c r="U156" i="3"/>
  <c r="T133" i="3"/>
  <c r="W133" i="3"/>
  <c r="AG133" i="3"/>
  <c r="AA133" i="3"/>
  <c r="AD117" i="3"/>
  <c r="M137" i="3"/>
  <c r="O137" i="3"/>
  <c r="Y137" i="3"/>
  <c r="AJ117" i="3"/>
  <c r="Z137" i="3"/>
  <c r="AI137" i="3"/>
  <c r="O98" i="3"/>
  <c r="Z98" i="3"/>
  <c r="M98" i="3"/>
  <c r="P97" i="3"/>
  <c r="AD97" i="3"/>
  <c r="AB98" i="3"/>
  <c r="AL86" i="3"/>
  <c r="R86" i="3"/>
  <c r="M86" i="3"/>
  <c r="AJ86" i="3"/>
  <c r="AK66" i="3"/>
  <c r="AJ66" i="3"/>
  <c r="AL66" i="3"/>
  <c r="Z66" i="3"/>
  <c r="Z21" i="3"/>
  <c r="Q21" i="3"/>
  <c r="AN21" i="3" s="1"/>
  <c r="AF21" i="3"/>
  <c r="AE21" i="3"/>
  <c r="O19" i="3"/>
  <c r="AD19" i="3"/>
  <c r="AJ21" i="3"/>
  <c r="L19" i="3"/>
  <c r="S19" i="3"/>
  <c r="AK117" i="3"/>
  <c r="U21" i="3"/>
  <c r="AH156" i="3"/>
  <c r="AK156" i="3"/>
  <c r="R133" i="3"/>
  <c r="AJ133" i="3"/>
  <c r="P133" i="3"/>
  <c r="X117" i="3"/>
  <c r="N117" i="3"/>
  <c r="AC137" i="3"/>
  <c r="AE137" i="3"/>
  <c r="S133" i="3"/>
  <c r="T117" i="3"/>
  <c r="O156" i="3"/>
  <c r="S98" i="3"/>
  <c r="T97" i="3"/>
  <c r="R98" i="3"/>
  <c r="AE98" i="3"/>
  <c r="AG97" i="3"/>
  <c r="AK97" i="3"/>
  <c r="O97" i="3"/>
  <c r="AC86" i="3"/>
  <c r="W86" i="3"/>
  <c r="O66" i="3"/>
  <c r="U66" i="3"/>
  <c r="Z19" i="3"/>
  <c r="P21" i="3"/>
  <c r="O21" i="3"/>
  <c r="V19" i="3"/>
  <c r="T21" i="3"/>
  <c r="Q117" i="3"/>
  <c r="V97" i="3"/>
  <c r="L97" i="3"/>
  <c r="AI117" i="3"/>
  <c r="N66" i="3"/>
  <c r="W156" i="3"/>
  <c r="L156" i="3"/>
  <c r="N156" i="3"/>
  <c r="N133" i="3"/>
  <c r="X133" i="3"/>
  <c r="AH137" i="3"/>
  <c r="P117" i="3"/>
  <c r="AE117" i="3"/>
  <c r="R137" i="3"/>
  <c r="AK137" i="3"/>
  <c r="P137" i="3"/>
  <c r="L117" i="3"/>
  <c r="AI156" i="3"/>
  <c r="X156" i="3"/>
  <c r="AA98" i="3"/>
  <c r="G98" i="3"/>
  <c r="S97" i="3"/>
  <c r="U86" i="3"/>
  <c r="AE86" i="3"/>
  <c r="P66" i="3"/>
  <c r="AD66" i="3"/>
  <c r="R19" i="3"/>
  <c r="AG19" i="3"/>
  <c r="AF19" i="3"/>
  <c r="L21" i="3"/>
  <c r="G117" i="3"/>
  <c r="X98" i="3"/>
  <c r="AC117" i="3"/>
  <c r="M21" i="3"/>
  <c r="G156" i="3"/>
  <c r="T156" i="3"/>
  <c r="V156" i="3"/>
  <c r="AA117" i="3"/>
  <c r="V133" i="3"/>
  <c r="AF133" i="3"/>
  <c r="AC133" i="3"/>
  <c r="W117" i="3"/>
  <c r="L137" i="3"/>
  <c r="N137" i="3"/>
  <c r="X137" i="3"/>
  <c r="AJ98" i="3"/>
  <c r="Q98" i="3"/>
  <c r="L98" i="3"/>
  <c r="AA97" i="3"/>
  <c r="AH86" i="3"/>
  <c r="G86" i="3"/>
  <c r="X66" i="3"/>
  <c r="Y66" i="3"/>
  <c r="M66" i="3"/>
  <c r="Y19" i="3"/>
  <c r="X19" i="3"/>
  <c r="AL21" i="3"/>
  <c r="U133" i="3"/>
  <c r="Z97" i="3"/>
  <c r="AK86" i="3"/>
  <c r="AF86" i="3"/>
  <c r="R117" i="3"/>
  <c r="Q156" i="3"/>
  <c r="AB156" i="3"/>
  <c r="AD156" i="3"/>
  <c r="S156" i="3"/>
  <c r="S117" i="3"/>
  <c r="AI133" i="3"/>
  <c r="AD133" i="3"/>
  <c r="G133" i="3"/>
  <c r="O117" i="3"/>
  <c r="T137" i="3"/>
  <c r="V137" i="3"/>
  <c r="AF137" i="3"/>
  <c r="U98" i="3"/>
  <c r="AF98" i="3"/>
  <c r="T98" i="3"/>
  <c r="Y98" i="3"/>
  <c r="AJ97" i="3"/>
  <c r="L86" i="3"/>
  <c r="Q86" i="3"/>
  <c r="AA66" i="3"/>
  <c r="AI66" i="3"/>
  <c r="V66" i="3"/>
  <c r="Q19" i="3"/>
  <c r="P19" i="3"/>
  <c r="N21" i="3"/>
  <c r="AJ19" i="3"/>
  <c r="S86" i="3"/>
  <c r="N86" i="3"/>
  <c r="AC21" i="3"/>
  <c r="X74" i="3"/>
  <c r="AJ44" i="3"/>
  <c r="P44" i="3"/>
  <c r="Z9" i="3"/>
  <c r="AA74" i="3"/>
  <c r="O74" i="3"/>
  <c r="AF127" i="3"/>
  <c r="G68" i="3"/>
  <c r="Q80" i="3"/>
  <c r="Z28" i="3"/>
  <c r="O31" i="3"/>
  <c r="AF29" i="3"/>
  <c r="AC19" i="3"/>
  <c r="U127" i="3"/>
  <c r="AH101" i="3"/>
  <c r="AD29" i="3"/>
  <c r="W80" i="3"/>
  <c r="Q7" i="3"/>
  <c r="AG76" i="3"/>
  <c r="R74" i="3"/>
  <c r="AJ28" i="3"/>
  <c r="AB74" i="3"/>
  <c r="U74" i="3"/>
  <c r="AF28" i="3"/>
  <c r="AL80" i="3"/>
  <c r="AC74" i="3"/>
  <c r="Z51" i="3"/>
  <c r="L80" i="3"/>
  <c r="O80" i="3"/>
  <c r="AI94" i="3"/>
  <c r="N7" i="3"/>
  <c r="M123" i="3"/>
  <c r="AK101" i="3"/>
  <c r="AJ101" i="3"/>
  <c r="Z125" i="3"/>
  <c r="AL125" i="3"/>
  <c r="AH125" i="3"/>
  <c r="Q29" i="3"/>
  <c r="R101" i="3"/>
  <c r="AL29" i="3"/>
  <c r="U29" i="3"/>
  <c r="M151" i="3"/>
  <c r="AC151" i="3"/>
  <c r="AD151" i="3"/>
  <c r="Z151" i="3"/>
  <c r="X101" i="3"/>
  <c r="O101" i="3"/>
  <c r="AF125" i="3"/>
  <c r="G125" i="3"/>
  <c r="L125" i="3"/>
  <c r="V94" i="3"/>
  <c r="S76" i="3"/>
  <c r="Y29" i="3"/>
  <c r="R51" i="3"/>
  <c r="AC29" i="3"/>
  <c r="AA29" i="3"/>
  <c r="AE29" i="3"/>
  <c r="AI29" i="3"/>
  <c r="AJ151" i="3"/>
  <c r="P151" i="3"/>
  <c r="L151" i="3"/>
  <c r="Y101" i="3"/>
  <c r="AE101" i="3"/>
  <c r="O125" i="3"/>
  <c r="AC125" i="3"/>
  <c r="AB125" i="3"/>
  <c r="T94" i="3"/>
  <c r="AC94" i="3"/>
  <c r="L29" i="3"/>
  <c r="V29" i="3"/>
  <c r="AD101" i="3"/>
  <c r="Z29" i="3"/>
  <c r="O29" i="3"/>
  <c r="T74" i="3"/>
  <c r="U101" i="3"/>
  <c r="G151" i="3"/>
  <c r="X151" i="3"/>
  <c r="AI151" i="3"/>
  <c r="AI101" i="3"/>
  <c r="AK125" i="3"/>
  <c r="Y125" i="3"/>
  <c r="S125" i="3"/>
  <c r="AJ125" i="3"/>
  <c r="AG94" i="3"/>
  <c r="AH29" i="3"/>
  <c r="T29" i="3"/>
  <c r="G25" i="3"/>
  <c r="V101" i="3"/>
  <c r="AA92" i="3"/>
  <c r="P29" i="3"/>
  <c r="AC101" i="3"/>
  <c r="U151" i="3"/>
  <c r="AF151" i="3"/>
  <c r="L101" i="3"/>
  <c r="M125" i="3"/>
  <c r="AI125" i="3"/>
  <c r="AD125" i="3"/>
  <c r="W125" i="3"/>
  <c r="T92" i="3"/>
  <c r="P94" i="3"/>
  <c r="AE84" i="3"/>
  <c r="W29" i="3"/>
  <c r="AB29" i="3"/>
  <c r="AL17" i="3"/>
  <c r="AF58" i="3"/>
  <c r="Q101" i="3"/>
  <c r="N29" i="3"/>
  <c r="P101" i="3"/>
  <c r="AA101" i="3"/>
  <c r="AB151" i="3"/>
  <c r="AK151" i="3"/>
  <c r="Y151" i="3"/>
  <c r="P125" i="3"/>
  <c r="T101" i="3"/>
  <c r="U125" i="3"/>
  <c r="Q125" i="3"/>
  <c r="N125" i="3"/>
  <c r="Y92" i="3"/>
  <c r="L51" i="3"/>
  <c r="M29" i="3"/>
  <c r="AJ29" i="3"/>
  <c r="AF101" i="3"/>
  <c r="G101" i="3"/>
  <c r="P123" i="3"/>
  <c r="T123" i="3"/>
  <c r="AJ80" i="3"/>
  <c r="Y94" i="3"/>
  <c r="AF94" i="3"/>
  <c r="M74" i="3"/>
  <c r="N74" i="3"/>
  <c r="AA88" i="3"/>
  <c r="AJ88" i="3"/>
  <c r="S74" i="3"/>
  <c r="AK76" i="3"/>
  <c r="S15" i="3"/>
  <c r="R15" i="3"/>
  <c r="Y15" i="3"/>
  <c r="X15" i="3"/>
  <c r="O15" i="3"/>
  <c r="AD51" i="3"/>
  <c r="O51" i="3"/>
  <c r="R5" i="3"/>
  <c r="U41" i="3"/>
  <c r="X41" i="3"/>
  <c r="AB41" i="3"/>
  <c r="O28" i="3"/>
  <c r="X28" i="3"/>
  <c r="AE7" i="3"/>
  <c r="Q123" i="3"/>
  <c r="Y123" i="3"/>
  <c r="AK15" i="3"/>
  <c r="Y5" i="3"/>
  <c r="AD123" i="3"/>
  <c r="Z80" i="3"/>
  <c r="AE80" i="3"/>
  <c r="X94" i="3"/>
  <c r="AL88" i="3"/>
  <c r="P74" i="3"/>
  <c r="V74" i="3"/>
  <c r="AK74" i="3"/>
  <c r="AK88" i="3"/>
  <c r="S88" i="3"/>
  <c r="AE88" i="3"/>
  <c r="R76" i="3"/>
  <c r="AH51" i="3"/>
  <c r="AL15" i="3"/>
  <c r="AB15" i="3"/>
  <c r="Z41" i="3"/>
  <c r="AH41" i="3"/>
  <c r="Q41" i="3"/>
  <c r="AK41" i="3"/>
  <c r="AB28" i="3"/>
  <c r="Y7" i="3"/>
  <c r="W5" i="3"/>
  <c r="AC15" i="3"/>
  <c r="L5" i="3"/>
  <c r="AE123" i="3"/>
  <c r="V123" i="3"/>
  <c r="M80" i="3"/>
  <c r="G80" i="3"/>
  <c r="L94" i="3"/>
  <c r="AF74" i="3"/>
  <c r="AJ74" i="3"/>
  <c r="V88" i="3"/>
  <c r="AF88" i="3"/>
  <c r="G88" i="3"/>
  <c r="AB76" i="3"/>
  <c r="W51" i="3"/>
  <c r="V15" i="3"/>
  <c r="T15" i="3"/>
  <c r="R41" i="3"/>
  <c r="M41" i="3"/>
  <c r="Y41" i="3"/>
  <c r="T28" i="3"/>
  <c r="G28" i="3"/>
  <c r="M7" i="3"/>
  <c r="AG7" i="3"/>
  <c r="AE5" i="3"/>
  <c r="AA41" i="3"/>
  <c r="M51" i="3"/>
  <c r="AE28" i="3"/>
  <c r="S28" i="3"/>
  <c r="L7" i="3"/>
  <c r="AF123" i="3"/>
  <c r="O123" i="3"/>
  <c r="AJ123" i="3"/>
  <c r="AN115" i="3"/>
  <c r="T80" i="3"/>
  <c r="Y80" i="3"/>
  <c r="AB94" i="3"/>
  <c r="AD88" i="3"/>
  <c r="Z74" i="3"/>
  <c r="X88" i="3"/>
  <c r="L74" i="3"/>
  <c r="AH88" i="3"/>
  <c r="T88" i="3"/>
  <c r="Y88" i="3"/>
  <c r="AI76" i="3"/>
  <c r="W76" i="3"/>
  <c r="AH15" i="3"/>
  <c r="N15" i="3"/>
  <c r="AE15" i="3"/>
  <c r="N51" i="3"/>
  <c r="S41" i="3"/>
  <c r="AI41" i="3"/>
  <c r="L41" i="3"/>
  <c r="Q5" i="3"/>
  <c r="L28" i="3"/>
  <c r="AD28" i="3"/>
  <c r="T7" i="3"/>
  <c r="AK123" i="3"/>
  <c r="V80" i="3"/>
  <c r="AG123" i="3"/>
  <c r="R123" i="3"/>
  <c r="AD74" i="3"/>
  <c r="U19" i="3"/>
  <c r="AJ76" i="3"/>
  <c r="AD80" i="3"/>
  <c r="X123" i="3"/>
  <c r="AB123" i="3"/>
  <c r="AB80" i="3"/>
  <c r="AG80" i="3"/>
  <c r="U80" i="3"/>
  <c r="Q94" i="3"/>
  <c r="AH74" i="3"/>
  <c r="Y74" i="3"/>
  <c r="U88" i="3"/>
  <c r="N88" i="3"/>
  <c r="AB88" i="3"/>
  <c r="AE74" i="3"/>
  <c r="T76" i="3"/>
  <c r="AA15" i="3"/>
  <c r="AC51" i="3"/>
  <c r="Z15" i="3"/>
  <c r="AB51" i="3"/>
  <c r="AG15" i="3"/>
  <c r="AF15" i="3"/>
  <c r="W15" i="3"/>
  <c r="V51" i="3"/>
  <c r="AJ51" i="3"/>
  <c r="AE41" i="3"/>
  <c r="N41" i="3"/>
  <c r="T41" i="3"/>
  <c r="AI28" i="3"/>
  <c r="P28" i="3"/>
  <c r="W7" i="3"/>
  <c r="Z123" i="3"/>
  <c r="N80" i="3"/>
  <c r="AH123" i="3"/>
  <c r="U123" i="3"/>
  <c r="U15" i="3"/>
  <c r="AK19" i="3"/>
  <c r="X17" i="3"/>
  <c r="S92" i="3"/>
  <c r="Z71" i="3"/>
  <c r="AB53" i="3"/>
  <c r="AK94" i="3"/>
  <c r="AJ94" i="3"/>
  <c r="AK71" i="3"/>
  <c r="V76" i="3"/>
  <c r="AA76" i="3"/>
  <c r="AE76" i="3"/>
  <c r="AL53" i="3"/>
  <c r="X51" i="3"/>
  <c r="AA51" i="3"/>
  <c r="AL51" i="3"/>
  <c r="L17" i="3"/>
  <c r="AK5" i="3"/>
  <c r="AI5" i="3"/>
  <c r="AA5" i="3"/>
  <c r="T5" i="3"/>
  <c r="N5" i="3"/>
  <c r="U92" i="3"/>
  <c r="N76" i="3"/>
  <c r="AN153" i="3"/>
  <c r="Q129" i="3"/>
  <c r="N94" i="3"/>
  <c r="O94" i="3"/>
  <c r="Y76" i="3"/>
  <c r="G76" i="3"/>
  <c r="AL76" i="3"/>
  <c r="S51" i="3"/>
  <c r="G51" i="3"/>
  <c r="U5" i="3"/>
  <c r="AC7" i="3"/>
  <c r="AH28" i="3"/>
  <c r="Q28" i="3"/>
  <c r="M28" i="3"/>
  <c r="AB7" i="3"/>
  <c r="AL7" i="3"/>
  <c r="G5" i="3"/>
  <c r="AB5" i="3"/>
  <c r="AD5" i="3"/>
  <c r="AD76" i="3"/>
  <c r="R135" i="3"/>
  <c r="AF129" i="3"/>
  <c r="AA94" i="3"/>
  <c r="W94" i="3"/>
  <c r="O76" i="3"/>
  <c r="X76" i="3"/>
  <c r="M76" i="3"/>
  <c r="AA17" i="3"/>
  <c r="AE51" i="3"/>
  <c r="Q51" i="3"/>
  <c r="S5" i="3"/>
  <c r="U7" i="3"/>
  <c r="W28" i="3"/>
  <c r="AA28" i="3"/>
  <c r="U28" i="3"/>
  <c r="AJ7" i="3"/>
  <c r="P7" i="3"/>
  <c r="AJ5" i="3"/>
  <c r="P5" i="3"/>
  <c r="L76" i="3"/>
  <c r="AA53" i="3"/>
  <c r="P51" i="3"/>
  <c r="AK135" i="3"/>
  <c r="O129" i="3"/>
  <c r="S94" i="3"/>
  <c r="AL94" i="3"/>
  <c r="R94" i="3"/>
  <c r="AE94" i="3"/>
  <c r="U94" i="3"/>
  <c r="X84" i="3"/>
  <c r="AH76" i="3"/>
  <c r="P76" i="3"/>
  <c r="U76" i="3"/>
  <c r="T51" i="3"/>
  <c r="Y51" i="3"/>
  <c r="AL25" i="3"/>
  <c r="AG28" i="3"/>
  <c r="AA7" i="3"/>
  <c r="Z7" i="3"/>
  <c r="AC5" i="3"/>
  <c r="N28" i="3"/>
  <c r="AL28" i="3"/>
  <c r="AC28" i="3"/>
  <c r="AK7" i="3"/>
  <c r="AD7" i="3"/>
  <c r="X7" i="3"/>
  <c r="V5" i="3"/>
  <c r="X5" i="3"/>
  <c r="T71" i="3"/>
  <c r="AK51" i="3"/>
  <c r="AK80" i="3"/>
  <c r="P135" i="3"/>
  <c r="M94" i="3"/>
  <c r="AD94" i="3"/>
  <c r="G94" i="3"/>
  <c r="V84" i="3"/>
  <c r="Q76" i="3"/>
  <c r="AC76" i="3"/>
  <c r="AF76" i="3"/>
  <c r="AI51" i="3"/>
  <c r="Y17" i="3"/>
  <c r="AF51" i="3"/>
  <c r="AG51" i="3"/>
  <c r="X25" i="3"/>
  <c r="AI7" i="3"/>
  <c r="AH7" i="3"/>
  <c r="V28" i="3"/>
  <c r="AH5" i="3"/>
  <c r="AG5" i="3"/>
  <c r="M5" i="3"/>
  <c r="Y28" i="3"/>
  <c r="R28" i="3"/>
  <c r="AN43" i="3"/>
  <c r="R7" i="3"/>
  <c r="V7" i="3"/>
  <c r="AF7" i="3"/>
  <c r="AL5" i="3"/>
  <c r="AF5" i="3"/>
  <c r="AA80" i="3"/>
  <c r="Z5" i="3"/>
  <c r="O7" i="3"/>
  <c r="G7" i="3"/>
  <c r="AN166" i="3"/>
  <c r="Z94" i="3"/>
  <c r="W58" i="3"/>
  <c r="AJ58" i="3"/>
  <c r="X58" i="3"/>
  <c r="L135" i="3"/>
  <c r="N135" i="3"/>
  <c r="X135" i="3"/>
  <c r="V129" i="3"/>
  <c r="AA129" i="3"/>
  <c r="M129" i="3"/>
  <c r="W129" i="3"/>
  <c r="AN107" i="3"/>
  <c r="AB92" i="3"/>
  <c r="AG92" i="3"/>
  <c r="AA84" i="3"/>
  <c r="AI84" i="3"/>
  <c r="G84" i="3"/>
  <c r="W71" i="3"/>
  <c r="AJ71" i="3"/>
  <c r="N71" i="3"/>
  <c r="S17" i="3"/>
  <c r="T53" i="3"/>
  <c r="G53" i="3"/>
  <c r="Q17" i="3"/>
  <c r="P17" i="3"/>
  <c r="N17" i="3"/>
  <c r="AE53" i="3"/>
  <c r="R58" i="3"/>
  <c r="V58" i="3"/>
  <c r="M25" i="3"/>
  <c r="AH25" i="3"/>
  <c r="Q25" i="3"/>
  <c r="L25" i="3"/>
  <c r="R92" i="3"/>
  <c r="AH92" i="3"/>
  <c r="AI58" i="3"/>
  <c r="AK53" i="3"/>
  <c r="T135" i="3"/>
  <c r="V135" i="3"/>
  <c r="AF135" i="3"/>
  <c r="R129" i="3"/>
  <c r="X129" i="3"/>
  <c r="AE129" i="3"/>
  <c r="Z135" i="3"/>
  <c r="AJ92" i="3"/>
  <c r="X92" i="3"/>
  <c r="N84" i="3"/>
  <c r="L84" i="3"/>
  <c r="Q84" i="3"/>
  <c r="AC84" i="3"/>
  <c r="U71" i="3"/>
  <c r="Q71" i="3"/>
  <c r="V71" i="3"/>
  <c r="AF53" i="3"/>
  <c r="Q53" i="3"/>
  <c r="G17" i="3"/>
  <c r="L53" i="3"/>
  <c r="T58" i="3"/>
  <c r="Z58" i="3"/>
  <c r="AD58" i="3"/>
  <c r="X53" i="3"/>
  <c r="N25" i="3"/>
  <c r="P25" i="3"/>
  <c r="Y25" i="3"/>
  <c r="V92" i="3"/>
  <c r="G58" i="3"/>
  <c r="U17" i="3"/>
  <c r="M17" i="3"/>
  <c r="AL74" i="3"/>
  <c r="AI74" i="3"/>
  <c r="AG74" i="3"/>
  <c r="Q74" i="3"/>
  <c r="G74" i="3"/>
  <c r="AH80" i="3"/>
  <c r="AC80" i="3"/>
  <c r="X80" i="3"/>
  <c r="S80" i="3"/>
  <c r="R80" i="3"/>
  <c r="AF80" i="3"/>
  <c r="AI80" i="3"/>
  <c r="AB135" i="3"/>
  <c r="AD135" i="3"/>
  <c r="G135" i="3"/>
  <c r="AC129" i="3"/>
  <c r="AI129" i="3"/>
  <c r="AG129" i="3"/>
  <c r="AH135" i="3"/>
  <c r="AC92" i="3"/>
  <c r="O92" i="3"/>
  <c r="AF84" i="3"/>
  <c r="T84" i="3"/>
  <c r="Y84" i="3"/>
  <c r="AF71" i="3"/>
  <c r="AA71" i="3"/>
  <c r="AD71" i="3"/>
  <c r="U53" i="3"/>
  <c r="Y53" i="3"/>
  <c r="AH17" i="3"/>
  <c r="AE17" i="3"/>
  <c r="L58" i="3"/>
  <c r="AH58" i="3"/>
  <c r="AL58" i="3"/>
  <c r="S25" i="3"/>
  <c r="W25" i="3"/>
  <c r="Z25" i="3"/>
  <c r="AG25" i="3"/>
  <c r="N92" i="3"/>
  <c r="AL129" i="3"/>
  <c r="P58" i="3"/>
  <c r="AL101" i="3"/>
  <c r="AG101" i="3"/>
  <c r="S101" i="3"/>
  <c r="P48" i="3"/>
  <c r="AG48" i="3"/>
  <c r="AM153" i="3"/>
  <c r="AP153" i="3" s="1"/>
  <c r="AT153" i="3"/>
  <c r="AJ135" i="3"/>
  <c r="AL135" i="3"/>
  <c r="Q135" i="3"/>
  <c r="P129" i="3"/>
  <c r="G129" i="3"/>
  <c r="L129" i="3"/>
  <c r="P92" i="3"/>
  <c r="AL92" i="3"/>
  <c r="W92" i="3"/>
  <c r="S84" i="3"/>
  <c r="AB84" i="3"/>
  <c r="AG84" i="3"/>
  <c r="O71" i="3"/>
  <c r="R71" i="3"/>
  <c r="AL71" i="3"/>
  <c r="AI53" i="3"/>
  <c r="AG53" i="3"/>
  <c r="Z17" i="3"/>
  <c r="AJ53" i="3"/>
  <c r="W17" i="3"/>
  <c r="Y58" i="3"/>
  <c r="M58" i="3"/>
  <c r="AB25" i="3"/>
  <c r="AF25" i="3"/>
  <c r="AI25" i="3"/>
  <c r="U25" i="3"/>
  <c r="L71" i="3"/>
  <c r="AG58" i="3"/>
  <c r="AI23" i="3"/>
  <c r="AK23" i="3"/>
  <c r="AC23" i="3"/>
  <c r="M135" i="3"/>
  <c r="O135" i="3"/>
  <c r="Y135" i="3"/>
  <c r="N129" i="3"/>
  <c r="S129" i="3"/>
  <c r="T129" i="3"/>
  <c r="Z129" i="3"/>
  <c r="Z92" i="3"/>
  <c r="AE92" i="3"/>
  <c r="AK84" i="3"/>
  <c r="AJ84" i="3"/>
  <c r="Y71" i="3"/>
  <c r="AC71" i="3"/>
  <c r="AH71" i="3"/>
  <c r="N53" i="3"/>
  <c r="R53" i="3"/>
  <c r="R17" i="3"/>
  <c r="M53" i="3"/>
  <c r="O17" i="3"/>
  <c r="Q58" i="3"/>
  <c r="U58" i="3"/>
  <c r="AJ17" i="3"/>
  <c r="AK25" i="3"/>
  <c r="V25" i="3"/>
  <c r="R25" i="3"/>
  <c r="U84" i="3"/>
  <c r="AE71" i="3"/>
  <c r="AK17" i="3"/>
  <c r="O58" i="3"/>
  <c r="U135" i="3"/>
  <c r="W135" i="3"/>
  <c r="AG135" i="3"/>
  <c r="Y129" i="3"/>
  <c r="AD129" i="3"/>
  <c r="AB129" i="3"/>
  <c r="AA135" i="3"/>
  <c r="M92" i="3"/>
  <c r="G92" i="3"/>
  <c r="R84" i="3"/>
  <c r="O84" i="3"/>
  <c r="P84" i="3"/>
  <c r="AI71" i="3"/>
  <c r="S71" i="3"/>
  <c r="G71" i="3"/>
  <c r="S53" i="3"/>
  <c r="V53" i="3"/>
  <c r="Z53" i="3"/>
  <c r="AA58" i="3"/>
  <c r="AE58" i="3"/>
  <c r="AC58" i="3"/>
  <c r="AB17" i="3"/>
  <c r="T25" i="3"/>
  <c r="AE25" i="3"/>
  <c r="AA25" i="3"/>
  <c r="M71" i="3"/>
  <c r="AB58" i="3"/>
  <c r="Z84" i="3"/>
  <c r="AB97" i="3"/>
  <c r="AL97" i="3"/>
  <c r="W97" i="3"/>
  <c r="N97" i="3"/>
  <c r="AK11" i="3"/>
  <c r="AI11" i="3"/>
  <c r="AC11" i="3"/>
  <c r="AN160" i="3"/>
  <c r="AC135" i="3"/>
  <c r="AE135" i="3"/>
  <c r="AK129" i="3"/>
  <c r="U129" i="3"/>
  <c r="AJ129" i="3"/>
  <c r="S135" i="3"/>
  <c r="L92" i="3"/>
  <c r="Q92" i="3"/>
  <c r="M84" i="3"/>
  <c r="AD84" i="3"/>
  <c r="W84" i="3"/>
  <c r="AH84" i="3"/>
  <c r="P71" i="3"/>
  <c r="AB71" i="3"/>
  <c r="O53" i="3"/>
  <c r="AD53" i="3"/>
  <c r="AH53" i="3"/>
  <c r="P53" i="3"/>
  <c r="AG17" i="3"/>
  <c r="AF17" i="3"/>
  <c r="V17" i="3"/>
  <c r="AD17" i="3"/>
  <c r="S58" i="3"/>
  <c r="AK58" i="3"/>
  <c r="T17" i="3"/>
  <c r="AC25" i="3"/>
  <c r="O25" i="3"/>
  <c r="AJ25" i="3"/>
  <c r="AD92" i="3"/>
  <c r="AI92" i="3"/>
  <c r="AF92" i="3"/>
  <c r="X71" i="3"/>
  <c r="AC17" i="3"/>
  <c r="AC53" i="3"/>
  <c r="AE34" i="3"/>
  <c r="T34" i="3"/>
  <c r="AS107" i="3"/>
  <c r="AT103" i="3"/>
  <c r="AS166" i="3"/>
  <c r="AN96" i="3"/>
  <c r="AN164" i="3"/>
  <c r="AN121" i="3"/>
  <c r="AT121" i="3"/>
  <c r="AN162" i="3"/>
  <c r="AN103" i="3"/>
  <c r="AN60" i="3"/>
  <c r="AS33" i="3"/>
  <c r="AN49" i="3"/>
  <c r="AT43" i="3"/>
  <c r="AM166" i="3"/>
  <c r="AT164" i="3"/>
  <c r="AN65" i="3"/>
  <c r="AS49" i="3"/>
  <c r="AN33" i="3"/>
  <c r="AN113" i="3"/>
  <c r="AS103" i="3"/>
  <c r="AN34" i="3"/>
  <c r="AT166" i="3"/>
  <c r="AI163" i="3"/>
  <c r="AA163" i="3"/>
  <c r="S163" i="3"/>
  <c r="AG163" i="3"/>
  <c r="Y163" i="3"/>
  <c r="Q163" i="3"/>
  <c r="G163" i="3"/>
  <c r="AF163" i="3"/>
  <c r="X163" i="3"/>
  <c r="P163" i="3"/>
  <c r="AC163" i="3"/>
  <c r="O163" i="3"/>
  <c r="AB163" i="3"/>
  <c r="N163" i="3"/>
  <c r="AL163" i="3"/>
  <c r="Z163" i="3"/>
  <c r="M163" i="3"/>
  <c r="AK163" i="3"/>
  <c r="W163" i="3"/>
  <c r="L163" i="3"/>
  <c r="AJ163" i="3"/>
  <c r="V163" i="3"/>
  <c r="AH163" i="3"/>
  <c r="U163" i="3"/>
  <c r="AD163" i="3"/>
  <c r="R163" i="3"/>
  <c r="T163" i="3"/>
  <c r="AE163" i="3"/>
  <c r="AT162" i="3"/>
  <c r="AK136" i="3"/>
  <c r="AC136" i="3"/>
  <c r="U136" i="3"/>
  <c r="M136" i="3"/>
  <c r="AJ136" i="3"/>
  <c r="AB136" i="3"/>
  <c r="T136" i="3"/>
  <c r="L136" i="3"/>
  <c r="AI136" i="3"/>
  <c r="AA136" i="3"/>
  <c r="S136" i="3"/>
  <c r="AH136" i="3"/>
  <c r="Z136" i="3"/>
  <c r="R136" i="3"/>
  <c r="AG136" i="3"/>
  <c r="Y136" i="3"/>
  <c r="Q136" i="3"/>
  <c r="G136" i="3"/>
  <c r="AF136" i="3"/>
  <c r="X136" i="3"/>
  <c r="P136" i="3"/>
  <c r="N136" i="3"/>
  <c r="AL136" i="3"/>
  <c r="AE136" i="3"/>
  <c r="AD136" i="3"/>
  <c r="W136" i="3"/>
  <c r="O136" i="3"/>
  <c r="V136" i="3"/>
  <c r="AJ112" i="3"/>
  <c r="AB112" i="3"/>
  <c r="T112" i="3"/>
  <c r="L112" i="3"/>
  <c r="AI112" i="3"/>
  <c r="AA112" i="3"/>
  <c r="S112" i="3"/>
  <c r="AF112" i="3"/>
  <c r="X112" i="3"/>
  <c r="P112" i="3"/>
  <c r="AD112" i="3"/>
  <c r="Q112" i="3"/>
  <c r="AG112" i="3"/>
  <c r="R112" i="3"/>
  <c r="AE112" i="3"/>
  <c r="O112" i="3"/>
  <c r="Z112" i="3"/>
  <c r="M112" i="3"/>
  <c r="Y112" i="3"/>
  <c r="AL112" i="3"/>
  <c r="W112" i="3"/>
  <c r="G112" i="3"/>
  <c r="AK112" i="3"/>
  <c r="V112" i="3"/>
  <c r="AH112" i="3"/>
  <c r="AC112" i="3"/>
  <c r="U112" i="3"/>
  <c r="N112" i="3"/>
  <c r="AS96" i="3"/>
  <c r="AK87" i="3"/>
  <c r="AC87" i="3"/>
  <c r="U87" i="3"/>
  <c r="M87" i="3"/>
  <c r="AI87" i="3"/>
  <c r="AA87" i="3"/>
  <c r="S87" i="3"/>
  <c r="AF87" i="3"/>
  <c r="X87" i="3"/>
  <c r="P87" i="3"/>
  <c r="AB87" i="3"/>
  <c r="O87" i="3"/>
  <c r="AJ87" i="3"/>
  <c r="W87" i="3"/>
  <c r="AD87" i="3"/>
  <c r="L87" i="3"/>
  <c r="Y87" i="3"/>
  <c r="AL87" i="3"/>
  <c r="T87" i="3"/>
  <c r="AG87" i="3"/>
  <c r="Q87" i="3"/>
  <c r="AH87" i="3"/>
  <c r="AE87" i="3"/>
  <c r="Z87" i="3"/>
  <c r="V87" i="3"/>
  <c r="R87" i="3"/>
  <c r="N87" i="3"/>
  <c r="G87" i="3"/>
  <c r="AL67" i="3"/>
  <c r="AD67" i="3"/>
  <c r="V67" i="3"/>
  <c r="N67" i="3"/>
  <c r="AE67" i="3"/>
  <c r="U67" i="3"/>
  <c r="L67" i="3"/>
  <c r="AB67" i="3"/>
  <c r="R67" i="3"/>
  <c r="AK67" i="3"/>
  <c r="AA67" i="3"/>
  <c r="Q67" i="3"/>
  <c r="AJ67" i="3"/>
  <c r="Z67" i="3"/>
  <c r="P67" i="3"/>
  <c r="AI67" i="3"/>
  <c r="Y67" i="3"/>
  <c r="O67" i="3"/>
  <c r="AF67" i="3"/>
  <c r="T67" i="3"/>
  <c r="W67" i="3"/>
  <c r="S67" i="3"/>
  <c r="M67" i="3"/>
  <c r="AH67" i="3"/>
  <c r="G67" i="3"/>
  <c r="AG67" i="3"/>
  <c r="X67" i="3"/>
  <c r="AC67" i="3"/>
  <c r="AL69" i="3"/>
  <c r="AD69" i="3"/>
  <c r="V69" i="3"/>
  <c r="N69" i="3"/>
  <c r="AH69" i="3"/>
  <c r="Y69" i="3"/>
  <c r="P69" i="3"/>
  <c r="AG69" i="3"/>
  <c r="W69" i="3"/>
  <c r="L69" i="3"/>
  <c r="AF69" i="3"/>
  <c r="U69" i="3"/>
  <c r="AE69" i="3"/>
  <c r="T69" i="3"/>
  <c r="AC69" i="3"/>
  <c r="S69" i="3"/>
  <c r="G69" i="3"/>
  <c r="AJ69" i="3"/>
  <c r="Z69" i="3"/>
  <c r="O69" i="3"/>
  <c r="AB69" i="3"/>
  <c r="AA69" i="3"/>
  <c r="X69" i="3"/>
  <c r="R69" i="3"/>
  <c r="Q69" i="3"/>
  <c r="M69" i="3"/>
  <c r="AI69" i="3"/>
  <c r="AK69" i="3"/>
  <c r="AM65" i="3"/>
  <c r="AS60" i="3"/>
  <c r="AG42" i="3"/>
  <c r="Y42" i="3"/>
  <c r="Q42" i="3"/>
  <c r="G42" i="3"/>
  <c r="AF42" i="3"/>
  <c r="X42" i="3"/>
  <c r="P42" i="3"/>
  <c r="AK42" i="3"/>
  <c r="AC42" i="3"/>
  <c r="U42" i="3"/>
  <c r="M42" i="3"/>
  <c r="S42" i="3"/>
  <c r="AD42" i="3"/>
  <c r="R42" i="3"/>
  <c r="AB42" i="3"/>
  <c r="O42" i="3"/>
  <c r="AA42" i="3"/>
  <c r="N42" i="3"/>
  <c r="AL42" i="3"/>
  <c r="Z42" i="3"/>
  <c r="L42" i="3"/>
  <c r="W42" i="3"/>
  <c r="AJ42" i="3"/>
  <c r="AH42" i="3"/>
  <c r="T42" i="3"/>
  <c r="AE42" i="3"/>
  <c r="AI42" i="3"/>
  <c r="V42" i="3"/>
  <c r="AJ39" i="3"/>
  <c r="AB39" i="3"/>
  <c r="T39" i="3"/>
  <c r="L39" i="3"/>
  <c r="AG39" i="3"/>
  <c r="Y39" i="3"/>
  <c r="Q39" i="3"/>
  <c r="G39" i="3"/>
  <c r="AL39" i="3"/>
  <c r="AA39" i="3"/>
  <c r="P39" i="3"/>
  <c r="AK39" i="3"/>
  <c r="Z39" i="3"/>
  <c r="O39" i="3"/>
  <c r="AI39" i="3"/>
  <c r="X39" i="3"/>
  <c r="N39" i="3"/>
  <c r="AH39" i="3"/>
  <c r="W39" i="3"/>
  <c r="M39" i="3"/>
  <c r="AF39" i="3"/>
  <c r="V39" i="3"/>
  <c r="AD39" i="3"/>
  <c r="S39" i="3"/>
  <c r="AC39" i="3"/>
  <c r="R39" i="3"/>
  <c r="AE39" i="3"/>
  <c r="U39" i="3"/>
  <c r="AE22" i="3"/>
  <c r="W22" i="3"/>
  <c r="O22" i="3"/>
  <c r="AL22" i="3"/>
  <c r="AD22" i="3"/>
  <c r="V22" i="3"/>
  <c r="N22" i="3"/>
  <c r="AK22" i="3"/>
  <c r="AC22" i="3"/>
  <c r="U22" i="3"/>
  <c r="M22" i="3"/>
  <c r="AJ22" i="3"/>
  <c r="AB22" i="3"/>
  <c r="T22" i="3"/>
  <c r="L22" i="3"/>
  <c r="AH22" i="3"/>
  <c r="Z22" i="3"/>
  <c r="AI22" i="3"/>
  <c r="AA22" i="3"/>
  <c r="S22" i="3"/>
  <c r="R22" i="3"/>
  <c r="AF22" i="3"/>
  <c r="X22" i="3"/>
  <c r="P22" i="3"/>
  <c r="AG22" i="3"/>
  <c r="Y22" i="3"/>
  <c r="Q22" i="3"/>
  <c r="G22" i="3"/>
  <c r="AL150" i="3"/>
  <c r="AD150" i="3"/>
  <c r="V150" i="3"/>
  <c r="AJ150" i="3"/>
  <c r="AB150" i="3"/>
  <c r="T150" i="3"/>
  <c r="L150" i="3"/>
  <c r="AH150" i="3"/>
  <c r="Z150" i="3"/>
  <c r="R150" i="3"/>
  <c r="AA150" i="3"/>
  <c r="O150" i="3"/>
  <c r="Y150" i="3"/>
  <c r="N150" i="3"/>
  <c r="AG150" i="3"/>
  <c r="U150" i="3"/>
  <c r="G150" i="3"/>
  <c r="S150" i="3"/>
  <c r="AK150" i="3"/>
  <c r="Q150" i="3"/>
  <c r="AI150" i="3"/>
  <c r="P150" i="3"/>
  <c r="AF150" i="3"/>
  <c r="M150" i="3"/>
  <c r="AE150" i="3"/>
  <c r="AC150" i="3"/>
  <c r="W150" i="3"/>
  <c r="X150" i="3"/>
  <c r="AH139" i="3"/>
  <c r="Z139" i="3"/>
  <c r="R139" i="3"/>
  <c r="AG139" i="3"/>
  <c r="Y139" i="3"/>
  <c r="Q139" i="3"/>
  <c r="G139" i="3"/>
  <c r="AL139" i="3"/>
  <c r="AD139" i="3"/>
  <c r="V139" i="3"/>
  <c r="N139" i="3"/>
  <c r="AB139" i="3"/>
  <c r="O139" i="3"/>
  <c r="AA139" i="3"/>
  <c r="M139" i="3"/>
  <c r="AK139" i="3"/>
  <c r="X139" i="3"/>
  <c r="L139" i="3"/>
  <c r="AJ139" i="3"/>
  <c r="W139" i="3"/>
  <c r="AI139" i="3"/>
  <c r="U139" i="3"/>
  <c r="AF139" i="3"/>
  <c r="T139" i="3"/>
  <c r="AC139" i="3"/>
  <c r="S139" i="3"/>
  <c r="P139" i="3"/>
  <c r="AE139" i="3"/>
  <c r="AK95" i="3"/>
  <c r="AC95" i="3"/>
  <c r="U95" i="3"/>
  <c r="M95" i="3"/>
  <c r="AI95" i="3"/>
  <c r="AA95" i="3"/>
  <c r="S95" i="3"/>
  <c r="AF95" i="3"/>
  <c r="X95" i="3"/>
  <c r="P95" i="3"/>
  <c r="AL95" i="3"/>
  <c r="Y95" i="3"/>
  <c r="L95" i="3"/>
  <c r="AH95" i="3"/>
  <c r="V95" i="3"/>
  <c r="G95" i="3"/>
  <c r="AE95" i="3"/>
  <c r="R95" i="3"/>
  <c r="AD95" i="3"/>
  <c r="Q95" i="3"/>
  <c r="T95" i="3"/>
  <c r="O95" i="3"/>
  <c r="N95" i="3"/>
  <c r="AJ95" i="3"/>
  <c r="AG95" i="3"/>
  <c r="AB95" i="3"/>
  <c r="W95" i="3"/>
  <c r="Z95" i="3"/>
  <c r="AK72" i="3"/>
  <c r="AC72" i="3"/>
  <c r="U72" i="3"/>
  <c r="M72" i="3"/>
  <c r="AH72" i="3"/>
  <c r="Z72" i="3"/>
  <c r="R72" i="3"/>
  <c r="AI72" i="3"/>
  <c r="X72" i="3"/>
  <c r="N72" i="3"/>
  <c r="AE72" i="3"/>
  <c r="S72" i="3"/>
  <c r="AD72" i="3"/>
  <c r="Q72" i="3"/>
  <c r="AB72" i="3"/>
  <c r="P72" i="3"/>
  <c r="AA72" i="3"/>
  <c r="O72" i="3"/>
  <c r="AG72" i="3"/>
  <c r="V72" i="3"/>
  <c r="G72" i="3"/>
  <c r="AL72" i="3"/>
  <c r="AJ72" i="3"/>
  <c r="AF72" i="3"/>
  <c r="Y72" i="3"/>
  <c r="W72" i="3"/>
  <c r="L72" i="3"/>
  <c r="T72" i="3"/>
  <c r="AK77" i="3"/>
  <c r="AC77" i="3"/>
  <c r="U77" i="3"/>
  <c r="M77" i="3"/>
  <c r="AI77" i="3"/>
  <c r="AA77" i="3"/>
  <c r="S77" i="3"/>
  <c r="AF77" i="3"/>
  <c r="X77" i="3"/>
  <c r="P77" i="3"/>
  <c r="AJ77" i="3"/>
  <c r="W77" i="3"/>
  <c r="AE77" i="3"/>
  <c r="R77" i="3"/>
  <c r="AL77" i="3"/>
  <c r="T77" i="3"/>
  <c r="AG77" i="3"/>
  <c r="O77" i="3"/>
  <c r="V77" i="3"/>
  <c r="Q77" i="3"/>
  <c r="N77" i="3"/>
  <c r="AH77" i="3"/>
  <c r="L77" i="3"/>
  <c r="AD77" i="3"/>
  <c r="G77" i="3"/>
  <c r="Y77" i="3"/>
  <c r="Z77" i="3"/>
  <c r="AB77" i="3"/>
  <c r="AL52" i="3"/>
  <c r="AD52" i="3"/>
  <c r="V52" i="3"/>
  <c r="N52" i="3"/>
  <c r="AK52" i="3"/>
  <c r="AC52" i="3"/>
  <c r="U52" i="3"/>
  <c r="M52" i="3"/>
  <c r="AH52" i="3"/>
  <c r="Z52" i="3"/>
  <c r="R52" i="3"/>
  <c r="AA52" i="3"/>
  <c r="O52" i="3"/>
  <c r="Y52" i="3"/>
  <c r="L52" i="3"/>
  <c r="AG52" i="3"/>
  <c r="T52" i="3"/>
  <c r="AE52" i="3"/>
  <c r="G52" i="3"/>
  <c r="AB52" i="3"/>
  <c r="X52" i="3"/>
  <c r="W52" i="3"/>
  <c r="S52" i="3"/>
  <c r="AJ52" i="3"/>
  <c r="Q52" i="3"/>
  <c r="AF52" i="3"/>
  <c r="AI52" i="3"/>
  <c r="P52" i="3"/>
  <c r="AL12" i="3"/>
  <c r="AD12" i="3"/>
  <c r="V12" i="3"/>
  <c r="N12" i="3"/>
  <c r="AK12" i="3"/>
  <c r="AC12" i="3"/>
  <c r="U12" i="3"/>
  <c r="M12" i="3"/>
  <c r="AJ12" i="3"/>
  <c r="AB12" i="3"/>
  <c r="T12" i="3"/>
  <c r="L12" i="3"/>
  <c r="AH12" i="3"/>
  <c r="R12" i="3"/>
  <c r="AI12" i="3"/>
  <c r="AA12" i="3"/>
  <c r="S12" i="3"/>
  <c r="Z12" i="3"/>
  <c r="AF12" i="3"/>
  <c r="X12" i="3"/>
  <c r="P12" i="3"/>
  <c r="G12" i="3"/>
  <c r="AG12" i="3"/>
  <c r="AE12" i="3"/>
  <c r="Y12" i="3"/>
  <c r="Q12" i="3"/>
  <c r="O12" i="3"/>
  <c r="W12" i="3"/>
  <c r="AJ4" i="3"/>
  <c r="AB4" i="3"/>
  <c r="T4" i="3"/>
  <c r="L4" i="3"/>
  <c r="AH4" i="3"/>
  <c r="R4" i="3"/>
  <c r="AI4" i="3"/>
  <c r="AA4" i="3"/>
  <c r="S4" i="3"/>
  <c r="Z4" i="3"/>
  <c r="AF4" i="3"/>
  <c r="X4" i="3"/>
  <c r="P4" i="3"/>
  <c r="AC4" i="3"/>
  <c r="AE4" i="3"/>
  <c r="Y4" i="3"/>
  <c r="G4" i="3"/>
  <c r="W4" i="3"/>
  <c r="O4" i="3"/>
  <c r="AL4" i="3"/>
  <c r="V4" i="3"/>
  <c r="AK4" i="3"/>
  <c r="U4" i="3"/>
  <c r="AG4" i="3"/>
  <c r="Q4" i="3"/>
  <c r="AD4" i="3"/>
  <c r="N4" i="3"/>
  <c r="M4" i="3"/>
  <c r="AG73" i="3"/>
  <c r="Y73" i="3"/>
  <c r="Q73" i="3"/>
  <c r="G73" i="3"/>
  <c r="AL73" i="3"/>
  <c r="AD73" i="3"/>
  <c r="V73" i="3"/>
  <c r="N73" i="3"/>
  <c r="AH73" i="3"/>
  <c r="W73" i="3"/>
  <c r="L73" i="3"/>
  <c r="AJ73" i="3"/>
  <c r="X73" i="3"/>
  <c r="AI73" i="3"/>
  <c r="U73" i="3"/>
  <c r="AF73" i="3"/>
  <c r="T73" i="3"/>
  <c r="AE73" i="3"/>
  <c r="S73" i="3"/>
  <c r="AA73" i="3"/>
  <c r="O73" i="3"/>
  <c r="P73" i="3"/>
  <c r="M73" i="3"/>
  <c r="AK73" i="3"/>
  <c r="AC73" i="3"/>
  <c r="AB73" i="3"/>
  <c r="R73" i="3"/>
  <c r="Z73" i="3"/>
  <c r="AL54" i="3"/>
  <c r="AD54" i="3"/>
  <c r="V54" i="3"/>
  <c r="N54" i="3"/>
  <c r="AK54" i="3"/>
  <c r="AC54" i="3"/>
  <c r="U54" i="3"/>
  <c r="M54" i="3"/>
  <c r="AH54" i="3"/>
  <c r="Z54" i="3"/>
  <c r="R54" i="3"/>
  <c r="AB54" i="3"/>
  <c r="P54" i="3"/>
  <c r="AA54" i="3"/>
  <c r="O54" i="3"/>
  <c r="AI54" i="3"/>
  <c r="W54" i="3"/>
  <c r="G54" i="3"/>
  <c r="S54" i="3"/>
  <c r="AJ54" i="3"/>
  <c r="Q54" i="3"/>
  <c r="AG54" i="3"/>
  <c r="L54" i="3"/>
  <c r="AF54" i="3"/>
  <c r="AE54" i="3"/>
  <c r="Y54" i="3"/>
  <c r="T54" i="3"/>
  <c r="X54" i="3"/>
  <c r="AF26" i="3"/>
  <c r="X26" i="3"/>
  <c r="P26" i="3"/>
  <c r="AK26" i="3"/>
  <c r="AC26" i="3"/>
  <c r="U26" i="3"/>
  <c r="M26" i="3"/>
  <c r="AG26" i="3"/>
  <c r="V26" i="3"/>
  <c r="AE26" i="3"/>
  <c r="T26" i="3"/>
  <c r="AD26" i="3"/>
  <c r="S26" i="3"/>
  <c r="G26" i="3"/>
  <c r="AA26" i="3"/>
  <c r="AB26" i="3"/>
  <c r="R26" i="3"/>
  <c r="AL26" i="3"/>
  <c r="Q26" i="3"/>
  <c r="AI26" i="3"/>
  <c r="Y26" i="3"/>
  <c r="N26" i="3"/>
  <c r="AH26" i="3"/>
  <c r="W26" i="3"/>
  <c r="L26" i="3"/>
  <c r="AJ26" i="3"/>
  <c r="Z26" i="3"/>
  <c r="O26" i="3"/>
  <c r="AT160" i="3"/>
  <c r="AK134" i="3"/>
  <c r="AC134" i="3"/>
  <c r="U134" i="3"/>
  <c r="M134" i="3"/>
  <c r="AJ134" i="3"/>
  <c r="AB134" i="3"/>
  <c r="T134" i="3"/>
  <c r="L134" i="3"/>
  <c r="AI134" i="3"/>
  <c r="AA134" i="3"/>
  <c r="S134" i="3"/>
  <c r="AH134" i="3"/>
  <c r="Z134" i="3"/>
  <c r="R134" i="3"/>
  <c r="AF134" i="3"/>
  <c r="X134" i="3"/>
  <c r="P134" i="3"/>
  <c r="AG134" i="3"/>
  <c r="N134" i="3"/>
  <c r="AE134" i="3"/>
  <c r="G134" i="3"/>
  <c r="AD134" i="3"/>
  <c r="Y134" i="3"/>
  <c r="W134" i="3"/>
  <c r="V134" i="3"/>
  <c r="AL134" i="3"/>
  <c r="O134" i="3"/>
  <c r="Q134" i="3"/>
  <c r="AL142" i="3"/>
  <c r="AD142" i="3"/>
  <c r="V142" i="3"/>
  <c r="N142" i="3"/>
  <c r="AK142" i="3"/>
  <c r="AC142" i="3"/>
  <c r="U142" i="3"/>
  <c r="M142" i="3"/>
  <c r="AH142" i="3"/>
  <c r="Z142" i="3"/>
  <c r="R142" i="3"/>
  <c r="AJ142" i="3"/>
  <c r="X142" i="3"/>
  <c r="AI142" i="3"/>
  <c r="W142" i="3"/>
  <c r="G142" i="3"/>
  <c r="AG142" i="3"/>
  <c r="T142" i="3"/>
  <c r="AF142" i="3"/>
  <c r="S142" i="3"/>
  <c r="AE142" i="3"/>
  <c r="Q142" i="3"/>
  <c r="AB142" i="3"/>
  <c r="P142" i="3"/>
  <c r="AA142" i="3"/>
  <c r="Y142" i="3"/>
  <c r="O142" i="3"/>
  <c r="L142" i="3"/>
  <c r="AF149" i="3"/>
  <c r="X149" i="3"/>
  <c r="P149" i="3"/>
  <c r="AL149" i="3"/>
  <c r="AD149" i="3"/>
  <c r="V149" i="3"/>
  <c r="N149" i="3"/>
  <c r="AB149" i="3"/>
  <c r="R149" i="3"/>
  <c r="AK149" i="3"/>
  <c r="AA149" i="3"/>
  <c r="Q149" i="3"/>
  <c r="AH149" i="3"/>
  <c r="W149" i="3"/>
  <c r="L149" i="3"/>
  <c r="AG149" i="3"/>
  <c r="O149" i="3"/>
  <c r="AE149" i="3"/>
  <c r="M149" i="3"/>
  <c r="AC149" i="3"/>
  <c r="Z149" i="3"/>
  <c r="Y149" i="3"/>
  <c r="G149" i="3"/>
  <c r="U149" i="3"/>
  <c r="AI149" i="3"/>
  <c r="S149" i="3"/>
  <c r="AJ149" i="3"/>
  <c r="T149" i="3"/>
  <c r="AE120" i="3"/>
  <c r="W120" i="3"/>
  <c r="O120" i="3"/>
  <c r="AJ120" i="3"/>
  <c r="AB120" i="3"/>
  <c r="T120" i="3"/>
  <c r="L120" i="3"/>
  <c r="AI120" i="3"/>
  <c r="AA120" i="3"/>
  <c r="S120" i="3"/>
  <c r="AH120" i="3"/>
  <c r="Z120" i="3"/>
  <c r="R120" i="3"/>
  <c r="AF120" i="3"/>
  <c r="X120" i="3"/>
  <c r="P120" i="3"/>
  <c r="U120" i="3"/>
  <c r="AK120" i="3"/>
  <c r="N120" i="3"/>
  <c r="AD120" i="3"/>
  <c r="G120" i="3"/>
  <c r="Y120" i="3"/>
  <c r="V120" i="3"/>
  <c r="AG120" i="3"/>
  <c r="AC120" i="3"/>
  <c r="Q120" i="3"/>
  <c r="M120" i="3"/>
  <c r="AL120" i="3"/>
  <c r="AJ110" i="3"/>
  <c r="AB110" i="3"/>
  <c r="T110" i="3"/>
  <c r="L110" i="3"/>
  <c r="AI110" i="3"/>
  <c r="AA110" i="3"/>
  <c r="S110" i="3"/>
  <c r="AF110" i="3"/>
  <c r="X110" i="3"/>
  <c r="P110" i="3"/>
  <c r="AH110" i="3"/>
  <c r="V110" i="3"/>
  <c r="G110" i="3"/>
  <c r="AC110" i="3"/>
  <c r="N110" i="3"/>
  <c r="Z110" i="3"/>
  <c r="M110" i="3"/>
  <c r="AL110" i="3"/>
  <c r="W110" i="3"/>
  <c r="AG110" i="3"/>
  <c r="R110" i="3"/>
  <c r="AE110" i="3"/>
  <c r="Q110" i="3"/>
  <c r="AK110" i="3"/>
  <c r="AD110" i="3"/>
  <c r="Y110" i="3"/>
  <c r="U110" i="3"/>
  <c r="O110" i="3"/>
  <c r="AK132" i="3"/>
  <c r="AC132" i="3"/>
  <c r="U132" i="3"/>
  <c r="M132" i="3"/>
  <c r="AI132" i="3"/>
  <c r="AA132" i="3"/>
  <c r="S132" i="3"/>
  <c r="AH132" i="3"/>
  <c r="Z132" i="3"/>
  <c r="R132" i="3"/>
  <c r="AF132" i="3"/>
  <c r="X132" i="3"/>
  <c r="P132" i="3"/>
  <c r="AG132" i="3"/>
  <c r="Q132" i="3"/>
  <c r="AE132" i="3"/>
  <c r="O132" i="3"/>
  <c r="AD132" i="3"/>
  <c r="N132" i="3"/>
  <c r="AB132" i="3"/>
  <c r="L132" i="3"/>
  <c r="Y132" i="3"/>
  <c r="G132" i="3"/>
  <c r="W132" i="3"/>
  <c r="AJ132" i="3"/>
  <c r="T132" i="3"/>
  <c r="AL132" i="3"/>
  <c r="V132" i="3"/>
  <c r="AM121" i="3"/>
  <c r="AS115" i="3"/>
  <c r="AE99" i="3"/>
  <c r="W99" i="3"/>
  <c r="AJ99" i="3"/>
  <c r="AD99" i="3"/>
  <c r="U99" i="3"/>
  <c r="M99" i="3"/>
  <c r="AI99" i="3"/>
  <c r="Y99" i="3"/>
  <c r="O99" i="3"/>
  <c r="AG99" i="3"/>
  <c r="V99" i="3"/>
  <c r="L99" i="3"/>
  <c r="AC99" i="3"/>
  <c r="S99" i="3"/>
  <c r="AB99" i="3"/>
  <c r="R99" i="3"/>
  <c r="G99" i="3"/>
  <c r="AH99" i="3"/>
  <c r="N99" i="3"/>
  <c r="AF99" i="3"/>
  <c r="AA99" i="3"/>
  <c r="Z99" i="3"/>
  <c r="X99" i="3"/>
  <c r="T99" i="3"/>
  <c r="AL99" i="3"/>
  <c r="Q99" i="3"/>
  <c r="P99" i="3"/>
  <c r="AK99" i="3"/>
  <c r="AK89" i="3"/>
  <c r="AC89" i="3"/>
  <c r="U89" i="3"/>
  <c r="M89" i="3"/>
  <c r="AI89" i="3"/>
  <c r="AA89" i="3"/>
  <c r="S89" i="3"/>
  <c r="AF89" i="3"/>
  <c r="X89" i="3"/>
  <c r="P89" i="3"/>
  <c r="Z89" i="3"/>
  <c r="N89" i="3"/>
  <c r="AJ89" i="3"/>
  <c r="W89" i="3"/>
  <c r="AH89" i="3"/>
  <c r="V89" i="3"/>
  <c r="G89" i="3"/>
  <c r="AD89" i="3"/>
  <c r="Y89" i="3"/>
  <c r="R89" i="3"/>
  <c r="AG89" i="3"/>
  <c r="O89" i="3"/>
  <c r="T89" i="3"/>
  <c r="Q89" i="3"/>
  <c r="L89" i="3"/>
  <c r="AL89" i="3"/>
  <c r="AB89" i="3"/>
  <c r="AE89" i="3"/>
  <c r="AK83" i="3"/>
  <c r="AC83" i="3"/>
  <c r="U83" i="3"/>
  <c r="M83" i="3"/>
  <c r="AI83" i="3"/>
  <c r="AA83" i="3"/>
  <c r="S83" i="3"/>
  <c r="AF83" i="3"/>
  <c r="X83" i="3"/>
  <c r="P83" i="3"/>
  <c r="AE83" i="3"/>
  <c r="R83" i="3"/>
  <c r="Z83" i="3"/>
  <c r="N83" i="3"/>
  <c r="AJ83" i="3"/>
  <c r="T83" i="3"/>
  <c r="AG83" i="3"/>
  <c r="O83" i="3"/>
  <c r="AB83" i="3"/>
  <c r="W83" i="3"/>
  <c r="L83" i="3"/>
  <c r="AL83" i="3"/>
  <c r="G83" i="3"/>
  <c r="AH83" i="3"/>
  <c r="AD83" i="3"/>
  <c r="Y83" i="3"/>
  <c r="Q83" i="3"/>
  <c r="V83" i="3"/>
  <c r="W16" i="3"/>
  <c r="AL16" i="3"/>
  <c r="AD16" i="3"/>
  <c r="V16" i="3"/>
  <c r="N16" i="3"/>
  <c r="AK16" i="3"/>
  <c r="AC16" i="3"/>
  <c r="U16" i="3"/>
  <c r="M16" i="3"/>
  <c r="AJ16" i="3"/>
  <c r="AB16" i="3"/>
  <c r="T16" i="3"/>
  <c r="L16" i="3"/>
  <c r="R16" i="3"/>
  <c r="AI16" i="3"/>
  <c r="AA16" i="3"/>
  <c r="S16" i="3"/>
  <c r="AH16" i="3"/>
  <c r="Z16" i="3"/>
  <c r="AF16" i="3"/>
  <c r="X16" i="3"/>
  <c r="P16" i="3"/>
  <c r="AE16" i="3"/>
  <c r="O16" i="3"/>
  <c r="AG16" i="3"/>
  <c r="Y16" i="3"/>
  <c r="Q16" i="3"/>
  <c r="G16" i="3"/>
  <c r="AS162" i="3"/>
  <c r="AE158" i="3"/>
  <c r="W158" i="3"/>
  <c r="O158" i="3"/>
  <c r="AK158" i="3"/>
  <c r="AC158" i="3"/>
  <c r="U158" i="3"/>
  <c r="AJ158" i="3"/>
  <c r="AB158" i="3"/>
  <c r="AL158" i="3"/>
  <c r="Y158" i="3"/>
  <c r="N158" i="3"/>
  <c r="AI158" i="3"/>
  <c r="X158" i="3"/>
  <c r="M158" i="3"/>
  <c r="AH158" i="3"/>
  <c r="V158" i="3"/>
  <c r="L158" i="3"/>
  <c r="AG158" i="3"/>
  <c r="T158" i="3"/>
  <c r="AF158" i="3"/>
  <c r="S158" i="3"/>
  <c r="AD158" i="3"/>
  <c r="R158" i="3"/>
  <c r="G158" i="3"/>
  <c r="P158" i="3"/>
  <c r="Q158" i="3"/>
  <c r="Z158" i="3"/>
  <c r="AA158" i="3"/>
  <c r="AI128" i="3"/>
  <c r="AA128" i="3"/>
  <c r="S128" i="3"/>
  <c r="AF128" i="3"/>
  <c r="X128" i="3"/>
  <c r="P128" i="3"/>
  <c r="AL128" i="3"/>
  <c r="AB128" i="3"/>
  <c r="Q128" i="3"/>
  <c r="AJ128" i="3"/>
  <c r="Y128" i="3"/>
  <c r="N128" i="3"/>
  <c r="AH128" i="3"/>
  <c r="W128" i="3"/>
  <c r="M128" i="3"/>
  <c r="AG128" i="3"/>
  <c r="V128" i="3"/>
  <c r="L128" i="3"/>
  <c r="AE128" i="3"/>
  <c r="U128" i="3"/>
  <c r="AC128" i="3"/>
  <c r="R128" i="3"/>
  <c r="G128" i="3"/>
  <c r="AK128" i="3"/>
  <c r="AD128" i="3"/>
  <c r="T128" i="3"/>
  <c r="O128" i="3"/>
  <c r="Z128" i="3"/>
  <c r="AS119" i="3"/>
  <c r="AI100" i="3"/>
  <c r="AA100" i="3"/>
  <c r="S100" i="3"/>
  <c r="AF100" i="3"/>
  <c r="X100" i="3"/>
  <c r="P100" i="3"/>
  <c r="AC100" i="3"/>
  <c r="R100" i="3"/>
  <c r="AL100" i="3"/>
  <c r="Z100" i="3"/>
  <c r="N100" i="3"/>
  <c r="AJ100" i="3"/>
  <c r="W100" i="3"/>
  <c r="L100" i="3"/>
  <c r="AG100" i="3"/>
  <c r="U100" i="3"/>
  <c r="G100" i="3"/>
  <c r="AE100" i="3"/>
  <c r="T100" i="3"/>
  <c r="AD100" i="3"/>
  <c r="AB100" i="3"/>
  <c r="Y100" i="3"/>
  <c r="V100" i="3"/>
  <c r="Q100" i="3"/>
  <c r="O100" i="3"/>
  <c r="AK100" i="3"/>
  <c r="M100" i="3"/>
  <c r="AH100" i="3"/>
  <c r="AT107" i="3"/>
  <c r="AI104" i="3"/>
  <c r="AA104" i="3"/>
  <c r="S104" i="3"/>
  <c r="AF104" i="3"/>
  <c r="X104" i="3"/>
  <c r="P104" i="3"/>
  <c r="AC104" i="3"/>
  <c r="R104" i="3"/>
  <c r="AK104" i="3"/>
  <c r="Y104" i="3"/>
  <c r="M104" i="3"/>
  <c r="AH104" i="3"/>
  <c r="V104" i="3"/>
  <c r="AE104" i="3"/>
  <c r="T104" i="3"/>
  <c r="AD104" i="3"/>
  <c r="Q104" i="3"/>
  <c r="W104" i="3"/>
  <c r="U104" i="3"/>
  <c r="O104" i="3"/>
  <c r="AL104" i="3"/>
  <c r="N104" i="3"/>
  <c r="AJ104" i="3"/>
  <c r="L104" i="3"/>
  <c r="AG104" i="3"/>
  <c r="AB104" i="3"/>
  <c r="G104" i="3"/>
  <c r="Z104" i="3"/>
  <c r="AI102" i="3"/>
  <c r="AA102" i="3"/>
  <c r="S102" i="3"/>
  <c r="AF102" i="3"/>
  <c r="X102" i="3"/>
  <c r="P102" i="3"/>
  <c r="AH102" i="3"/>
  <c r="W102" i="3"/>
  <c r="M102" i="3"/>
  <c r="AE102" i="3"/>
  <c r="T102" i="3"/>
  <c r="AC102" i="3"/>
  <c r="Q102" i="3"/>
  <c r="AL102" i="3"/>
  <c r="Z102" i="3"/>
  <c r="N102" i="3"/>
  <c r="AK102" i="3"/>
  <c r="Y102" i="3"/>
  <c r="L102" i="3"/>
  <c r="R102" i="3"/>
  <c r="O102" i="3"/>
  <c r="AJ102" i="3"/>
  <c r="AG102" i="3"/>
  <c r="G102" i="3"/>
  <c r="AD102" i="3"/>
  <c r="AB102" i="3"/>
  <c r="V102" i="3"/>
  <c r="U102" i="3"/>
  <c r="AK93" i="3"/>
  <c r="AC93" i="3"/>
  <c r="U93" i="3"/>
  <c r="M93" i="3"/>
  <c r="AI93" i="3"/>
  <c r="AA93" i="3"/>
  <c r="S93" i="3"/>
  <c r="AF93" i="3"/>
  <c r="X93" i="3"/>
  <c r="P93" i="3"/>
  <c r="Z93" i="3"/>
  <c r="N93" i="3"/>
  <c r="AJ93" i="3"/>
  <c r="W93" i="3"/>
  <c r="AG93" i="3"/>
  <c r="T93" i="3"/>
  <c r="AE93" i="3"/>
  <c r="R93" i="3"/>
  <c r="AB93" i="3"/>
  <c r="Y93" i="3"/>
  <c r="V93" i="3"/>
  <c r="Q93" i="3"/>
  <c r="O93" i="3"/>
  <c r="AL93" i="3"/>
  <c r="L93" i="3"/>
  <c r="AD93" i="3"/>
  <c r="AH93" i="3"/>
  <c r="G93" i="3"/>
  <c r="AK10" i="3"/>
  <c r="AC10" i="3"/>
  <c r="U10" i="3"/>
  <c r="M10" i="3"/>
  <c r="AJ10" i="3"/>
  <c r="AB10" i="3"/>
  <c r="T10" i="3"/>
  <c r="L10" i="3"/>
  <c r="AH10" i="3"/>
  <c r="R10" i="3"/>
  <c r="AI10" i="3"/>
  <c r="AA10" i="3"/>
  <c r="S10" i="3"/>
  <c r="Z10" i="3"/>
  <c r="AF10" i="3"/>
  <c r="X10" i="3"/>
  <c r="P10" i="3"/>
  <c r="AG10" i="3"/>
  <c r="N10" i="3"/>
  <c r="AE10" i="3"/>
  <c r="V10" i="3"/>
  <c r="G10" i="3"/>
  <c r="AD10" i="3"/>
  <c r="Y10" i="3"/>
  <c r="W10" i="3"/>
  <c r="Q10" i="3"/>
  <c r="AL10" i="3"/>
  <c r="O10" i="3"/>
  <c r="AS43" i="3"/>
  <c r="AM162" i="3"/>
  <c r="AH145" i="3"/>
  <c r="Z145" i="3"/>
  <c r="R145" i="3"/>
  <c r="AG145" i="3"/>
  <c r="Y145" i="3"/>
  <c r="Q145" i="3"/>
  <c r="G145" i="3"/>
  <c r="AL145" i="3"/>
  <c r="AD145" i="3"/>
  <c r="V145" i="3"/>
  <c r="N145" i="3"/>
  <c r="AF145" i="3"/>
  <c r="T145" i="3"/>
  <c r="AE145" i="3"/>
  <c r="S145" i="3"/>
  <c r="AC145" i="3"/>
  <c r="P145" i="3"/>
  <c r="AB145" i="3"/>
  <c r="O145" i="3"/>
  <c r="AA145" i="3"/>
  <c r="M145" i="3"/>
  <c r="AK145" i="3"/>
  <c r="X145" i="3"/>
  <c r="L145" i="3"/>
  <c r="AI145" i="3"/>
  <c r="U145" i="3"/>
  <c r="W145" i="3"/>
  <c r="AJ145" i="3"/>
  <c r="AJ116" i="3"/>
  <c r="AB116" i="3"/>
  <c r="T116" i="3"/>
  <c r="L116" i="3"/>
  <c r="AI116" i="3"/>
  <c r="AA116" i="3"/>
  <c r="S116" i="3"/>
  <c r="AH116" i="3"/>
  <c r="Z116" i="3"/>
  <c r="R116" i="3"/>
  <c r="AF116" i="3"/>
  <c r="X116" i="3"/>
  <c r="P116" i="3"/>
  <c r="Y116" i="3"/>
  <c r="G116" i="3"/>
  <c r="AL116" i="3"/>
  <c r="V116" i="3"/>
  <c r="W116" i="3"/>
  <c r="U116" i="3"/>
  <c r="Q116" i="3"/>
  <c r="AK116" i="3"/>
  <c r="O116" i="3"/>
  <c r="AG116" i="3"/>
  <c r="N116" i="3"/>
  <c r="AE116" i="3"/>
  <c r="M116" i="3"/>
  <c r="AD116" i="3"/>
  <c r="AC116" i="3"/>
  <c r="AJ108" i="3"/>
  <c r="AB108" i="3"/>
  <c r="T108" i="3"/>
  <c r="L108" i="3"/>
  <c r="AI108" i="3"/>
  <c r="AA108" i="3"/>
  <c r="S108" i="3"/>
  <c r="AF108" i="3"/>
  <c r="X108" i="3"/>
  <c r="P108" i="3"/>
  <c r="Z108" i="3"/>
  <c r="N108" i="3"/>
  <c r="AH108" i="3"/>
  <c r="U108" i="3"/>
  <c r="AE108" i="3"/>
  <c r="Q108" i="3"/>
  <c r="AC108" i="3"/>
  <c r="M108" i="3"/>
  <c r="Y108" i="3"/>
  <c r="W108" i="3"/>
  <c r="V108" i="3"/>
  <c r="R108" i="3"/>
  <c r="O108" i="3"/>
  <c r="AL108" i="3"/>
  <c r="G108" i="3"/>
  <c r="AK108" i="3"/>
  <c r="AG108" i="3"/>
  <c r="AD108" i="3"/>
  <c r="AI126" i="3"/>
  <c r="AA126" i="3"/>
  <c r="S126" i="3"/>
  <c r="AF126" i="3"/>
  <c r="X126" i="3"/>
  <c r="P126" i="3"/>
  <c r="AG126" i="3"/>
  <c r="V126" i="3"/>
  <c r="L126" i="3"/>
  <c r="AC126" i="3"/>
  <c r="R126" i="3"/>
  <c r="AL126" i="3"/>
  <c r="AB126" i="3"/>
  <c r="Q126" i="3"/>
  <c r="AK126" i="3"/>
  <c r="Z126" i="3"/>
  <c r="O126" i="3"/>
  <c r="AH126" i="3"/>
  <c r="W126" i="3"/>
  <c r="M126" i="3"/>
  <c r="AJ126" i="3"/>
  <c r="G126" i="3"/>
  <c r="AE126" i="3"/>
  <c r="AD126" i="3"/>
  <c r="Y126" i="3"/>
  <c r="T126" i="3"/>
  <c r="N126" i="3"/>
  <c r="U126" i="3"/>
  <c r="AM103" i="3"/>
  <c r="AK91" i="3"/>
  <c r="AC91" i="3"/>
  <c r="U91" i="3"/>
  <c r="M91" i="3"/>
  <c r="AI91" i="3"/>
  <c r="AA91" i="3"/>
  <c r="S91" i="3"/>
  <c r="AF91" i="3"/>
  <c r="X91" i="3"/>
  <c r="P91" i="3"/>
  <c r="AL91" i="3"/>
  <c r="Y91" i="3"/>
  <c r="L91" i="3"/>
  <c r="AH91" i="3"/>
  <c r="V91" i="3"/>
  <c r="G91" i="3"/>
  <c r="AG91" i="3"/>
  <c r="T91" i="3"/>
  <c r="R91" i="3"/>
  <c r="Q91" i="3"/>
  <c r="AE91" i="3"/>
  <c r="N91" i="3"/>
  <c r="AD91" i="3"/>
  <c r="AB91" i="3"/>
  <c r="W91" i="3"/>
  <c r="AJ91" i="3"/>
  <c r="O91" i="3"/>
  <c r="Z91" i="3"/>
  <c r="AL61" i="3"/>
  <c r="AD61" i="3"/>
  <c r="V61" i="3"/>
  <c r="N61" i="3"/>
  <c r="AE61" i="3"/>
  <c r="U61" i="3"/>
  <c r="L61" i="3"/>
  <c r="AC61" i="3"/>
  <c r="T61" i="3"/>
  <c r="AI61" i="3"/>
  <c r="Z61" i="3"/>
  <c r="Q61" i="3"/>
  <c r="AG61" i="3"/>
  <c r="R61" i="3"/>
  <c r="AF61" i="3"/>
  <c r="P61" i="3"/>
  <c r="Y61" i="3"/>
  <c r="S61" i="3"/>
  <c r="AK61" i="3"/>
  <c r="O61" i="3"/>
  <c r="AJ61" i="3"/>
  <c r="M61" i="3"/>
  <c r="AH61" i="3"/>
  <c r="G61" i="3"/>
  <c r="AB61" i="3"/>
  <c r="AA61" i="3"/>
  <c r="W61" i="3"/>
  <c r="X61" i="3"/>
  <c r="AL56" i="3"/>
  <c r="AD56" i="3"/>
  <c r="V56" i="3"/>
  <c r="N56" i="3"/>
  <c r="AK56" i="3"/>
  <c r="AC56" i="3"/>
  <c r="U56" i="3"/>
  <c r="M56" i="3"/>
  <c r="AH56" i="3"/>
  <c r="Z56" i="3"/>
  <c r="R56" i="3"/>
  <c r="AE56" i="3"/>
  <c r="Q56" i="3"/>
  <c r="AB56" i="3"/>
  <c r="P56" i="3"/>
  <c r="AJ56" i="3"/>
  <c r="X56" i="3"/>
  <c r="AA56" i="3"/>
  <c r="Y56" i="3"/>
  <c r="W56" i="3"/>
  <c r="T56" i="3"/>
  <c r="S56" i="3"/>
  <c r="AI56" i="3"/>
  <c r="O56" i="3"/>
  <c r="AF56" i="3"/>
  <c r="G56" i="3"/>
  <c r="AG56" i="3"/>
  <c r="L56" i="3"/>
  <c r="AS65" i="3"/>
  <c r="AT60" i="3"/>
  <c r="AH57" i="3"/>
  <c r="Z57" i="3"/>
  <c r="R57" i="3"/>
  <c r="AG57" i="3"/>
  <c r="Y57" i="3"/>
  <c r="Q57" i="3"/>
  <c r="G57" i="3"/>
  <c r="AL57" i="3"/>
  <c r="AD57" i="3"/>
  <c r="V57" i="3"/>
  <c r="N57" i="3"/>
  <c r="AK57" i="3"/>
  <c r="X57" i="3"/>
  <c r="L57" i="3"/>
  <c r="AJ57" i="3"/>
  <c r="W57" i="3"/>
  <c r="AE57" i="3"/>
  <c r="S57" i="3"/>
  <c r="AA57" i="3"/>
  <c r="U57" i="3"/>
  <c r="T57" i="3"/>
  <c r="P57" i="3"/>
  <c r="AI57" i="3"/>
  <c r="O57" i="3"/>
  <c r="AF57" i="3"/>
  <c r="M57" i="3"/>
  <c r="AB57" i="3"/>
  <c r="AC57" i="3"/>
  <c r="AE18" i="3"/>
  <c r="W18" i="3"/>
  <c r="AL18" i="3"/>
  <c r="AD18" i="3"/>
  <c r="V18" i="3"/>
  <c r="N18" i="3"/>
  <c r="AK18" i="3"/>
  <c r="AC18" i="3"/>
  <c r="U18" i="3"/>
  <c r="M18" i="3"/>
  <c r="AJ18" i="3"/>
  <c r="AB18" i="3"/>
  <c r="T18" i="3"/>
  <c r="L18" i="3"/>
  <c r="Z18" i="3"/>
  <c r="AI18" i="3"/>
  <c r="AA18" i="3"/>
  <c r="S18" i="3"/>
  <c r="AH18" i="3"/>
  <c r="R18" i="3"/>
  <c r="AF18" i="3"/>
  <c r="X18" i="3"/>
  <c r="P18" i="3"/>
  <c r="O18" i="3"/>
  <c r="AG18" i="3"/>
  <c r="Y18" i="3"/>
  <c r="G18" i="3"/>
  <c r="Q18" i="3"/>
  <c r="AJ37" i="3"/>
  <c r="AB37" i="3"/>
  <c r="T37" i="3"/>
  <c r="L37" i="3"/>
  <c r="AG37" i="3"/>
  <c r="Y37" i="3"/>
  <c r="Q37" i="3"/>
  <c r="G37" i="3"/>
  <c r="V37" i="3"/>
  <c r="AE37" i="3"/>
  <c r="U37" i="3"/>
  <c r="AD37" i="3"/>
  <c r="S37" i="3"/>
  <c r="AC37" i="3"/>
  <c r="R37" i="3"/>
  <c r="AL37" i="3"/>
  <c r="AA37" i="3"/>
  <c r="P37" i="3"/>
  <c r="O37" i="3"/>
  <c r="AK37" i="3"/>
  <c r="Z37" i="3"/>
  <c r="AH37" i="3"/>
  <c r="W37" i="3"/>
  <c r="M37" i="3"/>
  <c r="AF37" i="3"/>
  <c r="AI37" i="3"/>
  <c r="X37" i="3"/>
  <c r="N37" i="3"/>
  <c r="AS160" i="3"/>
  <c r="AM164" i="3"/>
  <c r="AI165" i="3"/>
  <c r="AA165" i="3"/>
  <c r="S165" i="3"/>
  <c r="AG165" i="3"/>
  <c r="Y165" i="3"/>
  <c r="Q165" i="3"/>
  <c r="G165" i="3"/>
  <c r="AF165" i="3"/>
  <c r="X165" i="3"/>
  <c r="P165" i="3"/>
  <c r="AB165" i="3"/>
  <c r="N165" i="3"/>
  <c r="AL165" i="3"/>
  <c r="Z165" i="3"/>
  <c r="M165" i="3"/>
  <c r="AK165" i="3"/>
  <c r="W165" i="3"/>
  <c r="L165" i="3"/>
  <c r="AJ165" i="3"/>
  <c r="V165" i="3"/>
  <c r="AH165" i="3"/>
  <c r="U165" i="3"/>
  <c r="AE165" i="3"/>
  <c r="T165" i="3"/>
  <c r="AC165" i="3"/>
  <c r="O165" i="3"/>
  <c r="AD165" i="3"/>
  <c r="R165" i="3"/>
  <c r="AK130" i="3"/>
  <c r="AC130" i="3"/>
  <c r="U130" i="3"/>
  <c r="M130" i="3"/>
  <c r="AI130" i="3"/>
  <c r="AA130" i="3"/>
  <c r="S130" i="3"/>
  <c r="AH130" i="3"/>
  <c r="Z130" i="3"/>
  <c r="AF130" i="3"/>
  <c r="X130" i="3"/>
  <c r="P130" i="3"/>
  <c r="AE130" i="3"/>
  <c r="Q130" i="3"/>
  <c r="AD130" i="3"/>
  <c r="O130" i="3"/>
  <c r="AB130" i="3"/>
  <c r="N130" i="3"/>
  <c r="Y130" i="3"/>
  <c r="L130" i="3"/>
  <c r="W130" i="3"/>
  <c r="AL130" i="3"/>
  <c r="V130" i="3"/>
  <c r="G130" i="3"/>
  <c r="AG130" i="3"/>
  <c r="R130" i="3"/>
  <c r="T130" i="3"/>
  <c r="AJ130" i="3"/>
  <c r="AS153" i="3"/>
  <c r="AE122" i="3"/>
  <c r="W122" i="3"/>
  <c r="O122" i="3"/>
  <c r="AJ122" i="3"/>
  <c r="AB122" i="3"/>
  <c r="T122" i="3"/>
  <c r="L122" i="3"/>
  <c r="AI122" i="3"/>
  <c r="AA122" i="3"/>
  <c r="S122" i="3"/>
  <c r="AH122" i="3"/>
  <c r="Z122" i="3"/>
  <c r="R122" i="3"/>
  <c r="AF122" i="3"/>
  <c r="X122" i="3"/>
  <c r="P122" i="3"/>
  <c r="AK122" i="3"/>
  <c r="N122" i="3"/>
  <c r="AD122" i="3"/>
  <c r="G122" i="3"/>
  <c r="Y122" i="3"/>
  <c r="U122" i="3"/>
  <c r="AL122" i="3"/>
  <c r="Q122" i="3"/>
  <c r="AG122" i="3"/>
  <c r="AC122" i="3"/>
  <c r="V122" i="3"/>
  <c r="M122" i="3"/>
  <c r="AK85" i="3"/>
  <c r="AC85" i="3"/>
  <c r="U85" i="3"/>
  <c r="M85" i="3"/>
  <c r="AI85" i="3"/>
  <c r="AA85" i="3"/>
  <c r="S85" i="3"/>
  <c r="AF85" i="3"/>
  <c r="X85" i="3"/>
  <c r="P85" i="3"/>
  <c r="AD85" i="3"/>
  <c r="Q85" i="3"/>
  <c r="AL85" i="3"/>
  <c r="Y85" i="3"/>
  <c r="L85" i="3"/>
  <c r="V85" i="3"/>
  <c r="AH85" i="3"/>
  <c r="R85" i="3"/>
  <c r="AE85" i="3"/>
  <c r="N85" i="3"/>
  <c r="Z85" i="3"/>
  <c r="G85" i="3"/>
  <c r="AB85" i="3"/>
  <c r="W85" i="3"/>
  <c r="T85" i="3"/>
  <c r="O85" i="3"/>
  <c r="AG85" i="3"/>
  <c r="AJ85" i="3"/>
  <c r="AH62" i="3"/>
  <c r="Z62" i="3"/>
  <c r="R62" i="3"/>
  <c r="AF62" i="3"/>
  <c r="W62" i="3"/>
  <c r="N62" i="3"/>
  <c r="AE62" i="3"/>
  <c r="V62" i="3"/>
  <c r="M62" i="3"/>
  <c r="AK62" i="3"/>
  <c r="AB62" i="3"/>
  <c r="S62" i="3"/>
  <c r="G62" i="3"/>
  <c r="AD62" i="3"/>
  <c r="P62" i="3"/>
  <c r="AC62" i="3"/>
  <c r="O62" i="3"/>
  <c r="AL62" i="3"/>
  <c r="X62" i="3"/>
  <c r="T62" i="3"/>
  <c r="Q62" i="3"/>
  <c r="AJ62" i="3"/>
  <c r="L62" i="3"/>
  <c r="AI62" i="3"/>
  <c r="AG62" i="3"/>
  <c r="AA62" i="3"/>
  <c r="U62" i="3"/>
  <c r="Y62" i="3"/>
  <c r="AK8" i="3"/>
  <c r="AC8" i="3"/>
  <c r="U8" i="3"/>
  <c r="M8" i="3"/>
  <c r="AJ8" i="3"/>
  <c r="AB8" i="3"/>
  <c r="T8" i="3"/>
  <c r="L8" i="3"/>
  <c r="Z8" i="3"/>
  <c r="R8" i="3"/>
  <c r="AI8" i="3"/>
  <c r="AA8" i="3"/>
  <c r="S8" i="3"/>
  <c r="AH8" i="3"/>
  <c r="AF8" i="3"/>
  <c r="X8" i="3"/>
  <c r="P8" i="3"/>
  <c r="AE8" i="3"/>
  <c r="G8" i="3"/>
  <c r="AD8" i="3"/>
  <c r="Y8" i="3"/>
  <c r="O8" i="3"/>
  <c r="AL8" i="3"/>
  <c r="W8" i="3"/>
  <c r="V8" i="3"/>
  <c r="Q8" i="3"/>
  <c r="AG8" i="3"/>
  <c r="N8" i="3"/>
  <c r="AJ35" i="3"/>
  <c r="AB35" i="3"/>
  <c r="T35" i="3"/>
  <c r="L35" i="3"/>
  <c r="AG35" i="3"/>
  <c r="Y35" i="3"/>
  <c r="Q35" i="3"/>
  <c r="G35" i="3"/>
  <c r="AI35" i="3"/>
  <c r="X35" i="3"/>
  <c r="N35" i="3"/>
  <c r="AH35" i="3"/>
  <c r="W35" i="3"/>
  <c r="M35" i="3"/>
  <c r="AF35" i="3"/>
  <c r="V35" i="3"/>
  <c r="S35" i="3"/>
  <c r="AE35" i="3"/>
  <c r="U35" i="3"/>
  <c r="AD35" i="3"/>
  <c r="AL35" i="3"/>
  <c r="AA35" i="3"/>
  <c r="P35" i="3"/>
  <c r="AK35" i="3"/>
  <c r="Z35" i="3"/>
  <c r="O35" i="3"/>
  <c r="R35" i="3"/>
  <c r="AC35" i="3"/>
  <c r="AM49" i="3"/>
  <c r="AM43" i="3"/>
  <c r="AI159" i="3"/>
  <c r="AA159" i="3"/>
  <c r="S159" i="3"/>
  <c r="AG159" i="3"/>
  <c r="Y159" i="3"/>
  <c r="Q159" i="3"/>
  <c r="G159" i="3"/>
  <c r="AF159" i="3"/>
  <c r="X159" i="3"/>
  <c r="P159" i="3"/>
  <c r="AE159" i="3"/>
  <c r="T159" i="3"/>
  <c r="AD159" i="3"/>
  <c r="R159" i="3"/>
  <c r="AC159" i="3"/>
  <c r="O159" i="3"/>
  <c r="AB159" i="3"/>
  <c r="N159" i="3"/>
  <c r="AL159" i="3"/>
  <c r="Z159" i="3"/>
  <c r="M159" i="3"/>
  <c r="AK159" i="3"/>
  <c r="W159" i="3"/>
  <c r="L159" i="3"/>
  <c r="AJ159" i="3"/>
  <c r="AH159" i="3"/>
  <c r="V159" i="3"/>
  <c r="U159" i="3"/>
  <c r="AI161" i="3"/>
  <c r="AA161" i="3"/>
  <c r="S161" i="3"/>
  <c r="AG161" i="3"/>
  <c r="Y161" i="3"/>
  <c r="Q161" i="3"/>
  <c r="G161" i="3"/>
  <c r="AF161" i="3"/>
  <c r="X161" i="3"/>
  <c r="P161" i="3"/>
  <c r="AD161" i="3"/>
  <c r="R161" i="3"/>
  <c r="AC161" i="3"/>
  <c r="O161" i="3"/>
  <c r="AB161" i="3"/>
  <c r="N161" i="3"/>
  <c r="AL161" i="3"/>
  <c r="Z161" i="3"/>
  <c r="M161" i="3"/>
  <c r="AK161" i="3"/>
  <c r="W161" i="3"/>
  <c r="L161" i="3"/>
  <c r="AJ161" i="3"/>
  <c r="V161" i="3"/>
  <c r="AE161" i="3"/>
  <c r="U161" i="3"/>
  <c r="T161" i="3"/>
  <c r="AH161" i="3"/>
  <c r="AM160" i="3"/>
  <c r="AH141" i="3"/>
  <c r="Z141" i="3"/>
  <c r="R141" i="3"/>
  <c r="AG141" i="3"/>
  <c r="Y141" i="3"/>
  <c r="Q141" i="3"/>
  <c r="G141" i="3"/>
  <c r="AL141" i="3"/>
  <c r="AD141" i="3"/>
  <c r="V141" i="3"/>
  <c r="N141" i="3"/>
  <c r="AC141" i="3"/>
  <c r="P141" i="3"/>
  <c r="AB141" i="3"/>
  <c r="O141" i="3"/>
  <c r="AA141" i="3"/>
  <c r="M141" i="3"/>
  <c r="AK141" i="3"/>
  <c r="X141" i="3"/>
  <c r="L141" i="3"/>
  <c r="AJ141" i="3"/>
  <c r="W141" i="3"/>
  <c r="AI141" i="3"/>
  <c r="U141" i="3"/>
  <c r="AF141" i="3"/>
  <c r="AE141" i="3"/>
  <c r="S141" i="3"/>
  <c r="T141" i="3"/>
  <c r="AH143" i="3"/>
  <c r="Z143" i="3"/>
  <c r="R143" i="3"/>
  <c r="AG143" i="3"/>
  <c r="Y143" i="3"/>
  <c r="Q143" i="3"/>
  <c r="G143" i="3"/>
  <c r="AL143" i="3"/>
  <c r="AD143" i="3"/>
  <c r="V143" i="3"/>
  <c r="N143" i="3"/>
  <c r="AE143" i="3"/>
  <c r="S143" i="3"/>
  <c r="AC143" i="3"/>
  <c r="P143" i="3"/>
  <c r="AB143" i="3"/>
  <c r="O143" i="3"/>
  <c r="AA143" i="3"/>
  <c r="M143" i="3"/>
  <c r="AK143" i="3"/>
  <c r="X143" i="3"/>
  <c r="L143" i="3"/>
  <c r="AJ143" i="3"/>
  <c r="W143" i="3"/>
  <c r="AF143" i="3"/>
  <c r="T143" i="3"/>
  <c r="AI143" i="3"/>
  <c r="U143" i="3"/>
  <c r="AL138" i="3"/>
  <c r="AD138" i="3"/>
  <c r="V138" i="3"/>
  <c r="AK138" i="3"/>
  <c r="AC138" i="3"/>
  <c r="U138" i="3"/>
  <c r="M138" i="3"/>
  <c r="AH138" i="3"/>
  <c r="X138" i="3"/>
  <c r="N138" i="3"/>
  <c r="AG138" i="3"/>
  <c r="W138" i="3"/>
  <c r="L138" i="3"/>
  <c r="AF138" i="3"/>
  <c r="T138" i="3"/>
  <c r="AE138" i="3"/>
  <c r="S138" i="3"/>
  <c r="AB138" i="3"/>
  <c r="R138" i="3"/>
  <c r="G138" i="3"/>
  <c r="AA138" i="3"/>
  <c r="Q138" i="3"/>
  <c r="AI138" i="3"/>
  <c r="Z138" i="3"/>
  <c r="Y138" i="3"/>
  <c r="P138" i="3"/>
  <c r="O138" i="3"/>
  <c r="AJ138" i="3"/>
  <c r="AJ114" i="3"/>
  <c r="AB114" i="3"/>
  <c r="T114" i="3"/>
  <c r="L114" i="3"/>
  <c r="AI114" i="3"/>
  <c r="AA114" i="3"/>
  <c r="S114" i="3"/>
  <c r="AH114" i="3"/>
  <c r="Z114" i="3"/>
  <c r="R114" i="3"/>
  <c r="AF114" i="3"/>
  <c r="X114" i="3"/>
  <c r="P114" i="3"/>
  <c r="W114" i="3"/>
  <c r="AL114" i="3"/>
  <c r="U114" i="3"/>
  <c r="AK114" i="3"/>
  <c r="Q114" i="3"/>
  <c r="AG114" i="3"/>
  <c r="O114" i="3"/>
  <c r="AE114" i="3"/>
  <c r="N114" i="3"/>
  <c r="AD114" i="3"/>
  <c r="M114" i="3"/>
  <c r="AC114" i="3"/>
  <c r="G114" i="3"/>
  <c r="Y114" i="3"/>
  <c r="V114" i="3"/>
  <c r="AS121" i="3"/>
  <c r="AT115" i="3"/>
  <c r="AI106" i="3"/>
  <c r="AA106" i="3"/>
  <c r="S106" i="3"/>
  <c r="AF106" i="3"/>
  <c r="X106" i="3"/>
  <c r="P106" i="3"/>
  <c r="AH106" i="3"/>
  <c r="W106" i="3"/>
  <c r="M106" i="3"/>
  <c r="AD106" i="3"/>
  <c r="R106" i="3"/>
  <c r="AB106" i="3"/>
  <c r="O106" i="3"/>
  <c r="AK106" i="3"/>
  <c r="Y106" i="3"/>
  <c r="L106" i="3"/>
  <c r="AJ106" i="3"/>
  <c r="V106" i="3"/>
  <c r="AG106" i="3"/>
  <c r="G106" i="3"/>
  <c r="AE106" i="3"/>
  <c r="AC106" i="3"/>
  <c r="Z106" i="3"/>
  <c r="U106" i="3"/>
  <c r="T106" i="3"/>
  <c r="Q106" i="3"/>
  <c r="AL106" i="3"/>
  <c r="N106" i="3"/>
  <c r="AM115" i="3"/>
  <c r="AM107" i="3"/>
  <c r="AK79" i="3"/>
  <c r="AC79" i="3"/>
  <c r="U79" i="3"/>
  <c r="M79" i="3"/>
  <c r="AI79" i="3"/>
  <c r="AA79" i="3"/>
  <c r="S79" i="3"/>
  <c r="AF79" i="3"/>
  <c r="X79" i="3"/>
  <c r="P79" i="3"/>
  <c r="AH79" i="3"/>
  <c r="V79" i="3"/>
  <c r="G79" i="3"/>
  <c r="AD79" i="3"/>
  <c r="Q79" i="3"/>
  <c r="Y79" i="3"/>
  <c r="AL79" i="3"/>
  <c r="T79" i="3"/>
  <c r="AB79" i="3"/>
  <c r="L79" i="3"/>
  <c r="AJ79" i="3"/>
  <c r="AG79" i="3"/>
  <c r="AE79" i="3"/>
  <c r="Z79" i="3"/>
  <c r="W79" i="3"/>
  <c r="N79" i="3"/>
  <c r="R79" i="3"/>
  <c r="O79" i="3"/>
  <c r="AH70" i="3"/>
  <c r="Z70" i="3"/>
  <c r="R70" i="3"/>
  <c r="AJ70" i="3"/>
  <c r="AA70" i="3"/>
  <c r="Q70" i="3"/>
  <c r="AE70" i="3"/>
  <c r="U70" i="3"/>
  <c r="AD70" i="3"/>
  <c r="T70" i="3"/>
  <c r="G70" i="3"/>
  <c r="AC70" i="3"/>
  <c r="S70" i="3"/>
  <c r="AL70" i="3"/>
  <c r="AB70" i="3"/>
  <c r="P70" i="3"/>
  <c r="AG70" i="3"/>
  <c r="W70" i="3"/>
  <c r="M70" i="3"/>
  <c r="AF70" i="3"/>
  <c r="Y70" i="3"/>
  <c r="X70" i="3"/>
  <c r="V70" i="3"/>
  <c r="O70" i="3"/>
  <c r="N70" i="3"/>
  <c r="AI70" i="3"/>
  <c r="AK70" i="3"/>
  <c r="L70" i="3"/>
  <c r="AM60" i="3"/>
  <c r="AH45" i="3"/>
  <c r="Z45" i="3"/>
  <c r="R45" i="3"/>
  <c r="AG45" i="3"/>
  <c r="Y45" i="3"/>
  <c r="Q45" i="3"/>
  <c r="G45" i="3"/>
  <c r="AL45" i="3"/>
  <c r="AD45" i="3"/>
  <c r="V45" i="3"/>
  <c r="N45" i="3"/>
  <c r="AB45" i="3"/>
  <c r="O45" i="3"/>
  <c r="AA45" i="3"/>
  <c r="M45" i="3"/>
  <c r="AI45" i="3"/>
  <c r="U45" i="3"/>
  <c r="X45" i="3"/>
  <c r="W45" i="3"/>
  <c r="T45" i="3"/>
  <c r="AK45" i="3"/>
  <c r="S45" i="3"/>
  <c r="P45" i="3"/>
  <c r="AJ45" i="3"/>
  <c r="AE45" i="3"/>
  <c r="AC45" i="3"/>
  <c r="AF45" i="3"/>
  <c r="L45" i="3"/>
  <c r="AH59" i="3"/>
  <c r="Z59" i="3"/>
  <c r="R59" i="3"/>
  <c r="AG59" i="3"/>
  <c r="Y59" i="3"/>
  <c r="Q59" i="3"/>
  <c r="G59" i="3"/>
  <c r="AL59" i="3"/>
  <c r="AD59" i="3"/>
  <c r="V59" i="3"/>
  <c r="N59" i="3"/>
  <c r="AA59" i="3"/>
  <c r="M59" i="3"/>
  <c r="AK59" i="3"/>
  <c r="X59" i="3"/>
  <c r="L59" i="3"/>
  <c r="AF59" i="3"/>
  <c r="T59" i="3"/>
  <c r="AC59" i="3"/>
  <c r="AB59" i="3"/>
  <c r="W59" i="3"/>
  <c r="U59" i="3"/>
  <c r="S59" i="3"/>
  <c r="AJ59" i="3"/>
  <c r="P59" i="3"/>
  <c r="AE59" i="3"/>
  <c r="AI59" i="3"/>
  <c r="O59" i="3"/>
  <c r="AE20" i="3"/>
  <c r="W20" i="3"/>
  <c r="O20" i="3"/>
  <c r="AL20" i="3"/>
  <c r="AD20" i="3"/>
  <c r="V20" i="3"/>
  <c r="N20" i="3"/>
  <c r="AK20" i="3"/>
  <c r="AC20" i="3"/>
  <c r="U20" i="3"/>
  <c r="M20" i="3"/>
  <c r="AJ20" i="3"/>
  <c r="AB20" i="3"/>
  <c r="T20" i="3"/>
  <c r="L20" i="3"/>
  <c r="Z20" i="3"/>
  <c r="AI20" i="3"/>
  <c r="AA20" i="3"/>
  <c r="S20" i="3"/>
  <c r="AH20" i="3"/>
  <c r="R20" i="3"/>
  <c r="AF20" i="3"/>
  <c r="X20" i="3"/>
  <c r="P20" i="3"/>
  <c r="Y20" i="3"/>
  <c r="Q20" i="3"/>
  <c r="G20" i="3"/>
  <c r="AG20" i="3"/>
  <c r="AS55" i="3"/>
  <c r="AT49" i="3"/>
  <c r="AF30" i="3"/>
  <c r="X30" i="3"/>
  <c r="P30" i="3"/>
  <c r="AK30" i="3"/>
  <c r="AC30" i="3"/>
  <c r="U30" i="3"/>
  <c r="M30" i="3"/>
  <c r="AI30" i="3"/>
  <c r="Y30" i="3"/>
  <c r="N30" i="3"/>
  <c r="AH30" i="3"/>
  <c r="W30" i="3"/>
  <c r="L30" i="3"/>
  <c r="AG30" i="3"/>
  <c r="V30" i="3"/>
  <c r="AE30" i="3"/>
  <c r="T30" i="3"/>
  <c r="S30" i="3"/>
  <c r="G30" i="3"/>
  <c r="AD30" i="3"/>
  <c r="AL30" i="3"/>
  <c r="AA30" i="3"/>
  <c r="Q30" i="3"/>
  <c r="AJ30" i="3"/>
  <c r="Z30" i="3"/>
  <c r="O30" i="3"/>
  <c r="AB30" i="3"/>
  <c r="R30" i="3"/>
  <c r="AH155" i="3"/>
  <c r="Z155" i="3"/>
  <c r="R155" i="3"/>
  <c r="AG155" i="3"/>
  <c r="Y155" i="3"/>
  <c r="Q155" i="3"/>
  <c r="G155" i="3"/>
  <c r="AF155" i="3"/>
  <c r="X155" i="3"/>
  <c r="P155" i="3"/>
  <c r="AL155" i="3"/>
  <c r="AD155" i="3"/>
  <c r="V155" i="3"/>
  <c r="N155" i="3"/>
  <c r="AK155" i="3"/>
  <c r="AC155" i="3"/>
  <c r="U155" i="3"/>
  <c r="M155" i="3"/>
  <c r="AI155" i="3"/>
  <c r="L155" i="3"/>
  <c r="AE155" i="3"/>
  <c r="AA155" i="3"/>
  <c r="W155" i="3"/>
  <c r="AJ155" i="3"/>
  <c r="AB155" i="3"/>
  <c r="T155" i="3"/>
  <c r="S155" i="3"/>
  <c r="O155" i="3"/>
  <c r="AJ148" i="3"/>
  <c r="AH148" i="3"/>
  <c r="AD148" i="3"/>
  <c r="V148" i="3"/>
  <c r="N148" i="3"/>
  <c r="AC148" i="3"/>
  <c r="U148" i="3"/>
  <c r="M148" i="3"/>
  <c r="AI148" i="3"/>
  <c r="Z148" i="3"/>
  <c r="R148" i="3"/>
  <c r="AB148" i="3"/>
  <c r="P148" i="3"/>
  <c r="AA148" i="3"/>
  <c r="O148" i="3"/>
  <c r="Y148" i="3"/>
  <c r="L148" i="3"/>
  <c r="AL148" i="3"/>
  <c r="X148" i="3"/>
  <c r="AK148" i="3"/>
  <c r="W148" i="3"/>
  <c r="G148" i="3"/>
  <c r="AG148" i="3"/>
  <c r="T148" i="3"/>
  <c r="AE148" i="3"/>
  <c r="Q148" i="3"/>
  <c r="AF148" i="3"/>
  <c r="S148" i="3"/>
  <c r="AL146" i="3"/>
  <c r="AD146" i="3"/>
  <c r="V146" i="3"/>
  <c r="N146" i="3"/>
  <c r="AK146" i="3"/>
  <c r="AC146" i="3"/>
  <c r="U146" i="3"/>
  <c r="M146" i="3"/>
  <c r="AH146" i="3"/>
  <c r="Z146" i="3"/>
  <c r="R146" i="3"/>
  <c r="AA146" i="3"/>
  <c r="O146" i="3"/>
  <c r="Y146" i="3"/>
  <c r="L146" i="3"/>
  <c r="AJ146" i="3"/>
  <c r="X146" i="3"/>
  <c r="AI146" i="3"/>
  <c r="W146" i="3"/>
  <c r="G146" i="3"/>
  <c r="AG146" i="3"/>
  <c r="T146" i="3"/>
  <c r="AF146" i="3"/>
  <c r="S146" i="3"/>
  <c r="AB146" i="3"/>
  <c r="P146" i="3"/>
  <c r="AE146" i="3"/>
  <c r="Q146" i="3"/>
  <c r="AE118" i="3"/>
  <c r="W118" i="3"/>
  <c r="O118" i="3"/>
  <c r="AJ118" i="3"/>
  <c r="AB118" i="3"/>
  <c r="T118" i="3"/>
  <c r="L118" i="3"/>
  <c r="AI118" i="3"/>
  <c r="AA118" i="3"/>
  <c r="S118" i="3"/>
  <c r="AH118" i="3"/>
  <c r="Z118" i="3"/>
  <c r="R118" i="3"/>
  <c r="AF118" i="3"/>
  <c r="X118" i="3"/>
  <c r="P118" i="3"/>
  <c r="U118" i="3"/>
  <c r="AK118" i="3"/>
  <c r="N118" i="3"/>
  <c r="AD118" i="3"/>
  <c r="G118" i="3"/>
  <c r="AC118" i="3"/>
  <c r="AL118" i="3"/>
  <c r="AG118" i="3"/>
  <c r="Y118" i="3"/>
  <c r="V118" i="3"/>
  <c r="Q118" i="3"/>
  <c r="M118" i="3"/>
  <c r="AS164" i="3"/>
  <c r="AK81" i="3"/>
  <c r="AC81" i="3"/>
  <c r="U81" i="3"/>
  <c r="M81" i="3"/>
  <c r="AI81" i="3"/>
  <c r="AA81" i="3"/>
  <c r="S81" i="3"/>
  <c r="AF81" i="3"/>
  <c r="X81" i="3"/>
  <c r="P81" i="3"/>
  <c r="AG81" i="3"/>
  <c r="T81" i="3"/>
  <c r="AB81" i="3"/>
  <c r="O81" i="3"/>
  <c r="AD81" i="3"/>
  <c r="L81" i="3"/>
  <c r="Y81" i="3"/>
  <c r="G81" i="3"/>
  <c r="AH81" i="3"/>
  <c r="Q81" i="3"/>
  <c r="W81" i="3"/>
  <c r="V81" i="3"/>
  <c r="R81" i="3"/>
  <c r="N81" i="3"/>
  <c r="AL81" i="3"/>
  <c r="AJ81" i="3"/>
  <c r="Z81" i="3"/>
  <c r="AE81" i="3"/>
  <c r="AT65" i="3"/>
  <c r="AH47" i="3"/>
  <c r="Z47" i="3"/>
  <c r="R47" i="3"/>
  <c r="AG47" i="3"/>
  <c r="Y47" i="3"/>
  <c r="Q47" i="3"/>
  <c r="G47" i="3"/>
  <c r="AL47" i="3"/>
  <c r="AD47" i="3"/>
  <c r="V47" i="3"/>
  <c r="N47" i="3"/>
  <c r="AC47" i="3"/>
  <c r="P47" i="3"/>
  <c r="AB47" i="3"/>
  <c r="O47" i="3"/>
  <c r="AJ47" i="3"/>
  <c r="W47" i="3"/>
  <c r="AK47" i="3"/>
  <c r="S47" i="3"/>
  <c r="AI47" i="3"/>
  <c r="M47" i="3"/>
  <c r="AF47" i="3"/>
  <c r="L47" i="3"/>
  <c r="AE47" i="3"/>
  <c r="AA47" i="3"/>
  <c r="U47" i="3"/>
  <c r="T47" i="3"/>
  <c r="X47" i="3"/>
  <c r="AS78" i="3"/>
  <c r="AL14" i="3"/>
  <c r="AD14" i="3"/>
  <c r="V14" i="3"/>
  <c r="N14" i="3"/>
  <c r="AK14" i="3"/>
  <c r="AC14" i="3"/>
  <c r="U14" i="3"/>
  <c r="M14" i="3"/>
  <c r="AJ14" i="3"/>
  <c r="AB14" i="3"/>
  <c r="T14" i="3"/>
  <c r="L14" i="3"/>
  <c r="AH14" i="3"/>
  <c r="R14" i="3"/>
  <c r="AI14" i="3"/>
  <c r="AA14" i="3"/>
  <c r="S14" i="3"/>
  <c r="Z14" i="3"/>
  <c r="AF14" i="3"/>
  <c r="X14" i="3"/>
  <c r="P14" i="3"/>
  <c r="AE14" i="3"/>
  <c r="Y14" i="3"/>
  <c r="W14" i="3"/>
  <c r="Q14" i="3"/>
  <c r="O14" i="3"/>
  <c r="G14" i="3"/>
  <c r="AG14" i="3"/>
  <c r="AK6" i="3"/>
  <c r="AC6" i="3"/>
  <c r="AJ6" i="3"/>
  <c r="AB6" i="3"/>
  <c r="T6" i="3"/>
  <c r="L6" i="3"/>
  <c r="AH6" i="3"/>
  <c r="R6" i="3"/>
  <c r="AI6" i="3"/>
  <c r="AA6" i="3"/>
  <c r="S6" i="3"/>
  <c r="Z6" i="3"/>
  <c r="AF6" i="3"/>
  <c r="X6" i="3"/>
  <c r="P6" i="3"/>
  <c r="Y6" i="3"/>
  <c r="G6" i="3"/>
  <c r="W6" i="3"/>
  <c r="V6" i="3"/>
  <c r="U6" i="3"/>
  <c r="AL6" i="3"/>
  <c r="Q6" i="3"/>
  <c r="AG6" i="3"/>
  <c r="O6" i="3"/>
  <c r="AE6" i="3"/>
  <c r="N6" i="3"/>
  <c r="AD6" i="3"/>
  <c r="M6" i="3"/>
  <c r="AT96" i="3" l="1"/>
  <c r="AM119" i="3"/>
  <c r="AO119" i="3" s="1"/>
  <c r="AS113" i="3"/>
  <c r="AT24" i="3"/>
  <c r="AT119" i="3"/>
  <c r="AS86" i="3"/>
  <c r="AS24" i="3"/>
  <c r="AN44" i="3"/>
  <c r="AT36" i="3"/>
  <c r="AN38" i="3"/>
  <c r="AN24" i="3"/>
  <c r="AN55" i="3"/>
  <c r="AS152" i="3"/>
  <c r="AS125" i="3"/>
  <c r="AN50" i="3"/>
  <c r="AN40" i="3"/>
  <c r="AS63" i="3"/>
  <c r="AN131" i="3"/>
  <c r="AN27" i="3"/>
  <c r="AS131" i="3"/>
  <c r="AT55" i="3"/>
  <c r="AT34" i="3"/>
  <c r="AT131" i="3"/>
  <c r="AT113" i="3"/>
  <c r="AM24" i="3"/>
  <c r="AO24" i="3" s="1"/>
  <c r="AM113" i="3"/>
  <c r="AO113" i="3" s="1"/>
  <c r="AM33" i="3"/>
  <c r="AO33" i="3" s="1"/>
  <c r="AM131" i="3"/>
  <c r="AM55" i="3"/>
  <c r="AO55" i="3" s="1"/>
  <c r="AT152" i="3"/>
  <c r="AN124" i="3"/>
  <c r="AS32" i="3"/>
  <c r="AS38" i="3"/>
  <c r="AN64" i="3"/>
  <c r="AT38" i="3"/>
  <c r="AS137" i="3"/>
  <c r="AS21" i="3"/>
  <c r="AS11" i="3"/>
  <c r="AT48" i="3"/>
  <c r="AS48" i="3"/>
  <c r="AN32" i="3"/>
  <c r="AN144" i="3"/>
  <c r="AT66" i="3"/>
  <c r="AN157" i="3"/>
  <c r="AN90" i="3"/>
  <c r="AS157" i="3"/>
  <c r="AS50" i="3"/>
  <c r="AM11" i="3"/>
  <c r="AP11" i="3" s="1"/>
  <c r="AM78" i="3"/>
  <c r="AP78" i="3" s="1"/>
  <c r="AT13" i="3"/>
  <c r="AM144" i="3"/>
  <c r="AP144" i="3" s="1"/>
  <c r="AM82" i="3"/>
  <c r="AO82" i="3" s="1"/>
  <c r="AN75" i="3"/>
  <c r="AM68" i="3"/>
  <c r="AO68" i="3" s="1"/>
  <c r="AM105" i="3"/>
  <c r="AP105" i="3" s="1"/>
  <c r="AT64" i="3"/>
  <c r="AM152" i="3"/>
  <c r="AO152" i="3" s="1"/>
  <c r="AS75" i="3"/>
  <c r="AT31" i="3"/>
  <c r="AT40" i="3"/>
  <c r="AM13" i="3"/>
  <c r="AO13" i="3" s="1"/>
  <c r="AN11" i="3"/>
  <c r="AS64" i="3"/>
  <c r="AM36" i="3"/>
  <c r="AO36" i="3" s="1"/>
  <c r="AN48" i="3"/>
  <c r="AM27" i="3"/>
  <c r="AP27" i="3" s="1"/>
  <c r="AN154" i="3"/>
  <c r="AS31" i="3"/>
  <c r="AS36" i="3"/>
  <c r="AT32" i="3"/>
  <c r="AM64" i="3"/>
  <c r="AO64" i="3" s="1"/>
  <c r="AT111" i="3"/>
  <c r="AS111" i="3"/>
  <c r="AN46" i="3"/>
  <c r="AS40" i="3"/>
  <c r="AM38" i="3"/>
  <c r="AO38" i="3" s="1"/>
  <c r="AT27" i="3"/>
  <c r="AN152" i="3"/>
  <c r="AN36" i="3"/>
  <c r="AN29" i="3"/>
  <c r="AN151" i="3"/>
  <c r="AN68" i="3"/>
  <c r="AS144" i="3"/>
  <c r="AM32" i="3"/>
  <c r="AP32" i="3" s="1"/>
  <c r="AM48" i="3"/>
  <c r="AP48" i="3" s="1"/>
  <c r="AT50" i="3"/>
  <c r="AS156" i="3"/>
  <c r="AT109" i="3"/>
  <c r="AS117" i="3"/>
  <c r="AN147" i="3"/>
  <c r="AN82" i="3"/>
  <c r="AS66" i="3"/>
  <c r="AM133" i="3"/>
  <c r="AO133" i="3" s="1"/>
  <c r="AS97" i="3"/>
  <c r="AT137" i="3"/>
  <c r="AN140" i="3"/>
  <c r="AM44" i="3"/>
  <c r="AP44" i="3" s="1"/>
  <c r="AN127" i="3"/>
  <c r="AT147" i="3"/>
  <c r="AM9" i="3"/>
  <c r="AP9" i="3" s="1"/>
  <c r="AM50" i="3"/>
  <c r="AO50" i="3" s="1"/>
  <c r="AS27" i="3"/>
  <c r="AN31" i="3"/>
  <c r="AS82" i="3"/>
  <c r="AM40" i="3"/>
  <c r="AP40" i="3" s="1"/>
  <c r="AM75" i="3"/>
  <c r="AP75" i="3" s="1"/>
  <c r="AT124" i="3"/>
  <c r="AN13" i="3"/>
  <c r="AN111" i="3"/>
  <c r="AN88" i="3"/>
  <c r="AM124" i="3"/>
  <c r="AO124" i="3" s="1"/>
  <c r="AT144" i="3"/>
  <c r="AT75" i="3"/>
  <c r="AM140" i="3"/>
  <c r="AP140" i="3" s="1"/>
  <c r="AT11" i="3"/>
  <c r="AT82" i="3"/>
  <c r="AS124" i="3"/>
  <c r="AN51" i="3"/>
  <c r="AM31" i="3"/>
  <c r="AP31" i="3" s="1"/>
  <c r="AM111" i="3"/>
  <c r="AP111" i="3" s="1"/>
  <c r="AN97" i="3"/>
  <c r="AS105" i="3"/>
  <c r="AT63" i="3"/>
  <c r="AS23" i="3"/>
  <c r="AN23" i="3"/>
  <c r="AN9" i="3"/>
  <c r="AS147" i="3"/>
  <c r="AN156" i="3"/>
  <c r="AN133" i="3"/>
  <c r="AM109" i="3"/>
  <c r="AO109" i="3" s="1"/>
  <c r="AS41" i="3"/>
  <c r="AS98" i="3"/>
  <c r="AN117" i="3"/>
  <c r="AN137" i="3"/>
  <c r="AN63" i="3"/>
  <c r="AM157" i="3"/>
  <c r="AP157" i="3" s="1"/>
  <c r="AS90" i="3"/>
  <c r="AM147" i="3"/>
  <c r="AP147" i="3" s="1"/>
  <c r="AS140" i="3"/>
  <c r="AS44" i="3"/>
  <c r="AT154" i="3"/>
  <c r="AT140" i="3"/>
  <c r="AT19" i="3"/>
  <c r="AT21" i="3"/>
  <c r="AS74" i="3"/>
  <c r="AN125" i="3"/>
  <c r="AT133" i="3"/>
  <c r="AT86" i="3"/>
  <c r="AS19" i="3"/>
  <c r="AT44" i="3"/>
  <c r="AT9" i="3"/>
  <c r="AM154" i="3"/>
  <c r="AP154" i="3" s="1"/>
  <c r="AM63" i="3"/>
  <c r="AP63" i="3" s="1"/>
  <c r="AM23" i="3"/>
  <c r="AP23" i="3" s="1"/>
  <c r="AT46" i="3"/>
  <c r="AM90" i="3"/>
  <c r="AP90" i="3" s="1"/>
  <c r="AS154" i="3"/>
  <c r="AS68" i="3"/>
  <c r="AS127" i="3"/>
  <c r="AS46" i="3"/>
  <c r="AS109" i="3"/>
  <c r="AT117" i="3"/>
  <c r="AS9" i="3"/>
  <c r="AT105" i="3"/>
  <c r="AT157" i="3"/>
  <c r="AM46" i="3"/>
  <c r="AP46" i="3" s="1"/>
  <c r="AT68" i="3"/>
  <c r="AT90" i="3"/>
  <c r="AN7" i="3"/>
  <c r="AN109" i="3"/>
  <c r="AT98" i="3"/>
  <c r="AM137" i="3"/>
  <c r="AO137" i="3" s="1"/>
  <c r="AM19" i="3"/>
  <c r="AO19" i="3" s="1"/>
  <c r="AT156" i="3"/>
  <c r="AM66" i="3"/>
  <c r="AP66" i="3" s="1"/>
  <c r="AM98" i="3"/>
  <c r="AO98" i="3" s="1"/>
  <c r="AN86" i="3"/>
  <c r="AM117" i="3"/>
  <c r="AO117" i="3" s="1"/>
  <c r="AS133" i="3"/>
  <c r="AT23" i="3"/>
  <c r="AN41" i="3"/>
  <c r="AM21" i="3"/>
  <c r="AP21" i="3" s="1"/>
  <c r="AS151" i="3"/>
  <c r="AT127" i="3"/>
  <c r="AM86" i="3"/>
  <c r="AO86" i="3" s="1"/>
  <c r="AN19" i="3"/>
  <c r="AS5" i="3"/>
  <c r="AS6" i="3"/>
  <c r="AS4" i="3"/>
  <c r="AN98" i="3"/>
  <c r="AS7" i="3"/>
  <c r="AM156" i="3"/>
  <c r="AP156" i="3" s="1"/>
  <c r="AN25" i="3"/>
  <c r="AM127" i="3"/>
  <c r="AO127" i="3" s="1"/>
  <c r="AN123" i="3"/>
  <c r="AM34" i="3"/>
  <c r="AP34" i="3" s="1"/>
  <c r="AN84" i="3"/>
  <c r="AT151" i="3"/>
  <c r="AM97" i="3"/>
  <c r="AP97" i="3" s="1"/>
  <c r="AT97" i="3"/>
  <c r="AS71" i="3"/>
  <c r="AN15" i="3"/>
  <c r="AS94" i="3"/>
  <c r="AN101" i="3"/>
  <c r="AS88" i="3"/>
  <c r="AS15" i="3"/>
  <c r="AS123" i="3"/>
  <c r="AS17" i="3"/>
  <c r="AM17" i="3"/>
  <c r="AO17" i="3" s="1"/>
  <c r="AN5" i="3"/>
  <c r="AS29" i="3"/>
  <c r="AT29" i="3"/>
  <c r="AT80" i="3"/>
  <c r="AM88" i="3"/>
  <c r="AO88" i="3" s="1"/>
  <c r="AS92" i="3"/>
  <c r="AN53" i="3"/>
  <c r="AN129" i="3"/>
  <c r="AT135" i="3"/>
  <c r="AS28" i="3"/>
  <c r="AS51" i="3"/>
  <c r="AN94" i="3"/>
  <c r="AT7" i="3"/>
  <c r="AT123" i="3"/>
  <c r="AT74" i="3"/>
  <c r="AT41" i="3"/>
  <c r="AM29" i="3"/>
  <c r="AO29" i="3" s="1"/>
  <c r="AM151" i="3"/>
  <c r="AP151" i="3" s="1"/>
  <c r="AT101" i="3"/>
  <c r="AM125" i="3"/>
  <c r="AO125" i="3" s="1"/>
  <c r="AT125" i="3"/>
  <c r="AS70" i="3"/>
  <c r="AS101" i="3"/>
  <c r="AN92" i="3"/>
  <c r="AO153" i="3"/>
  <c r="AM101" i="3"/>
  <c r="AP101" i="3" s="1"/>
  <c r="AS129" i="3"/>
  <c r="AM135" i="3"/>
  <c r="AO135" i="3" s="1"/>
  <c r="AS25" i="3"/>
  <c r="AS53" i="3"/>
  <c r="AS58" i="3"/>
  <c r="AM28" i="3"/>
  <c r="AP28" i="3" s="1"/>
  <c r="AS84" i="3"/>
  <c r="AT5" i="3"/>
  <c r="AM76" i="3"/>
  <c r="AO76" i="3" s="1"/>
  <c r="AM7" i="3"/>
  <c r="AP7" i="3" s="1"/>
  <c r="AT51" i="3"/>
  <c r="AT15" i="3"/>
  <c r="AM41" i="3"/>
  <c r="AO41" i="3" s="1"/>
  <c r="AT76" i="3"/>
  <c r="AM80" i="3"/>
  <c r="AP80" i="3" s="1"/>
  <c r="AT94" i="3"/>
  <c r="AM123" i="3"/>
  <c r="AO123" i="3" s="1"/>
  <c r="AM51" i="3"/>
  <c r="AP51" i="3" s="1"/>
  <c r="AM74" i="3"/>
  <c r="AP74" i="3" s="1"/>
  <c r="AP64" i="3"/>
  <c r="AN114" i="3"/>
  <c r="AN8" i="3"/>
  <c r="AN83" i="3"/>
  <c r="AT17" i="3"/>
  <c r="AM129" i="3"/>
  <c r="AO129" i="3" s="1"/>
  <c r="AT58" i="3"/>
  <c r="AN80" i="3"/>
  <c r="AN74" i="3"/>
  <c r="AT88" i="3"/>
  <c r="AM94" i="3"/>
  <c r="AO94" i="3" s="1"/>
  <c r="AM84" i="3"/>
  <c r="AP84" i="3" s="1"/>
  <c r="AS135" i="3"/>
  <c r="AM5" i="3"/>
  <c r="AO5" i="3" s="1"/>
  <c r="AT71" i="3"/>
  <c r="AM58" i="3"/>
  <c r="AP58" i="3" s="1"/>
  <c r="AM71" i="3"/>
  <c r="AO71" i="3" s="1"/>
  <c r="AM25" i="3"/>
  <c r="AP25" i="3" s="1"/>
  <c r="AM15" i="3"/>
  <c r="AP15" i="3" s="1"/>
  <c r="AT84" i="3"/>
  <c r="AN71" i="3"/>
  <c r="AN28" i="3"/>
  <c r="AN76" i="3"/>
  <c r="AS76" i="3"/>
  <c r="AT25" i="3"/>
  <c r="AN135" i="3"/>
  <c r="AT129" i="3"/>
  <c r="AN81" i="3"/>
  <c r="AN93" i="3"/>
  <c r="AT53" i="3"/>
  <c r="AT28" i="3"/>
  <c r="AN132" i="3"/>
  <c r="AS80" i="3"/>
  <c r="AT92" i="3"/>
  <c r="AN58" i="3"/>
  <c r="AM53" i="3"/>
  <c r="AO53" i="3" s="1"/>
  <c r="AM92" i="3"/>
  <c r="AO92" i="3" s="1"/>
  <c r="AT143" i="3"/>
  <c r="AS132" i="3"/>
  <c r="AS42" i="3"/>
  <c r="AN22" i="3"/>
  <c r="AT112" i="3"/>
  <c r="AN136" i="3"/>
  <c r="AN126" i="3"/>
  <c r="AN17" i="3"/>
  <c r="AM163" i="3"/>
  <c r="AP163" i="3" s="1"/>
  <c r="AN106" i="3"/>
  <c r="AS106" i="3"/>
  <c r="AS122" i="3"/>
  <c r="AS108" i="3"/>
  <c r="AN110" i="3"/>
  <c r="AN4" i="3"/>
  <c r="AN116" i="3"/>
  <c r="AN102" i="3"/>
  <c r="AN104" i="3"/>
  <c r="AN99" i="3"/>
  <c r="AN150" i="3"/>
  <c r="AN87" i="3"/>
  <c r="AN70" i="3"/>
  <c r="AN138" i="3"/>
  <c r="AS159" i="3"/>
  <c r="AT145" i="3"/>
  <c r="AN142" i="3"/>
  <c r="AN134" i="3"/>
  <c r="AS136" i="3"/>
  <c r="AN79" i="3"/>
  <c r="AN14" i="3"/>
  <c r="AS81" i="3"/>
  <c r="AN146" i="3"/>
  <c r="AS83" i="3"/>
  <c r="AN89" i="3"/>
  <c r="AS89" i="3"/>
  <c r="AS26" i="3"/>
  <c r="AS12" i="3"/>
  <c r="AN95" i="3"/>
  <c r="AO166" i="3"/>
  <c r="AP166" i="3"/>
  <c r="AN118" i="3"/>
  <c r="AN148" i="3"/>
  <c r="AM155" i="3"/>
  <c r="AP155" i="3" s="1"/>
  <c r="AT141" i="3"/>
  <c r="AT8" i="3"/>
  <c r="AN62" i="3"/>
  <c r="AN85" i="3"/>
  <c r="AM130" i="3"/>
  <c r="AP130" i="3" s="1"/>
  <c r="AS57" i="3"/>
  <c r="AM126" i="3"/>
  <c r="AP126" i="3" s="1"/>
  <c r="AT108" i="3"/>
  <c r="AN10" i="3"/>
  <c r="AS102" i="3"/>
  <c r="AM104" i="3"/>
  <c r="AP104" i="3" s="1"/>
  <c r="AN100" i="3"/>
  <c r="AM128" i="3"/>
  <c r="AO128" i="3" s="1"/>
  <c r="AN16" i="3"/>
  <c r="AM89" i="3"/>
  <c r="AP89" i="3" s="1"/>
  <c r="AT149" i="3"/>
  <c r="AN12" i="3"/>
  <c r="AN6" i="3"/>
  <c r="AT47" i="3"/>
  <c r="AS47" i="3"/>
  <c r="AT118" i="3"/>
  <c r="AS148" i="3"/>
  <c r="AN30" i="3"/>
  <c r="AS30" i="3"/>
  <c r="AM70" i="3"/>
  <c r="AM79" i="3"/>
  <c r="AS114" i="3"/>
  <c r="AN143" i="3"/>
  <c r="AS141" i="3"/>
  <c r="AN35" i="3"/>
  <c r="AT62" i="3"/>
  <c r="AT122" i="3"/>
  <c r="AM122" i="3"/>
  <c r="AS165" i="3"/>
  <c r="AS37" i="3"/>
  <c r="AT57" i="3"/>
  <c r="AN91" i="3"/>
  <c r="AT126" i="3"/>
  <c r="AN145" i="3"/>
  <c r="AP162" i="3"/>
  <c r="AO162" i="3"/>
  <c r="AS104" i="3"/>
  <c r="AM120" i="3"/>
  <c r="AN77" i="3"/>
  <c r="AM95" i="3"/>
  <c r="AT22" i="3"/>
  <c r="AS39" i="3"/>
  <c r="AT42" i="3"/>
  <c r="AN69" i="3"/>
  <c r="AS163" i="3"/>
  <c r="AN163" i="3"/>
  <c r="AM6" i="3"/>
  <c r="AT30" i="3"/>
  <c r="AM114" i="3"/>
  <c r="AN161" i="3"/>
  <c r="AP49" i="3"/>
  <c r="AO49" i="3"/>
  <c r="AS56" i="3"/>
  <c r="AT91" i="3"/>
  <c r="AM108" i="3"/>
  <c r="AM145" i="3"/>
  <c r="AM10" i="3"/>
  <c r="AT93" i="3"/>
  <c r="AT158" i="3"/>
  <c r="AM16" i="3"/>
  <c r="AS16" i="3"/>
  <c r="AT99" i="3"/>
  <c r="AO121" i="3"/>
  <c r="AP121" i="3"/>
  <c r="AT134" i="3"/>
  <c r="AN73" i="3"/>
  <c r="AT4" i="3"/>
  <c r="AE267" i="3"/>
  <c r="AM12" i="3"/>
  <c r="AT52" i="3"/>
  <c r="AS77" i="3"/>
  <c r="AT77" i="3"/>
  <c r="AM42" i="3"/>
  <c r="AT67" i="3"/>
  <c r="AM87" i="3"/>
  <c r="AT87" i="3"/>
  <c r="AP113" i="3"/>
  <c r="AM136" i="3"/>
  <c r="AT6" i="3"/>
  <c r="AS146" i="3"/>
  <c r="AN155" i="3"/>
  <c r="AM20" i="3"/>
  <c r="AS20" i="3"/>
  <c r="AM59" i="3"/>
  <c r="AS59" i="3"/>
  <c r="AN45" i="3"/>
  <c r="AP60" i="3"/>
  <c r="AO60" i="3"/>
  <c r="AT70" i="3"/>
  <c r="AP160" i="3"/>
  <c r="AO160" i="3"/>
  <c r="AT130" i="3"/>
  <c r="AP24" i="3"/>
  <c r="AN37" i="3"/>
  <c r="AT61" i="3"/>
  <c r="AM91" i="3"/>
  <c r="AT104" i="3"/>
  <c r="AT100" i="3"/>
  <c r="AT83" i="3"/>
  <c r="AN72" i="3"/>
  <c r="AT95" i="3"/>
  <c r="AS139" i="3"/>
  <c r="AT150" i="3"/>
  <c r="AT39" i="3"/>
  <c r="AS112" i="3"/>
  <c r="AT14" i="3"/>
  <c r="AM81" i="3"/>
  <c r="AM118" i="3"/>
  <c r="AS155" i="3"/>
  <c r="AM138" i="3"/>
  <c r="AS62" i="3"/>
  <c r="AT85" i="3"/>
  <c r="AM18" i="3"/>
  <c r="AS18" i="3"/>
  <c r="AS10" i="3"/>
  <c r="AS100" i="3"/>
  <c r="AS99" i="3"/>
  <c r="AT132" i="3"/>
  <c r="AS142" i="3"/>
  <c r="AS134" i="3"/>
  <c r="AT54" i="3"/>
  <c r="AM73" i="3"/>
  <c r="AM39" i="3"/>
  <c r="AM69" i="3"/>
  <c r="AM67" i="3"/>
  <c r="AN67" i="3"/>
  <c r="AS87" i="3"/>
  <c r="AN47" i="3"/>
  <c r="AT81" i="3"/>
  <c r="AM148" i="3"/>
  <c r="AM45" i="3"/>
  <c r="AM106" i="3"/>
  <c r="AT114" i="3"/>
  <c r="AT138" i="3"/>
  <c r="AM143" i="3"/>
  <c r="AS143" i="3"/>
  <c r="AN141" i="3"/>
  <c r="AM161" i="3"/>
  <c r="AT35" i="3"/>
  <c r="AM35" i="3"/>
  <c r="AS8" i="3"/>
  <c r="AM165" i="3"/>
  <c r="AP164" i="3"/>
  <c r="AO164" i="3"/>
  <c r="AN18" i="3"/>
  <c r="AN61" i="3"/>
  <c r="AO103" i="3"/>
  <c r="AP103" i="3"/>
  <c r="AS126" i="3"/>
  <c r="AN108" i="3"/>
  <c r="AS145" i="3"/>
  <c r="AM93" i="3"/>
  <c r="AT128" i="3"/>
  <c r="AM158" i="3"/>
  <c r="AM132" i="3"/>
  <c r="AN120" i="3"/>
  <c r="AS149" i="3"/>
  <c r="AM142" i="3"/>
  <c r="AT26" i="3"/>
  <c r="AM77" i="3"/>
  <c r="AM72" i="3"/>
  <c r="AS72" i="3"/>
  <c r="AM139" i="3"/>
  <c r="AM150" i="3"/>
  <c r="AM22" i="3"/>
  <c r="AS22" i="3"/>
  <c r="AP65" i="3"/>
  <c r="AO65" i="3"/>
  <c r="AS67" i="3"/>
  <c r="AT148" i="3"/>
  <c r="AP107" i="3"/>
  <c r="AO107" i="3"/>
  <c r="AT106" i="3"/>
  <c r="AT161" i="3"/>
  <c r="AN159" i="3"/>
  <c r="AP43" i="3"/>
  <c r="AO43" i="3"/>
  <c r="AM85" i="3"/>
  <c r="AT56" i="3"/>
  <c r="AS61" i="3"/>
  <c r="AS91" i="3"/>
  <c r="AT116" i="3"/>
  <c r="AM116" i="3"/>
  <c r="AT10" i="3"/>
  <c r="AT102" i="3"/>
  <c r="AN158" i="3"/>
  <c r="AT16" i="3"/>
  <c r="AM83" i="3"/>
  <c r="AT120" i="3"/>
  <c r="AM134" i="3"/>
  <c r="AN54" i="3"/>
  <c r="AT73" i="3"/>
  <c r="AS73" i="3"/>
  <c r="AF267" i="3"/>
  <c r="AM4" i="3"/>
  <c r="AT12" i="3"/>
  <c r="AS52" i="3"/>
  <c r="AT72" i="3"/>
  <c r="AT69" i="3"/>
  <c r="AT136" i="3"/>
  <c r="AT146" i="3"/>
  <c r="AO131" i="3"/>
  <c r="AP131" i="3"/>
  <c r="AM30" i="3"/>
  <c r="AN20" i="3"/>
  <c r="AT20" i="3"/>
  <c r="AT59" i="3"/>
  <c r="AN59" i="3"/>
  <c r="AS45" i="3"/>
  <c r="AS79" i="3"/>
  <c r="AO115" i="3"/>
  <c r="AP115" i="3"/>
  <c r="AM141" i="3"/>
  <c r="AO32" i="3"/>
  <c r="AM8" i="3"/>
  <c r="AS85" i="3"/>
  <c r="AN122" i="3"/>
  <c r="AS130" i="3"/>
  <c r="AT165" i="3"/>
  <c r="AN165" i="3"/>
  <c r="AT37" i="3"/>
  <c r="AM37" i="3"/>
  <c r="AN57" i="3"/>
  <c r="AM102" i="3"/>
  <c r="AT89" i="3"/>
  <c r="AM99" i="3"/>
  <c r="AS110" i="3"/>
  <c r="AM149" i="3"/>
  <c r="AN149" i="3"/>
  <c r="AS95" i="3"/>
  <c r="AT139" i="3"/>
  <c r="AN139" i="3"/>
  <c r="AS69" i="3"/>
  <c r="AN112" i="3"/>
  <c r="AT163" i="3"/>
  <c r="AM14" i="3"/>
  <c r="AS14" i="3"/>
  <c r="AM47" i="3"/>
  <c r="AS118" i="3"/>
  <c r="AM146" i="3"/>
  <c r="AT155" i="3"/>
  <c r="AT45" i="3"/>
  <c r="AT79" i="3"/>
  <c r="AS138" i="3"/>
  <c r="AS161" i="3"/>
  <c r="AT159" i="3"/>
  <c r="AM159" i="3"/>
  <c r="AS35" i="3"/>
  <c r="AM62" i="3"/>
  <c r="AN130" i="3"/>
  <c r="AT18" i="3"/>
  <c r="AM57" i="3"/>
  <c r="AO78" i="3"/>
  <c r="AM56" i="3"/>
  <c r="AN56" i="3"/>
  <c r="AM61" i="3"/>
  <c r="AS116" i="3"/>
  <c r="AS93" i="3"/>
  <c r="AM100" i="3"/>
  <c r="AS128" i="3"/>
  <c r="AN128" i="3"/>
  <c r="AS158" i="3"/>
  <c r="AT110" i="3"/>
  <c r="AM110" i="3"/>
  <c r="AS120" i="3"/>
  <c r="AT142" i="3"/>
  <c r="AN26" i="3"/>
  <c r="AM26" i="3"/>
  <c r="AM54" i="3"/>
  <c r="AS54" i="3"/>
  <c r="AN52" i="3"/>
  <c r="AM52" i="3"/>
  <c r="AS150" i="3"/>
  <c r="AN39" i="3"/>
  <c r="AN42" i="3"/>
  <c r="AO96" i="3"/>
  <c r="AP96" i="3"/>
  <c r="AM112" i="3"/>
  <c r="AP119" i="3" l="1"/>
  <c r="AP68" i="3"/>
  <c r="AP33" i="3"/>
  <c r="AP55" i="3"/>
  <c r="AO27" i="3"/>
  <c r="AO105" i="3"/>
  <c r="AO11" i="3"/>
  <c r="AP82" i="3"/>
  <c r="AP13" i="3"/>
  <c r="AO144" i="3"/>
  <c r="AP36" i="3"/>
  <c r="AO9" i="3"/>
  <c r="AO48" i="3"/>
  <c r="AP152" i="3"/>
  <c r="AP38" i="3"/>
  <c r="AO140" i="3"/>
  <c r="AO75" i="3"/>
  <c r="AO104" i="3"/>
  <c r="AO90" i="3"/>
  <c r="AO44" i="3"/>
  <c r="AP50" i="3"/>
  <c r="AP117" i="3"/>
  <c r="AP124" i="3"/>
  <c r="AP133" i="3"/>
  <c r="AO40" i="3"/>
  <c r="AO31" i="3"/>
  <c r="AO157" i="3"/>
  <c r="AP137" i="3"/>
  <c r="AO111" i="3"/>
  <c r="AP41" i="3"/>
  <c r="AO156" i="3"/>
  <c r="AO147" i="3"/>
  <c r="AP109" i="3"/>
  <c r="AP135" i="3"/>
  <c r="AO23" i="3"/>
  <c r="AO80" i="3"/>
  <c r="AP98" i="3"/>
  <c r="AO46" i="3"/>
  <c r="AO63" i="3"/>
  <c r="AP19" i="3"/>
  <c r="AO154" i="3"/>
  <c r="AP127" i="3"/>
  <c r="AO97" i="3"/>
  <c r="AO34" i="3"/>
  <c r="AP17" i="3"/>
  <c r="AO66" i="3"/>
  <c r="AO15" i="3"/>
  <c r="AP86" i="3"/>
  <c r="AP76" i="3"/>
  <c r="AO7" i="3"/>
  <c r="AP125" i="3"/>
  <c r="AO21" i="3"/>
  <c r="AP5" i="3"/>
  <c r="AO74" i="3"/>
  <c r="AP88" i="3"/>
  <c r="AP129" i="3"/>
  <c r="AP128" i="3"/>
  <c r="AO58" i="3"/>
  <c r="AO130" i="3"/>
  <c r="AO25" i="3"/>
  <c r="AP29" i="3"/>
  <c r="AP123" i="3"/>
  <c r="AO28" i="3"/>
  <c r="AO126" i="3"/>
  <c r="AO151" i="3"/>
  <c r="AO101" i="3"/>
  <c r="AP94" i="3"/>
  <c r="AO51" i="3"/>
  <c r="AO84" i="3"/>
  <c r="AO89" i="3"/>
  <c r="AP53" i="3"/>
  <c r="AP71" i="3"/>
  <c r="AP92" i="3"/>
  <c r="AO155" i="3"/>
  <c r="AO163" i="3"/>
  <c r="AS267" i="3"/>
  <c r="AP110" i="3"/>
  <c r="AO110" i="3"/>
  <c r="AO99" i="3"/>
  <c r="AP99" i="3"/>
  <c r="AP56" i="3"/>
  <c r="AO56" i="3"/>
  <c r="AP62" i="3"/>
  <c r="AO62" i="3"/>
  <c r="AP72" i="3"/>
  <c r="AO72" i="3"/>
  <c r="AP93" i="3"/>
  <c r="AO93" i="3"/>
  <c r="AO35" i="3"/>
  <c r="AP35" i="3"/>
  <c r="AP148" i="3"/>
  <c r="AO148" i="3"/>
  <c r="AP12" i="3"/>
  <c r="AO12" i="3"/>
  <c r="AP54" i="3"/>
  <c r="AO54" i="3"/>
  <c r="AP47" i="3"/>
  <c r="AO47" i="3"/>
  <c r="AP134" i="3"/>
  <c r="AO134" i="3"/>
  <c r="AP77" i="3"/>
  <c r="AO77" i="3"/>
  <c r="AP132" i="3"/>
  <c r="AO132" i="3"/>
  <c r="AP67" i="3"/>
  <c r="AO67" i="3"/>
  <c r="AP18" i="3"/>
  <c r="AO18" i="3"/>
  <c r="AP146" i="3"/>
  <c r="AO146" i="3"/>
  <c r="AP85" i="3"/>
  <c r="AO85" i="3"/>
  <c r="AP106" i="3"/>
  <c r="AO106" i="3"/>
  <c r="AP69" i="3"/>
  <c r="AO69" i="3"/>
  <c r="AP138" i="3"/>
  <c r="AO138" i="3"/>
  <c r="AP59" i="3"/>
  <c r="AO59" i="3"/>
  <c r="AP136" i="3"/>
  <c r="AO136" i="3"/>
  <c r="AO42" i="3"/>
  <c r="AP42" i="3"/>
  <c r="AP16" i="3"/>
  <c r="AO16" i="3"/>
  <c r="AP145" i="3"/>
  <c r="AO145" i="3"/>
  <c r="AP95" i="3"/>
  <c r="AO95" i="3"/>
  <c r="AP150" i="3"/>
  <c r="AO150" i="3"/>
  <c r="AO61" i="3"/>
  <c r="AP61" i="3"/>
  <c r="AM267" i="3"/>
  <c r="AP4" i="3"/>
  <c r="AO4" i="3"/>
  <c r="AP116" i="3"/>
  <c r="AO116" i="3"/>
  <c r="AP112" i="3"/>
  <c r="AO112" i="3"/>
  <c r="AO37" i="3"/>
  <c r="AP37" i="3"/>
  <c r="AP26" i="3"/>
  <c r="AO26" i="3"/>
  <c r="AP141" i="3"/>
  <c r="AO141" i="3"/>
  <c r="AP22" i="3"/>
  <c r="AO22" i="3"/>
  <c r="AP57" i="3"/>
  <c r="AO57" i="3"/>
  <c r="AP14" i="3"/>
  <c r="AO14" i="3"/>
  <c r="AP30" i="3"/>
  <c r="AO30" i="3"/>
  <c r="AO83" i="3"/>
  <c r="AP83" i="3"/>
  <c r="AO39" i="3"/>
  <c r="AP39" i="3"/>
  <c r="AO91" i="3"/>
  <c r="AP91" i="3"/>
  <c r="AT267" i="3"/>
  <c r="AP6" i="3"/>
  <c r="AO6" i="3"/>
  <c r="AP149" i="3"/>
  <c r="AO149" i="3"/>
  <c r="AO102" i="3"/>
  <c r="AP102" i="3"/>
  <c r="AP158" i="3"/>
  <c r="AO158" i="3"/>
  <c r="AO161" i="3"/>
  <c r="AP161" i="3"/>
  <c r="AP20" i="3"/>
  <c r="AO20" i="3"/>
  <c r="AP45" i="3"/>
  <c r="AO45" i="3"/>
  <c r="AP108" i="3"/>
  <c r="AO108" i="3"/>
  <c r="AP114" i="3"/>
  <c r="AO114" i="3"/>
  <c r="AP122" i="3"/>
  <c r="AO122" i="3"/>
  <c r="AO165" i="3"/>
  <c r="AP165" i="3"/>
  <c r="AP118" i="3"/>
  <c r="AO118" i="3"/>
  <c r="AO87" i="3"/>
  <c r="AP87" i="3"/>
  <c r="AP79" i="3"/>
  <c r="AO79" i="3"/>
  <c r="AP142" i="3"/>
  <c r="AO142" i="3"/>
  <c r="AP8" i="3"/>
  <c r="AO8" i="3"/>
  <c r="AP143" i="3"/>
  <c r="AO143" i="3"/>
  <c r="AO81" i="3"/>
  <c r="AP81" i="3"/>
  <c r="AP10" i="3"/>
  <c r="AO10" i="3"/>
  <c r="AP120" i="3"/>
  <c r="AO120" i="3"/>
  <c r="AP70" i="3"/>
  <c r="AO70" i="3"/>
  <c r="AP52" i="3"/>
  <c r="AO52" i="3"/>
  <c r="AO159" i="3"/>
  <c r="AP159" i="3"/>
  <c r="AP139" i="3"/>
  <c r="AO139" i="3"/>
  <c r="AO73" i="3"/>
  <c r="AP73" i="3"/>
  <c r="AP100" i="3"/>
  <c r="AO100" i="3"/>
  <c r="AM268" i="3" l="1"/>
  <c r="AM269" i="3" s="1"/>
  <c r="AO268" i="3"/>
  <c r="AP267" i="3"/>
  <c r="AP268" i="3" s="1"/>
  <c r="AP269" i="3" s="1"/>
  <c r="AO267" i="3"/>
</calcChain>
</file>

<file path=xl/comments1.xml><?xml version="1.0" encoding="utf-8"?>
<comments xmlns="http://schemas.openxmlformats.org/spreadsheetml/2006/main">
  <authors>
    <author>matthew.lee</author>
  </authors>
  <commentList>
    <comment ref="E3" authorId="0" shapeId="0">
      <text>
        <r>
          <rPr>
            <b/>
            <sz val="9"/>
            <rFont val="Times New Roman"/>
            <family val="1"/>
          </rPr>
          <t>matthew.lee:</t>
        </r>
        <r>
          <rPr>
            <sz val="9"/>
            <rFont val="Times New Roman"/>
            <family val="1"/>
          </rPr>
          <t xml:space="preserve">
Unplanned Leaves:
SL, Personal, LWOP, Carers, Compansion
</t>
        </r>
      </text>
    </comment>
    <comment ref="F3" authorId="0" shapeId="0">
      <text>
        <r>
          <rPr>
            <b/>
            <sz val="9"/>
            <rFont val="Times New Roman"/>
            <family val="1"/>
          </rPr>
          <t>matthew.lee:</t>
        </r>
        <r>
          <rPr>
            <sz val="9"/>
            <rFont val="Times New Roman"/>
            <family val="1"/>
          </rPr>
          <t xml:space="preserve">
All Leaves:
Unplanned leaves+AL, LSL +Pulbic Holidays
</t>
        </r>
      </text>
    </comment>
  </commentList>
</comments>
</file>

<file path=xl/comments2.xml><?xml version="1.0" encoding="utf-8"?>
<comments xmlns="http://schemas.openxmlformats.org/spreadsheetml/2006/main">
  <authors>
    <author>Matthew Lee</author>
  </authors>
  <commentList>
    <comment ref="AS3" authorId="0" shapeId="0">
      <text>
        <r>
          <rPr>
            <b/>
            <sz val="9"/>
            <rFont val="Tahoma"/>
            <family val="2"/>
          </rPr>
          <t>Matthew Lee:</t>
        </r>
        <r>
          <rPr>
            <sz val="9"/>
            <rFont val="Tahoma"/>
            <family val="2"/>
          </rPr>
          <t xml:space="preserve">
SL, Personal, LWOP, Carers, Compansion</t>
        </r>
      </text>
    </comment>
    <comment ref="AT3" authorId="0" shapeId="0">
      <text>
        <r>
          <rPr>
            <b/>
            <sz val="9"/>
            <rFont val="Tahoma"/>
            <family val="2"/>
          </rPr>
          <t>Matthew Lee:</t>
        </r>
        <r>
          <rPr>
            <sz val="9"/>
            <rFont val="Tahoma"/>
            <family val="2"/>
          </rPr>
          <t xml:space="preserve">
Unplanned leaves+AL, LSL +Pulbic Holidays</t>
        </r>
      </text>
    </comment>
  </commentList>
</comments>
</file>

<file path=xl/sharedStrings.xml><?xml version="1.0" encoding="utf-8"?>
<sst xmlns="http://schemas.openxmlformats.org/spreadsheetml/2006/main" count="48116" uniqueCount="551">
  <si>
    <t>Instructions</t>
  </si>
  <si>
    <t>Extract four reports from Payforce -2 for full month (yellow tab)</t>
  </si>
  <si>
    <t>By Cost Centre</t>
  </si>
  <si>
    <t>Employee Category</t>
  </si>
  <si>
    <t>After copy and paste data, formula in Summary tab should calculate the rest.</t>
  </si>
  <si>
    <t>Just need to make sure that if a new column is added to the extracts from payforce then it will neet to be added in the Summary tab too prior to pasting data.</t>
  </si>
  <si>
    <t>Then refresh all Pivot tab</t>
  </si>
  <si>
    <t>Manually separate employees with multiple business units in Rans EMP EXTRACT - COST Centre</t>
  </si>
  <si>
    <t>Make sure you update summary tab - column A, B , E</t>
  </si>
  <si>
    <t>Cost Centre</t>
  </si>
  <si>
    <t>Emp Cat</t>
  </si>
  <si>
    <t>Emp Cat Desc</t>
  </si>
  <si>
    <t>Emp Code</t>
  </si>
  <si>
    <t>Employee Name</t>
  </si>
  <si>
    <t>Date Hired</t>
  </si>
  <si>
    <t>Term Date</t>
  </si>
  <si>
    <t>Pay Group</t>
  </si>
  <si>
    <t>1 - Normal Hrs</t>
  </si>
  <si>
    <t>3 - Ord Other Hrs</t>
  </si>
  <si>
    <t>5 - Casual Normal Hrs</t>
  </si>
  <si>
    <t>6 - Saturday 150% Hrs</t>
  </si>
  <si>
    <t>7 - Sunday 200% Hrs</t>
  </si>
  <si>
    <t>50 - O/Time 1.5 Hrs</t>
  </si>
  <si>
    <t>51 - O/Time 2.0 Hrs</t>
  </si>
  <si>
    <t>52 - O/Time 2.5 Hrs</t>
  </si>
  <si>
    <t>60 - AL Cashout Hrs</t>
  </si>
  <si>
    <t>100 - Annual Lve Hrs</t>
  </si>
  <si>
    <t>101 - Sick/Personal Hrs</t>
  </si>
  <si>
    <t>102 - LS Leave Hrs</t>
  </si>
  <si>
    <t>130 - Public Hol Hrs</t>
  </si>
  <si>
    <t>150 - Carers Lve Hrs</t>
  </si>
  <si>
    <t>160 - LWOP Hrs</t>
  </si>
  <si>
    <t>161 - Sick No Pay Hrs</t>
  </si>
  <si>
    <t>163 - Unpaid Maternity Hrs</t>
  </si>
  <si>
    <t>168 - WorkCover Hrs</t>
  </si>
  <si>
    <t>166 - Compassion Hrs</t>
  </si>
  <si>
    <t>171 - TimeInLieu Hrs</t>
  </si>
  <si>
    <t>151 - Maternity Paid Hrs</t>
  </si>
  <si>
    <t>T997 - Term G - Long Service Lve Post 17/8/93 Hrs</t>
  </si>
  <si>
    <t>T998 - Term G - Lve Loading Post 17/8/93 Hrs</t>
  </si>
  <si>
    <t>T999 - Term G - Annual Lve Post 17/8/93 Hrs</t>
  </si>
  <si>
    <t>T986 - Redundancy - With Prior Support Hrs</t>
  </si>
  <si>
    <t>T988 - Payment in lieu of notice - Redundancy Hrs</t>
  </si>
  <si>
    <t>T996 - Term D - Untaxed Hrs</t>
  </si>
  <si>
    <t>Total Paid Hrs</t>
  </si>
  <si>
    <t>OT FTE</t>
  </si>
  <si>
    <t>Paid FTE</t>
  </si>
  <si>
    <t>Worked FTE</t>
  </si>
  <si>
    <t>Department</t>
  </si>
  <si>
    <t>Business Unit</t>
  </si>
  <si>
    <t>Unplanned Leaves (hours)</t>
  </si>
  <si>
    <t>ALL Leaves (hours)</t>
  </si>
  <si>
    <t>FT</t>
  </si>
  <si>
    <t>Fulltime</t>
  </si>
  <si>
    <t>RT</t>
  </si>
  <si>
    <t/>
  </si>
  <si>
    <t>Microbiology</t>
  </si>
  <si>
    <t>Melb Micro</t>
  </si>
  <si>
    <t>HUSSAIN  EMRAN MR</t>
  </si>
  <si>
    <t>TP</t>
  </si>
  <si>
    <t>Temporary Parttime</t>
  </si>
  <si>
    <t>TRIVEDI  ARTI MRS</t>
  </si>
  <si>
    <t>PT</t>
  </si>
  <si>
    <t>Parttime</t>
  </si>
  <si>
    <t>RATTLE  ROSE MRS</t>
  </si>
  <si>
    <t>SIVARAJ  DURGA MRS</t>
  </si>
  <si>
    <t>TF</t>
  </si>
  <si>
    <t>Temporary Fulltime</t>
  </si>
  <si>
    <t>VASHISHTH  DEEPIKA MS</t>
  </si>
  <si>
    <t>CAS</t>
  </si>
  <si>
    <t>Casual RL</t>
  </si>
  <si>
    <t>RADHA  IKSHITHA MS</t>
  </si>
  <si>
    <t>FN</t>
  </si>
  <si>
    <t>YADAGIRI  SIRI MS</t>
  </si>
  <si>
    <t>KO  SOL MR</t>
  </si>
  <si>
    <t>MENON  SHIVANI MISS</t>
  </si>
  <si>
    <t>KAPADIA  MUFFADAL MR</t>
  </si>
  <si>
    <t>BATTY  MELISA MS</t>
  </si>
  <si>
    <t>SOLEIMANI  MARYAM MS</t>
  </si>
  <si>
    <t>LIN  LIN MISS</t>
  </si>
  <si>
    <t>RAMALINGAM  JANSI MS</t>
  </si>
  <si>
    <t>SIVARAMAN  POORANI MS</t>
  </si>
  <si>
    <t>STANICA  ANDREEA MRS</t>
  </si>
  <si>
    <t>HOLMES  JULIAN MR</t>
  </si>
  <si>
    <t>MOORKANATH  ANU MRS</t>
  </si>
  <si>
    <t>MAVRONICHOLAS  CHRISTOPHER MR</t>
  </si>
  <si>
    <t>Chemistry</t>
  </si>
  <si>
    <t>Bris Milk</t>
  </si>
  <si>
    <t>KARIMZADA  OMID MR</t>
  </si>
  <si>
    <t>Science Centre</t>
  </si>
  <si>
    <t>VOHRA  ATEEV MR</t>
  </si>
  <si>
    <t>SINGH  NAMARTA MISS</t>
  </si>
  <si>
    <t>KELLY  KYLE MR</t>
  </si>
  <si>
    <t>SUNDARA RAJAN  KALAI SELVI MRS</t>
  </si>
  <si>
    <t>O'NEILL  CHRISTINE MRS</t>
  </si>
  <si>
    <t>Lab Admin</t>
  </si>
  <si>
    <t>Bris Lab Admin</t>
  </si>
  <si>
    <t>GODWIN  COLLEEN MRS</t>
  </si>
  <si>
    <t>Sales &amp; Marketing</t>
  </si>
  <si>
    <t>Bris Sales</t>
  </si>
  <si>
    <t>GUEVARA LUJAN  GABRIELA MS</t>
  </si>
  <si>
    <t>NARAYANA SWAMY  KUSUMA MRS</t>
  </si>
  <si>
    <t>Central Sales</t>
  </si>
  <si>
    <t>MOONSAMY  MAYEN MR</t>
  </si>
  <si>
    <t>DANIELLS  MARIE MISS</t>
  </si>
  <si>
    <t>Perth Sales</t>
  </si>
  <si>
    <t>Monthly FTE</t>
  </si>
  <si>
    <t>Row Labels</t>
  </si>
  <si>
    <t>Sum of OT FTE</t>
  </si>
  <si>
    <t>Sum of Paid FTE</t>
  </si>
  <si>
    <t>Sum of Worked FTE</t>
  </si>
  <si>
    <t>Sum of Unplanned Leaves (hours)</t>
  </si>
  <si>
    <t>Sum of ALL Leaves (hours)</t>
  </si>
  <si>
    <t>Sydney Chem</t>
  </si>
  <si>
    <t>Customer Care</t>
  </si>
  <si>
    <t>Bris Customer Care</t>
  </si>
  <si>
    <t>Melb Customer Care</t>
  </si>
  <si>
    <t>Perth Customer Care</t>
  </si>
  <si>
    <t>Sydney Customer Care</t>
  </si>
  <si>
    <t>G&amp;A</t>
  </si>
  <si>
    <t>Finance</t>
  </si>
  <si>
    <t>HR</t>
  </si>
  <si>
    <t>Management</t>
  </si>
  <si>
    <t>IT</t>
  </si>
  <si>
    <t>Central Lab Admin</t>
  </si>
  <si>
    <t>Melb Lab Admin</t>
  </si>
  <si>
    <t>Bris Micro</t>
  </si>
  <si>
    <t>Perth Micro</t>
  </si>
  <si>
    <t>Sydney Micro</t>
  </si>
  <si>
    <t>Sydney Sample Registration</t>
  </si>
  <si>
    <t>PERTH Sample Registration</t>
  </si>
  <si>
    <t>BRI Sample Registration</t>
  </si>
  <si>
    <t>MEL Sample Registration</t>
  </si>
  <si>
    <t>Quality</t>
  </si>
  <si>
    <t>R&amp;D</t>
  </si>
  <si>
    <t>Sydney Sales</t>
  </si>
  <si>
    <t>Melb Sales</t>
  </si>
  <si>
    <t>Senior Audit</t>
  </si>
  <si>
    <t>(blank)</t>
  </si>
  <si>
    <t>Grand Total</t>
  </si>
  <si>
    <t>MOORE  SALOTE MS</t>
  </si>
  <si>
    <t>DEMARCHI  STELLA MRS</t>
  </si>
  <si>
    <t>IQBAL  SHABANA MRS</t>
  </si>
  <si>
    <t>JOYCE  BLAKE MR</t>
  </si>
  <si>
    <t>KASHANI  ANGELA MRS</t>
  </si>
  <si>
    <t>MCDONALD  WILMA MRS</t>
  </si>
  <si>
    <t>RECHE SOLER  YAIZA MISS</t>
  </si>
  <si>
    <t>SAMANTHIPUDI VASUDEVAN  KOKILA MRS</t>
  </si>
  <si>
    <t>DELANEY  MEGAN FIONA MS</t>
  </si>
  <si>
    <t>HARRIS  KYM MS</t>
  </si>
  <si>
    <t>RAMIREZ CASTRO  MARIA MRS</t>
  </si>
  <si>
    <t>GALLAGHER  TROY MR</t>
  </si>
  <si>
    <t>LAWRENCE  SHARON MS</t>
  </si>
  <si>
    <t>AVERY  SUE MS</t>
  </si>
  <si>
    <t>EVANS  LUCY MISS</t>
  </si>
  <si>
    <t>PARMAR  DINUSHA MRS</t>
  </si>
  <si>
    <t>CHAN  CHARMAINE MS</t>
  </si>
  <si>
    <t>CHEN  SOK KIAN MS</t>
  </si>
  <si>
    <t>EDEN  ANTHONY MR</t>
  </si>
  <si>
    <t>LI  MATTHEW MR</t>
  </si>
  <si>
    <t>DENG  OLIVER MR</t>
  </si>
  <si>
    <t>CHARLTON  STEPHANIE MISS</t>
  </si>
  <si>
    <t>PETRAKIS  NICK MR</t>
  </si>
  <si>
    <t>CREMONESI  BRUCE MR</t>
  </si>
  <si>
    <t>GODDAER  KEVIN MR</t>
  </si>
  <si>
    <t>LETHBORG  GABRIELLA MISS</t>
  </si>
  <si>
    <t>HOLLEY  KRISTY MRS</t>
  </si>
  <si>
    <t>STAMATOVA  ZORICA MRS</t>
  </si>
  <si>
    <t>TRIFON  MARIA MS</t>
  </si>
  <si>
    <t>NANAYAKKARA W V W  SHALINI MISS</t>
  </si>
  <si>
    <t>RAVI  SOORYA NARAYANAN MR</t>
  </si>
  <si>
    <t>RUSSELL  ADAM MR</t>
  </si>
  <si>
    <t>FONG  LAWRENCE MR</t>
  </si>
  <si>
    <t>MARKOSKA  KATERINA MRS</t>
  </si>
  <si>
    <t>MCCANN-DORAN  CONOR MR</t>
  </si>
  <si>
    <t>PREMTHONG  VATCHAREE MISS</t>
  </si>
  <si>
    <t>STILLITANO  SUE MRS</t>
  </si>
  <si>
    <t>BERA  KHUSHBU MS</t>
  </si>
  <si>
    <t>SEAL  MIHIKA MS</t>
  </si>
  <si>
    <t>SURYAVANSHI  SNEHAL HEMANT MRS</t>
  </si>
  <si>
    <t>PINDORIA  NIKSHEE MISS</t>
  </si>
  <si>
    <t>SKIPPER  MELINDA MS</t>
  </si>
  <si>
    <t>WU  JUN MRS</t>
  </si>
  <si>
    <t>HOLLY  DONNA MRS</t>
  </si>
  <si>
    <t>SCHWANKE  ANNMARIE MRS</t>
  </si>
  <si>
    <t>WHITE  TERESA MS</t>
  </si>
  <si>
    <t>CAMPBELL-MCKECHNIE  ALMA MS</t>
  </si>
  <si>
    <t>ESTORES  FELICIA MS</t>
  </si>
  <si>
    <t>PRAEKELT  WILNA MRS</t>
  </si>
  <si>
    <t>BANDI  RENU MRS</t>
  </si>
  <si>
    <t>HWANG  MI HEI MS</t>
  </si>
  <si>
    <t>PATEL  VIPUL MR</t>
  </si>
  <si>
    <t>RESUS  ZARA MISS</t>
  </si>
  <si>
    <t>SOHNY  THALITHA MRS</t>
  </si>
  <si>
    <t>TUIMASEVE  AMENAH MRS</t>
  </si>
  <si>
    <t>PATEL  SWETA SHANTILAL MISS</t>
  </si>
  <si>
    <t>XYLOPORTA  MARIA MRS</t>
  </si>
  <si>
    <t>RANGARAJ  USHA MRS</t>
  </si>
  <si>
    <t>ISLAM  MD FOKHRUL MR</t>
  </si>
  <si>
    <t>PRASHANTHAN  ARANE MRS</t>
  </si>
  <si>
    <t>AHMADI  MARYAM MRS</t>
  </si>
  <si>
    <t>QURASHI  RAYEED AHMED MR</t>
  </si>
  <si>
    <t>ALISIC  SUVADA MRS</t>
  </si>
  <si>
    <t>CHANDRA  SHARON MRS</t>
  </si>
  <si>
    <t>ALI  MEHWISH MRS</t>
  </si>
  <si>
    <t>BOGAHAPITIYA  PRASANGA MRS</t>
  </si>
  <si>
    <t>SAAD  KAREN MS</t>
  </si>
  <si>
    <t>SCHOLZ  ERAN MR</t>
  </si>
  <si>
    <t>SENTHURAN  SUGANIYA MRS</t>
  </si>
  <si>
    <t>KODOR  MARA MRS</t>
  </si>
  <si>
    <t>YU  SHAN MISS</t>
  </si>
  <si>
    <t>AKKOYUN  METE HAN MR</t>
  </si>
  <si>
    <t>ZHAO  ZHENJUN MR</t>
  </si>
  <si>
    <t>BOATWRIGHT  ANNA MRS</t>
  </si>
  <si>
    <t>HANANIA  FERRIZ MR</t>
  </si>
  <si>
    <t>AHMED  IMTIAZ MR</t>
  </si>
  <si>
    <t>KANTHAN  SU MS</t>
  </si>
  <si>
    <t>HOMAINEJAD  DORNA MS</t>
  </si>
  <si>
    <t>FOROOGHI  MARZIEH MRS</t>
  </si>
  <si>
    <t>ABAZARI  HASTI MRS</t>
  </si>
  <si>
    <t>TRUONG  DAVID MR</t>
  </si>
  <si>
    <t>YASEEN  MISBAH MRS</t>
  </si>
  <si>
    <t>ALMASSI  AREZOO MISS</t>
  </si>
  <si>
    <t>EL-KLINK  IMAN MS</t>
  </si>
  <si>
    <t>THEW  BENJAMIN MR</t>
  </si>
  <si>
    <t>HO  JOHN MR</t>
  </si>
  <si>
    <t>ROY  JISHA MRS</t>
  </si>
  <si>
    <t>CHEN  JIAOYANG MS</t>
  </si>
  <si>
    <t>MENDIVELSO-BOHORQUEZ  SANDRA MISS</t>
  </si>
  <si>
    <t>TSELEKIDIS  SIA MS</t>
  </si>
  <si>
    <t>AHN  ERIC MR</t>
  </si>
  <si>
    <t>Sum of 50 - O/Time 1.5 Hrs</t>
  </si>
  <si>
    <t>Sum of 51 - O/Time 2.0 Hrs</t>
  </si>
  <si>
    <t>Sum of 52 - O/Time 2.5 Hrs</t>
  </si>
  <si>
    <t>Report Total:</t>
  </si>
  <si>
    <t>Trans Hist Emp Extract</t>
  </si>
  <si>
    <t>Cost Centre Desc</t>
  </si>
  <si>
    <t>SYD MICRO LAB</t>
  </si>
  <si>
    <t>SYD Sample Registration</t>
  </si>
  <si>
    <t>SYD CHEM ANALYSIS</t>
  </si>
  <si>
    <t>SYD MICRO CONFIRMATION</t>
  </si>
  <si>
    <t>SYD MICRO SETUP</t>
  </si>
  <si>
    <t>SYDNEY CUSTOMER CARE</t>
  </si>
  <si>
    <t>MEL CENTRAL LAB ADMIN</t>
  </si>
  <si>
    <t>MEL CENTRAL IT</t>
  </si>
  <si>
    <t>BRISBANE SALES</t>
  </si>
  <si>
    <t>MEL MICRO LAB</t>
  </si>
  <si>
    <t>PERTH MICRO SETUP</t>
  </si>
  <si>
    <t>MEL MICRO SETUP</t>
  </si>
  <si>
    <t>MEL SENIOR AUDIT</t>
  </si>
  <si>
    <t>MEL FINANCE</t>
  </si>
  <si>
    <t>HUMAN RESOURCES</t>
  </si>
  <si>
    <t>PERTH Sales</t>
  </si>
  <si>
    <t>BRISBANE MICRO LAB</t>
  </si>
  <si>
    <t>BRI Micro Media</t>
  </si>
  <si>
    <t>SYDNEY SALES</t>
  </si>
  <si>
    <t>PERTH CUSTOMER CARE</t>
  </si>
  <si>
    <t>MANAGING DIRECTOR</t>
  </si>
  <si>
    <t>BRISBANE LAB ADMIN</t>
  </si>
  <si>
    <t>SYD MICRO MEDIA</t>
  </si>
  <si>
    <t>MEL LAB ADMIN</t>
  </si>
  <si>
    <t>MEL CUSTOMER CARE</t>
  </si>
  <si>
    <t>MEL SCIENTIFIC SERVICES</t>
  </si>
  <si>
    <t>MEL MICRO MEDIA</t>
  </si>
  <si>
    <t>BRISBANE CHEMISTRY MILK TESTING</t>
  </si>
  <si>
    <t>MEL CENTRAL SALES</t>
  </si>
  <si>
    <t>BRISBANE CUSTOMER CARE</t>
  </si>
  <si>
    <t>SYD CHEM LAB</t>
  </si>
  <si>
    <t>PERTH MICRO MEDIA</t>
  </si>
  <si>
    <t>MEL CENTRAL QUALITY</t>
  </si>
  <si>
    <t>SYD RESEARCH &amp; DEVELOPMENT</t>
  </si>
  <si>
    <t>Cost Code</t>
  </si>
  <si>
    <t>Tech Services</t>
  </si>
  <si>
    <t>Sydney Lab Admin</t>
  </si>
  <si>
    <t>Melb Milk</t>
  </si>
  <si>
    <t>(All)</t>
  </si>
  <si>
    <t>Department/Business Unit</t>
  </si>
  <si>
    <t>Brisbane Milk Testing</t>
  </si>
  <si>
    <t>Melbourne Milk Testing</t>
  </si>
  <si>
    <t>Brisbane Micro</t>
  </si>
  <si>
    <t>Melbourne Micro</t>
  </si>
  <si>
    <t>Melbourne Lab Admin</t>
  </si>
  <si>
    <t>Brisbane Lab Admin</t>
  </si>
  <si>
    <t>S&amp;M</t>
  </si>
  <si>
    <t>Consulting</t>
  </si>
  <si>
    <t>PAID FTE</t>
  </si>
  <si>
    <t>WORKED FTE</t>
  </si>
  <si>
    <t>OVERTIME FTE</t>
  </si>
  <si>
    <t>Consulting Micro  SC</t>
  </si>
  <si>
    <t>CHEUNG  CINDY MISS</t>
  </si>
  <si>
    <t>HADAGINAMAKKI  SHILPA MRS</t>
  </si>
  <si>
    <t>KHAMBAY  BILL MR</t>
  </si>
  <si>
    <t>SANOBER  FAHMI MS</t>
  </si>
  <si>
    <t>PERTH MICRO LAB</t>
  </si>
  <si>
    <t>WIJESINGHE  PULASTHI MR</t>
  </si>
  <si>
    <t>SYD LAB ADMIN</t>
  </si>
  <si>
    <t>JOKATAMA  SIKITI MISS</t>
  </si>
  <si>
    <t>Employee code</t>
  </si>
  <si>
    <t>Type</t>
  </si>
  <si>
    <t>Cat</t>
  </si>
  <si>
    <t>Description</t>
  </si>
  <si>
    <t>Step</t>
  </si>
  <si>
    <t>Next</t>
  </si>
  <si>
    <t>Increment</t>
  </si>
  <si>
    <t>Entitlement</t>
  </si>
  <si>
    <t>Prorata</t>
  </si>
  <si>
    <t>Total</t>
  </si>
  <si>
    <t>Unit</t>
  </si>
  <si>
    <t>Service</t>
  </si>
  <si>
    <t>From</t>
  </si>
  <si>
    <t>.</t>
  </si>
  <si>
    <t>To</t>
  </si>
  <si>
    <t>Units</t>
  </si>
  <si>
    <t>Taken</t>
  </si>
  <si>
    <t>Pub hols</t>
  </si>
  <si>
    <t>RDOs</t>
  </si>
  <si>
    <t>Cert</t>
  </si>
  <si>
    <t>Attch</t>
  </si>
  <si>
    <t>P/E date</t>
  </si>
  <si>
    <t>BOATWRIGHT, ANNA MRS</t>
  </si>
  <si>
    <t>Annual Lve</t>
  </si>
  <si>
    <t>ALH</t>
  </si>
  <si>
    <t xml:space="preserve">A/L Hours Accrual </t>
  </si>
  <si>
    <t>Hours</t>
  </si>
  <si>
    <t>Thu</t>
  </si>
  <si>
    <t>LS Leave</t>
  </si>
  <si>
    <t>NSWH</t>
  </si>
  <si>
    <t>NSW Hours Accrual</t>
  </si>
  <si>
    <t>Wed</t>
  </si>
  <si>
    <t>Sick/Personal</t>
  </si>
  <si>
    <t>Yes</t>
  </si>
  <si>
    <t>SKH</t>
  </si>
  <si>
    <t>Sick Leave hours Accrued</t>
  </si>
  <si>
    <t>Tue</t>
  </si>
  <si>
    <t>Compassion</t>
  </si>
  <si>
    <t>DENCH, MATTHEW MR</t>
  </si>
  <si>
    <t>ALT</t>
  </si>
  <si>
    <t>Yearly Accrual</t>
  </si>
  <si>
    <t>LWOP</t>
  </si>
  <si>
    <t>No</t>
  </si>
  <si>
    <t>VICT</t>
  </si>
  <si>
    <t>VIC Time Accrual</t>
  </si>
  <si>
    <t>SKT</t>
  </si>
  <si>
    <t>Sick Leave 10 days per year</t>
  </si>
  <si>
    <t>Sun</t>
  </si>
  <si>
    <t>Mon</t>
  </si>
  <si>
    <t>Fri</t>
  </si>
  <si>
    <t>Carers Lve</t>
  </si>
  <si>
    <t>LORMAN, Trevor DR</t>
  </si>
  <si>
    <t>VICH</t>
  </si>
  <si>
    <t>VIC Hours Accrual</t>
  </si>
  <si>
    <t>MOORE, SALOTE MS</t>
  </si>
  <si>
    <t>NSWT</t>
  </si>
  <si>
    <t>NSW Time Accrual</t>
  </si>
  <si>
    <t>TimeInLieu</t>
  </si>
  <si>
    <t>RATTLE, ROSE MRS</t>
  </si>
  <si>
    <t>SAAD, KAREN MS</t>
  </si>
  <si>
    <t>SCHOLZ, ERAN MR</t>
  </si>
  <si>
    <t>SKIPPER, MELINDA MS</t>
  </si>
  <si>
    <t>Sat</t>
  </si>
  <si>
    <t>STILLITANO, SUE MRS</t>
  </si>
  <si>
    <t>WAH</t>
  </si>
  <si>
    <t>LSL - WA-Hours Worked</t>
  </si>
  <si>
    <t>Jury Duty</t>
  </si>
  <si>
    <t>CREMONESI, BRUCE MR</t>
  </si>
  <si>
    <t>MARKOSKA, KATERINA MRS</t>
  </si>
  <si>
    <t>WAT</t>
  </si>
  <si>
    <t>WA Time Accrual</t>
  </si>
  <si>
    <t>STAMATOVA, ZORICA MRS</t>
  </si>
  <si>
    <t>TRIFON, MARIA MS</t>
  </si>
  <si>
    <t>Unpaid Maternity</t>
  </si>
  <si>
    <t>FONG, LAWRENCE MR</t>
  </si>
  <si>
    <t>HADAGINAMAKKI, SHILPA MRS</t>
  </si>
  <si>
    <t>EVANS, LUCY MISS</t>
  </si>
  <si>
    <t>DHILLON, TANDEEP MRS</t>
  </si>
  <si>
    <t>A10</t>
  </si>
  <si>
    <t>Non Accruing Leave Category</t>
  </si>
  <si>
    <t>LSL10</t>
  </si>
  <si>
    <t>LSL Non Accrual</t>
  </si>
  <si>
    <t>S10</t>
  </si>
  <si>
    <t>Sick Non Accrual</t>
  </si>
  <si>
    <t>CHEN, SOK KIAN MS</t>
  </si>
  <si>
    <t>PATEL, VIPUL MR</t>
  </si>
  <si>
    <t>AL Cashout</t>
  </si>
  <si>
    <t>ROY, JISHA MRS</t>
  </si>
  <si>
    <t>WU, JUN MRS</t>
  </si>
  <si>
    <t>BOGAHAPITIYA, PRASANGA MRS</t>
  </si>
  <si>
    <t>SUNDARA RAJAN, KALAI SELVI MRS</t>
  </si>
  <si>
    <t>CHANDRA, SHARON MRS</t>
  </si>
  <si>
    <t>MOORKANATH, ANU MRS</t>
  </si>
  <si>
    <t>FOROOGHI, MARZIEH MRS</t>
  </si>
  <si>
    <t>BERA, KHUSHBU MS</t>
  </si>
  <si>
    <t>IQBAL, SHABANA MRS</t>
  </si>
  <si>
    <t>QLDH</t>
  </si>
  <si>
    <t>QLD Hours Accrual</t>
  </si>
  <si>
    <t>QLDT</t>
  </si>
  <si>
    <t xml:space="preserve">QLD Time Accrual </t>
  </si>
  <si>
    <t>GODWIN, COLLEEN MRS</t>
  </si>
  <si>
    <t>DEMARCHI, STELLA MRS</t>
  </si>
  <si>
    <t>HWANG, MI HEI MS</t>
  </si>
  <si>
    <t>HOLMES, JULIAN MR</t>
  </si>
  <si>
    <t>RESUS, ZARA MISS</t>
  </si>
  <si>
    <t>JOYCE, BLAKE MR</t>
  </si>
  <si>
    <t>MCDONALD, WILMA MRS</t>
  </si>
  <si>
    <t>MOONSAMY, MAYEN MR</t>
  </si>
  <si>
    <t>HOLLY, DONNA MRS</t>
  </si>
  <si>
    <t>BANDI, RENU MRS</t>
  </si>
  <si>
    <t>STANICA, ANDREEA MRS</t>
  </si>
  <si>
    <t>CHAN, CHARMAINE MS</t>
  </si>
  <si>
    <t>SOHNY, THALITHA MRS</t>
  </si>
  <si>
    <t>PREMTHONG, VATCHAREE MISS</t>
  </si>
  <si>
    <t>SMITH, KAREN MRS</t>
  </si>
  <si>
    <t>SIVARAMAN, POORANI MS</t>
  </si>
  <si>
    <t>LETHBORG, GABRIELLA MISS</t>
  </si>
  <si>
    <t>MCCANN-DORAN, CONOR MR</t>
  </si>
  <si>
    <t>RAMALINGAM, JANSI MS</t>
  </si>
  <si>
    <t>KELLY, KYLE MR</t>
  </si>
  <si>
    <t>SENTHURAN, SUGANIYA MRS</t>
  </si>
  <si>
    <t>ALISIC, SUVADA MRS</t>
  </si>
  <si>
    <t>MENDIVELSO-BOHORQUEZ, SANDRA MISS</t>
  </si>
  <si>
    <t>HOLLEY, KRISTY MRS</t>
  </si>
  <si>
    <t>KASHANI, ANGELA MRS</t>
  </si>
  <si>
    <t>EDEN, ANTHONY MR</t>
  </si>
  <si>
    <t>RECHE SOLER, YAIZA MISS</t>
  </si>
  <si>
    <t xml:space="preserve">Unpaid Paternity </t>
  </si>
  <si>
    <t>Paternity Paid</t>
  </si>
  <si>
    <t>CHARLTON, STEPHANIE MISS</t>
  </si>
  <si>
    <t>ALI, MEHWISH MRS</t>
  </si>
  <si>
    <t>PARMAR, DINUSHA MRS</t>
  </si>
  <si>
    <t>DANIELLS, MARIE MISS</t>
  </si>
  <si>
    <t>GODDAER, KEVIN MR</t>
  </si>
  <si>
    <t>LIN, LIN MISS</t>
  </si>
  <si>
    <t>KODOR, MARA MRS</t>
  </si>
  <si>
    <t>TUIMASEVE, AMENAH MRS</t>
  </si>
  <si>
    <t>SANOBER, FAHMI MS</t>
  </si>
  <si>
    <t>PATEL, SWETA SHANTILAL MISS</t>
  </si>
  <si>
    <t>NSWW</t>
  </si>
  <si>
    <t>NSW Time Accrual (Wks)</t>
  </si>
  <si>
    <t>Weeks</t>
  </si>
  <si>
    <t>SURYAVANSHI, SNEHAL HEMANT MRS</t>
  </si>
  <si>
    <t>SEAL, MIHIKA MS</t>
  </si>
  <si>
    <t>MITCHELL, THOMAS MR</t>
  </si>
  <si>
    <t>YU, SHAN MISS</t>
  </si>
  <si>
    <t>TSELEKIDIS, SIA MS</t>
  </si>
  <si>
    <t>CULLEN, TAYLA MISS</t>
  </si>
  <si>
    <t>XYLOPORTA, MARIA MRS</t>
  </si>
  <si>
    <t>HARRIS, KYM MS</t>
  </si>
  <si>
    <t>SOLEIMANI, MARYAM MS</t>
  </si>
  <si>
    <t>SCHWANKE, ANNMARIE MRS</t>
  </si>
  <si>
    <t>BATTY, MELISA MS</t>
  </si>
  <si>
    <t>SAMANTHIPUDI VASUDEVAN, KOKILA MRS</t>
  </si>
  <si>
    <t>KAPADIA, MUFFADAL MR</t>
  </si>
  <si>
    <t>DELANEY, MEGAN FIONA MS</t>
  </si>
  <si>
    <t>WHITE, TERESA MS</t>
  </si>
  <si>
    <t>Sick No Pay</t>
  </si>
  <si>
    <t>NARAYANA SWAMY, KUSUMA MRS</t>
  </si>
  <si>
    <t>MENON, SHIVANI MISS</t>
  </si>
  <si>
    <t>CHEN, JIAOYANG MS</t>
  </si>
  <si>
    <t>AKKOYUN, METE HAN MR</t>
  </si>
  <si>
    <t>ZHAO, ZHENJUN MR</t>
  </si>
  <si>
    <t>RANGARAJ, USHA MRS</t>
  </si>
  <si>
    <t>HANANIA, FERRIZ MR</t>
  </si>
  <si>
    <t>AHMED, IMTIAZ MR</t>
  </si>
  <si>
    <t>ISLAM, MD FOKHRUL MR</t>
  </si>
  <si>
    <t>LI, MATTHEW MR</t>
  </si>
  <si>
    <t>PETRAKIS, NICK MR</t>
  </si>
  <si>
    <t>MAVRONICHOLAS, CHRISTOPHER MR</t>
  </si>
  <si>
    <t>KANTHAN, SU MS</t>
  </si>
  <si>
    <t>HOMAINEJAD, DORNA MS</t>
  </si>
  <si>
    <t>GUEVARA LUJAN, GABRIELA MS</t>
  </si>
  <si>
    <t>KO, SOL MR</t>
  </si>
  <si>
    <t>ZULQURNAIN, NAILA MRS</t>
  </si>
  <si>
    <t>YADAGIRI, SIRI MS</t>
  </si>
  <si>
    <t>RAMIREZ CASTRO, MARIA MRS</t>
  </si>
  <si>
    <t>CAMPBELL-MCKECHNIE, ALMA MS</t>
  </si>
  <si>
    <t>ESTORES, FELICIA MS</t>
  </si>
  <si>
    <t>AHN, ERIC MR</t>
  </si>
  <si>
    <t>GALLAGHER, TROY MR</t>
  </si>
  <si>
    <t>SWATHI KRISHNA, SHIVANI MISS</t>
  </si>
  <si>
    <t>PINDORIA, NIKSHEE MISS</t>
  </si>
  <si>
    <t>ABAZARI, HASTI MRS</t>
  </si>
  <si>
    <t>TRUONG, DAVID MR</t>
  </si>
  <si>
    <t>YASEEN, MISBAH MRS</t>
  </si>
  <si>
    <t>RADHA, IKSHITHA MS</t>
  </si>
  <si>
    <t>VASHISHTH, DEEPIKA MS</t>
  </si>
  <si>
    <t>SIVARAJ, DURGA MRS</t>
  </si>
  <si>
    <t>TRIVEDI, ARTI MRS</t>
  </si>
  <si>
    <t>HO, JOHN MR</t>
  </si>
  <si>
    <t>KARIMZADA, OMID MR</t>
  </si>
  <si>
    <t>HUSSAIN, EMRAN MR</t>
  </si>
  <si>
    <t>SINGH, NAMARTA MISS</t>
  </si>
  <si>
    <t>VOHRA, ATEEV MR</t>
  </si>
  <si>
    <t>O'NEILL, CHRISTINE MRS</t>
  </si>
  <si>
    <t>PRASHANTHAN, ARANE MRS</t>
  </si>
  <si>
    <t>LAWRENCE, SHARON MS</t>
  </si>
  <si>
    <t>DENG, OLIVER MR</t>
  </si>
  <si>
    <t>ALMASSI, AREZOO MISS</t>
  </si>
  <si>
    <t>QURASHI, RAYEED AHMED MR</t>
  </si>
  <si>
    <t>NANAYAKKARA W V W, SHALINI MISS</t>
  </si>
  <si>
    <t>RAVI, SOORYA NARAYANAN MR</t>
  </si>
  <si>
    <t>RUSSELL, ADAM MR</t>
  </si>
  <si>
    <t>AVERY, SUE MS</t>
  </si>
  <si>
    <t>EL-KLINK, IMAN MS</t>
  </si>
  <si>
    <t>AHMADI, MARYAM MRS</t>
  </si>
  <si>
    <t>KHAMBAY, BILL MR</t>
  </si>
  <si>
    <t>WIJESINGHE, PULASTHI MR</t>
  </si>
  <si>
    <t>CHEUNG, CINDY MISS</t>
  </si>
  <si>
    <t>JOKATAMA, SIKITI MISS</t>
  </si>
  <si>
    <t>AHMED, NAJIYAH MISS</t>
  </si>
  <si>
    <t>SAHIR, KORISH MR</t>
  </si>
  <si>
    <t>CAO, KIM MISS</t>
  </si>
  <si>
    <t>THEW, BENJAMIN MR</t>
  </si>
  <si>
    <t>SL Balance as of End of Month (Hours)</t>
  </si>
  <si>
    <t>AL Balance as of End of Month(Hours)</t>
  </si>
  <si>
    <t>CAO  KIM MISS</t>
  </si>
  <si>
    <t>SAHIR  KORISH MR</t>
  </si>
  <si>
    <t>ALZEYADI  MAYTHAM MR</t>
  </si>
  <si>
    <t>IMAD  SYED MR</t>
  </si>
  <si>
    <t>KIRBY  MALIKA MS</t>
  </si>
  <si>
    <t>ORAHA  AFRAH MISS</t>
  </si>
  <si>
    <t>TRAN  KIM LUAN MR</t>
  </si>
  <si>
    <t>ORAHA, AFRAH MISS</t>
  </si>
  <si>
    <t>ALZEYADI, MAYTHAM MR</t>
  </si>
  <si>
    <t>TRAN, KIM LUAN MR</t>
  </si>
  <si>
    <t>IMAD, SYED MR</t>
  </si>
  <si>
    <t>MATTUPALLI, MADHAVI MRS</t>
  </si>
  <si>
    <t>BARAL, RICHA MS</t>
  </si>
  <si>
    <t>HAMILTON, PAUL MR</t>
  </si>
  <si>
    <t>TRUONG, RICHARD MR</t>
  </si>
  <si>
    <t>HAMAD, ESTHER MISS</t>
  </si>
  <si>
    <t>SHEN, SHENDY MS</t>
  </si>
  <si>
    <t>AWAD  JASMINE MRS</t>
  </si>
  <si>
    <t>BARAL  RICHA MS</t>
  </si>
  <si>
    <t>HAMAD  ESTHER MISS</t>
  </si>
  <si>
    <t>HAMILTON  PAUL MR</t>
  </si>
  <si>
    <t>TRUONG  RICHARD MR</t>
  </si>
  <si>
    <t>DOGUPARTHY, NAVEEN MR</t>
  </si>
  <si>
    <t>T001 - Term A - Annual Lve Hrs</t>
  </si>
  <si>
    <t>T002 - Term A - Lve Loading Hrs</t>
  </si>
  <si>
    <t>SHEN  SHENDY MS</t>
  </si>
  <si>
    <t>HENRI, BROOKE MS</t>
  </si>
  <si>
    <t>SUBRAMANYA, AKSHATHA MISS</t>
  </si>
  <si>
    <t>DAWSON, MARK DR</t>
  </si>
  <si>
    <t>From: 01/02/2023</t>
  </si>
  <si>
    <t>To: 28/02/2023</t>
  </si>
  <si>
    <t>DOGUPARTHY  NAVEEN MR</t>
  </si>
  <si>
    <t>HENRI  BROOKE MS</t>
  </si>
  <si>
    <t>MATTUPALLI  MADHAVI MRS</t>
  </si>
  <si>
    <t>SMITH  KAREN MRS</t>
  </si>
  <si>
    <t>SUBRAMANYA  AKSHATHA MISS</t>
  </si>
  <si>
    <t>MEL MICRO CONFIRMATION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</si>
</sst>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_-;\-* #,##0.0_-;_-* &quot;-&quot;??_-;_-@_-"/>
    <numFmt numFmtId="165" formatCode="_-* #,##0.000_-;\-* #,##0.000_-;_-* &quot;-&quot;??_-;_-@_-"/>
    <numFmt numFmtId="166" formatCode="0.0000"/>
  </numFmts>
  <fonts count="29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name val="Tahoma"/>
      <family val="2"/>
    </font>
    <font>
      <b/>
      <sz val="9"/>
      <name val="Tahoma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rgb="FF0061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849">
    <xf numFmtId="0" fontId="0" fillId="0" borderId="0"/>
    <xf numFmtId="43" fontId="9" fillId="0" borderId="0" applyFont="0" applyFill="0" applyBorder="0" applyAlignment="0" applyProtection="0"/>
    <xf numFmtId="0" fontId="2" fillId="0" borderId="0"/>
    <xf numFmtId="0" fontId="12" fillId="0" borderId="0" applyNumberFormat="0" applyFill="0" applyBorder="0" applyAlignment="0" applyProtection="0"/>
    <xf numFmtId="0" fontId="13" fillId="0" borderId="1" applyNumberFormat="0" applyFill="0" applyAlignment="0" applyProtection="0"/>
    <xf numFmtId="0" fontId="14" fillId="0" borderId="2" applyNumberFormat="0" applyFill="0" applyAlignment="0" applyProtection="0"/>
    <xf numFmtId="0" fontId="15" fillId="0" borderId="3" applyNumberFormat="0" applyFill="0" applyAlignment="0" applyProtection="0"/>
    <xf numFmtId="0" fontId="15" fillId="0" borderId="0" applyNumberFormat="0" applyFill="0" applyBorder="0" applyAlignment="0" applyProtection="0"/>
    <xf numFmtId="0" fontId="16" fillId="8" borderId="0" applyNumberFormat="0" applyBorder="0" applyAlignment="0" applyProtection="0"/>
    <xf numFmtId="0" fontId="17" fillId="9" borderId="0" applyNumberFormat="0" applyBorder="0" applyAlignment="0" applyProtection="0"/>
    <xf numFmtId="0" fontId="18" fillId="10" borderId="0" applyNumberFormat="0" applyBorder="0" applyAlignment="0" applyProtection="0"/>
    <xf numFmtId="0" fontId="19" fillId="11" borderId="4" applyNumberFormat="0" applyAlignment="0" applyProtection="0"/>
    <xf numFmtId="0" fontId="20" fillId="12" borderId="5" applyNumberFormat="0" applyAlignment="0" applyProtection="0"/>
    <xf numFmtId="0" fontId="21" fillId="12" borderId="4" applyNumberFormat="0" applyAlignment="0" applyProtection="0"/>
    <xf numFmtId="0" fontId="22" fillId="0" borderId="6" applyNumberFormat="0" applyFill="0" applyAlignment="0" applyProtection="0"/>
    <xf numFmtId="0" fontId="23" fillId="13" borderId="7" applyNumberFormat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26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6" fillId="18" borderId="0" applyNumberFormat="0" applyBorder="0" applyAlignment="0" applyProtection="0"/>
    <xf numFmtId="0" fontId="26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26" fillId="22" borderId="0" applyNumberFormat="0" applyBorder="0" applyAlignment="0" applyProtection="0"/>
    <xf numFmtId="0" fontId="26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26" fillId="26" borderId="0" applyNumberFormat="0" applyBorder="0" applyAlignment="0" applyProtection="0"/>
    <xf numFmtId="0" fontId="26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6" fillId="30" borderId="0" applyNumberFormat="0" applyBorder="0" applyAlignment="0" applyProtection="0"/>
    <xf numFmtId="0" fontId="26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6" fillId="34" borderId="0" applyNumberFormat="0" applyBorder="0" applyAlignment="0" applyProtection="0"/>
    <xf numFmtId="0" fontId="26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26" fillId="38" borderId="0" applyNumberFormat="0" applyBorder="0" applyAlignment="0" applyProtection="0"/>
    <xf numFmtId="0" fontId="27" fillId="0" borderId="0"/>
    <xf numFmtId="43" fontId="27" fillId="0" borderId="0" applyFont="0" applyFill="0" applyBorder="0" applyAlignment="0" applyProtection="0"/>
    <xf numFmtId="0" fontId="1" fillId="0" borderId="0"/>
    <xf numFmtId="9" fontId="2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43" fontId="27" fillId="0" borderId="0" applyFont="0" applyFill="0" applyBorder="0" applyAlignment="0" applyProtection="0"/>
    <xf numFmtId="0" fontId="1" fillId="0" borderId="0"/>
    <xf numFmtId="9" fontId="2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2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14" borderId="8" applyNumberFormat="0" applyFont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0" fontId="3" fillId="3" borderId="0" xfId="0" applyFont="1" applyFill="1"/>
    <xf numFmtId="14" fontId="0" fillId="0" borderId="0" xfId="0" applyNumberFormat="1"/>
    <xf numFmtId="0" fontId="0" fillId="0" borderId="0" xfId="0" applyFill="1"/>
    <xf numFmtId="0" fontId="4" fillId="0" borderId="0" xfId="0" applyFont="1" applyFill="1"/>
    <xf numFmtId="0" fontId="4" fillId="2" borderId="0" xfId="0" applyFont="1" applyFill="1"/>
    <xf numFmtId="0" fontId="4" fillId="0" borderId="0" xfId="0" applyFont="1"/>
    <xf numFmtId="0" fontId="4" fillId="4" borderId="0" xfId="0" applyFont="1" applyFill="1"/>
    <xf numFmtId="14" fontId="4" fillId="0" borderId="0" xfId="0" applyNumberFormat="1" applyFont="1"/>
    <xf numFmtId="0" fontId="4" fillId="5" borderId="0" xfId="0" applyFont="1" applyFill="1"/>
    <xf numFmtId="43" fontId="4" fillId="0" borderId="0" xfId="1" applyFont="1"/>
    <xf numFmtId="43" fontId="4" fillId="0" borderId="0" xfId="1" applyFont="1" applyFill="1"/>
    <xf numFmtId="43" fontId="4" fillId="5" borderId="0" xfId="1" applyFont="1" applyFill="1"/>
    <xf numFmtId="0" fontId="4" fillId="6" borderId="0" xfId="0" applyFont="1" applyFill="1"/>
    <xf numFmtId="164" fontId="4" fillId="0" borderId="0" xfId="1" applyNumberFormat="1" applyFont="1"/>
    <xf numFmtId="43" fontId="4" fillId="0" borderId="0" xfId="0" applyNumberFormat="1" applyFont="1"/>
    <xf numFmtId="164" fontId="0" fillId="0" borderId="0" xfId="1" applyNumberFormat="1" applyFont="1"/>
    <xf numFmtId="0" fontId="0" fillId="0" borderId="0" xfId="0" applyAlignment="1">
      <alignment horizontal="left"/>
    </xf>
    <xf numFmtId="164" fontId="0" fillId="0" borderId="0" xfId="0" applyNumberFormat="1"/>
    <xf numFmtId="43" fontId="0" fillId="0" borderId="0" xfId="1" applyFont="1"/>
    <xf numFmtId="0" fontId="0" fillId="0" borderId="0" xfId="0" applyAlignment="1">
      <alignment horizontal="left" indent="1"/>
    </xf>
    <xf numFmtId="0" fontId="3" fillId="2" borderId="0" xfId="0" applyFont="1" applyFill="1"/>
    <xf numFmtId="164" fontId="0" fillId="0" borderId="0" xfId="1" applyNumberFormat="1" applyFont="1" applyFill="1"/>
    <xf numFmtId="0" fontId="0" fillId="0" borderId="0" xfId="0" applyAlignment="1">
      <alignment horizontal="center" vertical="center" wrapText="1"/>
    </xf>
    <xf numFmtId="164" fontId="0" fillId="6" borderId="0" xfId="0" applyNumberFormat="1" applyFill="1" applyAlignment="1">
      <alignment horizontal="center" vertical="center" wrapText="1"/>
    </xf>
    <xf numFmtId="43" fontId="4" fillId="0" borderId="0" xfId="0" applyNumberFormat="1" applyFont="1" applyFill="1"/>
    <xf numFmtId="43" fontId="0" fillId="0" borderId="0" xfId="0" applyNumberFormat="1"/>
    <xf numFmtId="43" fontId="0" fillId="0" borderId="0" xfId="0" applyNumberFormat="1" applyFill="1"/>
    <xf numFmtId="0" fontId="0" fillId="4" borderId="0" xfId="0" applyFill="1"/>
    <xf numFmtId="0" fontId="0" fillId="0" borderId="0" xfId="0" pivotButton="1"/>
    <xf numFmtId="0" fontId="0" fillId="0" borderId="0" xfId="0" applyNumberFormat="1"/>
    <xf numFmtId="0" fontId="0" fillId="0" borderId="0" xfId="0" applyNumberFormat="1" applyFill="1"/>
    <xf numFmtId="0" fontId="2" fillId="0" borderId="0" xfId="0" applyFont="1"/>
    <xf numFmtId="0" fontId="10" fillId="0" borderId="0" xfId="0" applyFont="1" applyAlignment="1">
      <alignment vertical="center"/>
    </xf>
    <xf numFmtId="14" fontId="10" fillId="0" borderId="0" xfId="0" applyNumberFormat="1" applyFont="1" applyAlignment="1">
      <alignment vertical="center"/>
    </xf>
    <xf numFmtId="14" fontId="4" fillId="0" borderId="0" xfId="0" applyNumberFormat="1" applyFont="1" applyFill="1"/>
    <xf numFmtId="164" fontId="4" fillId="0" borderId="0" xfId="1" applyNumberFormat="1" applyFont="1" applyFill="1"/>
    <xf numFmtId="166" fontId="4" fillId="0" borderId="0" xfId="0" applyNumberFormat="1" applyFont="1"/>
    <xf numFmtId="15" fontId="0" fillId="0" borderId="0" xfId="0" applyNumberFormat="1"/>
    <xf numFmtId="20" fontId="0" fillId="0" borderId="0" xfId="0" applyNumberFormat="1"/>
    <xf numFmtId="46" fontId="0" fillId="0" borderId="0" xfId="0" applyNumberFormat="1"/>
    <xf numFmtId="0" fontId="10" fillId="0" borderId="0" xfId="0" applyFont="1" applyFill="1" applyAlignment="1">
      <alignment vertical="center"/>
    </xf>
    <xf numFmtId="14" fontId="10" fillId="0" borderId="0" xfId="0" applyNumberFormat="1" applyFont="1" applyFill="1" applyAlignment="1">
      <alignment vertical="center"/>
    </xf>
    <xf numFmtId="0" fontId="28" fillId="7" borderId="0" xfId="0" applyFont="1" applyFill="1"/>
    <xf numFmtId="43" fontId="4" fillId="2" borderId="0" xfId="0" applyNumberFormat="1" applyFont="1" applyFill="1"/>
    <xf numFmtId="165" fontId="4" fillId="2" borderId="0" xfId="0" applyNumberFormat="1" applyFont="1" applyFill="1"/>
  </cellXfs>
  <cellStyles count="8849">
    <cellStyle name="20% - Accent1" xfId="20" builtinId="30" customBuiltin="1"/>
    <cellStyle name="20% - Accent1 10" xfId="270"/>
    <cellStyle name="20% - Accent1 10 2" xfId="629"/>
    <cellStyle name="20% - Accent1 10 2 2" xfId="1362"/>
    <cellStyle name="20% - Accent1 10 2 2 2" xfId="3572"/>
    <cellStyle name="20% - Accent1 10 2 2 2 2" xfId="7978"/>
    <cellStyle name="20% - Accent1 10 2 2 3" xfId="5768"/>
    <cellStyle name="20% - Accent1 10 2 3" xfId="2094"/>
    <cellStyle name="20% - Accent1 10 2 3 2" xfId="4304"/>
    <cellStyle name="20% - Accent1 10 2 3 2 2" xfId="8710"/>
    <cellStyle name="20% - Accent1 10 2 3 3" xfId="6500"/>
    <cellStyle name="20% - Accent1 10 2 4" xfId="2840"/>
    <cellStyle name="20% - Accent1 10 2 4 2" xfId="7246"/>
    <cellStyle name="20% - Accent1 10 2 5" xfId="5036"/>
    <cellStyle name="20% - Accent1 10 3" xfId="1003"/>
    <cellStyle name="20% - Accent1 10 3 2" xfId="3213"/>
    <cellStyle name="20% - Accent1 10 3 2 2" xfId="7619"/>
    <cellStyle name="20% - Accent1 10 3 3" xfId="5409"/>
    <cellStyle name="20% - Accent1 10 4" xfId="1735"/>
    <cellStyle name="20% - Accent1 10 4 2" xfId="3945"/>
    <cellStyle name="20% - Accent1 10 4 2 2" xfId="8351"/>
    <cellStyle name="20% - Accent1 10 4 3" xfId="6141"/>
    <cellStyle name="20% - Accent1 10 5" xfId="2481"/>
    <cellStyle name="20% - Accent1 10 5 2" xfId="6887"/>
    <cellStyle name="20% - Accent1 10 6" xfId="4677"/>
    <cellStyle name="20% - Accent1 11" xfId="284"/>
    <cellStyle name="20% - Accent1 11 2" xfId="643"/>
    <cellStyle name="20% - Accent1 11 2 2" xfId="1376"/>
    <cellStyle name="20% - Accent1 11 2 2 2" xfId="3586"/>
    <cellStyle name="20% - Accent1 11 2 2 2 2" xfId="7992"/>
    <cellStyle name="20% - Accent1 11 2 2 3" xfId="5782"/>
    <cellStyle name="20% - Accent1 11 2 3" xfId="2108"/>
    <cellStyle name="20% - Accent1 11 2 3 2" xfId="4318"/>
    <cellStyle name="20% - Accent1 11 2 3 2 2" xfId="8724"/>
    <cellStyle name="20% - Accent1 11 2 3 3" xfId="6514"/>
    <cellStyle name="20% - Accent1 11 2 4" xfId="2854"/>
    <cellStyle name="20% - Accent1 11 2 4 2" xfId="7260"/>
    <cellStyle name="20% - Accent1 11 2 5" xfId="5050"/>
    <cellStyle name="20% - Accent1 11 3" xfId="1017"/>
    <cellStyle name="20% - Accent1 11 3 2" xfId="3227"/>
    <cellStyle name="20% - Accent1 11 3 2 2" xfId="7633"/>
    <cellStyle name="20% - Accent1 11 3 3" xfId="5423"/>
    <cellStyle name="20% - Accent1 11 4" xfId="1749"/>
    <cellStyle name="20% - Accent1 11 4 2" xfId="3959"/>
    <cellStyle name="20% - Accent1 11 4 2 2" xfId="8365"/>
    <cellStyle name="20% - Accent1 11 4 3" xfId="6155"/>
    <cellStyle name="20% - Accent1 11 5" xfId="2495"/>
    <cellStyle name="20% - Accent1 11 5 2" xfId="6901"/>
    <cellStyle name="20% - Accent1 11 6" xfId="4691"/>
    <cellStyle name="20% - Accent1 12" xfId="298"/>
    <cellStyle name="20% - Accent1 12 2" xfId="657"/>
    <cellStyle name="20% - Accent1 12 2 2" xfId="1390"/>
    <cellStyle name="20% - Accent1 12 2 2 2" xfId="3600"/>
    <cellStyle name="20% - Accent1 12 2 2 2 2" xfId="8006"/>
    <cellStyle name="20% - Accent1 12 2 2 3" xfId="5796"/>
    <cellStyle name="20% - Accent1 12 2 3" xfId="2122"/>
    <cellStyle name="20% - Accent1 12 2 3 2" xfId="4332"/>
    <cellStyle name="20% - Accent1 12 2 3 2 2" xfId="8738"/>
    <cellStyle name="20% - Accent1 12 2 3 3" xfId="6528"/>
    <cellStyle name="20% - Accent1 12 2 4" xfId="2868"/>
    <cellStyle name="20% - Accent1 12 2 4 2" xfId="7274"/>
    <cellStyle name="20% - Accent1 12 2 5" xfId="5064"/>
    <cellStyle name="20% - Accent1 12 3" xfId="1031"/>
    <cellStyle name="20% - Accent1 12 3 2" xfId="3241"/>
    <cellStyle name="20% - Accent1 12 3 2 2" xfId="7647"/>
    <cellStyle name="20% - Accent1 12 3 3" xfId="5437"/>
    <cellStyle name="20% - Accent1 12 4" xfId="1763"/>
    <cellStyle name="20% - Accent1 12 4 2" xfId="3973"/>
    <cellStyle name="20% - Accent1 12 4 2 2" xfId="8379"/>
    <cellStyle name="20% - Accent1 12 4 3" xfId="6169"/>
    <cellStyle name="20% - Accent1 12 5" xfId="2509"/>
    <cellStyle name="20% - Accent1 12 5 2" xfId="6915"/>
    <cellStyle name="20% - Accent1 12 6" xfId="4705"/>
    <cellStyle name="20% - Accent1 13" xfId="312"/>
    <cellStyle name="20% - Accent1 13 2" xfId="671"/>
    <cellStyle name="20% - Accent1 13 2 2" xfId="1404"/>
    <cellStyle name="20% - Accent1 13 2 2 2" xfId="3614"/>
    <cellStyle name="20% - Accent1 13 2 2 2 2" xfId="8020"/>
    <cellStyle name="20% - Accent1 13 2 2 3" xfId="5810"/>
    <cellStyle name="20% - Accent1 13 2 3" xfId="2136"/>
    <cellStyle name="20% - Accent1 13 2 3 2" xfId="4346"/>
    <cellStyle name="20% - Accent1 13 2 3 2 2" xfId="8752"/>
    <cellStyle name="20% - Accent1 13 2 3 3" xfId="6542"/>
    <cellStyle name="20% - Accent1 13 2 4" xfId="2882"/>
    <cellStyle name="20% - Accent1 13 2 4 2" xfId="7288"/>
    <cellStyle name="20% - Accent1 13 2 5" xfId="5078"/>
    <cellStyle name="20% - Accent1 13 3" xfId="1045"/>
    <cellStyle name="20% - Accent1 13 3 2" xfId="3255"/>
    <cellStyle name="20% - Accent1 13 3 2 2" xfId="7661"/>
    <cellStyle name="20% - Accent1 13 3 3" xfId="5451"/>
    <cellStyle name="20% - Accent1 13 4" xfId="1777"/>
    <cellStyle name="20% - Accent1 13 4 2" xfId="3987"/>
    <cellStyle name="20% - Accent1 13 4 2 2" xfId="8393"/>
    <cellStyle name="20% - Accent1 13 4 3" xfId="6183"/>
    <cellStyle name="20% - Accent1 13 5" xfId="2523"/>
    <cellStyle name="20% - Accent1 13 5 2" xfId="6929"/>
    <cellStyle name="20% - Accent1 13 6" xfId="4719"/>
    <cellStyle name="20% - Accent1 14" xfId="326"/>
    <cellStyle name="20% - Accent1 14 2" xfId="685"/>
    <cellStyle name="20% - Accent1 14 2 2" xfId="1418"/>
    <cellStyle name="20% - Accent1 14 2 2 2" xfId="3628"/>
    <cellStyle name="20% - Accent1 14 2 2 2 2" xfId="8034"/>
    <cellStyle name="20% - Accent1 14 2 2 3" xfId="5824"/>
    <cellStyle name="20% - Accent1 14 2 3" xfId="2150"/>
    <cellStyle name="20% - Accent1 14 2 3 2" xfId="4360"/>
    <cellStyle name="20% - Accent1 14 2 3 2 2" xfId="8766"/>
    <cellStyle name="20% - Accent1 14 2 3 3" xfId="6556"/>
    <cellStyle name="20% - Accent1 14 2 4" xfId="2896"/>
    <cellStyle name="20% - Accent1 14 2 4 2" xfId="7302"/>
    <cellStyle name="20% - Accent1 14 2 5" xfId="5092"/>
    <cellStyle name="20% - Accent1 14 3" xfId="1059"/>
    <cellStyle name="20% - Accent1 14 3 2" xfId="3269"/>
    <cellStyle name="20% - Accent1 14 3 2 2" xfId="7675"/>
    <cellStyle name="20% - Accent1 14 3 3" xfId="5465"/>
    <cellStyle name="20% - Accent1 14 4" xfId="1791"/>
    <cellStyle name="20% - Accent1 14 4 2" xfId="4001"/>
    <cellStyle name="20% - Accent1 14 4 2 2" xfId="8407"/>
    <cellStyle name="20% - Accent1 14 4 3" xfId="6197"/>
    <cellStyle name="20% - Accent1 14 5" xfId="2537"/>
    <cellStyle name="20% - Accent1 14 5 2" xfId="6943"/>
    <cellStyle name="20% - Accent1 14 6" xfId="4733"/>
    <cellStyle name="20% - Accent1 15" xfId="340"/>
    <cellStyle name="20% - Accent1 15 2" xfId="699"/>
    <cellStyle name="20% - Accent1 15 2 2" xfId="1432"/>
    <cellStyle name="20% - Accent1 15 2 2 2" xfId="3642"/>
    <cellStyle name="20% - Accent1 15 2 2 2 2" xfId="8048"/>
    <cellStyle name="20% - Accent1 15 2 2 3" xfId="5838"/>
    <cellStyle name="20% - Accent1 15 2 3" xfId="2164"/>
    <cellStyle name="20% - Accent1 15 2 3 2" xfId="4374"/>
    <cellStyle name="20% - Accent1 15 2 3 2 2" xfId="8780"/>
    <cellStyle name="20% - Accent1 15 2 3 3" xfId="6570"/>
    <cellStyle name="20% - Accent1 15 2 4" xfId="2910"/>
    <cellStyle name="20% - Accent1 15 2 4 2" xfId="7316"/>
    <cellStyle name="20% - Accent1 15 2 5" xfId="5106"/>
    <cellStyle name="20% - Accent1 15 3" xfId="1073"/>
    <cellStyle name="20% - Accent1 15 3 2" xfId="3283"/>
    <cellStyle name="20% - Accent1 15 3 2 2" xfId="7689"/>
    <cellStyle name="20% - Accent1 15 3 3" xfId="5479"/>
    <cellStyle name="20% - Accent1 15 4" xfId="1805"/>
    <cellStyle name="20% - Accent1 15 4 2" xfId="4015"/>
    <cellStyle name="20% - Accent1 15 4 2 2" xfId="8421"/>
    <cellStyle name="20% - Accent1 15 4 3" xfId="6211"/>
    <cellStyle name="20% - Accent1 15 5" xfId="2551"/>
    <cellStyle name="20% - Accent1 15 5 2" xfId="6957"/>
    <cellStyle name="20% - Accent1 15 6" xfId="4747"/>
    <cellStyle name="20% - Accent1 16" xfId="354"/>
    <cellStyle name="20% - Accent1 16 2" xfId="713"/>
    <cellStyle name="20% - Accent1 16 2 2" xfId="1446"/>
    <cellStyle name="20% - Accent1 16 2 2 2" xfId="3656"/>
    <cellStyle name="20% - Accent1 16 2 2 2 2" xfId="8062"/>
    <cellStyle name="20% - Accent1 16 2 2 3" xfId="5852"/>
    <cellStyle name="20% - Accent1 16 2 3" xfId="2178"/>
    <cellStyle name="20% - Accent1 16 2 3 2" xfId="4388"/>
    <cellStyle name="20% - Accent1 16 2 3 2 2" xfId="8794"/>
    <cellStyle name="20% - Accent1 16 2 3 3" xfId="6584"/>
    <cellStyle name="20% - Accent1 16 2 4" xfId="2924"/>
    <cellStyle name="20% - Accent1 16 2 4 2" xfId="7330"/>
    <cellStyle name="20% - Accent1 16 2 5" xfId="5120"/>
    <cellStyle name="20% - Accent1 16 3" xfId="1087"/>
    <cellStyle name="20% - Accent1 16 3 2" xfId="3297"/>
    <cellStyle name="20% - Accent1 16 3 2 2" xfId="7703"/>
    <cellStyle name="20% - Accent1 16 3 3" xfId="5493"/>
    <cellStyle name="20% - Accent1 16 4" xfId="1819"/>
    <cellStyle name="20% - Accent1 16 4 2" xfId="4029"/>
    <cellStyle name="20% - Accent1 16 4 2 2" xfId="8435"/>
    <cellStyle name="20% - Accent1 16 4 3" xfId="6225"/>
    <cellStyle name="20% - Accent1 16 5" xfId="2565"/>
    <cellStyle name="20% - Accent1 16 5 2" xfId="6971"/>
    <cellStyle name="20% - Accent1 16 6" xfId="4761"/>
    <cellStyle name="20% - Accent1 17" xfId="368"/>
    <cellStyle name="20% - Accent1 17 2" xfId="727"/>
    <cellStyle name="20% - Accent1 17 2 2" xfId="1460"/>
    <cellStyle name="20% - Accent1 17 2 2 2" xfId="3670"/>
    <cellStyle name="20% - Accent1 17 2 2 2 2" xfId="8076"/>
    <cellStyle name="20% - Accent1 17 2 2 3" xfId="5866"/>
    <cellStyle name="20% - Accent1 17 2 3" xfId="2192"/>
    <cellStyle name="20% - Accent1 17 2 3 2" xfId="4402"/>
    <cellStyle name="20% - Accent1 17 2 3 2 2" xfId="8808"/>
    <cellStyle name="20% - Accent1 17 2 3 3" xfId="6598"/>
    <cellStyle name="20% - Accent1 17 2 4" xfId="2938"/>
    <cellStyle name="20% - Accent1 17 2 4 2" xfId="7344"/>
    <cellStyle name="20% - Accent1 17 2 5" xfId="5134"/>
    <cellStyle name="20% - Accent1 17 3" xfId="1101"/>
    <cellStyle name="20% - Accent1 17 3 2" xfId="3311"/>
    <cellStyle name="20% - Accent1 17 3 2 2" xfId="7717"/>
    <cellStyle name="20% - Accent1 17 3 3" xfId="5507"/>
    <cellStyle name="20% - Accent1 17 4" xfId="1833"/>
    <cellStyle name="20% - Accent1 17 4 2" xfId="4043"/>
    <cellStyle name="20% - Accent1 17 4 2 2" xfId="8449"/>
    <cellStyle name="20% - Accent1 17 4 3" xfId="6239"/>
    <cellStyle name="20% - Accent1 17 5" xfId="2579"/>
    <cellStyle name="20% - Accent1 17 5 2" xfId="6985"/>
    <cellStyle name="20% - Accent1 17 6" xfId="4775"/>
    <cellStyle name="20% - Accent1 18" xfId="382"/>
    <cellStyle name="20% - Accent1 18 2" xfId="741"/>
    <cellStyle name="20% - Accent1 18 2 2" xfId="1474"/>
    <cellStyle name="20% - Accent1 18 2 2 2" xfId="3684"/>
    <cellStyle name="20% - Accent1 18 2 2 2 2" xfId="8090"/>
    <cellStyle name="20% - Accent1 18 2 2 3" xfId="5880"/>
    <cellStyle name="20% - Accent1 18 2 3" xfId="2206"/>
    <cellStyle name="20% - Accent1 18 2 3 2" xfId="4416"/>
    <cellStyle name="20% - Accent1 18 2 3 2 2" xfId="8822"/>
    <cellStyle name="20% - Accent1 18 2 3 3" xfId="6612"/>
    <cellStyle name="20% - Accent1 18 2 4" xfId="2952"/>
    <cellStyle name="20% - Accent1 18 2 4 2" xfId="7358"/>
    <cellStyle name="20% - Accent1 18 2 5" xfId="5148"/>
    <cellStyle name="20% - Accent1 18 3" xfId="1115"/>
    <cellStyle name="20% - Accent1 18 3 2" xfId="3325"/>
    <cellStyle name="20% - Accent1 18 3 2 2" xfId="7731"/>
    <cellStyle name="20% - Accent1 18 3 3" xfId="5521"/>
    <cellStyle name="20% - Accent1 18 4" xfId="1847"/>
    <cellStyle name="20% - Accent1 18 4 2" xfId="4057"/>
    <cellStyle name="20% - Accent1 18 4 2 2" xfId="8463"/>
    <cellStyle name="20% - Accent1 18 4 3" xfId="6253"/>
    <cellStyle name="20% - Accent1 18 5" xfId="2593"/>
    <cellStyle name="20% - Accent1 18 5 2" xfId="6999"/>
    <cellStyle name="20% - Accent1 18 6" xfId="4789"/>
    <cellStyle name="20% - Accent1 19" xfId="399"/>
    <cellStyle name="20% - Accent1 19 2" xfId="1132"/>
    <cellStyle name="20% - Accent1 19 2 2" xfId="3342"/>
    <cellStyle name="20% - Accent1 19 2 2 2" xfId="7748"/>
    <cellStyle name="20% - Accent1 19 2 3" xfId="5538"/>
    <cellStyle name="20% - Accent1 19 3" xfId="1864"/>
    <cellStyle name="20% - Accent1 19 3 2" xfId="4074"/>
    <cellStyle name="20% - Accent1 19 3 2 2" xfId="8480"/>
    <cellStyle name="20% - Accent1 19 3 3" xfId="6270"/>
    <cellStyle name="20% - Accent1 19 4" xfId="2610"/>
    <cellStyle name="20% - Accent1 19 4 2" xfId="7016"/>
    <cellStyle name="20% - Accent1 19 5" xfId="4806"/>
    <cellStyle name="20% - Accent1 2" xfId="54"/>
    <cellStyle name="20% - Accent1 2 2" xfId="172"/>
    <cellStyle name="20% - Accent1 2 2 2" xfId="531"/>
    <cellStyle name="20% - Accent1 2 2 2 2" xfId="1264"/>
    <cellStyle name="20% - Accent1 2 2 2 2 2" xfId="3474"/>
    <cellStyle name="20% - Accent1 2 2 2 2 2 2" xfId="7880"/>
    <cellStyle name="20% - Accent1 2 2 2 2 3" xfId="5670"/>
    <cellStyle name="20% - Accent1 2 2 2 3" xfId="1996"/>
    <cellStyle name="20% - Accent1 2 2 2 3 2" xfId="4206"/>
    <cellStyle name="20% - Accent1 2 2 2 3 2 2" xfId="8612"/>
    <cellStyle name="20% - Accent1 2 2 2 3 3" xfId="6402"/>
    <cellStyle name="20% - Accent1 2 2 2 4" xfId="2742"/>
    <cellStyle name="20% - Accent1 2 2 2 4 2" xfId="7148"/>
    <cellStyle name="20% - Accent1 2 2 2 5" xfId="4938"/>
    <cellStyle name="20% - Accent1 2 2 3" xfId="905"/>
    <cellStyle name="20% - Accent1 2 2 3 2" xfId="3115"/>
    <cellStyle name="20% - Accent1 2 2 3 2 2" xfId="7521"/>
    <cellStyle name="20% - Accent1 2 2 3 3" xfId="5311"/>
    <cellStyle name="20% - Accent1 2 2 4" xfId="1637"/>
    <cellStyle name="20% - Accent1 2 2 4 2" xfId="3847"/>
    <cellStyle name="20% - Accent1 2 2 4 2 2" xfId="8253"/>
    <cellStyle name="20% - Accent1 2 2 4 3" xfId="6043"/>
    <cellStyle name="20% - Accent1 2 2 5" xfId="2383"/>
    <cellStyle name="20% - Accent1 2 2 5 2" xfId="6789"/>
    <cellStyle name="20% - Accent1 2 2 6" xfId="4579"/>
    <cellStyle name="20% - Accent1 2 3" xfId="415"/>
    <cellStyle name="20% - Accent1 2 3 2" xfId="1148"/>
    <cellStyle name="20% - Accent1 2 3 2 2" xfId="3358"/>
    <cellStyle name="20% - Accent1 2 3 2 2 2" xfId="7764"/>
    <cellStyle name="20% - Accent1 2 3 2 3" xfId="5554"/>
    <cellStyle name="20% - Accent1 2 3 3" xfId="1880"/>
    <cellStyle name="20% - Accent1 2 3 3 2" xfId="4090"/>
    <cellStyle name="20% - Accent1 2 3 3 2 2" xfId="8496"/>
    <cellStyle name="20% - Accent1 2 3 3 3" xfId="6286"/>
    <cellStyle name="20% - Accent1 2 3 4" xfId="2626"/>
    <cellStyle name="20% - Accent1 2 3 4 2" xfId="7032"/>
    <cellStyle name="20% - Accent1 2 3 5" xfId="4822"/>
    <cellStyle name="20% - Accent1 2 4" xfId="789"/>
    <cellStyle name="20% - Accent1 2 4 2" xfId="2999"/>
    <cellStyle name="20% - Accent1 2 4 2 2" xfId="7405"/>
    <cellStyle name="20% - Accent1 2 4 3" xfId="5195"/>
    <cellStyle name="20% - Accent1 2 5" xfId="1521"/>
    <cellStyle name="20% - Accent1 2 5 2" xfId="3731"/>
    <cellStyle name="20% - Accent1 2 5 2 2" xfId="8137"/>
    <cellStyle name="20% - Accent1 2 5 3" xfId="5927"/>
    <cellStyle name="20% - Accent1 2 6" xfId="2267"/>
    <cellStyle name="20% - Accent1 2 6 2" xfId="6673"/>
    <cellStyle name="20% - Accent1 2 7" xfId="4463"/>
    <cellStyle name="20% - Accent1 20" xfId="756"/>
    <cellStyle name="20% - Accent1 20 2" xfId="1489"/>
    <cellStyle name="20% - Accent1 20 2 2" xfId="3699"/>
    <cellStyle name="20% - Accent1 20 2 2 2" xfId="8105"/>
    <cellStyle name="20% - Accent1 20 2 3" xfId="5895"/>
    <cellStyle name="20% - Accent1 20 3" xfId="2221"/>
    <cellStyle name="20% - Accent1 20 3 2" xfId="4431"/>
    <cellStyle name="20% - Accent1 20 3 2 2" xfId="8837"/>
    <cellStyle name="20% - Accent1 20 3 3" xfId="6627"/>
    <cellStyle name="20% - Accent1 20 4" xfId="2967"/>
    <cellStyle name="20% - Accent1 20 4 2" xfId="7373"/>
    <cellStyle name="20% - Accent1 20 5" xfId="5163"/>
    <cellStyle name="20% - Accent1 21" xfId="773"/>
    <cellStyle name="20% - Accent1 21 2" xfId="2983"/>
    <cellStyle name="20% - Accent1 21 2 2" xfId="7389"/>
    <cellStyle name="20% - Accent1 21 3" xfId="5179"/>
    <cellStyle name="20% - Accent1 22" xfId="1505"/>
    <cellStyle name="20% - Accent1 22 2" xfId="3715"/>
    <cellStyle name="20% - Accent1 22 2 2" xfId="8121"/>
    <cellStyle name="20% - Accent1 22 3" xfId="5911"/>
    <cellStyle name="20% - Accent1 23" xfId="2235"/>
    <cellStyle name="20% - Accent1 23 2" xfId="6641"/>
    <cellStyle name="20% - Accent1 24" xfId="2251"/>
    <cellStyle name="20% - Accent1 24 2" xfId="6657"/>
    <cellStyle name="20% - Accent1 25" xfId="4447"/>
    <cellStyle name="20% - Accent1 3" xfId="68"/>
    <cellStyle name="20% - Accent1 3 2" xfId="186"/>
    <cellStyle name="20% - Accent1 3 2 2" xfId="545"/>
    <cellStyle name="20% - Accent1 3 2 2 2" xfId="1278"/>
    <cellStyle name="20% - Accent1 3 2 2 2 2" xfId="3488"/>
    <cellStyle name="20% - Accent1 3 2 2 2 2 2" xfId="7894"/>
    <cellStyle name="20% - Accent1 3 2 2 2 3" xfId="5684"/>
    <cellStyle name="20% - Accent1 3 2 2 3" xfId="2010"/>
    <cellStyle name="20% - Accent1 3 2 2 3 2" xfId="4220"/>
    <cellStyle name="20% - Accent1 3 2 2 3 2 2" xfId="8626"/>
    <cellStyle name="20% - Accent1 3 2 2 3 3" xfId="6416"/>
    <cellStyle name="20% - Accent1 3 2 2 4" xfId="2756"/>
    <cellStyle name="20% - Accent1 3 2 2 4 2" xfId="7162"/>
    <cellStyle name="20% - Accent1 3 2 2 5" xfId="4952"/>
    <cellStyle name="20% - Accent1 3 2 3" xfId="919"/>
    <cellStyle name="20% - Accent1 3 2 3 2" xfId="3129"/>
    <cellStyle name="20% - Accent1 3 2 3 2 2" xfId="7535"/>
    <cellStyle name="20% - Accent1 3 2 3 3" xfId="5325"/>
    <cellStyle name="20% - Accent1 3 2 4" xfId="1651"/>
    <cellStyle name="20% - Accent1 3 2 4 2" xfId="3861"/>
    <cellStyle name="20% - Accent1 3 2 4 2 2" xfId="8267"/>
    <cellStyle name="20% - Accent1 3 2 4 3" xfId="6057"/>
    <cellStyle name="20% - Accent1 3 2 5" xfId="2397"/>
    <cellStyle name="20% - Accent1 3 2 5 2" xfId="6803"/>
    <cellStyle name="20% - Accent1 3 2 6" xfId="4593"/>
    <cellStyle name="20% - Accent1 3 3" xfId="429"/>
    <cellStyle name="20% - Accent1 3 3 2" xfId="1162"/>
    <cellStyle name="20% - Accent1 3 3 2 2" xfId="3372"/>
    <cellStyle name="20% - Accent1 3 3 2 2 2" xfId="7778"/>
    <cellStyle name="20% - Accent1 3 3 2 3" xfId="5568"/>
    <cellStyle name="20% - Accent1 3 3 3" xfId="1894"/>
    <cellStyle name="20% - Accent1 3 3 3 2" xfId="4104"/>
    <cellStyle name="20% - Accent1 3 3 3 2 2" xfId="8510"/>
    <cellStyle name="20% - Accent1 3 3 3 3" xfId="6300"/>
    <cellStyle name="20% - Accent1 3 3 4" xfId="2640"/>
    <cellStyle name="20% - Accent1 3 3 4 2" xfId="7046"/>
    <cellStyle name="20% - Accent1 3 3 5" xfId="4836"/>
    <cellStyle name="20% - Accent1 3 4" xfId="803"/>
    <cellStyle name="20% - Accent1 3 4 2" xfId="3013"/>
    <cellStyle name="20% - Accent1 3 4 2 2" xfId="7419"/>
    <cellStyle name="20% - Accent1 3 4 3" xfId="5209"/>
    <cellStyle name="20% - Accent1 3 5" xfId="1535"/>
    <cellStyle name="20% - Accent1 3 5 2" xfId="3745"/>
    <cellStyle name="20% - Accent1 3 5 2 2" xfId="8151"/>
    <cellStyle name="20% - Accent1 3 5 3" xfId="5941"/>
    <cellStyle name="20% - Accent1 3 6" xfId="2281"/>
    <cellStyle name="20% - Accent1 3 6 2" xfId="6687"/>
    <cellStyle name="20% - Accent1 3 7" xfId="4477"/>
    <cellStyle name="20% - Accent1 4" xfId="82"/>
    <cellStyle name="20% - Accent1 4 2" xfId="200"/>
    <cellStyle name="20% - Accent1 4 2 2" xfId="559"/>
    <cellStyle name="20% - Accent1 4 2 2 2" xfId="1292"/>
    <cellStyle name="20% - Accent1 4 2 2 2 2" xfId="3502"/>
    <cellStyle name="20% - Accent1 4 2 2 2 2 2" xfId="7908"/>
    <cellStyle name="20% - Accent1 4 2 2 2 3" xfId="5698"/>
    <cellStyle name="20% - Accent1 4 2 2 3" xfId="2024"/>
    <cellStyle name="20% - Accent1 4 2 2 3 2" xfId="4234"/>
    <cellStyle name="20% - Accent1 4 2 2 3 2 2" xfId="8640"/>
    <cellStyle name="20% - Accent1 4 2 2 3 3" xfId="6430"/>
    <cellStyle name="20% - Accent1 4 2 2 4" xfId="2770"/>
    <cellStyle name="20% - Accent1 4 2 2 4 2" xfId="7176"/>
    <cellStyle name="20% - Accent1 4 2 2 5" xfId="4966"/>
    <cellStyle name="20% - Accent1 4 2 3" xfId="933"/>
    <cellStyle name="20% - Accent1 4 2 3 2" xfId="3143"/>
    <cellStyle name="20% - Accent1 4 2 3 2 2" xfId="7549"/>
    <cellStyle name="20% - Accent1 4 2 3 3" xfId="5339"/>
    <cellStyle name="20% - Accent1 4 2 4" xfId="1665"/>
    <cellStyle name="20% - Accent1 4 2 4 2" xfId="3875"/>
    <cellStyle name="20% - Accent1 4 2 4 2 2" xfId="8281"/>
    <cellStyle name="20% - Accent1 4 2 4 3" xfId="6071"/>
    <cellStyle name="20% - Accent1 4 2 5" xfId="2411"/>
    <cellStyle name="20% - Accent1 4 2 5 2" xfId="6817"/>
    <cellStyle name="20% - Accent1 4 2 6" xfId="4607"/>
    <cellStyle name="20% - Accent1 4 3" xfId="443"/>
    <cellStyle name="20% - Accent1 4 3 2" xfId="1176"/>
    <cellStyle name="20% - Accent1 4 3 2 2" xfId="3386"/>
    <cellStyle name="20% - Accent1 4 3 2 2 2" xfId="7792"/>
    <cellStyle name="20% - Accent1 4 3 2 3" xfId="5582"/>
    <cellStyle name="20% - Accent1 4 3 3" xfId="1908"/>
    <cellStyle name="20% - Accent1 4 3 3 2" xfId="4118"/>
    <cellStyle name="20% - Accent1 4 3 3 2 2" xfId="8524"/>
    <cellStyle name="20% - Accent1 4 3 3 3" xfId="6314"/>
    <cellStyle name="20% - Accent1 4 3 4" xfId="2654"/>
    <cellStyle name="20% - Accent1 4 3 4 2" xfId="7060"/>
    <cellStyle name="20% - Accent1 4 3 5" xfId="4850"/>
    <cellStyle name="20% - Accent1 4 4" xfId="817"/>
    <cellStyle name="20% - Accent1 4 4 2" xfId="3027"/>
    <cellStyle name="20% - Accent1 4 4 2 2" xfId="7433"/>
    <cellStyle name="20% - Accent1 4 4 3" xfId="5223"/>
    <cellStyle name="20% - Accent1 4 5" xfId="1549"/>
    <cellStyle name="20% - Accent1 4 5 2" xfId="3759"/>
    <cellStyle name="20% - Accent1 4 5 2 2" xfId="8165"/>
    <cellStyle name="20% - Accent1 4 5 3" xfId="5955"/>
    <cellStyle name="20% - Accent1 4 6" xfId="2295"/>
    <cellStyle name="20% - Accent1 4 6 2" xfId="6701"/>
    <cellStyle name="20% - Accent1 4 7" xfId="4491"/>
    <cellStyle name="20% - Accent1 5" xfId="96"/>
    <cellStyle name="20% - Accent1 5 2" xfId="214"/>
    <cellStyle name="20% - Accent1 5 2 2" xfId="573"/>
    <cellStyle name="20% - Accent1 5 2 2 2" xfId="1306"/>
    <cellStyle name="20% - Accent1 5 2 2 2 2" xfId="3516"/>
    <cellStyle name="20% - Accent1 5 2 2 2 2 2" xfId="7922"/>
    <cellStyle name="20% - Accent1 5 2 2 2 3" xfId="5712"/>
    <cellStyle name="20% - Accent1 5 2 2 3" xfId="2038"/>
    <cellStyle name="20% - Accent1 5 2 2 3 2" xfId="4248"/>
    <cellStyle name="20% - Accent1 5 2 2 3 2 2" xfId="8654"/>
    <cellStyle name="20% - Accent1 5 2 2 3 3" xfId="6444"/>
    <cellStyle name="20% - Accent1 5 2 2 4" xfId="2784"/>
    <cellStyle name="20% - Accent1 5 2 2 4 2" xfId="7190"/>
    <cellStyle name="20% - Accent1 5 2 2 5" xfId="4980"/>
    <cellStyle name="20% - Accent1 5 2 3" xfId="947"/>
    <cellStyle name="20% - Accent1 5 2 3 2" xfId="3157"/>
    <cellStyle name="20% - Accent1 5 2 3 2 2" xfId="7563"/>
    <cellStyle name="20% - Accent1 5 2 3 3" xfId="5353"/>
    <cellStyle name="20% - Accent1 5 2 4" xfId="1679"/>
    <cellStyle name="20% - Accent1 5 2 4 2" xfId="3889"/>
    <cellStyle name="20% - Accent1 5 2 4 2 2" xfId="8295"/>
    <cellStyle name="20% - Accent1 5 2 4 3" xfId="6085"/>
    <cellStyle name="20% - Accent1 5 2 5" xfId="2425"/>
    <cellStyle name="20% - Accent1 5 2 5 2" xfId="6831"/>
    <cellStyle name="20% - Accent1 5 2 6" xfId="4621"/>
    <cellStyle name="20% - Accent1 5 3" xfId="457"/>
    <cellStyle name="20% - Accent1 5 3 2" xfId="1190"/>
    <cellStyle name="20% - Accent1 5 3 2 2" xfId="3400"/>
    <cellStyle name="20% - Accent1 5 3 2 2 2" xfId="7806"/>
    <cellStyle name="20% - Accent1 5 3 2 3" xfId="5596"/>
    <cellStyle name="20% - Accent1 5 3 3" xfId="1922"/>
    <cellStyle name="20% - Accent1 5 3 3 2" xfId="4132"/>
    <cellStyle name="20% - Accent1 5 3 3 2 2" xfId="8538"/>
    <cellStyle name="20% - Accent1 5 3 3 3" xfId="6328"/>
    <cellStyle name="20% - Accent1 5 3 4" xfId="2668"/>
    <cellStyle name="20% - Accent1 5 3 4 2" xfId="7074"/>
    <cellStyle name="20% - Accent1 5 3 5" xfId="4864"/>
    <cellStyle name="20% - Accent1 5 4" xfId="831"/>
    <cellStyle name="20% - Accent1 5 4 2" xfId="3041"/>
    <cellStyle name="20% - Accent1 5 4 2 2" xfId="7447"/>
    <cellStyle name="20% - Accent1 5 4 3" xfId="5237"/>
    <cellStyle name="20% - Accent1 5 5" xfId="1563"/>
    <cellStyle name="20% - Accent1 5 5 2" xfId="3773"/>
    <cellStyle name="20% - Accent1 5 5 2 2" xfId="8179"/>
    <cellStyle name="20% - Accent1 5 5 3" xfId="5969"/>
    <cellStyle name="20% - Accent1 5 6" xfId="2309"/>
    <cellStyle name="20% - Accent1 5 6 2" xfId="6715"/>
    <cellStyle name="20% - Accent1 5 7" xfId="4505"/>
    <cellStyle name="20% - Accent1 6" xfId="110"/>
    <cellStyle name="20% - Accent1 6 2" xfId="228"/>
    <cellStyle name="20% - Accent1 6 2 2" xfId="587"/>
    <cellStyle name="20% - Accent1 6 2 2 2" xfId="1320"/>
    <cellStyle name="20% - Accent1 6 2 2 2 2" xfId="3530"/>
    <cellStyle name="20% - Accent1 6 2 2 2 2 2" xfId="7936"/>
    <cellStyle name="20% - Accent1 6 2 2 2 3" xfId="5726"/>
    <cellStyle name="20% - Accent1 6 2 2 3" xfId="2052"/>
    <cellStyle name="20% - Accent1 6 2 2 3 2" xfId="4262"/>
    <cellStyle name="20% - Accent1 6 2 2 3 2 2" xfId="8668"/>
    <cellStyle name="20% - Accent1 6 2 2 3 3" xfId="6458"/>
    <cellStyle name="20% - Accent1 6 2 2 4" xfId="2798"/>
    <cellStyle name="20% - Accent1 6 2 2 4 2" xfId="7204"/>
    <cellStyle name="20% - Accent1 6 2 2 5" xfId="4994"/>
    <cellStyle name="20% - Accent1 6 2 3" xfId="961"/>
    <cellStyle name="20% - Accent1 6 2 3 2" xfId="3171"/>
    <cellStyle name="20% - Accent1 6 2 3 2 2" xfId="7577"/>
    <cellStyle name="20% - Accent1 6 2 3 3" xfId="5367"/>
    <cellStyle name="20% - Accent1 6 2 4" xfId="1693"/>
    <cellStyle name="20% - Accent1 6 2 4 2" xfId="3903"/>
    <cellStyle name="20% - Accent1 6 2 4 2 2" xfId="8309"/>
    <cellStyle name="20% - Accent1 6 2 4 3" xfId="6099"/>
    <cellStyle name="20% - Accent1 6 2 5" xfId="2439"/>
    <cellStyle name="20% - Accent1 6 2 5 2" xfId="6845"/>
    <cellStyle name="20% - Accent1 6 2 6" xfId="4635"/>
    <cellStyle name="20% - Accent1 6 3" xfId="471"/>
    <cellStyle name="20% - Accent1 6 3 2" xfId="1204"/>
    <cellStyle name="20% - Accent1 6 3 2 2" xfId="3414"/>
    <cellStyle name="20% - Accent1 6 3 2 2 2" xfId="7820"/>
    <cellStyle name="20% - Accent1 6 3 2 3" xfId="5610"/>
    <cellStyle name="20% - Accent1 6 3 3" xfId="1936"/>
    <cellStyle name="20% - Accent1 6 3 3 2" xfId="4146"/>
    <cellStyle name="20% - Accent1 6 3 3 2 2" xfId="8552"/>
    <cellStyle name="20% - Accent1 6 3 3 3" xfId="6342"/>
    <cellStyle name="20% - Accent1 6 3 4" xfId="2682"/>
    <cellStyle name="20% - Accent1 6 3 4 2" xfId="7088"/>
    <cellStyle name="20% - Accent1 6 3 5" xfId="4878"/>
    <cellStyle name="20% - Accent1 6 4" xfId="845"/>
    <cellStyle name="20% - Accent1 6 4 2" xfId="3055"/>
    <cellStyle name="20% - Accent1 6 4 2 2" xfId="7461"/>
    <cellStyle name="20% - Accent1 6 4 3" xfId="5251"/>
    <cellStyle name="20% - Accent1 6 5" xfId="1577"/>
    <cellStyle name="20% - Accent1 6 5 2" xfId="3787"/>
    <cellStyle name="20% - Accent1 6 5 2 2" xfId="8193"/>
    <cellStyle name="20% - Accent1 6 5 3" xfId="5983"/>
    <cellStyle name="20% - Accent1 6 6" xfId="2323"/>
    <cellStyle name="20% - Accent1 6 6 2" xfId="6729"/>
    <cellStyle name="20% - Accent1 6 7" xfId="4519"/>
    <cellStyle name="20% - Accent1 7" xfId="124"/>
    <cellStyle name="20% - Accent1 7 2" xfId="242"/>
    <cellStyle name="20% - Accent1 7 2 2" xfId="601"/>
    <cellStyle name="20% - Accent1 7 2 2 2" xfId="1334"/>
    <cellStyle name="20% - Accent1 7 2 2 2 2" xfId="3544"/>
    <cellStyle name="20% - Accent1 7 2 2 2 2 2" xfId="7950"/>
    <cellStyle name="20% - Accent1 7 2 2 2 3" xfId="5740"/>
    <cellStyle name="20% - Accent1 7 2 2 3" xfId="2066"/>
    <cellStyle name="20% - Accent1 7 2 2 3 2" xfId="4276"/>
    <cellStyle name="20% - Accent1 7 2 2 3 2 2" xfId="8682"/>
    <cellStyle name="20% - Accent1 7 2 2 3 3" xfId="6472"/>
    <cellStyle name="20% - Accent1 7 2 2 4" xfId="2812"/>
    <cellStyle name="20% - Accent1 7 2 2 4 2" xfId="7218"/>
    <cellStyle name="20% - Accent1 7 2 2 5" xfId="5008"/>
    <cellStyle name="20% - Accent1 7 2 3" xfId="975"/>
    <cellStyle name="20% - Accent1 7 2 3 2" xfId="3185"/>
    <cellStyle name="20% - Accent1 7 2 3 2 2" xfId="7591"/>
    <cellStyle name="20% - Accent1 7 2 3 3" xfId="5381"/>
    <cellStyle name="20% - Accent1 7 2 4" xfId="1707"/>
    <cellStyle name="20% - Accent1 7 2 4 2" xfId="3917"/>
    <cellStyle name="20% - Accent1 7 2 4 2 2" xfId="8323"/>
    <cellStyle name="20% - Accent1 7 2 4 3" xfId="6113"/>
    <cellStyle name="20% - Accent1 7 2 5" xfId="2453"/>
    <cellStyle name="20% - Accent1 7 2 5 2" xfId="6859"/>
    <cellStyle name="20% - Accent1 7 2 6" xfId="4649"/>
    <cellStyle name="20% - Accent1 7 3" xfId="485"/>
    <cellStyle name="20% - Accent1 7 3 2" xfId="1218"/>
    <cellStyle name="20% - Accent1 7 3 2 2" xfId="3428"/>
    <cellStyle name="20% - Accent1 7 3 2 2 2" xfId="7834"/>
    <cellStyle name="20% - Accent1 7 3 2 3" xfId="5624"/>
    <cellStyle name="20% - Accent1 7 3 3" xfId="1950"/>
    <cellStyle name="20% - Accent1 7 3 3 2" xfId="4160"/>
    <cellStyle name="20% - Accent1 7 3 3 2 2" xfId="8566"/>
    <cellStyle name="20% - Accent1 7 3 3 3" xfId="6356"/>
    <cellStyle name="20% - Accent1 7 3 4" xfId="2696"/>
    <cellStyle name="20% - Accent1 7 3 4 2" xfId="7102"/>
    <cellStyle name="20% - Accent1 7 3 5" xfId="4892"/>
    <cellStyle name="20% - Accent1 7 4" xfId="859"/>
    <cellStyle name="20% - Accent1 7 4 2" xfId="3069"/>
    <cellStyle name="20% - Accent1 7 4 2 2" xfId="7475"/>
    <cellStyle name="20% - Accent1 7 4 3" xfId="5265"/>
    <cellStyle name="20% - Accent1 7 5" xfId="1591"/>
    <cellStyle name="20% - Accent1 7 5 2" xfId="3801"/>
    <cellStyle name="20% - Accent1 7 5 2 2" xfId="8207"/>
    <cellStyle name="20% - Accent1 7 5 3" xfId="5997"/>
    <cellStyle name="20% - Accent1 7 6" xfId="2337"/>
    <cellStyle name="20% - Accent1 7 6 2" xfId="6743"/>
    <cellStyle name="20% - Accent1 7 7" xfId="4533"/>
    <cellStyle name="20% - Accent1 8" xfId="138"/>
    <cellStyle name="20% - Accent1 8 2" xfId="256"/>
    <cellStyle name="20% - Accent1 8 2 2" xfId="615"/>
    <cellStyle name="20% - Accent1 8 2 2 2" xfId="1348"/>
    <cellStyle name="20% - Accent1 8 2 2 2 2" xfId="3558"/>
    <cellStyle name="20% - Accent1 8 2 2 2 2 2" xfId="7964"/>
    <cellStyle name="20% - Accent1 8 2 2 2 3" xfId="5754"/>
    <cellStyle name="20% - Accent1 8 2 2 3" xfId="2080"/>
    <cellStyle name="20% - Accent1 8 2 2 3 2" xfId="4290"/>
    <cellStyle name="20% - Accent1 8 2 2 3 2 2" xfId="8696"/>
    <cellStyle name="20% - Accent1 8 2 2 3 3" xfId="6486"/>
    <cellStyle name="20% - Accent1 8 2 2 4" xfId="2826"/>
    <cellStyle name="20% - Accent1 8 2 2 4 2" xfId="7232"/>
    <cellStyle name="20% - Accent1 8 2 2 5" xfId="5022"/>
    <cellStyle name="20% - Accent1 8 2 3" xfId="989"/>
    <cellStyle name="20% - Accent1 8 2 3 2" xfId="3199"/>
    <cellStyle name="20% - Accent1 8 2 3 2 2" xfId="7605"/>
    <cellStyle name="20% - Accent1 8 2 3 3" xfId="5395"/>
    <cellStyle name="20% - Accent1 8 2 4" xfId="1721"/>
    <cellStyle name="20% - Accent1 8 2 4 2" xfId="3931"/>
    <cellStyle name="20% - Accent1 8 2 4 2 2" xfId="8337"/>
    <cellStyle name="20% - Accent1 8 2 4 3" xfId="6127"/>
    <cellStyle name="20% - Accent1 8 2 5" xfId="2467"/>
    <cellStyle name="20% - Accent1 8 2 5 2" xfId="6873"/>
    <cellStyle name="20% - Accent1 8 2 6" xfId="4663"/>
    <cellStyle name="20% - Accent1 8 3" xfId="499"/>
    <cellStyle name="20% - Accent1 8 3 2" xfId="1232"/>
    <cellStyle name="20% - Accent1 8 3 2 2" xfId="3442"/>
    <cellStyle name="20% - Accent1 8 3 2 2 2" xfId="7848"/>
    <cellStyle name="20% - Accent1 8 3 2 3" xfId="5638"/>
    <cellStyle name="20% - Accent1 8 3 3" xfId="1964"/>
    <cellStyle name="20% - Accent1 8 3 3 2" xfId="4174"/>
    <cellStyle name="20% - Accent1 8 3 3 2 2" xfId="8580"/>
    <cellStyle name="20% - Accent1 8 3 3 3" xfId="6370"/>
    <cellStyle name="20% - Accent1 8 3 4" xfId="2710"/>
    <cellStyle name="20% - Accent1 8 3 4 2" xfId="7116"/>
    <cellStyle name="20% - Accent1 8 3 5" xfId="4906"/>
    <cellStyle name="20% - Accent1 8 4" xfId="873"/>
    <cellStyle name="20% - Accent1 8 4 2" xfId="3083"/>
    <cellStyle name="20% - Accent1 8 4 2 2" xfId="7489"/>
    <cellStyle name="20% - Accent1 8 4 3" xfId="5279"/>
    <cellStyle name="20% - Accent1 8 5" xfId="1605"/>
    <cellStyle name="20% - Accent1 8 5 2" xfId="3815"/>
    <cellStyle name="20% - Accent1 8 5 2 2" xfId="8221"/>
    <cellStyle name="20% - Accent1 8 5 3" xfId="6011"/>
    <cellStyle name="20% - Accent1 8 6" xfId="2351"/>
    <cellStyle name="20% - Accent1 8 6 2" xfId="6757"/>
    <cellStyle name="20% - Accent1 8 7" xfId="4547"/>
    <cellStyle name="20% - Accent1 9" xfId="156"/>
    <cellStyle name="20% - Accent1 9 2" xfId="515"/>
    <cellStyle name="20% - Accent1 9 2 2" xfId="1248"/>
    <cellStyle name="20% - Accent1 9 2 2 2" xfId="3458"/>
    <cellStyle name="20% - Accent1 9 2 2 2 2" xfId="7864"/>
    <cellStyle name="20% - Accent1 9 2 2 3" xfId="5654"/>
    <cellStyle name="20% - Accent1 9 2 3" xfId="1980"/>
    <cellStyle name="20% - Accent1 9 2 3 2" xfId="4190"/>
    <cellStyle name="20% - Accent1 9 2 3 2 2" xfId="8596"/>
    <cellStyle name="20% - Accent1 9 2 3 3" xfId="6386"/>
    <cellStyle name="20% - Accent1 9 2 4" xfId="2726"/>
    <cellStyle name="20% - Accent1 9 2 4 2" xfId="7132"/>
    <cellStyle name="20% - Accent1 9 2 5" xfId="4922"/>
    <cellStyle name="20% - Accent1 9 3" xfId="889"/>
    <cellStyle name="20% - Accent1 9 3 2" xfId="3099"/>
    <cellStyle name="20% - Accent1 9 3 2 2" xfId="7505"/>
    <cellStyle name="20% - Accent1 9 3 3" xfId="5295"/>
    <cellStyle name="20% - Accent1 9 4" xfId="1621"/>
    <cellStyle name="20% - Accent1 9 4 2" xfId="3831"/>
    <cellStyle name="20% - Accent1 9 4 2 2" xfId="8237"/>
    <cellStyle name="20% - Accent1 9 4 3" xfId="6027"/>
    <cellStyle name="20% - Accent1 9 5" xfId="2367"/>
    <cellStyle name="20% - Accent1 9 5 2" xfId="6773"/>
    <cellStyle name="20% - Accent1 9 6" xfId="4563"/>
    <cellStyle name="20% - Accent2" xfId="24" builtinId="34" customBuiltin="1"/>
    <cellStyle name="20% - Accent2 10" xfId="272"/>
    <cellStyle name="20% - Accent2 10 2" xfId="631"/>
    <cellStyle name="20% - Accent2 10 2 2" xfId="1364"/>
    <cellStyle name="20% - Accent2 10 2 2 2" xfId="3574"/>
    <cellStyle name="20% - Accent2 10 2 2 2 2" xfId="7980"/>
    <cellStyle name="20% - Accent2 10 2 2 3" xfId="5770"/>
    <cellStyle name="20% - Accent2 10 2 3" xfId="2096"/>
    <cellStyle name="20% - Accent2 10 2 3 2" xfId="4306"/>
    <cellStyle name="20% - Accent2 10 2 3 2 2" xfId="8712"/>
    <cellStyle name="20% - Accent2 10 2 3 3" xfId="6502"/>
    <cellStyle name="20% - Accent2 10 2 4" xfId="2842"/>
    <cellStyle name="20% - Accent2 10 2 4 2" xfId="7248"/>
    <cellStyle name="20% - Accent2 10 2 5" xfId="5038"/>
    <cellStyle name="20% - Accent2 10 3" xfId="1005"/>
    <cellStyle name="20% - Accent2 10 3 2" xfId="3215"/>
    <cellStyle name="20% - Accent2 10 3 2 2" xfId="7621"/>
    <cellStyle name="20% - Accent2 10 3 3" xfId="5411"/>
    <cellStyle name="20% - Accent2 10 4" xfId="1737"/>
    <cellStyle name="20% - Accent2 10 4 2" xfId="3947"/>
    <cellStyle name="20% - Accent2 10 4 2 2" xfId="8353"/>
    <cellStyle name="20% - Accent2 10 4 3" xfId="6143"/>
    <cellStyle name="20% - Accent2 10 5" xfId="2483"/>
    <cellStyle name="20% - Accent2 10 5 2" xfId="6889"/>
    <cellStyle name="20% - Accent2 10 6" xfId="4679"/>
    <cellStyle name="20% - Accent2 11" xfId="286"/>
    <cellStyle name="20% - Accent2 11 2" xfId="645"/>
    <cellStyle name="20% - Accent2 11 2 2" xfId="1378"/>
    <cellStyle name="20% - Accent2 11 2 2 2" xfId="3588"/>
    <cellStyle name="20% - Accent2 11 2 2 2 2" xfId="7994"/>
    <cellStyle name="20% - Accent2 11 2 2 3" xfId="5784"/>
    <cellStyle name="20% - Accent2 11 2 3" xfId="2110"/>
    <cellStyle name="20% - Accent2 11 2 3 2" xfId="4320"/>
    <cellStyle name="20% - Accent2 11 2 3 2 2" xfId="8726"/>
    <cellStyle name="20% - Accent2 11 2 3 3" xfId="6516"/>
    <cellStyle name="20% - Accent2 11 2 4" xfId="2856"/>
    <cellStyle name="20% - Accent2 11 2 4 2" xfId="7262"/>
    <cellStyle name="20% - Accent2 11 2 5" xfId="5052"/>
    <cellStyle name="20% - Accent2 11 3" xfId="1019"/>
    <cellStyle name="20% - Accent2 11 3 2" xfId="3229"/>
    <cellStyle name="20% - Accent2 11 3 2 2" xfId="7635"/>
    <cellStyle name="20% - Accent2 11 3 3" xfId="5425"/>
    <cellStyle name="20% - Accent2 11 4" xfId="1751"/>
    <cellStyle name="20% - Accent2 11 4 2" xfId="3961"/>
    <cellStyle name="20% - Accent2 11 4 2 2" xfId="8367"/>
    <cellStyle name="20% - Accent2 11 4 3" xfId="6157"/>
    <cellStyle name="20% - Accent2 11 5" xfId="2497"/>
    <cellStyle name="20% - Accent2 11 5 2" xfId="6903"/>
    <cellStyle name="20% - Accent2 11 6" xfId="4693"/>
    <cellStyle name="20% - Accent2 12" xfId="300"/>
    <cellStyle name="20% - Accent2 12 2" xfId="659"/>
    <cellStyle name="20% - Accent2 12 2 2" xfId="1392"/>
    <cellStyle name="20% - Accent2 12 2 2 2" xfId="3602"/>
    <cellStyle name="20% - Accent2 12 2 2 2 2" xfId="8008"/>
    <cellStyle name="20% - Accent2 12 2 2 3" xfId="5798"/>
    <cellStyle name="20% - Accent2 12 2 3" xfId="2124"/>
    <cellStyle name="20% - Accent2 12 2 3 2" xfId="4334"/>
    <cellStyle name="20% - Accent2 12 2 3 2 2" xfId="8740"/>
    <cellStyle name="20% - Accent2 12 2 3 3" xfId="6530"/>
    <cellStyle name="20% - Accent2 12 2 4" xfId="2870"/>
    <cellStyle name="20% - Accent2 12 2 4 2" xfId="7276"/>
    <cellStyle name="20% - Accent2 12 2 5" xfId="5066"/>
    <cellStyle name="20% - Accent2 12 3" xfId="1033"/>
    <cellStyle name="20% - Accent2 12 3 2" xfId="3243"/>
    <cellStyle name="20% - Accent2 12 3 2 2" xfId="7649"/>
    <cellStyle name="20% - Accent2 12 3 3" xfId="5439"/>
    <cellStyle name="20% - Accent2 12 4" xfId="1765"/>
    <cellStyle name="20% - Accent2 12 4 2" xfId="3975"/>
    <cellStyle name="20% - Accent2 12 4 2 2" xfId="8381"/>
    <cellStyle name="20% - Accent2 12 4 3" xfId="6171"/>
    <cellStyle name="20% - Accent2 12 5" xfId="2511"/>
    <cellStyle name="20% - Accent2 12 5 2" xfId="6917"/>
    <cellStyle name="20% - Accent2 12 6" xfId="4707"/>
    <cellStyle name="20% - Accent2 13" xfId="314"/>
    <cellStyle name="20% - Accent2 13 2" xfId="673"/>
    <cellStyle name="20% - Accent2 13 2 2" xfId="1406"/>
    <cellStyle name="20% - Accent2 13 2 2 2" xfId="3616"/>
    <cellStyle name="20% - Accent2 13 2 2 2 2" xfId="8022"/>
    <cellStyle name="20% - Accent2 13 2 2 3" xfId="5812"/>
    <cellStyle name="20% - Accent2 13 2 3" xfId="2138"/>
    <cellStyle name="20% - Accent2 13 2 3 2" xfId="4348"/>
    <cellStyle name="20% - Accent2 13 2 3 2 2" xfId="8754"/>
    <cellStyle name="20% - Accent2 13 2 3 3" xfId="6544"/>
    <cellStyle name="20% - Accent2 13 2 4" xfId="2884"/>
    <cellStyle name="20% - Accent2 13 2 4 2" xfId="7290"/>
    <cellStyle name="20% - Accent2 13 2 5" xfId="5080"/>
    <cellStyle name="20% - Accent2 13 3" xfId="1047"/>
    <cellStyle name="20% - Accent2 13 3 2" xfId="3257"/>
    <cellStyle name="20% - Accent2 13 3 2 2" xfId="7663"/>
    <cellStyle name="20% - Accent2 13 3 3" xfId="5453"/>
    <cellStyle name="20% - Accent2 13 4" xfId="1779"/>
    <cellStyle name="20% - Accent2 13 4 2" xfId="3989"/>
    <cellStyle name="20% - Accent2 13 4 2 2" xfId="8395"/>
    <cellStyle name="20% - Accent2 13 4 3" xfId="6185"/>
    <cellStyle name="20% - Accent2 13 5" xfId="2525"/>
    <cellStyle name="20% - Accent2 13 5 2" xfId="6931"/>
    <cellStyle name="20% - Accent2 13 6" xfId="4721"/>
    <cellStyle name="20% - Accent2 14" xfId="328"/>
    <cellStyle name="20% - Accent2 14 2" xfId="687"/>
    <cellStyle name="20% - Accent2 14 2 2" xfId="1420"/>
    <cellStyle name="20% - Accent2 14 2 2 2" xfId="3630"/>
    <cellStyle name="20% - Accent2 14 2 2 2 2" xfId="8036"/>
    <cellStyle name="20% - Accent2 14 2 2 3" xfId="5826"/>
    <cellStyle name="20% - Accent2 14 2 3" xfId="2152"/>
    <cellStyle name="20% - Accent2 14 2 3 2" xfId="4362"/>
    <cellStyle name="20% - Accent2 14 2 3 2 2" xfId="8768"/>
    <cellStyle name="20% - Accent2 14 2 3 3" xfId="6558"/>
    <cellStyle name="20% - Accent2 14 2 4" xfId="2898"/>
    <cellStyle name="20% - Accent2 14 2 4 2" xfId="7304"/>
    <cellStyle name="20% - Accent2 14 2 5" xfId="5094"/>
    <cellStyle name="20% - Accent2 14 3" xfId="1061"/>
    <cellStyle name="20% - Accent2 14 3 2" xfId="3271"/>
    <cellStyle name="20% - Accent2 14 3 2 2" xfId="7677"/>
    <cellStyle name="20% - Accent2 14 3 3" xfId="5467"/>
    <cellStyle name="20% - Accent2 14 4" xfId="1793"/>
    <cellStyle name="20% - Accent2 14 4 2" xfId="4003"/>
    <cellStyle name="20% - Accent2 14 4 2 2" xfId="8409"/>
    <cellStyle name="20% - Accent2 14 4 3" xfId="6199"/>
    <cellStyle name="20% - Accent2 14 5" xfId="2539"/>
    <cellStyle name="20% - Accent2 14 5 2" xfId="6945"/>
    <cellStyle name="20% - Accent2 14 6" xfId="4735"/>
    <cellStyle name="20% - Accent2 15" xfId="342"/>
    <cellStyle name="20% - Accent2 15 2" xfId="701"/>
    <cellStyle name="20% - Accent2 15 2 2" xfId="1434"/>
    <cellStyle name="20% - Accent2 15 2 2 2" xfId="3644"/>
    <cellStyle name="20% - Accent2 15 2 2 2 2" xfId="8050"/>
    <cellStyle name="20% - Accent2 15 2 2 3" xfId="5840"/>
    <cellStyle name="20% - Accent2 15 2 3" xfId="2166"/>
    <cellStyle name="20% - Accent2 15 2 3 2" xfId="4376"/>
    <cellStyle name="20% - Accent2 15 2 3 2 2" xfId="8782"/>
    <cellStyle name="20% - Accent2 15 2 3 3" xfId="6572"/>
    <cellStyle name="20% - Accent2 15 2 4" xfId="2912"/>
    <cellStyle name="20% - Accent2 15 2 4 2" xfId="7318"/>
    <cellStyle name="20% - Accent2 15 2 5" xfId="5108"/>
    <cellStyle name="20% - Accent2 15 3" xfId="1075"/>
    <cellStyle name="20% - Accent2 15 3 2" xfId="3285"/>
    <cellStyle name="20% - Accent2 15 3 2 2" xfId="7691"/>
    <cellStyle name="20% - Accent2 15 3 3" xfId="5481"/>
    <cellStyle name="20% - Accent2 15 4" xfId="1807"/>
    <cellStyle name="20% - Accent2 15 4 2" xfId="4017"/>
    <cellStyle name="20% - Accent2 15 4 2 2" xfId="8423"/>
    <cellStyle name="20% - Accent2 15 4 3" xfId="6213"/>
    <cellStyle name="20% - Accent2 15 5" xfId="2553"/>
    <cellStyle name="20% - Accent2 15 5 2" xfId="6959"/>
    <cellStyle name="20% - Accent2 15 6" xfId="4749"/>
    <cellStyle name="20% - Accent2 16" xfId="356"/>
    <cellStyle name="20% - Accent2 16 2" xfId="715"/>
    <cellStyle name="20% - Accent2 16 2 2" xfId="1448"/>
    <cellStyle name="20% - Accent2 16 2 2 2" xfId="3658"/>
    <cellStyle name="20% - Accent2 16 2 2 2 2" xfId="8064"/>
    <cellStyle name="20% - Accent2 16 2 2 3" xfId="5854"/>
    <cellStyle name="20% - Accent2 16 2 3" xfId="2180"/>
    <cellStyle name="20% - Accent2 16 2 3 2" xfId="4390"/>
    <cellStyle name="20% - Accent2 16 2 3 2 2" xfId="8796"/>
    <cellStyle name="20% - Accent2 16 2 3 3" xfId="6586"/>
    <cellStyle name="20% - Accent2 16 2 4" xfId="2926"/>
    <cellStyle name="20% - Accent2 16 2 4 2" xfId="7332"/>
    <cellStyle name="20% - Accent2 16 2 5" xfId="5122"/>
    <cellStyle name="20% - Accent2 16 3" xfId="1089"/>
    <cellStyle name="20% - Accent2 16 3 2" xfId="3299"/>
    <cellStyle name="20% - Accent2 16 3 2 2" xfId="7705"/>
    <cellStyle name="20% - Accent2 16 3 3" xfId="5495"/>
    <cellStyle name="20% - Accent2 16 4" xfId="1821"/>
    <cellStyle name="20% - Accent2 16 4 2" xfId="4031"/>
    <cellStyle name="20% - Accent2 16 4 2 2" xfId="8437"/>
    <cellStyle name="20% - Accent2 16 4 3" xfId="6227"/>
    <cellStyle name="20% - Accent2 16 5" xfId="2567"/>
    <cellStyle name="20% - Accent2 16 5 2" xfId="6973"/>
    <cellStyle name="20% - Accent2 16 6" xfId="4763"/>
    <cellStyle name="20% - Accent2 17" xfId="370"/>
    <cellStyle name="20% - Accent2 17 2" xfId="729"/>
    <cellStyle name="20% - Accent2 17 2 2" xfId="1462"/>
    <cellStyle name="20% - Accent2 17 2 2 2" xfId="3672"/>
    <cellStyle name="20% - Accent2 17 2 2 2 2" xfId="8078"/>
    <cellStyle name="20% - Accent2 17 2 2 3" xfId="5868"/>
    <cellStyle name="20% - Accent2 17 2 3" xfId="2194"/>
    <cellStyle name="20% - Accent2 17 2 3 2" xfId="4404"/>
    <cellStyle name="20% - Accent2 17 2 3 2 2" xfId="8810"/>
    <cellStyle name="20% - Accent2 17 2 3 3" xfId="6600"/>
    <cellStyle name="20% - Accent2 17 2 4" xfId="2940"/>
    <cellStyle name="20% - Accent2 17 2 4 2" xfId="7346"/>
    <cellStyle name="20% - Accent2 17 2 5" xfId="5136"/>
    <cellStyle name="20% - Accent2 17 3" xfId="1103"/>
    <cellStyle name="20% - Accent2 17 3 2" xfId="3313"/>
    <cellStyle name="20% - Accent2 17 3 2 2" xfId="7719"/>
    <cellStyle name="20% - Accent2 17 3 3" xfId="5509"/>
    <cellStyle name="20% - Accent2 17 4" xfId="1835"/>
    <cellStyle name="20% - Accent2 17 4 2" xfId="4045"/>
    <cellStyle name="20% - Accent2 17 4 2 2" xfId="8451"/>
    <cellStyle name="20% - Accent2 17 4 3" xfId="6241"/>
    <cellStyle name="20% - Accent2 17 5" xfId="2581"/>
    <cellStyle name="20% - Accent2 17 5 2" xfId="6987"/>
    <cellStyle name="20% - Accent2 17 6" xfId="4777"/>
    <cellStyle name="20% - Accent2 18" xfId="384"/>
    <cellStyle name="20% - Accent2 18 2" xfId="743"/>
    <cellStyle name="20% - Accent2 18 2 2" xfId="1476"/>
    <cellStyle name="20% - Accent2 18 2 2 2" xfId="3686"/>
    <cellStyle name="20% - Accent2 18 2 2 2 2" xfId="8092"/>
    <cellStyle name="20% - Accent2 18 2 2 3" xfId="5882"/>
    <cellStyle name="20% - Accent2 18 2 3" xfId="2208"/>
    <cellStyle name="20% - Accent2 18 2 3 2" xfId="4418"/>
    <cellStyle name="20% - Accent2 18 2 3 2 2" xfId="8824"/>
    <cellStyle name="20% - Accent2 18 2 3 3" xfId="6614"/>
    <cellStyle name="20% - Accent2 18 2 4" xfId="2954"/>
    <cellStyle name="20% - Accent2 18 2 4 2" xfId="7360"/>
    <cellStyle name="20% - Accent2 18 2 5" xfId="5150"/>
    <cellStyle name="20% - Accent2 18 3" xfId="1117"/>
    <cellStyle name="20% - Accent2 18 3 2" xfId="3327"/>
    <cellStyle name="20% - Accent2 18 3 2 2" xfId="7733"/>
    <cellStyle name="20% - Accent2 18 3 3" xfId="5523"/>
    <cellStyle name="20% - Accent2 18 4" xfId="1849"/>
    <cellStyle name="20% - Accent2 18 4 2" xfId="4059"/>
    <cellStyle name="20% - Accent2 18 4 2 2" xfId="8465"/>
    <cellStyle name="20% - Accent2 18 4 3" xfId="6255"/>
    <cellStyle name="20% - Accent2 18 5" xfId="2595"/>
    <cellStyle name="20% - Accent2 18 5 2" xfId="7001"/>
    <cellStyle name="20% - Accent2 18 6" xfId="4791"/>
    <cellStyle name="20% - Accent2 19" xfId="401"/>
    <cellStyle name="20% - Accent2 19 2" xfId="1134"/>
    <cellStyle name="20% - Accent2 19 2 2" xfId="3344"/>
    <cellStyle name="20% - Accent2 19 2 2 2" xfId="7750"/>
    <cellStyle name="20% - Accent2 19 2 3" xfId="5540"/>
    <cellStyle name="20% - Accent2 19 3" xfId="1866"/>
    <cellStyle name="20% - Accent2 19 3 2" xfId="4076"/>
    <cellStyle name="20% - Accent2 19 3 2 2" xfId="8482"/>
    <cellStyle name="20% - Accent2 19 3 3" xfId="6272"/>
    <cellStyle name="20% - Accent2 19 4" xfId="2612"/>
    <cellStyle name="20% - Accent2 19 4 2" xfId="7018"/>
    <cellStyle name="20% - Accent2 19 5" xfId="4808"/>
    <cellStyle name="20% - Accent2 2" xfId="56"/>
    <cellStyle name="20% - Accent2 2 2" xfId="174"/>
    <cellStyle name="20% - Accent2 2 2 2" xfId="533"/>
    <cellStyle name="20% - Accent2 2 2 2 2" xfId="1266"/>
    <cellStyle name="20% - Accent2 2 2 2 2 2" xfId="3476"/>
    <cellStyle name="20% - Accent2 2 2 2 2 2 2" xfId="7882"/>
    <cellStyle name="20% - Accent2 2 2 2 2 3" xfId="5672"/>
    <cellStyle name="20% - Accent2 2 2 2 3" xfId="1998"/>
    <cellStyle name="20% - Accent2 2 2 2 3 2" xfId="4208"/>
    <cellStyle name="20% - Accent2 2 2 2 3 2 2" xfId="8614"/>
    <cellStyle name="20% - Accent2 2 2 2 3 3" xfId="6404"/>
    <cellStyle name="20% - Accent2 2 2 2 4" xfId="2744"/>
    <cellStyle name="20% - Accent2 2 2 2 4 2" xfId="7150"/>
    <cellStyle name="20% - Accent2 2 2 2 5" xfId="4940"/>
    <cellStyle name="20% - Accent2 2 2 3" xfId="907"/>
    <cellStyle name="20% - Accent2 2 2 3 2" xfId="3117"/>
    <cellStyle name="20% - Accent2 2 2 3 2 2" xfId="7523"/>
    <cellStyle name="20% - Accent2 2 2 3 3" xfId="5313"/>
    <cellStyle name="20% - Accent2 2 2 4" xfId="1639"/>
    <cellStyle name="20% - Accent2 2 2 4 2" xfId="3849"/>
    <cellStyle name="20% - Accent2 2 2 4 2 2" xfId="8255"/>
    <cellStyle name="20% - Accent2 2 2 4 3" xfId="6045"/>
    <cellStyle name="20% - Accent2 2 2 5" xfId="2385"/>
    <cellStyle name="20% - Accent2 2 2 5 2" xfId="6791"/>
    <cellStyle name="20% - Accent2 2 2 6" xfId="4581"/>
    <cellStyle name="20% - Accent2 2 3" xfId="417"/>
    <cellStyle name="20% - Accent2 2 3 2" xfId="1150"/>
    <cellStyle name="20% - Accent2 2 3 2 2" xfId="3360"/>
    <cellStyle name="20% - Accent2 2 3 2 2 2" xfId="7766"/>
    <cellStyle name="20% - Accent2 2 3 2 3" xfId="5556"/>
    <cellStyle name="20% - Accent2 2 3 3" xfId="1882"/>
    <cellStyle name="20% - Accent2 2 3 3 2" xfId="4092"/>
    <cellStyle name="20% - Accent2 2 3 3 2 2" xfId="8498"/>
    <cellStyle name="20% - Accent2 2 3 3 3" xfId="6288"/>
    <cellStyle name="20% - Accent2 2 3 4" xfId="2628"/>
    <cellStyle name="20% - Accent2 2 3 4 2" xfId="7034"/>
    <cellStyle name="20% - Accent2 2 3 5" xfId="4824"/>
    <cellStyle name="20% - Accent2 2 4" xfId="791"/>
    <cellStyle name="20% - Accent2 2 4 2" xfId="3001"/>
    <cellStyle name="20% - Accent2 2 4 2 2" xfId="7407"/>
    <cellStyle name="20% - Accent2 2 4 3" xfId="5197"/>
    <cellStyle name="20% - Accent2 2 5" xfId="1523"/>
    <cellStyle name="20% - Accent2 2 5 2" xfId="3733"/>
    <cellStyle name="20% - Accent2 2 5 2 2" xfId="8139"/>
    <cellStyle name="20% - Accent2 2 5 3" xfId="5929"/>
    <cellStyle name="20% - Accent2 2 6" xfId="2269"/>
    <cellStyle name="20% - Accent2 2 6 2" xfId="6675"/>
    <cellStyle name="20% - Accent2 2 7" xfId="4465"/>
    <cellStyle name="20% - Accent2 20" xfId="758"/>
    <cellStyle name="20% - Accent2 20 2" xfId="1491"/>
    <cellStyle name="20% - Accent2 20 2 2" xfId="3701"/>
    <cellStyle name="20% - Accent2 20 2 2 2" xfId="8107"/>
    <cellStyle name="20% - Accent2 20 2 3" xfId="5897"/>
    <cellStyle name="20% - Accent2 20 3" xfId="2223"/>
    <cellStyle name="20% - Accent2 20 3 2" xfId="4433"/>
    <cellStyle name="20% - Accent2 20 3 2 2" xfId="8839"/>
    <cellStyle name="20% - Accent2 20 3 3" xfId="6629"/>
    <cellStyle name="20% - Accent2 20 4" xfId="2969"/>
    <cellStyle name="20% - Accent2 20 4 2" xfId="7375"/>
    <cellStyle name="20% - Accent2 20 5" xfId="5165"/>
    <cellStyle name="20% - Accent2 21" xfId="775"/>
    <cellStyle name="20% - Accent2 21 2" xfId="2985"/>
    <cellStyle name="20% - Accent2 21 2 2" xfId="7391"/>
    <cellStyle name="20% - Accent2 21 3" xfId="5181"/>
    <cellStyle name="20% - Accent2 22" xfId="1507"/>
    <cellStyle name="20% - Accent2 22 2" xfId="3717"/>
    <cellStyle name="20% - Accent2 22 2 2" xfId="8123"/>
    <cellStyle name="20% - Accent2 22 3" xfId="5913"/>
    <cellStyle name="20% - Accent2 23" xfId="2237"/>
    <cellStyle name="20% - Accent2 23 2" xfId="6643"/>
    <cellStyle name="20% - Accent2 24" xfId="2253"/>
    <cellStyle name="20% - Accent2 24 2" xfId="6659"/>
    <cellStyle name="20% - Accent2 25" xfId="4449"/>
    <cellStyle name="20% - Accent2 3" xfId="70"/>
    <cellStyle name="20% - Accent2 3 2" xfId="188"/>
    <cellStyle name="20% - Accent2 3 2 2" xfId="547"/>
    <cellStyle name="20% - Accent2 3 2 2 2" xfId="1280"/>
    <cellStyle name="20% - Accent2 3 2 2 2 2" xfId="3490"/>
    <cellStyle name="20% - Accent2 3 2 2 2 2 2" xfId="7896"/>
    <cellStyle name="20% - Accent2 3 2 2 2 3" xfId="5686"/>
    <cellStyle name="20% - Accent2 3 2 2 3" xfId="2012"/>
    <cellStyle name="20% - Accent2 3 2 2 3 2" xfId="4222"/>
    <cellStyle name="20% - Accent2 3 2 2 3 2 2" xfId="8628"/>
    <cellStyle name="20% - Accent2 3 2 2 3 3" xfId="6418"/>
    <cellStyle name="20% - Accent2 3 2 2 4" xfId="2758"/>
    <cellStyle name="20% - Accent2 3 2 2 4 2" xfId="7164"/>
    <cellStyle name="20% - Accent2 3 2 2 5" xfId="4954"/>
    <cellStyle name="20% - Accent2 3 2 3" xfId="921"/>
    <cellStyle name="20% - Accent2 3 2 3 2" xfId="3131"/>
    <cellStyle name="20% - Accent2 3 2 3 2 2" xfId="7537"/>
    <cellStyle name="20% - Accent2 3 2 3 3" xfId="5327"/>
    <cellStyle name="20% - Accent2 3 2 4" xfId="1653"/>
    <cellStyle name="20% - Accent2 3 2 4 2" xfId="3863"/>
    <cellStyle name="20% - Accent2 3 2 4 2 2" xfId="8269"/>
    <cellStyle name="20% - Accent2 3 2 4 3" xfId="6059"/>
    <cellStyle name="20% - Accent2 3 2 5" xfId="2399"/>
    <cellStyle name="20% - Accent2 3 2 5 2" xfId="6805"/>
    <cellStyle name="20% - Accent2 3 2 6" xfId="4595"/>
    <cellStyle name="20% - Accent2 3 3" xfId="431"/>
    <cellStyle name="20% - Accent2 3 3 2" xfId="1164"/>
    <cellStyle name="20% - Accent2 3 3 2 2" xfId="3374"/>
    <cellStyle name="20% - Accent2 3 3 2 2 2" xfId="7780"/>
    <cellStyle name="20% - Accent2 3 3 2 3" xfId="5570"/>
    <cellStyle name="20% - Accent2 3 3 3" xfId="1896"/>
    <cellStyle name="20% - Accent2 3 3 3 2" xfId="4106"/>
    <cellStyle name="20% - Accent2 3 3 3 2 2" xfId="8512"/>
    <cellStyle name="20% - Accent2 3 3 3 3" xfId="6302"/>
    <cellStyle name="20% - Accent2 3 3 4" xfId="2642"/>
    <cellStyle name="20% - Accent2 3 3 4 2" xfId="7048"/>
    <cellStyle name="20% - Accent2 3 3 5" xfId="4838"/>
    <cellStyle name="20% - Accent2 3 4" xfId="805"/>
    <cellStyle name="20% - Accent2 3 4 2" xfId="3015"/>
    <cellStyle name="20% - Accent2 3 4 2 2" xfId="7421"/>
    <cellStyle name="20% - Accent2 3 4 3" xfId="5211"/>
    <cellStyle name="20% - Accent2 3 5" xfId="1537"/>
    <cellStyle name="20% - Accent2 3 5 2" xfId="3747"/>
    <cellStyle name="20% - Accent2 3 5 2 2" xfId="8153"/>
    <cellStyle name="20% - Accent2 3 5 3" xfId="5943"/>
    <cellStyle name="20% - Accent2 3 6" xfId="2283"/>
    <cellStyle name="20% - Accent2 3 6 2" xfId="6689"/>
    <cellStyle name="20% - Accent2 3 7" xfId="4479"/>
    <cellStyle name="20% - Accent2 4" xfId="84"/>
    <cellStyle name="20% - Accent2 4 2" xfId="202"/>
    <cellStyle name="20% - Accent2 4 2 2" xfId="561"/>
    <cellStyle name="20% - Accent2 4 2 2 2" xfId="1294"/>
    <cellStyle name="20% - Accent2 4 2 2 2 2" xfId="3504"/>
    <cellStyle name="20% - Accent2 4 2 2 2 2 2" xfId="7910"/>
    <cellStyle name="20% - Accent2 4 2 2 2 3" xfId="5700"/>
    <cellStyle name="20% - Accent2 4 2 2 3" xfId="2026"/>
    <cellStyle name="20% - Accent2 4 2 2 3 2" xfId="4236"/>
    <cellStyle name="20% - Accent2 4 2 2 3 2 2" xfId="8642"/>
    <cellStyle name="20% - Accent2 4 2 2 3 3" xfId="6432"/>
    <cellStyle name="20% - Accent2 4 2 2 4" xfId="2772"/>
    <cellStyle name="20% - Accent2 4 2 2 4 2" xfId="7178"/>
    <cellStyle name="20% - Accent2 4 2 2 5" xfId="4968"/>
    <cellStyle name="20% - Accent2 4 2 3" xfId="935"/>
    <cellStyle name="20% - Accent2 4 2 3 2" xfId="3145"/>
    <cellStyle name="20% - Accent2 4 2 3 2 2" xfId="7551"/>
    <cellStyle name="20% - Accent2 4 2 3 3" xfId="5341"/>
    <cellStyle name="20% - Accent2 4 2 4" xfId="1667"/>
    <cellStyle name="20% - Accent2 4 2 4 2" xfId="3877"/>
    <cellStyle name="20% - Accent2 4 2 4 2 2" xfId="8283"/>
    <cellStyle name="20% - Accent2 4 2 4 3" xfId="6073"/>
    <cellStyle name="20% - Accent2 4 2 5" xfId="2413"/>
    <cellStyle name="20% - Accent2 4 2 5 2" xfId="6819"/>
    <cellStyle name="20% - Accent2 4 2 6" xfId="4609"/>
    <cellStyle name="20% - Accent2 4 3" xfId="445"/>
    <cellStyle name="20% - Accent2 4 3 2" xfId="1178"/>
    <cellStyle name="20% - Accent2 4 3 2 2" xfId="3388"/>
    <cellStyle name="20% - Accent2 4 3 2 2 2" xfId="7794"/>
    <cellStyle name="20% - Accent2 4 3 2 3" xfId="5584"/>
    <cellStyle name="20% - Accent2 4 3 3" xfId="1910"/>
    <cellStyle name="20% - Accent2 4 3 3 2" xfId="4120"/>
    <cellStyle name="20% - Accent2 4 3 3 2 2" xfId="8526"/>
    <cellStyle name="20% - Accent2 4 3 3 3" xfId="6316"/>
    <cellStyle name="20% - Accent2 4 3 4" xfId="2656"/>
    <cellStyle name="20% - Accent2 4 3 4 2" xfId="7062"/>
    <cellStyle name="20% - Accent2 4 3 5" xfId="4852"/>
    <cellStyle name="20% - Accent2 4 4" xfId="819"/>
    <cellStyle name="20% - Accent2 4 4 2" xfId="3029"/>
    <cellStyle name="20% - Accent2 4 4 2 2" xfId="7435"/>
    <cellStyle name="20% - Accent2 4 4 3" xfId="5225"/>
    <cellStyle name="20% - Accent2 4 5" xfId="1551"/>
    <cellStyle name="20% - Accent2 4 5 2" xfId="3761"/>
    <cellStyle name="20% - Accent2 4 5 2 2" xfId="8167"/>
    <cellStyle name="20% - Accent2 4 5 3" xfId="5957"/>
    <cellStyle name="20% - Accent2 4 6" xfId="2297"/>
    <cellStyle name="20% - Accent2 4 6 2" xfId="6703"/>
    <cellStyle name="20% - Accent2 4 7" xfId="4493"/>
    <cellStyle name="20% - Accent2 5" xfId="98"/>
    <cellStyle name="20% - Accent2 5 2" xfId="216"/>
    <cellStyle name="20% - Accent2 5 2 2" xfId="575"/>
    <cellStyle name="20% - Accent2 5 2 2 2" xfId="1308"/>
    <cellStyle name="20% - Accent2 5 2 2 2 2" xfId="3518"/>
    <cellStyle name="20% - Accent2 5 2 2 2 2 2" xfId="7924"/>
    <cellStyle name="20% - Accent2 5 2 2 2 3" xfId="5714"/>
    <cellStyle name="20% - Accent2 5 2 2 3" xfId="2040"/>
    <cellStyle name="20% - Accent2 5 2 2 3 2" xfId="4250"/>
    <cellStyle name="20% - Accent2 5 2 2 3 2 2" xfId="8656"/>
    <cellStyle name="20% - Accent2 5 2 2 3 3" xfId="6446"/>
    <cellStyle name="20% - Accent2 5 2 2 4" xfId="2786"/>
    <cellStyle name="20% - Accent2 5 2 2 4 2" xfId="7192"/>
    <cellStyle name="20% - Accent2 5 2 2 5" xfId="4982"/>
    <cellStyle name="20% - Accent2 5 2 3" xfId="949"/>
    <cellStyle name="20% - Accent2 5 2 3 2" xfId="3159"/>
    <cellStyle name="20% - Accent2 5 2 3 2 2" xfId="7565"/>
    <cellStyle name="20% - Accent2 5 2 3 3" xfId="5355"/>
    <cellStyle name="20% - Accent2 5 2 4" xfId="1681"/>
    <cellStyle name="20% - Accent2 5 2 4 2" xfId="3891"/>
    <cellStyle name="20% - Accent2 5 2 4 2 2" xfId="8297"/>
    <cellStyle name="20% - Accent2 5 2 4 3" xfId="6087"/>
    <cellStyle name="20% - Accent2 5 2 5" xfId="2427"/>
    <cellStyle name="20% - Accent2 5 2 5 2" xfId="6833"/>
    <cellStyle name="20% - Accent2 5 2 6" xfId="4623"/>
    <cellStyle name="20% - Accent2 5 3" xfId="459"/>
    <cellStyle name="20% - Accent2 5 3 2" xfId="1192"/>
    <cellStyle name="20% - Accent2 5 3 2 2" xfId="3402"/>
    <cellStyle name="20% - Accent2 5 3 2 2 2" xfId="7808"/>
    <cellStyle name="20% - Accent2 5 3 2 3" xfId="5598"/>
    <cellStyle name="20% - Accent2 5 3 3" xfId="1924"/>
    <cellStyle name="20% - Accent2 5 3 3 2" xfId="4134"/>
    <cellStyle name="20% - Accent2 5 3 3 2 2" xfId="8540"/>
    <cellStyle name="20% - Accent2 5 3 3 3" xfId="6330"/>
    <cellStyle name="20% - Accent2 5 3 4" xfId="2670"/>
    <cellStyle name="20% - Accent2 5 3 4 2" xfId="7076"/>
    <cellStyle name="20% - Accent2 5 3 5" xfId="4866"/>
    <cellStyle name="20% - Accent2 5 4" xfId="833"/>
    <cellStyle name="20% - Accent2 5 4 2" xfId="3043"/>
    <cellStyle name="20% - Accent2 5 4 2 2" xfId="7449"/>
    <cellStyle name="20% - Accent2 5 4 3" xfId="5239"/>
    <cellStyle name="20% - Accent2 5 5" xfId="1565"/>
    <cellStyle name="20% - Accent2 5 5 2" xfId="3775"/>
    <cellStyle name="20% - Accent2 5 5 2 2" xfId="8181"/>
    <cellStyle name="20% - Accent2 5 5 3" xfId="5971"/>
    <cellStyle name="20% - Accent2 5 6" xfId="2311"/>
    <cellStyle name="20% - Accent2 5 6 2" xfId="6717"/>
    <cellStyle name="20% - Accent2 5 7" xfId="4507"/>
    <cellStyle name="20% - Accent2 6" xfId="112"/>
    <cellStyle name="20% - Accent2 6 2" xfId="230"/>
    <cellStyle name="20% - Accent2 6 2 2" xfId="589"/>
    <cellStyle name="20% - Accent2 6 2 2 2" xfId="1322"/>
    <cellStyle name="20% - Accent2 6 2 2 2 2" xfId="3532"/>
    <cellStyle name="20% - Accent2 6 2 2 2 2 2" xfId="7938"/>
    <cellStyle name="20% - Accent2 6 2 2 2 3" xfId="5728"/>
    <cellStyle name="20% - Accent2 6 2 2 3" xfId="2054"/>
    <cellStyle name="20% - Accent2 6 2 2 3 2" xfId="4264"/>
    <cellStyle name="20% - Accent2 6 2 2 3 2 2" xfId="8670"/>
    <cellStyle name="20% - Accent2 6 2 2 3 3" xfId="6460"/>
    <cellStyle name="20% - Accent2 6 2 2 4" xfId="2800"/>
    <cellStyle name="20% - Accent2 6 2 2 4 2" xfId="7206"/>
    <cellStyle name="20% - Accent2 6 2 2 5" xfId="4996"/>
    <cellStyle name="20% - Accent2 6 2 3" xfId="963"/>
    <cellStyle name="20% - Accent2 6 2 3 2" xfId="3173"/>
    <cellStyle name="20% - Accent2 6 2 3 2 2" xfId="7579"/>
    <cellStyle name="20% - Accent2 6 2 3 3" xfId="5369"/>
    <cellStyle name="20% - Accent2 6 2 4" xfId="1695"/>
    <cellStyle name="20% - Accent2 6 2 4 2" xfId="3905"/>
    <cellStyle name="20% - Accent2 6 2 4 2 2" xfId="8311"/>
    <cellStyle name="20% - Accent2 6 2 4 3" xfId="6101"/>
    <cellStyle name="20% - Accent2 6 2 5" xfId="2441"/>
    <cellStyle name="20% - Accent2 6 2 5 2" xfId="6847"/>
    <cellStyle name="20% - Accent2 6 2 6" xfId="4637"/>
    <cellStyle name="20% - Accent2 6 3" xfId="473"/>
    <cellStyle name="20% - Accent2 6 3 2" xfId="1206"/>
    <cellStyle name="20% - Accent2 6 3 2 2" xfId="3416"/>
    <cellStyle name="20% - Accent2 6 3 2 2 2" xfId="7822"/>
    <cellStyle name="20% - Accent2 6 3 2 3" xfId="5612"/>
    <cellStyle name="20% - Accent2 6 3 3" xfId="1938"/>
    <cellStyle name="20% - Accent2 6 3 3 2" xfId="4148"/>
    <cellStyle name="20% - Accent2 6 3 3 2 2" xfId="8554"/>
    <cellStyle name="20% - Accent2 6 3 3 3" xfId="6344"/>
    <cellStyle name="20% - Accent2 6 3 4" xfId="2684"/>
    <cellStyle name="20% - Accent2 6 3 4 2" xfId="7090"/>
    <cellStyle name="20% - Accent2 6 3 5" xfId="4880"/>
    <cellStyle name="20% - Accent2 6 4" xfId="847"/>
    <cellStyle name="20% - Accent2 6 4 2" xfId="3057"/>
    <cellStyle name="20% - Accent2 6 4 2 2" xfId="7463"/>
    <cellStyle name="20% - Accent2 6 4 3" xfId="5253"/>
    <cellStyle name="20% - Accent2 6 5" xfId="1579"/>
    <cellStyle name="20% - Accent2 6 5 2" xfId="3789"/>
    <cellStyle name="20% - Accent2 6 5 2 2" xfId="8195"/>
    <cellStyle name="20% - Accent2 6 5 3" xfId="5985"/>
    <cellStyle name="20% - Accent2 6 6" xfId="2325"/>
    <cellStyle name="20% - Accent2 6 6 2" xfId="6731"/>
    <cellStyle name="20% - Accent2 6 7" xfId="4521"/>
    <cellStyle name="20% - Accent2 7" xfId="126"/>
    <cellStyle name="20% - Accent2 7 2" xfId="244"/>
    <cellStyle name="20% - Accent2 7 2 2" xfId="603"/>
    <cellStyle name="20% - Accent2 7 2 2 2" xfId="1336"/>
    <cellStyle name="20% - Accent2 7 2 2 2 2" xfId="3546"/>
    <cellStyle name="20% - Accent2 7 2 2 2 2 2" xfId="7952"/>
    <cellStyle name="20% - Accent2 7 2 2 2 3" xfId="5742"/>
    <cellStyle name="20% - Accent2 7 2 2 3" xfId="2068"/>
    <cellStyle name="20% - Accent2 7 2 2 3 2" xfId="4278"/>
    <cellStyle name="20% - Accent2 7 2 2 3 2 2" xfId="8684"/>
    <cellStyle name="20% - Accent2 7 2 2 3 3" xfId="6474"/>
    <cellStyle name="20% - Accent2 7 2 2 4" xfId="2814"/>
    <cellStyle name="20% - Accent2 7 2 2 4 2" xfId="7220"/>
    <cellStyle name="20% - Accent2 7 2 2 5" xfId="5010"/>
    <cellStyle name="20% - Accent2 7 2 3" xfId="977"/>
    <cellStyle name="20% - Accent2 7 2 3 2" xfId="3187"/>
    <cellStyle name="20% - Accent2 7 2 3 2 2" xfId="7593"/>
    <cellStyle name="20% - Accent2 7 2 3 3" xfId="5383"/>
    <cellStyle name="20% - Accent2 7 2 4" xfId="1709"/>
    <cellStyle name="20% - Accent2 7 2 4 2" xfId="3919"/>
    <cellStyle name="20% - Accent2 7 2 4 2 2" xfId="8325"/>
    <cellStyle name="20% - Accent2 7 2 4 3" xfId="6115"/>
    <cellStyle name="20% - Accent2 7 2 5" xfId="2455"/>
    <cellStyle name="20% - Accent2 7 2 5 2" xfId="6861"/>
    <cellStyle name="20% - Accent2 7 2 6" xfId="4651"/>
    <cellStyle name="20% - Accent2 7 3" xfId="487"/>
    <cellStyle name="20% - Accent2 7 3 2" xfId="1220"/>
    <cellStyle name="20% - Accent2 7 3 2 2" xfId="3430"/>
    <cellStyle name="20% - Accent2 7 3 2 2 2" xfId="7836"/>
    <cellStyle name="20% - Accent2 7 3 2 3" xfId="5626"/>
    <cellStyle name="20% - Accent2 7 3 3" xfId="1952"/>
    <cellStyle name="20% - Accent2 7 3 3 2" xfId="4162"/>
    <cellStyle name="20% - Accent2 7 3 3 2 2" xfId="8568"/>
    <cellStyle name="20% - Accent2 7 3 3 3" xfId="6358"/>
    <cellStyle name="20% - Accent2 7 3 4" xfId="2698"/>
    <cellStyle name="20% - Accent2 7 3 4 2" xfId="7104"/>
    <cellStyle name="20% - Accent2 7 3 5" xfId="4894"/>
    <cellStyle name="20% - Accent2 7 4" xfId="861"/>
    <cellStyle name="20% - Accent2 7 4 2" xfId="3071"/>
    <cellStyle name="20% - Accent2 7 4 2 2" xfId="7477"/>
    <cellStyle name="20% - Accent2 7 4 3" xfId="5267"/>
    <cellStyle name="20% - Accent2 7 5" xfId="1593"/>
    <cellStyle name="20% - Accent2 7 5 2" xfId="3803"/>
    <cellStyle name="20% - Accent2 7 5 2 2" xfId="8209"/>
    <cellStyle name="20% - Accent2 7 5 3" xfId="5999"/>
    <cellStyle name="20% - Accent2 7 6" xfId="2339"/>
    <cellStyle name="20% - Accent2 7 6 2" xfId="6745"/>
    <cellStyle name="20% - Accent2 7 7" xfId="4535"/>
    <cellStyle name="20% - Accent2 8" xfId="140"/>
    <cellStyle name="20% - Accent2 8 2" xfId="258"/>
    <cellStyle name="20% - Accent2 8 2 2" xfId="617"/>
    <cellStyle name="20% - Accent2 8 2 2 2" xfId="1350"/>
    <cellStyle name="20% - Accent2 8 2 2 2 2" xfId="3560"/>
    <cellStyle name="20% - Accent2 8 2 2 2 2 2" xfId="7966"/>
    <cellStyle name="20% - Accent2 8 2 2 2 3" xfId="5756"/>
    <cellStyle name="20% - Accent2 8 2 2 3" xfId="2082"/>
    <cellStyle name="20% - Accent2 8 2 2 3 2" xfId="4292"/>
    <cellStyle name="20% - Accent2 8 2 2 3 2 2" xfId="8698"/>
    <cellStyle name="20% - Accent2 8 2 2 3 3" xfId="6488"/>
    <cellStyle name="20% - Accent2 8 2 2 4" xfId="2828"/>
    <cellStyle name="20% - Accent2 8 2 2 4 2" xfId="7234"/>
    <cellStyle name="20% - Accent2 8 2 2 5" xfId="5024"/>
    <cellStyle name="20% - Accent2 8 2 3" xfId="991"/>
    <cellStyle name="20% - Accent2 8 2 3 2" xfId="3201"/>
    <cellStyle name="20% - Accent2 8 2 3 2 2" xfId="7607"/>
    <cellStyle name="20% - Accent2 8 2 3 3" xfId="5397"/>
    <cellStyle name="20% - Accent2 8 2 4" xfId="1723"/>
    <cellStyle name="20% - Accent2 8 2 4 2" xfId="3933"/>
    <cellStyle name="20% - Accent2 8 2 4 2 2" xfId="8339"/>
    <cellStyle name="20% - Accent2 8 2 4 3" xfId="6129"/>
    <cellStyle name="20% - Accent2 8 2 5" xfId="2469"/>
    <cellStyle name="20% - Accent2 8 2 5 2" xfId="6875"/>
    <cellStyle name="20% - Accent2 8 2 6" xfId="4665"/>
    <cellStyle name="20% - Accent2 8 3" xfId="501"/>
    <cellStyle name="20% - Accent2 8 3 2" xfId="1234"/>
    <cellStyle name="20% - Accent2 8 3 2 2" xfId="3444"/>
    <cellStyle name="20% - Accent2 8 3 2 2 2" xfId="7850"/>
    <cellStyle name="20% - Accent2 8 3 2 3" xfId="5640"/>
    <cellStyle name="20% - Accent2 8 3 3" xfId="1966"/>
    <cellStyle name="20% - Accent2 8 3 3 2" xfId="4176"/>
    <cellStyle name="20% - Accent2 8 3 3 2 2" xfId="8582"/>
    <cellStyle name="20% - Accent2 8 3 3 3" xfId="6372"/>
    <cellStyle name="20% - Accent2 8 3 4" xfId="2712"/>
    <cellStyle name="20% - Accent2 8 3 4 2" xfId="7118"/>
    <cellStyle name="20% - Accent2 8 3 5" xfId="4908"/>
    <cellStyle name="20% - Accent2 8 4" xfId="875"/>
    <cellStyle name="20% - Accent2 8 4 2" xfId="3085"/>
    <cellStyle name="20% - Accent2 8 4 2 2" xfId="7491"/>
    <cellStyle name="20% - Accent2 8 4 3" xfId="5281"/>
    <cellStyle name="20% - Accent2 8 5" xfId="1607"/>
    <cellStyle name="20% - Accent2 8 5 2" xfId="3817"/>
    <cellStyle name="20% - Accent2 8 5 2 2" xfId="8223"/>
    <cellStyle name="20% - Accent2 8 5 3" xfId="6013"/>
    <cellStyle name="20% - Accent2 8 6" xfId="2353"/>
    <cellStyle name="20% - Accent2 8 6 2" xfId="6759"/>
    <cellStyle name="20% - Accent2 8 7" xfId="4549"/>
    <cellStyle name="20% - Accent2 9" xfId="158"/>
    <cellStyle name="20% - Accent2 9 2" xfId="517"/>
    <cellStyle name="20% - Accent2 9 2 2" xfId="1250"/>
    <cellStyle name="20% - Accent2 9 2 2 2" xfId="3460"/>
    <cellStyle name="20% - Accent2 9 2 2 2 2" xfId="7866"/>
    <cellStyle name="20% - Accent2 9 2 2 3" xfId="5656"/>
    <cellStyle name="20% - Accent2 9 2 3" xfId="1982"/>
    <cellStyle name="20% - Accent2 9 2 3 2" xfId="4192"/>
    <cellStyle name="20% - Accent2 9 2 3 2 2" xfId="8598"/>
    <cellStyle name="20% - Accent2 9 2 3 3" xfId="6388"/>
    <cellStyle name="20% - Accent2 9 2 4" xfId="2728"/>
    <cellStyle name="20% - Accent2 9 2 4 2" xfId="7134"/>
    <cellStyle name="20% - Accent2 9 2 5" xfId="4924"/>
    <cellStyle name="20% - Accent2 9 3" xfId="891"/>
    <cellStyle name="20% - Accent2 9 3 2" xfId="3101"/>
    <cellStyle name="20% - Accent2 9 3 2 2" xfId="7507"/>
    <cellStyle name="20% - Accent2 9 3 3" xfId="5297"/>
    <cellStyle name="20% - Accent2 9 4" xfId="1623"/>
    <cellStyle name="20% - Accent2 9 4 2" xfId="3833"/>
    <cellStyle name="20% - Accent2 9 4 2 2" xfId="8239"/>
    <cellStyle name="20% - Accent2 9 4 3" xfId="6029"/>
    <cellStyle name="20% - Accent2 9 5" xfId="2369"/>
    <cellStyle name="20% - Accent2 9 5 2" xfId="6775"/>
    <cellStyle name="20% - Accent2 9 6" xfId="4565"/>
    <cellStyle name="20% - Accent3" xfId="28" builtinId="38" customBuiltin="1"/>
    <cellStyle name="20% - Accent3 10" xfId="274"/>
    <cellStyle name="20% - Accent3 10 2" xfId="633"/>
    <cellStyle name="20% - Accent3 10 2 2" xfId="1366"/>
    <cellStyle name="20% - Accent3 10 2 2 2" xfId="3576"/>
    <cellStyle name="20% - Accent3 10 2 2 2 2" xfId="7982"/>
    <cellStyle name="20% - Accent3 10 2 2 3" xfId="5772"/>
    <cellStyle name="20% - Accent3 10 2 3" xfId="2098"/>
    <cellStyle name="20% - Accent3 10 2 3 2" xfId="4308"/>
    <cellStyle name="20% - Accent3 10 2 3 2 2" xfId="8714"/>
    <cellStyle name="20% - Accent3 10 2 3 3" xfId="6504"/>
    <cellStyle name="20% - Accent3 10 2 4" xfId="2844"/>
    <cellStyle name="20% - Accent3 10 2 4 2" xfId="7250"/>
    <cellStyle name="20% - Accent3 10 2 5" xfId="5040"/>
    <cellStyle name="20% - Accent3 10 3" xfId="1007"/>
    <cellStyle name="20% - Accent3 10 3 2" xfId="3217"/>
    <cellStyle name="20% - Accent3 10 3 2 2" xfId="7623"/>
    <cellStyle name="20% - Accent3 10 3 3" xfId="5413"/>
    <cellStyle name="20% - Accent3 10 4" xfId="1739"/>
    <cellStyle name="20% - Accent3 10 4 2" xfId="3949"/>
    <cellStyle name="20% - Accent3 10 4 2 2" xfId="8355"/>
    <cellStyle name="20% - Accent3 10 4 3" xfId="6145"/>
    <cellStyle name="20% - Accent3 10 5" xfId="2485"/>
    <cellStyle name="20% - Accent3 10 5 2" xfId="6891"/>
    <cellStyle name="20% - Accent3 10 6" xfId="4681"/>
    <cellStyle name="20% - Accent3 11" xfId="288"/>
    <cellStyle name="20% - Accent3 11 2" xfId="647"/>
    <cellStyle name="20% - Accent3 11 2 2" xfId="1380"/>
    <cellStyle name="20% - Accent3 11 2 2 2" xfId="3590"/>
    <cellStyle name="20% - Accent3 11 2 2 2 2" xfId="7996"/>
    <cellStyle name="20% - Accent3 11 2 2 3" xfId="5786"/>
    <cellStyle name="20% - Accent3 11 2 3" xfId="2112"/>
    <cellStyle name="20% - Accent3 11 2 3 2" xfId="4322"/>
    <cellStyle name="20% - Accent3 11 2 3 2 2" xfId="8728"/>
    <cellStyle name="20% - Accent3 11 2 3 3" xfId="6518"/>
    <cellStyle name="20% - Accent3 11 2 4" xfId="2858"/>
    <cellStyle name="20% - Accent3 11 2 4 2" xfId="7264"/>
    <cellStyle name="20% - Accent3 11 2 5" xfId="5054"/>
    <cellStyle name="20% - Accent3 11 3" xfId="1021"/>
    <cellStyle name="20% - Accent3 11 3 2" xfId="3231"/>
    <cellStyle name="20% - Accent3 11 3 2 2" xfId="7637"/>
    <cellStyle name="20% - Accent3 11 3 3" xfId="5427"/>
    <cellStyle name="20% - Accent3 11 4" xfId="1753"/>
    <cellStyle name="20% - Accent3 11 4 2" xfId="3963"/>
    <cellStyle name="20% - Accent3 11 4 2 2" xfId="8369"/>
    <cellStyle name="20% - Accent3 11 4 3" xfId="6159"/>
    <cellStyle name="20% - Accent3 11 5" xfId="2499"/>
    <cellStyle name="20% - Accent3 11 5 2" xfId="6905"/>
    <cellStyle name="20% - Accent3 11 6" xfId="4695"/>
    <cellStyle name="20% - Accent3 12" xfId="302"/>
    <cellStyle name="20% - Accent3 12 2" xfId="661"/>
    <cellStyle name="20% - Accent3 12 2 2" xfId="1394"/>
    <cellStyle name="20% - Accent3 12 2 2 2" xfId="3604"/>
    <cellStyle name="20% - Accent3 12 2 2 2 2" xfId="8010"/>
    <cellStyle name="20% - Accent3 12 2 2 3" xfId="5800"/>
    <cellStyle name="20% - Accent3 12 2 3" xfId="2126"/>
    <cellStyle name="20% - Accent3 12 2 3 2" xfId="4336"/>
    <cellStyle name="20% - Accent3 12 2 3 2 2" xfId="8742"/>
    <cellStyle name="20% - Accent3 12 2 3 3" xfId="6532"/>
    <cellStyle name="20% - Accent3 12 2 4" xfId="2872"/>
    <cellStyle name="20% - Accent3 12 2 4 2" xfId="7278"/>
    <cellStyle name="20% - Accent3 12 2 5" xfId="5068"/>
    <cellStyle name="20% - Accent3 12 3" xfId="1035"/>
    <cellStyle name="20% - Accent3 12 3 2" xfId="3245"/>
    <cellStyle name="20% - Accent3 12 3 2 2" xfId="7651"/>
    <cellStyle name="20% - Accent3 12 3 3" xfId="5441"/>
    <cellStyle name="20% - Accent3 12 4" xfId="1767"/>
    <cellStyle name="20% - Accent3 12 4 2" xfId="3977"/>
    <cellStyle name="20% - Accent3 12 4 2 2" xfId="8383"/>
    <cellStyle name="20% - Accent3 12 4 3" xfId="6173"/>
    <cellStyle name="20% - Accent3 12 5" xfId="2513"/>
    <cellStyle name="20% - Accent3 12 5 2" xfId="6919"/>
    <cellStyle name="20% - Accent3 12 6" xfId="4709"/>
    <cellStyle name="20% - Accent3 13" xfId="316"/>
    <cellStyle name="20% - Accent3 13 2" xfId="675"/>
    <cellStyle name="20% - Accent3 13 2 2" xfId="1408"/>
    <cellStyle name="20% - Accent3 13 2 2 2" xfId="3618"/>
    <cellStyle name="20% - Accent3 13 2 2 2 2" xfId="8024"/>
    <cellStyle name="20% - Accent3 13 2 2 3" xfId="5814"/>
    <cellStyle name="20% - Accent3 13 2 3" xfId="2140"/>
    <cellStyle name="20% - Accent3 13 2 3 2" xfId="4350"/>
    <cellStyle name="20% - Accent3 13 2 3 2 2" xfId="8756"/>
    <cellStyle name="20% - Accent3 13 2 3 3" xfId="6546"/>
    <cellStyle name="20% - Accent3 13 2 4" xfId="2886"/>
    <cellStyle name="20% - Accent3 13 2 4 2" xfId="7292"/>
    <cellStyle name="20% - Accent3 13 2 5" xfId="5082"/>
    <cellStyle name="20% - Accent3 13 3" xfId="1049"/>
    <cellStyle name="20% - Accent3 13 3 2" xfId="3259"/>
    <cellStyle name="20% - Accent3 13 3 2 2" xfId="7665"/>
    <cellStyle name="20% - Accent3 13 3 3" xfId="5455"/>
    <cellStyle name="20% - Accent3 13 4" xfId="1781"/>
    <cellStyle name="20% - Accent3 13 4 2" xfId="3991"/>
    <cellStyle name="20% - Accent3 13 4 2 2" xfId="8397"/>
    <cellStyle name="20% - Accent3 13 4 3" xfId="6187"/>
    <cellStyle name="20% - Accent3 13 5" xfId="2527"/>
    <cellStyle name="20% - Accent3 13 5 2" xfId="6933"/>
    <cellStyle name="20% - Accent3 13 6" xfId="4723"/>
    <cellStyle name="20% - Accent3 14" xfId="330"/>
    <cellStyle name="20% - Accent3 14 2" xfId="689"/>
    <cellStyle name="20% - Accent3 14 2 2" xfId="1422"/>
    <cellStyle name="20% - Accent3 14 2 2 2" xfId="3632"/>
    <cellStyle name="20% - Accent3 14 2 2 2 2" xfId="8038"/>
    <cellStyle name="20% - Accent3 14 2 2 3" xfId="5828"/>
    <cellStyle name="20% - Accent3 14 2 3" xfId="2154"/>
    <cellStyle name="20% - Accent3 14 2 3 2" xfId="4364"/>
    <cellStyle name="20% - Accent3 14 2 3 2 2" xfId="8770"/>
    <cellStyle name="20% - Accent3 14 2 3 3" xfId="6560"/>
    <cellStyle name="20% - Accent3 14 2 4" xfId="2900"/>
    <cellStyle name="20% - Accent3 14 2 4 2" xfId="7306"/>
    <cellStyle name="20% - Accent3 14 2 5" xfId="5096"/>
    <cellStyle name="20% - Accent3 14 3" xfId="1063"/>
    <cellStyle name="20% - Accent3 14 3 2" xfId="3273"/>
    <cellStyle name="20% - Accent3 14 3 2 2" xfId="7679"/>
    <cellStyle name="20% - Accent3 14 3 3" xfId="5469"/>
    <cellStyle name="20% - Accent3 14 4" xfId="1795"/>
    <cellStyle name="20% - Accent3 14 4 2" xfId="4005"/>
    <cellStyle name="20% - Accent3 14 4 2 2" xfId="8411"/>
    <cellStyle name="20% - Accent3 14 4 3" xfId="6201"/>
    <cellStyle name="20% - Accent3 14 5" xfId="2541"/>
    <cellStyle name="20% - Accent3 14 5 2" xfId="6947"/>
    <cellStyle name="20% - Accent3 14 6" xfId="4737"/>
    <cellStyle name="20% - Accent3 15" xfId="344"/>
    <cellStyle name="20% - Accent3 15 2" xfId="703"/>
    <cellStyle name="20% - Accent3 15 2 2" xfId="1436"/>
    <cellStyle name="20% - Accent3 15 2 2 2" xfId="3646"/>
    <cellStyle name="20% - Accent3 15 2 2 2 2" xfId="8052"/>
    <cellStyle name="20% - Accent3 15 2 2 3" xfId="5842"/>
    <cellStyle name="20% - Accent3 15 2 3" xfId="2168"/>
    <cellStyle name="20% - Accent3 15 2 3 2" xfId="4378"/>
    <cellStyle name="20% - Accent3 15 2 3 2 2" xfId="8784"/>
    <cellStyle name="20% - Accent3 15 2 3 3" xfId="6574"/>
    <cellStyle name="20% - Accent3 15 2 4" xfId="2914"/>
    <cellStyle name="20% - Accent3 15 2 4 2" xfId="7320"/>
    <cellStyle name="20% - Accent3 15 2 5" xfId="5110"/>
    <cellStyle name="20% - Accent3 15 3" xfId="1077"/>
    <cellStyle name="20% - Accent3 15 3 2" xfId="3287"/>
    <cellStyle name="20% - Accent3 15 3 2 2" xfId="7693"/>
    <cellStyle name="20% - Accent3 15 3 3" xfId="5483"/>
    <cellStyle name="20% - Accent3 15 4" xfId="1809"/>
    <cellStyle name="20% - Accent3 15 4 2" xfId="4019"/>
    <cellStyle name="20% - Accent3 15 4 2 2" xfId="8425"/>
    <cellStyle name="20% - Accent3 15 4 3" xfId="6215"/>
    <cellStyle name="20% - Accent3 15 5" xfId="2555"/>
    <cellStyle name="20% - Accent3 15 5 2" xfId="6961"/>
    <cellStyle name="20% - Accent3 15 6" xfId="4751"/>
    <cellStyle name="20% - Accent3 16" xfId="358"/>
    <cellStyle name="20% - Accent3 16 2" xfId="717"/>
    <cellStyle name="20% - Accent3 16 2 2" xfId="1450"/>
    <cellStyle name="20% - Accent3 16 2 2 2" xfId="3660"/>
    <cellStyle name="20% - Accent3 16 2 2 2 2" xfId="8066"/>
    <cellStyle name="20% - Accent3 16 2 2 3" xfId="5856"/>
    <cellStyle name="20% - Accent3 16 2 3" xfId="2182"/>
    <cellStyle name="20% - Accent3 16 2 3 2" xfId="4392"/>
    <cellStyle name="20% - Accent3 16 2 3 2 2" xfId="8798"/>
    <cellStyle name="20% - Accent3 16 2 3 3" xfId="6588"/>
    <cellStyle name="20% - Accent3 16 2 4" xfId="2928"/>
    <cellStyle name="20% - Accent3 16 2 4 2" xfId="7334"/>
    <cellStyle name="20% - Accent3 16 2 5" xfId="5124"/>
    <cellStyle name="20% - Accent3 16 3" xfId="1091"/>
    <cellStyle name="20% - Accent3 16 3 2" xfId="3301"/>
    <cellStyle name="20% - Accent3 16 3 2 2" xfId="7707"/>
    <cellStyle name="20% - Accent3 16 3 3" xfId="5497"/>
    <cellStyle name="20% - Accent3 16 4" xfId="1823"/>
    <cellStyle name="20% - Accent3 16 4 2" xfId="4033"/>
    <cellStyle name="20% - Accent3 16 4 2 2" xfId="8439"/>
    <cellStyle name="20% - Accent3 16 4 3" xfId="6229"/>
    <cellStyle name="20% - Accent3 16 5" xfId="2569"/>
    <cellStyle name="20% - Accent3 16 5 2" xfId="6975"/>
    <cellStyle name="20% - Accent3 16 6" xfId="4765"/>
    <cellStyle name="20% - Accent3 17" xfId="372"/>
    <cellStyle name="20% - Accent3 17 2" xfId="731"/>
    <cellStyle name="20% - Accent3 17 2 2" xfId="1464"/>
    <cellStyle name="20% - Accent3 17 2 2 2" xfId="3674"/>
    <cellStyle name="20% - Accent3 17 2 2 2 2" xfId="8080"/>
    <cellStyle name="20% - Accent3 17 2 2 3" xfId="5870"/>
    <cellStyle name="20% - Accent3 17 2 3" xfId="2196"/>
    <cellStyle name="20% - Accent3 17 2 3 2" xfId="4406"/>
    <cellStyle name="20% - Accent3 17 2 3 2 2" xfId="8812"/>
    <cellStyle name="20% - Accent3 17 2 3 3" xfId="6602"/>
    <cellStyle name="20% - Accent3 17 2 4" xfId="2942"/>
    <cellStyle name="20% - Accent3 17 2 4 2" xfId="7348"/>
    <cellStyle name="20% - Accent3 17 2 5" xfId="5138"/>
    <cellStyle name="20% - Accent3 17 3" xfId="1105"/>
    <cellStyle name="20% - Accent3 17 3 2" xfId="3315"/>
    <cellStyle name="20% - Accent3 17 3 2 2" xfId="7721"/>
    <cellStyle name="20% - Accent3 17 3 3" xfId="5511"/>
    <cellStyle name="20% - Accent3 17 4" xfId="1837"/>
    <cellStyle name="20% - Accent3 17 4 2" xfId="4047"/>
    <cellStyle name="20% - Accent3 17 4 2 2" xfId="8453"/>
    <cellStyle name="20% - Accent3 17 4 3" xfId="6243"/>
    <cellStyle name="20% - Accent3 17 5" xfId="2583"/>
    <cellStyle name="20% - Accent3 17 5 2" xfId="6989"/>
    <cellStyle name="20% - Accent3 17 6" xfId="4779"/>
    <cellStyle name="20% - Accent3 18" xfId="386"/>
    <cellStyle name="20% - Accent3 18 2" xfId="745"/>
    <cellStyle name="20% - Accent3 18 2 2" xfId="1478"/>
    <cellStyle name="20% - Accent3 18 2 2 2" xfId="3688"/>
    <cellStyle name="20% - Accent3 18 2 2 2 2" xfId="8094"/>
    <cellStyle name="20% - Accent3 18 2 2 3" xfId="5884"/>
    <cellStyle name="20% - Accent3 18 2 3" xfId="2210"/>
    <cellStyle name="20% - Accent3 18 2 3 2" xfId="4420"/>
    <cellStyle name="20% - Accent3 18 2 3 2 2" xfId="8826"/>
    <cellStyle name="20% - Accent3 18 2 3 3" xfId="6616"/>
    <cellStyle name="20% - Accent3 18 2 4" xfId="2956"/>
    <cellStyle name="20% - Accent3 18 2 4 2" xfId="7362"/>
    <cellStyle name="20% - Accent3 18 2 5" xfId="5152"/>
    <cellStyle name="20% - Accent3 18 3" xfId="1119"/>
    <cellStyle name="20% - Accent3 18 3 2" xfId="3329"/>
    <cellStyle name="20% - Accent3 18 3 2 2" xfId="7735"/>
    <cellStyle name="20% - Accent3 18 3 3" xfId="5525"/>
    <cellStyle name="20% - Accent3 18 4" xfId="1851"/>
    <cellStyle name="20% - Accent3 18 4 2" xfId="4061"/>
    <cellStyle name="20% - Accent3 18 4 2 2" xfId="8467"/>
    <cellStyle name="20% - Accent3 18 4 3" xfId="6257"/>
    <cellStyle name="20% - Accent3 18 5" xfId="2597"/>
    <cellStyle name="20% - Accent3 18 5 2" xfId="7003"/>
    <cellStyle name="20% - Accent3 18 6" xfId="4793"/>
    <cellStyle name="20% - Accent3 19" xfId="403"/>
    <cellStyle name="20% - Accent3 19 2" xfId="1136"/>
    <cellStyle name="20% - Accent3 19 2 2" xfId="3346"/>
    <cellStyle name="20% - Accent3 19 2 2 2" xfId="7752"/>
    <cellStyle name="20% - Accent3 19 2 3" xfId="5542"/>
    <cellStyle name="20% - Accent3 19 3" xfId="1868"/>
    <cellStyle name="20% - Accent3 19 3 2" xfId="4078"/>
    <cellStyle name="20% - Accent3 19 3 2 2" xfId="8484"/>
    <cellStyle name="20% - Accent3 19 3 3" xfId="6274"/>
    <cellStyle name="20% - Accent3 19 4" xfId="2614"/>
    <cellStyle name="20% - Accent3 19 4 2" xfId="7020"/>
    <cellStyle name="20% - Accent3 19 5" xfId="4810"/>
    <cellStyle name="20% - Accent3 2" xfId="58"/>
    <cellStyle name="20% - Accent3 2 2" xfId="176"/>
    <cellStyle name="20% - Accent3 2 2 2" xfId="535"/>
    <cellStyle name="20% - Accent3 2 2 2 2" xfId="1268"/>
    <cellStyle name="20% - Accent3 2 2 2 2 2" xfId="3478"/>
    <cellStyle name="20% - Accent3 2 2 2 2 2 2" xfId="7884"/>
    <cellStyle name="20% - Accent3 2 2 2 2 3" xfId="5674"/>
    <cellStyle name="20% - Accent3 2 2 2 3" xfId="2000"/>
    <cellStyle name="20% - Accent3 2 2 2 3 2" xfId="4210"/>
    <cellStyle name="20% - Accent3 2 2 2 3 2 2" xfId="8616"/>
    <cellStyle name="20% - Accent3 2 2 2 3 3" xfId="6406"/>
    <cellStyle name="20% - Accent3 2 2 2 4" xfId="2746"/>
    <cellStyle name="20% - Accent3 2 2 2 4 2" xfId="7152"/>
    <cellStyle name="20% - Accent3 2 2 2 5" xfId="4942"/>
    <cellStyle name="20% - Accent3 2 2 3" xfId="909"/>
    <cellStyle name="20% - Accent3 2 2 3 2" xfId="3119"/>
    <cellStyle name="20% - Accent3 2 2 3 2 2" xfId="7525"/>
    <cellStyle name="20% - Accent3 2 2 3 3" xfId="5315"/>
    <cellStyle name="20% - Accent3 2 2 4" xfId="1641"/>
    <cellStyle name="20% - Accent3 2 2 4 2" xfId="3851"/>
    <cellStyle name="20% - Accent3 2 2 4 2 2" xfId="8257"/>
    <cellStyle name="20% - Accent3 2 2 4 3" xfId="6047"/>
    <cellStyle name="20% - Accent3 2 2 5" xfId="2387"/>
    <cellStyle name="20% - Accent3 2 2 5 2" xfId="6793"/>
    <cellStyle name="20% - Accent3 2 2 6" xfId="4583"/>
    <cellStyle name="20% - Accent3 2 3" xfId="419"/>
    <cellStyle name="20% - Accent3 2 3 2" xfId="1152"/>
    <cellStyle name="20% - Accent3 2 3 2 2" xfId="3362"/>
    <cellStyle name="20% - Accent3 2 3 2 2 2" xfId="7768"/>
    <cellStyle name="20% - Accent3 2 3 2 3" xfId="5558"/>
    <cellStyle name="20% - Accent3 2 3 3" xfId="1884"/>
    <cellStyle name="20% - Accent3 2 3 3 2" xfId="4094"/>
    <cellStyle name="20% - Accent3 2 3 3 2 2" xfId="8500"/>
    <cellStyle name="20% - Accent3 2 3 3 3" xfId="6290"/>
    <cellStyle name="20% - Accent3 2 3 4" xfId="2630"/>
    <cellStyle name="20% - Accent3 2 3 4 2" xfId="7036"/>
    <cellStyle name="20% - Accent3 2 3 5" xfId="4826"/>
    <cellStyle name="20% - Accent3 2 4" xfId="793"/>
    <cellStyle name="20% - Accent3 2 4 2" xfId="3003"/>
    <cellStyle name="20% - Accent3 2 4 2 2" xfId="7409"/>
    <cellStyle name="20% - Accent3 2 4 3" xfId="5199"/>
    <cellStyle name="20% - Accent3 2 5" xfId="1525"/>
    <cellStyle name="20% - Accent3 2 5 2" xfId="3735"/>
    <cellStyle name="20% - Accent3 2 5 2 2" xfId="8141"/>
    <cellStyle name="20% - Accent3 2 5 3" xfId="5931"/>
    <cellStyle name="20% - Accent3 2 6" xfId="2271"/>
    <cellStyle name="20% - Accent3 2 6 2" xfId="6677"/>
    <cellStyle name="20% - Accent3 2 7" xfId="4467"/>
    <cellStyle name="20% - Accent3 20" xfId="760"/>
    <cellStyle name="20% - Accent3 20 2" xfId="1493"/>
    <cellStyle name="20% - Accent3 20 2 2" xfId="3703"/>
    <cellStyle name="20% - Accent3 20 2 2 2" xfId="8109"/>
    <cellStyle name="20% - Accent3 20 2 3" xfId="5899"/>
    <cellStyle name="20% - Accent3 20 3" xfId="2225"/>
    <cellStyle name="20% - Accent3 20 3 2" xfId="4435"/>
    <cellStyle name="20% - Accent3 20 3 2 2" xfId="8841"/>
    <cellStyle name="20% - Accent3 20 3 3" xfId="6631"/>
    <cellStyle name="20% - Accent3 20 4" xfId="2971"/>
    <cellStyle name="20% - Accent3 20 4 2" xfId="7377"/>
    <cellStyle name="20% - Accent3 20 5" xfId="5167"/>
    <cellStyle name="20% - Accent3 21" xfId="777"/>
    <cellStyle name="20% - Accent3 21 2" xfId="2987"/>
    <cellStyle name="20% - Accent3 21 2 2" xfId="7393"/>
    <cellStyle name="20% - Accent3 21 3" xfId="5183"/>
    <cellStyle name="20% - Accent3 22" xfId="1509"/>
    <cellStyle name="20% - Accent3 22 2" xfId="3719"/>
    <cellStyle name="20% - Accent3 22 2 2" xfId="8125"/>
    <cellStyle name="20% - Accent3 22 3" xfId="5915"/>
    <cellStyle name="20% - Accent3 23" xfId="2239"/>
    <cellStyle name="20% - Accent3 23 2" xfId="6645"/>
    <cellStyle name="20% - Accent3 24" xfId="2255"/>
    <cellStyle name="20% - Accent3 24 2" xfId="6661"/>
    <cellStyle name="20% - Accent3 25" xfId="4451"/>
    <cellStyle name="20% - Accent3 3" xfId="72"/>
    <cellStyle name="20% - Accent3 3 2" xfId="190"/>
    <cellStyle name="20% - Accent3 3 2 2" xfId="549"/>
    <cellStyle name="20% - Accent3 3 2 2 2" xfId="1282"/>
    <cellStyle name="20% - Accent3 3 2 2 2 2" xfId="3492"/>
    <cellStyle name="20% - Accent3 3 2 2 2 2 2" xfId="7898"/>
    <cellStyle name="20% - Accent3 3 2 2 2 3" xfId="5688"/>
    <cellStyle name="20% - Accent3 3 2 2 3" xfId="2014"/>
    <cellStyle name="20% - Accent3 3 2 2 3 2" xfId="4224"/>
    <cellStyle name="20% - Accent3 3 2 2 3 2 2" xfId="8630"/>
    <cellStyle name="20% - Accent3 3 2 2 3 3" xfId="6420"/>
    <cellStyle name="20% - Accent3 3 2 2 4" xfId="2760"/>
    <cellStyle name="20% - Accent3 3 2 2 4 2" xfId="7166"/>
    <cellStyle name="20% - Accent3 3 2 2 5" xfId="4956"/>
    <cellStyle name="20% - Accent3 3 2 3" xfId="923"/>
    <cellStyle name="20% - Accent3 3 2 3 2" xfId="3133"/>
    <cellStyle name="20% - Accent3 3 2 3 2 2" xfId="7539"/>
    <cellStyle name="20% - Accent3 3 2 3 3" xfId="5329"/>
    <cellStyle name="20% - Accent3 3 2 4" xfId="1655"/>
    <cellStyle name="20% - Accent3 3 2 4 2" xfId="3865"/>
    <cellStyle name="20% - Accent3 3 2 4 2 2" xfId="8271"/>
    <cellStyle name="20% - Accent3 3 2 4 3" xfId="6061"/>
    <cellStyle name="20% - Accent3 3 2 5" xfId="2401"/>
    <cellStyle name="20% - Accent3 3 2 5 2" xfId="6807"/>
    <cellStyle name="20% - Accent3 3 2 6" xfId="4597"/>
    <cellStyle name="20% - Accent3 3 3" xfId="433"/>
    <cellStyle name="20% - Accent3 3 3 2" xfId="1166"/>
    <cellStyle name="20% - Accent3 3 3 2 2" xfId="3376"/>
    <cellStyle name="20% - Accent3 3 3 2 2 2" xfId="7782"/>
    <cellStyle name="20% - Accent3 3 3 2 3" xfId="5572"/>
    <cellStyle name="20% - Accent3 3 3 3" xfId="1898"/>
    <cellStyle name="20% - Accent3 3 3 3 2" xfId="4108"/>
    <cellStyle name="20% - Accent3 3 3 3 2 2" xfId="8514"/>
    <cellStyle name="20% - Accent3 3 3 3 3" xfId="6304"/>
    <cellStyle name="20% - Accent3 3 3 4" xfId="2644"/>
    <cellStyle name="20% - Accent3 3 3 4 2" xfId="7050"/>
    <cellStyle name="20% - Accent3 3 3 5" xfId="4840"/>
    <cellStyle name="20% - Accent3 3 4" xfId="807"/>
    <cellStyle name="20% - Accent3 3 4 2" xfId="3017"/>
    <cellStyle name="20% - Accent3 3 4 2 2" xfId="7423"/>
    <cellStyle name="20% - Accent3 3 4 3" xfId="5213"/>
    <cellStyle name="20% - Accent3 3 5" xfId="1539"/>
    <cellStyle name="20% - Accent3 3 5 2" xfId="3749"/>
    <cellStyle name="20% - Accent3 3 5 2 2" xfId="8155"/>
    <cellStyle name="20% - Accent3 3 5 3" xfId="5945"/>
    <cellStyle name="20% - Accent3 3 6" xfId="2285"/>
    <cellStyle name="20% - Accent3 3 6 2" xfId="6691"/>
    <cellStyle name="20% - Accent3 3 7" xfId="4481"/>
    <cellStyle name="20% - Accent3 4" xfId="86"/>
    <cellStyle name="20% - Accent3 4 2" xfId="204"/>
    <cellStyle name="20% - Accent3 4 2 2" xfId="563"/>
    <cellStyle name="20% - Accent3 4 2 2 2" xfId="1296"/>
    <cellStyle name="20% - Accent3 4 2 2 2 2" xfId="3506"/>
    <cellStyle name="20% - Accent3 4 2 2 2 2 2" xfId="7912"/>
    <cellStyle name="20% - Accent3 4 2 2 2 3" xfId="5702"/>
    <cellStyle name="20% - Accent3 4 2 2 3" xfId="2028"/>
    <cellStyle name="20% - Accent3 4 2 2 3 2" xfId="4238"/>
    <cellStyle name="20% - Accent3 4 2 2 3 2 2" xfId="8644"/>
    <cellStyle name="20% - Accent3 4 2 2 3 3" xfId="6434"/>
    <cellStyle name="20% - Accent3 4 2 2 4" xfId="2774"/>
    <cellStyle name="20% - Accent3 4 2 2 4 2" xfId="7180"/>
    <cellStyle name="20% - Accent3 4 2 2 5" xfId="4970"/>
    <cellStyle name="20% - Accent3 4 2 3" xfId="937"/>
    <cellStyle name="20% - Accent3 4 2 3 2" xfId="3147"/>
    <cellStyle name="20% - Accent3 4 2 3 2 2" xfId="7553"/>
    <cellStyle name="20% - Accent3 4 2 3 3" xfId="5343"/>
    <cellStyle name="20% - Accent3 4 2 4" xfId="1669"/>
    <cellStyle name="20% - Accent3 4 2 4 2" xfId="3879"/>
    <cellStyle name="20% - Accent3 4 2 4 2 2" xfId="8285"/>
    <cellStyle name="20% - Accent3 4 2 4 3" xfId="6075"/>
    <cellStyle name="20% - Accent3 4 2 5" xfId="2415"/>
    <cellStyle name="20% - Accent3 4 2 5 2" xfId="6821"/>
    <cellStyle name="20% - Accent3 4 2 6" xfId="4611"/>
    <cellStyle name="20% - Accent3 4 3" xfId="447"/>
    <cellStyle name="20% - Accent3 4 3 2" xfId="1180"/>
    <cellStyle name="20% - Accent3 4 3 2 2" xfId="3390"/>
    <cellStyle name="20% - Accent3 4 3 2 2 2" xfId="7796"/>
    <cellStyle name="20% - Accent3 4 3 2 3" xfId="5586"/>
    <cellStyle name="20% - Accent3 4 3 3" xfId="1912"/>
    <cellStyle name="20% - Accent3 4 3 3 2" xfId="4122"/>
    <cellStyle name="20% - Accent3 4 3 3 2 2" xfId="8528"/>
    <cellStyle name="20% - Accent3 4 3 3 3" xfId="6318"/>
    <cellStyle name="20% - Accent3 4 3 4" xfId="2658"/>
    <cellStyle name="20% - Accent3 4 3 4 2" xfId="7064"/>
    <cellStyle name="20% - Accent3 4 3 5" xfId="4854"/>
    <cellStyle name="20% - Accent3 4 4" xfId="821"/>
    <cellStyle name="20% - Accent3 4 4 2" xfId="3031"/>
    <cellStyle name="20% - Accent3 4 4 2 2" xfId="7437"/>
    <cellStyle name="20% - Accent3 4 4 3" xfId="5227"/>
    <cellStyle name="20% - Accent3 4 5" xfId="1553"/>
    <cellStyle name="20% - Accent3 4 5 2" xfId="3763"/>
    <cellStyle name="20% - Accent3 4 5 2 2" xfId="8169"/>
    <cellStyle name="20% - Accent3 4 5 3" xfId="5959"/>
    <cellStyle name="20% - Accent3 4 6" xfId="2299"/>
    <cellStyle name="20% - Accent3 4 6 2" xfId="6705"/>
    <cellStyle name="20% - Accent3 4 7" xfId="4495"/>
    <cellStyle name="20% - Accent3 5" xfId="100"/>
    <cellStyle name="20% - Accent3 5 2" xfId="218"/>
    <cellStyle name="20% - Accent3 5 2 2" xfId="577"/>
    <cellStyle name="20% - Accent3 5 2 2 2" xfId="1310"/>
    <cellStyle name="20% - Accent3 5 2 2 2 2" xfId="3520"/>
    <cellStyle name="20% - Accent3 5 2 2 2 2 2" xfId="7926"/>
    <cellStyle name="20% - Accent3 5 2 2 2 3" xfId="5716"/>
    <cellStyle name="20% - Accent3 5 2 2 3" xfId="2042"/>
    <cellStyle name="20% - Accent3 5 2 2 3 2" xfId="4252"/>
    <cellStyle name="20% - Accent3 5 2 2 3 2 2" xfId="8658"/>
    <cellStyle name="20% - Accent3 5 2 2 3 3" xfId="6448"/>
    <cellStyle name="20% - Accent3 5 2 2 4" xfId="2788"/>
    <cellStyle name="20% - Accent3 5 2 2 4 2" xfId="7194"/>
    <cellStyle name="20% - Accent3 5 2 2 5" xfId="4984"/>
    <cellStyle name="20% - Accent3 5 2 3" xfId="951"/>
    <cellStyle name="20% - Accent3 5 2 3 2" xfId="3161"/>
    <cellStyle name="20% - Accent3 5 2 3 2 2" xfId="7567"/>
    <cellStyle name="20% - Accent3 5 2 3 3" xfId="5357"/>
    <cellStyle name="20% - Accent3 5 2 4" xfId="1683"/>
    <cellStyle name="20% - Accent3 5 2 4 2" xfId="3893"/>
    <cellStyle name="20% - Accent3 5 2 4 2 2" xfId="8299"/>
    <cellStyle name="20% - Accent3 5 2 4 3" xfId="6089"/>
    <cellStyle name="20% - Accent3 5 2 5" xfId="2429"/>
    <cellStyle name="20% - Accent3 5 2 5 2" xfId="6835"/>
    <cellStyle name="20% - Accent3 5 2 6" xfId="4625"/>
    <cellStyle name="20% - Accent3 5 3" xfId="461"/>
    <cellStyle name="20% - Accent3 5 3 2" xfId="1194"/>
    <cellStyle name="20% - Accent3 5 3 2 2" xfId="3404"/>
    <cellStyle name="20% - Accent3 5 3 2 2 2" xfId="7810"/>
    <cellStyle name="20% - Accent3 5 3 2 3" xfId="5600"/>
    <cellStyle name="20% - Accent3 5 3 3" xfId="1926"/>
    <cellStyle name="20% - Accent3 5 3 3 2" xfId="4136"/>
    <cellStyle name="20% - Accent3 5 3 3 2 2" xfId="8542"/>
    <cellStyle name="20% - Accent3 5 3 3 3" xfId="6332"/>
    <cellStyle name="20% - Accent3 5 3 4" xfId="2672"/>
    <cellStyle name="20% - Accent3 5 3 4 2" xfId="7078"/>
    <cellStyle name="20% - Accent3 5 3 5" xfId="4868"/>
    <cellStyle name="20% - Accent3 5 4" xfId="835"/>
    <cellStyle name="20% - Accent3 5 4 2" xfId="3045"/>
    <cellStyle name="20% - Accent3 5 4 2 2" xfId="7451"/>
    <cellStyle name="20% - Accent3 5 4 3" xfId="5241"/>
    <cellStyle name="20% - Accent3 5 5" xfId="1567"/>
    <cellStyle name="20% - Accent3 5 5 2" xfId="3777"/>
    <cellStyle name="20% - Accent3 5 5 2 2" xfId="8183"/>
    <cellStyle name="20% - Accent3 5 5 3" xfId="5973"/>
    <cellStyle name="20% - Accent3 5 6" xfId="2313"/>
    <cellStyle name="20% - Accent3 5 6 2" xfId="6719"/>
    <cellStyle name="20% - Accent3 5 7" xfId="4509"/>
    <cellStyle name="20% - Accent3 6" xfId="114"/>
    <cellStyle name="20% - Accent3 6 2" xfId="232"/>
    <cellStyle name="20% - Accent3 6 2 2" xfId="591"/>
    <cellStyle name="20% - Accent3 6 2 2 2" xfId="1324"/>
    <cellStyle name="20% - Accent3 6 2 2 2 2" xfId="3534"/>
    <cellStyle name="20% - Accent3 6 2 2 2 2 2" xfId="7940"/>
    <cellStyle name="20% - Accent3 6 2 2 2 3" xfId="5730"/>
    <cellStyle name="20% - Accent3 6 2 2 3" xfId="2056"/>
    <cellStyle name="20% - Accent3 6 2 2 3 2" xfId="4266"/>
    <cellStyle name="20% - Accent3 6 2 2 3 2 2" xfId="8672"/>
    <cellStyle name="20% - Accent3 6 2 2 3 3" xfId="6462"/>
    <cellStyle name="20% - Accent3 6 2 2 4" xfId="2802"/>
    <cellStyle name="20% - Accent3 6 2 2 4 2" xfId="7208"/>
    <cellStyle name="20% - Accent3 6 2 2 5" xfId="4998"/>
    <cellStyle name="20% - Accent3 6 2 3" xfId="965"/>
    <cellStyle name="20% - Accent3 6 2 3 2" xfId="3175"/>
    <cellStyle name="20% - Accent3 6 2 3 2 2" xfId="7581"/>
    <cellStyle name="20% - Accent3 6 2 3 3" xfId="5371"/>
    <cellStyle name="20% - Accent3 6 2 4" xfId="1697"/>
    <cellStyle name="20% - Accent3 6 2 4 2" xfId="3907"/>
    <cellStyle name="20% - Accent3 6 2 4 2 2" xfId="8313"/>
    <cellStyle name="20% - Accent3 6 2 4 3" xfId="6103"/>
    <cellStyle name="20% - Accent3 6 2 5" xfId="2443"/>
    <cellStyle name="20% - Accent3 6 2 5 2" xfId="6849"/>
    <cellStyle name="20% - Accent3 6 2 6" xfId="4639"/>
    <cellStyle name="20% - Accent3 6 3" xfId="475"/>
    <cellStyle name="20% - Accent3 6 3 2" xfId="1208"/>
    <cellStyle name="20% - Accent3 6 3 2 2" xfId="3418"/>
    <cellStyle name="20% - Accent3 6 3 2 2 2" xfId="7824"/>
    <cellStyle name="20% - Accent3 6 3 2 3" xfId="5614"/>
    <cellStyle name="20% - Accent3 6 3 3" xfId="1940"/>
    <cellStyle name="20% - Accent3 6 3 3 2" xfId="4150"/>
    <cellStyle name="20% - Accent3 6 3 3 2 2" xfId="8556"/>
    <cellStyle name="20% - Accent3 6 3 3 3" xfId="6346"/>
    <cellStyle name="20% - Accent3 6 3 4" xfId="2686"/>
    <cellStyle name="20% - Accent3 6 3 4 2" xfId="7092"/>
    <cellStyle name="20% - Accent3 6 3 5" xfId="4882"/>
    <cellStyle name="20% - Accent3 6 4" xfId="849"/>
    <cellStyle name="20% - Accent3 6 4 2" xfId="3059"/>
    <cellStyle name="20% - Accent3 6 4 2 2" xfId="7465"/>
    <cellStyle name="20% - Accent3 6 4 3" xfId="5255"/>
    <cellStyle name="20% - Accent3 6 5" xfId="1581"/>
    <cellStyle name="20% - Accent3 6 5 2" xfId="3791"/>
    <cellStyle name="20% - Accent3 6 5 2 2" xfId="8197"/>
    <cellStyle name="20% - Accent3 6 5 3" xfId="5987"/>
    <cellStyle name="20% - Accent3 6 6" xfId="2327"/>
    <cellStyle name="20% - Accent3 6 6 2" xfId="6733"/>
    <cellStyle name="20% - Accent3 6 7" xfId="4523"/>
    <cellStyle name="20% - Accent3 7" xfId="128"/>
    <cellStyle name="20% - Accent3 7 2" xfId="246"/>
    <cellStyle name="20% - Accent3 7 2 2" xfId="605"/>
    <cellStyle name="20% - Accent3 7 2 2 2" xfId="1338"/>
    <cellStyle name="20% - Accent3 7 2 2 2 2" xfId="3548"/>
    <cellStyle name="20% - Accent3 7 2 2 2 2 2" xfId="7954"/>
    <cellStyle name="20% - Accent3 7 2 2 2 3" xfId="5744"/>
    <cellStyle name="20% - Accent3 7 2 2 3" xfId="2070"/>
    <cellStyle name="20% - Accent3 7 2 2 3 2" xfId="4280"/>
    <cellStyle name="20% - Accent3 7 2 2 3 2 2" xfId="8686"/>
    <cellStyle name="20% - Accent3 7 2 2 3 3" xfId="6476"/>
    <cellStyle name="20% - Accent3 7 2 2 4" xfId="2816"/>
    <cellStyle name="20% - Accent3 7 2 2 4 2" xfId="7222"/>
    <cellStyle name="20% - Accent3 7 2 2 5" xfId="5012"/>
    <cellStyle name="20% - Accent3 7 2 3" xfId="979"/>
    <cellStyle name="20% - Accent3 7 2 3 2" xfId="3189"/>
    <cellStyle name="20% - Accent3 7 2 3 2 2" xfId="7595"/>
    <cellStyle name="20% - Accent3 7 2 3 3" xfId="5385"/>
    <cellStyle name="20% - Accent3 7 2 4" xfId="1711"/>
    <cellStyle name="20% - Accent3 7 2 4 2" xfId="3921"/>
    <cellStyle name="20% - Accent3 7 2 4 2 2" xfId="8327"/>
    <cellStyle name="20% - Accent3 7 2 4 3" xfId="6117"/>
    <cellStyle name="20% - Accent3 7 2 5" xfId="2457"/>
    <cellStyle name="20% - Accent3 7 2 5 2" xfId="6863"/>
    <cellStyle name="20% - Accent3 7 2 6" xfId="4653"/>
    <cellStyle name="20% - Accent3 7 3" xfId="489"/>
    <cellStyle name="20% - Accent3 7 3 2" xfId="1222"/>
    <cellStyle name="20% - Accent3 7 3 2 2" xfId="3432"/>
    <cellStyle name="20% - Accent3 7 3 2 2 2" xfId="7838"/>
    <cellStyle name="20% - Accent3 7 3 2 3" xfId="5628"/>
    <cellStyle name="20% - Accent3 7 3 3" xfId="1954"/>
    <cellStyle name="20% - Accent3 7 3 3 2" xfId="4164"/>
    <cellStyle name="20% - Accent3 7 3 3 2 2" xfId="8570"/>
    <cellStyle name="20% - Accent3 7 3 3 3" xfId="6360"/>
    <cellStyle name="20% - Accent3 7 3 4" xfId="2700"/>
    <cellStyle name="20% - Accent3 7 3 4 2" xfId="7106"/>
    <cellStyle name="20% - Accent3 7 3 5" xfId="4896"/>
    <cellStyle name="20% - Accent3 7 4" xfId="863"/>
    <cellStyle name="20% - Accent3 7 4 2" xfId="3073"/>
    <cellStyle name="20% - Accent3 7 4 2 2" xfId="7479"/>
    <cellStyle name="20% - Accent3 7 4 3" xfId="5269"/>
    <cellStyle name="20% - Accent3 7 5" xfId="1595"/>
    <cellStyle name="20% - Accent3 7 5 2" xfId="3805"/>
    <cellStyle name="20% - Accent3 7 5 2 2" xfId="8211"/>
    <cellStyle name="20% - Accent3 7 5 3" xfId="6001"/>
    <cellStyle name="20% - Accent3 7 6" xfId="2341"/>
    <cellStyle name="20% - Accent3 7 6 2" xfId="6747"/>
    <cellStyle name="20% - Accent3 7 7" xfId="4537"/>
    <cellStyle name="20% - Accent3 8" xfId="142"/>
    <cellStyle name="20% - Accent3 8 2" xfId="260"/>
    <cellStyle name="20% - Accent3 8 2 2" xfId="619"/>
    <cellStyle name="20% - Accent3 8 2 2 2" xfId="1352"/>
    <cellStyle name="20% - Accent3 8 2 2 2 2" xfId="3562"/>
    <cellStyle name="20% - Accent3 8 2 2 2 2 2" xfId="7968"/>
    <cellStyle name="20% - Accent3 8 2 2 2 3" xfId="5758"/>
    <cellStyle name="20% - Accent3 8 2 2 3" xfId="2084"/>
    <cellStyle name="20% - Accent3 8 2 2 3 2" xfId="4294"/>
    <cellStyle name="20% - Accent3 8 2 2 3 2 2" xfId="8700"/>
    <cellStyle name="20% - Accent3 8 2 2 3 3" xfId="6490"/>
    <cellStyle name="20% - Accent3 8 2 2 4" xfId="2830"/>
    <cellStyle name="20% - Accent3 8 2 2 4 2" xfId="7236"/>
    <cellStyle name="20% - Accent3 8 2 2 5" xfId="5026"/>
    <cellStyle name="20% - Accent3 8 2 3" xfId="993"/>
    <cellStyle name="20% - Accent3 8 2 3 2" xfId="3203"/>
    <cellStyle name="20% - Accent3 8 2 3 2 2" xfId="7609"/>
    <cellStyle name="20% - Accent3 8 2 3 3" xfId="5399"/>
    <cellStyle name="20% - Accent3 8 2 4" xfId="1725"/>
    <cellStyle name="20% - Accent3 8 2 4 2" xfId="3935"/>
    <cellStyle name="20% - Accent3 8 2 4 2 2" xfId="8341"/>
    <cellStyle name="20% - Accent3 8 2 4 3" xfId="6131"/>
    <cellStyle name="20% - Accent3 8 2 5" xfId="2471"/>
    <cellStyle name="20% - Accent3 8 2 5 2" xfId="6877"/>
    <cellStyle name="20% - Accent3 8 2 6" xfId="4667"/>
    <cellStyle name="20% - Accent3 8 3" xfId="503"/>
    <cellStyle name="20% - Accent3 8 3 2" xfId="1236"/>
    <cellStyle name="20% - Accent3 8 3 2 2" xfId="3446"/>
    <cellStyle name="20% - Accent3 8 3 2 2 2" xfId="7852"/>
    <cellStyle name="20% - Accent3 8 3 2 3" xfId="5642"/>
    <cellStyle name="20% - Accent3 8 3 3" xfId="1968"/>
    <cellStyle name="20% - Accent3 8 3 3 2" xfId="4178"/>
    <cellStyle name="20% - Accent3 8 3 3 2 2" xfId="8584"/>
    <cellStyle name="20% - Accent3 8 3 3 3" xfId="6374"/>
    <cellStyle name="20% - Accent3 8 3 4" xfId="2714"/>
    <cellStyle name="20% - Accent3 8 3 4 2" xfId="7120"/>
    <cellStyle name="20% - Accent3 8 3 5" xfId="4910"/>
    <cellStyle name="20% - Accent3 8 4" xfId="877"/>
    <cellStyle name="20% - Accent3 8 4 2" xfId="3087"/>
    <cellStyle name="20% - Accent3 8 4 2 2" xfId="7493"/>
    <cellStyle name="20% - Accent3 8 4 3" xfId="5283"/>
    <cellStyle name="20% - Accent3 8 5" xfId="1609"/>
    <cellStyle name="20% - Accent3 8 5 2" xfId="3819"/>
    <cellStyle name="20% - Accent3 8 5 2 2" xfId="8225"/>
    <cellStyle name="20% - Accent3 8 5 3" xfId="6015"/>
    <cellStyle name="20% - Accent3 8 6" xfId="2355"/>
    <cellStyle name="20% - Accent3 8 6 2" xfId="6761"/>
    <cellStyle name="20% - Accent3 8 7" xfId="4551"/>
    <cellStyle name="20% - Accent3 9" xfId="160"/>
    <cellStyle name="20% - Accent3 9 2" xfId="519"/>
    <cellStyle name="20% - Accent3 9 2 2" xfId="1252"/>
    <cellStyle name="20% - Accent3 9 2 2 2" xfId="3462"/>
    <cellStyle name="20% - Accent3 9 2 2 2 2" xfId="7868"/>
    <cellStyle name="20% - Accent3 9 2 2 3" xfId="5658"/>
    <cellStyle name="20% - Accent3 9 2 3" xfId="1984"/>
    <cellStyle name="20% - Accent3 9 2 3 2" xfId="4194"/>
    <cellStyle name="20% - Accent3 9 2 3 2 2" xfId="8600"/>
    <cellStyle name="20% - Accent3 9 2 3 3" xfId="6390"/>
    <cellStyle name="20% - Accent3 9 2 4" xfId="2730"/>
    <cellStyle name="20% - Accent3 9 2 4 2" xfId="7136"/>
    <cellStyle name="20% - Accent3 9 2 5" xfId="4926"/>
    <cellStyle name="20% - Accent3 9 3" xfId="893"/>
    <cellStyle name="20% - Accent3 9 3 2" xfId="3103"/>
    <cellStyle name="20% - Accent3 9 3 2 2" xfId="7509"/>
    <cellStyle name="20% - Accent3 9 3 3" xfId="5299"/>
    <cellStyle name="20% - Accent3 9 4" xfId="1625"/>
    <cellStyle name="20% - Accent3 9 4 2" xfId="3835"/>
    <cellStyle name="20% - Accent3 9 4 2 2" xfId="8241"/>
    <cellStyle name="20% - Accent3 9 4 3" xfId="6031"/>
    <cellStyle name="20% - Accent3 9 5" xfId="2371"/>
    <cellStyle name="20% - Accent3 9 5 2" xfId="6777"/>
    <cellStyle name="20% - Accent3 9 6" xfId="4567"/>
    <cellStyle name="20% - Accent4" xfId="32" builtinId="42" customBuiltin="1"/>
    <cellStyle name="20% - Accent4 10" xfId="276"/>
    <cellStyle name="20% - Accent4 10 2" xfId="635"/>
    <cellStyle name="20% - Accent4 10 2 2" xfId="1368"/>
    <cellStyle name="20% - Accent4 10 2 2 2" xfId="3578"/>
    <cellStyle name="20% - Accent4 10 2 2 2 2" xfId="7984"/>
    <cellStyle name="20% - Accent4 10 2 2 3" xfId="5774"/>
    <cellStyle name="20% - Accent4 10 2 3" xfId="2100"/>
    <cellStyle name="20% - Accent4 10 2 3 2" xfId="4310"/>
    <cellStyle name="20% - Accent4 10 2 3 2 2" xfId="8716"/>
    <cellStyle name="20% - Accent4 10 2 3 3" xfId="6506"/>
    <cellStyle name="20% - Accent4 10 2 4" xfId="2846"/>
    <cellStyle name="20% - Accent4 10 2 4 2" xfId="7252"/>
    <cellStyle name="20% - Accent4 10 2 5" xfId="5042"/>
    <cellStyle name="20% - Accent4 10 3" xfId="1009"/>
    <cellStyle name="20% - Accent4 10 3 2" xfId="3219"/>
    <cellStyle name="20% - Accent4 10 3 2 2" xfId="7625"/>
    <cellStyle name="20% - Accent4 10 3 3" xfId="5415"/>
    <cellStyle name="20% - Accent4 10 4" xfId="1741"/>
    <cellStyle name="20% - Accent4 10 4 2" xfId="3951"/>
    <cellStyle name="20% - Accent4 10 4 2 2" xfId="8357"/>
    <cellStyle name="20% - Accent4 10 4 3" xfId="6147"/>
    <cellStyle name="20% - Accent4 10 5" xfId="2487"/>
    <cellStyle name="20% - Accent4 10 5 2" xfId="6893"/>
    <cellStyle name="20% - Accent4 10 6" xfId="4683"/>
    <cellStyle name="20% - Accent4 11" xfId="290"/>
    <cellStyle name="20% - Accent4 11 2" xfId="649"/>
    <cellStyle name="20% - Accent4 11 2 2" xfId="1382"/>
    <cellStyle name="20% - Accent4 11 2 2 2" xfId="3592"/>
    <cellStyle name="20% - Accent4 11 2 2 2 2" xfId="7998"/>
    <cellStyle name="20% - Accent4 11 2 2 3" xfId="5788"/>
    <cellStyle name="20% - Accent4 11 2 3" xfId="2114"/>
    <cellStyle name="20% - Accent4 11 2 3 2" xfId="4324"/>
    <cellStyle name="20% - Accent4 11 2 3 2 2" xfId="8730"/>
    <cellStyle name="20% - Accent4 11 2 3 3" xfId="6520"/>
    <cellStyle name="20% - Accent4 11 2 4" xfId="2860"/>
    <cellStyle name="20% - Accent4 11 2 4 2" xfId="7266"/>
    <cellStyle name="20% - Accent4 11 2 5" xfId="5056"/>
    <cellStyle name="20% - Accent4 11 3" xfId="1023"/>
    <cellStyle name="20% - Accent4 11 3 2" xfId="3233"/>
    <cellStyle name="20% - Accent4 11 3 2 2" xfId="7639"/>
    <cellStyle name="20% - Accent4 11 3 3" xfId="5429"/>
    <cellStyle name="20% - Accent4 11 4" xfId="1755"/>
    <cellStyle name="20% - Accent4 11 4 2" xfId="3965"/>
    <cellStyle name="20% - Accent4 11 4 2 2" xfId="8371"/>
    <cellStyle name="20% - Accent4 11 4 3" xfId="6161"/>
    <cellStyle name="20% - Accent4 11 5" xfId="2501"/>
    <cellStyle name="20% - Accent4 11 5 2" xfId="6907"/>
    <cellStyle name="20% - Accent4 11 6" xfId="4697"/>
    <cellStyle name="20% - Accent4 12" xfId="304"/>
    <cellStyle name="20% - Accent4 12 2" xfId="663"/>
    <cellStyle name="20% - Accent4 12 2 2" xfId="1396"/>
    <cellStyle name="20% - Accent4 12 2 2 2" xfId="3606"/>
    <cellStyle name="20% - Accent4 12 2 2 2 2" xfId="8012"/>
    <cellStyle name="20% - Accent4 12 2 2 3" xfId="5802"/>
    <cellStyle name="20% - Accent4 12 2 3" xfId="2128"/>
    <cellStyle name="20% - Accent4 12 2 3 2" xfId="4338"/>
    <cellStyle name="20% - Accent4 12 2 3 2 2" xfId="8744"/>
    <cellStyle name="20% - Accent4 12 2 3 3" xfId="6534"/>
    <cellStyle name="20% - Accent4 12 2 4" xfId="2874"/>
    <cellStyle name="20% - Accent4 12 2 4 2" xfId="7280"/>
    <cellStyle name="20% - Accent4 12 2 5" xfId="5070"/>
    <cellStyle name="20% - Accent4 12 3" xfId="1037"/>
    <cellStyle name="20% - Accent4 12 3 2" xfId="3247"/>
    <cellStyle name="20% - Accent4 12 3 2 2" xfId="7653"/>
    <cellStyle name="20% - Accent4 12 3 3" xfId="5443"/>
    <cellStyle name="20% - Accent4 12 4" xfId="1769"/>
    <cellStyle name="20% - Accent4 12 4 2" xfId="3979"/>
    <cellStyle name="20% - Accent4 12 4 2 2" xfId="8385"/>
    <cellStyle name="20% - Accent4 12 4 3" xfId="6175"/>
    <cellStyle name="20% - Accent4 12 5" xfId="2515"/>
    <cellStyle name="20% - Accent4 12 5 2" xfId="6921"/>
    <cellStyle name="20% - Accent4 12 6" xfId="4711"/>
    <cellStyle name="20% - Accent4 13" xfId="318"/>
    <cellStyle name="20% - Accent4 13 2" xfId="677"/>
    <cellStyle name="20% - Accent4 13 2 2" xfId="1410"/>
    <cellStyle name="20% - Accent4 13 2 2 2" xfId="3620"/>
    <cellStyle name="20% - Accent4 13 2 2 2 2" xfId="8026"/>
    <cellStyle name="20% - Accent4 13 2 2 3" xfId="5816"/>
    <cellStyle name="20% - Accent4 13 2 3" xfId="2142"/>
    <cellStyle name="20% - Accent4 13 2 3 2" xfId="4352"/>
    <cellStyle name="20% - Accent4 13 2 3 2 2" xfId="8758"/>
    <cellStyle name="20% - Accent4 13 2 3 3" xfId="6548"/>
    <cellStyle name="20% - Accent4 13 2 4" xfId="2888"/>
    <cellStyle name="20% - Accent4 13 2 4 2" xfId="7294"/>
    <cellStyle name="20% - Accent4 13 2 5" xfId="5084"/>
    <cellStyle name="20% - Accent4 13 3" xfId="1051"/>
    <cellStyle name="20% - Accent4 13 3 2" xfId="3261"/>
    <cellStyle name="20% - Accent4 13 3 2 2" xfId="7667"/>
    <cellStyle name="20% - Accent4 13 3 3" xfId="5457"/>
    <cellStyle name="20% - Accent4 13 4" xfId="1783"/>
    <cellStyle name="20% - Accent4 13 4 2" xfId="3993"/>
    <cellStyle name="20% - Accent4 13 4 2 2" xfId="8399"/>
    <cellStyle name="20% - Accent4 13 4 3" xfId="6189"/>
    <cellStyle name="20% - Accent4 13 5" xfId="2529"/>
    <cellStyle name="20% - Accent4 13 5 2" xfId="6935"/>
    <cellStyle name="20% - Accent4 13 6" xfId="4725"/>
    <cellStyle name="20% - Accent4 14" xfId="332"/>
    <cellStyle name="20% - Accent4 14 2" xfId="691"/>
    <cellStyle name="20% - Accent4 14 2 2" xfId="1424"/>
    <cellStyle name="20% - Accent4 14 2 2 2" xfId="3634"/>
    <cellStyle name="20% - Accent4 14 2 2 2 2" xfId="8040"/>
    <cellStyle name="20% - Accent4 14 2 2 3" xfId="5830"/>
    <cellStyle name="20% - Accent4 14 2 3" xfId="2156"/>
    <cellStyle name="20% - Accent4 14 2 3 2" xfId="4366"/>
    <cellStyle name="20% - Accent4 14 2 3 2 2" xfId="8772"/>
    <cellStyle name="20% - Accent4 14 2 3 3" xfId="6562"/>
    <cellStyle name="20% - Accent4 14 2 4" xfId="2902"/>
    <cellStyle name="20% - Accent4 14 2 4 2" xfId="7308"/>
    <cellStyle name="20% - Accent4 14 2 5" xfId="5098"/>
    <cellStyle name="20% - Accent4 14 3" xfId="1065"/>
    <cellStyle name="20% - Accent4 14 3 2" xfId="3275"/>
    <cellStyle name="20% - Accent4 14 3 2 2" xfId="7681"/>
    <cellStyle name="20% - Accent4 14 3 3" xfId="5471"/>
    <cellStyle name="20% - Accent4 14 4" xfId="1797"/>
    <cellStyle name="20% - Accent4 14 4 2" xfId="4007"/>
    <cellStyle name="20% - Accent4 14 4 2 2" xfId="8413"/>
    <cellStyle name="20% - Accent4 14 4 3" xfId="6203"/>
    <cellStyle name="20% - Accent4 14 5" xfId="2543"/>
    <cellStyle name="20% - Accent4 14 5 2" xfId="6949"/>
    <cellStyle name="20% - Accent4 14 6" xfId="4739"/>
    <cellStyle name="20% - Accent4 15" xfId="346"/>
    <cellStyle name="20% - Accent4 15 2" xfId="705"/>
    <cellStyle name="20% - Accent4 15 2 2" xfId="1438"/>
    <cellStyle name="20% - Accent4 15 2 2 2" xfId="3648"/>
    <cellStyle name="20% - Accent4 15 2 2 2 2" xfId="8054"/>
    <cellStyle name="20% - Accent4 15 2 2 3" xfId="5844"/>
    <cellStyle name="20% - Accent4 15 2 3" xfId="2170"/>
    <cellStyle name="20% - Accent4 15 2 3 2" xfId="4380"/>
    <cellStyle name="20% - Accent4 15 2 3 2 2" xfId="8786"/>
    <cellStyle name="20% - Accent4 15 2 3 3" xfId="6576"/>
    <cellStyle name="20% - Accent4 15 2 4" xfId="2916"/>
    <cellStyle name="20% - Accent4 15 2 4 2" xfId="7322"/>
    <cellStyle name="20% - Accent4 15 2 5" xfId="5112"/>
    <cellStyle name="20% - Accent4 15 3" xfId="1079"/>
    <cellStyle name="20% - Accent4 15 3 2" xfId="3289"/>
    <cellStyle name="20% - Accent4 15 3 2 2" xfId="7695"/>
    <cellStyle name="20% - Accent4 15 3 3" xfId="5485"/>
    <cellStyle name="20% - Accent4 15 4" xfId="1811"/>
    <cellStyle name="20% - Accent4 15 4 2" xfId="4021"/>
    <cellStyle name="20% - Accent4 15 4 2 2" xfId="8427"/>
    <cellStyle name="20% - Accent4 15 4 3" xfId="6217"/>
    <cellStyle name="20% - Accent4 15 5" xfId="2557"/>
    <cellStyle name="20% - Accent4 15 5 2" xfId="6963"/>
    <cellStyle name="20% - Accent4 15 6" xfId="4753"/>
    <cellStyle name="20% - Accent4 16" xfId="360"/>
    <cellStyle name="20% - Accent4 16 2" xfId="719"/>
    <cellStyle name="20% - Accent4 16 2 2" xfId="1452"/>
    <cellStyle name="20% - Accent4 16 2 2 2" xfId="3662"/>
    <cellStyle name="20% - Accent4 16 2 2 2 2" xfId="8068"/>
    <cellStyle name="20% - Accent4 16 2 2 3" xfId="5858"/>
    <cellStyle name="20% - Accent4 16 2 3" xfId="2184"/>
    <cellStyle name="20% - Accent4 16 2 3 2" xfId="4394"/>
    <cellStyle name="20% - Accent4 16 2 3 2 2" xfId="8800"/>
    <cellStyle name="20% - Accent4 16 2 3 3" xfId="6590"/>
    <cellStyle name="20% - Accent4 16 2 4" xfId="2930"/>
    <cellStyle name="20% - Accent4 16 2 4 2" xfId="7336"/>
    <cellStyle name="20% - Accent4 16 2 5" xfId="5126"/>
    <cellStyle name="20% - Accent4 16 3" xfId="1093"/>
    <cellStyle name="20% - Accent4 16 3 2" xfId="3303"/>
    <cellStyle name="20% - Accent4 16 3 2 2" xfId="7709"/>
    <cellStyle name="20% - Accent4 16 3 3" xfId="5499"/>
    <cellStyle name="20% - Accent4 16 4" xfId="1825"/>
    <cellStyle name="20% - Accent4 16 4 2" xfId="4035"/>
    <cellStyle name="20% - Accent4 16 4 2 2" xfId="8441"/>
    <cellStyle name="20% - Accent4 16 4 3" xfId="6231"/>
    <cellStyle name="20% - Accent4 16 5" xfId="2571"/>
    <cellStyle name="20% - Accent4 16 5 2" xfId="6977"/>
    <cellStyle name="20% - Accent4 16 6" xfId="4767"/>
    <cellStyle name="20% - Accent4 17" xfId="374"/>
    <cellStyle name="20% - Accent4 17 2" xfId="733"/>
    <cellStyle name="20% - Accent4 17 2 2" xfId="1466"/>
    <cellStyle name="20% - Accent4 17 2 2 2" xfId="3676"/>
    <cellStyle name="20% - Accent4 17 2 2 2 2" xfId="8082"/>
    <cellStyle name="20% - Accent4 17 2 2 3" xfId="5872"/>
    <cellStyle name="20% - Accent4 17 2 3" xfId="2198"/>
    <cellStyle name="20% - Accent4 17 2 3 2" xfId="4408"/>
    <cellStyle name="20% - Accent4 17 2 3 2 2" xfId="8814"/>
    <cellStyle name="20% - Accent4 17 2 3 3" xfId="6604"/>
    <cellStyle name="20% - Accent4 17 2 4" xfId="2944"/>
    <cellStyle name="20% - Accent4 17 2 4 2" xfId="7350"/>
    <cellStyle name="20% - Accent4 17 2 5" xfId="5140"/>
    <cellStyle name="20% - Accent4 17 3" xfId="1107"/>
    <cellStyle name="20% - Accent4 17 3 2" xfId="3317"/>
    <cellStyle name="20% - Accent4 17 3 2 2" xfId="7723"/>
    <cellStyle name="20% - Accent4 17 3 3" xfId="5513"/>
    <cellStyle name="20% - Accent4 17 4" xfId="1839"/>
    <cellStyle name="20% - Accent4 17 4 2" xfId="4049"/>
    <cellStyle name="20% - Accent4 17 4 2 2" xfId="8455"/>
    <cellStyle name="20% - Accent4 17 4 3" xfId="6245"/>
    <cellStyle name="20% - Accent4 17 5" xfId="2585"/>
    <cellStyle name="20% - Accent4 17 5 2" xfId="6991"/>
    <cellStyle name="20% - Accent4 17 6" xfId="4781"/>
    <cellStyle name="20% - Accent4 18" xfId="388"/>
    <cellStyle name="20% - Accent4 18 2" xfId="747"/>
    <cellStyle name="20% - Accent4 18 2 2" xfId="1480"/>
    <cellStyle name="20% - Accent4 18 2 2 2" xfId="3690"/>
    <cellStyle name="20% - Accent4 18 2 2 2 2" xfId="8096"/>
    <cellStyle name="20% - Accent4 18 2 2 3" xfId="5886"/>
    <cellStyle name="20% - Accent4 18 2 3" xfId="2212"/>
    <cellStyle name="20% - Accent4 18 2 3 2" xfId="4422"/>
    <cellStyle name="20% - Accent4 18 2 3 2 2" xfId="8828"/>
    <cellStyle name="20% - Accent4 18 2 3 3" xfId="6618"/>
    <cellStyle name="20% - Accent4 18 2 4" xfId="2958"/>
    <cellStyle name="20% - Accent4 18 2 4 2" xfId="7364"/>
    <cellStyle name="20% - Accent4 18 2 5" xfId="5154"/>
    <cellStyle name="20% - Accent4 18 3" xfId="1121"/>
    <cellStyle name="20% - Accent4 18 3 2" xfId="3331"/>
    <cellStyle name="20% - Accent4 18 3 2 2" xfId="7737"/>
    <cellStyle name="20% - Accent4 18 3 3" xfId="5527"/>
    <cellStyle name="20% - Accent4 18 4" xfId="1853"/>
    <cellStyle name="20% - Accent4 18 4 2" xfId="4063"/>
    <cellStyle name="20% - Accent4 18 4 2 2" xfId="8469"/>
    <cellStyle name="20% - Accent4 18 4 3" xfId="6259"/>
    <cellStyle name="20% - Accent4 18 5" xfId="2599"/>
    <cellStyle name="20% - Accent4 18 5 2" xfId="7005"/>
    <cellStyle name="20% - Accent4 18 6" xfId="4795"/>
    <cellStyle name="20% - Accent4 19" xfId="405"/>
    <cellStyle name="20% - Accent4 19 2" xfId="1138"/>
    <cellStyle name="20% - Accent4 19 2 2" xfId="3348"/>
    <cellStyle name="20% - Accent4 19 2 2 2" xfId="7754"/>
    <cellStyle name="20% - Accent4 19 2 3" xfId="5544"/>
    <cellStyle name="20% - Accent4 19 3" xfId="1870"/>
    <cellStyle name="20% - Accent4 19 3 2" xfId="4080"/>
    <cellStyle name="20% - Accent4 19 3 2 2" xfId="8486"/>
    <cellStyle name="20% - Accent4 19 3 3" xfId="6276"/>
    <cellStyle name="20% - Accent4 19 4" xfId="2616"/>
    <cellStyle name="20% - Accent4 19 4 2" xfId="7022"/>
    <cellStyle name="20% - Accent4 19 5" xfId="4812"/>
    <cellStyle name="20% - Accent4 2" xfId="60"/>
    <cellStyle name="20% - Accent4 2 2" xfId="178"/>
    <cellStyle name="20% - Accent4 2 2 2" xfId="537"/>
    <cellStyle name="20% - Accent4 2 2 2 2" xfId="1270"/>
    <cellStyle name="20% - Accent4 2 2 2 2 2" xfId="3480"/>
    <cellStyle name="20% - Accent4 2 2 2 2 2 2" xfId="7886"/>
    <cellStyle name="20% - Accent4 2 2 2 2 3" xfId="5676"/>
    <cellStyle name="20% - Accent4 2 2 2 3" xfId="2002"/>
    <cellStyle name="20% - Accent4 2 2 2 3 2" xfId="4212"/>
    <cellStyle name="20% - Accent4 2 2 2 3 2 2" xfId="8618"/>
    <cellStyle name="20% - Accent4 2 2 2 3 3" xfId="6408"/>
    <cellStyle name="20% - Accent4 2 2 2 4" xfId="2748"/>
    <cellStyle name="20% - Accent4 2 2 2 4 2" xfId="7154"/>
    <cellStyle name="20% - Accent4 2 2 2 5" xfId="4944"/>
    <cellStyle name="20% - Accent4 2 2 3" xfId="911"/>
    <cellStyle name="20% - Accent4 2 2 3 2" xfId="3121"/>
    <cellStyle name="20% - Accent4 2 2 3 2 2" xfId="7527"/>
    <cellStyle name="20% - Accent4 2 2 3 3" xfId="5317"/>
    <cellStyle name="20% - Accent4 2 2 4" xfId="1643"/>
    <cellStyle name="20% - Accent4 2 2 4 2" xfId="3853"/>
    <cellStyle name="20% - Accent4 2 2 4 2 2" xfId="8259"/>
    <cellStyle name="20% - Accent4 2 2 4 3" xfId="6049"/>
    <cellStyle name="20% - Accent4 2 2 5" xfId="2389"/>
    <cellStyle name="20% - Accent4 2 2 5 2" xfId="6795"/>
    <cellStyle name="20% - Accent4 2 2 6" xfId="4585"/>
    <cellStyle name="20% - Accent4 2 3" xfId="421"/>
    <cellStyle name="20% - Accent4 2 3 2" xfId="1154"/>
    <cellStyle name="20% - Accent4 2 3 2 2" xfId="3364"/>
    <cellStyle name="20% - Accent4 2 3 2 2 2" xfId="7770"/>
    <cellStyle name="20% - Accent4 2 3 2 3" xfId="5560"/>
    <cellStyle name="20% - Accent4 2 3 3" xfId="1886"/>
    <cellStyle name="20% - Accent4 2 3 3 2" xfId="4096"/>
    <cellStyle name="20% - Accent4 2 3 3 2 2" xfId="8502"/>
    <cellStyle name="20% - Accent4 2 3 3 3" xfId="6292"/>
    <cellStyle name="20% - Accent4 2 3 4" xfId="2632"/>
    <cellStyle name="20% - Accent4 2 3 4 2" xfId="7038"/>
    <cellStyle name="20% - Accent4 2 3 5" xfId="4828"/>
    <cellStyle name="20% - Accent4 2 4" xfId="795"/>
    <cellStyle name="20% - Accent4 2 4 2" xfId="3005"/>
    <cellStyle name="20% - Accent4 2 4 2 2" xfId="7411"/>
    <cellStyle name="20% - Accent4 2 4 3" xfId="5201"/>
    <cellStyle name="20% - Accent4 2 5" xfId="1527"/>
    <cellStyle name="20% - Accent4 2 5 2" xfId="3737"/>
    <cellStyle name="20% - Accent4 2 5 2 2" xfId="8143"/>
    <cellStyle name="20% - Accent4 2 5 3" xfId="5933"/>
    <cellStyle name="20% - Accent4 2 6" xfId="2273"/>
    <cellStyle name="20% - Accent4 2 6 2" xfId="6679"/>
    <cellStyle name="20% - Accent4 2 7" xfId="4469"/>
    <cellStyle name="20% - Accent4 20" xfId="762"/>
    <cellStyle name="20% - Accent4 20 2" xfId="1495"/>
    <cellStyle name="20% - Accent4 20 2 2" xfId="3705"/>
    <cellStyle name="20% - Accent4 20 2 2 2" xfId="8111"/>
    <cellStyle name="20% - Accent4 20 2 3" xfId="5901"/>
    <cellStyle name="20% - Accent4 20 3" xfId="2227"/>
    <cellStyle name="20% - Accent4 20 3 2" xfId="4437"/>
    <cellStyle name="20% - Accent4 20 3 2 2" xfId="8843"/>
    <cellStyle name="20% - Accent4 20 3 3" xfId="6633"/>
    <cellStyle name="20% - Accent4 20 4" xfId="2973"/>
    <cellStyle name="20% - Accent4 20 4 2" xfId="7379"/>
    <cellStyle name="20% - Accent4 20 5" xfId="5169"/>
    <cellStyle name="20% - Accent4 21" xfId="779"/>
    <cellStyle name="20% - Accent4 21 2" xfId="2989"/>
    <cellStyle name="20% - Accent4 21 2 2" xfId="7395"/>
    <cellStyle name="20% - Accent4 21 3" xfId="5185"/>
    <cellStyle name="20% - Accent4 22" xfId="1511"/>
    <cellStyle name="20% - Accent4 22 2" xfId="3721"/>
    <cellStyle name="20% - Accent4 22 2 2" xfId="8127"/>
    <cellStyle name="20% - Accent4 22 3" xfId="5917"/>
    <cellStyle name="20% - Accent4 23" xfId="2241"/>
    <cellStyle name="20% - Accent4 23 2" xfId="6647"/>
    <cellStyle name="20% - Accent4 24" xfId="2257"/>
    <cellStyle name="20% - Accent4 24 2" xfId="6663"/>
    <cellStyle name="20% - Accent4 25" xfId="4453"/>
    <cellStyle name="20% - Accent4 3" xfId="74"/>
    <cellStyle name="20% - Accent4 3 2" xfId="192"/>
    <cellStyle name="20% - Accent4 3 2 2" xfId="551"/>
    <cellStyle name="20% - Accent4 3 2 2 2" xfId="1284"/>
    <cellStyle name="20% - Accent4 3 2 2 2 2" xfId="3494"/>
    <cellStyle name="20% - Accent4 3 2 2 2 2 2" xfId="7900"/>
    <cellStyle name="20% - Accent4 3 2 2 2 3" xfId="5690"/>
    <cellStyle name="20% - Accent4 3 2 2 3" xfId="2016"/>
    <cellStyle name="20% - Accent4 3 2 2 3 2" xfId="4226"/>
    <cellStyle name="20% - Accent4 3 2 2 3 2 2" xfId="8632"/>
    <cellStyle name="20% - Accent4 3 2 2 3 3" xfId="6422"/>
    <cellStyle name="20% - Accent4 3 2 2 4" xfId="2762"/>
    <cellStyle name="20% - Accent4 3 2 2 4 2" xfId="7168"/>
    <cellStyle name="20% - Accent4 3 2 2 5" xfId="4958"/>
    <cellStyle name="20% - Accent4 3 2 3" xfId="925"/>
    <cellStyle name="20% - Accent4 3 2 3 2" xfId="3135"/>
    <cellStyle name="20% - Accent4 3 2 3 2 2" xfId="7541"/>
    <cellStyle name="20% - Accent4 3 2 3 3" xfId="5331"/>
    <cellStyle name="20% - Accent4 3 2 4" xfId="1657"/>
    <cellStyle name="20% - Accent4 3 2 4 2" xfId="3867"/>
    <cellStyle name="20% - Accent4 3 2 4 2 2" xfId="8273"/>
    <cellStyle name="20% - Accent4 3 2 4 3" xfId="6063"/>
    <cellStyle name="20% - Accent4 3 2 5" xfId="2403"/>
    <cellStyle name="20% - Accent4 3 2 5 2" xfId="6809"/>
    <cellStyle name="20% - Accent4 3 2 6" xfId="4599"/>
    <cellStyle name="20% - Accent4 3 3" xfId="435"/>
    <cellStyle name="20% - Accent4 3 3 2" xfId="1168"/>
    <cellStyle name="20% - Accent4 3 3 2 2" xfId="3378"/>
    <cellStyle name="20% - Accent4 3 3 2 2 2" xfId="7784"/>
    <cellStyle name="20% - Accent4 3 3 2 3" xfId="5574"/>
    <cellStyle name="20% - Accent4 3 3 3" xfId="1900"/>
    <cellStyle name="20% - Accent4 3 3 3 2" xfId="4110"/>
    <cellStyle name="20% - Accent4 3 3 3 2 2" xfId="8516"/>
    <cellStyle name="20% - Accent4 3 3 3 3" xfId="6306"/>
    <cellStyle name="20% - Accent4 3 3 4" xfId="2646"/>
    <cellStyle name="20% - Accent4 3 3 4 2" xfId="7052"/>
    <cellStyle name="20% - Accent4 3 3 5" xfId="4842"/>
    <cellStyle name="20% - Accent4 3 4" xfId="809"/>
    <cellStyle name="20% - Accent4 3 4 2" xfId="3019"/>
    <cellStyle name="20% - Accent4 3 4 2 2" xfId="7425"/>
    <cellStyle name="20% - Accent4 3 4 3" xfId="5215"/>
    <cellStyle name="20% - Accent4 3 5" xfId="1541"/>
    <cellStyle name="20% - Accent4 3 5 2" xfId="3751"/>
    <cellStyle name="20% - Accent4 3 5 2 2" xfId="8157"/>
    <cellStyle name="20% - Accent4 3 5 3" xfId="5947"/>
    <cellStyle name="20% - Accent4 3 6" xfId="2287"/>
    <cellStyle name="20% - Accent4 3 6 2" xfId="6693"/>
    <cellStyle name="20% - Accent4 3 7" xfId="4483"/>
    <cellStyle name="20% - Accent4 4" xfId="88"/>
    <cellStyle name="20% - Accent4 4 2" xfId="206"/>
    <cellStyle name="20% - Accent4 4 2 2" xfId="565"/>
    <cellStyle name="20% - Accent4 4 2 2 2" xfId="1298"/>
    <cellStyle name="20% - Accent4 4 2 2 2 2" xfId="3508"/>
    <cellStyle name="20% - Accent4 4 2 2 2 2 2" xfId="7914"/>
    <cellStyle name="20% - Accent4 4 2 2 2 3" xfId="5704"/>
    <cellStyle name="20% - Accent4 4 2 2 3" xfId="2030"/>
    <cellStyle name="20% - Accent4 4 2 2 3 2" xfId="4240"/>
    <cellStyle name="20% - Accent4 4 2 2 3 2 2" xfId="8646"/>
    <cellStyle name="20% - Accent4 4 2 2 3 3" xfId="6436"/>
    <cellStyle name="20% - Accent4 4 2 2 4" xfId="2776"/>
    <cellStyle name="20% - Accent4 4 2 2 4 2" xfId="7182"/>
    <cellStyle name="20% - Accent4 4 2 2 5" xfId="4972"/>
    <cellStyle name="20% - Accent4 4 2 3" xfId="939"/>
    <cellStyle name="20% - Accent4 4 2 3 2" xfId="3149"/>
    <cellStyle name="20% - Accent4 4 2 3 2 2" xfId="7555"/>
    <cellStyle name="20% - Accent4 4 2 3 3" xfId="5345"/>
    <cellStyle name="20% - Accent4 4 2 4" xfId="1671"/>
    <cellStyle name="20% - Accent4 4 2 4 2" xfId="3881"/>
    <cellStyle name="20% - Accent4 4 2 4 2 2" xfId="8287"/>
    <cellStyle name="20% - Accent4 4 2 4 3" xfId="6077"/>
    <cellStyle name="20% - Accent4 4 2 5" xfId="2417"/>
    <cellStyle name="20% - Accent4 4 2 5 2" xfId="6823"/>
    <cellStyle name="20% - Accent4 4 2 6" xfId="4613"/>
    <cellStyle name="20% - Accent4 4 3" xfId="449"/>
    <cellStyle name="20% - Accent4 4 3 2" xfId="1182"/>
    <cellStyle name="20% - Accent4 4 3 2 2" xfId="3392"/>
    <cellStyle name="20% - Accent4 4 3 2 2 2" xfId="7798"/>
    <cellStyle name="20% - Accent4 4 3 2 3" xfId="5588"/>
    <cellStyle name="20% - Accent4 4 3 3" xfId="1914"/>
    <cellStyle name="20% - Accent4 4 3 3 2" xfId="4124"/>
    <cellStyle name="20% - Accent4 4 3 3 2 2" xfId="8530"/>
    <cellStyle name="20% - Accent4 4 3 3 3" xfId="6320"/>
    <cellStyle name="20% - Accent4 4 3 4" xfId="2660"/>
    <cellStyle name="20% - Accent4 4 3 4 2" xfId="7066"/>
    <cellStyle name="20% - Accent4 4 3 5" xfId="4856"/>
    <cellStyle name="20% - Accent4 4 4" xfId="823"/>
    <cellStyle name="20% - Accent4 4 4 2" xfId="3033"/>
    <cellStyle name="20% - Accent4 4 4 2 2" xfId="7439"/>
    <cellStyle name="20% - Accent4 4 4 3" xfId="5229"/>
    <cellStyle name="20% - Accent4 4 5" xfId="1555"/>
    <cellStyle name="20% - Accent4 4 5 2" xfId="3765"/>
    <cellStyle name="20% - Accent4 4 5 2 2" xfId="8171"/>
    <cellStyle name="20% - Accent4 4 5 3" xfId="5961"/>
    <cellStyle name="20% - Accent4 4 6" xfId="2301"/>
    <cellStyle name="20% - Accent4 4 6 2" xfId="6707"/>
    <cellStyle name="20% - Accent4 4 7" xfId="4497"/>
    <cellStyle name="20% - Accent4 5" xfId="102"/>
    <cellStyle name="20% - Accent4 5 2" xfId="220"/>
    <cellStyle name="20% - Accent4 5 2 2" xfId="579"/>
    <cellStyle name="20% - Accent4 5 2 2 2" xfId="1312"/>
    <cellStyle name="20% - Accent4 5 2 2 2 2" xfId="3522"/>
    <cellStyle name="20% - Accent4 5 2 2 2 2 2" xfId="7928"/>
    <cellStyle name="20% - Accent4 5 2 2 2 3" xfId="5718"/>
    <cellStyle name="20% - Accent4 5 2 2 3" xfId="2044"/>
    <cellStyle name="20% - Accent4 5 2 2 3 2" xfId="4254"/>
    <cellStyle name="20% - Accent4 5 2 2 3 2 2" xfId="8660"/>
    <cellStyle name="20% - Accent4 5 2 2 3 3" xfId="6450"/>
    <cellStyle name="20% - Accent4 5 2 2 4" xfId="2790"/>
    <cellStyle name="20% - Accent4 5 2 2 4 2" xfId="7196"/>
    <cellStyle name="20% - Accent4 5 2 2 5" xfId="4986"/>
    <cellStyle name="20% - Accent4 5 2 3" xfId="953"/>
    <cellStyle name="20% - Accent4 5 2 3 2" xfId="3163"/>
    <cellStyle name="20% - Accent4 5 2 3 2 2" xfId="7569"/>
    <cellStyle name="20% - Accent4 5 2 3 3" xfId="5359"/>
    <cellStyle name="20% - Accent4 5 2 4" xfId="1685"/>
    <cellStyle name="20% - Accent4 5 2 4 2" xfId="3895"/>
    <cellStyle name="20% - Accent4 5 2 4 2 2" xfId="8301"/>
    <cellStyle name="20% - Accent4 5 2 4 3" xfId="6091"/>
    <cellStyle name="20% - Accent4 5 2 5" xfId="2431"/>
    <cellStyle name="20% - Accent4 5 2 5 2" xfId="6837"/>
    <cellStyle name="20% - Accent4 5 2 6" xfId="4627"/>
    <cellStyle name="20% - Accent4 5 3" xfId="463"/>
    <cellStyle name="20% - Accent4 5 3 2" xfId="1196"/>
    <cellStyle name="20% - Accent4 5 3 2 2" xfId="3406"/>
    <cellStyle name="20% - Accent4 5 3 2 2 2" xfId="7812"/>
    <cellStyle name="20% - Accent4 5 3 2 3" xfId="5602"/>
    <cellStyle name="20% - Accent4 5 3 3" xfId="1928"/>
    <cellStyle name="20% - Accent4 5 3 3 2" xfId="4138"/>
    <cellStyle name="20% - Accent4 5 3 3 2 2" xfId="8544"/>
    <cellStyle name="20% - Accent4 5 3 3 3" xfId="6334"/>
    <cellStyle name="20% - Accent4 5 3 4" xfId="2674"/>
    <cellStyle name="20% - Accent4 5 3 4 2" xfId="7080"/>
    <cellStyle name="20% - Accent4 5 3 5" xfId="4870"/>
    <cellStyle name="20% - Accent4 5 4" xfId="837"/>
    <cellStyle name="20% - Accent4 5 4 2" xfId="3047"/>
    <cellStyle name="20% - Accent4 5 4 2 2" xfId="7453"/>
    <cellStyle name="20% - Accent4 5 4 3" xfId="5243"/>
    <cellStyle name="20% - Accent4 5 5" xfId="1569"/>
    <cellStyle name="20% - Accent4 5 5 2" xfId="3779"/>
    <cellStyle name="20% - Accent4 5 5 2 2" xfId="8185"/>
    <cellStyle name="20% - Accent4 5 5 3" xfId="5975"/>
    <cellStyle name="20% - Accent4 5 6" xfId="2315"/>
    <cellStyle name="20% - Accent4 5 6 2" xfId="6721"/>
    <cellStyle name="20% - Accent4 5 7" xfId="4511"/>
    <cellStyle name="20% - Accent4 6" xfId="116"/>
    <cellStyle name="20% - Accent4 6 2" xfId="234"/>
    <cellStyle name="20% - Accent4 6 2 2" xfId="593"/>
    <cellStyle name="20% - Accent4 6 2 2 2" xfId="1326"/>
    <cellStyle name="20% - Accent4 6 2 2 2 2" xfId="3536"/>
    <cellStyle name="20% - Accent4 6 2 2 2 2 2" xfId="7942"/>
    <cellStyle name="20% - Accent4 6 2 2 2 3" xfId="5732"/>
    <cellStyle name="20% - Accent4 6 2 2 3" xfId="2058"/>
    <cellStyle name="20% - Accent4 6 2 2 3 2" xfId="4268"/>
    <cellStyle name="20% - Accent4 6 2 2 3 2 2" xfId="8674"/>
    <cellStyle name="20% - Accent4 6 2 2 3 3" xfId="6464"/>
    <cellStyle name="20% - Accent4 6 2 2 4" xfId="2804"/>
    <cellStyle name="20% - Accent4 6 2 2 4 2" xfId="7210"/>
    <cellStyle name="20% - Accent4 6 2 2 5" xfId="5000"/>
    <cellStyle name="20% - Accent4 6 2 3" xfId="967"/>
    <cellStyle name="20% - Accent4 6 2 3 2" xfId="3177"/>
    <cellStyle name="20% - Accent4 6 2 3 2 2" xfId="7583"/>
    <cellStyle name="20% - Accent4 6 2 3 3" xfId="5373"/>
    <cellStyle name="20% - Accent4 6 2 4" xfId="1699"/>
    <cellStyle name="20% - Accent4 6 2 4 2" xfId="3909"/>
    <cellStyle name="20% - Accent4 6 2 4 2 2" xfId="8315"/>
    <cellStyle name="20% - Accent4 6 2 4 3" xfId="6105"/>
    <cellStyle name="20% - Accent4 6 2 5" xfId="2445"/>
    <cellStyle name="20% - Accent4 6 2 5 2" xfId="6851"/>
    <cellStyle name="20% - Accent4 6 2 6" xfId="4641"/>
    <cellStyle name="20% - Accent4 6 3" xfId="477"/>
    <cellStyle name="20% - Accent4 6 3 2" xfId="1210"/>
    <cellStyle name="20% - Accent4 6 3 2 2" xfId="3420"/>
    <cellStyle name="20% - Accent4 6 3 2 2 2" xfId="7826"/>
    <cellStyle name="20% - Accent4 6 3 2 3" xfId="5616"/>
    <cellStyle name="20% - Accent4 6 3 3" xfId="1942"/>
    <cellStyle name="20% - Accent4 6 3 3 2" xfId="4152"/>
    <cellStyle name="20% - Accent4 6 3 3 2 2" xfId="8558"/>
    <cellStyle name="20% - Accent4 6 3 3 3" xfId="6348"/>
    <cellStyle name="20% - Accent4 6 3 4" xfId="2688"/>
    <cellStyle name="20% - Accent4 6 3 4 2" xfId="7094"/>
    <cellStyle name="20% - Accent4 6 3 5" xfId="4884"/>
    <cellStyle name="20% - Accent4 6 4" xfId="851"/>
    <cellStyle name="20% - Accent4 6 4 2" xfId="3061"/>
    <cellStyle name="20% - Accent4 6 4 2 2" xfId="7467"/>
    <cellStyle name="20% - Accent4 6 4 3" xfId="5257"/>
    <cellStyle name="20% - Accent4 6 5" xfId="1583"/>
    <cellStyle name="20% - Accent4 6 5 2" xfId="3793"/>
    <cellStyle name="20% - Accent4 6 5 2 2" xfId="8199"/>
    <cellStyle name="20% - Accent4 6 5 3" xfId="5989"/>
    <cellStyle name="20% - Accent4 6 6" xfId="2329"/>
    <cellStyle name="20% - Accent4 6 6 2" xfId="6735"/>
    <cellStyle name="20% - Accent4 6 7" xfId="4525"/>
    <cellStyle name="20% - Accent4 7" xfId="130"/>
    <cellStyle name="20% - Accent4 7 2" xfId="248"/>
    <cellStyle name="20% - Accent4 7 2 2" xfId="607"/>
    <cellStyle name="20% - Accent4 7 2 2 2" xfId="1340"/>
    <cellStyle name="20% - Accent4 7 2 2 2 2" xfId="3550"/>
    <cellStyle name="20% - Accent4 7 2 2 2 2 2" xfId="7956"/>
    <cellStyle name="20% - Accent4 7 2 2 2 3" xfId="5746"/>
    <cellStyle name="20% - Accent4 7 2 2 3" xfId="2072"/>
    <cellStyle name="20% - Accent4 7 2 2 3 2" xfId="4282"/>
    <cellStyle name="20% - Accent4 7 2 2 3 2 2" xfId="8688"/>
    <cellStyle name="20% - Accent4 7 2 2 3 3" xfId="6478"/>
    <cellStyle name="20% - Accent4 7 2 2 4" xfId="2818"/>
    <cellStyle name="20% - Accent4 7 2 2 4 2" xfId="7224"/>
    <cellStyle name="20% - Accent4 7 2 2 5" xfId="5014"/>
    <cellStyle name="20% - Accent4 7 2 3" xfId="981"/>
    <cellStyle name="20% - Accent4 7 2 3 2" xfId="3191"/>
    <cellStyle name="20% - Accent4 7 2 3 2 2" xfId="7597"/>
    <cellStyle name="20% - Accent4 7 2 3 3" xfId="5387"/>
    <cellStyle name="20% - Accent4 7 2 4" xfId="1713"/>
    <cellStyle name="20% - Accent4 7 2 4 2" xfId="3923"/>
    <cellStyle name="20% - Accent4 7 2 4 2 2" xfId="8329"/>
    <cellStyle name="20% - Accent4 7 2 4 3" xfId="6119"/>
    <cellStyle name="20% - Accent4 7 2 5" xfId="2459"/>
    <cellStyle name="20% - Accent4 7 2 5 2" xfId="6865"/>
    <cellStyle name="20% - Accent4 7 2 6" xfId="4655"/>
    <cellStyle name="20% - Accent4 7 3" xfId="491"/>
    <cellStyle name="20% - Accent4 7 3 2" xfId="1224"/>
    <cellStyle name="20% - Accent4 7 3 2 2" xfId="3434"/>
    <cellStyle name="20% - Accent4 7 3 2 2 2" xfId="7840"/>
    <cellStyle name="20% - Accent4 7 3 2 3" xfId="5630"/>
    <cellStyle name="20% - Accent4 7 3 3" xfId="1956"/>
    <cellStyle name="20% - Accent4 7 3 3 2" xfId="4166"/>
    <cellStyle name="20% - Accent4 7 3 3 2 2" xfId="8572"/>
    <cellStyle name="20% - Accent4 7 3 3 3" xfId="6362"/>
    <cellStyle name="20% - Accent4 7 3 4" xfId="2702"/>
    <cellStyle name="20% - Accent4 7 3 4 2" xfId="7108"/>
    <cellStyle name="20% - Accent4 7 3 5" xfId="4898"/>
    <cellStyle name="20% - Accent4 7 4" xfId="865"/>
    <cellStyle name="20% - Accent4 7 4 2" xfId="3075"/>
    <cellStyle name="20% - Accent4 7 4 2 2" xfId="7481"/>
    <cellStyle name="20% - Accent4 7 4 3" xfId="5271"/>
    <cellStyle name="20% - Accent4 7 5" xfId="1597"/>
    <cellStyle name="20% - Accent4 7 5 2" xfId="3807"/>
    <cellStyle name="20% - Accent4 7 5 2 2" xfId="8213"/>
    <cellStyle name="20% - Accent4 7 5 3" xfId="6003"/>
    <cellStyle name="20% - Accent4 7 6" xfId="2343"/>
    <cellStyle name="20% - Accent4 7 6 2" xfId="6749"/>
    <cellStyle name="20% - Accent4 7 7" xfId="4539"/>
    <cellStyle name="20% - Accent4 8" xfId="144"/>
    <cellStyle name="20% - Accent4 8 2" xfId="262"/>
    <cellStyle name="20% - Accent4 8 2 2" xfId="621"/>
    <cellStyle name="20% - Accent4 8 2 2 2" xfId="1354"/>
    <cellStyle name="20% - Accent4 8 2 2 2 2" xfId="3564"/>
    <cellStyle name="20% - Accent4 8 2 2 2 2 2" xfId="7970"/>
    <cellStyle name="20% - Accent4 8 2 2 2 3" xfId="5760"/>
    <cellStyle name="20% - Accent4 8 2 2 3" xfId="2086"/>
    <cellStyle name="20% - Accent4 8 2 2 3 2" xfId="4296"/>
    <cellStyle name="20% - Accent4 8 2 2 3 2 2" xfId="8702"/>
    <cellStyle name="20% - Accent4 8 2 2 3 3" xfId="6492"/>
    <cellStyle name="20% - Accent4 8 2 2 4" xfId="2832"/>
    <cellStyle name="20% - Accent4 8 2 2 4 2" xfId="7238"/>
    <cellStyle name="20% - Accent4 8 2 2 5" xfId="5028"/>
    <cellStyle name="20% - Accent4 8 2 3" xfId="995"/>
    <cellStyle name="20% - Accent4 8 2 3 2" xfId="3205"/>
    <cellStyle name="20% - Accent4 8 2 3 2 2" xfId="7611"/>
    <cellStyle name="20% - Accent4 8 2 3 3" xfId="5401"/>
    <cellStyle name="20% - Accent4 8 2 4" xfId="1727"/>
    <cellStyle name="20% - Accent4 8 2 4 2" xfId="3937"/>
    <cellStyle name="20% - Accent4 8 2 4 2 2" xfId="8343"/>
    <cellStyle name="20% - Accent4 8 2 4 3" xfId="6133"/>
    <cellStyle name="20% - Accent4 8 2 5" xfId="2473"/>
    <cellStyle name="20% - Accent4 8 2 5 2" xfId="6879"/>
    <cellStyle name="20% - Accent4 8 2 6" xfId="4669"/>
    <cellStyle name="20% - Accent4 8 3" xfId="505"/>
    <cellStyle name="20% - Accent4 8 3 2" xfId="1238"/>
    <cellStyle name="20% - Accent4 8 3 2 2" xfId="3448"/>
    <cellStyle name="20% - Accent4 8 3 2 2 2" xfId="7854"/>
    <cellStyle name="20% - Accent4 8 3 2 3" xfId="5644"/>
    <cellStyle name="20% - Accent4 8 3 3" xfId="1970"/>
    <cellStyle name="20% - Accent4 8 3 3 2" xfId="4180"/>
    <cellStyle name="20% - Accent4 8 3 3 2 2" xfId="8586"/>
    <cellStyle name="20% - Accent4 8 3 3 3" xfId="6376"/>
    <cellStyle name="20% - Accent4 8 3 4" xfId="2716"/>
    <cellStyle name="20% - Accent4 8 3 4 2" xfId="7122"/>
    <cellStyle name="20% - Accent4 8 3 5" xfId="4912"/>
    <cellStyle name="20% - Accent4 8 4" xfId="879"/>
    <cellStyle name="20% - Accent4 8 4 2" xfId="3089"/>
    <cellStyle name="20% - Accent4 8 4 2 2" xfId="7495"/>
    <cellStyle name="20% - Accent4 8 4 3" xfId="5285"/>
    <cellStyle name="20% - Accent4 8 5" xfId="1611"/>
    <cellStyle name="20% - Accent4 8 5 2" xfId="3821"/>
    <cellStyle name="20% - Accent4 8 5 2 2" xfId="8227"/>
    <cellStyle name="20% - Accent4 8 5 3" xfId="6017"/>
    <cellStyle name="20% - Accent4 8 6" xfId="2357"/>
    <cellStyle name="20% - Accent4 8 6 2" xfId="6763"/>
    <cellStyle name="20% - Accent4 8 7" xfId="4553"/>
    <cellStyle name="20% - Accent4 9" xfId="162"/>
    <cellStyle name="20% - Accent4 9 2" xfId="521"/>
    <cellStyle name="20% - Accent4 9 2 2" xfId="1254"/>
    <cellStyle name="20% - Accent4 9 2 2 2" xfId="3464"/>
    <cellStyle name="20% - Accent4 9 2 2 2 2" xfId="7870"/>
    <cellStyle name="20% - Accent4 9 2 2 3" xfId="5660"/>
    <cellStyle name="20% - Accent4 9 2 3" xfId="1986"/>
    <cellStyle name="20% - Accent4 9 2 3 2" xfId="4196"/>
    <cellStyle name="20% - Accent4 9 2 3 2 2" xfId="8602"/>
    <cellStyle name="20% - Accent4 9 2 3 3" xfId="6392"/>
    <cellStyle name="20% - Accent4 9 2 4" xfId="2732"/>
    <cellStyle name="20% - Accent4 9 2 4 2" xfId="7138"/>
    <cellStyle name="20% - Accent4 9 2 5" xfId="4928"/>
    <cellStyle name="20% - Accent4 9 3" xfId="895"/>
    <cellStyle name="20% - Accent4 9 3 2" xfId="3105"/>
    <cellStyle name="20% - Accent4 9 3 2 2" xfId="7511"/>
    <cellStyle name="20% - Accent4 9 3 3" xfId="5301"/>
    <cellStyle name="20% - Accent4 9 4" xfId="1627"/>
    <cellStyle name="20% - Accent4 9 4 2" xfId="3837"/>
    <cellStyle name="20% - Accent4 9 4 2 2" xfId="8243"/>
    <cellStyle name="20% - Accent4 9 4 3" xfId="6033"/>
    <cellStyle name="20% - Accent4 9 5" xfId="2373"/>
    <cellStyle name="20% - Accent4 9 5 2" xfId="6779"/>
    <cellStyle name="20% - Accent4 9 6" xfId="4569"/>
    <cellStyle name="20% - Accent5" xfId="36" builtinId="46" customBuiltin="1"/>
    <cellStyle name="20% - Accent5 10" xfId="278"/>
    <cellStyle name="20% - Accent5 10 2" xfId="637"/>
    <cellStyle name="20% - Accent5 10 2 2" xfId="1370"/>
    <cellStyle name="20% - Accent5 10 2 2 2" xfId="3580"/>
    <cellStyle name="20% - Accent5 10 2 2 2 2" xfId="7986"/>
    <cellStyle name="20% - Accent5 10 2 2 3" xfId="5776"/>
    <cellStyle name="20% - Accent5 10 2 3" xfId="2102"/>
    <cellStyle name="20% - Accent5 10 2 3 2" xfId="4312"/>
    <cellStyle name="20% - Accent5 10 2 3 2 2" xfId="8718"/>
    <cellStyle name="20% - Accent5 10 2 3 3" xfId="6508"/>
    <cellStyle name="20% - Accent5 10 2 4" xfId="2848"/>
    <cellStyle name="20% - Accent5 10 2 4 2" xfId="7254"/>
    <cellStyle name="20% - Accent5 10 2 5" xfId="5044"/>
    <cellStyle name="20% - Accent5 10 3" xfId="1011"/>
    <cellStyle name="20% - Accent5 10 3 2" xfId="3221"/>
    <cellStyle name="20% - Accent5 10 3 2 2" xfId="7627"/>
    <cellStyle name="20% - Accent5 10 3 3" xfId="5417"/>
    <cellStyle name="20% - Accent5 10 4" xfId="1743"/>
    <cellStyle name="20% - Accent5 10 4 2" xfId="3953"/>
    <cellStyle name="20% - Accent5 10 4 2 2" xfId="8359"/>
    <cellStyle name="20% - Accent5 10 4 3" xfId="6149"/>
    <cellStyle name="20% - Accent5 10 5" xfId="2489"/>
    <cellStyle name="20% - Accent5 10 5 2" xfId="6895"/>
    <cellStyle name="20% - Accent5 10 6" xfId="4685"/>
    <cellStyle name="20% - Accent5 11" xfId="292"/>
    <cellStyle name="20% - Accent5 11 2" xfId="651"/>
    <cellStyle name="20% - Accent5 11 2 2" xfId="1384"/>
    <cellStyle name="20% - Accent5 11 2 2 2" xfId="3594"/>
    <cellStyle name="20% - Accent5 11 2 2 2 2" xfId="8000"/>
    <cellStyle name="20% - Accent5 11 2 2 3" xfId="5790"/>
    <cellStyle name="20% - Accent5 11 2 3" xfId="2116"/>
    <cellStyle name="20% - Accent5 11 2 3 2" xfId="4326"/>
    <cellStyle name="20% - Accent5 11 2 3 2 2" xfId="8732"/>
    <cellStyle name="20% - Accent5 11 2 3 3" xfId="6522"/>
    <cellStyle name="20% - Accent5 11 2 4" xfId="2862"/>
    <cellStyle name="20% - Accent5 11 2 4 2" xfId="7268"/>
    <cellStyle name="20% - Accent5 11 2 5" xfId="5058"/>
    <cellStyle name="20% - Accent5 11 3" xfId="1025"/>
    <cellStyle name="20% - Accent5 11 3 2" xfId="3235"/>
    <cellStyle name="20% - Accent5 11 3 2 2" xfId="7641"/>
    <cellStyle name="20% - Accent5 11 3 3" xfId="5431"/>
    <cellStyle name="20% - Accent5 11 4" xfId="1757"/>
    <cellStyle name="20% - Accent5 11 4 2" xfId="3967"/>
    <cellStyle name="20% - Accent5 11 4 2 2" xfId="8373"/>
    <cellStyle name="20% - Accent5 11 4 3" xfId="6163"/>
    <cellStyle name="20% - Accent5 11 5" xfId="2503"/>
    <cellStyle name="20% - Accent5 11 5 2" xfId="6909"/>
    <cellStyle name="20% - Accent5 11 6" xfId="4699"/>
    <cellStyle name="20% - Accent5 12" xfId="306"/>
    <cellStyle name="20% - Accent5 12 2" xfId="665"/>
    <cellStyle name="20% - Accent5 12 2 2" xfId="1398"/>
    <cellStyle name="20% - Accent5 12 2 2 2" xfId="3608"/>
    <cellStyle name="20% - Accent5 12 2 2 2 2" xfId="8014"/>
    <cellStyle name="20% - Accent5 12 2 2 3" xfId="5804"/>
    <cellStyle name="20% - Accent5 12 2 3" xfId="2130"/>
    <cellStyle name="20% - Accent5 12 2 3 2" xfId="4340"/>
    <cellStyle name="20% - Accent5 12 2 3 2 2" xfId="8746"/>
    <cellStyle name="20% - Accent5 12 2 3 3" xfId="6536"/>
    <cellStyle name="20% - Accent5 12 2 4" xfId="2876"/>
    <cellStyle name="20% - Accent5 12 2 4 2" xfId="7282"/>
    <cellStyle name="20% - Accent5 12 2 5" xfId="5072"/>
    <cellStyle name="20% - Accent5 12 3" xfId="1039"/>
    <cellStyle name="20% - Accent5 12 3 2" xfId="3249"/>
    <cellStyle name="20% - Accent5 12 3 2 2" xfId="7655"/>
    <cellStyle name="20% - Accent5 12 3 3" xfId="5445"/>
    <cellStyle name="20% - Accent5 12 4" xfId="1771"/>
    <cellStyle name="20% - Accent5 12 4 2" xfId="3981"/>
    <cellStyle name="20% - Accent5 12 4 2 2" xfId="8387"/>
    <cellStyle name="20% - Accent5 12 4 3" xfId="6177"/>
    <cellStyle name="20% - Accent5 12 5" xfId="2517"/>
    <cellStyle name="20% - Accent5 12 5 2" xfId="6923"/>
    <cellStyle name="20% - Accent5 12 6" xfId="4713"/>
    <cellStyle name="20% - Accent5 13" xfId="320"/>
    <cellStyle name="20% - Accent5 13 2" xfId="679"/>
    <cellStyle name="20% - Accent5 13 2 2" xfId="1412"/>
    <cellStyle name="20% - Accent5 13 2 2 2" xfId="3622"/>
    <cellStyle name="20% - Accent5 13 2 2 2 2" xfId="8028"/>
    <cellStyle name="20% - Accent5 13 2 2 3" xfId="5818"/>
    <cellStyle name="20% - Accent5 13 2 3" xfId="2144"/>
    <cellStyle name="20% - Accent5 13 2 3 2" xfId="4354"/>
    <cellStyle name="20% - Accent5 13 2 3 2 2" xfId="8760"/>
    <cellStyle name="20% - Accent5 13 2 3 3" xfId="6550"/>
    <cellStyle name="20% - Accent5 13 2 4" xfId="2890"/>
    <cellStyle name="20% - Accent5 13 2 4 2" xfId="7296"/>
    <cellStyle name="20% - Accent5 13 2 5" xfId="5086"/>
    <cellStyle name="20% - Accent5 13 3" xfId="1053"/>
    <cellStyle name="20% - Accent5 13 3 2" xfId="3263"/>
    <cellStyle name="20% - Accent5 13 3 2 2" xfId="7669"/>
    <cellStyle name="20% - Accent5 13 3 3" xfId="5459"/>
    <cellStyle name="20% - Accent5 13 4" xfId="1785"/>
    <cellStyle name="20% - Accent5 13 4 2" xfId="3995"/>
    <cellStyle name="20% - Accent5 13 4 2 2" xfId="8401"/>
    <cellStyle name="20% - Accent5 13 4 3" xfId="6191"/>
    <cellStyle name="20% - Accent5 13 5" xfId="2531"/>
    <cellStyle name="20% - Accent5 13 5 2" xfId="6937"/>
    <cellStyle name="20% - Accent5 13 6" xfId="4727"/>
    <cellStyle name="20% - Accent5 14" xfId="334"/>
    <cellStyle name="20% - Accent5 14 2" xfId="693"/>
    <cellStyle name="20% - Accent5 14 2 2" xfId="1426"/>
    <cellStyle name="20% - Accent5 14 2 2 2" xfId="3636"/>
    <cellStyle name="20% - Accent5 14 2 2 2 2" xfId="8042"/>
    <cellStyle name="20% - Accent5 14 2 2 3" xfId="5832"/>
    <cellStyle name="20% - Accent5 14 2 3" xfId="2158"/>
    <cellStyle name="20% - Accent5 14 2 3 2" xfId="4368"/>
    <cellStyle name="20% - Accent5 14 2 3 2 2" xfId="8774"/>
    <cellStyle name="20% - Accent5 14 2 3 3" xfId="6564"/>
    <cellStyle name="20% - Accent5 14 2 4" xfId="2904"/>
    <cellStyle name="20% - Accent5 14 2 4 2" xfId="7310"/>
    <cellStyle name="20% - Accent5 14 2 5" xfId="5100"/>
    <cellStyle name="20% - Accent5 14 3" xfId="1067"/>
    <cellStyle name="20% - Accent5 14 3 2" xfId="3277"/>
    <cellStyle name="20% - Accent5 14 3 2 2" xfId="7683"/>
    <cellStyle name="20% - Accent5 14 3 3" xfId="5473"/>
    <cellStyle name="20% - Accent5 14 4" xfId="1799"/>
    <cellStyle name="20% - Accent5 14 4 2" xfId="4009"/>
    <cellStyle name="20% - Accent5 14 4 2 2" xfId="8415"/>
    <cellStyle name="20% - Accent5 14 4 3" xfId="6205"/>
    <cellStyle name="20% - Accent5 14 5" xfId="2545"/>
    <cellStyle name="20% - Accent5 14 5 2" xfId="6951"/>
    <cellStyle name="20% - Accent5 14 6" xfId="4741"/>
    <cellStyle name="20% - Accent5 15" xfId="348"/>
    <cellStyle name="20% - Accent5 15 2" xfId="707"/>
    <cellStyle name="20% - Accent5 15 2 2" xfId="1440"/>
    <cellStyle name="20% - Accent5 15 2 2 2" xfId="3650"/>
    <cellStyle name="20% - Accent5 15 2 2 2 2" xfId="8056"/>
    <cellStyle name="20% - Accent5 15 2 2 3" xfId="5846"/>
    <cellStyle name="20% - Accent5 15 2 3" xfId="2172"/>
    <cellStyle name="20% - Accent5 15 2 3 2" xfId="4382"/>
    <cellStyle name="20% - Accent5 15 2 3 2 2" xfId="8788"/>
    <cellStyle name="20% - Accent5 15 2 3 3" xfId="6578"/>
    <cellStyle name="20% - Accent5 15 2 4" xfId="2918"/>
    <cellStyle name="20% - Accent5 15 2 4 2" xfId="7324"/>
    <cellStyle name="20% - Accent5 15 2 5" xfId="5114"/>
    <cellStyle name="20% - Accent5 15 3" xfId="1081"/>
    <cellStyle name="20% - Accent5 15 3 2" xfId="3291"/>
    <cellStyle name="20% - Accent5 15 3 2 2" xfId="7697"/>
    <cellStyle name="20% - Accent5 15 3 3" xfId="5487"/>
    <cellStyle name="20% - Accent5 15 4" xfId="1813"/>
    <cellStyle name="20% - Accent5 15 4 2" xfId="4023"/>
    <cellStyle name="20% - Accent5 15 4 2 2" xfId="8429"/>
    <cellStyle name="20% - Accent5 15 4 3" xfId="6219"/>
    <cellStyle name="20% - Accent5 15 5" xfId="2559"/>
    <cellStyle name="20% - Accent5 15 5 2" xfId="6965"/>
    <cellStyle name="20% - Accent5 15 6" xfId="4755"/>
    <cellStyle name="20% - Accent5 16" xfId="362"/>
    <cellStyle name="20% - Accent5 16 2" xfId="721"/>
    <cellStyle name="20% - Accent5 16 2 2" xfId="1454"/>
    <cellStyle name="20% - Accent5 16 2 2 2" xfId="3664"/>
    <cellStyle name="20% - Accent5 16 2 2 2 2" xfId="8070"/>
    <cellStyle name="20% - Accent5 16 2 2 3" xfId="5860"/>
    <cellStyle name="20% - Accent5 16 2 3" xfId="2186"/>
    <cellStyle name="20% - Accent5 16 2 3 2" xfId="4396"/>
    <cellStyle name="20% - Accent5 16 2 3 2 2" xfId="8802"/>
    <cellStyle name="20% - Accent5 16 2 3 3" xfId="6592"/>
    <cellStyle name="20% - Accent5 16 2 4" xfId="2932"/>
    <cellStyle name="20% - Accent5 16 2 4 2" xfId="7338"/>
    <cellStyle name="20% - Accent5 16 2 5" xfId="5128"/>
    <cellStyle name="20% - Accent5 16 3" xfId="1095"/>
    <cellStyle name="20% - Accent5 16 3 2" xfId="3305"/>
    <cellStyle name="20% - Accent5 16 3 2 2" xfId="7711"/>
    <cellStyle name="20% - Accent5 16 3 3" xfId="5501"/>
    <cellStyle name="20% - Accent5 16 4" xfId="1827"/>
    <cellStyle name="20% - Accent5 16 4 2" xfId="4037"/>
    <cellStyle name="20% - Accent5 16 4 2 2" xfId="8443"/>
    <cellStyle name="20% - Accent5 16 4 3" xfId="6233"/>
    <cellStyle name="20% - Accent5 16 5" xfId="2573"/>
    <cellStyle name="20% - Accent5 16 5 2" xfId="6979"/>
    <cellStyle name="20% - Accent5 16 6" xfId="4769"/>
    <cellStyle name="20% - Accent5 17" xfId="376"/>
    <cellStyle name="20% - Accent5 17 2" xfId="735"/>
    <cellStyle name="20% - Accent5 17 2 2" xfId="1468"/>
    <cellStyle name="20% - Accent5 17 2 2 2" xfId="3678"/>
    <cellStyle name="20% - Accent5 17 2 2 2 2" xfId="8084"/>
    <cellStyle name="20% - Accent5 17 2 2 3" xfId="5874"/>
    <cellStyle name="20% - Accent5 17 2 3" xfId="2200"/>
    <cellStyle name="20% - Accent5 17 2 3 2" xfId="4410"/>
    <cellStyle name="20% - Accent5 17 2 3 2 2" xfId="8816"/>
    <cellStyle name="20% - Accent5 17 2 3 3" xfId="6606"/>
    <cellStyle name="20% - Accent5 17 2 4" xfId="2946"/>
    <cellStyle name="20% - Accent5 17 2 4 2" xfId="7352"/>
    <cellStyle name="20% - Accent5 17 2 5" xfId="5142"/>
    <cellStyle name="20% - Accent5 17 3" xfId="1109"/>
    <cellStyle name="20% - Accent5 17 3 2" xfId="3319"/>
    <cellStyle name="20% - Accent5 17 3 2 2" xfId="7725"/>
    <cellStyle name="20% - Accent5 17 3 3" xfId="5515"/>
    <cellStyle name="20% - Accent5 17 4" xfId="1841"/>
    <cellStyle name="20% - Accent5 17 4 2" xfId="4051"/>
    <cellStyle name="20% - Accent5 17 4 2 2" xfId="8457"/>
    <cellStyle name="20% - Accent5 17 4 3" xfId="6247"/>
    <cellStyle name="20% - Accent5 17 5" xfId="2587"/>
    <cellStyle name="20% - Accent5 17 5 2" xfId="6993"/>
    <cellStyle name="20% - Accent5 17 6" xfId="4783"/>
    <cellStyle name="20% - Accent5 18" xfId="390"/>
    <cellStyle name="20% - Accent5 18 2" xfId="749"/>
    <cellStyle name="20% - Accent5 18 2 2" xfId="1482"/>
    <cellStyle name="20% - Accent5 18 2 2 2" xfId="3692"/>
    <cellStyle name="20% - Accent5 18 2 2 2 2" xfId="8098"/>
    <cellStyle name="20% - Accent5 18 2 2 3" xfId="5888"/>
    <cellStyle name="20% - Accent5 18 2 3" xfId="2214"/>
    <cellStyle name="20% - Accent5 18 2 3 2" xfId="4424"/>
    <cellStyle name="20% - Accent5 18 2 3 2 2" xfId="8830"/>
    <cellStyle name="20% - Accent5 18 2 3 3" xfId="6620"/>
    <cellStyle name="20% - Accent5 18 2 4" xfId="2960"/>
    <cellStyle name="20% - Accent5 18 2 4 2" xfId="7366"/>
    <cellStyle name="20% - Accent5 18 2 5" xfId="5156"/>
    <cellStyle name="20% - Accent5 18 3" xfId="1123"/>
    <cellStyle name="20% - Accent5 18 3 2" xfId="3333"/>
    <cellStyle name="20% - Accent5 18 3 2 2" xfId="7739"/>
    <cellStyle name="20% - Accent5 18 3 3" xfId="5529"/>
    <cellStyle name="20% - Accent5 18 4" xfId="1855"/>
    <cellStyle name="20% - Accent5 18 4 2" xfId="4065"/>
    <cellStyle name="20% - Accent5 18 4 2 2" xfId="8471"/>
    <cellStyle name="20% - Accent5 18 4 3" xfId="6261"/>
    <cellStyle name="20% - Accent5 18 5" xfId="2601"/>
    <cellStyle name="20% - Accent5 18 5 2" xfId="7007"/>
    <cellStyle name="20% - Accent5 18 6" xfId="4797"/>
    <cellStyle name="20% - Accent5 19" xfId="407"/>
    <cellStyle name="20% - Accent5 19 2" xfId="1140"/>
    <cellStyle name="20% - Accent5 19 2 2" xfId="3350"/>
    <cellStyle name="20% - Accent5 19 2 2 2" xfId="7756"/>
    <cellStyle name="20% - Accent5 19 2 3" xfId="5546"/>
    <cellStyle name="20% - Accent5 19 3" xfId="1872"/>
    <cellStyle name="20% - Accent5 19 3 2" xfId="4082"/>
    <cellStyle name="20% - Accent5 19 3 2 2" xfId="8488"/>
    <cellStyle name="20% - Accent5 19 3 3" xfId="6278"/>
    <cellStyle name="20% - Accent5 19 4" xfId="2618"/>
    <cellStyle name="20% - Accent5 19 4 2" xfId="7024"/>
    <cellStyle name="20% - Accent5 19 5" xfId="4814"/>
    <cellStyle name="20% - Accent5 2" xfId="62"/>
    <cellStyle name="20% - Accent5 2 2" xfId="180"/>
    <cellStyle name="20% - Accent5 2 2 2" xfId="539"/>
    <cellStyle name="20% - Accent5 2 2 2 2" xfId="1272"/>
    <cellStyle name="20% - Accent5 2 2 2 2 2" xfId="3482"/>
    <cellStyle name="20% - Accent5 2 2 2 2 2 2" xfId="7888"/>
    <cellStyle name="20% - Accent5 2 2 2 2 3" xfId="5678"/>
    <cellStyle name="20% - Accent5 2 2 2 3" xfId="2004"/>
    <cellStyle name="20% - Accent5 2 2 2 3 2" xfId="4214"/>
    <cellStyle name="20% - Accent5 2 2 2 3 2 2" xfId="8620"/>
    <cellStyle name="20% - Accent5 2 2 2 3 3" xfId="6410"/>
    <cellStyle name="20% - Accent5 2 2 2 4" xfId="2750"/>
    <cellStyle name="20% - Accent5 2 2 2 4 2" xfId="7156"/>
    <cellStyle name="20% - Accent5 2 2 2 5" xfId="4946"/>
    <cellStyle name="20% - Accent5 2 2 3" xfId="913"/>
    <cellStyle name="20% - Accent5 2 2 3 2" xfId="3123"/>
    <cellStyle name="20% - Accent5 2 2 3 2 2" xfId="7529"/>
    <cellStyle name="20% - Accent5 2 2 3 3" xfId="5319"/>
    <cellStyle name="20% - Accent5 2 2 4" xfId="1645"/>
    <cellStyle name="20% - Accent5 2 2 4 2" xfId="3855"/>
    <cellStyle name="20% - Accent5 2 2 4 2 2" xfId="8261"/>
    <cellStyle name="20% - Accent5 2 2 4 3" xfId="6051"/>
    <cellStyle name="20% - Accent5 2 2 5" xfId="2391"/>
    <cellStyle name="20% - Accent5 2 2 5 2" xfId="6797"/>
    <cellStyle name="20% - Accent5 2 2 6" xfId="4587"/>
    <cellStyle name="20% - Accent5 2 3" xfId="423"/>
    <cellStyle name="20% - Accent5 2 3 2" xfId="1156"/>
    <cellStyle name="20% - Accent5 2 3 2 2" xfId="3366"/>
    <cellStyle name="20% - Accent5 2 3 2 2 2" xfId="7772"/>
    <cellStyle name="20% - Accent5 2 3 2 3" xfId="5562"/>
    <cellStyle name="20% - Accent5 2 3 3" xfId="1888"/>
    <cellStyle name="20% - Accent5 2 3 3 2" xfId="4098"/>
    <cellStyle name="20% - Accent5 2 3 3 2 2" xfId="8504"/>
    <cellStyle name="20% - Accent5 2 3 3 3" xfId="6294"/>
    <cellStyle name="20% - Accent5 2 3 4" xfId="2634"/>
    <cellStyle name="20% - Accent5 2 3 4 2" xfId="7040"/>
    <cellStyle name="20% - Accent5 2 3 5" xfId="4830"/>
    <cellStyle name="20% - Accent5 2 4" xfId="797"/>
    <cellStyle name="20% - Accent5 2 4 2" xfId="3007"/>
    <cellStyle name="20% - Accent5 2 4 2 2" xfId="7413"/>
    <cellStyle name="20% - Accent5 2 4 3" xfId="5203"/>
    <cellStyle name="20% - Accent5 2 5" xfId="1529"/>
    <cellStyle name="20% - Accent5 2 5 2" xfId="3739"/>
    <cellStyle name="20% - Accent5 2 5 2 2" xfId="8145"/>
    <cellStyle name="20% - Accent5 2 5 3" xfId="5935"/>
    <cellStyle name="20% - Accent5 2 6" xfId="2275"/>
    <cellStyle name="20% - Accent5 2 6 2" xfId="6681"/>
    <cellStyle name="20% - Accent5 2 7" xfId="4471"/>
    <cellStyle name="20% - Accent5 20" xfId="764"/>
    <cellStyle name="20% - Accent5 20 2" xfId="1497"/>
    <cellStyle name="20% - Accent5 20 2 2" xfId="3707"/>
    <cellStyle name="20% - Accent5 20 2 2 2" xfId="8113"/>
    <cellStyle name="20% - Accent5 20 2 3" xfId="5903"/>
    <cellStyle name="20% - Accent5 20 3" xfId="2229"/>
    <cellStyle name="20% - Accent5 20 3 2" xfId="4439"/>
    <cellStyle name="20% - Accent5 20 3 2 2" xfId="8845"/>
    <cellStyle name="20% - Accent5 20 3 3" xfId="6635"/>
    <cellStyle name="20% - Accent5 20 4" xfId="2975"/>
    <cellStyle name="20% - Accent5 20 4 2" xfId="7381"/>
    <cellStyle name="20% - Accent5 20 5" xfId="5171"/>
    <cellStyle name="20% - Accent5 21" xfId="781"/>
    <cellStyle name="20% - Accent5 21 2" xfId="2991"/>
    <cellStyle name="20% - Accent5 21 2 2" xfId="7397"/>
    <cellStyle name="20% - Accent5 21 3" xfId="5187"/>
    <cellStyle name="20% - Accent5 22" xfId="1513"/>
    <cellStyle name="20% - Accent5 22 2" xfId="3723"/>
    <cellStyle name="20% - Accent5 22 2 2" xfId="8129"/>
    <cellStyle name="20% - Accent5 22 3" xfId="5919"/>
    <cellStyle name="20% - Accent5 23" xfId="2243"/>
    <cellStyle name="20% - Accent5 23 2" xfId="6649"/>
    <cellStyle name="20% - Accent5 24" xfId="2259"/>
    <cellStyle name="20% - Accent5 24 2" xfId="6665"/>
    <cellStyle name="20% - Accent5 25" xfId="4455"/>
    <cellStyle name="20% - Accent5 3" xfId="76"/>
    <cellStyle name="20% - Accent5 3 2" xfId="194"/>
    <cellStyle name="20% - Accent5 3 2 2" xfId="553"/>
    <cellStyle name="20% - Accent5 3 2 2 2" xfId="1286"/>
    <cellStyle name="20% - Accent5 3 2 2 2 2" xfId="3496"/>
    <cellStyle name="20% - Accent5 3 2 2 2 2 2" xfId="7902"/>
    <cellStyle name="20% - Accent5 3 2 2 2 3" xfId="5692"/>
    <cellStyle name="20% - Accent5 3 2 2 3" xfId="2018"/>
    <cellStyle name="20% - Accent5 3 2 2 3 2" xfId="4228"/>
    <cellStyle name="20% - Accent5 3 2 2 3 2 2" xfId="8634"/>
    <cellStyle name="20% - Accent5 3 2 2 3 3" xfId="6424"/>
    <cellStyle name="20% - Accent5 3 2 2 4" xfId="2764"/>
    <cellStyle name="20% - Accent5 3 2 2 4 2" xfId="7170"/>
    <cellStyle name="20% - Accent5 3 2 2 5" xfId="4960"/>
    <cellStyle name="20% - Accent5 3 2 3" xfId="927"/>
    <cellStyle name="20% - Accent5 3 2 3 2" xfId="3137"/>
    <cellStyle name="20% - Accent5 3 2 3 2 2" xfId="7543"/>
    <cellStyle name="20% - Accent5 3 2 3 3" xfId="5333"/>
    <cellStyle name="20% - Accent5 3 2 4" xfId="1659"/>
    <cellStyle name="20% - Accent5 3 2 4 2" xfId="3869"/>
    <cellStyle name="20% - Accent5 3 2 4 2 2" xfId="8275"/>
    <cellStyle name="20% - Accent5 3 2 4 3" xfId="6065"/>
    <cellStyle name="20% - Accent5 3 2 5" xfId="2405"/>
    <cellStyle name="20% - Accent5 3 2 5 2" xfId="6811"/>
    <cellStyle name="20% - Accent5 3 2 6" xfId="4601"/>
    <cellStyle name="20% - Accent5 3 3" xfId="437"/>
    <cellStyle name="20% - Accent5 3 3 2" xfId="1170"/>
    <cellStyle name="20% - Accent5 3 3 2 2" xfId="3380"/>
    <cellStyle name="20% - Accent5 3 3 2 2 2" xfId="7786"/>
    <cellStyle name="20% - Accent5 3 3 2 3" xfId="5576"/>
    <cellStyle name="20% - Accent5 3 3 3" xfId="1902"/>
    <cellStyle name="20% - Accent5 3 3 3 2" xfId="4112"/>
    <cellStyle name="20% - Accent5 3 3 3 2 2" xfId="8518"/>
    <cellStyle name="20% - Accent5 3 3 3 3" xfId="6308"/>
    <cellStyle name="20% - Accent5 3 3 4" xfId="2648"/>
    <cellStyle name="20% - Accent5 3 3 4 2" xfId="7054"/>
    <cellStyle name="20% - Accent5 3 3 5" xfId="4844"/>
    <cellStyle name="20% - Accent5 3 4" xfId="811"/>
    <cellStyle name="20% - Accent5 3 4 2" xfId="3021"/>
    <cellStyle name="20% - Accent5 3 4 2 2" xfId="7427"/>
    <cellStyle name="20% - Accent5 3 4 3" xfId="5217"/>
    <cellStyle name="20% - Accent5 3 5" xfId="1543"/>
    <cellStyle name="20% - Accent5 3 5 2" xfId="3753"/>
    <cellStyle name="20% - Accent5 3 5 2 2" xfId="8159"/>
    <cellStyle name="20% - Accent5 3 5 3" xfId="5949"/>
    <cellStyle name="20% - Accent5 3 6" xfId="2289"/>
    <cellStyle name="20% - Accent5 3 6 2" xfId="6695"/>
    <cellStyle name="20% - Accent5 3 7" xfId="4485"/>
    <cellStyle name="20% - Accent5 4" xfId="90"/>
    <cellStyle name="20% - Accent5 4 2" xfId="208"/>
    <cellStyle name="20% - Accent5 4 2 2" xfId="567"/>
    <cellStyle name="20% - Accent5 4 2 2 2" xfId="1300"/>
    <cellStyle name="20% - Accent5 4 2 2 2 2" xfId="3510"/>
    <cellStyle name="20% - Accent5 4 2 2 2 2 2" xfId="7916"/>
    <cellStyle name="20% - Accent5 4 2 2 2 3" xfId="5706"/>
    <cellStyle name="20% - Accent5 4 2 2 3" xfId="2032"/>
    <cellStyle name="20% - Accent5 4 2 2 3 2" xfId="4242"/>
    <cellStyle name="20% - Accent5 4 2 2 3 2 2" xfId="8648"/>
    <cellStyle name="20% - Accent5 4 2 2 3 3" xfId="6438"/>
    <cellStyle name="20% - Accent5 4 2 2 4" xfId="2778"/>
    <cellStyle name="20% - Accent5 4 2 2 4 2" xfId="7184"/>
    <cellStyle name="20% - Accent5 4 2 2 5" xfId="4974"/>
    <cellStyle name="20% - Accent5 4 2 3" xfId="941"/>
    <cellStyle name="20% - Accent5 4 2 3 2" xfId="3151"/>
    <cellStyle name="20% - Accent5 4 2 3 2 2" xfId="7557"/>
    <cellStyle name="20% - Accent5 4 2 3 3" xfId="5347"/>
    <cellStyle name="20% - Accent5 4 2 4" xfId="1673"/>
    <cellStyle name="20% - Accent5 4 2 4 2" xfId="3883"/>
    <cellStyle name="20% - Accent5 4 2 4 2 2" xfId="8289"/>
    <cellStyle name="20% - Accent5 4 2 4 3" xfId="6079"/>
    <cellStyle name="20% - Accent5 4 2 5" xfId="2419"/>
    <cellStyle name="20% - Accent5 4 2 5 2" xfId="6825"/>
    <cellStyle name="20% - Accent5 4 2 6" xfId="4615"/>
    <cellStyle name="20% - Accent5 4 3" xfId="451"/>
    <cellStyle name="20% - Accent5 4 3 2" xfId="1184"/>
    <cellStyle name="20% - Accent5 4 3 2 2" xfId="3394"/>
    <cellStyle name="20% - Accent5 4 3 2 2 2" xfId="7800"/>
    <cellStyle name="20% - Accent5 4 3 2 3" xfId="5590"/>
    <cellStyle name="20% - Accent5 4 3 3" xfId="1916"/>
    <cellStyle name="20% - Accent5 4 3 3 2" xfId="4126"/>
    <cellStyle name="20% - Accent5 4 3 3 2 2" xfId="8532"/>
    <cellStyle name="20% - Accent5 4 3 3 3" xfId="6322"/>
    <cellStyle name="20% - Accent5 4 3 4" xfId="2662"/>
    <cellStyle name="20% - Accent5 4 3 4 2" xfId="7068"/>
    <cellStyle name="20% - Accent5 4 3 5" xfId="4858"/>
    <cellStyle name="20% - Accent5 4 4" xfId="825"/>
    <cellStyle name="20% - Accent5 4 4 2" xfId="3035"/>
    <cellStyle name="20% - Accent5 4 4 2 2" xfId="7441"/>
    <cellStyle name="20% - Accent5 4 4 3" xfId="5231"/>
    <cellStyle name="20% - Accent5 4 5" xfId="1557"/>
    <cellStyle name="20% - Accent5 4 5 2" xfId="3767"/>
    <cellStyle name="20% - Accent5 4 5 2 2" xfId="8173"/>
    <cellStyle name="20% - Accent5 4 5 3" xfId="5963"/>
    <cellStyle name="20% - Accent5 4 6" xfId="2303"/>
    <cellStyle name="20% - Accent5 4 6 2" xfId="6709"/>
    <cellStyle name="20% - Accent5 4 7" xfId="4499"/>
    <cellStyle name="20% - Accent5 5" xfId="104"/>
    <cellStyle name="20% - Accent5 5 2" xfId="222"/>
    <cellStyle name="20% - Accent5 5 2 2" xfId="581"/>
    <cellStyle name="20% - Accent5 5 2 2 2" xfId="1314"/>
    <cellStyle name="20% - Accent5 5 2 2 2 2" xfId="3524"/>
    <cellStyle name="20% - Accent5 5 2 2 2 2 2" xfId="7930"/>
    <cellStyle name="20% - Accent5 5 2 2 2 3" xfId="5720"/>
    <cellStyle name="20% - Accent5 5 2 2 3" xfId="2046"/>
    <cellStyle name="20% - Accent5 5 2 2 3 2" xfId="4256"/>
    <cellStyle name="20% - Accent5 5 2 2 3 2 2" xfId="8662"/>
    <cellStyle name="20% - Accent5 5 2 2 3 3" xfId="6452"/>
    <cellStyle name="20% - Accent5 5 2 2 4" xfId="2792"/>
    <cellStyle name="20% - Accent5 5 2 2 4 2" xfId="7198"/>
    <cellStyle name="20% - Accent5 5 2 2 5" xfId="4988"/>
    <cellStyle name="20% - Accent5 5 2 3" xfId="955"/>
    <cellStyle name="20% - Accent5 5 2 3 2" xfId="3165"/>
    <cellStyle name="20% - Accent5 5 2 3 2 2" xfId="7571"/>
    <cellStyle name="20% - Accent5 5 2 3 3" xfId="5361"/>
    <cellStyle name="20% - Accent5 5 2 4" xfId="1687"/>
    <cellStyle name="20% - Accent5 5 2 4 2" xfId="3897"/>
    <cellStyle name="20% - Accent5 5 2 4 2 2" xfId="8303"/>
    <cellStyle name="20% - Accent5 5 2 4 3" xfId="6093"/>
    <cellStyle name="20% - Accent5 5 2 5" xfId="2433"/>
    <cellStyle name="20% - Accent5 5 2 5 2" xfId="6839"/>
    <cellStyle name="20% - Accent5 5 2 6" xfId="4629"/>
    <cellStyle name="20% - Accent5 5 3" xfId="465"/>
    <cellStyle name="20% - Accent5 5 3 2" xfId="1198"/>
    <cellStyle name="20% - Accent5 5 3 2 2" xfId="3408"/>
    <cellStyle name="20% - Accent5 5 3 2 2 2" xfId="7814"/>
    <cellStyle name="20% - Accent5 5 3 2 3" xfId="5604"/>
    <cellStyle name="20% - Accent5 5 3 3" xfId="1930"/>
    <cellStyle name="20% - Accent5 5 3 3 2" xfId="4140"/>
    <cellStyle name="20% - Accent5 5 3 3 2 2" xfId="8546"/>
    <cellStyle name="20% - Accent5 5 3 3 3" xfId="6336"/>
    <cellStyle name="20% - Accent5 5 3 4" xfId="2676"/>
    <cellStyle name="20% - Accent5 5 3 4 2" xfId="7082"/>
    <cellStyle name="20% - Accent5 5 3 5" xfId="4872"/>
    <cellStyle name="20% - Accent5 5 4" xfId="839"/>
    <cellStyle name="20% - Accent5 5 4 2" xfId="3049"/>
    <cellStyle name="20% - Accent5 5 4 2 2" xfId="7455"/>
    <cellStyle name="20% - Accent5 5 4 3" xfId="5245"/>
    <cellStyle name="20% - Accent5 5 5" xfId="1571"/>
    <cellStyle name="20% - Accent5 5 5 2" xfId="3781"/>
    <cellStyle name="20% - Accent5 5 5 2 2" xfId="8187"/>
    <cellStyle name="20% - Accent5 5 5 3" xfId="5977"/>
    <cellStyle name="20% - Accent5 5 6" xfId="2317"/>
    <cellStyle name="20% - Accent5 5 6 2" xfId="6723"/>
    <cellStyle name="20% - Accent5 5 7" xfId="4513"/>
    <cellStyle name="20% - Accent5 6" xfId="118"/>
    <cellStyle name="20% - Accent5 6 2" xfId="236"/>
    <cellStyle name="20% - Accent5 6 2 2" xfId="595"/>
    <cellStyle name="20% - Accent5 6 2 2 2" xfId="1328"/>
    <cellStyle name="20% - Accent5 6 2 2 2 2" xfId="3538"/>
    <cellStyle name="20% - Accent5 6 2 2 2 2 2" xfId="7944"/>
    <cellStyle name="20% - Accent5 6 2 2 2 3" xfId="5734"/>
    <cellStyle name="20% - Accent5 6 2 2 3" xfId="2060"/>
    <cellStyle name="20% - Accent5 6 2 2 3 2" xfId="4270"/>
    <cellStyle name="20% - Accent5 6 2 2 3 2 2" xfId="8676"/>
    <cellStyle name="20% - Accent5 6 2 2 3 3" xfId="6466"/>
    <cellStyle name="20% - Accent5 6 2 2 4" xfId="2806"/>
    <cellStyle name="20% - Accent5 6 2 2 4 2" xfId="7212"/>
    <cellStyle name="20% - Accent5 6 2 2 5" xfId="5002"/>
    <cellStyle name="20% - Accent5 6 2 3" xfId="969"/>
    <cellStyle name="20% - Accent5 6 2 3 2" xfId="3179"/>
    <cellStyle name="20% - Accent5 6 2 3 2 2" xfId="7585"/>
    <cellStyle name="20% - Accent5 6 2 3 3" xfId="5375"/>
    <cellStyle name="20% - Accent5 6 2 4" xfId="1701"/>
    <cellStyle name="20% - Accent5 6 2 4 2" xfId="3911"/>
    <cellStyle name="20% - Accent5 6 2 4 2 2" xfId="8317"/>
    <cellStyle name="20% - Accent5 6 2 4 3" xfId="6107"/>
    <cellStyle name="20% - Accent5 6 2 5" xfId="2447"/>
    <cellStyle name="20% - Accent5 6 2 5 2" xfId="6853"/>
    <cellStyle name="20% - Accent5 6 2 6" xfId="4643"/>
    <cellStyle name="20% - Accent5 6 3" xfId="479"/>
    <cellStyle name="20% - Accent5 6 3 2" xfId="1212"/>
    <cellStyle name="20% - Accent5 6 3 2 2" xfId="3422"/>
    <cellStyle name="20% - Accent5 6 3 2 2 2" xfId="7828"/>
    <cellStyle name="20% - Accent5 6 3 2 3" xfId="5618"/>
    <cellStyle name="20% - Accent5 6 3 3" xfId="1944"/>
    <cellStyle name="20% - Accent5 6 3 3 2" xfId="4154"/>
    <cellStyle name="20% - Accent5 6 3 3 2 2" xfId="8560"/>
    <cellStyle name="20% - Accent5 6 3 3 3" xfId="6350"/>
    <cellStyle name="20% - Accent5 6 3 4" xfId="2690"/>
    <cellStyle name="20% - Accent5 6 3 4 2" xfId="7096"/>
    <cellStyle name="20% - Accent5 6 3 5" xfId="4886"/>
    <cellStyle name="20% - Accent5 6 4" xfId="853"/>
    <cellStyle name="20% - Accent5 6 4 2" xfId="3063"/>
    <cellStyle name="20% - Accent5 6 4 2 2" xfId="7469"/>
    <cellStyle name="20% - Accent5 6 4 3" xfId="5259"/>
    <cellStyle name="20% - Accent5 6 5" xfId="1585"/>
    <cellStyle name="20% - Accent5 6 5 2" xfId="3795"/>
    <cellStyle name="20% - Accent5 6 5 2 2" xfId="8201"/>
    <cellStyle name="20% - Accent5 6 5 3" xfId="5991"/>
    <cellStyle name="20% - Accent5 6 6" xfId="2331"/>
    <cellStyle name="20% - Accent5 6 6 2" xfId="6737"/>
    <cellStyle name="20% - Accent5 6 7" xfId="4527"/>
    <cellStyle name="20% - Accent5 7" xfId="132"/>
    <cellStyle name="20% - Accent5 7 2" xfId="250"/>
    <cellStyle name="20% - Accent5 7 2 2" xfId="609"/>
    <cellStyle name="20% - Accent5 7 2 2 2" xfId="1342"/>
    <cellStyle name="20% - Accent5 7 2 2 2 2" xfId="3552"/>
    <cellStyle name="20% - Accent5 7 2 2 2 2 2" xfId="7958"/>
    <cellStyle name="20% - Accent5 7 2 2 2 3" xfId="5748"/>
    <cellStyle name="20% - Accent5 7 2 2 3" xfId="2074"/>
    <cellStyle name="20% - Accent5 7 2 2 3 2" xfId="4284"/>
    <cellStyle name="20% - Accent5 7 2 2 3 2 2" xfId="8690"/>
    <cellStyle name="20% - Accent5 7 2 2 3 3" xfId="6480"/>
    <cellStyle name="20% - Accent5 7 2 2 4" xfId="2820"/>
    <cellStyle name="20% - Accent5 7 2 2 4 2" xfId="7226"/>
    <cellStyle name="20% - Accent5 7 2 2 5" xfId="5016"/>
    <cellStyle name="20% - Accent5 7 2 3" xfId="983"/>
    <cellStyle name="20% - Accent5 7 2 3 2" xfId="3193"/>
    <cellStyle name="20% - Accent5 7 2 3 2 2" xfId="7599"/>
    <cellStyle name="20% - Accent5 7 2 3 3" xfId="5389"/>
    <cellStyle name="20% - Accent5 7 2 4" xfId="1715"/>
    <cellStyle name="20% - Accent5 7 2 4 2" xfId="3925"/>
    <cellStyle name="20% - Accent5 7 2 4 2 2" xfId="8331"/>
    <cellStyle name="20% - Accent5 7 2 4 3" xfId="6121"/>
    <cellStyle name="20% - Accent5 7 2 5" xfId="2461"/>
    <cellStyle name="20% - Accent5 7 2 5 2" xfId="6867"/>
    <cellStyle name="20% - Accent5 7 2 6" xfId="4657"/>
    <cellStyle name="20% - Accent5 7 3" xfId="493"/>
    <cellStyle name="20% - Accent5 7 3 2" xfId="1226"/>
    <cellStyle name="20% - Accent5 7 3 2 2" xfId="3436"/>
    <cellStyle name="20% - Accent5 7 3 2 2 2" xfId="7842"/>
    <cellStyle name="20% - Accent5 7 3 2 3" xfId="5632"/>
    <cellStyle name="20% - Accent5 7 3 3" xfId="1958"/>
    <cellStyle name="20% - Accent5 7 3 3 2" xfId="4168"/>
    <cellStyle name="20% - Accent5 7 3 3 2 2" xfId="8574"/>
    <cellStyle name="20% - Accent5 7 3 3 3" xfId="6364"/>
    <cellStyle name="20% - Accent5 7 3 4" xfId="2704"/>
    <cellStyle name="20% - Accent5 7 3 4 2" xfId="7110"/>
    <cellStyle name="20% - Accent5 7 3 5" xfId="4900"/>
    <cellStyle name="20% - Accent5 7 4" xfId="867"/>
    <cellStyle name="20% - Accent5 7 4 2" xfId="3077"/>
    <cellStyle name="20% - Accent5 7 4 2 2" xfId="7483"/>
    <cellStyle name="20% - Accent5 7 4 3" xfId="5273"/>
    <cellStyle name="20% - Accent5 7 5" xfId="1599"/>
    <cellStyle name="20% - Accent5 7 5 2" xfId="3809"/>
    <cellStyle name="20% - Accent5 7 5 2 2" xfId="8215"/>
    <cellStyle name="20% - Accent5 7 5 3" xfId="6005"/>
    <cellStyle name="20% - Accent5 7 6" xfId="2345"/>
    <cellStyle name="20% - Accent5 7 6 2" xfId="6751"/>
    <cellStyle name="20% - Accent5 7 7" xfId="4541"/>
    <cellStyle name="20% - Accent5 8" xfId="146"/>
    <cellStyle name="20% - Accent5 8 2" xfId="264"/>
    <cellStyle name="20% - Accent5 8 2 2" xfId="623"/>
    <cellStyle name="20% - Accent5 8 2 2 2" xfId="1356"/>
    <cellStyle name="20% - Accent5 8 2 2 2 2" xfId="3566"/>
    <cellStyle name="20% - Accent5 8 2 2 2 2 2" xfId="7972"/>
    <cellStyle name="20% - Accent5 8 2 2 2 3" xfId="5762"/>
    <cellStyle name="20% - Accent5 8 2 2 3" xfId="2088"/>
    <cellStyle name="20% - Accent5 8 2 2 3 2" xfId="4298"/>
    <cellStyle name="20% - Accent5 8 2 2 3 2 2" xfId="8704"/>
    <cellStyle name="20% - Accent5 8 2 2 3 3" xfId="6494"/>
    <cellStyle name="20% - Accent5 8 2 2 4" xfId="2834"/>
    <cellStyle name="20% - Accent5 8 2 2 4 2" xfId="7240"/>
    <cellStyle name="20% - Accent5 8 2 2 5" xfId="5030"/>
    <cellStyle name="20% - Accent5 8 2 3" xfId="997"/>
    <cellStyle name="20% - Accent5 8 2 3 2" xfId="3207"/>
    <cellStyle name="20% - Accent5 8 2 3 2 2" xfId="7613"/>
    <cellStyle name="20% - Accent5 8 2 3 3" xfId="5403"/>
    <cellStyle name="20% - Accent5 8 2 4" xfId="1729"/>
    <cellStyle name="20% - Accent5 8 2 4 2" xfId="3939"/>
    <cellStyle name="20% - Accent5 8 2 4 2 2" xfId="8345"/>
    <cellStyle name="20% - Accent5 8 2 4 3" xfId="6135"/>
    <cellStyle name="20% - Accent5 8 2 5" xfId="2475"/>
    <cellStyle name="20% - Accent5 8 2 5 2" xfId="6881"/>
    <cellStyle name="20% - Accent5 8 2 6" xfId="4671"/>
    <cellStyle name="20% - Accent5 8 3" xfId="507"/>
    <cellStyle name="20% - Accent5 8 3 2" xfId="1240"/>
    <cellStyle name="20% - Accent5 8 3 2 2" xfId="3450"/>
    <cellStyle name="20% - Accent5 8 3 2 2 2" xfId="7856"/>
    <cellStyle name="20% - Accent5 8 3 2 3" xfId="5646"/>
    <cellStyle name="20% - Accent5 8 3 3" xfId="1972"/>
    <cellStyle name="20% - Accent5 8 3 3 2" xfId="4182"/>
    <cellStyle name="20% - Accent5 8 3 3 2 2" xfId="8588"/>
    <cellStyle name="20% - Accent5 8 3 3 3" xfId="6378"/>
    <cellStyle name="20% - Accent5 8 3 4" xfId="2718"/>
    <cellStyle name="20% - Accent5 8 3 4 2" xfId="7124"/>
    <cellStyle name="20% - Accent5 8 3 5" xfId="4914"/>
    <cellStyle name="20% - Accent5 8 4" xfId="881"/>
    <cellStyle name="20% - Accent5 8 4 2" xfId="3091"/>
    <cellStyle name="20% - Accent5 8 4 2 2" xfId="7497"/>
    <cellStyle name="20% - Accent5 8 4 3" xfId="5287"/>
    <cellStyle name="20% - Accent5 8 5" xfId="1613"/>
    <cellStyle name="20% - Accent5 8 5 2" xfId="3823"/>
    <cellStyle name="20% - Accent5 8 5 2 2" xfId="8229"/>
    <cellStyle name="20% - Accent5 8 5 3" xfId="6019"/>
    <cellStyle name="20% - Accent5 8 6" xfId="2359"/>
    <cellStyle name="20% - Accent5 8 6 2" xfId="6765"/>
    <cellStyle name="20% - Accent5 8 7" xfId="4555"/>
    <cellStyle name="20% - Accent5 9" xfId="164"/>
    <cellStyle name="20% - Accent5 9 2" xfId="523"/>
    <cellStyle name="20% - Accent5 9 2 2" xfId="1256"/>
    <cellStyle name="20% - Accent5 9 2 2 2" xfId="3466"/>
    <cellStyle name="20% - Accent5 9 2 2 2 2" xfId="7872"/>
    <cellStyle name="20% - Accent5 9 2 2 3" xfId="5662"/>
    <cellStyle name="20% - Accent5 9 2 3" xfId="1988"/>
    <cellStyle name="20% - Accent5 9 2 3 2" xfId="4198"/>
    <cellStyle name="20% - Accent5 9 2 3 2 2" xfId="8604"/>
    <cellStyle name="20% - Accent5 9 2 3 3" xfId="6394"/>
    <cellStyle name="20% - Accent5 9 2 4" xfId="2734"/>
    <cellStyle name="20% - Accent5 9 2 4 2" xfId="7140"/>
    <cellStyle name="20% - Accent5 9 2 5" xfId="4930"/>
    <cellStyle name="20% - Accent5 9 3" xfId="897"/>
    <cellStyle name="20% - Accent5 9 3 2" xfId="3107"/>
    <cellStyle name="20% - Accent5 9 3 2 2" xfId="7513"/>
    <cellStyle name="20% - Accent5 9 3 3" xfId="5303"/>
    <cellStyle name="20% - Accent5 9 4" xfId="1629"/>
    <cellStyle name="20% - Accent5 9 4 2" xfId="3839"/>
    <cellStyle name="20% - Accent5 9 4 2 2" xfId="8245"/>
    <cellStyle name="20% - Accent5 9 4 3" xfId="6035"/>
    <cellStyle name="20% - Accent5 9 5" xfId="2375"/>
    <cellStyle name="20% - Accent5 9 5 2" xfId="6781"/>
    <cellStyle name="20% - Accent5 9 6" xfId="4571"/>
    <cellStyle name="20% - Accent6" xfId="40" builtinId="50" customBuiltin="1"/>
    <cellStyle name="20% - Accent6 10" xfId="280"/>
    <cellStyle name="20% - Accent6 10 2" xfId="639"/>
    <cellStyle name="20% - Accent6 10 2 2" xfId="1372"/>
    <cellStyle name="20% - Accent6 10 2 2 2" xfId="3582"/>
    <cellStyle name="20% - Accent6 10 2 2 2 2" xfId="7988"/>
    <cellStyle name="20% - Accent6 10 2 2 3" xfId="5778"/>
    <cellStyle name="20% - Accent6 10 2 3" xfId="2104"/>
    <cellStyle name="20% - Accent6 10 2 3 2" xfId="4314"/>
    <cellStyle name="20% - Accent6 10 2 3 2 2" xfId="8720"/>
    <cellStyle name="20% - Accent6 10 2 3 3" xfId="6510"/>
    <cellStyle name="20% - Accent6 10 2 4" xfId="2850"/>
    <cellStyle name="20% - Accent6 10 2 4 2" xfId="7256"/>
    <cellStyle name="20% - Accent6 10 2 5" xfId="5046"/>
    <cellStyle name="20% - Accent6 10 3" xfId="1013"/>
    <cellStyle name="20% - Accent6 10 3 2" xfId="3223"/>
    <cellStyle name="20% - Accent6 10 3 2 2" xfId="7629"/>
    <cellStyle name="20% - Accent6 10 3 3" xfId="5419"/>
    <cellStyle name="20% - Accent6 10 4" xfId="1745"/>
    <cellStyle name="20% - Accent6 10 4 2" xfId="3955"/>
    <cellStyle name="20% - Accent6 10 4 2 2" xfId="8361"/>
    <cellStyle name="20% - Accent6 10 4 3" xfId="6151"/>
    <cellStyle name="20% - Accent6 10 5" xfId="2491"/>
    <cellStyle name="20% - Accent6 10 5 2" xfId="6897"/>
    <cellStyle name="20% - Accent6 10 6" xfId="4687"/>
    <cellStyle name="20% - Accent6 11" xfId="294"/>
    <cellStyle name="20% - Accent6 11 2" xfId="653"/>
    <cellStyle name="20% - Accent6 11 2 2" xfId="1386"/>
    <cellStyle name="20% - Accent6 11 2 2 2" xfId="3596"/>
    <cellStyle name="20% - Accent6 11 2 2 2 2" xfId="8002"/>
    <cellStyle name="20% - Accent6 11 2 2 3" xfId="5792"/>
    <cellStyle name="20% - Accent6 11 2 3" xfId="2118"/>
    <cellStyle name="20% - Accent6 11 2 3 2" xfId="4328"/>
    <cellStyle name="20% - Accent6 11 2 3 2 2" xfId="8734"/>
    <cellStyle name="20% - Accent6 11 2 3 3" xfId="6524"/>
    <cellStyle name="20% - Accent6 11 2 4" xfId="2864"/>
    <cellStyle name="20% - Accent6 11 2 4 2" xfId="7270"/>
    <cellStyle name="20% - Accent6 11 2 5" xfId="5060"/>
    <cellStyle name="20% - Accent6 11 3" xfId="1027"/>
    <cellStyle name="20% - Accent6 11 3 2" xfId="3237"/>
    <cellStyle name="20% - Accent6 11 3 2 2" xfId="7643"/>
    <cellStyle name="20% - Accent6 11 3 3" xfId="5433"/>
    <cellStyle name="20% - Accent6 11 4" xfId="1759"/>
    <cellStyle name="20% - Accent6 11 4 2" xfId="3969"/>
    <cellStyle name="20% - Accent6 11 4 2 2" xfId="8375"/>
    <cellStyle name="20% - Accent6 11 4 3" xfId="6165"/>
    <cellStyle name="20% - Accent6 11 5" xfId="2505"/>
    <cellStyle name="20% - Accent6 11 5 2" xfId="6911"/>
    <cellStyle name="20% - Accent6 11 6" xfId="4701"/>
    <cellStyle name="20% - Accent6 12" xfId="308"/>
    <cellStyle name="20% - Accent6 12 2" xfId="667"/>
    <cellStyle name="20% - Accent6 12 2 2" xfId="1400"/>
    <cellStyle name="20% - Accent6 12 2 2 2" xfId="3610"/>
    <cellStyle name="20% - Accent6 12 2 2 2 2" xfId="8016"/>
    <cellStyle name="20% - Accent6 12 2 2 3" xfId="5806"/>
    <cellStyle name="20% - Accent6 12 2 3" xfId="2132"/>
    <cellStyle name="20% - Accent6 12 2 3 2" xfId="4342"/>
    <cellStyle name="20% - Accent6 12 2 3 2 2" xfId="8748"/>
    <cellStyle name="20% - Accent6 12 2 3 3" xfId="6538"/>
    <cellStyle name="20% - Accent6 12 2 4" xfId="2878"/>
    <cellStyle name="20% - Accent6 12 2 4 2" xfId="7284"/>
    <cellStyle name="20% - Accent6 12 2 5" xfId="5074"/>
    <cellStyle name="20% - Accent6 12 3" xfId="1041"/>
    <cellStyle name="20% - Accent6 12 3 2" xfId="3251"/>
    <cellStyle name="20% - Accent6 12 3 2 2" xfId="7657"/>
    <cellStyle name="20% - Accent6 12 3 3" xfId="5447"/>
    <cellStyle name="20% - Accent6 12 4" xfId="1773"/>
    <cellStyle name="20% - Accent6 12 4 2" xfId="3983"/>
    <cellStyle name="20% - Accent6 12 4 2 2" xfId="8389"/>
    <cellStyle name="20% - Accent6 12 4 3" xfId="6179"/>
    <cellStyle name="20% - Accent6 12 5" xfId="2519"/>
    <cellStyle name="20% - Accent6 12 5 2" xfId="6925"/>
    <cellStyle name="20% - Accent6 12 6" xfId="4715"/>
    <cellStyle name="20% - Accent6 13" xfId="322"/>
    <cellStyle name="20% - Accent6 13 2" xfId="681"/>
    <cellStyle name="20% - Accent6 13 2 2" xfId="1414"/>
    <cellStyle name="20% - Accent6 13 2 2 2" xfId="3624"/>
    <cellStyle name="20% - Accent6 13 2 2 2 2" xfId="8030"/>
    <cellStyle name="20% - Accent6 13 2 2 3" xfId="5820"/>
    <cellStyle name="20% - Accent6 13 2 3" xfId="2146"/>
    <cellStyle name="20% - Accent6 13 2 3 2" xfId="4356"/>
    <cellStyle name="20% - Accent6 13 2 3 2 2" xfId="8762"/>
    <cellStyle name="20% - Accent6 13 2 3 3" xfId="6552"/>
    <cellStyle name="20% - Accent6 13 2 4" xfId="2892"/>
    <cellStyle name="20% - Accent6 13 2 4 2" xfId="7298"/>
    <cellStyle name="20% - Accent6 13 2 5" xfId="5088"/>
    <cellStyle name="20% - Accent6 13 3" xfId="1055"/>
    <cellStyle name="20% - Accent6 13 3 2" xfId="3265"/>
    <cellStyle name="20% - Accent6 13 3 2 2" xfId="7671"/>
    <cellStyle name="20% - Accent6 13 3 3" xfId="5461"/>
    <cellStyle name="20% - Accent6 13 4" xfId="1787"/>
    <cellStyle name="20% - Accent6 13 4 2" xfId="3997"/>
    <cellStyle name="20% - Accent6 13 4 2 2" xfId="8403"/>
    <cellStyle name="20% - Accent6 13 4 3" xfId="6193"/>
    <cellStyle name="20% - Accent6 13 5" xfId="2533"/>
    <cellStyle name="20% - Accent6 13 5 2" xfId="6939"/>
    <cellStyle name="20% - Accent6 13 6" xfId="4729"/>
    <cellStyle name="20% - Accent6 14" xfId="336"/>
    <cellStyle name="20% - Accent6 14 2" xfId="695"/>
    <cellStyle name="20% - Accent6 14 2 2" xfId="1428"/>
    <cellStyle name="20% - Accent6 14 2 2 2" xfId="3638"/>
    <cellStyle name="20% - Accent6 14 2 2 2 2" xfId="8044"/>
    <cellStyle name="20% - Accent6 14 2 2 3" xfId="5834"/>
    <cellStyle name="20% - Accent6 14 2 3" xfId="2160"/>
    <cellStyle name="20% - Accent6 14 2 3 2" xfId="4370"/>
    <cellStyle name="20% - Accent6 14 2 3 2 2" xfId="8776"/>
    <cellStyle name="20% - Accent6 14 2 3 3" xfId="6566"/>
    <cellStyle name="20% - Accent6 14 2 4" xfId="2906"/>
    <cellStyle name="20% - Accent6 14 2 4 2" xfId="7312"/>
    <cellStyle name="20% - Accent6 14 2 5" xfId="5102"/>
    <cellStyle name="20% - Accent6 14 3" xfId="1069"/>
    <cellStyle name="20% - Accent6 14 3 2" xfId="3279"/>
    <cellStyle name="20% - Accent6 14 3 2 2" xfId="7685"/>
    <cellStyle name="20% - Accent6 14 3 3" xfId="5475"/>
    <cellStyle name="20% - Accent6 14 4" xfId="1801"/>
    <cellStyle name="20% - Accent6 14 4 2" xfId="4011"/>
    <cellStyle name="20% - Accent6 14 4 2 2" xfId="8417"/>
    <cellStyle name="20% - Accent6 14 4 3" xfId="6207"/>
    <cellStyle name="20% - Accent6 14 5" xfId="2547"/>
    <cellStyle name="20% - Accent6 14 5 2" xfId="6953"/>
    <cellStyle name="20% - Accent6 14 6" xfId="4743"/>
    <cellStyle name="20% - Accent6 15" xfId="350"/>
    <cellStyle name="20% - Accent6 15 2" xfId="709"/>
    <cellStyle name="20% - Accent6 15 2 2" xfId="1442"/>
    <cellStyle name="20% - Accent6 15 2 2 2" xfId="3652"/>
    <cellStyle name="20% - Accent6 15 2 2 2 2" xfId="8058"/>
    <cellStyle name="20% - Accent6 15 2 2 3" xfId="5848"/>
    <cellStyle name="20% - Accent6 15 2 3" xfId="2174"/>
    <cellStyle name="20% - Accent6 15 2 3 2" xfId="4384"/>
    <cellStyle name="20% - Accent6 15 2 3 2 2" xfId="8790"/>
    <cellStyle name="20% - Accent6 15 2 3 3" xfId="6580"/>
    <cellStyle name="20% - Accent6 15 2 4" xfId="2920"/>
    <cellStyle name="20% - Accent6 15 2 4 2" xfId="7326"/>
    <cellStyle name="20% - Accent6 15 2 5" xfId="5116"/>
    <cellStyle name="20% - Accent6 15 3" xfId="1083"/>
    <cellStyle name="20% - Accent6 15 3 2" xfId="3293"/>
    <cellStyle name="20% - Accent6 15 3 2 2" xfId="7699"/>
    <cellStyle name="20% - Accent6 15 3 3" xfId="5489"/>
    <cellStyle name="20% - Accent6 15 4" xfId="1815"/>
    <cellStyle name="20% - Accent6 15 4 2" xfId="4025"/>
    <cellStyle name="20% - Accent6 15 4 2 2" xfId="8431"/>
    <cellStyle name="20% - Accent6 15 4 3" xfId="6221"/>
    <cellStyle name="20% - Accent6 15 5" xfId="2561"/>
    <cellStyle name="20% - Accent6 15 5 2" xfId="6967"/>
    <cellStyle name="20% - Accent6 15 6" xfId="4757"/>
    <cellStyle name="20% - Accent6 16" xfId="364"/>
    <cellStyle name="20% - Accent6 16 2" xfId="723"/>
    <cellStyle name="20% - Accent6 16 2 2" xfId="1456"/>
    <cellStyle name="20% - Accent6 16 2 2 2" xfId="3666"/>
    <cellStyle name="20% - Accent6 16 2 2 2 2" xfId="8072"/>
    <cellStyle name="20% - Accent6 16 2 2 3" xfId="5862"/>
    <cellStyle name="20% - Accent6 16 2 3" xfId="2188"/>
    <cellStyle name="20% - Accent6 16 2 3 2" xfId="4398"/>
    <cellStyle name="20% - Accent6 16 2 3 2 2" xfId="8804"/>
    <cellStyle name="20% - Accent6 16 2 3 3" xfId="6594"/>
    <cellStyle name="20% - Accent6 16 2 4" xfId="2934"/>
    <cellStyle name="20% - Accent6 16 2 4 2" xfId="7340"/>
    <cellStyle name="20% - Accent6 16 2 5" xfId="5130"/>
    <cellStyle name="20% - Accent6 16 3" xfId="1097"/>
    <cellStyle name="20% - Accent6 16 3 2" xfId="3307"/>
    <cellStyle name="20% - Accent6 16 3 2 2" xfId="7713"/>
    <cellStyle name="20% - Accent6 16 3 3" xfId="5503"/>
    <cellStyle name="20% - Accent6 16 4" xfId="1829"/>
    <cellStyle name="20% - Accent6 16 4 2" xfId="4039"/>
    <cellStyle name="20% - Accent6 16 4 2 2" xfId="8445"/>
    <cellStyle name="20% - Accent6 16 4 3" xfId="6235"/>
    <cellStyle name="20% - Accent6 16 5" xfId="2575"/>
    <cellStyle name="20% - Accent6 16 5 2" xfId="6981"/>
    <cellStyle name="20% - Accent6 16 6" xfId="4771"/>
    <cellStyle name="20% - Accent6 17" xfId="378"/>
    <cellStyle name="20% - Accent6 17 2" xfId="737"/>
    <cellStyle name="20% - Accent6 17 2 2" xfId="1470"/>
    <cellStyle name="20% - Accent6 17 2 2 2" xfId="3680"/>
    <cellStyle name="20% - Accent6 17 2 2 2 2" xfId="8086"/>
    <cellStyle name="20% - Accent6 17 2 2 3" xfId="5876"/>
    <cellStyle name="20% - Accent6 17 2 3" xfId="2202"/>
    <cellStyle name="20% - Accent6 17 2 3 2" xfId="4412"/>
    <cellStyle name="20% - Accent6 17 2 3 2 2" xfId="8818"/>
    <cellStyle name="20% - Accent6 17 2 3 3" xfId="6608"/>
    <cellStyle name="20% - Accent6 17 2 4" xfId="2948"/>
    <cellStyle name="20% - Accent6 17 2 4 2" xfId="7354"/>
    <cellStyle name="20% - Accent6 17 2 5" xfId="5144"/>
    <cellStyle name="20% - Accent6 17 3" xfId="1111"/>
    <cellStyle name="20% - Accent6 17 3 2" xfId="3321"/>
    <cellStyle name="20% - Accent6 17 3 2 2" xfId="7727"/>
    <cellStyle name="20% - Accent6 17 3 3" xfId="5517"/>
    <cellStyle name="20% - Accent6 17 4" xfId="1843"/>
    <cellStyle name="20% - Accent6 17 4 2" xfId="4053"/>
    <cellStyle name="20% - Accent6 17 4 2 2" xfId="8459"/>
    <cellStyle name="20% - Accent6 17 4 3" xfId="6249"/>
    <cellStyle name="20% - Accent6 17 5" xfId="2589"/>
    <cellStyle name="20% - Accent6 17 5 2" xfId="6995"/>
    <cellStyle name="20% - Accent6 17 6" xfId="4785"/>
    <cellStyle name="20% - Accent6 18" xfId="392"/>
    <cellStyle name="20% - Accent6 18 2" xfId="751"/>
    <cellStyle name="20% - Accent6 18 2 2" xfId="1484"/>
    <cellStyle name="20% - Accent6 18 2 2 2" xfId="3694"/>
    <cellStyle name="20% - Accent6 18 2 2 2 2" xfId="8100"/>
    <cellStyle name="20% - Accent6 18 2 2 3" xfId="5890"/>
    <cellStyle name="20% - Accent6 18 2 3" xfId="2216"/>
    <cellStyle name="20% - Accent6 18 2 3 2" xfId="4426"/>
    <cellStyle name="20% - Accent6 18 2 3 2 2" xfId="8832"/>
    <cellStyle name="20% - Accent6 18 2 3 3" xfId="6622"/>
    <cellStyle name="20% - Accent6 18 2 4" xfId="2962"/>
    <cellStyle name="20% - Accent6 18 2 4 2" xfId="7368"/>
    <cellStyle name="20% - Accent6 18 2 5" xfId="5158"/>
    <cellStyle name="20% - Accent6 18 3" xfId="1125"/>
    <cellStyle name="20% - Accent6 18 3 2" xfId="3335"/>
    <cellStyle name="20% - Accent6 18 3 2 2" xfId="7741"/>
    <cellStyle name="20% - Accent6 18 3 3" xfId="5531"/>
    <cellStyle name="20% - Accent6 18 4" xfId="1857"/>
    <cellStyle name="20% - Accent6 18 4 2" xfId="4067"/>
    <cellStyle name="20% - Accent6 18 4 2 2" xfId="8473"/>
    <cellStyle name="20% - Accent6 18 4 3" xfId="6263"/>
    <cellStyle name="20% - Accent6 18 5" xfId="2603"/>
    <cellStyle name="20% - Accent6 18 5 2" xfId="7009"/>
    <cellStyle name="20% - Accent6 18 6" xfId="4799"/>
    <cellStyle name="20% - Accent6 19" xfId="409"/>
    <cellStyle name="20% - Accent6 19 2" xfId="1142"/>
    <cellStyle name="20% - Accent6 19 2 2" xfId="3352"/>
    <cellStyle name="20% - Accent6 19 2 2 2" xfId="7758"/>
    <cellStyle name="20% - Accent6 19 2 3" xfId="5548"/>
    <cellStyle name="20% - Accent6 19 3" xfId="1874"/>
    <cellStyle name="20% - Accent6 19 3 2" xfId="4084"/>
    <cellStyle name="20% - Accent6 19 3 2 2" xfId="8490"/>
    <cellStyle name="20% - Accent6 19 3 3" xfId="6280"/>
    <cellStyle name="20% - Accent6 19 4" xfId="2620"/>
    <cellStyle name="20% - Accent6 19 4 2" xfId="7026"/>
    <cellStyle name="20% - Accent6 19 5" xfId="4816"/>
    <cellStyle name="20% - Accent6 2" xfId="64"/>
    <cellStyle name="20% - Accent6 2 2" xfId="182"/>
    <cellStyle name="20% - Accent6 2 2 2" xfId="541"/>
    <cellStyle name="20% - Accent6 2 2 2 2" xfId="1274"/>
    <cellStyle name="20% - Accent6 2 2 2 2 2" xfId="3484"/>
    <cellStyle name="20% - Accent6 2 2 2 2 2 2" xfId="7890"/>
    <cellStyle name="20% - Accent6 2 2 2 2 3" xfId="5680"/>
    <cellStyle name="20% - Accent6 2 2 2 3" xfId="2006"/>
    <cellStyle name="20% - Accent6 2 2 2 3 2" xfId="4216"/>
    <cellStyle name="20% - Accent6 2 2 2 3 2 2" xfId="8622"/>
    <cellStyle name="20% - Accent6 2 2 2 3 3" xfId="6412"/>
    <cellStyle name="20% - Accent6 2 2 2 4" xfId="2752"/>
    <cellStyle name="20% - Accent6 2 2 2 4 2" xfId="7158"/>
    <cellStyle name="20% - Accent6 2 2 2 5" xfId="4948"/>
    <cellStyle name="20% - Accent6 2 2 3" xfId="915"/>
    <cellStyle name="20% - Accent6 2 2 3 2" xfId="3125"/>
    <cellStyle name="20% - Accent6 2 2 3 2 2" xfId="7531"/>
    <cellStyle name="20% - Accent6 2 2 3 3" xfId="5321"/>
    <cellStyle name="20% - Accent6 2 2 4" xfId="1647"/>
    <cellStyle name="20% - Accent6 2 2 4 2" xfId="3857"/>
    <cellStyle name="20% - Accent6 2 2 4 2 2" xfId="8263"/>
    <cellStyle name="20% - Accent6 2 2 4 3" xfId="6053"/>
    <cellStyle name="20% - Accent6 2 2 5" xfId="2393"/>
    <cellStyle name="20% - Accent6 2 2 5 2" xfId="6799"/>
    <cellStyle name="20% - Accent6 2 2 6" xfId="4589"/>
    <cellStyle name="20% - Accent6 2 3" xfId="425"/>
    <cellStyle name="20% - Accent6 2 3 2" xfId="1158"/>
    <cellStyle name="20% - Accent6 2 3 2 2" xfId="3368"/>
    <cellStyle name="20% - Accent6 2 3 2 2 2" xfId="7774"/>
    <cellStyle name="20% - Accent6 2 3 2 3" xfId="5564"/>
    <cellStyle name="20% - Accent6 2 3 3" xfId="1890"/>
    <cellStyle name="20% - Accent6 2 3 3 2" xfId="4100"/>
    <cellStyle name="20% - Accent6 2 3 3 2 2" xfId="8506"/>
    <cellStyle name="20% - Accent6 2 3 3 3" xfId="6296"/>
    <cellStyle name="20% - Accent6 2 3 4" xfId="2636"/>
    <cellStyle name="20% - Accent6 2 3 4 2" xfId="7042"/>
    <cellStyle name="20% - Accent6 2 3 5" xfId="4832"/>
    <cellStyle name="20% - Accent6 2 4" xfId="799"/>
    <cellStyle name="20% - Accent6 2 4 2" xfId="3009"/>
    <cellStyle name="20% - Accent6 2 4 2 2" xfId="7415"/>
    <cellStyle name="20% - Accent6 2 4 3" xfId="5205"/>
    <cellStyle name="20% - Accent6 2 5" xfId="1531"/>
    <cellStyle name="20% - Accent6 2 5 2" xfId="3741"/>
    <cellStyle name="20% - Accent6 2 5 2 2" xfId="8147"/>
    <cellStyle name="20% - Accent6 2 5 3" xfId="5937"/>
    <cellStyle name="20% - Accent6 2 6" xfId="2277"/>
    <cellStyle name="20% - Accent6 2 6 2" xfId="6683"/>
    <cellStyle name="20% - Accent6 2 7" xfId="4473"/>
    <cellStyle name="20% - Accent6 20" xfId="766"/>
    <cellStyle name="20% - Accent6 20 2" xfId="1499"/>
    <cellStyle name="20% - Accent6 20 2 2" xfId="3709"/>
    <cellStyle name="20% - Accent6 20 2 2 2" xfId="8115"/>
    <cellStyle name="20% - Accent6 20 2 3" xfId="5905"/>
    <cellStyle name="20% - Accent6 20 3" xfId="2231"/>
    <cellStyle name="20% - Accent6 20 3 2" xfId="4441"/>
    <cellStyle name="20% - Accent6 20 3 2 2" xfId="8847"/>
    <cellStyle name="20% - Accent6 20 3 3" xfId="6637"/>
    <cellStyle name="20% - Accent6 20 4" xfId="2977"/>
    <cellStyle name="20% - Accent6 20 4 2" xfId="7383"/>
    <cellStyle name="20% - Accent6 20 5" xfId="5173"/>
    <cellStyle name="20% - Accent6 21" xfId="783"/>
    <cellStyle name="20% - Accent6 21 2" xfId="2993"/>
    <cellStyle name="20% - Accent6 21 2 2" xfId="7399"/>
    <cellStyle name="20% - Accent6 21 3" xfId="5189"/>
    <cellStyle name="20% - Accent6 22" xfId="1515"/>
    <cellStyle name="20% - Accent6 22 2" xfId="3725"/>
    <cellStyle name="20% - Accent6 22 2 2" xfId="8131"/>
    <cellStyle name="20% - Accent6 22 3" xfId="5921"/>
    <cellStyle name="20% - Accent6 23" xfId="2245"/>
    <cellStyle name="20% - Accent6 23 2" xfId="6651"/>
    <cellStyle name="20% - Accent6 24" xfId="2261"/>
    <cellStyle name="20% - Accent6 24 2" xfId="6667"/>
    <cellStyle name="20% - Accent6 25" xfId="4457"/>
    <cellStyle name="20% - Accent6 3" xfId="78"/>
    <cellStyle name="20% - Accent6 3 2" xfId="196"/>
    <cellStyle name="20% - Accent6 3 2 2" xfId="555"/>
    <cellStyle name="20% - Accent6 3 2 2 2" xfId="1288"/>
    <cellStyle name="20% - Accent6 3 2 2 2 2" xfId="3498"/>
    <cellStyle name="20% - Accent6 3 2 2 2 2 2" xfId="7904"/>
    <cellStyle name="20% - Accent6 3 2 2 2 3" xfId="5694"/>
    <cellStyle name="20% - Accent6 3 2 2 3" xfId="2020"/>
    <cellStyle name="20% - Accent6 3 2 2 3 2" xfId="4230"/>
    <cellStyle name="20% - Accent6 3 2 2 3 2 2" xfId="8636"/>
    <cellStyle name="20% - Accent6 3 2 2 3 3" xfId="6426"/>
    <cellStyle name="20% - Accent6 3 2 2 4" xfId="2766"/>
    <cellStyle name="20% - Accent6 3 2 2 4 2" xfId="7172"/>
    <cellStyle name="20% - Accent6 3 2 2 5" xfId="4962"/>
    <cellStyle name="20% - Accent6 3 2 3" xfId="929"/>
    <cellStyle name="20% - Accent6 3 2 3 2" xfId="3139"/>
    <cellStyle name="20% - Accent6 3 2 3 2 2" xfId="7545"/>
    <cellStyle name="20% - Accent6 3 2 3 3" xfId="5335"/>
    <cellStyle name="20% - Accent6 3 2 4" xfId="1661"/>
    <cellStyle name="20% - Accent6 3 2 4 2" xfId="3871"/>
    <cellStyle name="20% - Accent6 3 2 4 2 2" xfId="8277"/>
    <cellStyle name="20% - Accent6 3 2 4 3" xfId="6067"/>
    <cellStyle name="20% - Accent6 3 2 5" xfId="2407"/>
    <cellStyle name="20% - Accent6 3 2 5 2" xfId="6813"/>
    <cellStyle name="20% - Accent6 3 2 6" xfId="4603"/>
    <cellStyle name="20% - Accent6 3 3" xfId="439"/>
    <cellStyle name="20% - Accent6 3 3 2" xfId="1172"/>
    <cellStyle name="20% - Accent6 3 3 2 2" xfId="3382"/>
    <cellStyle name="20% - Accent6 3 3 2 2 2" xfId="7788"/>
    <cellStyle name="20% - Accent6 3 3 2 3" xfId="5578"/>
    <cellStyle name="20% - Accent6 3 3 3" xfId="1904"/>
    <cellStyle name="20% - Accent6 3 3 3 2" xfId="4114"/>
    <cellStyle name="20% - Accent6 3 3 3 2 2" xfId="8520"/>
    <cellStyle name="20% - Accent6 3 3 3 3" xfId="6310"/>
    <cellStyle name="20% - Accent6 3 3 4" xfId="2650"/>
    <cellStyle name="20% - Accent6 3 3 4 2" xfId="7056"/>
    <cellStyle name="20% - Accent6 3 3 5" xfId="4846"/>
    <cellStyle name="20% - Accent6 3 4" xfId="813"/>
    <cellStyle name="20% - Accent6 3 4 2" xfId="3023"/>
    <cellStyle name="20% - Accent6 3 4 2 2" xfId="7429"/>
    <cellStyle name="20% - Accent6 3 4 3" xfId="5219"/>
    <cellStyle name="20% - Accent6 3 5" xfId="1545"/>
    <cellStyle name="20% - Accent6 3 5 2" xfId="3755"/>
    <cellStyle name="20% - Accent6 3 5 2 2" xfId="8161"/>
    <cellStyle name="20% - Accent6 3 5 3" xfId="5951"/>
    <cellStyle name="20% - Accent6 3 6" xfId="2291"/>
    <cellStyle name="20% - Accent6 3 6 2" xfId="6697"/>
    <cellStyle name="20% - Accent6 3 7" xfId="4487"/>
    <cellStyle name="20% - Accent6 4" xfId="92"/>
    <cellStyle name="20% - Accent6 4 2" xfId="210"/>
    <cellStyle name="20% - Accent6 4 2 2" xfId="569"/>
    <cellStyle name="20% - Accent6 4 2 2 2" xfId="1302"/>
    <cellStyle name="20% - Accent6 4 2 2 2 2" xfId="3512"/>
    <cellStyle name="20% - Accent6 4 2 2 2 2 2" xfId="7918"/>
    <cellStyle name="20% - Accent6 4 2 2 2 3" xfId="5708"/>
    <cellStyle name="20% - Accent6 4 2 2 3" xfId="2034"/>
    <cellStyle name="20% - Accent6 4 2 2 3 2" xfId="4244"/>
    <cellStyle name="20% - Accent6 4 2 2 3 2 2" xfId="8650"/>
    <cellStyle name="20% - Accent6 4 2 2 3 3" xfId="6440"/>
    <cellStyle name="20% - Accent6 4 2 2 4" xfId="2780"/>
    <cellStyle name="20% - Accent6 4 2 2 4 2" xfId="7186"/>
    <cellStyle name="20% - Accent6 4 2 2 5" xfId="4976"/>
    <cellStyle name="20% - Accent6 4 2 3" xfId="943"/>
    <cellStyle name="20% - Accent6 4 2 3 2" xfId="3153"/>
    <cellStyle name="20% - Accent6 4 2 3 2 2" xfId="7559"/>
    <cellStyle name="20% - Accent6 4 2 3 3" xfId="5349"/>
    <cellStyle name="20% - Accent6 4 2 4" xfId="1675"/>
    <cellStyle name="20% - Accent6 4 2 4 2" xfId="3885"/>
    <cellStyle name="20% - Accent6 4 2 4 2 2" xfId="8291"/>
    <cellStyle name="20% - Accent6 4 2 4 3" xfId="6081"/>
    <cellStyle name="20% - Accent6 4 2 5" xfId="2421"/>
    <cellStyle name="20% - Accent6 4 2 5 2" xfId="6827"/>
    <cellStyle name="20% - Accent6 4 2 6" xfId="4617"/>
    <cellStyle name="20% - Accent6 4 3" xfId="453"/>
    <cellStyle name="20% - Accent6 4 3 2" xfId="1186"/>
    <cellStyle name="20% - Accent6 4 3 2 2" xfId="3396"/>
    <cellStyle name="20% - Accent6 4 3 2 2 2" xfId="7802"/>
    <cellStyle name="20% - Accent6 4 3 2 3" xfId="5592"/>
    <cellStyle name="20% - Accent6 4 3 3" xfId="1918"/>
    <cellStyle name="20% - Accent6 4 3 3 2" xfId="4128"/>
    <cellStyle name="20% - Accent6 4 3 3 2 2" xfId="8534"/>
    <cellStyle name="20% - Accent6 4 3 3 3" xfId="6324"/>
    <cellStyle name="20% - Accent6 4 3 4" xfId="2664"/>
    <cellStyle name="20% - Accent6 4 3 4 2" xfId="7070"/>
    <cellStyle name="20% - Accent6 4 3 5" xfId="4860"/>
    <cellStyle name="20% - Accent6 4 4" xfId="827"/>
    <cellStyle name="20% - Accent6 4 4 2" xfId="3037"/>
    <cellStyle name="20% - Accent6 4 4 2 2" xfId="7443"/>
    <cellStyle name="20% - Accent6 4 4 3" xfId="5233"/>
    <cellStyle name="20% - Accent6 4 5" xfId="1559"/>
    <cellStyle name="20% - Accent6 4 5 2" xfId="3769"/>
    <cellStyle name="20% - Accent6 4 5 2 2" xfId="8175"/>
    <cellStyle name="20% - Accent6 4 5 3" xfId="5965"/>
    <cellStyle name="20% - Accent6 4 6" xfId="2305"/>
    <cellStyle name="20% - Accent6 4 6 2" xfId="6711"/>
    <cellStyle name="20% - Accent6 4 7" xfId="4501"/>
    <cellStyle name="20% - Accent6 5" xfId="106"/>
    <cellStyle name="20% - Accent6 5 2" xfId="224"/>
    <cellStyle name="20% - Accent6 5 2 2" xfId="583"/>
    <cellStyle name="20% - Accent6 5 2 2 2" xfId="1316"/>
    <cellStyle name="20% - Accent6 5 2 2 2 2" xfId="3526"/>
    <cellStyle name="20% - Accent6 5 2 2 2 2 2" xfId="7932"/>
    <cellStyle name="20% - Accent6 5 2 2 2 3" xfId="5722"/>
    <cellStyle name="20% - Accent6 5 2 2 3" xfId="2048"/>
    <cellStyle name="20% - Accent6 5 2 2 3 2" xfId="4258"/>
    <cellStyle name="20% - Accent6 5 2 2 3 2 2" xfId="8664"/>
    <cellStyle name="20% - Accent6 5 2 2 3 3" xfId="6454"/>
    <cellStyle name="20% - Accent6 5 2 2 4" xfId="2794"/>
    <cellStyle name="20% - Accent6 5 2 2 4 2" xfId="7200"/>
    <cellStyle name="20% - Accent6 5 2 2 5" xfId="4990"/>
    <cellStyle name="20% - Accent6 5 2 3" xfId="957"/>
    <cellStyle name="20% - Accent6 5 2 3 2" xfId="3167"/>
    <cellStyle name="20% - Accent6 5 2 3 2 2" xfId="7573"/>
    <cellStyle name="20% - Accent6 5 2 3 3" xfId="5363"/>
    <cellStyle name="20% - Accent6 5 2 4" xfId="1689"/>
    <cellStyle name="20% - Accent6 5 2 4 2" xfId="3899"/>
    <cellStyle name="20% - Accent6 5 2 4 2 2" xfId="8305"/>
    <cellStyle name="20% - Accent6 5 2 4 3" xfId="6095"/>
    <cellStyle name="20% - Accent6 5 2 5" xfId="2435"/>
    <cellStyle name="20% - Accent6 5 2 5 2" xfId="6841"/>
    <cellStyle name="20% - Accent6 5 2 6" xfId="4631"/>
    <cellStyle name="20% - Accent6 5 3" xfId="467"/>
    <cellStyle name="20% - Accent6 5 3 2" xfId="1200"/>
    <cellStyle name="20% - Accent6 5 3 2 2" xfId="3410"/>
    <cellStyle name="20% - Accent6 5 3 2 2 2" xfId="7816"/>
    <cellStyle name="20% - Accent6 5 3 2 3" xfId="5606"/>
    <cellStyle name="20% - Accent6 5 3 3" xfId="1932"/>
    <cellStyle name="20% - Accent6 5 3 3 2" xfId="4142"/>
    <cellStyle name="20% - Accent6 5 3 3 2 2" xfId="8548"/>
    <cellStyle name="20% - Accent6 5 3 3 3" xfId="6338"/>
    <cellStyle name="20% - Accent6 5 3 4" xfId="2678"/>
    <cellStyle name="20% - Accent6 5 3 4 2" xfId="7084"/>
    <cellStyle name="20% - Accent6 5 3 5" xfId="4874"/>
    <cellStyle name="20% - Accent6 5 4" xfId="841"/>
    <cellStyle name="20% - Accent6 5 4 2" xfId="3051"/>
    <cellStyle name="20% - Accent6 5 4 2 2" xfId="7457"/>
    <cellStyle name="20% - Accent6 5 4 3" xfId="5247"/>
    <cellStyle name="20% - Accent6 5 5" xfId="1573"/>
    <cellStyle name="20% - Accent6 5 5 2" xfId="3783"/>
    <cellStyle name="20% - Accent6 5 5 2 2" xfId="8189"/>
    <cellStyle name="20% - Accent6 5 5 3" xfId="5979"/>
    <cellStyle name="20% - Accent6 5 6" xfId="2319"/>
    <cellStyle name="20% - Accent6 5 6 2" xfId="6725"/>
    <cellStyle name="20% - Accent6 5 7" xfId="4515"/>
    <cellStyle name="20% - Accent6 6" xfId="120"/>
    <cellStyle name="20% - Accent6 6 2" xfId="238"/>
    <cellStyle name="20% - Accent6 6 2 2" xfId="597"/>
    <cellStyle name="20% - Accent6 6 2 2 2" xfId="1330"/>
    <cellStyle name="20% - Accent6 6 2 2 2 2" xfId="3540"/>
    <cellStyle name="20% - Accent6 6 2 2 2 2 2" xfId="7946"/>
    <cellStyle name="20% - Accent6 6 2 2 2 3" xfId="5736"/>
    <cellStyle name="20% - Accent6 6 2 2 3" xfId="2062"/>
    <cellStyle name="20% - Accent6 6 2 2 3 2" xfId="4272"/>
    <cellStyle name="20% - Accent6 6 2 2 3 2 2" xfId="8678"/>
    <cellStyle name="20% - Accent6 6 2 2 3 3" xfId="6468"/>
    <cellStyle name="20% - Accent6 6 2 2 4" xfId="2808"/>
    <cellStyle name="20% - Accent6 6 2 2 4 2" xfId="7214"/>
    <cellStyle name="20% - Accent6 6 2 2 5" xfId="5004"/>
    <cellStyle name="20% - Accent6 6 2 3" xfId="971"/>
    <cellStyle name="20% - Accent6 6 2 3 2" xfId="3181"/>
    <cellStyle name="20% - Accent6 6 2 3 2 2" xfId="7587"/>
    <cellStyle name="20% - Accent6 6 2 3 3" xfId="5377"/>
    <cellStyle name="20% - Accent6 6 2 4" xfId="1703"/>
    <cellStyle name="20% - Accent6 6 2 4 2" xfId="3913"/>
    <cellStyle name="20% - Accent6 6 2 4 2 2" xfId="8319"/>
    <cellStyle name="20% - Accent6 6 2 4 3" xfId="6109"/>
    <cellStyle name="20% - Accent6 6 2 5" xfId="2449"/>
    <cellStyle name="20% - Accent6 6 2 5 2" xfId="6855"/>
    <cellStyle name="20% - Accent6 6 2 6" xfId="4645"/>
    <cellStyle name="20% - Accent6 6 3" xfId="481"/>
    <cellStyle name="20% - Accent6 6 3 2" xfId="1214"/>
    <cellStyle name="20% - Accent6 6 3 2 2" xfId="3424"/>
    <cellStyle name="20% - Accent6 6 3 2 2 2" xfId="7830"/>
    <cellStyle name="20% - Accent6 6 3 2 3" xfId="5620"/>
    <cellStyle name="20% - Accent6 6 3 3" xfId="1946"/>
    <cellStyle name="20% - Accent6 6 3 3 2" xfId="4156"/>
    <cellStyle name="20% - Accent6 6 3 3 2 2" xfId="8562"/>
    <cellStyle name="20% - Accent6 6 3 3 3" xfId="6352"/>
    <cellStyle name="20% - Accent6 6 3 4" xfId="2692"/>
    <cellStyle name="20% - Accent6 6 3 4 2" xfId="7098"/>
    <cellStyle name="20% - Accent6 6 3 5" xfId="4888"/>
    <cellStyle name="20% - Accent6 6 4" xfId="855"/>
    <cellStyle name="20% - Accent6 6 4 2" xfId="3065"/>
    <cellStyle name="20% - Accent6 6 4 2 2" xfId="7471"/>
    <cellStyle name="20% - Accent6 6 4 3" xfId="5261"/>
    <cellStyle name="20% - Accent6 6 5" xfId="1587"/>
    <cellStyle name="20% - Accent6 6 5 2" xfId="3797"/>
    <cellStyle name="20% - Accent6 6 5 2 2" xfId="8203"/>
    <cellStyle name="20% - Accent6 6 5 3" xfId="5993"/>
    <cellStyle name="20% - Accent6 6 6" xfId="2333"/>
    <cellStyle name="20% - Accent6 6 6 2" xfId="6739"/>
    <cellStyle name="20% - Accent6 6 7" xfId="4529"/>
    <cellStyle name="20% - Accent6 7" xfId="134"/>
    <cellStyle name="20% - Accent6 7 2" xfId="252"/>
    <cellStyle name="20% - Accent6 7 2 2" xfId="611"/>
    <cellStyle name="20% - Accent6 7 2 2 2" xfId="1344"/>
    <cellStyle name="20% - Accent6 7 2 2 2 2" xfId="3554"/>
    <cellStyle name="20% - Accent6 7 2 2 2 2 2" xfId="7960"/>
    <cellStyle name="20% - Accent6 7 2 2 2 3" xfId="5750"/>
    <cellStyle name="20% - Accent6 7 2 2 3" xfId="2076"/>
    <cellStyle name="20% - Accent6 7 2 2 3 2" xfId="4286"/>
    <cellStyle name="20% - Accent6 7 2 2 3 2 2" xfId="8692"/>
    <cellStyle name="20% - Accent6 7 2 2 3 3" xfId="6482"/>
    <cellStyle name="20% - Accent6 7 2 2 4" xfId="2822"/>
    <cellStyle name="20% - Accent6 7 2 2 4 2" xfId="7228"/>
    <cellStyle name="20% - Accent6 7 2 2 5" xfId="5018"/>
    <cellStyle name="20% - Accent6 7 2 3" xfId="985"/>
    <cellStyle name="20% - Accent6 7 2 3 2" xfId="3195"/>
    <cellStyle name="20% - Accent6 7 2 3 2 2" xfId="7601"/>
    <cellStyle name="20% - Accent6 7 2 3 3" xfId="5391"/>
    <cellStyle name="20% - Accent6 7 2 4" xfId="1717"/>
    <cellStyle name="20% - Accent6 7 2 4 2" xfId="3927"/>
    <cellStyle name="20% - Accent6 7 2 4 2 2" xfId="8333"/>
    <cellStyle name="20% - Accent6 7 2 4 3" xfId="6123"/>
    <cellStyle name="20% - Accent6 7 2 5" xfId="2463"/>
    <cellStyle name="20% - Accent6 7 2 5 2" xfId="6869"/>
    <cellStyle name="20% - Accent6 7 2 6" xfId="4659"/>
    <cellStyle name="20% - Accent6 7 3" xfId="495"/>
    <cellStyle name="20% - Accent6 7 3 2" xfId="1228"/>
    <cellStyle name="20% - Accent6 7 3 2 2" xfId="3438"/>
    <cellStyle name="20% - Accent6 7 3 2 2 2" xfId="7844"/>
    <cellStyle name="20% - Accent6 7 3 2 3" xfId="5634"/>
    <cellStyle name="20% - Accent6 7 3 3" xfId="1960"/>
    <cellStyle name="20% - Accent6 7 3 3 2" xfId="4170"/>
    <cellStyle name="20% - Accent6 7 3 3 2 2" xfId="8576"/>
    <cellStyle name="20% - Accent6 7 3 3 3" xfId="6366"/>
    <cellStyle name="20% - Accent6 7 3 4" xfId="2706"/>
    <cellStyle name="20% - Accent6 7 3 4 2" xfId="7112"/>
    <cellStyle name="20% - Accent6 7 3 5" xfId="4902"/>
    <cellStyle name="20% - Accent6 7 4" xfId="869"/>
    <cellStyle name="20% - Accent6 7 4 2" xfId="3079"/>
    <cellStyle name="20% - Accent6 7 4 2 2" xfId="7485"/>
    <cellStyle name="20% - Accent6 7 4 3" xfId="5275"/>
    <cellStyle name="20% - Accent6 7 5" xfId="1601"/>
    <cellStyle name="20% - Accent6 7 5 2" xfId="3811"/>
    <cellStyle name="20% - Accent6 7 5 2 2" xfId="8217"/>
    <cellStyle name="20% - Accent6 7 5 3" xfId="6007"/>
    <cellStyle name="20% - Accent6 7 6" xfId="2347"/>
    <cellStyle name="20% - Accent6 7 6 2" xfId="6753"/>
    <cellStyle name="20% - Accent6 7 7" xfId="4543"/>
    <cellStyle name="20% - Accent6 8" xfId="148"/>
    <cellStyle name="20% - Accent6 8 2" xfId="266"/>
    <cellStyle name="20% - Accent6 8 2 2" xfId="625"/>
    <cellStyle name="20% - Accent6 8 2 2 2" xfId="1358"/>
    <cellStyle name="20% - Accent6 8 2 2 2 2" xfId="3568"/>
    <cellStyle name="20% - Accent6 8 2 2 2 2 2" xfId="7974"/>
    <cellStyle name="20% - Accent6 8 2 2 2 3" xfId="5764"/>
    <cellStyle name="20% - Accent6 8 2 2 3" xfId="2090"/>
    <cellStyle name="20% - Accent6 8 2 2 3 2" xfId="4300"/>
    <cellStyle name="20% - Accent6 8 2 2 3 2 2" xfId="8706"/>
    <cellStyle name="20% - Accent6 8 2 2 3 3" xfId="6496"/>
    <cellStyle name="20% - Accent6 8 2 2 4" xfId="2836"/>
    <cellStyle name="20% - Accent6 8 2 2 4 2" xfId="7242"/>
    <cellStyle name="20% - Accent6 8 2 2 5" xfId="5032"/>
    <cellStyle name="20% - Accent6 8 2 3" xfId="999"/>
    <cellStyle name="20% - Accent6 8 2 3 2" xfId="3209"/>
    <cellStyle name="20% - Accent6 8 2 3 2 2" xfId="7615"/>
    <cellStyle name="20% - Accent6 8 2 3 3" xfId="5405"/>
    <cellStyle name="20% - Accent6 8 2 4" xfId="1731"/>
    <cellStyle name="20% - Accent6 8 2 4 2" xfId="3941"/>
    <cellStyle name="20% - Accent6 8 2 4 2 2" xfId="8347"/>
    <cellStyle name="20% - Accent6 8 2 4 3" xfId="6137"/>
    <cellStyle name="20% - Accent6 8 2 5" xfId="2477"/>
    <cellStyle name="20% - Accent6 8 2 5 2" xfId="6883"/>
    <cellStyle name="20% - Accent6 8 2 6" xfId="4673"/>
    <cellStyle name="20% - Accent6 8 3" xfId="509"/>
    <cellStyle name="20% - Accent6 8 3 2" xfId="1242"/>
    <cellStyle name="20% - Accent6 8 3 2 2" xfId="3452"/>
    <cellStyle name="20% - Accent6 8 3 2 2 2" xfId="7858"/>
    <cellStyle name="20% - Accent6 8 3 2 3" xfId="5648"/>
    <cellStyle name="20% - Accent6 8 3 3" xfId="1974"/>
    <cellStyle name="20% - Accent6 8 3 3 2" xfId="4184"/>
    <cellStyle name="20% - Accent6 8 3 3 2 2" xfId="8590"/>
    <cellStyle name="20% - Accent6 8 3 3 3" xfId="6380"/>
    <cellStyle name="20% - Accent6 8 3 4" xfId="2720"/>
    <cellStyle name="20% - Accent6 8 3 4 2" xfId="7126"/>
    <cellStyle name="20% - Accent6 8 3 5" xfId="4916"/>
    <cellStyle name="20% - Accent6 8 4" xfId="883"/>
    <cellStyle name="20% - Accent6 8 4 2" xfId="3093"/>
    <cellStyle name="20% - Accent6 8 4 2 2" xfId="7499"/>
    <cellStyle name="20% - Accent6 8 4 3" xfId="5289"/>
    <cellStyle name="20% - Accent6 8 5" xfId="1615"/>
    <cellStyle name="20% - Accent6 8 5 2" xfId="3825"/>
    <cellStyle name="20% - Accent6 8 5 2 2" xfId="8231"/>
    <cellStyle name="20% - Accent6 8 5 3" xfId="6021"/>
    <cellStyle name="20% - Accent6 8 6" xfId="2361"/>
    <cellStyle name="20% - Accent6 8 6 2" xfId="6767"/>
    <cellStyle name="20% - Accent6 8 7" xfId="4557"/>
    <cellStyle name="20% - Accent6 9" xfId="166"/>
    <cellStyle name="20% - Accent6 9 2" xfId="525"/>
    <cellStyle name="20% - Accent6 9 2 2" xfId="1258"/>
    <cellStyle name="20% - Accent6 9 2 2 2" xfId="3468"/>
    <cellStyle name="20% - Accent6 9 2 2 2 2" xfId="7874"/>
    <cellStyle name="20% - Accent6 9 2 2 3" xfId="5664"/>
    <cellStyle name="20% - Accent6 9 2 3" xfId="1990"/>
    <cellStyle name="20% - Accent6 9 2 3 2" xfId="4200"/>
    <cellStyle name="20% - Accent6 9 2 3 2 2" xfId="8606"/>
    <cellStyle name="20% - Accent6 9 2 3 3" xfId="6396"/>
    <cellStyle name="20% - Accent6 9 2 4" xfId="2736"/>
    <cellStyle name="20% - Accent6 9 2 4 2" xfId="7142"/>
    <cellStyle name="20% - Accent6 9 2 5" xfId="4932"/>
    <cellStyle name="20% - Accent6 9 3" xfId="899"/>
    <cellStyle name="20% - Accent6 9 3 2" xfId="3109"/>
    <cellStyle name="20% - Accent6 9 3 2 2" xfId="7515"/>
    <cellStyle name="20% - Accent6 9 3 3" xfId="5305"/>
    <cellStyle name="20% - Accent6 9 4" xfId="1631"/>
    <cellStyle name="20% - Accent6 9 4 2" xfId="3841"/>
    <cellStyle name="20% - Accent6 9 4 2 2" xfId="8247"/>
    <cellStyle name="20% - Accent6 9 4 3" xfId="6037"/>
    <cellStyle name="20% - Accent6 9 5" xfId="2377"/>
    <cellStyle name="20% - Accent6 9 5 2" xfId="6783"/>
    <cellStyle name="20% - Accent6 9 6" xfId="4573"/>
    <cellStyle name="40% - Accent1" xfId="21" builtinId="31" customBuiltin="1"/>
    <cellStyle name="40% - Accent1 10" xfId="271"/>
    <cellStyle name="40% - Accent1 10 2" xfId="630"/>
    <cellStyle name="40% - Accent1 10 2 2" xfId="1363"/>
    <cellStyle name="40% - Accent1 10 2 2 2" xfId="3573"/>
    <cellStyle name="40% - Accent1 10 2 2 2 2" xfId="7979"/>
    <cellStyle name="40% - Accent1 10 2 2 3" xfId="5769"/>
    <cellStyle name="40% - Accent1 10 2 3" xfId="2095"/>
    <cellStyle name="40% - Accent1 10 2 3 2" xfId="4305"/>
    <cellStyle name="40% - Accent1 10 2 3 2 2" xfId="8711"/>
    <cellStyle name="40% - Accent1 10 2 3 3" xfId="6501"/>
    <cellStyle name="40% - Accent1 10 2 4" xfId="2841"/>
    <cellStyle name="40% - Accent1 10 2 4 2" xfId="7247"/>
    <cellStyle name="40% - Accent1 10 2 5" xfId="5037"/>
    <cellStyle name="40% - Accent1 10 3" xfId="1004"/>
    <cellStyle name="40% - Accent1 10 3 2" xfId="3214"/>
    <cellStyle name="40% - Accent1 10 3 2 2" xfId="7620"/>
    <cellStyle name="40% - Accent1 10 3 3" xfId="5410"/>
    <cellStyle name="40% - Accent1 10 4" xfId="1736"/>
    <cellStyle name="40% - Accent1 10 4 2" xfId="3946"/>
    <cellStyle name="40% - Accent1 10 4 2 2" xfId="8352"/>
    <cellStyle name="40% - Accent1 10 4 3" xfId="6142"/>
    <cellStyle name="40% - Accent1 10 5" xfId="2482"/>
    <cellStyle name="40% - Accent1 10 5 2" xfId="6888"/>
    <cellStyle name="40% - Accent1 10 6" xfId="4678"/>
    <cellStyle name="40% - Accent1 11" xfId="285"/>
    <cellStyle name="40% - Accent1 11 2" xfId="644"/>
    <cellStyle name="40% - Accent1 11 2 2" xfId="1377"/>
    <cellStyle name="40% - Accent1 11 2 2 2" xfId="3587"/>
    <cellStyle name="40% - Accent1 11 2 2 2 2" xfId="7993"/>
    <cellStyle name="40% - Accent1 11 2 2 3" xfId="5783"/>
    <cellStyle name="40% - Accent1 11 2 3" xfId="2109"/>
    <cellStyle name="40% - Accent1 11 2 3 2" xfId="4319"/>
    <cellStyle name="40% - Accent1 11 2 3 2 2" xfId="8725"/>
    <cellStyle name="40% - Accent1 11 2 3 3" xfId="6515"/>
    <cellStyle name="40% - Accent1 11 2 4" xfId="2855"/>
    <cellStyle name="40% - Accent1 11 2 4 2" xfId="7261"/>
    <cellStyle name="40% - Accent1 11 2 5" xfId="5051"/>
    <cellStyle name="40% - Accent1 11 3" xfId="1018"/>
    <cellStyle name="40% - Accent1 11 3 2" xfId="3228"/>
    <cellStyle name="40% - Accent1 11 3 2 2" xfId="7634"/>
    <cellStyle name="40% - Accent1 11 3 3" xfId="5424"/>
    <cellStyle name="40% - Accent1 11 4" xfId="1750"/>
    <cellStyle name="40% - Accent1 11 4 2" xfId="3960"/>
    <cellStyle name="40% - Accent1 11 4 2 2" xfId="8366"/>
    <cellStyle name="40% - Accent1 11 4 3" xfId="6156"/>
    <cellStyle name="40% - Accent1 11 5" xfId="2496"/>
    <cellStyle name="40% - Accent1 11 5 2" xfId="6902"/>
    <cellStyle name="40% - Accent1 11 6" xfId="4692"/>
    <cellStyle name="40% - Accent1 12" xfId="299"/>
    <cellStyle name="40% - Accent1 12 2" xfId="658"/>
    <cellStyle name="40% - Accent1 12 2 2" xfId="1391"/>
    <cellStyle name="40% - Accent1 12 2 2 2" xfId="3601"/>
    <cellStyle name="40% - Accent1 12 2 2 2 2" xfId="8007"/>
    <cellStyle name="40% - Accent1 12 2 2 3" xfId="5797"/>
    <cellStyle name="40% - Accent1 12 2 3" xfId="2123"/>
    <cellStyle name="40% - Accent1 12 2 3 2" xfId="4333"/>
    <cellStyle name="40% - Accent1 12 2 3 2 2" xfId="8739"/>
    <cellStyle name="40% - Accent1 12 2 3 3" xfId="6529"/>
    <cellStyle name="40% - Accent1 12 2 4" xfId="2869"/>
    <cellStyle name="40% - Accent1 12 2 4 2" xfId="7275"/>
    <cellStyle name="40% - Accent1 12 2 5" xfId="5065"/>
    <cellStyle name="40% - Accent1 12 3" xfId="1032"/>
    <cellStyle name="40% - Accent1 12 3 2" xfId="3242"/>
    <cellStyle name="40% - Accent1 12 3 2 2" xfId="7648"/>
    <cellStyle name="40% - Accent1 12 3 3" xfId="5438"/>
    <cellStyle name="40% - Accent1 12 4" xfId="1764"/>
    <cellStyle name="40% - Accent1 12 4 2" xfId="3974"/>
    <cellStyle name="40% - Accent1 12 4 2 2" xfId="8380"/>
    <cellStyle name="40% - Accent1 12 4 3" xfId="6170"/>
    <cellStyle name="40% - Accent1 12 5" xfId="2510"/>
    <cellStyle name="40% - Accent1 12 5 2" xfId="6916"/>
    <cellStyle name="40% - Accent1 12 6" xfId="4706"/>
    <cellStyle name="40% - Accent1 13" xfId="313"/>
    <cellStyle name="40% - Accent1 13 2" xfId="672"/>
    <cellStyle name="40% - Accent1 13 2 2" xfId="1405"/>
    <cellStyle name="40% - Accent1 13 2 2 2" xfId="3615"/>
    <cellStyle name="40% - Accent1 13 2 2 2 2" xfId="8021"/>
    <cellStyle name="40% - Accent1 13 2 2 3" xfId="5811"/>
    <cellStyle name="40% - Accent1 13 2 3" xfId="2137"/>
    <cellStyle name="40% - Accent1 13 2 3 2" xfId="4347"/>
    <cellStyle name="40% - Accent1 13 2 3 2 2" xfId="8753"/>
    <cellStyle name="40% - Accent1 13 2 3 3" xfId="6543"/>
    <cellStyle name="40% - Accent1 13 2 4" xfId="2883"/>
    <cellStyle name="40% - Accent1 13 2 4 2" xfId="7289"/>
    <cellStyle name="40% - Accent1 13 2 5" xfId="5079"/>
    <cellStyle name="40% - Accent1 13 3" xfId="1046"/>
    <cellStyle name="40% - Accent1 13 3 2" xfId="3256"/>
    <cellStyle name="40% - Accent1 13 3 2 2" xfId="7662"/>
    <cellStyle name="40% - Accent1 13 3 3" xfId="5452"/>
    <cellStyle name="40% - Accent1 13 4" xfId="1778"/>
    <cellStyle name="40% - Accent1 13 4 2" xfId="3988"/>
    <cellStyle name="40% - Accent1 13 4 2 2" xfId="8394"/>
    <cellStyle name="40% - Accent1 13 4 3" xfId="6184"/>
    <cellStyle name="40% - Accent1 13 5" xfId="2524"/>
    <cellStyle name="40% - Accent1 13 5 2" xfId="6930"/>
    <cellStyle name="40% - Accent1 13 6" xfId="4720"/>
    <cellStyle name="40% - Accent1 14" xfId="327"/>
    <cellStyle name="40% - Accent1 14 2" xfId="686"/>
    <cellStyle name="40% - Accent1 14 2 2" xfId="1419"/>
    <cellStyle name="40% - Accent1 14 2 2 2" xfId="3629"/>
    <cellStyle name="40% - Accent1 14 2 2 2 2" xfId="8035"/>
    <cellStyle name="40% - Accent1 14 2 2 3" xfId="5825"/>
    <cellStyle name="40% - Accent1 14 2 3" xfId="2151"/>
    <cellStyle name="40% - Accent1 14 2 3 2" xfId="4361"/>
    <cellStyle name="40% - Accent1 14 2 3 2 2" xfId="8767"/>
    <cellStyle name="40% - Accent1 14 2 3 3" xfId="6557"/>
    <cellStyle name="40% - Accent1 14 2 4" xfId="2897"/>
    <cellStyle name="40% - Accent1 14 2 4 2" xfId="7303"/>
    <cellStyle name="40% - Accent1 14 2 5" xfId="5093"/>
    <cellStyle name="40% - Accent1 14 3" xfId="1060"/>
    <cellStyle name="40% - Accent1 14 3 2" xfId="3270"/>
    <cellStyle name="40% - Accent1 14 3 2 2" xfId="7676"/>
    <cellStyle name="40% - Accent1 14 3 3" xfId="5466"/>
    <cellStyle name="40% - Accent1 14 4" xfId="1792"/>
    <cellStyle name="40% - Accent1 14 4 2" xfId="4002"/>
    <cellStyle name="40% - Accent1 14 4 2 2" xfId="8408"/>
    <cellStyle name="40% - Accent1 14 4 3" xfId="6198"/>
    <cellStyle name="40% - Accent1 14 5" xfId="2538"/>
    <cellStyle name="40% - Accent1 14 5 2" xfId="6944"/>
    <cellStyle name="40% - Accent1 14 6" xfId="4734"/>
    <cellStyle name="40% - Accent1 15" xfId="341"/>
    <cellStyle name="40% - Accent1 15 2" xfId="700"/>
    <cellStyle name="40% - Accent1 15 2 2" xfId="1433"/>
    <cellStyle name="40% - Accent1 15 2 2 2" xfId="3643"/>
    <cellStyle name="40% - Accent1 15 2 2 2 2" xfId="8049"/>
    <cellStyle name="40% - Accent1 15 2 2 3" xfId="5839"/>
    <cellStyle name="40% - Accent1 15 2 3" xfId="2165"/>
    <cellStyle name="40% - Accent1 15 2 3 2" xfId="4375"/>
    <cellStyle name="40% - Accent1 15 2 3 2 2" xfId="8781"/>
    <cellStyle name="40% - Accent1 15 2 3 3" xfId="6571"/>
    <cellStyle name="40% - Accent1 15 2 4" xfId="2911"/>
    <cellStyle name="40% - Accent1 15 2 4 2" xfId="7317"/>
    <cellStyle name="40% - Accent1 15 2 5" xfId="5107"/>
    <cellStyle name="40% - Accent1 15 3" xfId="1074"/>
    <cellStyle name="40% - Accent1 15 3 2" xfId="3284"/>
    <cellStyle name="40% - Accent1 15 3 2 2" xfId="7690"/>
    <cellStyle name="40% - Accent1 15 3 3" xfId="5480"/>
    <cellStyle name="40% - Accent1 15 4" xfId="1806"/>
    <cellStyle name="40% - Accent1 15 4 2" xfId="4016"/>
    <cellStyle name="40% - Accent1 15 4 2 2" xfId="8422"/>
    <cellStyle name="40% - Accent1 15 4 3" xfId="6212"/>
    <cellStyle name="40% - Accent1 15 5" xfId="2552"/>
    <cellStyle name="40% - Accent1 15 5 2" xfId="6958"/>
    <cellStyle name="40% - Accent1 15 6" xfId="4748"/>
    <cellStyle name="40% - Accent1 16" xfId="355"/>
    <cellStyle name="40% - Accent1 16 2" xfId="714"/>
    <cellStyle name="40% - Accent1 16 2 2" xfId="1447"/>
    <cellStyle name="40% - Accent1 16 2 2 2" xfId="3657"/>
    <cellStyle name="40% - Accent1 16 2 2 2 2" xfId="8063"/>
    <cellStyle name="40% - Accent1 16 2 2 3" xfId="5853"/>
    <cellStyle name="40% - Accent1 16 2 3" xfId="2179"/>
    <cellStyle name="40% - Accent1 16 2 3 2" xfId="4389"/>
    <cellStyle name="40% - Accent1 16 2 3 2 2" xfId="8795"/>
    <cellStyle name="40% - Accent1 16 2 3 3" xfId="6585"/>
    <cellStyle name="40% - Accent1 16 2 4" xfId="2925"/>
    <cellStyle name="40% - Accent1 16 2 4 2" xfId="7331"/>
    <cellStyle name="40% - Accent1 16 2 5" xfId="5121"/>
    <cellStyle name="40% - Accent1 16 3" xfId="1088"/>
    <cellStyle name="40% - Accent1 16 3 2" xfId="3298"/>
    <cellStyle name="40% - Accent1 16 3 2 2" xfId="7704"/>
    <cellStyle name="40% - Accent1 16 3 3" xfId="5494"/>
    <cellStyle name="40% - Accent1 16 4" xfId="1820"/>
    <cellStyle name="40% - Accent1 16 4 2" xfId="4030"/>
    <cellStyle name="40% - Accent1 16 4 2 2" xfId="8436"/>
    <cellStyle name="40% - Accent1 16 4 3" xfId="6226"/>
    <cellStyle name="40% - Accent1 16 5" xfId="2566"/>
    <cellStyle name="40% - Accent1 16 5 2" xfId="6972"/>
    <cellStyle name="40% - Accent1 16 6" xfId="4762"/>
    <cellStyle name="40% - Accent1 17" xfId="369"/>
    <cellStyle name="40% - Accent1 17 2" xfId="728"/>
    <cellStyle name="40% - Accent1 17 2 2" xfId="1461"/>
    <cellStyle name="40% - Accent1 17 2 2 2" xfId="3671"/>
    <cellStyle name="40% - Accent1 17 2 2 2 2" xfId="8077"/>
    <cellStyle name="40% - Accent1 17 2 2 3" xfId="5867"/>
    <cellStyle name="40% - Accent1 17 2 3" xfId="2193"/>
    <cellStyle name="40% - Accent1 17 2 3 2" xfId="4403"/>
    <cellStyle name="40% - Accent1 17 2 3 2 2" xfId="8809"/>
    <cellStyle name="40% - Accent1 17 2 3 3" xfId="6599"/>
    <cellStyle name="40% - Accent1 17 2 4" xfId="2939"/>
    <cellStyle name="40% - Accent1 17 2 4 2" xfId="7345"/>
    <cellStyle name="40% - Accent1 17 2 5" xfId="5135"/>
    <cellStyle name="40% - Accent1 17 3" xfId="1102"/>
    <cellStyle name="40% - Accent1 17 3 2" xfId="3312"/>
    <cellStyle name="40% - Accent1 17 3 2 2" xfId="7718"/>
    <cellStyle name="40% - Accent1 17 3 3" xfId="5508"/>
    <cellStyle name="40% - Accent1 17 4" xfId="1834"/>
    <cellStyle name="40% - Accent1 17 4 2" xfId="4044"/>
    <cellStyle name="40% - Accent1 17 4 2 2" xfId="8450"/>
    <cellStyle name="40% - Accent1 17 4 3" xfId="6240"/>
    <cellStyle name="40% - Accent1 17 5" xfId="2580"/>
    <cellStyle name="40% - Accent1 17 5 2" xfId="6986"/>
    <cellStyle name="40% - Accent1 17 6" xfId="4776"/>
    <cellStyle name="40% - Accent1 18" xfId="383"/>
    <cellStyle name="40% - Accent1 18 2" xfId="742"/>
    <cellStyle name="40% - Accent1 18 2 2" xfId="1475"/>
    <cellStyle name="40% - Accent1 18 2 2 2" xfId="3685"/>
    <cellStyle name="40% - Accent1 18 2 2 2 2" xfId="8091"/>
    <cellStyle name="40% - Accent1 18 2 2 3" xfId="5881"/>
    <cellStyle name="40% - Accent1 18 2 3" xfId="2207"/>
    <cellStyle name="40% - Accent1 18 2 3 2" xfId="4417"/>
    <cellStyle name="40% - Accent1 18 2 3 2 2" xfId="8823"/>
    <cellStyle name="40% - Accent1 18 2 3 3" xfId="6613"/>
    <cellStyle name="40% - Accent1 18 2 4" xfId="2953"/>
    <cellStyle name="40% - Accent1 18 2 4 2" xfId="7359"/>
    <cellStyle name="40% - Accent1 18 2 5" xfId="5149"/>
    <cellStyle name="40% - Accent1 18 3" xfId="1116"/>
    <cellStyle name="40% - Accent1 18 3 2" xfId="3326"/>
    <cellStyle name="40% - Accent1 18 3 2 2" xfId="7732"/>
    <cellStyle name="40% - Accent1 18 3 3" xfId="5522"/>
    <cellStyle name="40% - Accent1 18 4" xfId="1848"/>
    <cellStyle name="40% - Accent1 18 4 2" xfId="4058"/>
    <cellStyle name="40% - Accent1 18 4 2 2" xfId="8464"/>
    <cellStyle name="40% - Accent1 18 4 3" xfId="6254"/>
    <cellStyle name="40% - Accent1 18 5" xfId="2594"/>
    <cellStyle name="40% - Accent1 18 5 2" xfId="7000"/>
    <cellStyle name="40% - Accent1 18 6" xfId="4790"/>
    <cellStyle name="40% - Accent1 19" xfId="400"/>
    <cellStyle name="40% - Accent1 19 2" xfId="1133"/>
    <cellStyle name="40% - Accent1 19 2 2" xfId="3343"/>
    <cellStyle name="40% - Accent1 19 2 2 2" xfId="7749"/>
    <cellStyle name="40% - Accent1 19 2 3" xfId="5539"/>
    <cellStyle name="40% - Accent1 19 3" xfId="1865"/>
    <cellStyle name="40% - Accent1 19 3 2" xfId="4075"/>
    <cellStyle name="40% - Accent1 19 3 2 2" xfId="8481"/>
    <cellStyle name="40% - Accent1 19 3 3" xfId="6271"/>
    <cellStyle name="40% - Accent1 19 4" xfId="2611"/>
    <cellStyle name="40% - Accent1 19 4 2" xfId="7017"/>
    <cellStyle name="40% - Accent1 19 5" xfId="4807"/>
    <cellStyle name="40% - Accent1 2" xfId="55"/>
    <cellStyle name="40% - Accent1 2 2" xfId="173"/>
    <cellStyle name="40% - Accent1 2 2 2" xfId="532"/>
    <cellStyle name="40% - Accent1 2 2 2 2" xfId="1265"/>
    <cellStyle name="40% - Accent1 2 2 2 2 2" xfId="3475"/>
    <cellStyle name="40% - Accent1 2 2 2 2 2 2" xfId="7881"/>
    <cellStyle name="40% - Accent1 2 2 2 2 3" xfId="5671"/>
    <cellStyle name="40% - Accent1 2 2 2 3" xfId="1997"/>
    <cellStyle name="40% - Accent1 2 2 2 3 2" xfId="4207"/>
    <cellStyle name="40% - Accent1 2 2 2 3 2 2" xfId="8613"/>
    <cellStyle name="40% - Accent1 2 2 2 3 3" xfId="6403"/>
    <cellStyle name="40% - Accent1 2 2 2 4" xfId="2743"/>
    <cellStyle name="40% - Accent1 2 2 2 4 2" xfId="7149"/>
    <cellStyle name="40% - Accent1 2 2 2 5" xfId="4939"/>
    <cellStyle name="40% - Accent1 2 2 3" xfId="906"/>
    <cellStyle name="40% - Accent1 2 2 3 2" xfId="3116"/>
    <cellStyle name="40% - Accent1 2 2 3 2 2" xfId="7522"/>
    <cellStyle name="40% - Accent1 2 2 3 3" xfId="5312"/>
    <cellStyle name="40% - Accent1 2 2 4" xfId="1638"/>
    <cellStyle name="40% - Accent1 2 2 4 2" xfId="3848"/>
    <cellStyle name="40% - Accent1 2 2 4 2 2" xfId="8254"/>
    <cellStyle name="40% - Accent1 2 2 4 3" xfId="6044"/>
    <cellStyle name="40% - Accent1 2 2 5" xfId="2384"/>
    <cellStyle name="40% - Accent1 2 2 5 2" xfId="6790"/>
    <cellStyle name="40% - Accent1 2 2 6" xfId="4580"/>
    <cellStyle name="40% - Accent1 2 3" xfId="416"/>
    <cellStyle name="40% - Accent1 2 3 2" xfId="1149"/>
    <cellStyle name="40% - Accent1 2 3 2 2" xfId="3359"/>
    <cellStyle name="40% - Accent1 2 3 2 2 2" xfId="7765"/>
    <cellStyle name="40% - Accent1 2 3 2 3" xfId="5555"/>
    <cellStyle name="40% - Accent1 2 3 3" xfId="1881"/>
    <cellStyle name="40% - Accent1 2 3 3 2" xfId="4091"/>
    <cellStyle name="40% - Accent1 2 3 3 2 2" xfId="8497"/>
    <cellStyle name="40% - Accent1 2 3 3 3" xfId="6287"/>
    <cellStyle name="40% - Accent1 2 3 4" xfId="2627"/>
    <cellStyle name="40% - Accent1 2 3 4 2" xfId="7033"/>
    <cellStyle name="40% - Accent1 2 3 5" xfId="4823"/>
    <cellStyle name="40% - Accent1 2 4" xfId="790"/>
    <cellStyle name="40% - Accent1 2 4 2" xfId="3000"/>
    <cellStyle name="40% - Accent1 2 4 2 2" xfId="7406"/>
    <cellStyle name="40% - Accent1 2 4 3" xfId="5196"/>
    <cellStyle name="40% - Accent1 2 5" xfId="1522"/>
    <cellStyle name="40% - Accent1 2 5 2" xfId="3732"/>
    <cellStyle name="40% - Accent1 2 5 2 2" xfId="8138"/>
    <cellStyle name="40% - Accent1 2 5 3" xfId="5928"/>
    <cellStyle name="40% - Accent1 2 6" xfId="2268"/>
    <cellStyle name="40% - Accent1 2 6 2" xfId="6674"/>
    <cellStyle name="40% - Accent1 2 7" xfId="4464"/>
    <cellStyle name="40% - Accent1 20" xfId="757"/>
    <cellStyle name="40% - Accent1 20 2" xfId="1490"/>
    <cellStyle name="40% - Accent1 20 2 2" xfId="3700"/>
    <cellStyle name="40% - Accent1 20 2 2 2" xfId="8106"/>
    <cellStyle name="40% - Accent1 20 2 3" xfId="5896"/>
    <cellStyle name="40% - Accent1 20 3" xfId="2222"/>
    <cellStyle name="40% - Accent1 20 3 2" xfId="4432"/>
    <cellStyle name="40% - Accent1 20 3 2 2" xfId="8838"/>
    <cellStyle name="40% - Accent1 20 3 3" xfId="6628"/>
    <cellStyle name="40% - Accent1 20 4" xfId="2968"/>
    <cellStyle name="40% - Accent1 20 4 2" xfId="7374"/>
    <cellStyle name="40% - Accent1 20 5" xfId="5164"/>
    <cellStyle name="40% - Accent1 21" xfId="774"/>
    <cellStyle name="40% - Accent1 21 2" xfId="2984"/>
    <cellStyle name="40% - Accent1 21 2 2" xfId="7390"/>
    <cellStyle name="40% - Accent1 21 3" xfId="5180"/>
    <cellStyle name="40% - Accent1 22" xfId="1506"/>
    <cellStyle name="40% - Accent1 22 2" xfId="3716"/>
    <cellStyle name="40% - Accent1 22 2 2" xfId="8122"/>
    <cellStyle name="40% - Accent1 22 3" xfId="5912"/>
    <cellStyle name="40% - Accent1 23" xfId="2236"/>
    <cellStyle name="40% - Accent1 23 2" xfId="6642"/>
    <cellStyle name="40% - Accent1 24" xfId="2252"/>
    <cellStyle name="40% - Accent1 24 2" xfId="6658"/>
    <cellStyle name="40% - Accent1 25" xfId="4448"/>
    <cellStyle name="40% - Accent1 3" xfId="69"/>
    <cellStyle name="40% - Accent1 3 2" xfId="187"/>
    <cellStyle name="40% - Accent1 3 2 2" xfId="546"/>
    <cellStyle name="40% - Accent1 3 2 2 2" xfId="1279"/>
    <cellStyle name="40% - Accent1 3 2 2 2 2" xfId="3489"/>
    <cellStyle name="40% - Accent1 3 2 2 2 2 2" xfId="7895"/>
    <cellStyle name="40% - Accent1 3 2 2 2 3" xfId="5685"/>
    <cellStyle name="40% - Accent1 3 2 2 3" xfId="2011"/>
    <cellStyle name="40% - Accent1 3 2 2 3 2" xfId="4221"/>
    <cellStyle name="40% - Accent1 3 2 2 3 2 2" xfId="8627"/>
    <cellStyle name="40% - Accent1 3 2 2 3 3" xfId="6417"/>
    <cellStyle name="40% - Accent1 3 2 2 4" xfId="2757"/>
    <cellStyle name="40% - Accent1 3 2 2 4 2" xfId="7163"/>
    <cellStyle name="40% - Accent1 3 2 2 5" xfId="4953"/>
    <cellStyle name="40% - Accent1 3 2 3" xfId="920"/>
    <cellStyle name="40% - Accent1 3 2 3 2" xfId="3130"/>
    <cellStyle name="40% - Accent1 3 2 3 2 2" xfId="7536"/>
    <cellStyle name="40% - Accent1 3 2 3 3" xfId="5326"/>
    <cellStyle name="40% - Accent1 3 2 4" xfId="1652"/>
    <cellStyle name="40% - Accent1 3 2 4 2" xfId="3862"/>
    <cellStyle name="40% - Accent1 3 2 4 2 2" xfId="8268"/>
    <cellStyle name="40% - Accent1 3 2 4 3" xfId="6058"/>
    <cellStyle name="40% - Accent1 3 2 5" xfId="2398"/>
    <cellStyle name="40% - Accent1 3 2 5 2" xfId="6804"/>
    <cellStyle name="40% - Accent1 3 2 6" xfId="4594"/>
    <cellStyle name="40% - Accent1 3 3" xfId="430"/>
    <cellStyle name="40% - Accent1 3 3 2" xfId="1163"/>
    <cellStyle name="40% - Accent1 3 3 2 2" xfId="3373"/>
    <cellStyle name="40% - Accent1 3 3 2 2 2" xfId="7779"/>
    <cellStyle name="40% - Accent1 3 3 2 3" xfId="5569"/>
    <cellStyle name="40% - Accent1 3 3 3" xfId="1895"/>
    <cellStyle name="40% - Accent1 3 3 3 2" xfId="4105"/>
    <cellStyle name="40% - Accent1 3 3 3 2 2" xfId="8511"/>
    <cellStyle name="40% - Accent1 3 3 3 3" xfId="6301"/>
    <cellStyle name="40% - Accent1 3 3 4" xfId="2641"/>
    <cellStyle name="40% - Accent1 3 3 4 2" xfId="7047"/>
    <cellStyle name="40% - Accent1 3 3 5" xfId="4837"/>
    <cellStyle name="40% - Accent1 3 4" xfId="804"/>
    <cellStyle name="40% - Accent1 3 4 2" xfId="3014"/>
    <cellStyle name="40% - Accent1 3 4 2 2" xfId="7420"/>
    <cellStyle name="40% - Accent1 3 4 3" xfId="5210"/>
    <cellStyle name="40% - Accent1 3 5" xfId="1536"/>
    <cellStyle name="40% - Accent1 3 5 2" xfId="3746"/>
    <cellStyle name="40% - Accent1 3 5 2 2" xfId="8152"/>
    <cellStyle name="40% - Accent1 3 5 3" xfId="5942"/>
    <cellStyle name="40% - Accent1 3 6" xfId="2282"/>
    <cellStyle name="40% - Accent1 3 6 2" xfId="6688"/>
    <cellStyle name="40% - Accent1 3 7" xfId="4478"/>
    <cellStyle name="40% - Accent1 4" xfId="83"/>
    <cellStyle name="40% - Accent1 4 2" xfId="201"/>
    <cellStyle name="40% - Accent1 4 2 2" xfId="560"/>
    <cellStyle name="40% - Accent1 4 2 2 2" xfId="1293"/>
    <cellStyle name="40% - Accent1 4 2 2 2 2" xfId="3503"/>
    <cellStyle name="40% - Accent1 4 2 2 2 2 2" xfId="7909"/>
    <cellStyle name="40% - Accent1 4 2 2 2 3" xfId="5699"/>
    <cellStyle name="40% - Accent1 4 2 2 3" xfId="2025"/>
    <cellStyle name="40% - Accent1 4 2 2 3 2" xfId="4235"/>
    <cellStyle name="40% - Accent1 4 2 2 3 2 2" xfId="8641"/>
    <cellStyle name="40% - Accent1 4 2 2 3 3" xfId="6431"/>
    <cellStyle name="40% - Accent1 4 2 2 4" xfId="2771"/>
    <cellStyle name="40% - Accent1 4 2 2 4 2" xfId="7177"/>
    <cellStyle name="40% - Accent1 4 2 2 5" xfId="4967"/>
    <cellStyle name="40% - Accent1 4 2 3" xfId="934"/>
    <cellStyle name="40% - Accent1 4 2 3 2" xfId="3144"/>
    <cellStyle name="40% - Accent1 4 2 3 2 2" xfId="7550"/>
    <cellStyle name="40% - Accent1 4 2 3 3" xfId="5340"/>
    <cellStyle name="40% - Accent1 4 2 4" xfId="1666"/>
    <cellStyle name="40% - Accent1 4 2 4 2" xfId="3876"/>
    <cellStyle name="40% - Accent1 4 2 4 2 2" xfId="8282"/>
    <cellStyle name="40% - Accent1 4 2 4 3" xfId="6072"/>
    <cellStyle name="40% - Accent1 4 2 5" xfId="2412"/>
    <cellStyle name="40% - Accent1 4 2 5 2" xfId="6818"/>
    <cellStyle name="40% - Accent1 4 2 6" xfId="4608"/>
    <cellStyle name="40% - Accent1 4 3" xfId="444"/>
    <cellStyle name="40% - Accent1 4 3 2" xfId="1177"/>
    <cellStyle name="40% - Accent1 4 3 2 2" xfId="3387"/>
    <cellStyle name="40% - Accent1 4 3 2 2 2" xfId="7793"/>
    <cellStyle name="40% - Accent1 4 3 2 3" xfId="5583"/>
    <cellStyle name="40% - Accent1 4 3 3" xfId="1909"/>
    <cellStyle name="40% - Accent1 4 3 3 2" xfId="4119"/>
    <cellStyle name="40% - Accent1 4 3 3 2 2" xfId="8525"/>
    <cellStyle name="40% - Accent1 4 3 3 3" xfId="6315"/>
    <cellStyle name="40% - Accent1 4 3 4" xfId="2655"/>
    <cellStyle name="40% - Accent1 4 3 4 2" xfId="7061"/>
    <cellStyle name="40% - Accent1 4 3 5" xfId="4851"/>
    <cellStyle name="40% - Accent1 4 4" xfId="818"/>
    <cellStyle name="40% - Accent1 4 4 2" xfId="3028"/>
    <cellStyle name="40% - Accent1 4 4 2 2" xfId="7434"/>
    <cellStyle name="40% - Accent1 4 4 3" xfId="5224"/>
    <cellStyle name="40% - Accent1 4 5" xfId="1550"/>
    <cellStyle name="40% - Accent1 4 5 2" xfId="3760"/>
    <cellStyle name="40% - Accent1 4 5 2 2" xfId="8166"/>
    <cellStyle name="40% - Accent1 4 5 3" xfId="5956"/>
    <cellStyle name="40% - Accent1 4 6" xfId="2296"/>
    <cellStyle name="40% - Accent1 4 6 2" xfId="6702"/>
    <cellStyle name="40% - Accent1 4 7" xfId="4492"/>
    <cellStyle name="40% - Accent1 5" xfId="97"/>
    <cellStyle name="40% - Accent1 5 2" xfId="215"/>
    <cellStyle name="40% - Accent1 5 2 2" xfId="574"/>
    <cellStyle name="40% - Accent1 5 2 2 2" xfId="1307"/>
    <cellStyle name="40% - Accent1 5 2 2 2 2" xfId="3517"/>
    <cellStyle name="40% - Accent1 5 2 2 2 2 2" xfId="7923"/>
    <cellStyle name="40% - Accent1 5 2 2 2 3" xfId="5713"/>
    <cellStyle name="40% - Accent1 5 2 2 3" xfId="2039"/>
    <cellStyle name="40% - Accent1 5 2 2 3 2" xfId="4249"/>
    <cellStyle name="40% - Accent1 5 2 2 3 2 2" xfId="8655"/>
    <cellStyle name="40% - Accent1 5 2 2 3 3" xfId="6445"/>
    <cellStyle name="40% - Accent1 5 2 2 4" xfId="2785"/>
    <cellStyle name="40% - Accent1 5 2 2 4 2" xfId="7191"/>
    <cellStyle name="40% - Accent1 5 2 2 5" xfId="4981"/>
    <cellStyle name="40% - Accent1 5 2 3" xfId="948"/>
    <cellStyle name="40% - Accent1 5 2 3 2" xfId="3158"/>
    <cellStyle name="40% - Accent1 5 2 3 2 2" xfId="7564"/>
    <cellStyle name="40% - Accent1 5 2 3 3" xfId="5354"/>
    <cellStyle name="40% - Accent1 5 2 4" xfId="1680"/>
    <cellStyle name="40% - Accent1 5 2 4 2" xfId="3890"/>
    <cellStyle name="40% - Accent1 5 2 4 2 2" xfId="8296"/>
    <cellStyle name="40% - Accent1 5 2 4 3" xfId="6086"/>
    <cellStyle name="40% - Accent1 5 2 5" xfId="2426"/>
    <cellStyle name="40% - Accent1 5 2 5 2" xfId="6832"/>
    <cellStyle name="40% - Accent1 5 2 6" xfId="4622"/>
    <cellStyle name="40% - Accent1 5 3" xfId="458"/>
    <cellStyle name="40% - Accent1 5 3 2" xfId="1191"/>
    <cellStyle name="40% - Accent1 5 3 2 2" xfId="3401"/>
    <cellStyle name="40% - Accent1 5 3 2 2 2" xfId="7807"/>
    <cellStyle name="40% - Accent1 5 3 2 3" xfId="5597"/>
    <cellStyle name="40% - Accent1 5 3 3" xfId="1923"/>
    <cellStyle name="40% - Accent1 5 3 3 2" xfId="4133"/>
    <cellStyle name="40% - Accent1 5 3 3 2 2" xfId="8539"/>
    <cellStyle name="40% - Accent1 5 3 3 3" xfId="6329"/>
    <cellStyle name="40% - Accent1 5 3 4" xfId="2669"/>
    <cellStyle name="40% - Accent1 5 3 4 2" xfId="7075"/>
    <cellStyle name="40% - Accent1 5 3 5" xfId="4865"/>
    <cellStyle name="40% - Accent1 5 4" xfId="832"/>
    <cellStyle name="40% - Accent1 5 4 2" xfId="3042"/>
    <cellStyle name="40% - Accent1 5 4 2 2" xfId="7448"/>
    <cellStyle name="40% - Accent1 5 4 3" xfId="5238"/>
    <cellStyle name="40% - Accent1 5 5" xfId="1564"/>
    <cellStyle name="40% - Accent1 5 5 2" xfId="3774"/>
    <cellStyle name="40% - Accent1 5 5 2 2" xfId="8180"/>
    <cellStyle name="40% - Accent1 5 5 3" xfId="5970"/>
    <cellStyle name="40% - Accent1 5 6" xfId="2310"/>
    <cellStyle name="40% - Accent1 5 6 2" xfId="6716"/>
    <cellStyle name="40% - Accent1 5 7" xfId="4506"/>
    <cellStyle name="40% - Accent1 6" xfId="111"/>
    <cellStyle name="40% - Accent1 6 2" xfId="229"/>
    <cellStyle name="40% - Accent1 6 2 2" xfId="588"/>
    <cellStyle name="40% - Accent1 6 2 2 2" xfId="1321"/>
    <cellStyle name="40% - Accent1 6 2 2 2 2" xfId="3531"/>
    <cellStyle name="40% - Accent1 6 2 2 2 2 2" xfId="7937"/>
    <cellStyle name="40% - Accent1 6 2 2 2 3" xfId="5727"/>
    <cellStyle name="40% - Accent1 6 2 2 3" xfId="2053"/>
    <cellStyle name="40% - Accent1 6 2 2 3 2" xfId="4263"/>
    <cellStyle name="40% - Accent1 6 2 2 3 2 2" xfId="8669"/>
    <cellStyle name="40% - Accent1 6 2 2 3 3" xfId="6459"/>
    <cellStyle name="40% - Accent1 6 2 2 4" xfId="2799"/>
    <cellStyle name="40% - Accent1 6 2 2 4 2" xfId="7205"/>
    <cellStyle name="40% - Accent1 6 2 2 5" xfId="4995"/>
    <cellStyle name="40% - Accent1 6 2 3" xfId="962"/>
    <cellStyle name="40% - Accent1 6 2 3 2" xfId="3172"/>
    <cellStyle name="40% - Accent1 6 2 3 2 2" xfId="7578"/>
    <cellStyle name="40% - Accent1 6 2 3 3" xfId="5368"/>
    <cellStyle name="40% - Accent1 6 2 4" xfId="1694"/>
    <cellStyle name="40% - Accent1 6 2 4 2" xfId="3904"/>
    <cellStyle name="40% - Accent1 6 2 4 2 2" xfId="8310"/>
    <cellStyle name="40% - Accent1 6 2 4 3" xfId="6100"/>
    <cellStyle name="40% - Accent1 6 2 5" xfId="2440"/>
    <cellStyle name="40% - Accent1 6 2 5 2" xfId="6846"/>
    <cellStyle name="40% - Accent1 6 2 6" xfId="4636"/>
    <cellStyle name="40% - Accent1 6 3" xfId="472"/>
    <cellStyle name="40% - Accent1 6 3 2" xfId="1205"/>
    <cellStyle name="40% - Accent1 6 3 2 2" xfId="3415"/>
    <cellStyle name="40% - Accent1 6 3 2 2 2" xfId="7821"/>
    <cellStyle name="40% - Accent1 6 3 2 3" xfId="5611"/>
    <cellStyle name="40% - Accent1 6 3 3" xfId="1937"/>
    <cellStyle name="40% - Accent1 6 3 3 2" xfId="4147"/>
    <cellStyle name="40% - Accent1 6 3 3 2 2" xfId="8553"/>
    <cellStyle name="40% - Accent1 6 3 3 3" xfId="6343"/>
    <cellStyle name="40% - Accent1 6 3 4" xfId="2683"/>
    <cellStyle name="40% - Accent1 6 3 4 2" xfId="7089"/>
    <cellStyle name="40% - Accent1 6 3 5" xfId="4879"/>
    <cellStyle name="40% - Accent1 6 4" xfId="846"/>
    <cellStyle name="40% - Accent1 6 4 2" xfId="3056"/>
    <cellStyle name="40% - Accent1 6 4 2 2" xfId="7462"/>
    <cellStyle name="40% - Accent1 6 4 3" xfId="5252"/>
    <cellStyle name="40% - Accent1 6 5" xfId="1578"/>
    <cellStyle name="40% - Accent1 6 5 2" xfId="3788"/>
    <cellStyle name="40% - Accent1 6 5 2 2" xfId="8194"/>
    <cellStyle name="40% - Accent1 6 5 3" xfId="5984"/>
    <cellStyle name="40% - Accent1 6 6" xfId="2324"/>
    <cellStyle name="40% - Accent1 6 6 2" xfId="6730"/>
    <cellStyle name="40% - Accent1 6 7" xfId="4520"/>
    <cellStyle name="40% - Accent1 7" xfId="125"/>
    <cellStyle name="40% - Accent1 7 2" xfId="243"/>
    <cellStyle name="40% - Accent1 7 2 2" xfId="602"/>
    <cellStyle name="40% - Accent1 7 2 2 2" xfId="1335"/>
    <cellStyle name="40% - Accent1 7 2 2 2 2" xfId="3545"/>
    <cellStyle name="40% - Accent1 7 2 2 2 2 2" xfId="7951"/>
    <cellStyle name="40% - Accent1 7 2 2 2 3" xfId="5741"/>
    <cellStyle name="40% - Accent1 7 2 2 3" xfId="2067"/>
    <cellStyle name="40% - Accent1 7 2 2 3 2" xfId="4277"/>
    <cellStyle name="40% - Accent1 7 2 2 3 2 2" xfId="8683"/>
    <cellStyle name="40% - Accent1 7 2 2 3 3" xfId="6473"/>
    <cellStyle name="40% - Accent1 7 2 2 4" xfId="2813"/>
    <cellStyle name="40% - Accent1 7 2 2 4 2" xfId="7219"/>
    <cellStyle name="40% - Accent1 7 2 2 5" xfId="5009"/>
    <cellStyle name="40% - Accent1 7 2 3" xfId="976"/>
    <cellStyle name="40% - Accent1 7 2 3 2" xfId="3186"/>
    <cellStyle name="40% - Accent1 7 2 3 2 2" xfId="7592"/>
    <cellStyle name="40% - Accent1 7 2 3 3" xfId="5382"/>
    <cellStyle name="40% - Accent1 7 2 4" xfId="1708"/>
    <cellStyle name="40% - Accent1 7 2 4 2" xfId="3918"/>
    <cellStyle name="40% - Accent1 7 2 4 2 2" xfId="8324"/>
    <cellStyle name="40% - Accent1 7 2 4 3" xfId="6114"/>
    <cellStyle name="40% - Accent1 7 2 5" xfId="2454"/>
    <cellStyle name="40% - Accent1 7 2 5 2" xfId="6860"/>
    <cellStyle name="40% - Accent1 7 2 6" xfId="4650"/>
    <cellStyle name="40% - Accent1 7 3" xfId="486"/>
    <cellStyle name="40% - Accent1 7 3 2" xfId="1219"/>
    <cellStyle name="40% - Accent1 7 3 2 2" xfId="3429"/>
    <cellStyle name="40% - Accent1 7 3 2 2 2" xfId="7835"/>
    <cellStyle name="40% - Accent1 7 3 2 3" xfId="5625"/>
    <cellStyle name="40% - Accent1 7 3 3" xfId="1951"/>
    <cellStyle name="40% - Accent1 7 3 3 2" xfId="4161"/>
    <cellStyle name="40% - Accent1 7 3 3 2 2" xfId="8567"/>
    <cellStyle name="40% - Accent1 7 3 3 3" xfId="6357"/>
    <cellStyle name="40% - Accent1 7 3 4" xfId="2697"/>
    <cellStyle name="40% - Accent1 7 3 4 2" xfId="7103"/>
    <cellStyle name="40% - Accent1 7 3 5" xfId="4893"/>
    <cellStyle name="40% - Accent1 7 4" xfId="860"/>
    <cellStyle name="40% - Accent1 7 4 2" xfId="3070"/>
    <cellStyle name="40% - Accent1 7 4 2 2" xfId="7476"/>
    <cellStyle name="40% - Accent1 7 4 3" xfId="5266"/>
    <cellStyle name="40% - Accent1 7 5" xfId="1592"/>
    <cellStyle name="40% - Accent1 7 5 2" xfId="3802"/>
    <cellStyle name="40% - Accent1 7 5 2 2" xfId="8208"/>
    <cellStyle name="40% - Accent1 7 5 3" xfId="5998"/>
    <cellStyle name="40% - Accent1 7 6" xfId="2338"/>
    <cellStyle name="40% - Accent1 7 6 2" xfId="6744"/>
    <cellStyle name="40% - Accent1 7 7" xfId="4534"/>
    <cellStyle name="40% - Accent1 8" xfId="139"/>
    <cellStyle name="40% - Accent1 8 2" xfId="257"/>
    <cellStyle name="40% - Accent1 8 2 2" xfId="616"/>
    <cellStyle name="40% - Accent1 8 2 2 2" xfId="1349"/>
    <cellStyle name="40% - Accent1 8 2 2 2 2" xfId="3559"/>
    <cellStyle name="40% - Accent1 8 2 2 2 2 2" xfId="7965"/>
    <cellStyle name="40% - Accent1 8 2 2 2 3" xfId="5755"/>
    <cellStyle name="40% - Accent1 8 2 2 3" xfId="2081"/>
    <cellStyle name="40% - Accent1 8 2 2 3 2" xfId="4291"/>
    <cellStyle name="40% - Accent1 8 2 2 3 2 2" xfId="8697"/>
    <cellStyle name="40% - Accent1 8 2 2 3 3" xfId="6487"/>
    <cellStyle name="40% - Accent1 8 2 2 4" xfId="2827"/>
    <cellStyle name="40% - Accent1 8 2 2 4 2" xfId="7233"/>
    <cellStyle name="40% - Accent1 8 2 2 5" xfId="5023"/>
    <cellStyle name="40% - Accent1 8 2 3" xfId="990"/>
    <cellStyle name="40% - Accent1 8 2 3 2" xfId="3200"/>
    <cellStyle name="40% - Accent1 8 2 3 2 2" xfId="7606"/>
    <cellStyle name="40% - Accent1 8 2 3 3" xfId="5396"/>
    <cellStyle name="40% - Accent1 8 2 4" xfId="1722"/>
    <cellStyle name="40% - Accent1 8 2 4 2" xfId="3932"/>
    <cellStyle name="40% - Accent1 8 2 4 2 2" xfId="8338"/>
    <cellStyle name="40% - Accent1 8 2 4 3" xfId="6128"/>
    <cellStyle name="40% - Accent1 8 2 5" xfId="2468"/>
    <cellStyle name="40% - Accent1 8 2 5 2" xfId="6874"/>
    <cellStyle name="40% - Accent1 8 2 6" xfId="4664"/>
    <cellStyle name="40% - Accent1 8 3" xfId="500"/>
    <cellStyle name="40% - Accent1 8 3 2" xfId="1233"/>
    <cellStyle name="40% - Accent1 8 3 2 2" xfId="3443"/>
    <cellStyle name="40% - Accent1 8 3 2 2 2" xfId="7849"/>
    <cellStyle name="40% - Accent1 8 3 2 3" xfId="5639"/>
    <cellStyle name="40% - Accent1 8 3 3" xfId="1965"/>
    <cellStyle name="40% - Accent1 8 3 3 2" xfId="4175"/>
    <cellStyle name="40% - Accent1 8 3 3 2 2" xfId="8581"/>
    <cellStyle name="40% - Accent1 8 3 3 3" xfId="6371"/>
    <cellStyle name="40% - Accent1 8 3 4" xfId="2711"/>
    <cellStyle name="40% - Accent1 8 3 4 2" xfId="7117"/>
    <cellStyle name="40% - Accent1 8 3 5" xfId="4907"/>
    <cellStyle name="40% - Accent1 8 4" xfId="874"/>
    <cellStyle name="40% - Accent1 8 4 2" xfId="3084"/>
    <cellStyle name="40% - Accent1 8 4 2 2" xfId="7490"/>
    <cellStyle name="40% - Accent1 8 4 3" xfId="5280"/>
    <cellStyle name="40% - Accent1 8 5" xfId="1606"/>
    <cellStyle name="40% - Accent1 8 5 2" xfId="3816"/>
    <cellStyle name="40% - Accent1 8 5 2 2" xfId="8222"/>
    <cellStyle name="40% - Accent1 8 5 3" xfId="6012"/>
    <cellStyle name="40% - Accent1 8 6" xfId="2352"/>
    <cellStyle name="40% - Accent1 8 6 2" xfId="6758"/>
    <cellStyle name="40% - Accent1 8 7" xfId="4548"/>
    <cellStyle name="40% - Accent1 9" xfId="157"/>
    <cellStyle name="40% - Accent1 9 2" xfId="516"/>
    <cellStyle name="40% - Accent1 9 2 2" xfId="1249"/>
    <cellStyle name="40% - Accent1 9 2 2 2" xfId="3459"/>
    <cellStyle name="40% - Accent1 9 2 2 2 2" xfId="7865"/>
    <cellStyle name="40% - Accent1 9 2 2 3" xfId="5655"/>
    <cellStyle name="40% - Accent1 9 2 3" xfId="1981"/>
    <cellStyle name="40% - Accent1 9 2 3 2" xfId="4191"/>
    <cellStyle name="40% - Accent1 9 2 3 2 2" xfId="8597"/>
    <cellStyle name="40% - Accent1 9 2 3 3" xfId="6387"/>
    <cellStyle name="40% - Accent1 9 2 4" xfId="2727"/>
    <cellStyle name="40% - Accent1 9 2 4 2" xfId="7133"/>
    <cellStyle name="40% - Accent1 9 2 5" xfId="4923"/>
    <cellStyle name="40% - Accent1 9 3" xfId="890"/>
    <cellStyle name="40% - Accent1 9 3 2" xfId="3100"/>
    <cellStyle name="40% - Accent1 9 3 2 2" xfId="7506"/>
    <cellStyle name="40% - Accent1 9 3 3" xfId="5296"/>
    <cellStyle name="40% - Accent1 9 4" xfId="1622"/>
    <cellStyle name="40% - Accent1 9 4 2" xfId="3832"/>
    <cellStyle name="40% - Accent1 9 4 2 2" xfId="8238"/>
    <cellStyle name="40% - Accent1 9 4 3" xfId="6028"/>
    <cellStyle name="40% - Accent1 9 5" xfId="2368"/>
    <cellStyle name="40% - Accent1 9 5 2" xfId="6774"/>
    <cellStyle name="40% - Accent1 9 6" xfId="4564"/>
    <cellStyle name="40% - Accent2" xfId="25" builtinId="35" customBuiltin="1"/>
    <cellStyle name="40% - Accent2 10" xfId="273"/>
    <cellStyle name="40% - Accent2 10 2" xfId="632"/>
    <cellStyle name="40% - Accent2 10 2 2" xfId="1365"/>
    <cellStyle name="40% - Accent2 10 2 2 2" xfId="3575"/>
    <cellStyle name="40% - Accent2 10 2 2 2 2" xfId="7981"/>
    <cellStyle name="40% - Accent2 10 2 2 3" xfId="5771"/>
    <cellStyle name="40% - Accent2 10 2 3" xfId="2097"/>
    <cellStyle name="40% - Accent2 10 2 3 2" xfId="4307"/>
    <cellStyle name="40% - Accent2 10 2 3 2 2" xfId="8713"/>
    <cellStyle name="40% - Accent2 10 2 3 3" xfId="6503"/>
    <cellStyle name="40% - Accent2 10 2 4" xfId="2843"/>
    <cellStyle name="40% - Accent2 10 2 4 2" xfId="7249"/>
    <cellStyle name="40% - Accent2 10 2 5" xfId="5039"/>
    <cellStyle name="40% - Accent2 10 3" xfId="1006"/>
    <cellStyle name="40% - Accent2 10 3 2" xfId="3216"/>
    <cellStyle name="40% - Accent2 10 3 2 2" xfId="7622"/>
    <cellStyle name="40% - Accent2 10 3 3" xfId="5412"/>
    <cellStyle name="40% - Accent2 10 4" xfId="1738"/>
    <cellStyle name="40% - Accent2 10 4 2" xfId="3948"/>
    <cellStyle name="40% - Accent2 10 4 2 2" xfId="8354"/>
    <cellStyle name="40% - Accent2 10 4 3" xfId="6144"/>
    <cellStyle name="40% - Accent2 10 5" xfId="2484"/>
    <cellStyle name="40% - Accent2 10 5 2" xfId="6890"/>
    <cellStyle name="40% - Accent2 10 6" xfId="4680"/>
    <cellStyle name="40% - Accent2 11" xfId="287"/>
    <cellStyle name="40% - Accent2 11 2" xfId="646"/>
    <cellStyle name="40% - Accent2 11 2 2" xfId="1379"/>
    <cellStyle name="40% - Accent2 11 2 2 2" xfId="3589"/>
    <cellStyle name="40% - Accent2 11 2 2 2 2" xfId="7995"/>
    <cellStyle name="40% - Accent2 11 2 2 3" xfId="5785"/>
    <cellStyle name="40% - Accent2 11 2 3" xfId="2111"/>
    <cellStyle name="40% - Accent2 11 2 3 2" xfId="4321"/>
    <cellStyle name="40% - Accent2 11 2 3 2 2" xfId="8727"/>
    <cellStyle name="40% - Accent2 11 2 3 3" xfId="6517"/>
    <cellStyle name="40% - Accent2 11 2 4" xfId="2857"/>
    <cellStyle name="40% - Accent2 11 2 4 2" xfId="7263"/>
    <cellStyle name="40% - Accent2 11 2 5" xfId="5053"/>
    <cellStyle name="40% - Accent2 11 3" xfId="1020"/>
    <cellStyle name="40% - Accent2 11 3 2" xfId="3230"/>
    <cellStyle name="40% - Accent2 11 3 2 2" xfId="7636"/>
    <cellStyle name="40% - Accent2 11 3 3" xfId="5426"/>
    <cellStyle name="40% - Accent2 11 4" xfId="1752"/>
    <cellStyle name="40% - Accent2 11 4 2" xfId="3962"/>
    <cellStyle name="40% - Accent2 11 4 2 2" xfId="8368"/>
    <cellStyle name="40% - Accent2 11 4 3" xfId="6158"/>
    <cellStyle name="40% - Accent2 11 5" xfId="2498"/>
    <cellStyle name="40% - Accent2 11 5 2" xfId="6904"/>
    <cellStyle name="40% - Accent2 11 6" xfId="4694"/>
    <cellStyle name="40% - Accent2 12" xfId="301"/>
    <cellStyle name="40% - Accent2 12 2" xfId="660"/>
    <cellStyle name="40% - Accent2 12 2 2" xfId="1393"/>
    <cellStyle name="40% - Accent2 12 2 2 2" xfId="3603"/>
    <cellStyle name="40% - Accent2 12 2 2 2 2" xfId="8009"/>
    <cellStyle name="40% - Accent2 12 2 2 3" xfId="5799"/>
    <cellStyle name="40% - Accent2 12 2 3" xfId="2125"/>
    <cellStyle name="40% - Accent2 12 2 3 2" xfId="4335"/>
    <cellStyle name="40% - Accent2 12 2 3 2 2" xfId="8741"/>
    <cellStyle name="40% - Accent2 12 2 3 3" xfId="6531"/>
    <cellStyle name="40% - Accent2 12 2 4" xfId="2871"/>
    <cellStyle name="40% - Accent2 12 2 4 2" xfId="7277"/>
    <cellStyle name="40% - Accent2 12 2 5" xfId="5067"/>
    <cellStyle name="40% - Accent2 12 3" xfId="1034"/>
    <cellStyle name="40% - Accent2 12 3 2" xfId="3244"/>
    <cellStyle name="40% - Accent2 12 3 2 2" xfId="7650"/>
    <cellStyle name="40% - Accent2 12 3 3" xfId="5440"/>
    <cellStyle name="40% - Accent2 12 4" xfId="1766"/>
    <cellStyle name="40% - Accent2 12 4 2" xfId="3976"/>
    <cellStyle name="40% - Accent2 12 4 2 2" xfId="8382"/>
    <cellStyle name="40% - Accent2 12 4 3" xfId="6172"/>
    <cellStyle name="40% - Accent2 12 5" xfId="2512"/>
    <cellStyle name="40% - Accent2 12 5 2" xfId="6918"/>
    <cellStyle name="40% - Accent2 12 6" xfId="4708"/>
    <cellStyle name="40% - Accent2 13" xfId="315"/>
    <cellStyle name="40% - Accent2 13 2" xfId="674"/>
    <cellStyle name="40% - Accent2 13 2 2" xfId="1407"/>
    <cellStyle name="40% - Accent2 13 2 2 2" xfId="3617"/>
    <cellStyle name="40% - Accent2 13 2 2 2 2" xfId="8023"/>
    <cellStyle name="40% - Accent2 13 2 2 3" xfId="5813"/>
    <cellStyle name="40% - Accent2 13 2 3" xfId="2139"/>
    <cellStyle name="40% - Accent2 13 2 3 2" xfId="4349"/>
    <cellStyle name="40% - Accent2 13 2 3 2 2" xfId="8755"/>
    <cellStyle name="40% - Accent2 13 2 3 3" xfId="6545"/>
    <cellStyle name="40% - Accent2 13 2 4" xfId="2885"/>
    <cellStyle name="40% - Accent2 13 2 4 2" xfId="7291"/>
    <cellStyle name="40% - Accent2 13 2 5" xfId="5081"/>
    <cellStyle name="40% - Accent2 13 3" xfId="1048"/>
    <cellStyle name="40% - Accent2 13 3 2" xfId="3258"/>
    <cellStyle name="40% - Accent2 13 3 2 2" xfId="7664"/>
    <cellStyle name="40% - Accent2 13 3 3" xfId="5454"/>
    <cellStyle name="40% - Accent2 13 4" xfId="1780"/>
    <cellStyle name="40% - Accent2 13 4 2" xfId="3990"/>
    <cellStyle name="40% - Accent2 13 4 2 2" xfId="8396"/>
    <cellStyle name="40% - Accent2 13 4 3" xfId="6186"/>
    <cellStyle name="40% - Accent2 13 5" xfId="2526"/>
    <cellStyle name="40% - Accent2 13 5 2" xfId="6932"/>
    <cellStyle name="40% - Accent2 13 6" xfId="4722"/>
    <cellStyle name="40% - Accent2 14" xfId="329"/>
    <cellStyle name="40% - Accent2 14 2" xfId="688"/>
    <cellStyle name="40% - Accent2 14 2 2" xfId="1421"/>
    <cellStyle name="40% - Accent2 14 2 2 2" xfId="3631"/>
    <cellStyle name="40% - Accent2 14 2 2 2 2" xfId="8037"/>
    <cellStyle name="40% - Accent2 14 2 2 3" xfId="5827"/>
    <cellStyle name="40% - Accent2 14 2 3" xfId="2153"/>
    <cellStyle name="40% - Accent2 14 2 3 2" xfId="4363"/>
    <cellStyle name="40% - Accent2 14 2 3 2 2" xfId="8769"/>
    <cellStyle name="40% - Accent2 14 2 3 3" xfId="6559"/>
    <cellStyle name="40% - Accent2 14 2 4" xfId="2899"/>
    <cellStyle name="40% - Accent2 14 2 4 2" xfId="7305"/>
    <cellStyle name="40% - Accent2 14 2 5" xfId="5095"/>
    <cellStyle name="40% - Accent2 14 3" xfId="1062"/>
    <cellStyle name="40% - Accent2 14 3 2" xfId="3272"/>
    <cellStyle name="40% - Accent2 14 3 2 2" xfId="7678"/>
    <cellStyle name="40% - Accent2 14 3 3" xfId="5468"/>
    <cellStyle name="40% - Accent2 14 4" xfId="1794"/>
    <cellStyle name="40% - Accent2 14 4 2" xfId="4004"/>
    <cellStyle name="40% - Accent2 14 4 2 2" xfId="8410"/>
    <cellStyle name="40% - Accent2 14 4 3" xfId="6200"/>
    <cellStyle name="40% - Accent2 14 5" xfId="2540"/>
    <cellStyle name="40% - Accent2 14 5 2" xfId="6946"/>
    <cellStyle name="40% - Accent2 14 6" xfId="4736"/>
    <cellStyle name="40% - Accent2 15" xfId="343"/>
    <cellStyle name="40% - Accent2 15 2" xfId="702"/>
    <cellStyle name="40% - Accent2 15 2 2" xfId="1435"/>
    <cellStyle name="40% - Accent2 15 2 2 2" xfId="3645"/>
    <cellStyle name="40% - Accent2 15 2 2 2 2" xfId="8051"/>
    <cellStyle name="40% - Accent2 15 2 2 3" xfId="5841"/>
    <cellStyle name="40% - Accent2 15 2 3" xfId="2167"/>
    <cellStyle name="40% - Accent2 15 2 3 2" xfId="4377"/>
    <cellStyle name="40% - Accent2 15 2 3 2 2" xfId="8783"/>
    <cellStyle name="40% - Accent2 15 2 3 3" xfId="6573"/>
    <cellStyle name="40% - Accent2 15 2 4" xfId="2913"/>
    <cellStyle name="40% - Accent2 15 2 4 2" xfId="7319"/>
    <cellStyle name="40% - Accent2 15 2 5" xfId="5109"/>
    <cellStyle name="40% - Accent2 15 3" xfId="1076"/>
    <cellStyle name="40% - Accent2 15 3 2" xfId="3286"/>
    <cellStyle name="40% - Accent2 15 3 2 2" xfId="7692"/>
    <cellStyle name="40% - Accent2 15 3 3" xfId="5482"/>
    <cellStyle name="40% - Accent2 15 4" xfId="1808"/>
    <cellStyle name="40% - Accent2 15 4 2" xfId="4018"/>
    <cellStyle name="40% - Accent2 15 4 2 2" xfId="8424"/>
    <cellStyle name="40% - Accent2 15 4 3" xfId="6214"/>
    <cellStyle name="40% - Accent2 15 5" xfId="2554"/>
    <cellStyle name="40% - Accent2 15 5 2" xfId="6960"/>
    <cellStyle name="40% - Accent2 15 6" xfId="4750"/>
    <cellStyle name="40% - Accent2 16" xfId="357"/>
    <cellStyle name="40% - Accent2 16 2" xfId="716"/>
    <cellStyle name="40% - Accent2 16 2 2" xfId="1449"/>
    <cellStyle name="40% - Accent2 16 2 2 2" xfId="3659"/>
    <cellStyle name="40% - Accent2 16 2 2 2 2" xfId="8065"/>
    <cellStyle name="40% - Accent2 16 2 2 3" xfId="5855"/>
    <cellStyle name="40% - Accent2 16 2 3" xfId="2181"/>
    <cellStyle name="40% - Accent2 16 2 3 2" xfId="4391"/>
    <cellStyle name="40% - Accent2 16 2 3 2 2" xfId="8797"/>
    <cellStyle name="40% - Accent2 16 2 3 3" xfId="6587"/>
    <cellStyle name="40% - Accent2 16 2 4" xfId="2927"/>
    <cellStyle name="40% - Accent2 16 2 4 2" xfId="7333"/>
    <cellStyle name="40% - Accent2 16 2 5" xfId="5123"/>
    <cellStyle name="40% - Accent2 16 3" xfId="1090"/>
    <cellStyle name="40% - Accent2 16 3 2" xfId="3300"/>
    <cellStyle name="40% - Accent2 16 3 2 2" xfId="7706"/>
    <cellStyle name="40% - Accent2 16 3 3" xfId="5496"/>
    <cellStyle name="40% - Accent2 16 4" xfId="1822"/>
    <cellStyle name="40% - Accent2 16 4 2" xfId="4032"/>
    <cellStyle name="40% - Accent2 16 4 2 2" xfId="8438"/>
    <cellStyle name="40% - Accent2 16 4 3" xfId="6228"/>
    <cellStyle name="40% - Accent2 16 5" xfId="2568"/>
    <cellStyle name="40% - Accent2 16 5 2" xfId="6974"/>
    <cellStyle name="40% - Accent2 16 6" xfId="4764"/>
    <cellStyle name="40% - Accent2 17" xfId="371"/>
    <cellStyle name="40% - Accent2 17 2" xfId="730"/>
    <cellStyle name="40% - Accent2 17 2 2" xfId="1463"/>
    <cellStyle name="40% - Accent2 17 2 2 2" xfId="3673"/>
    <cellStyle name="40% - Accent2 17 2 2 2 2" xfId="8079"/>
    <cellStyle name="40% - Accent2 17 2 2 3" xfId="5869"/>
    <cellStyle name="40% - Accent2 17 2 3" xfId="2195"/>
    <cellStyle name="40% - Accent2 17 2 3 2" xfId="4405"/>
    <cellStyle name="40% - Accent2 17 2 3 2 2" xfId="8811"/>
    <cellStyle name="40% - Accent2 17 2 3 3" xfId="6601"/>
    <cellStyle name="40% - Accent2 17 2 4" xfId="2941"/>
    <cellStyle name="40% - Accent2 17 2 4 2" xfId="7347"/>
    <cellStyle name="40% - Accent2 17 2 5" xfId="5137"/>
    <cellStyle name="40% - Accent2 17 3" xfId="1104"/>
    <cellStyle name="40% - Accent2 17 3 2" xfId="3314"/>
    <cellStyle name="40% - Accent2 17 3 2 2" xfId="7720"/>
    <cellStyle name="40% - Accent2 17 3 3" xfId="5510"/>
    <cellStyle name="40% - Accent2 17 4" xfId="1836"/>
    <cellStyle name="40% - Accent2 17 4 2" xfId="4046"/>
    <cellStyle name="40% - Accent2 17 4 2 2" xfId="8452"/>
    <cellStyle name="40% - Accent2 17 4 3" xfId="6242"/>
    <cellStyle name="40% - Accent2 17 5" xfId="2582"/>
    <cellStyle name="40% - Accent2 17 5 2" xfId="6988"/>
    <cellStyle name="40% - Accent2 17 6" xfId="4778"/>
    <cellStyle name="40% - Accent2 18" xfId="385"/>
    <cellStyle name="40% - Accent2 18 2" xfId="744"/>
    <cellStyle name="40% - Accent2 18 2 2" xfId="1477"/>
    <cellStyle name="40% - Accent2 18 2 2 2" xfId="3687"/>
    <cellStyle name="40% - Accent2 18 2 2 2 2" xfId="8093"/>
    <cellStyle name="40% - Accent2 18 2 2 3" xfId="5883"/>
    <cellStyle name="40% - Accent2 18 2 3" xfId="2209"/>
    <cellStyle name="40% - Accent2 18 2 3 2" xfId="4419"/>
    <cellStyle name="40% - Accent2 18 2 3 2 2" xfId="8825"/>
    <cellStyle name="40% - Accent2 18 2 3 3" xfId="6615"/>
    <cellStyle name="40% - Accent2 18 2 4" xfId="2955"/>
    <cellStyle name="40% - Accent2 18 2 4 2" xfId="7361"/>
    <cellStyle name="40% - Accent2 18 2 5" xfId="5151"/>
    <cellStyle name="40% - Accent2 18 3" xfId="1118"/>
    <cellStyle name="40% - Accent2 18 3 2" xfId="3328"/>
    <cellStyle name="40% - Accent2 18 3 2 2" xfId="7734"/>
    <cellStyle name="40% - Accent2 18 3 3" xfId="5524"/>
    <cellStyle name="40% - Accent2 18 4" xfId="1850"/>
    <cellStyle name="40% - Accent2 18 4 2" xfId="4060"/>
    <cellStyle name="40% - Accent2 18 4 2 2" xfId="8466"/>
    <cellStyle name="40% - Accent2 18 4 3" xfId="6256"/>
    <cellStyle name="40% - Accent2 18 5" xfId="2596"/>
    <cellStyle name="40% - Accent2 18 5 2" xfId="7002"/>
    <cellStyle name="40% - Accent2 18 6" xfId="4792"/>
    <cellStyle name="40% - Accent2 19" xfId="402"/>
    <cellStyle name="40% - Accent2 19 2" xfId="1135"/>
    <cellStyle name="40% - Accent2 19 2 2" xfId="3345"/>
    <cellStyle name="40% - Accent2 19 2 2 2" xfId="7751"/>
    <cellStyle name="40% - Accent2 19 2 3" xfId="5541"/>
    <cellStyle name="40% - Accent2 19 3" xfId="1867"/>
    <cellStyle name="40% - Accent2 19 3 2" xfId="4077"/>
    <cellStyle name="40% - Accent2 19 3 2 2" xfId="8483"/>
    <cellStyle name="40% - Accent2 19 3 3" xfId="6273"/>
    <cellStyle name="40% - Accent2 19 4" xfId="2613"/>
    <cellStyle name="40% - Accent2 19 4 2" xfId="7019"/>
    <cellStyle name="40% - Accent2 19 5" xfId="4809"/>
    <cellStyle name="40% - Accent2 2" xfId="57"/>
    <cellStyle name="40% - Accent2 2 2" xfId="175"/>
    <cellStyle name="40% - Accent2 2 2 2" xfId="534"/>
    <cellStyle name="40% - Accent2 2 2 2 2" xfId="1267"/>
    <cellStyle name="40% - Accent2 2 2 2 2 2" xfId="3477"/>
    <cellStyle name="40% - Accent2 2 2 2 2 2 2" xfId="7883"/>
    <cellStyle name="40% - Accent2 2 2 2 2 3" xfId="5673"/>
    <cellStyle name="40% - Accent2 2 2 2 3" xfId="1999"/>
    <cellStyle name="40% - Accent2 2 2 2 3 2" xfId="4209"/>
    <cellStyle name="40% - Accent2 2 2 2 3 2 2" xfId="8615"/>
    <cellStyle name="40% - Accent2 2 2 2 3 3" xfId="6405"/>
    <cellStyle name="40% - Accent2 2 2 2 4" xfId="2745"/>
    <cellStyle name="40% - Accent2 2 2 2 4 2" xfId="7151"/>
    <cellStyle name="40% - Accent2 2 2 2 5" xfId="4941"/>
    <cellStyle name="40% - Accent2 2 2 3" xfId="908"/>
    <cellStyle name="40% - Accent2 2 2 3 2" xfId="3118"/>
    <cellStyle name="40% - Accent2 2 2 3 2 2" xfId="7524"/>
    <cellStyle name="40% - Accent2 2 2 3 3" xfId="5314"/>
    <cellStyle name="40% - Accent2 2 2 4" xfId="1640"/>
    <cellStyle name="40% - Accent2 2 2 4 2" xfId="3850"/>
    <cellStyle name="40% - Accent2 2 2 4 2 2" xfId="8256"/>
    <cellStyle name="40% - Accent2 2 2 4 3" xfId="6046"/>
    <cellStyle name="40% - Accent2 2 2 5" xfId="2386"/>
    <cellStyle name="40% - Accent2 2 2 5 2" xfId="6792"/>
    <cellStyle name="40% - Accent2 2 2 6" xfId="4582"/>
    <cellStyle name="40% - Accent2 2 3" xfId="418"/>
    <cellStyle name="40% - Accent2 2 3 2" xfId="1151"/>
    <cellStyle name="40% - Accent2 2 3 2 2" xfId="3361"/>
    <cellStyle name="40% - Accent2 2 3 2 2 2" xfId="7767"/>
    <cellStyle name="40% - Accent2 2 3 2 3" xfId="5557"/>
    <cellStyle name="40% - Accent2 2 3 3" xfId="1883"/>
    <cellStyle name="40% - Accent2 2 3 3 2" xfId="4093"/>
    <cellStyle name="40% - Accent2 2 3 3 2 2" xfId="8499"/>
    <cellStyle name="40% - Accent2 2 3 3 3" xfId="6289"/>
    <cellStyle name="40% - Accent2 2 3 4" xfId="2629"/>
    <cellStyle name="40% - Accent2 2 3 4 2" xfId="7035"/>
    <cellStyle name="40% - Accent2 2 3 5" xfId="4825"/>
    <cellStyle name="40% - Accent2 2 4" xfId="792"/>
    <cellStyle name="40% - Accent2 2 4 2" xfId="3002"/>
    <cellStyle name="40% - Accent2 2 4 2 2" xfId="7408"/>
    <cellStyle name="40% - Accent2 2 4 3" xfId="5198"/>
    <cellStyle name="40% - Accent2 2 5" xfId="1524"/>
    <cellStyle name="40% - Accent2 2 5 2" xfId="3734"/>
    <cellStyle name="40% - Accent2 2 5 2 2" xfId="8140"/>
    <cellStyle name="40% - Accent2 2 5 3" xfId="5930"/>
    <cellStyle name="40% - Accent2 2 6" xfId="2270"/>
    <cellStyle name="40% - Accent2 2 6 2" xfId="6676"/>
    <cellStyle name="40% - Accent2 2 7" xfId="4466"/>
    <cellStyle name="40% - Accent2 20" xfId="759"/>
    <cellStyle name="40% - Accent2 20 2" xfId="1492"/>
    <cellStyle name="40% - Accent2 20 2 2" xfId="3702"/>
    <cellStyle name="40% - Accent2 20 2 2 2" xfId="8108"/>
    <cellStyle name="40% - Accent2 20 2 3" xfId="5898"/>
    <cellStyle name="40% - Accent2 20 3" xfId="2224"/>
    <cellStyle name="40% - Accent2 20 3 2" xfId="4434"/>
    <cellStyle name="40% - Accent2 20 3 2 2" xfId="8840"/>
    <cellStyle name="40% - Accent2 20 3 3" xfId="6630"/>
    <cellStyle name="40% - Accent2 20 4" xfId="2970"/>
    <cellStyle name="40% - Accent2 20 4 2" xfId="7376"/>
    <cellStyle name="40% - Accent2 20 5" xfId="5166"/>
    <cellStyle name="40% - Accent2 21" xfId="776"/>
    <cellStyle name="40% - Accent2 21 2" xfId="2986"/>
    <cellStyle name="40% - Accent2 21 2 2" xfId="7392"/>
    <cellStyle name="40% - Accent2 21 3" xfId="5182"/>
    <cellStyle name="40% - Accent2 22" xfId="1508"/>
    <cellStyle name="40% - Accent2 22 2" xfId="3718"/>
    <cellStyle name="40% - Accent2 22 2 2" xfId="8124"/>
    <cellStyle name="40% - Accent2 22 3" xfId="5914"/>
    <cellStyle name="40% - Accent2 23" xfId="2238"/>
    <cellStyle name="40% - Accent2 23 2" xfId="6644"/>
    <cellStyle name="40% - Accent2 24" xfId="2254"/>
    <cellStyle name="40% - Accent2 24 2" xfId="6660"/>
    <cellStyle name="40% - Accent2 25" xfId="4450"/>
    <cellStyle name="40% - Accent2 3" xfId="71"/>
    <cellStyle name="40% - Accent2 3 2" xfId="189"/>
    <cellStyle name="40% - Accent2 3 2 2" xfId="548"/>
    <cellStyle name="40% - Accent2 3 2 2 2" xfId="1281"/>
    <cellStyle name="40% - Accent2 3 2 2 2 2" xfId="3491"/>
    <cellStyle name="40% - Accent2 3 2 2 2 2 2" xfId="7897"/>
    <cellStyle name="40% - Accent2 3 2 2 2 3" xfId="5687"/>
    <cellStyle name="40% - Accent2 3 2 2 3" xfId="2013"/>
    <cellStyle name="40% - Accent2 3 2 2 3 2" xfId="4223"/>
    <cellStyle name="40% - Accent2 3 2 2 3 2 2" xfId="8629"/>
    <cellStyle name="40% - Accent2 3 2 2 3 3" xfId="6419"/>
    <cellStyle name="40% - Accent2 3 2 2 4" xfId="2759"/>
    <cellStyle name="40% - Accent2 3 2 2 4 2" xfId="7165"/>
    <cellStyle name="40% - Accent2 3 2 2 5" xfId="4955"/>
    <cellStyle name="40% - Accent2 3 2 3" xfId="922"/>
    <cellStyle name="40% - Accent2 3 2 3 2" xfId="3132"/>
    <cellStyle name="40% - Accent2 3 2 3 2 2" xfId="7538"/>
    <cellStyle name="40% - Accent2 3 2 3 3" xfId="5328"/>
    <cellStyle name="40% - Accent2 3 2 4" xfId="1654"/>
    <cellStyle name="40% - Accent2 3 2 4 2" xfId="3864"/>
    <cellStyle name="40% - Accent2 3 2 4 2 2" xfId="8270"/>
    <cellStyle name="40% - Accent2 3 2 4 3" xfId="6060"/>
    <cellStyle name="40% - Accent2 3 2 5" xfId="2400"/>
    <cellStyle name="40% - Accent2 3 2 5 2" xfId="6806"/>
    <cellStyle name="40% - Accent2 3 2 6" xfId="4596"/>
    <cellStyle name="40% - Accent2 3 3" xfId="432"/>
    <cellStyle name="40% - Accent2 3 3 2" xfId="1165"/>
    <cellStyle name="40% - Accent2 3 3 2 2" xfId="3375"/>
    <cellStyle name="40% - Accent2 3 3 2 2 2" xfId="7781"/>
    <cellStyle name="40% - Accent2 3 3 2 3" xfId="5571"/>
    <cellStyle name="40% - Accent2 3 3 3" xfId="1897"/>
    <cellStyle name="40% - Accent2 3 3 3 2" xfId="4107"/>
    <cellStyle name="40% - Accent2 3 3 3 2 2" xfId="8513"/>
    <cellStyle name="40% - Accent2 3 3 3 3" xfId="6303"/>
    <cellStyle name="40% - Accent2 3 3 4" xfId="2643"/>
    <cellStyle name="40% - Accent2 3 3 4 2" xfId="7049"/>
    <cellStyle name="40% - Accent2 3 3 5" xfId="4839"/>
    <cellStyle name="40% - Accent2 3 4" xfId="806"/>
    <cellStyle name="40% - Accent2 3 4 2" xfId="3016"/>
    <cellStyle name="40% - Accent2 3 4 2 2" xfId="7422"/>
    <cellStyle name="40% - Accent2 3 4 3" xfId="5212"/>
    <cellStyle name="40% - Accent2 3 5" xfId="1538"/>
    <cellStyle name="40% - Accent2 3 5 2" xfId="3748"/>
    <cellStyle name="40% - Accent2 3 5 2 2" xfId="8154"/>
    <cellStyle name="40% - Accent2 3 5 3" xfId="5944"/>
    <cellStyle name="40% - Accent2 3 6" xfId="2284"/>
    <cellStyle name="40% - Accent2 3 6 2" xfId="6690"/>
    <cellStyle name="40% - Accent2 3 7" xfId="4480"/>
    <cellStyle name="40% - Accent2 4" xfId="85"/>
    <cellStyle name="40% - Accent2 4 2" xfId="203"/>
    <cellStyle name="40% - Accent2 4 2 2" xfId="562"/>
    <cellStyle name="40% - Accent2 4 2 2 2" xfId="1295"/>
    <cellStyle name="40% - Accent2 4 2 2 2 2" xfId="3505"/>
    <cellStyle name="40% - Accent2 4 2 2 2 2 2" xfId="7911"/>
    <cellStyle name="40% - Accent2 4 2 2 2 3" xfId="5701"/>
    <cellStyle name="40% - Accent2 4 2 2 3" xfId="2027"/>
    <cellStyle name="40% - Accent2 4 2 2 3 2" xfId="4237"/>
    <cellStyle name="40% - Accent2 4 2 2 3 2 2" xfId="8643"/>
    <cellStyle name="40% - Accent2 4 2 2 3 3" xfId="6433"/>
    <cellStyle name="40% - Accent2 4 2 2 4" xfId="2773"/>
    <cellStyle name="40% - Accent2 4 2 2 4 2" xfId="7179"/>
    <cellStyle name="40% - Accent2 4 2 2 5" xfId="4969"/>
    <cellStyle name="40% - Accent2 4 2 3" xfId="936"/>
    <cellStyle name="40% - Accent2 4 2 3 2" xfId="3146"/>
    <cellStyle name="40% - Accent2 4 2 3 2 2" xfId="7552"/>
    <cellStyle name="40% - Accent2 4 2 3 3" xfId="5342"/>
    <cellStyle name="40% - Accent2 4 2 4" xfId="1668"/>
    <cellStyle name="40% - Accent2 4 2 4 2" xfId="3878"/>
    <cellStyle name="40% - Accent2 4 2 4 2 2" xfId="8284"/>
    <cellStyle name="40% - Accent2 4 2 4 3" xfId="6074"/>
    <cellStyle name="40% - Accent2 4 2 5" xfId="2414"/>
    <cellStyle name="40% - Accent2 4 2 5 2" xfId="6820"/>
    <cellStyle name="40% - Accent2 4 2 6" xfId="4610"/>
    <cellStyle name="40% - Accent2 4 3" xfId="446"/>
    <cellStyle name="40% - Accent2 4 3 2" xfId="1179"/>
    <cellStyle name="40% - Accent2 4 3 2 2" xfId="3389"/>
    <cellStyle name="40% - Accent2 4 3 2 2 2" xfId="7795"/>
    <cellStyle name="40% - Accent2 4 3 2 3" xfId="5585"/>
    <cellStyle name="40% - Accent2 4 3 3" xfId="1911"/>
    <cellStyle name="40% - Accent2 4 3 3 2" xfId="4121"/>
    <cellStyle name="40% - Accent2 4 3 3 2 2" xfId="8527"/>
    <cellStyle name="40% - Accent2 4 3 3 3" xfId="6317"/>
    <cellStyle name="40% - Accent2 4 3 4" xfId="2657"/>
    <cellStyle name="40% - Accent2 4 3 4 2" xfId="7063"/>
    <cellStyle name="40% - Accent2 4 3 5" xfId="4853"/>
    <cellStyle name="40% - Accent2 4 4" xfId="820"/>
    <cellStyle name="40% - Accent2 4 4 2" xfId="3030"/>
    <cellStyle name="40% - Accent2 4 4 2 2" xfId="7436"/>
    <cellStyle name="40% - Accent2 4 4 3" xfId="5226"/>
    <cellStyle name="40% - Accent2 4 5" xfId="1552"/>
    <cellStyle name="40% - Accent2 4 5 2" xfId="3762"/>
    <cellStyle name="40% - Accent2 4 5 2 2" xfId="8168"/>
    <cellStyle name="40% - Accent2 4 5 3" xfId="5958"/>
    <cellStyle name="40% - Accent2 4 6" xfId="2298"/>
    <cellStyle name="40% - Accent2 4 6 2" xfId="6704"/>
    <cellStyle name="40% - Accent2 4 7" xfId="4494"/>
    <cellStyle name="40% - Accent2 5" xfId="99"/>
    <cellStyle name="40% - Accent2 5 2" xfId="217"/>
    <cellStyle name="40% - Accent2 5 2 2" xfId="576"/>
    <cellStyle name="40% - Accent2 5 2 2 2" xfId="1309"/>
    <cellStyle name="40% - Accent2 5 2 2 2 2" xfId="3519"/>
    <cellStyle name="40% - Accent2 5 2 2 2 2 2" xfId="7925"/>
    <cellStyle name="40% - Accent2 5 2 2 2 3" xfId="5715"/>
    <cellStyle name="40% - Accent2 5 2 2 3" xfId="2041"/>
    <cellStyle name="40% - Accent2 5 2 2 3 2" xfId="4251"/>
    <cellStyle name="40% - Accent2 5 2 2 3 2 2" xfId="8657"/>
    <cellStyle name="40% - Accent2 5 2 2 3 3" xfId="6447"/>
    <cellStyle name="40% - Accent2 5 2 2 4" xfId="2787"/>
    <cellStyle name="40% - Accent2 5 2 2 4 2" xfId="7193"/>
    <cellStyle name="40% - Accent2 5 2 2 5" xfId="4983"/>
    <cellStyle name="40% - Accent2 5 2 3" xfId="950"/>
    <cellStyle name="40% - Accent2 5 2 3 2" xfId="3160"/>
    <cellStyle name="40% - Accent2 5 2 3 2 2" xfId="7566"/>
    <cellStyle name="40% - Accent2 5 2 3 3" xfId="5356"/>
    <cellStyle name="40% - Accent2 5 2 4" xfId="1682"/>
    <cellStyle name="40% - Accent2 5 2 4 2" xfId="3892"/>
    <cellStyle name="40% - Accent2 5 2 4 2 2" xfId="8298"/>
    <cellStyle name="40% - Accent2 5 2 4 3" xfId="6088"/>
    <cellStyle name="40% - Accent2 5 2 5" xfId="2428"/>
    <cellStyle name="40% - Accent2 5 2 5 2" xfId="6834"/>
    <cellStyle name="40% - Accent2 5 2 6" xfId="4624"/>
    <cellStyle name="40% - Accent2 5 3" xfId="460"/>
    <cellStyle name="40% - Accent2 5 3 2" xfId="1193"/>
    <cellStyle name="40% - Accent2 5 3 2 2" xfId="3403"/>
    <cellStyle name="40% - Accent2 5 3 2 2 2" xfId="7809"/>
    <cellStyle name="40% - Accent2 5 3 2 3" xfId="5599"/>
    <cellStyle name="40% - Accent2 5 3 3" xfId="1925"/>
    <cellStyle name="40% - Accent2 5 3 3 2" xfId="4135"/>
    <cellStyle name="40% - Accent2 5 3 3 2 2" xfId="8541"/>
    <cellStyle name="40% - Accent2 5 3 3 3" xfId="6331"/>
    <cellStyle name="40% - Accent2 5 3 4" xfId="2671"/>
    <cellStyle name="40% - Accent2 5 3 4 2" xfId="7077"/>
    <cellStyle name="40% - Accent2 5 3 5" xfId="4867"/>
    <cellStyle name="40% - Accent2 5 4" xfId="834"/>
    <cellStyle name="40% - Accent2 5 4 2" xfId="3044"/>
    <cellStyle name="40% - Accent2 5 4 2 2" xfId="7450"/>
    <cellStyle name="40% - Accent2 5 4 3" xfId="5240"/>
    <cellStyle name="40% - Accent2 5 5" xfId="1566"/>
    <cellStyle name="40% - Accent2 5 5 2" xfId="3776"/>
    <cellStyle name="40% - Accent2 5 5 2 2" xfId="8182"/>
    <cellStyle name="40% - Accent2 5 5 3" xfId="5972"/>
    <cellStyle name="40% - Accent2 5 6" xfId="2312"/>
    <cellStyle name="40% - Accent2 5 6 2" xfId="6718"/>
    <cellStyle name="40% - Accent2 5 7" xfId="4508"/>
    <cellStyle name="40% - Accent2 6" xfId="113"/>
    <cellStyle name="40% - Accent2 6 2" xfId="231"/>
    <cellStyle name="40% - Accent2 6 2 2" xfId="590"/>
    <cellStyle name="40% - Accent2 6 2 2 2" xfId="1323"/>
    <cellStyle name="40% - Accent2 6 2 2 2 2" xfId="3533"/>
    <cellStyle name="40% - Accent2 6 2 2 2 2 2" xfId="7939"/>
    <cellStyle name="40% - Accent2 6 2 2 2 3" xfId="5729"/>
    <cellStyle name="40% - Accent2 6 2 2 3" xfId="2055"/>
    <cellStyle name="40% - Accent2 6 2 2 3 2" xfId="4265"/>
    <cellStyle name="40% - Accent2 6 2 2 3 2 2" xfId="8671"/>
    <cellStyle name="40% - Accent2 6 2 2 3 3" xfId="6461"/>
    <cellStyle name="40% - Accent2 6 2 2 4" xfId="2801"/>
    <cellStyle name="40% - Accent2 6 2 2 4 2" xfId="7207"/>
    <cellStyle name="40% - Accent2 6 2 2 5" xfId="4997"/>
    <cellStyle name="40% - Accent2 6 2 3" xfId="964"/>
    <cellStyle name="40% - Accent2 6 2 3 2" xfId="3174"/>
    <cellStyle name="40% - Accent2 6 2 3 2 2" xfId="7580"/>
    <cellStyle name="40% - Accent2 6 2 3 3" xfId="5370"/>
    <cellStyle name="40% - Accent2 6 2 4" xfId="1696"/>
    <cellStyle name="40% - Accent2 6 2 4 2" xfId="3906"/>
    <cellStyle name="40% - Accent2 6 2 4 2 2" xfId="8312"/>
    <cellStyle name="40% - Accent2 6 2 4 3" xfId="6102"/>
    <cellStyle name="40% - Accent2 6 2 5" xfId="2442"/>
    <cellStyle name="40% - Accent2 6 2 5 2" xfId="6848"/>
    <cellStyle name="40% - Accent2 6 2 6" xfId="4638"/>
    <cellStyle name="40% - Accent2 6 3" xfId="474"/>
    <cellStyle name="40% - Accent2 6 3 2" xfId="1207"/>
    <cellStyle name="40% - Accent2 6 3 2 2" xfId="3417"/>
    <cellStyle name="40% - Accent2 6 3 2 2 2" xfId="7823"/>
    <cellStyle name="40% - Accent2 6 3 2 3" xfId="5613"/>
    <cellStyle name="40% - Accent2 6 3 3" xfId="1939"/>
    <cellStyle name="40% - Accent2 6 3 3 2" xfId="4149"/>
    <cellStyle name="40% - Accent2 6 3 3 2 2" xfId="8555"/>
    <cellStyle name="40% - Accent2 6 3 3 3" xfId="6345"/>
    <cellStyle name="40% - Accent2 6 3 4" xfId="2685"/>
    <cellStyle name="40% - Accent2 6 3 4 2" xfId="7091"/>
    <cellStyle name="40% - Accent2 6 3 5" xfId="4881"/>
    <cellStyle name="40% - Accent2 6 4" xfId="848"/>
    <cellStyle name="40% - Accent2 6 4 2" xfId="3058"/>
    <cellStyle name="40% - Accent2 6 4 2 2" xfId="7464"/>
    <cellStyle name="40% - Accent2 6 4 3" xfId="5254"/>
    <cellStyle name="40% - Accent2 6 5" xfId="1580"/>
    <cellStyle name="40% - Accent2 6 5 2" xfId="3790"/>
    <cellStyle name="40% - Accent2 6 5 2 2" xfId="8196"/>
    <cellStyle name="40% - Accent2 6 5 3" xfId="5986"/>
    <cellStyle name="40% - Accent2 6 6" xfId="2326"/>
    <cellStyle name="40% - Accent2 6 6 2" xfId="6732"/>
    <cellStyle name="40% - Accent2 6 7" xfId="4522"/>
    <cellStyle name="40% - Accent2 7" xfId="127"/>
    <cellStyle name="40% - Accent2 7 2" xfId="245"/>
    <cellStyle name="40% - Accent2 7 2 2" xfId="604"/>
    <cellStyle name="40% - Accent2 7 2 2 2" xfId="1337"/>
    <cellStyle name="40% - Accent2 7 2 2 2 2" xfId="3547"/>
    <cellStyle name="40% - Accent2 7 2 2 2 2 2" xfId="7953"/>
    <cellStyle name="40% - Accent2 7 2 2 2 3" xfId="5743"/>
    <cellStyle name="40% - Accent2 7 2 2 3" xfId="2069"/>
    <cellStyle name="40% - Accent2 7 2 2 3 2" xfId="4279"/>
    <cellStyle name="40% - Accent2 7 2 2 3 2 2" xfId="8685"/>
    <cellStyle name="40% - Accent2 7 2 2 3 3" xfId="6475"/>
    <cellStyle name="40% - Accent2 7 2 2 4" xfId="2815"/>
    <cellStyle name="40% - Accent2 7 2 2 4 2" xfId="7221"/>
    <cellStyle name="40% - Accent2 7 2 2 5" xfId="5011"/>
    <cellStyle name="40% - Accent2 7 2 3" xfId="978"/>
    <cellStyle name="40% - Accent2 7 2 3 2" xfId="3188"/>
    <cellStyle name="40% - Accent2 7 2 3 2 2" xfId="7594"/>
    <cellStyle name="40% - Accent2 7 2 3 3" xfId="5384"/>
    <cellStyle name="40% - Accent2 7 2 4" xfId="1710"/>
    <cellStyle name="40% - Accent2 7 2 4 2" xfId="3920"/>
    <cellStyle name="40% - Accent2 7 2 4 2 2" xfId="8326"/>
    <cellStyle name="40% - Accent2 7 2 4 3" xfId="6116"/>
    <cellStyle name="40% - Accent2 7 2 5" xfId="2456"/>
    <cellStyle name="40% - Accent2 7 2 5 2" xfId="6862"/>
    <cellStyle name="40% - Accent2 7 2 6" xfId="4652"/>
    <cellStyle name="40% - Accent2 7 3" xfId="488"/>
    <cellStyle name="40% - Accent2 7 3 2" xfId="1221"/>
    <cellStyle name="40% - Accent2 7 3 2 2" xfId="3431"/>
    <cellStyle name="40% - Accent2 7 3 2 2 2" xfId="7837"/>
    <cellStyle name="40% - Accent2 7 3 2 3" xfId="5627"/>
    <cellStyle name="40% - Accent2 7 3 3" xfId="1953"/>
    <cellStyle name="40% - Accent2 7 3 3 2" xfId="4163"/>
    <cellStyle name="40% - Accent2 7 3 3 2 2" xfId="8569"/>
    <cellStyle name="40% - Accent2 7 3 3 3" xfId="6359"/>
    <cellStyle name="40% - Accent2 7 3 4" xfId="2699"/>
    <cellStyle name="40% - Accent2 7 3 4 2" xfId="7105"/>
    <cellStyle name="40% - Accent2 7 3 5" xfId="4895"/>
    <cellStyle name="40% - Accent2 7 4" xfId="862"/>
    <cellStyle name="40% - Accent2 7 4 2" xfId="3072"/>
    <cellStyle name="40% - Accent2 7 4 2 2" xfId="7478"/>
    <cellStyle name="40% - Accent2 7 4 3" xfId="5268"/>
    <cellStyle name="40% - Accent2 7 5" xfId="1594"/>
    <cellStyle name="40% - Accent2 7 5 2" xfId="3804"/>
    <cellStyle name="40% - Accent2 7 5 2 2" xfId="8210"/>
    <cellStyle name="40% - Accent2 7 5 3" xfId="6000"/>
    <cellStyle name="40% - Accent2 7 6" xfId="2340"/>
    <cellStyle name="40% - Accent2 7 6 2" xfId="6746"/>
    <cellStyle name="40% - Accent2 7 7" xfId="4536"/>
    <cellStyle name="40% - Accent2 8" xfId="141"/>
    <cellStyle name="40% - Accent2 8 2" xfId="259"/>
    <cellStyle name="40% - Accent2 8 2 2" xfId="618"/>
    <cellStyle name="40% - Accent2 8 2 2 2" xfId="1351"/>
    <cellStyle name="40% - Accent2 8 2 2 2 2" xfId="3561"/>
    <cellStyle name="40% - Accent2 8 2 2 2 2 2" xfId="7967"/>
    <cellStyle name="40% - Accent2 8 2 2 2 3" xfId="5757"/>
    <cellStyle name="40% - Accent2 8 2 2 3" xfId="2083"/>
    <cellStyle name="40% - Accent2 8 2 2 3 2" xfId="4293"/>
    <cellStyle name="40% - Accent2 8 2 2 3 2 2" xfId="8699"/>
    <cellStyle name="40% - Accent2 8 2 2 3 3" xfId="6489"/>
    <cellStyle name="40% - Accent2 8 2 2 4" xfId="2829"/>
    <cellStyle name="40% - Accent2 8 2 2 4 2" xfId="7235"/>
    <cellStyle name="40% - Accent2 8 2 2 5" xfId="5025"/>
    <cellStyle name="40% - Accent2 8 2 3" xfId="992"/>
    <cellStyle name="40% - Accent2 8 2 3 2" xfId="3202"/>
    <cellStyle name="40% - Accent2 8 2 3 2 2" xfId="7608"/>
    <cellStyle name="40% - Accent2 8 2 3 3" xfId="5398"/>
    <cellStyle name="40% - Accent2 8 2 4" xfId="1724"/>
    <cellStyle name="40% - Accent2 8 2 4 2" xfId="3934"/>
    <cellStyle name="40% - Accent2 8 2 4 2 2" xfId="8340"/>
    <cellStyle name="40% - Accent2 8 2 4 3" xfId="6130"/>
    <cellStyle name="40% - Accent2 8 2 5" xfId="2470"/>
    <cellStyle name="40% - Accent2 8 2 5 2" xfId="6876"/>
    <cellStyle name="40% - Accent2 8 2 6" xfId="4666"/>
    <cellStyle name="40% - Accent2 8 3" xfId="502"/>
    <cellStyle name="40% - Accent2 8 3 2" xfId="1235"/>
    <cellStyle name="40% - Accent2 8 3 2 2" xfId="3445"/>
    <cellStyle name="40% - Accent2 8 3 2 2 2" xfId="7851"/>
    <cellStyle name="40% - Accent2 8 3 2 3" xfId="5641"/>
    <cellStyle name="40% - Accent2 8 3 3" xfId="1967"/>
    <cellStyle name="40% - Accent2 8 3 3 2" xfId="4177"/>
    <cellStyle name="40% - Accent2 8 3 3 2 2" xfId="8583"/>
    <cellStyle name="40% - Accent2 8 3 3 3" xfId="6373"/>
    <cellStyle name="40% - Accent2 8 3 4" xfId="2713"/>
    <cellStyle name="40% - Accent2 8 3 4 2" xfId="7119"/>
    <cellStyle name="40% - Accent2 8 3 5" xfId="4909"/>
    <cellStyle name="40% - Accent2 8 4" xfId="876"/>
    <cellStyle name="40% - Accent2 8 4 2" xfId="3086"/>
    <cellStyle name="40% - Accent2 8 4 2 2" xfId="7492"/>
    <cellStyle name="40% - Accent2 8 4 3" xfId="5282"/>
    <cellStyle name="40% - Accent2 8 5" xfId="1608"/>
    <cellStyle name="40% - Accent2 8 5 2" xfId="3818"/>
    <cellStyle name="40% - Accent2 8 5 2 2" xfId="8224"/>
    <cellStyle name="40% - Accent2 8 5 3" xfId="6014"/>
    <cellStyle name="40% - Accent2 8 6" xfId="2354"/>
    <cellStyle name="40% - Accent2 8 6 2" xfId="6760"/>
    <cellStyle name="40% - Accent2 8 7" xfId="4550"/>
    <cellStyle name="40% - Accent2 9" xfId="159"/>
    <cellStyle name="40% - Accent2 9 2" xfId="518"/>
    <cellStyle name="40% - Accent2 9 2 2" xfId="1251"/>
    <cellStyle name="40% - Accent2 9 2 2 2" xfId="3461"/>
    <cellStyle name="40% - Accent2 9 2 2 2 2" xfId="7867"/>
    <cellStyle name="40% - Accent2 9 2 2 3" xfId="5657"/>
    <cellStyle name="40% - Accent2 9 2 3" xfId="1983"/>
    <cellStyle name="40% - Accent2 9 2 3 2" xfId="4193"/>
    <cellStyle name="40% - Accent2 9 2 3 2 2" xfId="8599"/>
    <cellStyle name="40% - Accent2 9 2 3 3" xfId="6389"/>
    <cellStyle name="40% - Accent2 9 2 4" xfId="2729"/>
    <cellStyle name="40% - Accent2 9 2 4 2" xfId="7135"/>
    <cellStyle name="40% - Accent2 9 2 5" xfId="4925"/>
    <cellStyle name="40% - Accent2 9 3" xfId="892"/>
    <cellStyle name="40% - Accent2 9 3 2" xfId="3102"/>
    <cellStyle name="40% - Accent2 9 3 2 2" xfId="7508"/>
    <cellStyle name="40% - Accent2 9 3 3" xfId="5298"/>
    <cellStyle name="40% - Accent2 9 4" xfId="1624"/>
    <cellStyle name="40% - Accent2 9 4 2" xfId="3834"/>
    <cellStyle name="40% - Accent2 9 4 2 2" xfId="8240"/>
    <cellStyle name="40% - Accent2 9 4 3" xfId="6030"/>
    <cellStyle name="40% - Accent2 9 5" xfId="2370"/>
    <cellStyle name="40% - Accent2 9 5 2" xfId="6776"/>
    <cellStyle name="40% - Accent2 9 6" xfId="4566"/>
    <cellStyle name="40% - Accent3" xfId="29" builtinId="39" customBuiltin="1"/>
    <cellStyle name="40% - Accent3 10" xfId="275"/>
    <cellStyle name="40% - Accent3 10 2" xfId="634"/>
    <cellStyle name="40% - Accent3 10 2 2" xfId="1367"/>
    <cellStyle name="40% - Accent3 10 2 2 2" xfId="3577"/>
    <cellStyle name="40% - Accent3 10 2 2 2 2" xfId="7983"/>
    <cellStyle name="40% - Accent3 10 2 2 3" xfId="5773"/>
    <cellStyle name="40% - Accent3 10 2 3" xfId="2099"/>
    <cellStyle name="40% - Accent3 10 2 3 2" xfId="4309"/>
    <cellStyle name="40% - Accent3 10 2 3 2 2" xfId="8715"/>
    <cellStyle name="40% - Accent3 10 2 3 3" xfId="6505"/>
    <cellStyle name="40% - Accent3 10 2 4" xfId="2845"/>
    <cellStyle name="40% - Accent3 10 2 4 2" xfId="7251"/>
    <cellStyle name="40% - Accent3 10 2 5" xfId="5041"/>
    <cellStyle name="40% - Accent3 10 3" xfId="1008"/>
    <cellStyle name="40% - Accent3 10 3 2" xfId="3218"/>
    <cellStyle name="40% - Accent3 10 3 2 2" xfId="7624"/>
    <cellStyle name="40% - Accent3 10 3 3" xfId="5414"/>
    <cellStyle name="40% - Accent3 10 4" xfId="1740"/>
    <cellStyle name="40% - Accent3 10 4 2" xfId="3950"/>
    <cellStyle name="40% - Accent3 10 4 2 2" xfId="8356"/>
    <cellStyle name="40% - Accent3 10 4 3" xfId="6146"/>
    <cellStyle name="40% - Accent3 10 5" xfId="2486"/>
    <cellStyle name="40% - Accent3 10 5 2" xfId="6892"/>
    <cellStyle name="40% - Accent3 10 6" xfId="4682"/>
    <cellStyle name="40% - Accent3 11" xfId="289"/>
    <cellStyle name="40% - Accent3 11 2" xfId="648"/>
    <cellStyle name="40% - Accent3 11 2 2" xfId="1381"/>
    <cellStyle name="40% - Accent3 11 2 2 2" xfId="3591"/>
    <cellStyle name="40% - Accent3 11 2 2 2 2" xfId="7997"/>
    <cellStyle name="40% - Accent3 11 2 2 3" xfId="5787"/>
    <cellStyle name="40% - Accent3 11 2 3" xfId="2113"/>
    <cellStyle name="40% - Accent3 11 2 3 2" xfId="4323"/>
    <cellStyle name="40% - Accent3 11 2 3 2 2" xfId="8729"/>
    <cellStyle name="40% - Accent3 11 2 3 3" xfId="6519"/>
    <cellStyle name="40% - Accent3 11 2 4" xfId="2859"/>
    <cellStyle name="40% - Accent3 11 2 4 2" xfId="7265"/>
    <cellStyle name="40% - Accent3 11 2 5" xfId="5055"/>
    <cellStyle name="40% - Accent3 11 3" xfId="1022"/>
    <cellStyle name="40% - Accent3 11 3 2" xfId="3232"/>
    <cellStyle name="40% - Accent3 11 3 2 2" xfId="7638"/>
    <cellStyle name="40% - Accent3 11 3 3" xfId="5428"/>
    <cellStyle name="40% - Accent3 11 4" xfId="1754"/>
    <cellStyle name="40% - Accent3 11 4 2" xfId="3964"/>
    <cellStyle name="40% - Accent3 11 4 2 2" xfId="8370"/>
    <cellStyle name="40% - Accent3 11 4 3" xfId="6160"/>
    <cellStyle name="40% - Accent3 11 5" xfId="2500"/>
    <cellStyle name="40% - Accent3 11 5 2" xfId="6906"/>
    <cellStyle name="40% - Accent3 11 6" xfId="4696"/>
    <cellStyle name="40% - Accent3 12" xfId="303"/>
    <cellStyle name="40% - Accent3 12 2" xfId="662"/>
    <cellStyle name="40% - Accent3 12 2 2" xfId="1395"/>
    <cellStyle name="40% - Accent3 12 2 2 2" xfId="3605"/>
    <cellStyle name="40% - Accent3 12 2 2 2 2" xfId="8011"/>
    <cellStyle name="40% - Accent3 12 2 2 3" xfId="5801"/>
    <cellStyle name="40% - Accent3 12 2 3" xfId="2127"/>
    <cellStyle name="40% - Accent3 12 2 3 2" xfId="4337"/>
    <cellStyle name="40% - Accent3 12 2 3 2 2" xfId="8743"/>
    <cellStyle name="40% - Accent3 12 2 3 3" xfId="6533"/>
    <cellStyle name="40% - Accent3 12 2 4" xfId="2873"/>
    <cellStyle name="40% - Accent3 12 2 4 2" xfId="7279"/>
    <cellStyle name="40% - Accent3 12 2 5" xfId="5069"/>
    <cellStyle name="40% - Accent3 12 3" xfId="1036"/>
    <cellStyle name="40% - Accent3 12 3 2" xfId="3246"/>
    <cellStyle name="40% - Accent3 12 3 2 2" xfId="7652"/>
    <cellStyle name="40% - Accent3 12 3 3" xfId="5442"/>
    <cellStyle name="40% - Accent3 12 4" xfId="1768"/>
    <cellStyle name="40% - Accent3 12 4 2" xfId="3978"/>
    <cellStyle name="40% - Accent3 12 4 2 2" xfId="8384"/>
    <cellStyle name="40% - Accent3 12 4 3" xfId="6174"/>
    <cellStyle name="40% - Accent3 12 5" xfId="2514"/>
    <cellStyle name="40% - Accent3 12 5 2" xfId="6920"/>
    <cellStyle name="40% - Accent3 12 6" xfId="4710"/>
    <cellStyle name="40% - Accent3 13" xfId="317"/>
    <cellStyle name="40% - Accent3 13 2" xfId="676"/>
    <cellStyle name="40% - Accent3 13 2 2" xfId="1409"/>
    <cellStyle name="40% - Accent3 13 2 2 2" xfId="3619"/>
    <cellStyle name="40% - Accent3 13 2 2 2 2" xfId="8025"/>
    <cellStyle name="40% - Accent3 13 2 2 3" xfId="5815"/>
    <cellStyle name="40% - Accent3 13 2 3" xfId="2141"/>
    <cellStyle name="40% - Accent3 13 2 3 2" xfId="4351"/>
    <cellStyle name="40% - Accent3 13 2 3 2 2" xfId="8757"/>
    <cellStyle name="40% - Accent3 13 2 3 3" xfId="6547"/>
    <cellStyle name="40% - Accent3 13 2 4" xfId="2887"/>
    <cellStyle name="40% - Accent3 13 2 4 2" xfId="7293"/>
    <cellStyle name="40% - Accent3 13 2 5" xfId="5083"/>
    <cellStyle name="40% - Accent3 13 3" xfId="1050"/>
    <cellStyle name="40% - Accent3 13 3 2" xfId="3260"/>
    <cellStyle name="40% - Accent3 13 3 2 2" xfId="7666"/>
    <cellStyle name="40% - Accent3 13 3 3" xfId="5456"/>
    <cellStyle name="40% - Accent3 13 4" xfId="1782"/>
    <cellStyle name="40% - Accent3 13 4 2" xfId="3992"/>
    <cellStyle name="40% - Accent3 13 4 2 2" xfId="8398"/>
    <cellStyle name="40% - Accent3 13 4 3" xfId="6188"/>
    <cellStyle name="40% - Accent3 13 5" xfId="2528"/>
    <cellStyle name="40% - Accent3 13 5 2" xfId="6934"/>
    <cellStyle name="40% - Accent3 13 6" xfId="4724"/>
    <cellStyle name="40% - Accent3 14" xfId="331"/>
    <cellStyle name="40% - Accent3 14 2" xfId="690"/>
    <cellStyle name="40% - Accent3 14 2 2" xfId="1423"/>
    <cellStyle name="40% - Accent3 14 2 2 2" xfId="3633"/>
    <cellStyle name="40% - Accent3 14 2 2 2 2" xfId="8039"/>
    <cellStyle name="40% - Accent3 14 2 2 3" xfId="5829"/>
    <cellStyle name="40% - Accent3 14 2 3" xfId="2155"/>
    <cellStyle name="40% - Accent3 14 2 3 2" xfId="4365"/>
    <cellStyle name="40% - Accent3 14 2 3 2 2" xfId="8771"/>
    <cellStyle name="40% - Accent3 14 2 3 3" xfId="6561"/>
    <cellStyle name="40% - Accent3 14 2 4" xfId="2901"/>
    <cellStyle name="40% - Accent3 14 2 4 2" xfId="7307"/>
    <cellStyle name="40% - Accent3 14 2 5" xfId="5097"/>
    <cellStyle name="40% - Accent3 14 3" xfId="1064"/>
    <cellStyle name="40% - Accent3 14 3 2" xfId="3274"/>
    <cellStyle name="40% - Accent3 14 3 2 2" xfId="7680"/>
    <cellStyle name="40% - Accent3 14 3 3" xfId="5470"/>
    <cellStyle name="40% - Accent3 14 4" xfId="1796"/>
    <cellStyle name="40% - Accent3 14 4 2" xfId="4006"/>
    <cellStyle name="40% - Accent3 14 4 2 2" xfId="8412"/>
    <cellStyle name="40% - Accent3 14 4 3" xfId="6202"/>
    <cellStyle name="40% - Accent3 14 5" xfId="2542"/>
    <cellStyle name="40% - Accent3 14 5 2" xfId="6948"/>
    <cellStyle name="40% - Accent3 14 6" xfId="4738"/>
    <cellStyle name="40% - Accent3 15" xfId="345"/>
    <cellStyle name="40% - Accent3 15 2" xfId="704"/>
    <cellStyle name="40% - Accent3 15 2 2" xfId="1437"/>
    <cellStyle name="40% - Accent3 15 2 2 2" xfId="3647"/>
    <cellStyle name="40% - Accent3 15 2 2 2 2" xfId="8053"/>
    <cellStyle name="40% - Accent3 15 2 2 3" xfId="5843"/>
    <cellStyle name="40% - Accent3 15 2 3" xfId="2169"/>
    <cellStyle name="40% - Accent3 15 2 3 2" xfId="4379"/>
    <cellStyle name="40% - Accent3 15 2 3 2 2" xfId="8785"/>
    <cellStyle name="40% - Accent3 15 2 3 3" xfId="6575"/>
    <cellStyle name="40% - Accent3 15 2 4" xfId="2915"/>
    <cellStyle name="40% - Accent3 15 2 4 2" xfId="7321"/>
    <cellStyle name="40% - Accent3 15 2 5" xfId="5111"/>
    <cellStyle name="40% - Accent3 15 3" xfId="1078"/>
    <cellStyle name="40% - Accent3 15 3 2" xfId="3288"/>
    <cellStyle name="40% - Accent3 15 3 2 2" xfId="7694"/>
    <cellStyle name="40% - Accent3 15 3 3" xfId="5484"/>
    <cellStyle name="40% - Accent3 15 4" xfId="1810"/>
    <cellStyle name="40% - Accent3 15 4 2" xfId="4020"/>
    <cellStyle name="40% - Accent3 15 4 2 2" xfId="8426"/>
    <cellStyle name="40% - Accent3 15 4 3" xfId="6216"/>
    <cellStyle name="40% - Accent3 15 5" xfId="2556"/>
    <cellStyle name="40% - Accent3 15 5 2" xfId="6962"/>
    <cellStyle name="40% - Accent3 15 6" xfId="4752"/>
    <cellStyle name="40% - Accent3 16" xfId="359"/>
    <cellStyle name="40% - Accent3 16 2" xfId="718"/>
    <cellStyle name="40% - Accent3 16 2 2" xfId="1451"/>
    <cellStyle name="40% - Accent3 16 2 2 2" xfId="3661"/>
    <cellStyle name="40% - Accent3 16 2 2 2 2" xfId="8067"/>
    <cellStyle name="40% - Accent3 16 2 2 3" xfId="5857"/>
    <cellStyle name="40% - Accent3 16 2 3" xfId="2183"/>
    <cellStyle name="40% - Accent3 16 2 3 2" xfId="4393"/>
    <cellStyle name="40% - Accent3 16 2 3 2 2" xfId="8799"/>
    <cellStyle name="40% - Accent3 16 2 3 3" xfId="6589"/>
    <cellStyle name="40% - Accent3 16 2 4" xfId="2929"/>
    <cellStyle name="40% - Accent3 16 2 4 2" xfId="7335"/>
    <cellStyle name="40% - Accent3 16 2 5" xfId="5125"/>
    <cellStyle name="40% - Accent3 16 3" xfId="1092"/>
    <cellStyle name="40% - Accent3 16 3 2" xfId="3302"/>
    <cellStyle name="40% - Accent3 16 3 2 2" xfId="7708"/>
    <cellStyle name="40% - Accent3 16 3 3" xfId="5498"/>
    <cellStyle name="40% - Accent3 16 4" xfId="1824"/>
    <cellStyle name="40% - Accent3 16 4 2" xfId="4034"/>
    <cellStyle name="40% - Accent3 16 4 2 2" xfId="8440"/>
    <cellStyle name="40% - Accent3 16 4 3" xfId="6230"/>
    <cellStyle name="40% - Accent3 16 5" xfId="2570"/>
    <cellStyle name="40% - Accent3 16 5 2" xfId="6976"/>
    <cellStyle name="40% - Accent3 16 6" xfId="4766"/>
    <cellStyle name="40% - Accent3 17" xfId="373"/>
    <cellStyle name="40% - Accent3 17 2" xfId="732"/>
    <cellStyle name="40% - Accent3 17 2 2" xfId="1465"/>
    <cellStyle name="40% - Accent3 17 2 2 2" xfId="3675"/>
    <cellStyle name="40% - Accent3 17 2 2 2 2" xfId="8081"/>
    <cellStyle name="40% - Accent3 17 2 2 3" xfId="5871"/>
    <cellStyle name="40% - Accent3 17 2 3" xfId="2197"/>
    <cellStyle name="40% - Accent3 17 2 3 2" xfId="4407"/>
    <cellStyle name="40% - Accent3 17 2 3 2 2" xfId="8813"/>
    <cellStyle name="40% - Accent3 17 2 3 3" xfId="6603"/>
    <cellStyle name="40% - Accent3 17 2 4" xfId="2943"/>
    <cellStyle name="40% - Accent3 17 2 4 2" xfId="7349"/>
    <cellStyle name="40% - Accent3 17 2 5" xfId="5139"/>
    <cellStyle name="40% - Accent3 17 3" xfId="1106"/>
    <cellStyle name="40% - Accent3 17 3 2" xfId="3316"/>
    <cellStyle name="40% - Accent3 17 3 2 2" xfId="7722"/>
    <cellStyle name="40% - Accent3 17 3 3" xfId="5512"/>
    <cellStyle name="40% - Accent3 17 4" xfId="1838"/>
    <cellStyle name="40% - Accent3 17 4 2" xfId="4048"/>
    <cellStyle name="40% - Accent3 17 4 2 2" xfId="8454"/>
    <cellStyle name="40% - Accent3 17 4 3" xfId="6244"/>
    <cellStyle name="40% - Accent3 17 5" xfId="2584"/>
    <cellStyle name="40% - Accent3 17 5 2" xfId="6990"/>
    <cellStyle name="40% - Accent3 17 6" xfId="4780"/>
    <cellStyle name="40% - Accent3 18" xfId="387"/>
    <cellStyle name="40% - Accent3 18 2" xfId="746"/>
    <cellStyle name="40% - Accent3 18 2 2" xfId="1479"/>
    <cellStyle name="40% - Accent3 18 2 2 2" xfId="3689"/>
    <cellStyle name="40% - Accent3 18 2 2 2 2" xfId="8095"/>
    <cellStyle name="40% - Accent3 18 2 2 3" xfId="5885"/>
    <cellStyle name="40% - Accent3 18 2 3" xfId="2211"/>
    <cellStyle name="40% - Accent3 18 2 3 2" xfId="4421"/>
    <cellStyle name="40% - Accent3 18 2 3 2 2" xfId="8827"/>
    <cellStyle name="40% - Accent3 18 2 3 3" xfId="6617"/>
    <cellStyle name="40% - Accent3 18 2 4" xfId="2957"/>
    <cellStyle name="40% - Accent3 18 2 4 2" xfId="7363"/>
    <cellStyle name="40% - Accent3 18 2 5" xfId="5153"/>
    <cellStyle name="40% - Accent3 18 3" xfId="1120"/>
    <cellStyle name="40% - Accent3 18 3 2" xfId="3330"/>
    <cellStyle name="40% - Accent3 18 3 2 2" xfId="7736"/>
    <cellStyle name="40% - Accent3 18 3 3" xfId="5526"/>
    <cellStyle name="40% - Accent3 18 4" xfId="1852"/>
    <cellStyle name="40% - Accent3 18 4 2" xfId="4062"/>
    <cellStyle name="40% - Accent3 18 4 2 2" xfId="8468"/>
    <cellStyle name="40% - Accent3 18 4 3" xfId="6258"/>
    <cellStyle name="40% - Accent3 18 5" xfId="2598"/>
    <cellStyle name="40% - Accent3 18 5 2" xfId="7004"/>
    <cellStyle name="40% - Accent3 18 6" xfId="4794"/>
    <cellStyle name="40% - Accent3 19" xfId="404"/>
    <cellStyle name="40% - Accent3 19 2" xfId="1137"/>
    <cellStyle name="40% - Accent3 19 2 2" xfId="3347"/>
    <cellStyle name="40% - Accent3 19 2 2 2" xfId="7753"/>
    <cellStyle name="40% - Accent3 19 2 3" xfId="5543"/>
    <cellStyle name="40% - Accent3 19 3" xfId="1869"/>
    <cellStyle name="40% - Accent3 19 3 2" xfId="4079"/>
    <cellStyle name="40% - Accent3 19 3 2 2" xfId="8485"/>
    <cellStyle name="40% - Accent3 19 3 3" xfId="6275"/>
    <cellStyle name="40% - Accent3 19 4" xfId="2615"/>
    <cellStyle name="40% - Accent3 19 4 2" xfId="7021"/>
    <cellStyle name="40% - Accent3 19 5" xfId="4811"/>
    <cellStyle name="40% - Accent3 2" xfId="59"/>
    <cellStyle name="40% - Accent3 2 2" xfId="177"/>
    <cellStyle name="40% - Accent3 2 2 2" xfId="536"/>
    <cellStyle name="40% - Accent3 2 2 2 2" xfId="1269"/>
    <cellStyle name="40% - Accent3 2 2 2 2 2" xfId="3479"/>
    <cellStyle name="40% - Accent3 2 2 2 2 2 2" xfId="7885"/>
    <cellStyle name="40% - Accent3 2 2 2 2 3" xfId="5675"/>
    <cellStyle name="40% - Accent3 2 2 2 3" xfId="2001"/>
    <cellStyle name="40% - Accent3 2 2 2 3 2" xfId="4211"/>
    <cellStyle name="40% - Accent3 2 2 2 3 2 2" xfId="8617"/>
    <cellStyle name="40% - Accent3 2 2 2 3 3" xfId="6407"/>
    <cellStyle name="40% - Accent3 2 2 2 4" xfId="2747"/>
    <cellStyle name="40% - Accent3 2 2 2 4 2" xfId="7153"/>
    <cellStyle name="40% - Accent3 2 2 2 5" xfId="4943"/>
    <cellStyle name="40% - Accent3 2 2 3" xfId="910"/>
    <cellStyle name="40% - Accent3 2 2 3 2" xfId="3120"/>
    <cellStyle name="40% - Accent3 2 2 3 2 2" xfId="7526"/>
    <cellStyle name="40% - Accent3 2 2 3 3" xfId="5316"/>
    <cellStyle name="40% - Accent3 2 2 4" xfId="1642"/>
    <cellStyle name="40% - Accent3 2 2 4 2" xfId="3852"/>
    <cellStyle name="40% - Accent3 2 2 4 2 2" xfId="8258"/>
    <cellStyle name="40% - Accent3 2 2 4 3" xfId="6048"/>
    <cellStyle name="40% - Accent3 2 2 5" xfId="2388"/>
    <cellStyle name="40% - Accent3 2 2 5 2" xfId="6794"/>
    <cellStyle name="40% - Accent3 2 2 6" xfId="4584"/>
    <cellStyle name="40% - Accent3 2 3" xfId="420"/>
    <cellStyle name="40% - Accent3 2 3 2" xfId="1153"/>
    <cellStyle name="40% - Accent3 2 3 2 2" xfId="3363"/>
    <cellStyle name="40% - Accent3 2 3 2 2 2" xfId="7769"/>
    <cellStyle name="40% - Accent3 2 3 2 3" xfId="5559"/>
    <cellStyle name="40% - Accent3 2 3 3" xfId="1885"/>
    <cellStyle name="40% - Accent3 2 3 3 2" xfId="4095"/>
    <cellStyle name="40% - Accent3 2 3 3 2 2" xfId="8501"/>
    <cellStyle name="40% - Accent3 2 3 3 3" xfId="6291"/>
    <cellStyle name="40% - Accent3 2 3 4" xfId="2631"/>
    <cellStyle name="40% - Accent3 2 3 4 2" xfId="7037"/>
    <cellStyle name="40% - Accent3 2 3 5" xfId="4827"/>
    <cellStyle name="40% - Accent3 2 4" xfId="794"/>
    <cellStyle name="40% - Accent3 2 4 2" xfId="3004"/>
    <cellStyle name="40% - Accent3 2 4 2 2" xfId="7410"/>
    <cellStyle name="40% - Accent3 2 4 3" xfId="5200"/>
    <cellStyle name="40% - Accent3 2 5" xfId="1526"/>
    <cellStyle name="40% - Accent3 2 5 2" xfId="3736"/>
    <cellStyle name="40% - Accent3 2 5 2 2" xfId="8142"/>
    <cellStyle name="40% - Accent3 2 5 3" xfId="5932"/>
    <cellStyle name="40% - Accent3 2 6" xfId="2272"/>
    <cellStyle name="40% - Accent3 2 6 2" xfId="6678"/>
    <cellStyle name="40% - Accent3 2 7" xfId="4468"/>
    <cellStyle name="40% - Accent3 20" xfId="761"/>
    <cellStyle name="40% - Accent3 20 2" xfId="1494"/>
    <cellStyle name="40% - Accent3 20 2 2" xfId="3704"/>
    <cellStyle name="40% - Accent3 20 2 2 2" xfId="8110"/>
    <cellStyle name="40% - Accent3 20 2 3" xfId="5900"/>
    <cellStyle name="40% - Accent3 20 3" xfId="2226"/>
    <cellStyle name="40% - Accent3 20 3 2" xfId="4436"/>
    <cellStyle name="40% - Accent3 20 3 2 2" xfId="8842"/>
    <cellStyle name="40% - Accent3 20 3 3" xfId="6632"/>
    <cellStyle name="40% - Accent3 20 4" xfId="2972"/>
    <cellStyle name="40% - Accent3 20 4 2" xfId="7378"/>
    <cellStyle name="40% - Accent3 20 5" xfId="5168"/>
    <cellStyle name="40% - Accent3 21" xfId="778"/>
    <cellStyle name="40% - Accent3 21 2" xfId="2988"/>
    <cellStyle name="40% - Accent3 21 2 2" xfId="7394"/>
    <cellStyle name="40% - Accent3 21 3" xfId="5184"/>
    <cellStyle name="40% - Accent3 22" xfId="1510"/>
    <cellStyle name="40% - Accent3 22 2" xfId="3720"/>
    <cellStyle name="40% - Accent3 22 2 2" xfId="8126"/>
    <cellStyle name="40% - Accent3 22 3" xfId="5916"/>
    <cellStyle name="40% - Accent3 23" xfId="2240"/>
    <cellStyle name="40% - Accent3 23 2" xfId="6646"/>
    <cellStyle name="40% - Accent3 24" xfId="2256"/>
    <cellStyle name="40% - Accent3 24 2" xfId="6662"/>
    <cellStyle name="40% - Accent3 25" xfId="4452"/>
    <cellStyle name="40% - Accent3 3" xfId="73"/>
    <cellStyle name="40% - Accent3 3 2" xfId="191"/>
    <cellStyle name="40% - Accent3 3 2 2" xfId="550"/>
    <cellStyle name="40% - Accent3 3 2 2 2" xfId="1283"/>
    <cellStyle name="40% - Accent3 3 2 2 2 2" xfId="3493"/>
    <cellStyle name="40% - Accent3 3 2 2 2 2 2" xfId="7899"/>
    <cellStyle name="40% - Accent3 3 2 2 2 3" xfId="5689"/>
    <cellStyle name="40% - Accent3 3 2 2 3" xfId="2015"/>
    <cellStyle name="40% - Accent3 3 2 2 3 2" xfId="4225"/>
    <cellStyle name="40% - Accent3 3 2 2 3 2 2" xfId="8631"/>
    <cellStyle name="40% - Accent3 3 2 2 3 3" xfId="6421"/>
    <cellStyle name="40% - Accent3 3 2 2 4" xfId="2761"/>
    <cellStyle name="40% - Accent3 3 2 2 4 2" xfId="7167"/>
    <cellStyle name="40% - Accent3 3 2 2 5" xfId="4957"/>
    <cellStyle name="40% - Accent3 3 2 3" xfId="924"/>
    <cellStyle name="40% - Accent3 3 2 3 2" xfId="3134"/>
    <cellStyle name="40% - Accent3 3 2 3 2 2" xfId="7540"/>
    <cellStyle name="40% - Accent3 3 2 3 3" xfId="5330"/>
    <cellStyle name="40% - Accent3 3 2 4" xfId="1656"/>
    <cellStyle name="40% - Accent3 3 2 4 2" xfId="3866"/>
    <cellStyle name="40% - Accent3 3 2 4 2 2" xfId="8272"/>
    <cellStyle name="40% - Accent3 3 2 4 3" xfId="6062"/>
    <cellStyle name="40% - Accent3 3 2 5" xfId="2402"/>
    <cellStyle name="40% - Accent3 3 2 5 2" xfId="6808"/>
    <cellStyle name="40% - Accent3 3 2 6" xfId="4598"/>
    <cellStyle name="40% - Accent3 3 3" xfId="434"/>
    <cellStyle name="40% - Accent3 3 3 2" xfId="1167"/>
    <cellStyle name="40% - Accent3 3 3 2 2" xfId="3377"/>
    <cellStyle name="40% - Accent3 3 3 2 2 2" xfId="7783"/>
    <cellStyle name="40% - Accent3 3 3 2 3" xfId="5573"/>
    <cellStyle name="40% - Accent3 3 3 3" xfId="1899"/>
    <cellStyle name="40% - Accent3 3 3 3 2" xfId="4109"/>
    <cellStyle name="40% - Accent3 3 3 3 2 2" xfId="8515"/>
    <cellStyle name="40% - Accent3 3 3 3 3" xfId="6305"/>
    <cellStyle name="40% - Accent3 3 3 4" xfId="2645"/>
    <cellStyle name="40% - Accent3 3 3 4 2" xfId="7051"/>
    <cellStyle name="40% - Accent3 3 3 5" xfId="4841"/>
    <cellStyle name="40% - Accent3 3 4" xfId="808"/>
    <cellStyle name="40% - Accent3 3 4 2" xfId="3018"/>
    <cellStyle name="40% - Accent3 3 4 2 2" xfId="7424"/>
    <cellStyle name="40% - Accent3 3 4 3" xfId="5214"/>
    <cellStyle name="40% - Accent3 3 5" xfId="1540"/>
    <cellStyle name="40% - Accent3 3 5 2" xfId="3750"/>
    <cellStyle name="40% - Accent3 3 5 2 2" xfId="8156"/>
    <cellStyle name="40% - Accent3 3 5 3" xfId="5946"/>
    <cellStyle name="40% - Accent3 3 6" xfId="2286"/>
    <cellStyle name="40% - Accent3 3 6 2" xfId="6692"/>
    <cellStyle name="40% - Accent3 3 7" xfId="4482"/>
    <cellStyle name="40% - Accent3 4" xfId="87"/>
    <cellStyle name="40% - Accent3 4 2" xfId="205"/>
    <cellStyle name="40% - Accent3 4 2 2" xfId="564"/>
    <cellStyle name="40% - Accent3 4 2 2 2" xfId="1297"/>
    <cellStyle name="40% - Accent3 4 2 2 2 2" xfId="3507"/>
    <cellStyle name="40% - Accent3 4 2 2 2 2 2" xfId="7913"/>
    <cellStyle name="40% - Accent3 4 2 2 2 3" xfId="5703"/>
    <cellStyle name="40% - Accent3 4 2 2 3" xfId="2029"/>
    <cellStyle name="40% - Accent3 4 2 2 3 2" xfId="4239"/>
    <cellStyle name="40% - Accent3 4 2 2 3 2 2" xfId="8645"/>
    <cellStyle name="40% - Accent3 4 2 2 3 3" xfId="6435"/>
    <cellStyle name="40% - Accent3 4 2 2 4" xfId="2775"/>
    <cellStyle name="40% - Accent3 4 2 2 4 2" xfId="7181"/>
    <cellStyle name="40% - Accent3 4 2 2 5" xfId="4971"/>
    <cellStyle name="40% - Accent3 4 2 3" xfId="938"/>
    <cellStyle name="40% - Accent3 4 2 3 2" xfId="3148"/>
    <cellStyle name="40% - Accent3 4 2 3 2 2" xfId="7554"/>
    <cellStyle name="40% - Accent3 4 2 3 3" xfId="5344"/>
    <cellStyle name="40% - Accent3 4 2 4" xfId="1670"/>
    <cellStyle name="40% - Accent3 4 2 4 2" xfId="3880"/>
    <cellStyle name="40% - Accent3 4 2 4 2 2" xfId="8286"/>
    <cellStyle name="40% - Accent3 4 2 4 3" xfId="6076"/>
    <cellStyle name="40% - Accent3 4 2 5" xfId="2416"/>
    <cellStyle name="40% - Accent3 4 2 5 2" xfId="6822"/>
    <cellStyle name="40% - Accent3 4 2 6" xfId="4612"/>
    <cellStyle name="40% - Accent3 4 3" xfId="448"/>
    <cellStyle name="40% - Accent3 4 3 2" xfId="1181"/>
    <cellStyle name="40% - Accent3 4 3 2 2" xfId="3391"/>
    <cellStyle name="40% - Accent3 4 3 2 2 2" xfId="7797"/>
    <cellStyle name="40% - Accent3 4 3 2 3" xfId="5587"/>
    <cellStyle name="40% - Accent3 4 3 3" xfId="1913"/>
    <cellStyle name="40% - Accent3 4 3 3 2" xfId="4123"/>
    <cellStyle name="40% - Accent3 4 3 3 2 2" xfId="8529"/>
    <cellStyle name="40% - Accent3 4 3 3 3" xfId="6319"/>
    <cellStyle name="40% - Accent3 4 3 4" xfId="2659"/>
    <cellStyle name="40% - Accent3 4 3 4 2" xfId="7065"/>
    <cellStyle name="40% - Accent3 4 3 5" xfId="4855"/>
    <cellStyle name="40% - Accent3 4 4" xfId="822"/>
    <cellStyle name="40% - Accent3 4 4 2" xfId="3032"/>
    <cellStyle name="40% - Accent3 4 4 2 2" xfId="7438"/>
    <cellStyle name="40% - Accent3 4 4 3" xfId="5228"/>
    <cellStyle name="40% - Accent3 4 5" xfId="1554"/>
    <cellStyle name="40% - Accent3 4 5 2" xfId="3764"/>
    <cellStyle name="40% - Accent3 4 5 2 2" xfId="8170"/>
    <cellStyle name="40% - Accent3 4 5 3" xfId="5960"/>
    <cellStyle name="40% - Accent3 4 6" xfId="2300"/>
    <cellStyle name="40% - Accent3 4 6 2" xfId="6706"/>
    <cellStyle name="40% - Accent3 4 7" xfId="4496"/>
    <cellStyle name="40% - Accent3 5" xfId="101"/>
    <cellStyle name="40% - Accent3 5 2" xfId="219"/>
    <cellStyle name="40% - Accent3 5 2 2" xfId="578"/>
    <cellStyle name="40% - Accent3 5 2 2 2" xfId="1311"/>
    <cellStyle name="40% - Accent3 5 2 2 2 2" xfId="3521"/>
    <cellStyle name="40% - Accent3 5 2 2 2 2 2" xfId="7927"/>
    <cellStyle name="40% - Accent3 5 2 2 2 3" xfId="5717"/>
    <cellStyle name="40% - Accent3 5 2 2 3" xfId="2043"/>
    <cellStyle name="40% - Accent3 5 2 2 3 2" xfId="4253"/>
    <cellStyle name="40% - Accent3 5 2 2 3 2 2" xfId="8659"/>
    <cellStyle name="40% - Accent3 5 2 2 3 3" xfId="6449"/>
    <cellStyle name="40% - Accent3 5 2 2 4" xfId="2789"/>
    <cellStyle name="40% - Accent3 5 2 2 4 2" xfId="7195"/>
    <cellStyle name="40% - Accent3 5 2 2 5" xfId="4985"/>
    <cellStyle name="40% - Accent3 5 2 3" xfId="952"/>
    <cellStyle name="40% - Accent3 5 2 3 2" xfId="3162"/>
    <cellStyle name="40% - Accent3 5 2 3 2 2" xfId="7568"/>
    <cellStyle name="40% - Accent3 5 2 3 3" xfId="5358"/>
    <cellStyle name="40% - Accent3 5 2 4" xfId="1684"/>
    <cellStyle name="40% - Accent3 5 2 4 2" xfId="3894"/>
    <cellStyle name="40% - Accent3 5 2 4 2 2" xfId="8300"/>
    <cellStyle name="40% - Accent3 5 2 4 3" xfId="6090"/>
    <cellStyle name="40% - Accent3 5 2 5" xfId="2430"/>
    <cellStyle name="40% - Accent3 5 2 5 2" xfId="6836"/>
    <cellStyle name="40% - Accent3 5 2 6" xfId="4626"/>
    <cellStyle name="40% - Accent3 5 3" xfId="462"/>
    <cellStyle name="40% - Accent3 5 3 2" xfId="1195"/>
    <cellStyle name="40% - Accent3 5 3 2 2" xfId="3405"/>
    <cellStyle name="40% - Accent3 5 3 2 2 2" xfId="7811"/>
    <cellStyle name="40% - Accent3 5 3 2 3" xfId="5601"/>
    <cellStyle name="40% - Accent3 5 3 3" xfId="1927"/>
    <cellStyle name="40% - Accent3 5 3 3 2" xfId="4137"/>
    <cellStyle name="40% - Accent3 5 3 3 2 2" xfId="8543"/>
    <cellStyle name="40% - Accent3 5 3 3 3" xfId="6333"/>
    <cellStyle name="40% - Accent3 5 3 4" xfId="2673"/>
    <cellStyle name="40% - Accent3 5 3 4 2" xfId="7079"/>
    <cellStyle name="40% - Accent3 5 3 5" xfId="4869"/>
    <cellStyle name="40% - Accent3 5 4" xfId="836"/>
    <cellStyle name="40% - Accent3 5 4 2" xfId="3046"/>
    <cellStyle name="40% - Accent3 5 4 2 2" xfId="7452"/>
    <cellStyle name="40% - Accent3 5 4 3" xfId="5242"/>
    <cellStyle name="40% - Accent3 5 5" xfId="1568"/>
    <cellStyle name="40% - Accent3 5 5 2" xfId="3778"/>
    <cellStyle name="40% - Accent3 5 5 2 2" xfId="8184"/>
    <cellStyle name="40% - Accent3 5 5 3" xfId="5974"/>
    <cellStyle name="40% - Accent3 5 6" xfId="2314"/>
    <cellStyle name="40% - Accent3 5 6 2" xfId="6720"/>
    <cellStyle name="40% - Accent3 5 7" xfId="4510"/>
    <cellStyle name="40% - Accent3 6" xfId="115"/>
    <cellStyle name="40% - Accent3 6 2" xfId="233"/>
    <cellStyle name="40% - Accent3 6 2 2" xfId="592"/>
    <cellStyle name="40% - Accent3 6 2 2 2" xfId="1325"/>
    <cellStyle name="40% - Accent3 6 2 2 2 2" xfId="3535"/>
    <cellStyle name="40% - Accent3 6 2 2 2 2 2" xfId="7941"/>
    <cellStyle name="40% - Accent3 6 2 2 2 3" xfId="5731"/>
    <cellStyle name="40% - Accent3 6 2 2 3" xfId="2057"/>
    <cellStyle name="40% - Accent3 6 2 2 3 2" xfId="4267"/>
    <cellStyle name="40% - Accent3 6 2 2 3 2 2" xfId="8673"/>
    <cellStyle name="40% - Accent3 6 2 2 3 3" xfId="6463"/>
    <cellStyle name="40% - Accent3 6 2 2 4" xfId="2803"/>
    <cellStyle name="40% - Accent3 6 2 2 4 2" xfId="7209"/>
    <cellStyle name="40% - Accent3 6 2 2 5" xfId="4999"/>
    <cellStyle name="40% - Accent3 6 2 3" xfId="966"/>
    <cellStyle name="40% - Accent3 6 2 3 2" xfId="3176"/>
    <cellStyle name="40% - Accent3 6 2 3 2 2" xfId="7582"/>
    <cellStyle name="40% - Accent3 6 2 3 3" xfId="5372"/>
    <cellStyle name="40% - Accent3 6 2 4" xfId="1698"/>
    <cellStyle name="40% - Accent3 6 2 4 2" xfId="3908"/>
    <cellStyle name="40% - Accent3 6 2 4 2 2" xfId="8314"/>
    <cellStyle name="40% - Accent3 6 2 4 3" xfId="6104"/>
    <cellStyle name="40% - Accent3 6 2 5" xfId="2444"/>
    <cellStyle name="40% - Accent3 6 2 5 2" xfId="6850"/>
    <cellStyle name="40% - Accent3 6 2 6" xfId="4640"/>
    <cellStyle name="40% - Accent3 6 3" xfId="476"/>
    <cellStyle name="40% - Accent3 6 3 2" xfId="1209"/>
    <cellStyle name="40% - Accent3 6 3 2 2" xfId="3419"/>
    <cellStyle name="40% - Accent3 6 3 2 2 2" xfId="7825"/>
    <cellStyle name="40% - Accent3 6 3 2 3" xfId="5615"/>
    <cellStyle name="40% - Accent3 6 3 3" xfId="1941"/>
    <cellStyle name="40% - Accent3 6 3 3 2" xfId="4151"/>
    <cellStyle name="40% - Accent3 6 3 3 2 2" xfId="8557"/>
    <cellStyle name="40% - Accent3 6 3 3 3" xfId="6347"/>
    <cellStyle name="40% - Accent3 6 3 4" xfId="2687"/>
    <cellStyle name="40% - Accent3 6 3 4 2" xfId="7093"/>
    <cellStyle name="40% - Accent3 6 3 5" xfId="4883"/>
    <cellStyle name="40% - Accent3 6 4" xfId="850"/>
    <cellStyle name="40% - Accent3 6 4 2" xfId="3060"/>
    <cellStyle name="40% - Accent3 6 4 2 2" xfId="7466"/>
    <cellStyle name="40% - Accent3 6 4 3" xfId="5256"/>
    <cellStyle name="40% - Accent3 6 5" xfId="1582"/>
    <cellStyle name="40% - Accent3 6 5 2" xfId="3792"/>
    <cellStyle name="40% - Accent3 6 5 2 2" xfId="8198"/>
    <cellStyle name="40% - Accent3 6 5 3" xfId="5988"/>
    <cellStyle name="40% - Accent3 6 6" xfId="2328"/>
    <cellStyle name="40% - Accent3 6 6 2" xfId="6734"/>
    <cellStyle name="40% - Accent3 6 7" xfId="4524"/>
    <cellStyle name="40% - Accent3 7" xfId="129"/>
    <cellStyle name="40% - Accent3 7 2" xfId="247"/>
    <cellStyle name="40% - Accent3 7 2 2" xfId="606"/>
    <cellStyle name="40% - Accent3 7 2 2 2" xfId="1339"/>
    <cellStyle name="40% - Accent3 7 2 2 2 2" xfId="3549"/>
    <cellStyle name="40% - Accent3 7 2 2 2 2 2" xfId="7955"/>
    <cellStyle name="40% - Accent3 7 2 2 2 3" xfId="5745"/>
    <cellStyle name="40% - Accent3 7 2 2 3" xfId="2071"/>
    <cellStyle name="40% - Accent3 7 2 2 3 2" xfId="4281"/>
    <cellStyle name="40% - Accent3 7 2 2 3 2 2" xfId="8687"/>
    <cellStyle name="40% - Accent3 7 2 2 3 3" xfId="6477"/>
    <cellStyle name="40% - Accent3 7 2 2 4" xfId="2817"/>
    <cellStyle name="40% - Accent3 7 2 2 4 2" xfId="7223"/>
    <cellStyle name="40% - Accent3 7 2 2 5" xfId="5013"/>
    <cellStyle name="40% - Accent3 7 2 3" xfId="980"/>
    <cellStyle name="40% - Accent3 7 2 3 2" xfId="3190"/>
    <cellStyle name="40% - Accent3 7 2 3 2 2" xfId="7596"/>
    <cellStyle name="40% - Accent3 7 2 3 3" xfId="5386"/>
    <cellStyle name="40% - Accent3 7 2 4" xfId="1712"/>
    <cellStyle name="40% - Accent3 7 2 4 2" xfId="3922"/>
    <cellStyle name="40% - Accent3 7 2 4 2 2" xfId="8328"/>
    <cellStyle name="40% - Accent3 7 2 4 3" xfId="6118"/>
    <cellStyle name="40% - Accent3 7 2 5" xfId="2458"/>
    <cellStyle name="40% - Accent3 7 2 5 2" xfId="6864"/>
    <cellStyle name="40% - Accent3 7 2 6" xfId="4654"/>
    <cellStyle name="40% - Accent3 7 3" xfId="490"/>
    <cellStyle name="40% - Accent3 7 3 2" xfId="1223"/>
    <cellStyle name="40% - Accent3 7 3 2 2" xfId="3433"/>
    <cellStyle name="40% - Accent3 7 3 2 2 2" xfId="7839"/>
    <cellStyle name="40% - Accent3 7 3 2 3" xfId="5629"/>
    <cellStyle name="40% - Accent3 7 3 3" xfId="1955"/>
    <cellStyle name="40% - Accent3 7 3 3 2" xfId="4165"/>
    <cellStyle name="40% - Accent3 7 3 3 2 2" xfId="8571"/>
    <cellStyle name="40% - Accent3 7 3 3 3" xfId="6361"/>
    <cellStyle name="40% - Accent3 7 3 4" xfId="2701"/>
    <cellStyle name="40% - Accent3 7 3 4 2" xfId="7107"/>
    <cellStyle name="40% - Accent3 7 3 5" xfId="4897"/>
    <cellStyle name="40% - Accent3 7 4" xfId="864"/>
    <cellStyle name="40% - Accent3 7 4 2" xfId="3074"/>
    <cellStyle name="40% - Accent3 7 4 2 2" xfId="7480"/>
    <cellStyle name="40% - Accent3 7 4 3" xfId="5270"/>
    <cellStyle name="40% - Accent3 7 5" xfId="1596"/>
    <cellStyle name="40% - Accent3 7 5 2" xfId="3806"/>
    <cellStyle name="40% - Accent3 7 5 2 2" xfId="8212"/>
    <cellStyle name="40% - Accent3 7 5 3" xfId="6002"/>
    <cellStyle name="40% - Accent3 7 6" xfId="2342"/>
    <cellStyle name="40% - Accent3 7 6 2" xfId="6748"/>
    <cellStyle name="40% - Accent3 7 7" xfId="4538"/>
    <cellStyle name="40% - Accent3 8" xfId="143"/>
    <cellStyle name="40% - Accent3 8 2" xfId="261"/>
    <cellStyle name="40% - Accent3 8 2 2" xfId="620"/>
    <cellStyle name="40% - Accent3 8 2 2 2" xfId="1353"/>
    <cellStyle name="40% - Accent3 8 2 2 2 2" xfId="3563"/>
    <cellStyle name="40% - Accent3 8 2 2 2 2 2" xfId="7969"/>
    <cellStyle name="40% - Accent3 8 2 2 2 3" xfId="5759"/>
    <cellStyle name="40% - Accent3 8 2 2 3" xfId="2085"/>
    <cellStyle name="40% - Accent3 8 2 2 3 2" xfId="4295"/>
    <cellStyle name="40% - Accent3 8 2 2 3 2 2" xfId="8701"/>
    <cellStyle name="40% - Accent3 8 2 2 3 3" xfId="6491"/>
    <cellStyle name="40% - Accent3 8 2 2 4" xfId="2831"/>
    <cellStyle name="40% - Accent3 8 2 2 4 2" xfId="7237"/>
    <cellStyle name="40% - Accent3 8 2 2 5" xfId="5027"/>
    <cellStyle name="40% - Accent3 8 2 3" xfId="994"/>
    <cellStyle name="40% - Accent3 8 2 3 2" xfId="3204"/>
    <cellStyle name="40% - Accent3 8 2 3 2 2" xfId="7610"/>
    <cellStyle name="40% - Accent3 8 2 3 3" xfId="5400"/>
    <cellStyle name="40% - Accent3 8 2 4" xfId="1726"/>
    <cellStyle name="40% - Accent3 8 2 4 2" xfId="3936"/>
    <cellStyle name="40% - Accent3 8 2 4 2 2" xfId="8342"/>
    <cellStyle name="40% - Accent3 8 2 4 3" xfId="6132"/>
    <cellStyle name="40% - Accent3 8 2 5" xfId="2472"/>
    <cellStyle name="40% - Accent3 8 2 5 2" xfId="6878"/>
    <cellStyle name="40% - Accent3 8 2 6" xfId="4668"/>
    <cellStyle name="40% - Accent3 8 3" xfId="504"/>
    <cellStyle name="40% - Accent3 8 3 2" xfId="1237"/>
    <cellStyle name="40% - Accent3 8 3 2 2" xfId="3447"/>
    <cellStyle name="40% - Accent3 8 3 2 2 2" xfId="7853"/>
    <cellStyle name="40% - Accent3 8 3 2 3" xfId="5643"/>
    <cellStyle name="40% - Accent3 8 3 3" xfId="1969"/>
    <cellStyle name="40% - Accent3 8 3 3 2" xfId="4179"/>
    <cellStyle name="40% - Accent3 8 3 3 2 2" xfId="8585"/>
    <cellStyle name="40% - Accent3 8 3 3 3" xfId="6375"/>
    <cellStyle name="40% - Accent3 8 3 4" xfId="2715"/>
    <cellStyle name="40% - Accent3 8 3 4 2" xfId="7121"/>
    <cellStyle name="40% - Accent3 8 3 5" xfId="4911"/>
    <cellStyle name="40% - Accent3 8 4" xfId="878"/>
    <cellStyle name="40% - Accent3 8 4 2" xfId="3088"/>
    <cellStyle name="40% - Accent3 8 4 2 2" xfId="7494"/>
    <cellStyle name="40% - Accent3 8 4 3" xfId="5284"/>
    <cellStyle name="40% - Accent3 8 5" xfId="1610"/>
    <cellStyle name="40% - Accent3 8 5 2" xfId="3820"/>
    <cellStyle name="40% - Accent3 8 5 2 2" xfId="8226"/>
    <cellStyle name="40% - Accent3 8 5 3" xfId="6016"/>
    <cellStyle name="40% - Accent3 8 6" xfId="2356"/>
    <cellStyle name="40% - Accent3 8 6 2" xfId="6762"/>
    <cellStyle name="40% - Accent3 8 7" xfId="4552"/>
    <cellStyle name="40% - Accent3 9" xfId="161"/>
    <cellStyle name="40% - Accent3 9 2" xfId="520"/>
    <cellStyle name="40% - Accent3 9 2 2" xfId="1253"/>
    <cellStyle name="40% - Accent3 9 2 2 2" xfId="3463"/>
    <cellStyle name="40% - Accent3 9 2 2 2 2" xfId="7869"/>
    <cellStyle name="40% - Accent3 9 2 2 3" xfId="5659"/>
    <cellStyle name="40% - Accent3 9 2 3" xfId="1985"/>
    <cellStyle name="40% - Accent3 9 2 3 2" xfId="4195"/>
    <cellStyle name="40% - Accent3 9 2 3 2 2" xfId="8601"/>
    <cellStyle name="40% - Accent3 9 2 3 3" xfId="6391"/>
    <cellStyle name="40% - Accent3 9 2 4" xfId="2731"/>
    <cellStyle name="40% - Accent3 9 2 4 2" xfId="7137"/>
    <cellStyle name="40% - Accent3 9 2 5" xfId="4927"/>
    <cellStyle name="40% - Accent3 9 3" xfId="894"/>
    <cellStyle name="40% - Accent3 9 3 2" xfId="3104"/>
    <cellStyle name="40% - Accent3 9 3 2 2" xfId="7510"/>
    <cellStyle name="40% - Accent3 9 3 3" xfId="5300"/>
    <cellStyle name="40% - Accent3 9 4" xfId="1626"/>
    <cellStyle name="40% - Accent3 9 4 2" xfId="3836"/>
    <cellStyle name="40% - Accent3 9 4 2 2" xfId="8242"/>
    <cellStyle name="40% - Accent3 9 4 3" xfId="6032"/>
    <cellStyle name="40% - Accent3 9 5" xfId="2372"/>
    <cellStyle name="40% - Accent3 9 5 2" xfId="6778"/>
    <cellStyle name="40% - Accent3 9 6" xfId="4568"/>
    <cellStyle name="40% - Accent4" xfId="33" builtinId="43" customBuiltin="1"/>
    <cellStyle name="40% - Accent4 10" xfId="277"/>
    <cellStyle name="40% - Accent4 10 2" xfId="636"/>
    <cellStyle name="40% - Accent4 10 2 2" xfId="1369"/>
    <cellStyle name="40% - Accent4 10 2 2 2" xfId="3579"/>
    <cellStyle name="40% - Accent4 10 2 2 2 2" xfId="7985"/>
    <cellStyle name="40% - Accent4 10 2 2 3" xfId="5775"/>
    <cellStyle name="40% - Accent4 10 2 3" xfId="2101"/>
    <cellStyle name="40% - Accent4 10 2 3 2" xfId="4311"/>
    <cellStyle name="40% - Accent4 10 2 3 2 2" xfId="8717"/>
    <cellStyle name="40% - Accent4 10 2 3 3" xfId="6507"/>
    <cellStyle name="40% - Accent4 10 2 4" xfId="2847"/>
    <cellStyle name="40% - Accent4 10 2 4 2" xfId="7253"/>
    <cellStyle name="40% - Accent4 10 2 5" xfId="5043"/>
    <cellStyle name="40% - Accent4 10 3" xfId="1010"/>
    <cellStyle name="40% - Accent4 10 3 2" xfId="3220"/>
    <cellStyle name="40% - Accent4 10 3 2 2" xfId="7626"/>
    <cellStyle name="40% - Accent4 10 3 3" xfId="5416"/>
    <cellStyle name="40% - Accent4 10 4" xfId="1742"/>
    <cellStyle name="40% - Accent4 10 4 2" xfId="3952"/>
    <cellStyle name="40% - Accent4 10 4 2 2" xfId="8358"/>
    <cellStyle name="40% - Accent4 10 4 3" xfId="6148"/>
    <cellStyle name="40% - Accent4 10 5" xfId="2488"/>
    <cellStyle name="40% - Accent4 10 5 2" xfId="6894"/>
    <cellStyle name="40% - Accent4 10 6" xfId="4684"/>
    <cellStyle name="40% - Accent4 11" xfId="291"/>
    <cellStyle name="40% - Accent4 11 2" xfId="650"/>
    <cellStyle name="40% - Accent4 11 2 2" xfId="1383"/>
    <cellStyle name="40% - Accent4 11 2 2 2" xfId="3593"/>
    <cellStyle name="40% - Accent4 11 2 2 2 2" xfId="7999"/>
    <cellStyle name="40% - Accent4 11 2 2 3" xfId="5789"/>
    <cellStyle name="40% - Accent4 11 2 3" xfId="2115"/>
    <cellStyle name="40% - Accent4 11 2 3 2" xfId="4325"/>
    <cellStyle name="40% - Accent4 11 2 3 2 2" xfId="8731"/>
    <cellStyle name="40% - Accent4 11 2 3 3" xfId="6521"/>
    <cellStyle name="40% - Accent4 11 2 4" xfId="2861"/>
    <cellStyle name="40% - Accent4 11 2 4 2" xfId="7267"/>
    <cellStyle name="40% - Accent4 11 2 5" xfId="5057"/>
    <cellStyle name="40% - Accent4 11 3" xfId="1024"/>
    <cellStyle name="40% - Accent4 11 3 2" xfId="3234"/>
    <cellStyle name="40% - Accent4 11 3 2 2" xfId="7640"/>
    <cellStyle name="40% - Accent4 11 3 3" xfId="5430"/>
    <cellStyle name="40% - Accent4 11 4" xfId="1756"/>
    <cellStyle name="40% - Accent4 11 4 2" xfId="3966"/>
    <cellStyle name="40% - Accent4 11 4 2 2" xfId="8372"/>
    <cellStyle name="40% - Accent4 11 4 3" xfId="6162"/>
    <cellStyle name="40% - Accent4 11 5" xfId="2502"/>
    <cellStyle name="40% - Accent4 11 5 2" xfId="6908"/>
    <cellStyle name="40% - Accent4 11 6" xfId="4698"/>
    <cellStyle name="40% - Accent4 12" xfId="305"/>
    <cellStyle name="40% - Accent4 12 2" xfId="664"/>
    <cellStyle name="40% - Accent4 12 2 2" xfId="1397"/>
    <cellStyle name="40% - Accent4 12 2 2 2" xfId="3607"/>
    <cellStyle name="40% - Accent4 12 2 2 2 2" xfId="8013"/>
    <cellStyle name="40% - Accent4 12 2 2 3" xfId="5803"/>
    <cellStyle name="40% - Accent4 12 2 3" xfId="2129"/>
    <cellStyle name="40% - Accent4 12 2 3 2" xfId="4339"/>
    <cellStyle name="40% - Accent4 12 2 3 2 2" xfId="8745"/>
    <cellStyle name="40% - Accent4 12 2 3 3" xfId="6535"/>
    <cellStyle name="40% - Accent4 12 2 4" xfId="2875"/>
    <cellStyle name="40% - Accent4 12 2 4 2" xfId="7281"/>
    <cellStyle name="40% - Accent4 12 2 5" xfId="5071"/>
    <cellStyle name="40% - Accent4 12 3" xfId="1038"/>
    <cellStyle name="40% - Accent4 12 3 2" xfId="3248"/>
    <cellStyle name="40% - Accent4 12 3 2 2" xfId="7654"/>
    <cellStyle name="40% - Accent4 12 3 3" xfId="5444"/>
    <cellStyle name="40% - Accent4 12 4" xfId="1770"/>
    <cellStyle name="40% - Accent4 12 4 2" xfId="3980"/>
    <cellStyle name="40% - Accent4 12 4 2 2" xfId="8386"/>
    <cellStyle name="40% - Accent4 12 4 3" xfId="6176"/>
    <cellStyle name="40% - Accent4 12 5" xfId="2516"/>
    <cellStyle name="40% - Accent4 12 5 2" xfId="6922"/>
    <cellStyle name="40% - Accent4 12 6" xfId="4712"/>
    <cellStyle name="40% - Accent4 13" xfId="319"/>
    <cellStyle name="40% - Accent4 13 2" xfId="678"/>
    <cellStyle name="40% - Accent4 13 2 2" xfId="1411"/>
    <cellStyle name="40% - Accent4 13 2 2 2" xfId="3621"/>
    <cellStyle name="40% - Accent4 13 2 2 2 2" xfId="8027"/>
    <cellStyle name="40% - Accent4 13 2 2 3" xfId="5817"/>
    <cellStyle name="40% - Accent4 13 2 3" xfId="2143"/>
    <cellStyle name="40% - Accent4 13 2 3 2" xfId="4353"/>
    <cellStyle name="40% - Accent4 13 2 3 2 2" xfId="8759"/>
    <cellStyle name="40% - Accent4 13 2 3 3" xfId="6549"/>
    <cellStyle name="40% - Accent4 13 2 4" xfId="2889"/>
    <cellStyle name="40% - Accent4 13 2 4 2" xfId="7295"/>
    <cellStyle name="40% - Accent4 13 2 5" xfId="5085"/>
    <cellStyle name="40% - Accent4 13 3" xfId="1052"/>
    <cellStyle name="40% - Accent4 13 3 2" xfId="3262"/>
    <cellStyle name="40% - Accent4 13 3 2 2" xfId="7668"/>
    <cellStyle name="40% - Accent4 13 3 3" xfId="5458"/>
    <cellStyle name="40% - Accent4 13 4" xfId="1784"/>
    <cellStyle name="40% - Accent4 13 4 2" xfId="3994"/>
    <cellStyle name="40% - Accent4 13 4 2 2" xfId="8400"/>
    <cellStyle name="40% - Accent4 13 4 3" xfId="6190"/>
    <cellStyle name="40% - Accent4 13 5" xfId="2530"/>
    <cellStyle name="40% - Accent4 13 5 2" xfId="6936"/>
    <cellStyle name="40% - Accent4 13 6" xfId="4726"/>
    <cellStyle name="40% - Accent4 14" xfId="333"/>
    <cellStyle name="40% - Accent4 14 2" xfId="692"/>
    <cellStyle name="40% - Accent4 14 2 2" xfId="1425"/>
    <cellStyle name="40% - Accent4 14 2 2 2" xfId="3635"/>
    <cellStyle name="40% - Accent4 14 2 2 2 2" xfId="8041"/>
    <cellStyle name="40% - Accent4 14 2 2 3" xfId="5831"/>
    <cellStyle name="40% - Accent4 14 2 3" xfId="2157"/>
    <cellStyle name="40% - Accent4 14 2 3 2" xfId="4367"/>
    <cellStyle name="40% - Accent4 14 2 3 2 2" xfId="8773"/>
    <cellStyle name="40% - Accent4 14 2 3 3" xfId="6563"/>
    <cellStyle name="40% - Accent4 14 2 4" xfId="2903"/>
    <cellStyle name="40% - Accent4 14 2 4 2" xfId="7309"/>
    <cellStyle name="40% - Accent4 14 2 5" xfId="5099"/>
    <cellStyle name="40% - Accent4 14 3" xfId="1066"/>
    <cellStyle name="40% - Accent4 14 3 2" xfId="3276"/>
    <cellStyle name="40% - Accent4 14 3 2 2" xfId="7682"/>
    <cellStyle name="40% - Accent4 14 3 3" xfId="5472"/>
    <cellStyle name="40% - Accent4 14 4" xfId="1798"/>
    <cellStyle name="40% - Accent4 14 4 2" xfId="4008"/>
    <cellStyle name="40% - Accent4 14 4 2 2" xfId="8414"/>
    <cellStyle name="40% - Accent4 14 4 3" xfId="6204"/>
    <cellStyle name="40% - Accent4 14 5" xfId="2544"/>
    <cellStyle name="40% - Accent4 14 5 2" xfId="6950"/>
    <cellStyle name="40% - Accent4 14 6" xfId="4740"/>
    <cellStyle name="40% - Accent4 15" xfId="347"/>
    <cellStyle name="40% - Accent4 15 2" xfId="706"/>
    <cellStyle name="40% - Accent4 15 2 2" xfId="1439"/>
    <cellStyle name="40% - Accent4 15 2 2 2" xfId="3649"/>
    <cellStyle name="40% - Accent4 15 2 2 2 2" xfId="8055"/>
    <cellStyle name="40% - Accent4 15 2 2 3" xfId="5845"/>
    <cellStyle name="40% - Accent4 15 2 3" xfId="2171"/>
    <cellStyle name="40% - Accent4 15 2 3 2" xfId="4381"/>
    <cellStyle name="40% - Accent4 15 2 3 2 2" xfId="8787"/>
    <cellStyle name="40% - Accent4 15 2 3 3" xfId="6577"/>
    <cellStyle name="40% - Accent4 15 2 4" xfId="2917"/>
    <cellStyle name="40% - Accent4 15 2 4 2" xfId="7323"/>
    <cellStyle name="40% - Accent4 15 2 5" xfId="5113"/>
    <cellStyle name="40% - Accent4 15 3" xfId="1080"/>
    <cellStyle name="40% - Accent4 15 3 2" xfId="3290"/>
    <cellStyle name="40% - Accent4 15 3 2 2" xfId="7696"/>
    <cellStyle name="40% - Accent4 15 3 3" xfId="5486"/>
    <cellStyle name="40% - Accent4 15 4" xfId="1812"/>
    <cellStyle name="40% - Accent4 15 4 2" xfId="4022"/>
    <cellStyle name="40% - Accent4 15 4 2 2" xfId="8428"/>
    <cellStyle name="40% - Accent4 15 4 3" xfId="6218"/>
    <cellStyle name="40% - Accent4 15 5" xfId="2558"/>
    <cellStyle name="40% - Accent4 15 5 2" xfId="6964"/>
    <cellStyle name="40% - Accent4 15 6" xfId="4754"/>
    <cellStyle name="40% - Accent4 16" xfId="361"/>
    <cellStyle name="40% - Accent4 16 2" xfId="720"/>
    <cellStyle name="40% - Accent4 16 2 2" xfId="1453"/>
    <cellStyle name="40% - Accent4 16 2 2 2" xfId="3663"/>
    <cellStyle name="40% - Accent4 16 2 2 2 2" xfId="8069"/>
    <cellStyle name="40% - Accent4 16 2 2 3" xfId="5859"/>
    <cellStyle name="40% - Accent4 16 2 3" xfId="2185"/>
    <cellStyle name="40% - Accent4 16 2 3 2" xfId="4395"/>
    <cellStyle name="40% - Accent4 16 2 3 2 2" xfId="8801"/>
    <cellStyle name="40% - Accent4 16 2 3 3" xfId="6591"/>
    <cellStyle name="40% - Accent4 16 2 4" xfId="2931"/>
    <cellStyle name="40% - Accent4 16 2 4 2" xfId="7337"/>
    <cellStyle name="40% - Accent4 16 2 5" xfId="5127"/>
    <cellStyle name="40% - Accent4 16 3" xfId="1094"/>
    <cellStyle name="40% - Accent4 16 3 2" xfId="3304"/>
    <cellStyle name="40% - Accent4 16 3 2 2" xfId="7710"/>
    <cellStyle name="40% - Accent4 16 3 3" xfId="5500"/>
    <cellStyle name="40% - Accent4 16 4" xfId="1826"/>
    <cellStyle name="40% - Accent4 16 4 2" xfId="4036"/>
    <cellStyle name="40% - Accent4 16 4 2 2" xfId="8442"/>
    <cellStyle name="40% - Accent4 16 4 3" xfId="6232"/>
    <cellStyle name="40% - Accent4 16 5" xfId="2572"/>
    <cellStyle name="40% - Accent4 16 5 2" xfId="6978"/>
    <cellStyle name="40% - Accent4 16 6" xfId="4768"/>
    <cellStyle name="40% - Accent4 17" xfId="375"/>
    <cellStyle name="40% - Accent4 17 2" xfId="734"/>
    <cellStyle name="40% - Accent4 17 2 2" xfId="1467"/>
    <cellStyle name="40% - Accent4 17 2 2 2" xfId="3677"/>
    <cellStyle name="40% - Accent4 17 2 2 2 2" xfId="8083"/>
    <cellStyle name="40% - Accent4 17 2 2 3" xfId="5873"/>
    <cellStyle name="40% - Accent4 17 2 3" xfId="2199"/>
    <cellStyle name="40% - Accent4 17 2 3 2" xfId="4409"/>
    <cellStyle name="40% - Accent4 17 2 3 2 2" xfId="8815"/>
    <cellStyle name="40% - Accent4 17 2 3 3" xfId="6605"/>
    <cellStyle name="40% - Accent4 17 2 4" xfId="2945"/>
    <cellStyle name="40% - Accent4 17 2 4 2" xfId="7351"/>
    <cellStyle name="40% - Accent4 17 2 5" xfId="5141"/>
    <cellStyle name="40% - Accent4 17 3" xfId="1108"/>
    <cellStyle name="40% - Accent4 17 3 2" xfId="3318"/>
    <cellStyle name="40% - Accent4 17 3 2 2" xfId="7724"/>
    <cellStyle name="40% - Accent4 17 3 3" xfId="5514"/>
    <cellStyle name="40% - Accent4 17 4" xfId="1840"/>
    <cellStyle name="40% - Accent4 17 4 2" xfId="4050"/>
    <cellStyle name="40% - Accent4 17 4 2 2" xfId="8456"/>
    <cellStyle name="40% - Accent4 17 4 3" xfId="6246"/>
    <cellStyle name="40% - Accent4 17 5" xfId="2586"/>
    <cellStyle name="40% - Accent4 17 5 2" xfId="6992"/>
    <cellStyle name="40% - Accent4 17 6" xfId="4782"/>
    <cellStyle name="40% - Accent4 18" xfId="389"/>
    <cellStyle name="40% - Accent4 18 2" xfId="748"/>
    <cellStyle name="40% - Accent4 18 2 2" xfId="1481"/>
    <cellStyle name="40% - Accent4 18 2 2 2" xfId="3691"/>
    <cellStyle name="40% - Accent4 18 2 2 2 2" xfId="8097"/>
    <cellStyle name="40% - Accent4 18 2 2 3" xfId="5887"/>
    <cellStyle name="40% - Accent4 18 2 3" xfId="2213"/>
    <cellStyle name="40% - Accent4 18 2 3 2" xfId="4423"/>
    <cellStyle name="40% - Accent4 18 2 3 2 2" xfId="8829"/>
    <cellStyle name="40% - Accent4 18 2 3 3" xfId="6619"/>
    <cellStyle name="40% - Accent4 18 2 4" xfId="2959"/>
    <cellStyle name="40% - Accent4 18 2 4 2" xfId="7365"/>
    <cellStyle name="40% - Accent4 18 2 5" xfId="5155"/>
    <cellStyle name="40% - Accent4 18 3" xfId="1122"/>
    <cellStyle name="40% - Accent4 18 3 2" xfId="3332"/>
    <cellStyle name="40% - Accent4 18 3 2 2" xfId="7738"/>
    <cellStyle name="40% - Accent4 18 3 3" xfId="5528"/>
    <cellStyle name="40% - Accent4 18 4" xfId="1854"/>
    <cellStyle name="40% - Accent4 18 4 2" xfId="4064"/>
    <cellStyle name="40% - Accent4 18 4 2 2" xfId="8470"/>
    <cellStyle name="40% - Accent4 18 4 3" xfId="6260"/>
    <cellStyle name="40% - Accent4 18 5" xfId="2600"/>
    <cellStyle name="40% - Accent4 18 5 2" xfId="7006"/>
    <cellStyle name="40% - Accent4 18 6" xfId="4796"/>
    <cellStyle name="40% - Accent4 19" xfId="406"/>
    <cellStyle name="40% - Accent4 19 2" xfId="1139"/>
    <cellStyle name="40% - Accent4 19 2 2" xfId="3349"/>
    <cellStyle name="40% - Accent4 19 2 2 2" xfId="7755"/>
    <cellStyle name="40% - Accent4 19 2 3" xfId="5545"/>
    <cellStyle name="40% - Accent4 19 3" xfId="1871"/>
    <cellStyle name="40% - Accent4 19 3 2" xfId="4081"/>
    <cellStyle name="40% - Accent4 19 3 2 2" xfId="8487"/>
    <cellStyle name="40% - Accent4 19 3 3" xfId="6277"/>
    <cellStyle name="40% - Accent4 19 4" xfId="2617"/>
    <cellStyle name="40% - Accent4 19 4 2" xfId="7023"/>
    <cellStyle name="40% - Accent4 19 5" xfId="4813"/>
    <cellStyle name="40% - Accent4 2" xfId="61"/>
    <cellStyle name="40% - Accent4 2 2" xfId="179"/>
    <cellStyle name="40% - Accent4 2 2 2" xfId="538"/>
    <cellStyle name="40% - Accent4 2 2 2 2" xfId="1271"/>
    <cellStyle name="40% - Accent4 2 2 2 2 2" xfId="3481"/>
    <cellStyle name="40% - Accent4 2 2 2 2 2 2" xfId="7887"/>
    <cellStyle name="40% - Accent4 2 2 2 2 3" xfId="5677"/>
    <cellStyle name="40% - Accent4 2 2 2 3" xfId="2003"/>
    <cellStyle name="40% - Accent4 2 2 2 3 2" xfId="4213"/>
    <cellStyle name="40% - Accent4 2 2 2 3 2 2" xfId="8619"/>
    <cellStyle name="40% - Accent4 2 2 2 3 3" xfId="6409"/>
    <cellStyle name="40% - Accent4 2 2 2 4" xfId="2749"/>
    <cellStyle name="40% - Accent4 2 2 2 4 2" xfId="7155"/>
    <cellStyle name="40% - Accent4 2 2 2 5" xfId="4945"/>
    <cellStyle name="40% - Accent4 2 2 3" xfId="912"/>
    <cellStyle name="40% - Accent4 2 2 3 2" xfId="3122"/>
    <cellStyle name="40% - Accent4 2 2 3 2 2" xfId="7528"/>
    <cellStyle name="40% - Accent4 2 2 3 3" xfId="5318"/>
    <cellStyle name="40% - Accent4 2 2 4" xfId="1644"/>
    <cellStyle name="40% - Accent4 2 2 4 2" xfId="3854"/>
    <cellStyle name="40% - Accent4 2 2 4 2 2" xfId="8260"/>
    <cellStyle name="40% - Accent4 2 2 4 3" xfId="6050"/>
    <cellStyle name="40% - Accent4 2 2 5" xfId="2390"/>
    <cellStyle name="40% - Accent4 2 2 5 2" xfId="6796"/>
    <cellStyle name="40% - Accent4 2 2 6" xfId="4586"/>
    <cellStyle name="40% - Accent4 2 3" xfId="422"/>
    <cellStyle name="40% - Accent4 2 3 2" xfId="1155"/>
    <cellStyle name="40% - Accent4 2 3 2 2" xfId="3365"/>
    <cellStyle name="40% - Accent4 2 3 2 2 2" xfId="7771"/>
    <cellStyle name="40% - Accent4 2 3 2 3" xfId="5561"/>
    <cellStyle name="40% - Accent4 2 3 3" xfId="1887"/>
    <cellStyle name="40% - Accent4 2 3 3 2" xfId="4097"/>
    <cellStyle name="40% - Accent4 2 3 3 2 2" xfId="8503"/>
    <cellStyle name="40% - Accent4 2 3 3 3" xfId="6293"/>
    <cellStyle name="40% - Accent4 2 3 4" xfId="2633"/>
    <cellStyle name="40% - Accent4 2 3 4 2" xfId="7039"/>
    <cellStyle name="40% - Accent4 2 3 5" xfId="4829"/>
    <cellStyle name="40% - Accent4 2 4" xfId="796"/>
    <cellStyle name="40% - Accent4 2 4 2" xfId="3006"/>
    <cellStyle name="40% - Accent4 2 4 2 2" xfId="7412"/>
    <cellStyle name="40% - Accent4 2 4 3" xfId="5202"/>
    <cellStyle name="40% - Accent4 2 5" xfId="1528"/>
    <cellStyle name="40% - Accent4 2 5 2" xfId="3738"/>
    <cellStyle name="40% - Accent4 2 5 2 2" xfId="8144"/>
    <cellStyle name="40% - Accent4 2 5 3" xfId="5934"/>
    <cellStyle name="40% - Accent4 2 6" xfId="2274"/>
    <cellStyle name="40% - Accent4 2 6 2" xfId="6680"/>
    <cellStyle name="40% - Accent4 2 7" xfId="4470"/>
    <cellStyle name="40% - Accent4 20" xfId="763"/>
    <cellStyle name="40% - Accent4 20 2" xfId="1496"/>
    <cellStyle name="40% - Accent4 20 2 2" xfId="3706"/>
    <cellStyle name="40% - Accent4 20 2 2 2" xfId="8112"/>
    <cellStyle name="40% - Accent4 20 2 3" xfId="5902"/>
    <cellStyle name="40% - Accent4 20 3" xfId="2228"/>
    <cellStyle name="40% - Accent4 20 3 2" xfId="4438"/>
    <cellStyle name="40% - Accent4 20 3 2 2" xfId="8844"/>
    <cellStyle name="40% - Accent4 20 3 3" xfId="6634"/>
    <cellStyle name="40% - Accent4 20 4" xfId="2974"/>
    <cellStyle name="40% - Accent4 20 4 2" xfId="7380"/>
    <cellStyle name="40% - Accent4 20 5" xfId="5170"/>
    <cellStyle name="40% - Accent4 21" xfId="780"/>
    <cellStyle name="40% - Accent4 21 2" xfId="2990"/>
    <cellStyle name="40% - Accent4 21 2 2" xfId="7396"/>
    <cellStyle name="40% - Accent4 21 3" xfId="5186"/>
    <cellStyle name="40% - Accent4 22" xfId="1512"/>
    <cellStyle name="40% - Accent4 22 2" xfId="3722"/>
    <cellStyle name="40% - Accent4 22 2 2" xfId="8128"/>
    <cellStyle name="40% - Accent4 22 3" xfId="5918"/>
    <cellStyle name="40% - Accent4 23" xfId="2242"/>
    <cellStyle name="40% - Accent4 23 2" xfId="6648"/>
    <cellStyle name="40% - Accent4 24" xfId="2258"/>
    <cellStyle name="40% - Accent4 24 2" xfId="6664"/>
    <cellStyle name="40% - Accent4 25" xfId="4454"/>
    <cellStyle name="40% - Accent4 3" xfId="75"/>
    <cellStyle name="40% - Accent4 3 2" xfId="193"/>
    <cellStyle name="40% - Accent4 3 2 2" xfId="552"/>
    <cellStyle name="40% - Accent4 3 2 2 2" xfId="1285"/>
    <cellStyle name="40% - Accent4 3 2 2 2 2" xfId="3495"/>
    <cellStyle name="40% - Accent4 3 2 2 2 2 2" xfId="7901"/>
    <cellStyle name="40% - Accent4 3 2 2 2 3" xfId="5691"/>
    <cellStyle name="40% - Accent4 3 2 2 3" xfId="2017"/>
    <cellStyle name="40% - Accent4 3 2 2 3 2" xfId="4227"/>
    <cellStyle name="40% - Accent4 3 2 2 3 2 2" xfId="8633"/>
    <cellStyle name="40% - Accent4 3 2 2 3 3" xfId="6423"/>
    <cellStyle name="40% - Accent4 3 2 2 4" xfId="2763"/>
    <cellStyle name="40% - Accent4 3 2 2 4 2" xfId="7169"/>
    <cellStyle name="40% - Accent4 3 2 2 5" xfId="4959"/>
    <cellStyle name="40% - Accent4 3 2 3" xfId="926"/>
    <cellStyle name="40% - Accent4 3 2 3 2" xfId="3136"/>
    <cellStyle name="40% - Accent4 3 2 3 2 2" xfId="7542"/>
    <cellStyle name="40% - Accent4 3 2 3 3" xfId="5332"/>
    <cellStyle name="40% - Accent4 3 2 4" xfId="1658"/>
    <cellStyle name="40% - Accent4 3 2 4 2" xfId="3868"/>
    <cellStyle name="40% - Accent4 3 2 4 2 2" xfId="8274"/>
    <cellStyle name="40% - Accent4 3 2 4 3" xfId="6064"/>
    <cellStyle name="40% - Accent4 3 2 5" xfId="2404"/>
    <cellStyle name="40% - Accent4 3 2 5 2" xfId="6810"/>
    <cellStyle name="40% - Accent4 3 2 6" xfId="4600"/>
    <cellStyle name="40% - Accent4 3 3" xfId="436"/>
    <cellStyle name="40% - Accent4 3 3 2" xfId="1169"/>
    <cellStyle name="40% - Accent4 3 3 2 2" xfId="3379"/>
    <cellStyle name="40% - Accent4 3 3 2 2 2" xfId="7785"/>
    <cellStyle name="40% - Accent4 3 3 2 3" xfId="5575"/>
    <cellStyle name="40% - Accent4 3 3 3" xfId="1901"/>
    <cellStyle name="40% - Accent4 3 3 3 2" xfId="4111"/>
    <cellStyle name="40% - Accent4 3 3 3 2 2" xfId="8517"/>
    <cellStyle name="40% - Accent4 3 3 3 3" xfId="6307"/>
    <cellStyle name="40% - Accent4 3 3 4" xfId="2647"/>
    <cellStyle name="40% - Accent4 3 3 4 2" xfId="7053"/>
    <cellStyle name="40% - Accent4 3 3 5" xfId="4843"/>
    <cellStyle name="40% - Accent4 3 4" xfId="810"/>
    <cellStyle name="40% - Accent4 3 4 2" xfId="3020"/>
    <cellStyle name="40% - Accent4 3 4 2 2" xfId="7426"/>
    <cellStyle name="40% - Accent4 3 4 3" xfId="5216"/>
    <cellStyle name="40% - Accent4 3 5" xfId="1542"/>
    <cellStyle name="40% - Accent4 3 5 2" xfId="3752"/>
    <cellStyle name="40% - Accent4 3 5 2 2" xfId="8158"/>
    <cellStyle name="40% - Accent4 3 5 3" xfId="5948"/>
    <cellStyle name="40% - Accent4 3 6" xfId="2288"/>
    <cellStyle name="40% - Accent4 3 6 2" xfId="6694"/>
    <cellStyle name="40% - Accent4 3 7" xfId="4484"/>
    <cellStyle name="40% - Accent4 4" xfId="89"/>
    <cellStyle name="40% - Accent4 4 2" xfId="207"/>
    <cellStyle name="40% - Accent4 4 2 2" xfId="566"/>
    <cellStyle name="40% - Accent4 4 2 2 2" xfId="1299"/>
    <cellStyle name="40% - Accent4 4 2 2 2 2" xfId="3509"/>
    <cellStyle name="40% - Accent4 4 2 2 2 2 2" xfId="7915"/>
    <cellStyle name="40% - Accent4 4 2 2 2 3" xfId="5705"/>
    <cellStyle name="40% - Accent4 4 2 2 3" xfId="2031"/>
    <cellStyle name="40% - Accent4 4 2 2 3 2" xfId="4241"/>
    <cellStyle name="40% - Accent4 4 2 2 3 2 2" xfId="8647"/>
    <cellStyle name="40% - Accent4 4 2 2 3 3" xfId="6437"/>
    <cellStyle name="40% - Accent4 4 2 2 4" xfId="2777"/>
    <cellStyle name="40% - Accent4 4 2 2 4 2" xfId="7183"/>
    <cellStyle name="40% - Accent4 4 2 2 5" xfId="4973"/>
    <cellStyle name="40% - Accent4 4 2 3" xfId="940"/>
    <cellStyle name="40% - Accent4 4 2 3 2" xfId="3150"/>
    <cellStyle name="40% - Accent4 4 2 3 2 2" xfId="7556"/>
    <cellStyle name="40% - Accent4 4 2 3 3" xfId="5346"/>
    <cellStyle name="40% - Accent4 4 2 4" xfId="1672"/>
    <cellStyle name="40% - Accent4 4 2 4 2" xfId="3882"/>
    <cellStyle name="40% - Accent4 4 2 4 2 2" xfId="8288"/>
    <cellStyle name="40% - Accent4 4 2 4 3" xfId="6078"/>
    <cellStyle name="40% - Accent4 4 2 5" xfId="2418"/>
    <cellStyle name="40% - Accent4 4 2 5 2" xfId="6824"/>
    <cellStyle name="40% - Accent4 4 2 6" xfId="4614"/>
    <cellStyle name="40% - Accent4 4 3" xfId="450"/>
    <cellStyle name="40% - Accent4 4 3 2" xfId="1183"/>
    <cellStyle name="40% - Accent4 4 3 2 2" xfId="3393"/>
    <cellStyle name="40% - Accent4 4 3 2 2 2" xfId="7799"/>
    <cellStyle name="40% - Accent4 4 3 2 3" xfId="5589"/>
    <cellStyle name="40% - Accent4 4 3 3" xfId="1915"/>
    <cellStyle name="40% - Accent4 4 3 3 2" xfId="4125"/>
    <cellStyle name="40% - Accent4 4 3 3 2 2" xfId="8531"/>
    <cellStyle name="40% - Accent4 4 3 3 3" xfId="6321"/>
    <cellStyle name="40% - Accent4 4 3 4" xfId="2661"/>
    <cellStyle name="40% - Accent4 4 3 4 2" xfId="7067"/>
    <cellStyle name="40% - Accent4 4 3 5" xfId="4857"/>
    <cellStyle name="40% - Accent4 4 4" xfId="824"/>
    <cellStyle name="40% - Accent4 4 4 2" xfId="3034"/>
    <cellStyle name="40% - Accent4 4 4 2 2" xfId="7440"/>
    <cellStyle name="40% - Accent4 4 4 3" xfId="5230"/>
    <cellStyle name="40% - Accent4 4 5" xfId="1556"/>
    <cellStyle name="40% - Accent4 4 5 2" xfId="3766"/>
    <cellStyle name="40% - Accent4 4 5 2 2" xfId="8172"/>
    <cellStyle name="40% - Accent4 4 5 3" xfId="5962"/>
    <cellStyle name="40% - Accent4 4 6" xfId="2302"/>
    <cellStyle name="40% - Accent4 4 6 2" xfId="6708"/>
    <cellStyle name="40% - Accent4 4 7" xfId="4498"/>
    <cellStyle name="40% - Accent4 5" xfId="103"/>
    <cellStyle name="40% - Accent4 5 2" xfId="221"/>
    <cellStyle name="40% - Accent4 5 2 2" xfId="580"/>
    <cellStyle name="40% - Accent4 5 2 2 2" xfId="1313"/>
    <cellStyle name="40% - Accent4 5 2 2 2 2" xfId="3523"/>
    <cellStyle name="40% - Accent4 5 2 2 2 2 2" xfId="7929"/>
    <cellStyle name="40% - Accent4 5 2 2 2 3" xfId="5719"/>
    <cellStyle name="40% - Accent4 5 2 2 3" xfId="2045"/>
    <cellStyle name="40% - Accent4 5 2 2 3 2" xfId="4255"/>
    <cellStyle name="40% - Accent4 5 2 2 3 2 2" xfId="8661"/>
    <cellStyle name="40% - Accent4 5 2 2 3 3" xfId="6451"/>
    <cellStyle name="40% - Accent4 5 2 2 4" xfId="2791"/>
    <cellStyle name="40% - Accent4 5 2 2 4 2" xfId="7197"/>
    <cellStyle name="40% - Accent4 5 2 2 5" xfId="4987"/>
    <cellStyle name="40% - Accent4 5 2 3" xfId="954"/>
    <cellStyle name="40% - Accent4 5 2 3 2" xfId="3164"/>
    <cellStyle name="40% - Accent4 5 2 3 2 2" xfId="7570"/>
    <cellStyle name="40% - Accent4 5 2 3 3" xfId="5360"/>
    <cellStyle name="40% - Accent4 5 2 4" xfId="1686"/>
    <cellStyle name="40% - Accent4 5 2 4 2" xfId="3896"/>
    <cellStyle name="40% - Accent4 5 2 4 2 2" xfId="8302"/>
    <cellStyle name="40% - Accent4 5 2 4 3" xfId="6092"/>
    <cellStyle name="40% - Accent4 5 2 5" xfId="2432"/>
    <cellStyle name="40% - Accent4 5 2 5 2" xfId="6838"/>
    <cellStyle name="40% - Accent4 5 2 6" xfId="4628"/>
    <cellStyle name="40% - Accent4 5 3" xfId="464"/>
    <cellStyle name="40% - Accent4 5 3 2" xfId="1197"/>
    <cellStyle name="40% - Accent4 5 3 2 2" xfId="3407"/>
    <cellStyle name="40% - Accent4 5 3 2 2 2" xfId="7813"/>
    <cellStyle name="40% - Accent4 5 3 2 3" xfId="5603"/>
    <cellStyle name="40% - Accent4 5 3 3" xfId="1929"/>
    <cellStyle name="40% - Accent4 5 3 3 2" xfId="4139"/>
    <cellStyle name="40% - Accent4 5 3 3 2 2" xfId="8545"/>
    <cellStyle name="40% - Accent4 5 3 3 3" xfId="6335"/>
    <cellStyle name="40% - Accent4 5 3 4" xfId="2675"/>
    <cellStyle name="40% - Accent4 5 3 4 2" xfId="7081"/>
    <cellStyle name="40% - Accent4 5 3 5" xfId="4871"/>
    <cellStyle name="40% - Accent4 5 4" xfId="838"/>
    <cellStyle name="40% - Accent4 5 4 2" xfId="3048"/>
    <cellStyle name="40% - Accent4 5 4 2 2" xfId="7454"/>
    <cellStyle name="40% - Accent4 5 4 3" xfId="5244"/>
    <cellStyle name="40% - Accent4 5 5" xfId="1570"/>
    <cellStyle name="40% - Accent4 5 5 2" xfId="3780"/>
    <cellStyle name="40% - Accent4 5 5 2 2" xfId="8186"/>
    <cellStyle name="40% - Accent4 5 5 3" xfId="5976"/>
    <cellStyle name="40% - Accent4 5 6" xfId="2316"/>
    <cellStyle name="40% - Accent4 5 6 2" xfId="6722"/>
    <cellStyle name="40% - Accent4 5 7" xfId="4512"/>
    <cellStyle name="40% - Accent4 6" xfId="117"/>
    <cellStyle name="40% - Accent4 6 2" xfId="235"/>
    <cellStyle name="40% - Accent4 6 2 2" xfId="594"/>
    <cellStyle name="40% - Accent4 6 2 2 2" xfId="1327"/>
    <cellStyle name="40% - Accent4 6 2 2 2 2" xfId="3537"/>
    <cellStyle name="40% - Accent4 6 2 2 2 2 2" xfId="7943"/>
    <cellStyle name="40% - Accent4 6 2 2 2 3" xfId="5733"/>
    <cellStyle name="40% - Accent4 6 2 2 3" xfId="2059"/>
    <cellStyle name="40% - Accent4 6 2 2 3 2" xfId="4269"/>
    <cellStyle name="40% - Accent4 6 2 2 3 2 2" xfId="8675"/>
    <cellStyle name="40% - Accent4 6 2 2 3 3" xfId="6465"/>
    <cellStyle name="40% - Accent4 6 2 2 4" xfId="2805"/>
    <cellStyle name="40% - Accent4 6 2 2 4 2" xfId="7211"/>
    <cellStyle name="40% - Accent4 6 2 2 5" xfId="5001"/>
    <cellStyle name="40% - Accent4 6 2 3" xfId="968"/>
    <cellStyle name="40% - Accent4 6 2 3 2" xfId="3178"/>
    <cellStyle name="40% - Accent4 6 2 3 2 2" xfId="7584"/>
    <cellStyle name="40% - Accent4 6 2 3 3" xfId="5374"/>
    <cellStyle name="40% - Accent4 6 2 4" xfId="1700"/>
    <cellStyle name="40% - Accent4 6 2 4 2" xfId="3910"/>
    <cellStyle name="40% - Accent4 6 2 4 2 2" xfId="8316"/>
    <cellStyle name="40% - Accent4 6 2 4 3" xfId="6106"/>
    <cellStyle name="40% - Accent4 6 2 5" xfId="2446"/>
    <cellStyle name="40% - Accent4 6 2 5 2" xfId="6852"/>
    <cellStyle name="40% - Accent4 6 2 6" xfId="4642"/>
    <cellStyle name="40% - Accent4 6 3" xfId="478"/>
    <cellStyle name="40% - Accent4 6 3 2" xfId="1211"/>
    <cellStyle name="40% - Accent4 6 3 2 2" xfId="3421"/>
    <cellStyle name="40% - Accent4 6 3 2 2 2" xfId="7827"/>
    <cellStyle name="40% - Accent4 6 3 2 3" xfId="5617"/>
    <cellStyle name="40% - Accent4 6 3 3" xfId="1943"/>
    <cellStyle name="40% - Accent4 6 3 3 2" xfId="4153"/>
    <cellStyle name="40% - Accent4 6 3 3 2 2" xfId="8559"/>
    <cellStyle name="40% - Accent4 6 3 3 3" xfId="6349"/>
    <cellStyle name="40% - Accent4 6 3 4" xfId="2689"/>
    <cellStyle name="40% - Accent4 6 3 4 2" xfId="7095"/>
    <cellStyle name="40% - Accent4 6 3 5" xfId="4885"/>
    <cellStyle name="40% - Accent4 6 4" xfId="852"/>
    <cellStyle name="40% - Accent4 6 4 2" xfId="3062"/>
    <cellStyle name="40% - Accent4 6 4 2 2" xfId="7468"/>
    <cellStyle name="40% - Accent4 6 4 3" xfId="5258"/>
    <cellStyle name="40% - Accent4 6 5" xfId="1584"/>
    <cellStyle name="40% - Accent4 6 5 2" xfId="3794"/>
    <cellStyle name="40% - Accent4 6 5 2 2" xfId="8200"/>
    <cellStyle name="40% - Accent4 6 5 3" xfId="5990"/>
    <cellStyle name="40% - Accent4 6 6" xfId="2330"/>
    <cellStyle name="40% - Accent4 6 6 2" xfId="6736"/>
    <cellStyle name="40% - Accent4 6 7" xfId="4526"/>
    <cellStyle name="40% - Accent4 7" xfId="131"/>
    <cellStyle name="40% - Accent4 7 2" xfId="249"/>
    <cellStyle name="40% - Accent4 7 2 2" xfId="608"/>
    <cellStyle name="40% - Accent4 7 2 2 2" xfId="1341"/>
    <cellStyle name="40% - Accent4 7 2 2 2 2" xfId="3551"/>
    <cellStyle name="40% - Accent4 7 2 2 2 2 2" xfId="7957"/>
    <cellStyle name="40% - Accent4 7 2 2 2 3" xfId="5747"/>
    <cellStyle name="40% - Accent4 7 2 2 3" xfId="2073"/>
    <cellStyle name="40% - Accent4 7 2 2 3 2" xfId="4283"/>
    <cellStyle name="40% - Accent4 7 2 2 3 2 2" xfId="8689"/>
    <cellStyle name="40% - Accent4 7 2 2 3 3" xfId="6479"/>
    <cellStyle name="40% - Accent4 7 2 2 4" xfId="2819"/>
    <cellStyle name="40% - Accent4 7 2 2 4 2" xfId="7225"/>
    <cellStyle name="40% - Accent4 7 2 2 5" xfId="5015"/>
    <cellStyle name="40% - Accent4 7 2 3" xfId="982"/>
    <cellStyle name="40% - Accent4 7 2 3 2" xfId="3192"/>
    <cellStyle name="40% - Accent4 7 2 3 2 2" xfId="7598"/>
    <cellStyle name="40% - Accent4 7 2 3 3" xfId="5388"/>
    <cellStyle name="40% - Accent4 7 2 4" xfId="1714"/>
    <cellStyle name="40% - Accent4 7 2 4 2" xfId="3924"/>
    <cellStyle name="40% - Accent4 7 2 4 2 2" xfId="8330"/>
    <cellStyle name="40% - Accent4 7 2 4 3" xfId="6120"/>
    <cellStyle name="40% - Accent4 7 2 5" xfId="2460"/>
    <cellStyle name="40% - Accent4 7 2 5 2" xfId="6866"/>
    <cellStyle name="40% - Accent4 7 2 6" xfId="4656"/>
    <cellStyle name="40% - Accent4 7 3" xfId="492"/>
    <cellStyle name="40% - Accent4 7 3 2" xfId="1225"/>
    <cellStyle name="40% - Accent4 7 3 2 2" xfId="3435"/>
    <cellStyle name="40% - Accent4 7 3 2 2 2" xfId="7841"/>
    <cellStyle name="40% - Accent4 7 3 2 3" xfId="5631"/>
    <cellStyle name="40% - Accent4 7 3 3" xfId="1957"/>
    <cellStyle name="40% - Accent4 7 3 3 2" xfId="4167"/>
    <cellStyle name="40% - Accent4 7 3 3 2 2" xfId="8573"/>
    <cellStyle name="40% - Accent4 7 3 3 3" xfId="6363"/>
    <cellStyle name="40% - Accent4 7 3 4" xfId="2703"/>
    <cellStyle name="40% - Accent4 7 3 4 2" xfId="7109"/>
    <cellStyle name="40% - Accent4 7 3 5" xfId="4899"/>
    <cellStyle name="40% - Accent4 7 4" xfId="866"/>
    <cellStyle name="40% - Accent4 7 4 2" xfId="3076"/>
    <cellStyle name="40% - Accent4 7 4 2 2" xfId="7482"/>
    <cellStyle name="40% - Accent4 7 4 3" xfId="5272"/>
    <cellStyle name="40% - Accent4 7 5" xfId="1598"/>
    <cellStyle name="40% - Accent4 7 5 2" xfId="3808"/>
    <cellStyle name="40% - Accent4 7 5 2 2" xfId="8214"/>
    <cellStyle name="40% - Accent4 7 5 3" xfId="6004"/>
    <cellStyle name="40% - Accent4 7 6" xfId="2344"/>
    <cellStyle name="40% - Accent4 7 6 2" xfId="6750"/>
    <cellStyle name="40% - Accent4 7 7" xfId="4540"/>
    <cellStyle name="40% - Accent4 8" xfId="145"/>
    <cellStyle name="40% - Accent4 8 2" xfId="263"/>
    <cellStyle name="40% - Accent4 8 2 2" xfId="622"/>
    <cellStyle name="40% - Accent4 8 2 2 2" xfId="1355"/>
    <cellStyle name="40% - Accent4 8 2 2 2 2" xfId="3565"/>
    <cellStyle name="40% - Accent4 8 2 2 2 2 2" xfId="7971"/>
    <cellStyle name="40% - Accent4 8 2 2 2 3" xfId="5761"/>
    <cellStyle name="40% - Accent4 8 2 2 3" xfId="2087"/>
    <cellStyle name="40% - Accent4 8 2 2 3 2" xfId="4297"/>
    <cellStyle name="40% - Accent4 8 2 2 3 2 2" xfId="8703"/>
    <cellStyle name="40% - Accent4 8 2 2 3 3" xfId="6493"/>
    <cellStyle name="40% - Accent4 8 2 2 4" xfId="2833"/>
    <cellStyle name="40% - Accent4 8 2 2 4 2" xfId="7239"/>
    <cellStyle name="40% - Accent4 8 2 2 5" xfId="5029"/>
    <cellStyle name="40% - Accent4 8 2 3" xfId="996"/>
    <cellStyle name="40% - Accent4 8 2 3 2" xfId="3206"/>
    <cellStyle name="40% - Accent4 8 2 3 2 2" xfId="7612"/>
    <cellStyle name="40% - Accent4 8 2 3 3" xfId="5402"/>
    <cellStyle name="40% - Accent4 8 2 4" xfId="1728"/>
    <cellStyle name="40% - Accent4 8 2 4 2" xfId="3938"/>
    <cellStyle name="40% - Accent4 8 2 4 2 2" xfId="8344"/>
    <cellStyle name="40% - Accent4 8 2 4 3" xfId="6134"/>
    <cellStyle name="40% - Accent4 8 2 5" xfId="2474"/>
    <cellStyle name="40% - Accent4 8 2 5 2" xfId="6880"/>
    <cellStyle name="40% - Accent4 8 2 6" xfId="4670"/>
    <cellStyle name="40% - Accent4 8 3" xfId="506"/>
    <cellStyle name="40% - Accent4 8 3 2" xfId="1239"/>
    <cellStyle name="40% - Accent4 8 3 2 2" xfId="3449"/>
    <cellStyle name="40% - Accent4 8 3 2 2 2" xfId="7855"/>
    <cellStyle name="40% - Accent4 8 3 2 3" xfId="5645"/>
    <cellStyle name="40% - Accent4 8 3 3" xfId="1971"/>
    <cellStyle name="40% - Accent4 8 3 3 2" xfId="4181"/>
    <cellStyle name="40% - Accent4 8 3 3 2 2" xfId="8587"/>
    <cellStyle name="40% - Accent4 8 3 3 3" xfId="6377"/>
    <cellStyle name="40% - Accent4 8 3 4" xfId="2717"/>
    <cellStyle name="40% - Accent4 8 3 4 2" xfId="7123"/>
    <cellStyle name="40% - Accent4 8 3 5" xfId="4913"/>
    <cellStyle name="40% - Accent4 8 4" xfId="880"/>
    <cellStyle name="40% - Accent4 8 4 2" xfId="3090"/>
    <cellStyle name="40% - Accent4 8 4 2 2" xfId="7496"/>
    <cellStyle name="40% - Accent4 8 4 3" xfId="5286"/>
    <cellStyle name="40% - Accent4 8 5" xfId="1612"/>
    <cellStyle name="40% - Accent4 8 5 2" xfId="3822"/>
    <cellStyle name="40% - Accent4 8 5 2 2" xfId="8228"/>
    <cellStyle name="40% - Accent4 8 5 3" xfId="6018"/>
    <cellStyle name="40% - Accent4 8 6" xfId="2358"/>
    <cellStyle name="40% - Accent4 8 6 2" xfId="6764"/>
    <cellStyle name="40% - Accent4 8 7" xfId="4554"/>
    <cellStyle name="40% - Accent4 9" xfId="163"/>
    <cellStyle name="40% - Accent4 9 2" xfId="522"/>
    <cellStyle name="40% - Accent4 9 2 2" xfId="1255"/>
    <cellStyle name="40% - Accent4 9 2 2 2" xfId="3465"/>
    <cellStyle name="40% - Accent4 9 2 2 2 2" xfId="7871"/>
    <cellStyle name="40% - Accent4 9 2 2 3" xfId="5661"/>
    <cellStyle name="40% - Accent4 9 2 3" xfId="1987"/>
    <cellStyle name="40% - Accent4 9 2 3 2" xfId="4197"/>
    <cellStyle name="40% - Accent4 9 2 3 2 2" xfId="8603"/>
    <cellStyle name="40% - Accent4 9 2 3 3" xfId="6393"/>
    <cellStyle name="40% - Accent4 9 2 4" xfId="2733"/>
    <cellStyle name="40% - Accent4 9 2 4 2" xfId="7139"/>
    <cellStyle name="40% - Accent4 9 2 5" xfId="4929"/>
    <cellStyle name="40% - Accent4 9 3" xfId="896"/>
    <cellStyle name="40% - Accent4 9 3 2" xfId="3106"/>
    <cellStyle name="40% - Accent4 9 3 2 2" xfId="7512"/>
    <cellStyle name="40% - Accent4 9 3 3" xfId="5302"/>
    <cellStyle name="40% - Accent4 9 4" xfId="1628"/>
    <cellStyle name="40% - Accent4 9 4 2" xfId="3838"/>
    <cellStyle name="40% - Accent4 9 4 2 2" xfId="8244"/>
    <cellStyle name="40% - Accent4 9 4 3" xfId="6034"/>
    <cellStyle name="40% - Accent4 9 5" xfId="2374"/>
    <cellStyle name="40% - Accent4 9 5 2" xfId="6780"/>
    <cellStyle name="40% - Accent4 9 6" xfId="4570"/>
    <cellStyle name="40% - Accent5" xfId="37" builtinId="47" customBuiltin="1"/>
    <cellStyle name="40% - Accent5 10" xfId="279"/>
    <cellStyle name="40% - Accent5 10 2" xfId="638"/>
    <cellStyle name="40% - Accent5 10 2 2" xfId="1371"/>
    <cellStyle name="40% - Accent5 10 2 2 2" xfId="3581"/>
    <cellStyle name="40% - Accent5 10 2 2 2 2" xfId="7987"/>
    <cellStyle name="40% - Accent5 10 2 2 3" xfId="5777"/>
    <cellStyle name="40% - Accent5 10 2 3" xfId="2103"/>
    <cellStyle name="40% - Accent5 10 2 3 2" xfId="4313"/>
    <cellStyle name="40% - Accent5 10 2 3 2 2" xfId="8719"/>
    <cellStyle name="40% - Accent5 10 2 3 3" xfId="6509"/>
    <cellStyle name="40% - Accent5 10 2 4" xfId="2849"/>
    <cellStyle name="40% - Accent5 10 2 4 2" xfId="7255"/>
    <cellStyle name="40% - Accent5 10 2 5" xfId="5045"/>
    <cellStyle name="40% - Accent5 10 3" xfId="1012"/>
    <cellStyle name="40% - Accent5 10 3 2" xfId="3222"/>
    <cellStyle name="40% - Accent5 10 3 2 2" xfId="7628"/>
    <cellStyle name="40% - Accent5 10 3 3" xfId="5418"/>
    <cellStyle name="40% - Accent5 10 4" xfId="1744"/>
    <cellStyle name="40% - Accent5 10 4 2" xfId="3954"/>
    <cellStyle name="40% - Accent5 10 4 2 2" xfId="8360"/>
    <cellStyle name="40% - Accent5 10 4 3" xfId="6150"/>
    <cellStyle name="40% - Accent5 10 5" xfId="2490"/>
    <cellStyle name="40% - Accent5 10 5 2" xfId="6896"/>
    <cellStyle name="40% - Accent5 10 6" xfId="4686"/>
    <cellStyle name="40% - Accent5 11" xfId="293"/>
    <cellStyle name="40% - Accent5 11 2" xfId="652"/>
    <cellStyle name="40% - Accent5 11 2 2" xfId="1385"/>
    <cellStyle name="40% - Accent5 11 2 2 2" xfId="3595"/>
    <cellStyle name="40% - Accent5 11 2 2 2 2" xfId="8001"/>
    <cellStyle name="40% - Accent5 11 2 2 3" xfId="5791"/>
    <cellStyle name="40% - Accent5 11 2 3" xfId="2117"/>
    <cellStyle name="40% - Accent5 11 2 3 2" xfId="4327"/>
    <cellStyle name="40% - Accent5 11 2 3 2 2" xfId="8733"/>
    <cellStyle name="40% - Accent5 11 2 3 3" xfId="6523"/>
    <cellStyle name="40% - Accent5 11 2 4" xfId="2863"/>
    <cellStyle name="40% - Accent5 11 2 4 2" xfId="7269"/>
    <cellStyle name="40% - Accent5 11 2 5" xfId="5059"/>
    <cellStyle name="40% - Accent5 11 3" xfId="1026"/>
    <cellStyle name="40% - Accent5 11 3 2" xfId="3236"/>
    <cellStyle name="40% - Accent5 11 3 2 2" xfId="7642"/>
    <cellStyle name="40% - Accent5 11 3 3" xfId="5432"/>
    <cellStyle name="40% - Accent5 11 4" xfId="1758"/>
    <cellStyle name="40% - Accent5 11 4 2" xfId="3968"/>
    <cellStyle name="40% - Accent5 11 4 2 2" xfId="8374"/>
    <cellStyle name="40% - Accent5 11 4 3" xfId="6164"/>
    <cellStyle name="40% - Accent5 11 5" xfId="2504"/>
    <cellStyle name="40% - Accent5 11 5 2" xfId="6910"/>
    <cellStyle name="40% - Accent5 11 6" xfId="4700"/>
    <cellStyle name="40% - Accent5 12" xfId="307"/>
    <cellStyle name="40% - Accent5 12 2" xfId="666"/>
    <cellStyle name="40% - Accent5 12 2 2" xfId="1399"/>
    <cellStyle name="40% - Accent5 12 2 2 2" xfId="3609"/>
    <cellStyle name="40% - Accent5 12 2 2 2 2" xfId="8015"/>
    <cellStyle name="40% - Accent5 12 2 2 3" xfId="5805"/>
    <cellStyle name="40% - Accent5 12 2 3" xfId="2131"/>
    <cellStyle name="40% - Accent5 12 2 3 2" xfId="4341"/>
    <cellStyle name="40% - Accent5 12 2 3 2 2" xfId="8747"/>
    <cellStyle name="40% - Accent5 12 2 3 3" xfId="6537"/>
    <cellStyle name="40% - Accent5 12 2 4" xfId="2877"/>
    <cellStyle name="40% - Accent5 12 2 4 2" xfId="7283"/>
    <cellStyle name="40% - Accent5 12 2 5" xfId="5073"/>
    <cellStyle name="40% - Accent5 12 3" xfId="1040"/>
    <cellStyle name="40% - Accent5 12 3 2" xfId="3250"/>
    <cellStyle name="40% - Accent5 12 3 2 2" xfId="7656"/>
    <cellStyle name="40% - Accent5 12 3 3" xfId="5446"/>
    <cellStyle name="40% - Accent5 12 4" xfId="1772"/>
    <cellStyle name="40% - Accent5 12 4 2" xfId="3982"/>
    <cellStyle name="40% - Accent5 12 4 2 2" xfId="8388"/>
    <cellStyle name="40% - Accent5 12 4 3" xfId="6178"/>
    <cellStyle name="40% - Accent5 12 5" xfId="2518"/>
    <cellStyle name="40% - Accent5 12 5 2" xfId="6924"/>
    <cellStyle name="40% - Accent5 12 6" xfId="4714"/>
    <cellStyle name="40% - Accent5 13" xfId="321"/>
    <cellStyle name="40% - Accent5 13 2" xfId="680"/>
    <cellStyle name="40% - Accent5 13 2 2" xfId="1413"/>
    <cellStyle name="40% - Accent5 13 2 2 2" xfId="3623"/>
    <cellStyle name="40% - Accent5 13 2 2 2 2" xfId="8029"/>
    <cellStyle name="40% - Accent5 13 2 2 3" xfId="5819"/>
    <cellStyle name="40% - Accent5 13 2 3" xfId="2145"/>
    <cellStyle name="40% - Accent5 13 2 3 2" xfId="4355"/>
    <cellStyle name="40% - Accent5 13 2 3 2 2" xfId="8761"/>
    <cellStyle name="40% - Accent5 13 2 3 3" xfId="6551"/>
    <cellStyle name="40% - Accent5 13 2 4" xfId="2891"/>
    <cellStyle name="40% - Accent5 13 2 4 2" xfId="7297"/>
    <cellStyle name="40% - Accent5 13 2 5" xfId="5087"/>
    <cellStyle name="40% - Accent5 13 3" xfId="1054"/>
    <cellStyle name="40% - Accent5 13 3 2" xfId="3264"/>
    <cellStyle name="40% - Accent5 13 3 2 2" xfId="7670"/>
    <cellStyle name="40% - Accent5 13 3 3" xfId="5460"/>
    <cellStyle name="40% - Accent5 13 4" xfId="1786"/>
    <cellStyle name="40% - Accent5 13 4 2" xfId="3996"/>
    <cellStyle name="40% - Accent5 13 4 2 2" xfId="8402"/>
    <cellStyle name="40% - Accent5 13 4 3" xfId="6192"/>
    <cellStyle name="40% - Accent5 13 5" xfId="2532"/>
    <cellStyle name="40% - Accent5 13 5 2" xfId="6938"/>
    <cellStyle name="40% - Accent5 13 6" xfId="4728"/>
    <cellStyle name="40% - Accent5 14" xfId="335"/>
    <cellStyle name="40% - Accent5 14 2" xfId="694"/>
    <cellStyle name="40% - Accent5 14 2 2" xfId="1427"/>
    <cellStyle name="40% - Accent5 14 2 2 2" xfId="3637"/>
    <cellStyle name="40% - Accent5 14 2 2 2 2" xfId="8043"/>
    <cellStyle name="40% - Accent5 14 2 2 3" xfId="5833"/>
    <cellStyle name="40% - Accent5 14 2 3" xfId="2159"/>
    <cellStyle name="40% - Accent5 14 2 3 2" xfId="4369"/>
    <cellStyle name="40% - Accent5 14 2 3 2 2" xfId="8775"/>
    <cellStyle name="40% - Accent5 14 2 3 3" xfId="6565"/>
    <cellStyle name="40% - Accent5 14 2 4" xfId="2905"/>
    <cellStyle name="40% - Accent5 14 2 4 2" xfId="7311"/>
    <cellStyle name="40% - Accent5 14 2 5" xfId="5101"/>
    <cellStyle name="40% - Accent5 14 3" xfId="1068"/>
    <cellStyle name="40% - Accent5 14 3 2" xfId="3278"/>
    <cellStyle name="40% - Accent5 14 3 2 2" xfId="7684"/>
    <cellStyle name="40% - Accent5 14 3 3" xfId="5474"/>
    <cellStyle name="40% - Accent5 14 4" xfId="1800"/>
    <cellStyle name="40% - Accent5 14 4 2" xfId="4010"/>
    <cellStyle name="40% - Accent5 14 4 2 2" xfId="8416"/>
    <cellStyle name="40% - Accent5 14 4 3" xfId="6206"/>
    <cellStyle name="40% - Accent5 14 5" xfId="2546"/>
    <cellStyle name="40% - Accent5 14 5 2" xfId="6952"/>
    <cellStyle name="40% - Accent5 14 6" xfId="4742"/>
    <cellStyle name="40% - Accent5 15" xfId="349"/>
    <cellStyle name="40% - Accent5 15 2" xfId="708"/>
    <cellStyle name="40% - Accent5 15 2 2" xfId="1441"/>
    <cellStyle name="40% - Accent5 15 2 2 2" xfId="3651"/>
    <cellStyle name="40% - Accent5 15 2 2 2 2" xfId="8057"/>
    <cellStyle name="40% - Accent5 15 2 2 3" xfId="5847"/>
    <cellStyle name="40% - Accent5 15 2 3" xfId="2173"/>
    <cellStyle name="40% - Accent5 15 2 3 2" xfId="4383"/>
    <cellStyle name="40% - Accent5 15 2 3 2 2" xfId="8789"/>
    <cellStyle name="40% - Accent5 15 2 3 3" xfId="6579"/>
    <cellStyle name="40% - Accent5 15 2 4" xfId="2919"/>
    <cellStyle name="40% - Accent5 15 2 4 2" xfId="7325"/>
    <cellStyle name="40% - Accent5 15 2 5" xfId="5115"/>
    <cellStyle name="40% - Accent5 15 3" xfId="1082"/>
    <cellStyle name="40% - Accent5 15 3 2" xfId="3292"/>
    <cellStyle name="40% - Accent5 15 3 2 2" xfId="7698"/>
    <cellStyle name="40% - Accent5 15 3 3" xfId="5488"/>
    <cellStyle name="40% - Accent5 15 4" xfId="1814"/>
    <cellStyle name="40% - Accent5 15 4 2" xfId="4024"/>
    <cellStyle name="40% - Accent5 15 4 2 2" xfId="8430"/>
    <cellStyle name="40% - Accent5 15 4 3" xfId="6220"/>
    <cellStyle name="40% - Accent5 15 5" xfId="2560"/>
    <cellStyle name="40% - Accent5 15 5 2" xfId="6966"/>
    <cellStyle name="40% - Accent5 15 6" xfId="4756"/>
    <cellStyle name="40% - Accent5 16" xfId="363"/>
    <cellStyle name="40% - Accent5 16 2" xfId="722"/>
    <cellStyle name="40% - Accent5 16 2 2" xfId="1455"/>
    <cellStyle name="40% - Accent5 16 2 2 2" xfId="3665"/>
    <cellStyle name="40% - Accent5 16 2 2 2 2" xfId="8071"/>
    <cellStyle name="40% - Accent5 16 2 2 3" xfId="5861"/>
    <cellStyle name="40% - Accent5 16 2 3" xfId="2187"/>
    <cellStyle name="40% - Accent5 16 2 3 2" xfId="4397"/>
    <cellStyle name="40% - Accent5 16 2 3 2 2" xfId="8803"/>
    <cellStyle name="40% - Accent5 16 2 3 3" xfId="6593"/>
    <cellStyle name="40% - Accent5 16 2 4" xfId="2933"/>
    <cellStyle name="40% - Accent5 16 2 4 2" xfId="7339"/>
    <cellStyle name="40% - Accent5 16 2 5" xfId="5129"/>
    <cellStyle name="40% - Accent5 16 3" xfId="1096"/>
    <cellStyle name="40% - Accent5 16 3 2" xfId="3306"/>
    <cellStyle name="40% - Accent5 16 3 2 2" xfId="7712"/>
    <cellStyle name="40% - Accent5 16 3 3" xfId="5502"/>
    <cellStyle name="40% - Accent5 16 4" xfId="1828"/>
    <cellStyle name="40% - Accent5 16 4 2" xfId="4038"/>
    <cellStyle name="40% - Accent5 16 4 2 2" xfId="8444"/>
    <cellStyle name="40% - Accent5 16 4 3" xfId="6234"/>
    <cellStyle name="40% - Accent5 16 5" xfId="2574"/>
    <cellStyle name="40% - Accent5 16 5 2" xfId="6980"/>
    <cellStyle name="40% - Accent5 16 6" xfId="4770"/>
    <cellStyle name="40% - Accent5 17" xfId="377"/>
    <cellStyle name="40% - Accent5 17 2" xfId="736"/>
    <cellStyle name="40% - Accent5 17 2 2" xfId="1469"/>
    <cellStyle name="40% - Accent5 17 2 2 2" xfId="3679"/>
    <cellStyle name="40% - Accent5 17 2 2 2 2" xfId="8085"/>
    <cellStyle name="40% - Accent5 17 2 2 3" xfId="5875"/>
    <cellStyle name="40% - Accent5 17 2 3" xfId="2201"/>
    <cellStyle name="40% - Accent5 17 2 3 2" xfId="4411"/>
    <cellStyle name="40% - Accent5 17 2 3 2 2" xfId="8817"/>
    <cellStyle name="40% - Accent5 17 2 3 3" xfId="6607"/>
    <cellStyle name="40% - Accent5 17 2 4" xfId="2947"/>
    <cellStyle name="40% - Accent5 17 2 4 2" xfId="7353"/>
    <cellStyle name="40% - Accent5 17 2 5" xfId="5143"/>
    <cellStyle name="40% - Accent5 17 3" xfId="1110"/>
    <cellStyle name="40% - Accent5 17 3 2" xfId="3320"/>
    <cellStyle name="40% - Accent5 17 3 2 2" xfId="7726"/>
    <cellStyle name="40% - Accent5 17 3 3" xfId="5516"/>
    <cellStyle name="40% - Accent5 17 4" xfId="1842"/>
    <cellStyle name="40% - Accent5 17 4 2" xfId="4052"/>
    <cellStyle name="40% - Accent5 17 4 2 2" xfId="8458"/>
    <cellStyle name="40% - Accent5 17 4 3" xfId="6248"/>
    <cellStyle name="40% - Accent5 17 5" xfId="2588"/>
    <cellStyle name="40% - Accent5 17 5 2" xfId="6994"/>
    <cellStyle name="40% - Accent5 17 6" xfId="4784"/>
    <cellStyle name="40% - Accent5 18" xfId="391"/>
    <cellStyle name="40% - Accent5 18 2" xfId="750"/>
    <cellStyle name="40% - Accent5 18 2 2" xfId="1483"/>
    <cellStyle name="40% - Accent5 18 2 2 2" xfId="3693"/>
    <cellStyle name="40% - Accent5 18 2 2 2 2" xfId="8099"/>
    <cellStyle name="40% - Accent5 18 2 2 3" xfId="5889"/>
    <cellStyle name="40% - Accent5 18 2 3" xfId="2215"/>
    <cellStyle name="40% - Accent5 18 2 3 2" xfId="4425"/>
    <cellStyle name="40% - Accent5 18 2 3 2 2" xfId="8831"/>
    <cellStyle name="40% - Accent5 18 2 3 3" xfId="6621"/>
    <cellStyle name="40% - Accent5 18 2 4" xfId="2961"/>
    <cellStyle name="40% - Accent5 18 2 4 2" xfId="7367"/>
    <cellStyle name="40% - Accent5 18 2 5" xfId="5157"/>
    <cellStyle name="40% - Accent5 18 3" xfId="1124"/>
    <cellStyle name="40% - Accent5 18 3 2" xfId="3334"/>
    <cellStyle name="40% - Accent5 18 3 2 2" xfId="7740"/>
    <cellStyle name="40% - Accent5 18 3 3" xfId="5530"/>
    <cellStyle name="40% - Accent5 18 4" xfId="1856"/>
    <cellStyle name="40% - Accent5 18 4 2" xfId="4066"/>
    <cellStyle name="40% - Accent5 18 4 2 2" xfId="8472"/>
    <cellStyle name="40% - Accent5 18 4 3" xfId="6262"/>
    <cellStyle name="40% - Accent5 18 5" xfId="2602"/>
    <cellStyle name="40% - Accent5 18 5 2" xfId="7008"/>
    <cellStyle name="40% - Accent5 18 6" xfId="4798"/>
    <cellStyle name="40% - Accent5 19" xfId="408"/>
    <cellStyle name="40% - Accent5 19 2" xfId="1141"/>
    <cellStyle name="40% - Accent5 19 2 2" xfId="3351"/>
    <cellStyle name="40% - Accent5 19 2 2 2" xfId="7757"/>
    <cellStyle name="40% - Accent5 19 2 3" xfId="5547"/>
    <cellStyle name="40% - Accent5 19 3" xfId="1873"/>
    <cellStyle name="40% - Accent5 19 3 2" xfId="4083"/>
    <cellStyle name="40% - Accent5 19 3 2 2" xfId="8489"/>
    <cellStyle name="40% - Accent5 19 3 3" xfId="6279"/>
    <cellStyle name="40% - Accent5 19 4" xfId="2619"/>
    <cellStyle name="40% - Accent5 19 4 2" xfId="7025"/>
    <cellStyle name="40% - Accent5 19 5" xfId="4815"/>
    <cellStyle name="40% - Accent5 2" xfId="63"/>
    <cellStyle name="40% - Accent5 2 2" xfId="181"/>
    <cellStyle name="40% - Accent5 2 2 2" xfId="540"/>
    <cellStyle name="40% - Accent5 2 2 2 2" xfId="1273"/>
    <cellStyle name="40% - Accent5 2 2 2 2 2" xfId="3483"/>
    <cellStyle name="40% - Accent5 2 2 2 2 2 2" xfId="7889"/>
    <cellStyle name="40% - Accent5 2 2 2 2 3" xfId="5679"/>
    <cellStyle name="40% - Accent5 2 2 2 3" xfId="2005"/>
    <cellStyle name="40% - Accent5 2 2 2 3 2" xfId="4215"/>
    <cellStyle name="40% - Accent5 2 2 2 3 2 2" xfId="8621"/>
    <cellStyle name="40% - Accent5 2 2 2 3 3" xfId="6411"/>
    <cellStyle name="40% - Accent5 2 2 2 4" xfId="2751"/>
    <cellStyle name="40% - Accent5 2 2 2 4 2" xfId="7157"/>
    <cellStyle name="40% - Accent5 2 2 2 5" xfId="4947"/>
    <cellStyle name="40% - Accent5 2 2 3" xfId="914"/>
    <cellStyle name="40% - Accent5 2 2 3 2" xfId="3124"/>
    <cellStyle name="40% - Accent5 2 2 3 2 2" xfId="7530"/>
    <cellStyle name="40% - Accent5 2 2 3 3" xfId="5320"/>
    <cellStyle name="40% - Accent5 2 2 4" xfId="1646"/>
    <cellStyle name="40% - Accent5 2 2 4 2" xfId="3856"/>
    <cellStyle name="40% - Accent5 2 2 4 2 2" xfId="8262"/>
    <cellStyle name="40% - Accent5 2 2 4 3" xfId="6052"/>
    <cellStyle name="40% - Accent5 2 2 5" xfId="2392"/>
    <cellStyle name="40% - Accent5 2 2 5 2" xfId="6798"/>
    <cellStyle name="40% - Accent5 2 2 6" xfId="4588"/>
    <cellStyle name="40% - Accent5 2 3" xfId="424"/>
    <cellStyle name="40% - Accent5 2 3 2" xfId="1157"/>
    <cellStyle name="40% - Accent5 2 3 2 2" xfId="3367"/>
    <cellStyle name="40% - Accent5 2 3 2 2 2" xfId="7773"/>
    <cellStyle name="40% - Accent5 2 3 2 3" xfId="5563"/>
    <cellStyle name="40% - Accent5 2 3 3" xfId="1889"/>
    <cellStyle name="40% - Accent5 2 3 3 2" xfId="4099"/>
    <cellStyle name="40% - Accent5 2 3 3 2 2" xfId="8505"/>
    <cellStyle name="40% - Accent5 2 3 3 3" xfId="6295"/>
    <cellStyle name="40% - Accent5 2 3 4" xfId="2635"/>
    <cellStyle name="40% - Accent5 2 3 4 2" xfId="7041"/>
    <cellStyle name="40% - Accent5 2 3 5" xfId="4831"/>
    <cellStyle name="40% - Accent5 2 4" xfId="798"/>
    <cellStyle name="40% - Accent5 2 4 2" xfId="3008"/>
    <cellStyle name="40% - Accent5 2 4 2 2" xfId="7414"/>
    <cellStyle name="40% - Accent5 2 4 3" xfId="5204"/>
    <cellStyle name="40% - Accent5 2 5" xfId="1530"/>
    <cellStyle name="40% - Accent5 2 5 2" xfId="3740"/>
    <cellStyle name="40% - Accent5 2 5 2 2" xfId="8146"/>
    <cellStyle name="40% - Accent5 2 5 3" xfId="5936"/>
    <cellStyle name="40% - Accent5 2 6" xfId="2276"/>
    <cellStyle name="40% - Accent5 2 6 2" xfId="6682"/>
    <cellStyle name="40% - Accent5 2 7" xfId="4472"/>
    <cellStyle name="40% - Accent5 20" xfId="765"/>
    <cellStyle name="40% - Accent5 20 2" xfId="1498"/>
    <cellStyle name="40% - Accent5 20 2 2" xfId="3708"/>
    <cellStyle name="40% - Accent5 20 2 2 2" xfId="8114"/>
    <cellStyle name="40% - Accent5 20 2 3" xfId="5904"/>
    <cellStyle name="40% - Accent5 20 3" xfId="2230"/>
    <cellStyle name="40% - Accent5 20 3 2" xfId="4440"/>
    <cellStyle name="40% - Accent5 20 3 2 2" xfId="8846"/>
    <cellStyle name="40% - Accent5 20 3 3" xfId="6636"/>
    <cellStyle name="40% - Accent5 20 4" xfId="2976"/>
    <cellStyle name="40% - Accent5 20 4 2" xfId="7382"/>
    <cellStyle name="40% - Accent5 20 5" xfId="5172"/>
    <cellStyle name="40% - Accent5 21" xfId="782"/>
    <cellStyle name="40% - Accent5 21 2" xfId="2992"/>
    <cellStyle name="40% - Accent5 21 2 2" xfId="7398"/>
    <cellStyle name="40% - Accent5 21 3" xfId="5188"/>
    <cellStyle name="40% - Accent5 22" xfId="1514"/>
    <cellStyle name="40% - Accent5 22 2" xfId="3724"/>
    <cellStyle name="40% - Accent5 22 2 2" xfId="8130"/>
    <cellStyle name="40% - Accent5 22 3" xfId="5920"/>
    <cellStyle name="40% - Accent5 23" xfId="2244"/>
    <cellStyle name="40% - Accent5 23 2" xfId="6650"/>
    <cellStyle name="40% - Accent5 24" xfId="2260"/>
    <cellStyle name="40% - Accent5 24 2" xfId="6666"/>
    <cellStyle name="40% - Accent5 25" xfId="4456"/>
    <cellStyle name="40% - Accent5 3" xfId="77"/>
    <cellStyle name="40% - Accent5 3 2" xfId="195"/>
    <cellStyle name="40% - Accent5 3 2 2" xfId="554"/>
    <cellStyle name="40% - Accent5 3 2 2 2" xfId="1287"/>
    <cellStyle name="40% - Accent5 3 2 2 2 2" xfId="3497"/>
    <cellStyle name="40% - Accent5 3 2 2 2 2 2" xfId="7903"/>
    <cellStyle name="40% - Accent5 3 2 2 2 3" xfId="5693"/>
    <cellStyle name="40% - Accent5 3 2 2 3" xfId="2019"/>
    <cellStyle name="40% - Accent5 3 2 2 3 2" xfId="4229"/>
    <cellStyle name="40% - Accent5 3 2 2 3 2 2" xfId="8635"/>
    <cellStyle name="40% - Accent5 3 2 2 3 3" xfId="6425"/>
    <cellStyle name="40% - Accent5 3 2 2 4" xfId="2765"/>
    <cellStyle name="40% - Accent5 3 2 2 4 2" xfId="7171"/>
    <cellStyle name="40% - Accent5 3 2 2 5" xfId="4961"/>
    <cellStyle name="40% - Accent5 3 2 3" xfId="928"/>
    <cellStyle name="40% - Accent5 3 2 3 2" xfId="3138"/>
    <cellStyle name="40% - Accent5 3 2 3 2 2" xfId="7544"/>
    <cellStyle name="40% - Accent5 3 2 3 3" xfId="5334"/>
    <cellStyle name="40% - Accent5 3 2 4" xfId="1660"/>
    <cellStyle name="40% - Accent5 3 2 4 2" xfId="3870"/>
    <cellStyle name="40% - Accent5 3 2 4 2 2" xfId="8276"/>
    <cellStyle name="40% - Accent5 3 2 4 3" xfId="6066"/>
    <cellStyle name="40% - Accent5 3 2 5" xfId="2406"/>
    <cellStyle name="40% - Accent5 3 2 5 2" xfId="6812"/>
    <cellStyle name="40% - Accent5 3 2 6" xfId="4602"/>
    <cellStyle name="40% - Accent5 3 3" xfId="438"/>
    <cellStyle name="40% - Accent5 3 3 2" xfId="1171"/>
    <cellStyle name="40% - Accent5 3 3 2 2" xfId="3381"/>
    <cellStyle name="40% - Accent5 3 3 2 2 2" xfId="7787"/>
    <cellStyle name="40% - Accent5 3 3 2 3" xfId="5577"/>
    <cellStyle name="40% - Accent5 3 3 3" xfId="1903"/>
    <cellStyle name="40% - Accent5 3 3 3 2" xfId="4113"/>
    <cellStyle name="40% - Accent5 3 3 3 2 2" xfId="8519"/>
    <cellStyle name="40% - Accent5 3 3 3 3" xfId="6309"/>
    <cellStyle name="40% - Accent5 3 3 4" xfId="2649"/>
    <cellStyle name="40% - Accent5 3 3 4 2" xfId="7055"/>
    <cellStyle name="40% - Accent5 3 3 5" xfId="4845"/>
    <cellStyle name="40% - Accent5 3 4" xfId="812"/>
    <cellStyle name="40% - Accent5 3 4 2" xfId="3022"/>
    <cellStyle name="40% - Accent5 3 4 2 2" xfId="7428"/>
    <cellStyle name="40% - Accent5 3 4 3" xfId="5218"/>
    <cellStyle name="40% - Accent5 3 5" xfId="1544"/>
    <cellStyle name="40% - Accent5 3 5 2" xfId="3754"/>
    <cellStyle name="40% - Accent5 3 5 2 2" xfId="8160"/>
    <cellStyle name="40% - Accent5 3 5 3" xfId="5950"/>
    <cellStyle name="40% - Accent5 3 6" xfId="2290"/>
    <cellStyle name="40% - Accent5 3 6 2" xfId="6696"/>
    <cellStyle name="40% - Accent5 3 7" xfId="4486"/>
    <cellStyle name="40% - Accent5 4" xfId="91"/>
    <cellStyle name="40% - Accent5 4 2" xfId="209"/>
    <cellStyle name="40% - Accent5 4 2 2" xfId="568"/>
    <cellStyle name="40% - Accent5 4 2 2 2" xfId="1301"/>
    <cellStyle name="40% - Accent5 4 2 2 2 2" xfId="3511"/>
    <cellStyle name="40% - Accent5 4 2 2 2 2 2" xfId="7917"/>
    <cellStyle name="40% - Accent5 4 2 2 2 3" xfId="5707"/>
    <cellStyle name="40% - Accent5 4 2 2 3" xfId="2033"/>
    <cellStyle name="40% - Accent5 4 2 2 3 2" xfId="4243"/>
    <cellStyle name="40% - Accent5 4 2 2 3 2 2" xfId="8649"/>
    <cellStyle name="40% - Accent5 4 2 2 3 3" xfId="6439"/>
    <cellStyle name="40% - Accent5 4 2 2 4" xfId="2779"/>
    <cellStyle name="40% - Accent5 4 2 2 4 2" xfId="7185"/>
    <cellStyle name="40% - Accent5 4 2 2 5" xfId="4975"/>
    <cellStyle name="40% - Accent5 4 2 3" xfId="942"/>
    <cellStyle name="40% - Accent5 4 2 3 2" xfId="3152"/>
    <cellStyle name="40% - Accent5 4 2 3 2 2" xfId="7558"/>
    <cellStyle name="40% - Accent5 4 2 3 3" xfId="5348"/>
    <cellStyle name="40% - Accent5 4 2 4" xfId="1674"/>
    <cellStyle name="40% - Accent5 4 2 4 2" xfId="3884"/>
    <cellStyle name="40% - Accent5 4 2 4 2 2" xfId="8290"/>
    <cellStyle name="40% - Accent5 4 2 4 3" xfId="6080"/>
    <cellStyle name="40% - Accent5 4 2 5" xfId="2420"/>
    <cellStyle name="40% - Accent5 4 2 5 2" xfId="6826"/>
    <cellStyle name="40% - Accent5 4 2 6" xfId="4616"/>
    <cellStyle name="40% - Accent5 4 3" xfId="452"/>
    <cellStyle name="40% - Accent5 4 3 2" xfId="1185"/>
    <cellStyle name="40% - Accent5 4 3 2 2" xfId="3395"/>
    <cellStyle name="40% - Accent5 4 3 2 2 2" xfId="7801"/>
    <cellStyle name="40% - Accent5 4 3 2 3" xfId="5591"/>
    <cellStyle name="40% - Accent5 4 3 3" xfId="1917"/>
    <cellStyle name="40% - Accent5 4 3 3 2" xfId="4127"/>
    <cellStyle name="40% - Accent5 4 3 3 2 2" xfId="8533"/>
    <cellStyle name="40% - Accent5 4 3 3 3" xfId="6323"/>
    <cellStyle name="40% - Accent5 4 3 4" xfId="2663"/>
    <cellStyle name="40% - Accent5 4 3 4 2" xfId="7069"/>
    <cellStyle name="40% - Accent5 4 3 5" xfId="4859"/>
    <cellStyle name="40% - Accent5 4 4" xfId="826"/>
    <cellStyle name="40% - Accent5 4 4 2" xfId="3036"/>
    <cellStyle name="40% - Accent5 4 4 2 2" xfId="7442"/>
    <cellStyle name="40% - Accent5 4 4 3" xfId="5232"/>
    <cellStyle name="40% - Accent5 4 5" xfId="1558"/>
    <cellStyle name="40% - Accent5 4 5 2" xfId="3768"/>
    <cellStyle name="40% - Accent5 4 5 2 2" xfId="8174"/>
    <cellStyle name="40% - Accent5 4 5 3" xfId="5964"/>
    <cellStyle name="40% - Accent5 4 6" xfId="2304"/>
    <cellStyle name="40% - Accent5 4 6 2" xfId="6710"/>
    <cellStyle name="40% - Accent5 4 7" xfId="4500"/>
    <cellStyle name="40% - Accent5 5" xfId="105"/>
    <cellStyle name="40% - Accent5 5 2" xfId="223"/>
    <cellStyle name="40% - Accent5 5 2 2" xfId="582"/>
    <cellStyle name="40% - Accent5 5 2 2 2" xfId="1315"/>
    <cellStyle name="40% - Accent5 5 2 2 2 2" xfId="3525"/>
    <cellStyle name="40% - Accent5 5 2 2 2 2 2" xfId="7931"/>
    <cellStyle name="40% - Accent5 5 2 2 2 3" xfId="5721"/>
    <cellStyle name="40% - Accent5 5 2 2 3" xfId="2047"/>
    <cellStyle name="40% - Accent5 5 2 2 3 2" xfId="4257"/>
    <cellStyle name="40% - Accent5 5 2 2 3 2 2" xfId="8663"/>
    <cellStyle name="40% - Accent5 5 2 2 3 3" xfId="6453"/>
    <cellStyle name="40% - Accent5 5 2 2 4" xfId="2793"/>
    <cellStyle name="40% - Accent5 5 2 2 4 2" xfId="7199"/>
    <cellStyle name="40% - Accent5 5 2 2 5" xfId="4989"/>
    <cellStyle name="40% - Accent5 5 2 3" xfId="956"/>
    <cellStyle name="40% - Accent5 5 2 3 2" xfId="3166"/>
    <cellStyle name="40% - Accent5 5 2 3 2 2" xfId="7572"/>
    <cellStyle name="40% - Accent5 5 2 3 3" xfId="5362"/>
    <cellStyle name="40% - Accent5 5 2 4" xfId="1688"/>
    <cellStyle name="40% - Accent5 5 2 4 2" xfId="3898"/>
    <cellStyle name="40% - Accent5 5 2 4 2 2" xfId="8304"/>
    <cellStyle name="40% - Accent5 5 2 4 3" xfId="6094"/>
    <cellStyle name="40% - Accent5 5 2 5" xfId="2434"/>
    <cellStyle name="40% - Accent5 5 2 5 2" xfId="6840"/>
    <cellStyle name="40% - Accent5 5 2 6" xfId="4630"/>
    <cellStyle name="40% - Accent5 5 3" xfId="466"/>
    <cellStyle name="40% - Accent5 5 3 2" xfId="1199"/>
    <cellStyle name="40% - Accent5 5 3 2 2" xfId="3409"/>
    <cellStyle name="40% - Accent5 5 3 2 2 2" xfId="7815"/>
    <cellStyle name="40% - Accent5 5 3 2 3" xfId="5605"/>
    <cellStyle name="40% - Accent5 5 3 3" xfId="1931"/>
    <cellStyle name="40% - Accent5 5 3 3 2" xfId="4141"/>
    <cellStyle name="40% - Accent5 5 3 3 2 2" xfId="8547"/>
    <cellStyle name="40% - Accent5 5 3 3 3" xfId="6337"/>
    <cellStyle name="40% - Accent5 5 3 4" xfId="2677"/>
    <cellStyle name="40% - Accent5 5 3 4 2" xfId="7083"/>
    <cellStyle name="40% - Accent5 5 3 5" xfId="4873"/>
    <cellStyle name="40% - Accent5 5 4" xfId="840"/>
    <cellStyle name="40% - Accent5 5 4 2" xfId="3050"/>
    <cellStyle name="40% - Accent5 5 4 2 2" xfId="7456"/>
    <cellStyle name="40% - Accent5 5 4 3" xfId="5246"/>
    <cellStyle name="40% - Accent5 5 5" xfId="1572"/>
    <cellStyle name="40% - Accent5 5 5 2" xfId="3782"/>
    <cellStyle name="40% - Accent5 5 5 2 2" xfId="8188"/>
    <cellStyle name="40% - Accent5 5 5 3" xfId="5978"/>
    <cellStyle name="40% - Accent5 5 6" xfId="2318"/>
    <cellStyle name="40% - Accent5 5 6 2" xfId="6724"/>
    <cellStyle name="40% - Accent5 5 7" xfId="4514"/>
    <cellStyle name="40% - Accent5 6" xfId="119"/>
    <cellStyle name="40% - Accent5 6 2" xfId="237"/>
    <cellStyle name="40% - Accent5 6 2 2" xfId="596"/>
    <cellStyle name="40% - Accent5 6 2 2 2" xfId="1329"/>
    <cellStyle name="40% - Accent5 6 2 2 2 2" xfId="3539"/>
    <cellStyle name="40% - Accent5 6 2 2 2 2 2" xfId="7945"/>
    <cellStyle name="40% - Accent5 6 2 2 2 3" xfId="5735"/>
    <cellStyle name="40% - Accent5 6 2 2 3" xfId="2061"/>
    <cellStyle name="40% - Accent5 6 2 2 3 2" xfId="4271"/>
    <cellStyle name="40% - Accent5 6 2 2 3 2 2" xfId="8677"/>
    <cellStyle name="40% - Accent5 6 2 2 3 3" xfId="6467"/>
    <cellStyle name="40% - Accent5 6 2 2 4" xfId="2807"/>
    <cellStyle name="40% - Accent5 6 2 2 4 2" xfId="7213"/>
    <cellStyle name="40% - Accent5 6 2 2 5" xfId="5003"/>
    <cellStyle name="40% - Accent5 6 2 3" xfId="970"/>
    <cellStyle name="40% - Accent5 6 2 3 2" xfId="3180"/>
    <cellStyle name="40% - Accent5 6 2 3 2 2" xfId="7586"/>
    <cellStyle name="40% - Accent5 6 2 3 3" xfId="5376"/>
    <cellStyle name="40% - Accent5 6 2 4" xfId="1702"/>
    <cellStyle name="40% - Accent5 6 2 4 2" xfId="3912"/>
    <cellStyle name="40% - Accent5 6 2 4 2 2" xfId="8318"/>
    <cellStyle name="40% - Accent5 6 2 4 3" xfId="6108"/>
    <cellStyle name="40% - Accent5 6 2 5" xfId="2448"/>
    <cellStyle name="40% - Accent5 6 2 5 2" xfId="6854"/>
    <cellStyle name="40% - Accent5 6 2 6" xfId="4644"/>
    <cellStyle name="40% - Accent5 6 3" xfId="480"/>
    <cellStyle name="40% - Accent5 6 3 2" xfId="1213"/>
    <cellStyle name="40% - Accent5 6 3 2 2" xfId="3423"/>
    <cellStyle name="40% - Accent5 6 3 2 2 2" xfId="7829"/>
    <cellStyle name="40% - Accent5 6 3 2 3" xfId="5619"/>
    <cellStyle name="40% - Accent5 6 3 3" xfId="1945"/>
    <cellStyle name="40% - Accent5 6 3 3 2" xfId="4155"/>
    <cellStyle name="40% - Accent5 6 3 3 2 2" xfId="8561"/>
    <cellStyle name="40% - Accent5 6 3 3 3" xfId="6351"/>
    <cellStyle name="40% - Accent5 6 3 4" xfId="2691"/>
    <cellStyle name="40% - Accent5 6 3 4 2" xfId="7097"/>
    <cellStyle name="40% - Accent5 6 3 5" xfId="4887"/>
    <cellStyle name="40% - Accent5 6 4" xfId="854"/>
    <cellStyle name="40% - Accent5 6 4 2" xfId="3064"/>
    <cellStyle name="40% - Accent5 6 4 2 2" xfId="7470"/>
    <cellStyle name="40% - Accent5 6 4 3" xfId="5260"/>
    <cellStyle name="40% - Accent5 6 5" xfId="1586"/>
    <cellStyle name="40% - Accent5 6 5 2" xfId="3796"/>
    <cellStyle name="40% - Accent5 6 5 2 2" xfId="8202"/>
    <cellStyle name="40% - Accent5 6 5 3" xfId="5992"/>
    <cellStyle name="40% - Accent5 6 6" xfId="2332"/>
    <cellStyle name="40% - Accent5 6 6 2" xfId="6738"/>
    <cellStyle name="40% - Accent5 6 7" xfId="4528"/>
    <cellStyle name="40% - Accent5 7" xfId="133"/>
    <cellStyle name="40% - Accent5 7 2" xfId="251"/>
    <cellStyle name="40% - Accent5 7 2 2" xfId="610"/>
    <cellStyle name="40% - Accent5 7 2 2 2" xfId="1343"/>
    <cellStyle name="40% - Accent5 7 2 2 2 2" xfId="3553"/>
    <cellStyle name="40% - Accent5 7 2 2 2 2 2" xfId="7959"/>
    <cellStyle name="40% - Accent5 7 2 2 2 3" xfId="5749"/>
    <cellStyle name="40% - Accent5 7 2 2 3" xfId="2075"/>
    <cellStyle name="40% - Accent5 7 2 2 3 2" xfId="4285"/>
    <cellStyle name="40% - Accent5 7 2 2 3 2 2" xfId="8691"/>
    <cellStyle name="40% - Accent5 7 2 2 3 3" xfId="6481"/>
    <cellStyle name="40% - Accent5 7 2 2 4" xfId="2821"/>
    <cellStyle name="40% - Accent5 7 2 2 4 2" xfId="7227"/>
    <cellStyle name="40% - Accent5 7 2 2 5" xfId="5017"/>
    <cellStyle name="40% - Accent5 7 2 3" xfId="984"/>
    <cellStyle name="40% - Accent5 7 2 3 2" xfId="3194"/>
    <cellStyle name="40% - Accent5 7 2 3 2 2" xfId="7600"/>
    <cellStyle name="40% - Accent5 7 2 3 3" xfId="5390"/>
    <cellStyle name="40% - Accent5 7 2 4" xfId="1716"/>
    <cellStyle name="40% - Accent5 7 2 4 2" xfId="3926"/>
    <cellStyle name="40% - Accent5 7 2 4 2 2" xfId="8332"/>
    <cellStyle name="40% - Accent5 7 2 4 3" xfId="6122"/>
    <cellStyle name="40% - Accent5 7 2 5" xfId="2462"/>
    <cellStyle name="40% - Accent5 7 2 5 2" xfId="6868"/>
    <cellStyle name="40% - Accent5 7 2 6" xfId="4658"/>
    <cellStyle name="40% - Accent5 7 3" xfId="494"/>
    <cellStyle name="40% - Accent5 7 3 2" xfId="1227"/>
    <cellStyle name="40% - Accent5 7 3 2 2" xfId="3437"/>
    <cellStyle name="40% - Accent5 7 3 2 2 2" xfId="7843"/>
    <cellStyle name="40% - Accent5 7 3 2 3" xfId="5633"/>
    <cellStyle name="40% - Accent5 7 3 3" xfId="1959"/>
    <cellStyle name="40% - Accent5 7 3 3 2" xfId="4169"/>
    <cellStyle name="40% - Accent5 7 3 3 2 2" xfId="8575"/>
    <cellStyle name="40% - Accent5 7 3 3 3" xfId="6365"/>
    <cellStyle name="40% - Accent5 7 3 4" xfId="2705"/>
    <cellStyle name="40% - Accent5 7 3 4 2" xfId="7111"/>
    <cellStyle name="40% - Accent5 7 3 5" xfId="4901"/>
    <cellStyle name="40% - Accent5 7 4" xfId="868"/>
    <cellStyle name="40% - Accent5 7 4 2" xfId="3078"/>
    <cellStyle name="40% - Accent5 7 4 2 2" xfId="7484"/>
    <cellStyle name="40% - Accent5 7 4 3" xfId="5274"/>
    <cellStyle name="40% - Accent5 7 5" xfId="1600"/>
    <cellStyle name="40% - Accent5 7 5 2" xfId="3810"/>
    <cellStyle name="40% - Accent5 7 5 2 2" xfId="8216"/>
    <cellStyle name="40% - Accent5 7 5 3" xfId="6006"/>
    <cellStyle name="40% - Accent5 7 6" xfId="2346"/>
    <cellStyle name="40% - Accent5 7 6 2" xfId="6752"/>
    <cellStyle name="40% - Accent5 7 7" xfId="4542"/>
    <cellStyle name="40% - Accent5 8" xfId="147"/>
    <cellStyle name="40% - Accent5 8 2" xfId="265"/>
    <cellStyle name="40% - Accent5 8 2 2" xfId="624"/>
    <cellStyle name="40% - Accent5 8 2 2 2" xfId="1357"/>
    <cellStyle name="40% - Accent5 8 2 2 2 2" xfId="3567"/>
    <cellStyle name="40% - Accent5 8 2 2 2 2 2" xfId="7973"/>
    <cellStyle name="40% - Accent5 8 2 2 2 3" xfId="5763"/>
    <cellStyle name="40% - Accent5 8 2 2 3" xfId="2089"/>
    <cellStyle name="40% - Accent5 8 2 2 3 2" xfId="4299"/>
    <cellStyle name="40% - Accent5 8 2 2 3 2 2" xfId="8705"/>
    <cellStyle name="40% - Accent5 8 2 2 3 3" xfId="6495"/>
    <cellStyle name="40% - Accent5 8 2 2 4" xfId="2835"/>
    <cellStyle name="40% - Accent5 8 2 2 4 2" xfId="7241"/>
    <cellStyle name="40% - Accent5 8 2 2 5" xfId="5031"/>
    <cellStyle name="40% - Accent5 8 2 3" xfId="998"/>
    <cellStyle name="40% - Accent5 8 2 3 2" xfId="3208"/>
    <cellStyle name="40% - Accent5 8 2 3 2 2" xfId="7614"/>
    <cellStyle name="40% - Accent5 8 2 3 3" xfId="5404"/>
    <cellStyle name="40% - Accent5 8 2 4" xfId="1730"/>
    <cellStyle name="40% - Accent5 8 2 4 2" xfId="3940"/>
    <cellStyle name="40% - Accent5 8 2 4 2 2" xfId="8346"/>
    <cellStyle name="40% - Accent5 8 2 4 3" xfId="6136"/>
    <cellStyle name="40% - Accent5 8 2 5" xfId="2476"/>
    <cellStyle name="40% - Accent5 8 2 5 2" xfId="6882"/>
    <cellStyle name="40% - Accent5 8 2 6" xfId="4672"/>
    <cellStyle name="40% - Accent5 8 3" xfId="508"/>
    <cellStyle name="40% - Accent5 8 3 2" xfId="1241"/>
    <cellStyle name="40% - Accent5 8 3 2 2" xfId="3451"/>
    <cellStyle name="40% - Accent5 8 3 2 2 2" xfId="7857"/>
    <cellStyle name="40% - Accent5 8 3 2 3" xfId="5647"/>
    <cellStyle name="40% - Accent5 8 3 3" xfId="1973"/>
    <cellStyle name="40% - Accent5 8 3 3 2" xfId="4183"/>
    <cellStyle name="40% - Accent5 8 3 3 2 2" xfId="8589"/>
    <cellStyle name="40% - Accent5 8 3 3 3" xfId="6379"/>
    <cellStyle name="40% - Accent5 8 3 4" xfId="2719"/>
    <cellStyle name="40% - Accent5 8 3 4 2" xfId="7125"/>
    <cellStyle name="40% - Accent5 8 3 5" xfId="4915"/>
    <cellStyle name="40% - Accent5 8 4" xfId="882"/>
    <cellStyle name="40% - Accent5 8 4 2" xfId="3092"/>
    <cellStyle name="40% - Accent5 8 4 2 2" xfId="7498"/>
    <cellStyle name="40% - Accent5 8 4 3" xfId="5288"/>
    <cellStyle name="40% - Accent5 8 5" xfId="1614"/>
    <cellStyle name="40% - Accent5 8 5 2" xfId="3824"/>
    <cellStyle name="40% - Accent5 8 5 2 2" xfId="8230"/>
    <cellStyle name="40% - Accent5 8 5 3" xfId="6020"/>
    <cellStyle name="40% - Accent5 8 6" xfId="2360"/>
    <cellStyle name="40% - Accent5 8 6 2" xfId="6766"/>
    <cellStyle name="40% - Accent5 8 7" xfId="4556"/>
    <cellStyle name="40% - Accent5 9" xfId="165"/>
    <cellStyle name="40% - Accent5 9 2" xfId="524"/>
    <cellStyle name="40% - Accent5 9 2 2" xfId="1257"/>
    <cellStyle name="40% - Accent5 9 2 2 2" xfId="3467"/>
    <cellStyle name="40% - Accent5 9 2 2 2 2" xfId="7873"/>
    <cellStyle name="40% - Accent5 9 2 2 3" xfId="5663"/>
    <cellStyle name="40% - Accent5 9 2 3" xfId="1989"/>
    <cellStyle name="40% - Accent5 9 2 3 2" xfId="4199"/>
    <cellStyle name="40% - Accent5 9 2 3 2 2" xfId="8605"/>
    <cellStyle name="40% - Accent5 9 2 3 3" xfId="6395"/>
    <cellStyle name="40% - Accent5 9 2 4" xfId="2735"/>
    <cellStyle name="40% - Accent5 9 2 4 2" xfId="7141"/>
    <cellStyle name="40% - Accent5 9 2 5" xfId="4931"/>
    <cellStyle name="40% - Accent5 9 3" xfId="898"/>
    <cellStyle name="40% - Accent5 9 3 2" xfId="3108"/>
    <cellStyle name="40% - Accent5 9 3 2 2" xfId="7514"/>
    <cellStyle name="40% - Accent5 9 3 3" xfId="5304"/>
    <cellStyle name="40% - Accent5 9 4" xfId="1630"/>
    <cellStyle name="40% - Accent5 9 4 2" xfId="3840"/>
    <cellStyle name="40% - Accent5 9 4 2 2" xfId="8246"/>
    <cellStyle name="40% - Accent5 9 4 3" xfId="6036"/>
    <cellStyle name="40% - Accent5 9 5" xfId="2376"/>
    <cellStyle name="40% - Accent5 9 5 2" xfId="6782"/>
    <cellStyle name="40% - Accent5 9 6" xfId="4572"/>
    <cellStyle name="40% - Accent6" xfId="41" builtinId="51" customBuiltin="1"/>
    <cellStyle name="40% - Accent6 10" xfId="281"/>
    <cellStyle name="40% - Accent6 10 2" xfId="640"/>
    <cellStyle name="40% - Accent6 10 2 2" xfId="1373"/>
    <cellStyle name="40% - Accent6 10 2 2 2" xfId="3583"/>
    <cellStyle name="40% - Accent6 10 2 2 2 2" xfId="7989"/>
    <cellStyle name="40% - Accent6 10 2 2 3" xfId="5779"/>
    <cellStyle name="40% - Accent6 10 2 3" xfId="2105"/>
    <cellStyle name="40% - Accent6 10 2 3 2" xfId="4315"/>
    <cellStyle name="40% - Accent6 10 2 3 2 2" xfId="8721"/>
    <cellStyle name="40% - Accent6 10 2 3 3" xfId="6511"/>
    <cellStyle name="40% - Accent6 10 2 4" xfId="2851"/>
    <cellStyle name="40% - Accent6 10 2 4 2" xfId="7257"/>
    <cellStyle name="40% - Accent6 10 2 5" xfId="5047"/>
    <cellStyle name="40% - Accent6 10 3" xfId="1014"/>
    <cellStyle name="40% - Accent6 10 3 2" xfId="3224"/>
    <cellStyle name="40% - Accent6 10 3 2 2" xfId="7630"/>
    <cellStyle name="40% - Accent6 10 3 3" xfId="5420"/>
    <cellStyle name="40% - Accent6 10 4" xfId="1746"/>
    <cellStyle name="40% - Accent6 10 4 2" xfId="3956"/>
    <cellStyle name="40% - Accent6 10 4 2 2" xfId="8362"/>
    <cellStyle name="40% - Accent6 10 4 3" xfId="6152"/>
    <cellStyle name="40% - Accent6 10 5" xfId="2492"/>
    <cellStyle name="40% - Accent6 10 5 2" xfId="6898"/>
    <cellStyle name="40% - Accent6 10 6" xfId="4688"/>
    <cellStyle name="40% - Accent6 11" xfId="295"/>
    <cellStyle name="40% - Accent6 11 2" xfId="654"/>
    <cellStyle name="40% - Accent6 11 2 2" xfId="1387"/>
    <cellStyle name="40% - Accent6 11 2 2 2" xfId="3597"/>
    <cellStyle name="40% - Accent6 11 2 2 2 2" xfId="8003"/>
    <cellStyle name="40% - Accent6 11 2 2 3" xfId="5793"/>
    <cellStyle name="40% - Accent6 11 2 3" xfId="2119"/>
    <cellStyle name="40% - Accent6 11 2 3 2" xfId="4329"/>
    <cellStyle name="40% - Accent6 11 2 3 2 2" xfId="8735"/>
    <cellStyle name="40% - Accent6 11 2 3 3" xfId="6525"/>
    <cellStyle name="40% - Accent6 11 2 4" xfId="2865"/>
    <cellStyle name="40% - Accent6 11 2 4 2" xfId="7271"/>
    <cellStyle name="40% - Accent6 11 2 5" xfId="5061"/>
    <cellStyle name="40% - Accent6 11 3" xfId="1028"/>
    <cellStyle name="40% - Accent6 11 3 2" xfId="3238"/>
    <cellStyle name="40% - Accent6 11 3 2 2" xfId="7644"/>
    <cellStyle name="40% - Accent6 11 3 3" xfId="5434"/>
    <cellStyle name="40% - Accent6 11 4" xfId="1760"/>
    <cellStyle name="40% - Accent6 11 4 2" xfId="3970"/>
    <cellStyle name="40% - Accent6 11 4 2 2" xfId="8376"/>
    <cellStyle name="40% - Accent6 11 4 3" xfId="6166"/>
    <cellStyle name="40% - Accent6 11 5" xfId="2506"/>
    <cellStyle name="40% - Accent6 11 5 2" xfId="6912"/>
    <cellStyle name="40% - Accent6 11 6" xfId="4702"/>
    <cellStyle name="40% - Accent6 12" xfId="309"/>
    <cellStyle name="40% - Accent6 12 2" xfId="668"/>
    <cellStyle name="40% - Accent6 12 2 2" xfId="1401"/>
    <cellStyle name="40% - Accent6 12 2 2 2" xfId="3611"/>
    <cellStyle name="40% - Accent6 12 2 2 2 2" xfId="8017"/>
    <cellStyle name="40% - Accent6 12 2 2 3" xfId="5807"/>
    <cellStyle name="40% - Accent6 12 2 3" xfId="2133"/>
    <cellStyle name="40% - Accent6 12 2 3 2" xfId="4343"/>
    <cellStyle name="40% - Accent6 12 2 3 2 2" xfId="8749"/>
    <cellStyle name="40% - Accent6 12 2 3 3" xfId="6539"/>
    <cellStyle name="40% - Accent6 12 2 4" xfId="2879"/>
    <cellStyle name="40% - Accent6 12 2 4 2" xfId="7285"/>
    <cellStyle name="40% - Accent6 12 2 5" xfId="5075"/>
    <cellStyle name="40% - Accent6 12 3" xfId="1042"/>
    <cellStyle name="40% - Accent6 12 3 2" xfId="3252"/>
    <cellStyle name="40% - Accent6 12 3 2 2" xfId="7658"/>
    <cellStyle name="40% - Accent6 12 3 3" xfId="5448"/>
    <cellStyle name="40% - Accent6 12 4" xfId="1774"/>
    <cellStyle name="40% - Accent6 12 4 2" xfId="3984"/>
    <cellStyle name="40% - Accent6 12 4 2 2" xfId="8390"/>
    <cellStyle name="40% - Accent6 12 4 3" xfId="6180"/>
    <cellStyle name="40% - Accent6 12 5" xfId="2520"/>
    <cellStyle name="40% - Accent6 12 5 2" xfId="6926"/>
    <cellStyle name="40% - Accent6 12 6" xfId="4716"/>
    <cellStyle name="40% - Accent6 13" xfId="323"/>
    <cellStyle name="40% - Accent6 13 2" xfId="682"/>
    <cellStyle name="40% - Accent6 13 2 2" xfId="1415"/>
    <cellStyle name="40% - Accent6 13 2 2 2" xfId="3625"/>
    <cellStyle name="40% - Accent6 13 2 2 2 2" xfId="8031"/>
    <cellStyle name="40% - Accent6 13 2 2 3" xfId="5821"/>
    <cellStyle name="40% - Accent6 13 2 3" xfId="2147"/>
    <cellStyle name="40% - Accent6 13 2 3 2" xfId="4357"/>
    <cellStyle name="40% - Accent6 13 2 3 2 2" xfId="8763"/>
    <cellStyle name="40% - Accent6 13 2 3 3" xfId="6553"/>
    <cellStyle name="40% - Accent6 13 2 4" xfId="2893"/>
    <cellStyle name="40% - Accent6 13 2 4 2" xfId="7299"/>
    <cellStyle name="40% - Accent6 13 2 5" xfId="5089"/>
    <cellStyle name="40% - Accent6 13 3" xfId="1056"/>
    <cellStyle name="40% - Accent6 13 3 2" xfId="3266"/>
    <cellStyle name="40% - Accent6 13 3 2 2" xfId="7672"/>
    <cellStyle name="40% - Accent6 13 3 3" xfId="5462"/>
    <cellStyle name="40% - Accent6 13 4" xfId="1788"/>
    <cellStyle name="40% - Accent6 13 4 2" xfId="3998"/>
    <cellStyle name="40% - Accent6 13 4 2 2" xfId="8404"/>
    <cellStyle name="40% - Accent6 13 4 3" xfId="6194"/>
    <cellStyle name="40% - Accent6 13 5" xfId="2534"/>
    <cellStyle name="40% - Accent6 13 5 2" xfId="6940"/>
    <cellStyle name="40% - Accent6 13 6" xfId="4730"/>
    <cellStyle name="40% - Accent6 14" xfId="337"/>
    <cellStyle name="40% - Accent6 14 2" xfId="696"/>
    <cellStyle name="40% - Accent6 14 2 2" xfId="1429"/>
    <cellStyle name="40% - Accent6 14 2 2 2" xfId="3639"/>
    <cellStyle name="40% - Accent6 14 2 2 2 2" xfId="8045"/>
    <cellStyle name="40% - Accent6 14 2 2 3" xfId="5835"/>
    <cellStyle name="40% - Accent6 14 2 3" xfId="2161"/>
    <cellStyle name="40% - Accent6 14 2 3 2" xfId="4371"/>
    <cellStyle name="40% - Accent6 14 2 3 2 2" xfId="8777"/>
    <cellStyle name="40% - Accent6 14 2 3 3" xfId="6567"/>
    <cellStyle name="40% - Accent6 14 2 4" xfId="2907"/>
    <cellStyle name="40% - Accent6 14 2 4 2" xfId="7313"/>
    <cellStyle name="40% - Accent6 14 2 5" xfId="5103"/>
    <cellStyle name="40% - Accent6 14 3" xfId="1070"/>
    <cellStyle name="40% - Accent6 14 3 2" xfId="3280"/>
    <cellStyle name="40% - Accent6 14 3 2 2" xfId="7686"/>
    <cellStyle name="40% - Accent6 14 3 3" xfId="5476"/>
    <cellStyle name="40% - Accent6 14 4" xfId="1802"/>
    <cellStyle name="40% - Accent6 14 4 2" xfId="4012"/>
    <cellStyle name="40% - Accent6 14 4 2 2" xfId="8418"/>
    <cellStyle name="40% - Accent6 14 4 3" xfId="6208"/>
    <cellStyle name="40% - Accent6 14 5" xfId="2548"/>
    <cellStyle name="40% - Accent6 14 5 2" xfId="6954"/>
    <cellStyle name="40% - Accent6 14 6" xfId="4744"/>
    <cellStyle name="40% - Accent6 15" xfId="351"/>
    <cellStyle name="40% - Accent6 15 2" xfId="710"/>
    <cellStyle name="40% - Accent6 15 2 2" xfId="1443"/>
    <cellStyle name="40% - Accent6 15 2 2 2" xfId="3653"/>
    <cellStyle name="40% - Accent6 15 2 2 2 2" xfId="8059"/>
    <cellStyle name="40% - Accent6 15 2 2 3" xfId="5849"/>
    <cellStyle name="40% - Accent6 15 2 3" xfId="2175"/>
    <cellStyle name="40% - Accent6 15 2 3 2" xfId="4385"/>
    <cellStyle name="40% - Accent6 15 2 3 2 2" xfId="8791"/>
    <cellStyle name="40% - Accent6 15 2 3 3" xfId="6581"/>
    <cellStyle name="40% - Accent6 15 2 4" xfId="2921"/>
    <cellStyle name="40% - Accent6 15 2 4 2" xfId="7327"/>
    <cellStyle name="40% - Accent6 15 2 5" xfId="5117"/>
    <cellStyle name="40% - Accent6 15 3" xfId="1084"/>
    <cellStyle name="40% - Accent6 15 3 2" xfId="3294"/>
    <cellStyle name="40% - Accent6 15 3 2 2" xfId="7700"/>
    <cellStyle name="40% - Accent6 15 3 3" xfId="5490"/>
    <cellStyle name="40% - Accent6 15 4" xfId="1816"/>
    <cellStyle name="40% - Accent6 15 4 2" xfId="4026"/>
    <cellStyle name="40% - Accent6 15 4 2 2" xfId="8432"/>
    <cellStyle name="40% - Accent6 15 4 3" xfId="6222"/>
    <cellStyle name="40% - Accent6 15 5" xfId="2562"/>
    <cellStyle name="40% - Accent6 15 5 2" xfId="6968"/>
    <cellStyle name="40% - Accent6 15 6" xfId="4758"/>
    <cellStyle name="40% - Accent6 16" xfId="365"/>
    <cellStyle name="40% - Accent6 16 2" xfId="724"/>
    <cellStyle name="40% - Accent6 16 2 2" xfId="1457"/>
    <cellStyle name="40% - Accent6 16 2 2 2" xfId="3667"/>
    <cellStyle name="40% - Accent6 16 2 2 2 2" xfId="8073"/>
    <cellStyle name="40% - Accent6 16 2 2 3" xfId="5863"/>
    <cellStyle name="40% - Accent6 16 2 3" xfId="2189"/>
    <cellStyle name="40% - Accent6 16 2 3 2" xfId="4399"/>
    <cellStyle name="40% - Accent6 16 2 3 2 2" xfId="8805"/>
    <cellStyle name="40% - Accent6 16 2 3 3" xfId="6595"/>
    <cellStyle name="40% - Accent6 16 2 4" xfId="2935"/>
    <cellStyle name="40% - Accent6 16 2 4 2" xfId="7341"/>
    <cellStyle name="40% - Accent6 16 2 5" xfId="5131"/>
    <cellStyle name="40% - Accent6 16 3" xfId="1098"/>
    <cellStyle name="40% - Accent6 16 3 2" xfId="3308"/>
    <cellStyle name="40% - Accent6 16 3 2 2" xfId="7714"/>
    <cellStyle name="40% - Accent6 16 3 3" xfId="5504"/>
    <cellStyle name="40% - Accent6 16 4" xfId="1830"/>
    <cellStyle name="40% - Accent6 16 4 2" xfId="4040"/>
    <cellStyle name="40% - Accent6 16 4 2 2" xfId="8446"/>
    <cellStyle name="40% - Accent6 16 4 3" xfId="6236"/>
    <cellStyle name="40% - Accent6 16 5" xfId="2576"/>
    <cellStyle name="40% - Accent6 16 5 2" xfId="6982"/>
    <cellStyle name="40% - Accent6 16 6" xfId="4772"/>
    <cellStyle name="40% - Accent6 17" xfId="379"/>
    <cellStyle name="40% - Accent6 17 2" xfId="738"/>
    <cellStyle name="40% - Accent6 17 2 2" xfId="1471"/>
    <cellStyle name="40% - Accent6 17 2 2 2" xfId="3681"/>
    <cellStyle name="40% - Accent6 17 2 2 2 2" xfId="8087"/>
    <cellStyle name="40% - Accent6 17 2 2 3" xfId="5877"/>
    <cellStyle name="40% - Accent6 17 2 3" xfId="2203"/>
    <cellStyle name="40% - Accent6 17 2 3 2" xfId="4413"/>
    <cellStyle name="40% - Accent6 17 2 3 2 2" xfId="8819"/>
    <cellStyle name="40% - Accent6 17 2 3 3" xfId="6609"/>
    <cellStyle name="40% - Accent6 17 2 4" xfId="2949"/>
    <cellStyle name="40% - Accent6 17 2 4 2" xfId="7355"/>
    <cellStyle name="40% - Accent6 17 2 5" xfId="5145"/>
    <cellStyle name="40% - Accent6 17 3" xfId="1112"/>
    <cellStyle name="40% - Accent6 17 3 2" xfId="3322"/>
    <cellStyle name="40% - Accent6 17 3 2 2" xfId="7728"/>
    <cellStyle name="40% - Accent6 17 3 3" xfId="5518"/>
    <cellStyle name="40% - Accent6 17 4" xfId="1844"/>
    <cellStyle name="40% - Accent6 17 4 2" xfId="4054"/>
    <cellStyle name="40% - Accent6 17 4 2 2" xfId="8460"/>
    <cellStyle name="40% - Accent6 17 4 3" xfId="6250"/>
    <cellStyle name="40% - Accent6 17 5" xfId="2590"/>
    <cellStyle name="40% - Accent6 17 5 2" xfId="6996"/>
    <cellStyle name="40% - Accent6 17 6" xfId="4786"/>
    <cellStyle name="40% - Accent6 18" xfId="393"/>
    <cellStyle name="40% - Accent6 18 2" xfId="752"/>
    <cellStyle name="40% - Accent6 18 2 2" xfId="1485"/>
    <cellStyle name="40% - Accent6 18 2 2 2" xfId="3695"/>
    <cellStyle name="40% - Accent6 18 2 2 2 2" xfId="8101"/>
    <cellStyle name="40% - Accent6 18 2 2 3" xfId="5891"/>
    <cellStyle name="40% - Accent6 18 2 3" xfId="2217"/>
    <cellStyle name="40% - Accent6 18 2 3 2" xfId="4427"/>
    <cellStyle name="40% - Accent6 18 2 3 2 2" xfId="8833"/>
    <cellStyle name="40% - Accent6 18 2 3 3" xfId="6623"/>
    <cellStyle name="40% - Accent6 18 2 4" xfId="2963"/>
    <cellStyle name="40% - Accent6 18 2 4 2" xfId="7369"/>
    <cellStyle name="40% - Accent6 18 2 5" xfId="5159"/>
    <cellStyle name="40% - Accent6 18 3" xfId="1126"/>
    <cellStyle name="40% - Accent6 18 3 2" xfId="3336"/>
    <cellStyle name="40% - Accent6 18 3 2 2" xfId="7742"/>
    <cellStyle name="40% - Accent6 18 3 3" xfId="5532"/>
    <cellStyle name="40% - Accent6 18 4" xfId="1858"/>
    <cellStyle name="40% - Accent6 18 4 2" xfId="4068"/>
    <cellStyle name="40% - Accent6 18 4 2 2" xfId="8474"/>
    <cellStyle name="40% - Accent6 18 4 3" xfId="6264"/>
    <cellStyle name="40% - Accent6 18 5" xfId="2604"/>
    <cellStyle name="40% - Accent6 18 5 2" xfId="7010"/>
    <cellStyle name="40% - Accent6 18 6" xfId="4800"/>
    <cellStyle name="40% - Accent6 19" xfId="410"/>
    <cellStyle name="40% - Accent6 19 2" xfId="1143"/>
    <cellStyle name="40% - Accent6 19 2 2" xfId="3353"/>
    <cellStyle name="40% - Accent6 19 2 2 2" xfId="7759"/>
    <cellStyle name="40% - Accent6 19 2 3" xfId="5549"/>
    <cellStyle name="40% - Accent6 19 3" xfId="1875"/>
    <cellStyle name="40% - Accent6 19 3 2" xfId="4085"/>
    <cellStyle name="40% - Accent6 19 3 2 2" xfId="8491"/>
    <cellStyle name="40% - Accent6 19 3 3" xfId="6281"/>
    <cellStyle name="40% - Accent6 19 4" xfId="2621"/>
    <cellStyle name="40% - Accent6 19 4 2" xfId="7027"/>
    <cellStyle name="40% - Accent6 19 5" xfId="4817"/>
    <cellStyle name="40% - Accent6 2" xfId="65"/>
    <cellStyle name="40% - Accent6 2 2" xfId="183"/>
    <cellStyle name="40% - Accent6 2 2 2" xfId="542"/>
    <cellStyle name="40% - Accent6 2 2 2 2" xfId="1275"/>
    <cellStyle name="40% - Accent6 2 2 2 2 2" xfId="3485"/>
    <cellStyle name="40% - Accent6 2 2 2 2 2 2" xfId="7891"/>
    <cellStyle name="40% - Accent6 2 2 2 2 3" xfId="5681"/>
    <cellStyle name="40% - Accent6 2 2 2 3" xfId="2007"/>
    <cellStyle name="40% - Accent6 2 2 2 3 2" xfId="4217"/>
    <cellStyle name="40% - Accent6 2 2 2 3 2 2" xfId="8623"/>
    <cellStyle name="40% - Accent6 2 2 2 3 3" xfId="6413"/>
    <cellStyle name="40% - Accent6 2 2 2 4" xfId="2753"/>
    <cellStyle name="40% - Accent6 2 2 2 4 2" xfId="7159"/>
    <cellStyle name="40% - Accent6 2 2 2 5" xfId="4949"/>
    <cellStyle name="40% - Accent6 2 2 3" xfId="916"/>
    <cellStyle name="40% - Accent6 2 2 3 2" xfId="3126"/>
    <cellStyle name="40% - Accent6 2 2 3 2 2" xfId="7532"/>
    <cellStyle name="40% - Accent6 2 2 3 3" xfId="5322"/>
    <cellStyle name="40% - Accent6 2 2 4" xfId="1648"/>
    <cellStyle name="40% - Accent6 2 2 4 2" xfId="3858"/>
    <cellStyle name="40% - Accent6 2 2 4 2 2" xfId="8264"/>
    <cellStyle name="40% - Accent6 2 2 4 3" xfId="6054"/>
    <cellStyle name="40% - Accent6 2 2 5" xfId="2394"/>
    <cellStyle name="40% - Accent6 2 2 5 2" xfId="6800"/>
    <cellStyle name="40% - Accent6 2 2 6" xfId="4590"/>
    <cellStyle name="40% - Accent6 2 3" xfId="426"/>
    <cellStyle name="40% - Accent6 2 3 2" xfId="1159"/>
    <cellStyle name="40% - Accent6 2 3 2 2" xfId="3369"/>
    <cellStyle name="40% - Accent6 2 3 2 2 2" xfId="7775"/>
    <cellStyle name="40% - Accent6 2 3 2 3" xfId="5565"/>
    <cellStyle name="40% - Accent6 2 3 3" xfId="1891"/>
    <cellStyle name="40% - Accent6 2 3 3 2" xfId="4101"/>
    <cellStyle name="40% - Accent6 2 3 3 2 2" xfId="8507"/>
    <cellStyle name="40% - Accent6 2 3 3 3" xfId="6297"/>
    <cellStyle name="40% - Accent6 2 3 4" xfId="2637"/>
    <cellStyle name="40% - Accent6 2 3 4 2" xfId="7043"/>
    <cellStyle name="40% - Accent6 2 3 5" xfId="4833"/>
    <cellStyle name="40% - Accent6 2 4" xfId="800"/>
    <cellStyle name="40% - Accent6 2 4 2" xfId="3010"/>
    <cellStyle name="40% - Accent6 2 4 2 2" xfId="7416"/>
    <cellStyle name="40% - Accent6 2 4 3" xfId="5206"/>
    <cellStyle name="40% - Accent6 2 5" xfId="1532"/>
    <cellStyle name="40% - Accent6 2 5 2" xfId="3742"/>
    <cellStyle name="40% - Accent6 2 5 2 2" xfId="8148"/>
    <cellStyle name="40% - Accent6 2 5 3" xfId="5938"/>
    <cellStyle name="40% - Accent6 2 6" xfId="2278"/>
    <cellStyle name="40% - Accent6 2 6 2" xfId="6684"/>
    <cellStyle name="40% - Accent6 2 7" xfId="4474"/>
    <cellStyle name="40% - Accent6 20" xfId="767"/>
    <cellStyle name="40% - Accent6 20 2" xfId="1500"/>
    <cellStyle name="40% - Accent6 20 2 2" xfId="3710"/>
    <cellStyle name="40% - Accent6 20 2 2 2" xfId="8116"/>
    <cellStyle name="40% - Accent6 20 2 3" xfId="5906"/>
    <cellStyle name="40% - Accent6 20 3" xfId="2232"/>
    <cellStyle name="40% - Accent6 20 3 2" xfId="4442"/>
    <cellStyle name="40% - Accent6 20 3 2 2" xfId="8848"/>
    <cellStyle name="40% - Accent6 20 3 3" xfId="6638"/>
    <cellStyle name="40% - Accent6 20 4" xfId="2978"/>
    <cellStyle name="40% - Accent6 20 4 2" xfId="7384"/>
    <cellStyle name="40% - Accent6 20 5" xfId="5174"/>
    <cellStyle name="40% - Accent6 21" xfId="784"/>
    <cellStyle name="40% - Accent6 21 2" xfId="2994"/>
    <cellStyle name="40% - Accent6 21 2 2" xfId="7400"/>
    <cellStyle name="40% - Accent6 21 3" xfId="5190"/>
    <cellStyle name="40% - Accent6 22" xfId="1516"/>
    <cellStyle name="40% - Accent6 22 2" xfId="3726"/>
    <cellStyle name="40% - Accent6 22 2 2" xfId="8132"/>
    <cellStyle name="40% - Accent6 22 3" xfId="5922"/>
    <cellStyle name="40% - Accent6 23" xfId="2246"/>
    <cellStyle name="40% - Accent6 23 2" xfId="6652"/>
    <cellStyle name="40% - Accent6 24" xfId="2262"/>
    <cellStyle name="40% - Accent6 24 2" xfId="6668"/>
    <cellStyle name="40% - Accent6 25" xfId="4458"/>
    <cellStyle name="40% - Accent6 3" xfId="79"/>
    <cellStyle name="40% - Accent6 3 2" xfId="197"/>
    <cellStyle name="40% - Accent6 3 2 2" xfId="556"/>
    <cellStyle name="40% - Accent6 3 2 2 2" xfId="1289"/>
    <cellStyle name="40% - Accent6 3 2 2 2 2" xfId="3499"/>
    <cellStyle name="40% - Accent6 3 2 2 2 2 2" xfId="7905"/>
    <cellStyle name="40% - Accent6 3 2 2 2 3" xfId="5695"/>
    <cellStyle name="40% - Accent6 3 2 2 3" xfId="2021"/>
    <cellStyle name="40% - Accent6 3 2 2 3 2" xfId="4231"/>
    <cellStyle name="40% - Accent6 3 2 2 3 2 2" xfId="8637"/>
    <cellStyle name="40% - Accent6 3 2 2 3 3" xfId="6427"/>
    <cellStyle name="40% - Accent6 3 2 2 4" xfId="2767"/>
    <cellStyle name="40% - Accent6 3 2 2 4 2" xfId="7173"/>
    <cellStyle name="40% - Accent6 3 2 2 5" xfId="4963"/>
    <cellStyle name="40% - Accent6 3 2 3" xfId="930"/>
    <cellStyle name="40% - Accent6 3 2 3 2" xfId="3140"/>
    <cellStyle name="40% - Accent6 3 2 3 2 2" xfId="7546"/>
    <cellStyle name="40% - Accent6 3 2 3 3" xfId="5336"/>
    <cellStyle name="40% - Accent6 3 2 4" xfId="1662"/>
    <cellStyle name="40% - Accent6 3 2 4 2" xfId="3872"/>
    <cellStyle name="40% - Accent6 3 2 4 2 2" xfId="8278"/>
    <cellStyle name="40% - Accent6 3 2 4 3" xfId="6068"/>
    <cellStyle name="40% - Accent6 3 2 5" xfId="2408"/>
    <cellStyle name="40% - Accent6 3 2 5 2" xfId="6814"/>
    <cellStyle name="40% - Accent6 3 2 6" xfId="4604"/>
    <cellStyle name="40% - Accent6 3 3" xfId="440"/>
    <cellStyle name="40% - Accent6 3 3 2" xfId="1173"/>
    <cellStyle name="40% - Accent6 3 3 2 2" xfId="3383"/>
    <cellStyle name="40% - Accent6 3 3 2 2 2" xfId="7789"/>
    <cellStyle name="40% - Accent6 3 3 2 3" xfId="5579"/>
    <cellStyle name="40% - Accent6 3 3 3" xfId="1905"/>
    <cellStyle name="40% - Accent6 3 3 3 2" xfId="4115"/>
    <cellStyle name="40% - Accent6 3 3 3 2 2" xfId="8521"/>
    <cellStyle name="40% - Accent6 3 3 3 3" xfId="6311"/>
    <cellStyle name="40% - Accent6 3 3 4" xfId="2651"/>
    <cellStyle name="40% - Accent6 3 3 4 2" xfId="7057"/>
    <cellStyle name="40% - Accent6 3 3 5" xfId="4847"/>
    <cellStyle name="40% - Accent6 3 4" xfId="814"/>
    <cellStyle name="40% - Accent6 3 4 2" xfId="3024"/>
    <cellStyle name="40% - Accent6 3 4 2 2" xfId="7430"/>
    <cellStyle name="40% - Accent6 3 4 3" xfId="5220"/>
    <cellStyle name="40% - Accent6 3 5" xfId="1546"/>
    <cellStyle name="40% - Accent6 3 5 2" xfId="3756"/>
    <cellStyle name="40% - Accent6 3 5 2 2" xfId="8162"/>
    <cellStyle name="40% - Accent6 3 5 3" xfId="5952"/>
    <cellStyle name="40% - Accent6 3 6" xfId="2292"/>
    <cellStyle name="40% - Accent6 3 6 2" xfId="6698"/>
    <cellStyle name="40% - Accent6 3 7" xfId="4488"/>
    <cellStyle name="40% - Accent6 4" xfId="93"/>
    <cellStyle name="40% - Accent6 4 2" xfId="211"/>
    <cellStyle name="40% - Accent6 4 2 2" xfId="570"/>
    <cellStyle name="40% - Accent6 4 2 2 2" xfId="1303"/>
    <cellStyle name="40% - Accent6 4 2 2 2 2" xfId="3513"/>
    <cellStyle name="40% - Accent6 4 2 2 2 2 2" xfId="7919"/>
    <cellStyle name="40% - Accent6 4 2 2 2 3" xfId="5709"/>
    <cellStyle name="40% - Accent6 4 2 2 3" xfId="2035"/>
    <cellStyle name="40% - Accent6 4 2 2 3 2" xfId="4245"/>
    <cellStyle name="40% - Accent6 4 2 2 3 2 2" xfId="8651"/>
    <cellStyle name="40% - Accent6 4 2 2 3 3" xfId="6441"/>
    <cellStyle name="40% - Accent6 4 2 2 4" xfId="2781"/>
    <cellStyle name="40% - Accent6 4 2 2 4 2" xfId="7187"/>
    <cellStyle name="40% - Accent6 4 2 2 5" xfId="4977"/>
    <cellStyle name="40% - Accent6 4 2 3" xfId="944"/>
    <cellStyle name="40% - Accent6 4 2 3 2" xfId="3154"/>
    <cellStyle name="40% - Accent6 4 2 3 2 2" xfId="7560"/>
    <cellStyle name="40% - Accent6 4 2 3 3" xfId="5350"/>
    <cellStyle name="40% - Accent6 4 2 4" xfId="1676"/>
    <cellStyle name="40% - Accent6 4 2 4 2" xfId="3886"/>
    <cellStyle name="40% - Accent6 4 2 4 2 2" xfId="8292"/>
    <cellStyle name="40% - Accent6 4 2 4 3" xfId="6082"/>
    <cellStyle name="40% - Accent6 4 2 5" xfId="2422"/>
    <cellStyle name="40% - Accent6 4 2 5 2" xfId="6828"/>
    <cellStyle name="40% - Accent6 4 2 6" xfId="4618"/>
    <cellStyle name="40% - Accent6 4 3" xfId="454"/>
    <cellStyle name="40% - Accent6 4 3 2" xfId="1187"/>
    <cellStyle name="40% - Accent6 4 3 2 2" xfId="3397"/>
    <cellStyle name="40% - Accent6 4 3 2 2 2" xfId="7803"/>
    <cellStyle name="40% - Accent6 4 3 2 3" xfId="5593"/>
    <cellStyle name="40% - Accent6 4 3 3" xfId="1919"/>
    <cellStyle name="40% - Accent6 4 3 3 2" xfId="4129"/>
    <cellStyle name="40% - Accent6 4 3 3 2 2" xfId="8535"/>
    <cellStyle name="40% - Accent6 4 3 3 3" xfId="6325"/>
    <cellStyle name="40% - Accent6 4 3 4" xfId="2665"/>
    <cellStyle name="40% - Accent6 4 3 4 2" xfId="7071"/>
    <cellStyle name="40% - Accent6 4 3 5" xfId="4861"/>
    <cellStyle name="40% - Accent6 4 4" xfId="828"/>
    <cellStyle name="40% - Accent6 4 4 2" xfId="3038"/>
    <cellStyle name="40% - Accent6 4 4 2 2" xfId="7444"/>
    <cellStyle name="40% - Accent6 4 4 3" xfId="5234"/>
    <cellStyle name="40% - Accent6 4 5" xfId="1560"/>
    <cellStyle name="40% - Accent6 4 5 2" xfId="3770"/>
    <cellStyle name="40% - Accent6 4 5 2 2" xfId="8176"/>
    <cellStyle name="40% - Accent6 4 5 3" xfId="5966"/>
    <cellStyle name="40% - Accent6 4 6" xfId="2306"/>
    <cellStyle name="40% - Accent6 4 6 2" xfId="6712"/>
    <cellStyle name="40% - Accent6 4 7" xfId="4502"/>
    <cellStyle name="40% - Accent6 5" xfId="107"/>
    <cellStyle name="40% - Accent6 5 2" xfId="225"/>
    <cellStyle name="40% - Accent6 5 2 2" xfId="584"/>
    <cellStyle name="40% - Accent6 5 2 2 2" xfId="1317"/>
    <cellStyle name="40% - Accent6 5 2 2 2 2" xfId="3527"/>
    <cellStyle name="40% - Accent6 5 2 2 2 2 2" xfId="7933"/>
    <cellStyle name="40% - Accent6 5 2 2 2 3" xfId="5723"/>
    <cellStyle name="40% - Accent6 5 2 2 3" xfId="2049"/>
    <cellStyle name="40% - Accent6 5 2 2 3 2" xfId="4259"/>
    <cellStyle name="40% - Accent6 5 2 2 3 2 2" xfId="8665"/>
    <cellStyle name="40% - Accent6 5 2 2 3 3" xfId="6455"/>
    <cellStyle name="40% - Accent6 5 2 2 4" xfId="2795"/>
    <cellStyle name="40% - Accent6 5 2 2 4 2" xfId="7201"/>
    <cellStyle name="40% - Accent6 5 2 2 5" xfId="4991"/>
    <cellStyle name="40% - Accent6 5 2 3" xfId="958"/>
    <cellStyle name="40% - Accent6 5 2 3 2" xfId="3168"/>
    <cellStyle name="40% - Accent6 5 2 3 2 2" xfId="7574"/>
    <cellStyle name="40% - Accent6 5 2 3 3" xfId="5364"/>
    <cellStyle name="40% - Accent6 5 2 4" xfId="1690"/>
    <cellStyle name="40% - Accent6 5 2 4 2" xfId="3900"/>
    <cellStyle name="40% - Accent6 5 2 4 2 2" xfId="8306"/>
    <cellStyle name="40% - Accent6 5 2 4 3" xfId="6096"/>
    <cellStyle name="40% - Accent6 5 2 5" xfId="2436"/>
    <cellStyle name="40% - Accent6 5 2 5 2" xfId="6842"/>
    <cellStyle name="40% - Accent6 5 2 6" xfId="4632"/>
    <cellStyle name="40% - Accent6 5 3" xfId="468"/>
    <cellStyle name="40% - Accent6 5 3 2" xfId="1201"/>
    <cellStyle name="40% - Accent6 5 3 2 2" xfId="3411"/>
    <cellStyle name="40% - Accent6 5 3 2 2 2" xfId="7817"/>
    <cellStyle name="40% - Accent6 5 3 2 3" xfId="5607"/>
    <cellStyle name="40% - Accent6 5 3 3" xfId="1933"/>
    <cellStyle name="40% - Accent6 5 3 3 2" xfId="4143"/>
    <cellStyle name="40% - Accent6 5 3 3 2 2" xfId="8549"/>
    <cellStyle name="40% - Accent6 5 3 3 3" xfId="6339"/>
    <cellStyle name="40% - Accent6 5 3 4" xfId="2679"/>
    <cellStyle name="40% - Accent6 5 3 4 2" xfId="7085"/>
    <cellStyle name="40% - Accent6 5 3 5" xfId="4875"/>
    <cellStyle name="40% - Accent6 5 4" xfId="842"/>
    <cellStyle name="40% - Accent6 5 4 2" xfId="3052"/>
    <cellStyle name="40% - Accent6 5 4 2 2" xfId="7458"/>
    <cellStyle name="40% - Accent6 5 4 3" xfId="5248"/>
    <cellStyle name="40% - Accent6 5 5" xfId="1574"/>
    <cellStyle name="40% - Accent6 5 5 2" xfId="3784"/>
    <cellStyle name="40% - Accent6 5 5 2 2" xfId="8190"/>
    <cellStyle name="40% - Accent6 5 5 3" xfId="5980"/>
    <cellStyle name="40% - Accent6 5 6" xfId="2320"/>
    <cellStyle name="40% - Accent6 5 6 2" xfId="6726"/>
    <cellStyle name="40% - Accent6 5 7" xfId="4516"/>
    <cellStyle name="40% - Accent6 6" xfId="121"/>
    <cellStyle name="40% - Accent6 6 2" xfId="239"/>
    <cellStyle name="40% - Accent6 6 2 2" xfId="598"/>
    <cellStyle name="40% - Accent6 6 2 2 2" xfId="1331"/>
    <cellStyle name="40% - Accent6 6 2 2 2 2" xfId="3541"/>
    <cellStyle name="40% - Accent6 6 2 2 2 2 2" xfId="7947"/>
    <cellStyle name="40% - Accent6 6 2 2 2 3" xfId="5737"/>
    <cellStyle name="40% - Accent6 6 2 2 3" xfId="2063"/>
    <cellStyle name="40% - Accent6 6 2 2 3 2" xfId="4273"/>
    <cellStyle name="40% - Accent6 6 2 2 3 2 2" xfId="8679"/>
    <cellStyle name="40% - Accent6 6 2 2 3 3" xfId="6469"/>
    <cellStyle name="40% - Accent6 6 2 2 4" xfId="2809"/>
    <cellStyle name="40% - Accent6 6 2 2 4 2" xfId="7215"/>
    <cellStyle name="40% - Accent6 6 2 2 5" xfId="5005"/>
    <cellStyle name="40% - Accent6 6 2 3" xfId="972"/>
    <cellStyle name="40% - Accent6 6 2 3 2" xfId="3182"/>
    <cellStyle name="40% - Accent6 6 2 3 2 2" xfId="7588"/>
    <cellStyle name="40% - Accent6 6 2 3 3" xfId="5378"/>
    <cellStyle name="40% - Accent6 6 2 4" xfId="1704"/>
    <cellStyle name="40% - Accent6 6 2 4 2" xfId="3914"/>
    <cellStyle name="40% - Accent6 6 2 4 2 2" xfId="8320"/>
    <cellStyle name="40% - Accent6 6 2 4 3" xfId="6110"/>
    <cellStyle name="40% - Accent6 6 2 5" xfId="2450"/>
    <cellStyle name="40% - Accent6 6 2 5 2" xfId="6856"/>
    <cellStyle name="40% - Accent6 6 2 6" xfId="4646"/>
    <cellStyle name="40% - Accent6 6 3" xfId="482"/>
    <cellStyle name="40% - Accent6 6 3 2" xfId="1215"/>
    <cellStyle name="40% - Accent6 6 3 2 2" xfId="3425"/>
    <cellStyle name="40% - Accent6 6 3 2 2 2" xfId="7831"/>
    <cellStyle name="40% - Accent6 6 3 2 3" xfId="5621"/>
    <cellStyle name="40% - Accent6 6 3 3" xfId="1947"/>
    <cellStyle name="40% - Accent6 6 3 3 2" xfId="4157"/>
    <cellStyle name="40% - Accent6 6 3 3 2 2" xfId="8563"/>
    <cellStyle name="40% - Accent6 6 3 3 3" xfId="6353"/>
    <cellStyle name="40% - Accent6 6 3 4" xfId="2693"/>
    <cellStyle name="40% - Accent6 6 3 4 2" xfId="7099"/>
    <cellStyle name="40% - Accent6 6 3 5" xfId="4889"/>
    <cellStyle name="40% - Accent6 6 4" xfId="856"/>
    <cellStyle name="40% - Accent6 6 4 2" xfId="3066"/>
    <cellStyle name="40% - Accent6 6 4 2 2" xfId="7472"/>
    <cellStyle name="40% - Accent6 6 4 3" xfId="5262"/>
    <cellStyle name="40% - Accent6 6 5" xfId="1588"/>
    <cellStyle name="40% - Accent6 6 5 2" xfId="3798"/>
    <cellStyle name="40% - Accent6 6 5 2 2" xfId="8204"/>
    <cellStyle name="40% - Accent6 6 5 3" xfId="5994"/>
    <cellStyle name="40% - Accent6 6 6" xfId="2334"/>
    <cellStyle name="40% - Accent6 6 6 2" xfId="6740"/>
    <cellStyle name="40% - Accent6 6 7" xfId="4530"/>
    <cellStyle name="40% - Accent6 7" xfId="135"/>
    <cellStyle name="40% - Accent6 7 2" xfId="253"/>
    <cellStyle name="40% - Accent6 7 2 2" xfId="612"/>
    <cellStyle name="40% - Accent6 7 2 2 2" xfId="1345"/>
    <cellStyle name="40% - Accent6 7 2 2 2 2" xfId="3555"/>
    <cellStyle name="40% - Accent6 7 2 2 2 2 2" xfId="7961"/>
    <cellStyle name="40% - Accent6 7 2 2 2 3" xfId="5751"/>
    <cellStyle name="40% - Accent6 7 2 2 3" xfId="2077"/>
    <cellStyle name="40% - Accent6 7 2 2 3 2" xfId="4287"/>
    <cellStyle name="40% - Accent6 7 2 2 3 2 2" xfId="8693"/>
    <cellStyle name="40% - Accent6 7 2 2 3 3" xfId="6483"/>
    <cellStyle name="40% - Accent6 7 2 2 4" xfId="2823"/>
    <cellStyle name="40% - Accent6 7 2 2 4 2" xfId="7229"/>
    <cellStyle name="40% - Accent6 7 2 2 5" xfId="5019"/>
    <cellStyle name="40% - Accent6 7 2 3" xfId="986"/>
    <cellStyle name="40% - Accent6 7 2 3 2" xfId="3196"/>
    <cellStyle name="40% - Accent6 7 2 3 2 2" xfId="7602"/>
    <cellStyle name="40% - Accent6 7 2 3 3" xfId="5392"/>
    <cellStyle name="40% - Accent6 7 2 4" xfId="1718"/>
    <cellStyle name="40% - Accent6 7 2 4 2" xfId="3928"/>
    <cellStyle name="40% - Accent6 7 2 4 2 2" xfId="8334"/>
    <cellStyle name="40% - Accent6 7 2 4 3" xfId="6124"/>
    <cellStyle name="40% - Accent6 7 2 5" xfId="2464"/>
    <cellStyle name="40% - Accent6 7 2 5 2" xfId="6870"/>
    <cellStyle name="40% - Accent6 7 2 6" xfId="4660"/>
    <cellStyle name="40% - Accent6 7 3" xfId="496"/>
    <cellStyle name="40% - Accent6 7 3 2" xfId="1229"/>
    <cellStyle name="40% - Accent6 7 3 2 2" xfId="3439"/>
    <cellStyle name="40% - Accent6 7 3 2 2 2" xfId="7845"/>
    <cellStyle name="40% - Accent6 7 3 2 3" xfId="5635"/>
    <cellStyle name="40% - Accent6 7 3 3" xfId="1961"/>
    <cellStyle name="40% - Accent6 7 3 3 2" xfId="4171"/>
    <cellStyle name="40% - Accent6 7 3 3 2 2" xfId="8577"/>
    <cellStyle name="40% - Accent6 7 3 3 3" xfId="6367"/>
    <cellStyle name="40% - Accent6 7 3 4" xfId="2707"/>
    <cellStyle name="40% - Accent6 7 3 4 2" xfId="7113"/>
    <cellStyle name="40% - Accent6 7 3 5" xfId="4903"/>
    <cellStyle name="40% - Accent6 7 4" xfId="870"/>
    <cellStyle name="40% - Accent6 7 4 2" xfId="3080"/>
    <cellStyle name="40% - Accent6 7 4 2 2" xfId="7486"/>
    <cellStyle name="40% - Accent6 7 4 3" xfId="5276"/>
    <cellStyle name="40% - Accent6 7 5" xfId="1602"/>
    <cellStyle name="40% - Accent6 7 5 2" xfId="3812"/>
    <cellStyle name="40% - Accent6 7 5 2 2" xfId="8218"/>
    <cellStyle name="40% - Accent6 7 5 3" xfId="6008"/>
    <cellStyle name="40% - Accent6 7 6" xfId="2348"/>
    <cellStyle name="40% - Accent6 7 6 2" xfId="6754"/>
    <cellStyle name="40% - Accent6 7 7" xfId="4544"/>
    <cellStyle name="40% - Accent6 8" xfId="149"/>
    <cellStyle name="40% - Accent6 8 2" xfId="267"/>
    <cellStyle name="40% - Accent6 8 2 2" xfId="626"/>
    <cellStyle name="40% - Accent6 8 2 2 2" xfId="1359"/>
    <cellStyle name="40% - Accent6 8 2 2 2 2" xfId="3569"/>
    <cellStyle name="40% - Accent6 8 2 2 2 2 2" xfId="7975"/>
    <cellStyle name="40% - Accent6 8 2 2 2 3" xfId="5765"/>
    <cellStyle name="40% - Accent6 8 2 2 3" xfId="2091"/>
    <cellStyle name="40% - Accent6 8 2 2 3 2" xfId="4301"/>
    <cellStyle name="40% - Accent6 8 2 2 3 2 2" xfId="8707"/>
    <cellStyle name="40% - Accent6 8 2 2 3 3" xfId="6497"/>
    <cellStyle name="40% - Accent6 8 2 2 4" xfId="2837"/>
    <cellStyle name="40% - Accent6 8 2 2 4 2" xfId="7243"/>
    <cellStyle name="40% - Accent6 8 2 2 5" xfId="5033"/>
    <cellStyle name="40% - Accent6 8 2 3" xfId="1000"/>
    <cellStyle name="40% - Accent6 8 2 3 2" xfId="3210"/>
    <cellStyle name="40% - Accent6 8 2 3 2 2" xfId="7616"/>
    <cellStyle name="40% - Accent6 8 2 3 3" xfId="5406"/>
    <cellStyle name="40% - Accent6 8 2 4" xfId="1732"/>
    <cellStyle name="40% - Accent6 8 2 4 2" xfId="3942"/>
    <cellStyle name="40% - Accent6 8 2 4 2 2" xfId="8348"/>
    <cellStyle name="40% - Accent6 8 2 4 3" xfId="6138"/>
    <cellStyle name="40% - Accent6 8 2 5" xfId="2478"/>
    <cellStyle name="40% - Accent6 8 2 5 2" xfId="6884"/>
    <cellStyle name="40% - Accent6 8 2 6" xfId="4674"/>
    <cellStyle name="40% - Accent6 8 3" xfId="510"/>
    <cellStyle name="40% - Accent6 8 3 2" xfId="1243"/>
    <cellStyle name="40% - Accent6 8 3 2 2" xfId="3453"/>
    <cellStyle name="40% - Accent6 8 3 2 2 2" xfId="7859"/>
    <cellStyle name="40% - Accent6 8 3 2 3" xfId="5649"/>
    <cellStyle name="40% - Accent6 8 3 3" xfId="1975"/>
    <cellStyle name="40% - Accent6 8 3 3 2" xfId="4185"/>
    <cellStyle name="40% - Accent6 8 3 3 2 2" xfId="8591"/>
    <cellStyle name="40% - Accent6 8 3 3 3" xfId="6381"/>
    <cellStyle name="40% - Accent6 8 3 4" xfId="2721"/>
    <cellStyle name="40% - Accent6 8 3 4 2" xfId="7127"/>
    <cellStyle name="40% - Accent6 8 3 5" xfId="4917"/>
    <cellStyle name="40% - Accent6 8 4" xfId="884"/>
    <cellStyle name="40% - Accent6 8 4 2" xfId="3094"/>
    <cellStyle name="40% - Accent6 8 4 2 2" xfId="7500"/>
    <cellStyle name="40% - Accent6 8 4 3" xfId="5290"/>
    <cellStyle name="40% - Accent6 8 5" xfId="1616"/>
    <cellStyle name="40% - Accent6 8 5 2" xfId="3826"/>
    <cellStyle name="40% - Accent6 8 5 2 2" xfId="8232"/>
    <cellStyle name="40% - Accent6 8 5 3" xfId="6022"/>
    <cellStyle name="40% - Accent6 8 6" xfId="2362"/>
    <cellStyle name="40% - Accent6 8 6 2" xfId="6768"/>
    <cellStyle name="40% - Accent6 8 7" xfId="4558"/>
    <cellStyle name="40% - Accent6 9" xfId="167"/>
    <cellStyle name="40% - Accent6 9 2" xfId="526"/>
    <cellStyle name="40% - Accent6 9 2 2" xfId="1259"/>
    <cellStyle name="40% - Accent6 9 2 2 2" xfId="3469"/>
    <cellStyle name="40% - Accent6 9 2 2 2 2" xfId="7875"/>
    <cellStyle name="40% - Accent6 9 2 2 3" xfId="5665"/>
    <cellStyle name="40% - Accent6 9 2 3" xfId="1991"/>
    <cellStyle name="40% - Accent6 9 2 3 2" xfId="4201"/>
    <cellStyle name="40% - Accent6 9 2 3 2 2" xfId="8607"/>
    <cellStyle name="40% - Accent6 9 2 3 3" xfId="6397"/>
    <cellStyle name="40% - Accent6 9 2 4" xfId="2737"/>
    <cellStyle name="40% - Accent6 9 2 4 2" xfId="7143"/>
    <cellStyle name="40% - Accent6 9 2 5" xfId="4933"/>
    <cellStyle name="40% - Accent6 9 3" xfId="900"/>
    <cellStyle name="40% - Accent6 9 3 2" xfId="3110"/>
    <cellStyle name="40% - Accent6 9 3 2 2" xfId="7516"/>
    <cellStyle name="40% - Accent6 9 3 3" xfId="5306"/>
    <cellStyle name="40% - Accent6 9 4" xfId="1632"/>
    <cellStyle name="40% - Accent6 9 4 2" xfId="3842"/>
    <cellStyle name="40% - Accent6 9 4 2 2" xfId="8248"/>
    <cellStyle name="40% - Accent6 9 4 3" xfId="6038"/>
    <cellStyle name="40% - Accent6 9 5" xfId="2378"/>
    <cellStyle name="40% - Accent6 9 5 2" xfId="6784"/>
    <cellStyle name="40% - Accent6 9 6" xfId="4574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Comma 2" xfId="150"/>
    <cellStyle name="Comma 3" xfId="44"/>
    <cellStyle name="Explanatory Text" xfId="17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10" xfId="94"/>
    <cellStyle name="Normal 10 2" xfId="212"/>
    <cellStyle name="Normal 10 2 2" xfId="571"/>
    <cellStyle name="Normal 10 2 2 2" xfId="1304"/>
    <cellStyle name="Normal 10 2 2 2 2" xfId="3514"/>
    <cellStyle name="Normal 10 2 2 2 2 2" xfId="7920"/>
    <cellStyle name="Normal 10 2 2 2 3" xfId="5710"/>
    <cellStyle name="Normal 10 2 2 3" xfId="2036"/>
    <cellStyle name="Normal 10 2 2 3 2" xfId="4246"/>
    <cellStyle name="Normal 10 2 2 3 2 2" xfId="8652"/>
    <cellStyle name="Normal 10 2 2 3 3" xfId="6442"/>
    <cellStyle name="Normal 10 2 2 4" xfId="2782"/>
    <cellStyle name="Normal 10 2 2 4 2" xfId="7188"/>
    <cellStyle name="Normal 10 2 2 5" xfId="4978"/>
    <cellStyle name="Normal 10 2 3" xfId="945"/>
    <cellStyle name="Normal 10 2 3 2" xfId="3155"/>
    <cellStyle name="Normal 10 2 3 2 2" xfId="7561"/>
    <cellStyle name="Normal 10 2 3 3" xfId="5351"/>
    <cellStyle name="Normal 10 2 4" xfId="1677"/>
    <cellStyle name="Normal 10 2 4 2" xfId="3887"/>
    <cellStyle name="Normal 10 2 4 2 2" xfId="8293"/>
    <cellStyle name="Normal 10 2 4 3" xfId="6083"/>
    <cellStyle name="Normal 10 2 5" xfId="2423"/>
    <cellStyle name="Normal 10 2 5 2" xfId="6829"/>
    <cellStyle name="Normal 10 2 6" xfId="4619"/>
    <cellStyle name="Normal 10 3" xfId="455"/>
    <cellStyle name="Normal 10 3 2" xfId="1188"/>
    <cellStyle name="Normal 10 3 2 2" xfId="3398"/>
    <cellStyle name="Normal 10 3 2 2 2" xfId="7804"/>
    <cellStyle name="Normal 10 3 2 3" xfId="5594"/>
    <cellStyle name="Normal 10 3 3" xfId="1920"/>
    <cellStyle name="Normal 10 3 3 2" xfId="4130"/>
    <cellStyle name="Normal 10 3 3 2 2" xfId="8536"/>
    <cellStyle name="Normal 10 3 3 3" xfId="6326"/>
    <cellStyle name="Normal 10 3 4" xfId="2666"/>
    <cellStyle name="Normal 10 3 4 2" xfId="7072"/>
    <cellStyle name="Normal 10 3 5" xfId="4862"/>
    <cellStyle name="Normal 10 4" xfId="829"/>
    <cellStyle name="Normal 10 4 2" xfId="3039"/>
    <cellStyle name="Normal 10 4 2 2" xfId="7445"/>
    <cellStyle name="Normal 10 4 3" xfId="5235"/>
    <cellStyle name="Normal 10 5" xfId="1561"/>
    <cellStyle name="Normal 10 5 2" xfId="3771"/>
    <cellStyle name="Normal 10 5 2 2" xfId="8177"/>
    <cellStyle name="Normal 10 5 3" xfId="5967"/>
    <cellStyle name="Normal 10 6" xfId="2307"/>
    <cellStyle name="Normal 10 6 2" xfId="6713"/>
    <cellStyle name="Normal 10 7" xfId="4503"/>
    <cellStyle name="Normal 11" xfId="108"/>
    <cellStyle name="Normal 11 2" xfId="226"/>
    <cellStyle name="Normal 11 2 2" xfId="585"/>
    <cellStyle name="Normal 11 2 2 2" xfId="1318"/>
    <cellStyle name="Normal 11 2 2 2 2" xfId="3528"/>
    <cellStyle name="Normal 11 2 2 2 2 2" xfId="7934"/>
    <cellStyle name="Normal 11 2 2 2 3" xfId="5724"/>
    <cellStyle name="Normal 11 2 2 3" xfId="2050"/>
    <cellStyle name="Normal 11 2 2 3 2" xfId="4260"/>
    <cellStyle name="Normal 11 2 2 3 2 2" xfId="8666"/>
    <cellStyle name="Normal 11 2 2 3 3" xfId="6456"/>
    <cellStyle name="Normal 11 2 2 4" xfId="2796"/>
    <cellStyle name="Normal 11 2 2 4 2" xfId="7202"/>
    <cellStyle name="Normal 11 2 2 5" xfId="4992"/>
    <cellStyle name="Normal 11 2 3" xfId="959"/>
    <cellStyle name="Normal 11 2 3 2" xfId="3169"/>
    <cellStyle name="Normal 11 2 3 2 2" xfId="7575"/>
    <cellStyle name="Normal 11 2 3 3" xfId="5365"/>
    <cellStyle name="Normal 11 2 4" xfId="1691"/>
    <cellStyle name="Normal 11 2 4 2" xfId="3901"/>
    <cellStyle name="Normal 11 2 4 2 2" xfId="8307"/>
    <cellStyle name="Normal 11 2 4 3" xfId="6097"/>
    <cellStyle name="Normal 11 2 5" xfId="2437"/>
    <cellStyle name="Normal 11 2 5 2" xfId="6843"/>
    <cellStyle name="Normal 11 2 6" xfId="4633"/>
    <cellStyle name="Normal 11 3" xfId="469"/>
    <cellStyle name="Normal 11 3 2" xfId="1202"/>
    <cellStyle name="Normal 11 3 2 2" xfId="3412"/>
    <cellStyle name="Normal 11 3 2 2 2" xfId="7818"/>
    <cellStyle name="Normal 11 3 2 3" xfId="5608"/>
    <cellStyle name="Normal 11 3 3" xfId="1934"/>
    <cellStyle name="Normal 11 3 3 2" xfId="4144"/>
    <cellStyle name="Normal 11 3 3 2 2" xfId="8550"/>
    <cellStyle name="Normal 11 3 3 3" xfId="6340"/>
    <cellStyle name="Normal 11 3 4" xfId="2680"/>
    <cellStyle name="Normal 11 3 4 2" xfId="7086"/>
    <cellStyle name="Normal 11 3 5" xfId="4876"/>
    <cellStyle name="Normal 11 4" xfId="843"/>
    <cellStyle name="Normal 11 4 2" xfId="3053"/>
    <cellStyle name="Normal 11 4 2 2" xfId="7459"/>
    <cellStyle name="Normal 11 4 3" xfId="5249"/>
    <cellStyle name="Normal 11 5" xfId="1575"/>
    <cellStyle name="Normal 11 5 2" xfId="3785"/>
    <cellStyle name="Normal 11 5 2 2" xfId="8191"/>
    <cellStyle name="Normal 11 5 3" xfId="5981"/>
    <cellStyle name="Normal 11 6" xfId="2321"/>
    <cellStyle name="Normal 11 6 2" xfId="6727"/>
    <cellStyle name="Normal 11 7" xfId="4517"/>
    <cellStyle name="Normal 12" xfId="122"/>
    <cellStyle name="Normal 12 2" xfId="240"/>
    <cellStyle name="Normal 12 2 2" xfId="599"/>
    <cellStyle name="Normal 12 2 2 2" xfId="1332"/>
    <cellStyle name="Normal 12 2 2 2 2" xfId="3542"/>
    <cellStyle name="Normal 12 2 2 2 2 2" xfId="7948"/>
    <cellStyle name="Normal 12 2 2 2 3" xfId="5738"/>
    <cellStyle name="Normal 12 2 2 3" xfId="2064"/>
    <cellStyle name="Normal 12 2 2 3 2" xfId="4274"/>
    <cellStyle name="Normal 12 2 2 3 2 2" xfId="8680"/>
    <cellStyle name="Normal 12 2 2 3 3" xfId="6470"/>
    <cellStyle name="Normal 12 2 2 4" xfId="2810"/>
    <cellStyle name="Normal 12 2 2 4 2" xfId="7216"/>
    <cellStyle name="Normal 12 2 2 5" xfId="5006"/>
    <cellStyle name="Normal 12 2 3" xfId="973"/>
    <cellStyle name="Normal 12 2 3 2" xfId="3183"/>
    <cellStyle name="Normal 12 2 3 2 2" xfId="7589"/>
    <cellStyle name="Normal 12 2 3 3" xfId="5379"/>
    <cellStyle name="Normal 12 2 4" xfId="1705"/>
    <cellStyle name="Normal 12 2 4 2" xfId="3915"/>
    <cellStyle name="Normal 12 2 4 2 2" xfId="8321"/>
    <cellStyle name="Normal 12 2 4 3" xfId="6111"/>
    <cellStyle name="Normal 12 2 5" xfId="2451"/>
    <cellStyle name="Normal 12 2 5 2" xfId="6857"/>
    <cellStyle name="Normal 12 2 6" xfId="4647"/>
    <cellStyle name="Normal 12 3" xfId="483"/>
    <cellStyle name="Normal 12 3 2" xfId="1216"/>
    <cellStyle name="Normal 12 3 2 2" xfId="3426"/>
    <cellStyle name="Normal 12 3 2 2 2" xfId="7832"/>
    <cellStyle name="Normal 12 3 2 3" xfId="5622"/>
    <cellStyle name="Normal 12 3 3" xfId="1948"/>
    <cellStyle name="Normal 12 3 3 2" xfId="4158"/>
    <cellStyle name="Normal 12 3 3 2 2" xfId="8564"/>
    <cellStyle name="Normal 12 3 3 3" xfId="6354"/>
    <cellStyle name="Normal 12 3 4" xfId="2694"/>
    <cellStyle name="Normal 12 3 4 2" xfId="7100"/>
    <cellStyle name="Normal 12 3 5" xfId="4890"/>
    <cellStyle name="Normal 12 4" xfId="857"/>
    <cellStyle name="Normal 12 4 2" xfId="3067"/>
    <cellStyle name="Normal 12 4 2 2" xfId="7473"/>
    <cellStyle name="Normal 12 4 3" xfId="5263"/>
    <cellStyle name="Normal 12 5" xfId="1589"/>
    <cellStyle name="Normal 12 5 2" xfId="3799"/>
    <cellStyle name="Normal 12 5 2 2" xfId="8205"/>
    <cellStyle name="Normal 12 5 3" xfId="5995"/>
    <cellStyle name="Normal 12 6" xfId="2335"/>
    <cellStyle name="Normal 12 6 2" xfId="6741"/>
    <cellStyle name="Normal 12 7" xfId="4531"/>
    <cellStyle name="Normal 13" xfId="136"/>
    <cellStyle name="Normal 13 2" xfId="254"/>
    <cellStyle name="Normal 13 2 2" xfId="613"/>
    <cellStyle name="Normal 13 2 2 2" xfId="1346"/>
    <cellStyle name="Normal 13 2 2 2 2" xfId="3556"/>
    <cellStyle name="Normal 13 2 2 2 2 2" xfId="7962"/>
    <cellStyle name="Normal 13 2 2 2 3" xfId="5752"/>
    <cellStyle name="Normal 13 2 2 3" xfId="2078"/>
    <cellStyle name="Normal 13 2 2 3 2" xfId="4288"/>
    <cellStyle name="Normal 13 2 2 3 2 2" xfId="8694"/>
    <cellStyle name="Normal 13 2 2 3 3" xfId="6484"/>
    <cellStyle name="Normal 13 2 2 4" xfId="2824"/>
    <cellStyle name="Normal 13 2 2 4 2" xfId="7230"/>
    <cellStyle name="Normal 13 2 2 5" xfId="5020"/>
    <cellStyle name="Normal 13 2 3" xfId="987"/>
    <cellStyle name="Normal 13 2 3 2" xfId="3197"/>
    <cellStyle name="Normal 13 2 3 2 2" xfId="7603"/>
    <cellStyle name="Normal 13 2 3 3" xfId="5393"/>
    <cellStyle name="Normal 13 2 4" xfId="1719"/>
    <cellStyle name="Normal 13 2 4 2" xfId="3929"/>
    <cellStyle name="Normal 13 2 4 2 2" xfId="8335"/>
    <cellStyle name="Normal 13 2 4 3" xfId="6125"/>
    <cellStyle name="Normal 13 2 5" xfId="2465"/>
    <cellStyle name="Normal 13 2 5 2" xfId="6871"/>
    <cellStyle name="Normal 13 2 6" xfId="4661"/>
    <cellStyle name="Normal 13 3" xfId="497"/>
    <cellStyle name="Normal 13 3 2" xfId="1230"/>
    <cellStyle name="Normal 13 3 2 2" xfId="3440"/>
    <cellStyle name="Normal 13 3 2 2 2" xfId="7846"/>
    <cellStyle name="Normal 13 3 2 3" xfId="5636"/>
    <cellStyle name="Normal 13 3 3" xfId="1962"/>
    <cellStyle name="Normal 13 3 3 2" xfId="4172"/>
    <cellStyle name="Normal 13 3 3 2 2" xfId="8578"/>
    <cellStyle name="Normal 13 3 3 3" xfId="6368"/>
    <cellStyle name="Normal 13 3 4" xfId="2708"/>
    <cellStyle name="Normal 13 3 4 2" xfId="7114"/>
    <cellStyle name="Normal 13 3 5" xfId="4904"/>
    <cellStyle name="Normal 13 4" xfId="871"/>
    <cellStyle name="Normal 13 4 2" xfId="3081"/>
    <cellStyle name="Normal 13 4 2 2" xfId="7487"/>
    <cellStyle name="Normal 13 4 3" xfId="5277"/>
    <cellStyle name="Normal 13 5" xfId="1603"/>
    <cellStyle name="Normal 13 5 2" xfId="3813"/>
    <cellStyle name="Normal 13 5 2 2" xfId="8219"/>
    <cellStyle name="Normal 13 5 3" xfId="6009"/>
    <cellStyle name="Normal 13 6" xfId="2349"/>
    <cellStyle name="Normal 13 6 2" xfId="6755"/>
    <cellStyle name="Normal 13 7" xfId="4545"/>
    <cellStyle name="Normal 14" xfId="268"/>
    <cellStyle name="Normal 14 2" xfId="627"/>
    <cellStyle name="Normal 14 2 2" xfId="1360"/>
    <cellStyle name="Normal 14 2 2 2" xfId="3570"/>
    <cellStyle name="Normal 14 2 2 2 2" xfId="7976"/>
    <cellStyle name="Normal 14 2 2 3" xfId="5766"/>
    <cellStyle name="Normal 14 2 3" xfId="2092"/>
    <cellStyle name="Normal 14 2 3 2" xfId="4302"/>
    <cellStyle name="Normal 14 2 3 2 2" xfId="8708"/>
    <cellStyle name="Normal 14 2 3 3" xfId="6498"/>
    <cellStyle name="Normal 14 2 4" xfId="2838"/>
    <cellStyle name="Normal 14 2 4 2" xfId="7244"/>
    <cellStyle name="Normal 14 2 5" xfId="5034"/>
    <cellStyle name="Normal 14 3" xfId="1001"/>
    <cellStyle name="Normal 14 3 2" xfId="3211"/>
    <cellStyle name="Normal 14 3 2 2" xfId="7617"/>
    <cellStyle name="Normal 14 3 3" xfId="5407"/>
    <cellStyle name="Normal 14 4" xfId="1733"/>
    <cellStyle name="Normal 14 4 2" xfId="3943"/>
    <cellStyle name="Normal 14 4 2 2" xfId="8349"/>
    <cellStyle name="Normal 14 4 3" xfId="6139"/>
    <cellStyle name="Normal 14 5" xfId="2479"/>
    <cellStyle name="Normal 14 5 2" xfId="6885"/>
    <cellStyle name="Normal 14 6" xfId="4675"/>
    <cellStyle name="Normal 15" xfId="282"/>
    <cellStyle name="Normal 15 2" xfId="641"/>
    <cellStyle name="Normal 15 2 2" xfId="1374"/>
    <cellStyle name="Normal 15 2 2 2" xfId="3584"/>
    <cellStyle name="Normal 15 2 2 2 2" xfId="7990"/>
    <cellStyle name="Normal 15 2 2 3" xfId="5780"/>
    <cellStyle name="Normal 15 2 3" xfId="2106"/>
    <cellStyle name="Normal 15 2 3 2" xfId="4316"/>
    <cellStyle name="Normal 15 2 3 2 2" xfId="8722"/>
    <cellStyle name="Normal 15 2 3 3" xfId="6512"/>
    <cellStyle name="Normal 15 2 4" xfId="2852"/>
    <cellStyle name="Normal 15 2 4 2" xfId="7258"/>
    <cellStyle name="Normal 15 2 5" xfId="5048"/>
    <cellStyle name="Normal 15 3" xfId="1015"/>
    <cellStyle name="Normal 15 3 2" xfId="3225"/>
    <cellStyle name="Normal 15 3 2 2" xfId="7631"/>
    <cellStyle name="Normal 15 3 3" xfId="5421"/>
    <cellStyle name="Normal 15 4" xfId="1747"/>
    <cellStyle name="Normal 15 4 2" xfId="3957"/>
    <cellStyle name="Normal 15 4 2 2" xfId="8363"/>
    <cellStyle name="Normal 15 4 3" xfId="6153"/>
    <cellStyle name="Normal 15 5" xfId="2493"/>
    <cellStyle name="Normal 15 5 2" xfId="6899"/>
    <cellStyle name="Normal 15 6" xfId="4689"/>
    <cellStyle name="Normal 16" xfId="296"/>
    <cellStyle name="Normal 16 2" xfId="655"/>
    <cellStyle name="Normal 16 2 2" xfId="1388"/>
    <cellStyle name="Normal 16 2 2 2" xfId="3598"/>
    <cellStyle name="Normal 16 2 2 2 2" xfId="8004"/>
    <cellStyle name="Normal 16 2 2 3" xfId="5794"/>
    <cellStyle name="Normal 16 2 3" xfId="2120"/>
    <cellStyle name="Normal 16 2 3 2" xfId="4330"/>
    <cellStyle name="Normal 16 2 3 2 2" xfId="8736"/>
    <cellStyle name="Normal 16 2 3 3" xfId="6526"/>
    <cellStyle name="Normal 16 2 4" xfId="2866"/>
    <cellStyle name="Normal 16 2 4 2" xfId="7272"/>
    <cellStyle name="Normal 16 2 5" xfId="5062"/>
    <cellStyle name="Normal 16 3" xfId="1029"/>
    <cellStyle name="Normal 16 3 2" xfId="3239"/>
    <cellStyle name="Normal 16 3 2 2" xfId="7645"/>
    <cellStyle name="Normal 16 3 3" xfId="5435"/>
    <cellStyle name="Normal 16 4" xfId="1761"/>
    <cellStyle name="Normal 16 4 2" xfId="3971"/>
    <cellStyle name="Normal 16 4 2 2" xfId="8377"/>
    <cellStyle name="Normal 16 4 3" xfId="6167"/>
    <cellStyle name="Normal 16 5" xfId="2507"/>
    <cellStyle name="Normal 16 5 2" xfId="6913"/>
    <cellStyle name="Normal 16 6" xfId="4703"/>
    <cellStyle name="Normal 17" xfId="310"/>
    <cellStyle name="Normal 17 2" xfId="669"/>
    <cellStyle name="Normal 17 2 2" xfId="1402"/>
    <cellStyle name="Normal 17 2 2 2" xfId="3612"/>
    <cellStyle name="Normal 17 2 2 2 2" xfId="8018"/>
    <cellStyle name="Normal 17 2 2 3" xfId="5808"/>
    <cellStyle name="Normal 17 2 3" xfId="2134"/>
    <cellStyle name="Normal 17 2 3 2" xfId="4344"/>
    <cellStyle name="Normal 17 2 3 2 2" xfId="8750"/>
    <cellStyle name="Normal 17 2 3 3" xfId="6540"/>
    <cellStyle name="Normal 17 2 4" xfId="2880"/>
    <cellStyle name="Normal 17 2 4 2" xfId="7286"/>
    <cellStyle name="Normal 17 2 5" xfId="5076"/>
    <cellStyle name="Normal 17 3" xfId="2"/>
    <cellStyle name="Normal 17 3 2" xfId="3253"/>
    <cellStyle name="Normal 17 3 2 2" xfId="7659"/>
    <cellStyle name="Normal 17 3 3" xfId="5449"/>
    <cellStyle name="Normal 17 3 4" xfId="1043"/>
    <cellStyle name="Normal 17 4" xfId="1775"/>
    <cellStyle name="Normal 17 4 2" xfId="3985"/>
    <cellStyle name="Normal 17 4 2 2" xfId="8391"/>
    <cellStyle name="Normal 17 4 3" xfId="6181"/>
    <cellStyle name="Normal 17 5" xfId="2521"/>
    <cellStyle name="Normal 17 5 2" xfId="6927"/>
    <cellStyle name="Normal 17 6" xfId="4717"/>
    <cellStyle name="Normal 18" xfId="324"/>
    <cellStyle name="Normal 18 2" xfId="683"/>
    <cellStyle name="Normal 18 2 2" xfId="1416"/>
    <cellStyle name="Normal 18 2 2 2" xfId="3626"/>
    <cellStyle name="Normal 18 2 2 2 2" xfId="8032"/>
    <cellStyle name="Normal 18 2 2 3" xfId="5822"/>
    <cellStyle name="Normal 18 2 3" xfId="2148"/>
    <cellStyle name="Normal 18 2 3 2" xfId="4358"/>
    <cellStyle name="Normal 18 2 3 2 2" xfId="8764"/>
    <cellStyle name="Normal 18 2 3 3" xfId="6554"/>
    <cellStyle name="Normal 18 2 4" xfId="2894"/>
    <cellStyle name="Normal 18 2 4 2" xfId="7300"/>
    <cellStyle name="Normal 18 2 5" xfId="5090"/>
    <cellStyle name="Normal 18 3" xfId="1057"/>
    <cellStyle name="Normal 18 3 2" xfId="3267"/>
    <cellStyle name="Normal 18 3 2 2" xfId="7673"/>
    <cellStyle name="Normal 18 3 3" xfId="5463"/>
    <cellStyle name="Normal 18 4" xfId="1789"/>
    <cellStyle name="Normal 18 4 2" xfId="3999"/>
    <cellStyle name="Normal 18 4 2 2" xfId="8405"/>
    <cellStyle name="Normal 18 4 3" xfId="6195"/>
    <cellStyle name="Normal 18 5" xfId="2535"/>
    <cellStyle name="Normal 18 5 2" xfId="6941"/>
    <cellStyle name="Normal 18 6" xfId="4731"/>
    <cellStyle name="Normal 19" xfId="338"/>
    <cellStyle name="Normal 19 2" xfId="697"/>
    <cellStyle name="Normal 19 2 2" xfId="1430"/>
    <cellStyle name="Normal 19 2 2 2" xfId="3640"/>
    <cellStyle name="Normal 19 2 2 2 2" xfId="8046"/>
    <cellStyle name="Normal 19 2 2 3" xfId="5836"/>
    <cellStyle name="Normal 19 2 3" xfId="2162"/>
    <cellStyle name="Normal 19 2 3 2" xfId="4372"/>
    <cellStyle name="Normal 19 2 3 2 2" xfId="8778"/>
    <cellStyle name="Normal 19 2 3 3" xfId="6568"/>
    <cellStyle name="Normal 19 2 4" xfId="2908"/>
    <cellStyle name="Normal 19 2 4 2" xfId="7314"/>
    <cellStyle name="Normal 19 2 5" xfId="5104"/>
    <cellStyle name="Normal 19 3" xfId="1071"/>
    <cellStyle name="Normal 19 3 2" xfId="3281"/>
    <cellStyle name="Normal 19 3 2 2" xfId="7687"/>
    <cellStyle name="Normal 19 3 3" xfId="5477"/>
    <cellStyle name="Normal 19 4" xfId="1803"/>
    <cellStyle name="Normal 19 4 2" xfId="4013"/>
    <cellStyle name="Normal 19 4 2 2" xfId="8419"/>
    <cellStyle name="Normal 19 4 3" xfId="6209"/>
    <cellStyle name="Normal 19 5" xfId="2549"/>
    <cellStyle name="Normal 19 5 2" xfId="6955"/>
    <cellStyle name="Normal 19 6" xfId="4745"/>
    <cellStyle name="Normal 2" xfId="45"/>
    <cellStyle name="Normal 2 2" xfId="151"/>
    <cellStyle name="Normal 2 2 2" xfId="511"/>
    <cellStyle name="Normal 2 2 2 2" xfId="1244"/>
    <cellStyle name="Normal 2 2 2 2 2" xfId="3454"/>
    <cellStyle name="Normal 2 2 2 2 2 2" xfId="7860"/>
    <cellStyle name="Normal 2 2 2 2 3" xfId="5650"/>
    <cellStyle name="Normal 2 2 2 3" xfId="1976"/>
    <cellStyle name="Normal 2 2 2 3 2" xfId="4186"/>
    <cellStyle name="Normal 2 2 2 3 2 2" xfId="8592"/>
    <cellStyle name="Normal 2 2 2 3 3" xfId="6382"/>
    <cellStyle name="Normal 2 2 2 4" xfId="2722"/>
    <cellStyle name="Normal 2 2 2 4 2" xfId="7128"/>
    <cellStyle name="Normal 2 2 2 5" xfId="4918"/>
    <cellStyle name="Normal 2 2 3" xfId="885"/>
    <cellStyle name="Normal 2 2 3 2" xfId="3095"/>
    <cellStyle name="Normal 2 2 3 2 2" xfId="7501"/>
    <cellStyle name="Normal 2 2 3 3" xfId="5291"/>
    <cellStyle name="Normal 2 2 4" xfId="1617"/>
    <cellStyle name="Normal 2 2 4 2" xfId="3827"/>
    <cellStyle name="Normal 2 2 4 2 2" xfId="8233"/>
    <cellStyle name="Normal 2 2 4 3" xfId="6023"/>
    <cellStyle name="Normal 2 2 5" xfId="2363"/>
    <cellStyle name="Normal 2 2 5 2" xfId="6769"/>
    <cellStyle name="Normal 2 2 6" xfId="4559"/>
    <cellStyle name="Normal 2 3" xfId="395"/>
    <cellStyle name="Normal 2 3 2" xfId="1128"/>
    <cellStyle name="Normal 2 3 2 2" xfId="3338"/>
    <cellStyle name="Normal 2 3 2 2 2" xfId="7744"/>
    <cellStyle name="Normal 2 3 2 3" xfId="5534"/>
    <cellStyle name="Normal 2 3 3" xfId="1860"/>
    <cellStyle name="Normal 2 3 3 2" xfId="4070"/>
    <cellStyle name="Normal 2 3 3 2 2" xfId="8476"/>
    <cellStyle name="Normal 2 3 3 3" xfId="6266"/>
    <cellStyle name="Normal 2 3 4" xfId="2606"/>
    <cellStyle name="Normal 2 3 4 2" xfId="7012"/>
    <cellStyle name="Normal 2 3 5" xfId="4802"/>
    <cellStyle name="Normal 2 4" xfId="769"/>
    <cellStyle name="Normal 2 4 2" xfId="2979"/>
    <cellStyle name="Normal 2 4 2 2" xfId="7385"/>
    <cellStyle name="Normal 2 4 3" xfId="5175"/>
    <cellStyle name="Normal 2 5" xfId="1501"/>
    <cellStyle name="Normal 2 5 2" xfId="3711"/>
    <cellStyle name="Normal 2 5 2 2" xfId="8117"/>
    <cellStyle name="Normal 2 5 3" xfId="5907"/>
    <cellStyle name="Normal 2 6" xfId="2247"/>
    <cellStyle name="Normal 2 6 2" xfId="6653"/>
    <cellStyle name="Normal 2 7" xfId="4443"/>
    <cellStyle name="Normal 20" xfId="352"/>
    <cellStyle name="Normal 20 2" xfId="711"/>
    <cellStyle name="Normal 20 2 2" xfId="1444"/>
    <cellStyle name="Normal 20 2 2 2" xfId="3654"/>
    <cellStyle name="Normal 20 2 2 2 2" xfId="8060"/>
    <cellStyle name="Normal 20 2 2 3" xfId="5850"/>
    <cellStyle name="Normal 20 2 3" xfId="2176"/>
    <cellStyle name="Normal 20 2 3 2" xfId="4386"/>
    <cellStyle name="Normal 20 2 3 2 2" xfId="8792"/>
    <cellStyle name="Normal 20 2 3 3" xfId="6582"/>
    <cellStyle name="Normal 20 2 4" xfId="2922"/>
    <cellStyle name="Normal 20 2 4 2" xfId="7328"/>
    <cellStyle name="Normal 20 2 5" xfId="5118"/>
    <cellStyle name="Normal 20 3" xfId="1085"/>
    <cellStyle name="Normal 20 3 2" xfId="3295"/>
    <cellStyle name="Normal 20 3 2 2" xfId="7701"/>
    <cellStyle name="Normal 20 3 3" xfId="5491"/>
    <cellStyle name="Normal 20 4" xfId="1817"/>
    <cellStyle name="Normal 20 4 2" xfId="4027"/>
    <cellStyle name="Normal 20 4 2 2" xfId="8433"/>
    <cellStyle name="Normal 20 4 3" xfId="6223"/>
    <cellStyle name="Normal 20 5" xfId="2563"/>
    <cellStyle name="Normal 20 5 2" xfId="6969"/>
    <cellStyle name="Normal 20 6" xfId="4759"/>
    <cellStyle name="Normal 21" xfId="366"/>
    <cellStyle name="Normal 21 2" xfId="725"/>
    <cellStyle name="Normal 21 2 2" xfId="1458"/>
    <cellStyle name="Normal 21 2 2 2" xfId="3668"/>
    <cellStyle name="Normal 21 2 2 2 2" xfId="8074"/>
    <cellStyle name="Normal 21 2 2 3" xfId="5864"/>
    <cellStyle name="Normal 21 2 3" xfId="2190"/>
    <cellStyle name="Normal 21 2 3 2" xfId="4400"/>
    <cellStyle name="Normal 21 2 3 2 2" xfId="8806"/>
    <cellStyle name="Normal 21 2 3 3" xfId="6596"/>
    <cellStyle name="Normal 21 2 4" xfId="2936"/>
    <cellStyle name="Normal 21 2 4 2" xfId="7342"/>
    <cellStyle name="Normal 21 2 5" xfId="5132"/>
    <cellStyle name="Normal 21 3" xfId="1099"/>
    <cellStyle name="Normal 21 3 2" xfId="3309"/>
    <cellStyle name="Normal 21 3 2 2" xfId="7715"/>
    <cellStyle name="Normal 21 3 3" xfId="5505"/>
    <cellStyle name="Normal 21 4" xfId="1831"/>
    <cellStyle name="Normal 21 4 2" xfId="4041"/>
    <cellStyle name="Normal 21 4 2 2" xfId="8447"/>
    <cellStyle name="Normal 21 4 3" xfId="6237"/>
    <cellStyle name="Normal 21 5" xfId="2577"/>
    <cellStyle name="Normal 21 5 2" xfId="6983"/>
    <cellStyle name="Normal 21 6" xfId="4773"/>
    <cellStyle name="Normal 22" xfId="380"/>
    <cellStyle name="Normal 22 2" xfId="739"/>
    <cellStyle name="Normal 22 2 2" xfId="1472"/>
    <cellStyle name="Normal 22 2 2 2" xfId="3682"/>
    <cellStyle name="Normal 22 2 2 2 2" xfId="8088"/>
    <cellStyle name="Normal 22 2 2 3" xfId="5878"/>
    <cellStyle name="Normal 22 2 3" xfId="2204"/>
    <cellStyle name="Normal 22 2 3 2" xfId="4414"/>
    <cellStyle name="Normal 22 2 3 2 2" xfId="8820"/>
    <cellStyle name="Normal 22 2 3 3" xfId="6610"/>
    <cellStyle name="Normal 22 2 4" xfId="2950"/>
    <cellStyle name="Normal 22 2 4 2" xfId="7356"/>
    <cellStyle name="Normal 22 2 5" xfId="5146"/>
    <cellStyle name="Normal 22 3" xfId="1113"/>
    <cellStyle name="Normal 22 3 2" xfId="3323"/>
    <cellStyle name="Normal 22 3 2 2" xfId="7729"/>
    <cellStyle name="Normal 22 3 3" xfId="5519"/>
    <cellStyle name="Normal 22 4" xfId="1845"/>
    <cellStyle name="Normal 22 4 2" xfId="4055"/>
    <cellStyle name="Normal 22 4 2 2" xfId="8461"/>
    <cellStyle name="Normal 22 4 3" xfId="6251"/>
    <cellStyle name="Normal 22 5" xfId="2591"/>
    <cellStyle name="Normal 22 5 2" xfId="6997"/>
    <cellStyle name="Normal 22 6" xfId="4787"/>
    <cellStyle name="Normal 23" xfId="394"/>
    <cellStyle name="Normal 23 2" xfId="753"/>
    <cellStyle name="Normal 23 2 2" xfId="1486"/>
    <cellStyle name="Normal 23 2 2 2" xfId="3696"/>
    <cellStyle name="Normal 23 2 2 2 2" xfId="8102"/>
    <cellStyle name="Normal 23 2 2 3" xfId="5892"/>
    <cellStyle name="Normal 23 2 3" xfId="2218"/>
    <cellStyle name="Normal 23 2 3 2" xfId="4428"/>
    <cellStyle name="Normal 23 2 3 2 2" xfId="8834"/>
    <cellStyle name="Normal 23 2 3 3" xfId="6624"/>
    <cellStyle name="Normal 23 2 4" xfId="2964"/>
    <cellStyle name="Normal 23 2 4 2" xfId="7370"/>
    <cellStyle name="Normal 23 2 5" xfId="5160"/>
    <cellStyle name="Normal 23 3" xfId="1127"/>
    <cellStyle name="Normal 23 3 2" xfId="3337"/>
    <cellStyle name="Normal 23 3 2 2" xfId="7743"/>
    <cellStyle name="Normal 23 3 3" xfId="5533"/>
    <cellStyle name="Normal 23 4" xfId="1859"/>
    <cellStyle name="Normal 23 4 2" xfId="4069"/>
    <cellStyle name="Normal 23 4 2 2" xfId="8475"/>
    <cellStyle name="Normal 23 4 3" xfId="6265"/>
    <cellStyle name="Normal 23 5" xfId="2605"/>
    <cellStyle name="Normal 23 5 2" xfId="7011"/>
    <cellStyle name="Normal 23 6" xfId="4801"/>
    <cellStyle name="Normal 24" xfId="754"/>
    <cellStyle name="Normal 24 2" xfId="1487"/>
    <cellStyle name="Normal 24 2 2" xfId="3697"/>
    <cellStyle name="Normal 24 2 2 2" xfId="8103"/>
    <cellStyle name="Normal 24 2 3" xfId="5893"/>
    <cellStyle name="Normal 24 3" xfId="2219"/>
    <cellStyle name="Normal 24 3 2" xfId="4429"/>
    <cellStyle name="Normal 24 3 2 2" xfId="8835"/>
    <cellStyle name="Normal 24 3 3" xfId="6625"/>
    <cellStyle name="Normal 24 4" xfId="2965"/>
    <cellStyle name="Normal 24 4 2" xfId="7371"/>
    <cellStyle name="Normal 24 5" xfId="5161"/>
    <cellStyle name="Normal 25" xfId="768"/>
    <cellStyle name="Normal 26" xfId="2233"/>
    <cellStyle name="Normal 26 2" xfId="6639"/>
    <cellStyle name="Normal 27" xfId="43"/>
    <cellStyle name="Normal 3" xfId="47"/>
    <cellStyle name="Normal 3 2" xfId="153"/>
    <cellStyle name="Normal 3 2 2" xfId="512"/>
    <cellStyle name="Normal 3 2 2 2" xfId="1245"/>
    <cellStyle name="Normal 3 2 2 2 2" xfId="3455"/>
    <cellStyle name="Normal 3 2 2 2 2 2" xfId="7861"/>
    <cellStyle name="Normal 3 2 2 2 3" xfId="5651"/>
    <cellStyle name="Normal 3 2 2 3" xfId="1977"/>
    <cellStyle name="Normal 3 2 2 3 2" xfId="4187"/>
    <cellStyle name="Normal 3 2 2 3 2 2" xfId="8593"/>
    <cellStyle name="Normal 3 2 2 3 3" xfId="6383"/>
    <cellStyle name="Normal 3 2 2 4" xfId="2723"/>
    <cellStyle name="Normal 3 2 2 4 2" xfId="7129"/>
    <cellStyle name="Normal 3 2 2 5" xfId="4919"/>
    <cellStyle name="Normal 3 2 3" xfId="886"/>
    <cellStyle name="Normal 3 2 3 2" xfId="3096"/>
    <cellStyle name="Normal 3 2 3 2 2" xfId="7502"/>
    <cellStyle name="Normal 3 2 3 3" xfId="5292"/>
    <cellStyle name="Normal 3 2 4" xfId="1618"/>
    <cellStyle name="Normal 3 2 4 2" xfId="3828"/>
    <cellStyle name="Normal 3 2 4 2 2" xfId="8234"/>
    <cellStyle name="Normal 3 2 4 3" xfId="6024"/>
    <cellStyle name="Normal 3 2 5" xfId="2364"/>
    <cellStyle name="Normal 3 2 5 2" xfId="6770"/>
    <cellStyle name="Normal 3 2 6" xfId="4560"/>
    <cellStyle name="Normal 3 3" xfId="396"/>
    <cellStyle name="Normal 3 3 2" xfId="1129"/>
    <cellStyle name="Normal 3 3 2 2" xfId="3339"/>
    <cellStyle name="Normal 3 3 2 2 2" xfId="7745"/>
    <cellStyle name="Normal 3 3 2 3" xfId="5535"/>
    <cellStyle name="Normal 3 3 3" xfId="1861"/>
    <cellStyle name="Normal 3 3 3 2" xfId="4071"/>
    <cellStyle name="Normal 3 3 3 2 2" xfId="8477"/>
    <cellStyle name="Normal 3 3 3 3" xfId="6267"/>
    <cellStyle name="Normal 3 3 4" xfId="2607"/>
    <cellStyle name="Normal 3 3 4 2" xfId="7013"/>
    <cellStyle name="Normal 3 3 5" xfId="4803"/>
    <cellStyle name="Normal 3 4" xfId="770"/>
    <cellStyle name="Normal 3 4 2" xfId="2980"/>
    <cellStyle name="Normal 3 4 2 2" xfId="7386"/>
    <cellStyle name="Normal 3 4 3" xfId="5176"/>
    <cellStyle name="Normal 3 5" xfId="1502"/>
    <cellStyle name="Normal 3 5 2" xfId="3712"/>
    <cellStyle name="Normal 3 5 2 2" xfId="8118"/>
    <cellStyle name="Normal 3 5 3" xfId="5908"/>
    <cellStyle name="Normal 3 6" xfId="2248"/>
    <cellStyle name="Normal 3 6 2" xfId="6654"/>
    <cellStyle name="Normal 3 7" xfId="4444"/>
    <cellStyle name="Normal 4" xfId="48"/>
    <cellStyle name="Normal 4 2" xfId="154"/>
    <cellStyle name="Normal 4 2 2" xfId="513"/>
    <cellStyle name="Normal 4 2 2 2" xfId="1246"/>
    <cellStyle name="Normal 4 2 2 2 2" xfId="3456"/>
    <cellStyle name="Normal 4 2 2 2 2 2" xfId="7862"/>
    <cellStyle name="Normal 4 2 2 2 3" xfId="5652"/>
    <cellStyle name="Normal 4 2 2 3" xfId="1978"/>
    <cellStyle name="Normal 4 2 2 3 2" xfId="4188"/>
    <cellStyle name="Normal 4 2 2 3 2 2" xfId="8594"/>
    <cellStyle name="Normal 4 2 2 3 3" xfId="6384"/>
    <cellStyle name="Normal 4 2 2 4" xfId="2724"/>
    <cellStyle name="Normal 4 2 2 4 2" xfId="7130"/>
    <cellStyle name="Normal 4 2 2 5" xfId="4920"/>
    <cellStyle name="Normal 4 2 3" xfId="887"/>
    <cellStyle name="Normal 4 2 3 2" xfId="3097"/>
    <cellStyle name="Normal 4 2 3 2 2" xfId="7503"/>
    <cellStyle name="Normal 4 2 3 3" xfId="5293"/>
    <cellStyle name="Normal 4 2 4" xfId="1619"/>
    <cellStyle name="Normal 4 2 4 2" xfId="3829"/>
    <cellStyle name="Normal 4 2 4 2 2" xfId="8235"/>
    <cellStyle name="Normal 4 2 4 3" xfId="6025"/>
    <cellStyle name="Normal 4 2 5" xfId="2365"/>
    <cellStyle name="Normal 4 2 5 2" xfId="6771"/>
    <cellStyle name="Normal 4 2 6" xfId="4561"/>
    <cellStyle name="Normal 4 3" xfId="397"/>
    <cellStyle name="Normal 4 3 2" xfId="1130"/>
    <cellStyle name="Normal 4 3 2 2" xfId="3340"/>
    <cellStyle name="Normal 4 3 2 2 2" xfId="7746"/>
    <cellStyle name="Normal 4 3 2 3" xfId="5536"/>
    <cellStyle name="Normal 4 3 3" xfId="1862"/>
    <cellStyle name="Normal 4 3 3 2" xfId="4072"/>
    <cellStyle name="Normal 4 3 3 2 2" xfId="8478"/>
    <cellStyle name="Normal 4 3 3 3" xfId="6268"/>
    <cellStyle name="Normal 4 3 4" xfId="2608"/>
    <cellStyle name="Normal 4 3 4 2" xfId="7014"/>
    <cellStyle name="Normal 4 3 5" xfId="4804"/>
    <cellStyle name="Normal 4 4" xfId="771"/>
    <cellStyle name="Normal 4 4 2" xfId="2981"/>
    <cellStyle name="Normal 4 4 2 2" xfId="7387"/>
    <cellStyle name="Normal 4 4 3" xfId="5177"/>
    <cellStyle name="Normal 4 5" xfId="1503"/>
    <cellStyle name="Normal 4 5 2" xfId="3713"/>
    <cellStyle name="Normal 4 5 2 2" xfId="8119"/>
    <cellStyle name="Normal 4 5 3" xfId="5909"/>
    <cellStyle name="Normal 4 6" xfId="2249"/>
    <cellStyle name="Normal 4 6 2" xfId="6655"/>
    <cellStyle name="Normal 4 7" xfId="4445"/>
    <cellStyle name="Normal 5" xfId="49"/>
    <cellStyle name="Normal 5 2" xfId="155"/>
    <cellStyle name="Normal 5 2 2" xfId="514"/>
    <cellStyle name="Normal 5 2 2 2" xfId="1247"/>
    <cellStyle name="Normal 5 2 2 2 2" xfId="3457"/>
    <cellStyle name="Normal 5 2 2 2 2 2" xfId="7863"/>
    <cellStyle name="Normal 5 2 2 2 3" xfId="5653"/>
    <cellStyle name="Normal 5 2 2 3" xfId="1979"/>
    <cellStyle name="Normal 5 2 2 3 2" xfId="4189"/>
    <cellStyle name="Normal 5 2 2 3 2 2" xfId="8595"/>
    <cellStyle name="Normal 5 2 2 3 3" xfId="6385"/>
    <cellStyle name="Normal 5 2 2 4" xfId="2725"/>
    <cellStyle name="Normal 5 2 2 4 2" xfId="7131"/>
    <cellStyle name="Normal 5 2 2 5" xfId="4921"/>
    <cellStyle name="Normal 5 2 3" xfId="888"/>
    <cellStyle name="Normal 5 2 3 2" xfId="3098"/>
    <cellStyle name="Normal 5 2 3 2 2" xfId="7504"/>
    <cellStyle name="Normal 5 2 3 3" xfId="5294"/>
    <cellStyle name="Normal 5 2 4" xfId="1620"/>
    <cellStyle name="Normal 5 2 4 2" xfId="3830"/>
    <cellStyle name="Normal 5 2 4 2 2" xfId="8236"/>
    <cellStyle name="Normal 5 2 4 3" xfId="6026"/>
    <cellStyle name="Normal 5 2 5" xfId="2366"/>
    <cellStyle name="Normal 5 2 5 2" xfId="6772"/>
    <cellStyle name="Normal 5 2 6" xfId="4562"/>
    <cellStyle name="Normal 5 3" xfId="398"/>
    <cellStyle name="Normal 5 3 2" xfId="1131"/>
    <cellStyle name="Normal 5 3 2 2" xfId="3341"/>
    <cellStyle name="Normal 5 3 2 2 2" xfId="7747"/>
    <cellStyle name="Normal 5 3 2 3" xfId="5537"/>
    <cellStyle name="Normal 5 3 3" xfId="1863"/>
    <cellStyle name="Normal 5 3 3 2" xfId="4073"/>
    <cellStyle name="Normal 5 3 3 2 2" xfId="8479"/>
    <cellStyle name="Normal 5 3 3 3" xfId="6269"/>
    <cellStyle name="Normal 5 3 4" xfId="2609"/>
    <cellStyle name="Normal 5 3 4 2" xfId="7015"/>
    <cellStyle name="Normal 5 3 5" xfId="4805"/>
    <cellStyle name="Normal 5 4" xfId="772"/>
    <cellStyle name="Normal 5 4 2" xfId="2982"/>
    <cellStyle name="Normal 5 4 2 2" xfId="7388"/>
    <cellStyle name="Normal 5 4 3" xfId="5178"/>
    <cellStyle name="Normal 5 5" xfId="1504"/>
    <cellStyle name="Normal 5 5 2" xfId="3714"/>
    <cellStyle name="Normal 5 5 2 2" xfId="8120"/>
    <cellStyle name="Normal 5 5 3" xfId="5910"/>
    <cellStyle name="Normal 5 6" xfId="2250"/>
    <cellStyle name="Normal 5 6 2" xfId="6656"/>
    <cellStyle name="Normal 5 7" xfId="4446"/>
    <cellStyle name="Normal 6" xfId="50"/>
    <cellStyle name="Normal 6 2" xfId="168"/>
    <cellStyle name="Normal 6 2 2" xfId="527"/>
    <cellStyle name="Normal 6 2 2 2" xfId="1260"/>
    <cellStyle name="Normal 6 2 2 2 2" xfId="3470"/>
    <cellStyle name="Normal 6 2 2 2 2 2" xfId="7876"/>
    <cellStyle name="Normal 6 2 2 2 3" xfId="5666"/>
    <cellStyle name="Normal 6 2 2 3" xfId="1992"/>
    <cellStyle name="Normal 6 2 2 3 2" xfId="4202"/>
    <cellStyle name="Normal 6 2 2 3 2 2" xfId="8608"/>
    <cellStyle name="Normal 6 2 2 3 3" xfId="6398"/>
    <cellStyle name="Normal 6 2 2 4" xfId="2738"/>
    <cellStyle name="Normal 6 2 2 4 2" xfId="7144"/>
    <cellStyle name="Normal 6 2 2 5" xfId="4934"/>
    <cellStyle name="Normal 6 2 3" xfId="901"/>
    <cellStyle name="Normal 6 2 3 2" xfId="3111"/>
    <cellStyle name="Normal 6 2 3 2 2" xfId="7517"/>
    <cellStyle name="Normal 6 2 3 3" xfId="5307"/>
    <cellStyle name="Normal 6 2 4" xfId="1633"/>
    <cellStyle name="Normal 6 2 4 2" xfId="3843"/>
    <cellStyle name="Normal 6 2 4 2 2" xfId="8249"/>
    <cellStyle name="Normal 6 2 4 3" xfId="6039"/>
    <cellStyle name="Normal 6 2 5" xfId="2379"/>
    <cellStyle name="Normal 6 2 5 2" xfId="6785"/>
    <cellStyle name="Normal 6 2 6" xfId="4575"/>
    <cellStyle name="Normal 6 3" xfId="411"/>
    <cellStyle name="Normal 6 3 2" xfId="1144"/>
    <cellStyle name="Normal 6 3 2 2" xfId="3354"/>
    <cellStyle name="Normal 6 3 2 2 2" xfId="7760"/>
    <cellStyle name="Normal 6 3 2 3" xfId="5550"/>
    <cellStyle name="Normal 6 3 3" xfId="1876"/>
    <cellStyle name="Normal 6 3 3 2" xfId="4086"/>
    <cellStyle name="Normal 6 3 3 2 2" xfId="8492"/>
    <cellStyle name="Normal 6 3 3 3" xfId="6282"/>
    <cellStyle name="Normal 6 3 4" xfId="2622"/>
    <cellStyle name="Normal 6 3 4 2" xfId="7028"/>
    <cellStyle name="Normal 6 3 5" xfId="4818"/>
    <cellStyle name="Normal 6 4" xfId="785"/>
    <cellStyle name="Normal 6 4 2" xfId="2995"/>
    <cellStyle name="Normal 6 4 2 2" xfId="7401"/>
    <cellStyle name="Normal 6 4 3" xfId="5191"/>
    <cellStyle name="Normal 6 5" xfId="1517"/>
    <cellStyle name="Normal 6 5 2" xfId="3727"/>
    <cellStyle name="Normal 6 5 2 2" xfId="8133"/>
    <cellStyle name="Normal 6 5 3" xfId="5923"/>
    <cellStyle name="Normal 6 6" xfId="2263"/>
    <cellStyle name="Normal 6 6 2" xfId="6669"/>
    <cellStyle name="Normal 6 7" xfId="4459"/>
    <cellStyle name="Normal 7" xfId="52"/>
    <cellStyle name="Normal 7 2" xfId="170"/>
    <cellStyle name="Normal 7 2 2" xfId="529"/>
    <cellStyle name="Normal 7 2 2 2" xfId="1262"/>
    <cellStyle name="Normal 7 2 2 2 2" xfId="3472"/>
    <cellStyle name="Normal 7 2 2 2 2 2" xfId="7878"/>
    <cellStyle name="Normal 7 2 2 2 3" xfId="5668"/>
    <cellStyle name="Normal 7 2 2 3" xfId="1994"/>
    <cellStyle name="Normal 7 2 2 3 2" xfId="4204"/>
    <cellStyle name="Normal 7 2 2 3 2 2" xfId="8610"/>
    <cellStyle name="Normal 7 2 2 3 3" xfId="6400"/>
    <cellStyle name="Normal 7 2 2 4" xfId="2740"/>
    <cellStyle name="Normal 7 2 2 4 2" xfId="7146"/>
    <cellStyle name="Normal 7 2 2 5" xfId="4936"/>
    <cellStyle name="Normal 7 2 3" xfId="903"/>
    <cellStyle name="Normal 7 2 3 2" xfId="3113"/>
    <cellStyle name="Normal 7 2 3 2 2" xfId="7519"/>
    <cellStyle name="Normal 7 2 3 3" xfId="5309"/>
    <cellStyle name="Normal 7 2 4" xfId="1635"/>
    <cellStyle name="Normal 7 2 4 2" xfId="3845"/>
    <cellStyle name="Normal 7 2 4 2 2" xfId="8251"/>
    <cellStyle name="Normal 7 2 4 3" xfId="6041"/>
    <cellStyle name="Normal 7 2 5" xfId="2381"/>
    <cellStyle name="Normal 7 2 5 2" xfId="6787"/>
    <cellStyle name="Normal 7 2 6" xfId="4577"/>
    <cellStyle name="Normal 7 3" xfId="413"/>
    <cellStyle name="Normal 7 3 2" xfId="1146"/>
    <cellStyle name="Normal 7 3 2 2" xfId="3356"/>
    <cellStyle name="Normal 7 3 2 2 2" xfId="7762"/>
    <cellStyle name="Normal 7 3 2 3" xfId="5552"/>
    <cellStyle name="Normal 7 3 3" xfId="1878"/>
    <cellStyle name="Normal 7 3 3 2" xfId="4088"/>
    <cellStyle name="Normal 7 3 3 2 2" xfId="8494"/>
    <cellStyle name="Normal 7 3 3 3" xfId="6284"/>
    <cellStyle name="Normal 7 3 4" xfId="2624"/>
    <cellStyle name="Normal 7 3 4 2" xfId="7030"/>
    <cellStyle name="Normal 7 3 5" xfId="4820"/>
    <cellStyle name="Normal 7 4" xfId="787"/>
    <cellStyle name="Normal 7 4 2" xfId="2997"/>
    <cellStyle name="Normal 7 4 2 2" xfId="7403"/>
    <cellStyle name="Normal 7 4 3" xfId="5193"/>
    <cellStyle name="Normal 7 5" xfId="1519"/>
    <cellStyle name="Normal 7 5 2" xfId="3729"/>
    <cellStyle name="Normal 7 5 2 2" xfId="8135"/>
    <cellStyle name="Normal 7 5 3" xfId="5925"/>
    <cellStyle name="Normal 7 6" xfId="2265"/>
    <cellStyle name="Normal 7 6 2" xfId="6671"/>
    <cellStyle name="Normal 7 7" xfId="4461"/>
    <cellStyle name="Normal 8" xfId="66"/>
    <cellStyle name="Normal 8 2" xfId="184"/>
    <cellStyle name="Normal 8 2 2" xfId="543"/>
    <cellStyle name="Normal 8 2 2 2" xfId="1276"/>
    <cellStyle name="Normal 8 2 2 2 2" xfId="3486"/>
    <cellStyle name="Normal 8 2 2 2 2 2" xfId="7892"/>
    <cellStyle name="Normal 8 2 2 2 3" xfId="5682"/>
    <cellStyle name="Normal 8 2 2 3" xfId="2008"/>
    <cellStyle name="Normal 8 2 2 3 2" xfId="4218"/>
    <cellStyle name="Normal 8 2 2 3 2 2" xfId="8624"/>
    <cellStyle name="Normal 8 2 2 3 3" xfId="6414"/>
    <cellStyle name="Normal 8 2 2 4" xfId="2754"/>
    <cellStyle name="Normal 8 2 2 4 2" xfId="7160"/>
    <cellStyle name="Normal 8 2 2 5" xfId="4950"/>
    <cellStyle name="Normal 8 2 3" xfId="917"/>
    <cellStyle name="Normal 8 2 3 2" xfId="3127"/>
    <cellStyle name="Normal 8 2 3 2 2" xfId="7533"/>
    <cellStyle name="Normal 8 2 3 3" xfId="5323"/>
    <cellStyle name="Normal 8 2 4" xfId="1649"/>
    <cellStyle name="Normal 8 2 4 2" xfId="3859"/>
    <cellStyle name="Normal 8 2 4 2 2" xfId="8265"/>
    <cellStyle name="Normal 8 2 4 3" xfId="6055"/>
    <cellStyle name="Normal 8 2 5" xfId="2395"/>
    <cellStyle name="Normal 8 2 5 2" xfId="6801"/>
    <cellStyle name="Normal 8 2 6" xfId="4591"/>
    <cellStyle name="Normal 8 3" xfId="427"/>
    <cellStyle name="Normal 8 3 2" xfId="1160"/>
    <cellStyle name="Normal 8 3 2 2" xfId="3370"/>
    <cellStyle name="Normal 8 3 2 2 2" xfId="7776"/>
    <cellStyle name="Normal 8 3 2 3" xfId="5566"/>
    <cellStyle name="Normal 8 3 3" xfId="1892"/>
    <cellStyle name="Normal 8 3 3 2" xfId="4102"/>
    <cellStyle name="Normal 8 3 3 2 2" xfId="8508"/>
    <cellStyle name="Normal 8 3 3 3" xfId="6298"/>
    <cellStyle name="Normal 8 3 4" xfId="2638"/>
    <cellStyle name="Normal 8 3 4 2" xfId="7044"/>
    <cellStyle name="Normal 8 3 5" xfId="4834"/>
    <cellStyle name="Normal 8 4" xfId="801"/>
    <cellStyle name="Normal 8 4 2" xfId="3011"/>
    <cellStyle name="Normal 8 4 2 2" xfId="7417"/>
    <cellStyle name="Normal 8 4 3" xfId="5207"/>
    <cellStyle name="Normal 8 5" xfId="1533"/>
    <cellStyle name="Normal 8 5 2" xfId="3743"/>
    <cellStyle name="Normal 8 5 2 2" xfId="8149"/>
    <cellStyle name="Normal 8 5 3" xfId="5939"/>
    <cellStyle name="Normal 8 6" xfId="2279"/>
    <cellStyle name="Normal 8 6 2" xfId="6685"/>
    <cellStyle name="Normal 8 7" xfId="4475"/>
    <cellStyle name="Normal 9" xfId="80"/>
    <cellStyle name="Normal 9 2" xfId="198"/>
    <cellStyle name="Normal 9 2 2" xfId="557"/>
    <cellStyle name="Normal 9 2 2 2" xfId="1290"/>
    <cellStyle name="Normal 9 2 2 2 2" xfId="3500"/>
    <cellStyle name="Normal 9 2 2 2 2 2" xfId="7906"/>
    <cellStyle name="Normal 9 2 2 2 3" xfId="5696"/>
    <cellStyle name="Normal 9 2 2 3" xfId="2022"/>
    <cellStyle name="Normal 9 2 2 3 2" xfId="4232"/>
    <cellStyle name="Normal 9 2 2 3 2 2" xfId="8638"/>
    <cellStyle name="Normal 9 2 2 3 3" xfId="6428"/>
    <cellStyle name="Normal 9 2 2 4" xfId="2768"/>
    <cellStyle name="Normal 9 2 2 4 2" xfId="7174"/>
    <cellStyle name="Normal 9 2 2 5" xfId="4964"/>
    <cellStyle name="Normal 9 2 3" xfId="931"/>
    <cellStyle name="Normal 9 2 3 2" xfId="3141"/>
    <cellStyle name="Normal 9 2 3 2 2" xfId="7547"/>
    <cellStyle name="Normal 9 2 3 3" xfId="5337"/>
    <cellStyle name="Normal 9 2 4" xfId="1663"/>
    <cellStyle name="Normal 9 2 4 2" xfId="3873"/>
    <cellStyle name="Normal 9 2 4 2 2" xfId="8279"/>
    <cellStyle name="Normal 9 2 4 3" xfId="6069"/>
    <cellStyle name="Normal 9 2 5" xfId="2409"/>
    <cellStyle name="Normal 9 2 5 2" xfId="6815"/>
    <cellStyle name="Normal 9 2 6" xfId="4605"/>
    <cellStyle name="Normal 9 3" xfId="441"/>
    <cellStyle name="Normal 9 3 2" xfId="1174"/>
    <cellStyle name="Normal 9 3 2 2" xfId="3384"/>
    <cellStyle name="Normal 9 3 2 2 2" xfId="7790"/>
    <cellStyle name="Normal 9 3 2 3" xfId="5580"/>
    <cellStyle name="Normal 9 3 3" xfId="1906"/>
    <cellStyle name="Normal 9 3 3 2" xfId="4116"/>
    <cellStyle name="Normal 9 3 3 2 2" xfId="8522"/>
    <cellStyle name="Normal 9 3 3 3" xfId="6312"/>
    <cellStyle name="Normal 9 3 4" xfId="2652"/>
    <cellStyle name="Normal 9 3 4 2" xfId="7058"/>
    <cellStyle name="Normal 9 3 5" xfId="4848"/>
    <cellStyle name="Normal 9 4" xfId="815"/>
    <cellStyle name="Normal 9 4 2" xfId="3025"/>
    <cellStyle name="Normal 9 4 2 2" xfId="7431"/>
    <cellStyle name="Normal 9 4 3" xfId="5221"/>
    <cellStyle name="Normal 9 5" xfId="1547"/>
    <cellStyle name="Normal 9 5 2" xfId="3757"/>
    <cellStyle name="Normal 9 5 2 2" xfId="8163"/>
    <cellStyle name="Normal 9 5 3" xfId="5953"/>
    <cellStyle name="Normal 9 6" xfId="2293"/>
    <cellStyle name="Normal 9 6 2" xfId="6699"/>
    <cellStyle name="Normal 9 7" xfId="4489"/>
    <cellStyle name="Note 10" xfId="269"/>
    <cellStyle name="Note 10 2" xfId="628"/>
    <cellStyle name="Note 10 2 2" xfId="1361"/>
    <cellStyle name="Note 10 2 2 2" xfId="3571"/>
    <cellStyle name="Note 10 2 2 2 2" xfId="7977"/>
    <cellStyle name="Note 10 2 2 3" xfId="5767"/>
    <cellStyle name="Note 10 2 3" xfId="2093"/>
    <cellStyle name="Note 10 2 3 2" xfId="4303"/>
    <cellStyle name="Note 10 2 3 2 2" xfId="8709"/>
    <cellStyle name="Note 10 2 3 3" xfId="6499"/>
    <cellStyle name="Note 10 2 4" xfId="2839"/>
    <cellStyle name="Note 10 2 4 2" xfId="7245"/>
    <cellStyle name="Note 10 2 5" xfId="5035"/>
    <cellStyle name="Note 10 3" xfId="1002"/>
    <cellStyle name="Note 10 3 2" xfId="3212"/>
    <cellStyle name="Note 10 3 2 2" xfId="7618"/>
    <cellStyle name="Note 10 3 3" xfId="5408"/>
    <cellStyle name="Note 10 4" xfId="1734"/>
    <cellStyle name="Note 10 4 2" xfId="3944"/>
    <cellStyle name="Note 10 4 2 2" xfId="8350"/>
    <cellStyle name="Note 10 4 3" xfId="6140"/>
    <cellStyle name="Note 10 5" xfId="2480"/>
    <cellStyle name="Note 10 5 2" xfId="6886"/>
    <cellStyle name="Note 10 6" xfId="4676"/>
    <cellStyle name="Note 11" xfId="283"/>
    <cellStyle name="Note 11 2" xfId="642"/>
    <cellStyle name="Note 11 2 2" xfId="1375"/>
    <cellStyle name="Note 11 2 2 2" xfId="3585"/>
    <cellStyle name="Note 11 2 2 2 2" xfId="7991"/>
    <cellStyle name="Note 11 2 2 3" xfId="5781"/>
    <cellStyle name="Note 11 2 3" xfId="2107"/>
    <cellStyle name="Note 11 2 3 2" xfId="4317"/>
    <cellStyle name="Note 11 2 3 2 2" xfId="8723"/>
    <cellStyle name="Note 11 2 3 3" xfId="6513"/>
    <cellStyle name="Note 11 2 4" xfId="2853"/>
    <cellStyle name="Note 11 2 4 2" xfId="7259"/>
    <cellStyle name="Note 11 2 5" xfId="5049"/>
    <cellStyle name="Note 11 3" xfId="1016"/>
    <cellStyle name="Note 11 3 2" xfId="3226"/>
    <cellStyle name="Note 11 3 2 2" xfId="7632"/>
    <cellStyle name="Note 11 3 3" xfId="5422"/>
    <cellStyle name="Note 11 4" xfId="1748"/>
    <cellStyle name="Note 11 4 2" xfId="3958"/>
    <cellStyle name="Note 11 4 2 2" xfId="8364"/>
    <cellStyle name="Note 11 4 3" xfId="6154"/>
    <cellStyle name="Note 11 5" xfId="2494"/>
    <cellStyle name="Note 11 5 2" xfId="6900"/>
    <cellStyle name="Note 11 6" xfId="4690"/>
    <cellStyle name="Note 12" xfId="297"/>
    <cellStyle name="Note 12 2" xfId="656"/>
    <cellStyle name="Note 12 2 2" xfId="1389"/>
    <cellStyle name="Note 12 2 2 2" xfId="3599"/>
    <cellStyle name="Note 12 2 2 2 2" xfId="8005"/>
    <cellStyle name="Note 12 2 2 3" xfId="5795"/>
    <cellStyle name="Note 12 2 3" xfId="2121"/>
    <cellStyle name="Note 12 2 3 2" xfId="4331"/>
    <cellStyle name="Note 12 2 3 2 2" xfId="8737"/>
    <cellStyle name="Note 12 2 3 3" xfId="6527"/>
    <cellStyle name="Note 12 2 4" xfId="2867"/>
    <cellStyle name="Note 12 2 4 2" xfId="7273"/>
    <cellStyle name="Note 12 2 5" xfId="5063"/>
    <cellStyle name="Note 12 3" xfId="1030"/>
    <cellStyle name="Note 12 3 2" xfId="3240"/>
    <cellStyle name="Note 12 3 2 2" xfId="7646"/>
    <cellStyle name="Note 12 3 3" xfId="5436"/>
    <cellStyle name="Note 12 4" xfId="1762"/>
    <cellStyle name="Note 12 4 2" xfId="3972"/>
    <cellStyle name="Note 12 4 2 2" xfId="8378"/>
    <cellStyle name="Note 12 4 3" xfId="6168"/>
    <cellStyle name="Note 12 5" xfId="2508"/>
    <cellStyle name="Note 12 5 2" xfId="6914"/>
    <cellStyle name="Note 12 6" xfId="4704"/>
    <cellStyle name="Note 13" xfId="311"/>
    <cellStyle name="Note 13 2" xfId="670"/>
    <cellStyle name="Note 13 2 2" xfId="1403"/>
    <cellStyle name="Note 13 2 2 2" xfId="3613"/>
    <cellStyle name="Note 13 2 2 2 2" xfId="8019"/>
    <cellStyle name="Note 13 2 2 3" xfId="5809"/>
    <cellStyle name="Note 13 2 3" xfId="2135"/>
    <cellStyle name="Note 13 2 3 2" xfId="4345"/>
    <cellStyle name="Note 13 2 3 2 2" xfId="8751"/>
    <cellStyle name="Note 13 2 3 3" xfId="6541"/>
    <cellStyle name="Note 13 2 4" xfId="2881"/>
    <cellStyle name="Note 13 2 4 2" xfId="7287"/>
    <cellStyle name="Note 13 2 5" xfId="5077"/>
    <cellStyle name="Note 13 3" xfId="1044"/>
    <cellStyle name="Note 13 3 2" xfId="3254"/>
    <cellStyle name="Note 13 3 2 2" xfId="7660"/>
    <cellStyle name="Note 13 3 3" xfId="5450"/>
    <cellStyle name="Note 13 4" xfId="1776"/>
    <cellStyle name="Note 13 4 2" xfId="3986"/>
    <cellStyle name="Note 13 4 2 2" xfId="8392"/>
    <cellStyle name="Note 13 4 3" xfId="6182"/>
    <cellStyle name="Note 13 5" xfId="2522"/>
    <cellStyle name="Note 13 5 2" xfId="6928"/>
    <cellStyle name="Note 13 6" xfId="4718"/>
    <cellStyle name="Note 14" xfId="325"/>
    <cellStyle name="Note 14 2" xfId="684"/>
    <cellStyle name="Note 14 2 2" xfId="1417"/>
    <cellStyle name="Note 14 2 2 2" xfId="3627"/>
    <cellStyle name="Note 14 2 2 2 2" xfId="8033"/>
    <cellStyle name="Note 14 2 2 3" xfId="5823"/>
    <cellStyle name="Note 14 2 3" xfId="2149"/>
    <cellStyle name="Note 14 2 3 2" xfId="4359"/>
    <cellStyle name="Note 14 2 3 2 2" xfId="8765"/>
    <cellStyle name="Note 14 2 3 3" xfId="6555"/>
    <cellStyle name="Note 14 2 4" xfId="2895"/>
    <cellStyle name="Note 14 2 4 2" xfId="7301"/>
    <cellStyle name="Note 14 2 5" xfId="5091"/>
    <cellStyle name="Note 14 3" xfId="1058"/>
    <cellStyle name="Note 14 3 2" xfId="3268"/>
    <cellStyle name="Note 14 3 2 2" xfId="7674"/>
    <cellStyle name="Note 14 3 3" xfId="5464"/>
    <cellStyle name="Note 14 4" xfId="1790"/>
    <cellStyle name="Note 14 4 2" xfId="4000"/>
    <cellStyle name="Note 14 4 2 2" xfId="8406"/>
    <cellStyle name="Note 14 4 3" xfId="6196"/>
    <cellStyle name="Note 14 5" xfId="2536"/>
    <cellStyle name="Note 14 5 2" xfId="6942"/>
    <cellStyle name="Note 14 6" xfId="4732"/>
    <cellStyle name="Note 15" xfId="339"/>
    <cellStyle name="Note 15 2" xfId="698"/>
    <cellStyle name="Note 15 2 2" xfId="1431"/>
    <cellStyle name="Note 15 2 2 2" xfId="3641"/>
    <cellStyle name="Note 15 2 2 2 2" xfId="8047"/>
    <cellStyle name="Note 15 2 2 3" xfId="5837"/>
    <cellStyle name="Note 15 2 3" xfId="2163"/>
    <cellStyle name="Note 15 2 3 2" xfId="4373"/>
    <cellStyle name="Note 15 2 3 2 2" xfId="8779"/>
    <cellStyle name="Note 15 2 3 3" xfId="6569"/>
    <cellStyle name="Note 15 2 4" xfId="2909"/>
    <cellStyle name="Note 15 2 4 2" xfId="7315"/>
    <cellStyle name="Note 15 2 5" xfId="5105"/>
    <cellStyle name="Note 15 3" xfId="1072"/>
    <cellStyle name="Note 15 3 2" xfId="3282"/>
    <cellStyle name="Note 15 3 2 2" xfId="7688"/>
    <cellStyle name="Note 15 3 3" xfId="5478"/>
    <cellStyle name="Note 15 4" xfId="1804"/>
    <cellStyle name="Note 15 4 2" xfId="4014"/>
    <cellStyle name="Note 15 4 2 2" xfId="8420"/>
    <cellStyle name="Note 15 4 3" xfId="6210"/>
    <cellStyle name="Note 15 5" xfId="2550"/>
    <cellStyle name="Note 15 5 2" xfId="6956"/>
    <cellStyle name="Note 15 6" xfId="4746"/>
    <cellStyle name="Note 16" xfId="353"/>
    <cellStyle name="Note 16 2" xfId="712"/>
    <cellStyle name="Note 16 2 2" xfId="1445"/>
    <cellStyle name="Note 16 2 2 2" xfId="3655"/>
    <cellStyle name="Note 16 2 2 2 2" xfId="8061"/>
    <cellStyle name="Note 16 2 2 3" xfId="5851"/>
    <cellStyle name="Note 16 2 3" xfId="2177"/>
    <cellStyle name="Note 16 2 3 2" xfId="4387"/>
    <cellStyle name="Note 16 2 3 2 2" xfId="8793"/>
    <cellStyle name="Note 16 2 3 3" xfId="6583"/>
    <cellStyle name="Note 16 2 4" xfId="2923"/>
    <cellStyle name="Note 16 2 4 2" xfId="7329"/>
    <cellStyle name="Note 16 2 5" xfId="5119"/>
    <cellStyle name="Note 16 3" xfId="1086"/>
    <cellStyle name="Note 16 3 2" xfId="3296"/>
    <cellStyle name="Note 16 3 2 2" xfId="7702"/>
    <cellStyle name="Note 16 3 3" xfId="5492"/>
    <cellStyle name="Note 16 4" xfId="1818"/>
    <cellStyle name="Note 16 4 2" xfId="4028"/>
    <cellStyle name="Note 16 4 2 2" xfId="8434"/>
    <cellStyle name="Note 16 4 3" xfId="6224"/>
    <cellStyle name="Note 16 5" xfId="2564"/>
    <cellStyle name="Note 16 5 2" xfId="6970"/>
    <cellStyle name="Note 16 6" xfId="4760"/>
    <cellStyle name="Note 17" xfId="367"/>
    <cellStyle name="Note 17 2" xfId="726"/>
    <cellStyle name="Note 17 2 2" xfId="1459"/>
    <cellStyle name="Note 17 2 2 2" xfId="3669"/>
    <cellStyle name="Note 17 2 2 2 2" xfId="8075"/>
    <cellStyle name="Note 17 2 2 3" xfId="5865"/>
    <cellStyle name="Note 17 2 3" xfId="2191"/>
    <cellStyle name="Note 17 2 3 2" xfId="4401"/>
    <cellStyle name="Note 17 2 3 2 2" xfId="8807"/>
    <cellStyle name="Note 17 2 3 3" xfId="6597"/>
    <cellStyle name="Note 17 2 4" xfId="2937"/>
    <cellStyle name="Note 17 2 4 2" xfId="7343"/>
    <cellStyle name="Note 17 2 5" xfId="5133"/>
    <cellStyle name="Note 17 3" xfId="1100"/>
    <cellStyle name="Note 17 3 2" xfId="3310"/>
    <cellStyle name="Note 17 3 2 2" xfId="7716"/>
    <cellStyle name="Note 17 3 3" xfId="5506"/>
    <cellStyle name="Note 17 4" xfId="1832"/>
    <cellStyle name="Note 17 4 2" xfId="4042"/>
    <cellStyle name="Note 17 4 2 2" xfId="8448"/>
    <cellStyle name="Note 17 4 3" xfId="6238"/>
    <cellStyle name="Note 17 5" xfId="2578"/>
    <cellStyle name="Note 17 5 2" xfId="6984"/>
    <cellStyle name="Note 17 6" xfId="4774"/>
    <cellStyle name="Note 18" xfId="381"/>
    <cellStyle name="Note 18 2" xfId="740"/>
    <cellStyle name="Note 18 2 2" xfId="1473"/>
    <cellStyle name="Note 18 2 2 2" xfId="3683"/>
    <cellStyle name="Note 18 2 2 2 2" xfId="8089"/>
    <cellStyle name="Note 18 2 2 3" xfId="5879"/>
    <cellStyle name="Note 18 2 3" xfId="2205"/>
    <cellStyle name="Note 18 2 3 2" xfId="4415"/>
    <cellStyle name="Note 18 2 3 2 2" xfId="8821"/>
    <cellStyle name="Note 18 2 3 3" xfId="6611"/>
    <cellStyle name="Note 18 2 4" xfId="2951"/>
    <cellStyle name="Note 18 2 4 2" xfId="7357"/>
    <cellStyle name="Note 18 2 5" xfId="5147"/>
    <cellStyle name="Note 18 3" xfId="1114"/>
    <cellStyle name="Note 18 3 2" xfId="3324"/>
    <cellStyle name="Note 18 3 2 2" xfId="7730"/>
    <cellStyle name="Note 18 3 3" xfId="5520"/>
    <cellStyle name="Note 18 4" xfId="1846"/>
    <cellStyle name="Note 18 4 2" xfId="4056"/>
    <cellStyle name="Note 18 4 2 2" xfId="8462"/>
    <cellStyle name="Note 18 4 3" xfId="6252"/>
    <cellStyle name="Note 18 5" xfId="2592"/>
    <cellStyle name="Note 18 5 2" xfId="6998"/>
    <cellStyle name="Note 18 6" xfId="4788"/>
    <cellStyle name="Note 19" xfId="755"/>
    <cellStyle name="Note 19 2" xfId="1488"/>
    <cellStyle name="Note 19 2 2" xfId="3698"/>
    <cellStyle name="Note 19 2 2 2" xfId="8104"/>
    <cellStyle name="Note 19 2 3" xfId="5894"/>
    <cellStyle name="Note 19 3" xfId="2220"/>
    <cellStyle name="Note 19 3 2" xfId="4430"/>
    <cellStyle name="Note 19 3 2 2" xfId="8836"/>
    <cellStyle name="Note 19 3 3" xfId="6626"/>
    <cellStyle name="Note 19 4" xfId="2966"/>
    <cellStyle name="Note 19 4 2" xfId="7372"/>
    <cellStyle name="Note 19 5" xfId="5162"/>
    <cellStyle name="Note 2" xfId="51"/>
    <cellStyle name="Note 2 2" xfId="169"/>
    <cellStyle name="Note 2 2 2" xfId="528"/>
    <cellStyle name="Note 2 2 2 2" xfId="1261"/>
    <cellStyle name="Note 2 2 2 2 2" xfId="3471"/>
    <cellStyle name="Note 2 2 2 2 2 2" xfId="7877"/>
    <cellStyle name="Note 2 2 2 2 3" xfId="5667"/>
    <cellStyle name="Note 2 2 2 3" xfId="1993"/>
    <cellStyle name="Note 2 2 2 3 2" xfId="4203"/>
    <cellStyle name="Note 2 2 2 3 2 2" xfId="8609"/>
    <cellStyle name="Note 2 2 2 3 3" xfId="6399"/>
    <cellStyle name="Note 2 2 2 4" xfId="2739"/>
    <cellStyle name="Note 2 2 2 4 2" xfId="7145"/>
    <cellStyle name="Note 2 2 2 5" xfId="4935"/>
    <cellStyle name="Note 2 2 3" xfId="902"/>
    <cellStyle name="Note 2 2 3 2" xfId="3112"/>
    <cellStyle name="Note 2 2 3 2 2" xfId="7518"/>
    <cellStyle name="Note 2 2 3 3" xfId="5308"/>
    <cellStyle name="Note 2 2 4" xfId="1634"/>
    <cellStyle name="Note 2 2 4 2" xfId="3844"/>
    <cellStyle name="Note 2 2 4 2 2" xfId="8250"/>
    <cellStyle name="Note 2 2 4 3" xfId="6040"/>
    <cellStyle name="Note 2 2 5" xfId="2380"/>
    <cellStyle name="Note 2 2 5 2" xfId="6786"/>
    <cellStyle name="Note 2 2 6" xfId="4576"/>
    <cellStyle name="Note 2 3" xfId="412"/>
    <cellStyle name="Note 2 3 2" xfId="1145"/>
    <cellStyle name="Note 2 3 2 2" xfId="3355"/>
    <cellStyle name="Note 2 3 2 2 2" xfId="7761"/>
    <cellStyle name="Note 2 3 2 3" xfId="5551"/>
    <cellStyle name="Note 2 3 3" xfId="1877"/>
    <cellStyle name="Note 2 3 3 2" xfId="4087"/>
    <cellStyle name="Note 2 3 3 2 2" xfId="8493"/>
    <cellStyle name="Note 2 3 3 3" xfId="6283"/>
    <cellStyle name="Note 2 3 4" xfId="2623"/>
    <cellStyle name="Note 2 3 4 2" xfId="7029"/>
    <cellStyle name="Note 2 3 5" xfId="4819"/>
    <cellStyle name="Note 2 4" xfId="786"/>
    <cellStyle name="Note 2 4 2" xfId="2996"/>
    <cellStyle name="Note 2 4 2 2" xfId="7402"/>
    <cellStyle name="Note 2 4 3" xfId="5192"/>
    <cellStyle name="Note 2 5" xfId="1518"/>
    <cellStyle name="Note 2 5 2" xfId="3728"/>
    <cellStyle name="Note 2 5 2 2" xfId="8134"/>
    <cellStyle name="Note 2 5 3" xfId="5924"/>
    <cellStyle name="Note 2 6" xfId="2264"/>
    <cellStyle name="Note 2 6 2" xfId="6670"/>
    <cellStyle name="Note 2 7" xfId="4460"/>
    <cellStyle name="Note 20" xfId="2234"/>
    <cellStyle name="Note 20 2" xfId="6640"/>
    <cellStyle name="Note 3" xfId="53"/>
    <cellStyle name="Note 3 2" xfId="171"/>
    <cellStyle name="Note 3 2 2" xfId="530"/>
    <cellStyle name="Note 3 2 2 2" xfId="1263"/>
    <cellStyle name="Note 3 2 2 2 2" xfId="3473"/>
    <cellStyle name="Note 3 2 2 2 2 2" xfId="7879"/>
    <cellStyle name="Note 3 2 2 2 3" xfId="5669"/>
    <cellStyle name="Note 3 2 2 3" xfId="1995"/>
    <cellStyle name="Note 3 2 2 3 2" xfId="4205"/>
    <cellStyle name="Note 3 2 2 3 2 2" xfId="8611"/>
    <cellStyle name="Note 3 2 2 3 3" xfId="6401"/>
    <cellStyle name="Note 3 2 2 4" xfId="2741"/>
    <cellStyle name="Note 3 2 2 4 2" xfId="7147"/>
    <cellStyle name="Note 3 2 2 5" xfId="4937"/>
    <cellStyle name="Note 3 2 3" xfId="904"/>
    <cellStyle name="Note 3 2 3 2" xfId="3114"/>
    <cellStyle name="Note 3 2 3 2 2" xfId="7520"/>
    <cellStyle name="Note 3 2 3 3" xfId="5310"/>
    <cellStyle name="Note 3 2 4" xfId="1636"/>
    <cellStyle name="Note 3 2 4 2" xfId="3846"/>
    <cellStyle name="Note 3 2 4 2 2" xfId="8252"/>
    <cellStyle name="Note 3 2 4 3" xfId="6042"/>
    <cellStyle name="Note 3 2 5" xfId="2382"/>
    <cellStyle name="Note 3 2 5 2" xfId="6788"/>
    <cellStyle name="Note 3 2 6" xfId="4578"/>
    <cellStyle name="Note 3 3" xfId="414"/>
    <cellStyle name="Note 3 3 2" xfId="1147"/>
    <cellStyle name="Note 3 3 2 2" xfId="3357"/>
    <cellStyle name="Note 3 3 2 2 2" xfId="7763"/>
    <cellStyle name="Note 3 3 2 3" xfId="5553"/>
    <cellStyle name="Note 3 3 3" xfId="1879"/>
    <cellStyle name="Note 3 3 3 2" xfId="4089"/>
    <cellStyle name="Note 3 3 3 2 2" xfId="8495"/>
    <cellStyle name="Note 3 3 3 3" xfId="6285"/>
    <cellStyle name="Note 3 3 4" xfId="2625"/>
    <cellStyle name="Note 3 3 4 2" xfId="7031"/>
    <cellStyle name="Note 3 3 5" xfId="4821"/>
    <cellStyle name="Note 3 4" xfId="788"/>
    <cellStyle name="Note 3 4 2" xfId="2998"/>
    <cellStyle name="Note 3 4 2 2" xfId="7404"/>
    <cellStyle name="Note 3 4 3" xfId="5194"/>
    <cellStyle name="Note 3 5" xfId="1520"/>
    <cellStyle name="Note 3 5 2" xfId="3730"/>
    <cellStyle name="Note 3 5 2 2" xfId="8136"/>
    <cellStyle name="Note 3 5 3" xfId="5926"/>
    <cellStyle name="Note 3 6" xfId="2266"/>
    <cellStyle name="Note 3 6 2" xfId="6672"/>
    <cellStyle name="Note 3 7" xfId="4462"/>
    <cellStyle name="Note 4" xfId="67"/>
    <cellStyle name="Note 4 2" xfId="185"/>
    <cellStyle name="Note 4 2 2" xfId="544"/>
    <cellStyle name="Note 4 2 2 2" xfId="1277"/>
    <cellStyle name="Note 4 2 2 2 2" xfId="3487"/>
    <cellStyle name="Note 4 2 2 2 2 2" xfId="7893"/>
    <cellStyle name="Note 4 2 2 2 3" xfId="5683"/>
    <cellStyle name="Note 4 2 2 3" xfId="2009"/>
    <cellStyle name="Note 4 2 2 3 2" xfId="4219"/>
    <cellStyle name="Note 4 2 2 3 2 2" xfId="8625"/>
    <cellStyle name="Note 4 2 2 3 3" xfId="6415"/>
    <cellStyle name="Note 4 2 2 4" xfId="2755"/>
    <cellStyle name="Note 4 2 2 4 2" xfId="7161"/>
    <cellStyle name="Note 4 2 2 5" xfId="4951"/>
    <cellStyle name="Note 4 2 3" xfId="918"/>
    <cellStyle name="Note 4 2 3 2" xfId="3128"/>
    <cellStyle name="Note 4 2 3 2 2" xfId="7534"/>
    <cellStyle name="Note 4 2 3 3" xfId="5324"/>
    <cellStyle name="Note 4 2 4" xfId="1650"/>
    <cellStyle name="Note 4 2 4 2" xfId="3860"/>
    <cellStyle name="Note 4 2 4 2 2" xfId="8266"/>
    <cellStyle name="Note 4 2 4 3" xfId="6056"/>
    <cellStyle name="Note 4 2 5" xfId="2396"/>
    <cellStyle name="Note 4 2 5 2" xfId="6802"/>
    <cellStyle name="Note 4 2 6" xfId="4592"/>
    <cellStyle name="Note 4 3" xfId="428"/>
    <cellStyle name="Note 4 3 2" xfId="1161"/>
    <cellStyle name="Note 4 3 2 2" xfId="3371"/>
    <cellStyle name="Note 4 3 2 2 2" xfId="7777"/>
    <cellStyle name="Note 4 3 2 3" xfId="5567"/>
    <cellStyle name="Note 4 3 3" xfId="1893"/>
    <cellStyle name="Note 4 3 3 2" xfId="4103"/>
    <cellStyle name="Note 4 3 3 2 2" xfId="8509"/>
    <cellStyle name="Note 4 3 3 3" xfId="6299"/>
    <cellStyle name="Note 4 3 4" xfId="2639"/>
    <cellStyle name="Note 4 3 4 2" xfId="7045"/>
    <cellStyle name="Note 4 3 5" xfId="4835"/>
    <cellStyle name="Note 4 4" xfId="802"/>
    <cellStyle name="Note 4 4 2" xfId="3012"/>
    <cellStyle name="Note 4 4 2 2" xfId="7418"/>
    <cellStyle name="Note 4 4 3" xfId="5208"/>
    <cellStyle name="Note 4 5" xfId="1534"/>
    <cellStyle name="Note 4 5 2" xfId="3744"/>
    <cellStyle name="Note 4 5 2 2" xfId="8150"/>
    <cellStyle name="Note 4 5 3" xfId="5940"/>
    <cellStyle name="Note 4 6" xfId="2280"/>
    <cellStyle name="Note 4 6 2" xfId="6686"/>
    <cellStyle name="Note 4 7" xfId="4476"/>
    <cellStyle name="Note 5" xfId="81"/>
    <cellStyle name="Note 5 2" xfId="199"/>
    <cellStyle name="Note 5 2 2" xfId="558"/>
    <cellStyle name="Note 5 2 2 2" xfId="1291"/>
    <cellStyle name="Note 5 2 2 2 2" xfId="3501"/>
    <cellStyle name="Note 5 2 2 2 2 2" xfId="7907"/>
    <cellStyle name="Note 5 2 2 2 3" xfId="5697"/>
    <cellStyle name="Note 5 2 2 3" xfId="2023"/>
    <cellStyle name="Note 5 2 2 3 2" xfId="4233"/>
    <cellStyle name="Note 5 2 2 3 2 2" xfId="8639"/>
    <cellStyle name="Note 5 2 2 3 3" xfId="6429"/>
    <cellStyle name="Note 5 2 2 4" xfId="2769"/>
    <cellStyle name="Note 5 2 2 4 2" xfId="7175"/>
    <cellStyle name="Note 5 2 2 5" xfId="4965"/>
    <cellStyle name="Note 5 2 3" xfId="932"/>
    <cellStyle name="Note 5 2 3 2" xfId="3142"/>
    <cellStyle name="Note 5 2 3 2 2" xfId="7548"/>
    <cellStyle name="Note 5 2 3 3" xfId="5338"/>
    <cellStyle name="Note 5 2 4" xfId="1664"/>
    <cellStyle name="Note 5 2 4 2" xfId="3874"/>
    <cellStyle name="Note 5 2 4 2 2" xfId="8280"/>
    <cellStyle name="Note 5 2 4 3" xfId="6070"/>
    <cellStyle name="Note 5 2 5" xfId="2410"/>
    <cellStyle name="Note 5 2 5 2" xfId="6816"/>
    <cellStyle name="Note 5 2 6" xfId="4606"/>
    <cellStyle name="Note 5 3" xfId="442"/>
    <cellStyle name="Note 5 3 2" xfId="1175"/>
    <cellStyle name="Note 5 3 2 2" xfId="3385"/>
    <cellStyle name="Note 5 3 2 2 2" xfId="7791"/>
    <cellStyle name="Note 5 3 2 3" xfId="5581"/>
    <cellStyle name="Note 5 3 3" xfId="1907"/>
    <cellStyle name="Note 5 3 3 2" xfId="4117"/>
    <cellStyle name="Note 5 3 3 2 2" xfId="8523"/>
    <cellStyle name="Note 5 3 3 3" xfId="6313"/>
    <cellStyle name="Note 5 3 4" xfId="2653"/>
    <cellStyle name="Note 5 3 4 2" xfId="7059"/>
    <cellStyle name="Note 5 3 5" xfId="4849"/>
    <cellStyle name="Note 5 4" xfId="816"/>
    <cellStyle name="Note 5 4 2" xfId="3026"/>
    <cellStyle name="Note 5 4 2 2" xfId="7432"/>
    <cellStyle name="Note 5 4 3" xfId="5222"/>
    <cellStyle name="Note 5 5" xfId="1548"/>
    <cellStyle name="Note 5 5 2" xfId="3758"/>
    <cellStyle name="Note 5 5 2 2" xfId="8164"/>
    <cellStyle name="Note 5 5 3" xfId="5954"/>
    <cellStyle name="Note 5 6" xfId="2294"/>
    <cellStyle name="Note 5 6 2" xfId="6700"/>
    <cellStyle name="Note 5 7" xfId="4490"/>
    <cellStyle name="Note 6" xfId="95"/>
    <cellStyle name="Note 6 2" xfId="213"/>
    <cellStyle name="Note 6 2 2" xfId="572"/>
    <cellStyle name="Note 6 2 2 2" xfId="1305"/>
    <cellStyle name="Note 6 2 2 2 2" xfId="3515"/>
    <cellStyle name="Note 6 2 2 2 2 2" xfId="7921"/>
    <cellStyle name="Note 6 2 2 2 3" xfId="5711"/>
    <cellStyle name="Note 6 2 2 3" xfId="2037"/>
    <cellStyle name="Note 6 2 2 3 2" xfId="4247"/>
    <cellStyle name="Note 6 2 2 3 2 2" xfId="8653"/>
    <cellStyle name="Note 6 2 2 3 3" xfId="6443"/>
    <cellStyle name="Note 6 2 2 4" xfId="2783"/>
    <cellStyle name="Note 6 2 2 4 2" xfId="7189"/>
    <cellStyle name="Note 6 2 2 5" xfId="4979"/>
    <cellStyle name="Note 6 2 3" xfId="946"/>
    <cellStyle name="Note 6 2 3 2" xfId="3156"/>
    <cellStyle name="Note 6 2 3 2 2" xfId="7562"/>
    <cellStyle name="Note 6 2 3 3" xfId="5352"/>
    <cellStyle name="Note 6 2 4" xfId="1678"/>
    <cellStyle name="Note 6 2 4 2" xfId="3888"/>
    <cellStyle name="Note 6 2 4 2 2" xfId="8294"/>
    <cellStyle name="Note 6 2 4 3" xfId="6084"/>
    <cellStyle name="Note 6 2 5" xfId="2424"/>
    <cellStyle name="Note 6 2 5 2" xfId="6830"/>
    <cellStyle name="Note 6 2 6" xfId="4620"/>
    <cellStyle name="Note 6 3" xfId="456"/>
    <cellStyle name="Note 6 3 2" xfId="1189"/>
    <cellStyle name="Note 6 3 2 2" xfId="3399"/>
    <cellStyle name="Note 6 3 2 2 2" xfId="7805"/>
    <cellStyle name="Note 6 3 2 3" xfId="5595"/>
    <cellStyle name="Note 6 3 3" xfId="1921"/>
    <cellStyle name="Note 6 3 3 2" xfId="4131"/>
    <cellStyle name="Note 6 3 3 2 2" xfId="8537"/>
    <cellStyle name="Note 6 3 3 3" xfId="6327"/>
    <cellStyle name="Note 6 3 4" xfId="2667"/>
    <cellStyle name="Note 6 3 4 2" xfId="7073"/>
    <cellStyle name="Note 6 3 5" xfId="4863"/>
    <cellStyle name="Note 6 4" xfId="830"/>
    <cellStyle name="Note 6 4 2" xfId="3040"/>
    <cellStyle name="Note 6 4 2 2" xfId="7446"/>
    <cellStyle name="Note 6 4 3" xfId="5236"/>
    <cellStyle name="Note 6 5" xfId="1562"/>
    <cellStyle name="Note 6 5 2" xfId="3772"/>
    <cellStyle name="Note 6 5 2 2" xfId="8178"/>
    <cellStyle name="Note 6 5 3" xfId="5968"/>
    <cellStyle name="Note 6 6" xfId="2308"/>
    <cellStyle name="Note 6 6 2" xfId="6714"/>
    <cellStyle name="Note 6 7" xfId="4504"/>
    <cellStyle name="Note 7" xfId="109"/>
    <cellStyle name="Note 7 2" xfId="227"/>
    <cellStyle name="Note 7 2 2" xfId="586"/>
    <cellStyle name="Note 7 2 2 2" xfId="1319"/>
    <cellStyle name="Note 7 2 2 2 2" xfId="3529"/>
    <cellStyle name="Note 7 2 2 2 2 2" xfId="7935"/>
    <cellStyle name="Note 7 2 2 2 3" xfId="5725"/>
    <cellStyle name="Note 7 2 2 3" xfId="2051"/>
    <cellStyle name="Note 7 2 2 3 2" xfId="4261"/>
    <cellStyle name="Note 7 2 2 3 2 2" xfId="8667"/>
    <cellStyle name="Note 7 2 2 3 3" xfId="6457"/>
    <cellStyle name="Note 7 2 2 4" xfId="2797"/>
    <cellStyle name="Note 7 2 2 4 2" xfId="7203"/>
    <cellStyle name="Note 7 2 2 5" xfId="4993"/>
    <cellStyle name="Note 7 2 3" xfId="960"/>
    <cellStyle name="Note 7 2 3 2" xfId="3170"/>
    <cellStyle name="Note 7 2 3 2 2" xfId="7576"/>
    <cellStyle name="Note 7 2 3 3" xfId="5366"/>
    <cellStyle name="Note 7 2 4" xfId="1692"/>
    <cellStyle name="Note 7 2 4 2" xfId="3902"/>
    <cellStyle name="Note 7 2 4 2 2" xfId="8308"/>
    <cellStyle name="Note 7 2 4 3" xfId="6098"/>
    <cellStyle name="Note 7 2 5" xfId="2438"/>
    <cellStyle name="Note 7 2 5 2" xfId="6844"/>
    <cellStyle name="Note 7 2 6" xfId="4634"/>
    <cellStyle name="Note 7 3" xfId="470"/>
    <cellStyle name="Note 7 3 2" xfId="1203"/>
    <cellStyle name="Note 7 3 2 2" xfId="3413"/>
    <cellStyle name="Note 7 3 2 2 2" xfId="7819"/>
    <cellStyle name="Note 7 3 2 3" xfId="5609"/>
    <cellStyle name="Note 7 3 3" xfId="1935"/>
    <cellStyle name="Note 7 3 3 2" xfId="4145"/>
    <cellStyle name="Note 7 3 3 2 2" xfId="8551"/>
    <cellStyle name="Note 7 3 3 3" xfId="6341"/>
    <cellStyle name="Note 7 3 4" xfId="2681"/>
    <cellStyle name="Note 7 3 4 2" xfId="7087"/>
    <cellStyle name="Note 7 3 5" xfId="4877"/>
    <cellStyle name="Note 7 4" xfId="844"/>
    <cellStyle name="Note 7 4 2" xfId="3054"/>
    <cellStyle name="Note 7 4 2 2" xfId="7460"/>
    <cellStyle name="Note 7 4 3" xfId="5250"/>
    <cellStyle name="Note 7 5" xfId="1576"/>
    <cellStyle name="Note 7 5 2" xfId="3786"/>
    <cellStyle name="Note 7 5 2 2" xfId="8192"/>
    <cellStyle name="Note 7 5 3" xfId="5982"/>
    <cellStyle name="Note 7 6" xfId="2322"/>
    <cellStyle name="Note 7 6 2" xfId="6728"/>
    <cellStyle name="Note 7 7" xfId="4518"/>
    <cellStyle name="Note 8" xfId="123"/>
    <cellStyle name="Note 8 2" xfId="241"/>
    <cellStyle name="Note 8 2 2" xfId="600"/>
    <cellStyle name="Note 8 2 2 2" xfId="1333"/>
    <cellStyle name="Note 8 2 2 2 2" xfId="3543"/>
    <cellStyle name="Note 8 2 2 2 2 2" xfId="7949"/>
    <cellStyle name="Note 8 2 2 2 3" xfId="5739"/>
    <cellStyle name="Note 8 2 2 3" xfId="2065"/>
    <cellStyle name="Note 8 2 2 3 2" xfId="4275"/>
    <cellStyle name="Note 8 2 2 3 2 2" xfId="8681"/>
    <cellStyle name="Note 8 2 2 3 3" xfId="6471"/>
    <cellStyle name="Note 8 2 2 4" xfId="2811"/>
    <cellStyle name="Note 8 2 2 4 2" xfId="7217"/>
    <cellStyle name="Note 8 2 2 5" xfId="5007"/>
    <cellStyle name="Note 8 2 3" xfId="974"/>
    <cellStyle name="Note 8 2 3 2" xfId="3184"/>
    <cellStyle name="Note 8 2 3 2 2" xfId="7590"/>
    <cellStyle name="Note 8 2 3 3" xfId="5380"/>
    <cellStyle name="Note 8 2 4" xfId="1706"/>
    <cellStyle name="Note 8 2 4 2" xfId="3916"/>
    <cellStyle name="Note 8 2 4 2 2" xfId="8322"/>
    <cellStyle name="Note 8 2 4 3" xfId="6112"/>
    <cellStyle name="Note 8 2 5" xfId="2452"/>
    <cellStyle name="Note 8 2 5 2" xfId="6858"/>
    <cellStyle name="Note 8 2 6" xfId="4648"/>
    <cellStyle name="Note 8 3" xfId="484"/>
    <cellStyle name="Note 8 3 2" xfId="1217"/>
    <cellStyle name="Note 8 3 2 2" xfId="3427"/>
    <cellStyle name="Note 8 3 2 2 2" xfId="7833"/>
    <cellStyle name="Note 8 3 2 3" xfId="5623"/>
    <cellStyle name="Note 8 3 3" xfId="1949"/>
    <cellStyle name="Note 8 3 3 2" xfId="4159"/>
    <cellStyle name="Note 8 3 3 2 2" xfId="8565"/>
    <cellStyle name="Note 8 3 3 3" xfId="6355"/>
    <cellStyle name="Note 8 3 4" xfId="2695"/>
    <cellStyle name="Note 8 3 4 2" xfId="7101"/>
    <cellStyle name="Note 8 3 5" xfId="4891"/>
    <cellStyle name="Note 8 4" xfId="858"/>
    <cellStyle name="Note 8 4 2" xfId="3068"/>
    <cellStyle name="Note 8 4 2 2" xfId="7474"/>
    <cellStyle name="Note 8 4 3" xfId="5264"/>
    <cellStyle name="Note 8 5" xfId="1590"/>
    <cellStyle name="Note 8 5 2" xfId="3800"/>
    <cellStyle name="Note 8 5 2 2" xfId="8206"/>
    <cellStyle name="Note 8 5 3" xfId="5996"/>
    <cellStyle name="Note 8 6" xfId="2336"/>
    <cellStyle name="Note 8 6 2" xfId="6742"/>
    <cellStyle name="Note 8 7" xfId="4532"/>
    <cellStyle name="Note 9" xfId="137"/>
    <cellStyle name="Note 9 2" xfId="255"/>
    <cellStyle name="Note 9 2 2" xfId="614"/>
    <cellStyle name="Note 9 2 2 2" xfId="1347"/>
    <cellStyle name="Note 9 2 2 2 2" xfId="3557"/>
    <cellStyle name="Note 9 2 2 2 2 2" xfId="7963"/>
    <cellStyle name="Note 9 2 2 2 3" xfId="5753"/>
    <cellStyle name="Note 9 2 2 3" xfId="2079"/>
    <cellStyle name="Note 9 2 2 3 2" xfId="4289"/>
    <cellStyle name="Note 9 2 2 3 2 2" xfId="8695"/>
    <cellStyle name="Note 9 2 2 3 3" xfId="6485"/>
    <cellStyle name="Note 9 2 2 4" xfId="2825"/>
    <cellStyle name="Note 9 2 2 4 2" xfId="7231"/>
    <cellStyle name="Note 9 2 2 5" xfId="5021"/>
    <cellStyle name="Note 9 2 3" xfId="988"/>
    <cellStyle name="Note 9 2 3 2" xfId="3198"/>
    <cellStyle name="Note 9 2 3 2 2" xfId="7604"/>
    <cellStyle name="Note 9 2 3 3" xfId="5394"/>
    <cellStyle name="Note 9 2 4" xfId="1720"/>
    <cellStyle name="Note 9 2 4 2" xfId="3930"/>
    <cellStyle name="Note 9 2 4 2 2" xfId="8336"/>
    <cellStyle name="Note 9 2 4 3" xfId="6126"/>
    <cellStyle name="Note 9 2 5" xfId="2466"/>
    <cellStyle name="Note 9 2 5 2" xfId="6872"/>
    <cellStyle name="Note 9 2 6" xfId="4662"/>
    <cellStyle name="Note 9 3" xfId="498"/>
    <cellStyle name="Note 9 3 2" xfId="1231"/>
    <cellStyle name="Note 9 3 2 2" xfId="3441"/>
    <cellStyle name="Note 9 3 2 2 2" xfId="7847"/>
    <cellStyle name="Note 9 3 2 3" xfId="5637"/>
    <cellStyle name="Note 9 3 3" xfId="1963"/>
    <cellStyle name="Note 9 3 3 2" xfId="4173"/>
    <cellStyle name="Note 9 3 3 2 2" xfId="8579"/>
    <cellStyle name="Note 9 3 3 3" xfId="6369"/>
    <cellStyle name="Note 9 3 4" xfId="2709"/>
    <cellStyle name="Note 9 3 4 2" xfId="7115"/>
    <cellStyle name="Note 9 3 5" xfId="4905"/>
    <cellStyle name="Note 9 4" xfId="872"/>
    <cellStyle name="Note 9 4 2" xfId="3082"/>
    <cellStyle name="Note 9 4 2 2" xfId="7488"/>
    <cellStyle name="Note 9 4 3" xfId="5278"/>
    <cellStyle name="Note 9 5" xfId="1604"/>
    <cellStyle name="Note 9 5 2" xfId="3814"/>
    <cellStyle name="Note 9 5 2 2" xfId="8220"/>
    <cellStyle name="Note 9 5 3" xfId="6010"/>
    <cellStyle name="Note 9 6" xfId="2350"/>
    <cellStyle name="Note 9 6 2" xfId="6756"/>
    <cellStyle name="Note 9 7" xfId="4546"/>
    <cellStyle name="Output" xfId="12" builtinId="21" customBuiltin="1"/>
    <cellStyle name="Percent 2" xfId="152"/>
    <cellStyle name="Percent 3" xfId="46"/>
    <cellStyle name="Title" xfId="3" builtinId="15" customBuiltin="1"/>
    <cellStyle name="Total" xfId="18" builtinId="25" customBuiltin="1"/>
    <cellStyle name="Warning Text" xfId="16" builtinId="11" customBuiltin="1"/>
  </cellStyles>
  <dxfs count="129">
    <dxf>
      <numFmt numFmtId="164" formatCode="_-* #,##0.0_-;\-* #,##0.0_-;_-* &quot;-&quot;??_-;_-@_-"/>
    </dxf>
    <dxf>
      <numFmt numFmtId="164" formatCode="_-* #,##0.0_-;\-* #,##0.0_-;_-* &quot;-&quot;??_-;_-@_-"/>
    </dxf>
    <dxf>
      <font>
        <b val="0"/>
        <i val="0"/>
        <strike val="0"/>
        <u val="none"/>
        <sz val="11"/>
        <color rgb="FF006100"/>
        <name val="Calibri"/>
        <scheme val="none"/>
      </font>
      <fill>
        <patternFill patternType="solid">
          <bgColor rgb="FFC6EFCE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ont>
        <b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fgColor rgb="FFFFC000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6500"/>
      </font>
      <fill>
        <patternFill patternType="solid">
          <bgColor rgb="FFFFEB9C"/>
        </patternFill>
      </fill>
    </dxf>
    <dxf>
      <numFmt numFmtId="164" formatCode="_-* #,##0.0_-;\-* #,##0.0_-;_-* &quot;-&quot;??_-;_-@_-"/>
    </dxf>
    <dxf>
      <numFmt numFmtId="164" formatCode="_-* #,##0.0_-;\-* #,##0.0_-;_-* &quot;-&quot;??_-;_-@_-"/>
    </dxf>
    <dxf>
      <numFmt numFmtId="164" formatCode="_-* #,##0.0_-;\-* #,##0.0_-;_-* &quot;-&quot;??_-;_-@_-"/>
    </dxf>
    <dxf>
      <font>
        <color auto="1"/>
      </font>
    </dxf>
    <dxf>
      <font>
        <color auto="1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numFmt numFmtId="165" formatCode="_-* #,##0.000_-;\-* #,##0.000_-;_-* &quot;-&quot;??_-;_-@_-"/>
    </dxf>
    <dxf>
      <numFmt numFmtId="165" formatCode="_-* #,##0.000_-;\-* #,##0.000_-;_-* &quot;-&quot;??_-;_-@_-"/>
    </dxf>
    <dxf>
      <numFmt numFmtId="35" formatCode="_-* #,##0.00_-;\-* #,##0.00_-;_-* &quot;-&quot;??_-;_-@_-"/>
    </dxf>
    <dxf>
      <numFmt numFmtId="164" formatCode="_-* #,##0.0_-;\-* #,##0.0_-;_-* &quot;-&quot;??_-;_-@_-"/>
    </dxf>
    <dxf>
      <numFmt numFmtId="164" formatCode="_-* #,##0.0_-;\-* #,##0.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4" formatCode="_-* #,##0.0_-;\-* #,##0.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color auto="1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none"/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numFmt numFmtId="164" formatCode="_-* #,##0.0_-;\-* #,##0.0_-;_-* &quot;-&quot;??_-;_-@_-"/>
    </dxf>
    <dxf>
      <numFmt numFmtId="164" formatCode="_-* #,##0.0_-;\-* #,##0.0_-;_-* &quot;-&quot;??_-;_-@_-"/>
    </dxf>
    <dxf>
      <font>
        <color rgb="FFFF0000"/>
      </font>
    </dxf>
    <dxf>
      <font>
        <color rgb="FFFF0000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0</xdr:rowOff>
    </xdr:from>
    <xdr:to>
      <xdr:col>8</xdr:col>
      <xdr:colOff>104229</xdr:colOff>
      <xdr:row>18</xdr:row>
      <xdr:rowOff>152072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3020" y="952500"/>
          <a:ext cx="4304665" cy="262826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14</xdr:col>
      <xdr:colOff>389486</xdr:colOff>
      <xdr:row>48</xdr:row>
      <xdr:rowOff>113667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3020" y="4191000"/>
          <a:ext cx="8190230" cy="506666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14</xdr:col>
      <xdr:colOff>522820</xdr:colOff>
      <xdr:row>78</xdr:row>
      <xdr:rowOff>170810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03020" y="9906000"/>
          <a:ext cx="8323580" cy="51231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323850</xdr:colOff>
          <xdr:row>0</xdr:row>
          <xdr:rowOff>28575</xdr:rowOff>
        </xdr:from>
        <xdr:to>
          <xdr:col>5</xdr:col>
          <xdr:colOff>2162175</xdr:colOff>
          <xdr:row>1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inancial%20Reporting/FY22/Jan%2022/Worked%20FTE%20-%20Jan%202022%20%20version%203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Pivot"/>
      <sheetName val="Ops - Pivot"/>
      <sheetName val="Overtime"/>
      <sheetName val="Sheet1"/>
      <sheetName val="Summary - Monthly"/>
      <sheetName val="TRANS EMP EXTRACT - COST CENTRE"/>
      <sheetName val="TRANS EMP EXTRACT - EMP CATEGOR"/>
      <sheetName val="Departments"/>
      <sheetName val="Sheet2"/>
      <sheetName val="Sheet3"/>
      <sheetName val="Sheet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" refreshedDate="44988.455794791669" createdVersion="4" refreshedVersion="5" minRefreshableVersion="3" recordCount="263">
  <cacheSource type="worksheet">
    <worksheetSource ref="B3:AR266" sheet="Summary - Monthly"/>
  </cacheSource>
  <cacheFields count="43">
    <cacheField name="Cost Centre" numFmtId="0">
      <sharedItems containsMixedTypes="1" containsNumber="1" containsInteger="1" minValue="0" maxValue="12068099" count="50">
        <n v="12023011"/>
        <n v="12021021"/>
        <n v="12030800"/>
        <n v="12020711"/>
        <n v="12020611"/>
        <n v="12028099"/>
        <n v="12048099"/>
        <n v="12020800"/>
        <n v="12033011"/>
        <n v="12060611"/>
        <n v="12013250"/>
        <n v="12063011"/>
        <n v="12019199"/>
        <n v="12020400"/>
        <n v="12018599"/>
        <n v="12060800"/>
        <n v="12043011"/>
        <n v="12013300"/>
        <n v="12068099"/>
        <n v="12042511"/>
        <n v="12010500"/>
        <n v="12060400"/>
        <n v="12019099"/>
        <n v="12040500"/>
        <n v="12062511"/>
        <n v="12022511"/>
        <n v="12030500"/>
        <n v="12020500"/>
        <n v="12013012"/>
        <n v="12030400"/>
        <n v="12030611"/>
        <n v="12043123"/>
        <n v="12040800"/>
        <n v="12018099"/>
        <n v="12040400"/>
        <n v="12023021"/>
        <n v="12010700"/>
        <n v="12030711"/>
        <n v="12032511"/>
        <n v="12024021"/>
        <s v="Report Total:"/>
        <n v="0"/>
        <n v="12033013" u="1"/>
        <n v="12018199" u="1"/>
        <n v="12013260" u="1"/>
        <n v="12013011" u="1"/>
        <n v="12038099" u="1"/>
        <n v="12033012" u="1"/>
        <n v="12033123" u="1"/>
        <n v="12060711" u="1"/>
      </sharedItems>
    </cacheField>
    <cacheField name="Emp Cat" numFmtId="0">
      <sharedItems containsBlank="1"/>
    </cacheField>
    <cacheField name="Emp Cat Desc" numFmtId="0">
      <sharedItems containsBlank="1"/>
    </cacheField>
    <cacheField name="Emp Code" numFmtId="0">
      <sharedItems containsSemiMixedTypes="0" containsString="0" containsNumber="1" containsInteger="1" minValue="0" maxValue="44705"/>
    </cacheField>
    <cacheField name="Employee Name" numFmtId="0">
      <sharedItems containsBlank="1" containsMixedTypes="1" containsNumber="1" containsInteger="1" minValue="0" maxValue="0" count="148">
        <s v="ABAZARI  HASTI MRS"/>
        <s v="AHMADI  MARYAM MRS"/>
        <s v="AHMED  IMTIAZ MR"/>
        <s v="AHN  ERIC MR"/>
        <s v="AKKOYUN  METE HAN MR"/>
        <s v="ALI  MEHWISH MRS"/>
        <s v="ALISIC  SUVADA MRS"/>
        <s v="ALMASSI  AREZOO MISS"/>
        <s v="ALZEYADI  MAYTHAM MR"/>
        <s v="AVERY  SUE MS"/>
        <s v="AWAD  JASMINE MRS"/>
        <s v="BANDI  RENU MRS"/>
        <s v="BARAL  RICHA MS"/>
        <s v="BATTY  MELISA MS"/>
        <s v="BERA  KHUSHBU MS"/>
        <s v="BOATWRIGHT  ANNA MRS"/>
        <s v="BOGAHAPITIYA  PRASANGA MRS"/>
        <s v="CAMPBELL-MCKECHNIE  ALMA MS"/>
        <s v="CAO  KIM MISS"/>
        <s v="CHAN  CHARMAINE MS"/>
        <s v="CHANDRA  SHARON MRS"/>
        <s v="CHARLTON  STEPHANIE MISS"/>
        <s v="CHEN  JIAOYANG MS"/>
        <s v="CHEN  SOK KIAN MS"/>
        <s v="CHEUNG  CINDY MISS"/>
        <s v="CREMONESI  BRUCE MR"/>
        <s v="DANIELLS  MARIE MISS"/>
        <s v="DELANEY  MEGAN FIONA MS"/>
        <s v="DEMARCHI  STELLA MRS"/>
        <s v="DENG  OLIVER MR"/>
        <s v="DOGUPARTHY  NAVEEN MR"/>
        <s v="EDEN  ANTHONY MR"/>
        <s v="EL-KLINK  IMAN MS"/>
        <s v="ESTORES  FELICIA MS"/>
        <s v="EVANS  LUCY MISS"/>
        <s v="FONG  LAWRENCE MR"/>
        <s v="FOROOGHI  MARZIEH MRS"/>
        <s v="GALLAGHER  TROY MR"/>
        <s v="GODDAER  KEVIN MR"/>
        <s v="GODWIN  COLLEEN MRS"/>
        <s v="GUEVARA LUJAN  GABRIELA MS"/>
        <s v="HADAGINAMAKKI  SHILPA MRS"/>
        <s v="HAMAD  ESTHER MISS"/>
        <s v="HAMILTON  PAUL MR"/>
        <s v="HANANIA  FERRIZ MR"/>
        <s v="HARRIS  KYM MS"/>
        <s v="HENRI  BROOKE MS"/>
        <s v="HO  JOHN MR"/>
        <s v="HOLLEY  KRISTY MRS"/>
        <s v="HOLLY  DONNA MRS"/>
        <s v="HOLMES  JULIAN MR"/>
        <s v="HOMAINEJAD  DORNA MS"/>
        <s v="HUSSAIN  EMRAN MR"/>
        <s v="HWANG  MI HEI MS"/>
        <s v="IMAD  SYED MR"/>
        <s v="IQBAL  SHABANA MRS"/>
        <s v="ISLAM  MD FOKHRUL MR"/>
        <s v="JOKATAMA  SIKITI MISS"/>
        <s v="JOYCE  BLAKE MR"/>
        <s v="KANTHAN  SU MS"/>
        <s v="KAPADIA  MUFFADAL MR"/>
        <s v="KARIMZADA  OMID MR"/>
        <s v="KASHANI  ANGELA MRS"/>
        <s v="KELLY  KYLE MR"/>
        <s v="KHAMBAY  BILL MR"/>
        <s v="KIRBY  MALIKA MS"/>
        <s v="KO  SOL MR"/>
        <s v="KODOR  MARA MRS"/>
        <s v="LAWRENCE  SHARON MS"/>
        <s v="LETHBORG  GABRIELLA MISS"/>
        <s v="LI  MATTHEW MR"/>
        <s v="LIN  LIN MISS"/>
        <s v="MARKOSKA  KATERINA MRS"/>
        <s v="MATTUPALLI  MADHAVI MRS"/>
        <s v="MAVRONICHOLAS  CHRISTOPHER MR"/>
        <s v="MCCANN-DORAN  CONOR MR"/>
        <s v="MCDONALD  WILMA MRS"/>
        <s v="MENDIVELSO-BOHORQUEZ  SANDRA MISS"/>
        <s v="MENON  SHIVANI MISS"/>
        <s v="MOONSAMY  MAYEN MR"/>
        <s v="MOORE  SALOTE MS"/>
        <s v="MOORKANATH  ANU MRS"/>
        <s v="NANAYAKKARA W V W  SHALINI MISS"/>
        <s v="NARAYANA SWAMY  KUSUMA MRS"/>
        <s v="O'NEILL  CHRISTINE MRS"/>
        <s v="ORAHA  AFRAH MISS"/>
        <s v="PARMAR  DINUSHA MRS"/>
        <s v="PATEL  SWETA SHANTILAL MISS"/>
        <s v="PATEL  VIPUL MR"/>
        <s v="PETRAKIS  NICK MR"/>
        <s v="PINDORIA  NIKSHEE MISS"/>
        <s v="PRAEKELT  WILNA MRS"/>
        <s v="PRASHANTHAN  ARANE MRS"/>
        <s v="PREMTHONG  VATCHAREE MISS"/>
        <s v="QURASHI  RAYEED AHMED MR"/>
        <s v="RADHA  IKSHITHA MS"/>
        <s v="RAMALINGAM  JANSI MS"/>
        <s v="RAMIREZ CASTRO  MARIA MRS"/>
        <s v="RANGARAJ  USHA MRS"/>
        <s v="RATTLE  ROSE MRS"/>
        <s v="RAVI  SOORYA NARAYANAN MR"/>
        <s v="RECHE SOLER  YAIZA MISS"/>
        <s v="RESUS  ZARA MISS"/>
        <s v="ROY  JISHA MRS"/>
        <s v="RUSSELL  ADAM MR"/>
        <s v="SAAD  KAREN MS"/>
        <s v="SAHIR  KORISH MR"/>
        <s v="SAMANTHIPUDI VASUDEVAN  KOKILA MRS"/>
        <s v="SANOBER  FAHMI MS"/>
        <s v="SCHOLZ  ERAN MR"/>
        <s v="SCHWANKE  ANNMARIE MRS"/>
        <s v="SEAL  MIHIKA MS"/>
        <s v="SENTHURAN  SUGANIYA MRS"/>
        <s v="SHEN  SHENDY MS"/>
        <s v="SINGH  NAMARTA MISS"/>
        <s v="SIVARAJ  DURGA MRS"/>
        <s v="SIVARAMAN  POORANI MS"/>
        <s v="SKIPPER  MELINDA MS"/>
        <s v="SMITH  KAREN MRS"/>
        <s v="SOHNY  THALITHA MRS"/>
        <s v="SOLEIMANI  MARYAM MS"/>
        <s v="STAMATOVA  ZORICA MRS"/>
        <s v="STANICA  ANDREEA MRS"/>
        <s v="STILLITANO  SUE MRS"/>
        <s v="SUBRAMANYA  AKSHATHA MISS"/>
        <s v="SUNDARA RAJAN  KALAI SELVI MRS"/>
        <s v="SURYAVANSHI  SNEHAL HEMANT MRS"/>
        <s v="THEW  BENJAMIN MR"/>
        <s v="TRAN  KIM LUAN MR"/>
        <s v="TRIFON  MARIA MS"/>
        <s v="TRIVEDI  ARTI MRS"/>
        <s v="TRUONG  DAVID MR"/>
        <s v="TRUONG  RICHARD MR"/>
        <s v="TSELEKIDIS  SIA MS"/>
        <s v="TUIMASEVE  AMENAH MRS"/>
        <s v="VASHISHTH  DEEPIKA MS"/>
        <s v="VOHRA  ATEEV MR"/>
        <s v="WHITE  TERESA MS"/>
        <s v="WIJESINGHE  PULASTHI MR"/>
        <s v="WU  JUN MRS"/>
        <s v="XYLOPORTA  MARIA MRS"/>
        <s v="YADAGIRI  SIRI MS"/>
        <s v="YASEEN  MISBAH MRS"/>
        <s v="YU  SHAN MISS"/>
        <s v="ZHAO  ZHENJUN MR"/>
        <s v=""/>
        <m/>
        <n v="0" u="1"/>
      </sharedItems>
    </cacheField>
    <cacheField name="Date Hired" numFmtId="14">
      <sharedItems containsDate="1" containsBlank="1" containsMixedTypes="1" minDate="1991-04-03T00:00:00" maxDate="2023-02-15T00:00:00"/>
    </cacheField>
    <cacheField name="Term Date" numFmtId="0">
      <sharedItems containsBlank="1"/>
    </cacheField>
    <cacheField name="Pay Group" numFmtId="14">
      <sharedItems containsBlank="1"/>
    </cacheField>
    <cacheField name="SL Balance as of End of Month (Hours)" numFmtId="166">
      <sharedItems containsSemiMixedTypes="0" containsString="0" containsNumber="1" minValue="0" maxValue="750.86069999999995"/>
    </cacheField>
    <cacheField name="AL Balance as of End of Month(Hours)" numFmtId="166">
      <sharedItems containsSemiMixedTypes="0" containsString="0" containsNumber="1" minValue="-6.3944999999999999" maxValue="337.54180000000002"/>
    </cacheField>
    <cacheField name="1 - Normal Hrs" numFmtId="0">
      <sharedItems containsBlank="1" containsMixedTypes="1" containsNumber="1" minValue="0" maxValue="152"/>
    </cacheField>
    <cacheField name="3 - Ord Other Hrs" numFmtId="0">
      <sharedItems containsString="0" containsBlank="1" containsNumber="1" containsInteger="1" minValue="0" maxValue="0"/>
    </cacheField>
    <cacheField name="5 - Casual Normal Hrs" numFmtId="0">
      <sharedItems containsString="0" containsBlank="1" containsNumber="1" minValue="0" maxValue="138.3665"/>
    </cacheField>
    <cacheField name="6 - Saturday 150% Hrs" numFmtId="0">
      <sharedItems containsString="0" containsBlank="1" containsNumber="1" minValue="0" maxValue="30.4"/>
    </cacheField>
    <cacheField name="7 - Sunday 200% Hrs" numFmtId="0">
      <sharedItems containsString="0" containsBlank="1" containsNumber="1" minValue="0" maxValue="30.4"/>
    </cacheField>
    <cacheField name="50 - O/Time 1.5 Hrs" numFmtId="0">
      <sharedItems containsString="0" containsBlank="1" containsNumber="1" minValue="0" maxValue="38.1"/>
    </cacheField>
    <cacheField name="51 - O/Time 2.0 Hrs" numFmtId="0">
      <sharedItems containsString="0" containsBlank="1" containsNumber="1" minValue="0" maxValue="27.283300000000001"/>
    </cacheField>
    <cacheField name="52 - O/Time 2.5 Hrs" numFmtId="0">
      <sharedItems containsString="0" containsBlank="1" containsNumber="1" containsInteger="1" minValue="0" maxValue="0"/>
    </cacheField>
    <cacheField name="60 - AL Cashout Hrs" numFmtId="0">
      <sharedItems containsString="0" containsBlank="1" containsNumber="1" containsInteger="1" minValue="0" maxValue="0"/>
    </cacheField>
    <cacheField name="100 - Annual Lve Hrs" numFmtId="0">
      <sharedItems containsString="0" containsBlank="1" containsNumber="1" minValue="0" maxValue="129.19999999999999"/>
    </cacheField>
    <cacheField name="101 - Sick/Personal Hrs" numFmtId="0">
      <sharedItems containsString="0" containsBlank="1" containsNumber="1" minValue="0" maxValue="129.19999999999999"/>
    </cacheField>
    <cacheField name="102 - LS Leave Hrs" numFmtId="0">
      <sharedItems containsString="0" containsBlank="1" containsNumber="1" containsInteger="1" minValue="0" maxValue="0"/>
    </cacheField>
    <cacheField name="130 - Public Hol Hrs" numFmtId="0">
      <sharedItems containsString="0" containsBlank="1" containsNumber="1" containsInteger="1" minValue="0" maxValue="0"/>
    </cacheField>
    <cacheField name="150 - Carers Lve Hrs" numFmtId="0">
      <sharedItems containsString="0" containsBlank="1" containsNumber="1" minValue="0" maxValue="6"/>
    </cacheField>
    <cacheField name="160 - LWOP Hrs" numFmtId="0">
      <sharedItems containsString="0" containsBlank="1" containsNumber="1" minValue="0" maxValue="53.2"/>
    </cacheField>
    <cacheField name="161 - Sick No Pay Hrs" numFmtId="0">
      <sharedItems containsString="0" containsBlank="1" containsNumber="1" minValue="0" maxValue="11.6"/>
    </cacheField>
    <cacheField name="163 - Unpaid Maternity Hrs" numFmtId="0">
      <sharedItems containsString="0" containsBlank="1" containsNumber="1" minValue="0" maxValue="152"/>
    </cacheField>
    <cacheField name="168 - WorkCover Hrs" numFmtId="0">
      <sharedItems containsString="0" containsBlank="1" containsNumber="1" containsInteger="1" minValue="0" maxValue="0"/>
    </cacheField>
    <cacheField name="166 - Compassion Hrs" numFmtId="0">
      <sharedItems containsString="0" containsBlank="1" containsNumber="1" containsInteger="1" minValue="0" maxValue="0"/>
    </cacheField>
    <cacheField name="171 - TimeInLieu Hrs" numFmtId="0">
      <sharedItems containsString="0" containsBlank="1" containsNumber="1" containsInteger="1" minValue="0" maxValue="0"/>
    </cacheField>
    <cacheField name="151 - Maternity Paid Hrs" numFmtId="0">
      <sharedItems containsString="0" containsBlank="1" containsNumber="1" containsInteger="1" minValue="0" maxValue="0"/>
    </cacheField>
    <cacheField name="T997 - Term G - Long Service Lve Post 17/8/93 Hrs" numFmtId="0">
      <sharedItems containsString="0" containsBlank="1" containsNumber="1" containsInteger="1" minValue="0" maxValue="0"/>
    </cacheField>
    <cacheField name="T998 - Term G - Lve Loading Post 17/8/93 Hrs" numFmtId="0">
      <sharedItems containsString="0" containsBlank="1" containsNumber="1" minValue="0" maxValue="20.317399999999999"/>
    </cacheField>
    <cacheField name="T999 - Term G - Annual Lve Post 17/8/93 Hrs" numFmtId="0">
      <sharedItems containsString="0" containsBlank="1" containsNumber="1" minValue="0" maxValue="20.317399999999999"/>
    </cacheField>
    <cacheField name="T986 - Redundancy - With Prior Support Hrs" numFmtId="0">
      <sharedItems containsString="0" containsBlank="1" containsNumber="1" containsInteger="1" minValue="0" maxValue="0"/>
    </cacheField>
    <cacheField name="T988 - Payment in lieu of notice - Redundancy Hrs" numFmtId="0">
      <sharedItems containsString="0" containsBlank="1" containsNumber="1" containsInteger="1" minValue="0" maxValue="152"/>
    </cacheField>
    <cacheField name="T996 - Term D - Untaxed Hrs" numFmtId="0">
      <sharedItems containsString="0" containsBlank="1" containsNumber="1" containsInteger="1" minValue="0" maxValue="0"/>
    </cacheField>
    <cacheField name="Total Paid Hrs" numFmtId="0">
      <sharedItems containsSemiMixedTypes="0" containsString="0" containsNumber="1" minValue="0" maxValue="206.90010000000001"/>
    </cacheField>
    <cacheField name="OT FTE" numFmtId="43">
      <sharedItems containsSemiMixedTypes="0" containsString="0" containsNumber="1" minValue="0" maxValue="0.25994078947368421"/>
    </cacheField>
    <cacheField name="Paid FTE" numFmtId="164">
      <sharedItems containsSemiMixedTypes="0" containsString="0" containsNumber="1" minValue="0" maxValue="0.90745657894736842"/>
    </cacheField>
    <cacheField name="Worked FTE" numFmtId="164">
      <sharedItems containsSemiMixedTypes="0" containsString="0" containsNumber="1" minValue="0" maxValue="0.90745657894736842"/>
    </cacheField>
    <cacheField name="Department" numFmtId="0">
      <sharedItems/>
    </cacheField>
    <cacheField name="Business Unit" numFmtId="0">
      <sharedItems containsBlank="1" count="35">
        <s v="Sydney Micro"/>
        <s v="Sydney Chem"/>
        <s v="MEL Sample Registration"/>
        <s v="Sydney Sales"/>
        <s v="Bris Sales"/>
        <s v="Sydney Sample Registration"/>
        <s v="Melb Micro"/>
        <s v="Perth Micro"/>
        <s v="Senior Audit"/>
        <s v="Finance"/>
        <s v="Sydney Customer Care"/>
        <s v="HR"/>
        <s v="PERTH Sample Registration"/>
        <s v="Bris Micro"/>
        <s v="IT"/>
        <s v="Perth Sales"/>
        <s v="Central Lab Admin"/>
        <s v="Perth Customer Care"/>
        <s v="Management"/>
        <s v="Bris Lab Admin"/>
        <s v="Melb Lab Admin"/>
        <s v="Sydney Lab Admin"/>
        <s v="Science Centre"/>
        <s v="Melb Customer Care"/>
        <s v="Bris Milk"/>
        <s v="BRI Sample Registration"/>
        <s v="Central Sales"/>
        <s v="Bris Customer Care"/>
        <s v="Quality"/>
        <s v="R&amp;D"/>
        <s v=""/>
        <m u="1"/>
        <s v="Tech Services" u="1"/>
        <s v="Melb Sales" u="1"/>
        <s v="Melb Milk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" refreshedDate="44988.456670254629" createdVersion="5" refreshedVersion="5" minRefreshableVersion="3" recordCount="263">
  <cacheSource type="worksheet">
    <worksheetSource ref="B3:AT266" sheet="Summary - Monthly"/>
  </cacheSource>
  <cacheFields count="45">
    <cacheField name="Cost Centre" numFmtId="0">
      <sharedItems containsMixedTypes="1" containsNumber="1" containsInteger="1" minValue="0" maxValue="12068099"/>
    </cacheField>
    <cacheField name="Emp Cat" numFmtId="0">
      <sharedItems containsBlank="1"/>
    </cacheField>
    <cacheField name="Emp Cat Desc" numFmtId="0">
      <sharedItems containsBlank="1"/>
    </cacheField>
    <cacheField name="Emp Code" numFmtId="0">
      <sharedItems containsSemiMixedTypes="0" containsString="0" containsNumber="1" containsInteger="1" minValue="0" maxValue="44705"/>
    </cacheField>
    <cacheField name="Employee Name" numFmtId="0">
      <sharedItems containsBlank="1" count="305">
        <s v="ABAZARI  HASTI MRS"/>
        <s v="AHMADI  MARYAM MRS"/>
        <s v="AHMED  IMTIAZ MR"/>
        <s v="AHN  ERIC MR"/>
        <s v="AKKOYUN  METE HAN MR"/>
        <s v="ALI  MEHWISH MRS"/>
        <s v="ALISIC  SUVADA MRS"/>
        <s v="ALMASSI  AREZOO MISS"/>
        <s v="ALZEYADI  MAYTHAM MR"/>
        <s v="AVERY  SUE MS"/>
        <s v="AWAD  JASMINE MRS"/>
        <s v="BANDI  RENU MRS"/>
        <s v="BARAL  RICHA MS"/>
        <s v="BATTY  MELISA MS"/>
        <s v="BERA  KHUSHBU MS"/>
        <s v="BOATWRIGHT  ANNA MRS"/>
        <s v="BOGAHAPITIYA  PRASANGA MRS"/>
        <s v="CAMPBELL-MCKECHNIE  ALMA MS"/>
        <s v="CAO  KIM MISS"/>
        <s v="CHAN  CHARMAINE MS"/>
        <s v="CHANDRA  SHARON MRS"/>
        <s v="CHARLTON  STEPHANIE MISS"/>
        <s v="CHEN  JIAOYANG MS"/>
        <s v="CHEN  SOK KIAN MS"/>
        <s v="CHEUNG  CINDY MISS"/>
        <s v="CREMONESI  BRUCE MR"/>
        <s v="DANIELLS  MARIE MISS"/>
        <s v="DELANEY  MEGAN FIONA MS"/>
        <s v="DEMARCHI  STELLA MRS"/>
        <s v="DENG  OLIVER MR"/>
        <s v="DOGUPARTHY  NAVEEN MR"/>
        <s v="EDEN  ANTHONY MR"/>
        <s v="EL-KLINK  IMAN MS"/>
        <s v="ESTORES  FELICIA MS"/>
        <s v="EVANS  LUCY MISS"/>
        <s v="FONG  LAWRENCE MR"/>
        <s v="FOROOGHI  MARZIEH MRS"/>
        <s v="GALLAGHER  TROY MR"/>
        <s v="GODDAER  KEVIN MR"/>
        <s v="GODWIN  COLLEEN MRS"/>
        <s v="GUEVARA LUJAN  GABRIELA MS"/>
        <s v="HADAGINAMAKKI  SHILPA MRS"/>
        <s v="HAMAD  ESTHER MISS"/>
        <s v="HAMILTON  PAUL MR"/>
        <s v="HANANIA  FERRIZ MR"/>
        <s v="HARRIS  KYM MS"/>
        <s v="HENRI  BROOKE MS"/>
        <s v="HO  JOHN MR"/>
        <s v="HOLLEY  KRISTY MRS"/>
        <s v="HOLLY  DONNA MRS"/>
        <s v="HOLMES  JULIAN MR"/>
        <s v="HOMAINEJAD  DORNA MS"/>
        <s v="HUSSAIN  EMRAN MR"/>
        <s v="HWANG  MI HEI MS"/>
        <s v="IMAD  SYED MR"/>
        <s v="IQBAL  SHABANA MRS"/>
        <s v="ISLAM  MD FOKHRUL MR"/>
        <s v="JOKATAMA  SIKITI MISS"/>
        <s v="JOYCE  BLAKE MR"/>
        <s v="KANTHAN  SU MS"/>
        <s v="KAPADIA  MUFFADAL MR"/>
        <s v="KARIMZADA  OMID MR"/>
        <s v="KASHANI  ANGELA MRS"/>
        <s v="KELLY  KYLE MR"/>
        <s v="KHAMBAY  BILL MR"/>
        <s v="KIRBY  MALIKA MS"/>
        <s v="KO  SOL MR"/>
        <s v="KODOR  MARA MRS"/>
        <s v="LAWRENCE  SHARON MS"/>
        <s v="LETHBORG  GABRIELLA MISS"/>
        <s v="LI  MATTHEW MR"/>
        <s v="LIN  LIN MISS"/>
        <s v="MARKOSKA  KATERINA MRS"/>
        <s v="MATTUPALLI  MADHAVI MRS"/>
        <s v="MAVRONICHOLAS  CHRISTOPHER MR"/>
        <s v="MCCANN-DORAN  CONOR MR"/>
        <s v="MCDONALD  WILMA MRS"/>
        <s v="MENDIVELSO-BOHORQUEZ  SANDRA MISS"/>
        <s v="MENON  SHIVANI MISS"/>
        <s v="MOONSAMY  MAYEN MR"/>
        <s v="MOORE  SALOTE MS"/>
        <s v="MOORKANATH  ANU MRS"/>
        <s v="NANAYAKKARA W V W  SHALINI MISS"/>
        <s v="NARAYANA SWAMY  KUSUMA MRS"/>
        <s v="O'NEILL  CHRISTINE MRS"/>
        <s v="ORAHA  AFRAH MISS"/>
        <s v="PARMAR  DINUSHA MRS"/>
        <s v="PATEL  SWETA SHANTILAL MISS"/>
        <s v="PATEL  VIPUL MR"/>
        <s v="PETRAKIS  NICK MR"/>
        <s v="PINDORIA  NIKSHEE MISS"/>
        <s v="PRAEKELT  WILNA MRS"/>
        <s v="PRASHANTHAN  ARANE MRS"/>
        <s v="PREMTHONG  VATCHAREE MISS"/>
        <s v="QURASHI  RAYEED AHMED MR"/>
        <s v="RADHA  IKSHITHA MS"/>
        <s v="RAMALINGAM  JANSI MS"/>
        <s v="RAMIREZ CASTRO  MARIA MRS"/>
        <s v="RANGARAJ  USHA MRS"/>
        <s v="RATTLE  ROSE MRS"/>
        <s v="RAVI  SOORYA NARAYANAN MR"/>
        <s v="RECHE SOLER  YAIZA MISS"/>
        <s v="RESUS  ZARA MISS"/>
        <s v="ROY  JISHA MRS"/>
        <s v="RUSSELL  ADAM MR"/>
        <s v="SAAD  KAREN MS"/>
        <s v="SAHIR  KORISH MR"/>
        <s v="SAMANTHIPUDI VASUDEVAN  KOKILA MRS"/>
        <s v="SANOBER  FAHMI MS"/>
        <s v="SCHOLZ  ERAN MR"/>
        <s v="SCHWANKE  ANNMARIE MRS"/>
        <s v="SEAL  MIHIKA MS"/>
        <s v="SENTHURAN  SUGANIYA MRS"/>
        <s v="SHEN  SHENDY MS"/>
        <s v="SINGH  NAMARTA MISS"/>
        <s v="SIVARAJ  DURGA MRS"/>
        <s v="SIVARAMAN  POORANI MS"/>
        <s v="SKIPPER  MELINDA MS"/>
        <s v="SMITH  KAREN MRS"/>
        <s v="SOHNY  THALITHA MRS"/>
        <s v="SOLEIMANI  MARYAM MS"/>
        <s v="STAMATOVA  ZORICA MRS"/>
        <s v="STANICA  ANDREEA MRS"/>
        <s v="STILLITANO  SUE MRS"/>
        <s v="SUBRAMANYA  AKSHATHA MISS"/>
        <s v="SUNDARA RAJAN  KALAI SELVI MRS"/>
        <s v="SURYAVANSHI  SNEHAL HEMANT MRS"/>
        <s v="THEW  BENJAMIN MR"/>
        <s v="TRAN  KIM LUAN MR"/>
        <s v="TRIFON  MARIA MS"/>
        <s v="TRIVEDI  ARTI MRS"/>
        <s v="TRUONG  DAVID MR"/>
        <s v="TRUONG  RICHARD MR"/>
        <s v="TSELEKIDIS  SIA MS"/>
        <s v="TUIMASEVE  AMENAH MRS"/>
        <s v="VASHISHTH  DEEPIKA MS"/>
        <s v="VOHRA  ATEEV MR"/>
        <s v="WHITE  TERESA MS"/>
        <s v="WIJESINGHE  PULASTHI MR"/>
        <s v="WU  JUN MRS"/>
        <s v="XYLOPORTA  MARIA MRS"/>
        <s v="YADAGIRI  SIRI MS"/>
        <s v="YASEEN  MISBAH MRS"/>
        <s v="YU  SHAN MISS"/>
        <s v="ZHAO  ZHENJUN MR"/>
        <s v=""/>
        <m/>
        <s v="ELHAGE  AMOUN MS" u="1"/>
        <s v="USMAN  ZAKIYYAH MISS" u="1"/>
        <s v="WURR  ALEXANDER MR" u="1"/>
        <s v="YIANNIOS  MARY MRS" u="1"/>
        <s v="LO BIANCO  MARISA MRS" u="1"/>
        <s v="GWOZDZIEWSKI  Cherie MISS" u="1"/>
        <s v="KARUNANAYAKE  DHANUSHKA MRS" u="1"/>
        <s v="MCKERN  PING MRS" u="1"/>
        <s v="RODWELL  ADAM MR" u="1"/>
        <s v="SKINNER  MEGAN MISS" u="1"/>
        <s v="VERNEKAR  SONAL MRS" u="1"/>
        <s v="LIANG  JI MS" u="1"/>
        <s v="DAWSON  MARK DR" u="1"/>
        <s v="ABRAHAM  Udaya MRS" u="1"/>
        <s v="HAGGAG  ABDEL MR" u="1"/>
        <s v="PARK  HEATHER MRS" u="1"/>
        <s v="SOOD  Samridhi MRS" u="1"/>
        <s v="CANTWELL  Martin MR" u="1"/>
        <s v="FELTON  ELAINE MISS" u="1"/>
        <s v="TEODOROVIC  SHAUN MR" u="1"/>
        <s v="QUAN  YISI MS" u="1"/>
        <s v="CRAWCOUR  BRONWYN MISS" u="1"/>
        <s v="SIM  Aaron MR" u="1"/>
        <s v="PATEL  ANAL MRS" u="1"/>
        <s v="STANICA  VLAD MR" u="1"/>
        <s v="HUNT  Heather MRS" u="1"/>
        <s v="D'SILVA  Diane MRS" u="1"/>
        <s v="MCDERMID  AILSA MS" u="1"/>
        <s v="KHANNA  SHEETAL MRS" u="1"/>
        <s v="FRASER  David MR" u="1"/>
        <s v="BEGUM  SELINA MRS" u="1"/>
        <s v="GAO  SUNSHINE MS" u="1"/>
        <s v="BILAL  GOLDA MISS" u="1"/>
        <s v="CHEDID  Zahia MRS" u="1"/>
        <s v="FROST  JAMES MR" u="1"/>
        <s v="KAUR  SHIVREET MISS" u="1"/>
        <s v="RATHORE  MANJU KANWAR MRS" u="1"/>
        <s v="AHMED  NAJIYAH MISS" u="1"/>
        <s v="ALLIE  FREDA MS" u="1"/>
        <s v="MOSTAFA  ALI MR" u="1"/>
        <s v="ECCLES  LINDA MRS" u="1"/>
        <s v="VILLADELGADO  Erika MISS" u="1"/>
        <s v="YUE  TINA MISS" u="1"/>
        <s v="FAHMY  MAHMOUD MR" u="1"/>
        <s v="ANDREWS  CHRISTOPHER MR" u="1"/>
        <s v="BULMAN  ANGELA MRS" u="1"/>
        <s v="MOODLEY  PRESHALIN MR" u="1"/>
        <s v="BADARI  RAGHU MR" u="1"/>
        <s v="PATEL  DHAVAL MR" u="1"/>
        <s v="KARANTH  SUMUKHA MR" u="1"/>
        <s v="WANG  AO MR" u="1"/>
        <s v="JOSHI  Arpita MRS" u="1"/>
        <s v="MITCHELL  THOMAS MR" u="1"/>
        <s v="ROSE  MEL MISS" u="1"/>
        <s v="NAND  Reemal MS" u="1"/>
        <s v="MILLS  SHARON MS" u="1"/>
        <s v="PAXMAN  JEFFREY MR" u="1"/>
        <s v="CHONG  BEN MR" u="1"/>
        <s v="ADHIKARI  UJJWAL MR" u="1"/>
        <s v="DENCH  MATTHEW MR" u="1"/>
        <s v="ZHAO  IRENE MRS" u="1"/>
        <s v="ROZO RODRIGUEZ  JUAN MR" u="1"/>
        <s v="GAUTAM  SURBHI MRS" u="1"/>
        <s v="CARRECK  WELLA MS" u="1"/>
        <s v="TURCULEANU  JENI MRS" u="1"/>
        <s v="HAM  Solinda MS" u="1"/>
        <s v="COOKE  CHARLENE MISS" u="1"/>
        <s v="ZULQURNAIN  NAILA MRS" u="1"/>
        <s v="PASSIANO  Kelly-Anne MRS" u="1"/>
        <s v="LUXTON  TAMARAH NICOLE MISS" u="1"/>
        <s v="BHATNAGAR  DHIRAJ MR" u="1"/>
        <s v="CHAUHAN  VIKRAM MR" u="1"/>
        <s v="GOWDA  NANDANA MRS" u="1"/>
        <s v="LARKIN  CORALIE MRS" u="1"/>
        <s v="HEIDARPOUR  MOHAMMAD MR" u="1"/>
        <s v="NOGUEIRA DE LIMA WU  FLAVIA MS" u="1"/>
        <s v="JACKSON  ASHLEE MISS" u="1"/>
        <s v="REGMI-ADHIKARI  MONIKA MRS" u="1"/>
        <s v="AL LALOO  MYKIL MR" u="1"/>
        <s v="FITZGERALD  DANIEL MR" u="1"/>
        <s v="SERPAUL  ROSHELLE MRS" u="1"/>
        <s v="SAWANT  MADDY MS" u="1"/>
        <s v="TANG  LINDA MISS" u="1"/>
        <s v="ELHALIS  HOSAM MR" u="1"/>
        <s v="RAVAL  DRASHTI MRS" u="1"/>
        <s v="STAGGARD  SASHA MISS" u="1"/>
        <s v="HASIJA  MITHILA HASIJA MS" u="1"/>
        <s v="PRASHANTHAN  Babyarane MRS" u="1"/>
        <s v="PATEL  SHEETAL MRS" u="1"/>
        <s v="TU  Qing MS" u="1"/>
        <s v="MACAIRE  Margaux MISS" u="1"/>
        <s v="PARVATHANENI  PUSHPA LEELA MRS" u="1"/>
        <s v="FERRIS  NADIA MISS" u="1"/>
        <s v="KESHARI  ANITA MRS" u="1"/>
        <s v="IMAD  SYED MUHAMMAD MR" u="1"/>
        <s v="LYE  ELIAS MR" u="1"/>
        <s v="SPARKE  GLENN MR" u="1"/>
        <s v="MAKRIS  MELISSA MRS" u="1"/>
        <s v="ABBOUD  LEBY MR" u="1"/>
        <s v="AVERY  ROSA MRS" u="1"/>
        <s v="PAUL  HAMILTON MR" u="1"/>
        <s v="GALLOP  MITCHEL MR" u="1"/>
        <s v="DUDEKULA  SUSHMA BEE MRS" u="1"/>
        <s v="ASAROGLU  ESRA MRS" u="1"/>
        <s v="KURNIAWAN  LANNY MRS" u="1"/>
        <s v="DAS  ARPITA MRS" u="1"/>
        <s v="BAXTER  ZOE MISS" u="1"/>
        <s v="JAY  Lawrence MR" u="1"/>
        <s v="PATEL  ANITA MRS" u="1"/>
        <s v="SAINI  CARA MISS" u="1"/>
        <s v="KIANIMEHR  SHIVA MS" u="1"/>
        <s v="SHIL  NIRAJ MR" u="1"/>
        <s v="ARKELL  DAVID MR" u="1"/>
        <s v="SMITH  Vanita MRS" u="1"/>
        <s v="SZECSEI  ISTVAN MR" u="1"/>
        <s v="BHUIYAN  SADIA MISS" u="1"/>
        <s v="BRICKNELL  NICHOLAS MR" u="1"/>
        <s v="SIA  FWU PERNG MISS" u="1"/>
        <s v="STREAT  MEL MS" u="1"/>
        <s v="RAJ  BHAWANA MRS" u="1"/>
        <s v="CHRISTIE  Christine MS" u="1"/>
        <s v="DHILLON  TANDEEP MRS" u="1"/>
        <s v="MENON  SHRUTI MISS" u="1"/>
        <s v="RAVELA  SWETHA MRS" u="1"/>
        <s v="ASHTON  DAVE MR" u="1"/>
        <s v="PASSAKOS  THOMAS MR" u="1"/>
        <s v="KHAW  SARAH MS" u="1"/>
        <s v="EARLS  GRACE MISS" u="1"/>
        <s v="TURLA  JAMAICA MS" u="1"/>
        <s v="EDYVANE  Annesha MRS" u="1"/>
        <s v="MOSS  Linda MISS" u="1"/>
        <s v="TAMBURIC  STANOJKA MS" u="1"/>
        <s v="COUDERT  ZOE MS" u="1"/>
        <s v="TURLA  JILL MISS" u="1"/>
        <s v="DHOBI  JALPABEN MRS" u="1"/>
        <s v="ANDERSON  BELINDA MISS" u="1"/>
        <s v="RAO  KARTHIK MR" u="1"/>
        <s v="DERAKHSHANFAR  PARIVASH MRS" u="1"/>
        <s v="WIGG  JO MS" u="1"/>
        <s v="MATHEW  SARAH MISS" u="1"/>
        <s v="FROLOV  ANASTASIA MRS" u="1"/>
        <s v="SWATHI KRISHNA  SHIVANI MISS" u="1"/>
        <s v="LOW  Siau Pim MRS" u="1"/>
        <s v="BENYAMIN  MERNA MRS" u="1"/>
        <s v="TALLACK  Matthew MR" u="1"/>
        <s v="LANGI  KATOKAKALA MISS" u="1"/>
        <s v="BYRNE  LIAN MS" u="1"/>
        <s v="CHEE  AILING MISS" u="1"/>
        <s v="FREEMAN  CAROL MS" u="1"/>
        <s v="MACKAY  LEANNE MS" u="1"/>
        <s v="HAMILTON  HAMILTON MR" u="1"/>
        <s v="SERVINO  ELIZABETH MS" u="1"/>
        <s v="WILLIAMS  NICOLE MISS" u="1"/>
        <s v="DI-MAURO HAYES  GLENN MR" u="1"/>
        <s v="BHARADWAJ  GAURAV MR" u="1"/>
        <s v="DESA  NYDIA MISS" u="1"/>
        <s v="YOON  YOUG KEE MR" u="1"/>
        <s v="SEKULOVSKI  SILVANA MRS" u="1"/>
      </sharedItems>
    </cacheField>
    <cacheField name="Date Hired" numFmtId="14">
      <sharedItems containsDate="1" containsBlank="1" containsMixedTypes="1" minDate="1991-04-03T00:00:00" maxDate="2023-02-15T00:00:00"/>
    </cacheField>
    <cacheField name="Term Date" numFmtId="0">
      <sharedItems containsBlank="1"/>
    </cacheField>
    <cacheField name="Pay Group" numFmtId="14">
      <sharedItems containsBlank="1"/>
    </cacheField>
    <cacheField name="SL Balance as of End of Month (Hours)" numFmtId="166">
      <sharedItems containsSemiMixedTypes="0" containsString="0" containsNumber="1" minValue="0" maxValue="750.86069999999995"/>
    </cacheField>
    <cacheField name="AL Balance as of End of Month(Hours)" numFmtId="166">
      <sharedItems containsSemiMixedTypes="0" containsString="0" containsNumber="1" minValue="-6.3944999999999999" maxValue="337.54180000000002"/>
    </cacheField>
    <cacheField name="1 - Normal Hrs" numFmtId="0">
      <sharedItems containsBlank="1" containsMixedTypes="1" containsNumber="1" minValue="0" maxValue="152"/>
    </cacheField>
    <cacheField name="3 - Ord Other Hrs" numFmtId="0">
      <sharedItems containsString="0" containsBlank="1" containsNumber="1" containsInteger="1" minValue="0" maxValue="0"/>
    </cacheField>
    <cacheField name="5 - Casual Normal Hrs" numFmtId="0">
      <sharedItems containsString="0" containsBlank="1" containsNumber="1" minValue="0" maxValue="138.3665"/>
    </cacheField>
    <cacheField name="6 - Saturday 150% Hrs" numFmtId="0">
      <sharedItems containsString="0" containsBlank="1" containsNumber="1" minValue="0" maxValue="30.4"/>
    </cacheField>
    <cacheField name="7 - Sunday 200% Hrs" numFmtId="0">
      <sharedItems containsString="0" containsBlank="1" containsNumber="1" minValue="0" maxValue="30.4"/>
    </cacheField>
    <cacheField name="50 - O/Time 1.5 Hrs" numFmtId="0">
      <sharedItems containsString="0" containsBlank="1" containsNumber="1" minValue="0" maxValue="38.1"/>
    </cacheField>
    <cacheField name="51 - O/Time 2.0 Hrs" numFmtId="0">
      <sharedItems containsString="0" containsBlank="1" containsNumber="1" minValue="0" maxValue="27.283300000000001"/>
    </cacheField>
    <cacheField name="52 - O/Time 2.5 Hrs" numFmtId="0">
      <sharedItems containsString="0" containsBlank="1" containsNumber="1" containsInteger="1" minValue="0" maxValue="0"/>
    </cacheField>
    <cacheField name="60 - AL Cashout Hrs" numFmtId="0">
      <sharedItems containsString="0" containsBlank="1" containsNumber="1" containsInteger="1" minValue="0" maxValue="0"/>
    </cacheField>
    <cacheField name="100 - Annual Lve Hrs" numFmtId="0">
      <sharedItems containsString="0" containsBlank="1" containsNumber="1" minValue="0" maxValue="129.19999999999999"/>
    </cacheField>
    <cacheField name="101 - Sick/Personal Hrs" numFmtId="0">
      <sharedItems containsString="0" containsBlank="1" containsNumber="1" minValue="0" maxValue="129.19999999999999"/>
    </cacheField>
    <cacheField name="102 - LS Leave Hrs" numFmtId="0">
      <sharedItems containsString="0" containsBlank="1" containsNumber="1" containsInteger="1" minValue="0" maxValue="0"/>
    </cacheField>
    <cacheField name="130 - Public Hol Hrs" numFmtId="0">
      <sharedItems containsString="0" containsBlank="1" containsNumber="1" containsInteger="1" minValue="0" maxValue="0"/>
    </cacheField>
    <cacheField name="150 - Carers Lve Hrs" numFmtId="0">
      <sharedItems containsString="0" containsBlank="1" containsNumber="1" minValue="0" maxValue="6"/>
    </cacheField>
    <cacheField name="160 - LWOP Hrs" numFmtId="0">
      <sharedItems containsString="0" containsBlank="1" containsNumber="1" minValue="0" maxValue="53.2"/>
    </cacheField>
    <cacheField name="161 - Sick No Pay Hrs" numFmtId="0">
      <sharedItems containsString="0" containsBlank="1" containsNumber="1" minValue="0" maxValue="11.6"/>
    </cacheField>
    <cacheField name="163 - Unpaid Maternity Hrs" numFmtId="0">
      <sharedItems containsString="0" containsBlank="1" containsNumber="1" minValue="0" maxValue="152"/>
    </cacheField>
    <cacheField name="168 - WorkCover Hrs" numFmtId="0">
      <sharedItems containsString="0" containsBlank="1" containsNumber="1" containsInteger="1" minValue="0" maxValue="0"/>
    </cacheField>
    <cacheField name="166 - Compassion Hrs" numFmtId="0">
      <sharedItems containsString="0" containsBlank="1" containsNumber="1" containsInteger="1" minValue="0" maxValue="0"/>
    </cacheField>
    <cacheField name="171 - TimeInLieu Hrs" numFmtId="0">
      <sharedItems containsString="0" containsBlank="1" containsNumber="1" containsInteger="1" minValue="0" maxValue="0"/>
    </cacheField>
    <cacheField name="151 - Maternity Paid Hrs" numFmtId="0">
      <sharedItems containsString="0" containsBlank="1" containsNumber="1" containsInteger="1" minValue="0" maxValue="0"/>
    </cacheField>
    <cacheField name="T997 - Term G - Long Service Lve Post 17/8/93 Hrs" numFmtId="0">
      <sharedItems containsString="0" containsBlank="1" containsNumber="1" containsInteger="1" minValue="0" maxValue="0"/>
    </cacheField>
    <cacheField name="T998 - Term G - Lve Loading Post 17/8/93 Hrs" numFmtId="0">
      <sharedItems containsString="0" containsBlank="1" containsNumber="1" minValue="0" maxValue="20.317399999999999"/>
    </cacheField>
    <cacheField name="T999 - Term G - Annual Lve Post 17/8/93 Hrs" numFmtId="0">
      <sharedItems containsString="0" containsBlank="1" containsNumber="1" minValue="0" maxValue="20.317399999999999"/>
    </cacheField>
    <cacheField name="T986 - Redundancy - With Prior Support Hrs" numFmtId="0">
      <sharedItems containsString="0" containsBlank="1" containsNumber="1" containsInteger="1" minValue="0" maxValue="0"/>
    </cacheField>
    <cacheField name="T988 - Payment in lieu of notice - Redundancy Hrs" numFmtId="0">
      <sharedItems containsString="0" containsBlank="1" containsNumber="1" containsInteger="1" minValue="0" maxValue="152"/>
    </cacheField>
    <cacheField name="T996 - Term D - Untaxed Hrs" numFmtId="0">
      <sharedItems containsString="0" containsBlank="1" containsNumber="1" containsInteger="1" minValue="0" maxValue="0"/>
    </cacheField>
    <cacheField name="Total Paid Hrs" numFmtId="0">
      <sharedItems containsSemiMixedTypes="0" containsString="0" containsNumber="1" minValue="0" maxValue="206.90010000000001"/>
    </cacheField>
    <cacheField name="OT FTE" numFmtId="43">
      <sharedItems containsSemiMixedTypes="0" containsString="0" containsNumber="1" minValue="0" maxValue="0.38991118421052634"/>
    </cacheField>
    <cacheField name="Paid FTE" numFmtId="164">
      <sharedItems containsSemiMixedTypes="0" containsString="0" containsNumber="1" minValue="0" maxValue="1.3611848684210528"/>
    </cacheField>
    <cacheField name="Worked FTE" numFmtId="164">
      <sharedItems containsSemiMixedTypes="0" containsString="0" containsNumber="1" minValue="0" maxValue="1.3611848684210528"/>
    </cacheField>
    <cacheField name="Department" numFmtId="0">
      <sharedItems containsBlank="1" count="13">
        <s v="Microbiology"/>
        <s v="Chemistry"/>
        <s v="Sales &amp; Marketing"/>
        <s v="Senior Audit"/>
        <s v="G&amp;A"/>
        <s v="Customer Care"/>
        <s v="IT"/>
        <s v="Lab Admin"/>
        <s v="Quality"/>
        <s v="R&amp;D"/>
        <s v=""/>
        <m u="1"/>
        <s v="Tech Services" u="1"/>
      </sharedItems>
    </cacheField>
    <cacheField name="Business Unit" numFmtId="0">
      <sharedItems containsBlank="1" count="34">
        <s v="Sydney Micro"/>
        <s v="Sydney Chem"/>
        <s v="MEL Sample Registration"/>
        <s v="Sydney Sales"/>
        <s v="Bris Sales"/>
        <s v="Sydney Sample Registration"/>
        <s v="Melb Micro"/>
        <s v="Perth Micro"/>
        <s v="Senior Audit"/>
        <s v="Finance"/>
        <s v="Sydney Customer Care"/>
        <s v="HR"/>
        <s v="PERTH Sample Registration"/>
        <s v="Bris Micro"/>
        <s v="IT"/>
        <s v="Perth Sales"/>
        <s v="Central Lab Admin"/>
        <s v="Perth Customer Care"/>
        <s v="Management"/>
        <s v="Bris Lab Admin"/>
        <s v="Melb Lab Admin"/>
        <s v="Sydney Lab Admin"/>
        <s v="Science Centre"/>
        <s v="Melb Customer Care"/>
        <s v="Bris Milk"/>
        <s v="BRI Sample Registration"/>
        <s v="Central Sales"/>
        <s v="Bris Customer Care"/>
        <s v="Quality"/>
        <s v="R&amp;D"/>
        <s v=""/>
        <m u="1"/>
        <s v="Tech Services" u="1"/>
        <s v="Melb Sales" u="1"/>
      </sharedItems>
    </cacheField>
    <cacheField name="Unplanned Leaves (hours)" numFmtId="0">
      <sharedItems containsSemiMixedTypes="0" containsString="0" containsNumber="1" minValue="0" maxValue="129.19999999999999"/>
    </cacheField>
    <cacheField name="ALL Leaves (hours)" numFmtId="0">
      <sharedItems containsSemiMixedTypes="0" containsString="0" containsNumber="1" minValue="0" maxValue="1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" refreshedDate="44988.457159027777" createdVersion="5" refreshedVersion="5" minRefreshableVersion="3" recordCount="263">
  <cacheSource type="worksheet">
    <worksheetSource ref="B3:AU266" sheet="Summary - Monthly"/>
  </cacheSource>
  <cacheFields count="46">
    <cacheField name="Cost Centre" numFmtId="0">
      <sharedItems containsMixedTypes="1" containsNumber="1" containsInteger="1" minValue="0" maxValue="12068099"/>
    </cacheField>
    <cacheField name="Emp Cat" numFmtId="0">
      <sharedItems containsBlank="1"/>
    </cacheField>
    <cacheField name="Emp Cat Desc" numFmtId="0">
      <sharedItems containsBlank="1"/>
    </cacheField>
    <cacheField name="Emp Code" numFmtId="0">
      <sharedItems containsSemiMixedTypes="0" containsString="0" containsNumber="1" containsInteger="1" minValue="0" maxValue="44705"/>
    </cacheField>
    <cacheField name="Employee Name" numFmtId="0">
      <sharedItems containsBlank="1"/>
    </cacheField>
    <cacheField name="Date Hired" numFmtId="14">
      <sharedItems containsDate="1" containsBlank="1" containsMixedTypes="1" minDate="1991-04-03T00:00:00" maxDate="2023-02-15T00:00:00"/>
    </cacheField>
    <cacheField name="Term Date" numFmtId="0">
      <sharedItems containsBlank="1"/>
    </cacheField>
    <cacheField name="Pay Group" numFmtId="14">
      <sharedItems containsBlank="1"/>
    </cacheField>
    <cacheField name="SL Balance as of End of Month (Hours)" numFmtId="166">
      <sharedItems containsSemiMixedTypes="0" containsString="0" containsNumber="1" minValue="0" maxValue="750.86069999999995"/>
    </cacheField>
    <cacheField name="AL Balance as of End of Month(Hours)" numFmtId="166">
      <sharedItems containsSemiMixedTypes="0" containsString="0" containsNumber="1" minValue="-6.3944999999999999" maxValue="337.54180000000002"/>
    </cacheField>
    <cacheField name="1 - Normal Hrs" numFmtId="0">
      <sharedItems containsBlank="1" containsMixedTypes="1" containsNumber="1" minValue="0" maxValue="152"/>
    </cacheField>
    <cacheField name="3 - Ord Other Hrs" numFmtId="0">
      <sharedItems containsString="0" containsBlank="1" containsNumber="1" containsInteger="1" minValue="0" maxValue="0"/>
    </cacheField>
    <cacheField name="5 - Casual Normal Hrs" numFmtId="0">
      <sharedItems containsString="0" containsBlank="1" containsNumber="1" minValue="0" maxValue="138.3665"/>
    </cacheField>
    <cacheField name="6 - Saturday 150% Hrs" numFmtId="0">
      <sharedItems containsString="0" containsBlank="1" containsNumber="1" minValue="0" maxValue="30.4"/>
    </cacheField>
    <cacheField name="7 - Sunday 200% Hrs" numFmtId="0">
      <sharedItems containsString="0" containsBlank="1" containsNumber="1" minValue="0" maxValue="30.4"/>
    </cacheField>
    <cacheField name="50 - O/Time 1.5 Hrs" numFmtId="0">
      <sharedItems containsString="0" containsBlank="1" containsNumber="1" minValue="0" maxValue="38.1"/>
    </cacheField>
    <cacheField name="51 - O/Time 2.0 Hrs" numFmtId="0">
      <sharedItems containsString="0" containsBlank="1" containsNumber="1" minValue="0" maxValue="27.283300000000001"/>
    </cacheField>
    <cacheField name="52 - O/Time 2.5 Hrs" numFmtId="0">
      <sharedItems containsString="0" containsBlank="1" containsNumber="1" containsInteger="1" minValue="0" maxValue="0"/>
    </cacheField>
    <cacheField name="60 - AL Cashout Hrs" numFmtId="0">
      <sharedItems containsString="0" containsBlank="1" containsNumber="1" containsInteger="1" minValue="0" maxValue="0"/>
    </cacheField>
    <cacheField name="100 - Annual Lve Hrs" numFmtId="0">
      <sharedItems containsString="0" containsBlank="1" containsNumber="1" minValue="0" maxValue="129.19999999999999"/>
    </cacheField>
    <cacheField name="101 - Sick/Personal Hrs" numFmtId="0">
      <sharedItems containsString="0" containsBlank="1" containsNumber="1" minValue="0" maxValue="129.19999999999999"/>
    </cacheField>
    <cacheField name="102 - LS Leave Hrs" numFmtId="0">
      <sharedItems containsString="0" containsBlank="1" containsNumber="1" containsInteger="1" minValue="0" maxValue="0"/>
    </cacheField>
    <cacheField name="130 - Public Hol Hrs" numFmtId="0">
      <sharedItems containsString="0" containsBlank="1" containsNumber="1" containsInteger="1" minValue="0" maxValue="0"/>
    </cacheField>
    <cacheField name="150 - Carers Lve Hrs" numFmtId="0">
      <sharedItems containsString="0" containsBlank="1" containsNumber="1" minValue="0" maxValue="6"/>
    </cacheField>
    <cacheField name="160 - LWOP Hrs" numFmtId="0">
      <sharedItems containsString="0" containsBlank="1" containsNumber="1" minValue="0" maxValue="53.2"/>
    </cacheField>
    <cacheField name="161 - Sick No Pay Hrs" numFmtId="0">
      <sharedItems containsString="0" containsBlank="1" containsNumber="1" minValue="0" maxValue="11.6"/>
    </cacheField>
    <cacheField name="163 - Unpaid Maternity Hrs" numFmtId="0">
      <sharedItems containsString="0" containsBlank="1" containsNumber="1" minValue="0" maxValue="152"/>
    </cacheField>
    <cacheField name="168 - WorkCover Hrs" numFmtId="0">
      <sharedItems containsString="0" containsBlank="1" containsNumber="1" containsInteger="1" minValue="0" maxValue="0"/>
    </cacheField>
    <cacheField name="166 - Compassion Hrs" numFmtId="0">
      <sharedItems containsString="0" containsBlank="1" containsNumber="1" containsInteger="1" minValue="0" maxValue="0"/>
    </cacheField>
    <cacheField name="171 - TimeInLieu Hrs" numFmtId="0">
      <sharedItems containsString="0" containsBlank="1" containsNumber="1" containsInteger="1" minValue="0" maxValue="0"/>
    </cacheField>
    <cacheField name="151 - Maternity Paid Hrs" numFmtId="0">
      <sharedItems containsString="0" containsBlank="1" containsNumber="1" containsInteger="1" minValue="0" maxValue="0"/>
    </cacheField>
    <cacheField name="T997 - Term G - Long Service Lve Post 17/8/93 Hrs" numFmtId="0">
      <sharedItems containsString="0" containsBlank="1" containsNumber="1" containsInteger="1" minValue="0" maxValue="0"/>
    </cacheField>
    <cacheField name="T998 - Term G - Lve Loading Post 17/8/93 Hrs" numFmtId="0">
      <sharedItems containsString="0" containsBlank="1" containsNumber="1" minValue="0" maxValue="20.317399999999999"/>
    </cacheField>
    <cacheField name="T999 - Term G - Annual Lve Post 17/8/93 Hrs" numFmtId="0">
      <sharedItems containsString="0" containsBlank="1" containsNumber="1" minValue="0" maxValue="20.317399999999999"/>
    </cacheField>
    <cacheField name="T986 - Redundancy - With Prior Support Hrs" numFmtId="0">
      <sharedItems containsString="0" containsBlank="1" containsNumber="1" containsInteger="1" minValue="0" maxValue="0"/>
    </cacheField>
    <cacheField name="T988 - Payment in lieu of notice - Redundancy Hrs" numFmtId="0">
      <sharedItems containsString="0" containsBlank="1" containsNumber="1" containsInteger="1" minValue="0" maxValue="152"/>
    </cacheField>
    <cacheField name="T996 - Term D - Untaxed Hrs" numFmtId="0">
      <sharedItems containsString="0" containsBlank="1" containsNumber="1" containsInteger="1" minValue="0" maxValue="0"/>
    </cacheField>
    <cacheField name="Total Paid Hrs" numFmtId="0">
      <sharedItems containsSemiMixedTypes="0" containsString="0" containsNumber="1" minValue="0" maxValue="206.90010000000001"/>
    </cacheField>
    <cacheField name="OT FTE" numFmtId="43">
      <sharedItems containsSemiMixedTypes="0" containsString="0" containsNumber="1" minValue="0" maxValue="0.38991118421052634"/>
    </cacheField>
    <cacheField name="Paid FTE" numFmtId="164">
      <sharedItems containsSemiMixedTypes="0" containsString="0" containsNumber="1" minValue="0" maxValue="1.3611848684210528"/>
    </cacheField>
    <cacheField name="Worked FTE" numFmtId="164">
      <sharedItems containsSemiMixedTypes="0" containsString="0" containsNumber="1" minValue="0" maxValue="1.3611848684210528"/>
    </cacheField>
    <cacheField name="Department" numFmtId="0">
      <sharedItems/>
    </cacheField>
    <cacheField name="Business Unit" numFmtId="0">
      <sharedItems/>
    </cacheField>
    <cacheField name="Unplanned Leaves (hours)" numFmtId="0">
      <sharedItems containsSemiMixedTypes="0" containsString="0" containsNumber="1" minValue="0" maxValue="129.19999999999999"/>
    </cacheField>
    <cacheField name="ALL Leaves (hours)" numFmtId="0">
      <sharedItems containsSemiMixedTypes="0" containsString="0" containsNumber="1" minValue="0" maxValue="152"/>
    </cacheField>
    <cacheField name="Department/Business Unit" numFmtId="0">
      <sharedItems count="23">
        <s v="Sydney Micro"/>
        <s v="Sydney Chem"/>
        <s v="Melbourne Micro"/>
        <s v="S&amp;M"/>
        <s v="Perth Micro"/>
        <s v="Senior Audit"/>
        <s v="G&amp;A"/>
        <s v="Sydney Customer Care"/>
        <s v="Brisbane Micro"/>
        <s v="IT"/>
        <s v="Central Lab Admin"/>
        <s v="Perth Customer Care"/>
        <s v="Brisbane Lab Admin"/>
        <s v="Melbourne Lab Admin"/>
        <s v="Sydney Lab Admin"/>
        <s v="Consulting Micro  SC"/>
        <s v="Melb Customer Care"/>
        <s v="Brisbane Milk Testing"/>
        <s v="Bris Customer Care"/>
        <s v="Quality"/>
        <s v="R&amp;D"/>
        <s v=""/>
        <s v="Consulting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3">
  <r>
    <x v="0"/>
    <s v="FT"/>
    <s v="Fulltime"/>
    <n v="18999"/>
    <x v="0"/>
    <d v="2022-04-12T00:00:00"/>
    <s v="RT"/>
    <s v="RT"/>
    <n v="19.279499999999999"/>
    <n v="7.8921999999999999"/>
    <n v="91.2"/>
    <n v="0"/>
    <n v="0"/>
    <n v="30.4"/>
    <n v="0"/>
    <n v="2"/>
    <n v="0"/>
    <n v="0"/>
    <n v="0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154"/>
    <n v="8.771929824561403E-3"/>
    <n v="0.67543859649122806"/>
    <n v="0.54210526315789476"/>
    <s v="Microbiology"/>
    <x v="0"/>
  </r>
  <r>
    <x v="1"/>
    <s v="FT"/>
    <s v="Fulltime"/>
    <n v="19033"/>
    <x v="1"/>
    <d v="2022-08-29T00:00:00"/>
    <s v="RT"/>
    <s v="RT"/>
    <n v="24.736999999999998"/>
    <n v="39.874000000000002"/>
    <n v="145.35"/>
    <n v="0"/>
    <n v="0"/>
    <n v="0"/>
    <n v="0"/>
    <n v="14.3835"/>
    <n v="0"/>
    <n v="0"/>
    <n v="0"/>
    <n v="0"/>
    <n v="6.6"/>
    <n v="0"/>
    <n v="0"/>
    <n v="0"/>
    <n v="0"/>
    <n v="0"/>
    <n v="0"/>
    <n v="0"/>
    <n v="0"/>
    <n v="0"/>
    <n v="0"/>
    <n v="0"/>
    <n v="0"/>
    <n v="0"/>
    <n v="0"/>
    <n v="0"/>
    <n v="0"/>
    <n v="166.33349999999999"/>
    <n v="6.3085526315789467E-2"/>
    <n v="0.72953289473684202"/>
    <n v="0.70058552631578941"/>
    <s v="Chemistry"/>
    <x v="1"/>
  </r>
  <r>
    <x v="0"/>
    <s v="FT"/>
    <s v="Fulltime"/>
    <n v="18962"/>
    <x v="2"/>
    <d v="2021-08-16T00:00:00"/>
    <s v="FN"/>
    <s v="FN"/>
    <n v="87.243799999999993"/>
    <n v="30.087700000000002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Microbiology"/>
    <x v="0"/>
  </r>
  <r>
    <x v="2"/>
    <s v="FT"/>
    <s v="Fulltime"/>
    <n v="18989"/>
    <x v="3"/>
    <d v="2022-01-10T00:00:00"/>
    <s v="RT"/>
    <s v="RT"/>
    <n v="26.235600000000002"/>
    <n v="14.4712"/>
    <n v="0"/>
    <n v="0"/>
    <n v="0"/>
    <n v="0"/>
    <n v="0"/>
    <n v="0"/>
    <n v="0"/>
    <n v="0"/>
    <n v="0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76"/>
    <n v="0"/>
    <n v="0.33333333333333331"/>
    <n v="0"/>
    <s v="Microbiology"/>
    <x v="2"/>
  </r>
  <r>
    <x v="3"/>
    <s v="FT"/>
    <s v="Fulltime"/>
    <n v="18954"/>
    <x v="4"/>
    <d v="2021-07-05T00:00:00"/>
    <s v="FN"/>
    <s v="FN"/>
    <n v="80.789000000000001"/>
    <n v="153.9781000000000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Microbiology"/>
    <x v="0"/>
  </r>
  <r>
    <x v="4"/>
    <s v="FT"/>
    <s v="Fulltime"/>
    <n v="18866"/>
    <x v="5"/>
    <d v="2019-03-04T00:00:00"/>
    <s v="RT"/>
    <s v="RT"/>
    <n v="108.7"/>
    <n v="220.3999"/>
    <n v="100.8"/>
    <n v="0"/>
    <n v="0"/>
    <n v="0"/>
    <n v="30.4"/>
    <n v="0"/>
    <n v="0"/>
    <n v="0"/>
    <n v="0"/>
    <n v="15.2"/>
    <n v="5.6"/>
    <n v="0"/>
    <n v="0"/>
    <n v="0"/>
    <n v="0"/>
    <n v="0"/>
    <n v="0"/>
    <n v="0"/>
    <n v="0"/>
    <n v="0"/>
    <n v="0"/>
    <n v="0"/>
    <n v="0"/>
    <n v="0"/>
    <n v="0"/>
    <n v="0"/>
    <n v="0"/>
    <n v="151.99999999999997"/>
    <n v="0"/>
    <n v="0.66666666666666652"/>
    <n v="0.57543859649122797"/>
    <s v="Microbiology"/>
    <x v="0"/>
  </r>
  <r>
    <x v="5"/>
    <s v="FT"/>
    <s v="Fulltime"/>
    <n v="18836"/>
    <x v="6"/>
    <d v="2018-09-10T00:00:00"/>
    <s v="RT"/>
    <s v="RT"/>
    <n v="100.0382"/>
    <n v="126.0766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Sales &amp; Marketing"/>
    <x v="3"/>
  </r>
  <r>
    <x v="0"/>
    <s v="PT"/>
    <s v="Parttime"/>
    <n v="19026"/>
    <x v="7"/>
    <d v="2022-08-01T00:00:00"/>
    <s v="RT"/>
    <s v="RT"/>
    <n v="19.260300000000001"/>
    <n v="53.720500000000001"/>
    <n v="91.2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.2"/>
    <n v="8.771929824561403E-3"/>
    <n v="0.4087719298245614"/>
    <n v="0.4087719298245614"/>
    <s v="Microbiology"/>
    <x v="0"/>
  </r>
  <r>
    <x v="0"/>
    <s v="FT"/>
    <s v="Fulltime"/>
    <n v="19046"/>
    <x v="8"/>
    <d v="2022-11-28T00:00:00"/>
    <s v="RT"/>
    <s v="RT"/>
    <n v="12.388999999999999"/>
    <n v="39.978099999999998"/>
    <n v="144.4"/>
    <n v="0"/>
    <n v="0"/>
    <n v="0"/>
    <n v="0"/>
    <n v="3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5"/>
    <n v="1.3157894736842105E-2"/>
    <n v="0.67982456140350878"/>
    <n v="0.64649122807017545"/>
    <s v="Microbiology"/>
    <x v="0"/>
  </r>
  <r>
    <x v="6"/>
    <s v="FT"/>
    <s v="Fulltime"/>
    <n v="19031"/>
    <x v="9"/>
    <d v="2022-08-22T00:00:00"/>
    <s v="FN"/>
    <s v="FN"/>
    <n v="25.194500000000001"/>
    <n v="50.389000000000003"/>
    <n v="144.4"/>
    <n v="0"/>
    <n v="0"/>
    <n v="0"/>
    <n v="0"/>
    <n v="0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333333333333333"/>
    <s v="Sales &amp; Marketing"/>
    <x v="4"/>
  </r>
  <r>
    <x v="5"/>
    <s v="FT"/>
    <s v="Fulltime"/>
    <n v="19055"/>
    <x v="10"/>
    <d v="2023-01-16T00:00:00"/>
    <s v="FN"/>
    <s v="FN"/>
    <n v="0"/>
    <n v="0"/>
    <n v="136.8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.657499999999999"/>
    <n v="16.657499999999999"/>
    <n v="0"/>
    <n v="0"/>
    <n v="0"/>
    <n v="136.80000000000001"/>
    <n v="0"/>
    <n v="0.60000000000000009"/>
    <n v="0.60000000000000009"/>
    <s v="Sales &amp; Marketing"/>
    <x v="3"/>
  </r>
  <r>
    <x v="1"/>
    <s v="FT"/>
    <s v="Fulltime"/>
    <n v="18733"/>
    <x v="11"/>
    <d v="2016-07-11T00:00:00"/>
    <s v="RT"/>
    <s v="RT"/>
    <n v="5.3400999999999996"/>
    <n v="96.131"/>
    <n v="128.2833"/>
    <n v="0"/>
    <n v="0"/>
    <n v="0"/>
    <n v="0"/>
    <n v="6.4333999999999998"/>
    <n v="0"/>
    <n v="0"/>
    <n v="0"/>
    <n v="7.6"/>
    <n v="15.2"/>
    <n v="0"/>
    <n v="0"/>
    <n v="0"/>
    <n v="0"/>
    <n v="0"/>
    <n v="0"/>
    <n v="0"/>
    <n v="0"/>
    <n v="0"/>
    <n v="0"/>
    <n v="0"/>
    <n v="0"/>
    <n v="0"/>
    <n v="0"/>
    <n v="0"/>
    <n v="0"/>
    <n v="157.51669999999999"/>
    <n v="2.8216666666666664E-2"/>
    <n v="0.6908627192982455"/>
    <n v="0.59086271929824563"/>
    <s v="Chemistry"/>
    <x v="1"/>
  </r>
  <r>
    <x v="7"/>
    <s v="FT"/>
    <s v="Fulltime"/>
    <n v="19051"/>
    <x v="12"/>
    <d v="2022-12-14T00:00:00"/>
    <s v="RT"/>
    <s v="RT"/>
    <n v="9.0574999999999992"/>
    <n v="18.115100000000002"/>
    <n v="76"/>
    <n v="0"/>
    <n v="0"/>
    <n v="30.4"/>
    <n v="0"/>
    <n v="0"/>
    <n v="0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121.60000000000001"/>
    <n v="0"/>
    <n v="0.53333333333333333"/>
    <n v="0.46666666666666667"/>
    <s v="Microbiology"/>
    <x v="5"/>
  </r>
  <r>
    <x v="8"/>
    <s v="FT"/>
    <s v="Fulltime"/>
    <n v="18923"/>
    <x v="13"/>
    <d v="2020-09-18T00:00:00"/>
    <s v="RT"/>
    <s v="RT"/>
    <n v="58.160299999999999"/>
    <n v="106.9205"/>
    <n v="129.19999999999999"/>
    <n v="0"/>
    <n v="0"/>
    <n v="0"/>
    <n v="0"/>
    <n v="5.0498000000000003"/>
    <n v="0"/>
    <n v="0"/>
    <n v="0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157.0498"/>
    <n v="2.2148245614035091E-2"/>
    <n v="0.6888149122807018"/>
    <n v="0.58881491228070171"/>
    <s v="Microbiology"/>
    <x v="6"/>
  </r>
  <r>
    <x v="9"/>
    <s v="PT"/>
    <s v="Parttime"/>
    <n v="18634"/>
    <x v="14"/>
    <d v="2014-10-08T00:00:00"/>
    <s v="RT"/>
    <s v="RT"/>
    <n v="4.8872"/>
    <n v="13.0084"/>
    <n v="0"/>
    <n v="0"/>
    <n v="0"/>
    <n v="0"/>
    <n v="0"/>
    <n v="0"/>
    <n v="0"/>
    <n v="0"/>
    <n v="0"/>
    <n v="46.8"/>
    <n v="0"/>
    <n v="0"/>
    <n v="0"/>
    <n v="0"/>
    <n v="15.6"/>
    <n v="0"/>
    <n v="0"/>
    <n v="0"/>
    <n v="0"/>
    <n v="0"/>
    <n v="0"/>
    <n v="0"/>
    <n v="0"/>
    <n v="0"/>
    <n v="0"/>
    <n v="0"/>
    <n v="0"/>
    <n v="46.8"/>
    <n v="0"/>
    <n v="0.20526315789473684"/>
    <n v="0"/>
    <s v="Microbiology"/>
    <x v="7"/>
  </r>
  <r>
    <x v="3"/>
    <s v="PT"/>
    <s v="Parttime"/>
    <n v="18"/>
    <x v="15"/>
    <d v="2000-02-01T00:00:00"/>
    <s v="RT"/>
    <s v="RT"/>
    <n v="42.145600000000002"/>
    <n v="100.3218"/>
    <n v="66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"/>
    <n v="1.7543859649122806E-2"/>
    <n v="0.30701754385964913"/>
    <n v="0.30701754385964913"/>
    <s v="Microbiology"/>
    <x v="0"/>
  </r>
  <r>
    <x v="4"/>
    <s v="FT"/>
    <s v="Fulltime"/>
    <n v="18589"/>
    <x v="16"/>
    <d v="2013-05-29T00:00:00"/>
    <s v="RT"/>
    <s v="RT"/>
    <n v="19.590199999999999"/>
    <n v="141.208"/>
    <n v="121.6"/>
    <n v="0"/>
    <n v="0"/>
    <n v="0"/>
    <n v="30.4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.5"/>
    <n v="2.1929824561403508E-3"/>
    <n v="0.66885964912280704"/>
    <n v="0.66885964912280704"/>
    <s v="Microbiology"/>
    <x v="0"/>
  </r>
  <r>
    <x v="10"/>
    <s v="FT"/>
    <s v="Fulltime"/>
    <n v="18987"/>
    <x v="17"/>
    <d v="2022-01-10T00:00:00"/>
    <s v="FN"/>
    <s v="FN"/>
    <n v="71.835599999999999"/>
    <n v="136.0712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Senior Audit"/>
    <x v="8"/>
  </r>
  <r>
    <x v="11"/>
    <s v="TF"/>
    <s v="Temporary Fulltime"/>
    <n v="19043"/>
    <x v="18"/>
    <d v="2022-11-21T00:00:00"/>
    <s v="RT"/>
    <s v="RT"/>
    <n v="20.2774"/>
    <n v="10.1547"/>
    <n v="91.15"/>
    <n v="0"/>
    <n v="0"/>
    <n v="0"/>
    <n v="0"/>
    <n v="4.9500999999999999"/>
    <n v="0"/>
    <n v="0"/>
    <n v="0"/>
    <n v="30.4"/>
    <n v="0"/>
    <n v="0"/>
    <n v="0"/>
    <n v="0"/>
    <n v="30.4"/>
    <n v="0"/>
    <n v="0"/>
    <n v="0"/>
    <n v="0"/>
    <n v="0"/>
    <n v="0"/>
    <n v="0"/>
    <n v="0"/>
    <n v="0"/>
    <n v="0"/>
    <n v="0"/>
    <n v="0"/>
    <n v="126.5001"/>
    <n v="2.1710964912280702E-2"/>
    <n v="0.55482500000000001"/>
    <n v="0.42149166666666665"/>
    <s v="Microbiology"/>
    <x v="7"/>
  </r>
  <r>
    <x v="12"/>
    <s v="FT"/>
    <s v="Fulltime"/>
    <n v="18741"/>
    <x v="19"/>
    <d v="2016-10-24T00:00:00"/>
    <s v="FN"/>
    <s v="FN"/>
    <n v="118.4761"/>
    <n v="236.9529"/>
    <n v="144.4"/>
    <n v="0"/>
    <n v="0"/>
    <n v="0"/>
    <n v="0"/>
    <n v="0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333333333333333"/>
    <s v="G&amp;A"/>
    <x v="9"/>
  </r>
  <r>
    <x v="13"/>
    <s v="FT"/>
    <s v="Fulltime"/>
    <n v="18619"/>
    <x v="20"/>
    <d v="2014-03-17T00:00:00"/>
    <s v="RT"/>
    <s v="RT"/>
    <n v="233.23230000000001"/>
    <n v="106.3656"/>
    <n v="144.4"/>
    <n v="0"/>
    <n v="0"/>
    <n v="0"/>
    <n v="0"/>
    <n v="0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333333333333333"/>
    <s v="Customer Care"/>
    <x v="10"/>
  </r>
  <r>
    <x v="14"/>
    <s v="FT"/>
    <s v="Fulltime"/>
    <n v="18862"/>
    <x v="21"/>
    <d v="2019-01-30T00:00:00"/>
    <s v="RT"/>
    <s v="RT"/>
    <n v="95.861099999999993"/>
    <n v="188.1424000000000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G&amp;A"/>
    <x v="11"/>
  </r>
  <r>
    <x v="15"/>
    <s v="FT"/>
    <s v="Fulltime"/>
    <n v="18953"/>
    <x v="22"/>
    <d v="2021-05-17T00:00:00"/>
    <s v="RT"/>
    <s v="RT"/>
    <n v="107.4203"/>
    <n v="207.2406"/>
    <n v="151.9666"/>
    <n v="0"/>
    <n v="0"/>
    <n v="0"/>
    <n v="0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.7166"/>
    <n v="2.0833333333333332E-2"/>
    <n v="0.6873535087719298"/>
    <n v="0.6873535087719298"/>
    <s v="Microbiology"/>
    <x v="12"/>
  </r>
  <r>
    <x v="12"/>
    <s v="FT"/>
    <s v="Fulltime"/>
    <n v="18550"/>
    <x v="23"/>
    <d v="2012-07-30T00:00:00"/>
    <s v="FN"/>
    <s v="FN"/>
    <n v="255.70529999999999"/>
    <n v="183.0063000000000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G&amp;A"/>
    <x v="9"/>
  </r>
  <r>
    <x v="16"/>
    <s v="PT"/>
    <s v="Parttime"/>
    <n v="19039"/>
    <x v="24"/>
    <d v="2022-09-20T00:00:00"/>
    <s v="RT"/>
    <s v="RT"/>
    <n v="25.315100000000001"/>
    <n v="13.030099999999999"/>
    <n v="74.366600000000005"/>
    <n v="0"/>
    <n v="0"/>
    <n v="0"/>
    <n v="30.15"/>
    <n v="0.35"/>
    <n v="0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120.06660000000001"/>
    <n v="1.5350877192982456E-3"/>
    <n v="0.52660789473684211"/>
    <n v="0.45994122807017546"/>
    <s v="Microbiology"/>
    <x v="13"/>
  </r>
  <r>
    <x v="17"/>
    <s v="FT"/>
    <s v="Fulltime"/>
    <n v="220"/>
    <x v="25"/>
    <d v="2007-06-18T00:00:00"/>
    <s v="FN"/>
    <s v="FN"/>
    <n v="443.87799999999999"/>
    <n v="218.2467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IT"/>
    <x v="14"/>
  </r>
  <r>
    <x v="18"/>
    <s v="FT"/>
    <s v="Fulltime"/>
    <n v="18876"/>
    <x v="26"/>
    <d v="2019-04-29T00:00:00"/>
    <s v="FN"/>
    <s v="FN"/>
    <n v="204.1397"/>
    <n v="93.279499999999999"/>
    <n v="144.4"/>
    <n v="0"/>
    <n v="0"/>
    <n v="0"/>
    <n v="0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333333333333333"/>
    <s v="Sales &amp; Marketing"/>
    <x v="15"/>
  </r>
  <r>
    <x v="16"/>
    <s v="FT"/>
    <s v="Fulltime"/>
    <n v="18942"/>
    <x v="27"/>
    <d v="2021-03-02T00:00:00"/>
    <s v="RT"/>
    <s v="RT"/>
    <n v="0.61529999999999996"/>
    <n v="29.630600000000001"/>
    <n v="89.733400000000003"/>
    <n v="0"/>
    <n v="0"/>
    <n v="0"/>
    <n v="29.816700000000001"/>
    <n v="0.18329999999999999"/>
    <n v="0"/>
    <n v="0"/>
    <n v="0"/>
    <n v="9.1999999999999993"/>
    <n v="21.2"/>
    <n v="0"/>
    <n v="0"/>
    <n v="0"/>
    <n v="0"/>
    <n v="0"/>
    <n v="0"/>
    <n v="0"/>
    <n v="0"/>
    <n v="0"/>
    <n v="0"/>
    <n v="0"/>
    <n v="0"/>
    <n v="0"/>
    <n v="0"/>
    <n v="0"/>
    <n v="0"/>
    <n v="150.13339999999999"/>
    <n v="8.0394736842105262E-4"/>
    <n v="0.65847982456140353"/>
    <n v="0.52514649122807011"/>
    <s v="Microbiology"/>
    <x v="13"/>
  </r>
  <r>
    <x v="19"/>
    <s v="PT"/>
    <s v="Parttime"/>
    <n v="18650"/>
    <x v="28"/>
    <d v="2008-10-06T00:00:00"/>
    <s v="RT"/>
    <s v="RT"/>
    <n v="6.5667"/>
    <n v="70.874799999999993"/>
    <n v="97.533299999999997"/>
    <n v="0"/>
    <n v="0"/>
    <n v="0"/>
    <n v="0"/>
    <n v="3.3300000000000003E-2"/>
    <n v="0"/>
    <n v="0"/>
    <n v="0"/>
    <n v="15.2"/>
    <n v="7.6"/>
    <n v="0"/>
    <n v="0"/>
    <n v="0"/>
    <n v="0"/>
    <n v="0"/>
    <n v="0"/>
    <n v="0"/>
    <n v="0"/>
    <n v="0"/>
    <n v="0"/>
    <n v="0"/>
    <n v="0"/>
    <n v="0"/>
    <n v="0"/>
    <n v="0"/>
    <n v="0"/>
    <n v="120.36659999999999"/>
    <n v="1.4605263157894737E-4"/>
    <n v="0.52792368421052627"/>
    <n v="0.42792368421052629"/>
    <s v="Microbiology"/>
    <x v="13"/>
  </r>
  <r>
    <x v="12"/>
    <s v="FT"/>
    <s v="Fulltime"/>
    <n v="19025"/>
    <x v="29"/>
    <d v="2022-07-25T00:00:00"/>
    <s v="FN"/>
    <s v="FN"/>
    <n v="18.8247"/>
    <n v="46.849299999999999"/>
    <n v="139.80000000000001"/>
    <n v="0"/>
    <n v="0"/>
    <n v="0"/>
    <n v="0"/>
    <n v="0"/>
    <n v="0"/>
    <n v="0"/>
    <n v="0"/>
    <n v="0"/>
    <n v="12.2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1315789473684212"/>
    <s v="G&amp;A"/>
    <x v="9"/>
  </r>
  <r>
    <x v="17"/>
    <s v="PT"/>
    <s v="Parttime"/>
    <n v="19056"/>
    <x v="30"/>
    <d v="2023-02-01T00:00:00"/>
    <s v="FN"/>
    <s v="FN"/>
    <n v="3.5076999999999998"/>
    <n v="7.0153999999999996"/>
    <n v="9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.2"/>
    <n v="0"/>
    <n v="0.4"/>
    <n v="0.4"/>
    <s v="IT"/>
    <x v="14"/>
  </r>
  <r>
    <x v="12"/>
    <s v="FT"/>
    <s v="Fulltime"/>
    <n v="18853"/>
    <x v="31"/>
    <d v="2019-01-07T00:00:00"/>
    <s v="FN"/>
    <s v="FN"/>
    <n v="304.06020000000001"/>
    <n v="106.9204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G&amp;A"/>
    <x v="9"/>
  </r>
  <r>
    <x v="0"/>
    <s v="TP"/>
    <s v="Temporary Parttime"/>
    <n v="19032"/>
    <x v="32"/>
    <d v="2022-08-22T00:00:00"/>
    <s v="RT"/>
    <s v="RT"/>
    <n v="11.3911"/>
    <n v="15.182"/>
    <n v="91.2"/>
    <n v="0"/>
    <n v="0"/>
    <n v="0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.7"/>
    <n v="2.1929824561403508E-3"/>
    <n v="0.40219298245614038"/>
    <n v="0.40219298245614038"/>
    <s v="Microbiology"/>
    <x v="0"/>
  </r>
  <r>
    <x v="10"/>
    <s v="FT"/>
    <s v="Fulltime"/>
    <n v="18988"/>
    <x v="33"/>
    <d v="2022-01-04T00:00:00"/>
    <s v="FN"/>
    <s v="FN"/>
    <n v="88.284899999999993"/>
    <n v="70.169899999999998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Senior Audit"/>
    <x v="8"/>
  </r>
  <r>
    <x v="20"/>
    <s v="FT"/>
    <s v="Fulltime"/>
    <n v="18517"/>
    <x v="34"/>
    <d v="2012-01-19T00:00:00"/>
    <s v="RT"/>
    <s v="RT"/>
    <n v="750.86069999999995"/>
    <n v="221.9425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Lab Admin"/>
    <x v="16"/>
  </r>
  <r>
    <x v="21"/>
    <s v="FT"/>
    <s v="Fulltime"/>
    <n v="18442"/>
    <x v="35"/>
    <d v="2010-03-29T00:00:00"/>
    <s v="RT"/>
    <s v="RT"/>
    <n v="220.8836"/>
    <n v="189.16829999999999"/>
    <n v="76"/>
    <n v="0"/>
    <n v="0"/>
    <n v="0"/>
    <n v="0"/>
    <n v="0"/>
    <n v="0"/>
    <n v="0"/>
    <n v="0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33333333333333331"/>
    <s v="Customer Care"/>
    <x v="17"/>
  </r>
  <r>
    <x v="3"/>
    <s v="PT"/>
    <s v="Parttime"/>
    <n v="18631"/>
    <x v="36"/>
    <d v="2014-08-19T00:00:00"/>
    <s v="RT"/>
    <s v="RT"/>
    <n v="37.486699999999999"/>
    <n v="74.020399999999995"/>
    <n v="53.2"/>
    <n v="0"/>
    <n v="0"/>
    <n v="22.8"/>
    <n v="0"/>
    <n v="0.5"/>
    <n v="0"/>
    <n v="0"/>
    <n v="0"/>
    <n v="7.6"/>
    <n v="7.6"/>
    <n v="0"/>
    <n v="0"/>
    <n v="0"/>
    <n v="0"/>
    <n v="0"/>
    <n v="0"/>
    <n v="0"/>
    <n v="0"/>
    <n v="0"/>
    <n v="0"/>
    <n v="0"/>
    <n v="0"/>
    <n v="0"/>
    <n v="0"/>
    <n v="0"/>
    <n v="0"/>
    <n v="91.699999999999989"/>
    <n v="2.1929824561403508E-3"/>
    <n v="0.40219298245614032"/>
    <n v="0.33552631578947362"/>
    <s v="Microbiology"/>
    <x v="0"/>
  </r>
  <r>
    <x v="16"/>
    <s v="FT"/>
    <s v="Fulltime"/>
    <n v="18990"/>
    <x v="37"/>
    <d v="2022-01-21T00:00:00"/>
    <s v="RT"/>
    <s v="RT"/>
    <n v="9.1452000000000009"/>
    <n v="55.490400000000001"/>
    <n v="136.16659999999999"/>
    <n v="0"/>
    <n v="0"/>
    <n v="0"/>
    <n v="0"/>
    <n v="4.4165999999999999"/>
    <n v="0"/>
    <n v="0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155.78319999999997"/>
    <n v="1.9371052631578945E-2"/>
    <n v="0.6832596491228069"/>
    <n v="0.61659298245614025"/>
    <s v="Microbiology"/>
    <x v="13"/>
  </r>
  <r>
    <x v="22"/>
    <s v="FT"/>
    <s v="Fulltime"/>
    <n v="18886"/>
    <x v="38"/>
    <d v="2019-06-04T00:00:00"/>
    <s v="FN"/>
    <s v="FN"/>
    <n v="252.44380000000001"/>
    <n v="132.3877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G&amp;A"/>
    <x v="18"/>
  </r>
  <r>
    <x v="23"/>
    <s v="FT"/>
    <s v="Fulltime"/>
    <n v="18649"/>
    <x v="39"/>
    <d v="2014-06-11T00:00:00"/>
    <s v="RT"/>
    <s v="RT"/>
    <n v="218.126"/>
    <n v="111.2332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Lab Admin"/>
    <x v="19"/>
  </r>
  <r>
    <x v="6"/>
    <s v="FT"/>
    <s v="Fulltime"/>
    <n v="18976"/>
    <x v="40"/>
    <d v="2021-11-01T00:00:00"/>
    <s v="FN"/>
    <s v="FN"/>
    <n v="96.318700000000007"/>
    <n v="58.237299999999998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Sales &amp; Marketing"/>
    <x v="4"/>
  </r>
  <r>
    <x v="24"/>
    <s v="TP"/>
    <s v="Temporary Parttime"/>
    <n v="18506"/>
    <x v="41"/>
    <d v="2011-09-14T00:00:00"/>
    <s v="RT"/>
    <s v="RT"/>
    <n v="53.395200000000003"/>
    <n v="271.846"/>
    <n v="48"/>
    <n v="0"/>
    <n v="0"/>
    <n v="0"/>
    <n v="0"/>
    <n v="1.9668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.966799999999999"/>
    <n v="8.6263157894736851E-3"/>
    <n v="0.21915263157894738"/>
    <n v="0.21915263157894738"/>
    <s v="Microbiology"/>
    <x v="7"/>
  </r>
  <r>
    <x v="7"/>
    <s v="FT"/>
    <s v="Fulltime"/>
    <n v="19053"/>
    <x v="42"/>
    <d v="2023-01-04T00:00:00"/>
    <s v="RT"/>
    <s v="RT"/>
    <n v="2.6387999999999998"/>
    <n v="5.2775999999999996"/>
    <n v="76"/>
    <n v="0"/>
    <n v="0"/>
    <n v="0"/>
    <n v="0"/>
    <n v="1"/>
    <n v="0"/>
    <n v="0"/>
    <n v="0"/>
    <n v="15.2"/>
    <n v="7.6"/>
    <n v="0"/>
    <n v="0"/>
    <n v="0"/>
    <n v="53.2"/>
    <n v="0"/>
    <n v="0"/>
    <n v="0"/>
    <n v="0"/>
    <n v="0"/>
    <n v="0"/>
    <n v="0"/>
    <n v="0"/>
    <n v="0"/>
    <n v="0"/>
    <n v="0"/>
    <n v="0"/>
    <n v="99.8"/>
    <n v="4.3859649122807015E-3"/>
    <n v="0.43771929824561401"/>
    <n v="0.33771929824561403"/>
    <s v="Microbiology"/>
    <x v="5"/>
  </r>
  <r>
    <x v="12"/>
    <s v="FT"/>
    <s v="Fulltime"/>
    <n v="19003"/>
    <x v="43"/>
    <d v="2022-04-19T00:00:00"/>
    <s v="FN"/>
    <s v="FN"/>
    <n v="24.421900000000001"/>
    <n v="56.843800000000002"/>
    <n v="136.80000000000001"/>
    <n v="0"/>
    <n v="0"/>
    <n v="0"/>
    <n v="0"/>
    <n v="0"/>
    <n v="0"/>
    <n v="0"/>
    <n v="0"/>
    <n v="7.6"/>
    <n v="7.6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0000000000000009"/>
    <s v="G&amp;A"/>
    <x v="9"/>
  </r>
  <r>
    <x v="25"/>
    <s v="FT"/>
    <s v="Fulltime"/>
    <n v="18961"/>
    <x v="44"/>
    <d v="2021-08-04T00:00:00"/>
    <s v="RT"/>
    <s v="RT"/>
    <n v="16.491"/>
    <n v="32.981900000000003"/>
    <n v="152"/>
    <n v="0"/>
    <n v="0"/>
    <n v="0"/>
    <n v="0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.5"/>
    <n v="1.9736842105263157E-2"/>
    <n v="0.68640350877192979"/>
    <n v="0.68640350877192979"/>
    <s v="Microbiology"/>
    <x v="0"/>
  </r>
  <r>
    <x v="16"/>
    <s v="CAS"/>
    <s v="Casual RL"/>
    <n v="18917"/>
    <x v="45"/>
    <d v="2020-06-23T00:00:00"/>
    <s v="RT"/>
    <s v="RT"/>
    <n v="30.316700000000001"/>
    <n v="60.633400000000002"/>
    <n v="0"/>
    <n v="0"/>
    <n v="47.0833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.083300000000001"/>
    <n v="0"/>
    <n v="0.20650570175438598"/>
    <n v="0.20650570175438598"/>
    <s v="Microbiology"/>
    <x v="13"/>
  </r>
  <r>
    <x v="13"/>
    <s v="FT"/>
    <s v="Fulltime"/>
    <n v="19057"/>
    <x v="46"/>
    <d v="2023-02-13T00:00:00"/>
    <s v="FN"/>
    <s v="FN"/>
    <n v="3.9561999999999999"/>
    <n v="7.9123000000000001"/>
    <n v="9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.2"/>
    <n v="0"/>
    <n v="0.4"/>
    <n v="0.4"/>
    <s v="Customer Care"/>
    <x v="10"/>
  </r>
  <r>
    <x v="7"/>
    <s v="FT"/>
    <s v="Fulltime"/>
    <n v="19013"/>
    <x v="47"/>
    <d v="2022-06-20T00:00:00"/>
    <s v="RT"/>
    <s v="RT"/>
    <n v="45.912300000000002"/>
    <n v="99.424700000000001"/>
    <n v="152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6"/>
    <n v="6.1403508771929821E-2"/>
    <n v="0.72807017543859653"/>
    <n v="0.72807017543859653"/>
    <s v="Microbiology"/>
    <x v="5"/>
  </r>
  <r>
    <x v="26"/>
    <s v="FT"/>
    <s v="Fulltime"/>
    <n v="18841"/>
    <x v="48"/>
    <d v="2018-10-10T00:00:00"/>
    <s v="RT"/>
    <s v="RT"/>
    <n v="101.2617"/>
    <n v="106.5335"/>
    <n v="138.6"/>
    <n v="0"/>
    <n v="0"/>
    <n v="0"/>
    <n v="0"/>
    <n v="0"/>
    <n v="0"/>
    <n v="0"/>
    <n v="0"/>
    <n v="11.05"/>
    <n v="0"/>
    <n v="0"/>
    <n v="0"/>
    <n v="2.35"/>
    <n v="0"/>
    <n v="0"/>
    <n v="0"/>
    <n v="0"/>
    <n v="0"/>
    <n v="0"/>
    <n v="0"/>
    <n v="0"/>
    <n v="0"/>
    <n v="0"/>
    <n v="0"/>
    <n v="0"/>
    <n v="0"/>
    <n v="152"/>
    <n v="0"/>
    <n v="0.66666666666666663"/>
    <n v="0.60789473684210527"/>
    <s v="Lab Admin"/>
    <x v="20"/>
  </r>
  <r>
    <x v="10"/>
    <s v="FT"/>
    <s v="Fulltime"/>
    <n v="18721"/>
    <x v="49"/>
    <d v="2016-02-15T00:00:00"/>
    <s v="FN"/>
    <s v="FN"/>
    <n v="296.99169999999998"/>
    <n v="49.923999999999999"/>
    <n v="22.8"/>
    <n v="0"/>
    <n v="0"/>
    <n v="0"/>
    <n v="0"/>
    <n v="0"/>
    <n v="0"/>
    <n v="0"/>
    <n v="0"/>
    <n v="129.1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10000000000000005"/>
    <s v="Senior Audit"/>
    <x v="8"/>
  </r>
  <r>
    <x v="8"/>
    <s v="FT"/>
    <s v="Fulltime"/>
    <n v="18679"/>
    <x v="50"/>
    <d v="2015-06-02T00:00:00"/>
    <s v="RT"/>
    <s v="RT"/>
    <n v="200.45930000000001"/>
    <n v="51.260899999999999"/>
    <n v="151.6"/>
    <n v="0"/>
    <n v="0"/>
    <n v="0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.69999999999999"/>
    <n v="4.8245614035087722E-3"/>
    <n v="0.66973684210526307"/>
    <n v="0.66973684210526307"/>
    <s v="Microbiology"/>
    <x v="6"/>
  </r>
  <r>
    <x v="0"/>
    <s v="FT"/>
    <s v="Fulltime"/>
    <n v="18974"/>
    <x v="51"/>
    <d v="2021-11-03T00:00:00"/>
    <s v="RT"/>
    <s v="RT"/>
    <n v="43.994500000000002"/>
    <n v="102.289"/>
    <n v="91.2"/>
    <n v="0"/>
    <n v="0"/>
    <n v="30.4"/>
    <n v="30.4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.5"/>
    <n v="1.9736842105263157E-2"/>
    <n v="0.68640350877192979"/>
    <n v="0.68640350877192979"/>
    <s v="Microbiology"/>
    <x v="0"/>
  </r>
  <r>
    <x v="8"/>
    <s v="FT"/>
    <s v="Fulltime"/>
    <n v="19015"/>
    <x v="52"/>
    <d v="2022-06-09T00:00:00"/>
    <s v="RT"/>
    <s v="RT"/>
    <n v="11.8027"/>
    <n v="-6.3944999999999999"/>
    <n v="15.1"/>
    <n v="0"/>
    <n v="0"/>
    <n v="7.5"/>
    <n v="0"/>
    <n v="2"/>
    <n v="0.86670000000000003"/>
    <n v="0"/>
    <n v="0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101.4667"/>
    <n v="1.2573245614035087E-2"/>
    <n v="0.44502938596491232"/>
    <n v="0.11169605263157896"/>
    <s v="Microbiology"/>
    <x v="6"/>
  </r>
  <r>
    <x v="1"/>
    <s v="FT"/>
    <s v="Fulltime"/>
    <n v="18659"/>
    <x v="53"/>
    <d v="2015-01-12T00:00:00"/>
    <s v="RT"/>
    <s v="RT"/>
    <n v="278.89830000000001"/>
    <n v="158.0376"/>
    <n v="118.6"/>
    <n v="0"/>
    <n v="0"/>
    <n v="0"/>
    <n v="0"/>
    <n v="10.6501"/>
    <n v="0.2167"/>
    <n v="0"/>
    <n v="0"/>
    <n v="30.4"/>
    <n v="3"/>
    <n v="0"/>
    <n v="0"/>
    <n v="0"/>
    <n v="0"/>
    <n v="0"/>
    <n v="0"/>
    <n v="0"/>
    <n v="0"/>
    <n v="0"/>
    <n v="0"/>
    <n v="0"/>
    <n v="0"/>
    <n v="0"/>
    <n v="0"/>
    <n v="0"/>
    <n v="0"/>
    <n v="162.86680000000001"/>
    <n v="4.7661403508771925E-2"/>
    <n v="0.71432807017543865"/>
    <n v="0.5678368421052632"/>
    <s v="Chemistry"/>
    <x v="1"/>
  </r>
  <r>
    <x v="8"/>
    <s v="FT"/>
    <s v="Fulltime"/>
    <n v="19049"/>
    <x v="54"/>
    <d v="2022-12-06T00:00:00"/>
    <s v="RT"/>
    <s v="RT"/>
    <n v="18.3233"/>
    <n v="36.646599999999999"/>
    <n v="29.333300000000001"/>
    <n v="0"/>
    <n v="0"/>
    <n v="30.2333"/>
    <n v="26.3"/>
    <n v="16.600000000000001"/>
    <n v="17.0834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9.55"/>
    <n v="0.14773421052631583"/>
    <n v="0.52434210526315783"/>
    <n v="0.52434210526315783"/>
    <s v="Microbiology"/>
    <x v="6"/>
  </r>
  <r>
    <x v="16"/>
    <s v="PT"/>
    <s v="Parttime"/>
    <n v="18646"/>
    <x v="55"/>
    <d v="2014-03-03T00:00:00"/>
    <s v="RT"/>
    <s v="RT"/>
    <n v="10.7416"/>
    <n v="46.483600000000003"/>
    <n v="50.333300000000001"/>
    <n v="0"/>
    <n v="0"/>
    <n v="30.166699999999999"/>
    <n v="30.1"/>
    <n v="5.9"/>
    <n v="2.4998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.9999"/>
    <n v="3.6841666666666668E-2"/>
    <n v="0.52192938596491223"/>
    <n v="0.52192938596491223"/>
    <s v="Microbiology"/>
    <x v="13"/>
  </r>
  <r>
    <x v="1"/>
    <s v="FT"/>
    <s v="Fulltime"/>
    <n v="18967"/>
    <x v="56"/>
    <d v="2021-08-23T00:00:00"/>
    <s v="RT"/>
    <s v="RT"/>
    <n v="15.9863"/>
    <n v="87.9726"/>
    <n v="144.4"/>
    <n v="0"/>
    <n v="0"/>
    <n v="0"/>
    <n v="0"/>
    <n v="17.5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69.5"/>
    <n v="7.6754385964912283E-2"/>
    <n v="0.74342105263157898"/>
    <n v="0.71008771929824566"/>
    <s v="Chemistry"/>
    <x v="1"/>
  </r>
  <r>
    <x v="27"/>
    <s v="TP"/>
    <s v="Temporary Parttime"/>
    <n v="19040"/>
    <x v="57"/>
    <d v="2022-10-24T00:00:00"/>
    <s v="FN"/>
    <s v="FN"/>
    <n v="14.356199999999999"/>
    <n v="28.712299999999999"/>
    <n v="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0"/>
    <n v="0.35087719298245612"/>
    <n v="0.35087719298245612"/>
    <s v="Lab Admin"/>
    <x v="21"/>
  </r>
  <r>
    <x v="16"/>
    <s v="FT"/>
    <s v="Fulltime"/>
    <n v="18703"/>
    <x v="58"/>
    <d v="2015-10-12T00:00:00"/>
    <s v="RT"/>
    <s v="RT"/>
    <n v="147.72460000000001"/>
    <n v="99.350099999999998"/>
    <n v="143.3999"/>
    <n v="0"/>
    <n v="0"/>
    <n v="0"/>
    <n v="0"/>
    <n v="2.0167999999999999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3.01669999999999"/>
    <n v="8.8456140350877191E-3"/>
    <n v="0.67112587719298245"/>
    <n v="0.63779254385964912"/>
    <s v="Microbiology"/>
    <x v="13"/>
  </r>
  <r>
    <x v="0"/>
    <s v="PT"/>
    <s v="Parttime"/>
    <n v="18973"/>
    <x v="59"/>
    <d v="2021-09-29T00:00:00"/>
    <s v="RT"/>
    <s v="RT"/>
    <n v="8.6751000000000005"/>
    <n v="17.350000000000001"/>
    <n v="83.6"/>
    <n v="0"/>
    <n v="0"/>
    <n v="0"/>
    <n v="0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91.199999999999989"/>
    <n v="0"/>
    <n v="0.39999999999999997"/>
    <n v="0.36666666666666664"/>
    <s v="Microbiology"/>
    <x v="0"/>
  </r>
  <r>
    <x v="8"/>
    <s v="FT"/>
    <s v="Fulltime"/>
    <n v="18932"/>
    <x v="60"/>
    <d v="2021-01-27T00:00:00"/>
    <s v="RT"/>
    <s v="RT"/>
    <n v="17.195900000000002"/>
    <n v="37.891800000000003"/>
    <n v="114"/>
    <n v="0"/>
    <n v="0"/>
    <n v="0"/>
    <n v="0"/>
    <n v="28.3001"/>
    <n v="24.35"/>
    <n v="0"/>
    <n v="0"/>
    <n v="22.8"/>
    <n v="15.2"/>
    <n v="0"/>
    <n v="0"/>
    <n v="0"/>
    <n v="0"/>
    <n v="0"/>
    <n v="0"/>
    <n v="0"/>
    <n v="0"/>
    <n v="0"/>
    <n v="0"/>
    <n v="0"/>
    <n v="0"/>
    <n v="0"/>
    <n v="0"/>
    <n v="0"/>
    <n v="0"/>
    <n v="204.65009999999998"/>
    <n v="0.23092149122807018"/>
    <n v="0.89758815789473678"/>
    <n v="0.73092149122807004"/>
    <s v="Microbiology"/>
    <x v="6"/>
  </r>
  <r>
    <x v="28"/>
    <s v="FT"/>
    <s v="Fulltime"/>
    <n v="19014"/>
    <x v="61"/>
    <d v="2022-06-15T00:00:00"/>
    <s v="FN"/>
    <s v="FN"/>
    <n v="46.076500000000003"/>
    <n v="68.552999999999997"/>
    <n v="136.80000000000001"/>
    <n v="0"/>
    <n v="0"/>
    <n v="0"/>
    <n v="0"/>
    <n v="0"/>
    <n v="0"/>
    <n v="0"/>
    <n v="0"/>
    <n v="7.6"/>
    <n v="7.6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0000000000000009"/>
    <s v="Microbiology"/>
    <x v="22"/>
  </r>
  <r>
    <x v="16"/>
    <s v="FT"/>
    <s v="Fulltime"/>
    <n v="18850"/>
    <x v="62"/>
    <d v="2019-01-02T00:00:00"/>
    <s v="RT"/>
    <s v="RT"/>
    <n v="188.69130000000001"/>
    <n v="94.735900000000001"/>
    <n v="121.5"/>
    <n v="0"/>
    <n v="0"/>
    <n v="30.4"/>
    <n v="0"/>
    <n v="5.41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7.3169"/>
    <n v="2.3758333333333333E-2"/>
    <n v="0.68998640350877194"/>
    <n v="0.68998640350877194"/>
    <s v="Microbiology"/>
    <x v="13"/>
  </r>
  <r>
    <x v="8"/>
    <s v="FT"/>
    <s v="Fulltime"/>
    <n v="18829"/>
    <x v="63"/>
    <d v="2018-06-04T00:00:00"/>
    <s v="RT"/>
    <s v="RT"/>
    <n v="22.843599999999999"/>
    <n v="174.48750000000001"/>
    <n v="121.6"/>
    <n v="0"/>
    <n v="0"/>
    <n v="0"/>
    <n v="30.4"/>
    <n v="32.616700000000002"/>
    <n v="22.28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.90010000000001"/>
    <n v="0.24078991228070176"/>
    <n v="0.90745657894736842"/>
    <n v="0.90745657894736842"/>
    <s v="Microbiology"/>
    <x v="6"/>
  </r>
  <r>
    <x v="0"/>
    <s v="TF"/>
    <s v="Temporary Fulltime"/>
    <n v="19035"/>
    <x v="64"/>
    <d v="2022-09-05T00:00:00"/>
    <s v="RT"/>
    <s v="RT"/>
    <n v="10.094900000000001"/>
    <n v="1.8896999999999999"/>
    <n v="148.5"/>
    <n v="0"/>
    <n v="0"/>
    <n v="0"/>
    <n v="0"/>
    <n v="0"/>
    <n v="0"/>
    <n v="0"/>
    <n v="0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5131578947368418"/>
    <s v="Microbiology"/>
    <x v="0"/>
  </r>
  <r>
    <x v="29"/>
    <s v="FT"/>
    <s v="Fulltime"/>
    <n v="19047"/>
    <x v="65"/>
    <d v="2022-12-12T00:00:00"/>
    <s v="FN"/>
    <s v="FN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.317399999999999"/>
    <n v="20.317399999999999"/>
    <n v="0"/>
    <n v="0"/>
    <n v="0"/>
    <n v="15.2"/>
    <n v="0"/>
    <n v="6.6666666666666666E-2"/>
    <n v="6.6666666666666666E-2"/>
    <s v="Customer Care"/>
    <x v="23"/>
  </r>
  <r>
    <x v="30"/>
    <s v="FT"/>
    <s v="Fulltime"/>
    <n v="18979"/>
    <x v="66"/>
    <d v="2021-12-06T00:00:00"/>
    <s v="RT"/>
    <s v="RT"/>
    <n v="10.3233"/>
    <n v="44.246600000000001"/>
    <n v="128.55000000000001"/>
    <n v="0"/>
    <n v="0"/>
    <n v="0"/>
    <n v="0"/>
    <n v="18.2834"/>
    <n v="5.3666999999999998"/>
    <n v="0"/>
    <n v="0"/>
    <n v="15.2"/>
    <n v="7.6"/>
    <n v="0"/>
    <n v="0"/>
    <n v="0"/>
    <n v="0"/>
    <n v="0"/>
    <n v="0"/>
    <n v="0"/>
    <n v="0"/>
    <n v="0"/>
    <n v="0"/>
    <n v="0"/>
    <n v="0"/>
    <n v="0"/>
    <n v="0"/>
    <n v="0"/>
    <n v="0"/>
    <n v="175.0001"/>
    <n v="0.10372850877192984"/>
    <n v="0.7675442982456141"/>
    <n v="0.66754429824561412"/>
    <s v="Microbiology"/>
    <x v="6"/>
  </r>
  <r>
    <x v="4"/>
    <s v="PT"/>
    <s v="Parttime"/>
    <n v="18891"/>
    <x v="67"/>
    <d v="2019-10-08T00:00:00"/>
    <s v="FN"/>
    <s v="FN"/>
    <n v="121.2381"/>
    <n v="131.03229999999999"/>
    <n v="121.6"/>
    <n v="0"/>
    <n v="0"/>
    <n v="0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2.1"/>
    <n v="2.1929824561403508E-3"/>
    <n v="0.53552631578947363"/>
    <n v="0.53552631578947363"/>
    <s v="Microbiology"/>
    <x v="0"/>
  </r>
  <r>
    <x v="16"/>
    <s v="CAS"/>
    <s v="Casual RL"/>
    <n v="19023"/>
    <x v="68"/>
    <d v="2022-07-06T00:00:00"/>
    <s v="RT"/>
    <s v="RT"/>
    <n v="0"/>
    <n v="0"/>
    <n v="0"/>
    <n v="0"/>
    <n v="50.9166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.916699999999999"/>
    <n v="0"/>
    <n v="0.22331885964912279"/>
    <n v="0.22331885964912279"/>
    <s v="Microbiology"/>
    <x v="13"/>
  </r>
  <r>
    <x v="29"/>
    <s v="FT"/>
    <s v="Fulltime"/>
    <n v="18805"/>
    <x v="69"/>
    <d v="2017-11-28T00:00:00"/>
    <s v="RT"/>
    <s v="RT"/>
    <n v="289.3886"/>
    <n v="146.37780000000001"/>
    <n v="106.4"/>
    <n v="0"/>
    <n v="0"/>
    <n v="0"/>
    <n v="0"/>
    <n v="0"/>
    <n v="0"/>
    <n v="0"/>
    <n v="0"/>
    <n v="45.6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46666666666666667"/>
    <s v="Customer Care"/>
    <x v="23"/>
  </r>
  <r>
    <x v="12"/>
    <s v="FT"/>
    <s v="Fulltime"/>
    <n v="18968"/>
    <x v="70"/>
    <d v="2021-09-01T00:00:00"/>
    <s v="FN"/>
    <s v="FN"/>
    <n v="91.612300000000005"/>
    <n v="113.9747"/>
    <n v="15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228070175438591"/>
    <s v="G&amp;A"/>
    <x v="9"/>
  </r>
  <r>
    <x v="30"/>
    <s v="FT"/>
    <s v="Fulltime"/>
    <n v="18887"/>
    <x v="71"/>
    <d v="2019-06-11T00:00:00"/>
    <s v="RT"/>
    <s v="RT"/>
    <n v="123.7863"/>
    <n v="285.57260000000002"/>
    <n v="152"/>
    <n v="0"/>
    <n v="0"/>
    <n v="0"/>
    <n v="0"/>
    <n v="38.1"/>
    <n v="11.1832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1.2833"/>
    <n v="0.2161548245614035"/>
    <n v="0.88282149122807019"/>
    <n v="0.88282149122807019"/>
    <s v="Microbiology"/>
    <x v="6"/>
  </r>
  <r>
    <x v="9"/>
    <s v="FT"/>
    <s v="Fulltime"/>
    <n v="261"/>
    <x v="72"/>
    <d v="2008-01-02T00:00:00"/>
    <s v="RT"/>
    <s v="RT"/>
    <n v="144.07910000000001"/>
    <n v="188.2898000000000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Microbiology"/>
    <x v="7"/>
  </r>
  <r>
    <x v="8"/>
    <s v="CAS"/>
    <s v="Casual RL"/>
    <n v="19050"/>
    <x v="73"/>
    <d v="2022-12-07T00:00:00"/>
    <s v="FN"/>
    <s v="FN"/>
    <n v="0"/>
    <n v="0"/>
    <n v="0"/>
    <n v="0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.3"/>
    <n v="0"/>
    <n v="9.7807017543859648E-2"/>
    <n v="9.7807017543859648E-2"/>
    <s v="Microbiology"/>
    <x v="6"/>
  </r>
  <r>
    <x v="31"/>
    <s v="PT"/>
    <s v="Parttime"/>
    <n v="18970"/>
    <x v="74"/>
    <d v="2021-09-13T00:00:00"/>
    <s v="RT"/>
    <s v="RT"/>
    <n v="3.4579"/>
    <n v="112.9158"/>
    <n v="75.599999999999994"/>
    <n v="0"/>
    <n v="0"/>
    <n v="30.25"/>
    <n v="0"/>
    <n v="12.7666"/>
    <n v="4.4667000000000003"/>
    <n v="0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138.2833"/>
    <n v="7.5584649122807018E-2"/>
    <n v="0.60650570175438601"/>
    <n v="0.53983903508771924"/>
    <s v="Chemistry"/>
    <x v="24"/>
  </r>
  <r>
    <x v="9"/>
    <s v="FT"/>
    <s v="Fulltime"/>
    <n v="18823"/>
    <x v="75"/>
    <d v="2018-05-02T00:00:00"/>
    <s v="RT"/>
    <s v="RT"/>
    <n v="7.3139000000000003"/>
    <n v="6.1380999999999997"/>
    <n v="76"/>
    <n v="0"/>
    <n v="0"/>
    <n v="0"/>
    <n v="15.1333"/>
    <n v="5.2502000000000004"/>
    <n v="1.0832999999999999"/>
    <n v="0"/>
    <n v="0"/>
    <n v="53.2"/>
    <n v="0"/>
    <n v="0"/>
    <n v="0"/>
    <n v="0"/>
    <n v="7.6"/>
    <n v="0"/>
    <n v="0"/>
    <n v="0"/>
    <n v="0"/>
    <n v="0"/>
    <n v="0"/>
    <n v="0"/>
    <n v="0"/>
    <n v="0"/>
    <n v="0"/>
    <n v="0"/>
    <n v="0"/>
    <n v="150.66680000000002"/>
    <n v="2.7778508771929829E-2"/>
    <n v="0.66081929824561414"/>
    <n v="0.4274859649122808"/>
    <s v="Microbiology"/>
    <x v="7"/>
  </r>
  <r>
    <x v="16"/>
    <s v="FT"/>
    <s v="Fulltime"/>
    <n v="18713"/>
    <x v="76"/>
    <d v="2015-12-14T00:00:00"/>
    <s v="RT"/>
    <s v="RT"/>
    <n v="224.38679999999999"/>
    <n v="158.5145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Microbiology"/>
    <x v="13"/>
  </r>
  <r>
    <x v="32"/>
    <s v="PT"/>
    <s v="Parttime"/>
    <n v="18839"/>
    <x v="77"/>
    <d v="2018-10-03T00:00:00"/>
    <s v="RT"/>
    <s v="RT"/>
    <n v="34.161999999999999"/>
    <n v="28.164400000000001"/>
    <n v="9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.05"/>
    <n v="0"/>
    <n v="0.39495614035087717"/>
    <n v="0.39495614035087717"/>
    <s v="Microbiology"/>
    <x v="25"/>
  </r>
  <r>
    <x v="30"/>
    <s v="FT"/>
    <s v="Fulltime"/>
    <n v="18949"/>
    <x v="78"/>
    <d v="2021-04-05T00:00:00"/>
    <s v="FN"/>
    <s v="FN"/>
    <n v="19.052099999999999"/>
    <n v="30.504100000000001"/>
    <n v="121.6"/>
    <n v="0"/>
    <n v="0"/>
    <n v="0"/>
    <n v="0"/>
    <n v="31.9832"/>
    <n v="27.2833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0.8665"/>
    <n v="0.25994078947368421"/>
    <n v="0.79327412280701759"/>
    <n v="0.79327412280701759"/>
    <s v="Microbiology"/>
    <x v="6"/>
  </r>
  <r>
    <x v="33"/>
    <s v="FT"/>
    <s v="Fulltime"/>
    <n v="18716"/>
    <x v="79"/>
    <d v="2016-01-11T00:00:00"/>
    <s v="FN"/>
    <s v="FN"/>
    <n v="527.6268"/>
    <n v="162.2542"/>
    <n v="148.19999999999999"/>
    <n v="0"/>
    <n v="0"/>
    <n v="0"/>
    <n v="0"/>
    <n v="0"/>
    <n v="0"/>
    <n v="0"/>
    <n v="0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4999999999999991"/>
    <s v="Sales &amp; Marketing"/>
    <x v="26"/>
  </r>
  <r>
    <x v="34"/>
    <s v="FT"/>
    <s v="Fulltime"/>
    <n v="115"/>
    <x v="80"/>
    <d v="1997-05-28T00:00:00"/>
    <s v="FN"/>
    <s v="FN"/>
    <n v="100.21769999999999"/>
    <n v="70.596299999999999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Customer Care"/>
    <x v="27"/>
  </r>
  <r>
    <x v="30"/>
    <s v="FT"/>
    <s v="Fulltime"/>
    <n v="18626"/>
    <x v="81"/>
    <d v="2014-07-08T00:00:00"/>
    <s v="RT"/>
    <s v="RT"/>
    <n v="360.00360000000001"/>
    <n v="179.1681000000000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Microbiology"/>
    <x v="6"/>
  </r>
  <r>
    <x v="8"/>
    <s v="TF"/>
    <s v="Temporary Fulltime"/>
    <n v="19028"/>
    <x v="82"/>
    <d v="2022-08-15T00:00:00"/>
    <s v="RT"/>
    <s v="RT"/>
    <n v="3.8521000000000001"/>
    <n v="38.104100000000003"/>
    <n v="144.1"/>
    <n v="0"/>
    <n v="0"/>
    <n v="0"/>
    <n v="0"/>
    <n v="22.633099999999999"/>
    <n v="2.8834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77.21649999999997"/>
    <n v="0.11191447368421054"/>
    <n v="0.77726535087719284"/>
    <n v="0.74393201754385951"/>
    <s v="Microbiology"/>
    <x v="6"/>
  </r>
  <r>
    <x v="33"/>
    <s v="FT"/>
    <s v="Fulltime"/>
    <n v="18948"/>
    <x v="83"/>
    <d v="2021-03-24T00:00:00"/>
    <s v="FN"/>
    <s v="FN"/>
    <n v="6.1048"/>
    <n v="27.6097"/>
    <n v="117.6"/>
    <n v="0"/>
    <n v="0"/>
    <n v="0"/>
    <n v="0"/>
    <n v="0"/>
    <n v="0"/>
    <n v="0"/>
    <n v="0"/>
    <n v="15.2"/>
    <n v="7.6"/>
    <n v="0"/>
    <n v="0"/>
    <n v="0"/>
    <n v="0"/>
    <n v="11.6"/>
    <n v="0"/>
    <n v="0"/>
    <n v="0"/>
    <n v="0"/>
    <n v="0"/>
    <n v="0"/>
    <n v="0"/>
    <n v="0"/>
    <n v="0"/>
    <n v="0"/>
    <n v="0"/>
    <n v="140.39999999999998"/>
    <n v="0"/>
    <n v="0.61578947368421044"/>
    <n v="0.51578947368421046"/>
    <s v="Sales &amp; Marketing"/>
    <x v="26"/>
  </r>
  <r>
    <x v="23"/>
    <s v="PT"/>
    <s v="Parttime"/>
    <n v="19020"/>
    <x v="84"/>
    <d v="2022-06-28T00:00:00"/>
    <s v="FN"/>
    <s v="FN"/>
    <n v="41.435600000000001"/>
    <n v="82.871200000000002"/>
    <n v="136.8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6.80000000000001"/>
    <n v="0"/>
    <n v="0.60000000000000009"/>
    <n v="0.60000000000000009"/>
    <s v="Lab Admin"/>
    <x v="19"/>
  </r>
  <r>
    <x v="0"/>
    <s v="FT"/>
    <s v="Fulltime"/>
    <n v="19045"/>
    <x v="85"/>
    <d v="2022-11-23T00:00:00"/>
    <s v="RT"/>
    <s v="RT"/>
    <n v="12.6181"/>
    <n v="23.7362"/>
    <n v="91.2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.2"/>
    <n v="4.3859649122807015E-3"/>
    <n v="0.40438596491228074"/>
    <n v="0.40438596491228074"/>
    <s v="Microbiology"/>
    <x v="0"/>
  </r>
  <r>
    <x v="20"/>
    <s v="FT"/>
    <s v="Fulltime"/>
    <n v="18871"/>
    <x v="86"/>
    <d v="2019-03-26T00:00:00"/>
    <s v="FN"/>
    <s v="FN"/>
    <n v="128.61920000000001"/>
    <n v="161.63839999999999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Lab Admin"/>
    <x v="16"/>
  </r>
  <r>
    <x v="1"/>
    <s v="TP"/>
    <s v="Temporary Parttime"/>
    <n v="18894"/>
    <x v="87"/>
    <d v="2019-11-05T00:00:00"/>
    <s v="RT"/>
    <s v="RT"/>
    <n v="22.0868"/>
    <n v="59.507300000000001"/>
    <n v="61.633299999999998"/>
    <n v="0"/>
    <n v="0"/>
    <n v="0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.883299999999998"/>
    <n v="1.0964912280701754E-3"/>
    <n v="0.27141798245614035"/>
    <n v="0.27141798245614035"/>
    <s v="Chemistry"/>
    <x v="1"/>
  </r>
  <r>
    <x v="1"/>
    <s v="FT"/>
    <s v="Fulltime"/>
    <n v="18559"/>
    <x v="88"/>
    <d v="2012-10-08T00:00:00"/>
    <s v="RT"/>
    <s v="RT"/>
    <n v="337.39060000000001"/>
    <n v="239.93549999999999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Chemistry"/>
    <x v="1"/>
  </r>
  <r>
    <x v="14"/>
    <s v="FT"/>
    <s v="Fulltime"/>
    <n v="18969"/>
    <x v="89"/>
    <d v="2021-09-13T00:00:00"/>
    <s v="FN"/>
    <s v="FN"/>
    <n v="111.8137"/>
    <n v="98.0274"/>
    <n v="148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4912280701754388"/>
    <s v="G&amp;A"/>
    <x v="11"/>
  </r>
  <r>
    <x v="9"/>
    <s v="TP"/>
    <s v="Temporary Parttime"/>
    <n v="18996"/>
    <x v="90"/>
    <d v="2022-03-01T00:00:00"/>
    <s v="RT"/>
    <s v="RT"/>
    <n v="36.866399999999999"/>
    <n v="8.5329999999999995"/>
    <n v="77.133300000000006"/>
    <n v="0"/>
    <n v="0"/>
    <n v="20.9"/>
    <n v="0"/>
    <n v="15.966699999999999"/>
    <n v="0.21659999999999999"/>
    <n v="0"/>
    <n v="0"/>
    <n v="0"/>
    <n v="0"/>
    <n v="0"/>
    <n v="0"/>
    <n v="0"/>
    <n v="15.6"/>
    <n v="0"/>
    <n v="0"/>
    <n v="0"/>
    <n v="0"/>
    <n v="0"/>
    <n v="0"/>
    <n v="0"/>
    <n v="0"/>
    <n v="0"/>
    <n v="0"/>
    <n v="0"/>
    <n v="0"/>
    <n v="114.2166"/>
    <n v="7.0979385964912281E-2"/>
    <n v="0.50095000000000001"/>
    <n v="0.50095000000000001"/>
    <s v="Microbiology"/>
    <x v="7"/>
  </r>
  <r>
    <x v="10"/>
    <s v="FT"/>
    <s v="Fulltime"/>
    <n v="18995"/>
    <x v="91"/>
    <d v="2022-03-07T00:00:00"/>
    <s v="FN"/>
    <s v="FN"/>
    <n v="0"/>
    <n v="0"/>
    <n v="4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45.6"/>
    <n v="0"/>
    <n v="0.2"/>
    <n v="0.2"/>
    <s v="Senior Audit"/>
    <x v="8"/>
  </r>
  <r>
    <x v="35"/>
    <s v="FT"/>
    <s v="Fulltime"/>
    <n v="19021"/>
    <x v="92"/>
    <d v="2022-06-24T00:00:00"/>
    <s v="RT"/>
    <s v="RT"/>
    <n v="29.002600000000001"/>
    <n v="88.405100000000004"/>
    <n v="143.86670000000001"/>
    <n v="0"/>
    <n v="0"/>
    <n v="0"/>
    <n v="0"/>
    <n v="3.75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5.2167"/>
    <n v="1.6447368421052631E-2"/>
    <n v="0.68077500000000002"/>
    <n v="0.64744166666666669"/>
    <s v="Chemistry"/>
    <x v="1"/>
  </r>
  <r>
    <x v="24"/>
    <s v="FT"/>
    <s v="Fulltime"/>
    <n v="18792"/>
    <x v="93"/>
    <d v="2017-09-26T00:00:00"/>
    <s v="RT"/>
    <s v="RT"/>
    <n v="6.2925000000000004"/>
    <n v="169.65209999999999"/>
    <n v="144.2167"/>
    <n v="0"/>
    <n v="0"/>
    <n v="0"/>
    <n v="0"/>
    <n v="7.2666000000000004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9.08330000000001"/>
    <n v="3.1871052631578946E-2"/>
    <n v="0.69773377192982455"/>
    <n v="0.66440043859649134"/>
    <s v="Microbiology"/>
    <x v="7"/>
  </r>
  <r>
    <x v="35"/>
    <s v="FT"/>
    <s v="Fulltime"/>
    <n v="19027"/>
    <x v="94"/>
    <d v="2022-08-03T00:00:00"/>
    <s v="RT"/>
    <s v="RT"/>
    <n v="32.1663"/>
    <n v="64.732200000000006"/>
    <n v="7.6"/>
    <n v="0"/>
    <n v="0"/>
    <n v="0"/>
    <n v="0"/>
    <n v="0"/>
    <n v="0"/>
    <n v="0"/>
    <n v="0"/>
    <n v="0"/>
    <n v="0"/>
    <n v="0"/>
    <n v="0"/>
    <n v="0"/>
    <n v="38"/>
    <n v="0"/>
    <n v="0"/>
    <n v="0"/>
    <n v="0"/>
    <n v="0"/>
    <n v="0"/>
    <n v="0"/>
    <n v="0"/>
    <n v="0"/>
    <n v="0"/>
    <n v="0"/>
    <n v="0"/>
    <n v="7.6"/>
    <n v="0"/>
    <n v="3.3333333333333333E-2"/>
    <n v="3.3333333333333333E-2"/>
    <s v="Chemistry"/>
    <x v="1"/>
  </r>
  <r>
    <x v="8"/>
    <s v="TP"/>
    <s v="Temporary Parttime"/>
    <n v="19008"/>
    <x v="95"/>
    <d v="2022-05-16T00:00:00"/>
    <s v="RT"/>
    <s v="RT"/>
    <n v="12.264099999999999"/>
    <n v="16.9282"/>
    <n v="0"/>
    <n v="0"/>
    <n v="0"/>
    <n v="22.8"/>
    <n v="21.9833"/>
    <n v="5.5667"/>
    <n v="3.06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.416699999999992"/>
    <n v="3.7865789473684214E-2"/>
    <n v="0.23428377192982452"/>
    <n v="0.23428377192982452"/>
    <s v="Microbiology"/>
    <x v="6"/>
  </r>
  <r>
    <x v="30"/>
    <s v="FT"/>
    <s v="Fulltime"/>
    <n v="18827"/>
    <x v="96"/>
    <d v="2018-05-24T00:00:00"/>
    <s v="RT"/>
    <s v="RT"/>
    <n v="31.9786"/>
    <n v="49.204099999999997"/>
    <n v="53.2"/>
    <n v="0"/>
    <n v="0"/>
    <n v="0"/>
    <n v="0"/>
    <n v="0"/>
    <n v="0"/>
    <n v="0"/>
    <n v="0"/>
    <n v="98.8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23333333333333334"/>
    <s v="Microbiology"/>
    <x v="6"/>
  </r>
  <r>
    <x v="16"/>
    <s v="FT"/>
    <s v="Fulltime"/>
    <n v="18986"/>
    <x v="97"/>
    <d v="2021-12-14T00:00:00"/>
    <s v="RT"/>
    <s v="RT"/>
    <n v="62.104799999999997"/>
    <n v="159.00970000000001"/>
    <n v="149.26679999999999"/>
    <n v="0"/>
    <n v="0"/>
    <n v="0"/>
    <n v="0"/>
    <n v="0.7665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.0334"/>
    <n v="3.3622807017543855E-3"/>
    <n v="0.6580412280701754"/>
    <n v="0.6580412280701754"/>
    <s v="Microbiology"/>
    <x v="13"/>
  </r>
  <r>
    <x v="1"/>
    <s v="PT"/>
    <s v="Parttime"/>
    <n v="18960"/>
    <x v="98"/>
    <d v="2021-08-03T00:00:00"/>
    <s v="RT"/>
    <s v="RT"/>
    <n v="28.072199999999999"/>
    <n v="63.544400000000003"/>
    <n v="77.333399999999997"/>
    <n v="0"/>
    <n v="0"/>
    <n v="0"/>
    <n v="0"/>
    <n v="4.2333999999999996"/>
    <n v="0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96.766800000000003"/>
    <n v="1.8567543859649122E-2"/>
    <n v="0.42441578947368425"/>
    <n v="0.35774912280701754"/>
    <s v="Chemistry"/>
    <x v="1"/>
  </r>
  <r>
    <x v="30"/>
    <s v="PT"/>
    <s v="Parttime"/>
    <n v="134"/>
    <x v="99"/>
    <d v="2006-03-24T00:00:00"/>
    <s v="RT"/>
    <s v="RT"/>
    <n v="118.2406"/>
    <n v="110.88639999999999"/>
    <n v="80"/>
    <n v="0"/>
    <n v="0"/>
    <n v="0"/>
    <n v="0"/>
    <n v="26.133199999999999"/>
    <n v="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3.4332"/>
    <n v="0.14663684210526315"/>
    <n v="0.4975140350877193"/>
    <n v="0.4975140350877193"/>
    <s v="Microbiology"/>
    <x v="6"/>
  </r>
  <r>
    <x v="8"/>
    <s v="FT"/>
    <s v="Fulltime"/>
    <n v="19029"/>
    <x v="100"/>
    <d v="2022-08-16T00:00:00"/>
    <s v="RT"/>
    <s v="RT"/>
    <n v="11.2438"/>
    <n v="83.287700000000001"/>
    <n v="113.8167"/>
    <n v="0"/>
    <n v="0"/>
    <n v="30.2667"/>
    <n v="0"/>
    <n v="17.166699999999999"/>
    <n v="1.1833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70.03339999999997"/>
    <n v="8.0482456140350864E-2"/>
    <n v="0.74576052631578937"/>
    <n v="0.71242719298245605"/>
    <s v="Microbiology"/>
    <x v="6"/>
  </r>
  <r>
    <x v="16"/>
    <s v="PT"/>
    <s v="Parttime"/>
    <n v="18858"/>
    <x v="101"/>
    <d v="2019-01-17T00:00:00"/>
    <s v="RT"/>
    <s v="RT"/>
    <n v="42.351100000000002"/>
    <n v="115.1007"/>
    <n v="0"/>
    <n v="0"/>
    <n v="0"/>
    <n v="0"/>
    <n v="0"/>
    <n v="0"/>
    <n v="0"/>
    <n v="0"/>
    <n v="0"/>
    <n v="0"/>
    <n v="0"/>
    <n v="0"/>
    <n v="0"/>
    <n v="0"/>
    <n v="0"/>
    <n v="0"/>
    <n v="91.2"/>
    <n v="0"/>
    <n v="0"/>
    <n v="0"/>
    <n v="0"/>
    <n v="0"/>
    <n v="0"/>
    <n v="0"/>
    <n v="0"/>
    <n v="0"/>
    <n v="0"/>
    <n v="0"/>
    <n v="0"/>
    <n v="0"/>
    <n v="0"/>
    <s v="Microbiology"/>
    <x v="13"/>
  </r>
  <r>
    <x v="1"/>
    <s v="FT"/>
    <s v="Fulltime"/>
    <n v="18687"/>
    <x v="102"/>
    <d v="2015-08-03T00:00:00"/>
    <s v="RT"/>
    <s v="RT"/>
    <n v="359.04989999999998"/>
    <n v="202.70070000000001"/>
    <n v="152"/>
    <n v="0"/>
    <n v="0"/>
    <n v="0"/>
    <n v="0"/>
    <n v="18.9331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.9332"/>
    <n v="8.3040350877192984E-2"/>
    <n v="0.7497070175438596"/>
    <n v="0.7497070175438596"/>
    <s v="Chemistry"/>
    <x v="1"/>
  </r>
  <r>
    <x v="15"/>
    <s v="FT"/>
    <s v="Fulltime"/>
    <n v="18561"/>
    <x v="103"/>
    <d v="2012-10-10T00:00:00"/>
    <s v="RT"/>
    <s v="RT"/>
    <n v="17.3796"/>
    <n v="65"/>
    <n v="141.23339999999999"/>
    <n v="0"/>
    <n v="0"/>
    <n v="0"/>
    <n v="0"/>
    <n v="5.6334999999999997"/>
    <n v="0"/>
    <n v="0"/>
    <n v="0"/>
    <n v="0"/>
    <n v="10.6"/>
    <n v="0"/>
    <n v="0"/>
    <n v="0"/>
    <n v="0"/>
    <n v="0"/>
    <n v="0"/>
    <n v="0"/>
    <n v="0"/>
    <n v="0"/>
    <n v="0"/>
    <n v="0"/>
    <n v="0"/>
    <n v="0"/>
    <n v="0"/>
    <n v="0"/>
    <n v="0"/>
    <n v="157.46689999999998"/>
    <n v="2.4708333333333332E-2"/>
    <n v="0.69064429824561391"/>
    <n v="0.64415307017543855"/>
    <s v="Microbiology"/>
    <x v="12"/>
  </r>
  <r>
    <x v="8"/>
    <s v="CAS"/>
    <s v="Casual RL"/>
    <n v="19030"/>
    <x v="104"/>
    <d v="2022-08-12T00:00:00"/>
    <s v="FN"/>
    <s v="FN"/>
    <n v="0"/>
    <n v="0"/>
    <n v="0"/>
    <n v="0"/>
    <n v="138.36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8.3665"/>
    <n v="0"/>
    <n v="0.60687061403508769"/>
    <n v="0.60687061403508769"/>
    <s v="Microbiology"/>
    <x v="6"/>
  </r>
  <r>
    <x v="25"/>
    <s v="PT"/>
    <s v="Parttime"/>
    <n v="141"/>
    <x v="105"/>
    <d v="1992-02-10T00:00:00"/>
    <s v="RT"/>
    <s v="RT"/>
    <n v="92.653400000000005"/>
    <n v="168.81899999999999"/>
    <n v="68.400000000000006"/>
    <n v="0"/>
    <n v="0"/>
    <n v="0"/>
    <n v="0"/>
    <n v="1.5"/>
    <n v="0"/>
    <n v="0"/>
    <n v="0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92.7"/>
    <n v="6.5789473684210523E-3"/>
    <n v="0.40657894736842104"/>
    <n v="0.30657894736842106"/>
    <s v="Microbiology"/>
    <x v="0"/>
  </r>
  <r>
    <x v="0"/>
    <s v="FT"/>
    <s v="Fulltime"/>
    <n v="19042"/>
    <x v="106"/>
    <d v="2022-11-22T00:00:00"/>
    <s v="RT"/>
    <s v="RT"/>
    <n v="13.638400000000001"/>
    <n v="34.8767"/>
    <n v="121.6"/>
    <n v="0"/>
    <n v="0"/>
    <n v="30.4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.7543859649122806E-2"/>
    <n v="0.68421052631578949"/>
    <n v="0.68421052631578949"/>
    <s v="Microbiology"/>
    <x v="0"/>
  </r>
  <r>
    <x v="16"/>
    <s v="PT"/>
    <s v="Parttime"/>
    <n v="18924"/>
    <x v="107"/>
    <d v="2020-09-28T00:00:00"/>
    <s v="RT"/>
    <s v="RT"/>
    <n v="3.8942000000000001"/>
    <n v="45.5884"/>
    <n v="85"/>
    <n v="0"/>
    <n v="0"/>
    <n v="0"/>
    <n v="0"/>
    <n v="2.4498000000000002"/>
    <n v="0"/>
    <n v="0"/>
    <n v="0"/>
    <n v="0"/>
    <n v="10"/>
    <n v="0"/>
    <n v="0"/>
    <n v="0"/>
    <n v="5"/>
    <n v="0"/>
    <n v="0"/>
    <n v="0"/>
    <n v="0"/>
    <n v="0"/>
    <n v="0"/>
    <n v="0"/>
    <n v="0"/>
    <n v="0"/>
    <n v="0"/>
    <n v="0"/>
    <n v="0"/>
    <n v="97.449799999999996"/>
    <n v="1.0744736842105264E-2"/>
    <n v="0.42741140350877194"/>
    <n v="0.38355175438596489"/>
    <s v="Microbiology"/>
    <x v="13"/>
  </r>
  <r>
    <x v="27"/>
    <s v="PT"/>
    <s v="Parttime"/>
    <n v="18893"/>
    <x v="108"/>
    <d v="2019-11-04T00:00:00"/>
    <s v="FN"/>
    <s v="FN"/>
    <n v="18.269600000000001"/>
    <n v="19.9392"/>
    <n v="9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.2"/>
    <n v="0"/>
    <n v="0.4"/>
    <n v="0.4"/>
    <s v="Lab Admin"/>
    <x v="21"/>
  </r>
  <r>
    <x v="25"/>
    <s v="FT"/>
    <s v="Fulltime"/>
    <n v="145"/>
    <x v="109"/>
    <d v="2005-04-18T00:00:00"/>
    <s v="RT"/>
    <s v="RT"/>
    <n v="17.129200000000001"/>
    <n v="290.69959999999998"/>
    <n v="152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4"/>
    <n v="8.771929824561403E-3"/>
    <n v="0.67543859649122806"/>
    <n v="0.67543859649122806"/>
    <s v="Microbiology"/>
    <x v="0"/>
  </r>
  <r>
    <x v="10"/>
    <s v="FT"/>
    <s v="Fulltime"/>
    <n v="18920"/>
    <x v="110"/>
    <d v="2020-08-20T00:00:00"/>
    <s v="FN"/>
    <s v="FN"/>
    <n v="79.143299999999996"/>
    <n v="70.686599999999999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Senior Audit"/>
    <x v="8"/>
  </r>
  <r>
    <x v="9"/>
    <s v="TP"/>
    <s v="Temporary Parttime"/>
    <n v="18898"/>
    <x v="111"/>
    <d v="2020-02-03T00:00:00"/>
    <s v="RT"/>
    <s v="RT"/>
    <n v="19.148299999999999"/>
    <n v="23.663399999999999"/>
    <n v="106.66670000000001"/>
    <n v="0"/>
    <n v="0"/>
    <n v="0"/>
    <n v="0"/>
    <n v="11.200100000000001"/>
    <n v="5.5667"/>
    <n v="0"/>
    <n v="0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154.23350000000002"/>
    <n v="7.353859649122807E-2"/>
    <n v="0.67646271929824575"/>
    <n v="0.54137500000000005"/>
    <s v="Microbiology"/>
    <x v="7"/>
  </r>
  <r>
    <x v="4"/>
    <s v="PT"/>
    <s v="Parttime"/>
    <n v="18831"/>
    <x v="112"/>
    <d v="2018-06-14T00:00:00"/>
    <s v="RT"/>
    <s v="RT"/>
    <n v="11.6393"/>
    <n v="15.4322"/>
    <n v="22.8"/>
    <n v="0"/>
    <n v="0"/>
    <n v="0"/>
    <n v="30.4"/>
    <n v="3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.800000000000004"/>
    <n v="3.3333333333333333E-2"/>
    <n v="0.26666666666666666"/>
    <n v="0.26666666666666666"/>
    <s v="Microbiology"/>
    <x v="0"/>
  </r>
  <r>
    <x v="20"/>
    <s v="FT"/>
    <s v="Fulltime"/>
    <n v="19054"/>
    <x v="113"/>
    <d v="2023-01-23T00:00:00"/>
    <s v="RT"/>
    <s v="RT"/>
    <n v="8.3287999999999993"/>
    <n v="16.657499999999999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Lab Admin"/>
    <x v="16"/>
  </r>
  <r>
    <x v="8"/>
    <s v="TF"/>
    <s v="Temporary Fulltime"/>
    <n v="19017"/>
    <x v="114"/>
    <d v="2022-06-20T00:00:00"/>
    <s v="RT"/>
    <s v="RT"/>
    <n v="18.6356"/>
    <n v="67.671199999999999"/>
    <n v="121.6"/>
    <n v="0"/>
    <n v="0"/>
    <n v="30.4"/>
    <n v="0"/>
    <n v="24.4498"/>
    <n v="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4.59980000000002"/>
    <n v="0.14298157894736843"/>
    <n v="0.80964824561403514"/>
    <n v="0.80964824561403514"/>
    <s v="Microbiology"/>
    <x v="6"/>
  </r>
  <r>
    <x v="8"/>
    <s v="FT"/>
    <s v="Fulltime"/>
    <n v="19011"/>
    <x v="115"/>
    <d v="2022-05-23T00:00:00"/>
    <s v="RT"/>
    <s v="RT"/>
    <n v="4.9139999999999997"/>
    <n v="47.8279"/>
    <n v="121.6"/>
    <n v="0"/>
    <n v="0"/>
    <n v="0"/>
    <n v="0"/>
    <n v="9.3500999999999994"/>
    <n v="0"/>
    <n v="0"/>
    <n v="0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161.35009999999997"/>
    <n v="4.1009210526315787E-2"/>
    <n v="0.70767587719298231"/>
    <n v="0.574342543859649"/>
    <s v="Microbiology"/>
    <x v="6"/>
  </r>
  <r>
    <x v="30"/>
    <s v="FT"/>
    <s v="Fulltime"/>
    <n v="18797"/>
    <x v="116"/>
    <d v="2017-11-08T00:00:00"/>
    <s v="RT"/>
    <s v="RT"/>
    <n v="44.113500000000002"/>
    <n v="95.082300000000004"/>
    <n v="106.13330000000001"/>
    <n v="0"/>
    <n v="0"/>
    <n v="30.4"/>
    <n v="0"/>
    <n v="21.916699999999999"/>
    <n v="1.7834000000000001"/>
    <n v="0"/>
    <n v="0"/>
    <n v="7.6"/>
    <n v="7.6"/>
    <n v="0"/>
    <n v="0"/>
    <n v="0"/>
    <n v="0"/>
    <n v="0"/>
    <n v="0"/>
    <n v="0"/>
    <n v="0"/>
    <n v="0"/>
    <n v="0"/>
    <n v="0"/>
    <n v="0"/>
    <n v="0"/>
    <n v="0"/>
    <n v="0"/>
    <n v="0"/>
    <n v="175.43339999999998"/>
    <n v="0.10394780701754386"/>
    <n v="0.76944473684210513"/>
    <n v="0.70277807017543859"/>
    <s v="Microbiology"/>
    <x v="6"/>
  </r>
  <r>
    <x v="36"/>
    <s v="FT"/>
    <s v="Fulltime"/>
    <n v="152"/>
    <x v="117"/>
    <d v="1991-04-03T00:00:00"/>
    <s v="FN"/>
    <s v="FN"/>
    <n v="669.66240000000005"/>
    <n v="72.596199999999996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Quality"/>
    <x v="28"/>
  </r>
  <r>
    <x v="37"/>
    <s v="CAS"/>
    <s v="Casual RL"/>
    <n v="18793"/>
    <x v="118"/>
    <d v="2017-10-07T00:00:00"/>
    <s v="RT"/>
    <s v="RT"/>
    <n v="0"/>
    <n v="0"/>
    <n v="0"/>
    <n v="0"/>
    <n v="0"/>
    <n v="0"/>
    <n v="24.6332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.633299999999998"/>
    <n v="0"/>
    <n v="0.1080407894736842"/>
    <n v="0.1080407894736842"/>
    <s v="Microbiology"/>
    <x v="6"/>
  </r>
  <r>
    <x v="1"/>
    <s v="FT"/>
    <s v="Fulltime"/>
    <n v="18781"/>
    <x v="119"/>
    <d v="2017-06-05T00:00:00"/>
    <s v="RT"/>
    <s v="RT"/>
    <n v="1.7850999999999999"/>
    <n v="181.67080000000001"/>
    <n v="0"/>
    <n v="0"/>
    <n v="0"/>
    <n v="0"/>
    <n v="0"/>
    <n v="0"/>
    <n v="0"/>
    <n v="0"/>
    <n v="0"/>
    <n v="22.8"/>
    <n v="129.19999999999999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"/>
    <s v="Chemistry"/>
    <x v="1"/>
  </r>
  <r>
    <x v="30"/>
    <s v="FT"/>
    <s v="Fulltime"/>
    <n v="18918"/>
    <x v="120"/>
    <d v="2020-06-22T00:00:00"/>
    <s v="RT"/>
    <s v="RT"/>
    <n v="10.335900000000001"/>
    <n v="337.54180000000002"/>
    <n v="151.91669999999999"/>
    <n v="0"/>
    <n v="0"/>
    <n v="0"/>
    <n v="0"/>
    <n v="19.683199999999999"/>
    <n v="1.68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3.28319999999999"/>
    <n v="9.3712719298245609E-2"/>
    <n v="0.76001403508771925"/>
    <n v="0.76001403508771925"/>
    <s v="Microbiology"/>
    <x v="6"/>
  </r>
  <r>
    <x v="36"/>
    <s v="FT"/>
    <s v="Fulltime"/>
    <n v="266"/>
    <x v="121"/>
    <d v="2008-01-21T00:00:00"/>
    <s v="FN"/>
    <s v="FN"/>
    <n v="285.1927"/>
    <n v="243.4773000000000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Quality"/>
    <x v="28"/>
  </r>
  <r>
    <x v="38"/>
    <s v="FT"/>
    <s v="Fulltime"/>
    <n v="18736"/>
    <x v="122"/>
    <d v="2016-09-05T00:00:00"/>
    <s v="RT"/>
    <s v="RT"/>
    <n v="22.125499999999999"/>
    <n v="44.975200000000001"/>
    <n v="53.2"/>
    <n v="0"/>
    <n v="0"/>
    <n v="0"/>
    <n v="0"/>
    <n v="14"/>
    <n v="9.6997999999999998"/>
    <n v="0"/>
    <n v="0"/>
    <n v="98.8"/>
    <n v="0"/>
    <n v="0"/>
    <n v="0"/>
    <n v="0"/>
    <n v="0"/>
    <n v="0"/>
    <n v="0"/>
    <n v="0"/>
    <n v="0"/>
    <n v="0"/>
    <n v="0"/>
    <n v="0"/>
    <n v="0"/>
    <n v="0"/>
    <n v="0"/>
    <n v="0"/>
    <n v="0"/>
    <n v="175.69979999999998"/>
    <n v="0.10394649122807018"/>
    <n v="0.77061315789473672"/>
    <n v="0.33727982456140343"/>
    <s v="Microbiology"/>
    <x v="6"/>
  </r>
  <r>
    <x v="24"/>
    <s v="PT"/>
    <s v="Parttime"/>
    <n v="156"/>
    <x v="123"/>
    <d v="1997-08-06T00:00:00"/>
    <s v="RT"/>
    <s v="RT"/>
    <n v="137.63759999999999"/>
    <n v="33.578200000000002"/>
    <n v="32"/>
    <n v="0"/>
    <n v="0"/>
    <n v="0"/>
    <n v="0"/>
    <n v="0.69989999999999997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48.6999"/>
    <n v="3.0697368421052631E-3"/>
    <n v="0.21359605263157894"/>
    <n v="0.14342061403508771"/>
    <s v="Microbiology"/>
    <x v="7"/>
  </r>
  <r>
    <x v="8"/>
    <s v="TF"/>
    <s v="Temporary Fulltime"/>
    <n v="19058"/>
    <x v="124"/>
    <d v="2023-02-14T00:00:00"/>
    <s v="RT"/>
    <s v="RT"/>
    <n v="3.7479"/>
    <n v="7.4958999999999998"/>
    <n v="68.900000000000006"/>
    <n v="0"/>
    <n v="0"/>
    <n v="15"/>
    <n v="0"/>
    <n v="11.8"/>
    <n v="6.06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1.7667"/>
    <n v="7.836271929824562E-2"/>
    <n v="0.44634517543859648"/>
    <n v="0.44634517543859648"/>
    <s v="Microbiology"/>
    <x v="6"/>
  </r>
  <r>
    <x v="8"/>
    <s v="PT"/>
    <s v="Parttime"/>
    <n v="18607"/>
    <x v="125"/>
    <d v="2013-12-04T00:00:00"/>
    <s v="RT"/>
    <s v="RT"/>
    <n v="14.9579"/>
    <n v="33.137"/>
    <n v="90.933300000000003"/>
    <n v="0"/>
    <n v="0"/>
    <n v="0"/>
    <n v="0"/>
    <n v="9.5832999999999995"/>
    <n v="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4.9666"/>
    <n v="6.1549561403508778E-2"/>
    <n v="0.46037982456140353"/>
    <n v="0.46037982456140353"/>
    <s v="Microbiology"/>
    <x v="6"/>
  </r>
  <r>
    <x v="9"/>
    <s v="PT"/>
    <s v="Parttime"/>
    <n v="18895"/>
    <x v="126"/>
    <d v="2019-11-22T00:00:00"/>
    <s v="RT"/>
    <s v="RT"/>
    <n v="15.814399999999999"/>
    <n v="8.1044"/>
    <n v="113.9833"/>
    <n v="0"/>
    <n v="0"/>
    <n v="0"/>
    <n v="0"/>
    <n v="20.416799999999999"/>
    <n v="12.566700000000001"/>
    <n v="0"/>
    <n v="0"/>
    <n v="0"/>
    <n v="0"/>
    <n v="0"/>
    <n v="0"/>
    <n v="0"/>
    <n v="7.6"/>
    <n v="0"/>
    <n v="0"/>
    <n v="0"/>
    <n v="0"/>
    <n v="0"/>
    <n v="0"/>
    <n v="0"/>
    <n v="0"/>
    <n v="0"/>
    <n v="0"/>
    <n v="0"/>
    <n v="0"/>
    <n v="146.96680000000001"/>
    <n v="0.14466447368421054"/>
    <n v="0.64459122807017544"/>
    <n v="0.64459122807017544"/>
    <s v="Microbiology"/>
    <x v="7"/>
  </r>
  <r>
    <x v="5"/>
    <s v="FT"/>
    <s v="Fulltime"/>
    <n v="44705"/>
    <x v="127"/>
    <d v="2019-09-02T00:00:00"/>
    <s v="RT"/>
    <s v="RT"/>
    <n v="174.61179999999999"/>
    <n v="109.6236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Sales &amp; Marketing"/>
    <x v="3"/>
  </r>
  <r>
    <x v="8"/>
    <s v="FT"/>
    <s v="Fulltime"/>
    <n v="19048"/>
    <x v="128"/>
    <d v="2022-12-07T00:00:00"/>
    <s v="RT"/>
    <s v="RT"/>
    <n v="10.5151"/>
    <n v="36.2301"/>
    <n v="146.33330000000001"/>
    <n v="0"/>
    <n v="0"/>
    <n v="0"/>
    <n v="0"/>
    <n v="25.533200000000001"/>
    <n v="3.94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5.81640000000002"/>
    <n v="0.12931184210526317"/>
    <n v="0.77112456140350882"/>
    <n v="0.77112456140350882"/>
    <s v="Microbiology"/>
    <x v="6"/>
  </r>
  <r>
    <x v="26"/>
    <s v="FT"/>
    <s v="Fulltime"/>
    <n v="302"/>
    <x v="129"/>
    <d v="2008-09-03T00:00:00"/>
    <s v="RT"/>
    <s v="RT"/>
    <n v="122.0329"/>
    <n v="153.70650000000001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"/>
    <n v="0"/>
    <n v="0"/>
    <n v="0"/>
    <n v="0"/>
    <n v="0"/>
    <n v="0"/>
    <n v="0"/>
    <n v="0"/>
    <n v="0"/>
    <n v="0"/>
    <n v="0"/>
    <n v="0"/>
    <s v="Lab Admin"/>
    <x v="20"/>
  </r>
  <r>
    <x v="8"/>
    <s v="TF"/>
    <s v="Temporary Fulltime"/>
    <n v="19012"/>
    <x v="130"/>
    <d v="2022-05-23T00:00:00"/>
    <s v="RT"/>
    <s v="RT"/>
    <n v="9.9945000000000004"/>
    <n v="73.188999999999993"/>
    <n v="121.4333"/>
    <n v="0"/>
    <n v="0"/>
    <n v="30.4"/>
    <n v="0"/>
    <n v="17.4833"/>
    <n v="1.583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.9"/>
    <n v="8.3625877192982465E-2"/>
    <n v="0.74956140350877198"/>
    <n v="0.74956140350877198"/>
    <s v="Microbiology"/>
    <x v="6"/>
  </r>
  <r>
    <x v="0"/>
    <s v="FT"/>
    <s v="Fulltime"/>
    <n v="19006"/>
    <x v="131"/>
    <d v="2022-05-16T00:00:00"/>
    <s v="RT"/>
    <s v="RT"/>
    <n v="22.8"/>
    <n v="114"/>
    <n v="144.4"/>
    <n v="0"/>
    <n v="0"/>
    <n v="0"/>
    <n v="0"/>
    <n v="8.5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60.5"/>
    <n v="3.7280701754385963E-2"/>
    <n v="0.70394736842105265"/>
    <n v="0.67061403508771933"/>
    <s v="Microbiology"/>
    <x v="0"/>
  </r>
  <r>
    <x v="7"/>
    <s v="FT"/>
    <s v="Fulltime"/>
    <n v="19052"/>
    <x v="132"/>
    <d v="2023-01-05T00:00:00"/>
    <s v="RT"/>
    <s v="RT"/>
    <n v="12.076700000000001"/>
    <n v="24.153400000000001"/>
    <n v="152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3"/>
    <n v="4.3859649122807015E-3"/>
    <n v="0.67105263157894735"/>
    <n v="0.67105263157894735"/>
    <s v="Microbiology"/>
    <x v="5"/>
  </r>
  <r>
    <x v="32"/>
    <s v="FT"/>
    <s v="Fulltime"/>
    <n v="18904"/>
    <x v="133"/>
    <d v="2020-03-09T00:00:00"/>
    <s v="RT"/>
    <s v="RT"/>
    <n v="40.924300000000002"/>
    <n v="157.3486"/>
    <n v="143.91669999999999"/>
    <n v="0"/>
    <n v="0"/>
    <n v="0"/>
    <n v="0"/>
    <n v="7.1166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8.63329999999999"/>
    <n v="3.1213157894736842E-2"/>
    <n v="0.6957600877192982"/>
    <n v="0.66242675438596488"/>
    <s v="Microbiology"/>
    <x v="25"/>
  </r>
  <r>
    <x v="1"/>
    <s v="PT"/>
    <s v="Parttime"/>
    <n v="18892"/>
    <x v="134"/>
    <d v="2019-10-21T00:00:00"/>
    <s v="RT"/>
    <s v="RT"/>
    <n v="14.2042"/>
    <n v="73.708799999999997"/>
    <n v="137.91669999999999"/>
    <n v="0"/>
    <n v="0"/>
    <n v="0"/>
    <n v="0"/>
    <n v="1.1833"/>
    <n v="0"/>
    <n v="0"/>
    <n v="0"/>
    <n v="0"/>
    <n v="6"/>
    <n v="0"/>
    <n v="0"/>
    <n v="6"/>
    <n v="0"/>
    <n v="0"/>
    <n v="0"/>
    <n v="0"/>
    <n v="0"/>
    <n v="0"/>
    <n v="0"/>
    <n v="0"/>
    <n v="0"/>
    <n v="0"/>
    <n v="0"/>
    <n v="0"/>
    <n v="0"/>
    <n v="151.1"/>
    <n v="5.1899122807017549E-3"/>
    <n v="0.66271929824561404"/>
    <n v="0.61008771929824557"/>
    <s v="Chemistry"/>
    <x v="1"/>
  </r>
  <r>
    <x v="8"/>
    <s v="FT"/>
    <s v="Fulltime"/>
    <n v="19009"/>
    <x v="135"/>
    <d v="2022-05-23T00:00:00"/>
    <s v="RT"/>
    <s v="RT"/>
    <n v="2.6425000000000001"/>
    <n v="42.684899999999999"/>
    <n v="114"/>
    <n v="0"/>
    <n v="0"/>
    <n v="30.4"/>
    <n v="0"/>
    <n v="10.5831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62.5831"/>
    <n v="4.6417105263157891E-2"/>
    <n v="0.71308377192982453"/>
    <n v="0.67975043859649131"/>
    <s v="Microbiology"/>
    <x v="6"/>
  </r>
  <r>
    <x v="8"/>
    <s v="TF"/>
    <s v="Temporary Fulltime"/>
    <n v="19019"/>
    <x v="136"/>
    <d v="2022-06-22T00:00:00"/>
    <s v="RT"/>
    <s v="RT"/>
    <n v="14.4175"/>
    <n v="19.673400000000001"/>
    <n v="114"/>
    <n v="0"/>
    <n v="0"/>
    <n v="29.8"/>
    <n v="0"/>
    <n v="27.283300000000001"/>
    <n v="5.7667999999999999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184.45009999999999"/>
    <n v="0.14495657894736844"/>
    <n v="0.80899166666666666"/>
    <n v="0.77565833333333334"/>
    <s v="Microbiology"/>
    <x v="6"/>
  </r>
  <r>
    <x v="10"/>
    <s v="FT"/>
    <s v="Fulltime"/>
    <n v="18946"/>
    <x v="137"/>
    <d v="2021-03-22T00:00:00"/>
    <s v="FN"/>
    <s v="FN"/>
    <n v="41.921399999999998"/>
    <n v="67.442599999999999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66666666666666663"/>
    <s v="Senior Audit"/>
    <x v="8"/>
  </r>
  <r>
    <x v="11"/>
    <s v="TP"/>
    <s v="Temporary Parttime"/>
    <n v="19037"/>
    <x v="138"/>
    <d v="2022-09-09T00:00:00"/>
    <s v="RT"/>
    <s v="RT"/>
    <n v="24.4041"/>
    <n v="25.8081"/>
    <n v="64.716700000000003"/>
    <n v="0"/>
    <n v="0"/>
    <n v="11.9"/>
    <n v="0"/>
    <n v="4.61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.233300000000014"/>
    <n v="2.0248245614035088E-2"/>
    <n v="0.356286403508772"/>
    <n v="0.356286403508772"/>
    <s v="Microbiology"/>
    <x v="7"/>
  </r>
  <r>
    <x v="39"/>
    <s v="FT"/>
    <s v="Fulltime"/>
    <n v="18581"/>
    <x v="139"/>
    <d v="2013-04-02T00:00:00"/>
    <s v="RT"/>
    <s v="RT"/>
    <n v="85.8874"/>
    <n v="213.17259999999999"/>
    <n v="121.6"/>
    <n v="0"/>
    <n v="0"/>
    <n v="0"/>
    <n v="0"/>
    <n v="0"/>
    <n v="0"/>
    <n v="0"/>
    <n v="0"/>
    <n v="22.8"/>
    <n v="7.6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53333333333333333"/>
    <s v="R&amp;D"/>
    <x v="29"/>
  </r>
  <r>
    <x v="1"/>
    <s v="FT"/>
    <s v="Fulltime"/>
    <n v="18911"/>
    <x v="140"/>
    <d v="2020-04-09T00:00:00"/>
    <s v="RT"/>
    <s v="RT"/>
    <n v="154.57259999999999"/>
    <n v="144.34520000000001"/>
    <n v="135.16669999999999"/>
    <n v="0"/>
    <n v="0"/>
    <n v="0"/>
    <n v="0"/>
    <n v="18.116599999999998"/>
    <n v="0.05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168.5333"/>
    <n v="7.9678070175438598E-2"/>
    <n v="0.73918114035087723"/>
    <n v="0.67251447368421058"/>
    <s v="Chemistry"/>
    <x v="1"/>
  </r>
  <r>
    <x v="8"/>
    <s v="FT"/>
    <s v="Fulltime"/>
    <n v="18983"/>
    <x v="141"/>
    <d v="2021-11-26T00:00:00"/>
    <s v="FN"/>
    <s v="FN"/>
    <n v="16.137"/>
    <n v="55.073999999999998"/>
    <n v="121.6"/>
    <n v="0"/>
    <n v="0"/>
    <n v="30.1"/>
    <n v="0"/>
    <n v="24.833300000000001"/>
    <n v="2.36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8.8999"/>
    <n v="0.11929780701754386"/>
    <n v="0.78464868421052636"/>
    <n v="0.78464868421052636"/>
    <s v="Microbiology"/>
    <x v="6"/>
  </r>
  <r>
    <x v="0"/>
    <s v="TF"/>
    <s v="Temporary Fulltime"/>
    <n v="19007"/>
    <x v="142"/>
    <d v="2022-05-24T00:00:00"/>
    <s v="RT"/>
    <s v="RT"/>
    <n v="39.3035"/>
    <n v="34.607100000000003"/>
    <n v="105.4"/>
    <n v="0"/>
    <n v="0"/>
    <n v="30.4"/>
    <n v="0"/>
    <n v="0"/>
    <n v="0"/>
    <n v="0"/>
    <n v="0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.66666666666666663"/>
    <n v="0.59561403508771937"/>
    <s v="Microbiology"/>
    <x v="0"/>
  </r>
  <r>
    <x v="4"/>
    <s v="FT"/>
    <s v="Fulltime"/>
    <n v="18903"/>
    <x v="143"/>
    <d v="2020-03-04T00:00:00"/>
    <s v="RT"/>
    <s v="RT"/>
    <n v="111.6"/>
    <n v="248.3"/>
    <n v="121.6"/>
    <n v="0"/>
    <n v="0"/>
    <n v="30.4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"/>
    <n v="2.6315789473684209E-2"/>
    <n v="0.69298245614035092"/>
    <n v="0.69298245614035092"/>
    <s v="Microbiology"/>
    <x v="0"/>
  </r>
  <r>
    <x v="4"/>
    <s v="FT"/>
    <s v="Fulltime"/>
    <n v="18957"/>
    <x v="144"/>
    <d v="2021-07-20T00:00:00"/>
    <s v="RT"/>
    <s v="RT"/>
    <n v="44.765799999999999"/>
    <n v="107.7315"/>
    <n v="121.6"/>
    <n v="0"/>
    <n v="0"/>
    <n v="0"/>
    <n v="0"/>
    <n v="3"/>
    <n v="0"/>
    <n v="0"/>
    <n v="0"/>
    <n v="22.8"/>
    <n v="7.6"/>
    <n v="0"/>
    <n v="0"/>
    <n v="0"/>
    <n v="0"/>
    <n v="0"/>
    <n v="0"/>
    <n v="0"/>
    <n v="0"/>
    <n v="0"/>
    <n v="0"/>
    <n v="0"/>
    <n v="0"/>
    <n v="0"/>
    <n v="0"/>
    <n v="0"/>
    <n v="0"/>
    <n v="155"/>
    <n v="1.3157894736842105E-2"/>
    <n v="0.67982456140350878"/>
    <n v="0.54649122807017536"/>
    <s v="Microbiology"/>
    <x v="0"/>
  </r>
  <r>
    <x v="40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x v="30"/>
  </r>
  <r>
    <x v="41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x v="30"/>
  </r>
  <r>
    <x v="41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x v="30"/>
  </r>
  <r>
    <x v="41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x v="30"/>
  </r>
  <r>
    <x v="41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x v="30"/>
  </r>
  <r>
    <x v="41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x v="30"/>
  </r>
  <r>
    <x v="41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x v="30"/>
  </r>
  <r>
    <x v="41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x v="30"/>
  </r>
  <r>
    <x v="41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x v="30"/>
  </r>
  <r>
    <x v="41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x v="30"/>
  </r>
  <r>
    <x v="41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x v="30"/>
  </r>
  <r>
    <x v="41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x v="30"/>
  </r>
  <r>
    <x v="41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x v="30"/>
  </r>
  <r>
    <x v="41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x v="30"/>
  </r>
  <r>
    <x v="41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x v="30"/>
  </r>
  <r>
    <x v="41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x v="30"/>
  </r>
  <r>
    <x v="41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x v="30"/>
  </r>
  <r>
    <x v="41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  <r>
    <x v="41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x v="3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63">
  <r>
    <n v="12023011"/>
    <s v="FT"/>
    <s v="Fulltime"/>
    <n v="18999"/>
    <x v="0"/>
    <d v="2022-04-12T00:00:00"/>
    <s v="RT"/>
    <s v="RT"/>
    <n v="19.279499999999999"/>
    <n v="7.8921999999999999"/>
    <n v="91.2"/>
    <n v="0"/>
    <n v="0"/>
    <n v="30.4"/>
    <n v="0"/>
    <n v="2"/>
    <n v="0"/>
    <n v="0"/>
    <n v="0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154"/>
    <n v="1.3157894736842105E-2"/>
    <n v="1.013157894736842"/>
    <n v="0.81315789473684208"/>
    <x v="0"/>
    <x v="0"/>
    <n v="0"/>
    <n v="30.4"/>
  </r>
  <r>
    <n v="12021021"/>
    <s v="FT"/>
    <s v="Fulltime"/>
    <n v="19033"/>
    <x v="1"/>
    <d v="2022-08-29T00:00:00"/>
    <s v="RT"/>
    <s v="RT"/>
    <n v="24.736999999999998"/>
    <n v="39.874000000000002"/>
    <n v="145.35"/>
    <n v="0"/>
    <n v="0"/>
    <n v="0"/>
    <n v="0"/>
    <n v="14.3835"/>
    <n v="0"/>
    <n v="0"/>
    <n v="0"/>
    <n v="0"/>
    <n v="6.6"/>
    <n v="0"/>
    <n v="0"/>
    <n v="0"/>
    <n v="0"/>
    <n v="0"/>
    <n v="0"/>
    <n v="0"/>
    <n v="0"/>
    <n v="0"/>
    <n v="0"/>
    <n v="0"/>
    <n v="0"/>
    <n v="0"/>
    <n v="0"/>
    <n v="0"/>
    <n v="0"/>
    <n v="166.33349999999999"/>
    <n v="9.4628289473684207E-2"/>
    <n v="1.0942993421052631"/>
    <n v="1.0508782894736841"/>
    <x v="1"/>
    <x v="1"/>
    <n v="6.6"/>
    <n v="6.6"/>
  </r>
  <r>
    <n v="12023011"/>
    <s v="FT"/>
    <s v="Fulltime"/>
    <n v="18962"/>
    <x v="2"/>
    <d v="2021-08-16T00:00:00"/>
    <s v="FN"/>
    <s v="FN"/>
    <n v="87.243799999999993"/>
    <n v="30.087700000000002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0"/>
    <x v="0"/>
    <n v="0"/>
    <n v="0"/>
  </r>
  <r>
    <n v="12030800"/>
    <s v="FT"/>
    <s v="Fulltime"/>
    <n v="18989"/>
    <x v="3"/>
    <d v="2022-01-10T00:00:00"/>
    <s v="RT"/>
    <s v="RT"/>
    <n v="26.235600000000002"/>
    <n v="14.4712"/>
    <n v="0"/>
    <n v="0"/>
    <n v="0"/>
    <n v="0"/>
    <n v="0"/>
    <n v="0"/>
    <n v="0"/>
    <n v="0"/>
    <n v="0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76"/>
    <n v="0"/>
    <n v="0.5"/>
    <n v="0"/>
    <x v="0"/>
    <x v="2"/>
    <n v="0"/>
    <n v="76"/>
  </r>
  <r>
    <n v="12020711"/>
    <s v="FT"/>
    <s v="Fulltime"/>
    <n v="18954"/>
    <x v="4"/>
    <d v="2021-07-05T00:00:00"/>
    <s v="FN"/>
    <s v="FN"/>
    <n v="80.789000000000001"/>
    <n v="153.9781000000000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0"/>
    <x v="0"/>
    <n v="0"/>
    <n v="0"/>
  </r>
  <r>
    <n v="12020611"/>
    <s v="FT"/>
    <s v="Fulltime"/>
    <n v="18866"/>
    <x v="5"/>
    <d v="2019-03-04T00:00:00"/>
    <s v="RT"/>
    <s v="RT"/>
    <n v="108.7"/>
    <n v="220.3999"/>
    <n v="100.8"/>
    <n v="0"/>
    <n v="0"/>
    <n v="0"/>
    <n v="30.4"/>
    <n v="0"/>
    <n v="0"/>
    <n v="0"/>
    <n v="0"/>
    <n v="15.2"/>
    <n v="5.6"/>
    <n v="0"/>
    <n v="0"/>
    <n v="0"/>
    <n v="0"/>
    <n v="0"/>
    <n v="0"/>
    <n v="0"/>
    <n v="0"/>
    <n v="0"/>
    <n v="0"/>
    <n v="0"/>
    <n v="0"/>
    <n v="0"/>
    <n v="0"/>
    <n v="0"/>
    <n v="0"/>
    <n v="151.99999999999997"/>
    <n v="0"/>
    <n v="0.99999999999999978"/>
    <n v="0.86315789473684201"/>
    <x v="0"/>
    <x v="0"/>
    <n v="5.6"/>
    <n v="20.799999999999997"/>
  </r>
  <r>
    <n v="12028099"/>
    <s v="FT"/>
    <s v="Fulltime"/>
    <n v="18836"/>
    <x v="6"/>
    <d v="2018-09-10T00:00:00"/>
    <s v="RT"/>
    <s v="RT"/>
    <n v="100.0382"/>
    <n v="126.0766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2"/>
    <x v="3"/>
    <n v="0"/>
    <n v="0"/>
  </r>
  <r>
    <n v="12023011"/>
    <s v="PT"/>
    <s v="Parttime"/>
    <n v="19026"/>
    <x v="7"/>
    <d v="2022-08-01T00:00:00"/>
    <s v="RT"/>
    <s v="RT"/>
    <n v="19.260300000000001"/>
    <n v="53.720500000000001"/>
    <n v="91.2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.2"/>
    <n v="1.3157894736842105E-2"/>
    <n v="0.61315789473684212"/>
    <n v="0.61315789473684212"/>
    <x v="0"/>
    <x v="0"/>
    <n v="0"/>
    <n v="0"/>
  </r>
  <r>
    <n v="12023011"/>
    <s v="FT"/>
    <s v="Fulltime"/>
    <n v="19046"/>
    <x v="8"/>
    <d v="2022-11-28T00:00:00"/>
    <s v="RT"/>
    <s v="RT"/>
    <n v="12.388999999999999"/>
    <n v="39.978099999999998"/>
    <n v="144.4"/>
    <n v="0"/>
    <n v="0"/>
    <n v="0"/>
    <n v="0"/>
    <n v="3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5"/>
    <n v="1.9736842105263157E-2"/>
    <n v="1.0197368421052631"/>
    <n v="0.96973684210526323"/>
    <x v="0"/>
    <x v="0"/>
    <n v="7.6"/>
    <n v="7.6"/>
  </r>
  <r>
    <n v="12048099"/>
    <s v="FT"/>
    <s v="Fulltime"/>
    <n v="19031"/>
    <x v="9"/>
    <d v="2022-08-22T00:00:00"/>
    <s v="FN"/>
    <s v="FN"/>
    <n v="25.194500000000001"/>
    <n v="50.389000000000003"/>
    <n v="144.4"/>
    <n v="0"/>
    <n v="0"/>
    <n v="0"/>
    <n v="0"/>
    <n v="0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5000000000000007"/>
    <x v="2"/>
    <x v="4"/>
    <n v="7.6"/>
    <n v="7.6"/>
  </r>
  <r>
    <n v="12028099"/>
    <s v="FT"/>
    <s v="Fulltime"/>
    <n v="19055"/>
    <x v="10"/>
    <d v="2023-01-16T00:00:00"/>
    <s v="FN"/>
    <s v="FN"/>
    <n v="0"/>
    <n v="0"/>
    <n v="136.8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.657499999999999"/>
    <n v="16.657499999999999"/>
    <n v="0"/>
    <n v="0"/>
    <n v="0"/>
    <n v="136.80000000000001"/>
    <n v="0"/>
    <n v="0.9"/>
    <n v="0.9"/>
    <x v="2"/>
    <x v="3"/>
    <n v="0"/>
    <n v="0"/>
  </r>
  <r>
    <n v="12021021"/>
    <s v="FT"/>
    <s v="Fulltime"/>
    <n v="18733"/>
    <x v="11"/>
    <d v="2016-07-11T00:00:00"/>
    <s v="RT"/>
    <s v="RT"/>
    <n v="5.3400999999999996"/>
    <n v="96.131"/>
    <n v="128.2833"/>
    <n v="0"/>
    <n v="0"/>
    <n v="0"/>
    <n v="0"/>
    <n v="6.4333999999999998"/>
    <n v="0"/>
    <n v="0"/>
    <n v="0"/>
    <n v="7.6"/>
    <n v="15.2"/>
    <n v="0"/>
    <n v="0"/>
    <n v="0"/>
    <n v="0"/>
    <n v="0"/>
    <n v="0"/>
    <n v="0"/>
    <n v="0"/>
    <n v="0"/>
    <n v="0"/>
    <n v="0"/>
    <n v="0"/>
    <n v="0"/>
    <n v="0"/>
    <n v="0"/>
    <n v="0"/>
    <n v="157.51669999999999"/>
    <n v="4.2325000000000002E-2"/>
    <n v="1.0362940789473682"/>
    <n v="0.88629407894736845"/>
    <x v="1"/>
    <x v="1"/>
    <n v="15.2"/>
    <n v="22.799999999999997"/>
  </r>
  <r>
    <n v="12020800"/>
    <s v="FT"/>
    <s v="Fulltime"/>
    <n v="19051"/>
    <x v="12"/>
    <d v="2022-12-14T00:00:00"/>
    <s v="RT"/>
    <s v="RT"/>
    <n v="9.0574999999999992"/>
    <n v="18.115100000000002"/>
    <n v="76"/>
    <n v="0"/>
    <n v="0"/>
    <n v="30.4"/>
    <n v="0"/>
    <n v="0"/>
    <n v="0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121.60000000000001"/>
    <n v="0"/>
    <n v="0.8"/>
    <n v="0.70000000000000007"/>
    <x v="0"/>
    <x v="5"/>
    <n v="0"/>
    <n v="15.2"/>
  </r>
  <r>
    <n v="12033011"/>
    <s v="FT"/>
    <s v="Fulltime"/>
    <n v="18923"/>
    <x v="13"/>
    <d v="2020-09-18T00:00:00"/>
    <s v="RT"/>
    <s v="RT"/>
    <n v="58.160299999999999"/>
    <n v="106.9205"/>
    <n v="129.19999999999999"/>
    <n v="0"/>
    <n v="0"/>
    <n v="0"/>
    <n v="0"/>
    <n v="5.0498000000000003"/>
    <n v="0"/>
    <n v="0"/>
    <n v="0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157.0498"/>
    <n v="3.3222368421052632E-2"/>
    <n v="1.0332223684210526"/>
    <n v="0.88322236842105262"/>
    <x v="0"/>
    <x v="6"/>
    <n v="0"/>
    <n v="22.8"/>
  </r>
  <r>
    <n v="12060611"/>
    <s v="PT"/>
    <s v="Parttime"/>
    <n v="18634"/>
    <x v="14"/>
    <d v="2014-10-08T00:00:00"/>
    <s v="RT"/>
    <s v="RT"/>
    <n v="4.8872"/>
    <n v="13.0084"/>
    <n v="0"/>
    <n v="0"/>
    <n v="0"/>
    <n v="0"/>
    <n v="0"/>
    <n v="0"/>
    <n v="0"/>
    <n v="0"/>
    <n v="0"/>
    <n v="46.8"/>
    <n v="0"/>
    <n v="0"/>
    <n v="0"/>
    <n v="0"/>
    <n v="15.6"/>
    <n v="0"/>
    <n v="0"/>
    <n v="0"/>
    <n v="0"/>
    <n v="0"/>
    <n v="0"/>
    <n v="0"/>
    <n v="0"/>
    <n v="0"/>
    <n v="0"/>
    <n v="0"/>
    <n v="0"/>
    <n v="46.8"/>
    <n v="0"/>
    <n v="0.30789473684210522"/>
    <n v="0"/>
    <x v="0"/>
    <x v="7"/>
    <n v="15.6"/>
    <n v="62.4"/>
  </r>
  <r>
    <n v="12020711"/>
    <s v="PT"/>
    <s v="Parttime"/>
    <n v="18"/>
    <x v="15"/>
    <d v="2000-02-01T00:00:00"/>
    <s v="RT"/>
    <s v="RT"/>
    <n v="42.145600000000002"/>
    <n v="100.3218"/>
    <n v="66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"/>
    <n v="2.6315789473684209E-2"/>
    <n v="0.46052631578947367"/>
    <n v="0.46052631578947367"/>
    <x v="0"/>
    <x v="0"/>
    <n v="0"/>
    <n v="0"/>
  </r>
  <r>
    <n v="12020611"/>
    <s v="FT"/>
    <s v="Fulltime"/>
    <n v="18589"/>
    <x v="16"/>
    <d v="2013-05-29T00:00:00"/>
    <s v="RT"/>
    <s v="RT"/>
    <n v="19.590199999999999"/>
    <n v="141.208"/>
    <n v="121.6"/>
    <n v="0"/>
    <n v="0"/>
    <n v="0"/>
    <n v="30.4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.5"/>
    <n v="3.2894736842105261E-3"/>
    <n v="1.0032894736842106"/>
    <n v="1.0032894736842106"/>
    <x v="0"/>
    <x v="0"/>
    <n v="0"/>
    <n v="0"/>
  </r>
  <r>
    <n v="12013250"/>
    <s v="FT"/>
    <s v="Fulltime"/>
    <n v="18987"/>
    <x v="17"/>
    <d v="2022-01-10T00:00:00"/>
    <s v="FN"/>
    <s v="FN"/>
    <n v="71.835599999999999"/>
    <n v="136.0712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3"/>
    <x v="8"/>
    <n v="0"/>
    <n v="0"/>
  </r>
  <r>
    <n v="12063011"/>
    <s v="TF"/>
    <s v="Temporary Fulltime"/>
    <n v="19043"/>
    <x v="18"/>
    <d v="2022-11-21T00:00:00"/>
    <s v="RT"/>
    <s v="RT"/>
    <n v="20.2774"/>
    <n v="10.1547"/>
    <n v="91.15"/>
    <n v="0"/>
    <n v="0"/>
    <n v="0"/>
    <n v="0"/>
    <n v="4.9500999999999999"/>
    <n v="0"/>
    <n v="0"/>
    <n v="0"/>
    <n v="30.4"/>
    <n v="0"/>
    <n v="0"/>
    <n v="0"/>
    <n v="0"/>
    <n v="30.4"/>
    <n v="0"/>
    <n v="0"/>
    <n v="0"/>
    <n v="0"/>
    <n v="0"/>
    <n v="0"/>
    <n v="0"/>
    <n v="0"/>
    <n v="0"/>
    <n v="0"/>
    <n v="0"/>
    <n v="0"/>
    <n v="126.5001"/>
    <n v="3.2566447368421049E-2"/>
    <n v="0.83223750000000007"/>
    <n v="0.63223750000000001"/>
    <x v="0"/>
    <x v="7"/>
    <n v="30.4"/>
    <n v="60.8"/>
  </r>
  <r>
    <n v="12019199"/>
    <s v="FT"/>
    <s v="Fulltime"/>
    <n v="18741"/>
    <x v="19"/>
    <d v="2016-10-24T00:00:00"/>
    <s v="FN"/>
    <s v="FN"/>
    <n v="118.4761"/>
    <n v="236.9529"/>
    <n v="144.4"/>
    <n v="0"/>
    <n v="0"/>
    <n v="0"/>
    <n v="0"/>
    <n v="0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5000000000000007"/>
    <x v="4"/>
    <x v="9"/>
    <n v="7.6"/>
    <n v="7.6"/>
  </r>
  <r>
    <n v="12020400"/>
    <s v="FT"/>
    <s v="Fulltime"/>
    <n v="18619"/>
    <x v="20"/>
    <d v="2014-03-17T00:00:00"/>
    <s v="RT"/>
    <s v="RT"/>
    <n v="233.23230000000001"/>
    <n v="106.3656"/>
    <n v="144.4"/>
    <n v="0"/>
    <n v="0"/>
    <n v="0"/>
    <n v="0"/>
    <n v="0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5000000000000007"/>
    <x v="5"/>
    <x v="10"/>
    <n v="7.6"/>
    <n v="7.6"/>
  </r>
  <r>
    <n v="12018599"/>
    <s v="FT"/>
    <s v="Fulltime"/>
    <n v="18862"/>
    <x v="21"/>
    <d v="2019-01-30T00:00:00"/>
    <s v="RT"/>
    <s v="RT"/>
    <n v="95.861099999999993"/>
    <n v="188.1424000000000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4"/>
    <x v="11"/>
    <n v="0"/>
    <n v="0"/>
  </r>
  <r>
    <n v="12060800"/>
    <s v="FT"/>
    <s v="Fulltime"/>
    <n v="18953"/>
    <x v="22"/>
    <d v="2021-05-17T00:00:00"/>
    <s v="RT"/>
    <s v="RT"/>
    <n v="107.4203"/>
    <n v="207.2406"/>
    <n v="151.9666"/>
    <n v="0"/>
    <n v="0"/>
    <n v="0"/>
    <n v="0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.7166"/>
    <n v="3.125E-2"/>
    <n v="1.0310302631578947"/>
    <n v="1.0310302631578947"/>
    <x v="0"/>
    <x v="12"/>
    <n v="0"/>
    <n v="0"/>
  </r>
  <r>
    <n v="12019199"/>
    <s v="FT"/>
    <s v="Fulltime"/>
    <n v="18550"/>
    <x v="23"/>
    <d v="2012-07-30T00:00:00"/>
    <s v="FN"/>
    <s v="FN"/>
    <n v="255.70529999999999"/>
    <n v="183.0063000000000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4"/>
    <x v="9"/>
    <n v="0"/>
    <n v="0"/>
  </r>
  <r>
    <n v="12043011"/>
    <s v="PT"/>
    <s v="Parttime"/>
    <n v="19039"/>
    <x v="24"/>
    <d v="2022-09-20T00:00:00"/>
    <s v="RT"/>
    <s v="RT"/>
    <n v="25.315100000000001"/>
    <n v="13.030099999999999"/>
    <n v="74.366600000000005"/>
    <n v="0"/>
    <n v="0"/>
    <n v="0"/>
    <n v="30.15"/>
    <n v="0.35"/>
    <n v="0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120.06660000000001"/>
    <n v="2.3026315789473682E-3"/>
    <n v="0.78991184210526322"/>
    <n v="0.68991184210526324"/>
    <x v="0"/>
    <x v="13"/>
    <n v="0"/>
    <n v="15.2"/>
  </r>
  <r>
    <n v="12013300"/>
    <s v="FT"/>
    <s v="Fulltime"/>
    <n v="220"/>
    <x v="25"/>
    <d v="2007-06-18T00:00:00"/>
    <s v="FN"/>
    <s v="FN"/>
    <n v="443.87799999999999"/>
    <n v="218.2467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6"/>
    <x v="14"/>
    <n v="0"/>
    <n v="0"/>
  </r>
  <r>
    <n v="12068099"/>
    <s v="FT"/>
    <s v="Fulltime"/>
    <n v="18876"/>
    <x v="26"/>
    <d v="2019-04-29T00:00:00"/>
    <s v="FN"/>
    <s v="FN"/>
    <n v="204.1397"/>
    <n v="93.279499999999999"/>
    <n v="144.4"/>
    <n v="0"/>
    <n v="0"/>
    <n v="0"/>
    <n v="0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5000000000000007"/>
    <x v="2"/>
    <x v="15"/>
    <n v="0"/>
    <n v="7.6"/>
  </r>
  <r>
    <n v="12043011"/>
    <s v="FT"/>
    <s v="Fulltime"/>
    <n v="18942"/>
    <x v="27"/>
    <d v="2021-03-02T00:00:00"/>
    <s v="RT"/>
    <s v="RT"/>
    <n v="0.61529999999999996"/>
    <n v="29.630600000000001"/>
    <n v="89.733400000000003"/>
    <n v="0"/>
    <n v="0"/>
    <n v="0"/>
    <n v="29.816700000000001"/>
    <n v="0.18329999999999999"/>
    <n v="0"/>
    <n v="0"/>
    <n v="0"/>
    <n v="9.1999999999999993"/>
    <n v="21.2"/>
    <n v="0"/>
    <n v="0"/>
    <n v="0"/>
    <n v="0"/>
    <n v="0"/>
    <n v="0"/>
    <n v="0"/>
    <n v="0"/>
    <n v="0"/>
    <n v="0"/>
    <n v="0"/>
    <n v="0"/>
    <n v="0"/>
    <n v="0"/>
    <n v="0"/>
    <n v="0"/>
    <n v="150.13339999999999"/>
    <n v="1.205921052631579E-3"/>
    <n v="0.98771973684210523"/>
    <n v="0.78771973684210517"/>
    <x v="0"/>
    <x v="13"/>
    <n v="21.2"/>
    <n v="30.4"/>
  </r>
  <r>
    <n v="12042511"/>
    <s v="PT"/>
    <s v="Parttime"/>
    <n v="18650"/>
    <x v="28"/>
    <d v="2008-10-06T00:00:00"/>
    <s v="RT"/>
    <s v="RT"/>
    <n v="6.5667"/>
    <n v="70.874799999999993"/>
    <n v="97.533299999999997"/>
    <n v="0"/>
    <n v="0"/>
    <n v="0"/>
    <n v="0"/>
    <n v="3.3300000000000003E-2"/>
    <n v="0"/>
    <n v="0"/>
    <n v="0"/>
    <n v="15.2"/>
    <n v="7.6"/>
    <n v="0"/>
    <n v="0"/>
    <n v="0"/>
    <n v="0"/>
    <n v="0"/>
    <n v="0"/>
    <n v="0"/>
    <n v="0"/>
    <n v="0"/>
    <n v="0"/>
    <n v="0"/>
    <n v="0"/>
    <n v="0"/>
    <n v="0"/>
    <n v="0"/>
    <n v="0"/>
    <n v="120.36659999999999"/>
    <n v="2.1907894736842106E-4"/>
    <n v="0.79188552631578946"/>
    <n v="0.64188552631578943"/>
    <x v="0"/>
    <x v="13"/>
    <n v="7.6"/>
    <n v="22.799999999999997"/>
  </r>
  <r>
    <n v="12019199"/>
    <s v="FT"/>
    <s v="Fulltime"/>
    <n v="19025"/>
    <x v="29"/>
    <d v="2022-07-25T00:00:00"/>
    <s v="FN"/>
    <s v="FN"/>
    <n v="18.8247"/>
    <n v="46.849299999999999"/>
    <n v="139.80000000000001"/>
    <n v="0"/>
    <n v="0"/>
    <n v="0"/>
    <n v="0"/>
    <n v="0"/>
    <n v="0"/>
    <n v="0"/>
    <n v="0"/>
    <n v="0"/>
    <n v="12.2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1973684210526319"/>
    <x v="4"/>
    <x v="9"/>
    <n v="12.2"/>
    <n v="12.2"/>
  </r>
  <r>
    <n v="12013300"/>
    <s v="PT"/>
    <s v="Parttime"/>
    <n v="19056"/>
    <x v="30"/>
    <d v="2023-02-01T00:00:00"/>
    <s v="FN"/>
    <s v="FN"/>
    <n v="3.5076999999999998"/>
    <n v="7.0153999999999996"/>
    <n v="9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.2"/>
    <n v="0"/>
    <n v="0.6"/>
    <n v="0.6"/>
    <x v="6"/>
    <x v="14"/>
    <n v="0"/>
    <n v="0"/>
  </r>
  <r>
    <n v="12019199"/>
    <s v="FT"/>
    <s v="Fulltime"/>
    <n v="18853"/>
    <x v="31"/>
    <d v="2019-01-07T00:00:00"/>
    <s v="FN"/>
    <s v="FN"/>
    <n v="304.06020000000001"/>
    <n v="106.9204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4"/>
    <x v="9"/>
    <n v="0"/>
    <n v="0"/>
  </r>
  <r>
    <n v="12023011"/>
    <s v="TP"/>
    <s v="Temporary Parttime"/>
    <n v="19032"/>
    <x v="32"/>
    <d v="2022-08-22T00:00:00"/>
    <s v="RT"/>
    <s v="RT"/>
    <n v="11.3911"/>
    <n v="15.182"/>
    <n v="91.2"/>
    <n v="0"/>
    <n v="0"/>
    <n v="0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.7"/>
    <n v="3.2894736842105261E-3"/>
    <n v="0.6032894736842106"/>
    <n v="0.6032894736842106"/>
    <x v="0"/>
    <x v="0"/>
    <n v="0"/>
    <n v="0"/>
  </r>
  <r>
    <n v="12013250"/>
    <s v="FT"/>
    <s v="Fulltime"/>
    <n v="18988"/>
    <x v="33"/>
    <d v="2022-01-04T00:00:00"/>
    <s v="FN"/>
    <s v="FN"/>
    <n v="88.284899999999993"/>
    <n v="70.169899999999998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3"/>
    <x v="8"/>
    <n v="0"/>
    <n v="0"/>
  </r>
  <r>
    <n v="12010500"/>
    <s v="FT"/>
    <s v="Fulltime"/>
    <n v="18517"/>
    <x v="34"/>
    <d v="2012-01-19T00:00:00"/>
    <s v="RT"/>
    <s v="RT"/>
    <n v="750.86069999999995"/>
    <n v="221.9425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7"/>
    <x v="16"/>
    <n v="0"/>
    <n v="0"/>
  </r>
  <r>
    <n v="12060400"/>
    <s v="FT"/>
    <s v="Fulltime"/>
    <n v="18442"/>
    <x v="35"/>
    <d v="2010-03-29T00:00:00"/>
    <s v="RT"/>
    <s v="RT"/>
    <n v="220.8836"/>
    <n v="189.16829999999999"/>
    <n v="76"/>
    <n v="0"/>
    <n v="0"/>
    <n v="0"/>
    <n v="0"/>
    <n v="0"/>
    <n v="0"/>
    <n v="0"/>
    <n v="0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5"/>
    <x v="5"/>
    <x v="17"/>
    <n v="0"/>
    <n v="76"/>
  </r>
  <r>
    <n v="12020711"/>
    <s v="PT"/>
    <s v="Parttime"/>
    <n v="18631"/>
    <x v="36"/>
    <d v="2014-08-19T00:00:00"/>
    <s v="RT"/>
    <s v="RT"/>
    <n v="37.486699999999999"/>
    <n v="74.020399999999995"/>
    <n v="53.2"/>
    <n v="0"/>
    <n v="0"/>
    <n v="22.8"/>
    <n v="0"/>
    <n v="0.5"/>
    <n v="0"/>
    <n v="0"/>
    <n v="0"/>
    <n v="7.6"/>
    <n v="7.6"/>
    <n v="0"/>
    <n v="0"/>
    <n v="0"/>
    <n v="0"/>
    <n v="0"/>
    <n v="0"/>
    <n v="0"/>
    <n v="0"/>
    <n v="0"/>
    <n v="0"/>
    <n v="0"/>
    <n v="0"/>
    <n v="0"/>
    <n v="0"/>
    <n v="0"/>
    <n v="0"/>
    <n v="91.699999999999989"/>
    <n v="3.2894736842105261E-3"/>
    <n v="0.60328947368421049"/>
    <n v="0.5032894736842104"/>
    <x v="0"/>
    <x v="0"/>
    <n v="7.6"/>
    <n v="15.2"/>
  </r>
  <r>
    <n v="12043011"/>
    <s v="FT"/>
    <s v="Fulltime"/>
    <n v="18990"/>
    <x v="37"/>
    <d v="2022-01-21T00:00:00"/>
    <s v="RT"/>
    <s v="RT"/>
    <n v="9.1452000000000009"/>
    <n v="55.490400000000001"/>
    <n v="136.16659999999999"/>
    <n v="0"/>
    <n v="0"/>
    <n v="0"/>
    <n v="0"/>
    <n v="4.4165999999999999"/>
    <n v="0"/>
    <n v="0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155.78319999999997"/>
    <n v="2.9056578947368419E-2"/>
    <n v="1.0248894736842102"/>
    <n v="0.92488947368421037"/>
    <x v="0"/>
    <x v="13"/>
    <n v="15.2"/>
    <n v="15.2"/>
  </r>
  <r>
    <n v="12019099"/>
    <s v="FT"/>
    <s v="Fulltime"/>
    <n v="18886"/>
    <x v="38"/>
    <d v="2019-06-04T00:00:00"/>
    <s v="FN"/>
    <s v="FN"/>
    <n v="252.44380000000001"/>
    <n v="132.3877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4"/>
    <x v="18"/>
    <n v="0"/>
    <n v="0"/>
  </r>
  <r>
    <n v="12040500"/>
    <s v="FT"/>
    <s v="Fulltime"/>
    <n v="18649"/>
    <x v="39"/>
    <d v="2014-06-11T00:00:00"/>
    <s v="RT"/>
    <s v="RT"/>
    <n v="218.126"/>
    <n v="111.2332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7"/>
    <x v="19"/>
    <n v="0"/>
    <n v="0"/>
  </r>
  <r>
    <n v="12048099"/>
    <s v="FT"/>
    <s v="Fulltime"/>
    <n v="18976"/>
    <x v="40"/>
    <d v="2021-11-01T00:00:00"/>
    <s v="FN"/>
    <s v="FN"/>
    <n v="96.318700000000007"/>
    <n v="58.237299999999998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2"/>
    <x v="4"/>
    <n v="0"/>
    <n v="0"/>
  </r>
  <r>
    <n v="12062511"/>
    <s v="TP"/>
    <s v="Temporary Parttime"/>
    <n v="18506"/>
    <x v="41"/>
    <d v="2011-09-14T00:00:00"/>
    <s v="RT"/>
    <s v="RT"/>
    <n v="53.395200000000003"/>
    <n v="271.846"/>
    <n v="48"/>
    <n v="0"/>
    <n v="0"/>
    <n v="0"/>
    <n v="0"/>
    <n v="1.9668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.966799999999999"/>
    <n v="1.2939473684210527E-2"/>
    <n v="0.32872894736842107"/>
    <n v="0.32872894736842107"/>
    <x v="0"/>
    <x v="7"/>
    <n v="0"/>
    <n v="0"/>
  </r>
  <r>
    <n v="12020800"/>
    <s v="FT"/>
    <s v="Fulltime"/>
    <n v="19053"/>
    <x v="42"/>
    <d v="2023-01-04T00:00:00"/>
    <s v="RT"/>
    <s v="RT"/>
    <n v="2.6387999999999998"/>
    <n v="5.2775999999999996"/>
    <n v="76"/>
    <n v="0"/>
    <n v="0"/>
    <n v="0"/>
    <n v="0"/>
    <n v="1"/>
    <n v="0"/>
    <n v="0"/>
    <n v="0"/>
    <n v="15.2"/>
    <n v="7.6"/>
    <n v="0"/>
    <n v="0"/>
    <n v="0"/>
    <n v="53.2"/>
    <n v="0"/>
    <n v="0"/>
    <n v="0"/>
    <n v="0"/>
    <n v="0"/>
    <n v="0"/>
    <n v="0"/>
    <n v="0"/>
    <n v="0"/>
    <n v="0"/>
    <n v="0"/>
    <n v="0"/>
    <n v="99.8"/>
    <n v="6.5789473684210523E-3"/>
    <n v="0.65657894736842104"/>
    <n v="0.50657894736842102"/>
    <x v="0"/>
    <x v="5"/>
    <n v="60.800000000000004"/>
    <n v="76"/>
  </r>
  <r>
    <n v="12019199"/>
    <s v="FT"/>
    <s v="Fulltime"/>
    <n v="19003"/>
    <x v="43"/>
    <d v="2022-04-19T00:00:00"/>
    <s v="FN"/>
    <s v="FN"/>
    <n v="24.421900000000001"/>
    <n v="56.843800000000002"/>
    <n v="136.80000000000001"/>
    <n v="0"/>
    <n v="0"/>
    <n v="0"/>
    <n v="0"/>
    <n v="0"/>
    <n v="0"/>
    <n v="0"/>
    <n v="0"/>
    <n v="7.6"/>
    <n v="7.6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"/>
    <x v="4"/>
    <x v="9"/>
    <n v="7.6"/>
    <n v="15.2"/>
  </r>
  <r>
    <n v="12022511"/>
    <s v="FT"/>
    <s v="Fulltime"/>
    <n v="18961"/>
    <x v="44"/>
    <d v="2021-08-04T00:00:00"/>
    <s v="RT"/>
    <s v="RT"/>
    <n v="16.491"/>
    <n v="32.981900000000003"/>
    <n v="152"/>
    <n v="0"/>
    <n v="0"/>
    <n v="0"/>
    <n v="0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.5"/>
    <n v="2.9605263157894735E-2"/>
    <n v="1.0296052631578947"/>
    <n v="1.0296052631578947"/>
    <x v="0"/>
    <x v="0"/>
    <n v="0"/>
    <n v="0"/>
  </r>
  <r>
    <n v="12043011"/>
    <s v="CAS"/>
    <s v="Casual RL"/>
    <n v="18917"/>
    <x v="45"/>
    <d v="2020-06-23T00:00:00"/>
    <s v="RT"/>
    <s v="RT"/>
    <n v="30.316700000000001"/>
    <n v="60.633400000000002"/>
    <n v="0"/>
    <n v="0"/>
    <n v="47.0833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.083300000000001"/>
    <n v="0"/>
    <n v="0.30975855263157898"/>
    <n v="0.30975855263157898"/>
    <x v="0"/>
    <x v="13"/>
    <n v="0"/>
    <n v="0"/>
  </r>
  <r>
    <n v="12020400"/>
    <s v="FT"/>
    <s v="Fulltime"/>
    <n v="19057"/>
    <x v="46"/>
    <d v="2023-02-13T00:00:00"/>
    <s v="FN"/>
    <s v="FN"/>
    <n v="3.9561999999999999"/>
    <n v="7.9123000000000001"/>
    <n v="9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.2"/>
    <n v="0"/>
    <n v="0.6"/>
    <n v="0.6"/>
    <x v="5"/>
    <x v="10"/>
    <n v="0"/>
    <n v="0"/>
  </r>
  <r>
    <n v="12020800"/>
    <s v="FT"/>
    <s v="Fulltime"/>
    <n v="19013"/>
    <x v="47"/>
    <d v="2022-06-20T00:00:00"/>
    <s v="RT"/>
    <s v="RT"/>
    <n v="45.912300000000002"/>
    <n v="99.424700000000001"/>
    <n v="152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6"/>
    <n v="9.2105263157894732E-2"/>
    <n v="1.0921052631578947"/>
    <n v="1.0921052631578947"/>
    <x v="0"/>
    <x v="5"/>
    <n v="0"/>
    <n v="0"/>
  </r>
  <r>
    <n v="12030500"/>
    <s v="FT"/>
    <s v="Fulltime"/>
    <n v="18841"/>
    <x v="48"/>
    <d v="2018-10-10T00:00:00"/>
    <s v="RT"/>
    <s v="RT"/>
    <n v="101.2617"/>
    <n v="106.5335"/>
    <n v="138.6"/>
    <n v="0"/>
    <n v="0"/>
    <n v="0"/>
    <n v="0"/>
    <n v="0"/>
    <n v="0"/>
    <n v="0"/>
    <n v="0"/>
    <n v="11.05"/>
    <n v="0"/>
    <n v="0"/>
    <n v="0"/>
    <n v="2.35"/>
    <n v="0"/>
    <n v="0"/>
    <n v="0"/>
    <n v="0"/>
    <n v="0"/>
    <n v="0"/>
    <n v="0"/>
    <n v="0"/>
    <n v="0"/>
    <n v="0"/>
    <n v="0"/>
    <n v="0"/>
    <n v="0"/>
    <n v="152"/>
    <n v="0"/>
    <n v="1"/>
    <n v="0.9118421052631579"/>
    <x v="7"/>
    <x v="20"/>
    <n v="2.35"/>
    <n v="13.4"/>
  </r>
  <r>
    <n v="12013250"/>
    <s v="FT"/>
    <s v="Fulltime"/>
    <n v="18721"/>
    <x v="49"/>
    <d v="2016-02-15T00:00:00"/>
    <s v="FN"/>
    <s v="FN"/>
    <n v="296.99169999999998"/>
    <n v="49.923999999999999"/>
    <n v="22.8"/>
    <n v="0"/>
    <n v="0"/>
    <n v="0"/>
    <n v="0"/>
    <n v="0"/>
    <n v="0"/>
    <n v="0"/>
    <n v="0"/>
    <n v="129.1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15000000000000008"/>
    <x v="3"/>
    <x v="8"/>
    <n v="0"/>
    <n v="129.19999999999999"/>
  </r>
  <r>
    <n v="12033011"/>
    <s v="FT"/>
    <s v="Fulltime"/>
    <n v="18679"/>
    <x v="50"/>
    <d v="2015-06-02T00:00:00"/>
    <s v="RT"/>
    <s v="RT"/>
    <n v="200.45930000000001"/>
    <n v="51.260899999999999"/>
    <n v="151.6"/>
    <n v="0"/>
    <n v="0"/>
    <n v="0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.69999999999999"/>
    <n v="7.2368421052631587E-3"/>
    <n v="1.0046052631578946"/>
    <n v="1.0046052631578946"/>
    <x v="0"/>
    <x v="6"/>
    <n v="0"/>
    <n v="0"/>
  </r>
  <r>
    <n v="12023011"/>
    <s v="FT"/>
    <s v="Fulltime"/>
    <n v="18974"/>
    <x v="51"/>
    <d v="2021-11-03T00:00:00"/>
    <s v="RT"/>
    <s v="RT"/>
    <n v="43.994500000000002"/>
    <n v="102.289"/>
    <n v="91.2"/>
    <n v="0"/>
    <n v="0"/>
    <n v="30.4"/>
    <n v="30.4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.5"/>
    <n v="2.9605263157894735E-2"/>
    <n v="1.0296052631578947"/>
    <n v="1.0296052631578947"/>
    <x v="0"/>
    <x v="0"/>
    <n v="0"/>
    <n v="0"/>
  </r>
  <r>
    <n v="12033011"/>
    <s v="FT"/>
    <s v="Fulltime"/>
    <n v="19015"/>
    <x v="52"/>
    <d v="2022-06-09T00:00:00"/>
    <s v="RT"/>
    <s v="RT"/>
    <n v="11.8027"/>
    <n v="-6.3944999999999999"/>
    <n v="15.1"/>
    <n v="0"/>
    <n v="0"/>
    <n v="7.5"/>
    <n v="0"/>
    <n v="2"/>
    <n v="0.86670000000000003"/>
    <n v="0"/>
    <n v="0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101.4667"/>
    <n v="1.8859868421052629E-2"/>
    <n v="0.66754407894736845"/>
    <n v="0.16754407894736845"/>
    <x v="0"/>
    <x v="6"/>
    <n v="0"/>
    <n v="76"/>
  </r>
  <r>
    <n v="12021021"/>
    <s v="FT"/>
    <s v="Fulltime"/>
    <n v="18659"/>
    <x v="53"/>
    <d v="2015-01-12T00:00:00"/>
    <s v="RT"/>
    <s v="RT"/>
    <n v="278.89830000000001"/>
    <n v="158.0376"/>
    <n v="118.6"/>
    <n v="0"/>
    <n v="0"/>
    <n v="0"/>
    <n v="0"/>
    <n v="10.6501"/>
    <n v="0.2167"/>
    <n v="0"/>
    <n v="0"/>
    <n v="30.4"/>
    <n v="3"/>
    <n v="0"/>
    <n v="0"/>
    <n v="0"/>
    <n v="0"/>
    <n v="0"/>
    <n v="0"/>
    <n v="0"/>
    <n v="0"/>
    <n v="0"/>
    <n v="0"/>
    <n v="0"/>
    <n v="0"/>
    <n v="0"/>
    <n v="0"/>
    <n v="0"/>
    <n v="0"/>
    <n v="162.86680000000001"/>
    <n v="7.1492105263157898E-2"/>
    <n v="1.0714921052631581"/>
    <n v="0.85175526315789474"/>
    <x v="1"/>
    <x v="1"/>
    <n v="3"/>
    <n v="33.4"/>
  </r>
  <r>
    <n v="12033011"/>
    <s v="FT"/>
    <s v="Fulltime"/>
    <n v="19049"/>
    <x v="54"/>
    <d v="2022-12-06T00:00:00"/>
    <s v="RT"/>
    <s v="RT"/>
    <n v="18.3233"/>
    <n v="36.646599999999999"/>
    <n v="29.333300000000001"/>
    <n v="0"/>
    <n v="0"/>
    <n v="30.2333"/>
    <n v="26.3"/>
    <n v="16.600000000000001"/>
    <n v="17.0834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9.55"/>
    <n v="0.22160131578947373"/>
    <n v="0.78651315789473686"/>
    <n v="0.78651315789473686"/>
    <x v="0"/>
    <x v="6"/>
    <n v="0"/>
    <n v="0"/>
  </r>
  <r>
    <n v="12043011"/>
    <s v="PT"/>
    <s v="Parttime"/>
    <n v="18646"/>
    <x v="55"/>
    <d v="2014-03-03T00:00:00"/>
    <s v="RT"/>
    <s v="RT"/>
    <n v="10.7416"/>
    <n v="46.483600000000003"/>
    <n v="50.333300000000001"/>
    <n v="0"/>
    <n v="0"/>
    <n v="30.166699999999999"/>
    <n v="30.1"/>
    <n v="5.9"/>
    <n v="2.4998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.9999"/>
    <n v="5.5262500000000006E-2"/>
    <n v="0.7828940789473684"/>
    <n v="0.7828940789473684"/>
    <x v="0"/>
    <x v="13"/>
    <n v="0"/>
    <n v="0"/>
  </r>
  <r>
    <n v="12021021"/>
    <s v="FT"/>
    <s v="Fulltime"/>
    <n v="18967"/>
    <x v="56"/>
    <d v="2021-08-23T00:00:00"/>
    <s v="RT"/>
    <s v="RT"/>
    <n v="15.9863"/>
    <n v="87.9726"/>
    <n v="144.4"/>
    <n v="0"/>
    <n v="0"/>
    <n v="0"/>
    <n v="0"/>
    <n v="17.5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69.5"/>
    <n v="0.11513157894736842"/>
    <n v="1.1151315789473684"/>
    <n v="1.0651315789473685"/>
    <x v="1"/>
    <x v="1"/>
    <n v="7.6"/>
    <n v="7.6"/>
  </r>
  <r>
    <n v="12020500"/>
    <s v="TP"/>
    <s v="Temporary Parttime"/>
    <n v="19040"/>
    <x v="57"/>
    <d v="2022-10-24T00:00:00"/>
    <s v="FN"/>
    <s v="FN"/>
    <n v="14.356199999999999"/>
    <n v="28.712299999999999"/>
    <n v="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0"/>
    <n v="0.52631578947368418"/>
    <n v="0.52631578947368418"/>
    <x v="7"/>
    <x v="21"/>
    <n v="0"/>
    <n v="0"/>
  </r>
  <r>
    <n v="12043011"/>
    <s v="FT"/>
    <s v="Fulltime"/>
    <n v="18703"/>
    <x v="58"/>
    <d v="2015-10-12T00:00:00"/>
    <s v="RT"/>
    <s v="RT"/>
    <n v="147.72460000000001"/>
    <n v="99.350099999999998"/>
    <n v="143.3999"/>
    <n v="0"/>
    <n v="0"/>
    <n v="0"/>
    <n v="0"/>
    <n v="2.0167999999999999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3.01669999999999"/>
    <n v="1.3268421052631579E-2"/>
    <n v="1.0066888157894736"/>
    <n v="0.95668881578947362"/>
    <x v="0"/>
    <x v="13"/>
    <n v="7.6"/>
    <n v="7.6"/>
  </r>
  <r>
    <n v="12023011"/>
    <s v="PT"/>
    <s v="Parttime"/>
    <n v="18973"/>
    <x v="59"/>
    <d v="2021-09-29T00:00:00"/>
    <s v="RT"/>
    <s v="RT"/>
    <n v="8.6751000000000005"/>
    <n v="17.350000000000001"/>
    <n v="83.6"/>
    <n v="0"/>
    <n v="0"/>
    <n v="0"/>
    <n v="0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91.199999999999989"/>
    <n v="0"/>
    <n v="0.6"/>
    <n v="0.54999999999999993"/>
    <x v="0"/>
    <x v="0"/>
    <n v="0"/>
    <n v="7.6"/>
  </r>
  <r>
    <n v="12033011"/>
    <s v="FT"/>
    <s v="Fulltime"/>
    <n v="18932"/>
    <x v="60"/>
    <d v="2021-01-27T00:00:00"/>
    <s v="RT"/>
    <s v="RT"/>
    <n v="17.195900000000002"/>
    <n v="37.891800000000003"/>
    <n v="114"/>
    <n v="0"/>
    <n v="0"/>
    <n v="0"/>
    <n v="0"/>
    <n v="28.3001"/>
    <n v="24.35"/>
    <n v="0"/>
    <n v="0"/>
    <n v="22.8"/>
    <n v="15.2"/>
    <n v="0"/>
    <n v="0"/>
    <n v="0"/>
    <n v="0"/>
    <n v="0"/>
    <n v="0"/>
    <n v="0"/>
    <n v="0"/>
    <n v="0"/>
    <n v="0"/>
    <n v="0"/>
    <n v="0"/>
    <n v="0"/>
    <n v="0"/>
    <n v="0"/>
    <n v="0"/>
    <n v="204.65009999999998"/>
    <n v="0.34638223684210528"/>
    <n v="1.3463822368421052"/>
    <n v="1.0963822368421052"/>
    <x v="0"/>
    <x v="6"/>
    <n v="15.2"/>
    <n v="38"/>
  </r>
  <r>
    <n v="12013012"/>
    <s v="FT"/>
    <s v="Fulltime"/>
    <n v="19014"/>
    <x v="61"/>
    <d v="2022-06-15T00:00:00"/>
    <s v="FN"/>
    <s v="FN"/>
    <n v="46.076500000000003"/>
    <n v="68.552999999999997"/>
    <n v="136.80000000000001"/>
    <n v="0"/>
    <n v="0"/>
    <n v="0"/>
    <n v="0"/>
    <n v="0"/>
    <n v="0"/>
    <n v="0"/>
    <n v="0"/>
    <n v="7.6"/>
    <n v="7.6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"/>
    <x v="0"/>
    <x v="22"/>
    <n v="7.6"/>
    <n v="15.2"/>
  </r>
  <r>
    <n v="12043011"/>
    <s v="FT"/>
    <s v="Fulltime"/>
    <n v="18850"/>
    <x v="62"/>
    <d v="2019-01-02T00:00:00"/>
    <s v="RT"/>
    <s v="RT"/>
    <n v="188.69130000000001"/>
    <n v="94.735900000000001"/>
    <n v="121.5"/>
    <n v="0"/>
    <n v="0"/>
    <n v="30.4"/>
    <n v="0"/>
    <n v="5.41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7.3169"/>
    <n v="3.5637500000000003E-2"/>
    <n v="1.0349796052631579"/>
    <n v="1.0349796052631579"/>
    <x v="0"/>
    <x v="13"/>
    <n v="0"/>
    <n v="0"/>
  </r>
  <r>
    <n v="12033011"/>
    <s v="FT"/>
    <s v="Fulltime"/>
    <n v="18829"/>
    <x v="63"/>
    <d v="2018-06-04T00:00:00"/>
    <s v="RT"/>
    <s v="RT"/>
    <n v="22.843599999999999"/>
    <n v="174.48750000000001"/>
    <n v="121.6"/>
    <n v="0"/>
    <n v="0"/>
    <n v="0"/>
    <n v="30.4"/>
    <n v="32.616700000000002"/>
    <n v="22.28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.90010000000001"/>
    <n v="0.36118486842105263"/>
    <n v="1.3611848684210528"/>
    <n v="1.3611848684210528"/>
    <x v="0"/>
    <x v="6"/>
    <n v="0"/>
    <n v="0"/>
  </r>
  <r>
    <n v="12023011"/>
    <s v="TF"/>
    <s v="Temporary Fulltime"/>
    <n v="19035"/>
    <x v="64"/>
    <d v="2022-09-05T00:00:00"/>
    <s v="RT"/>
    <s v="RT"/>
    <n v="10.094900000000001"/>
    <n v="1.8896999999999999"/>
    <n v="148.5"/>
    <n v="0"/>
    <n v="0"/>
    <n v="0"/>
    <n v="0"/>
    <n v="0"/>
    <n v="0"/>
    <n v="0"/>
    <n v="0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7697368421052633"/>
    <x v="0"/>
    <x v="0"/>
    <n v="0"/>
    <n v="3.5"/>
  </r>
  <r>
    <n v="12030400"/>
    <s v="FT"/>
    <s v="Fulltime"/>
    <n v="19047"/>
    <x v="65"/>
    <d v="2022-12-12T00:00:00"/>
    <s v="FN"/>
    <s v="FN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.317399999999999"/>
    <n v="20.317399999999999"/>
    <n v="0"/>
    <n v="0"/>
    <n v="0"/>
    <n v="15.2"/>
    <n v="0"/>
    <n v="9.9999999999999992E-2"/>
    <n v="9.9999999999999992E-2"/>
    <x v="5"/>
    <x v="23"/>
    <n v="0"/>
    <n v="0"/>
  </r>
  <r>
    <n v="12030611"/>
    <s v="FT"/>
    <s v="Fulltime"/>
    <n v="18979"/>
    <x v="66"/>
    <d v="2021-12-06T00:00:00"/>
    <s v="RT"/>
    <s v="RT"/>
    <n v="10.3233"/>
    <n v="44.246600000000001"/>
    <n v="128.55000000000001"/>
    <n v="0"/>
    <n v="0"/>
    <n v="0"/>
    <n v="0"/>
    <n v="18.2834"/>
    <n v="5.3666999999999998"/>
    <n v="0"/>
    <n v="0"/>
    <n v="15.2"/>
    <n v="7.6"/>
    <n v="0"/>
    <n v="0"/>
    <n v="0"/>
    <n v="0"/>
    <n v="0"/>
    <n v="0"/>
    <n v="0"/>
    <n v="0"/>
    <n v="0"/>
    <n v="0"/>
    <n v="0"/>
    <n v="0"/>
    <n v="0"/>
    <n v="0"/>
    <n v="0"/>
    <n v="0"/>
    <n v="175.0001"/>
    <n v="0.15559276315789475"/>
    <n v="1.151316447368421"/>
    <n v="1.0013164473684213"/>
    <x v="0"/>
    <x v="6"/>
    <n v="7.6"/>
    <n v="22.799999999999997"/>
  </r>
  <r>
    <n v="12020611"/>
    <s v="PT"/>
    <s v="Parttime"/>
    <n v="18891"/>
    <x v="67"/>
    <d v="2019-10-08T00:00:00"/>
    <s v="FN"/>
    <s v="FN"/>
    <n v="121.2381"/>
    <n v="131.03229999999999"/>
    <n v="121.6"/>
    <n v="0"/>
    <n v="0"/>
    <n v="0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2.1"/>
    <n v="3.2894736842105261E-3"/>
    <n v="0.80328947368421044"/>
    <n v="0.80328947368421044"/>
    <x v="0"/>
    <x v="0"/>
    <n v="0"/>
    <n v="0"/>
  </r>
  <r>
    <n v="12043011"/>
    <s v="CAS"/>
    <s v="Casual RL"/>
    <n v="19023"/>
    <x v="68"/>
    <d v="2022-07-06T00:00:00"/>
    <s v="RT"/>
    <s v="RT"/>
    <n v="0"/>
    <n v="0"/>
    <n v="0"/>
    <n v="0"/>
    <n v="50.9166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.916699999999999"/>
    <n v="0"/>
    <n v="0.33497828947368419"/>
    <n v="0.33497828947368419"/>
    <x v="0"/>
    <x v="13"/>
    <n v="0"/>
    <n v="0"/>
  </r>
  <r>
    <n v="12030400"/>
    <s v="FT"/>
    <s v="Fulltime"/>
    <n v="18805"/>
    <x v="69"/>
    <d v="2017-11-28T00:00:00"/>
    <s v="RT"/>
    <s v="RT"/>
    <n v="289.3886"/>
    <n v="146.37780000000001"/>
    <n v="106.4"/>
    <n v="0"/>
    <n v="0"/>
    <n v="0"/>
    <n v="0"/>
    <n v="0"/>
    <n v="0"/>
    <n v="0"/>
    <n v="0"/>
    <n v="45.6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70000000000000007"/>
    <x v="5"/>
    <x v="23"/>
    <n v="0"/>
    <n v="45.6"/>
  </r>
  <r>
    <n v="12019199"/>
    <s v="FT"/>
    <s v="Fulltime"/>
    <n v="18968"/>
    <x v="70"/>
    <d v="2021-09-01T00:00:00"/>
    <s v="FN"/>
    <s v="FN"/>
    <n v="91.612300000000005"/>
    <n v="113.9747"/>
    <n v="15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9342105263157898"/>
    <x v="4"/>
    <x v="9"/>
    <n v="0"/>
    <n v="1"/>
  </r>
  <r>
    <n v="12030611"/>
    <s v="FT"/>
    <s v="Fulltime"/>
    <n v="18887"/>
    <x v="71"/>
    <d v="2019-06-11T00:00:00"/>
    <s v="RT"/>
    <s v="RT"/>
    <n v="123.7863"/>
    <n v="285.57260000000002"/>
    <n v="152"/>
    <n v="0"/>
    <n v="0"/>
    <n v="0"/>
    <n v="0"/>
    <n v="38.1"/>
    <n v="11.1832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1.2833"/>
    <n v="0.32423223684210523"/>
    <n v="1.3242322368421053"/>
    <n v="1.3242322368421053"/>
    <x v="0"/>
    <x v="6"/>
    <n v="0"/>
    <n v="0"/>
  </r>
  <r>
    <n v="12060611"/>
    <s v="FT"/>
    <s v="Fulltime"/>
    <n v="261"/>
    <x v="72"/>
    <d v="2008-01-02T00:00:00"/>
    <s v="RT"/>
    <s v="RT"/>
    <n v="144.07910000000001"/>
    <n v="188.2898000000000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0"/>
    <x v="7"/>
    <n v="0"/>
    <n v="0"/>
  </r>
  <r>
    <n v="12033011"/>
    <s v="CAS"/>
    <s v="Casual RL"/>
    <n v="19050"/>
    <x v="73"/>
    <d v="2022-12-07T00:00:00"/>
    <s v="FN"/>
    <s v="FN"/>
    <n v="0"/>
    <n v="0"/>
    <n v="0"/>
    <n v="0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.3"/>
    <n v="0"/>
    <n v="0.14671052631578949"/>
    <n v="0.14671052631578949"/>
    <x v="0"/>
    <x v="6"/>
    <n v="0"/>
    <n v="0"/>
  </r>
  <r>
    <n v="12043123"/>
    <s v="PT"/>
    <s v="Parttime"/>
    <n v="18970"/>
    <x v="74"/>
    <d v="2021-09-13T00:00:00"/>
    <s v="RT"/>
    <s v="RT"/>
    <n v="3.4579"/>
    <n v="112.9158"/>
    <n v="75.599999999999994"/>
    <n v="0"/>
    <n v="0"/>
    <n v="30.25"/>
    <n v="0"/>
    <n v="12.7666"/>
    <n v="4.4667000000000003"/>
    <n v="0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138.2833"/>
    <n v="0.11337697368421053"/>
    <n v="0.9097585526315789"/>
    <n v="0.80975855263157892"/>
    <x v="1"/>
    <x v="24"/>
    <n v="15.2"/>
    <n v="15.2"/>
  </r>
  <r>
    <n v="12060611"/>
    <s v="FT"/>
    <s v="Fulltime"/>
    <n v="18823"/>
    <x v="75"/>
    <d v="2018-05-02T00:00:00"/>
    <s v="RT"/>
    <s v="RT"/>
    <n v="7.3139000000000003"/>
    <n v="6.1380999999999997"/>
    <n v="76"/>
    <n v="0"/>
    <n v="0"/>
    <n v="0"/>
    <n v="15.1333"/>
    <n v="5.2502000000000004"/>
    <n v="1.0832999999999999"/>
    <n v="0"/>
    <n v="0"/>
    <n v="53.2"/>
    <n v="0"/>
    <n v="0"/>
    <n v="0"/>
    <n v="0"/>
    <n v="7.6"/>
    <n v="0"/>
    <n v="0"/>
    <n v="0"/>
    <n v="0"/>
    <n v="0"/>
    <n v="0"/>
    <n v="0"/>
    <n v="0"/>
    <n v="0"/>
    <n v="0"/>
    <n v="0"/>
    <n v="0"/>
    <n v="150.66680000000002"/>
    <n v="4.1667763157894742E-2"/>
    <n v="0.99122894736842115"/>
    <n v="0.64122894736842118"/>
    <x v="0"/>
    <x v="7"/>
    <n v="7.6"/>
    <n v="60.800000000000004"/>
  </r>
  <r>
    <n v="12043011"/>
    <s v="FT"/>
    <s v="Fulltime"/>
    <n v="18713"/>
    <x v="76"/>
    <d v="2015-12-14T00:00:00"/>
    <s v="RT"/>
    <s v="RT"/>
    <n v="224.38679999999999"/>
    <n v="158.5145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0"/>
    <x v="13"/>
    <n v="0"/>
    <n v="0"/>
  </r>
  <r>
    <n v="12040800"/>
    <s v="PT"/>
    <s v="Parttime"/>
    <n v="18839"/>
    <x v="77"/>
    <d v="2018-10-03T00:00:00"/>
    <s v="RT"/>
    <s v="RT"/>
    <n v="34.161999999999999"/>
    <n v="28.164400000000001"/>
    <n v="9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.05"/>
    <n v="0"/>
    <n v="0.59243421052631573"/>
    <n v="0.59243421052631573"/>
    <x v="0"/>
    <x v="25"/>
    <n v="0"/>
    <n v="0"/>
  </r>
  <r>
    <n v="12030611"/>
    <s v="FT"/>
    <s v="Fulltime"/>
    <n v="18949"/>
    <x v="78"/>
    <d v="2021-04-05T00:00:00"/>
    <s v="FN"/>
    <s v="FN"/>
    <n v="19.052099999999999"/>
    <n v="30.504100000000001"/>
    <n v="121.6"/>
    <n v="0"/>
    <n v="0"/>
    <n v="0"/>
    <n v="0"/>
    <n v="31.9832"/>
    <n v="27.2833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0.8665"/>
    <n v="0.38991118421052634"/>
    <n v="1.1899111842105263"/>
    <n v="1.1899111842105263"/>
    <x v="0"/>
    <x v="6"/>
    <n v="0"/>
    <n v="0"/>
  </r>
  <r>
    <n v="12018099"/>
    <s v="FT"/>
    <s v="Fulltime"/>
    <n v="18716"/>
    <x v="79"/>
    <d v="2016-01-11T00:00:00"/>
    <s v="FN"/>
    <s v="FN"/>
    <n v="527.6268"/>
    <n v="162.2542"/>
    <n v="148.19999999999999"/>
    <n v="0"/>
    <n v="0"/>
    <n v="0"/>
    <n v="0"/>
    <n v="0"/>
    <n v="0"/>
    <n v="0"/>
    <n v="0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7499999999999998"/>
    <x v="2"/>
    <x v="26"/>
    <n v="0"/>
    <n v="3.8"/>
  </r>
  <r>
    <n v="12040400"/>
    <s v="FT"/>
    <s v="Fulltime"/>
    <n v="115"/>
    <x v="80"/>
    <d v="1997-05-28T00:00:00"/>
    <s v="FN"/>
    <s v="FN"/>
    <n v="100.21769999999999"/>
    <n v="70.596299999999999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5"/>
    <x v="27"/>
    <n v="0"/>
    <n v="0"/>
  </r>
  <r>
    <n v="12030611"/>
    <s v="FT"/>
    <s v="Fulltime"/>
    <n v="18626"/>
    <x v="81"/>
    <d v="2014-07-08T00:00:00"/>
    <s v="RT"/>
    <s v="RT"/>
    <n v="360.00360000000001"/>
    <n v="179.1681000000000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0"/>
    <x v="6"/>
    <n v="0"/>
    <n v="0"/>
  </r>
  <r>
    <n v="12033011"/>
    <s v="TF"/>
    <s v="Temporary Fulltime"/>
    <n v="19028"/>
    <x v="82"/>
    <d v="2022-08-15T00:00:00"/>
    <s v="RT"/>
    <s v="RT"/>
    <n v="3.8521000000000001"/>
    <n v="38.104100000000003"/>
    <n v="144.1"/>
    <n v="0"/>
    <n v="0"/>
    <n v="0"/>
    <n v="0"/>
    <n v="22.633099999999999"/>
    <n v="2.8834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77.21649999999997"/>
    <n v="0.1678717105263158"/>
    <n v="1.1658980263157892"/>
    <n v="1.1158980263157894"/>
    <x v="0"/>
    <x v="6"/>
    <n v="7.6"/>
    <n v="7.6"/>
  </r>
  <r>
    <n v="12018099"/>
    <s v="FT"/>
    <s v="Fulltime"/>
    <n v="18948"/>
    <x v="83"/>
    <d v="2021-03-24T00:00:00"/>
    <s v="FN"/>
    <s v="FN"/>
    <n v="6.1048"/>
    <n v="27.6097"/>
    <n v="117.6"/>
    <n v="0"/>
    <n v="0"/>
    <n v="0"/>
    <n v="0"/>
    <n v="0"/>
    <n v="0"/>
    <n v="0"/>
    <n v="0"/>
    <n v="15.2"/>
    <n v="7.6"/>
    <n v="0"/>
    <n v="0"/>
    <n v="0"/>
    <n v="0"/>
    <n v="11.6"/>
    <n v="0"/>
    <n v="0"/>
    <n v="0"/>
    <n v="0"/>
    <n v="0"/>
    <n v="0"/>
    <n v="0"/>
    <n v="0"/>
    <n v="0"/>
    <n v="0"/>
    <n v="0"/>
    <n v="140.39999999999998"/>
    <n v="0"/>
    <n v="0.92368421052631566"/>
    <n v="0.77368421052631564"/>
    <x v="2"/>
    <x v="26"/>
    <n v="19.2"/>
    <n v="34.4"/>
  </r>
  <r>
    <n v="12040500"/>
    <s v="PT"/>
    <s v="Parttime"/>
    <n v="19020"/>
    <x v="84"/>
    <d v="2022-06-28T00:00:00"/>
    <s v="FN"/>
    <s v="FN"/>
    <n v="41.435600000000001"/>
    <n v="82.871200000000002"/>
    <n v="136.8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6.80000000000001"/>
    <n v="0"/>
    <n v="0.9"/>
    <n v="0.9"/>
    <x v="7"/>
    <x v="19"/>
    <n v="0"/>
    <n v="0"/>
  </r>
  <r>
    <n v="12023011"/>
    <s v="FT"/>
    <s v="Fulltime"/>
    <n v="19045"/>
    <x v="85"/>
    <d v="2022-11-23T00:00:00"/>
    <s v="RT"/>
    <s v="RT"/>
    <n v="12.6181"/>
    <n v="23.7362"/>
    <n v="91.2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.2"/>
    <n v="6.5789473684210523E-3"/>
    <n v="0.60657894736842111"/>
    <n v="0.60657894736842111"/>
    <x v="0"/>
    <x v="0"/>
    <n v="0"/>
    <n v="0"/>
  </r>
  <r>
    <n v="12010500"/>
    <s v="FT"/>
    <s v="Fulltime"/>
    <n v="18871"/>
    <x v="86"/>
    <d v="2019-03-26T00:00:00"/>
    <s v="FN"/>
    <s v="FN"/>
    <n v="128.61920000000001"/>
    <n v="161.63839999999999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7"/>
    <x v="16"/>
    <n v="0"/>
    <n v="0"/>
  </r>
  <r>
    <n v="12021021"/>
    <s v="TP"/>
    <s v="Temporary Parttime"/>
    <n v="18894"/>
    <x v="87"/>
    <d v="2019-11-05T00:00:00"/>
    <s v="RT"/>
    <s v="RT"/>
    <n v="22.0868"/>
    <n v="59.507300000000001"/>
    <n v="61.633299999999998"/>
    <n v="0"/>
    <n v="0"/>
    <n v="0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.883299999999998"/>
    <n v="1.6447368421052631E-3"/>
    <n v="0.40712697368421052"/>
    <n v="0.40712697368421052"/>
    <x v="1"/>
    <x v="1"/>
    <n v="0"/>
    <n v="0"/>
  </r>
  <r>
    <n v="12021021"/>
    <s v="FT"/>
    <s v="Fulltime"/>
    <n v="18559"/>
    <x v="88"/>
    <d v="2012-10-08T00:00:00"/>
    <s v="RT"/>
    <s v="RT"/>
    <n v="337.39060000000001"/>
    <n v="239.93549999999999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1"/>
    <x v="1"/>
    <n v="0"/>
    <n v="0"/>
  </r>
  <r>
    <n v="12018599"/>
    <s v="FT"/>
    <s v="Fulltime"/>
    <n v="18969"/>
    <x v="89"/>
    <d v="2021-09-13T00:00:00"/>
    <s v="FN"/>
    <s v="FN"/>
    <n v="111.8137"/>
    <n v="98.0274"/>
    <n v="148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7368421052631582"/>
    <x v="4"/>
    <x v="11"/>
    <n v="0"/>
    <n v="4"/>
  </r>
  <r>
    <n v="12060611"/>
    <s v="TP"/>
    <s v="Temporary Parttime"/>
    <n v="18996"/>
    <x v="90"/>
    <d v="2022-03-01T00:00:00"/>
    <s v="RT"/>
    <s v="RT"/>
    <n v="36.866399999999999"/>
    <n v="8.5329999999999995"/>
    <n v="77.133300000000006"/>
    <n v="0"/>
    <n v="0"/>
    <n v="20.9"/>
    <n v="0"/>
    <n v="15.966699999999999"/>
    <n v="0.21659999999999999"/>
    <n v="0"/>
    <n v="0"/>
    <n v="0"/>
    <n v="0"/>
    <n v="0"/>
    <n v="0"/>
    <n v="0"/>
    <n v="15.6"/>
    <n v="0"/>
    <n v="0"/>
    <n v="0"/>
    <n v="0"/>
    <n v="0"/>
    <n v="0"/>
    <n v="0"/>
    <n v="0"/>
    <n v="0"/>
    <n v="0"/>
    <n v="0"/>
    <n v="0"/>
    <n v="114.2166"/>
    <n v="0.10646907894736841"/>
    <n v="0.75142500000000001"/>
    <n v="0.75142500000000001"/>
    <x v="0"/>
    <x v="7"/>
    <n v="15.6"/>
    <n v="15.6"/>
  </r>
  <r>
    <n v="12013250"/>
    <s v="FT"/>
    <s v="Fulltime"/>
    <n v="18995"/>
    <x v="91"/>
    <d v="2022-03-07T00:00:00"/>
    <s v="FN"/>
    <s v="FN"/>
    <n v="0"/>
    <n v="0"/>
    <n v="4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45.6"/>
    <n v="0"/>
    <n v="0.3"/>
    <n v="0.3"/>
    <x v="3"/>
    <x v="8"/>
    <n v="0"/>
    <n v="0"/>
  </r>
  <r>
    <n v="12023021"/>
    <s v="FT"/>
    <s v="Fulltime"/>
    <n v="19021"/>
    <x v="92"/>
    <d v="2022-06-24T00:00:00"/>
    <s v="RT"/>
    <s v="RT"/>
    <n v="29.002600000000001"/>
    <n v="88.405100000000004"/>
    <n v="143.86670000000001"/>
    <n v="0"/>
    <n v="0"/>
    <n v="0"/>
    <n v="0"/>
    <n v="3.75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5.2167"/>
    <n v="2.4671052631578948E-2"/>
    <n v="1.0211625"/>
    <n v="0.97116250000000004"/>
    <x v="1"/>
    <x v="1"/>
    <n v="7.6"/>
    <n v="7.6"/>
  </r>
  <r>
    <n v="12062511"/>
    <s v="FT"/>
    <s v="Fulltime"/>
    <n v="18792"/>
    <x v="93"/>
    <d v="2017-09-26T00:00:00"/>
    <s v="RT"/>
    <s v="RT"/>
    <n v="6.2925000000000004"/>
    <n v="169.65209999999999"/>
    <n v="144.2167"/>
    <n v="0"/>
    <n v="0"/>
    <n v="0"/>
    <n v="0"/>
    <n v="7.2666000000000004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9.08330000000001"/>
    <n v="4.7806578947368422E-2"/>
    <n v="1.0466006578947369"/>
    <n v="0.99660065789473695"/>
    <x v="0"/>
    <x v="7"/>
    <n v="7.6"/>
    <n v="7.6"/>
  </r>
  <r>
    <n v="12023021"/>
    <s v="FT"/>
    <s v="Fulltime"/>
    <n v="19027"/>
    <x v="94"/>
    <d v="2022-08-03T00:00:00"/>
    <s v="RT"/>
    <s v="RT"/>
    <n v="32.1663"/>
    <n v="64.732200000000006"/>
    <n v="7.6"/>
    <n v="0"/>
    <n v="0"/>
    <n v="0"/>
    <n v="0"/>
    <n v="0"/>
    <n v="0"/>
    <n v="0"/>
    <n v="0"/>
    <n v="0"/>
    <n v="0"/>
    <n v="0"/>
    <n v="0"/>
    <n v="0"/>
    <n v="38"/>
    <n v="0"/>
    <n v="0"/>
    <n v="0"/>
    <n v="0"/>
    <n v="0"/>
    <n v="0"/>
    <n v="0"/>
    <n v="0"/>
    <n v="0"/>
    <n v="0"/>
    <n v="0"/>
    <n v="0"/>
    <n v="7.6"/>
    <n v="0"/>
    <n v="4.9999999999999996E-2"/>
    <n v="4.9999999999999996E-2"/>
    <x v="1"/>
    <x v="1"/>
    <n v="38"/>
    <n v="38"/>
  </r>
  <r>
    <n v="12033011"/>
    <s v="TP"/>
    <s v="Temporary Parttime"/>
    <n v="19008"/>
    <x v="95"/>
    <d v="2022-05-16T00:00:00"/>
    <s v="RT"/>
    <s v="RT"/>
    <n v="12.264099999999999"/>
    <n v="16.9282"/>
    <n v="0"/>
    <n v="0"/>
    <n v="0"/>
    <n v="22.8"/>
    <n v="21.9833"/>
    <n v="5.5667"/>
    <n v="3.06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.416699999999992"/>
    <n v="5.6798684210526314E-2"/>
    <n v="0.35142565789473679"/>
    <n v="0.35142565789473679"/>
    <x v="0"/>
    <x v="6"/>
    <n v="0"/>
    <n v="0"/>
  </r>
  <r>
    <n v="12030611"/>
    <s v="FT"/>
    <s v="Fulltime"/>
    <n v="18827"/>
    <x v="96"/>
    <d v="2018-05-24T00:00:00"/>
    <s v="RT"/>
    <s v="RT"/>
    <n v="31.9786"/>
    <n v="49.204099999999997"/>
    <n v="53.2"/>
    <n v="0"/>
    <n v="0"/>
    <n v="0"/>
    <n v="0"/>
    <n v="0"/>
    <n v="0"/>
    <n v="0"/>
    <n v="0"/>
    <n v="98.8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35000000000000003"/>
    <x v="0"/>
    <x v="6"/>
    <n v="0"/>
    <n v="98.8"/>
  </r>
  <r>
    <n v="12043011"/>
    <s v="FT"/>
    <s v="Fulltime"/>
    <n v="18986"/>
    <x v="97"/>
    <d v="2021-12-14T00:00:00"/>
    <s v="RT"/>
    <s v="RT"/>
    <n v="62.104799999999997"/>
    <n v="159.00970000000001"/>
    <n v="149.26679999999999"/>
    <n v="0"/>
    <n v="0"/>
    <n v="0"/>
    <n v="0"/>
    <n v="0.7665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.0334"/>
    <n v="5.043421052631579E-3"/>
    <n v="0.98706184210526315"/>
    <n v="0.98706184210526315"/>
    <x v="0"/>
    <x v="13"/>
    <n v="0"/>
    <n v="0"/>
  </r>
  <r>
    <n v="12021021"/>
    <s v="PT"/>
    <s v="Parttime"/>
    <n v="18960"/>
    <x v="98"/>
    <d v="2021-08-03T00:00:00"/>
    <s v="RT"/>
    <s v="RT"/>
    <n v="28.072199999999999"/>
    <n v="63.544400000000003"/>
    <n v="77.333399999999997"/>
    <n v="0"/>
    <n v="0"/>
    <n v="0"/>
    <n v="0"/>
    <n v="4.2333999999999996"/>
    <n v="0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96.766800000000003"/>
    <n v="2.7851315789473682E-2"/>
    <n v="0.63662368421052629"/>
    <n v="0.53662368421052631"/>
    <x v="1"/>
    <x v="1"/>
    <n v="0"/>
    <n v="15.2"/>
  </r>
  <r>
    <n v="12030611"/>
    <s v="PT"/>
    <s v="Parttime"/>
    <n v="134"/>
    <x v="99"/>
    <d v="2006-03-24T00:00:00"/>
    <s v="RT"/>
    <s v="RT"/>
    <n v="118.2406"/>
    <n v="110.88639999999999"/>
    <n v="80"/>
    <n v="0"/>
    <n v="0"/>
    <n v="0"/>
    <n v="0"/>
    <n v="26.133199999999999"/>
    <n v="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3.4332"/>
    <n v="0.21995526315789474"/>
    <n v="0.74627105263157889"/>
    <n v="0.74627105263157889"/>
    <x v="0"/>
    <x v="6"/>
    <n v="0"/>
    <n v="0"/>
  </r>
  <r>
    <n v="12033011"/>
    <s v="FT"/>
    <s v="Fulltime"/>
    <n v="19029"/>
    <x v="100"/>
    <d v="2022-08-16T00:00:00"/>
    <s v="RT"/>
    <s v="RT"/>
    <n v="11.2438"/>
    <n v="83.287700000000001"/>
    <n v="113.8167"/>
    <n v="0"/>
    <n v="0"/>
    <n v="30.2667"/>
    <n v="0"/>
    <n v="17.166699999999999"/>
    <n v="1.1833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70.03339999999997"/>
    <n v="0.1207236842105263"/>
    <n v="1.1186407894736841"/>
    <n v="1.068640789473684"/>
    <x v="0"/>
    <x v="6"/>
    <n v="7.6"/>
    <n v="7.6"/>
  </r>
  <r>
    <n v="12043011"/>
    <s v="PT"/>
    <s v="Parttime"/>
    <n v="18858"/>
    <x v="101"/>
    <d v="2019-01-17T00:00:00"/>
    <s v="RT"/>
    <s v="RT"/>
    <n v="42.351100000000002"/>
    <n v="115.1007"/>
    <n v="0"/>
    <n v="0"/>
    <n v="0"/>
    <n v="0"/>
    <n v="0"/>
    <n v="0"/>
    <n v="0"/>
    <n v="0"/>
    <n v="0"/>
    <n v="0"/>
    <n v="0"/>
    <n v="0"/>
    <n v="0"/>
    <n v="0"/>
    <n v="0"/>
    <n v="0"/>
    <n v="91.2"/>
    <n v="0"/>
    <n v="0"/>
    <n v="0"/>
    <n v="0"/>
    <n v="0"/>
    <n v="0"/>
    <n v="0"/>
    <n v="0"/>
    <n v="0"/>
    <n v="0"/>
    <n v="0"/>
    <n v="0"/>
    <n v="0"/>
    <n v="0"/>
    <x v="0"/>
    <x v="13"/>
    <n v="0"/>
    <n v="91.2"/>
  </r>
  <r>
    <n v="12021021"/>
    <s v="FT"/>
    <s v="Fulltime"/>
    <n v="18687"/>
    <x v="102"/>
    <d v="2015-08-03T00:00:00"/>
    <s v="RT"/>
    <s v="RT"/>
    <n v="359.04989999999998"/>
    <n v="202.70070000000001"/>
    <n v="152"/>
    <n v="0"/>
    <n v="0"/>
    <n v="0"/>
    <n v="0"/>
    <n v="18.9331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.9332"/>
    <n v="0.12456052631578947"/>
    <n v="1.1245605263157894"/>
    <n v="1.1245605263157894"/>
    <x v="1"/>
    <x v="1"/>
    <n v="0"/>
    <n v="0"/>
  </r>
  <r>
    <n v="12060800"/>
    <s v="FT"/>
    <s v="Fulltime"/>
    <n v="18561"/>
    <x v="103"/>
    <d v="2012-10-10T00:00:00"/>
    <s v="RT"/>
    <s v="RT"/>
    <n v="17.3796"/>
    <n v="65"/>
    <n v="141.23339999999999"/>
    <n v="0"/>
    <n v="0"/>
    <n v="0"/>
    <n v="0"/>
    <n v="5.6334999999999997"/>
    <n v="0"/>
    <n v="0"/>
    <n v="0"/>
    <n v="0"/>
    <n v="10.6"/>
    <n v="0"/>
    <n v="0"/>
    <n v="0"/>
    <n v="0"/>
    <n v="0"/>
    <n v="0"/>
    <n v="0"/>
    <n v="0"/>
    <n v="0"/>
    <n v="0"/>
    <n v="0"/>
    <n v="0"/>
    <n v="0"/>
    <n v="0"/>
    <n v="0"/>
    <n v="0"/>
    <n v="157.46689999999998"/>
    <n v="3.7062499999999998E-2"/>
    <n v="1.0359664473684209"/>
    <n v="0.96622960526315782"/>
    <x v="0"/>
    <x v="12"/>
    <n v="10.6"/>
    <n v="10.6"/>
  </r>
  <r>
    <n v="12033011"/>
    <s v="CAS"/>
    <s v="Casual RL"/>
    <n v="19030"/>
    <x v="104"/>
    <d v="2022-08-12T00:00:00"/>
    <s v="FN"/>
    <s v="FN"/>
    <n v="0"/>
    <n v="0"/>
    <n v="0"/>
    <n v="0"/>
    <n v="138.36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8.3665"/>
    <n v="0"/>
    <n v="0.91030592105263164"/>
    <n v="0.91030592105263164"/>
    <x v="0"/>
    <x v="6"/>
    <n v="0"/>
    <n v="0"/>
  </r>
  <r>
    <n v="12022511"/>
    <s v="PT"/>
    <s v="Parttime"/>
    <n v="141"/>
    <x v="105"/>
    <d v="1992-02-10T00:00:00"/>
    <s v="RT"/>
    <s v="RT"/>
    <n v="92.653400000000005"/>
    <n v="168.81899999999999"/>
    <n v="68.400000000000006"/>
    <n v="0"/>
    <n v="0"/>
    <n v="0"/>
    <n v="0"/>
    <n v="1.5"/>
    <n v="0"/>
    <n v="0"/>
    <n v="0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92.7"/>
    <n v="9.8684210526315784E-3"/>
    <n v="0.60986842105263162"/>
    <n v="0.45986842105263159"/>
    <x v="0"/>
    <x v="0"/>
    <n v="0"/>
    <n v="22.8"/>
  </r>
  <r>
    <n v="12023011"/>
    <s v="FT"/>
    <s v="Fulltime"/>
    <n v="19042"/>
    <x v="106"/>
    <d v="2022-11-22T00:00:00"/>
    <s v="RT"/>
    <s v="RT"/>
    <n v="13.638400000000001"/>
    <n v="34.8767"/>
    <n v="121.6"/>
    <n v="0"/>
    <n v="0"/>
    <n v="30.4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2.6315789473684209E-2"/>
    <n v="1.0263157894736843"/>
    <n v="1.0263157894736843"/>
    <x v="0"/>
    <x v="0"/>
    <n v="0"/>
    <n v="0"/>
  </r>
  <r>
    <n v="12043011"/>
    <s v="PT"/>
    <s v="Parttime"/>
    <n v="18924"/>
    <x v="107"/>
    <d v="2020-09-28T00:00:00"/>
    <s v="RT"/>
    <s v="RT"/>
    <n v="3.8942000000000001"/>
    <n v="45.5884"/>
    <n v="85"/>
    <n v="0"/>
    <n v="0"/>
    <n v="0"/>
    <n v="0"/>
    <n v="2.4498000000000002"/>
    <n v="0"/>
    <n v="0"/>
    <n v="0"/>
    <n v="0"/>
    <n v="10"/>
    <n v="0"/>
    <n v="0"/>
    <n v="0"/>
    <n v="5"/>
    <n v="0"/>
    <n v="0"/>
    <n v="0"/>
    <n v="0"/>
    <n v="0"/>
    <n v="0"/>
    <n v="0"/>
    <n v="0"/>
    <n v="0"/>
    <n v="0"/>
    <n v="0"/>
    <n v="0"/>
    <n v="97.449799999999996"/>
    <n v="1.6117105263157894E-2"/>
    <n v="0.6411171052631579"/>
    <n v="0.5753276315789474"/>
    <x v="0"/>
    <x v="13"/>
    <n v="15"/>
    <n v="15"/>
  </r>
  <r>
    <n v="12020500"/>
    <s v="PT"/>
    <s v="Parttime"/>
    <n v="18893"/>
    <x v="108"/>
    <d v="2019-11-04T00:00:00"/>
    <s v="FN"/>
    <s v="FN"/>
    <n v="18.269600000000001"/>
    <n v="19.9392"/>
    <n v="9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.2"/>
    <n v="0"/>
    <n v="0.6"/>
    <n v="0.6"/>
    <x v="7"/>
    <x v="21"/>
    <n v="0"/>
    <n v="0"/>
  </r>
  <r>
    <n v="12022511"/>
    <s v="FT"/>
    <s v="Fulltime"/>
    <n v="145"/>
    <x v="109"/>
    <d v="2005-04-18T00:00:00"/>
    <s v="RT"/>
    <s v="RT"/>
    <n v="17.129200000000001"/>
    <n v="290.69959999999998"/>
    <n v="152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4"/>
    <n v="1.3157894736842105E-2"/>
    <n v="1.013157894736842"/>
    <n v="1.013157894736842"/>
    <x v="0"/>
    <x v="0"/>
    <n v="0"/>
    <n v="0"/>
  </r>
  <r>
    <n v="12013250"/>
    <s v="FT"/>
    <s v="Fulltime"/>
    <n v="18920"/>
    <x v="110"/>
    <d v="2020-08-20T00:00:00"/>
    <s v="FN"/>
    <s v="FN"/>
    <n v="79.143299999999996"/>
    <n v="70.686599999999999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3"/>
    <x v="8"/>
    <n v="0"/>
    <n v="0"/>
  </r>
  <r>
    <n v="12060611"/>
    <s v="TP"/>
    <s v="Temporary Parttime"/>
    <n v="18898"/>
    <x v="111"/>
    <d v="2020-02-03T00:00:00"/>
    <s v="RT"/>
    <s v="RT"/>
    <n v="19.148299999999999"/>
    <n v="23.663399999999999"/>
    <n v="106.66670000000001"/>
    <n v="0"/>
    <n v="0"/>
    <n v="0"/>
    <n v="0"/>
    <n v="11.200100000000001"/>
    <n v="5.5667"/>
    <n v="0"/>
    <n v="0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154.23350000000002"/>
    <n v="0.1103078947368421"/>
    <n v="1.0146940789473686"/>
    <n v="0.81206250000000013"/>
    <x v="0"/>
    <x v="7"/>
    <n v="0"/>
    <n v="30.8"/>
  </r>
  <r>
    <n v="12020611"/>
    <s v="PT"/>
    <s v="Parttime"/>
    <n v="18831"/>
    <x v="112"/>
    <d v="2018-06-14T00:00:00"/>
    <s v="RT"/>
    <s v="RT"/>
    <n v="11.6393"/>
    <n v="15.4322"/>
    <n v="22.8"/>
    <n v="0"/>
    <n v="0"/>
    <n v="0"/>
    <n v="30.4"/>
    <n v="3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.800000000000004"/>
    <n v="4.9999999999999996E-2"/>
    <n v="0.4"/>
    <n v="0.4"/>
    <x v="0"/>
    <x v="0"/>
    <n v="0"/>
    <n v="0"/>
  </r>
  <r>
    <n v="12010500"/>
    <s v="FT"/>
    <s v="Fulltime"/>
    <n v="19054"/>
    <x v="113"/>
    <d v="2023-01-23T00:00:00"/>
    <s v="RT"/>
    <s v="RT"/>
    <n v="8.3287999999999993"/>
    <n v="16.657499999999999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7"/>
    <x v="16"/>
    <n v="0"/>
    <n v="0"/>
  </r>
  <r>
    <n v="12033011"/>
    <s v="TF"/>
    <s v="Temporary Fulltime"/>
    <n v="19017"/>
    <x v="114"/>
    <d v="2022-06-20T00:00:00"/>
    <s v="RT"/>
    <s v="RT"/>
    <n v="18.6356"/>
    <n v="67.671199999999999"/>
    <n v="121.6"/>
    <n v="0"/>
    <n v="0"/>
    <n v="30.4"/>
    <n v="0"/>
    <n v="24.4498"/>
    <n v="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4.59980000000002"/>
    <n v="0.21447236842105263"/>
    <n v="1.2144723684210528"/>
    <n v="1.2144723684210528"/>
    <x v="0"/>
    <x v="6"/>
    <n v="0"/>
    <n v="0"/>
  </r>
  <r>
    <n v="12033011"/>
    <s v="FT"/>
    <s v="Fulltime"/>
    <n v="19011"/>
    <x v="115"/>
    <d v="2022-05-23T00:00:00"/>
    <s v="RT"/>
    <s v="RT"/>
    <n v="4.9139999999999997"/>
    <n v="47.8279"/>
    <n v="121.6"/>
    <n v="0"/>
    <n v="0"/>
    <n v="0"/>
    <n v="0"/>
    <n v="9.3500999999999994"/>
    <n v="0"/>
    <n v="0"/>
    <n v="0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161.35009999999997"/>
    <n v="6.151381578947368E-2"/>
    <n v="1.0615138157894735"/>
    <n v="0.86151381578947339"/>
    <x v="0"/>
    <x v="6"/>
    <n v="15.2"/>
    <n v="30.4"/>
  </r>
  <r>
    <n v="12030611"/>
    <s v="FT"/>
    <s v="Fulltime"/>
    <n v="18797"/>
    <x v="116"/>
    <d v="2017-11-08T00:00:00"/>
    <s v="RT"/>
    <s v="RT"/>
    <n v="44.113500000000002"/>
    <n v="95.082300000000004"/>
    <n v="106.13330000000001"/>
    <n v="0"/>
    <n v="0"/>
    <n v="30.4"/>
    <n v="0"/>
    <n v="21.916699999999999"/>
    <n v="1.7834000000000001"/>
    <n v="0"/>
    <n v="0"/>
    <n v="7.6"/>
    <n v="7.6"/>
    <n v="0"/>
    <n v="0"/>
    <n v="0"/>
    <n v="0"/>
    <n v="0"/>
    <n v="0"/>
    <n v="0"/>
    <n v="0"/>
    <n v="0"/>
    <n v="0"/>
    <n v="0"/>
    <n v="0"/>
    <n v="0"/>
    <n v="0"/>
    <n v="0"/>
    <n v="0"/>
    <n v="175.43339999999998"/>
    <n v="0.15592171052631579"/>
    <n v="1.1541671052631577"/>
    <n v="1.0541671052631578"/>
    <x v="0"/>
    <x v="6"/>
    <n v="7.6"/>
    <n v="15.2"/>
  </r>
  <r>
    <n v="12010700"/>
    <s v="FT"/>
    <s v="Fulltime"/>
    <n v="152"/>
    <x v="117"/>
    <d v="1991-04-03T00:00:00"/>
    <s v="FN"/>
    <s v="FN"/>
    <n v="669.66240000000005"/>
    <n v="72.596199999999996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8"/>
    <x v="28"/>
    <n v="0"/>
    <n v="0"/>
  </r>
  <r>
    <n v="12030711"/>
    <s v="CAS"/>
    <s v="Casual RL"/>
    <n v="18793"/>
    <x v="118"/>
    <d v="2017-10-07T00:00:00"/>
    <s v="RT"/>
    <s v="RT"/>
    <n v="0"/>
    <n v="0"/>
    <n v="0"/>
    <n v="0"/>
    <n v="0"/>
    <n v="0"/>
    <n v="24.6332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.633299999999998"/>
    <n v="0"/>
    <n v="0.16206118421052632"/>
    <n v="0.16206118421052632"/>
    <x v="0"/>
    <x v="6"/>
    <n v="0"/>
    <n v="0"/>
  </r>
  <r>
    <n v="12021021"/>
    <s v="FT"/>
    <s v="Fulltime"/>
    <n v="18781"/>
    <x v="119"/>
    <d v="2017-06-05T00:00:00"/>
    <s v="RT"/>
    <s v="RT"/>
    <n v="1.7850999999999999"/>
    <n v="181.67080000000001"/>
    <n v="0"/>
    <n v="0"/>
    <n v="0"/>
    <n v="0"/>
    <n v="0"/>
    <n v="0"/>
    <n v="0"/>
    <n v="0"/>
    <n v="0"/>
    <n v="22.8"/>
    <n v="129.19999999999999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"/>
    <x v="1"/>
    <x v="1"/>
    <n v="129.19999999999999"/>
    <n v="152"/>
  </r>
  <r>
    <n v="12030611"/>
    <s v="FT"/>
    <s v="Fulltime"/>
    <n v="18918"/>
    <x v="120"/>
    <d v="2020-06-22T00:00:00"/>
    <s v="RT"/>
    <s v="RT"/>
    <n v="10.335900000000001"/>
    <n v="337.54180000000002"/>
    <n v="151.91669999999999"/>
    <n v="0"/>
    <n v="0"/>
    <n v="0"/>
    <n v="0"/>
    <n v="19.683199999999999"/>
    <n v="1.68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3.28319999999999"/>
    <n v="0.14056907894736842"/>
    <n v="1.1400210526315788"/>
    <n v="1.1400210526315788"/>
    <x v="0"/>
    <x v="6"/>
    <n v="0"/>
    <n v="0"/>
  </r>
  <r>
    <n v="12010700"/>
    <s v="FT"/>
    <s v="Fulltime"/>
    <n v="266"/>
    <x v="121"/>
    <d v="2008-01-21T00:00:00"/>
    <s v="FN"/>
    <s v="FN"/>
    <n v="285.1927"/>
    <n v="243.4773000000000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8"/>
    <x v="28"/>
    <n v="0"/>
    <n v="0"/>
  </r>
  <r>
    <n v="12032511"/>
    <s v="FT"/>
    <s v="Fulltime"/>
    <n v="18736"/>
    <x v="122"/>
    <d v="2016-09-05T00:00:00"/>
    <s v="RT"/>
    <s v="RT"/>
    <n v="22.125499999999999"/>
    <n v="44.975200000000001"/>
    <n v="53.2"/>
    <n v="0"/>
    <n v="0"/>
    <n v="0"/>
    <n v="0"/>
    <n v="14"/>
    <n v="9.6997999999999998"/>
    <n v="0"/>
    <n v="0"/>
    <n v="98.8"/>
    <n v="0"/>
    <n v="0"/>
    <n v="0"/>
    <n v="0"/>
    <n v="0"/>
    <n v="0"/>
    <n v="0"/>
    <n v="0"/>
    <n v="0"/>
    <n v="0"/>
    <n v="0"/>
    <n v="0"/>
    <n v="0"/>
    <n v="0"/>
    <n v="0"/>
    <n v="0"/>
    <n v="0"/>
    <n v="175.69979999999998"/>
    <n v="0.15591973684210525"/>
    <n v="1.1559197368421052"/>
    <n v="0.50591973684210512"/>
    <x v="0"/>
    <x v="6"/>
    <n v="0"/>
    <n v="98.8"/>
  </r>
  <r>
    <n v="12062511"/>
    <s v="PT"/>
    <s v="Parttime"/>
    <n v="156"/>
    <x v="123"/>
    <d v="1997-08-06T00:00:00"/>
    <s v="RT"/>
    <s v="RT"/>
    <n v="137.63759999999999"/>
    <n v="33.578200000000002"/>
    <n v="32"/>
    <n v="0"/>
    <n v="0"/>
    <n v="0"/>
    <n v="0"/>
    <n v="0.69989999999999997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48.6999"/>
    <n v="4.6046052631578942E-3"/>
    <n v="0.32039407894736843"/>
    <n v="0.21513092105263157"/>
    <x v="0"/>
    <x v="7"/>
    <n v="0"/>
    <n v="16"/>
  </r>
  <r>
    <n v="12033011"/>
    <s v="TF"/>
    <s v="Temporary Fulltime"/>
    <n v="19058"/>
    <x v="124"/>
    <d v="2023-02-14T00:00:00"/>
    <s v="RT"/>
    <s v="RT"/>
    <n v="3.7479"/>
    <n v="7.4958999999999998"/>
    <n v="68.900000000000006"/>
    <n v="0"/>
    <n v="0"/>
    <n v="15"/>
    <n v="0"/>
    <n v="11.8"/>
    <n v="6.06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1.7667"/>
    <n v="0.11754407894736843"/>
    <n v="0.66951776315789469"/>
    <n v="0.66951776315789469"/>
    <x v="0"/>
    <x v="6"/>
    <n v="0"/>
    <n v="0"/>
  </r>
  <r>
    <n v="12033011"/>
    <s v="PT"/>
    <s v="Parttime"/>
    <n v="18607"/>
    <x v="125"/>
    <d v="2013-12-04T00:00:00"/>
    <s v="RT"/>
    <s v="RT"/>
    <n v="14.9579"/>
    <n v="33.137"/>
    <n v="90.933300000000003"/>
    <n v="0"/>
    <n v="0"/>
    <n v="0"/>
    <n v="0"/>
    <n v="9.5832999999999995"/>
    <n v="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4.9666"/>
    <n v="9.2324342105263163E-2"/>
    <n v="0.69056973684210521"/>
    <n v="0.69056973684210521"/>
    <x v="0"/>
    <x v="6"/>
    <n v="0"/>
    <n v="0"/>
  </r>
  <r>
    <n v="12060611"/>
    <s v="PT"/>
    <s v="Parttime"/>
    <n v="18895"/>
    <x v="126"/>
    <d v="2019-11-22T00:00:00"/>
    <s v="RT"/>
    <s v="RT"/>
    <n v="15.814399999999999"/>
    <n v="8.1044"/>
    <n v="113.9833"/>
    <n v="0"/>
    <n v="0"/>
    <n v="0"/>
    <n v="0"/>
    <n v="20.416799999999999"/>
    <n v="12.566700000000001"/>
    <n v="0"/>
    <n v="0"/>
    <n v="0"/>
    <n v="0"/>
    <n v="0"/>
    <n v="0"/>
    <n v="0"/>
    <n v="7.6"/>
    <n v="0"/>
    <n v="0"/>
    <n v="0"/>
    <n v="0"/>
    <n v="0"/>
    <n v="0"/>
    <n v="0"/>
    <n v="0"/>
    <n v="0"/>
    <n v="0"/>
    <n v="0"/>
    <n v="0"/>
    <n v="146.96680000000001"/>
    <n v="0.21699671052631578"/>
    <n v="0.96688684210526321"/>
    <n v="0.96688684210526321"/>
    <x v="0"/>
    <x v="7"/>
    <n v="7.6"/>
    <n v="7.6"/>
  </r>
  <r>
    <n v="12028099"/>
    <s v="FT"/>
    <s v="Fulltime"/>
    <n v="44705"/>
    <x v="127"/>
    <d v="2019-09-02T00:00:00"/>
    <s v="RT"/>
    <s v="RT"/>
    <n v="174.61179999999999"/>
    <n v="109.6236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2"/>
    <x v="3"/>
    <n v="0"/>
    <n v="0"/>
  </r>
  <r>
    <n v="12033011"/>
    <s v="FT"/>
    <s v="Fulltime"/>
    <n v="19048"/>
    <x v="128"/>
    <d v="2022-12-07T00:00:00"/>
    <s v="RT"/>
    <s v="RT"/>
    <n v="10.5151"/>
    <n v="36.2301"/>
    <n v="146.33330000000001"/>
    <n v="0"/>
    <n v="0"/>
    <n v="0"/>
    <n v="0"/>
    <n v="25.533200000000001"/>
    <n v="3.94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5.81640000000002"/>
    <n v="0.19396776315789474"/>
    <n v="1.1566868421052632"/>
    <n v="1.1566868421052632"/>
    <x v="0"/>
    <x v="6"/>
    <n v="0"/>
    <n v="0"/>
  </r>
  <r>
    <n v="12030500"/>
    <s v="FT"/>
    <s v="Fulltime"/>
    <n v="302"/>
    <x v="129"/>
    <d v="2008-09-03T00:00:00"/>
    <s v="RT"/>
    <s v="RT"/>
    <n v="122.0329"/>
    <n v="153.70650000000001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"/>
    <n v="0"/>
    <n v="0"/>
    <n v="0"/>
    <n v="0"/>
    <n v="0"/>
    <n v="0"/>
    <n v="0"/>
    <n v="0"/>
    <n v="0"/>
    <n v="0"/>
    <n v="0"/>
    <n v="0"/>
    <x v="7"/>
    <x v="20"/>
    <n v="0"/>
    <n v="152"/>
  </r>
  <r>
    <n v="12033011"/>
    <s v="TF"/>
    <s v="Temporary Fulltime"/>
    <n v="19012"/>
    <x v="130"/>
    <d v="2022-05-23T00:00:00"/>
    <s v="RT"/>
    <s v="RT"/>
    <n v="9.9945000000000004"/>
    <n v="73.188999999999993"/>
    <n v="121.4333"/>
    <n v="0"/>
    <n v="0"/>
    <n v="30.4"/>
    <n v="0"/>
    <n v="17.4833"/>
    <n v="1.583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.9"/>
    <n v="0.12543881578947369"/>
    <n v="1.1243421052631579"/>
    <n v="1.1243421052631579"/>
    <x v="0"/>
    <x v="6"/>
    <n v="0"/>
    <n v="0"/>
  </r>
  <r>
    <n v="12023011"/>
    <s v="FT"/>
    <s v="Fulltime"/>
    <n v="19006"/>
    <x v="131"/>
    <d v="2022-05-16T00:00:00"/>
    <s v="RT"/>
    <s v="RT"/>
    <n v="22.8"/>
    <n v="114"/>
    <n v="144.4"/>
    <n v="0"/>
    <n v="0"/>
    <n v="0"/>
    <n v="0"/>
    <n v="8.5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60.5"/>
    <n v="5.5921052631578948E-2"/>
    <n v="1.055921052631579"/>
    <n v="1.0059210526315789"/>
    <x v="0"/>
    <x v="0"/>
    <n v="7.6"/>
    <n v="7.6"/>
  </r>
  <r>
    <n v="12020800"/>
    <s v="FT"/>
    <s v="Fulltime"/>
    <n v="19052"/>
    <x v="132"/>
    <d v="2023-01-05T00:00:00"/>
    <s v="RT"/>
    <s v="RT"/>
    <n v="12.076700000000001"/>
    <n v="24.153400000000001"/>
    <n v="152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3"/>
    <n v="6.5789473684210523E-3"/>
    <n v="1.006578947368421"/>
    <n v="1.006578947368421"/>
    <x v="0"/>
    <x v="5"/>
    <n v="0"/>
    <n v="0"/>
  </r>
  <r>
    <n v="12040800"/>
    <s v="FT"/>
    <s v="Fulltime"/>
    <n v="18904"/>
    <x v="133"/>
    <d v="2020-03-09T00:00:00"/>
    <s v="RT"/>
    <s v="RT"/>
    <n v="40.924300000000002"/>
    <n v="157.3486"/>
    <n v="143.91669999999999"/>
    <n v="0"/>
    <n v="0"/>
    <n v="0"/>
    <n v="0"/>
    <n v="7.1166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8.63329999999999"/>
    <n v="4.6819736842105261E-2"/>
    <n v="1.0436401315789474"/>
    <n v="0.99364013157894737"/>
    <x v="0"/>
    <x v="25"/>
    <n v="7.6"/>
    <n v="7.6"/>
  </r>
  <r>
    <n v="12021021"/>
    <s v="PT"/>
    <s v="Parttime"/>
    <n v="18892"/>
    <x v="134"/>
    <d v="2019-10-21T00:00:00"/>
    <s v="RT"/>
    <s v="RT"/>
    <n v="14.2042"/>
    <n v="73.708799999999997"/>
    <n v="137.91669999999999"/>
    <n v="0"/>
    <n v="0"/>
    <n v="0"/>
    <n v="0"/>
    <n v="1.1833"/>
    <n v="0"/>
    <n v="0"/>
    <n v="0"/>
    <n v="0"/>
    <n v="6"/>
    <n v="0"/>
    <n v="0"/>
    <n v="6"/>
    <n v="0"/>
    <n v="0"/>
    <n v="0"/>
    <n v="0"/>
    <n v="0"/>
    <n v="0"/>
    <n v="0"/>
    <n v="0"/>
    <n v="0"/>
    <n v="0"/>
    <n v="0"/>
    <n v="0"/>
    <n v="0"/>
    <n v="151.1"/>
    <n v="7.7848684210526315E-3"/>
    <n v="0.99407894736842106"/>
    <n v="0.91513157894736841"/>
    <x v="1"/>
    <x v="1"/>
    <n v="12"/>
    <n v="12"/>
  </r>
  <r>
    <n v="12033011"/>
    <s v="FT"/>
    <s v="Fulltime"/>
    <n v="19009"/>
    <x v="135"/>
    <d v="2022-05-23T00:00:00"/>
    <s v="RT"/>
    <s v="RT"/>
    <n v="2.6425000000000001"/>
    <n v="42.684899999999999"/>
    <n v="114"/>
    <n v="0"/>
    <n v="0"/>
    <n v="30.4"/>
    <n v="0"/>
    <n v="10.5831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62.5831"/>
    <n v="6.9625657894736848E-2"/>
    <n v="1.069625657894737"/>
    <n v="1.0196256578947369"/>
    <x v="0"/>
    <x v="6"/>
    <n v="7.6"/>
    <n v="7.6"/>
  </r>
  <r>
    <n v="12033011"/>
    <s v="TF"/>
    <s v="Temporary Fulltime"/>
    <n v="19019"/>
    <x v="136"/>
    <d v="2022-06-22T00:00:00"/>
    <s v="RT"/>
    <s v="RT"/>
    <n v="14.4175"/>
    <n v="19.673400000000001"/>
    <n v="114"/>
    <n v="0"/>
    <n v="0"/>
    <n v="29.8"/>
    <n v="0"/>
    <n v="27.283300000000001"/>
    <n v="5.7667999999999999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184.45009999999999"/>
    <n v="0.21743486842105264"/>
    <n v="1.2134875000000001"/>
    <n v="1.1634875"/>
    <x v="0"/>
    <x v="6"/>
    <n v="0"/>
    <n v="7.6"/>
  </r>
  <r>
    <n v="12013250"/>
    <s v="FT"/>
    <s v="Fulltime"/>
    <n v="18946"/>
    <x v="137"/>
    <d v="2021-03-22T00:00:00"/>
    <s v="FN"/>
    <s v="FN"/>
    <n v="41.921399999999998"/>
    <n v="67.442599999999999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x v="3"/>
    <x v="8"/>
    <n v="0"/>
    <n v="0"/>
  </r>
  <r>
    <n v="12063011"/>
    <s v="TP"/>
    <s v="Temporary Parttime"/>
    <n v="19037"/>
    <x v="138"/>
    <d v="2022-09-09T00:00:00"/>
    <s v="RT"/>
    <s v="RT"/>
    <n v="24.4041"/>
    <n v="25.8081"/>
    <n v="64.716700000000003"/>
    <n v="0"/>
    <n v="0"/>
    <n v="11.9"/>
    <n v="0"/>
    <n v="4.61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.233300000000014"/>
    <n v="3.0372368421052631E-2"/>
    <n v="0.53442960526315797"/>
    <n v="0.53442960526315797"/>
    <x v="0"/>
    <x v="7"/>
    <n v="0"/>
    <n v="0"/>
  </r>
  <r>
    <n v="12024021"/>
    <s v="FT"/>
    <s v="Fulltime"/>
    <n v="18581"/>
    <x v="139"/>
    <d v="2013-04-02T00:00:00"/>
    <s v="RT"/>
    <s v="RT"/>
    <n v="85.8874"/>
    <n v="213.17259999999999"/>
    <n v="121.6"/>
    <n v="0"/>
    <n v="0"/>
    <n v="0"/>
    <n v="0"/>
    <n v="0"/>
    <n v="0"/>
    <n v="0"/>
    <n v="0"/>
    <n v="22.8"/>
    <n v="7.6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79999999999999993"/>
    <x v="9"/>
    <x v="29"/>
    <n v="7.6"/>
    <n v="30.4"/>
  </r>
  <r>
    <n v="12021021"/>
    <s v="FT"/>
    <s v="Fulltime"/>
    <n v="18911"/>
    <x v="140"/>
    <d v="2020-04-09T00:00:00"/>
    <s v="RT"/>
    <s v="RT"/>
    <n v="154.57259999999999"/>
    <n v="144.34520000000001"/>
    <n v="135.16669999999999"/>
    <n v="0"/>
    <n v="0"/>
    <n v="0"/>
    <n v="0"/>
    <n v="18.116599999999998"/>
    <n v="0.05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168.5333"/>
    <n v="0.11951710526315788"/>
    <n v="1.1087717105263157"/>
    <n v="1.0087717105263159"/>
    <x v="1"/>
    <x v="1"/>
    <n v="0"/>
    <n v="15.2"/>
  </r>
  <r>
    <n v="12033011"/>
    <s v="FT"/>
    <s v="Fulltime"/>
    <n v="18983"/>
    <x v="141"/>
    <d v="2021-11-26T00:00:00"/>
    <s v="FN"/>
    <s v="FN"/>
    <n v="16.137"/>
    <n v="55.073999999999998"/>
    <n v="121.6"/>
    <n v="0"/>
    <n v="0"/>
    <n v="30.1"/>
    <n v="0"/>
    <n v="24.833300000000001"/>
    <n v="2.36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8.8999"/>
    <n v="0.17894671052631578"/>
    <n v="1.1769730263157896"/>
    <n v="1.1769730263157896"/>
    <x v="0"/>
    <x v="6"/>
    <n v="0"/>
    <n v="0"/>
  </r>
  <r>
    <n v="12023011"/>
    <s v="TF"/>
    <s v="Temporary Fulltime"/>
    <n v="19007"/>
    <x v="142"/>
    <d v="2022-05-24T00:00:00"/>
    <s v="RT"/>
    <s v="RT"/>
    <n v="39.3035"/>
    <n v="34.607100000000003"/>
    <n v="105.4"/>
    <n v="0"/>
    <n v="0"/>
    <n v="30.4"/>
    <n v="0"/>
    <n v="0"/>
    <n v="0"/>
    <n v="0"/>
    <n v="0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893421052631579"/>
    <x v="0"/>
    <x v="0"/>
    <n v="0"/>
    <n v="16.2"/>
  </r>
  <r>
    <n v="12020611"/>
    <s v="FT"/>
    <s v="Fulltime"/>
    <n v="18903"/>
    <x v="143"/>
    <d v="2020-03-04T00:00:00"/>
    <s v="RT"/>
    <s v="RT"/>
    <n v="111.6"/>
    <n v="248.3"/>
    <n v="121.6"/>
    <n v="0"/>
    <n v="0"/>
    <n v="30.4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"/>
    <n v="3.9473684210526314E-2"/>
    <n v="1.0394736842105263"/>
    <n v="1.0394736842105263"/>
    <x v="0"/>
    <x v="0"/>
    <n v="0"/>
    <n v="0"/>
  </r>
  <r>
    <n v="12020611"/>
    <s v="FT"/>
    <s v="Fulltime"/>
    <n v="18957"/>
    <x v="144"/>
    <d v="2021-07-20T00:00:00"/>
    <s v="RT"/>
    <s v="RT"/>
    <n v="44.765799999999999"/>
    <n v="107.7315"/>
    <n v="121.6"/>
    <n v="0"/>
    <n v="0"/>
    <n v="0"/>
    <n v="0"/>
    <n v="3"/>
    <n v="0"/>
    <n v="0"/>
    <n v="0"/>
    <n v="22.8"/>
    <n v="7.6"/>
    <n v="0"/>
    <n v="0"/>
    <n v="0"/>
    <n v="0"/>
    <n v="0"/>
    <n v="0"/>
    <n v="0"/>
    <n v="0"/>
    <n v="0"/>
    <n v="0"/>
    <n v="0"/>
    <n v="0"/>
    <n v="0"/>
    <n v="0"/>
    <n v="0"/>
    <n v="0"/>
    <n v="155"/>
    <n v="1.9736842105263157E-2"/>
    <n v="1.0197368421052631"/>
    <n v="0.8197368421052631"/>
    <x v="0"/>
    <x v="0"/>
    <n v="7.6"/>
    <n v="30.4"/>
  </r>
  <r>
    <s v="Report Total: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"/>
    <x v="30"/>
    <n v="0"/>
    <n v="0"/>
  </r>
  <r>
    <n v="0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"/>
    <x v="30"/>
    <n v="0"/>
    <n v="0"/>
  </r>
  <r>
    <n v="0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"/>
    <x v="30"/>
    <n v="0"/>
    <n v="0"/>
  </r>
  <r>
    <n v="0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"/>
    <x v="30"/>
    <n v="0"/>
    <n v="0"/>
  </r>
  <r>
    <n v="0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"/>
    <x v="30"/>
    <n v="0"/>
    <n v="0"/>
  </r>
  <r>
    <n v="0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"/>
    <x v="30"/>
    <n v="0"/>
    <n v="0"/>
  </r>
  <r>
    <n v="0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"/>
    <x v="30"/>
    <n v="0"/>
    <n v="0"/>
  </r>
  <r>
    <n v="0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"/>
    <x v="30"/>
    <n v="0"/>
    <n v="0"/>
  </r>
  <r>
    <n v="0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"/>
    <x v="30"/>
    <n v="0"/>
    <n v="0"/>
  </r>
  <r>
    <n v="0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"/>
    <x v="30"/>
    <n v="0"/>
    <n v="0"/>
  </r>
  <r>
    <n v="0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"/>
    <x v="30"/>
    <n v="0"/>
    <n v="0"/>
  </r>
  <r>
    <n v="0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"/>
    <x v="30"/>
    <n v="0"/>
    <n v="0"/>
  </r>
  <r>
    <n v="0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"/>
    <x v="30"/>
    <n v="0"/>
    <n v="0"/>
  </r>
  <r>
    <n v="0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"/>
    <x v="30"/>
    <n v="0"/>
    <n v="0"/>
  </r>
  <r>
    <n v="0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"/>
    <x v="30"/>
    <n v="0"/>
    <n v="0"/>
  </r>
  <r>
    <n v="0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"/>
    <x v="30"/>
    <n v="0"/>
    <n v="0"/>
  </r>
  <r>
    <n v="0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"/>
    <x v="30"/>
    <n v="0"/>
    <n v="0"/>
  </r>
  <r>
    <n v="0"/>
    <s v=""/>
    <s v=""/>
    <n v="0"/>
    <x v="145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m/>
    <n v="0"/>
    <x v="146"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  <r>
    <n v="0"/>
    <m/>
    <s v=""/>
    <n v="0"/>
    <x v="145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x v="10"/>
    <x v="3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63">
  <r>
    <n v="12023011"/>
    <s v="FT"/>
    <s v="Fulltime"/>
    <n v="18999"/>
    <s v="ABAZARI  HASTI MRS"/>
    <d v="2022-04-12T00:00:00"/>
    <s v="RT"/>
    <s v="RT"/>
    <n v="19.279499999999999"/>
    <n v="7.8921999999999999"/>
    <n v="91.2"/>
    <n v="0"/>
    <n v="0"/>
    <n v="30.4"/>
    <n v="0"/>
    <n v="2"/>
    <n v="0"/>
    <n v="0"/>
    <n v="0"/>
    <n v="30.4"/>
    <n v="0"/>
    <n v="0"/>
    <n v="0"/>
    <n v="0"/>
    <n v="0"/>
    <n v="0"/>
    <n v="0"/>
    <n v="0"/>
    <n v="0"/>
    <n v="0"/>
    <n v="0"/>
    <n v="0"/>
    <n v="0"/>
    <n v="0"/>
    <n v="0"/>
    <n v="0"/>
    <n v="0"/>
    <n v="154"/>
    <n v="1.3157894736842105E-2"/>
    <n v="1.013157894736842"/>
    <n v="0.81315789473684208"/>
    <s v="Microbiology"/>
    <s v="Sydney Micro"/>
    <n v="0"/>
    <n v="30.4"/>
    <x v="0"/>
  </r>
  <r>
    <n v="12021021"/>
    <s v="FT"/>
    <s v="Fulltime"/>
    <n v="19033"/>
    <s v="AHMADI  MARYAM MRS"/>
    <d v="2022-08-29T00:00:00"/>
    <s v="RT"/>
    <s v="RT"/>
    <n v="24.736999999999998"/>
    <n v="39.874000000000002"/>
    <n v="145.35"/>
    <n v="0"/>
    <n v="0"/>
    <n v="0"/>
    <n v="0"/>
    <n v="14.3835"/>
    <n v="0"/>
    <n v="0"/>
    <n v="0"/>
    <n v="0"/>
    <n v="6.6"/>
    <n v="0"/>
    <n v="0"/>
    <n v="0"/>
    <n v="0"/>
    <n v="0"/>
    <n v="0"/>
    <n v="0"/>
    <n v="0"/>
    <n v="0"/>
    <n v="0"/>
    <n v="0"/>
    <n v="0"/>
    <n v="0"/>
    <n v="0"/>
    <n v="0"/>
    <n v="0"/>
    <n v="166.33349999999999"/>
    <n v="9.4628289473684207E-2"/>
    <n v="1.0942993421052631"/>
    <n v="1.0508782894736841"/>
    <s v="Chemistry"/>
    <s v="Sydney Chem"/>
    <n v="6.6"/>
    <n v="6.6"/>
    <x v="1"/>
  </r>
  <r>
    <n v="12023011"/>
    <s v="FT"/>
    <s v="Fulltime"/>
    <n v="18962"/>
    <s v="AHMED  IMTIAZ MR"/>
    <d v="2021-08-16T00:00:00"/>
    <s v="FN"/>
    <s v="FN"/>
    <n v="87.243799999999993"/>
    <n v="30.087700000000002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Microbiology"/>
    <s v="Sydney Micro"/>
    <n v="0"/>
    <n v="0"/>
    <x v="0"/>
  </r>
  <r>
    <n v="12030800"/>
    <s v="FT"/>
    <s v="Fulltime"/>
    <n v="18989"/>
    <s v="AHN  ERIC MR"/>
    <d v="2022-01-10T00:00:00"/>
    <s v="RT"/>
    <s v="RT"/>
    <n v="26.235600000000002"/>
    <n v="14.4712"/>
    <n v="0"/>
    <n v="0"/>
    <n v="0"/>
    <n v="0"/>
    <n v="0"/>
    <n v="0"/>
    <n v="0"/>
    <n v="0"/>
    <n v="0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76"/>
    <n v="0"/>
    <n v="0.5"/>
    <n v="0"/>
    <s v="Microbiology"/>
    <s v="MEL Sample Registration"/>
    <n v="0"/>
    <n v="76"/>
    <x v="2"/>
  </r>
  <r>
    <n v="12020711"/>
    <s v="FT"/>
    <s v="Fulltime"/>
    <n v="18954"/>
    <s v="AKKOYUN  METE HAN MR"/>
    <d v="2021-07-05T00:00:00"/>
    <s v="FN"/>
    <s v="FN"/>
    <n v="80.789000000000001"/>
    <n v="153.9781000000000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Microbiology"/>
    <s v="Sydney Micro"/>
    <n v="0"/>
    <n v="0"/>
    <x v="0"/>
  </r>
  <r>
    <n v="12020611"/>
    <s v="FT"/>
    <s v="Fulltime"/>
    <n v="18866"/>
    <s v="ALI  MEHWISH MRS"/>
    <d v="2019-03-04T00:00:00"/>
    <s v="RT"/>
    <s v="RT"/>
    <n v="108.7"/>
    <n v="220.3999"/>
    <n v="100.8"/>
    <n v="0"/>
    <n v="0"/>
    <n v="0"/>
    <n v="30.4"/>
    <n v="0"/>
    <n v="0"/>
    <n v="0"/>
    <n v="0"/>
    <n v="15.2"/>
    <n v="5.6"/>
    <n v="0"/>
    <n v="0"/>
    <n v="0"/>
    <n v="0"/>
    <n v="0"/>
    <n v="0"/>
    <n v="0"/>
    <n v="0"/>
    <n v="0"/>
    <n v="0"/>
    <n v="0"/>
    <n v="0"/>
    <n v="0"/>
    <n v="0"/>
    <n v="0"/>
    <n v="0"/>
    <n v="151.99999999999997"/>
    <n v="0"/>
    <n v="0.99999999999999978"/>
    <n v="0.86315789473684201"/>
    <s v="Microbiology"/>
    <s v="Sydney Micro"/>
    <n v="5.6"/>
    <n v="20.799999999999997"/>
    <x v="0"/>
  </r>
  <r>
    <n v="12028099"/>
    <s v="FT"/>
    <s v="Fulltime"/>
    <n v="18836"/>
    <s v="ALISIC  SUVADA MRS"/>
    <d v="2018-09-10T00:00:00"/>
    <s v="RT"/>
    <s v="RT"/>
    <n v="100.0382"/>
    <n v="126.0766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Sales &amp; Marketing"/>
    <s v="Sydney Sales"/>
    <n v="0"/>
    <n v="0"/>
    <x v="3"/>
  </r>
  <r>
    <n v="12023011"/>
    <s v="PT"/>
    <s v="Parttime"/>
    <n v="19026"/>
    <s v="ALMASSI  AREZOO MISS"/>
    <d v="2022-08-01T00:00:00"/>
    <s v="RT"/>
    <s v="RT"/>
    <n v="19.260300000000001"/>
    <n v="53.720500000000001"/>
    <n v="91.2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3.2"/>
    <n v="1.3157894736842105E-2"/>
    <n v="0.61315789473684212"/>
    <n v="0.61315789473684212"/>
    <s v="Microbiology"/>
    <s v="Sydney Micro"/>
    <n v="0"/>
    <n v="0"/>
    <x v="0"/>
  </r>
  <r>
    <n v="12023011"/>
    <s v="FT"/>
    <s v="Fulltime"/>
    <n v="19046"/>
    <s v="ALZEYADI  MAYTHAM MR"/>
    <d v="2022-11-28T00:00:00"/>
    <s v="RT"/>
    <s v="RT"/>
    <n v="12.388999999999999"/>
    <n v="39.978099999999998"/>
    <n v="144.4"/>
    <n v="0"/>
    <n v="0"/>
    <n v="0"/>
    <n v="0"/>
    <n v="3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5"/>
    <n v="1.9736842105263157E-2"/>
    <n v="1.0197368421052631"/>
    <n v="0.96973684210526323"/>
    <s v="Microbiology"/>
    <s v="Sydney Micro"/>
    <n v="7.6"/>
    <n v="7.6"/>
    <x v="0"/>
  </r>
  <r>
    <n v="12048099"/>
    <s v="FT"/>
    <s v="Fulltime"/>
    <n v="19031"/>
    <s v="AVERY  SUE MS"/>
    <d v="2022-08-22T00:00:00"/>
    <s v="FN"/>
    <s v="FN"/>
    <n v="25.194500000000001"/>
    <n v="50.389000000000003"/>
    <n v="144.4"/>
    <n v="0"/>
    <n v="0"/>
    <n v="0"/>
    <n v="0"/>
    <n v="0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5000000000000007"/>
    <s v="Sales &amp; Marketing"/>
    <s v="Bris Sales"/>
    <n v="7.6"/>
    <n v="7.6"/>
    <x v="3"/>
  </r>
  <r>
    <n v="12028099"/>
    <s v="FT"/>
    <s v="Fulltime"/>
    <n v="19055"/>
    <s v="AWAD  JASMINE MRS"/>
    <d v="2023-01-16T00:00:00"/>
    <s v="FN"/>
    <s v="FN"/>
    <n v="0"/>
    <n v="0"/>
    <n v="136.8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.657499999999999"/>
    <n v="16.657499999999999"/>
    <n v="0"/>
    <n v="0"/>
    <n v="0"/>
    <n v="136.80000000000001"/>
    <n v="0"/>
    <n v="0.9"/>
    <n v="0.9"/>
    <s v="Sales &amp; Marketing"/>
    <s v="Sydney Sales"/>
    <n v="0"/>
    <n v="0"/>
    <x v="3"/>
  </r>
  <r>
    <n v="12021021"/>
    <s v="FT"/>
    <s v="Fulltime"/>
    <n v="18733"/>
    <s v="BANDI  RENU MRS"/>
    <d v="2016-07-11T00:00:00"/>
    <s v="RT"/>
    <s v="RT"/>
    <n v="5.3400999999999996"/>
    <n v="96.131"/>
    <n v="128.2833"/>
    <n v="0"/>
    <n v="0"/>
    <n v="0"/>
    <n v="0"/>
    <n v="6.4333999999999998"/>
    <n v="0"/>
    <n v="0"/>
    <n v="0"/>
    <n v="7.6"/>
    <n v="15.2"/>
    <n v="0"/>
    <n v="0"/>
    <n v="0"/>
    <n v="0"/>
    <n v="0"/>
    <n v="0"/>
    <n v="0"/>
    <n v="0"/>
    <n v="0"/>
    <n v="0"/>
    <n v="0"/>
    <n v="0"/>
    <n v="0"/>
    <n v="0"/>
    <n v="0"/>
    <n v="0"/>
    <n v="157.51669999999999"/>
    <n v="4.2325000000000002E-2"/>
    <n v="1.0362940789473682"/>
    <n v="0.88629407894736845"/>
    <s v="Chemistry"/>
    <s v="Sydney Chem"/>
    <n v="15.2"/>
    <n v="22.799999999999997"/>
    <x v="1"/>
  </r>
  <r>
    <n v="12020800"/>
    <s v="FT"/>
    <s v="Fulltime"/>
    <n v="19051"/>
    <s v="BARAL  RICHA MS"/>
    <d v="2022-12-14T00:00:00"/>
    <s v="RT"/>
    <s v="RT"/>
    <n v="9.0574999999999992"/>
    <n v="18.115100000000002"/>
    <n v="76"/>
    <n v="0"/>
    <n v="0"/>
    <n v="30.4"/>
    <n v="0"/>
    <n v="0"/>
    <n v="0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121.60000000000001"/>
    <n v="0"/>
    <n v="0.8"/>
    <n v="0.70000000000000007"/>
    <s v="Microbiology"/>
    <s v="Sydney Sample Registration"/>
    <n v="0"/>
    <n v="15.2"/>
    <x v="0"/>
  </r>
  <r>
    <n v="12033011"/>
    <s v="FT"/>
    <s v="Fulltime"/>
    <n v="18923"/>
    <s v="BATTY  MELISA MS"/>
    <d v="2020-09-18T00:00:00"/>
    <s v="RT"/>
    <s v="RT"/>
    <n v="58.160299999999999"/>
    <n v="106.9205"/>
    <n v="129.19999999999999"/>
    <n v="0"/>
    <n v="0"/>
    <n v="0"/>
    <n v="0"/>
    <n v="5.0498000000000003"/>
    <n v="0"/>
    <n v="0"/>
    <n v="0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157.0498"/>
    <n v="3.3222368421052632E-2"/>
    <n v="1.0332223684210526"/>
    <n v="0.88322236842105262"/>
    <s v="Microbiology"/>
    <s v="Melb Micro"/>
    <n v="0"/>
    <n v="22.8"/>
    <x v="2"/>
  </r>
  <r>
    <n v="12060611"/>
    <s v="PT"/>
    <s v="Parttime"/>
    <n v="18634"/>
    <s v="BERA  KHUSHBU MS"/>
    <d v="2014-10-08T00:00:00"/>
    <s v="RT"/>
    <s v="RT"/>
    <n v="4.8872"/>
    <n v="13.0084"/>
    <n v="0"/>
    <n v="0"/>
    <n v="0"/>
    <n v="0"/>
    <n v="0"/>
    <n v="0"/>
    <n v="0"/>
    <n v="0"/>
    <n v="0"/>
    <n v="46.8"/>
    <n v="0"/>
    <n v="0"/>
    <n v="0"/>
    <n v="0"/>
    <n v="15.6"/>
    <n v="0"/>
    <n v="0"/>
    <n v="0"/>
    <n v="0"/>
    <n v="0"/>
    <n v="0"/>
    <n v="0"/>
    <n v="0"/>
    <n v="0"/>
    <n v="0"/>
    <n v="0"/>
    <n v="0"/>
    <n v="46.8"/>
    <n v="0"/>
    <n v="0.30789473684210522"/>
    <n v="0"/>
    <s v="Microbiology"/>
    <s v="Perth Micro"/>
    <n v="15.6"/>
    <n v="62.4"/>
    <x v="4"/>
  </r>
  <r>
    <n v="12020711"/>
    <s v="PT"/>
    <s v="Parttime"/>
    <n v="18"/>
    <s v="BOATWRIGHT  ANNA MRS"/>
    <d v="2000-02-01T00:00:00"/>
    <s v="RT"/>
    <s v="RT"/>
    <n v="42.145600000000002"/>
    <n v="100.3218"/>
    <n v="66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"/>
    <n v="2.6315789473684209E-2"/>
    <n v="0.46052631578947367"/>
    <n v="0.46052631578947367"/>
    <s v="Microbiology"/>
    <s v="Sydney Micro"/>
    <n v="0"/>
    <n v="0"/>
    <x v="0"/>
  </r>
  <r>
    <n v="12020611"/>
    <s v="FT"/>
    <s v="Fulltime"/>
    <n v="18589"/>
    <s v="BOGAHAPITIYA  PRASANGA MRS"/>
    <d v="2013-05-29T00:00:00"/>
    <s v="RT"/>
    <s v="RT"/>
    <n v="19.590199999999999"/>
    <n v="141.208"/>
    <n v="121.6"/>
    <n v="0"/>
    <n v="0"/>
    <n v="0"/>
    <n v="30.4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.5"/>
    <n v="3.2894736842105261E-3"/>
    <n v="1.0032894736842106"/>
    <n v="1.0032894736842106"/>
    <s v="Microbiology"/>
    <s v="Sydney Micro"/>
    <n v="0"/>
    <n v="0"/>
    <x v="0"/>
  </r>
  <r>
    <n v="12013250"/>
    <s v="FT"/>
    <s v="Fulltime"/>
    <n v="18987"/>
    <s v="CAMPBELL-MCKECHNIE  ALMA MS"/>
    <d v="2022-01-10T00:00:00"/>
    <s v="FN"/>
    <s v="FN"/>
    <n v="71.835599999999999"/>
    <n v="136.0712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Senior Audit"/>
    <s v="Senior Audit"/>
    <n v="0"/>
    <n v="0"/>
    <x v="5"/>
  </r>
  <r>
    <n v="12063011"/>
    <s v="TF"/>
    <s v="Temporary Fulltime"/>
    <n v="19043"/>
    <s v="CAO  KIM MISS"/>
    <d v="2022-11-21T00:00:00"/>
    <s v="RT"/>
    <s v="RT"/>
    <n v="20.2774"/>
    <n v="10.1547"/>
    <n v="91.15"/>
    <n v="0"/>
    <n v="0"/>
    <n v="0"/>
    <n v="0"/>
    <n v="4.9500999999999999"/>
    <n v="0"/>
    <n v="0"/>
    <n v="0"/>
    <n v="30.4"/>
    <n v="0"/>
    <n v="0"/>
    <n v="0"/>
    <n v="0"/>
    <n v="30.4"/>
    <n v="0"/>
    <n v="0"/>
    <n v="0"/>
    <n v="0"/>
    <n v="0"/>
    <n v="0"/>
    <n v="0"/>
    <n v="0"/>
    <n v="0"/>
    <n v="0"/>
    <n v="0"/>
    <n v="0"/>
    <n v="126.5001"/>
    <n v="3.2566447368421049E-2"/>
    <n v="0.83223750000000007"/>
    <n v="0.63223750000000001"/>
    <s v="Microbiology"/>
    <s v="Perth Micro"/>
    <n v="30.4"/>
    <n v="60.8"/>
    <x v="4"/>
  </r>
  <r>
    <n v="12019199"/>
    <s v="FT"/>
    <s v="Fulltime"/>
    <n v="18741"/>
    <s v="CHAN  CHARMAINE MS"/>
    <d v="2016-10-24T00:00:00"/>
    <s v="FN"/>
    <s v="FN"/>
    <n v="118.4761"/>
    <n v="236.9529"/>
    <n v="144.4"/>
    <n v="0"/>
    <n v="0"/>
    <n v="0"/>
    <n v="0"/>
    <n v="0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5000000000000007"/>
    <s v="G&amp;A"/>
    <s v="Finance"/>
    <n v="7.6"/>
    <n v="7.6"/>
    <x v="6"/>
  </r>
  <r>
    <n v="12020400"/>
    <s v="FT"/>
    <s v="Fulltime"/>
    <n v="18619"/>
    <s v="CHANDRA  SHARON MRS"/>
    <d v="2014-03-17T00:00:00"/>
    <s v="RT"/>
    <s v="RT"/>
    <n v="233.23230000000001"/>
    <n v="106.3656"/>
    <n v="144.4"/>
    <n v="0"/>
    <n v="0"/>
    <n v="0"/>
    <n v="0"/>
    <n v="0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5000000000000007"/>
    <s v="Customer Care"/>
    <s v="Sydney Customer Care"/>
    <n v="7.6"/>
    <n v="7.6"/>
    <x v="7"/>
  </r>
  <r>
    <n v="12018599"/>
    <s v="FT"/>
    <s v="Fulltime"/>
    <n v="18862"/>
    <s v="CHARLTON  STEPHANIE MISS"/>
    <d v="2019-01-30T00:00:00"/>
    <s v="RT"/>
    <s v="RT"/>
    <n v="95.861099999999993"/>
    <n v="188.1424000000000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G&amp;A"/>
    <s v="HR"/>
    <n v="0"/>
    <n v="0"/>
    <x v="6"/>
  </r>
  <r>
    <n v="12060800"/>
    <s v="FT"/>
    <s v="Fulltime"/>
    <n v="18953"/>
    <s v="CHEN  JIAOYANG MS"/>
    <d v="2021-05-17T00:00:00"/>
    <s v="RT"/>
    <s v="RT"/>
    <n v="107.4203"/>
    <n v="207.2406"/>
    <n v="151.9666"/>
    <n v="0"/>
    <n v="0"/>
    <n v="0"/>
    <n v="0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.7166"/>
    <n v="3.125E-2"/>
    <n v="1.0310302631578947"/>
    <n v="1.0310302631578947"/>
    <s v="Microbiology"/>
    <s v="PERTH Sample Registration"/>
    <n v="0"/>
    <n v="0"/>
    <x v="4"/>
  </r>
  <r>
    <n v="12019199"/>
    <s v="FT"/>
    <s v="Fulltime"/>
    <n v="18550"/>
    <s v="CHEN  SOK KIAN MS"/>
    <d v="2012-07-30T00:00:00"/>
    <s v="FN"/>
    <s v="FN"/>
    <n v="255.70529999999999"/>
    <n v="183.0063000000000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G&amp;A"/>
    <s v="Finance"/>
    <n v="0"/>
    <n v="0"/>
    <x v="6"/>
  </r>
  <r>
    <n v="12043011"/>
    <s v="PT"/>
    <s v="Parttime"/>
    <n v="19039"/>
    <s v="CHEUNG  CINDY MISS"/>
    <d v="2022-09-20T00:00:00"/>
    <s v="RT"/>
    <s v="RT"/>
    <n v="25.315100000000001"/>
    <n v="13.030099999999999"/>
    <n v="74.366600000000005"/>
    <n v="0"/>
    <n v="0"/>
    <n v="0"/>
    <n v="30.15"/>
    <n v="0.35"/>
    <n v="0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120.06660000000001"/>
    <n v="2.3026315789473682E-3"/>
    <n v="0.78991184210526322"/>
    <n v="0.68991184210526324"/>
    <s v="Microbiology"/>
    <s v="Bris Micro"/>
    <n v="0"/>
    <n v="15.2"/>
    <x v="8"/>
  </r>
  <r>
    <n v="12013300"/>
    <s v="FT"/>
    <s v="Fulltime"/>
    <n v="220"/>
    <s v="CREMONESI  BRUCE MR"/>
    <d v="2007-06-18T00:00:00"/>
    <s v="FN"/>
    <s v="FN"/>
    <n v="443.87799999999999"/>
    <n v="218.2467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IT"/>
    <s v="IT"/>
    <n v="0"/>
    <n v="0"/>
    <x v="9"/>
  </r>
  <r>
    <n v="12068099"/>
    <s v="FT"/>
    <s v="Fulltime"/>
    <n v="18876"/>
    <s v="DANIELLS  MARIE MISS"/>
    <d v="2019-04-29T00:00:00"/>
    <s v="FN"/>
    <s v="FN"/>
    <n v="204.1397"/>
    <n v="93.279499999999999"/>
    <n v="144.4"/>
    <n v="0"/>
    <n v="0"/>
    <n v="0"/>
    <n v="0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5000000000000007"/>
    <s v="Sales &amp; Marketing"/>
    <s v="Perth Sales"/>
    <n v="0"/>
    <n v="7.6"/>
    <x v="3"/>
  </r>
  <r>
    <n v="12043011"/>
    <s v="FT"/>
    <s v="Fulltime"/>
    <n v="18942"/>
    <s v="DELANEY  MEGAN FIONA MS"/>
    <d v="2021-03-02T00:00:00"/>
    <s v="RT"/>
    <s v="RT"/>
    <n v="0.61529999999999996"/>
    <n v="29.630600000000001"/>
    <n v="89.733400000000003"/>
    <n v="0"/>
    <n v="0"/>
    <n v="0"/>
    <n v="29.816700000000001"/>
    <n v="0.18329999999999999"/>
    <n v="0"/>
    <n v="0"/>
    <n v="0"/>
    <n v="9.1999999999999993"/>
    <n v="21.2"/>
    <n v="0"/>
    <n v="0"/>
    <n v="0"/>
    <n v="0"/>
    <n v="0"/>
    <n v="0"/>
    <n v="0"/>
    <n v="0"/>
    <n v="0"/>
    <n v="0"/>
    <n v="0"/>
    <n v="0"/>
    <n v="0"/>
    <n v="0"/>
    <n v="0"/>
    <n v="0"/>
    <n v="150.13339999999999"/>
    <n v="1.205921052631579E-3"/>
    <n v="0.98771973684210523"/>
    <n v="0.78771973684210517"/>
    <s v="Microbiology"/>
    <s v="Bris Micro"/>
    <n v="21.2"/>
    <n v="30.4"/>
    <x v="8"/>
  </r>
  <r>
    <n v="12042511"/>
    <s v="PT"/>
    <s v="Parttime"/>
    <n v="18650"/>
    <s v="DEMARCHI  STELLA MRS"/>
    <d v="2008-10-06T00:00:00"/>
    <s v="RT"/>
    <s v="RT"/>
    <n v="6.5667"/>
    <n v="70.874799999999993"/>
    <n v="97.533299999999997"/>
    <n v="0"/>
    <n v="0"/>
    <n v="0"/>
    <n v="0"/>
    <n v="3.3300000000000003E-2"/>
    <n v="0"/>
    <n v="0"/>
    <n v="0"/>
    <n v="15.2"/>
    <n v="7.6"/>
    <n v="0"/>
    <n v="0"/>
    <n v="0"/>
    <n v="0"/>
    <n v="0"/>
    <n v="0"/>
    <n v="0"/>
    <n v="0"/>
    <n v="0"/>
    <n v="0"/>
    <n v="0"/>
    <n v="0"/>
    <n v="0"/>
    <n v="0"/>
    <n v="0"/>
    <n v="0"/>
    <n v="120.36659999999999"/>
    <n v="2.1907894736842106E-4"/>
    <n v="0.79188552631578946"/>
    <n v="0.64188552631578943"/>
    <s v="Microbiology"/>
    <s v="Bris Micro"/>
    <n v="7.6"/>
    <n v="22.799999999999997"/>
    <x v="8"/>
  </r>
  <r>
    <n v="12019199"/>
    <s v="FT"/>
    <s v="Fulltime"/>
    <n v="19025"/>
    <s v="DENG  OLIVER MR"/>
    <d v="2022-07-25T00:00:00"/>
    <s v="FN"/>
    <s v="FN"/>
    <n v="18.8247"/>
    <n v="46.849299999999999"/>
    <n v="139.80000000000001"/>
    <n v="0"/>
    <n v="0"/>
    <n v="0"/>
    <n v="0"/>
    <n v="0"/>
    <n v="0"/>
    <n v="0"/>
    <n v="0"/>
    <n v="0"/>
    <n v="12.2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1973684210526319"/>
    <s v="G&amp;A"/>
    <s v="Finance"/>
    <n v="12.2"/>
    <n v="12.2"/>
    <x v="6"/>
  </r>
  <r>
    <n v="12013300"/>
    <s v="PT"/>
    <s v="Parttime"/>
    <n v="19056"/>
    <s v="DOGUPARTHY  NAVEEN MR"/>
    <d v="2023-02-01T00:00:00"/>
    <s v="FN"/>
    <s v="FN"/>
    <n v="3.5076999999999998"/>
    <n v="7.0153999999999996"/>
    <n v="9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.2"/>
    <n v="0"/>
    <n v="0.6"/>
    <n v="0.6"/>
    <s v="IT"/>
    <s v="IT"/>
    <n v="0"/>
    <n v="0"/>
    <x v="9"/>
  </r>
  <r>
    <n v="12019199"/>
    <s v="FT"/>
    <s v="Fulltime"/>
    <n v="18853"/>
    <s v="EDEN  ANTHONY MR"/>
    <d v="2019-01-07T00:00:00"/>
    <s v="FN"/>
    <s v="FN"/>
    <n v="304.06020000000001"/>
    <n v="106.9204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G&amp;A"/>
    <s v="Finance"/>
    <n v="0"/>
    <n v="0"/>
    <x v="6"/>
  </r>
  <r>
    <n v="12023011"/>
    <s v="TP"/>
    <s v="Temporary Parttime"/>
    <n v="19032"/>
    <s v="EL-KLINK  IMAN MS"/>
    <d v="2022-08-22T00:00:00"/>
    <s v="RT"/>
    <s v="RT"/>
    <n v="11.3911"/>
    <n v="15.182"/>
    <n v="91.2"/>
    <n v="0"/>
    <n v="0"/>
    <n v="0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.7"/>
    <n v="3.2894736842105261E-3"/>
    <n v="0.6032894736842106"/>
    <n v="0.6032894736842106"/>
    <s v="Microbiology"/>
    <s v="Sydney Micro"/>
    <n v="0"/>
    <n v="0"/>
    <x v="0"/>
  </r>
  <r>
    <n v="12013250"/>
    <s v="FT"/>
    <s v="Fulltime"/>
    <n v="18988"/>
    <s v="ESTORES  FELICIA MS"/>
    <d v="2022-01-04T00:00:00"/>
    <s v="FN"/>
    <s v="FN"/>
    <n v="88.284899999999993"/>
    <n v="70.169899999999998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Senior Audit"/>
    <s v="Senior Audit"/>
    <n v="0"/>
    <n v="0"/>
    <x v="5"/>
  </r>
  <r>
    <n v="12010500"/>
    <s v="FT"/>
    <s v="Fulltime"/>
    <n v="18517"/>
    <s v="EVANS  LUCY MISS"/>
    <d v="2012-01-19T00:00:00"/>
    <s v="RT"/>
    <s v="RT"/>
    <n v="750.86069999999995"/>
    <n v="221.9425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Lab Admin"/>
    <s v="Central Lab Admin"/>
    <n v="0"/>
    <n v="0"/>
    <x v="10"/>
  </r>
  <r>
    <n v="12060400"/>
    <s v="FT"/>
    <s v="Fulltime"/>
    <n v="18442"/>
    <s v="FONG  LAWRENCE MR"/>
    <d v="2010-03-29T00:00:00"/>
    <s v="RT"/>
    <s v="RT"/>
    <n v="220.8836"/>
    <n v="189.16829999999999"/>
    <n v="76"/>
    <n v="0"/>
    <n v="0"/>
    <n v="0"/>
    <n v="0"/>
    <n v="0"/>
    <n v="0"/>
    <n v="0"/>
    <n v="0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5"/>
    <s v="Customer Care"/>
    <s v="Perth Customer Care"/>
    <n v="0"/>
    <n v="76"/>
    <x v="11"/>
  </r>
  <r>
    <n v="12020711"/>
    <s v="PT"/>
    <s v="Parttime"/>
    <n v="18631"/>
    <s v="FOROOGHI  MARZIEH MRS"/>
    <d v="2014-08-19T00:00:00"/>
    <s v="RT"/>
    <s v="RT"/>
    <n v="37.486699999999999"/>
    <n v="74.020399999999995"/>
    <n v="53.2"/>
    <n v="0"/>
    <n v="0"/>
    <n v="22.8"/>
    <n v="0"/>
    <n v="0.5"/>
    <n v="0"/>
    <n v="0"/>
    <n v="0"/>
    <n v="7.6"/>
    <n v="7.6"/>
    <n v="0"/>
    <n v="0"/>
    <n v="0"/>
    <n v="0"/>
    <n v="0"/>
    <n v="0"/>
    <n v="0"/>
    <n v="0"/>
    <n v="0"/>
    <n v="0"/>
    <n v="0"/>
    <n v="0"/>
    <n v="0"/>
    <n v="0"/>
    <n v="0"/>
    <n v="0"/>
    <n v="91.699999999999989"/>
    <n v="3.2894736842105261E-3"/>
    <n v="0.60328947368421049"/>
    <n v="0.5032894736842104"/>
    <s v="Microbiology"/>
    <s v="Sydney Micro"/>
    <n v="7.6"/>
    <n v="15.2"/>
    <x v="0"/>
  </r>
  <r>
    <n v="12043011"/>
    <s v="FT"/>
    <s v="Fulltime"/>
    <n v="18990"/>
    <s v="GALLAGHER  TROY MR"/>
    <d v="2022-01-21T00:00:00"/>
    <s v="RT"/>
    <s v="RT"/>
    <n v="9.1452000000000009"/>
    <n v="55.490400000000001"/>
    <n v="136.16659999999999"/>
    <n v="0"/>
    <n v="0"/>
    <n v="0"/>
    <n v="0"/>
    <n v="4.4165999999999999"/>
    <n v="0"/>
    <n v="0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155.78319999999997"/>
    <n v="2.9056578947368419E-2"/>
    <n v="1.0248894736842102"/>
    <n v="0.92488947368421037"/>
    <s v="Microbiology"/>
    <s v="Bris Micro"/>
    <n v="15.2"/>
    <n v="15.2"/>
    <x v="8"/>
  </r>
  <r>
    <n v="12019099"/>
    <s v="FT"/>
    <s v="Fulltime"/>
    <n v="18886"/>
    <s v="GODDAER  KEVIN MR"/>
    <d v="2019-06-04T00:00:00"/>
    <s v="FN"/>
    <s v="FN"/>
    <n v="252.44380000000001"/>
    <n v="132.3877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G&amp;A"/>
    <s v="Management"/>
    <n v="0"/>
    <n v="0"/>
    <x v="6"/>
  </r>
  <r>
    <n v="12040500"/>
    <s v="FT"/>
    <s v="Fulltime"/>
    <n v="18649"/>
    <s v="GODWIN  COLLEEN MRS"/>
    <d v="2014-06-11T00:00:00"/>
    <s v="RT"/>
    <s v="RT"/>
    <n v="218.126"/>
    <n v="111.2332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Lab Admin"/>
    <s v="Bris Lab Admin"/>
    <n v="0"/>
    <n v="0"/>
    <x v="12"/>
  </r>
  <r>
    <n v="12048099"/>
    <s v="FT"/>
    <s v="Fulltime"/>
    <n v="18976"/>
    <s v="GUEVARA LUJAN  GABRIELA MS"/>
    <d v="2021-11-01T00:00:00"/>
    <s v="FN"/>
    <s v="FN"/>
    <n v="96.318700000000007"/>
    <n v="58.237299999999998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Sales &amp; Marketing"/>
    <s v="Bris Sales"/>
    <n v="0"/>
    <n v="0"/>
    <x v="3"/>
  </r>
  <r>
    <n v="12062511"/>
    <s v="TP"/>
    <s v="Temporary Parttime"/>
    <n v="18506"/>
    <s v="HADAGINAMAKKI  SHILPA MRS"/>
    <d v="2011-09-14T00:00:00"/>
    <s v="RT"/>
    <s v="RT"/>
    <n v="53.395200000000003"/>
    <n v="271.846"/>
    <n v="48"/>
    <n v="0"/>
    <n v="0"/>
    <n v="0"/>
    <n v="0"/>
    <n v="1.9668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9.966799999999999"/>
    <n v="1.2939473684210527E-2"/>
    <n v="0.32872894736842107"/>
    <n v="0.32872894736842107"/>
    <s v="Microbiology"/>
    <s v="Perth Micro"/>
    <n v="0"/>
    <n v="0"/>
    <x v="4"/>
  </r>
  <r>
    <n v="12020800"/>
    <s v="FT"/>
    <s v="Fulltime"/>
    <n v="19053"/>
    <s v="HAMAD  ESTHER MISS"/>
    <d v="2023-01-04T00:00:00"/>
    <s v="RT"/>
    <s v="RT"/>
    <n v="2.6387999999999998"/>
    <n v="5.2775999999999996"/>
    <n v="76"/>
    <n v="0"/>
    <n v="0"/>
    <n v="0"/>
    <n v="0"/>
    <n v="1"/>
    <n v="0"/>
    <n v="0"/>
    <n v="0"/>
    <n v="15.2"/>
    <n v="7.6"/>
    <n v="0"/>
    <n v="0"/>
    <n v="0"/>
    <n v="53.2"/>
    <n v="0"/>
    <n v="0"/>
    <n v="0"/>
    <n v="0"/>
    <n v="0"/>
    <n v="0"/>
    <n v="0"/>
    <n v="0"/>
    <n v="0"/>
    <n v="0"/>
    <n v="0"/>
    <n v="0"/>
    <n v="99.8"/>
    <n v="6.5789473684210523E-3"/>
    <n v="0.65657894736842104"/>
    <n v="0.50657894736842102"/>
    <s v="Microbiology"/>
    <s v="Sydney Sample Registration"/>
    <n v="60.800000000000004"/>
    <n v="76"/>
    <x v="0"/>
  </r>
  <r>
    <n v="12019199"/>
    <s v="FT"/>
    <s v="Fulltime"/>
    <n v="19003"/>
    <s v="HAMILTON  PAUL MR"/>
    <d v="2022-04-19T00:00:00"/>
    <s v="FN"/>
    <s v="FN"/>
    <n v="24.421900000000001"/>
    <n v="56.843800000000002"/>
    <n v="136.80000000000001"/>
    <n v="0"/>
    <n v="0"/>
    <n v="0"/>
    <n v="0"/>
    <n v="0"/>
    <n v="0"/>
    <n v="0"/>
    <n v="0"/>
    <n v="7.6"/>
    <n v="7.6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"/>
    <s v="G&amp;A"/>
    <s v="Finance"/>
    <n v="7.6"/>
    <n v="15.2"/>
    <x v="6"/>
  </r>
  <r>
    <n v="12022511"/>
    <s v="FT"/>
    <s v="Fulltime"/>
    <n v="18961"/>
    <s v="HANANIA  FERRIZ MR"/>
    <d v="2021-08-04T00:00:00"/>
    <s v="RT"/>
    <s v="RT"/>
    <n v="16.491"/>
    <n v="32.981900000000003"/>
    <n v="152"/>
    <n v="0"/>
    <n v="0"/>
    <n v="0"/>
    <n v="0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.5"/>
    <n v="2.9605263157894735E-2"/>
    <n v="1.0296052631578947"/>
    <n v="1.0296052631578947"/>
    <s v="Microbiology"/>
    <s v="Sydney Micro"/>
    <n v="0"/>
    <n v="0"/>
    <x v="0"/>
  </r>
  <r>
    <n v="12043011"/>
    <s v="CAS"/>
    <s v="Casual RL"/>
    <n v="18917"/>
    <s v="HARRIS  KYM MS"/>
    <d v="2020-06-23T00:00:00"/>
    <s v="RT"/>
    <s v="RT"/>
    <n v="30.316700000000001"/>
    <n v="60.633400000000002"/>
    <n v="0"/>
    <n v="0"/>
    <n v="47.0833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7.083300000000001"/>
    <n v="0"/>
    <n v="0.30975855263157898"/>
    <n v="0.30975855263157898"/>
    <s v="Microbiology"/>
    <s v="Bris Micro"/>
    <n v="0"/>
    <n v="0"/>
    <x v="8"/>
  </r>
  <r>
    <n v="12020400"/>
    <s v="FT"/>
    <s v="Fulltime"/>
    <n v="19057"/>
    <s v="HENRI  BROOKE MS"/>
    <d v="2023-02-13T00:00:00"/>
    <s v="FN"/>
    <s v="FN"/>
    <n v="3.9561999999999999"/>
    <n v="7.9123000000000001"/>
    <n v="9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.2"/>
    <n v="0"/>
    <n v="0.6"/>
    <n v="0.6"/>
    <s v="Customer Care"/>
    <s v="Sydney Customer Care"/>
    <n v="0"/>
    <n v="0"/>
    <x v="7"/>
  </r>
  <r>
    <n v="12020800"/>
    <s v="FT"/>
    <s v="Fulltime"/>
    <n v="19013"/>
    <s v="HO  JOHN MR"/>
    <d v="2022-06-20T00:00:00"/>
    <s v="RT"/>
    <s v="RT"/>
    <n v="45.912300000000002"/>
    <n v="99.424700000000001"/>
    <n v="152"/>
    <n v="0"/>
    <n v="0"/>
    <n v="0"/>
    <n v="0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66"/>
    <n v="9.2105263157894732E-2"/>
    <n v="1.0921052631578947"/>
    <n v="1.0921052631578947"/>
    <s v="Microbiology"/>
    <s v="Sydney Sample Registration"/>
    <n v="0"/>
    <n v="0"/>
    <x v="0"/>
  </r>
  <r>
    <n v="12030500"/>
    <s v="FT"/>
    <s v="Fulltime"/>
    <n v="18841"/>
    <s v="HOLLEY  KRISTY MRS"/>
    <d v="2018-10-10T00:00:00"/>
    <s v="RT"/>
    <s v="RT"/>
    <n v="101.2617"/>
    <n v="106.5335"/>
    <n v="138.6"/>
    <n v="0"/>
    <n v="0"/>
    <n v="0"/>
    <n v="0"/>
    <n v="0"/>
    <n v="0"/>
    <n v="0"/>
    <n v="0"/>
    <n v="11.05"/>
    <n v="0"/>
    <n v="0"/>
    <n v="0"/>
    <n v="2.35"/>
    <n v="0"/>
    <n v="0"/>
    <n v="0"/>
    <n v="0"/>
    <n v="0"/>
    <n v="0"/>
    <n v="0"/>
    <n v="0"/>
    <n v="0"/>
    <n v="0"/>
    <n v="0"/>
    <n v="0"/>
    <n v="0"/>
    <n v="152"/>
    <n v="0"/>
    <n v="1"/>
    <n v="0.9118421052631579"/>
    <s v="Lab Admin"/>
    <s v="Melb Lab Admin"/>
    <n v="2.35"/>
    <n v="13.4"/>
    <x v="13"/>
  </r>
  <r>
    <n v="12013250"/>
    <s v="FT"/>
    <s v="Fulltime"/>
    <n v="18721"/>
    <s v="HOLLY  DONNA MRS"/>
    <d v="2016-02-15T00:00:00"/>
    <s v="FN"/>
    <s v="FN"/>
    <n v="296.99169999999998"/>
    <n v="49.923999999999999"/>
    <n v="22.8"/>
    <n v="0"/>
    <n v="0"/>
    <n v="0"/>
    <n v="0"/>
    <n v="0"/>
    <n v="0"/>
    <n v="0"/>
    <n v="0"/>
    <n v="129.1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15000000000000008"/>
    <s v="Senior Audit"/>
    <s v="Senior Audit"/>
    <n v="0"/>
    <n v="129.19999999999999"/>
    <x v="5"/>
  </r>
  <r>
    <n v="12033011"/>
    <s v="FT"/>
    <s v="Fulltime"/>
    <n v="18679"/>
    <s v="HOLMES  JULIAN MR"/>
    <d v="2015-06-02T00:00:00"/>
    <s v="RT"/>
    <s v="RT"/>
    <n v="200.45930000000001"/>
    <n v="51.260899999999999"/>
    <n v="151.6"/>
    <n v="0"/>
    <n v="0"/>
    <n v="0"/>
    <n v="0"/>
    <n v="1.10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.69999999999999"/>
    <n v="7.2368421052631587E-3"/>
    <n v="1.0046052631578946"/>
    <n v="1.0046052631578946"/>
    <s v="Microbiology"/>
    <s v="Melb Micro"/>
    <n v="0"/>
    <n v="0"/>
    <x v="2"/>
  </r>
  <r>
    <n v="12023011"/>
    <s v="FT"/>
    <s v="Fulltime"/>
    <n v="18974"/>
    <s v="HOMAINEJAD  DORNA MS"/>
    <d v="2021-11-03T00:00:00"/>
    <s v="RT"/>
    <s v="RT"/>
    <n v="43.994500000000002"/>
    <n v="102.289"/>
    <n v="91.2"/>
    <n v="0"/>
    <n v="0"/>
    <n v="30.4"/>
    <n v="30.4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.5"/>
    <n v="2.9605263157894735E-2"/>
    <n v="1.0296052631578947"/>
    <n v="1.0296052631578947"/>
    <s v="Microbiology"/>
    <s v="Sydney Micro"/>
    <n v="0"/>
    <n v="0"/>
    <x v="0"/>
  </r>
  <r>
    <n v="12033011"/>
    <s v="FT"/>
    <s v="Fulltime"/>
    <n v="19015"/>
    <s v="HUSSAIN  EMRAN MR"/>
    <d v="2022-06-09T00:00:00"/>
    <s v="RT"/>
    <s v="RT"/>
    <n v="11.8027"/>
    <n v="-6.3944999999999999"/>
    <n v="15.1"/>
    <n v="0"/>
    <n v="0"/>
    <n v="7.5"/>
    <n v="0"/>
    <n v="2"/>
    <n v="0.86670000000000003"/>
    <n v="0"/>
    <n v="0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101.4667"/>
    <n v="1.8859868421052629E-2"/>
    <n v="0.66754407894736845"/>
    <n v="0.16754407894736845"/>
    <s v="Microbiology"/>
    <s v="Melb Micro"/>
    <n v="0"/>
    <n v="76"/>
    <x v="2"/>
  </r>
  <r>
    <n v="12021021"/>
    <s v="FT"/>
    <s v="Fulltime"/>
    <n v="18659"/>
    <s v="HWANG  MI HEI MS"/>
    <d v="2015-01-12T00:00:00"/>
    <s v="RT"/>
    <s v="RT"/>
    <n v="278.89830000000001"/>
    <n v="158.0376"/>
    <n v="118.6"/>
    <n v="0"/>
    <n v="0"/>
    <n v="0"/>
    <n v="0"/>
    <n v="10.6501"/>
    <n v="0.2167"/>
    <n v="0"/>
    <n v="0"/>
    <n v="30.4"/>
    <n v="3"/>
    <n v="0"/>
    <n v="0"/>
    <n v="0"/>
    <n v="0"/>
    <n v="0"/>
    <n v="0"/>
    <n v="0"/>
    <n v="0"/>
    <n v="0"/>
    <n v="0"/>
    <n v="0"/>
    <n v="0"/>
    <n v="0"/>
    <n v="0"/>
    <n v="0"/>
    <n v="0"/>
    <n v="162.86680000000001"/>
    <n v="7.1492105263157898E-2"/>
    <n v="1.0714921052631581"/>
    <n v="0.85175526315789474"/>
    <s v="Chemistry"/>
    <s v="Sydney Chem"/>
    <n v="3"/>
    <n v="33.4"/>
    <x v="1"/>
  </r>
  <r>
    <n v="12033011"/>
    <s v="FT"/>
    <s v="Fulltime"/>
    <n v="19049"/>
    <s v="IMAD  SYED MR"/>
    <d v="2022-12-06T00:00:00"/>
    <s v="RT"/>
    <s v="RT"/>
    <n v="18.3233"/>
    <n v="36.646599999999999"/>
    <n v="29.333300000000001"/>
    <n v="0"/>
    <n v="0"/>
    <n v="30.2333"/>
    <n v="26.3"/>
    <n v="16.600000000000001"/>
    <n v="17.0834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9.55"/>
    <n v="0.22160131578947373"/>
    <n v="0.78651315789473686"/>
    <n v="0.78651315789473686"/>
    <s v="Microbiology"/>
    <s v="Melb Micro"/>
    <n v="0"/>
    <n v="0"/>
    <x v="2"/>
  </r>
  <r>
    <n v="12043011"/>
    <s v="PT"/>
    <s v="Parttime"/>
    <n v="18646"/>
    <s v="IQBAL  SHABANA MRS"/>
    <d v="2014-03-03T00:00:00"/>
    <s v="RT"/>
    <s v="RT"/>
    <n v="10.7416"/>
    <n v="46.483600000000003"/>
    <n v="50.333300000000001"/>
    <n v="0"/>
    <n v="0"/>
    <n v="30.166699999999999"/>
    <n v="30.1"/>
    <n v="5.9"/>
    <n v="2.49989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.9999"/>
    <n v="5.5262500000000006E-2"/>
    <n v="0.7828940789473684"/>
    <n v="0.7828940789473684"/>
    <s v="Microbiology"/>
    <s v="Bris Micro"/>
    <n v="0"/>
    <n v="0"/>
    <x v="8"/>
  </r>
  <r>
    <n v="12021021"/>
    <s v="FT"/>
    <s v="Fulltime"/>
    <n v="18967"/>
    <s v="ISLAM  MD FOKHRUL MR"/>
    <d v="2021-08-23T00:00:00"/>
    <s v="RT"/>
    <s v="RT"/>
    <n v="15.9863"/>
    <n v="87.9726"/>
    <n v="144.4"/>
    <n v="0"/>
    <n v="0"/>
    <n v="0"/>
    <n v="0"/>
    <n v="17.5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69.5"/>
    <n v="0.11513157894736842"/>
    <n v="1.1151315789473684"/>
    <n v="1.0651315789473685"/>
    <s v="Chemistry"/>
    <s v="Sydney Chem"/>
    <n v="7.6"/>
    <n v="7.6"/>
    <x v="1"/>
  </r>
  <r>
    <n v="12020500"/>
    <s v="TP"/>
    <s v="Temporary Parttime"/>
    <n v="19040"/>
    <s v="JOKATAMA  SIKITI MISS"/>
    <d v="2022-10-24T00:00:00"/>
    <s v="FN"/>
    <s v="FN"/>
    <n v="14.356199999999999"/>
    <n v="28.712299999999999"/>
    <n v="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0"/>
    <n v="0"/>
    <n v="0.52631578947368418"/>
    <n v="0.52631578947368418"/>
    <s v="Lab Admin"/>
    <s v="Sydney Lab Admin"/>
    <n v="0"/>
    <n v="0"/>
    <x v="14"/>
  </r>
  <r>
    <n v="12043011"/>
    <s v="FT"/>
    <s v="Fulltime"/>
    <n v="18703"/>
    <s v="JOYCE  BLAKE MR"/>
    <d v="2015-10-12T00:00:00"/>
    <s v="RT"/>
    <s v="RT"/>
    <n v="147.72460000000001"/>
    <n v="99.350099999999998"/>
    <n v="143.3999"/>
    <n v="0"/>
    <n v="0"/>
    <n v="0"/>
    <n v="0"/>
    <n v="2.0167999999999999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3.01669999999999"/>
    <n v="1.3268421052631579E-2"/>
    <n v="1.0066888157894736"/>
    <n v="0.95668881578947362"/>
    <s v="Microbiology"/>
    <s v="Bris Micro"/>
    <n v="7.6"/>
    <n v="7.6"/>
    <x v="8"/>
  </r>
  <r>
    <n v="12023011"/>
    <s v="PT"/>
    <s v="Parttime"/>
    <n v="18973"/>
    <s v="KANTHAN  SU MS"/>
    <d v="2021-09-29T00:00:00"/>
    <s v="RT"/>
    <s v="RT"/>
    <n v="8.6751000000000005"/>
    <n v="17.350000000000001"/>
    <n v="83.6"/>
    <n v="0"/>
    <n v="0"/>
    <n v="0"/>
    <n v="0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91.199999999999989"/>
    <n v="0"/>
    <n v="0.6"/>
    <n v="0.54999999999999993"/>
    <s v="Microbiology"/>
    <s v="Sydney Micro"/>
    <n v="0"/>
    <n v="7.6"/>
    <x v="0"/>
  </r>
  <r>
    <n v="12033011"/>
    <s v="FT"/>
    <s v="Fulltime"/>
    <n v="18932"/>
    <s v="KAPADIA  MUFFADAL MR"/>
    <d v="2021-01-27T00:00:00"/>
    <s v="RT"/>
    <s v="RT"/>
    <n v="17.195900000000002"/>
    <n v="37.891800000000003"/>
    <n v="114"/>
    <n v="0"/>
    <n v="0"/>
    <n v="0"/>
    <n v="0"/>
    <n v="28.3001"/>
    <n v="24.35"/>
    <n v="0"/>
    <n v="0"/>
    <n v="22.8"/>
    <n v="15.2"/>
    <n v="0"/>
    <n v="0"/>
    <n v="0"/>
    <n v="0"/>
    <n v="0"/>
    <n v="0"/>
    <n v="0"/>
    <n v="0"/>
    <n v="0"/>
    <n v="0"/>
    <n v="0"/>
    <n v="0"/>
    <n v="0"/>
    <n v="0"/>
    <n v="0"/>
    <n v="0"/>
    <n v="204.65009999999998"/>
    <n v="0.34638223684210528"/>
    <n v="1.3463822368421052"/>
    <n v="1.0963822368421052"/>
    <s v="Microbiology"/>
    <s v="Melb Micro"/>
    <n v="15.2"/>
    <n v="38"/>
    <x v="2"/>
  </r>
  <r>
    <n v="12013012"/>
    <s v="FT"/>
    <s v="Fulltime"/>
    <n v="19014"/>
    <s v="KARIMZADA  OMID MR"/>
    <d v="2022-06-15T00:00:00"/>
    <s v="FN"/>
    <s v="FN"/>
    <n v="46.076500000000003"/>
    <n v="68.552999999999997"/>
    <n v="136.80000000000001"/>
    <n v="0"/>
    <n v="0"/>
    <n v="0"/>
    <n v="0"/>
    <n v="0"/>
    <n v="0"/>
    <n v="0"/>
    <n v="0"/>
    <n v="7.6"/>
    <n v="7.6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"/>
    <s v="Microbiology"/>
    <s v="Science Centre"/>
    <n v="7.6"/>
    <n v="15.2"/>
    <x v="15"/>
  </r>
  <r>
    <n v="12043011"/>
    <s v="FT"/>
    <s v="Fulltime"/>
    <n v="18850"/>
    <s v="KASHANI  ANGELA MRS"/>
    <d v="2019-01-02T00:00:00"/>
    <s v="RT"/>
    <s v="RT"/>
    <n v="188.69130000000001"/>
    <n v="94.735900000000001"/>
    <n v="121.5"/>
    <n v="0"/>
    <n v="0"/>
    <n v="30.4"/>
    <n v="0"/>
    <n v="5.41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7.3169"/>
    <n v="3.5637500000000003E-2"/>
    <n v="1.0349796052631579"/>
    <n v="1.0349796052631579"/>
    <s v="Microbiology"/>
    <s v="Bris Micro"/>
    <n v="0"/>
    <n v="0"/>
    <x v="8"/>
  </r>
  <r>
    <n v="12033011"/>
    <s v="FT"/>
    <s v="Fulltime"/>
    <n v="18829"/>
    <s v="KELLY  KYLE MR"/>
    <d v="2018-06-04T00:00:00"/>
    <s v="RT"/>
    <s v="RT"/>
    <n v="22.843599999999999"/>
    <n v="174.48750000000001"/>
    <n v="121.6"/>
    <n v="0"/>
    <n v="0"/>
    <n v="0"/>
    <n v="30.4"/>
    <n v="32.616700000000002"/>
    <n v="22.28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6.90010000000001"/>
    <n v="0.36118486842105263"/>
    <n v="1.3611848684210528"/>
    <n v="1.3611848684210528"/>
    <s v="Microbiology"/>
    <s v="Melb Micro"/>
    <n v="0"/>
    <n v="0"/>
    <x v="2"/>
  </r>
  <r>
    <n v="12023011"/>
    <s v="TF"/>
    <s v="Temporary Fulltime"/>
    <n v="19035"/>
    <s v="KHAMBAY  BILL MR"/>
    <d v="2022-09-05T00:00:00"/>
    <s v="RT"/>
    <s v="RT"/>
    <n v="10.094900000000001"/>
    <n v="1.8896999999999999"/>
    <n v="148.5"/>
    <n v="0"/>
    <n v="0"/>
    <n v="0"/>
    <n v="0"/>
    <n v="0"/>
    <n v="0"/>
    <n v="0"/>
    <n v="0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7697368421052633"/>
    <s v="Microbiology"/>
    <s v="Sydney Micro"/>
    <n v="0"/>
    <n v="3.5"/>
    <x v="0"/>
  </r>
  <r>
    <n v="12030400"/>
    <s v="FT"/>
    <s v="Fulltime"/>
    <n v="19047"/>
    <s v="KIRBY  MALIKA MS"/>
    <d v="2022-12-12T00:00:00"/>
    <s v="FN"/>
    <s v="FN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.317399999999999"/>
    <n v="20.317399999999999"/>
    <n v="0"/>
    <n v="0"/>
    <n v="0"/>
    <n v="15.2"/>
    <n v="0"/>
    <n v="9.9999999999999992E-2"/>
    <n v="9.9999999999999992E-2"/>
    <s v="Customer Care"/>
    <s v="Melb Customer Care"/>
    <n v="0"/>
    <n v="0"/>
    <x v="16"/>
  </r>
  <r>
    <n v="12030611"/>
    <s v="FT"/>
    <s v="Fulltime"/>
    <n v="18979"/>
    <s v="KO  SOL MR"/>
    <d v="2021-12-06T00:00:00"/>
    <s v="RT"/>
    <s v="RT"/>
    <n v="10.3233"/>
    <n v="44.246600000000001"/>
    <n v="128.55000000000001"/>
    <n v="0"/>
    <n v="0"/>
    <n v="0"/>
    <n v="0"/>
    <n v="18.2834"/>
    <n v="5.3666999999999998"/>
    <n v="0"/>
    <n v="0"/>
    <n v="15.2"/>
    <n v="7.6"/>
    <n v="0"/>
    <n v="0"/>
    <n v="0"/>
    <n v="0"/>
    <n v="0"/>
    <n v="0"/>
    <n v="0"/>
    <n v="0"/>
    <n v="0"/>
    <n v="0"/>
    <n v="0"/>
    <n v="0"/>
    <n v="0"/>
    <n v="0"/>
    <n v="0"/>
    <n v="0"/>
    <n v="175.0001"/>
    <n v="0.15559276315789475"/>
    <n v="1.151316447368421"/>
    <n v="1.0013164473684213"/>
    <s v="Microbiology"/>
    <s v="Melb Micro"/>
    <n v="7.6"/>
    <n v="22.799999999999997"/>
    <x v="2"/>
  </r>
  <r>
    <n v="12020611"/>
    <s v="PT"/>
    <s v="Parttime"/>
    <n v="18891"/>
    <s v="KODOR  MARA MRS"/>
    <d v="2019-10-08T00:00:00"/>
    <s v="FN"/>
    <s v="FN"/>
    <n v="121.2381"/>
    <n v="131.03229999999999"/>
    <n v="121.6"/>
    <n v="0"/>
    <n v="0"/>
    <n v="0"/>
    <n v="0"/>
    <n v="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2.1"/>
    <n v="3.2894736842105261E-3"/>
    <n v="0.80328947368421044"/>
    <n v="0.80328947368421044"/>
    <s v="Microbiology"/>
    <s v="Sydney Micro"/>
    <n v="0"/>
    <n v="0"/>
    <x v="0"/>
  </r>
  <r>
    <n v="12043011"/>
    <s v="CAS"/>
    <s v="Casual RL"/>
    <n v="19023"/>
    <s v="LAWRENCE  SHARON MS"/>
    <d v="2022-07-06T00:00:00"/>
    <s v="RT"/>
    <s v="RT"/>
    <n v="0"/>
    <n v="0"/>
    <n v="0"/>
    <n v="0"/>
    <n v="50.9166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.916699999999999"/>
    <n v="0"/>
    <n v="0.33497828947368419"/>
    <n v="0.33497828947368419"/>
    <s v="Microbiology"/>
    <s v="Bris Micro"/>
    <n v="0"/>
    <n v="0"/>
    <x v="8"/>
  </r>
  <r>
    <n v="12030400"/>
    <s v="FT"/>
    <s v="Fulltime"/>
    <n v="18805"/>
    <s v="LETHBORG  GABRIELLA MISS"/>
    <d v="2017-11-28T00:00:00"/>
    <s v="RT"/>
    <s v="RT"/>
    <n v="289.3886"/>
    <n v="146.37780000000001"/>
    <n v="106.4"/>
    <n v="0"/>
    <n v="0"/>
    <n v="0"/>
    <n v="0"/>
    <n v="0"/>
    <n v="0"/>
    <n v="0"/>
    <n v="0"/>
    <n v="45.6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70000000000000007"/>
    <s v="Customer Care"/>
    <s v="Melb Customer Care"/>
    <n v="0"/>
    <n v="45.6"/>
    <x v="16"/>
  </r>
  <r>
    <n v="12019199"/>
    <s v="FT"/>
    <s v="Fulltime"/>
    <n v="18968"/>
    <s v="LI  MATTHEW MR"/>
    <d v="2021-09-01T00:00:00"/>
    <s v="FN"/>
    <s v="FN"/>
    <n v="91.612300000000005"/>
    <n v="113.9747"/>
    <n v="151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9342105263157898"/>
    <s v="G&amp;A"/>
    <s v="Finance"/>
    <n v="0"/>
    <n v="1"/>
    <x v="6"/>
  </r>
  <r>
    <n v="12030611"/>
    <s v="FT"/>
    <s v="Fulltime"/>
    <n v="18887"/>
    <s v="LIN  LIN MISS"/>
    <d v="2019-06-11T00:00:00"/>
    <s v="RT"/>
    <s v="RT"/>
    <n v="123.7863"/>
    <n v="285.57260000000002"/>
    <n v="152"/>
    <n v="0"/>
    <n v="0"/>
    <n v="0"/>
    <n v="0"/>
    <n v="38.1"/>
    <n v="11.1832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1.2833"/>
    <n v="0.32423223684210523"/>
    <n v="1.3242322368421053"/>
    <n v="1.3242322368421053"/>
    <s v="Microbiology"/>
    <s v="Melb Micro"/>
    <n v="0"/>
    <n v="0"/>
    <x v="2"/>
  </r>
  <r>
    <n v="12060611"/>
    <s v="FT"/>
    <s v="Fulltime"/>
    <n v="261"/>
    <s v="MARKOSKA  KATERINA MRS"/>
    <d v="2008-01-02T00:00:00"/>
    <s v="RT"/>
    <s v="RT"/>
    <n v="144.07910000000001"/>
    <n v="188.2898000000000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Microbiology"/>
    <s v="Perth Micro"/>
    <n v="0"/>
    <n v="0"/>
    <x v="4"/>
  </r>
  <r>
    <n v="12033011"/>
    <s v="CAS"/>
    <s v="Casual RL"/>
    <n v="19050"/>
    <s v="MATTUPALLI  MADHAVI MRS"/>
    <d v="2022-12-07T00:00:00"/>
    <s v="FN"/>
    <s v="FN"/>
    <n v="0"/>
    <n v="0"/>
    <n v="0"/>
    <n v="0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.3"/>
    <n v="0"/>
    <n v="0.14671052631578949"/>
    <n v="0.14671052631578949"/>
    <s v="Microbiology"/>
    <s v="Melb Micro"/>
    <n v="0"/>
    <n v="0"/>
    <x v="2"/>
  </r>
  <r>
    <n v="12043123"/>
    <s v="PT"/>
    <s v="Parttime"/>
    <n v="18970"/>
    <s v="MAVRONICHOLAS  CHRISTOPHER MR"/>
    <d v="2021-09-13T00:00:00"/>
    <s v="RT"/>
    <s v="RT"/>
    <n v="3.4579"/>
    <n v="112.9158"/>
    <n v="75.599999999999994"/>
    <n v="0"/>
    <n v="0"/>
    <n v="30.25"/>
    <n v="0"/>
    <n v="12.7666"/>
    <n v="4.4667000000000003"/>
    <n v="0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138.2833"/>
    <n v="0.11337697368421053"/>
    <n v="0.9097585526315789"/>
    <n v="0.80975855263157892"/>
    <s v="Chemistry"/>
    <s v="Bris Milk"/>
    <n v="15.2"/>
    <n v="15.2"/>
    <x v="17"/>
  </r>
  <r>
    <n v="12060611"/>
    <s v="FT"/>
    <s v="Fulltime"/>
    <n v="18823"/>
    <s v="MCCANN-DORAN  CONOR MR"/>
    <d v="2018-05-02T00:00:00"/>
    <s v="RT"/>
    <s v="RT"/>
    <n v="7.3139000000000003"/>
    <n v="6.1380999999999997"/>
    <n v="76"/>
    <n v="0"/>
    <n v="0"/>
    <n v="0"/>
    <n v="15.1333"/>
    <n v="5.2502000000000004"/>
    <n v="1.0832999999999999"/>
    <n v="0"/>
    <n v="0"/>
    <n v="53.2"/>
    <n v="0"/>
    <n v="0"/>
    <n v="0"/>
    <n v="0"/>
    <n v="7.6"/>
    <n v="0"/>
    <n v="0"/>
    <n v="0"/>
    <n v="0"/>
    <n v="0"/>
    <n v="0"/>
    <n v="0"/>
    <n v="0"/>
    <n v="0"/>
    <n v="0"/>
    <n v="0"/>
    <n v="0"/>
    <n v="150.66680000000002"/>
    <n v="4.1667763157894742E-2"/>
    <n v="0.99122894736842115"/>
    <n v="0.64122894736842118"/>
    <s v="Microbiology"/>
    <s v="Perth Micro"/>
    <n v="7.6"/>
    <n v="60.800000000000004"/>
    <x v="4"/>
  </r>
  <r>
    <n v="12043011"/>
    <s v="FT"/>
    <s v="Fulltime"/>
    <n v="18713"/>
    <s v="MCDONALD  WILMA MRS"/>
    <d v="2015-12-14T00:00:00"/>
    <s v="RT"/>
    <s v="RT"/>
    <n v="224.38679999999999"/>
    <n v="158.5145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Microbiology"/>
    <s v="Bris Micro"/>
    <n v="0"/>
    <n v="0"/>
    <x v="8"/>
  </r>
  <r>
    <n v="12040800"/>
    <s v="PT"/>
    <s v="Parttime"/>
    <n v="18839"/>
    <s v="MENDIVELSO-BOHORQUEZ  SANDRA MISS"/>
    <d v="2018-10-03T00:00:00"/>
    <s v="RT"/>
    <s v="RT"/>
    <n v="34.161999999999999"/>
    <n v="28.164400000000001"/>
    <n v="9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0.05"/>
    <n v="0"/>
    <n v="0.59243421052631573"/>
    <n v="0.59243421052631573"/>
    <s v="Microbiology"/>
    <s v="BRI Sample Registration"/>
    <n v="0"/>
    <n v="0"/>
    <x v="8"/>
  </r>
  <r>
    <n v="12030611"/>
    <s v="FT"/>
    <s v="Fulltime"/>
    <n v="18949"/>
    <s v="MENON  SHIVANI MISS"/>
    <d v="2021-04-05T00:00:00"/>
    <s v="FN"/>
    <s v="FN"/>
    <n v="19.052099999999999"/>
    <n v="30.504100000000001"/>
    <n v="121.6"/>
    <n v="0"/>
    <n v="0"/>
    <n v="0"/>
    <n v="0"/>
    <n v="31.9832"/>
    <n v="27.2833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0.8665"/>
    <n v="0.38991118421052634"/>
    <n v="1.1899111842105263"/>
    <n v="1.1899111842105263"/>
    <s v="Microbiology"/>
    <s v="Melb Micro"/>
    <n v="0"/>
    <n v="0"/>
    <x v="2"/>
  </r>
  <r>
    <n v="12018099"/>
    <s v="FT"/>
    <s v="Fulltime"/>
    <n v="18716"/>
    <s v="MOONSAMY  MAYEN MR"/>
    <d v="2016-01-11T00:00:00"/>
    <s v="FN"/>
    <s v="FN"/>
    <n v="527.6268"/>
    <n v="162.2542"/>
    <n v="148.19999999999999"/>
    <n v="0"/>
    <n v="0"/>
    <n v="0"/>
    <n v="0"/>
    <n v="0"/>
    <n v="0"/>
    <n v="0"/>
    <n v="0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7499999999999998"/>
    <s v="Sales &amp; Marketing"/>
    <s v="Central Sales"/>
    <n v="0"/>
    <n v="3.8"/>
    <x v="3"/>
  </r>
  <r>
    <n v="12040400"/>
    <s v="FT"/>
    <s v="Fulltime"/>
    <n v="115"/>
    <s v="MOORE  SALOTE MS"/>
    <d v="1997-05-28T00:00:00"/>
    <s v="FN"/>
    <s v="FN"/>
    <n v="100.21769999999999"/>
    <n v="70.596299999999999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Customer Care"/>
    <s v="Bris Customer Care"/>
    <n v="0"/>
    <n v="0"/>
    <x v="18"/>
  </r>
  <r>
    <n v="12030611"/>
    <s v="FT"/>
    <s v="Fulltime"/>
    <n v="18626"/>
    <s v="MOORKANATH  ANU MRS"/>
    <d v="2014-07-08T00:00:00"/>
    <s v="RT"/>
    <s v="RT"/>
    <n v="360.00360000000001"/>
    <n v="179.1681000000000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Microbiology"/>
    <s v="Melb Micro"/>
    <n v="0"/>
    <n v="0"/>
    <x v="2"/>
  </r>
  <r>
    <n v="12033011"/>
    <s v="TF"/>
    <s v="Temporary Fulltime"/>
    <n v="19028"/>
    <s v="NANAYAKKARA W V W  SHALINI MISS"/>
    <d v="2022-08-15T00:00:00"/>
    <s v="RT"/>
    <s v="RT"/>
    <n v="3.8521000000000001"/>
    <n v="38.104100000000003"/>
    <n v="144.1"/>
    <n v="0"/>
    <n v="0"/>
    <n v="0"/>
    <n v="0"/>
    <n v="22.633099999999999"/>
    <n v="2.8834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77.21649999999997"/>
    <n v="0.1678717105263158"/>
    <n v="1.1658980263157892"/>
    <n v="1.1158980263157894"/>
    <s v="Microbiology"/>
    <s v="Melb Micro"/>
    <n v="7.6"/>
    <n v="7.6"/>
    <x v="2"/>
  </r>
  <r>
    <n v="12018099"/>
    <s v="FT"/>
    <s v="Fulltime"/>
    <n v="18948"/>
    <s v="NARAYANA SWAMY  KUSUMA MRS"/>
    <d v="2021-03-24T00:00:00"/>
    <s v="FN"/>
    <s v="FN"/>
    <n v="6.1048"/>
    <n v="27.6097"/>
    <n v="117.6"/>
    <n v="0"/>
    <n v="0"/>
    <n v="0"/>
    <n v="0"/>
    <n v="0"/>
    <n v="0"/>
    <n v="0"/>
    <n v="0"/>
    <n v="15.2"/>
    <n v="7.6"/>
    <n v="0"/>
    <n v="0"/>
    <n v="0"/>
    <n v="0"/>
    <n v="11.6"/>
    <n v="0"/>
    <n v="0"/>
    <n v="0"/>
    <n v="0"/>
    <n v="0"/>
    <n v="0"/>
    <n v="0"/>
    <n v="0"/>
    <n v="0"/>
    <n v="0"/>
    <n v="0"/>
    <n v="140.39999999999998"/>
    <n v="0"/>
    <n v="0.92368421052631566"/>
    <n v="0.77368421052631564"/>
    <s v="Sales &amp; Marketing"/>
    <s v="Central Sales"/>
    <n v="19.2"/>
    <n v="34.4"/>
    <x v="3"/>
  </r>
  <r>
    <n v="12040500"/>
    <s v="PT"/>
    <s v="Parttime"/>
    <n v="19020"/>
    <s v="O'NEILL  CHRISTINE MRS"/>
    <d v="2022-06-28T00:00:00"/>
    <s v="FN"/>
    <s v="FN"/>
    <n v="41.435600000000001"/>
    <n v="82.871200000000002"/>
    <n v="136.8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6.80000000000001"/>
    <n v="0"/>
    <n v="0.9"/>
    <n v="0.9"/>
    <s v="Lab Admin"/>
    <s v="Bris Lab Admin"/>
    <n v="0"/>
    <n v="0"/>
    <x v="12"/>
  </r>
  <r>
    <n v="12023011"/>
    <s v="FT"/>
    <s v="Fulltime"/>
    <n v="19045"/>
    <s v="ORAHA  AFRAH MISS"/>
    <d v="2022-11-23T00:00:00"/>
    <s v="RT"/>
    <s v="RT"/>
    <n v="12.6181"/>
    <n v="23.7362"/>
    <n v="91.2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2.2"/>
    <n v="6.5789473684210523E-3"/>
    <n v="0.60657894736842111"/>
    <n v="0.60657894736842111"/>
    <s v="Microbiology"/>
    <s v="Sydney Micro"/>
    <n v="0"/>
    <n v="0"/>
    <x v="0"/>
  </r>
  <r>
    <n v="12010500"/>
    <s v="FT"/>
    <s v="Fulltime"/>
    <n v="18871"/>
    <s v="PARMAR  DINUSHA MRS"/>
    <d v="2019-03-26T00:00:00"/>
    <s v="FN"/>
    <s v="FN"/>
    <n v="128.61920000000001"/>
    <n v="161.63839999999999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Lab Admin"/>
    <s v="Central Lab Admin"/>
    <n v="0"/>
    <n v="0"/>
    <x v="10"/>
  </r>
  <r>
    <n v="12021021"/>
    <s v="TP"/>
    <s v="Temporary Parttime"/>
    <n v="18894"/>
    <s v="PATEL  SWETA SHANTILAL MISS"/>
    <d v="2019-11-05T00:00:00"/>
    <s v="RT"/>
    <s v="RT"/>
    <n v="22.0868"/>
    <n v="59.507300000000001"/>
    <n v="61.633299999999998"/>
    <n v="0"/>
    <n v="0"/>
    <n v="0"/>
    <n v="0"/>
    <n v="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.883299999999998"/>
    <n v="1.6447368421052631E-3"/>
    <n v="0.40712697368421052"/>
    <n v="0.40712697368421052"/>
    <s v="Chemistry"/>
    <s v="Sydney Chem"/>
    <n v="0"/>
    <n v="0"/>
    <x v="1"/>
  </r>
  <r>
    <n v="12021021"/>
    <s v="FT"/>
    <s v="Fulltime"/>
    <n v="18559"/>
    <s v="PATEL  VIPUL MR"/>
    <d v="2012-10-08T00:00:00"/>
    <s v="RT"/>
    <s v="RT"/>
    <n v="337.39060000000001"/>
    <n v="239.93549999999999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Chemistry"/>
    <s v="Sydney Chem"/>
    <n v="0"/>
    <n v="0"/>
    <x v="1"/>
  </r>
  <r>
    <n v="12018599"/>
    <s v="FT"/>
    <s v="Fulltime"/>
    <n v="18969"/>
    <s v="PETRAKIS  NICK MR"/>
    <d v="2021-09-13T00:00:00"/>
    <s v="FN"/>
    <s v="FN"/>
    <n v="111.8137"/>
    <n v="98.0274"/>
    <n v="148"/>
    <n v="0"/>
    <n v="0"/>
    <n v="0"/>
    <n v="0"/>
    <n v="0"/>
    <n v="0"/>
    <n v="0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97368421052631582"/>
    <s v="G&amp;A"/>
    <s v="HR"/>
    <n v="0"/>
    <n v="4"/>
    <x v="6"/>
  </r>
  <r>
    <n v="12060611"/>
    <s v="TP"/>
    <s v="Temporary Parttime"/>
    <n v="18996"/>
    <s v="PINDORIA  NIKSHEE MISS"/>
    <d v="2022-03-01T00:00:00"/>
    <s v="RT"/>
    <s v="RT"/>
    <n v="36.866399999999999"/>
    <n v="8.5329999999999995"/>
    <n v="77.133300000000006"/>
    <n v="0"/>
    <n v="0"/>
    <n v="20.9"/>
    <n v="0"/>
    <n v="15.966699999999999"/>
    <n v="0.21659999999999999"/>
    <n v="0"/>
    <n v="0"/>
    <n v="0"/>
    <n v="0"/>
    <n v="0"/>
    <n v="0"/>
    <n v="0"/>
    <n v="15.6"/>
    <n v="0"/>
    <n v="0"/>
    <n v="0"/>
    <n v="0"/>
    <n v="0"/>
    <n v="0"/>
    <n v="0"/>
    <n v="0"/>
    <n v="0"/>
    <n v="0"/>
    <n v="0"/>
    <n v="0"/>
    <n v="114.2166"/>
    <n v="0.10646907894736841"/>
    <n v="0.75142500000000001"/>
    <n v="0.75142500000000001"/>
    <s v="Microbiology"/>
    <s v="Perth Micro"/>
    <n v="15.6"/>
    <n v="15.6"/>
    <x v="4"/>
  </r>
  <r>
    <n v="12013250"/>
    <s v="FT"/>
    <s v="Fulltime"/>
    <n v="18995"/>
    <s v="PRAEKELT  WILNA MRS"/>
    <d v="2022-03-07T00:00:00"/>
    <s v="FN"/>
    <s v="FN"/>
    <n v="0"/>
    <n v="0"/>
    <n v="4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45.6"/>
    <n v="0"/>
    <n v="0.3"/>
    <n v="0.3"/>
    <s v="Senior Audit"/>
    <s v="Senior Audit"/>
    <n v="0"/>
    <n v="0"/>
    <x v="5"/>
  </r>
  <r>
    <n v="12023021"/>
    <s v="FT"/>
    <s v="Fulltime"/>
    <n v="19021"/>
    <s v="PRASHANTHAN  ARANE MRS"/>
    <d v="2022-06-24T00:00:00"/>
    <s v="RT"/>
    <s v="RT"/>
    <n v="29.002600000000001"/>
    <n v="88.405100000000004"/>
    <n v="143.86670000000001"/>
    <n v="0"/>
    <n v="0"/>
    <n v="0"/>
    <n v="0"/>
    <n v="3.75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5.2167"/>
    <n v="2.4671052631578948E-2"/>
    <n v="1.0211625"/>
    <n v="0.97116250000000004"/>
    <s v="Chemistry"/>
    <s v="Sydney Chem"/>
    <n v="7.6"/>
    <n v="7.6"/>
    <x v="1"/>
  </r>
  <r>
    <n v="12062511"/>
    <s v="FT"/>
    <s v="Fulltime"/>
    <n v="18792"/>
    <s v="PREMTHONG  VATCHAREE MISS"/>
    <d v="2017-09-26T00:00:00"/>
    <s v="RT"/>
    <s v="RT"/>
    <n v="6.2925000000000004"/>
    <n v="169.65209999999999"/>
    <n v="144.2167"/>
    <n v="0"/>
    <n v="0"/>
    <n v="0"/>
    <n v="0"/>
    <n v="7.2666000000000004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9.08330000000001"/>
    <n v="4.7806578947368422E-2"/>
    <n v="1.0466006578947369"/>
    <n v="0.99660065789473695"/>
    <s v="Microbiology"/>
    <s v="Perth Micro"/>
    <n v="7.6"/>
    <n v="7.6"/>
    <x v="4"/>
  </r>
  <r>
    <n v="12023021"/>
    <s v="FT"/>
    <s v="Fulltime"/>
    <n v="19027"/>
    <s v="QURASHI  RAYEED AHMED MR"/>
    <d v="2022-08-03T00:00:00"/>
    <s v="RT"/>
    <s v="RT"/>
    <n v="32.1663"/>
    <n v="64.732200000000006"/>
    <n v="7.6"/>
    <n v="0"/>
    <n v="0"/>
    <n v="0"/>
    <n v="0"/>
    <n v="0"/>
    <n v="0"/>
    <n v="0"/>
    <n v="0"/>
    <n v="0"/>
    <n v="0"/>
    <n v="0"/>
    <n v="0"/>
    <n v="0"/>
    <n v="38"/>
    <n v="0"/>
    <n v="0"/>
    <n v="0"/>
    <n v="0"/>
    <n v="0"/>
    <n v="0"/>
    <n v="0"/>
    <n v="0"/>
    <n v="0"/>
    <n v="0"/>
    <n v="0"/>
    <n v="0"/>
    <n v="7.6"/>
    <n v="0"/>
    <n v="4.9999999999999996E-2"/>
    <n v="4.9999999999999996E-2"/>
    <s v="Chemistry"/>
    <s v="Sydney Chem"/>
    <n v="38"/>
    <n v="38"/>
    <x v="1"/>
  </r>
  <r>
    <n v="12033011"/>
    <s v="TP"/>
    <s v="Temporary Parttime"/>
    <n v="19008"/>
    <s v="RADHA  IKSHITHA MS"/>
    <d v="2022-05-16T00:00:00"/>
    <s v="RT"/>
    <s v="RT"/>
    <n v="12.264099999999999"/>
    <n v="16.9282"/>
    <n v="0"/>
    <n v="0"/>
    <n v="0"/>
    <n v="22.8"/>
    <n v="21.9833"/>
    <n v="5.5667"/>
    <n v="3.06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3.416699999999992"/>
    <n v="5.6798684210526314E-2"/>
    <n v="0.35142565789473679"/>
    <n v="0.35142565789473679"/>
    <s v="Microbiology"/>
    <s v="Melb Micro"/>
    <n v="0"/>
    <n v="0"/>
    <x v="2"/>
  </r>
  <r>
    <n v="12030611"/>
    <s v="FT"/>
    <s v="Fulltime"/>
    <n v="18827"/>
    <s v="RAMALINGAM  JANSI MS"/>
    <d v="2018-05-24T00:00:00"/>
    <s v="RT"/>
    <s v="RT"/>
    <n v="31.9786"/>
    <n v="49.204099999999997"/>
    <n v="53.2"/>
    <n v="0"/>
    <n v="0"/>
    <n v="0"/>
    <n v="0"/>
    <n v="0"/>
    <n v="0"/>
    <n v="0"/>
    <n v="0"/>
    <n v="98.8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35000000000000003"/>
    <s v="Microbiology"/>
    <s v="Melb Micro"/>
    <n v="0"/>
    <n v="98.8"/>
    <x v="2"/>
  </r>
  <r>
    <n v="12043011"/>
    <s v="FT"/>
    <s v="Fulltime"/>
    <n v="18986"/>
    <s v="RAMIREZ CASTRO  MARIA MRS"/>
    <d v="2021-12-14T00:00:00"/>
    <s v="RT"/>
    <s v="RT"/>
    <n v="62.104799999999997"/>
    <n v="159.00970000000001"/>
    <n v="149.26679999999999"/>
    <n v="0"/>
    <n v="0"/>
    <n v="0"/>
    <n v="0"/>
    <n v="0.76659999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.0334"/>
    <n v="5.043421052631579E-3"/>
    <n v="0.98706184210526315"/>
    <n v="0.98706184210526315"/>
    <s v="Microbiology"/>
    <s v="Bris Micro"/>
    <n v="0"/>
    <n v="0"/>
    <x v="8"/>
  </r>
  <r>
    <n v="12021021"/>
    <s v="PT"/>
    <s v="Parttime"/>
    <n v="18960"/>
    <s v="RANGARAJ  USHA MRS"/>
    <d v="2021-08-03T00:00:00"/>
    <s v="RT"/>
    <s v="RT"/>
    <n v="28.072199999999999"/>
    <n v="63.544400000000003"/>
    <n v="77.333399999999997"/>
    <n v="0"/>
    <n v="0"/>
    <n v="0"/>
    <n v="0"/>
    <n v="4.2333999999999996"/>
    <n v="0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96.766800000000003"/>
    <n v="2.7851315789473682E-2"/>
    <n v="0.63662368421052629"/>
    <n v="0.53662368421052631"/>
    <s v="Chemistry"/>
    <s v="Sydney Chem"/>
    <n v="0"/>
    <n v="15.2"/>
    <x v="1"/>
  </r>
  <r>
    <n v="12030611"/>
    <s v="PT"/>
    <s v="Parttime"/>
    <n v="134"/>
    <s v="RATTLE  ROSE MRS"/>
    <d v="2006-03-24T00:00:00"/>
    <s v="RT"/>
    <s v="RT"/>
    <n v="118.2406"/>
    <n v="110.88639999999999"/>
    <n v="80"/>
    <n v="0"/>
    <n v="0"/>
    <n v="0"/>
    <n v="0"/>
    <n v="26.133199999999999"/>
    <n v="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3.4332"/>
    <n v="0.21995526315789474"/>
    <n v="0.74627105263157889"/>
    <n v="0.74627105263157889"/>
    <s v="Microbiology"/>
    <s v="Melb Micro"/>
    <n v="0"/>
    <n v="0"/>
    <x v="2"/>
  </r>
  <r>
    <n v="12033011"/>
    <s v="FT"/>
    <s v="Fulltime"/>
    <n v="19029"/>
    <s v="RAVI  SOORYA NARAYANAN MR"/>
    <d v="2022-08-16T00:00:00"/>
    <s v="RT"/>
    <s v="RT"/>
    <n v="11.2438"/>
    <n v="83.287700000000001"/>
    <n v="113.8167"/>
    <n v="0"/>
    <n v="0"/>
    <n v="30.2667"/>
    <n v="0"/>
    <n v="17.166699999999999"/>
    <n v="1.1833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70.03339999999997"/>
    <n v="0.1207236842105263"/>
    <n v="1.1186407894736841"/>
    <n v="1.068640789473684"/>
    <s v="Microbiology"/>
    <s v="Melb Micro"/>
    <n v="7.6"/>
    <n v="7.6"/>
    <x v="2"/>
  </r>
  <r>
    <n v="12043011"/>
    <s v="PT"/>
    <s v="Parttime"/>
    <n v="18858"/>
    <s v="RECHE SOLER  YAIZA MISS"/>
    <d v="2019-01-17T00:00:00"/>
    <s v="RT"/>
    <s v="RT"/>
    <n v="42.351100000000002"/>
    <n v="115.1007"/>
    <n v="0"/>
    <n v="0"/>
    <n v="0"/>
    <n v="0"/>
    <n v="0"/>
    <n v="0"/>
    <n v="0"/>
    <n v="0"/>
    <n v="0"/>
    <n v="0"/>
    <n v="0"/>
    <n v="0"/>
    <n v="0"/>
    <n v="0"/>
    <n v="0"/>
    <n v="0"/>
    <n v="91.2"/>
    <n v="0"/>
    <n v="0"/>
    <n v="0"/>
    <n v="0"/>
    <n v="0"/>
    <n v="0"/>
    <n v="0"/>
    <n v="0"/>
    <n v="0"/>
    <n v="0"/>
    <n v="0"/>
    <n v="0"/>
    <n v="0"/>
    <n v="0"/>
    <s v="Microbiology"/>
    <s v="Bris Micro"/>
    <n v="0"/>
    <n v="91.2"/>
    <x v="8"/>
  </r>
  <r>
    <n v="12021021"/>
    <s v="FT"/>
    <s v="Fulltime"/>
    <n v="18687"/>
    <s v="RESUS  ZARA MISS"/>
    <d v="2015-08-03T00:00:00"/>
    <s v="RT"/>
    <s v="RT"/>
    <n v="359.04989999999998"/>
    <n v="202.70070000000001"/>
    <n v="152"/>
    <n v="0"/>
    <n v="0"/>
    <n v="0"/>
    <n v="0"/>
    <n v="18.9331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.9332"/>
    <n v="0.12456052631578947"/>
    <n v="1.1245605263157894"/>
    <n v="1.1245605263157894"/>
    <s v="Chemistry"/>
    <s v="Sydney Chem"/>
    <n v="0"/>
    <n v="0"/>
    <x v="1"/>
  </r>
  <r>
    <n v="12060800"/>
    <s v="FT"/>
    <s v="Fulltime"/>
    <n v="18561"/>
    <s v="ROY  JISHA MRS"/>
    <d v="2012-10-10T00:00:00"/>
    <s v="RT"/>
    <s v="RT"/>
    <n v="17.3796"/>
    <n v="65"/>
    <n v="141.23339999999999"/>
    <n v="0"/>
    <n v="0"/>
    <n v="0"/>
    <n v="0"/>
    <n v="5.6334999999999997"/>
    <n v="0"/>
    <n v="0"/>
    <n v="0"/>
    <n v="0"/>
    <n v="10.6"/>
    <n v="0"/>
    <n v="0"/>
    <n v="0"/>
    <n v="0"/>
    <n v="0"/>
    <n v="0"/>
    <n v="0"/>
    <n v="0"/>
    <n v="0"/>
    <n v="0"/>
    <n v="0"/>
    <n v="0"/>
    <n v="0"/>
    <n v="0"/>
    <n v="0"/>
    <n v="0"/>
    <n v="157.46689999999998"/>
    <n v="3.7062499999999998E-2"/>
    <n v="1.0359664473684209"/>
    <n v="0.96622960526315782"/>
    <s v="Microbiology"/>
    <s v="PERTH Sample Registration"/>
    <n v="10.6"/>
    <n v="10.6"/>
    <x v="4"/>
  </r>
  <r>
    <n v="12033011"/>
    <s v="CAS"/>
    <s v="Casual RL"/>
    <n v="19030"/>
    <s v="RUSSELL  ADAM MR"/>
    <d v="2022-08-12T00:00:00"/>
    <s v="FN"/>
    <s v="FN"/>
    <n v="0"/>
    <n v="0"/>
    <n v="0"/>
    <n v="0"/>
    <n v="138.36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8.3665"/>
    <n v="0"/>
    <n v="0.91030592105263164"/>
    <n v="0.91030592105263164"/>
    <s v="Microbiology"/>
    <s v="Melb Micro"/>
    <n v="0"/>
    <n v="0"/>
    <x v="2"/>
  </r>
  <r>
    <n v="12022511"/>
    <s v="PT"/>
    <s v="Parttime"/>
    <n v="141"/>
    <s v="SAAD  KAREN MS"/>
    <d v="1992-02-10T00:00:00"/>
    <s v="RT"/>
    <s v="RT"/>
    <n v="92.653400000000005"/>
    <n v="168.81899999999999"/>
    <n v="68.400000000000006"/>
    <n v="0"/>
    <n v="0"/>
    <n v="0"/>
    <n v="0"/>
    <n v="1.5"/>
    <n v="0"/>
    <n v="0"/>
    <n v="0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92.7"/>
    <n v="9.8684210526315784E-3"/>
    <n v="0.60986842105263162"/>
    <n v="0.45986842105263159"/>
    <s v="Microbiology"/>
    <s v="Sydney Micro"/>
    <n v="0"/>
    <n v="22.8"/>
    <x v="0"/>
  </r>
  <r>
    <n v="12023011"/>
    <s v="FT"/>
    <s v="Fulltime"/>
    <n v="19042"/>
    <s v="SAHIR  KORISH MR"/>
    <d v="2022-11-22T00:00:00"/>
    <s v="RT"/>
    <s v="RT"/>
    <n v="13.638400000000001"/>
    <n v="34.8767"/>
    <n v="121.6"/>
    <n v="0"/>
    <n v="0"/>
    <n v="30.4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2.6315789473684209E-2"/>
    <n v="1.0263157894736843"/>
    <n v="1.0263157894736843"/>
    <s v="Microbiology"/>
    <s v="Sydney Micro"/>
    <n v="0"/>
    <n v="0"/>
    <x v="0"/>
  </r>
  <r>
    <n v="12043011"/>
    <s v="PT"/>
    <s v="Parttime"/>
    <n v="18924"/>
    <s v="SAMANTHIPUDI VASUDEVAN  KOKILA MRS"/>
    <d v="2020-09-28T00:00:00"/>
    <s v="RT"/>
    <s v="RT"/>
    <n v="3.8942000000000001"/>
    <n v="45.5884"/>
    <n v="85"/>
    <n v="0"/>
    <n v="0"/>
    <n v="0"/>
    <n v="0"/>
    <n v="2.4498000000000002"/>
    <n v="0"/>
    <n v="0"/>
    <n v="0"/>
    <n v="0"/>
    <n v="10"/>
    <n v="0"/>
    <n v="0"/>
    <n v="0"/>
    <n v="5"/>
    <n v="0"/>
    <n v="0"/>
    <n v="0"/>
    <n v="0"/>
    <n v="0"/>
    <n v="0"/>
    <n v="0"/>
    <n v="0"/>
    <n v="0"/>
    <n v="0"/>
    <n v="0"/>
    <n v="0"/>
    <n v="97.449799999999996"/>
    <n v="1.6117105263157894E-2"/>
    <n v="0.6411171052631579"/>
    <n v="0.5753276315789474"/>
    <s v="Microbiology"/>
    <s v="Bris Micro"/>
    <n v="15"/>
    <n v="15"/>
    <x v="8"/>
  </r>
  <r>
    <n v="12020500"/>
    <s v="PT"/>
    <s v="Parttime"/>
    <n v="18893"/>
    <s v="SANOBER  FAHMI MS"/>
    <d v="2019-11-04T00:00:00"/>
    <s v="FN"/>
    <s v="FN"/>
    <n v="18.269600000000001"/>
    <n v="19.9392"/>
    <n v="9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1.2"/>
    <n v="0"/>
    <n v="0.6"/>
    <n v="0.6"/>
    <s v="Lab Admin"/>
    <s v="Sydney Lab Admin"/>
    <n v="0"/>
    <n v="0"/>
    <x v="14"/>
  </r>
  <r>
    <n v="12022511"/>
    <s v="FT"/>
    <s v="Fulltime"/>
    <n v="145"/>
    <s v="SCHOLZ  ERAN MR"/>
    <d v="2005-04-18T00:00:00"/>
    <s v="RT"/>
    <s v="RT"/>
    <n v="17.129200000000001"/>
    <n v="290.69959999999998"/>
    <n v="152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4"/>
    <n v="1.3157894736842105E-2"/>
    <n v="1.013157894736842"/>
    <n v="1.013157894736842"/>
    <s v="Microbiology"/>
    <s v="Sydney Micro"/>
    <n v="0"/>
    <n v="0"/>
    <x v="0"/>
  </r>
  <r>
    <n v="12013250"/>
    <s v="FT"/>
    <s v="Fulltime"/>
    <n v="18920"/>
    <s v="SCHWANKE  ANNMARIE MRS"/>
    <d v="2020-08-20T00:00:00"/>
    <s v="FN"/>
    <s v="FN"/>
    <n v="79.143299999999996"/>
    <n v="70.686599999999999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Senior Audit"/>
    <s v="Senior Audit"/>
    <n v="0"/>
    <n v="0"/>
    <x v="5"/>
  </r>
  <r>
    <n v="12060611"/>
    <s v="TP"/>
    <s v="Temporary Parttime"/>
    <n v="18898"/>
    <s v="SEAL  MIHIKA MS"/>
    <d v="2020-02-03T00:00:00"/>
    <s v="RT"/>
    <s v="RT"/>
    <n v="19.148299999999999"/>
    <n v="23.663399999999999"/>
    <n v="106.66670000000001"/>
    <n v="0"/>
    <n v="0"/>
    <n v="0"/>
    <n v="0"/>
    <n v="11.200100000000001"/>
    <n v="5.5667"/>
    <n v="0"/>
    <n v="0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154.23350000000002"/>
    <n v="0.1103078947368421"/>
    <n v="1.0146940789473686"/>
    <n v="0.81206250000000013"/>
    <s v="Microbiology"/>
    <s v="Perth Micro"/>
    <n v="0"/>
    <n v="30.8"/>
    <x v="4"/>
  </r>
  <r>
    <n v="12020611"/>
    <s v="PT"/>
    <s v="Parttime"/>
    <n v="18831"/>
    <s v="SENTHURAN  SUGANIYA MRS"/>
    <d v="2018-06-14T00:00:00"/>
    <s v="RT"/>
    <s v="RT"/>
    <n v="11.6393"/>
    <n v="15.4322"/>
    <n v="22.8"/>
    <n v="0"/>
    <n v="0"/>
    <n v="0"/>
    <n v="30.4"/>
    <n v="3"/>
    <n v="4.5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0.800000000000004"/>
    <n v="4.9999999999999996E-2"/>
    <n v="0.4"/>
    <n v="0.4"/>
    <s v="Microbiology"/>
    <s v="Sydney Micro"/>
    <n v="0"/>
    <n v="0"/>
    <x v="0"/>
  </r>
  <r>
    <n v="12010500"/>
    <s v="FT"/>
    <s v="Fulltime"/>
    <n v="19054"/>
    <s v="SHEN  SHENDY MS"/>
    <d v="2023-01-23T00:00:00"/>
    <s v="RT"/>
    <s v="RT"/>
    <n v="8.3287999999999993"/>
    <n v="16.657499999999999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Lab Admin"/>
    <s v="Central Lab Admin"/>
    <n v="0"/>
    <n v="0"/>
    <x v="10"/>
  </r>
  <r>
    <n v="12033011"/>
    <s v="TF"/>
    <s v="Temporary Fulltime"/>
    <n v="19017"/>
    <s v="SINGH  NAMARTA MISS"/>
    <d v="2022-06-20T00:00:00"/>
    <s v="RT"/>
    <s v="RT"/>
    <n v="18.6356"/>
    <n v="67.671199999999999"/>
    <n v="121.6"/>
    <n v="0"/>
    <n v="0"/>
    <n v="30.4"/>
    <n v="0"/>
    <n v="24.4498"/>
    <n v="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4.59980000000002"/>
    <n v="0.21447236842105263"/>
    <n v="1.2144723684210528"/>
    <n v="1.2144723684210528"/>
    <s v="Microbiology"/>
    <s v="Melb Micro"/>
    <n v="0"/>
    <n v="0"/>
    <x v="2"/>
  </r>
  <r>
    <n v="12033011"/>
    <s v="FT"/>
    <s v="Fulltime"/>
    <n v="19011"/>
    <s v="SIVARAJ  DURGA MRS"/>
    <d v="2022-05-23T00:00:00"/>
    <s v="RT"/>
    <s v="RT"/>
    <n v="4.9139999999999997"/>
    <n v="47.8279"/>
    <n v="121.6"/>
    <n v="0"/>
    <n v="0"/>
    <n v="0"/>
    <n v="0"/>
    <n v="9.3500999999999994"/>
    <n v="0"/>
    <n v="0"/>
    <n v="0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161.35009999999997"/>
    <n v="6.151381578947368E-2"/>
    <n v="1.0615138157894735"/>
    <n v="0.86151381578947339"/>
    <s v="Microbiology"/>
    <s v="Melb Micro"/>
    <n v="15.2"/>
    <n v="30.4"/>
    <x v="2"/>
  </r>
  <r>
    <n v="12030611"/>
    <s v="FT"/>
    <s v="Fulltime"/>
    <n v="18797"/>
    <s v="SIVARAMAN  POORANI MS"/>
    <d v="2017-11-08T00:00:00"/>
    <s v="RT"/>
    <s v="RT"/>
    <n v="44.113500000000002"/>
    <n v="95.082300000000004"/>
    <n v="106.13330000000001"/>
    <n v="0"/>
    <n v="0"/>
    <n v="30.4"/>
    <n v="0"/>
    <n v="21.916699999999999"/>
    <n v="1.7834000000000001"/>
    <n v="0"/>
    <n v="0"/>
    <n v="7.6"/>
    <n v="7.6"/>
    <n v="0"/>
    <n v="0"/>
    <n v="0"/>
    <n v="0"/>
    <n v="0"/>
    <n v="0"/>
    <n v="0"/>
    <n v="0"/>
    <n v="0"/>
    <n v="0"/>
    <n v="0"/>
    <n v="0"/>
    <n v="0"/>
    <n v="0"/>
    <n v="0"/>
    <n v="0"/>
    <n v="175.43339999999998"/>
    <n v="0.15592171052631579"/>
    <n v="1.1541671052631577"/>
    <n v="1.0541671052631578"/>
    <s v="Microbiology"/>
    <s v="Melb Micro"/>
    <n v="7.6"/>
    <n v="15.2"/>
    <x v="2"/>
  </r>
  <r>
    <n v="12010700"/>
    <s v="FT"/>
    <s v="Fulltime"/>
    <n v="152"/>
    <s v="SKIPPER  MELINDA MS"/>
    <d v="1991-04-03T00:00:00"/>
    <s v="FN"/>
    <s v="FN"/>
    <n v="669.66240000000005"/>
    <n v="72.596199999999996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Quality"/>
    <s v="Quality"/>
    <n v="0"/>
    <n v="0"/>
    <x v="19"/>
  </r>
  <r>
    <n v="12030711"/>
    <s v="CAS"/>
    <s v="Casual RL"/>
    <n v="18793"/>
    <s v="SMITH  KAREN MRS"/>
    <d v="2017-10-07T00:00:00"/>
    <s v="RT"/>
    <s v="RT"/>
    <n v="0"/>
    <n v="0"/>
    <n v="0"/>
    <n v="0"/>
    <n v="0"/>
    <n v="0"/>
    <n v="24.6332999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.633299999999998"/>
    <n v="0"/>
    <n v="0.16206118421052632"/>
    <n v="0.16206118421052632"/>
    <s v="Microbiology"/>
    <s v="Melb Micro"/>
    <n v="0"/>
    <n v="0"/>
    <x v="2"/>
  </r>
  <r>
    <n v="12021021"/>
    <s v="FT"/>
    <s v="Fulltime"/>
    <n v="18781"/>
    <s v="SOHNY  THALITHA MRS"/>
    <d v="2017-06-05T00:00:00"/>
    <s v="RT"/>
    <s v="RT"/>
    <n v="1.7850999999999999"/>
    <n v="181.67080000000001"/>
    <n v="0"/>
    <n v="0"/>
    <n v="0"/>
    <n v="0"/>
    <n v="0"/>
    <n v="0"/>
    <n v="0"/>
    <n v="0"/>
    <n v="0"/>
    <n v="22.8"/>
    <n v="129.19999999999999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"/>
    <s v="Chemistry"/>
    <s v="Sydney Chem"/>
    <n v="129.19999999999999"/>
    <n v="152"/>
    <x v="1"/>
  </r>
  <r>
    <n v="12030611"/>
    <s v="FT"/>
    <s v="Fulltime"/>
    <n v="18918"/>
    <s v="SOLEIMANI  MARYAM MS"/>
    <d v="2020-06-22T00:00:00"/>
    <s v="RT"/>
    <s v="RT"/>
    <n v="10.335900000000001"/>
    <n v="337.54180000000002"/>
    <n v="151.91669999999999"/>
    <n v="0"/>
    <n v="0"/>
    <n v="0"/>
    <n v="0"/>
    <n v="19.683199999999999"/>
    <n v="1.68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3.28319999999999"/>
    <n v="0.14056907894736842"/>
    <n v="1.1400210526315788"/>
    <n v="1.1400210526315788"/>
    <s v="Microbiology"/>
    <s v="Melb Micro"/>
    <n v="0"/>
    <n v="0"/>
    <x v="2"/>
  </r>
  <r>
    <n v="12010700"/>
    <s v="FT"/>
    <s v="Fulltime"/>
    <n v="266"/>
    <s v="STAMATOVA  ZORICA MRS"/>
    <d v="2008-01-21T00:00:00"/>
    <s v="FN"/>
    <s v="FN"/>
    <n v="285.1927"/>
    <n v="243.47730000000001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Quality"/>
    <s v="Quality"/>
    <n v="0"/>
    <n v="0"/>
    <x v="19"/>
  </r>
  <r>
    <n v="12032511"/>
    <s v="FT"/>
    <s v="Fulltime"/>
    <n v="18736"/>
    <s v="STANICA  ANDREEA MRS"/>
    <d v="2016-09-05T00:00:00"/>
    <s v="RT"/>
    <s v="RT"/>
    <n v="22.125499999999999"/>
    <n v="44.975200000000001"/>
    <n v="53.2"/>
    <n v="0"/>
    <n v="0"/>
    <n v="0"/>
    <n v="0"/>
    <n v="14"/>
    <n v="9.6997999999999998"/>
    <n v="0"/>
    <n v="0"/>
    <n v="98.8"/>
    <n v="0"/>
    <n v="0"/>
    <n v="0"/>
    <n v="0"/>
    <n v="0"/>
    <n v="0"/>
    <n v="0"/>
    <n v="0"/>
    <n v="0"/>
    <n v="0"/>
    <n v="0"/>
    <n v="0"/>
    <n v="0"/>
    <n v="0"/>
    <n v="0"/>
    <n v="0"/>
    <n v="0"/>
    <n v="175.69979999999998"/>
    <n v="0.15591973684210525"/>
    <n v="1.1559197368421052"/>
    <n v="0.50591973684210512"/>
    <s v="Microbiology"/>
    <s v="Melb Micro"/>
    <n v="0"/>
    <n v="98.8"/>
    <x v="2"/>
  </r>
  <r>
    <n v="12062511"/>
    <s v="PT"/>
    <s v="Parttime"/>
    <n v="156"/>
    <s v="STILLITANO  SUE MRS"/>
    <d v="1997-08-06T00:00:00"/>
    <s v="RT"/>
    <s v="RT"/>
    <n v="137.63759999999999"/>
    <n v="33.578200000000002"/>
    <n v="32"/>
    <n v="0"/>
    <n v="0"/>
    <n v="0"/>
    <n v="0"/>
    <n v="0.69989999999999997"/>
    <n v="0"/>
    <n v="0"/>
    <n v="0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48.6999"/>
    <n v="4.6046052631578942E-3"/>
    <n v="0.32039407894736843"/>
    <n v="0.21513092105263157"/>
    <s v="Microbiology"/>
    <s v="Perth Micro"/>
    <n v="0"/>
    <n v="16"/>
    <x v="4"/>
  </r>
  <r>
    <n v="12033011"/>
    <s v="TF"/>
    <s v="Temporary Fulltime"/>
    <n v="19058"/>
    <s v="SUBRAMANYA  AKSHATHA MISS"/>
    <d v="2023-02-14T00:00:00"/>
    <s v="RT"/>
    <s v="RT"/>
    <n v="3.7479"/>
    <n v="7.4958999999999998"/>
    <n v="68.900000000000006"/>
    <n v="0"/>
    <n v="0"/>
    <n v="15"/>
    <n v="0"/>
    <n v="11.8"/>
    <n v="6.06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1.7667"/>
    <n v="0.11754407894736843"/>
    <n v="0.66951776315789469"/>
    <n v="0.66951776315789469"/>
    <s v="Microbiology"/>
    <s v="Melb Micro"/>
    <n v="0"/>
    <n v="0"/>
    <x v="2"/>
  </r>
  <r>
    <n v="12033011"/>
    <s v="PT"/>
    <s v="Parttime"/>
    <n v="18607"/>
    <s v="SUNDARA RAJAN  KALAI SELVI MRS"/>
    <d v="2013-12-04T00:00:00"/>
    <s v="RT"/>
    <s v="RT"/>
    <n v="14.9579"/>
    <n v="33.137"/>
    <n v="90.933300000000003"/>
    <n v="0"/>
    <n v="0"/>
    <n v="0"/>
    <n v="0"/>
    <n v="9.5832999999999995"/>
    <n v="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4.9666"/>
    <n v="9.2324342105263163E-2"/>
    <n v="0.69056973684210521"/>
    <n v="0.69056973684210521"/>
    <s v="Microbiology"/>
    <s v="Melb Micro"/>
    <n v="0"/>
    <n v="0"/>
    <x v="2"/>
  </r>
  <r>
    <n v="12060611"/>
    <s v="PT"/>
    <s v="Parttime"/>
    <n v="18895"/>
    <s v="SURYAVANSHI  SNEHAL HEMANT MRS"/>
    <d v="2019-11-22T00:00:00"/>
    <s v="RT"/>
    <s v="RT"/>
    <n v="15.814399999999999"/>
    <n v="8.1044"/>
    <n v="113.9833"/>
    <n v="0"/>
    <n v="0"/>
    <n v="0"/>
    <n v="0"/>
    <n v="20.416799999999999"/>
    <n v="12.566700000000001"/>
    <n v="0"/>
    <n v="0"/>
    <n v="0"/>
    <n v="0"/>
    <n v="0"/>
    <n v="0"/>
    <n v="0"/>
    <n v="7.6"/>
    <n v="0"/>
    <n v="0"/>
    <n v="0"/>
    <n v="0"/>
    <n v="0"/>
    <n v="0"/>
    <n v="0"/>
    <n v="0"/>
    <n v="0"/>
    <n v="0"/>
    <n v="0"/>
    <n v="0"/>
    <n v="146.96680000000001"/>
    <n v="0.21699671052631578"/>
    <n v="0.96688684210526321"/>
    <n v="0.96688684210526321"/>
    <s v="Microbiology"/>
    <s v="Perth Micro"/>
    <n v="7.6"/>
    <n v="7.6"/>
    <x v="4"/>
  </r>
  <r>
    <n v="12028099"/>
    <s v="FT"/>
    <s v="Fulltime"/>
    <n v="44705"/>
    <s v="THEW  BENJAMIN MR"/>
    <d v="2019-09-02T00:00:00"/>
    <s v="RT"/>
    <s v="RT"/>
    <n v="174.61179999999999"/>
    <n v="109.6236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Sales &amp; Marketing"/>
    <s v="Sydney Sales"/>
    <n v="0"/>
    <n v="0"/>
    <x v="3"/>
  </r>
  <r>
    <n v="12033011"/>
    <s v="FT"/>
    <s v="Fulltime"/>
    <n v="19048"/>
    <s v="TRAN  KIM LUAN MR"/>
    <d v="2022-12-07T00:00:00"/>
    <s v="RT"/>
    <s v="RT"/>
    <n v="10.5151"/>
    <n v="36.2301"/>
    <n v="146.33330000000001"/>
    <n v="0"/>
    <n v="0"/>
    <n v="0"/>
    <n v="0"/>
    <n v="25.533200000000001"/>
    <n v="3.94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5.81640000000002"/>
    <n v="0.19396776315789474"/>
    <n v="1.1566868421052632"/>
    <n v="1.1566868421052632"/>
    <s v="Microbiology"/>
    <s v="Melb Micro"/>
    <n v="0"/>
    <n v="0"/>
    <x v="2"/>
  </r>
  <r>
    <n v="12030500"/>
    <s v="FT"/>
    <s v="Fulltime"/>
    <n v="302"/>
    <s v="TRIFON  MARIA MS"/>
    <d v="2008-09-03T00:00:00"/>
    <s v="RT"/>
    <s v="RT"/>
    <n v="122.0329"/>
    <n v="153.70650000000001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0"/>
    <n v="0"/>
    <n v="0"/>
    <n v="0"/>
    <n v="0"/>
    <n v="0"/>
    <n v="0"/>
    <n v="0"/>
    <n v="0"/>
    <n v="0"/>
    <n v="0"/>
    <n v="0"/>
    <n v="0"/>
    <s v="Lab Admin"/>
    <s v="Melb Lab Admin"/>
    <n v="0"/>
    <n v="152"/>
    <x v="13"/>
  </r>
  <r>
    <n v="12033011"/>
    <s v="TF"/>
    <s v="Temporary Fulltime"/>
    <n v="19012"/>
    <s v="TRIVEDI  ARTI MRS"/>
    <d v="2022-05-23T00:00:00"/>
    <s v="RT"/>
    <s v="RT"/>
    <n v="9.9945000000000004"/>
    <n v="73.188999999999993"/>
    <n v="121.4333"/>
    <n v="0"/>
    <n v="0"/>
    <n v="30.4"/>
    <n v="0"/>
    <n v="17.4833"/>
    <n v="1.583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0.9"/>
    <n v="0.12543881578947369"/>
    <n v="1.1243421052631579"/>
    <n v="1.1243421052631579"/>
    <s v="Microbiology"/>
    <s v="Melb Micro"/>
    <n v="0"/>
    <n v="0"/>
    <x v="2"/>
  </r>
  <r>
    <n v="12023011"/>
    <s v="FT"/>
    <s v="Fulltime"/>
    <n v="19006"/>
    <s v="TRUONG  DAVID MR"/>
    <d v="2022-05-16T00:00:00"/>
    <s v="RT"/>
    <s v="RT"/>
    <n v="22.8"/>
    <n v="114"/>
    <n v="144.4"/>
    <n v="0"/>
    <n v="0"/>
    <n v="0"/>
    <n v="0"/>
    <n v="8.5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60.5"/>
    <n v="5.5921052631578948E-2"/>
    <n v="1.055921052631579"/>
    <n v="1.0059210526315789"/>
    <s v="Microbiology"/>
    <s v="Sydney Micro"/>
    <n v="7.6"/>
    <n v="7.6"/>
    <x v="0"/>
  </r>
  <r>
    <n v="12020800"/>
    <s v="FT"/>
    <s v="Fulltime"/>
    <n v="19052"/>
    <s v="TRUONG  RICHARD MR"/>
    <d v="2023-01-05T00:00:00"/>
    <s v="RT"/>
    <s v="RT"/>
    <n v="12.076700000000001"/>
    <n v="24.153400000000001"/>
    <n v="152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3"/>
    <n v="6.5789473684210523E-3"/>
    <n v="1.006578947368421"/>
    <n v="1.006578947368421"/>
    <s v="Microbiology"/>
    <s v="Sydney Sample Registration"/>
    <n v="0"/>
    <n v="0"/>
    <x v="0"/>
  </r>
  <r>
    <n v="12040800"/>
    <s v="FT"/>
    <s v="Fulltime"/>
    <n v="18904"/>
    <s v="TSELEKIDIS  SIA MS"/>
    <d v="2020-03-09T00:00:00"/>
    <s v="RT"/>
    <s v="RT"/>
    <n v="40.924300000000002"/>
    <n v="157.3486"/>
    <n v="143.91669999999999"/>
    <n v="0"/>
    <n v="0"/>
    <n v="0"/>
    <n v="0"/>
    <n v="7.1166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58.63329999999999"/>
    <n v="4.6819736842105261E-2"/>
    <n v="1.0436401315789474"/>
    <n v="0.99364013157894737"/>
    <s v="Microbiology"/>
    <s v="BRI Sample Registration"/>
    <n v="7.6"/>
    <n v="7.6"/>
    <x v="8"/>
  </r>
  <r>
    <n v="12021021"/>
    <s v="PT"/>
    <s v="Parttime"/>
    <n v="18892"/>
    <s v="TUIMASEVE  AMENAH MRS"/>
    <d v="2019-10-21T00:00:00"/>
    <s v="RT"/>
    <s v="RT"/>
    <n v="14.2042"/>
    <n v="73.708799999999997"/>
    <n v="137.91669999999999"/>
    <n v="0"/>
    <n v="0"/>
    <n v="0"/>
    <n v="0"/>
    <n v="1.1833"/>
    <n v="0"/>
    <n v="0"/>
    <n v="0"/>
    <n v="0"/>
    <n v="6"/>
    <n v="0"/>
    <n v="0"/>
    <n v="6"/>
    <n v="0"/>
    <n v="0"/>
    <n v="0"/>
    <n v="0"/>
    <n v="0"/>
    <n v="0"/>
    <n v="0"/>
    <n v="0"/>
    <n v="0"/>
    <n v="0"/>
    <n v="0"/>
    <n v="0"/>
    <n v="0"/>
    <n v="151.1"/>
    <n v="7.7848684210526315E-3"/>
    <n v="0.99407894736842106"/>
    <n v="0.91513157894736841"/>
    <s v="Chemistry"/>
    <s v="Sydney Chem"/>
    <n v="12"/>
    <n v="12"/>
    <x v="1"/>
  </r>
  <r>
    <n v="12033011"/>
    <s v="FT"/>
    <s v="Fulltime"/>
    <n v="19009"/>
    <s v="VASHISHTH  DEEPIKA MS"/>
    <d v="2022-05-23T00:00:00"/>
    <s v="RT"/>
    <s v="RT"/>
    <n v="2.6425000000000001"/>
    <n v="42.684899999999999"/>
    <n v="114"/>
    <n v="0"/>
    <n v="0"/>
    <n v="30.4"/>
    <n v="0"/>
    <n v="10.5831"/>
    <n v="0"/>
    <n v="0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162.5831"/>
    <n v="6.9625657894736848E-2"/>
    <n v="1.069625657894737"/>
    <n v="1.0196256578947369"/>
    <s v="Microbiology"/>
    <s v="Melb Micro"/>
    <n v="7.6"/>
    <n v="7.6"/>
    <x v="2"/>
  </r>
  <r>
    <n v="12033011"/>
    <s v="TF"/>
    <s v="Temporary Fulltime"/>
    <n v="19019"/>
    <s v="VOHRA  ATEEV MR"/>
    <d v="2022-06-22T00:00:00"/>
    <s v="RT"/>
    <s v="RT"/>
    <n v="14.4175"/>
    <n v="19.673400000000001"/>
    <n v="114"/>
    <n v="0"/>
    <n v="0"/>
    <n v="29.8"/>
    <n v="0"/>
    <n v="27.283300000000001"/>
    <n v="5.7667999999999999"/>
    <n v="0"/>
    <n v="0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184.45009999999999"/>
    <n v="0.21743486842105264"/>
    <n v="1.2134875000000001"/>
    <n v="1.1634875"/>
    <s v="Microbiology"/>
    <s v="Melb Micro"/>
    <n v="0"/>
    <n v="7.6"/>
    <x v="2"/>
  </r>
  <r>
    <n v="12013250"/>
    <s v="FT"/>
    <s v="Fulltime"/>
    <n v="18946"/>
    <s v="WHITE  TERESA MS"/>
    <d v="2021-03-22T00:00:00"/>
    <s v="FN"/>
    <s v="FN"/>
    <n v="41.921399999999998"/>
    <n v="67.442599999999999"/>
    <n v="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1"/>
    <s v="Senior Audit"/>
    <s v="Senior Audit"/>
    <n v="0"/>
    <n v="0"/>
    <x v="5"/>
  </r>
  <r>
    <n v="12063011"/>
    <s v="TP"/>
    <s v="Temporary Parttime"/>
    <n v="19037"/>
    <s v="WIJESINGHE  PULASTHI MR"/>
    <d v="2022-09-09T00:00:00"/>
    <s v="RT"/>
    <s v="RT"/>
    <n v="24.4041"/>
    <n v="25.8081"/>
    <n v="64.716700000000003"/>
    <n v="0"/>
    <n v="0"/>
    <n v="11.9"/>
    <n v="0"/>
    <n v="4.61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1.233300000000014"/>
    <n v="3.0372368421052631E-2"/>
    <n v="0.53442960526315797"/>
    <n v="0.53442960526315797"/>
    <s v="Microbiology"/>
    <s v="Perth Micro"/>
    <n v="0"/>
    <n v="0"/>
    <x v="4"/>
  </r>
  <r>
    <n v="12024021"/>
    <s v="FT"/>
    <s v="Fulltime"/>
    <n v="18581"/>
    <s v="WU  JUN MRS"/>
    <d v="2013-04-02T00:00:00"/>
    <s v="RT"/>
    <s v="RT"/>
    <n v="85.8874"/>
    <n v="213.17259999999999"/>
    <n v="121.6"/>
    <n v="0"/>
    <n v="0"/>
    <n v="0"/>
    <n v="0"/>
    <n v="0"/>
    <n v="0"/>
    <n v="0"/>
    <n v="0"/>
    <n v="22.8"/>
    <n v="7.6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79999999999999993"/>
    <s v="R&amp;D"/>
    <s v="R&amp;D"/>
    <n v="7.6"/>
    <n v="30.4"/>
    <x v="20"/>
  </r>
  <r>
    <n v="12021021"/>
    <s v="FT"/>
    <s v="Fulltime"/>
    <n v="18911"/>
    <s v="XYLOPORTA  MARIA MRS"/>
    <d v="2020-04-09T00:00:00"/>
    <s v="RT"/>
    <s v="RT"/>
    <n v="154.57259999999999"/>
    <n v="144.34520000000001"/>
    <n v="135.16669999999999"/>
    <n v="0"/>
    <n v="0"/>
    <n v="0"/>
    <n v="0"/>
    <n v="18.116599999999998"/>
    <n v="0.05"/>
    <n v="0"/>
    <n v="0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168.5333"/>
    <n v="0.11951710526315788"/>
    <n v="1.1087717105263157"/>
    <n v="1.0087717105263159"/>
    <s v="Chemistry"/>
    <s v="Sydney Chem"/>
    <n v="0"/>
    <n v="15.2"/>
    <x v="1"/>
  </r>
  <r>
    <n v="12033011"/>
    <s v="FT"/>
    <s v="Fulltime"/>
    <n v="18983"/>
    <s v="YADAGIRI  SIRI MS"/>
    <d v="2021-11-26T00:00:00"/>
    <s v="FN"/>
    <s v="FN"/>
    <n v="16.137"/>
    <n v="55.073999999999998"/>
    <n v="121.6"/>
    <n v="0"/>
    <n v="0"/>
    <n v="30.1"/>
    <n v="0"/>
    <n v="24.833300000000001"/>
    <n v="2.36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8.8999"/>
    <n v="0.17894671052631578"/>
    <n v="1.1769730263157896"/>
    <n v="1.1769730263157896"/>
    <s v="Microbiology"/>
    <s v="Melb Micro"/>
    <n v="0"/>
    <n v="0"/>
    <x v="2"/>
  </r>
  <r>
    <n v="12023011"/>
    <s v="TF"/>
    <s v="Temporary Fulltime"/>
    <n v="19007"/>
    <s v="YASEEN  MISBAH MRS"/>
    <d v="2022-05-24T00:00:00"/>
    <s v="RT"/>
    <s v="RT"/>
    <n v="39.3035"/>
    <n v="34.607100000000003"/>
    <n v="105.4"/>
    <n v="0"/>
    <n v="0"/>
    <n v="30.4"/>
    <n v="0"/>
    <n v="0"/>
    <n v="0"/>
    <n v="0"/>
    <n v="0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152"/>
    <n v="0"/>
    <n v="1"/>
    <n v="0.893421052631579"/>
    <s v="Microbiology"/>
    <s v="Sydney Micro"/>
    <n v="0"/>
    <n v="16.2"/>
    <x v="0"/>
  </r>
  <r>
    <n v="12020611"/>
    <s v="FT"/>
    <s v="Fulltime"/>
    <n v="18903"/>
    <s v="YU  SHAN MISS"/>
    <d v="2020-03-04T00:00:00"/>
    <s v="RT"/>
    <s v="RT"/>
    <n v="111.6"/>
    <n v="248.3"/>
    <n v="121.6"/>
    <n v="0"/>
    <n v="0"/>
    <n v="30.4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8"/>
    <n v="3.9473684210526314E-2"/>
    <n v="1.0394736842105263"/>
    <n v="1.0394736842105263"/>
    <s v="Microbiology"/>
    <s v="Sydney Micro"/>
    <n v="0"/>
    <n v="0"/>
    <x v="0"/>
  </r>
  <r>
    <n v="12020611"/>
    <s v="FT"/>
    <s v="Fulltime"/>
    <n v="18957"/>
    <s v="ZHAO  ZHENJUN MR"/>
    <d v="2021-07-20T00:00:00"/>
    <s v="RT"/>
    <s v="RT"/>
    <n v="44.765799999999999"/>
    <n v="107.7315"/>
    <n v="121.6"/>
    <n v="0"/>
    <n v="0"/>
    <n v="0"/>
    <n v="0"/>
    <n v="3"/>
    <n v="0"/>
    <n v="0"/>
    <n v="0"/>
    <n v="22.8"/>
    <n v="7.6"/>
    <n v="0"/>
    <n v="0"/>
    <n v="0"/>
    <n v="0"/>
    <n v="0"/>
    <n v="0"/>
    <n v="0"/>
    <n v="0"/>
    <n v="0"/>
    <n v="0"/>
    <n v="0"/>
    <n v="0"/>
    <n v="0"/>
    <n v="0"/>
    <n v="0"/>
    <n v="0"/>
    <n v="155"/>
    <n v="1.9736842105263157E-2"/>
    <n v="1.0197368421052631"/>
    <n v="0.8197368421052631"/>
    <s v="Microbiology"/>
    <s v="Sydney Micro"/>
    <n v="7.6"/>
    <n v="30.4"/>
    <x v="0"/>
  </r>
  <r>
    <s v="Report Total:"/>
    <s v=""/>
    <s v=""/>
    <n v="0"/>
    <s v="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n v="0"/>
    <n v="0"/>
    <x v="21"/>
  </r>
  <r>
    <n v="0"/>
    <s v=""/>
    <s v=""/>
    <n v="0"/>
    <s v="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n v="0"/>
    <n v="0"/>
    <x v="21"/>
  </r>
  <r>
    <n v="0"/>
    <s v=""/>
    <s v=""/>
    <n v="0"/>
    <s v="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n v="0"/>
    <n v="0"/>
    <x v="21"/>
  </r>
  <r>
    <n v="0"/>
    <s v=""/>
    <s v=""/>
    <n v="0"/>
    <s v="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n v="0"/>
    <n v="0"/>
    <x v="21"/>
  </r>
  <r>
    <n v="0"/>
    <s v=""/>
    <s v=""/>
    <n v="0"/>
    <s v="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n v="0"/>
    <n v="0"/>
    <x v="21"/>
  </r>
  <r>
    <n v="0"/>
    <s v=""/>
    <s v=""/>
    <n v="0"/>
    <s v="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n v="0"/>
    <n v="0"/>
    <x v="21"/>
  </r>
  <r>
    <n v="0"/>
    <s v=""/>
    <s v=""/>
    <n v="0"/>
    <s v="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n v="0"/>
    <n v="0"/>
    <x v="21"/>
  </r>
  <r>
    <n v="0"/>
    <s v=""/>
    <s v=""/>
    <n v="0"/>
    <s v="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n v="0"/>
    <n v="0"/>
    <x v="21"/>
  </r>
  <r>
    <n v="0"/>
    <s v=""/>
    <s v=""/>
    <n v="0"/>
    <s v="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n v="0"/>
    <n v="0"/>
    <x v="21"/>
  </r>
  <r>
    <n v="0"/>
    <s v=""/>
    <s v=""/>
    <n v="0"/>
    <s v="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n v="0"/>
    <n v="0"/>
    <x v="21"/>
  </r>
  <r>
    <n v="0"/>
    <s v=""/>
    <s v=""/>
    <n v="0"/>
    <s v="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n v="0"/>
    <n v="0"/>
    <x v="21"/>
  </r>
  <r>
    <n v="0"/>
    <s v=""/>
    <s v=""/>
    <n v="0"/>
    <s v="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n v="0"/>
    <n v="0"/>
    <x v="21"/>
  </r>
  <r>
    <n v="0"/>
    <s v=""/>
    <s v=""/>
    <n v="0"/>
    <s v="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n v="0"/>
    <n v="0"/>
    <x v="21"/>
  </r>
  <r>
    <n v="0"/>
    <s v=""/>
    <s v=""/>
    <n v="0"/>
    <s v="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n v="0"/>
    <n v="0"/>
    <x v="21"/>
  </r>
  <r>
    <n v="0"/>
    <s v=""/>
    <s v=""/>
    <n v="0"/>
    <s v="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n v="0"/>
    <n v="0"/>
    <x v="21"/>
  </r>
  <r>
    <n v="0"/>
    <s v=""/>
    <s v=""/>
    <n v="0"/>
    <s v="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n v="0"/>
    <n v="0"/>
    <x v="21"/>
  </r>
  <r>
    <n v="0"/>
    <s v=""/>
    <s v=""/>
    <n v="0"/>
    <s v="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n v="0"/>
    <n v="0"/>
    <x v="21"/>
  </r>
  <r>
    <n v="0"/>
    <s v=""/>
    <s v=""/>
    <n v="0"/>
    <s v=""/>
    <s v=""/>
    <s v=""/>
    <s v=""/>
    <n v="0"/>
    <n v="0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m/>
    <n v="0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  <r>
    <n v="0"/>
    <m/>
    <s v=""/>
    <n v="0"/>
    <s v=""/>
    <s v=""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s v=""/>
    <s v=""/>
    <n v="0"/>
    <n v="0"/>
    <x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createdVersion="4" indent="0" outline="1" outlineData="1" multipleFieldFilters="0">
  <location ref="A2:F45" firstHeaderRow="0" firstDataRow="1" firstDataCol="1"/>
  <pivotFields count="45">
    <pivotField showAll="0"/>
    <pivotField showAll="0"/>
    <pivotField showAll="0"/>
    <pivotField showAll="0"/>
    <pivotField showAll="0"/>
    <pivotField numFmtId="14" showAll="0"/>
    <pivotField showAll="0"/>
    <pivotField showAll="0"/>
    <pivotField numFmtId="166" showAll="0" defaultSubtotal="0"/>
    <pivotField numFmtId="166" showAll="0" defaultSubtotal="0"/>
    <pivotField showAll="0"/>
    <pivotField showAll="0" defaultSubtotal="0"/>
    <pivotField showAl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dataField="1" numFmtId="43" showAll="0" defaultSubtotal="0"/>
    <pivotField dataField="1" numFmtId="164" showAll="0"/>
    <pivotField dataField="1" numFmtId="164" showAll="0"/>
    <pivotField axis="axisRow" showAll="0">
      <items count="14">
        <item x="1"/>
        <item x="5"/>
        <item x="4"/>
        <item x="6"/>
        <item x="7"/>
        <item x="0"/>
        <item x="8"/>
        <item x="9"/>
        <item x="2"/>
        <item x="3"/>
        <item x="10"/>
        <item m="1" x="11"/>
        <item m="1" x="12"/>
        <item t="default"/>
      </items>
    </pivotField>
    <pivotField axis="axisRow" showAll="0" defaultSubtotal="0">
      <items count="34">
        <item x="27"/>
        <item x="19"/>
        <item x="13"/>
        <item x="24"/>
        <item x="4"/>
        <item x="16"/>
        <item x="26"/>
        <item x="9"/>
        <item x="11"/>
        <item x="14"/>
        <item x="18"/>
        <item x="23"/>
        <item x="20"/>
        <item x="6"/>
        <item x="17"/>
        <item x="7"/>
        <item x="15"/>
        <item x="28"/>
        <item x="29"/>
        <item x="22"/>
        <item x="8"/>
        <item x="1"/>
        <item x="10"/>
        <item x="21"/>
        <item x="0"/>
        <item x="3"/>
        <item x="30"/>
        <item x="5"/>
        <item x="12"/>
        <item x="25"/>
        <item x="2"/>
        <item m="1" x="31"/>
        <item m="1" x="33"/>
        <item m="1" x="32"/>
      </items>
    </pivotField>
    <pivotField dataField="1" showAll="0" defaultSubtotal="0"/>
    <pivotField dataField="1" showAll="0" defaultSubtotal="0"/>
  </pivotFields>
  <rowFields count="2">
    <field x="41"/>
    <field x="42"/>
  </rowFields>
  <rowItems count="43">
    <i>
      <x/>
    </i>
    <i r="1">
      <x v="3"/>
    </i>
    <i r="1">
      <x v="21"/>
    </i>
    <i>
      <x v="1"/>
    </i>
    <i r="1">
      <x/>
    </i>
    <i r="1">
      <x v="11"/>
    </i>
    <i r="1">
      <x v="14"/>
    </i>
    <i r="1">
      <x v="22"/>
    </i>
    <i>
      <x v="2"/>
    </i>
    <i r="1">
      <x v="7"/>
    </i>
    <i r="1">
      <x v="8"/>
    </i>
    <i r="1">
      <x v="10"/>
    </i>
    <i>
      <x v="3"/>
    </i>
    <i r="1">
      <x v="9"/>
    </i>
    <i>
      <x v="4"/>
    </i>
    <i r="1">
      <x v="1"/>
    </i>
    <i r="1">
      <x v="5"/>
    </i>
    <i r="1">
      <x v="12"/>
    </i>
    <i r="1">
      <x v="23"/>
    </i>
    <i>
      <x v="5"/>
    </i>
    <i r="1">
      <x v="2"/>
    </i>
    <i r="1">
      <x v="13"/>
    </i>
    <i r="1">
      <x v="15"/>
    </i>
    <i r="1">
      <x v="19"/>
    </i>
    <i r="1">
      <x v="24"/>
    </i>
    <i r="1">
      <x v="27"/>
    </i>
    <i r="1">
      <x v="28"/>
    </i>
    <i r="1">
      <x v="29"/>
    </i>
    <i r="1">
      <x v="30"/>
    </i>
    <i>
      <x v="6"/>
    </i>
    <i r="1">
      <x v="17"/>
    </i>
    <i>
      <x v="7"/>
    </i>
    <i r="1">
      <x v="18"/>
    </i>
    <i>
      <x v="8"/>
    </i>
    <i r="1">
      <x v="4"/>
    </i>
    <i r="1">
      <x v="6"/>
    </i>
    <i r="1">
      <x v="16"/>
    </i>
    <i r="1">
      <x v="25"/>
    </i>
    <i>
      <x v="9"/>
    </i>
    <i r="1">
      <x v="20"/>
    </i>
    <i>
      <x v="10"/>
    </i>
    <i r="1">
      <x v="2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OT FTE" fld="38" baseField="0" baseItem="0"/>
    <dataField name="Sum of Paid FTE" fld="39" baseField="0" baseItem="0"/>
    <dataField name="Sum of Worked FTE" fld="40" baseField="0" baseItem="0"/>
    <dataField name="Sum of Unplanned Leaves (hours)" fld="43" baseField="39" baseItem="3"/>
    <dataField name="Sum of ALL Leaves (hours)" fld="44" baseField="39" baseItem="3"/>
  </dataFields>
  <formats count="102">
    <format dxfId="128">
      <pivotArea collapsedLevelsAreSubtotals="1" fieldPosition="0">
        <references count="3">
          <reference field="4294967294" count="1" selected="0">
            <x v="1"/>
          </reference>
          <reference field="41" count="1" selected="0">
            <x v="0"/>
          </reference>
          <reference field="42" count="1">
            <x v="3"/>
          </reference>
        </references>
      </pivotArea>
    </format>
    <format dxfId="127">
      <pivotArea collapsedLevelsAreSubtotals="1" fieldPosition="0">
        <references count="3">
          <reference field="4294967294" count="1" selected="0">
            <x v="2"/>
          </reference>
          <reference field="41" count="1" selected="0">
            <x v="0"/>
          </reference>
          <reference field="42" count="1">
            <x v="3"/>
          </reference>
        </references>
      </pivotArea>
    </format>
    <format dxfId="126">
      <pivotArea collapsedLevelsAreSubtotals="1" fieldPosition="0">
        <references count="3">
          <reference field="4294967294" count="1" selected="0">
            <x v="0"/>
          </reference>
          <reference field="41" count="1" selected="0">
            <x v="0"/>
          </reference>
          <reference field="42" count="1">
            <x v="3"/>
          </reference>
        </references>
      </pivotArea>
    </format>
    <format dxfId="125">
      <pivotArea collapsedLevelsAreSubtotals="1" fieldPosition="0">
        <references count="3">
          <reference field="4294967294" count="1" selected="0">
            <x v="0"/>
          </reference>
          <reference field="41" count="1" selected="0">
            <x v="5"/>
          </reference>
          <reference field="42" count="1">
            <x v="2"/>
          </reference>
        </references>
      </pivotArea>
    </format>
    <format dxfId="124">
      <pivotArea collapsedLevelsAreSubtotals="1" fieldPosition="0">
        <references count="3">
          <reference field="4294967294" count="1" selected="0">
            <x v="1"/>
          </reference>
          <reference field="41" count="1" selected="0">
            <x v="5"/>
          </reference>
          <reference field="42" count="1">
            <x v="2"/>
          </reference>
        </references>
      </pivotArea>
    </format>
    <format dxfId="123">
      <pivotArea collapsedLevelsAreSubtotals="1" fieldPosition="0">
        <references count="3">
          <reference field="4294967294" count="1" selected="0">
            <x v="2"/>
          </reference>
          <reference field="41" count="1" selected="0">
            <x v="5"/>
          </reference>
          <reference field="42" count="1">
            <x v="2"/>
          </reference>
        </references>
      </pivotArea>
    </format>
    <format dxfId="122">
      <pivotArea collapsedLevelsAreSubtotals="1" fieldPosition="0">
        <references count="3">
          <reference field="4294967294" count="1" selected="0">
            <x v="1"/>
          </reference>
          <reference field="41" count="1" selected="0">
            <x v="5"/>
          </reference>
          <reference field="42" count="1">
            <x v="13"/>
          </reference>
        </references>
      </pivotArea>
    </format>
    <format dxfId="121">
      <pivotArea collapsedLevelsAreSubtotals="1" fieldPosition="0">
        <references count="3">
          <reference field="4294967294" count="1" selected="0">
            <x v="2"/>
          </reference>
          <reference field="41" count="1" selected="0">
            <x v="5"/>
          </reference>
          <reference field="42" count="1">
            <x v="13"/>
          </reference>
        </references>
      </pivotArea>
    </format>
    <format dxfId="120">
      <pivotArea collapsedLevelsAreSubtotals="1" fieldPosition="0">
        <references count="3">
          <reference field="4294967294" count="1" selected="0">
            <x v="0"/>
          </reference>
          <reference field="41" count="1" selected="0">
            <x v="5"/>
          </reference>
          <reference field="42" count="1">
            <x v="13"/>
          </reference>
        </references>
      </pivotArea>
    </format>
    <format dxfId="119">
      <pivotArea collapsedLevelsAreSubtotals="1" fieldPosition="0">
        <references count="3">
          <reference field="4294967294" count="1" selected="0">
            <x v="1"/>
          </reference>
          <reference field="41" count="1" selected="0">
            <x v="5"/>
          </reference>
          <reference field="42" count="1">
            <x v="15"/>
          </reference>
        </references>
      </pivotArea>
    </format>
    <format dxfId="118">
      <pivotArea collapsedLevelsAreSubtotals="1" fieldPosition="0">
        <references count="3">
          <reference field="4294967294" count="1" selected="0">
            <x v="2"/>
          </reference>
          <reference field="41" count="1" selected="0">
            <x v="5"/>
          </reference>
          <reference field="42" count="1">
            <x v="15"/>
          </reference>
        </references>
      </pivotArea>
    </format>
    <format dxfId="117">
      <pivotArea collapsedLevelsAreSubtotals="1" fieldPosition="0">
        <references count="3">
          <reference field="4294967294" count="1" selected="0">
            <x v="0"/>
          </reference>
          <reference field="41" count="1" selected="0">
            <x v="5"/>
          </reference>
          <reference field="42" count="1">
            <x v="15"/>
          </reference>
        </references>
      </pivotArea>
    </format>
    <format dxfId="116">
      <pivotArea collapsedLevelsAreSubtotals="1" fieldPosition="0">
        <references count="2">
          <reference field="41" count="1" selected="0">
            <x v="5"/>
          </reference>
          <reference field="42" count="1">
            <x v="24"/>
          </reference>
        </references>
      </pivotArea>
    </format>
    <format dxfId="115">
      <pivotArea collapsedLevelsAreSubtotals="1" fieldPosition="0">
        <references count="3">
          <reference field="4294967294" count="1" selected="0">
            <x v="0"/>
          </reference>
          <reference field="41" count="1" selected="0">
            <x v="0"/>
          </reference>
          <reference field="42" count="1">
            <x v="3"/>
          </reference>
        </references>
      </pivotArea>
    </format>
    <format dxfId="114">
      <pivotArea collapsedLevelsAreSubtotals="1" fieldPosition="0">
        <references count="3">
          <reference field="4294967294" count="1" selected="0">
            <x v="0"/>
          </reference>
          <reference field="41" count="1" selected="0">
            <x v="0"/>
          </reference>
          <reference field="42" count="1">
            <x v="21"/>
          </reference>
        </references>
      </pivotArea>
    </format>
    <format dxfId="113">
      <pivotArea outline="0" collapsedLevelsAreSubtotals="1" fieldPosition="0"/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collapsedLevelsAreSubtotals="1" fieldPosition="0">
        <references count="1">
          <reference field="41" count="1">
            <x v="0"/>
          </reference>
        </references>
      </pivotArea>
    </format>
    <format dxfId="110">
      <pivotArea collapsedLevelsAreSubtotals="1" fieldPosition="0">
        <references count="2">
          <reference field="41" count="1" selected="0">
            <x v="0"/>
          </reference>
          <reference field="42" count="2">
            <x v="3"/>
            <x v="21"/>
          </reference>
        </references>
      </pivotArea>
    </format>
    <format dxfId="109">
      <pivotArea collapsedLevelsAreSubtotals="1" fieldPosition="0">
        <references count="1">
          <reference field="41" count="1">
            <x v="1"/>
          </reference>
        </references>
      </pivotArea>
    </format>
    <format dxfId="108">
      <pivotArea collapsedLevelsAreSubtotals="1" fieldPosition="0">
        <references count="2">
          <reference field="41" count="1" selected="0">
            <x v="1"/>
          </reference>
          <reference field="42" count="4">
            <x v="0"/>
            <x v="11"/>
            <x v="14"/>
            <x v="22"/>
          </reference>
        </references>
      </pivotArea>
    </format>
    <format dxfId="107">
      <pivotArea collapsedLevelsAreSubtotals="1" fieldPosition="0">
        <references count="1">
          <reference field="41" count="1">
            <x v="2"/>
          </reference>
        </references>
      </pivotArea>
    </format>
    <format dxfId="106">
      <pivotArea collapsedLevelsAreSubtotals="1" fieldPosition="0">
        <references count="2">
          <reference field="41" count="1" selected="0">
            <x v="2"/>
          </reference>
          <reference field="42" count="3">
            <x v="7"/>
            <x v="8"/>
            <x v="10"/>
          </reference>
        </references>
      </pivotArea>
    </format>
    <format dxfId="105">
      <pivotArea collapsedLevelsAreSubtotals="1" fieldPosition="0">
        <references count="1">
          <reference field="41" count="1">
            <x v="3"/>
          </reference>
        </references>
      </pivotArea>
    </format>
    <format dxfId="104">
      <pivotArea collapsedLevelsAreSubtotals="1" fieldPosition="0">
        <references count="2">
          <reference field="41" count="1" selected="0">
            <x v="3"/>
          </reference>
          <reference field="42" count="1">
            <x v="9"/>
          </reference>
        </references>
      </pivotArea>
    </format>
    <format dxfId="103">
      <pivotArea collapsedLevelsAreSubtotals="1" fieldPosition="0">
        <references count="1">
          <reference field="41" count="1">
            <x v="4"/>
          </reference>
        </references>
      </pivotArea>
    </format>
    <format dxfId="102">
      <pivotArea collapsedLevelsAreSubtotals="1" fieldPosition="0">
        <references count="2">
          <reference field="41" count="1" selected="0">
            <x v="4"/>
          </reference>
          <reference field="42" count="4">
            <x v="1"/>
            <x v="5"/>
            <x v="12"/>
            <x v="23"/>
          </reference>
        </references>
      </pivotArea>
    </format>
    <format dxfId="101">
      <pivotArea collapsedLevelsAreSubtotals="1" fieldPosition="0">
        <references count="1">
          <reference field="41" count="1">
            <x v="5"/>
          </reference>
        </references>
      </pivotArea>
    </format>
    <format dxfId="100">
      <pivotArea collapsedLevelsAreSubtotals="1" fieldPosition="0">
        <references count="2">
          <reference field="41" count="1" selected="0">
            <x v="5"/>
          </reference>
          <reference field="42" count="5">
            <x v="2"/>
            <x v="13"/>
            <x v="15"/>
            <x v="19"/>
            <x v="24"/>
          </reference>
        </references>
      </pivotArea>
    </format>
    <format dxfId="99">
      <pivotArea collapsedLevelsAreSubtotals="1" fieldPosition="0">
        <references count="1">
          <reference field="41" count="1">
            <x v="6"/>
          </reference>
        </references>
      </pivotArea>
    </format>
    <format dxfId="98">
      <pivotArea collapsedLevelsAreSubtotals="1" fieldPosition="0">
        <references count="2">
          <reference field="41" count="1" selected="0">
            <x v="6"/>
          </reference>
          <reference field="42" count="1">
            <x v="17"/>
          </reference>
        </references>
      </pivotArea>
    </format>
    <format dxfId="97">
      <pivotArea collapsedLevelsAreSubtotals="1" fieldPosition="0">
        <references count="1">
          <reference field="41" count="1">
            <x v="7"/>
          </reference>
        </references>
      </pivotArea>
    </format>
    <format dxfId="96">
      <pivotArea collapsedLevelsAreSubtotals="1" fieldPosition="0">
        <references count="2">
          <reference field="41" count="1" selected="0">
            <x v="7"/>
          </reference>
          <reference field="42" count="1">
            <x v="18"/>
          </reference>
        </references>
      </pivotArea>
    </format>
    <format dxfId="95">
      <pivotArea collapsedLevelsAreSubtotals="1" fieldPosition="0">
        <references count="1">
          <reference field="41" count="1">
            <x v="8"/>
          </reference>
        </references>
      </pivotArea>
    </format>
    <format dxfId="94">
      <pivotArea collapsedLevelsAreSubtotals="1" fieldPosition="0">
        <references count="2">
          <reference field="41" count="1" selected="0">
            <x v="8"/>
          </reference>
          <reference field="42" count="4">
            <x v="4"/>
            <x v="6"/>
            <x v="16"/>
            <x v="25"/>
          </reference>
        </references>
      </pivotArea>
    </format>
    <format dxfId="93">
      <pivotArea collapsedLevelsAreSubtotals="1" fieldPosition="0">
        <references count="1">
          <reference field="41" count="1">
            <x v="9"/>
          </reference>
        </references>
      </pivotArea>
    </format>
    <format dxfId="92">
      <pivotArea collapsedLevelsAreSubtotals="1" fieldPosition="0">
        <references count="2">
          <reference field="41" count="1" selected="0">
            <x v="9"/>
          </reference>
          <reference field="42" count="1">
            <x v="20"/>
          </reference>
        </references>
      </pivotArea>
    </format>
    <format dxfId="91">
      <pivotArea collapsedLevelsAreSubtotals="1" fieldPosition="0">
        <references count="1">
          <reference field="41" count="1">
            <x v="0"/>
          </reference>
        </references>
      </pivotArea>
    </format>
    <format dxfId="90">
      <pivotArea collapsedLevelsAreSubtotals="1" fieldPosition="0">
        <references count="2">
          <reference field="41" count="1" selected="0">
            <x v="0"/>
          </reference>
          <reference field="42" count="2">
            <x v="3"/>
            <x v="21"/>
          </reference>
        </references>
      </pivotArea>
    </format>
    <format dxfId="89">
      <pivotArea collapsedLevelsAreSubtotals="1" fieldPosition="0">
        <references count="1">
          <reference field="41" count="1">
            <x v="1"/>
          </reference>
        </references>
      </pivotArea>
    </format>
    <format dxfId="88">
      <pivotArea collapsedLevelsAreSubtotals="1" fieldPosition="0">
        <references count="2">
          <reference field="41" count="1" selected="0">
            <x v="1"/>
          </reference>
          <reference field="42" count="4">
            <x v="0"/>
            <x v="11"/>
            <x v="14"/>
            <x v="22"/>
          </reference>
        </references>
      </pivotArea>
    </format>
    <format dxfId="87">
      <pivotArea collapsedLevelsAreSubtotals="1" fieldPosition="0">
        <references count="1">
          <reference field="41" count="1">
            <x v="2"/>
          </reference>
        </references>
      </pivotArea>
    </format>
    <format dxfId="86">
      <pivotArea collapsedLevelsAreSubtotals="1" fieldPosition="0">
        <references count="2">
          <reference field="41" count="1" selected="0">
            <x v="2"/>
          </reference>
          <reference field="42" count="3">
            <x v="7"/>
            <x v="8"/>
            <x v="10"/>
          </reference>
        </references>
      </pivotArea>
    </format>
    <format dxfId="85">
      <pivotArea collapsedLevelsAreSubtotals="1" fieldPosition="0">
        <references count="1">
          <reference field="41" count="1">
            <x v="3"/>
          </reference>
        </references>
      </pivotArea>
    </format>
    <format dxfId="84">
      <pivotArea collapsedLevelsAreSubtotals="1" fieldPosition="0">
        <references count="2">
          <reference field="41" count="1" selected="0">
            <x v="3"/>
          </reference>
          <reference field="42" count="1">
            <x v="9"/>
          </reference>
        </references>
      </pivotArea>
    </format>
    <format dxfId="83">
      <pivotArea collapsedLevelsAreSubtotals="1" fieldPosition="0">
        <references count="1">
          <reference field="41" count="1">
            <x v="4"/>
          </reference>
        </references>
      </pivotArea>
    </format>
    <format dxfId="82">
      <pivotArea collapsedLevelsAreSubtotals="1" fieldPosition="0">
        <references count="2">
          <reference field="41" count="1" selected="0">
            <x v="4"/>
          </reference>
          <reference field="42" count="4">
            <x v="1"/>
            <x v="5"/>
            <x v="12"/>
            <x v="23"/>
          </reference>
        </references>
      </pivotArea>
    </format>
    <format dxfId="81">
      <pivotArea collapsedLevelsAreSubtotals="1" fieldPosition="0">
        <references count="1">
          <reference field="41" count="1">
            <x v="5"/>
          </reference>
        </references>
      </pivotArea>
    </format>
    <format dxfId="80">
      <pivotArea collapsedLevelsAreSubtotals="1" fieldPosition="0">
        <references count="2">
          <reference field="41" count="1" selected="0">
            <x v="5"/>
          </reference>
          <reference field="42" count="5">
            <x v="2"/>
            <x v="13"/>
            <x v="15"/>
            <x v="19"/>
            <x v="24"/>
          </reference>
        </references>
      </pivotArea>
    </format>
    <format dxfId="79">
      <pivotArea collapsedLevelsAreSubtotals="1" fieldPosition="0">
        <references count="1">
          <reference field="41" count="1">
            <x v="6"/>
          </reference>
        </references>
      </pivotArea>
    </format>
    <format dxfId="78">
      <pivotArea collapsedLevelsAreSubtotals="1" fieldPosition="0">
        <references count="2">
          <reference field="41" count="1" selected="0">
            <x v="6"/>
          </reference>
          <reference field="42" count="1">
            <x v="17"/>
          </reference>
        </references>
      </pivotArea>
    </format>
    <format dxfId="77">
      <pivotArea collapsedLevelsAreSubtotals="1" fieldPosition="0">
        <references count="1">
          <reference field="41" count="1">
            <x v="7"/>
          </reference>
        </references>
      </pivotArea>
    </format>
    <format dxfId="76">
      <pivotArea collapsedLevelsAreSubtotals="1" fieldPosition="0">
        <references count="2">
          <reference field="41" count="1" selected="0">
            <x v="7"/>
          </reference>
          <reference field="42" count="1">
            <x v="18"/>
          </reference>
        </references>
      </pivotArea>
    </format>
    <format dxfId="75">
      <pivotArea collapsedLevelsAreSubtotals="1" fieldPosition="0">
        <references count="1">
          <reference field="41" count="1">
            <x v="8"/>
          </reference>
        </references>
      </pivotArea>
    </format>
    <format dxfId="74">
      <pivotArea collapsedLevelsAreSubtotals="1" fieldPosition="0">
        <references count="2">
          <reference field="41" count="1" selected="0">
            <x v="8"/>
          </reference>
          <reference field="42" count="4">
            <x v="4"/>
            <x v="6"/>
            <x v="16"/>
            <x v="25"/>
          </reference>
        </references>
      </pivotArea>
    </format>
    <format dxfId="73">
      <pivotArea collapsedLevelsAreSubtotals="1" fieldPosition="0">
        <references count="1">
          <reference field="41" count="1">
            <x v="9"/>
          </reference>
        </references>
      </pivotArea>
    </format>
    <format dxfId="72">
      <pivotArea collapsedLevelsAreSubtotals="1" fieldPosition="0">
        <references count="2">
          <reference field="41" count="1" selected="0">
            <x v="9"/>
          </reference>
          <reference field="42" count="1">
            <x v="20"/>
          </reference>
        </references>
      </pivotArea>
    </format>
    <format dxfId="7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9">
      <pivotArea collapsedLevelsAreSubtotals="1" fieldPosition="0">
        <references count="1">
          <reference field="41" count="1">
            <x v="9"/>
          </reference>
        </references>
      </pivotArea>
    </format>
    <format dxfId="68">
      <pivotArea collapsedLevelsAreSubtotals="1" fieldPosition="0">
        <references count="1">
          <reference field="41" count="1">
            <x v="8"/>
          </reference>
        </references>
      </pivotArea>
    </format>
    <format dxfId="67">
      <pivotArea collapsedLevelsAreSubtotals="1" fieldPosition="0">
        <references count="2">
          <reference field="41" count="1" selected="0">
            <x v="5"/>
          </reference>
          <reference field="42" count="1">
            <x v="2"/>
          </reference>
        </references>
      </pivotArea>
    </format>
    <format dxfId="66">
      <pivotArea collapsedLevelsAreSubtotals="1" fieldPosition="0">
        <references count="2">
          <reference field="41" count="1" selected="0">
            <x v="5"/>
          </reference>
          <reference field="42" count="1">
            <x v="15"/>
          </reference>
        </references>
      </pivotArea>
    </format>
    <format dxfId="65">
      <pivotArea collapsedLevelsAreSubtotals="1" fieldPosition="0">
        <references count="2">
          <reference field="41" count="1" selected="0">
            <x v="5"/>
          </reference>
          <reference field="42" count="1">
            <x v="24"/>
          </reference>
        </references>
      </pivotArea>
    </format>
    <format dxfId="64">
      <pivotArea collapsedLevelsAreSubtotals="1" fieldPosition="0">
        <references count="2">
          <reference field="41" count="1" selected="0">
            <x v="5"/>
          </reference>
          <reference field="42" count="1">
            <x v="13"/>
          </reference>
        </references>
      </pivotArea>
    </format>
    <format dxfId="63">
      <pivotArea collapsedLevelsAreSubtotals="1" fieldPosition="0">
        <references count="2">
          <reference field="41" count="1" selected="0">
            <x v="4"/>
          </reference>
          <reference field="42" count="4">
            <x v="1"/>
            <x v="5"/>
            <x v="12"/>
            <x v="23"/>
          </reference>
        </references>
      </pivotArea>
    </format>
    <format dxfId="62">
      <pivotArea outline="0" collapsedLevelsAreSubtotals="1" fieldPosition="0"/>
    </format>
    <format dxfId="6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0">
      <pivotArea collapsedLevelsAreSubtotals="1" fieldPosition="0">
        <references count="2">
          <reference field="41" count="1" selected="0">
            <x v="0"/>
          </reference>
          <reference field="42" count="1">
            <x v="3"/>
          </reference>
        </references>
      </pivotArea>
    </format>
    <format dxfId="59">
      <pivotArea collapsedLevelsAreSubtotals="1" fieldPosition="0">
        <references count="2">
          <reference field="41" count="1" selected="0">
            <x v="0"/>
          </reference>
          <reference field="42" count="1">
            <x v="21"/>
          </reference>
        </references>
      </pivotArea>
    </format>
    <format dxfId="58">
      <pivotArea collapsedLevelsAreSubtotals="1" fieldPosition="0">
        <references count="2">
          <reference field="41" count="1" selected="0">
            <x v="1"/>
          </reference>
          <reference field="42" count="4">
            <x v="0"/>
            <x v="11"/>
            <x v="14"/>
            <x v="22"/>
          </reference>
        </references>
      </pivotArea>
    </format>
    <format dxfId="57">
      <pivotArea collapsedLevelsAreSubtotals="1" fieldPosition="0">
        <references count="2">
          <reference field="41" count="1" selected="0">
            <x v="2"/>
          </reference>
          <reference field="42" count="3">
            <x v="7"/>
            <x v="8"/>
            <x v="10"/>
          </reference>
        </references>
      </pivotArea>
    </format>
    <format dxfId="56">
      <pivotArea collapsedLevelsAreSubtotals="1" fieldPosition="0">
        <references count="2">
          <reference field="41" count="1" selected="0">
            <x v="3"/>
          </reference>
          <reference field="42" count="1">
            <x v="9"/>
          </reference>
        </references>
      </pivotArea>
    </format>
    <format dxfId="55">
      <pivotArea collapsedLevelsAreSubtotals="1" fieldPosition="0">
        <references count="2">
          <reference field="41" count="1" selected="0">
            <x v="6"/>
          </reference>
          <reference field="42" count="1">
            <x v="17"/>
          </reference>
        </references>
      </pivotArea>
    </format>
    <format dxfId="54">
      <pivotArea collapsedLevelsAreSubtotals="1" fieldPosition="0">
        <references count="2">
          <reference field="41" count="1" selected="0">
            <x v="9"/>
          </reference>
          <reference field="42" count="1">
            <x v="20"/>
          </reference>
        </references>
      </pivotArea>
    </format>
    <format dxfId="53">
      <pivotArea collapsedLevelsAreSubtotals="1" fieldPosition="0">
        <references count="2">
          <reference field="41" count="1" selected="0">
            <x v="8"/>
          </reference>
          <reference field="42" count="4">
            <x v="4"/>
            <x v="6"/>
            <x v="16"/>
            <x v="25"/>
          </reference>
        </references>
      </pivotArea>
    </format>
    <format dxfId="52">
      <pivotArea collapsedLevelsAreSubtotals="1" fieldPosition="0">
        <references count="2">
          <reference field="41" count="1" selected="0">
            <x v="7"/>
          </reference>
          <reference field="42" count="1">
            <x v="18"/>
          </reference>
        </references>
      </pivotArea>
    </format>
    <format dxfId="51">
      <pivotArea collapsedLevelsAreSubtotals="1" fieldPosition="0">
        <references count="2">
          <reference field="41" count="1" selected="0">
            <x v="4"/>
          </reference>
          <reference field="42" count="1">
            <x v="1"/>
          </reference>
        </references>
      </pivotArea>
    </format>
    <format dxfId="50">
      <pivotArea collapsedLevelsAreSubtotals="1" fieldPosition="0">
        <references count="2">
          <reference field="41" count="1" selected="0">
            <x v="4"/>
          </reference>
          <reference field="42" count="4">
            <x v="1"/>
            <x v="5"/>
            <x v="12"/>
            <x v="23"/>
          </reference>
        </references>
      </pivotArea>
    </format>
    <format dxfId="49">
      <pivotArea collapsedLevelsAreSubtotals="1" fieldPosition="0">
        <references count="2">
          <reference field="41" count="1" selected="0">
            <x v="5"/>
          </reference>
          <reference field="42" count="1">
            <x v="19"/>
          </reference>
        </references>
      </pivotArea>
    </format>
    <format dxfId="48">
      <pivotArea collapsedLevelsAreSubtotals="1" fieldPosition="0">
        <references count="2">
          <reference field="41" count="1" selected="0">
            <x v="5"/>
          </reference>
          <reference field="42" count="5">
            <x v="2"/>
            <x v="13"/>
            <x v="15"/>
            <x v="19"/>
            <x v="24"/>
          </reference>
        </references>
      </pivotArea>
    </format>
    <format dxfId="47">
      <pivotArea collapsedLevelsAreSubtotals="1" fieldPosition="0">
        <references count="3">
          <reference field="4294967294" count="2" selected="0">
            <x v="1"/>
            <x v="2"/>
          </reference>
          <reference field="41" count="1" selected="0">
            <x v="1"/>
          </reference>
          <reference field="42" count="1">
            <x v="0"/>
          </reference>
        </references>
      </pivotArea>
    </format>
    <format dxfId="46">
      <pivotArea collapsedLevelsAreSubtotals="1" fieldPosition="0">
        <references count="3">
          <reference field="4294967294" count="1" selected="0">
            <x v="2"/>
          </reference>
          <reference field="41" count="1" selected="0">
            <x v="4"/>
          </reference>
          <reference field="42" count="4">
            <x v="1"/>
            <x v="5"/>
            <x v="12"/>
            <x v="23"/>
          </reference>
        </references>
      </pivotArea>
    </format>
    <format dxfId="45">
      <pivotArea collapsedLevelsAreSubtotals="1" fieldPosition="0">
        <references count="3">
          <reference field="4294967294" count="1" selected="0">
            <x v="2"/>
          </reference>
          <reference field="41" count="1" selected="0">
            <x v="1"/>
          </reference>
          <reference field="42" count="4">
            <x v="0"/>
            <x v="11"/>
            <x v="14"/>
            <x v="22"/>
          </reference>
        </references>
      </pivotArea>
    </format>
    <format dxfId="44">
      <pivotArea collapsedLevelsAreSubtotals="1" fieldPosition="0">
        <references count="3">
          <reference field="4294967294" count="1" selected="0">
            <x v="1"/>
          </reference>
          <reference field="41" count="1" selected="0">
            <x v="0"/>
          </reference>
          <reference field="42" count="1">
            <x v="21"/>
          </reference>
        </references>
      </pivotArea>
    </format>
    <format dxfId="43">
      <pivotArea collapsedLevelsAreSubtotals="1" fieldPosition="0">
        <references count="3">
          <reference field="4294967294" count="1" selected="0">
            <x v="1"/>
          </reference>
          <reference field="41" count="1" selected="0">
            <x v="0"/>
          </reference>
          <reference field="42" count="1">
            <x v="3"/>
          </reference>
        </references>
      </pivotArea>
    </format>
    <format dxfId="42">
      <pivotArea collapsedLevelsAreSubtotals="1" fieldPosition="0">
        <references count="3">
          <reference field="4294967294" count="1" selected="0">
            <x v="2"/>
          </reference>
          <reference field="41" count="1" selected="0">
            <x v="0"/>
          </reference>
          <reference field="42" count="1">
            <x v="3"/>
          </reference>
        </references>
      </pivotArea>
    </format>
    <format dxfId="41">
      <pivotArea collapsedLevelsAreSubtotals="1" fieldPosition="0">
        <references count="3">
          <reference field="4294967294" count="1" selected="0">
            <x v="2"/>
          </reference>
          <reference field="41" count="1" selected="0">
            <x v="0"/>
          </reference>
          <reference field="42" count="1">
            <x v="21"/>
          </reference>
        </references>
      </pivotArea>
    </format>
    <format dxfId="40">
      <pivotArea collapsedLevelsAreSubtotals="1" fieldPosition="0">
        <references count="3">
          <reference field="4294967294" count="1" selected="0">
            <x v="2"/>
          </reference>
          <reference field="41" count="1" selected="0">
            <x v="5"/>
          </reference>
          <reference field="42" count="5">
            <x v="2"/>
            <x v="13"/>
            <x v="15"/>
            <x v="19"/>
            <x v="24"/>
          </reference>
        </references>
      </pivotArea>
    </format>
    <format dxfId="39">
      <pivotArea grandRow="1"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38">
      <pivotArea grandRow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">
      <pivotArea outline="0" collapsedLevelsAreSubtotals="1" fieldPosition="0"/>
    </format>
    <format dxfId="36">
      <pivotArea collapsedLevelsAreSubtotals="1" fieldPosition="0">
        <references count="3">
          <reference field="4294967294" count="1" selected="0">
            <x v="1"/>
          </reference>
          <reference field="41" count="1" selected="0">
            <x v="5"/>
          </reference>
          <reference field="42" count="5">
            <x v="2"/>
            <x v="13"/>
            <x v="15"/>
            <x v="19"/>
            <x v="24"/>
          </reference>
        </references>
      </pivotArea>
    </format>
    <format dxfId="35">
      <pivotArea collapsedLevelsAreSubtotals="1" fieldPosition="0">
        <references count="3">
          <reference field="4294967294" count="1" selected="0">
            <x v="0"/>
          </reference>
          <reference field="41" count="1" selected="0">
            <x v="5"/>
          </reference>
          <reference field="42" count="5">
            <x v="2"/>
            <x v="13"/>
            <x v="15"/>
            <x v="19"/>
            <x v="24"/>
          </reference>
        </references>
      </pivotArea>
    </format>
    <format dxfId="34">
      <pivotArea field="41" type="button" dataOnly="0" labelOnly="1" outline="0" fieldPosition="0"/>
    </format>
    <format dxfId="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2">
      <pivotArea field="41" type="button" dataOnly="0" labelOnly="1" outline="0" fieldPosition="0"/>
    </format>
    <format dxfId="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0">
      <pivotArea field="41" type="button" dataOnly="0" labelOnly="1" outline="0" fieldPosition="0"/>
    </format>
    <format dxfId="2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8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41" count="1" selected="0">
            <x v="5"/>
          </reference>
          <reference field="42" count="9">
            <x v="2"/>
            <x v="13"/>
            <x v="15"/>
            <x v="19"/>
            <x v="24"/>
            <x v="27"/>
            <x v="28"/>
            <x v="29"/>
            <x v="30"/>
          </reference>
        </references>
      </pivotArea>
    </format>
    <format dxfId="27">
      <pivotArea collapsedLevelsAreSubtotals="1" fieldPosition="0">
        <references count="2">
          <reference field="4294967294" count="3" selected="0">
            <x v="0"/>
            <x v="1"/>
            <x v="2"/>
          </reference>
          <reference field="41" count="1"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createdVersion="4" indent="0" outline="1" outlineData="1" multipleFieldFilters="0">
  <location ref="A4:F183" firstHeaderRow="0" firstDataRow="1" firstDataCol="1" rowPageCount="1" colPageCount="1"/>
  <pivotFields count="45">
    <pivotField showAll="0"/>
    <pivotField showAll="0"/>
    <pivotField showAll="0"/>
    <pivotField showAll="0"/>
    <pivotField axis="axisRow" showAll="0">
      <items count="306">
        <item x="5"/>
        <item x="6"/>
        <item m="1" x="185"/>
        <item m="1" x="191"/>
        <item m="1" x="271"/>
        <item m="1" x="194"/>
        <item x="11"/>
        <item x="16"/>
        <item m="1" x="210"/>
        <item x="19"/>
        <item x="20"/>
        <item x="21"/>
        <item m="1" x="294"/>
        <item x="23"/>
        <item x="25"/>
        <item x="26"/>
        <item m="1" x="159"/>
        <item x="28"/>
        <item m="1" x="268"/>
        <item m="1" x="249"/>
        <item x="31"/>
        <item x="34"/>
        <item m="1" x="190"/>
        <item x="35"/>
        <item m="1" x="248"/>
        <item x="38"/>
        <item x="39"/>
        <item x="48"/>
        <item x="49"/>
        <item x="50"/>
        <item x="53"/>
        <item x="55"/>
        <item m="1" x="223"/>
        <item x="58"/>
        <item x="62"/>
        <item x="63"/>
        <item m="1" x="175"/>
        <item m="1" x="292"/>
        <item m="1" x="220"/>
        <item x="69"/>
        <item x="71"/>
        <item m="1" x="242"/>
        <item x="72"/>
        <item x="75"/>
        <item x="76"/>
        <item x="77"/>
        <item m="1" x="269"/>
        <item x="79"/>
        <item x="80"/>
        <item m="1" x="162"/>
        <item x="86"/>
        <item x="88"/>
        <item x="93"/>
        <item x="96"/>
        <item m="1" x="183"/>
        <item x="99"/>
        <item m="1" x="231"/>
        <item x="101"/>
        <item m="1" x="224"/>
        <item x="102"/>
        <item x="103"/>
        <item x="105"/>
        <item x="109"/>
        <item x="112"/>
        <item m="1" x="227"/>
        <item x="116"/>
        <item x="117"/>
        <item x="118"/>
        <item x="119"/>
        <item x="121"/>
        <item x="122"/>
        <item x="123"/>
        <item m="1" x="265"/>
        <item x="125"/>
        <item m="1" x="278"/>
        <item m="1" x="229"/>
        <item x="129"/>
        <item x="139"/>
        <item m="1" x="282"/>
        <item m="1" x="299"/>
        <item x="145"/>
        <item x="67"/>
        <item x="134"/>
        <item x="87"/>
        <item x="127"/>
        <item m="1" x="238"/>
        <item x="14"/>
        <item x="111"/>
        <item m="1" x="301"/>
        <item x="143"/>
        <item x="133"/>
        <item x="140"/>
        <item x="57"/>
        <item m="1" x="200"/>
        <item m="1" x="257"/>
        <item x="120"/>
        <item x="110"/>
        <item m="1" x="189"/>
        <item x="107"/>
        <item m="1" x="274"/>
        <item m="1" x="281"/>
        <item x="60"/>
        <item m="1" x="222"/>
        <item x="13"/>
        <item m="1" x="290"/>
        <item m="1" x="149"/>
        <item m="1" x="279"/>
        <item x="27"/>
        <item m="1" x="181"/>
        <item m="1" x="239"/>
        <item x="137"/>
        <item x="83"/>
        <item x="78"/>
        <item m="1" x="255"/>
        <item m="1" x="168"/>
        <item x="22"/>
        <item m="1" x="193"/>
        <item x="126"/>
        <item x="4"/>
        <item x="144"/>
        <item x="15"/>
        <item m="1" x="206"/>
        <item m="1" x="156"/>
        <item m="1" x="303"/>
        <item x="98"/>
        <item x="44"/>
        <item x="2"/>
        <item m="1" x="272"/>
        <item m="1" x="216"/>
        <item x="56"/>
        <item x="70"/>
        <item x="74"/>
        <item x="89"/>
        <item m="1" x="283"/>
        <item m="1" x="270"/>
        <item m="1" x="148"/>
        <item x="59"/>
        <item m="1" x="155"/>
        <item x="81"/>
        <item x="51"/>
        <item m="1" x="228"/>
        <item x="40"/>
        <item m="1" x="147"/>
        <item x="45"/>
        <item m="1" x="233"/>
        <item x="66"/>
        <item m="1" x="214"/>
        <item m="1" x="208"/>
        <item m="1" x="186"/>
        <item x="141"/>
        <item m="1" x="178"/>
        <item x="97"/>
        <item x="17"/>
        <item x="33"/>
        <item x="3"/>
        <item x="37"/>
        <item m="1" x="258"/>
        <item m="1" x="207"/>
        <item x="36"/>
        <item m="1" x="225"/>
        <item x="91"/>
        <item x="90"/>
        <item m="1" x="285"/>
        <item m="1" x="293"/>
        <item x="0"/>
        <item m="1" x="205"/>
        <item m="1" x="256"/>
        <item m="1" x="250"/>
        <item m="1" x="247"/>
        <item m="1" x="245"/>
        <item x="146"/>
        <item m="1" x="288"/>
        <item m="1" x="179"/>
        <item x="131"/>
        <item x="142"/>
        <item x="95"/>
        <item x="135"/>
        <item m="1" x="297"/>
        <item x="115"/>
        <item x="130"/>
        <item x="47"/>
        <item x="61"/>
        <item x="52"/>
        <item m="1" x="182"/>
        <item m="1" x="187"/>
        <item m="1" x="177"/>
        <item m="1" x="267"/>
        <item m="1" x="295"/>
        <item m="1" x="212"/>
        <item m="1" x="172"/>
        <item m="1" x="254"/>
        <item m="1" x="215"/>
        <item m="1" x="211"/>
        <item m="1" x="246"/>
        <item m="1" x="266"/>
        <item m="1" x="170"/>
        <item m="1" x="236"/>
        <item x="41"/>
        <item m="1" x="296"/>
        <item m="1" x="240"/>
        <item m="1" x="262"/>
        <item m="1" x="151"/>
        <item m="1" x="180"/>
        <item m="1" x="203"/>
        <item m="1" x="244"/>
        <item m="1" x="264"/>
        <item m="1" x="163"/>
        <item m="1" x="276"/>
        <item m="1" x="209"/>
        <item m="1" x="150"/>
        <item m="1" x="169"/>
        <item m="1" x="237"/>
        <item m="1" x="263"/>
        <item m="1" x="164"/>
        <item m="1" x="160"/>
        <item m="1" x="284"/>
        <item m="1" x="226"/>
        <item m="1" x="152"/>
        <item m="1" x="176"/>
        <item m="1" x="300"/>
        <item m="1" x="202"/>
        <item m="1" x="261"/>
        <item m="1" x="253"/>
        <item m="1" x="174"/>
        <item m="1" x="243"/>
        <item m="1" x="280"/>
        <item m="1" x="192"/>
        <item m="1" x="158"/>
        <item m="1" x="235"/>
        <item m="1" x="201"/>
        <item m="1" x="166"/>
        <item m="1" x="219"/>
        <item m="1" x="198"/>
        <item m="1" x="260"/>
        <item m="1" x="232"/>
        <item m="1" x="173"/>
        <item m="1" x="153"/>
        <item m="1" x="188"/>
        <item m="1" x="204"/>
        <item m="1" x="289"/>
        <item m="1" x="275"/>
        <item m="1" x="302"/>
        <item m="1" x="213"/>
        <item m="1" x="298"/>
        <item m="1" x="234"/>
        <item m="1" x="217"/>
        <item m="1" x="291"/>
        <item m="1" x="167"/>
        <item m="1" x="165"/>
        <item m="1" x="196"/>
        <item m="1" x="277"/>
        <item m="1" x="259"/>
        <item m="1" x="286"/>
        <item m="1" x="304"/>
        <item m="1" x="273"/>
        <item m="1" x="287"/>
        <item m="1" x="197"/>
        <item m="1" x="154"/>
        <item m="1" x="157"/>
        <item m="1" x="230"/>
        <item m="1" x="252"/>
        <item x="114"/>
        <item m="1" x="251"/>
        <item x="136"/>
        <item x="84"/>
        <item x="92"/>
        <item m="1" x="161"/>
        <item m="1" x="199"/>
        <item x="1"/>
        <item x="7"/>
        <item x="9"/>
        <item x="29"/>
        <item x="32"/>
        <item x="43"/>
        <item x="68"/>
        <item x="82"/>
        <item x="94"/>
        <item x="100"/>
        <item x="104"/>
        <item m="1" x="171"/>
        <item m="1" x="218"/>
        <item x="24"/>
        <item m="1" x="241"/>
        <item x="64"/>
        <item x="108"/>
        <item x="138"/>
        <item m="1" x="195"/>
        <item m="1" x="184"/>
        <item x="18"/>
        <item x="106"/>
        <item x="8"/>
        <item m="1" x="221"/>
        <item x="54"/>
        <item x="65"/>
        <item x="73"/>
        <item x="85"/>
        <item x="128"/>
        <item x="10"/>
        <item x="12"/>
        <item x="42"/>
        <item x="132"/>
        <item x="113"/>
        <item x="30"/>
        <item x="46"/>
        <item x="124"/>
        <item t="default"/>
      </items>
    </pivotField>
    <pivotField numFmtId="14" showAll="0"/>
    <pivotField showAll="0"/>
    <pivotField showAll="0"/>
    <pivotField numFmtId="166" showAll="0" defaultSubtotal="0"/>
    <pivotField numFmtId="166" showAll="0" defaultSubtotal="0"/>
    <pivotField showAll="0"/>
    <pivotField showAll="0" defaultSubtotal="0"/>
    <pivotField showAl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dataField="1" numFmtId="43" showAll="0"/>
    <pivotField dataField="1" numFmtId="164" showAll="0"/>
    <pivotField dataField="1" numFmtId="164" showAll="0"/>
    <pivotField axis="axisPage" multipleItemSelectionAllowed="1" showAll="0">
      <items count="14">
        <item x="1"/>
        <item x="5"/>
        <item x="4"/>
        <item x="6"/>
        <item x="7"/>
        <item x="0"/>
        <item x="8"/>
        <item x="9"/>
        <item x="2"/>
        <item x="3"/>
        <item x="10"/>
        <item m="1" x="11"/>
        <item m="1" x="12"/>
        <item t="default"/>
      </items>
    </pivotField>
    <pivotField axis="axisRow" showAll="0">
      <items count="35">
        <item x="27"/>
        <item x="19"/>
        <item x="13"/>
        <item x="24"/>
        <item x="4"/>
        <item x="16"/>
        <item x="26"/>
        <item x="9"/>
        <item x="11"/>
        <item x="14"/>
        <item x="18"/>
        <item x="23"/>
        <item x="20"/>
        <item x="6"/>
        <item x="17"/>
        <item x="7"/>
        <item x="15"/>
        <item x="28"/>
        <item x="29"/>
        <item x="22"/>
        <item x="8"/>
        <item x="1"/>
        <item x="10"/>
        <item x="21"/>
        <item x="0"/>
        <item x="3"/>
        <item x="30"/>
        <item x="5"/>
        <item x="12"/>
        <item x="25"/>
        <item x="2"/>
        <item m="1" x="31"/>
        <item m="1" x="33"/>
        <item m="1" x="32"/>
        <item t="default"/>
      </items>
    </pivotField>
    <pivotField dataField="1" showAll="0" defaultSubtotal="0"/>
    <pivotField dataField="1" showAll="0" defaultSubtotal="0"/>
  </pivotFields>
  <rowFields count="2">
    <field x="42"/>
    <field x="4"/>
  </rowFields>
  <rowItems count="179">
    <i>
      <x/>
    </i>
    <i r="1">
      <x v="48"/>
    </i>
    <i>
      <x v="1"/>
    </i>
    <i r="1">
      <x v="26"/>
    </i>
    <i r="1">
      <x v="264"/>
    </i>
    <i>
      <x v="2"/>
    </i>
    <i r="1">
      <x v="17"/>
    </i>
    <i r="1">
      <x v="31"/>
    </i>
    <i r="1">
      <x v="33"/>
    </i>
    <i r="1">
      <x v="34"/>
    </i>
    <i r="1">
      <x v="44"/>
    </i>
    <i r="1">
      <x v="57"/>
    </i>
    <i r="1">
      <x v="98"/>
    </i>
    <i r="1">
      <x v="107"/>
    </i>
    <i r="1">
      <x v="143"/>
    </i>
    <i r="1">
      <x v="151"/>
    </i>
    <i r="1">
      <x v="155"/>
    </i>
    <i r="1">
      <x v="274"/>
    </i>
    <i r="1">
      <x v="281"/>
    </i>
    <i>
      <x v="3"/>
    </i>
    <i r="1">
      <x v="131"/>
    </i>
    <i>
      <x v="4"/>
    </i>
    <i r="1">
      <x v="141"/>
    </i>
    <i r="1">
      <x v="270"/>
    </i>
    <i>
      <x v="5"/>
    </i>
    <i r="1">
      <x v="21"/>
    </i>
    <i r="1">
      <x v="50"/>
    </i>
    <i r="1">
      <x v="301"/>
    </i>
    <i>
      <x v="6"/>
    </i>
    <i r="1">
      <x v="47"/>
    </i>
    <i r="1">
      <x v="111"/>
    </i>
    <i>
      <x v="7"/>
    </i>
    <i r="1">
      <x v="9"/>
    </i>
    <i r="1">
      <x v="13"/>
    </i>
    <i r="1">
      <x v="20"/>
    </i>
    <i r="1">
      <x v="130"/>
    </i>
    <i r="1">
      <x v="271"/>
    </i>
    <i r="1">
      <x v="273"/>
    </i>
    <i>
      <x v="8"/>
    </i>
    <i r="1">
      <x v="11"/>
    </i>
    <i r="1">
      <x v="132"/>
    </i>
    <i>
      <x v="9"/>
    </i>
    <i r="1">
      <x v="14"/>
    </i>
    <i r="1">
      <x v="302"/>
    </i>
    <i>
      <x v="10"/>
    </i>
    <i r="1">
      <x v="25"/>
    </i>
    <i>
      <x v="11"/>
    </i>
    <i r="1">
      <x v="39"/>
    </i>
    <i r="1">
      <x v="293"/>
    </i>
    <i>
      <x v="12"/>
    </i>
    <i r="1">
      <x v="27"/>
    </i>
    <i r="1">
      <x v="76"/>
    </i>
    <i>
      <x v="13"/>
    </i>
    <i r="1">
      <x v="29"/>
    </i>
    <i r="1">
      <x v="35"/>
    </i>
    <i r="1">
      <x v="40"/>
    </i>
    <i r="1">
      <x v="53"/>
    </i>
    <i r="1">
      <x v="55"/>
    </i>
    <i r="1">
      <x v="65"/>
    </i>
    <i r="1">
      <x v="67"/>
    </i>
    <i r="1">
      <x v="70"/>
    </i>
    <i r="1">
      <x v="73"/>
    </i>
    <i r="1">
      <x v="95"/>
    </i>
    <i r="1">
      <x v="101"/>
    </i>
    <i r="1">
      <x v="103"/>
    </i>
    <i r="1">
      <x v="112"/>
    </i>
    <i r="1">
      <x v="138"/>
    </i>
    <i r="1">
      <x v="145"/>
    </i>
    <i r="1">
      <x v="149"/>
    </i>
    <i r="1">
      <x v="175"/>
    </i>
    <i r="1">
      <x v="176"/>
    </i>
    <i r="1">
      <x v="178"/>
    </i>
    <i r="1">
      <x v="179"/>
    </i>
    <i r="1">
      <x v="182"/>
    </i>
    <i r="1">
      <x v="261"/>
    </i>
    <i r="1">
      <x v="263"/>
    </i>
    <i r="1">
      <x v="275"/>
    </i>
    <i r="1">
      <x v="277"/>
    </i>
    <i r="1">
      <x v="278"/>
    </i>
    <i r="1">
      <x v="292"/>
    </i>
    <i r="1">
      <x v="294"/>
    </i>
    <i r="1">
      <x v="296"/>
    </i>
    <i r="1">
      <x v="304"/>
    </i>
    <i>
      <x v="14"/>
    </i>
    <i r="1">
      <x v="23"/>
    </i>
    <i>
      <x v="15"/>
    </i>
    <i r="1">
      <x v="42"/>
    </i>
    <i r="1">
      <x v="43"/>
    </i>
    <i r="1">
      <x v="52"/>
    </i>
    <i r="1">
      <x v="71"/>
    </i>
    <i r="1">
      <x v="86"/>
    </i>
    <i r="1">
      <x v="87"/>
    </i>
    <i r="1">
      <x v="117"/>
    </i>
    <i r="1">
      <x v="161"/>
    </i>
    <i r="1">
      <x v="197"/>
    </i>
    <i r="1">
      <x v="285"/>
    </i>
    <i r="1">
      <x v="288"/>
    </i>
    <i>
      <x v="16"/>
    </i>
    <i r="1">
      <x v="15"/>
    </i>
    <i>
      <x v="17"/>
    </i>
    <i r="1">
      <x v="66"/>
    </i>
    <i r="1">
      <x v="69"/>
    </i>
    <i>
      <x v="18"/>
    </i>
    <i r="1">
      <x v="77"/>
    </i>
    <i>
      <x v="19"/>
    </i>
    <i r="1">
      <x v="181"/>
    </i>
    <i>
      <x v="20"/>
    </i>
    <i r="1">
      <x v="28"/>
    </i>
    <i r="1">
      <x v="96"/>
    </i>
    <i r="1">
      <x v="110"/>
    </i>
    <i r="1">
      <x v="152"/>
    </i>
    <i r="1">
      <x v="153"/>
    </i>
    <i r="1">
      <x v="160"/>
    </i>
    <i>
      <x v="21"/>
    </i>
    <i r="1">
      <x v="6"/>
    </i>
    <i r="1">
      <x v="30"/>
    </i>
    <i r="1">
      <x v="51"/>
    </i>
    <i r="1">
      <x v="59"/>
    </i>
    <i r="1">
      <x v="68"/>
    </i>
    <i r="1">
      <x v="82"/>
    </i>
    <i r="1">
      <x v="83"/>
    </i>
    <i r="1">
      <x v="91"/>
    </i>
    <i r="1">
      <x v="124"/>
    </i>
    <i r="1">
      <x v="129"/>
    </i>
    <i r="1">
      <x v="265"/>
    </i>
    <i r="1">
      <x v="268"/>
    </i>
    <i r="1">
      <x v="276"/>
    </i>
    <i>
      <x v="22"/>
    </i>
    <i r="1">
      <x v="10"/>
    </i>
    <i r="1">
      <x v="303"/>
    </i>
    <i>
      <x v="23"/>
    </i>
    <i r="1">
      <x v="92"/>
    </i>
    <i r="1">
      <x v="284"/>
    </i>
    <i>
      <x v="24"/>
    </i>
    <i r="1">
      <x/>
    </i>
    <i r="1">
      <x v="7"/>
    </i>
    <i r="1">
      <x v="61"/>
    </i>
    <i r="1">
      <x v="62"/>
    </i>
    <i r="1">
      <x v="63"/>
    </i>
    <i r="1">
      <x v="81"/>
    </i>
    <i r="1">
      <x v="89"/>
    </i>
    <i r="1">
      <x v="118"/>
    </i>
    <i r="1">
      <x v="119"/>
    </i>
    <i r="1">
      <x v="120"/>
    </i>
    <i r="1">
      <x v="125"/>
    </i>
    <i r="1">
      <x v="126"/>
    </i>
    <i r="1">
      <x v="136"/>
    </i>
    <i r="1">
      <x v="139"/>
    </i>
    <i r="1">
      <x v="158"/>
    </i>
    <i r="1">
      <x v="164"/>
    </i>
    <i r="1">
      <x v="173"/>
    </i>
    <i r="1">
      <x v="174"/>
    </i>
    <i r="1">
      <x v="269"/>
    </i>
    <i r="1">
      <x v="272"/>
    </i>
    <i r="1">
      <x v="283"/>
    </i>
    <i r="1">
      <x v="289"/>
    </i>
    <i r="1">
      <x v="290"/>
    </i>
    <i r="1">
      <x v="295"/>
    </i>
    <i>
      <x v="25"/>
    </i>
    <i r="1">
      <x v="1"/>
    </i>
    <i r="1">
      <x v="84"/>
    </i>
    <i r="1">
      <x v="297"/>
    </i>
    <i>
      <x v="26"/>
    </i>
    <i r="1">
      <x v="80"/>
    </i>
    <i r="1">
      <x v="170"/>
    </i>
    <i>
      <x v="27"/>
    </i>
    <i r="1">
      <x v="180"/>
    </i>
    <i r="1">
      <x v="298"/>
    </i>
    <i r="1">
      <x v="299"/>
    </i>
    <i r="1">
      <x v="300"/>
    </i>
    <i>
      <x v="28"/>
    </i>
    <i r="1">
      <x v="60"/>
    </i>
    <i r="1">
      <x v="115"/>
    </i>
    <i>
      <x v="29"/>
    </i>
    <i r="1">
      <x v="45"/>
    </i>
    <i r="1">
      <x v="90"/>
    </i>
    <i>
      <x v="30"/>
    </i>
    <i r="1">
      <x v="15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41" hier="0"/>
  </pageFields>
  <dataFields count="5">
    <dataField name="Sum of Paid FTE" fld="39" baseField="0" baseItem="0"/>
    <dataField name="Sum of Worked FTE" fld="40" baseField="0" baseItem="0"/>
    <dataField name="Sum of OT FTE" fld="38" baseField="0" baseItem="0"/>
    <dataField name="Sum of Unplanned Leaves (hours)" fld="43" baseField="39" baseItem="1"/>
    <dataField name="Sum of ALL Leaves (hours)" fld="44" baseField="39" baseItem="1"/>
  </dataFields>
  <formats count="3">
    <format dxfId="26">
      <pivotArea outline="0" collapsedLevelsAreSubtotals="1" fieldPosition="0"/>
    </format>
    <format dxfId="25">
      <pivotArea dataOnly="0" labelOnly="1" outline="0" fieldPosition="0">
        <references count="1">
          <reference field="41" count="0"/>
        </references>
      </pivotArea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createdVersion="4" indent="0" outline="1" outlineData="1" multipleFieldFilters="0">
  <location ref="A3:D182" firstHeaderRow="0" firstDataRow="1" firstDataCol="1"/>
  <pivotFields count="43">
    <pivotField showAll="0"/>
    <pivotField showAll="0"/>
    <pivotField showAll="0"/>
    <pivotField showAll="0"/>
    <pivotField axis="axisRow" showAll="0">
      <items count="149">
        <item x="5"/>
        <item x="6"/>
        <item x="11"/>
        <item x="16"/>
        <item x="19"/>
        <item x="20"/>
        <item x="21"/>
        <item x="23"/>
        <item x="25"/>
        <item x="26"/>
        <item x="28"/>
        <item x="31"/>
        <item x="34"/>
        <item x="35"/>
        <item x="38"/>
        <item x="39"/>
        <item x="48"/>
        <item x="49"/>
        <item x="50"/>
        <item x="53"/>
        <item x="55"/>
        <item x="58"/>
        <item x="62"/>
        <item x="63"/>
        <item x="69"/>
        <item x="71"/>
        <item x="72"/>
        <item x="75"/>
        <item x="76"/>
        <item x="77"/>
        <item x="79"/>
        <item x="80"/>
        <item x="86"/>
        <item x="88"/>
        <item x="93"/>
        <item x="96"/>
        <item x="99"/>
        <item x="101"/>
        <item x="102"/>
        <item x="103"/>
        <item x="105"/>
        <item x="109"/>
        <item x="112"/>
        <item x="116"/>
        <item x="117"/>
        <item x="119"/>
        <item x="121"/>
        <item x="122"/>
        <item x="123"/>
        <item x="125"/>
        <item x="129"/>
        <item x="139"/>
        <item x="145"/>
        <item x="67"/>
        <item x="134"/>
        <item x="87"/>
        <item x="127"/>
        <item x="14"/>
        <item x="111"/>
        <item x="143"/>
        <item x="133"/>
        <item x="140"/>
        <item x="120"/>
        <item x="110"/>
        <item x="107"/>
        <item x="60"/>
        <item m="1" x="147"/>
        <item x="13"/>
        <item x="27"/>
        <item x="137"/>
        <item x="83"/>
        <item x="78"/>
        <item x="22"/>
        <item x="126"/>
        <item x="4"/>
        <item x="144"/>
        <item x="15"/>
        <item x="98"/>
        <item x="44"/>
        <item x="2"/>
        <item x="56"/>
        <item x="70"/>
        <item x="74"/>
        <item x="89"/>
        <item x="59"/>
        <item x="81"/>
        <item x="51"/>
        <item x="40"/>
        <item x="45"/>
        <item x="66"/>
        <item x="141"/>
        <item x="3"/>
        <item x="17"/>
        <item x="33"/>
        <item x="36"/>
        <item x="37"/>
        <item x="97"/>
        <item x="0"/>
        <item x="1"/>
        <item x="7"/>
        <item x="9"/>
        <item x="29"/>
        <item x="32"/>
        <item x="43"/>
        <item x="47"/>
        <item x="52"/>
        <item x="61"/>
        <item x="68"/>
        <item x="82"/>
        <item x="84"/>
        <item x="90"/>
        <item x="91"/>
        <item x="92"/>
        <item x="94"/>
        <item x="95"/>
        <item x="100"/>
        <item x="104"/>
        <item x="114"/>
        <item x="115"/>
        <item x="130"/>
        <item x="131"/>
        <item x="135"/>
        <item x="136"/>
        <item x="142"/>
        <item x="146"/>
        <item x="24"/>
        <item x="41"/>
        <item x="64"/>
        <item x="108"/>
        <item x="138"/>
        <item x="57"/>
        <item x="18"/>
        <item x="106"/>
        <item x="8"/>
        <item x="10"/>
        <item x="12"/>
        <item x="42"/>
        <item x="54"/>
        <item x="65"/>
        <item x="85"/>
        <item x="128"/>
        <item x="132"/>
        <item x="113"/>
        <item x="30"/>
        <item x="46"/>
        <item x="73"/>
        <item x="118"/>
        <item x="124"/>
        <item t="default"/>
      </items>
    </pivotField>
    <pivotField numFmtId="14" showAll="0"/>
    <pivotField numFmtId="14" showAll="0"/>
    <pivotField showAll="0"/>
    <pivotField numFmtId="166" showAll="0" defaultSubtotal="0"/>
    <pivotField numFmtId="166" showAll="0" defaultSubtotal="0"/>
    <pivotField showAll="0"/>
    <pivotField showAll="0" defaultSubtotal="0"/>
    <pivotField showAll="0"/>
    <pivotField showAll="0" defaultSubtotal="0"/>
    <pivotField showAll="0" defaultSubtotal="0"/>
    <pivotField dataField="1" showAll="0"/>
    <pivotField dataField="1" showAll="0"/>
    <pivotField dataField="1" showAll="0" defaultSubtotal="0"/>
    <pivotField showAll="0"/>
    <pivotField showAll="0"/>
    <pivotField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numFmtId="43" showAll="0"/>
    <pivotField numFmtId="164" showAll="0"/>
    <pivotField numFmtId="164" showAll="0"/>
    <pivotField showAll="0"/>
    <pivotField axis="axisRow" showAll="0">
      <items count="36">
        <item x="27"/>
        <item x="19"/>
        <item x="13"/>
        <item x="24"/>
        <item x="4"/>
        <item x="16"/>
        <item x="26"/>
        <item x="9"/>
        <item x="11"/>
        <item x="14"/>
        <item x="18"/>
        <item x="23"/>
        <item x="20"/>
        <item x="6"/>
        <item m="1" x="34"/>
        <item x="17"/>
        <item x="7"/>
        <item x="15"/>
        <item x="28"/>
        <item x="29"/>
        <item x="22"/>
        <item x="8"/>
        <item x="1"/>
        <item x="10"/>
        <item x="21"/>
        <item x="0"/>
        <item x="3"/>
        <item m="1" x="32"/>
        <item x="30"/>
        <item x="5"/>
        <item x="12"/>
        <item x="25"/>
        <item x="2"/>
        <item m="1" x="31"/>
        <item m="1" x="33"/>
        <item t="default"/>
      </items>
    </pivotField>
  </pivotFields>
  <rowFields count="2">
    <field x="42"/>
    <field x="4"/>
  </rowFields>
  <rowItems count="179">
    <i>
      <x/>
    </i>
    <i r="1">
      <x v="31"/>
    </i>
    <i>
      <x v="1"/>
    </i>
    <i r="1">
      <x v="15"/>
    </i>
    <i r="1">
      <x v="109"/>
    </i>
    <i>
      <x v="2"/>
    </i>
    <i r="1">
      <x v="10"/>
    </i>
    <i r="1">
      <x v="20"/>
    </i>
    <i r="1">
      <x v="21"/>
    </i>
    <i r="1">
      <x v="22"/>
    </i>
    <i r="1">
      <x v="28"/>
    </i>
    <i r="1">
      <x v="37"/>
    </i>
    <i r="1">
      <x v="64"/>
    </i>
    <i r="1">
      <x v="68"/>
    </i>
    <i r="1">
      <x v="88"/>
    </i>
    <i r="1">
      <x v="95"/>
    </i>
    <i r="1">
      <x v="96"/>
    </i>
    <i r="1">
      <x v="107"/>
    </i>
    <i r="1">
      <x v="125"/>
    </i>
    <i>
      <x v="3"/>
    </i>
    <i r="1">
      <x v="82"/>
    </i>
    <i>
      <x v="4"/>
    </i>
    <i r="1">
      <x v="87"/>
    </i>
    <i r="1">
      <x v="100"/>
    </i>
    <i>
      <x v="5"/>
    </i>
    <i r="1">
      <x v="12"/>
    </i>
    <i r="1">
      <x v="32"/>
    </i>
    <i r="1">
      <x v="142"/>
    </i>
    <i>
      <x v="6"/>
    </i>
    <i r="1">
      <x v="30"/>
    </i>
    <i r="1">
      <x v="70"/>
    </i>
    <i>
      <x v="7"/>
    </i>
    <i r="1">
      <x v="4"/>
    </i>
    <i r="1">
      <x v="7"/>
    </i>
    <i r="1">
      <x v="11"/>
    </i>
    <i r="1">
      <x v="81"/>
    </i>
    <i r="1">
      <x v="101"/>
    </i>
    <i r="1">
      <x v="103"/>
    </i>
    <i>
      <x v="8"/>
    </i>
    <i r="1">
      <x v="6"/>
    </i>
    <i r="1">
      <x v="83"/>
    </i>
    <i>
      <x v="9"/>
    </i>
    <i r="1">
      <x v="8"/>
    </i>
    <i r="1">
      <x v="143"/>
    </i>
    <i>
      <x v="10"/>
    </i>
    <i r="1">
      <x v="14"/>
    </i>
    <i>
      <x v="11"/>
    </i>
    <i r="1">
      <x v="24"/>
    </i>
    <i r="1">
      <x v="138"/>
    </i>
    <i>
      <x v="12"/>
    </i>
    <i r="1">
      <x v="16"/>
    </i>
    <i r="1">
      <x v="50"/>
    </i>
    <i>
      <x v="13"/>
    </i>
    <i r="1">
      <x v="18"/>
    </i>
    <i r="1">
      <x v="23"/>
    </i>
    <i r="1">
      <x v="25"/>
    </i>
    <i r="1">
      <x v="35"/>
    </i>
    <i r="1">
      <x v="36"/>
    </i>
    <i r="1">
      <x v="43"/>
    </i>
    <i r="1">
      <x v="47"/>
    </i>
    <i r="1">
      <x v="49"/>
    </i>
    <i r="1">
      <x v="62"/>
    </i>
    <i r="1">
      <x v="65"/>
    </i>
    <i r="1">
      <x v="67"/>
    </i>
    <i r="1">
      <x v="71"/>
    </i>
    <i r="1">
      <x v="85"/>
    </i>
    <i r="1">
      <x v="89"/>
    </i>
    <i r="1">
      <x v="90"/>
    </i>
    <i r="1">
      <x v="105"/>
    </i>
    <i r="1">
      <x v="108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1"/>
    </i>
    <i r="1">
      <x v="122"/>
    </i>
    <i r="1">
      <x v="137"/>
    </i>
    <i r="1">
      <x v="140"/>
    </i>
    <i r="1">
      <x v="145"/>
    </i>
    <i r="1">
      <x v="146"/>
    </i>
    <i r="1">
      <x v="147"/>
    </i>
    <i>
      <x v="15"/>
    </i>
    <i r="1">
      <x v="13"/>
    </i>
    <i>
      <x v="16"/>
    </i>
    <i r="1">
      <x v="26"/>
    </i>
    <i r="1">
      <x v="27"/>
    </i>
    <i r="1">
      <x v="34"/>
    </i>
    <i r="1">
      <x v="48"/>
    </i>
    <i r="1">
      <x v="57"/>
    </i>
    <i r="1">
      <x v="58"/>
    </i>
    <i r="1">
      <x v="73"/>
    </i>
    <i r="1">
      <x v="110"/>
    </i>
    <i r="1">
      <x v="126"/>
    </i>
    <i r="1">
      <x v="129"/>
    </i>
    <i r="1">
      <x v="131"/>
    </i>
    <i>
      <x v="17"/>
    </i>
    <i r="1">
      <x v="9"/>
    </i>
    <i>
      <x v="18"/>
    </i>
    <i r="1">
      <x v="44"/>
    </i>
    <i r="1">
      <x v="46"/>
    </i>
    <i>
      <x v="19"/>
    </i>
    <i r="1">
      <x v="51"/>
    </i>
    <i>
      <x v="20"/>
    </i>
    <i r="1">
      <x v="106"/>
    </i>
    <i>
      <x v="21"/>
    </i>
    <i r="1">
      <x v="17"/>
    </i>
    <i r="1">
      <x v="63"/>
    </i>
    <i r="1">
      <x v="69"/>
    </i>
    <i r="1">
      <x v="92"/>
    </i>
    <i r="1">
      <x v="93"/>
    </i>
    <i r="1">
      <x v="111"/>
    </i>
    <i>
      <x v="22"/>
    </i>
    <i r="1">
      <x v="2"/>
    </i>
    <i r="1">
      <x v="19"/>
    </i>
    <i r="1">
      <x v="33"/>
    </i>
    <i r="1">
      <x v="38"/>
    </i>
    <i r="1">
      <x v="45"/>
    </i>
    <i r="1">
      <x v="54"/>
    </i>
    <i r="1">
      <x v="55"/>
    </i>
    <i r="1">
      <x v="61"/>
    </i>
    <i r="1">
      <x v="77"/>
    </i>
    <i r="1">
      <x v="80"/>
    </i>
    <i r="1">
      <x v="98"/>
    </i>
    <i r="1">
      <x v="112"/>
    </i>
    <i r="1">
      <x v="113"/>
    </i>
    <i>
      <x v="23"/>
    </i>
    <i r="1">
      <x v="5"/>
    </i>
    <i r="1">
      <x v="144"/>
    </i>
    <i>
      <x v="24"/>
    </i>
    <i r="1">
      <x v="128"/>
    </i>
    <i r="1">
      <x v="130"/>
    </i>
    <i>
      <x v="25"/>
    </i>
    <i r="1">
      <x/>
    </i>
    <i r="1">
      <x v="3"/>
    </i>
    <i r="1">
      <x v="40"/>
    </i>
    <i r="1">
      <x v="41"/>
    </i>
    <i r="1">
      <x v="42"/>
    </i>
    <i r="1">
      <x v="53"/>
    </i>
    <i r="1">
      <x v="59"/>
    </i>
    <i r="1">
      <x v="74"/>
    </i>
    <i r="1">
      <x v="75"/>
    </i>
    <i r="1">
      <x v="76"/>
    </i>
    <i r="1">
      <x v="78"/>
    </i>
    <i r="1">
      <x v="79"/>
    </i>
    <i r="1">
      <x v="84"/>
    </i>
    <i r="1">
      <x v="86"/>
    </i>
    <i r="1">
      <x v="94"/>
    </i>
    <i r="1">
      <x v="97"/>
    </i>
    <i r="1">
      <x v="99"/>
    </i>
    <i r="1">
      <x v="102"/>
    </i>
    <i r="1">
      <x v="120"/>
    </i>
    <i r="1">
      <x v="123"/>
    </i>
    <i r="1">
      <x v="127"/>
    </i>
    <i r="1">
      <x v="132"/>
    </i>
    <i r="1">
      <x v="133"/>
    </i>
    <i r="1">
      <x v="139"/>
    </i>
    <i>
      <x v="26"/>
    </i>
    <i r="1">
      <x v="1"/>
    </i>
    <i r="1">
      <x v="56"/>
    </i>
    <i r="1">
      <x v="134"/>
    </i>
    <i>
      <x v="28"/>
    </i>
    <i r="1">
      <x v="52"/>
    </i>
    <i r="1">
      <x v="124"/>
    </i>
    <i>
      <x v="29"/>
    </i>
    <i r="1">
      <x v="104"/>
    </i>
    <i r="1">
      <x v="135"/>
    </i>
    <i r="1">
      <x v="136"/>
    </i>
    <i r="1">
      <x v="141"/>
    </i>
    <i>
      <x v="30"/>
    </i>
    <i r="1">
      <x v="39"/>
    </i>
    <i r="1">
      <x v="72"/>
    </i>
    <i>
      <x v="31"/>
    </i>
    <i r="1">
      <x v="29"/>
    </i>
    <i r="1">
      <x v="60"/>
    </i>
    <i>
      <x v="32"/>
    </i>
    <i r="1">
      <x v="9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50 - O/Time 1.5 Hrs" fld="15" baseField="0" baseItem="0"/>
    <dataField name="Sum of 51 - O/Time 2.0 Hrs" fld="16" baseField="0" baseItem="0"/>
    <dataField name="Sum of 52 - O/Time 2.5 Hrs" fld="17" baseField="4" baseItem="26"/>
  </dataFields>
  <formats count="16"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">
      <pivotArea collapsedLevelsAreSubtotals="1" fieldPosition="0">
        <references count="1">
          <reference field="42" count="1">
            <x v="2"/>
          </reference>
        </references>
      </pivotArea>
    </format>
    <format dxfId="15">
      <pivotArea collapsedLevelsAreSubtotals="1" fieldPosition="0">
        <references count="2">
          <reference field="4" count="6">
            <x v="10"/>
            <x v="20"/>
            <x v="21"/>
            <x v="22"/>
            <x v="28"/>
            <x v="29"/>
          </reference>
          <reference field="42" count="1" selected="0">
            <x v="2"/>
          </reference>
        </references>
      </pivotArea>
    </format>
    <format dxfId="14">
      <pivotArea collapsedLevelsAreSubtotals="1" fieldPosition="0">
        <references count="1">
          <reference field="42" count="1">
            <x v="3"/>
          </reference>
        </references>
      </pivotArea>
    </format>
    <format dxfId="13">
      <pivotArea collapsedLevelsAreSubtotals="1" fieldPosition="0">
        <references count="2">
          <reference field="4" count="1">
            <x v="37"/>
          </reference>
          <reference field="42" count="1" selected="0">
            <x v="3"/>
          </reference>
        </references>
      </pivotArea>
    </format>
    <format dxfId="12">
      <pivotArea collapsedLevelsAreSubtotals="1" fieldPosition="0">
        <references count="1">
          <reference field="42" count="1">
            <x v="13"/>
          </reference>
        </references>
      </pivotArea>
    </format>
    <format dxfId="11">
      <pivotArea collapsedLevelsAreSubtotals="1" fieldPosition="0">
        <references count="2">
          <reference field="4" count="11">
            <x v="16"/>
            <x v="18"/>
            <x v="23"/>
            <x v="24"/>
            <x v="35"/>
            <x v="36"/>
            <x v="43"/>
            <x v="46"/>
            <x v="47"/>
            <x v="49"/>
            <x v="50"/>
          </reference>
          <reference field="42" count="1" selected="0">
            <x v="13"/>
          </reference>
        </references>
      </pivotArea>
    </format>
    <format dxfId="10">
      <pivotArea collapsedLevelsAreSubtotals="1" fieldPosition="0">
        <references count="1">
          <reference field="42" count="1">
            <x v="14"/>
          </reference>
        </references>
      </pivotArea>
    </format>
    <format dxfId="9">
      <pivotArea collapsedLevelsAreSubtotals="1" fieldPosition="0">
        <references count="2">
          <reference field="4" count="1">
            <x v="25"/>
          </reference>
          <reference field="42" count="1" selected="0">
            <x v="14"/>
          </reference>
        </references>
      </pivotArea>
    </format>
    <format dxfId="8">
      <pivotArea collapsedLevelsAreSubtotals="1" fieldPosition="0">
        <references count="1">
          <reference field="42" count="1">
            <x v="16"/>
          </reference>
        </references>
      </pivotArea>
    </format>
    <format dxfId="7">
      <pivotArea collapsedLevelsAreSubtotals="1" fieldPosition="0">
        <references count="2">
          <reference field="4" count="6">
            <x v="12"/>
            <x v="26"/>
            <x v="27"/>
            <x v="34"/>
            <x v="39"/>
            <x v="48"/>
          </reference>
          <reference field="42" count="1" selected="0">
            <x v="16"/>
          </reference>
        </references>
      </pivotArea>
    </format>
    <format dxfId="6">
      <pivotArea collapsedLevelsAreSubtotals="1" fieldPosition="0">
        <references count="1">
          <reference field="42" count="1">
            <x v="22"/>
          </reference>
        </references>
      </pivotArea>
    </format>
    <format dxfId="5">
      <pivotArea collapsedLevelsAreSubtotals="1" fieldPosition="0">
        <references count="2">
          <reference field="4" count="5">
            <x v="2"/>
            <x v="19"/>
            <x v="33"/>
            <x v="38"/>
            <x v="45"/>
          </reference>
          <reference field="42" count="1" selected="0">
            <x v="22"/>
          </reference>
        </references>
      </pivotArea>
    </format>
    <format dxfId="4">
      <pivotArea collapsedLevelsAreSubtotals="1" fieldPosition="0">
        <references count="1">
          <reference field="42" count="1">
            <x v="25"/>
          </reference>
        </references>
      </pivotArea>
    </format>
    <format dxfId="3">
      <pivotArea collapsedLevelsAreSubtotals="1" fieldPosition="0">
        <references count="2">
          <reference field="4" count="5">
            <x v="0"/>
            <x v="3"/>
            <x v="40"/>
            <x v="41"/>
            <x v="42"/>
          </reference>
          <reference field="42" count="1" selected="0">
            <x v="25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createdVersion="4" indent="0" outline="1" outlineData="1" multipleFieldFilters="0">
  <location ref="A3:D152" firstHeaderRow="1" firstDataRow="1" firstDataCol="3"/>
  <pivotFields count="43">
    <pivotField axis="axisRow" outline="0" showAll="0" defaultSubtotal="0">
      <items count="50">
        <item x="41"/>
        <item x="20"/>
        <item x="36"/>
        <item x="28"/>
        <item x="10"/>
        <item m="1" x="44"/>
        <item x="17"/>
        <item x="33"/>
        <item x="14"/>
        <item x="22"/>
        <item x="12"/>
        <item x="13"/>
        <item x="27"/>
        <item x="4"/>
        <item x="3"/>
        <item x="1"/>
        <item x="25"/>
        <item x="0"/>
        <item x="35"/>
        <item x="39"/>
        <item x="29"/>
        <item x="26"/>
        <item x="30"/>
        <item x="37"/>
        <item x="38"/>
        <item x="8"/>
        <item m="1" x="42"/>
        <item m="1" x="48"/>
        <item x="34"/>
        <item x="23"/>
        <item x="16"/>
        <item x="31"/>
        <item x="6"/>
        <item x="21"/>
        <item x="9"/>
        <item m="1" x="49"/>
        <item x="24"/>
        <item x="11"/>
        <item x="18"/>
        <item x="5"/>
        <item x="40"/>
        <item m="1" x="45"/>
        <item m="1" x="43"/>
        <item m="1" x="47"/>
        <item x="19"/>
        <item x="7"/>
        <item x="15"/>
        <item x="32"/>
        <item x="2"/>
        <item m="1"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showAll="0"/>
    <pivotField axis="axisRow" showAll="0">
      <items count="149">
        <item x="145"/>
        <item x="5"/>
        <item x="6"/>
        <item x="11"/>
        <item x="16"/>
        <item x="19"/>
        <item x="20"/>
        <item x="21"/>
        <item x="23"/>
        <item x="25"/>
        <item x="26"/>
        <item x="28"/>
        <item x="31"/>
        <item x="34"/>
        <item x="35"/>
        <item x="38"/>
        <item x="39"/>
        <item x="48"/>
        <item x="49"/>
        <item x="50"/>
        <item x="53"/>
        <item x="55"/>
        <item x="58"/>
        <item x="62"/>
        <item x="63"/>
        <item x="67"/>
        <item x="69"/>
        <item x="71"/>
        <item x="72"/>
        <item x="75"/>
        <item x="76"/>
        <item x="77"/>
        <item x="79"/>
        <item x="80"/>
        <item x="86"/>
        <item x="87"/>
        <item x="88"/>
        <item x="93"/>
        <item x="96"/>
        <item x="99"/>
        <item x="101"/>
        <item x="102"/>
        <item x="103"/>
        <item x="105"/>
        <item x="109"/>
        <item x="112"/>
        <item x="116"/>
        <item x="117"/>
        <item x="119"/>
        <item x="121"/>
        <item x="122"/>
        <item x="123"/>
        <item x="125"/>
        <item x="129"/>
        <item x="134"/>
        <item x="139"/>
        <item x="14"/>
        <item x="127"/>
        <item x="111"/>
        <item x="143"/>
        <item x="133"/>
        <item x="140"/>
        <item x="120"/>
        <item x="110"/>
        <item x="107"/>
        <item x="60"/>
        <item m="1" x="147"/>
        <item x="13"/>
        <item x="27"/>
        <item x="137"/>
        <item x="83"/>
        <item x="78"/>
        <item x="22"/>
        <item x="126"/>
        <item x="4"/>
        <item x="144"/>
        <item x="15"/>
        <item x="98"/>
        <item x="44"/>
        <item x="2"/>
        <item x="56"/>
        <item x="70"/>
        <item x="74"/>
        <item x="89"/>
        <item x="59"/>
        <item x="81"/>
        <item x="51"/>
        <item x="40"/>
        <item x="45"/>
        <item x="66"/>
        <item x="141"/>
        <item x="3"/>
        <item x="17"/>
        <item x="33"/>
        <item x="36"/>
        <item x="37"/>
        <item x="97"/>
        <item x="0"/>
        <item x="1"/>
        <item x="7"/>
        <item x="9"/>
        <item x="29"/>
        <item x="32"/>
        <item x="43"/>
        <item x="47"/>
        <item x="52"/>
        <item x="61"/>
        <item x="68"/>
        <item x="82"/>
        <item x="84"/>
        <item x="90"/>
        <item x="91"/>
        <item x="92"/>
        <item x="94"/>
        <item x="95"/>
        <item x="100"/>
        <item x="104"/>
        <item x="114"/>
        <item x="115"/>
        <item x="130"/>
        <item x="131"/>
        <item x="135"/>
        <item x="136"/>
        <item x="142"/>
        <item x="146"/>
        <item x="24"/>
        <item x="41"/>
        <item x="64"/>
        <item x="108"/>
        <item x="138"/>
        <item x="57"/>
        <item x="18"/>
        <item x="106"/>
        <item x="8"/>
        <item x="10"/>
        <item x="12"/>
        <item x="42"/>
        <item x="54"/>
        <item x="65"/>
        <item x="85"/>
        <item x="128"/>
        <item x="132"/>
        <item x="113"/>
        <item x="30"/>
        <item x="46"/>
        <item x="73"/>
        <item x="118"/>
        <item x="124"/>
        <item t="default"/>
      </items>
    </pivotField>
    <pivotField showAll="0"/>
    <pivotField showAll="0"/>
    <pivotField showAll="0"/>
    <pivotField numFmtId="166" showAll="0" defaultSubtotal="0"/>
    <pivotField numFmtId="166" showAll="0" defaultSubtotal="0"/>
    <pivotField showAl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dataField="1" showAll="0"/>
    <pivotField showAll="0"/>
    <pivotField showAll="0"/>
    <pivotField axis="axisRow" outline="0" showAll="0" defaultSubtotal="0">
      <items count="35">
        <item x="30"/>
        <item x="27"/>
        <item x="19"/>
        <item x="13"/>
        <item x="24"/>
        <item x="4"/>
        <item x="16"/>
        <item x="26"/>
        <item x="9"/>
        <item x="11"/>
        <item x="14"/>
        <item x="18"/>
        <item x="23"/>
        <item x="20"/>
        <item x="6"/>
        <item m="1" x="34"/>
        <item x="17"/>
        <item x="7"/>
        <item x="15"/>
        <item x="28"/>
        <item x="29"/>
        <item x="22"/>
        <item x="8"/>
        <item x="1"/>
        <item x="10"/>
        <item x="21"/>
        <item x="0"/>
        <item m="1" x="32"/>
        <item x="3"/>
        <item x="5"/>
        <item x="12"/>
        <item x="25"/>
        <item x="2"/>
        <item m="1" x="31"/>
        <item m="1" x="3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42"/>
    <field x="0"/>
    <field x="4"/>
  </rowFields>
  <rowItems count="149">
    <i>
      <x/>
      <x/>
      <x/>
    </i>
    <i r="2">
      <x v="124"/>
    </i>
    <i r="1">
      <x v="40"/>
      <x/>
    </i>
    <i>
      <x v="1"/>
      <x v="28"/>
      <x v="33"/>
    </i>
    <i>
      <x v="2"/>
      <x v="29"/>
      <x v="16"/>
    </i>
    <i r="2">
      <x v="109"/>
    </i>
    <i>
      <x v="3"/>
      <x v="30"/>
      <x v="21"/>
    </i>
    <i r="2">
      <x v="22"/>
    </i>
    <i r="2">
      <x v="23"/>
    </i>
    <i r="2">
      <x v="30"/>
    </i>
    <i r="2">
      <x v="40"/>
    </i>
    <i r="2">
      <x v="64"/>
    </i>
    <i r="2">
      <x v="68"/>
    </i>
    <i r="2">
      <x v="88"/>
    </i>
    <i r="2">
      <x v="95"/>
    </i>
    <i r="2">
      <x v="96"/>
    </i>
    <i r="2">
      <x v="107"/>
    </i>
    <i r="2">
      <x v="125"/>
    </i>
    <i r="1">
      <x v="44"/>
      <x v="11"/>
    </i>
    <i>
      <x v="4"/>
      <x v="31"/>
      <x v="82"/>
    </i>
    <i>
      <x v="5"/>
      <x v="32"/>
      <x v="87"/>
    </i>
    <i r="2">
      <x v="100"/>
    </i>
    <i>
      <x v="6"/>
      <x v="1"/>
      <x v="13"/>
    </i>
    <i r="2">
      <x v="34"/>
    </i>
    <i r="2">
      <x v="142"/>
    </i>
    <i>
      <x v="7"/>
      <x v="7"/>
      <x v="32"/>
    </i>
    <i r="2">
      <x v="70"/>
    </i>
    <i>
      <x v="8"/>
      <x v="10"/>
      <x v="5"/>
    </i>
    <i r="2">
      <x v="8"/>
    </i>
    <i r="2">
      <x v="12"/>
    </i>
    <i r="2">
      <x v="81"/>
    </i>
    <i r="2">
      <x v="101"/>
    </i>
    <i r="2">
      <x v="103"/>
    </i>
    <i>
      <x v="9"/>
      <x v="8"/>
      <x v="7"/>
    </i>
    <i r="2">
      <x v="83"/>
    </i>
    <i>
      <x v="10"/>
      <x v="6"/>
      <x v="9"/>
    </i>
    <i r="2">
      <x v="143"/>
    </i>
    <i>
      <x v="11"/>
      <x v="9"/>
      <x v="15"/>
    </i>
    <i>
      <x v="12"/>
      <x v="20"/>
      <x v="26"/>
    </i>
    <i r="2">
      <x v="138"/>
    </i>
    <i>
      <x v="13"/>
      <x v="21"/>
      <x v="17"/>
    </i>
    <i r="2">
      <x v="53"/>
    </i>
    <i>
      <x v="14"/>
      <x v="22"/>
      <x v="27"/>
    </i>
    <i r="2">
      <x v="38"/>
    </i>
    <i r="2">
      <x v="39"/>
    </i>
    <i r="2">
      <x v="46"/>
    </i>
    <i r="2">
      <x v="62"/>
    </i>
    <i r="2">
      <x v="71"/>
    </i>
    <i r="2">
      <x v="85"/>
    </i>
    <i r="2">
      <x v="89"/>
    </i>
    <i r="1">
      <x v="23"/>
      <x v="146"/>
    </i>
    <i r="1">
      <x v="24"/>
      <x v="50"/>
    </i>
    <i r="1">
      <x v="25"/>
      <x v="19"/>
    </i>
    <i r="2">
      <x v="24"/>
    </i>
    <i r="2">
      <x v="52"/>
    </i>
    <i r="2">
      <x v="65"/>
    </i>
    <i r="2">
      <x v="67"/>
    </i>
    <i r="2">
      <x v="90"/>
    </i>
    <i r="2">
      <x v="105"/>
    </i>
    <i r="2">
      <x v="108"/>
    </i>
    <i r="2">
      <x v="114"/>
    </i>
    <i r="2">
      <x v="115"/>
    </i>
    <i r="2">
      <x v="116"/>
    </i>
    <i r="2">
      <x v="117"/>
    </i>
    <i r="2">
      <x v="118"/>
    </i>
    <i r="2">
      <x v="119"/>
    </i>
    <i r="2">
      <x v="121"/>
    </i>
    <i r="2">
      <x v="122"/>
    </i>
    <i r="2">
      <x v="137"/>
    </i>
    <i r="2">
      <x v="140"/>
    </i>
    <i r="2">
      <x v="145"/>
    </i>
    <i r="2">
      <x v="147"/>
    </i>
    <i>
      <x v="16"/>
      <x v="33"/>
      <x v="14"/>
    </i>
    <i>
      <x v="17"/>
      <x v="34"/>
      <x v="28"/>
    </i>
    <i r="2">
      <x v="29"/>
    </i>
    <i r="2">
      <x v="56"/>
    </i>
    <i r="2">
      <x v="58"/>
    </i>
    <i r="2">
      <x v="73"/>
    </i>
    <i r="2">
      <x v="110"/>
    </i>
    <i r="1">
      <x v="36"/>
      <x v="37"/>
    </i>
    <i r="2">
      <x v="51"/>
    </i>
    <i r="2">
      <x v="126"/>
    </i>
    <i r="1">
      <x v="37"/>
      <x v="129"/>
    </i>
    <i r="2">
      <x v="131"/>
    </i>
    <i>
      <x v="18"/>
      <x v="38"/>
      <x v="10"/>
    </i>
    <i>
      <x v="19"/>
      <x v="2"/>
      <x v="47"/>
    </i>
    <i r="2">
      <x v="49"/>
    </i>
    <i>
      <x v="20"/>
      <x v="19"/>
      <x v="55"/>
    </i>
    <i>
      <x v="21"/>
      <x v="3"/>
      <x v="106"/>
    </i>
    <i>
      <x v="22"/>
      <x v="4"/>
      <x v="18"/>
    </i>
    <i r="2">
      <x v="63"/>
    </i>
    <i r="2">
      <x v="69"/>
    </i>
    <i r="2">
      <x v="92"/>
    </i>
    <i r="2">
      <x v="93"/>
    </i>
    <i r="2">
      <x v="111"/>
    </i>
    <i>
      <x v="23"/>
      <x v="15"/>
      <x v="3"/>
    </i>
    <i r="2">
      <x v="20"/>
    </i>
    <i r="2">
      <x v="35"/>
    </i>
    <i r="2">
      <x v="36"/>
    </i>
    <i r="2">
      <x v="41"/>
    </i>
    <i r="2">
      <x v="48"/>
    </i>
    <i r="2">
      <x v="54"/>
    </i>
    <i r="2">
      <x v="61"/>
    </i>
    <i r="2">
      <x v="77"/>
    </i>
    <i r="2">
      <x v="80"/>
    </i>
    <i r="2">
      <x v="98"/>
    </i>
    <i r="1">
      <x v="18"/>
      <x v="112"/>
    </i>
    <i r="2">
      <x v="113"/>
    </i>
    <i>
      <x v="24"/>
      <x v="11"/>
      <x v="6"/>
    </i>
    <i r="2">
      <x v="144"/>
    </i>
    <i>
      <x v="25"/>
      <x v="12"/>
      <x v="128"/>
    </i>
    <i r="2">
      <x v="130"/>
    </i>
    <i>
      <x v="26"/>
      <x v="13"/>
      <x v="1"/>
    </i>
    <i r="2">
      <x v="4"/>
    </i>
    <i r="2">
      <x v="25"/>
    </i>
    <i r="2">
      <x v="45"/>
    </i>
    <i r="2">
      <x v="59"/>
    </i>
    <i r="2">
      <x v="75"/>
    </i>
    <i r="1">
      <x v="14"/>
      <x v="74"/>
    </i>
    <i r="2">
      <x v="76"/>
    </i>
    <i r="2">
      <x v="94"/>
    </i>
    <i r="1">
      <x v="16"/>
      <x v="43"/>
    </i>
    <i r="2">
      <x v="44"/>
    </i>
    <i r="2">
      <x v="78"/>
    </i>
    <i r="1">
      <x v="17"/>
      <x v="79"/>
    </i>
    <i r="2">
      <x v="84"/>
    </i>
    <i r="2">
      <x v="86"/>
    </i>
    <i r="2">
      <x v="97"/>
    </i>
    <i r="2">
      <x v="99"/>
    </i>
    <i r="2">
      <x v="102"/>
    </i>
    <i r="2">
      <x v="120"/>
    </i>
    <i r="2">
      <x v="123"/>
    </i>
    <i r="2">
      <x v="127"/>
    </i>
    <i r="2">
      <x v="132"/>
    </i>
    <i r="2">
      <x v="133"/>
    </i>
    <i r="2">
      <x v="139"/>
    </i>
    <i>
      <x v="28"/>
      <x v="39"/>
      <x v="2"/>
    </i>
    <i r="2">
      <x v="57"/>
    </i>
    <i r="2">
      <x v="134"/>
    </i>
    <i>
      <x v="29"/>
      <x v="45"/>
      <x v="104"/>
    </i>
    <i r="2">
      <x v="135"/>
    </i>
    <i r="2">
      <x v="136"/>
    </i>
    <i r="2">
      <x v="141"/>
    </i>
    <i>
      <x v="30"/>
      <x v="46"/>
      <x v="42"/>
    </i>
    <i r="2">
      <x v="72"/>
    </i>
    <i>
      <x v="31"/>
      <x v="47"/>
      <x v="31"/>
    </i>
    <i r="2">
      <x v="60"/>
    </i>
    <i>
      <x v="32"/>
      <x v="48"/>
      <x v="91"/>
    </i>
    <i t="grand">
      <x/>
    </i>
  </rowItems>
  <colItems count="1">
    <i/>
  </colItems>
  <dataFields count="1">
    <dataField name="Sum of Paid FTE" fld="39" baseField="0" baseItem="0" numFmtId="164"/>
  </dataFields>
  <formats count="2">
    <format dxfId="1">
      <pivotArea outline="0" collapsedLevelsAreSubtotals="1" fieldPosition="0"/>
    </format>
    <format dxfId="0">
      <pivotArea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A2:D24" firstHeaderRow="0" firstDataRow="1" firstDataCol="1"/>
  <pivotFields count="4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3">
        <item x="21"/>
        <item x="18"/>
        <item x="12"/>
        <item x="8"/>
        <item x="17"/>
        <item x="10"/>
        <item m="1" x="22"/>
        <item x="15"/>
        <item x="6"/>
        <item x="9"/>
        <item x="16"/>
        <item x="13"/>
        <item x="2"/>
        <item x="11"/>
        <item x="4"/>
        <item x="19"/>
        <item x="20"/>
        <item x="3"/>
        <item x="5"/>
        <item x="1"/>
        <item x="7"/>
        <item x="1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5"/>
  </rowFields>
  <rowItems count="2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OT FTE" fld="38" baseField="0" baseItem="0"/>
    <dataField name="Sum of Paid FTE" fld="39" baseField="0" baseItem="0"/>
    <dataField name="Sum of Worked FTE" fld="4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90"/>
  <sheetViews>
    <sheetView topLeftCell="A61" workbookViewId="0">
      <selection activeCell="K95" sqref="K95"/>
    </sheetView>
  </sheetViews>
  <sheetFormatPr defaultColWidth="9" defaultRowHeight="15"/>
  <cols>
    <col min="1" max="1" width="19.5703125" customWidth="1"/>
  </cols>
  <sheetData>
    <row r="1" spans="1:1">
      <c r="A1" s="1" t="s">
        <v>0</v>
      </c>
    </row>
    <row r="3" spans="1:1">
      <c r="A3" t="s">
        <v>1</v>
      </c>
    </row>
    <row r="21" spans="1:2">
      <c r="A21">
        <v>1</v>
      </c>
      <c r="B21" t="s">
        <v>2</v>
      </c>
    </row>
    <row r="51" spans="1:2">
      <c r="A51">
        <v>2</v>
      </c>
      <c r="B51" t="s">
        <v>3</v>
      </c>
    </row>
    <row r="82" spans="2:10">
      <c r="B82" t="s">
        <v>4</v>
      </c>
    </row>
    <row r="83" spans="2:10">
      <c r="B83" t="s">
        <v>5</v>
      </c>
    </row>
    <row r="85" spans="2:10">
      <c r="B85" t="s">
        <v>6</v>
      </c>
    </row>
    <row r="89" spans="2:10">
      <c r="B89" s="32" t="s">
        <v>7</v>
      </c>
      <c r="C89" s="32"/>
      <c r="D89" s="32"/>
      <c r="E89" s="32"/>
      <c r="F89" s="32"/>
      <c r="G89" s="32"/>
      <c r="H89" s="32"/>
      <c r="I89" s="32"/>
      <c r="J89" s="32"/>
    </row>
    <row r="90" spans="2:10">
      <c r="B90" s="32" t="s">
        <v>8</v>
      </c>
      <c r="C90" s="32"/>
      <c r="D90" s="32"/>
      <c r="E90" s="32"/>
      <c r="F90" s="32"/>
      <c r="G90" s="32"/>
      <c r="H90" s="32"/>
      <c r="I90" s="32"/>
      <c r="J90" s="32"/>
    </row>
  </sheetData>
  <pageMargins left="0.70866141732283505" right="0.70866141732283505" top="0.74803149606299202" bottom="0.74803149606299202" header="0.31496062992126" footer="0.31496062992126"/>
  <pageSetup paperSize="8" scale="87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49"/>
  <sheetViews>
    <sheetView zoomScale="90" zoomScaleNormal="90" workbookViewId="0">
      <pane ySplit="2" topLeftCell="A21" activePane="bottomLeft" state="frozen"/>
      <selection pane="bottomLeft" activeCell="E51" sqref="E51"/>
    </sheetView>
  </sheetViews>
  <sheetFormatPr defaultColWidth="9" defaultRowHeight="15"/>
  <cols>
    <col min="1" max="1" width="29.85546875" customWidth="1"/>
    <col min="2" max="2" width="13.85546875" style="20" customWidth="1"/>
    <col min="3" max="3" width="15.28515625" style="20" customWidth="1"/>
    <col min="4" max="4" width="18.5703125" style="20" customWidth="1"/>
    <col min="5" max="5" width="30.5703125" style="7" customWidth="1"/>
    <col min="6" max="6" width="24.28515625" style="7" customWidth="1"/>
    <col min="7" max="8" width="5" customWidth="1"/>
    <col min="9" max="10" width="6.5703125" customWidth="1"/>
    <col min="11" max="91" width="5" customWidth="1"/>
    <col min="92" max="92" width="12.85546875" customWidth="1"/>
  </cols>
  <sheetData>
    <row r="1" spans="1:10">
      <c r="A1" s="25" t="s">
        <v>106</v>
      </c>
      <c r="B1" s="26"/>
      <c r="C1" s="26"/>
      <c r="D1" s="26"/>
    </row>
    <row r="2" spans="1:10" ht="42.75" customHeight="1">
      <c r="A2" s="33" t="s">
        <v>107</v>
      </c>
      <c r="B2" s="28" t="s">
        <v>108</v>
      </c>
      <c r="C2" s="28" t="s">
        <v>109</v>
      </c>
      <c r="D2" s="28" t="s">
        <v>110</v>
      </c>
      <c r="E2" s="27" t="s">
        <v>111</v>
      </c>
      <c r="F2" s="27" t="s">
        <v>112</v>
      </c>
    </row>
    <row r="3" spans="1:10">
      <c r="A3" s="21" t="s">
        <v>86</v>
      </c>
      <c r="B3" s="29">
        <v>0.74298355263157889</v>
      </c>
      <c r="C3" s="29">
        <v>12.569300000000002</v>
      </c>
      <c r="D3" s="29">
        <v>10.677194736842106</v>
      </c>
      <c r="E3" s="29">
        <v>234.39999999999998</v>
      </c>
      <c r="F3" s="29">
        <v>325.59999999999997</v>
      </c>
      <c r="I3" s="29"/>
      <c r="J3" s="30"/>
    </row>
    <row r="4" spans="1:10">
      <c r="A4" s="24" t="s">
        <v>87</v>
      </c>
      <c r="B4" s="48">
        <v>0.11337697368421053</v>
      </c>
      <c r="C4" s="48">
        <v>0.9097585526315789</v>
      </c>
      <c r="D4" s="48">
        <v>0.80975855263157892</v>
      </c>
      <c r="E4" s="48">
        <v>15.2</v>
      </c>
      <c r="F4" s="48">
        <v>15.2</v>
      </c>
    </row>
    <row r="5" spans="1:10">
      <c r="A5" s="24" t="s">
        <v>113</v>
      </c>
      <c r="B5" s="48">
        <v>0.62960657894736838</v>
      </c>
      <c r="C5" s="48">
        <v>11.659541447368422</v>
      </c>
      <c r="D5" s="48">
        <v>9.8674361842105274</v>
      </c>
      <c r="E5" s="48">
        <v>219.2</v>
      </c>
      <c r="F5" s="48">
        <v>310.39999999999998</v>
      </c>
    </row>
    <row r="6" spans="1:10">
      <c r="A6" s="21" t="s">
        <v>114</v>
      </c>
      <c r="B6" s="29">
        <v>0</v>
      </c>
      <c r="C6" s="29">
        <v>4.7</v>
      </c>
      <c r="D6" s="29">
        <v>3.8499999999999996</v>
      </c>
      <c r="E6" s="29">
        <v>7.6</v>
      </c>
      <c r="F6" s="29">
        <v>129.19999999999999</v>
      </c>
      <c r="I6" s="29"/>
      <c r="J6" s="30"/>
    </row>
    <row r="7" spans="1:10">
      <c r="A7" s="24" t="s">
        <v>115</v>
      </c>
      <c r="B7" s="48">
        <v>0</v>
      </c>
      <c r="C7" s="48">
        <v>1</v>
      </c>
      <c r="D7" s="48">
        <v>1</v>
      </c>
      <c r="E7" s="48">
        <v>0</v>
      </c>
      <c r="F7" s="48">
        <v>0</v>
      </c>
    </row>
    <row r="8" spans="1:10">
      <c r="A8" s="24" t="s">
        <v>116</v>
      </c>
      <c r="B8" s="48">
        <v>0</v>
      </c>
      <c r="C8" s="48">
        <v>1.1000000000000001</v>
      </c>
      <c r="D8" s="48">
        <v>0.8</v>
      </c>
      <c r="E8" s="48">
        <v>0</v>
      </c>
      <c r="F8" s="48">
        <v>45.6</v>
      </c>
    </row>
    <row r="9" spans="1:10">
      <c r="A9" s="24" t="s">
        <v>117</v>
      </c>
      <c r="B9" s="48">
        <v>0</v>
      </c>
      <c r="C9" s="48">
        <v>1</v>
      </c>
      <c r="D9" s="48">
        <v>0.5</v>
      </c>
      <c r="E9" s="48">
        <v>0</v>
      </c>
      <c r="F9" s="48">
        <v>76</v>
      </c>
    </row>
    <row r="10" spans="1:10">
      <c r="A10" s="24" t="s">
        <v>118</v>
      </c>
      <c r="B10" s="48">
        <v>0</v>
      </c>
      <c r="C10" s="48">
        <v>1.6</v>
      </c>
      <c r="D10" s="48">
        <v>1.55</v>
      </c>
      <c r="E10" s="48">
        <v>7.6</v>
      </c>
      <c r="F10" s="48">
        <v>7.6</v>
      </c>
    </row>
    <row r="11" spans="1:10">
      <c r="A11" s="21" t="s">
        <v>119</v>
      </c>
      <c r="B11" s="29">
        <v>0</v>
      </c>
      <c r="C11" s="29">
        <v>9</v>
      </c>
      <c r="D11" s="29">
        <v>8.7368421052631575</v>
      </c>
      <c r="E11" s="29">
        <v>27.4</v>
      </c>
      <c r="F11" s="29">
        <v>40</v>
      </c>
      <c r="I11" s="29"/>
      <c r="J11" s="30"/>
    </row>
    <row r="12" spans="1:10">
      <c r="A12" s="24" t="s">
        <v>120</v>
      </c>
      <c r="B12" s="48">
        <v>0</v>
      </c>
      <c r="C12" s="48">
        <v>6</v>
      </c>
      <c r="D12" s="48">
        <v>5.7631578947368425</v>
      </c>
      <c r="E12" s="48">
        <v>27.4</v>
      </c>
      <c r="F12" s="48">
        <v>36</v>
      </c>
    </row>
    <row r="13" spans="1:10">
      <c r="A13" s="24" t="s">
        <v>121</v>
      </c>
      <c r="B13" s="48">
        <v>0</v>
      </c>
      <c r="C13" s="48">
        <v>2</v>
      </c>
      <c r="D13" s="48">
        <v>1.9736842105263159</v>
      </c>
      <c r="E13" s="48">
        <v>0</v>
      </c>
      <c r="F13" s="48">
        <v>4</v>
      </c>
    </row>
    <row r="14" spans="1:10">
      <c r="A14" s="24" t="s">
        <v>122</v>
      </c>
      <c r="B14" s="48">
        <v>0</v>
      </c>
      <c r="C14" s="48">
        <v>1</v>
      </c>
      <c r="D14" s="48">
        <v>1</v>
      </c>
      <c r="E14" s="48">
        <v>0</v>
      </c>
      <c r="F14" s="48">
        <v>0</v>
      </c>
    </row>
    <row r="15" spans="1:10">
      <c r="A15" s="21" t="s">
        <v>123</v>
      </c>
      <c r="B15" s="29">
        <v>0</v>
      </c>
      <c r="C15" s="29">
        <v>1.6</v>
      </c>
      <c r="D15" s="29">
        <v>1.6</v>
      </c>
      <c r="E15" s="29">
        <v>0</v>
      </c>
      <c r="F15" s="29">
        <v>0</v>
      </c>
      <c r="I15" s="29"/>
      <c r="J15" s="30"/>
    </row>
    <row r="16" spans="1:10">
      <c r="A16" s="24" t="s">
        <v>123</v>
      </c>
      <c r="B16" s="48">
        <v>0</v>
      </c>
      <c r="C16" s="48">
        <v>1.6</v>
      </c>
      <c r="D16" s="48">
        <v>1.6</v>
      </c>
      <c r="E16" s="48">
        <v>0</v>
      </c>
      <c r="F16" s="48">
        <v>0</v>
      </c>
    </row>
    <row r="17" spans="1:14">
      <c r="A17" s="21" t="s">
        <v>95</v>
      </c>
      <c r="B17" s="29">
        <v>0</v>
      </c>
      <c r="C17" s="29">
        <v>7.026315789473685</v>
      </c>
      <c r="D17" s="29">
        <v>6.9381578947368432</v>
      </c>
      <c r="E17" s="29">
        <v>2.35</v>
      </c>
      <c r="F17" s="29">
        <v>165.4</v>
      </c>
      <c r="I17" s="29"/>
      <c r="J17" s="30"/>
    </row>
    <row r="18" spans="1:14">
      <c r="A18" s="24" t="s">
        <v>96</v>
      </c>
      <c r="B18" s="48">
        <v>0</v>
      </c>
      <c r="C18" s="48">
        <v>1.9</v>
      </c>
      <c r="D18" s="48">
        <v>1.9</v>
      </c>
      <c r="E18" s="48">
        <v>0</v>
      </c>
      <c r="F18" s="48">
        <v>0</v>
      </c>
    </row>
    <row r="19" spans="1:14">
      <c r="A19" s="24" t="s">
        <v>124</v>
      </c>
      <c r="B19" s="48">
        <v>0</v>
      </c>
      <c r="C19" s="48">
        <v>3</v>
      </c>
      <c r="D19" s="48">
        <v>3</v>
      </c>
      <c r="E19" s="48">
        <v>0</v>
      </c>
      <c r="F19" s="48">
        <v>0</v>
      </c>
      <c r="I19" s="7"/>
      <c r="J19" s="7"/>
      <c r="K19" s="7"/>
      <c r="L19" s="7"/>
      <c r="M19" s="7"/>
      <c r="N19" s="7"/>
    </row>
    <row r="20" spans="1:14">
      <c r="A20" s="24" t="s">
        <v>125</v>
      </c>
      <c r="B20" s="48">
        <v>0</v>
      </c>
      <c r="C20" s="48">
        <v>1</v>
      </c>
      <c r="D20" s="48">
        <v>0.9118421052631579</v>
      </c>
      <c r="E20" s="48">
        <v>2.35</v>
      </c>
      <c r="F20" s="48">
        <v>165.4</v>
      </c>
      <c r="I20" s="7"/>
      <c r="J20" s="7"/>
      <c r="K20" s="7"/>
      <c r="L20" s="7"/>
      <c r="M20" s="7"/>
      <c r="N20" s="7"/>
    </row>
    <row r="21" spans="1:14">
      <c r="A21" s="24" t="s">
        <v>273</v>
      </c>
      <c r="B21" s="48">
        <v>0</v>
      </c>
      <c r="C21" s="48">
        <v>1.1263157894736842</v>
      </c>
      <c r="D21" s="48">
        <v>1.1263157894736842</v>
      </c>
      <c r="E21" s="48">
        <v>0</v>
      </c>
      <c r="F21" s="48">
        <v>0</v>
      </c>
      <c r="I21" s="7"/>
      <c r="J21" s="7"/>
      <c r="K21" s="7"/>
      <c r="L21" s="7"/>
      <c r="M21" s="7"/>
      <c r="N21" s="7"/>
    </row>
    <row r="22" spans="1:14">
      <c r="A22" s="21" t="s">
        <v>56</v>
      </c>
      <c r="B22" s="29">
        <v>5.4952809210526308</v>
      </c>
      <c r="C22" s="29">
        <v>76.388261184210521</v>
      </c>
      <c r="D22" s="29">
        <v>69.620498026315801</v>
      </c>
      <c r="E22" s="29">
        <v>342.00000000000006</v>
      </c>
      <c r="F22" s="29">
        <v>1254.8999999999999</v>
      </c>
      <c r="I22" s="29"/>
      <c r="J22" s="31"/>
      <c r="K22" s="7"/>
      <c r="L22" s="7"/>
      <c r="M22" s="7"/>
      <c r="N22" s="7"/>
    </row>
    <row r="23" spans="1:14">
      <c r="A23" s="24" t="s">
        <v>126</v>
      </c>
      <c r="B23" s="49">
        <v>0.15811315789473687</v>
      </c>
      <c r="C23" s="49">
        <v>9.6918848684210523</v>
      </c>
      <c r="D23" s="48">
        <v>9.0260953947368421</v>
      </c>
      <c r="E23" s="48">
        <v>66.599999999999994</v>
      </c>
      <c r="F23" s="48">
        <v>197.39999999999998</v>
      </c>
      <c r="I23" s="7"/>
      <c r="J23" s="31"/>
      <c r="K23" s="7"/>
      <c r="L23" s="7"/>
      <c r="M23" s="7"/>
      <c r="N23" s="7"/>
    </row>
    <row r="24" spans="1:14">
      <c r="A24" s="24" t="s">
        <v>57</v>
      </c>
      <c r="B24" s="49">
        <v>4.1472519736842104</v>
      </c>
      <c r="C24" s="49">
        <v>29.293521710526313</v>
      </c>
      <c r="D24" s="48">
        <v>26.443521710526309</v>
      </c>
      <c r="E24" s="48">
        <v>68.400000000000006</v>
      </c>
      <c r="F24" s="48">
        <v>433.20000000000005</v>
      </c>
      <c r="I24" s="7"/>
      <c r="J24" s="31"/>
      <c r="K24" s="7"/>
      <c r="L24" s="7"/>
      <c r="M24" s="7"/>
      <c r="N24" s="7"/>
    </row>
    <row r="25" spans="1:14">
      <c r="A25" s="24" t="s">
        <v>127</v>
      </c>
      <c r="B25" s="49">
        <v>0.60373092105263149</v>
      </c>
      <c r="C25" s="49">
        <v>8.0945203947368416</v>
      </c>
      <c r="D25" s="48">
        <v>6.8787309210526333</v>
      </c>
      <c r="E25" s="48">
        <v>84.399999999999991</v>
      </c>
      <c r="F25" s="48">
        <v>261.60000000000002</v>
      </c>
      <c r="I25" s="7"/>
      <c r="J25" s="31"/>
      <c r="K25" s="7"/>
      <c r="L25" s="7"/>
      <c r="M25" s="7"/>
      <c r="N25" s="7"/>
    </row>
    <row r="26" spans="1:14">
      <c r="A26" s="24" t="s">
        <v>89</v>
      </c>
      <c r="B26" s="49">
        <v>0</v>
      </c>
      <c r="C26" s="49">
        <v>1</v>
      </c>
      <c r="D26" s="48">
        <v>0.9</v>
      </c>
      <c r="E26" s="48">
        <v>7.6</v>
      </c>
      <c r="F26" s="48">
        <v>15.2</v>
      </c>
      <c r="I26" s="7"/>
      <c r="J26" s="31"/>
      <c r="K26" s="7"/>
      <c r="L26" s="7"/>
      <c r="M26" s="7"/>
      <c r="N26" s="7"/>
    </row>
    <row r="27" spans="1:14">
      <c r="A27" s="24" t="s">
        <v>128</v>
      </c>
      <c r="B27" s="49">
        <v>0.3657894736842105</v>
      </c>
      <c r="C27" s="49">
        <v>20.549999999999997</v>
      </c>
      <c r="D27" s="48">
        <v>19.483552631578949</v>
      </c>
      <c r="E27" s="48">
        <v>36</v>
      </c>
      <c r="F27" s="48">
        <v>162.1</v>
      </c>
      <c r="I27" s="7"/>
      <c r="J27" s="31"/>
      <c r="K27" s="7"/>
      <c r="L27" s="7"/>
      <c r="M27" s="7"/>
      <c r="N27" s="7"/>
    </row>
    <row r="28" spans="1:14">
      <c r="A28" s="24" t="s">
        <v>129</v>
      </c>
      <c r="B28" s="29">
        <v>0.10526315789473684</v>
      </c>
      <c r="C28" s="29">
        <v>3.5552631578947365</v>
      </c>
      <c r="D28" s="29">
        <v>3.3052631578947365</v>
      </c>
      <c r="E28" s="31">
        <v>60.800000000000004</v>
      </c>
      <c r="F28" s="31">
        <v>91.2</v>
      </c>
      <c r="I28" s="7"/>
      <c r="J28" s="31"/>
      <c r="K28" s="7"/>
      <c r="L28" s="7"/>
      <c r="M28" s="7"/>
      <c r="N28" s="7"/>
    </row>
    <row r="29" spans="1:14">
      <c r="A29" s="24" t="s">
        <v>130</v>
      </c>
      <c r="B29" s="29">
        <v>6.8312499999999998E-2</v>
      </c>
      <c r="C29" s="29">
        <v>2.0669967105263156</v>
      </c>
      <c r="D29" s="29">
        <v>1.9972598684210525</v>
      </c>
      <c r="E29" s="31">
        <v>10.6</v>
      </c>
      <c r="F29" s="31">
        <v>10.6</v>
      </c>
      <c r="I29" s="7"/>
      <c r="J29" s="31"/>
      <c r="K29" s="7"/>
      <c r="L29" s="7"/>
      <c r="M29" s="7"/>
      <c r="N29" s="7"/>
    </row>
    <row r="30" spans="1:14">
      <c r="A30" s="24" t="s">
        <v>131</v>
      </c>
      <c r="B30" s="29">
        <v>4.6819736842105261E-2</v>
      </c>
      <c r="C30" s="29">
        <v>1.636074342105263</v>
      </c>
      <c r="D30" s="29">
        <v>1.5860743421052632</v>
      </c>
      <c r="E30" s="31">
        <v>7.6</v>
      </c>
      <c r="F30" s="31">
        <v>7.6</v>
      </c>
      <c r="I30" s="7"/>
      <c r="J30" s="31"/>
      <c r="K30" s="7"/>
      <c r="L30" s="7"/>
      <c r="M30" s="7"/>
      <c r="N30" s="7"/>
    </row>
    <row r="31" spans="1:14">
      <c r="A31" s="24" t="s">
        <v>132</v>
      </c>
      <c r="B31" s="29">
        <v>0</v>
      </c>
      <c r="C31" s="29">
        <v>0.5</v>
      </c>
      <c r="D31" s="29">
        <v>0</v>
      </c>
      <c r="E31" s="31">
        <v>0</v>
      </c>
      <c r="F31" s="31">
        <v>76</v>
      </c>
      <c r="I31" s="7"/>
      <c r="J31" s="31"/>
      <c r="K31" s="7"/>
      <c r="L31" s="7"/>
      <c r="M31" s="7"/>
      <c r="N31" s="7"/>
    </row>
    <row r="32" spans="1:14">
      <c r="A32" s="21" t="s">
        <v>133</v>
      </c>
      <c r="B32" s="29">
        <v>0</v>
      </c>
      <c r="C32" s="29">
        <v>2</v>
      </c>
      <c r="D32" s="29">
        <v>2</v>
      </c>
      <c r="E32" s="29">
        <v>0</v>
      </c>
      <c r="F32" s="29">
        <v>0</v>
      </c>
      <c r="I32" s="29"/>
      <c r="J32" s="31"/>
      <c r="K32" s="7"/>
      <c r="L32" s="7"/>
      <c r="M32" s="7"/>
      <c r="N32" s="7"/>
    </row>
    <row r="33" spans="1:14">
      <c r="A33" s="24" t="s">
        <v>133</v>
      </c>
      <c r="B33" s="48">
        <v>0</v>
      </c>
      <c r="C33" s="48">
        <v>2</v>
      </c>
      <c r="D33" s="48">
        <v>2</v>
      </c>
      <c r="E33" s="48">
        <v>0</v>
      </c>
      <c r="F33" s="48">
        <v>0</v>
      </c>
      <c r="I33" s="7"/>
      <c r="J33" s="7"/>
      <c r="K33" s="7"/>
      <c r="L33" s="7"/>
      <c r="M33" s="7"/>
      <c r="N33" s="7"/>
    </row>
    <row r="34" spans="1:14">
      <c r="A34" s="21" t="s">
        <v>134</v>
      </c>
      <c r="B34" s="29">
        <v>0</v>
      </c>
      <c r="C34" s="29">
        <v>1</v>
      </c>
      <c r="D34" s="29">
        <v>0.79999999999999993</v>
      </c>
      <c r="E34" s="29">
        <v>7.6</v>
      </c>
      <c r="F34" s="29">
        <v>30.4</v>
      </c>
      <c r="I34" s="29"/>
      <c r="J34" s="30"/>
    </row>
    <row r="35" spans="1:14">
      <c r="A35" s="24" t="s">
        <v>134</v>
      </c>
      <c r="B35" s="48">
        <v>0</v>
      </c>
      <c r="C35" s="48">
        <v>1</v>
      </c>
      <c r="D35" s="48">
        <v>0.79999999999999993</v>
      </c>
      <c r="E35" s="48">
        <v>7.6</v>
      </c>
      <c r="F35" s="48">
        <v>30.4</v>
      </c>
    </row>
    <row r="36" spans="1:14">
      <c r="A36" s="21" t="s">
        <v>98</v>
      </c>
      <c r="B36" s="29">
        <v>0</v>
      </c>
      <c r="C36" s="29">
        <v>7.8236842105263165</v>
      </c>
      <c r="D36" s="29">
        <v>7.5486842105263161</v>
      </c>
      <c r="E36" s="29">
        <v>26.799999999999997</v>
      </c>
      <c r="F36" s="29">
        <v>53.4</v>
      </c>
      <c r="I36" s="29"/>
      <c r="J36" s="30"/>
    </row>
    <row r="37" spans="1:14">
      <c r="A37" s="24" t="s">
        <v>99</v>
      </c>
      <c r="B37" s="48">
        <v>0</v>
      </c>
      <c r="C37" s="48">
        <v>2</v>
      </c>
      <c r="D37" s="48">
        <v>1.9500000000000002</v>
      </c>
      <c r="E37" s="48">
        <v>7.6</v>
      </c>
      <c r="F37" s="48">
        <v>7.6</v>
      </c>
      <c r="J37" s="30"/>
    </row>
    <row r="38" spans="1:14">
      <c r="A38" s="24" t="s">
        <v>102</v>
      </c>
      <c r="B38" s="48">
        <v>0</v>
      </c>
      <c r="C38" s="48">
        <v>1.9236842105263157</v>
      </c>
      <c r="D38" s="48">
        <v>1.7486842105263156</v>
      </c>
      <c r="E38" s="48">
        <v>19.2</v>
      </c>
      <c r="F38" s="48">
        <v>38.199999999999996</v>
      </c>
      <c r="J38" s="30"/>
    </row>
    <row r="39" spans="1:14">
      <c r="A39" s="24" t="s">
        <v>105</v>
      </c>
      <c r="B39" s="48">
        <v>0</v>
      </c>
      <c r="C39" s="48">
        <v>1</v>
      </c>
      <c r="D39" s="48">
        <v>0.95000000000000007</v>
      </c>
      <c r="E39" s="48">
        <v>0</v>
      </c>
      <c r="F39" s="48">
        <v>7.6</v>
      </c>
      <c r="J39" s="30"/>
    </row>
    <row r="40" spans="1:14">
      <c r="A40" s="24" t="s">
        <v>135</v>
      </c>
      <c r="B40" s="48">
        <v>0</v>
      </c>
      <c r="C40" s="48">
        <v>2.9</v>
      </c>
      <c r="D40" s="48">
        <v>2.9</v>
      </c>
      <c r="E40" s="48">
        <v>0</v>
      </c>
      <c r="F40" s="48">
        <v>0</v>
      </c>
      <c r="J40" s="30"/>
    </row>
    <row r="41" spans="1:14">
      <c r="A41" s="21" t="s">
        <v>137</v>
      </c>
      <c r="B41" s="29">
        <v>0</v>
      </c>
      <c r="C41" s="29">
        <v>5.3</v>
      </c>
      <c r="D41" s="29">
        <v>4.4499999999999993</v>
      </c>
      <c r="E41" s="29">
        <v>0</v>
      </c>
      <c r="F41" s="29">
        <v>129.19999999999999</v>
      </c>
      <c r="I41" s="29"/>
      <c r="J41" s="30"/>
    </row>
    <row r="42" spans="1:14">
      <c r="A42" s="24" t="s">
        <v>137</v>
      </c>
      <c r="B42" s="48">
        <v>0</v>
      </c>
      <c r="C42" s="48">
        <v>5.3</v>
      </c>
      <c r="D42" s="48">
        <v>4.4499999999999993</v>
      </c>
      <c r="E42" s="48">
        <v>0</v>
      </c>
      <c r="F42" s="48">
        <v>129.19999999999999</v>
      </c>
    </row>
    <row r="43" spans="1:14">
      <c r="A43" s="21" t="s">
        <v>55</v>
      </c>
      <c r="B43" s="31">
        <v>0</v>
      </c>
      <c r="C43" s="31">
        <v>0</v>
      </c>
      <c r="D43" s="31">
        <v>0</v>
      </c>
      <c r="E43" s="31">
        <v>0</v>
      </c>
      <c r="F43" s="31">
        <v>0</v>
      </c>
    </row>
    <row r="44" spans="1:14">
      <c r="A44" s="24"/>
      <c r="B44" s="31">
        <v>0</v>
      </c>
      <c r="C44" s="31">
        <v>0</v>
      </c>
      <c r="D44" s="31">
        <v>0</v>
      </c>
      <c r="E44" s="31">
        <v>0</v>
      </c>
      <c r="F44" s="31">
        <v>0</v>
      </c>
    </row>
    <row r="45" spans="1:14">
      <c r="A45" s="21" t="s">
        <v>139</v>
      </c>
      <c r="B45" s="31">
        <v>6.2382644736842101</v>
      </c>
      <c r="C45" s="31">
        <v>127.40756118421052</v>
      </c>
      <c r="D45" s="31">
        <v>116.22137697368423</v>
      </c>
      <c r="E45" s="31">
        <v>648.15000000000009</v>
      </c>
      <c r="F45" s="31">
        <v>2128.1</v>
      </c>
    </row>
    <row r="46" spans="1:14">
      <c r="B46"/>
      <c r="C46"/>
      <c r="D46"/>
      <c r="E46"/>
      <c r="F46"/>
    </row>
    <row r="47" spans="1:14">
      <c r="B47"/>
      <c r="C47"/>
      <c r="D47"/>
      <c r="E47"/>
      <c r="F47"/>
    </row>
    <row r="48" spans="1:14">
      <c r="B48"/>
      <c r="C48"/>
      <c r="D48"/>
      <c r="E48"/>
      <c r="F48"/>
    </row>
    <row r="49" spans="2:4">
      <c r="B49"/>
      <c r="C49"/>
      <c r="D49"/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F232"/>
  <sheetViews>
    <sheetView topLeftCell="A106" workbookViewId="0">
      <selection activeCell="B176" sqref="B176"/>
    </sheetView>
  </sheetViews>
  <sheetFormatPr defaultColWidth="9" defaultRowHeight="15"/>
  <cols>
    <col min="1" max="1" width="42.7109375" customWidth="1"/>
    <col min="2" max="2" width="16.42578125" style="20" customWidth="1"/>
    <col min="3" max="3" width="19.85546875" style="20" customWidth="1"/>
    <col min="4" max="4" width="15" style="20" customWidth="1"/>
    <col min="5" max="5" width="31.42578125" customWidth="1"/>
    <col min="6" max="6" width="24.28515625" customWidth="1"/>
    <col min="7" max="100" width="5" customWidth="1"/>
    <col min="101" max="101" width="12.85546875" customWidth="1"/>
  </cols>
  <sheetData>
    <row r="2" spans="1:6">
      <c r="A2" s="33" t="s">
        <v>48</v>
      </c>
      <c r="B2" s="22" t="s">
        <v>275</v>
      </c>
    </row>
    <row r="3" spans="1:6"/>
    <row r="4" spans="1:6">
      <c r="A4" s="33" t="s">
        <v>107</v>
      </c>
      <c r="B4" s="22" t="s">
        <v>109</v>
      </c>
      <c r="C4" s="22" t="s">
        <v>110</v>
      </c>
      <c r="D4" s="22" t="s">
        <v>108</v>
      </c>
      <c r="E4" t="s">
        <v>111</v>
      </c>
      <c r="F4" t="s">
        <v>112</v>
      </c>
    </row>
    <row r="5" spans="1:6">
      <c r="A5" s="21" t="s">
        <v>115</v>
      </c>
      <c r="B5" s="22">
        <v>1</v>
      </c>
      <c r="C5" s="22">
        <v>1</v>
      </c>
      <c r="D5" s="22">
        <v>0</v>
      </c>
      <c r="E5" s="22">
        <v>0</v>
      </c>
      <c r="F5" s="22">
        <v>0</v>
      </c>
    </row>
    <row r="6" spans="1:6">
      <c r="A6" s="24" t="s">
        <v>140</v>
      </c>
      <c r="B6" s="22">
        <v>1</v>
      </c>
      <c r="C6" s="22">
        <v>1</v>
      </c>
      <c r="D6" s="22">
        <v>0</v>
      </c>
      <c r="E6" s="22">
        <v>0</v>
      </c>
      <c r="F6" s="22">
        <v>0</v>
      </c>
    </row>
    <row r="7" spans="1:6">
      <c r="A7" s="21" t="s">
        <v>96</v>
      </c>
      <c r="B7" s="22">
        <v>1.9</v>
      </c>
      <c r="C7" s="22">
        <v>1.9</v>
      </c>
      <c r="D7" s="22">
        <v>0</v>
      </c>
      <c r="E7" s="22">
        <v>0</v>
      </c>
      <c r="F7" s="22">
        <v>0</v>
      </c>
    </row>
    <row r="8" spans="1:6">
      <c r="A8" s="24" t="s">
        <v>97</v>
      </c>
      <c r="B8" s="22">
        <v>1</v>
      </c>
      <c r="C8" s="22">
        <v>1</v>
      </c>
      <c r="D8" s="22">
        <v>0</v>
      </c>
      <c r="E8" s="22">
        <v>0</v>
      </c>
      <c r="F8" s="22">
        <v>0</v>
      </c>
    </row>
    <row r="9" spans="1:6">
      <c r="A9" s="24" t="s">
        <v>94</v>
      </c>
      <c r="B9" s="22">
        <v>0.9</v>
      </c>
      <c r="C9" s="22">
        <v>0.9</v>
      </c>
      <c r="D9" s="22">
        <v>0</v>
      </c>
      <c r="E9" s="22">
        <v>0</v>
      </c>
      <c r="F9" s="22">
        <v>0</v>
      </c>
    </row>
    <row r="10" spans="1:6">
      <c r="A10" s="21" t="s">
        <v>126</v>
      </c>
      <c r="B10" s="22">
        <v>9.6918848684210523</v>
      </c>
      <c r="C10" s="22">
        <v>9.0260953947368421</v>
      </c>
      <c r="D10" s="22">
        <v>0.15811315789473682</v>
      </c>
      <c r="E10" s="22">
        <v>66.599999999999994</v>
      </c>
      <c r="F10" s="22">
        <v>197.39999999999998</v>
      </c>
    </row>
    <row r="11" spans="1:6">
      <c r="A11" s="24" t="s">
        <v>141</v>
      </c>
      <c r="B11" s="22">
        <v>0.79188552631578946</v>
      </c>
      <c r="C11" s="22">
        <v>0.64188552631578943</v>
      </c>
      <c r="D11" s="22">
        <v>2.1907894736842106E-4</v>
      </c>
      <c r="E11" s="22">
        <v>7.6</v>
      </c>
      <c r="F11" s="22">
        <v>22.799999999999997</v>
      </c>
    </row>
    <row r="12" spans="1:6">
      <c r="A12" s="24" t="s">
        <v>142</v>
      </c>
      <c r="B12" s="22">
        <v>0.7828940789473684</v>
      </c>
      <c r="C12" s="22">
        <v>0.7828940789473684</v>
      </c>
      <c r="D12" s="22">
        <v>5.5262500000000006E-2</v>
      </c>
      <c r="E12" s="22">
        <v>0</v>
      </c>
      <c r="F12" s="22">
        <v>0</v>
      </c>
    </row>
    <row r="13" spans="1:6">
      <c r="A13" s="24" t="s">
        <v>143</v>
      </c>
      <c r="B13" s="22">
        <v>1.0066888157894736</v>
      </c>
      <c r="C13" s="22">
        <v>0.95668881578947362</v>
      </c>
      <c r="D13" s="22">
        <v>1.3268421052631579E-2</v>
      </c>
      <c r="E13" s="22">
        <v>7.6</v>
      </c>
      <c r="F13" s="22">
        <v>7.6</v>
      </c>
    </row>
    <row r="14" spans="1:6">
      <c r="A14" s="24" t="s">
        <v>144</v>
      </c>
      <c r="B14" s="22">
        <v>1.0349796052631579</v>
      </c>
      <c r="C14" s="22">
        <v>1.0349796052631579</v>
      </c>
      <c r="D14" s="22">
        <v>3.5637500000000003E-2</v>
      </c>
      <c r="E14" s="22">
        <v>0</v>
      </c>
      <c r="F14" s="22">
        <v>0</v>
      </c>
    </row>
    <row r="15" spans="1:6">
      <c r="A15" s="24" t="s">
        <v>145</v>
      </c>
      <c r="B15" s="22">
        <v>1</v>
      </c>
      <c r="C15" s="22">
        <v>1</v>
      </c>
      <c r="D15" s="22">
        <v>0</v>
      </c>
      <c r="E15" s="22">
        <v>0</v>
      </c>
      <c r="F15" s="22">
        <v>0</v>
      </c>
    </row>
    <row r="16" spans="1:6">
      <c r="A16" s="24" t="s">
        <v>146</v>
      </c>
      <c r="B16" s="22">
        <v>0</v>
      </c>
      <c r="C16" s="22">
        <v>0</v>
      </c>
      <c r="D16" s="22">
        <v>0</v>
      </c>
      <c r="E16" s="22">
        <v>0</v>
      </c>
      <c r="F16" s="22">
        <v>91.2</v>
      </c>
    </row>
    <row r="17" spans="1:6">
      <c r="A17" s="24" t="s">
        <v>147</v>
      </c>
      <c r="B17" s="22">
        <v>0.6411171052631579</v>
      </c>
      <c r="C17" s="22">
        <v>0.5753276315789474</v>
      </c>
      <c r="D17" s="22">
        <v>1.6117105263157894E-2</v>
      </c>
      <c r="E17" s="22">
        <v>15</v>
      </c>
      <c r="F17" s="22">
        <v>15</v>
      </c>
    </row>
    <row r="18" spans="1:6">
      <c r="A18" s="24" t="s">
        <v>148</v>
      </c>
      <c r="B18" s="22">
        <v>0.98771973684210523</v>
      </c>
      <c r="C18" s="22">
        <v>0.78771973684210517</v>
      </c>
      <c r="D18" s="22">
        <v>1.205921052631579E-3</v>
      </c>
      <c r="E18" s="22">
        <v>21.2</v>
      </c>
      <c r="F18" s="22">
        <v>30.4</v>
      </c>
    </row>
    <row r="19" spans="1:6">
      <c r="A19" s="24" t="s">
        <v>149</v>
      </c>
      <c r="B19" s="22">
        <v>0.30975855263157898</v>
      </c>
      <c r="C19" s="22">
        <v>0.30975855263157898</v>
      </c>
      <c r="D19" s="22">
        <v>0</v>
      </c>
      <c r="E19" s="22">
        <v>0</v>
      </c>
      <c r="F19" s="22">
        <v>0</v>
      </c>
    </row>
    <row r="20" spans="1:6">
      <c r="A20" s="24" t="s">
        <v>150</v>
      </c>
      <c r="B20" s="22">
        <v>0.98706184210526315</v>
      </c>
      <c r="C20" s="22">
        <v>0.98706184210526315</v>
      </c>
      <c r="D20" s="22">
        <v>5.043421052631579E-3</v>
      </c>
      <c r="E20" s="22">
        <v>0</v>
      </c>
      <c r="F20" s="22">
        <v>0</v>
      </c>
    </row>
    <row r="21" spans="1:6">
      <c r="A21" s="24" t="s">
        <v>151</v>
      </c>
      <c r="B21" s="22">
        <v>1.0248894736842102</v>
      </c>
      <c r="C21" s="22">
        <v>0.92488947368421037</v>
      </c>
      <c r="D21" s="22">
        <v>2.9056578947368419E-2</v>
      </c>
      <c r="E21" s="22">
        <v>15.2</v>
      </c>
      <c r="F21" s="22">
        <v>15.2</v>
      </c>
    </row>
    <row r="22" spans="1:6">
      <c r="A22" s="24" t="s">
        <v>152</v>
      </c>
      <c r="B22" s="22">
        <v>0.33497828947368419</v>
      </c>
      <c r="C22" s="22">
        <v>0.33497828947368419</v>
      </c>
      <c r="D22" s="22">
        <v>0</v>
      </c>
      <c r="E22" s="22">
        <v>0</v>
      </c>
      <c r="F22" s="22">
        <v>0</v>
      </c>
    </row>
    <row r="23" spans="1:6">
      <c r="A23" s="24" t="s">
        <v>289</v>
      </c>
      <c r="B23" s="22">
        <v>0.78991184210526322</v>
      </c>
      <c r="C23" s="22">
        <v>0.68991184210526324</v>
      </c>
      <c r="D23" s="22">
        <v>2.3026315789473682E-3</v>
      </c>
      <c r="E23" s="22">
        <v>0</v>
      </c>
      <c r="F23" s="22">
        <v>15.2</v>
      </c>
    </row>
    <row r="24" spans="1:6">
      <c r="A24" s="21" t="s">
        <v>87</v>
      </c>
      <c r="B24" s="22">
        <v>0.9097585526315789</v>
      </c>
      <c r="C24" s="22">
        <v>0.80975855263157892</v>
      </c>
      <c r="D24" s="22">
        <v>0.11337697368421053</v>
      </c>
      <c r="E24" s="22">
        <v>15.2</v>
      </c>
      <c r="F24" s="22">
        <v>15.2</v>
      </c>
    </row>
    <row r="25" spans="1:6">
      <c r="A25" s="24" t="s">
        <v>85</v>
      </c>
      <c r="B25" s="22">
        <v>0.9097585526315789</v>
      </c>
      <c r="C25" s="22">
        <v>0.80975855263157892</v>
      </c>
      <c r="D25" s="22">
        <v>0.11337697368421053</v>
      </c>
      <c r="E25" s="22">
        <v>15.2</v>
      </c>
      <c r="F25" s="22">
        <v>15.2</v>
      </c>
    </row>
    <row r="26" spans="1:6">
      <c r="A26" s="21" t="s">
        <v>99</v>
      </c>
      <c r="B26" s="22">
        <v>2</v>
      </c>
      <c r="C26" s="22">
        <v>1.9500000000000002</v>
      </c>
      <c r="D26" s="22">
        <v>0</v>
      </c>
      <c r="E26" s="22">
        <v>7.6</v>
      </c>
      <c r="F26" s="22">
        <v>7.6</v>
      </c>
    </row>
    <row r="27" spans="1:6">
      <c r="A27" s="24" t="s">
        <v>100</v>
      </c>
      <c r="B27" s="22">
        <v>1</v>
      </c>
      <c r="C27" s="22">
        <v>1</v>
      </c>
      <c r="D27" s="22">
        <v>0</v>
      </c>
      <c r="E27" s="22">
        <v>0</v>
      </c>
      <c r="F27" s="22">
        <v>0</v>
      </c>
    </row>
    <row r="28" spans="1:6">
      <c r="A28" s="24" t="s">
        <v>153</v>
      </c>
      <c r="B28" s="22">
        <v>1</v>
      </c>
      <c r="C28" s="22">
        <v>0.95000000000000007</v>
      </c>
      <c r="D28" s="22">
        <v>0</v>
      </c>
      <c r="E28" s="22">
        <v>7.6</v>
      </c>
      <c r="F28" s="22">
        <v>7.6</v>
      </c>
    </row>
    <row r="29" spans="1:6">
      <c r="A29" s="21" t="s">
        <v>124</v>
      </c>
      <c r="B29" s="22">
        <v>3</v>
      </c>
      <c r="C29" s="22">
        <v>3</v>
      </c>
      <c r="D29" s="22">
        <v>0</v>
      </c>
      <c r="E29" s="22">
        <v>0</v>
      </c>
      <c r="F29" s="22">
        <v>0</v>
      </c>
    </row>
    <row r="30" spans="1:6">
      <c r="A30" s="24" t="s">
        <v>154</v>
      </c>
      <c r="B30" s="22">
        <v>1</v>
      </c>
      <c r="C30" s="22">
        <v>1</v>
      </c>
      <c r="D30" s="22">
        <v>0</v>
      </c>
      <c r="E30" s="22">
        <v>0</v>
      </c>
      <c r="F30" s="22">
        <v>0</v>
      </c>
    </row>
    <row r="31" spans="1:6">
      <c r="A31" s="24" t="s">
        <v>155</v>
      </c>
      <c r="B31" s="22">
        <v>1</v>
      </c>
      <c r="C31" s="22">
        <v>1</v>
      </c>
      <c r="D31" s="22">
        <v>0</v>
      </c>
      <c r="E31" s="22">
        <v>0</v>
      </c>
      <c r="F31" s="22">
        <v>0</v>
      </c>
    </row>
    <row r="32" spans="1:6">
      <c r="A32" s="24" t="s">
        <v>539</v>
      </c>
      <c r="B32" s="22">
        <v>1</v>
      </c>
      <c r="C32" s="22">
        <v>1</v>
      </c>
      <c r="D32" s="22">
        <v>0</v>
      </c>
      <c r="E32" s="22">
        <v>0</v>
      </c>
      <c r="F32" s="22">
        <v>0</v>
      </c>
    </row>
    <row r="33" spans="1:6">
      <c r="A33" s="21" t="s">
        <v>102</v>
      </c>
      <c r="B33" s="22">
        <v>1.9236842105263157</v>
      </c>
      <c r="C33" s="22">
        <v>1.7486842105263156</v>
      </c>
      <c r="D33" s="22">
        <v>0</v>
      </c>
      <c r="E33" s="22">
        <v>19.2</v>
      </c>
      <c r="F33" s="22">
        <v>38.199999999999996</v>
      </c>
    </row>
    <row r="34" spans="1:6">
      <c r="A34" s="24" t="s">
        <v>103</v>
      </c>
      <c r="B34" s="22">
        <v>1</v>
      </c>
      <c r="C34" s="22">
        <v>0.97499999999999998</v>
      </c>
      <c r="D34" s="22">
        <v>0</v>
      </c>
      <c r="E34" s="22">
        <v>0</v>
      </c>
      <c r="F34" s="22">
        <v>3.8</v>
      </c>
    </row>
    <row r="35" spans="1:6">
      <c r="A35" s="24" t="s">
        <v>101</v>
      </c>
      <c r="B35" s="22">
        <v>0.92368421052631566</v>
      </c>
      <c r="C35" s="22">
        <v>0.77368421052631564</v>
      </c>
      <c r="D35" s="22">
        <v>0</v>
      </c>
      <c r="E35" s="22">
        <v>19.2</v>
      </c>
      <c r="F35" s="22">
        <v>34.4</v>
      </c>
    </row>
    <row r="36" spans="1:6">
      <c r="A36" s="21" t="s">
        <v>120</v>
      </c>
      <c r="B36" s="22">
        <v>6</v>
      </c>
      <c r="C36" s="22">
        <v>5.7631578947368425</v>
      </c>
      <c r="D36" s="22">
        <v>0</v>
      </c>
      <c r="E36" s="22">
        <v>27.4</v>
      </c>
      <c r="F36" s="22">
        <v>36</v>
      </c>
    </row>
    <row r="37" spans="1:6">
      <c r="A37" s="24" t="s">
        <v>156</v>
      </c>
      <c r="B37" s="22">
        <v>1</v>
      </c>
      <c r="C37" s="22">
        <v>0.95000000000000007</v>
      </c>
      <c r="D37" s="22">
        <v>0</v>
      </c>
      <c r="E37" s="22">
        <v>7.6</v>
      </c>
      <c r="F37" s="22">
        <v>7.6</v>
      </c>
    </row>
    <row r="38" spans="1:6">
      <c r="A38" s="24" t="s">
        <v>157</v>
      </c>
      <c r="B38" s="22">
        <v>1</v>
      </c>
      <c r="C38" s="22">
        <v>1</v>
      </c>
      <c r="D38" s="22">
        <v>0</v>
      </c>
      <c r="E38" s="22">
        <v>0</v>
      </c>
      <c r="F38" s="22">
        <v>0</v>
      </c>
    </row>
    <row r="39" spans="1:6">
      <c r="A39" s="24" t="s">
        <v>158</v>
      </c>
      <c r="B39" s="22">
        <v>1</v>
      </c>
      <c r="C39" s="22">
        <v>1</v>
      </c>
      <c r="D39" s="22">
        <v>0</v>
      </c>
      <c r="E39" s="22">
        <v>0</v>
      </c>
      <c r="F39" s="22">
        <v>0</v>
      </c>
    </row>
    <row r="40" spans="1:6">
      <c r="A40" s="24" t="s">
        <v>159</v>
      </c>
      <c r="B40" s="22">
        <v>1</v>
      </c>
      <c r="C40" s="22">
        <v>0.99342105263157898</v>
      </c>
      <c r="D40" s="22">
        <v>0</v>
      </c>
      <c r="E40" s="22">
        <v>0</v>
      </c>
      <c r="F40" s="22">
        <v>1</v>
      </c>
    </row>
    <row r="41" spans="1:6">
      <c r="A41" s="24" t="s">
        <v>160</v>
      </c>
      <c r="B41" s="22">
        <v>1</v>
      </c>
      <c r="C41" s="22">
        <v>0.91973684210526319</v>
      </c>
      <c r="D41" s="22">
        <v>0</v>
      </c>
      <c r="E41" s="22">
        <v>12.2</v>
      </c>
      <c r="F41" s="22">
        <v>12.2</v>
      </c>
    </row>
    <row r="42" spans="1:6">
      <c r="A42" s="24" t="s">
        <v>534</v>
      </c>
      <c r="B42" s="22">
        <v>1</v>
      </c>
      <c r="C42" s="22">
        <v>0.9</v>
      </c>
      <c r="D42" s="22">
        <v>0</v>
      </c>
      <c r="E42" s="22">
        <v>7.6</v>
      </c>
      <c r="F42" s="22">
        <v>15.2</v>
      </c>
    </row>
    <row r="43" spans="1:6">
      <c r="A43" s="21" t="s">
        <v>121</v>
      </c>
      <c r="B43" s="22">
        <v>2</v>
      </c>
      <c r="C43" s="22">
        <v>1.9736842105263159</v>
      </c>
      <c r="D43" s="22">
        <v>0</v>
      </c>
      <c r="E43" s="22">
        <v>0</v>
      </c>
      <c r="F43" s="22">
        <v>4</v>
      </c>
    </row>
    <row r="44" spans="1:6">
      <c r="A44" s="24" t="s">
        <v>161</v>
      </c>
      <c r="B44" s="22">
        <v>1</v>
      </c>
      <c r="C44" s="22">
        <v>1</v>
      </c>
      <c r="D44" s="22">
        <v>0</v>
      </c>
      <c r="E44" s="22">
        <v>0</v>
      </c>
      <c r="F44" s="22">
        <v>0</v>
      </c>
    </row>
    <row r="45" spans="1:6">
      <c r="A45" s="24" t="s">
        <v>162</v>
      </c>
      <c r="B45" s="22">
        <v>1</v>
      </c>
      <c r="C45" s="22">
        <v>0.97368421052631582</v>
      </c>
      <c r="D45" s="22">
        <v>0</v>
      </c>
      <c r="E45" s="22">
        <v>0</v>
      </c>
      <c r="F45" s="22">
        <v>4</v>
      </c>
    </row>
    <row r="46" spans="1:6">
      <c r="A46" s="21" t="s">
        <v>123</v>
      </c>
      <c r="B46" s="22">
        <v>1.6</v>
      </c>
      <c r="C46" s="22">
        <v>1.6</v>
      </c>
      <c r="D46" s="22">
        <v>0</v>
      </c>
      <c r="E46" s="22">
        <v>0</v>
      </c>
      <c r="F46" s="22">
        <v>0</v>
      </c>
    </row>
    <row r="47" spans="1:6">
      <c r="A47" s="24" t="s">
        <v>163</v>
      </c>
      <c r="B47" s="22">
        <v>1</v>
      </c>
      <c r="C47" s="22">
        <v>1</v>
      </c>
      <c r="D47" s="22">
        <v>0</v>
      </c>
      <c r="E47" s="22">
        <v>0</v>
      </c>
      <c r="F47" s="22">
        <v>0</v>
      </c>
    </row>
    <row r="48" spans="1:6">
      <c r="A48" s="24" t="s">
        <v>545</v>
      </c>
      <c r="B48" s="22">
        <v>0.6</v>
      </c>
      <c r="C48" s="22">
        <v>0.6</v>
      </c>
      <c r="D48" s="22">
        <v>0</v>
      </c>
      <c r="E48" s="22">
        <v>0</v>
      </c>
      <c r="F48" s="22">
        <v>0</v>
      </c>
    </row>
    <row r="49" spans="1:6">
      <c r="A49" s="21" t="s">
        <v>122</v>
      </c>
      <c r="B49" s="22">
        <v>1</v>
      </c>
      <c r="C49" s="22">
        <v>1</v>
      </c>
      <c r="D49" s="22">
        <v>0</v>
      </c>
      <c r="E49" s="22">
        <v>0</v>
      </c>
      <c r="F49" s="22">
        <v>0</v>
      </c>
    </row>
    <row r="50" spans="1:6">
      <c r="A50" s="24" t="s">
        <v>164</v>
      </c>
      <c r="B50" s="22">
        <v>1</v>
      </c>
      <c r="C50" s="22">
        <v>1</v>
      </c>
      <c r="D50" s="22">
        <v>0</v>
      </c>
      <c r="E50" s="22">
        <v>0</v>
      </c>
      <c r="F50" s="22">
        <v>0</v>
      </c>
    </row>
    <row r="51" spans="1:6">
      <c r="A51" s="21" t="s">
        <v>116</v>
      </c>
      <c r="B51" s="22">
        <v>1.1000000000000001</v>
      </c>
      <c r="C51" s="22">
        <v>0.8</v>
      </c>
      <c r="D51" s="22">
        <v>0</v>
      </c>
      <c r="E51" s="22">
        <v>0</v>
      </c>
      <c r="F51" s="22">
        <v>45.6</v>
      </c>
    </row>
    <row r="52" spans="1:6">
      <c r="A52" s="24" t="s">
        <v>165</v>
      </c>
      <c r="B52" s="22">
        <v>1</v>
      </c>
      <c r="C52" s="22">
        <v>0.70000000000000007</v>
      </c>
      <c r="D52" s="22">
        <v>0</v>
      </c>
      <c r="E52" s="22">
        <v>0</v>
      </c>
      <c r="F52" s="22">
        <v>45.6</v>
      </c>
    </row>
    <row r="53" spans="1:6">
      <c r="A53" s="24" t="s">
        <v>518</v>
      </c>
      <c r="B53" s="22">
        <v>9.9999999999999992E-2</v>
      </c>
      <c r="C53" s="22">
        <v>9.9999999999999992E-2</v>
      </c>
      <c r="D53" s="22">
        <v>0</v>
      </c>
      <c r="E53" s="22">
        <v>0</v>
      </c>
      <c r="F53" s="22">
        <v>0</v>
      </c>
    </row>
    <row r="54" spans="1:6">
      <c r="A54" s="21" t="s">
        <v>125</v>
      </c>
      <c r="B54" s="22">
        <v>1</v>
      </c>
      <c r="C54" s="22">
        <v>0.9118421052631579</v>
      </c>
      <c r="D54" s="22">
        <v>0</v>
      </c>
      <c r="E54" s="22">
        <v>2.35</v>
      </c>
      <c r="F54" s="22">
        <v>165.4</v>
      </c>
    </row>
    <row r="55" spans="1:6">
      <c r="A55" s="24" t="s">
        <v>166</v>
      </c>
      <c r="B55" s="22">
        <v>1</v>
      </c>
      <c r="C55" s="22">
        <v>0.9118421052631579</v>
      </c>
      <c r="D55" s="22">
        <v>0</v>
      </c>
      <c r="E55" s="22">
        <v>2.35</v>
      </c>
      <c r="F55" s="22">
        <v>13.4</v>
      </c>
    </row>
    <row r="56" spans="1:6">
      <c r="A56" s="24" t="s">
        <v>168</v>
      </c>
      <c r="B56" s="22">
        <v>0</v>
      </c>
      <c r="C56" s="22">
        <v>0</v>
      </c>
      <c r="D56" s="22">
        <v>0</v>
      </c>
      <c r="E56" s="22">
        <v>0</v>
      </c>
      <c r="F56" s="22">
        <v>152</v>
      </c>
    </row>
    <row r="57" spans="1:6">
      <c r="A57" s="21" t="s">
        <v>57</v>
      </c>
      <c r="B57" s="22">
        <v>29.293521710526317</v>
      </c>
      <c r="C57" s="22">
        <v>26.443521710526312</v>
      </c>
      <c r="D57" s="22">
        <v>4.1472519736842104</v>
      </c>
      <c r="E57" s="22">
        <v>68.400000000000006</v>
      </c>
      <c r="F57" s="22">
        <v>433.2000000000001</v>
      </c>
    </row>
    <row r="58" spans="1:6">
      <c r="A58" s="24" t="s">
        <v>83</v>
      </c>
      <c r="B58" s="22">
        <v>1.0046052631578946</v>
      </c>
      <c r="C58" s="22">
        <v>1.0046052631578946</v>
      </c>
      <c r="D58" s="22">
        <v>7.2368421052631587E-3</v>
      </c>
      <c r="E58" s="22">
        <v>0</v>
      </c>
      <c r="F58" s="22">
        <v>0</v>
      </c>
    </row>
    <row r="59" spans="1:6">
      <c r="A59" s="24" t="s">
        <v>92</v>
      </c>
      <c r="B59" s="22">
        <v>1.3611848684210528</v>
      </c>
      <c r="C59" s="22">
        <v>1.3611848684210528</v>
      </c>
      <c r="D59" s="22">
        <v>0.36118486842105263</v>
      </c>
      <c r="E59" s="22">
        <v>0</v>
      </c>
      <c r="F59" s="22">
        <v>0</v>
      </c>
    </row>
    <row r="60" spans="1:6">
      <c r="A60" s="24" t="s">
        <v>79</v>
      </c>
      <c r="B60" s="22">
        <v>1.3242322368421053</v>
      </c>
      <c r="C60" s="22">
        <v>1.3242322368421053</v>
      </c>
      <c r="D60" s="22">
        <v>0.32423223684210523</v>
      </c>
      <c r="E60" s="22">
        <v>0</v>
      </c>
      <c r="F60" s="22">
        <v>0</v>
      </c>
    </row>
    <row r="61" spans="1:6">
      <c r="A61" s="24" t="s">
        <v>80</v>
      </c>
      <c r="B61" s="22">
        <v>1</v>
      </c>
      <c r="C61" s="22">
        <v>0.35000000000000003</v>
      </c>
      <c r="D61" s="22">
        <v>0</v>
      </c>
      <c r="E61" s="22">
        <v>0</v>
      </c>
      <c r="F61" s="22">
        <v>98.8</v>
      </c>
    </row>
    <row r="62" spans="1:6">
      <c r="A62" s="24" t="s">
        <v>64</v>
      </c>
      <c r="B62" s="22">
        <v>0.74627105263157889</v>
      </c>
      <c r="C62" s="22">
        <v>0.74627105263157889</v>
      </c>
      <c r="D62" s="22">
        <v>0.21995526315789474</v>
      </c>
      <c r="E62" s="22">
        <v>0</v>
      </c>
      <c r="F62" s="22">
        <v>0</v>
      </c>
    </row>
    <row r="63" spans="1:6">
      <c r="A63" s="24" t="s">
        <v>81</v>
      </c>
      <c r="B63" s="22">
        <v>1.1541671052631577</v>
      </c>
      <c r="C63" s="22">
        <v>1.0541671052631578</v>
      </c>
      <c r="D63" s="22">
        <v>0.15592171052631579</v>
      </c>
      <c r="E63" s="22">
        <v>7.6</v>
      </c>
      <c r="F63" s="22">
        <v>15.2</v>
      </c>
    </row>
    <row r="64" spans="1:6">
      <c r="A64" s="24" t="s">
        <v>548</v>
      </c>
      <c r="B64" s="22">
        <v>0.16206118421052632</v>
      </c>
      <c r="C64" s="22">
        <v>0.16206118421052632</v>
      </c>
      <c r="D64" s="22">
        <v>0</v>
      </c>
      <c r="E64" s="22">
        <v>0</v>
      </c>
      <c r="F64" s="22">
        <v>0</v>
      </c>
    </row>
    <row r="65" spans="1:6">
      <c r="A65" s="24" t="s">
        <v>82</v>
      </c>
      <c r="B65" s="22">
        <v>1.1559197368421052</v>
      </c>
      <c r="C65" s="22">
        <v>0.50591973684210512</v>
      </c>
      <c r="D65" s="22">
        <v>0.15591973684210525</v>
      </c>
      <c r="E65" s="22">
        <v>0</v>
      </c>
      <c r="F65" s="22">
        <v>98.8</v>
      </c>
    </row>
    <row r="66" spans="1:6">
      <c r="A66" s="24" t="s">
        <v>93</v>
      </c>
      <c r="B66" s="22">
        <v>0.69056973684210521</v>
      </c>
      <c r="C66" s="22">
        <v>0.69056973684210521</v>
      </c>
      <c r="D66" s="22">
        <v>9.2324342105263163E-2</v>
      </c>
      <c r="E66" s="22">
        <v>0</v>
      </c>
      <c r="F66" s="22">
        <v>0</v>
      </c>
    </row>
    <row r="67" spans="1:6">
      <c r="A67" s="24" t="s">
        <v>78</v>
      </c>
      <c r="B67" s="22">
        <v>1.1400210526315788</v>
      </c>
      <c r="C67" s="22">
        <v>1.1400210526315788</v>
      </c>
      <c r="D67" s="22">
        <v>0.14056907894736842</v>
      </c>
      <c r="E67" s="22">
        <v>0</v>
      </c>
      <c r="F67" s="22">
        <v>0</v>
      </c>
    </row>
    <row r="68" spans="1:6">
      <c r="A68" s="24" t="s">
        <v>76</v>
      </c>
      <c r="B68" s="22">
        <v>1.3463822368421052</v>
      </c>
      <c r="C68" s="22">
        <v>1.0963822368421052</v>
      </c>
      <c r="D68" s="22">
        <v>0.34638223684210528</v>
      </c>
      <c r="E68" s="22">
        <v>15.2</v>
      </c>
      <c r="F68" s="22">
        <v>38</v>
      </c>
    </row>
    <row r="69" spans="1:6">
      <c r="A69" s="24" t="s">
        <v>77</v>
      </c>
      <c r="B69" s="22">
        <v>1.0332223684210526</v>
      </c>
      <c r="C69" s="22">
        <v>0.88322236842105262</v>
      </c>
      <c r="D69" s="22">
        <v>3.3222368421052632E-2</v>
      </c>
      <c r="E69" s="22">
        <v>0</v>
      </c>
      <c r="F69" s="22">
        <v>22.8</v>
      </c>
    </row>
    <row r="70" spans="1:6">
      <c r="A70" s="24" t="s">
        <v>75</v>
      </c>
      <c r="B70" s="22">
        <v>1.1899111842105263</v>
      </c>
      <c r="C70" s="22">
        <v>1.1899111842105263</v>
      </c>
      <c r="D70" s="22">
        <v>0.38991118421052634</v>
      </c>
      <c r="E70" s="22">
        <v>0</v>
      </c>
      <c r="F70" s="22">
        <v>0</v>
      </c>
    </row>
    <row r="71" spans="1:6">
      <c r="A71" s="24" t="s">
        <v>84</v>
      </c>
      <c r="B71" s="22">
        <v>1</v>
      </c>
      <c r="C71" s="22">
        <v>1</v>
      </c>
      <c r="D71" s="22">
        <v>0</v>
      </c>
      <c r="E71" s="22">
        <v>0</v>
      </c>
      <c r="F71" s="22">
        <v>0</v>
      </c>
    </row>
    <row r="72" spans="1:6">
      <c r="A72" s="24" t="s">
        <v>74</v>
      </c>
      <c r="B72" s="22">
        <v>1.151316447368421</v>
      </c>
      <c r="C72" s="22">
        <v>1.0013164473684213</v>
      </c>
      <c r="D72" s="22">
        <v>0.15559276315789475</v>
      </c>
      <c r="E72" s="22">
        <v>7.6</v>
      </c>
      <c r="F72" s="22">
        <v>22.799999999999997</v>
      </c>
    </row>
    <row r="73" spans="1:6">
      <c r="A73" s="24" t="s">
        <v>73</v>
      </c>
      <c r="B73" s="22">
        <v>1.1769730263157896</v>
      </c>
      <c r="C73" s="22">
        <v>1.1769730263157896</v>
      </c>
      <c r="D73" s="22">
        <v>0.17894671052631578</v>
      </c>
      <c r="E73" s="22">
        <v>0</v>
      </c>
      <c r="F73" s="22">
        <v>0</v>
      </c>
    </row>
    <row r="74" spans="1:6">
      <c r="A74" s="24" t="s">
        <v>71</v>
      </c>
      <c r="B74" s="22">
        <v>0.35142565789473679</v>
      </c>
      <c r="C74" s="22">
        <v>0.35142565789473679</v>
      </c>
      <c r="D74" s="22">
        <v>5.6798684210526314E-2</v>
      </c>
      <c r="E74" s="22">
        <v>0</v>
      </c>
      <c r="F74" s="22">
        <v>0</v>
      </c>
    </row>
    <row r="75" spans="1:6">
      <c r="A75" s="24" t="s">
        <v>68</v>
      </c>
      <c r="B75" s="22">
        <v>1.069625657894737</v>
      </c>
      <c r="C75" s="22">
        <v>1.0196256578947369</v>
      </c>
      <c r="D75" s="22">
        <v>6.9625657894736848E-2</v>
      </c>
      <c r="E75" s="22">
        <v>7.6</v>
      </c>
      <c r="F75" s="22">
        <v>7.6</v>
      </c>
    </row>
    <row r="76" spans="1:6">
      <c r="A76" s="24" t="s">
        <v>65</v>
      </c>
      <c r="B76" s="22">
        <v>1.0615138157894735</v>
      </c>
      <c r="C76" s="22">
        <v>0.86151381578947339</v>
      </c>
      <c r="D76" s="22">
        <v>6.151381578947368E-2</v>
      </c>
      <c r="E76" s="22">
        <v>15.2</v>
      </c>
      <c r="F76" s="22">
        <v>30.4</v>
      </c>
    </row>
    <row r="77" spans="1:6">
      <c r="A77" s="24" t="s">
        <v>61</v>
      </c>
      <c r="B77" s="22">
        <v>1.1243421052631579</v>
      </c>
      <c r="C77" s="22">
        <v>1.1243421052631579</v>
      </c>
      <c r="D77" s="22">
        <v>0.12543881578947369</v>
      </c>
      <c r="E77" s="22">
        <v>0</v>
      </c>
      <c r="F77" s="22">
        <v>0</v>
      </c>
    </row>
    <row r="78" spans="1:6">
      <c r="A78" s="24" t="s">
        <v>58</v>
      </c>
      <c r="B78" s="22">
        <v>0.66754407894736845</v>
      </c>
      <c r="C78" s="22">
        <v>0.16754407894736845</v>
      </c>
      <c r="D78" s="22">
        <v>1.8859868421052629E-2</v>
      </c>
      <c r="E78" s="22">
        <v>0</v>
      </c>
      <c r="F78" s="22">
        <v>76</v>
      </c>
    </row>
    <row r="79" spans="1:6">
      <c r="A79" s="24" t="s">
        <v>91</v>
      </c>
      <c r="B79" s="22">
        <v>1.2144723684210528</v>
      </c>
      <c r="C79" s="22">
        <v>1.2144723684210528</v>
      </c>
      <c r="D79" s="22">
        <v>0.21447236842105263</v>
      </c>
      <c r="E79" s="22">
        <v>0</v>
      </c>
      <c r="F79" s="22">
        <v>0</v>
      </c>
    </row>
    <row r="80" spans="1:6">
      <c r="A80" s="24" t="s">
        <v>90</v>
      </c>
      <c r="B80" s="22">
        <v>1.2134875000000001</v>
      </c>
      <c r="C80" s="22">
        <v>1.1634875</v>
      </c>
      <c r="D80" s="22">
        <v>0.21743486842105264</v>
      </c>
      <c r="E80" s="22">
        <v>0</v>
      </c>
      <c r="F80" s="22">
        <v>7.6</v>
      </c>
    </row>
    <row r="81" spans="1:6">
      <c r="A81" s="24" t="s">
        <v>169</v>
      </c>
      <c r="B81" s="22">
        <v>1.1658980263157892</v>
      </c>
      <c r="C81" s="22">
        <v>1.1158980263157894</v>
      </c>
      <c r="D81" s="22">
        <v>0.1678717105263158</v>
      </c>
      <c r="E81" s="22">
        <v>7.6</v>
      </c>
      <c r="F81" s="22">
        <v>7.6</v>
      </c>
    </row>
    <row r="82" spans="1:6">
      <c r="A82" s="24" t="s">
        <v>170</v>
      </c>
      <c r="B82" s="22">
        <v>1.1186407894736841</v>
      </c>
      <c r="C82" s="22">
        <v>1.068640789473684</v>
      </c>
      <c r="D82" s="22">
        <v>0.1207236842105263</v>
      </c>
      <c r="E82" s="22">
        <v>7.6</v>
      </c>
      <c r="F82" s="22">
        <v>7.6</v>
      </c>
    </row>
    <row r="83" spans="1:6">
      <c r="A83" s="24" t="s">
        <v>171</v>
      </c>
      <c r="B83" s="22">
        <v>0.91030592105263164</v>
      </c>
      <c r="C83" s="22">
        <v>0.91030592105263164</v>
      </c>
      <c r="D83" s="22">
        <v>0</v>
      </c>
      <c r="E83" s="22">
        <v>0</v>
      </c>
      <c r="F83" s="22">
        <v>0</v>
      </c>
    </row>
    <row r="84" spans="1:6">
      <c r="A84" s="24" t="s">
        <v>517</v>
      </c>
      <c r="B84" s="22">
        <v>0.78651315789473686</v>
      </c>
      <c r="C84" s="22">
        <v>0.78651315789473686</v>
      </c>
      <c r="D84" s="22">
        <v>0.22160131578947373</v>
      </c>
      <c r="E84" s="22">
        <v>0</v>
      </c>
      <c r="F84" s="22">
        <v>0</v>
      </c>
    </row>
    <row r="85" spans="1:6">
      <c r="A85" s="24" t="s">
        <v>547</v>
      </c>
      <c r="B85" s="22">
        <v>0.14671052631578949</v>
      </c>
      <c r="C85" s="22">
        <v>0.14671052631578949</v>
      </c>
      <c r="D85" s="22">
        <v>0</v>
      </c>
      <c r="E85" s="22">
        <v>0</v>
      </c>
      <c r="F85" s="22">
        <v>0</v>
      </c>
    </row>
    <row r="86" spans="1:6">
      <c r="A86" s="24" t="s">
        <v>520</v>
      </c>
      <c r="B86" s="22">
        <v>1.1566868421052632</v>
      </c>
      <c r="C86" s="22">
        <v>1.1566868421052632</v>
      </c>
      <c r="D86" s="22">
        <v>0.19396776315789474</v>
      </c>
      <c r="E86" s="22">
        <v>0</v>
      </c>
      <c r="F86" s="22">
        <v>0</v>
      </c>
    </row>
    <row r="87" spans="1:6">
      <c r="A87" s="24" t="s">
        <v>549</v>
      </c>
      <c r="B87" s="22">
        <v>0.66951776315789469</v>
      </c>
      <c r="C87" s="22">
        <v>0.66951776315789469</v>
      </c>
      <c r="D87" s="22">
        <v>0.11754407894736843</v>
      </c>
      <c r="E87" s="22">
        <v>0</v>
      </c>
      <c r="F87" s="22">
        <v>0</v>
      </c>
    </row>
    <row r="88" spans="1:6">
      <c r="A88" s="21" t="s">
        <v>117</v>
      </c>
      <c r="B88" s="22">
        <v>1</v>
      </c>
      <c r="C88" s="22">
        <v>0.5</v>
      </c>
      <c r="D88" s="22">
        <v>0</v>
      </c>
      <c r="E88" s="22">
        <v>0</v>
      </c>
      <c r="F88" s="22">
        <v>76</v>
      </c>
    </row>
    <row r="89" spans="1:6">
      <c r="A89" s="24" t="s">
        <v>172</v>
      </c>
      <c r="B89" s="22">
        <v>1</v>
      </c>
      <c r="C89" s="22">
        <v>0.5</v>
      </c>
      <c r="D89" s="22">
        <v>0</v>
      </c>
      <c r="E89" s="22">
        <v>0</v>
      </c>
      <c r="F89" s="22">
        <v>76</v>
      </c>
    </row>
    <row r="90" spans="1:6">
      <c r="A90" s="21" t="s">
        <v>127</v>
      </c>
      <c r="B90" s="22">
        <v>8.0945203947368434</v>
      </c>
      <c r="C90" s="22">
        <v>6.8787309210526324</v>
      </c>
      <c r="D90" s="22">
        <v>0.6037309210526316</v>
      </c>
      <c r="E90" s="22">
        <v>84.4</v>
      </c>
      <c r="F90" s="22">
        <v>261.60000000000002</v>
      </c>
    </row>
    <row r="91" spans="1:6">
      <c r="A91" s="24" t="s">
        <v>173</v>
      </c>
      <c r="B91" s="22">
        <v>1</v>
      </c>
      <c r="C91" s="22">
        <v>1</v>
      </c>
      <c r="D91" s="22">
        <v>0</v>
      </c>
      <c r="E91" s="22">
        <v>0</v>
      </c>
      <c r="F91" s="22">
        <v>0</v>
      </c>
    </row>
    <row r="92" spans="1:6">
      <c r="A92" s="24" t="s">
        <v>174</v>
      </c>
      <c r="B92" s="22">
        <v>0.99122894736842115</v>
      </c>
      <c r="C92" s="22">
        <v>0.64122894736842118</v>
      </c>
      <c r="D92" s="22">
        <v>4.1667763157894742E-2</v>
      </c>
      <c r="E92" s="22">
        <v>7.6</v>
      </c>
      <c r="F92" s="22">
        <v>60.800000000000004</v>
      </c>
    </row>
    <row r="93" spans="1:6">
      <c r="A93" s="24" t="s">
        <v>175</v>
      </c>
      <c r="B93" s="22">
        <v>1.0466006578947369</v>
      </c>
      <c r="C93" s="22">
        <v>0.99660065789473695</v>
      </c>
      <c r="D93" s="22">
        <v>4.7806578947368422E-2</v>
      </c>
      <c r="E93" s="22">
        <v>7.6</v>
      </c>
      <c r="F93" s="22">
        <v>7.6</v>
      </c>
    </row>
    <row r="94" spans="1:6">
      <c r="A94" s="24" t="s">
        <v>176</v>
      </c>
      <c r="B94" s="22">
        <v>0.32039407894736843</v>
      </c>
      <c r="C94" s="22">
        <v>0.21513092105263157</v>
      </c>
      <c r="D94" s="22">
        <v>4.6046052631578942E-3</v>
      </c>
      <c r="E94" s="22">
        <v>0</v>
      </c>
      <c r="F94" s="22">
        <v>16</v>
      </c>
    </row>
    <row r="95" spans="1:6">
      <c r="A95" s="24" t="s">
        <v>177</v>
      </c>
      <c r="B95" s="22">
        <v>0.30789473684210522</v>
      </c>
      <c r="C95" s="22">
        <v>0</v>
      </c>
      <c r="D95" s="22">
        <v>0</v>
      </c>
      <c r="E95" s="22">
        <v>15.6</v>
      </c>
      <c r="F95" s="22">
        <v>62.4</v>
      </c>
    </row>
    <row r="96" spans="1:6">
      <c r="A96" s="24" t="s">
        <v>178</v>
      </c>
      <c r="B96" s="22">
        <v>1.0146940789473686</v>
      </c>
      <c r="C96" s="22">
        <v>0.81206250000000013</v>
      </c>
      <c r="D96" s="22">
        <v>0.1103078947368421</v>
      </c>
      <c r="E96" s="22">
        <v>0</v>
      </c>
      <c r="F96" s="22">
        <v>30.8</v>
      </c>
    </row>
    <row r="97" spans="1:6">
      <c r="A97" s="24" t="s">
        <v>179</v>
      </c>
      <c r="B97" s="22">
        <v>0.96688684210526321</v>
      </c>
      <c r="C97" s="22">
        <v>0.96688684210526321</v>
      </c>
      <c r="D97" s="22">
        <v>0.21699671052631578</v>
      </c>
      <c r="E97" s="22">
        <v>7.6</v>
      </c>
      <c r="F97" s="22">
        <v>7.6</v>
      </c>
    </row>
    <row r="98" spans="1:6">
      <c r="A98" s="24" t="s">
        <v>180</v>
      </c>
      <c r="B98" s="22">
        <v>0.75142500000000001</v>
      </c>
      <c r="C98" s="22">
        <v>0.75142500000000001</v>
      </c>
      <c r="D98" s="22">
        <v>0.10646907894736841</v>
      </c>
      <c r="E98" s="22">
        <v>15.6</v>
      </c>
      <c r="F98" s="22">
        <v>15.6</v>
      </c>
    </row>
    <row r="99" spans="1:6">
      <c r="A99" s="24" t="s">
        <v>290</v>
      </c>
      <c r="B99" s="22">
        <v>0.32872894736842107</v>
      </c>
      <c r="C99" s="22">
        <v>0.32872894736842107</v>
      </c>
      <c r="D99" s="22">
        <v>1.2939473684210527E-2</v>
      </c>
      <c r="E99" s="22">
        <v>0</v>
      </c>
      <c r="F99" s="22">
        <v>0</v>
      </c>
    </row>
    <row r="100" spans="1:6">
      <c r="A100" s="24" t="s">
        <v>294</v>
      </c>
      <c r="B100" s="22">
        <v>0.53442960526315797</v>
      </c>
      <c r="C100" s="22">
        <v>0.53442960526315797</v>
      </c>
      <c r="D100" s="22">
        <v>3.0372368421052631E-2</v>
      </c>
      <c r="E100" s="22">
        <v>0</v>
      </c>
      <c r="F100" s="22">
        <v>0</v>
      </c>
    </row>
    <row r="101" spans="1:6">
      <c r="A101" s="24" t="s">
        <v>514</v>
      </c>
      <c r="B101" s="22">
        <v>0.83223750000000007</v>
      </c>
      <c r="C101" s="22">
        <v>0.63223750000000001</v>
      </c>
      <c r="D101" s="22">
        <v>3.2566447368421049E-2</v>
      </c>
      <c r="E101" s="22">
        <v>30.4</v>
      </c>
      <c r="F101" s="22">
        <v>60.8</v>
      </c>
    </row>
    <row r="102" spans="1:6">
      <c r="A102" s="21" t="s">
        <v>105</v>
      </c>
      <c r="B102" s="22">
        <v>1</v>
      </c>
      <c r="C102" s="22">
        <v>0.95000000000000007</v>
      </c>
      <c r="D102" s="22">
        <v>0</v>
      </c>
      <c r="E102" s="22">
        <v>0</v>
      </c>
      <c r="F102" s="22">
        <v>7.6</v>
      </c>
    </row>
    <row r="103" spans="1:6">
      <c r="A103" s="24" t="s">
        <v>104</v>
      </c>
      <c r="B103" s="22">
        <v>1</v>
      </c>
      <c r="C103" s="22">
        <v>0.95000000000000007</v>
      </c>
      <c r="D103" s="22">
        <v>0</v>
      </c>
      <c r="E103" s="22">
        <v>0</v>
      </c>
      <c r="F103" s="22">
        <v>7.6</v>
      </c>
    </row>
    <row r="104" spans="1:6">
      <c r="A104" s="21" t="s">
        <v>133</v>
      </c>
      <c r="B104" s="22">
        <v>2</v>
      </c>
      <c r="C104" s="22">
        <v>2</v>
      </c>
      <c r="D104" s="22">
        <v>0</v>
      </c>
      <c r="E104" s="22">
        <v>0</v>
      </c>
      <c r="F104" s="22">
        <v>0</v>
      </c>
    </row>
    <row r="105" spans="1:6">
      <c r="A105" s="24" t="s">
        <v>181</v>
      </c>
      <c r="B105" s="22">
        <v>1</v>
      </c>
      <c r="C105" s="22">
        <v>1</v>
      </c>
      <c r="D105" s="22">
        <v>0</v>
      </c>
      <c r="E105" s="22">
        <v>0</v>
      </c>
      <c r="F105" s="22">
        <v>0</v>
      </c>
    </row>
    <row r="106" spans="1:6">
      <c r="A106" s="24" t="s">
        <v>167</v>
      </c>
      <c r="B106" s="22">
        <v>1</v>
      </c>
      <c r="C106" s="22">
        <v>1</v>
      </c>
      <c r="D106" s="22">
        <v>0</v>
      </c>
      <c r="E106" s="22">
        <v>0</v>
      </c>
      <c r="F106" s="22">
        <v>0</v>
      </c>
    </row>
    <row r="107" spans="1:6">
      <c r="A107" s="21" t="s">
        <v>134</v>
      </c>
      <c r="B107" s="22">
        <v>1</v>
      </c>
      <c r="C107" s="22">
        <v>0.79999999999999993</v>
      </c>
      <c r="D107" s="22">
        <v>0</v>
      </c>
      <c r="E107" s="22">
        <v>7.6</v>
      </c>
      <c r="F107" s="22">
        <v>30.4</v>
      </c>
    </row>
    <row r="108" spans="1:6">
      <c r="A108" s="24" t="s">
        <v>182</v>
      </c>
      <c r="B108" s="22">
        <v>1</v>
      </c>
      <c r="C108" s="22">
        <v>0.79999999999999993</v>
      </c>
      <c r="D108" s="22">
        <v>0</v>
      </c>
      <c r="E108" s="22">
        <v>7.6</v>
      </c>
      <c r="F108" s="22">
        <v>30.4</v>
      </c>
    </row>
    <row r="109" spans="1:6">
      <c r="A109" s="21" t="s">
        <v>89</v>
      </c>
      <c r="B109" s="22">
        <v>1</v>
      </c>
      <c r="C109" s="22">
        <v>0.9</v>
      </c>
      <c r="D109" s="22">
        <v>0</v>
      </c>
      <c r="E109" s="22">
        <v>7.6</v>
      </c>
      <c r="F109" s="22">
        <v>15.2</v>
      </c>
    </row>
    <row r="110" spans="1:6">
      <c r="A110" s="24" t="s">
        <v>88</v>
      </c>
      <c r="B110" s="22">
        <v>1</v>
      </c>
      <c r="C110" s="22">
        <v>0.9</v>
      </c>
      <c r="D110" s="22">
        <v>0</v>
      </c>
      <c r="E110" s="22">
        <v>7.6</v>
      </c>
      <c r="F110" s="22">
        <v>15.2</v>
      </c>
    </row>
    <row r="111" spans="1:6">
      <c r="A111" s="21" t="s">
        <v>137</v>
      </c>
      <c r="B111" s="22">
        <v>5.3</v>
      </c>
      <c r="C111" s="22">
        <v>4.45</v>
      </c>
      <c r="D111" s="22">
        <v>0</v>
      </c>
      <c r="E111" s="22">
        <v>0</v>
      </c>
      <c r="F111" s="22">
        <v>129.19999999999999</v>
      </c>
    </row>
    <row r="112" spans="1:6">
      <c r="A112" s="24" t="s">
        <v>183</v>
      </c>
      <c r="B112" s="22">
        <v>1</v>
      </c>
      <c r="C112" s="22">
        <v>0.15000000000000008</v>
      </c>
      <c r="D112" s="22">
        <v>0</v>
      </c>
      <c r="E112" s="22">
        <v>0</v>
      </c>
      <c r="F112" s="22">
        <v>129.19999999999999</v>
      </c>
    </row>
    <row r="113" spans="1:6">
      <c r="A113" s="24" t="s">
        <v>184</v>
      </c>
      <c r="B113" s="22">
        <v>1</v>
      </c>
      <c r="C113" s="22">
        <v>1</v>
      </c>
      <c r="D113" s="22">
        <v>0</v>
      </c>
      <c r="E113" s="22">
        <v>0</v>
      </c>
      <c r="F113" s="22">
        <v>0</v>
      </c>
    </row>
    <row r="114" spans="1:6">
      <c r="A114" s="24" t="s">
        <v>185</v>
      </c>
      <c r="B114" s="22">
        <v>1</v>
      </c>
      <c r="C114" s="22">
        <v>1</v>
      </c>
      <c r="D114" s="22">
        <v>0</v>
      </c>
      <c r="E114" s="22">
        <v>0</v>
      </c>
      <c r="F114" s="22">
        <v>0</v>
      </c>
    </row>
    <row r="115" spans="1:6">
      <c r="A115" s="24" t="s">
        <v>186</v>
      </c>
      <c r="B115" s="22">
        <v>1</v>
      </c>
      <c r="C115" s="22">
        <v>1</v>
      </c>
      <c r="D115" s="22">
        <v>0</v>
      </c>
      <c r="E115" s="22">
        <v>0</v>
      </c>
      <c r="F115" s="22">
        <v>0</v>
      </c>
    </row>
    <row r="116" spans="1:6">
      <c r="A116" s="24" t="s">
        <v>187</v>
      </c>
      <c r="B116" s="22">
        <v>1</v>
      </c>
      <c r="C116" s="22">
        <v>1</v>
      </c>
      <c r="D116" s="22">
        <v>0</v>
      </c>
      <c r="E116" s="22">
        <v>0</v>
      </c>
      <c r="F116" s="22">
        <v>0</v>
      </c>
    </row>
    <row r="117" spans="1:6">
      <c r="A117" s="24" t="s">
        <v>188</v>
      </c>
      <c r="B117" s="22">
        <v>0.3</v>
      </c>
      <c r="C117" s="22">
        <v>0.3</v>
      </c>
      <c r="D117" s="22">
        <v>0</v>
      </c>
      <c r="E117" s="22">
        <v>0</v>
      </c>
      <c r="F117" s="22">
        <v>0</v>
      </c>
    </row>
    <row r="118" spans="1:6">
      <c r="A118" s="21" t="s">
        <v>113</v>
      </c>
      <c r="B118" s="22">
        <v>11.659541447368422</v>
      </c>
      <c r="C118" s="22">
        <v>9.8674361842105256</v>
      </c>
      <c r="D118" s="22">
        <v>0.62960657894736849</v>
      </c>
      <c r="E118" s="22">
        <v>219.19999999999996</v>
      </c>
      <c r="F118" s="22">
        <v>310.40000000000003</v>
      </c>
    </row>
    <row r="119" spans="1:6">
      <c r="A119" s="24" t="s">
        <v>189</v>
      </c>
      <c r="B119" s="22">
        <v>1.0362940789473682</v>
      </c>
      <c r="C119" s="22">
        <v>0.88629407894736845</v>
      </c>
      <c r="D119" s="22">
        <v>4.2325000000000002E-2</v>
      </c>
      <c r="E119" s="22">
        <v>15.2</v>
      </c>
      <c r="F119" s="22">
        <v>22.799999999999997</v>
      </c>
    </row>
    <row r="120" spans="1:6">
      <c r="A120" s="24" t="s">
        <v>190</v>
      </c>
      <c r="B120" s="22">
        <v>1.0714921052631581</v>
      </c>
      <c r="C120" s="22">
        <v>0.85175526315789474</v>
      </c>
      <c r="D120" s="22">
        <v>7.1492105263157898E-2</v>
      </c>
      <c r="E120" s="22">
        <v>3</v>
      </c>
      <c r="F120" s="22">
        <v>33.4</v>
      </c>
    </row>
    <row r="121" spans="1:6">
      <c r="A121" s="24" t="s">
        <v>191</v>
      </c>
      <c r="B121" s="22">
        <v>1</v>
      </c>
      <c r="C121" s="22">
        <v>1</v>
      </c>
      <c r="D121" s="22">
        <v>0</v>
      </c>
      <c r="E121" s="22">
        <v>0</v>
      </c>
      <c r="F121" s="22">
        <v>0</v>
      </c>
    </row>
    <row r="122" spans="1:6">
      <c r="A122" s="24" t="s">
        <v>192</v>
      </c>
      <c r="B122" s="22">
        <v>1.1245605263157894</v>
      </c>
      <c r="C122" s="22">
        <v>1.1245605263157894</v>
      </c>
      <c r="D122" s="22">
        <v>0.12456052631578947</v>
      </c>
      <c r="E122" s="22">
        <v>0</v>
      </c>
      <c r="F122" s="22">
        <v>0</v>
      </c>
    </row>
    <row r="123" spans="1:6">
      <c r="A123" s="24" t="s">
        <v>193</v>
      </c>
      <c r="B123" s="22">
        <v>1</v>
      </c>
      <c r="C123" s="22">
        <v>0</v>
      </c>
      <c r="D123" s="22">
        <v>0</v>
      </c>
      <c r="E123" s="22">
        <v>129.19999999999999</v>
      </c>
      <c r="F123" s="22">
        <v>152</v>
      </c>
    </row>
    <row r="124" spans="1:6">
      <c r="A124" s="24" t="s">
        <v>194</v>
      </c>
      <c r="B124" s="22">
        <v>0.99407894736842106</v>
      </c>
      <c r="C124" s="22">
        <v>0.91513157894736841</v>
      </c>
      <c r="D124" s="22">
        <v>7.7848684210526315E-3</v>
      </c>
      <c r="E124" s="22">
        <v>12</v>
      </c>
      <c r="F124" s="22">
        <v>12</v>
      </c>
    </row>
    <row r="125" spans="1:6">
      <c r="A125" s="24" t="s">
        <v>195</v>
      </c>
      <c r="B125" s="22">
        <v>0.40712697368421052</v>
      </c>
      <c r="C125" s="22">
        <v>0.40712697368421052</v>
      </c>
      <c r="D125" s="22">
        <v>1.6447368421052631E-3</v>
      </c>
      <c r="E125" s="22">
        <v>0</v>
      </c>
      <c r="F125" s="22">
        <v>0</v>
      </c>
    </row>
    <row r="126" spans="1:6">
      <c r="A126" s="24" t="s">
        <v>196</v>
      </c>
      <c r="B126" s="22">
        <v>1.1087717105263157</v>
      </c>
      <c r="C126" s="22">
        <v>1.0087717105263159</v>
      </c>
      <c r="D126" s="22">
        <v>0.11951710526315788</v>
      </c>
      <c r="E126" s="22">
        <v>0</v>
      </c>
      <c r="F126" s="22">
        <v>15.2</v>
      </c>
    </row>
    <row r="127" spans="1:6">
      <c r="A127" s="24" t="s">
        <v>197</v>
      </c>
      <c r="B127" s="22">
        <v>0.63662368421052629</v>
      </c>
      <c r="C127" s="22">
        <v>0.53662368421052631</v>
      </c>
      <c r="D127" s="22">
        <v>2.7851315789473682E-2</v>
      </c>
      <c r="E127" s="22">
        <v>0</v>
      </c>
      <c r="F127" s="22">
        <v>15.2</v>
      </c>
    </row>
    <row r="128" spans="1:6">
      <c r="A128" s="24" t="s">
        <v>198</v>
      </c>
      <c r="B128" s="22">
        <v>1.1151315789473684</v>
      </c>
      <c r="C128" s="22">
        <v>1.0651315789473685</v>
      </c>
      <c r="D128" s="22">
        <v>0.11513157894736842</v>
      </c>
      <c r="E128" s="22">
        <v>7.6</v>
      </c>
      <c r="F128" s="22">
        <v>7.6</v>
      </c>
    </row>
    <row r="129" spans="1:6">
      <c r="A129" s="24" t="s">
        <v>199</v>
      </c>
      <c r="B129" s="22">
        <v>1.0211625</v>
      </c>
      <c r="C129" s="22">
        <v>0.97116250000000004</v>
      </c>
      <c r="D129" s="22">
        <v>2.4671052631578948E-2</v>
      </c>
      <c r="E129" s="22">
        <v>7.6</v>
      </c>
      <c r="F129" s="22">
        <v>7.6</v>
      </c>
    </row>
    <row r="130" spans="1:6">
      <c r="A130" s="24" t="s">
        <v>200</v>
      </c>
      <c r="B130" s="22">
        <v>1.0942993421052631</v>
      </c>
      <c r="C130" s="22">
        <v>1.0508782894736841</v>
      </c>
      <c r="D130" s="22">
        <v>9.4628289473684207E-2</v>
      </c>
      <c r="E130" s="22">
        <v>6.6</v>
      </c>
      <c r="F130" s="22">
        <v>6.6</v>
      </c>
    </row>
    <row r="131" spans="1:6">
      <c r="A131" s="24" t="s">
        <v>201</v>
      </c>
      <c r="B131" s="22">
        <v>4.9999999999999996E-2</v>
      </c>
      <c r="C131" s="22">
        <v>4.9999999999999996E-2</v>
      </c>
      <c r="D131" s="22">
        <v>0</v>
      </c>
      <c r="E131" s="22">
        <v>38</v>
      </c>
      <c r="F131" s="22">
        <v>38</v>
      </c>
    </row>
    <row r="132" spans="1:6">
      <c r="A132" s="21" t="s">
        <v>118</v>
      </c>
      <c r="B132" s="22">
        <v>1.6</v>
      </c>
      <c r="C132" s="22">
        <v>1.55</v>
      </c>
      <c r="D132" s="22">
        <v>0</v>
      </c>
      <c r="E132" s="22">
        <v>7.6</v>
      </c>
      <c r="F132" s="22">
        <v>7.6</v>
      </c>
    </row>
    <row r="133" spans="1:6">
      <c r="A133" s="24" t="s">
        <v>203</v>
      </c>
      <c r="B133" s="22">
        <v>1</v>
      </c>
      <c r="C133" s="22">
        <v>0.95000000000000007</v>
      </c>
      <c r="D133" s="22">
        <v>0</v>
      </c>
      <c r="E133" s="22">
        <v>7.6</v>
      </c>
      <c r="F133" s="22">
        <v>7.6</v>
      </c>
    </row>
    <row r="134" spans="1:6">
      <c r="A134" s="24" t="s">
        <v>546</v>
      </c>
      <c r="B134" s="22">
        <v>0.6</v>
      </c>
      <c r="C134" s="22">
        <v>0.6</v>
      </c>
      <c r="D134" s="22">
        <v>0</v>
      </c>
      <c r="E134" s="22">
        <v>0</v>
      </c>
      <c r="F134" s="22">
        <v>0</v>
      </c>
    </row>
    <row r="135" spans="1:6">
      <c r="A135" s="21" t="s">
        <v>273</v>
      </c>
      <c r="B135" s="22">
        <v>1.1263157894736842</v>
      </c>
      <c r="C135" s="22">
        <v>1.1263157894736842</v>
      </c>
      <c r="D135" s="22">
        <v>0</v>
      </c>
      <c r="E135" s="22">
        <v>0</v>
      </c>
      <c r="F135" s="22">
        <v>0</v>
      </c>
    </row>
    <row r="136" spans="1:6">
      <c r="A136" s="24" t="s">
        <v>296</v>
      </c>
      <c r="B136" s="22">
        <v>0.52631578947368418</v>
      </c>
      <c r="C136" s="22">
        <v>0.52631578947368418</v>
      </c>
      <c r="D136" s="22">
        <v>0</v>
      </c>
      <c r="E136" s="22">
        <v>0</v>
      </c>
      <c r="F136" s="22">
        <v>0</v>
      </c>
    </row>
    <row r="137" spans="1:6">
      <c r="A137" s="24" t="s">
        <v>292</v>
      </c>
      <c r="B137" s="22">
        <v>0.6</v>
      </c>
      <c r="C137" s="22">
        <v>0.6</v>
      </c>
      <c r="D137" s="22">
        <v>0</v>
      </c>
      <c r="E137" s="22">
        <v>0</v>
      </c>
      <c r="F137" s="22">
        <v>0</v>
      </c>
    </row>
    <row r="138" spans="1:6">
      <c r="A138" s="21" t="s">
        <v>128</v>
      </c>
      <c r="B138" s="22">
        <v>20.55</v>
      </c>
      <c r="C138" s="22">
        <v>19.483552631578949</v>
      </c>
      <c r="D138" s="22">
        <v>0.3657894736842105</v>
      </c>
      <c r="E138" s="22">
        <v>36</v>
      </c>
      <c r="F138" s="22">
        <v>162.09999999999997</v>
      </c>
    </row>
    <row r="139" spans="1:6">
      <c r="A139" s="24" t="s">
        <v>204</v>
      </c>
      <c r="B139" s="22">
        <v>0.99999999999999978</v>
      </c>
      <c r="C139" s="22">
        <v>0.86315789473684201</v>
      </c>
      <c r="D139" s="22">
        <v>0</v>
      </c>
      <c r="E139" s="22">
        <v>5.6</v>
      </c>
      <c r="F139" s="22">
        <v>20.799999999999997</v>
      </c>
    </row>
    <row r="140" spans="1:6">
      <c r="A140" s="24" t="s">
        <v>205</v>
      </c>
      <c r="B140" s="22">
        <v>1.0032894736842106</v>
      </c>
      <c r="C140" s="22">
        <v>1.0032894736842106</v>
      </c>
      <c r="D140" s="22">
        <v>3.2894736842105261E-3</v>
      </c>
      <c r="E140" s="22">
        <v>0</v>
      </c>
      <c r="F140" s="22">
        <v>0</v>
      </c>
    </row>
    <row r="141" spans="1:6">
      <c r="A141" s="24" t="s">
        <v>206</v>
      </c>
      <c r="B141" s="22">
        <v>0.60986842105263162</v>
      </c>
      <c r="C141" s="22">
        <v>0.45986842105263159</v>
      </c>
      <c r="D141" s="22">
        <v>9.8684210526315784E-3</v>
      </c>
      <c r="E141" s="22">
        <v>0</v>
      </c>
      <c r="F141" s="22">
        <v>22.8</v>
      </c>
    </row>
    <row r="142" spans="1:6">
      <c r="A142" s="24" t="s">
        <v>207</v>
      </c>
      <c r="B142" s="22">
        <v>1.013157894736842</v>
      </c>
      <c r="C142" s="22">
        <v>1.013157894736842</v>
      </c>
      <c r="D142" s="22">
        <v>1.3157894736842105E-2</v>
      </c>
      <c r="E142" s="22">
        <v>0</v>
      </c>
      <c r="F142" s="22">
        <v>0</v>
      </c>
    </row>
    <row r="143" spans="1:6">
      <c r="A143" s="24" t="s">
        <v>208</v>
      </c>
      <c r="B143" s="22">
        <v>0.4</v>
      </c>
      <c r="C143" s="22">
        <v>0.4</v>
      </c>
      <c r="D143" s="22">
        <v>4.9999999999999996E-2</v>
      </c>
      <c r="E143" s="22">
        <v>0</v>
      </c>
      <c r="F143" s="22">
        <v>0</v>
      </c>
    </row>
    <row r="144" spans="1:6">
      <c r="A144" s="24" t="s">
        <v>209</v>
      </c>
      <c r="B144" s="22">
        <v>0.80328947368421044</v>
      </c>
      <c r="C144" s="22">
        <v>0.80328947368421044</v>
      </c>
      <c r="D144" s="22">
        <v>3.2894736842105261E-3</v>
      </c>
      <c r="E144" s="22">
        <v>0</v>
      </c>
      <c r="F144" s="22">
        <v>0</v>
      </c>
    </row>
    <row r="145" spans="1:6">
      <c r="A145" s="24" t="s">
        <v>210</v>
      </c>
      <c r="B145" s="22">
        <v>1.0394736842105263</v>
      </c>
      <c r="C145" s="22">
        <v>1.0394736842105263</v>
      </c>
      <c r="D145" s="22">
        <v>3.9473684210526314E-2</v>
      </c>
      <c r="E145" s="22">
        <v>0</v>
      </c>
      <c r="F145" s="22">
        <v>0</v>
      </c>
    </row>
    <row r="146" spans="1:6">
      <c r="A146" s="24" t="s">
        <v>211</v>
      </c>
      <c r="B146" s="22">
        <v>1</v>
      </c>
      <c r="C146" s="22">
        <v>1</v>
      </c>
      <c r="D146" s="22">
        <v>0</v>
      </c>
      <c r="E146" s="22">
        <v>0</v>
      </c>
      <c r="F146" s="22">
        <v>0</v>
      </c>
    </row>
    <row r="147" spans="1:6">
      <c r="A147" s="24" t="s">
        <v>212</v>
      </c>
      <c r="B147" s="22">
        <v>1.0197368421052631</v>
      </c>
      <c r="C147" s="22">
        <v>0.8197368421052631</v>
      </c>
      <c r="D147" s="22">
        <v>1.9736842105263157E-2</v>
      </c>
      <c r="E147" s="22">
        <v>7.6</v>
      </c>
      <c r="F147" s="22">
        <v>30.4</v>
      </c>
    </row>
    <row r="148" spans="1:6">
      <c r="A148" s="24" t="s">
        <v>213</v>
      </c>
      <c r="B148" s="22">
        <v>0.46052631578947367</v>
      </c>
      <c r="C148" s="22">
        <v>0.46052631578947367</v>
      </c>
      <c r="D148" s="22">
        <v>2.6315789473684209E-2</v>
      </c>
      <c r="E148" s="22">
        <v>0</v>
      </c>
      <c r="F148" s="22">
        <v>0</v>
      </c>
    </row>
    <row r="149" spans="1:6">
      <c r="A149" s="24" t="s">
        <v>214</v>
      </c>
      <c r="B149" s="22">
        <v>1.0296052631578947</v>
      </c>
      <c r="C149" s="22">
        <v>1.0296052631578947</v>
      </c>
      <c r="D149" s="22">
        <v>2.9605263157894735E-2</v>
      </c>
      <c r="E149" s="22">
        <v>0</v>
      </c>
      <c r="F149" s="22">
        <v>0</v>
      </c>
    </row>
    <row r="150" spans="1:6">
      <c r="A150" s="24" t="s">
        <v>215</v>
      </c>
      <c r="B150" s="22">
        <v>1</v>
      </c>
      <c r="C150" s="22">
        <v>1</v>
      </c>
      <c r="D150" s="22">
        <v>0</v>
      </c>
      <c r="E150" s="22">
        <v>0</v>
      </c>
      <c r="F150" s="22">
        <v>0</v>
      </c>
    </row>
    <row r="151" spans="1:6">
      <c r="A151" s="24" t="s">
        <v>216</v>
      </c>
      <c r="B151" s="22">
        <v>0.6</v>
      </c>
      <c r="C151" s="22">
        <v>0.54999999999999993</v>
      </c>
      <c r="D151" s="22">
        <v>0</v>
      </c>
      <c r="E151" s="22">
        <v>0</v>
      </c>
      <c r="F151" s="22">
        <v>7.6</v>
      </c>
    </row>
    <row r="152" spans="1:6">
      <c r="A152" s="24" t="s">
        <v>217</v>
      </c>
      <c r="B152" s="22">
        <v>1.0296052631578947</v>
      </c>
      <c r="C152" s="22">
        <v>1.0296052631578947</v>
      </c>
      <c r="D152" s="22">
        <v>2.9605263157894735E-2</v>
      </c>
      <c r="E152" s="22">
        <v>0</v>
      </c>
      <c r="F152" s="22">
        <v>0</v>
      </c>
    </row>
    <row r="153" spans="1:6">
      <c r="A153" s="24" t="s">
        <v>218</v>
      </c>
      <c r="B153" s="22">
        <v>0.60328947368421049</v>
      </c>
      <c r="C153" s="22">
        <v>0.5032894736842104</v>
      </c>
      <c r="D153" s="22">
        <v>3.2894736842105261E-3</v>
      </c>
      <c r="E153" s="22">
        <v>7.6</v>
      </c>
      <c r="F153" s="22">
        <v>15.2</v>
      </c>
    </row>
    <row r="154" spans="1:6">
      <c r="A154" s="24" t="s">
        <v>219</v>
      </c>
      <c r="B154" s="22">
        <v>1.013157894736842</v>
      </c>
      <c r="C154" s="22">
        <v>0.81315789473684208</v>
      </c>
      <c r="D154" s="22">
        <v>1.3157894736842105E-2</v>
      </c>
      <c r="E154" s="22">
        <v>0</v>
      </c>
      <c r="F154" s="22">
        <v>30.4</v>
      </c>
    </row>
    <row r="155" spans="1:6">
      <c r="A155" s="24" t="s">
        <v>220</v>
      </c>
      <c r="B155" s="22">
        <v>1.055921052631579</v>
      </c>
      <c r="C155" s="22">
        <v>1.0059210526315789</v>
      </c>
      <c r="D155" s="22">
        <v>5.5921052631578948E-2</v>
      </c>
      <c r="E155" s="22">
        <v>7.6</v>
      </c>
      <c r="F155" s="22">
        <v>7.6</v>
      </c>
    </row>
    <row r="156" spans="1:6">
      <c r="A156" s="24" t="s">
        <v>221</v>
      </c>
      <c r="B156" s="22">
        <v>1</v>
      </c>
      <c r="C156" s="22">
        <v>0.893421052631579</v>
      </c>
      <c r="D156" s="22">
        <v>0</v>
      </c>
      <c r="E156" s="22">
        <v>0</v>
      </c>
      <c r="F156" s="22">
        <v>16.2</v>
      </c>
    </row>
    <row r="157" spans="1:6">
      <c r="A157" s="24" t="s">
        <v>222</v>
      </c>
      <c r="B157" s="22">
        <v>0.61315789473684212</v>
      </c>
      <c r="C157" s="22">
        <v>0.61315789473684212</v>
      </c>
      <c r="D157" s="22">
        <v>1.3157894736842105E-2</v>
      </c>
      <c r="E157" s="22">
        <v>0</v>
      </c>
      <c r="F157" s="22">
        <v>0</v>
      </c>
    </row>
    <row r="158" spans="1:6">
      <c r="A158" s="24" t="s">
        <v>223</v>
      </c>
      <c r="B158" s="22">
        <v>0.6032894736842106</v>
      </c>
      <c r="C158" s="22">
        <v>0.6032894736842106</v>
      </c>
      <c r="D158" s="22">
        <v>3.2894736842105261E-3</v>
      </c>
      <c r="E158" s="22">
        <v>0</v>
      </c>
      <c r="F158" s="22">
        <v>0</v>
      </c>
    </row>
    <row r="159" spans="1:6">
      <c r="A159" s="24" t="s">
        <v>291</v>
      </c>
      <c r="B159" s="22">
        <v>1</v>
      </c>
      <c r="C159" s="22">
        <v>0.97697368421052633</v>
      </c>
      <c r="D159" s="22">
        <v>0</v>
      </c>
      <c r="E159" s="22">
        <v>0</v>
      </c>
      <c r="F159" s="22">
        <v>3.5</v>
      </c>
    </row>
    <row r="160" spans="1:6">
      <c r="A160" s="24" t="s">
        <v>515</v>
      </c>
      <c r="B160" s="22">
        <v>1.0263157894736843</v>
      </c>
      <c r="C160" s="22">
        <v>1.0263157894736843</v>
      </c>
      <c r="D160" s="22">
        <v>2.6315789473684209E-2</v>
      </c>
      <c r="E160" s="22">
        <v>0</v>
      </c>
      <c r="F160" s="22">
        <v>0</v>
      </c>
    </row>
    <row r="161" spans="1:6">
      <c r="A161" s="24" t="s">
        <v>516</v>
      </c>
      <c r="B161" s="22">
        <v>1.0197368421052631</v>
      </c>
      <c r="C161" s="22">
        <v>0.96973684210526323</v>
      </c>
      <c r="D161" s="22">
        <v>1.9736842105263157E-2</v>
      </c>
      <c r="E161" s="22">
        <v>7.6</v>
      </c>
      <c r="F161" s="22">
        <v>7.6</v>
      </c>
    </row>
    <row r="162" spans="1:6">
      <c r="A162" s="24" t="s">
        <v>519</v>
      </c>
      <c r="B162" s="22">
        <v>0.60657894736842111</v>
      </c>
      <c r="C162" s="22">
        <v>0.60657894736842111</v>
      </c>
      <c r="D162" s="22">
        <v>6.5789473684210523E-3</v>
      </c>
      <c r="E162" s="22">
        <v>0</v>
      </c>
      <c r="F162" s="22">
        <v>0</v>
      </c>
    </row>
    <row r="163" spans="1:6">
      <c r="A163" s="21" t="s">
        <v>135</v>
      </c>
      <c r="B163" s="22">
        <v>2.9</v>
      </c>
      <c r="C163" s="22">
        <v>2.9</v>
      </c>
      <c r="D163" s="22">
        <v>0</v>
      </c>
      <c r="E163" s="22">
        <v>0</v>
      </c>
      <c r="F163" s="22">
        <v>0</v>
      </c>
    </row>
    <row r="164" spans="1:6">
      <c r="A164" s="24" t="s">
        <v>202</v>
      </c>
      <c r="B164" s="22">
        <v>1</v>
      </c>
      <c r="C164" s="22">
        <v>1</v>
      </c>
      <c r="D164" s="22">
        <v>0</v>
      </c>
      <c r="E164" s="22">
        <v>0</v>
      </c>
      <c r="F164" s="22">
        <v>0</v>
      </c>
    </row>
    <row r="165" spans="1:6">
      <c r="A165" s="24" t="s">
        <v>224</v>
      </c>
      <c r="B165" s="22">
        <v>1</v>
      </c>
      <c r="C165" s="22">
        <v>1</v>
      </c>
      <c r="D165" s="22">
        <v>0</v>
      </c>
      <c r="E165" s="22">
        <v>0</v>
      </c>
      <c r="F165" s="22">
        <v>0</v>
      </c>
    </row>
    <row r="166" spans="1:6">
      <c r="A166" s="24" t="s">
        <v>531</v>
      </c>
      <c r="B166" s="22">
        <v>0.9</v>
      </c>
      <c r="C166" s="22">
        <v>0.9</v>
      </c>
      <c r="D166" s="22">
        <v>0</v>
      </c>
      <c r="E166" s="22">
        <v>0</v>
      </c>
      <c r="F166" s="22">
        <v>0</v>
      </c>
    </row>
    <row r="167" spans="1:6">
      <c r="A167" s="21" t="s">
        <v>55</v>
      </c>
      <c r="B167" s="22">
        <v>0</v>
      </c>
      <c r="C167" s="22">
        <v>0</v>
      </c>
      <c r="D167" s="22">
        <v>0</v>
      </c>
      <c r="E167" s="22">
        <v>0</v>
      </c>
      <c r="F167" s="22">
        <v>0</v>
      </c>
    </row>
    <row r="168" spans="1:6">
      <c r="A168" s="24"/>
      <c r="B168" s="22">
        <v>0</v>
      </c>
      <c r="C168" s="22">
        <v>0</v>
      </c>
      <c r="D168" s="22">
        <v>0</v>
      </c>
      <c r="E168" s="22">
        <v>0</v>
      </c>
      <c r="F168" s="22">
        <v>0</v>
      </c>
    </row>
    <row r="169" spans="1:6">
      <c r="A169" s="24" t="s">
        <v>138</v>
      </c>
      <c r="B169" s="22">
        <v>0</v>
      </c>
      <c r="C169" s="22">
        <v>0</v>
      </c>
      <c r="D169" s="22">
        <v>0</v>
      </c>
      <c r="E169" s="22">
        <v>0</v>
      </c>
      <c r="F169" s="22">
        <v>0</v>
      </c>
    </row>
    <row r="170" spans="1:6">
      <c r="A170" s="21" t="s">
        <v>129</v>
      </c>
      <c r="B170" s="22">
        <v>3.5552631578947365</v>
      </c>
      <c r="C170" s="22">
        <v>3.3052631578947373</v>
      </c>
      <c r="D170" s="22">
        <v>0.10526315789473684</v>
      </c>
      <c r="E170" s="22">
        <v>60.800000000000004</v>
      </c>
      <c r="F170" s="22">
        <v>91.2</v>
      </c>
    </row>
    <row r="171" spans="1:6">
      <c r="A171" s="24" t="s">
        <v>225</v>
      </c>
      <c r="B171" s="22">
        <v>1.0921052631578947</v>
      </c>
      <c r="C171" s="22">
        <v>1.0921052631578947</v>
      </c>
      <c r="D171" s="22">
        <v>9.2105263157894732E-2</v>
      </c>
      <c r="E171" s="22">
        <v>0</v>
      </c>
      <c r="F171" s="22">
        <v>0</v>
      </c>
    </row>
    <row r="172" spans="1:6">
      <c r="A172" s="24" t="s">
        <v>532</v>
      </c>
      <c r="B172" s="22">
        <v>0.8</v>
      </c>
      <c r="C172" s="22">
        <v>0.70000000000000007</v>
      </c>
      <c r="D172" s="22">
        <v>0</v>
      </c>
      <c r="E172" s="22">
        <v>0</v>
      </c>
      <c r="F172" s="22">
        <v>15.2</v>
      </c>
    </row>
    <row r="173" spans="1:6">
      <c r="A173" s="24" t="s">
        <v>533</v>
      </c>
      <c r="B173" s="22">
        <v>0.65657894736842104</v>
      </c>
      <c r="C173" s="22">
        <v>0.50657894736842102</v>
      </c>
      <c r="D173" s="22">
        <v>6.5789473684210523E-3</v>
      </c>
      <c r="E173" s="22">
        <v>60.800000000000004</v>
      </c>
      <c r="F173" s="22">
        <v>76</v>
      </c>
    </row>
    <row r="174" spans="1:6">
      <c r="A174" s="24" t="s">
        <v>535</v>
      </c>
      <c r="B174" s="22">
        <v>1.006578947368421</v>
      </c>
      <c r="C174" s="22">
        <v>1.006578947368421</v>
      </c>
      <c r="D174" s="22">
        <v>6.5789473684210523E-3</v>
      </c>
      <c r="E174" s="22">
        <v>0</v>
      </c>
      <c r="F174" s="22">
        <v>0</v>
      </c>
    </row>
    <row r="175" spans="1:6">
      <c r="A175" s="21" t="s">
        <v>130</v>
      </c>
      <c r="B175" s="22">
        <v>2.0669967105263156</v>
      </c>
      <c r="C175" s="22">
        <v>1.9972598684210525</v>
      </c>
      <c r="D175" s="22">
        <v>6.8312499999999998E-2</v>
      </c>
      <c r="E175" s="22">
        <v>10.6</v>
      </c>
      <c r="F175" s="22">
        <v>10.6</v>
      </c>
    </row>
    <row r="176" spans="1:6">
      <c r="A176" s="24" t="s">
        <v>226</v>
      </c>
      <c r="B176" s="22">
        <v>1.0359664473684209</v>
      </c>
      <c r="C176" s="22">
        <v>0.96622960526315782</v>
      </c>
      <c r="D176" s="22">
        <v>3.7062499999999998E-2</v>
      </c>
      <c r="E176" s="22">
        <v>10.6</v>
      </c>
      <c r="F176" s="22">
        <v>10.6</v>
      </c>
    </row>
    <row r="177" spans="1:6">
      <c r="A177" s="24" t="s">
        <v>227</v>
      </c>
      <c r="B177" s="22">
        <v>1.0310302631578947</v>
      </c>
      <c r="C177" s="22">
        <v>1.0310302631578947</v>
      </c>
      <c r="D177" s="22">
        <v>3.125E-2</v>
      </c>
      <c r="E177" s="22">
        <v>0</v>
      </c>
      <c r="F177" s="22">
        <v>0</v>
      </c>
    </row>
    <row r="178" spans="1:6">
      <c r="A178" s="21" t="s">
        <v>131</v>
      </c>
      <c r="B178" s="22">
        <v>1.636074342105263</v>
      </c>
      <c r="C178" s="22">
        <v>1.5860743421052632</v>
      </c>
      <c r="D178" s="22">
        <v>4.6819736842105261E-2</v>
      </c>
      <c r="E178" s="22">
        <v>7.6</v>
      </c>
      <c r="F178" s="22">
        <v>7.6</v>
      </c>
    </row>
    <row r="179" spans="1:6">
      <c r="A179" s="24" t="s">
        <v>228</v>
      </c>
      <c r="B179" s="22">
        <v>0.59243421052631573</v>
      </c>
      <c r="C179" s="22">
        <v>0.59243421052631573</v>
      </c>
      <c r="D179" s="22">
        <v>0</v>
      </c>
      <c r="E179" s="22">
        <v>0</v>
      </c>
      <c r="F179" s="22">
        <v>0</v>
      </c>
    </row>
    <row r="180" spans="1:6">
      <c r="A180" s="24" t="s">
        <v>229</v>
      </c>
      <c r="B180" s="22">
        <v>1.0436401315789474</v>
      </c>
      <c r="C180" s="22">
        <v>0.99364013157894737</v>
      </c>
      <c r="D180" s="22">
        <v>4.6819736842105261E-2</v>
      </c>
      <c r="E180" s="22">
        <v>7.6</v>
      </c>
      <c r="F180" s="22">
        <v>7.6</v>
      </c>
    </row>
    <row r="181" spans="1:6">
      <c r="A181" s="21" t="s">
        <v>132</v>
      </c>
      <c r="B181" s="22">
        <v>0.5</v>
      </c>
      <c r="C181" s="22">
        <v>0</v>
      </c>
      <c r="D181" s="22">
        <v>0</v>
      </c>
      <c r="E181" s="22">
        <v>0</v>
      </c>
      <c r="F181" s="22">
        <v>76</v>
      </c>
    </row>
    <row r="182" spans="1:6">
      <c r="A182" s="24" t="s">
        <v>230</v>
      </c>
      <c r="B182" s="22">
        <v>0.5</v>
      </c>
      <c r="C182" s="22">
        <v>0</v>
      </c>
      <c r="D182" s="22">
        <v>0</v>
      </c>
      <c r="E182" s="22">
        <v>0</v>
      </c>
      <c r="F182" s="22">
        <v>76</v>
      </c>
    </row>
    <row r="183" spans="1:6">
      <c r="A183" s="21" t="s">
        <v>139</v>
      </c>
      <c r="B183" s="22">
        <v>127.40756118421054</v>
      </c>
      <c r="C183" s="22">
        <v>116.22137697368423</v>
      </c>
      <c r="D183" s="22">
        <v>6.2382644736842119</v>
      </c>
      <c r="E183" s="22">
        <v>648.15000000000009</v>
      </c>
      <c r="F183" s="22">
        <v>2128.0999999999995</v>
      </c>
    </row>
    <row r="184" spans="1:6">
      <c r="B184"/>
      <c r="C184"/>
      <c r="D184"/>
    </row>
    <row r="185" spans="1:6">
      <c r="B185"/>
      <c r="C185"/>
      <c r="D185"/>
    </row>
    <row r="186" spans="1:6">
      <c r="B186"/>
      <c r="C186"/>
      <c r="D186"/>
    </row>
    <row r="187" spans="1:6">
      <c r="B187"/>
      <c r="C187"/>
      <c r="D187"/>
    </row>
    <row r="188" spans="1:6">
      <c r="B188"/>
      <c r="C188"/>
      <c r="D188"/>
    </row>
    <row r="189" spans="1:6">
      <c r="B189"/>
      <c r="C189"/>
      <c r="D189"/>
    </row>
    <row r="190" spans="1:6">
      <c r="B190"/>
      <c r="C190"/>
      <c r="D190"/>
    </row>
    <row r="191" spans="1:6">
      <c r="B191"/>
      <c r="C191"/>
      <c r="D191"/>
    </row>
    <row r="192" spans="1:6">
      <c r="B192"/>
      <c r="C192"/>
      <c r="D192"/>
    </row>
    <row r="193" spans="2:4">
      <c r="B193"/>
      <c r="C193"/>
      <c r="D193"/>
    </row>
    <row r="194" spans="2:4">
      <c r="B194"/>
      <c r="C194"/>
      <c r="D194"/>
    </row>
    <row r="195" spans="2:4">
      <c r="B195"/>
      <c r="C195"/>
      <c r="D195"/>
    </row>
    <row r="196" spans="2:4">
      <c r="B196"/>
      <c r="C196"/>
      <c r="D196"/>
    </row>
    <row r="197" spans="2:4">
      <c r="B197"/>
      <c r="C197"/>
      <c r="D197"/>
    </row>
    <row r="198" spans="2:4">
      <c r="B198"/>
      <c r="C198"/>
      <c r="D198"/>
    </row>
    <row r="199" spans="2:4">
      <c r="B199"/>
      <c r="C199"/>
      <c r="D199"/>
    </row>
    <row r="200" spans="2:4">
      <c r="B200"/>
      <c r="C200"/>
      <c r="D200"/>
    </row>
    <row r="201" spans="2:4">
      <c r="B201"/>
      <c r="C201"/>
      <c r="D201"/>
    </row>
    <row r="202" spans="2:4">
      <c r="B202"/>
      <c r="C202"/>
      <c r="D202"/>
    </row>
    <row r="203" spans="2:4">
      <c r="B203"/>
      <c r="C203"/>
      <c r="D203"/>
    </row>
    <row r="204" spans="2:4">
      <c r="B204"/>
      <c r="C204"/>
      <c r="D204"/>
    </row>
    <row r="205" spans="2:4">
      <c r="B205"/>
      <c r="C205"/>
      <c r="D205"/>
    </row>
    <row r="206" spans="2:4">
      <c r="B206"/>
      <c r="C206"/>
      <c r="D206"/>
    </row>
    <row r="207" spans="2:4">
      <c r="B207"/>
      <c r="C207"/>
      <c r="D207"/>
    </row>
    <row r="208" spans="2:4">
      <c r="B208"/>
      <c r="C208"/>
      <c r="D208"/>
    </row>
    <row r="209" spans="2:4">
      <c r="B209"/>
      <c r="C209"/>
      <c r="D209"/>
    </row>
    <row r="210" spans="2:4">
      <c r="B210"/>
      <c r="C210"/>
      <c r="D210"/>
    </row>
    <row r="211" spans="2:4">
      <c r="B211"/>
      <c r="C211"/>
      <c r="D211"/>
    </row>
    <row r="212" spans="2:4">
      <c r="B212"/>
      <c r="C212"/>
      <c r="D212"/>
    </row>
    <row r="213" spans="2:4">
      <c r="B213"/>
      <c r="C213"/>
      <c r="D213"/>
    </row>
    <row r="214" spans="2:4">
      <c r="B214"/>
      <c r="C214"/>
      <c r="D214"/>
    </row>
    <row r="215" spans="2:4">
      <c r="B215"/>
      <c r="C215"/>
      <c r="D215"/>
    </row>
    <row r="216" spans="2:4">
      <c r="B216"/>
      <c r="C216"/>
      <c r="D216"/>
    </row>
    <row r="217" spans="2:4">
      <c r="B217"/>
      <c r="C217"/>
      <c r="D217"/>
    </row>
    <row r="218" spans="2:4">
      <c r="B218"/>
      <c r="C218"/>
      <c r="D218"/>
    </row>
    <row r="219" spans="2:4">
      <c r="B219"/>
      <c r="C219"/>
      <c r="D219"/>
    </row>
    <row r="220" spans="2:4">
      <c r="B220"/>
      <c r="C220"/>
      <c r="D220"/>
    </row>
    <row r="221" spans="2:4">
      <c r="B221"/>
      <c r="C221"/>
      <c r="D221"/>
    </row>
    <row r="222" spans="2:4">
      <c r="B222"/>
      <c r="C222"/>
      <c r="D222"/>
    </row>
    <row r="223" spans="2:4">
      <c r="B223"/>
      <c r="C223"/>
      <c r="D223"/>
    </row>
    <row r="224" spans="2:4">
      <c r="B224"/>
      <c r="C224"/>
      <c r="D224"/>
    </row>
    <row r="225" spans="2:4">
      <c r="B225"/>
      <c r="C225"/>
      <c r="D225"/>
    </row>
    <row r="226" spans="2:4">
      <c r="B226"/>
      <c r="C226"/>
      <c r="D226"/>
    </row>
    <row r="227" spans="2:4">
      <c r="B227"/>
      <c r="C227"/>
      <c r="D227"/>
    </row>
    <row r="228" spans="2:4">
      <c r="B228"/>
      <c r="C228"/>
      <c r="D228"/>
    </row>
    <row r="229" spans="2:4">
      <c r="B229"/>
      <c r="C229"/>
      <c r="D229"/>
    </row>
    <row r="230" spans="2:4">
      <c r="B230"/>
      <c r="C230"/>
      <c r="D230"/>
    </row>
    <row r="231" spans="2:4">
      <c r="B231"/>
      <c r="C231"/>
      <c r="D231"/>
    </row>
    <row r="232" spans="2:4">
      <c r="B232"/>
      <c r="C232"/>
      <c r="D232"/>
    </row>
  </sheetData>
  <pageMargins left="0.7" right="0.7" top="0.75" bottom="0.75" header="0.3" footer="0.3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3:D231"/>
  <sheetViews>
    <sheetView workbookViewId="0">
      <pane ySplit="3" topLeftCell="A164" activePane="bottomLeft" state="frozen"/>
      <selection pane="bottomLeft" activeCell="C149" sqref="C149"/>
    </sheetView>
  </sheetViews>
  <sheetFormatPr defaultColWidth="9" defaultRowHeight="15"/>
  <cols>
    <col min="1" max="1" width="42.7109375" customWidth="1"/>
    <col min="2" max="3" width="24.5703125" style="23" customWidth="1"/>
    <col min="4" max="4" width="24.5703125" customWidth="1"/>
    <col min="5" max="73" width="16.140625" customWidth="1"/>
    <col min="74" max="74" width="11.140625" customWidth="1"/>
  </cols>
  <sheetData>
    <row r="3" spans="1:4">
      <c r="A3" s="33" t="s">
        <v>107</v>
      </c>
      <c r="B3" s="1" t="s">
        <v>231</v>
      </c>
      <c r="C3" s="1" t="s">
        <v>232</v>
      </c>
      <c r="D3" s="47" t="s">
        <v>233</v>
      </c>
    </row>
    <row r="4" spans="1:4">
      <c r="A4" s="21" t="s">
        <v>115</v>
      </c>
      <c r="B4" s="34">
        <v>0</v>
      </c>
      <c r="C4" s="34">
        <v>0</v>
      </c>
      <c r="D4" s="34">
        <v>0</v>
      </c>
    </row>
    <row r="5" spans="1:4">
      <c r="A5" s="24" t="s">
        <v>140</v>
      </c>
      <c r="B5" s="34">
        <v>0</v>
      </c>
      <c r="C5" s="34">
        <v>0</v>
      </c>
      <c r="D5" s="34">
        <v>0</v>
      </c>
    </row>
    <row r="6" spans="1:4">
      <c r="A6" s="21" t="s">
        <v>96</v>
      </c>
      <c r="B6" s="34">
        <v>0</v>
      </c>
      <c r="C6" s="34">
        <v>0</v>
      </c>
      <c r="D6" s="34">
        <v>0</v>
      </c>
    </row>
    <row r="7" spans="1:4">
      <c r="A7" s="24" t="s">
        <v>97</v>
      </c>
      <c r="B7" s="34">
        <v>0</v>
      </c>
      <c r="C7" s="34">
        <v>0</v>
      </c>
      <c r="D7" s="34">
        <v>0</v>
      </c>
    </row>
    <row r="8" spans="1:4">
      <c r="A8" s="24" t="s">
        <v>94</v>
      </c>
      <c r="B8" s="34">
        <v>0</v>
      </c>
      <c r="C8" s="34">
        <v>0</v>
      </c>
      <c r="D8" s="34">
        <v>0</v>
      </c>
    </row>
    <row r="9" spans="1:4">
      <c r="A9" s="21" t="s">
        <v>126</v>
      </c>
      <c r="B9" s="35">
        <v>21.533300000000001</v>
      </c>
      <c r="C9" s="35">
        <v>2.4998999999999998</v>
      </c>
      <c r="D9" s="35">
        <v>0</v>
      </c>
    </row>
    <row r="10" spans="1:4">
      <c r="A10" s="24" t="s">
        <v>141</v>
      </c>
      <c r="B10" s="35">
        <v>3.3300000000000003E-2</v>
      </c>
      <c r="C10" s="35">
        <v>0</v>
      </c>
      <c r="D10" s="35">
        <v>0</v>
      </c>
    </row>
    <row r="11" spans="1:4">
      <c r="A11" s="24" t="s">
        <v>142</v>
      </c>
      <c r="B11" s="35">
        <v>5.9</v>
      </c>
      <c r="C11" s="35">
        <v>2.4998999999999998</v>
      </c>
      <c r="D11" s="35">
        <v>0</v>
      </c>
    </row>
    <row r="12" spans="1:4">
      <c r="A12" s="24" t="s">
        <v>143</v>
      </c>
      <c r="B12" s="35">
        <v>2.0167999999999999</v>
      </c>
      <c r="C12" s="35">
        <v>0</v>
      </c>
      <c r="D12" s="35">
        <v>0</v>
      </c>
    </row>
    <row r="13" spans="1:4">
      <c r="A13" s="24" t="s">
        <v>144</v>
      </c>
      <c r="B13" s="35">
        <v>5.4169</v>
      </c>
      <c r="C13" s="35">
        <v>0</v>
      </c>
      <c r="D13" s="35">
        <v>0</v>
      </c>
    </row>
    <row r="14" spans="1:4">
      <c r="A14" s="24" t="s">
        <v>145</v>
      </c>
      <c r="B14" s="35">
        <v>0</v>
      </c>
      <c r="C14" s="35">
        <v>0</v>
      </c>
      <c r="D14" s="35">
        <v>0</v>
      </c>
    </row>
    <row r="15" spans="1:4">
      <c r="A15" s="24" t="s">
        <v>146</v>
      </c>
      <c r="B15" s="34">
        <v>0</v>
      </c>
      <c r="C15" s="34">
        <v>0</v>
      </c>
      <c r="D15" s="34">
        <v>0</v>
      </c>
    </row>
    <row r="16" spans="1:4">
      <c r="A16" s="24" t="s">
        <v>147</v>
      </c>
      <c r="B16" s="34">
        <v>2.4498000000000002</v>
      </c>
      <c r="C16" s="34">
        <v>0</v>
      </c>
      <c r="D16" s="34">
        <v>0</v>
      </c>
    </row>
    <row r="17" spans="1:4">
      <c r="A17" s="24" t="s">
        <v>148</v>
      </c>
      <c r="B17" s="34">
        <v>0.18329999999999999</v>
      </c>
      <c r="C17" s="34">
        <v>0</v>
      </c>
      <c r="D17" s="34">
        <v>0</v>
      </c>
    </row>
    <row r="18" spans="1:4">
      <c r="A18" s="24" t="s">
        <v>149</v>
      </c>
      <c r="B18" s="34">
        <v>0</v>
      </c>
      <c r="C18" s="34">
        <v>0</v>
      </c>
      <c r="D18" s="34">
        <v>0</v>
      </c>
    </row>
    <row r="19" spans="1:4">
      <c r="A19" s="24" t="s">
        <v>151</v>
      </c>
      <c r="B19" s="34">
        <v>4.4165999999999999</v>
      </c>
      <c r="C19" s="34">
        <v>0</v>
      </c>
      <c r="D19" s="34">
        <v>0</v>
      </c>
    </row>
    <row r="20" spans="1:4">
      <c r="A20" s="24" t="s">
        <v>150</v>
      </c>
      <c r="B20" s="34">
        <v>0.76659999999999995</v>
      </c>
      <c r="C20" s="34">
        <v>0</v>
      </c>
      <c r="D20" s="34">
        <v>0</v>
      </c>
    </row>
    <row r="21" spans="1:4">
      <c r="A21" s="24" t="s">
        <v>152</v>
      </c>
      <c r="B21" s="34">
        <v>0</v>
      </c>
      <c r="C21" s="34">
        <v>0</v>
      </c>
      <c r="D21" s="34">
        <v>0</v>
      </c>
    </row>
    <row r="22" spans="1:4">
      <c r="A22" s="24" t="s">
        <v>289</v>
      </c>
      <c r="B22" s="34">
        <v>0.35</v>
      </c>
      <c r="C22" s="34">
        <v>0</v>
      </c>
      <c r="D22" s="34">
        <v>0</v>
      </c>
    </row>
    <row r="23" spans="1:4">
      <c r="A23" s="21" t="s">
        <v>87</v>
      </c>
      <c r="B23" s="35">
        <v>12.7666</v>
      </c>
      <c r="C23" s="35">
        <v>4.4667000000000003</v>
      </c>
      <c r="D23" s="35">
        <v>0</v>
      </c>
    </row>
    <row r="24" spans="1:4">
      <c r="A24" s="24" t="s">
        <v>85</v>
      </c>
      <c r="B24" s="34">
        <v>12.7666</v>
      </c>
      <c r="C24" s="34">
        <v>4.4667000000000003</v>
      </c>
      <c r="D24" s="34">
        <v>0</v>
      </c>
    </row>
    <row r="25" spans="1:4">
      <c r="A25" s="21" t="s">
        <v>99</v>
      </c>
      <c r="B25" s="34">
        <v>0</v>
      </c>
      <c r="C25" s="34">
        <v>0</v>
      </c>
      <c r="D25" s="34">
        <v>0</v>
      </c>
    </row>
    <row r="26" spans="1:4">
      <c r="A26" s="24" t="s">
        <v>100</v>
      </c>
      <c r="B26" s="34">
        <v>0</v>
      </c>
      <c r="C26" s="34">
        <v>0</v>
      </c>
      <c r="D26" s="34">
        <v>0</v>
      </c>
    </row>
    <row r="27" spans="1:4">
      <c r="A27" s="24" t="s">
        <v>153</v>
      </c>
      <c r="B27" s="34">
        <v>0</v>
      </c>
      <c r="C27" s="34">
        <v>0</v>
      </c>
      <c r="D27" s="34">
        <v>0</v>
      </c>
    </row>
    <row r="28" spans="1:4">
      <c r="A28" s="21" t="s">
        <v>124</v>
      </c>
      <c r="B28" s="34">
        <v>0</v>
      </c>
      <c r="C28" s="34">
        <v>0</v>
      </c>
      <c r="D28" s="34">
        <v>0</v>
      </c>
    </row>
    <row r="29" spans="1:4">
      <c r="A29" s="24" t="s">
        <v>154</v>
      </c>
      <c r="B29" s="34">
        <v>0</v>
      </c>
      <c r="C29" s="34">
        <v>0</v>
      </c>
      <c r="D29" s="34">
        <v>0</v>
      </c>
    </row>
    <row r="30" spans="1:4">
      <c r="A30" s="24" t="s">
        <v>155</v>
      </c>
      <c r="B30" s="34">
        <v>0</v>
      </c>
      <c r="C30" s="34">
        <v>0</v>
      </c>
      <c r="D30" s="34">
        <v>0</v>
      </c>
    </row>
    <row r="31" spans="1:4">
      <c r="A31" s="24" t="s">
        <v>539</v>
      </c>
      <c r="B31" s="34">
        <v>0</v>
      </c>
      <c r="C31" s="34">
        <v>0</v>
      </c>
      <c r="D31" s="34">
        <v>0</v>
      </c>
    </row>
    <row r="32" spans="1:4">
      <c r="A32" s="21" t="s">
        <v>102</v>
      </c>
      <c r="B32" s="34">
        <v>0</v>
      </c>
      <c r="C32" s="34">
        <v>0</v>
      </c>
      <c r="D32" s="34">
        <v>0</v>
      </c>
    </row>
    <row r="33" spans="1:4">
      <c r="A33" s="24" t="s">
        <v>103</v>
      </c>
      <c r="B33" s="34">
        <v>0</v>
      </c>
      <c r="C33" s="34">
        <v>0</v>
      </c>
      <c r="D33" s="34">
        <v>0</v>
      </c>
    </row>
    <row r="34" spans="1:4">
      <c r="A34" s="24" t="s">
        <v>101</v>
      </c>
      <c r="B34" s="34">
        <v>0</v>
      </c>
      <c r="C34" s="34">
        <v>0</v>
      </c>
      <c r="D34" s="34">
        <v>0</v>
      </c>
    </row>
    <row r="35" spans="1:4">
      <c r="A35" s="21" t="s">
        <v>120</v>
      </c>
      <c r="B35" s="34">
        <v>0</v>
      </c>
      <c r="C35" s="34">
        <v>0</v>
      </c>
      <c r="D35" s="34">
        <v>0</v>
      </c>
    </row>
    <row r="36" spans="1:4">
      <c r="A36" s="24" t="s">
        <v>156</v>
      </c>
      <c r="B36" s="34">
        <v>0</v>
      </c>
      <c r="C36" s="34">
        <v>0</v>
      </c>
      <c r="D36" s="34">
        <v>0</v>
      </c>
    </row>
    <row r="37" spans="1:4">
      <c r="A37" s="24" t="s">
        <v>157</v>
      </c>
      <c r="B37" s="34">
        <v>0</v>
      </c>
      <c r="C37" s="34">
        <v>0</v>
      </c>
      <c r="D37" s="34">
        <v>0</v>
      </c>
    </row>
    <row r="38" spans="1:4">
      <c r="A38" s="24" t="s">
        <v>158</v>
      </c>
      <c r="B38" s="34">
        <v>0</v>
      </c>
      <c r="C38" s="34">
        <v>0</v>
      </c>
      <c r="D38" s="34">
        <v>0</v>
      </c>
    </row>
    <row r="39" spans="1:4">
      <c r="A39" s="24" t="s">
        <v>159</v>
      </c>
      <c r="B39" s="34">
        <v>0</v>
      </c>
      <c r="C39" s="34">
        <v>0</v>
      </c>
      <c r="D39" s="34">
        <v>0</v>
      </c>
    </row>
    <row r="40" spans="1:4">
      <c r="A40" s="24" t="s">
        <v>160</v>
      </c>
      <c r="B40" s="34">
        <v>0</v>
      </c>
      <c r="C40" s="34">
        <v>0</v>
      </c>
      <c r="D40" s="34">
        <v>0</v>
      </c>
    </row>
    <row r="41" spans="1:4">
      <c r="A41" s="24" t="s">
        <v>534</v>
      </c>
      <c r="B41" s="34">
        <v>0</v>
      </c>
      <c r="C41" s="34">
        <v>0</v>
      </c>
      <c r="D41" s="34">
        <v>0</v>
      </c>
    </row>
    <row r="42" spans="1:4">
      <c r="A42" s="21" t="s">
        <v>121</v>
      </c>
      <c r="B42" s="34">
        <v>0</v>
      </c>
      <c r="C42" s="34">
        <v>0</v>
      </c>
      <c r="D42" s="34">
        <v>0</v>
      </c>
    </row>
    <row r="43" spans="1:4">
      <c r="A43" s="24" t="s">
        <v>161</v>
      </c>
      <c r="B43" s="34">
        <v>0</v>
      </c>
      <c r="C43" s="34">
        <v>0</v>
      </c>
      <c r="D43" s="34">
        <v>0</v>
      </c>
    </row>
    <row r="44" spans="1:4">
      <c r="A44" s="24" t="s">
        <v>162</v>
      </c>
      <c r="B44" s="34">
        <v>0</v>
      </c>
      <c r="C44" s="34">
        <v>0</v>
      </c>
      <c r="D44" s="34">
        <v>0</v>
      </c>
    </row>
    <row r="45" spans="1:4">
      <c r="A45" s="21" t="s">
        <v>123</v>
      </c>
      <c r="B45" s="34">
        <v>0</v>
      </c>
      <c r="C45" s="34">
        <v>0</v>
      </c>
      <c r="D45" s="34">
        <v>0</v>
      </c>
    </row>
    <row r="46" spans="1:4">
      <c r="A46" s="24" t="s">
        <v>163</v>
      </c>
      <c r="B46" s="34">
        <v>0</v>
      </c>
      <c r="C46" s="34">
        <v>0</v>
      </c>
      <c r="D46" s="34">
        <v>0</v>
      </c>
    </row>
    <row r="47" spans="1:4">
      <c r="A47" s="24" t="s">
        <v>545</v>
      </c>
      <c r="B47" s="34">
        <v>0</v>
      </c>
      <c r="C47" s="34">
        <v>0</v>
      </c>
      <c r="D47" s="34">
        <v>0</v>
      </c>
    </row>
    <row r="48" spans="1:4">
      <c r="A48" s="21" t="s">
        <v>122</v>
      </c>
      <c r="B48" s="34">
        <v>0</v>
      </c>
      <c r="C48" s="34">
        <v>0</v>
      </c>
      <c r="D48" s="34">
        <v>0</v>
      </c>
    </row>
    <row r="49" spans="1:4">
      <c r="A49" s="24" t="s">
        <v>164</v>
      </c>
      <c r="B49" s="34">
        <v>0</v>
      </c>
      <c r="C49" s="34">
        <v>0</v>
      </c>
      <c r="D49" s="34">
        <v>0</v>
      </c>
    </row>
    <row r="50" spans="1:4">
      <c r="A50" s="21" t="s">
        <v>116</v>
      </c>
      <c r="B50" s="34">
        <v>0</v>
      </c>
      <c r="C50" s="34">
        <v>0</v>
      </c>
      <c r="D50" s="34">
        <v>0</v>
      </c>
    </row>
    <row r="51" spans="1:4">
      <c r="A51" s="24" t="s">
        <v>165</v>
      </c>
      <c r="B51" s="34">
        <v>0</v>
      </c>
      <c r="C51" s="34">
        <v>0</v>
      </c>
      <c r="D51" s="34">
        <v>0</v>
      </c>
    </row>
    <row r="52" spans="1:4">
      <c r="A52" s="24" t="s">
        <v>518</v>
      </c>
      <c r="B52" s="34">
        <v>0</v>
      </c>
      <c r="C52" s="34">
        <v>0</v>
      </c>
      <c r="D52" s="34">
        <v>0</v>
      </c>
    </row>
    <row r="53" spans="1:4">
      <c r="A53" s="21" t="s">
        <v>125</v>
      </c>
      <c r="B53" s="34">
        <v>0</v>
      </c>
      <c r="C53" s="34">
        <v>0</v>
      </c>
      <c r="D53" s="34">
        <v>0</v>
      </c>
    </row>
    <row r="54" spans="1:4">
      <c r="A54" s="24" t="s">
        <v>166</v>
      </c>
      <c r="B54" s="34">
        <v>0</v>
      </c>
      <c r="C54" s="34">
        <v>0</v>
      </c>
      <c r="D54" s="34">
        <v>0</v>
      </c>
    </row>
    <row r="55" spans="1:4">
      <c r="A55" s="24" t="s">
        <v>168</v>
      </c>
      <c r="B55" s="34">
        <v>0</v>
      </c>
      <c r="C55" s="34">
        <v>0</v>
      </c>
      <c r="D55" s="34">
        <v>0</v>
      </c>
    </row>
    <row r="56" spans="1:4">
      <c r="A56" s="21" t="s">
        <v>57</v>
      </c>
      <c r="B56" s="35">
        <v>462.03220000000005</v>
      </c>
      <c r="C56" s="35">
        <v>168.35010000000003</v>
      </c>
      <c r="D56" s="35">
        <v>0</v>
      </c>
    </row>
    <row r="57" spans="1:4">
      <c r="A57" s="24" t="s">
        <v>83</v>
      </c>
      <c r="B57" s="35">
        <v>1.1000000000000001</v>
      </c>
      <c r="C57" s="35">
        <v>0</v>
      </c>
      <c r="D57" s="35">
        <v>0</v>
      </c>
    </row>
    <row r="58" spans="1:4">
      <c r="A58" s="24" t="s">
        <v>92</v>
      </c>
      <c r="B58" s="35">
        <v>32.616700000000002</v>
      </c>
      <c r="C58" s="35">
        <v>22.2834</v>
      </c>
      <c r="D58" s="35">
        <v>0</v>
      </c>
    </row>
    <row r="59" spans="1:4">
      <c r="A59" s="24" t="s">
        <v>79</v>
      </c>
      <c r="B59" s="34">
        <v>38.1</v>
      </c>
      <c r="C59" s="34">
        <v>11.183299999999999</v>
      </c>
      <c r="D59" s="34">
        <v>0</v>
      </c>
    </row>
    <row r="60" spans="1:4">
      <c r="A60" s="24" t="s">
        <v>80</v>
      </c>
      <c r="B60" s="35">
        <v>0</v>
      </c>
      <c r="C60" s="35">
        <v>0</v>
      </c>
      <c r="D60" s="35">
        <v>0</v>
      </c>
    </row>
    <row r="61" spans="1:4">
      <c r="A61" s="24" t="s">
        <v>64</v>
      </c>
      <c r="B61" s="35">
        <v>26.133199999999999</v>
      </c>
      <c r="C61" s="35">
        <v>7.3</v>
      </c>
      <c r="D61" s="35">
        <v>0</v>
      </c>
    </row>
    <row r="62" spans="1:4">
      <c r="A62" s="24" t="s">
        <v>81</v>
      </c>
      <c r="B62" s="35">
        <v>21.916699999999999</v>
      </c>
      <c r="C62" s="35">
        <v>1.7834000000000001</v>
      </c>
      <c r="D62" s="35">
        <v>0</v>
      </c>
    </row>
    <row r="63" spans="1:4">
      <c r="A63" s="24" t="s">
        <v>82</v>
      </c>
      <c r="B63" s="35">
        <v>14</v>
      </c>
      <c r="C63" s="35">
        <v>9.6997999999999998</v>
      </c>
      <c r="D63" s="35">
        <v>0</v>
      </c>
    </row>
    <row r="64" spans="1:4">
      <c r="A64" s="24" t="s">
        <v>93</v>
      </c>
      <c r="B64" s="35">
        <v>9.5832999999999995</v>
      </c>
      <c r="C64" s="35">
        <v>4.45</v>
      </c>
      <c r="D64" s="35">
        <v>0</v>
      </c>
    </row>
    <row r="65" spans="1:4">
      <c r="A65" s="24" t="s">
        <v>78</v>
      </c>
      <c r="B65" s="34">
        <v>19.683199999999999</v>
      </c>
      <c r="C65" s="34">
        <v>1.6833</v>
      </c>
      <c r="D65" s="34">
        <v>0</v>
      </c>
    </row>
    <row r="66" spans="1:4">
      <c r="A66" s="24" t="s">
        <v>76</v>
      </c>
      <c r="B66" s="34">
        <v>28.3001</v>
      </c>
      <c r="C66" s="34">
        <v>24.35</v>
      </c>
      <c r="D66" s="34">
        <v>0</v>
      </c>
    </row>
    <row r="67" spans="1:4">
      <c r="A67" s="24" t="s">
        <v>77</v>
      </c>
      <c r="B67" s="34">
        <v>5.0498000000000003</v>
      </c>
      <c r="C67" s="34">
        <v>0</v>
      </c>
      <c r="D67" s="34">
        <v>0</v>
      </c>
    </row>
    <row r="68" spans="1:4">
      <c r="A68" s="24" t="s">
        <v>75</v>
      </c>
      <c r="B68" s="34">
        <v>31.9832</v>
      </c>
      <c r="C68" s="34">
        <v>27.283300000000001</v>
      </c>
      <c r="D68" s="34">
        <v>0</v>
      </c>
    </row>
    <row r="69" spans="1:4">
      <c r="A69" s="24" t="s">
        <v>84</v>
      </c>
      <c r="B69" s="34">
        <v>0</v>
      </c>
      <c r="C69" s="34">
        <v>0</v>
      </c>
      <c r="D69" s="34">
        <v>0</v>
      </c>
    </row>
    <row r="70" spans="1:4">
      <c r="A70" s="24" t="s">
        <v>74</v>
      </c>
      <c r="B70" s="34">
        <v>18.2834</v>
      </c>
      <c r="C70" s="34">
        <v>5.3666999999999998</v>
      </c>
      <c r="D70" s="34">
        <v>0</v>
      </c>
    </row>
    <row r="71" spans="1:4">
      <c r="A71" s="24" t="s">
        <v>73</v>
      </c>
      <c r="B71" s="34">
        <v>24.833300000000001</v>
      </c>
      <c r="C71" s="34">
        <v>2.3666</v>
      </c>
      <c r="D71" s="34">
        <v>0</v>
      </c>
    </row>
    <row r="72" spans="1:4">
      <c r="A72" s="24" t="s">
        <v>58</v>
      </c>
      <c r="B72" s="34">
        <v>2</v>
      </c>
      <c r="C72" s="34">
        <v>0.86670000000000003</v>
      </c>
      <c r="D72" s="34">
        <v>0</v>
      </c>
    </row>
    <row r="73" spans="1:4">
      <c r="A73" s="24" t="s">
        <v>169</v>
      </c>
      <c r="B73" s="34">
        <v>22.633099999999999</v>
      </c>
      <c r="C73" s="34">
        <v>2.8834</v>
      </c>
      <c r="D73" s="34">
        <v>0</v>
      </c>
    </row>
    <row r="74" spans="1:4">
      <c r="A74" s="24" t="s">
        <v>71</v>
      </c>
      <c r="B74" s="34">
        <v>5.5667</v>
      </c>
      <c r="C74" s="34">
        <v>3.0667</v>
      </c>
      <c r="D74" s="34">
        <v>0</v>
      </c>
    </row>
    <row r="75" spans="1:4">
      <c r="A75" s="24" t="s">
        <v>170</v>
      </c>
      <c r="B75" s="34">
        <v>17.166699999999999</v>
      </c>
      <c r="C75" s="34">
        <v>1.1833</v>
      </c>
      <c r="D75" s="34">
        <v>0</v>
      </c>
    </row>
    <row r="76" spans="1:4">
      <c r="A76" s="24" t="s">
        <v>171</v>
      </c>
      <c r="B76" s="34">
        <v>0</v>
      </c>
      <c r="C76" s="34">
        <v>0</v>
      </c>
      <c r="D76" s="34">
        <v>0</v>
      </c>
    </row>
    <row r="77" spans="1:4">
      <c r="A77" s="24" t="s">
        <v>91</v>
      </c>
      <c r="B77" s="34">
        <v>24.4498</v>
      </c>
      <c r="C77" s="34">
        <v>8.15</v>
      </c>
      <c r="D77" s="34">
        <v>0</v>
      </c>
    </row>
    <row r="78" spans="1:4">
      <c r="A78" s="24" t="s">
        <v>65</v>
      </c>
      <c r="B78" s="34">
        <v>9.3500999999999994</v>
      </c>
      <c r="C78" s="34">
        <v>0</v>
      </c>
      <c r="D78" s="34">
        <v>0</v>
      </c>
    </row>
    <row r="79" spans="1:4">
      <c r="A79" s="24" t="s">
        <v>61</v>
      </c>
      <c r="B79" s="34">
        <v>17.4833</v>
      </c>
      <c r="C79" s="34">
        <v>1.5833999999999999</v>
      </c>
      <c r="D79" s="34">
        <v>0</v>
      </c>
    </row>
    <row r="80" spans="1:4">
      <c r="A80" s="24" t="s">
        <v>68</v>
      </c>
      <c r="B80" s="34">
        <v>10.5831</v>
      </c>
      <c r="C80" s="34">
        <v>0</v>
      </c>
      <c r="D80" s="34">
        <v>0</v>
      </c>
    </row>
    <row r="81" spans="1:4">
      <c r="A81" s="24" t="s">
        <v>90</v>
      </c>
      <c r="B81" s="34">
        <v>27.283300000000001</v>
      </c>
      <c r="C81" s="34">
        <v>5.7667999999999999</v>
      </c>
      <c r="D81" s="34">
        <v>0</v>
      </c>
    </row>
    <row r="82" spans="1:4">
      <c r="A82" s="24" t="s">
        <v>517</v>
      </c>
      <c r="B82" s="34">
        <v>16.600000000000001</v>
      </c>
      <c r="C82" s="34">
        <v>17.083400000000001</v>
      </c>
      <c r="D82" s="34">
        <v>0</v>
      </c>
    </row>
    <row r="83" spans="1:4">
      <c r="A83" s="24" t="s">
        <v>520</v>
      </c>
      <c r="B83" s="34">
        <v>25.533200000000001</v>
      </c>
      <c r="C83" s="34">
        <v>3.9499</v>
      </c>
      <c r="D83" s="34">
        <v>0</v>
      </c>
    </row>
    <row r="84" spans="1:4">
      <c r="A84" s="24" t="s">
        <v>547</v>
      </c>
      <c r="B84" s="34">
        <v>0</v>
      </c>
      <c r="C84" s="34">
        <v>0</v>
      </c>
      <c r="D84" s="34">
        <v>0</v>
      </c>
    </row>
    <row r="85" spans="1:4">
      <c r="A85" s="24" t="s">
        <v>548</v>
      </c>
      <c r="B85" s="34">
        <v>0</v>
      </c>
      <c r="C85" s="34">
        <v>0</v>
      </c>
      <c r="D85" s="34">
        <v>0</v>
      </c>
    </row>
    <row r="86" spans="1:4">
      <c r="A86" s="24" t="s">
        <v>549</v>
      </c>
      <c r="B86" s="34">
        <v>11.8</v>
      </c>
      <c r="C86" s="34">
        <v>6.0667</v>
      </c>
      <c r="D86" s="34">
        <v>0</v>
      </c>
    </row>
    <row r="87" spans="1:4">
      <c r="A87" s="21" t="s">
        <v>117</v>
      </c>
      <c r="B87" s="34">
        <v>0</v>
      </c>
      <c r="C87" s="34">
        <v>0</v>
      </c>
      <c r="D87" s="34">
        <v>0</v>
      </c>
    </row>
    <row r="88" spans="1:4">
      <c r="A88" s="24" t="s">
        <v>172</v>
      </c>
      <c r="B88" s="34">
        <v>0</v>
      </c>
      <c r="C88" s="34">
        <v>0</v>
      </c>
      <c r="D88" s="34">
        <v>0</v>
      </c>
    </row>
    <row r="89" spans="1:4">
      <c r="A89" s="21" t="s">
        <v>127</v>
      </c>
      <c r="B89" s="35">
        <v>72.333800000000011</v>
      </c>
      <c r="C89" s="35">
        <v>19.433300000000003</v>
      </c>
      <c r="D89" s="35">
        <v>0</v>
      </c>
    </row>
    <row r="90" spans="1:4">
      <c r="A90" s="24" t="s">
        <v>173</v>
      </c>
      <c r="B90" s="35">
        <v>0</v>
      </c>
      <c r="C90" s="35">
        <v>0</v>
      </c>
      <c r="D90" s="35">
        <v>0</v>
      </c>
    </row>
    <row r="91" spans="1:4">
      <c r="A91" s="24" t="s">
        <v>174</v>
      </c>
      <c r="B91" s="35">
        <v>5.2502000000000004</v>
      </c>
      <c r="C91" s="35">
        <v>1.0832999999999999</v>
      </c>
      <c r="D91" s="35">
        <v>0</v>
      </c>
    </row>
    <row r="92" spans="1:4">
      <c r="A92" s="24" t="s">
        <v>175</v>
      </c>
      <c r="B92" s="35">
        <v>7.2666000000000004</v>
      </c>
      <c r="C92" s="35">
        <v>0</v>
      </c>
      <c r="D92" s="35">
        <v>0</v>
      </c>
    </row>
    <row r="93" spans="1:4">
      <c r="A93" s="24" t="s">
        <v>176</v>
      </c>
      <c r="B93" s="35">
        <v>0.69989999999999997</v>
      </c>
      <c r="C93" s="35">
        <v>0</v>
      </c>
      <c r="D93" s="35">
        <v>0</v>
      </c>
    </row>
    <row r="94" spans="1:4">
      <c r="A94" s="24" t="s">
        <v>177</v>
      </c>
      <c r="B94" s="34">
        <v>0</v>
      </c>
      <c r="C94" s="34">
        <v>0</v>
      </c>
      <c r="D94" s="34">
        <v>0</v>
      </c>
    </row>
    <row r="95" spans="1:4">
      <c r="A95" s="24" t="s">
        <v>178</v>
      </c>
      <c r="B95" s="34">
        <v>11.200100000000001</v>
      </c>
      <c r="C95" s="34">
        <v>5.5667</v>
      </c>
      <c r="D95" s="34">
        <v>0</v>
      </c>
    </row>
    <row r="96" spans="1:4">
      <c r="A96" s="24" t="s">
        <v>179</v>
      </c>
      <c r="B96" s="34">
        <v>20.416799999999999</v>
      </c>
      <c r="C96" s="34">
        <v>12.566700000000001</v>
      </c>
      <c r="D96" s="34">
        <v>0</v>
      </c>
    </row>
    <row r="97" spans="1:4">
      <c r="A97" s="24" t="s">
        <v>180</v>
      </c>
      <c r="B97" s="34">
        <v>15.966699999999999</v>
      </c>
      <c r="C97" s="34">
        <v>0.21659999999999999</v>
      </c>
      <c r="D97" s="34">
        <v>0</v>
      </c>
    </row>
    <row r="98" spans="1:4">
      <c r="A98" s="24" t="s">
        <v>290</v>
      </c>
      <c r="B98" s="34">
        <v>1.9668000000000001</v>
      </c>
      <c r="C98" s="34">
        <v>0</v>
      </c>
      <c r="D98" s="34">
        <v>0</v>
      </c>
    </row>
    <row r="99" spans="1:4">
      <c r="A99" s="24" t="s">
        <v>294</v>
      </c>
      <c r="B99" s="34">
        <v>4.6166</v>
      </c>
      <c r="C99" s="34">
        <v>0</v>
      </c>
      <c r="D99" s="34">
        <v>0</v>
      </c>
    </row>
    <row r="100" spans="1:4">
      <c r="A100" s="24" t="s">
        <v>514</v>
      </c>
      <c r="B100" s="34">
        <v>4.9500999999999999</v>
      </c>
      <c r="C100" s="34">
        <v>0</v>
      </c>
      <c r="D100" s="34">
        <v>0</v>
      </c>
    </row>
    <row r="101" spans="1:4">
      <c r="A101" s="21" t="s">
        <v>105</v>
      </c>
      <c r="B101" s="34">
        <v>0</v>
      </c>
      <c r="C101" s="34">
        <v>0</v>
      </c>
      <c r="D101" s="34">
        <v>0</v>
      </c>
    </row>
    <row r="102" spans="1:4">
      <c r="A102" s="24" t="s">
        <v>104</v>
      </c>
      <c r="B102" s="34">
        <v>0</v>
      </c>
      <c r="C102" s="34">
        <v>0</v>
      </c>
      <c r="D102" s="34">
        <v>0</v>
      </c>
    </row>
    <row r="103" spans="1:4">
      <c r="A103" s="21" t="s">
        <v>133</v>
      </c>
      <c r="B103" s="34">
        <v>0</v>
      </c>
      <c r="C103" s="34">
        <v>0</v>
      </c>
      <c r="D103" s="34">
        <v>0</v>
      </c>
    </row>
    <row r="104" spans="1:4">
      <c r="A104" s="24" t="s">
        <v>181</v>
      </c>
      <c r="B104" s="34">
        <v>0</v>
      </c>
      <c r="C104" s="34">
        <v>0</v>
      </c>
      <c r="D104" s="34">
        <v>0</v>
      </c>
    </row>
    <row r="105" spans="1:4">
      <c r="A105" s="24" t="s">
        <v>167</v>
      </c>
      <c r="B105" s="34">
        <v>0</v>
      </c>
      <c r="C105" s="34">
        <v>0</v>
      </c>
      <c r="D105" s="34">
        <v>0</v>
      </c>
    </row>
    <row r="106" spans="1:4">
      <c r="A106" s="21" t="s">
        <v>134</v>
      </c>
      <c r="B106" s="34">
        <v>0</v>
      </c>
      <c r="C106" s="34">
        <v>0</v>
      </c>
      <c r="D106" s="34">
        <v>0</v>
      </c>
    </row>
    <row r="107" spans="1:4">
      <c r="A107" s="24" t="s">
        <v>182</v>
      </c>
      <c r="B107" s="34">
        <v>0</v>
      </c>
      <c r="C107" s="34">
        <v>0</v>
      </c>
      <c r="D107" s="34">
        <v>0</v>
      </c>
    </row>
    <row r="108" spans="1:4">
      <c r="A108" s="21" t="s">
        <v>89</v>
      </c>
      <c r="B108" s="34">
        <v>0</v>
      </c>
      <c r="C108" s="34">
        <v>0</v>
      </c>
      <c r="D108" s="34">
        <v>0</v>
      </c>
    </row>
    <row r="109" spans="1:4">
      <c r="A109" s="24" t="s">
        <v>88</v>
      </c>
      <c r="B109" s="34">
        <v>0</v>
      </c>
      <c r="C109" s="34">
        <v>0</v>
      </c>
      <c r="D109" s="34">
        <v>0</v>
      </c>
    </row>
    <row r="110" spans="1:4">
      <c r="A110" s="21" t="s">
        <v>137</v>
      </c>
      <c r="B110" s="34">
        <v>0</v>
      </c>
      <c r="C110" s="34">
        <v>0</v>
      </c>
      <c r="D110" s="34">
        <v>0</v>
      </c>
    </row>
    <row r="111" spans="1:4">
      <c r="A111" s="24" t="s">
        <v>183</v>
      </c>
      <c r="B111" s="34">
        <v>0</v>
      </c>
      <c r="C111" s="34">
        <v>0</v>
      </c>
      <c r="D111" s="34">
        <v>0</v>
      </c>
    </row>
    <row r="112" spans="1:4">
      <c r="A112" s="24" t="s">
        <v>184</v>
      </c>
      <c r="B112" s="34">
        <v>0</v>
      </c>
      <c r="C112" s="34">
        <v>0</v>
      </c>
      <c r="D112" s="34">
        <v>0</v>
      </c>
    </row>
    <row r="113" spans="1:4">
      <c r="A113" s="24" t="s">
        <v>185</v>
      </c>
      <c r="B113" s="34">
        <v>0</v>
      </c>
      <c r="C113" s="34">
        <v>0</v>
      </c>
      <c r="D113" s="34">
        <v>0</v>
      </c>
    </row>
    <row r="114" spans="1:4">
      <c r="A114" s="24" t="s">
        <v>186</v>
      </c>
      <c r="B114" s="34">
        <v>0</v>
      </c>
      <c r="C114" s="34">
        <v>0</v>
      </c>
      <c r="D114" s="34">
        <v>0</v>
      </c>
    </row>
    <row r="115" spans="1:4">
      <c r="A115" s="24" t="s">
        <v>187</v>
      </c>
      <c r="B115" s="34">
        <v>0</v>
      </c>
      <c r="C115" s="34">
        <v>0</v>
      </c>
      <c r="D115" s="34">
        <v>0</v>
      </c>
    </row>
    <row r="116" spans="1:4">
      <c r="A116" s="24" t="s">
        <v>188</v>
      </c>
      <c r="B116" s="34">
        <v>0</v>
      </c>
      <c r="C116" s="34">
        <v>0</v>
      </c>
      <c r="D116" s="34">
        <v>0</v>
      </c>
    </row>
    <row r="117" spans="1:4">
      <c r="A117" s="21" t="s">
        <v>113</v>
      </c>
      <c r="B117" s="35">
        <v>95.433499999999995</v>
      </c>
      <c r="C117" s="35">
        <v>0.26669999999999999</v>
      </c>
      <c r="D117" s="35">
        <v>0</v>
      </c>
    </row>
    <row r="118" spans="1:4">
      <c r="A118" s="24" t="s">
        <v>189</v>
      </c>
      <c r="B118" s="35">
        <v>6.4333999999999998</v>
      </c>
      <c r="C118" s="35">
        <v>0</v>
      </c>
      <c r="D118" s="35">
        <v>0</v>
      </c>
    </row>
    <row r="119" spans="1:4">
      <c r="A119" s="24" t="s">
        <v>190</v>
      </c>
      <c r="B119" s="35">
        <v>10.6501</v>
      </c>
      <c r="C119" s="35">
        <v>0.2167</v>
      </c>
      <c r="D119" s="35">
        <v>0</v>
      </c>
    </row>
    <row r="120" spans="1:4">
      <c r="A120" s="24" t="s">
        <v>191</v>
      </c>
      <c r="B120" s="35">
        <v>0</v>
      </c>
      <c r="C120" s="35">
        <v>0</v>
      </c>
      <c r="D120" s="35">
        <v>0</v>
      </c>
    </row>
    <row r="121" spans="1:4">
      <c r="A121" s="24" t="s">
        <v>192</v>
      </c>
      <c r="B121" s="35">
        <v>18.933199999999999</v>
      </c>
      <c r="C121" s="35">
        <v>0</v>
      </c>
      <c r="D121" s="35">
        <v>0</v>
      </c>
    </row>
    <row r="122" spans="1:4">
      <c r="A122" s="24" t="s">
        <v>193</v>
      </c>
      <c r="B122" s="35">
        <v>0</v>
      </c>
      <c r="C122" s="35">
        <v>0</v>
      </c>
      <c r="D122" s="35">
        <v>0</v>
      </c>
    </row>
    <row r="123" spans="1:4">
      <c r="A123" s="24" t="s">
        <v>194</v>
      </c>
      <c r="B123" s="34">
        <v>1.1833</v>
      </c>
      <c r="C123" s="34">
        <v>0</v>
      </c>
      <c r="D123" s="34">
        <v>0</v>
      </c>
    </row>
    <row r="124" spans="1:4">
      <c r="A124" s="24" t="s">
        <v>195</v>
      </c>
      <c r="B124" s="34">
        <v>0.25</v>
      </c>
      <c r="C124" s="34">
        <v>0</v>
      </c>
      <c r="D124" s="34">
        <v>0</v>
      </c>
    </row>
    <row r="125" spans="1:4">
      <c r="A125" s="24" t="s">
        <v>196</v>
      </c>
      <c r="B125" s="34">
        <v>18.116599999999998</v>
      </c>
      <c r="C125" s="34">
        <v>0.05</v>
      </c>
      <c r="D125" s="34">
        <v>0</v>
      </c>
    </row>
    <row r="126" spans="1:4">
      <c r="A126" s="24" t="s">
        <v>197</v>
      </c>
      <c r="B126" s="34">
        <v>4.2333999999999996</v>
      </c>
      <c r="C126" s="34">
        <v>0</v>
      </c>
      <c r="D126" s="34">
        <v>0</v>
      </c>
    </row>
    <row r="127" spans="1:4">
      <c r="A127" s="24" t="s">
        <v>198</v>
      </c>
      <c r="B127" s="34">
        <v>17.5</v>
      </c>
      <c r="C127" s="34">
        <v>0</v>
      </c>
      <c r="D127" s="34">
        <v>0</v>
      </c>
    </row>
    <row r="128" spans="1:4">
      <c r="A128" s="24" t="s">
        <v>200</v>
      </c>
      <c r="B128" s="34">
        <v>14.3835</v>
      </c>
      <c r="C128" s="34">
        <v>0</v>
      </c>
      <c r="D128" s="34">
        <v>0</v>
      </c>
    </row>
    <row r="129" spans="1:4">
      <c r="A129" s="24" t="s">
        <v>199</v>
      </c>
      <c r="B129" s="34">
        <v>3.75</v>
      </c>
      <c r="C129" s="34">
        <v>0</v>
      </c>
      <c r="D129" s="34">
        <v>0</v>
      </c>
    </row>
    <row r="130" spans="1:4">
      <c r="A130" s="24" t="s">
        <v>201</v>
      </c>
      <c r="B130" s="34">
        <v>0</v>
      </c>
      <c r="C130" s="34">
        <v>0</v>
      </c>
      <c r="D130" s="34">
        <v>0</v>
      </c>
    </row>
    <row r="131" spans="1:4">
      <c r="A131" s="21" t="s">
        <v>118</v>
      </c>
      <c r="B131" s="34">
        <v>0</v>
      </c>
      <c r="C131" s="34">
        <v>0</v>
      </c>
      <c r="D131" s="34">
        <v>0</v>
      </c>
    </row>
    <row r="132" spans="1:4">
      <c r="A132" s="24" t="s">
        <v>203</v>
      </c>
      <c r="B132" s="34">
        <v>0</v>
      </c>
      <c r="C132" s="34">
        <v>0</v>
      </c>
      <c r="D132" s="34">
        <v>0</v>
      </c>
    </row>
    <row r="133" spans="1:4">
      <c r="A133" s="24" t="s">
        <v>546</v>
      </c>
      <c r="B133" s="34">
        <v>0</v>
      </c>
      <c r="C133" s="34">
        <v>0</v>
      </c>
      <c r="D133" s="34">
        <v>0</v>
      </c>
    </row>
    <row r="134" spans="1:4">
      <c r="A134" s="21" t="s">
        <v>273</v>
      </c>
      <c r="B134" s="34">
        <v>0</v>
      </c>
      <c r="C134" s="34">
        <v>0</v>
      </c>
      <c r="D134" s="34">
        <v>0</v>
      </c>
    </row>
    <row r="135" spans="1:4">
      <c r="A135" s="24" t="s">
        <v>292</v>
      </c>
      <c r="B135" s="34">
        <v>0</v>
      </c>
      <c r="C135" s="34">
        <v>0</v>
      </c>
      <c r="D135" s="34">
        <v>0</v>
      </c>
    </row>
    <row r="136" spans="1:4">
      <c r="A136" s="24" t="s">
        <v>296</v>
      </c>
      <c r="B136" s="34">
        <v>0</v>
      </c>
      <c r="C136" s="34">
        <v>0</v>
      </c>
      <c r="D136" s="34">
        <v>0</v>
      </c>
    </row>
    <row r="137" spans="1:4">
      <c r="A137" s="21" t="s">
        <v>128</v>
      </c>
      <c r="B137" s="35">
        <v>50.5</v>
      </c>
      <c r="C137" s="35">
        <v>5.0999999999999996</v>
      </c>
      <c r="D137" s="35">
        <v>0</v>
      </c>
    </row>
    <row r="138" spans="1:4">
      <c r="A138" s="24" t="s">
        <v>204</v>
      </c>
      <c r="B138" s="35">
        <v>0</v>
      </c>
      <c r="C138" s="35">
        <v>0</v>
      </c>
      <c r="D138" s="35">
        <v>0</v>
      </c>
    </row>
    <row r="139" spans="1:4">
      <c r="A139" s="24" t="s">
        <v>205</v>
      </c>
      <c r="B139" s="35">
        <v>0</v>
      </c>
      <c r="C139" s="35">
        <v>0.5</v>
      </c>
      <c r="D139" s="35">
        <v>0</v>
      </c>
    </row>
    <row r="140" spans="1:4">
      <c r="A140" s="24" t="s">
        <v>206</v>
      </c>
      <c r="B140" s="35">
        <v>1.5</v>
      </c>
      <c r="C140" s="35">
        <v>0</v>
      </c>
      <c r="D140" s="35">
        <v>0</v>
      </c>
    </row>
    <row r="141" spans="1:4">
      <c r="A141" s="24" t="s">
        <v>207</v>
      </c>
      <c r="B141" s="35">
        <v>2</v>
      </c>
      <c r="C141" s="35">
        <v>0</v>
      </c>
      <c r="D141" s="35">
        <v>0</v>
      </c>
    </row>
    <row r="142" spans="1:4">
      <c r="A142" s="24" t="s">
        <v>208</v>
      </c>
      <c r="B142" s="35">
        <v>3</v>
      </c>
      <c r="C142" s="35">
        <v>4.5999999999999996</v>
      </c>
      <c r="D142" s="35">
        <v>0</v>
      </c>
    </row>
    <row r="143" spans="1:4">
      <c r="A143" s="24" t="s">
        <v>209</v>
      </c>
      <c r="B143" s="34">
        <v>0.5</v>
      </c>
      <c r="C143" s="34">
        <v>0</v>
      </c>
      <c r="D143" s="34">
        <v>0</v>
      </c>
    </row>
    <row r="144" spans="1:4">
      <c r="A144" s="24" t="s">
        <v>210</v>
      </c>
      <c r="B144" s="34">
        <v>6</v>
      </c>
      <c r="C144" s="34">
        <v>0</v>
      </c>
      <c r="D144" s="34">
        <v>0</v>
      </c>
    </row>
    <row r="145" spans="1:4">
      <c r="A145" s="24" t="s">
        <v>211</v>
      </c>
      <c r="B145" s="34">
        <v>0</v>
      </c>
      <c r="C145" s="34">
        <v>0</v>
      </c>
      <c r="D145" s="34">
        <v>0</v>
      </c>
    </row>
    <row r="146" spans="1:4">
      <c r="A146" s="24" t="s">
        <v>212</v>
      </c>
      <c r="B146" s="34">
        <v>3</v>
      </c>
      <c r="C146" s="34">
        <v>0</v>
      </c>
      <c r="D146" s="34">
        <v>0</v>
      </c>
    </row>
    <row r="147" spans="1:4">
      <c r="A147" s="24" t="s">
        <v>213</v>
      </c>
      <c r="B147" s="34">
        <v>4</v>
      </c>
      <c r="C147" s="34">
        <v>0</v>
      </c>
      <c r="D147" s="34">
        <v>0</v>
      </c>
    </row>
    <row r="148" spans="1:4">
      <c r="A148" s="24" t="s">
        <v>214</v>
      </c>
      <c r="B148" s="34">
        <v>4.5</v>
      </c>
      <c r="C148" s="34">
        <v>0</v>
      </c>
      <c r="D148" s="34">
        <v>0</v>
      </c>
    </row>
    <row r="149" spans="1:4">
      <c r="A149" s="24" t="s">
        <v>215</v>
      </c>
      <c r="B149" s="34">
        <v>0</v>
      </c>
      <c r="C149" s="34">
        <v>0</v>
      </c>
      <c r="D149" s="34">
        <v>0</v>
      </c>
    </row>
    <row r="150" spans="1:4">
      <c r="A150" s="24" t="s">
        <v>216</v>
      </c>
      <c r="B150" s="34">
        <v>0</v>
      </c>
      <c r="C150" s="34">
        <v>0</v>
      </c>
      <c r="D150" s="34">
        <v>0</v>
      </c>
    </row>
    <row r="151" spans="1:4">
      <c r="A151" s="24" t="s">
        <v>217</v>
      </c>
      <c r="B151" s="34">
        <v>4.5</v>
      </c>
      <c r="C151" s="34">
        <v>0</v>
      </c>
      <c r="D151" s="34">
        <v>0</v>
      </c>
    </row>
    <row r="152" spans="1:4">
      <c r="A152" s="24" t="s">
        <v>218</v>
      </c>
      <c r="B152" s="34">
        <v>0.5</v>
      </c>
      <c r="C152" s="34">
        <v>0</v>
      </c>
      <c r="D152" s="34">
        <v>0</v>
      </c>
    </row>
    <row r="153" spans="1:4">
      <c r="A153" s="24" t="s">
        <v>219</v>
      </c>
      <c r="B153" s="34">
        <v>2</v>
      </c>
      <c r="C153" s="34">
        <v>0</v>
      </c>
      <c r="D153" s="34">
        <v>0</v>
      </c>
    </row>
    <row r="154" spans="1:4">
      <c r="A154" s="24" t="s">
        <v>222</v>
      </c>
      <c r="B154" s="34">
        <v>2</v>
      </c>
      <c r="C154" s="34">
        <v>0</v>
      </c>
      <c r="D154" s="34">
        <v>0</v>
      </c>
    </row>
    <row r="155" spans="1:4">
      <c r="A155" s="24" t="s">
        <v>223</v>
      </c>
      <c r="B155" s="34">
        <v>0.5</v>
      </c>
      <c r="C155" s="34">
        <v>0</v>
      </c>
      <c r="D155" s="34">
        <v>0</v>
      </c>
    </row>
    <row r="156" spans="1:4">
      <c r="A156" s="24" t="s">
        <v>220</v>
      </c>
      <c r="B156" s="34">
        <v>8.5</v>
      </c>
      <c r="C156" s="34">
        <v>0</v>
      </c>
      <c r="D156" s="34">
        <v>0</v>
      </c>
    </row>
    <row r="157" spans="1:4">
      <c r="A157" s="24" t="s">
        <v>221</v>
      </c>
      <c r="B157" s="34">
        <v>0</v>
      </c>
      <c r="C157" s="34">
        <v>0</v>
      </c>
      <c r="D157" s="34">
        <v>0</v>
      </c>
    </row>
    <row r="158" spans="1:4">
      <c r="A158" s="24" t="s">
        <v>291</v>
      </c>
      <c r="B158" s="34">
        <v>0</v>
      </c>
      <c r="C158" s="34">
        <v>0</v>
      </c>
      <c r="D158" s="34">
        <v>0</v>
      </c>
    </row>
    <row r="159" spans="1:4">
      <c r="A159" s="24" t="s">
        <v>515</v>
      </c>
      <c r="B159" s="34">
        <v>4</v>
      </c>
      <c r="C159" s="34">
        <v>0</v>
      </c>
      <c r="D159" s="34">
        <v>0</v>
      </c>
    </row>
    <row r="160" spans="1:4">
      <c r="A160" s="24" t="s">
        <v>516</v>
      </c>
      <c r="B160" s="34">
        <v>3</v>
      </c>
      <c r="C160" s="34">
        <v>0</v>
      </c>
      <c r="D160" s="34">
        <v>0</v>
      </c>
    </row>
    <row r="161" spans="1:4">
      <c r="A161" s="24" t="s">
        <v>519</v>
      </c>
      <c r="B161" s="34">
        <v>1</v>
      </c>
      <c r="C161" s="34">
        <v>0</v>
      </c>
      <c r="D161" s="34">
        <v>0</v>
      </c>
    </row>
    <row r="162" spans="1:4">
      <c r="A162" s="21" t="s">
        <v>135</v>
      </c>
      <c r="B162" s="34">
        <v>0</v>
      </c>
      <c r="C162" s="34">
        <v>0</v>
      </c>
      <c r="D162" s="34">
        <v>0</v>
      </c>
    </row>
    <row r="163" spans="1:4">
      <c r="A163" s="24" t="s">
        <v>202</v>
      </c>
      <c r="B163" s="34">
        <v>0</v>
      </c>
      <c r="C163" s="34">
        <v>0</v>
      </c>
      <c r="D163" s="34">
        <v>0</v>
      </c>
    </row>
    <row r="164" spans="1:4">
      <c r="A164" s="24" t="s">
        <v>224</v>
      </c>
      <c r="B164" s="34">
        <v>0</v>
      </c>
      <c r="C164" s="34">
        <v>0</v>
      </c>
      <c r="D164" s="34">
        <v>0</v>
      </c>
    </row>
    <row r="165" spans="1:4">
      <c r="A165" s="24" t="s">
        <v>531</v>
      </c>
      <c r="B165" s="34">
        <v>0</v>
      </c>
      <c r="C165" s="34">
        <v>0</v>
      </c>
      <c r="D165" s="34">
        <v>0</v>
      </c>
    </row>
    <row r="166" spans="1:4">
      <c r="A166" s="21" t="s">
        <v>55</v>
      </c>
      <c r="B166" s="34">
        <v>0</v>
      </c>
      <c r="C166" s="34">
        <v>0</v>
      </c>
      <c r="D166" s="34">
        <v>0</v>
      </c>
    </row>
    <row r="167" spans="1:4">
      <c r="A167" s="24"/>
      <c r="B167" s="34">
        <v>0</v>
      </c>
      <c r="C167" s="34">
        <v>0</v>
      </c>
      <c r="D167" s="34">
        <v>0</v>
      </c>
    </row>
    <row r="168" spans="1:4">
      <c r="A168" s="24" t="s">
        <v>138</v>
      </c>
      <c r="B168" s="34"/>
      <c r="C168" s="34"/>
      <c r="D168" s="34"/>
    </row>
    <row r="169" spans="1:4">
      <c r="A169" s="21" t="s">
        <v>129</v>
      </c>
      <c r="B169" s="34">
        <v>16</v>
      </c>
      <c r="C169" s="34">
        <v>0</v>
      </c>
      <c r="D169" s="34">
        <v>0</v>
      </c>
    </row>
    <row r="170" spans="1:4">
      <c r="A170" s="24" t="s">
        <v>225</v>
      </c>
      <c r="B170" s="34">
        <v>14</v>
      </c>
      <c r="C170" s="34">
        <v>0</v>
      </c>
      <c r="D170" s="34">
        <v>0</v>
      </c>
    </row>
    <row r="171" spans="1:4">
      <c r="A171" s="24" t="s">
        <v>532</v>
      </c>
      <c r="B171" s="34">
        <v>0</v>
      </c>
      <c r="C171" s="34">
        <v>0</v>
      </c>
      <c r="D171" s="34">
        <v>0</v>
      </c>
    </row>
    <row r="172" spans="1:4">
      <c r="A172" s="24" t="s">
        <v>533</v>
      </c>
      <c r="B172" s="34">
        <v>1</v>
      </c>
      <c r="C172" s="34">
        <v>0</v>
      </c>
      <c r="D172" s="34">
        <v>0</v>
      </c>
    </row>
    <row r="173" spans="1:4">
      <c r="A173" s="24" t="s">
        <v>535</v>
      </c>
      <c r="B173" s="34">
        <v>1</v>
      </c>
      <c r="C173" s="34">
        <v>0</v>
      </c>
      <c r="D173" s="34">
        <v>0</v>
      </c>
    </row>
    <row r="174" spans="1:4">
      <c r="A174" s="21" t="s">
        <v>130</v>
      </c>
      <c r="B174" s="34">
        <v>10.3835</v>
      </c>
      <c r="C174" s="34">
        <v>0</v>
      </c>
      <c r="D174" s="34">
        <v>0</v>
      </c>
    </row>
    <row r="175" spans="1:4">
      <c r="A175" s="24" t="s">
        <v>226</v>
      </c>
      <c r="B175" s="34">
        <v>5.6334999999999997</v>
      </c>
      <c r="C175" s="34">
        <v>0</v>
      </c>
      <c r="D175" s="34">
        <v>0</v>
      </c>
    </row>
    <row r="176" spans="1:4">
      <c r="A176" s="24" t="s">
        <v>227</v>
      </c>
      <c r="B176" s="34">
        <v>4.75</v>
      </c>
      <c r="C176" s="34">
        <v>0</v>
      </c>
      <c r="D176" s="34">
        <v>0</v>
      </c>
    </row>
    <row r="177" spans="1:4">
      <c r="A177" s="21" t="s">
        <v>131</v>
      </c>
      <c r="B177" s="34">
        <v>7.1166</v>
      </c>
      <c r="C177" s="34">
        <v>0</v>
      </c>
      <c r="D177" s="34">
        <v>0</v>
      </c>
    </row>
    <row r="178" spans="1:4">
      <c r="A178" s="24" t="s">
        <v>228</v>
      </c>
      <c r="B178" s="34">
        <v>0</v>
      </c>
      <c r="C178" s="34">
        <v>0</v>
      </c>
      <c r="D178" s="34">
        <v>0</v>
      </c>
    </row>
    <row r="179" spans="1:4">
      <c r="A179" s="24" t="s">
        <v>229</v>
      </c>
      <c r="B179" s="34">
        <v>7.1166</v>
      </c>
      <c r="C179" s="34">
        <v>0</v>
      </c>
      <c r="D179" s="34">
        <v>0</v>
      </c>
    </row>
    <row r="180" spans="1:4">
      <c r="A180" s="21" t="s">
        <v>132</v>
      </c>
      <c r="B180" s="34">
        <v>0</v>
      </c>
      <c r="C180" s="34">
        <v>0</v>
      </c>
      <c r="D180" s="34">
        <v>0</v>
      </c>
    </row>
    <row r="181" spans="1:4">
      <c r="A181" s="24" t="s">
        <v>230</v>
      </c>
      <c r="B181" s="34">
        <v>0</v>
      </c>
      <c r="C181" s="34">
        <v>0</v>
      </c>
      <c r="D181" s="34">
        <v>0</v>
      </c>
    </row>
    <row r="182" spans="1:4">
      <c r="A182" s="21" t="s">
        <v>139</v>
      </c>
      <c r="B182" s="34">
        <v>748.09949999999981</v>
      </c>
      <c r="C182" s="34">
        <v>200.11670000000004</v>
      </c>
      <c r="D182" s="34">
        <v>0</v>
      </c>
    </row>
    <row r="183" spans="1:4">
      <c r="B183"/>
      <c r="C183"/>
    </row>
    <row r="184" spans="1:4">
      <c r="B184"/>
      <c r="C184"/>
    </row>
    <row r="185" spans="1:4">
      <c r="B185"/>
      <c r="C185"/>
    </row>
    <row r="186" spans="1:4">
      <c r="B186"/>
      <c r="C186"/>
    </row>
    <row r="187" spans="1:4">
      <c r="B187"/>
      <c r="C187"/>
    </row>
    <row r="188" spans="1:4">
      <c r="B188"/>
      <c r="C188"/>
    </row>
    <row r="189" spans="1:4">
      <c r="B189"/>
      <c r="C189"/>
    </row>
    <row r="190" spans="1:4">
      <c r="B190"/>
      <c r="C190"/>
    </row>
    <row r="191" spans="1:4">
      <c r="B191"/>
      <c r="C191"/>
    </row>
    <row r="192" spans="1:4">
      <c r="B192"/>
      <c r="C192"/>
    </row>
    <row r="193" spans="2:3">
      <c r="B193"/>
      <c r="C193"/>
    </row>
    <row r="194" spans="2:3">
      <c r="B194"/>
      <c r="C194"/>
    </row>
    <row r="195" spans="2:3">
      <c r="B195"/>
      <c r="C195"/>
    </row>
    <row r="196" spans="2:3">
      <c r="B196"/>
      <c r="C196"/>
    </row>
    <row r="197" spans="2:3">
      <c r="B197"/>
      <c r="C197"/>
    </row>
    <row r="198" spans="2:3">
      <c r="B198"/>
      <c r="C198"/>
    </row>
    <row r="199" spans="2:3">
      <c r="B199"/>
      <c r="C199"/>
    </row>
    <row r="200" spans="2:3">
      <c r="B200"/>
      <c r="C200"/>
    </row>
    <row r="201" spans="2:3">
      <c r="B201"/>
      <c r="C201"/>
    </row>
    <row r="202" spans="2:3">
      <c r="B202"/>
      <c r="C202"/>
    </row>
    <row r="203" spans="2:3">
      <c r="B203"/>
      <c r="C203"/>
    </row>
    <row r="204" spans="2:3">
      <c r="B204"/>
      <c r="C204"/>
    </row>
    <row r="205" spans="2:3">
      <c r="B205"/>
      <c r="C205"/>
    </row>
    <row r="206" spans="2:3">
      <c r="B206"/>
      <c r="C206"/>
    </row>
    <row r="207" spans="2:3">
      <c r="B207"/>
      <c r="C207"/>
    </row>
    <row r="208" spans="2:3">
      <c r="B208"/>
      <c r="C208"/>
    </row>
    <row r="209" spans="2:3">
      <c r="B209"/>
      <c r="C209"/>
    </row>
    <row r="210" spans="2:3">
      <c r="B210"/>
      <c r="C210"/>
    </row>
    <row r="211" spans="2:3">
      <c r="B211"/>
      <c r="C211"/>
    </row>
    <row r="212" spans="2:3">
      <c r="B212"/>
      <c r="C212"/>
    </row>
    <row r="213" spans="2:3">
      <c r="B213"/>
      <c r="C213"/>
    </row>
    <row r="214" spans="2:3">
      <c r="B214"/>
      <c r="C214"/>
    </row>
    <row r="215" spans="2:3">
      <c r="B215"/>
      <c r="C215"/>
    </row>
    <row r="216" spans="2:3">
      <c r="B216"/>
      <c r="C216"/>
    </row>
    <row r="217" spans="2:3">
      <c r="B217"/>
      <c r="C217"/>
    </row>
    <row r="218" spans="2:3">
      <c r="B218"/>
      <c r="C218"/>
    </row>
    <row r="219" spans="2:3">
      <c r="B219"/>
      <c r="C219"/>
    </row>
    <row r="220" spans="2:3">
      <c r="B220"/>
      <c r="C220"/>
    </row>
    <row r="221" spans="2:3">
      <c r="B221"/>
      <c r="C221"/>
    </row>
    <row r="222" spans="2:3">
      <c r="B222"/>
      <c r="C222"/>
    </row>
    <row r="223" spans="2:3">
      <c r="B223"/>
      <c r="C223"/>
    </row>
    <row r="224" spans="2:3">
      <c r="B224"/>
      <c r="C224"/>
    </row>
    <row r="225" spans="2:3">
      <c r="B225"/>
      <c r="C225"/>
    </row>
    <row r="226" spans="2:3">
      <c r="B226"/>
      <c r="C226"/>
    </row>
    <row r="227" spans="2:3">
      <c r="B227"/>
      <c r="C227"/>
    </row>
    <row r="228" spans="2:3">
      <c r="B228"/>
      <c r="C228"/>
    </row>
    <row r="229" spans="2:3">
      <c r="B229"/>
      <c r="C229"/>
    </row>
    <row r="230" spans="2:3">
      <c r="B230"/>
      <c r="C230"/>
    </row>
    <row r="231" spans="2:3">
      <c r="B231"/>
      <c r="C231"/>
    </row>
  </sheetData>
  <conditionalFormatting sqref="B1:B3 B201:B1048576">
    <cfRule type="cellIs" dxfId="23" priority="6" operator="greaterThan">
      <formula>1</formula>
    </cfRule>
    <cfRule type="cellIs" dxfId="22" priority="7" operator="greaterThan">
      <formula>1</formula>
    </cfRule>
    <cfRule type="cellIs" dxfId="21" priority="8" operator="greaterThan">
      <formula>151.01</formula>
    </cfRule>
    <cfRule type="cellIs" dxfId="20" priority="9" operator="greaterThan">
      <formula>1</formula>
    </cfRule>
  </conditionalFormatting>
  <conditionalFormatting sqref="C1:C3 C201:C1048576">
    <cfRule type="cellIs" dxfId="19" priority="5" operator="greaterThan">
      <formula>1</formula>
    </cfRule>
    <cfRule type="cellIs" dxfId="18" priority="10" operator="greaterThan">
      <formula>1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D201"/>
  <sheetViews>
    <sheetView topLeftCell="A90" workbookViewId="0">
      <selection activeCell="C107" sqref="C107"/>
    </sheetView>
  </sheetViews>
  <sheetFormatPr defaultColWidth="9" defaultRowHeight="15"/>
  <cols>
    <col min="1" max="1" width="28" customWidth="1"/>
    <col min="2" max="2" width="14.28515625" customWidth="1"/>
    <col min="3" max="3" width="39" customWidth="1"/>
    <col min="4" max="4" width="15" style="20" customWidth="1"/>
  </cols>
  <sheetData>
    <row r="3" spans="1:4">
      <c r="A3" s="33" t="s">
        <v>107</v>
      </c>
      <c r="B3" s="33" t="s">
        <v>9</v>
      </c>
      <c r="C3" s="33" t="s">
        <v>13</v>
      </c>
      <c r="D3" t="s">
        <v>109</v>
      </c>
    </row>
    <row r="4" spans="1:4">
      <c r="A4" s="21" t="s">
        <v>55</v>
      </c>
      <c r="B4" s="21">
        <v>0</v>
      </c>
      <c r="C4" s="21"/>
      <c r="D4" s="22">
        <v>0</v>
      </c>
    </row>
    <row r="5" spans="1:4">
      <c r="A5" s="21"/>
      <c r="B5" s="21">
        <v>0</v>
      </c>
      <c r="C5" s="21" t="s">
        <v>138</v>
      </c>
      <c r="D5" s="22">
        <v>0</v>
      </c>
    </row>
    <row r="6" spans="1:4">
      <c r="A6" s="21"/>
      <c r="B6" s="21" t="s">
        <v>234</v>
      </c>
      <c r="C6" s="21"/>
      <c r="D6" s="22">
        <v>0</v>
      </c>
    </row>
    <row r="7" spans="1:4">
      <c r="A7" s="21" t="s">
        <v>115</v>
      </c>
      <c r="B7" s="21">
        <v>12040400</v>
      </c>
      <c r="C7" s="21" t="s">
        <v>140</v>
      </c>
      <c r="D7" s="22">
        <v>0.66666666666666663</v>
      </c>
    </row>
    <row r="8" spans="1:4">
      <c r="A8" s="21" t="s">
        <v>96</v>
      </c>
      <c r="B8" s="21">
        <v>12040500</v>
      </c>
      <c r="C8" s="21" t="s">
        <v>97</v>
      </c>
      <c r="D8" s="22">
        <v>0.66666666666666663</v>
      </c>
    </row>
    <row r="9" spans="1:4">
      <c r="A9" s="21" t="s">
        <v>96</v>
      </c>
      <c r="B9" s="21">
        <v>12040500</v>
      </c>
      <c r="C9" s="21" t="s">
        <v>94</v>
      </c>
      <c r="D9" s="22">
        <v>0.60000000000000009</v>
      </c>
    </row>
    <row r="10" spans="1:4">
      <c r="A10" s="21" t="s">
        <v>126</v>
      </c>
      <c r="B10" s="21">
        <v>12043011</v>
      </c>
      <c r="C10" s="21" t="s">
        <v>142</v>
      </c>
      <c r="D10" s="22">
        <v>0.52192938596491223</v>
      </c>
    </row>
    <row r="11" spans="1:4">
      <c r="A11" s="21" t="s">
        <v>126</v>
      </c>
      <c r="B11" s="21">
        <v>12043011</v>
      </c>
      <c r="C11" s="21" t="s">
        <v>143</v>
      </c>
      <c r="D11" s="22">
        <v>0.67112587719298245</v>
      </c>
    </row>
    <row r="12" spans="1:4">
      <c r="A12" s="21" t="s">
        <v>126</v>
      </c>
      <c r="B12" s="21">
        <v>12043011</v>
      </c>
      <c r="C12" s="21" t="s">
        <v>144</v>
      </c>
      <c r="D12" s="22">
        <v>0.68998640350877194</v>
      </c>
    </row>
    <row r="13" spans="1:4">
      <c r="A13" s="21" t="s">
        <v>126</v>
      </c>
      <c r="B13" s="21">
        <v>12043011</v>
      </c>
      <c r="C13" s="21" t="s">
        <v>145</v>
      </c>
      <c r="D13" s="22">
        <v>0.66666666666666663</v>
      </c>
    </row>
    <row r="14" spans="1:4">
      <c r="A14" s="21" t="s">
        <v>126</v>
      </c>
      <c r="B14" s="21">
        <v>12043011</v>
      </c>
      <c r="C14" s="21" t="s">
        <v>146</v>
      </c>
      <c r="D14" s="22">
        <v>0</v>
      </c>
    </row>
    <row r="15" spans="1:4">
      <c r="A15" s="21" t="s">
        <v>126</v>
      </c>
      <c r="B15" s="21">
        <v>12043011</v>
      </c>
      <c r="C15" s="21" t="s">
        <v>147</v>
      </c>
      <c r="D15" s="22">
        <v>0.42741140350877194</v>
      </c>
    </row>
    <row r="16" spans="1:4">
      <c r="A16" s="21" t="s">
        <v>126</v>
      </c>
      <c r="B16" s="21">
        <v>12043011</v>
      </c>
      <c r="C16" s="21" t="s">
        <v>148</v>
      </c>
      <c r="D16" s="22">
        <v>0.65847982456140353</v>
      </c>
    </row>
    <row r="17" spans="1:4">
      <c r="A17" s="21" t="s">
        <v>126</v>
      </c>
      <c r="B17" s="21">
        <v>12043011</v>
      </c>
      <c r="C17" s="21" t="s">
        <v>149</v>
      </c>
      <c r="D17" s="22">
        <v>0.20650570175438598</v>
      </c>
    </row>
    <row r="18" spans="1:4">
      <c r="A18" s="21" t="s">
        <v>126</v>
      </c>
      <c r="B18" s="21">
        <v>12043011</v>
      </c>
      <c r="C18" s="21" t="s">
        <v>151</v>
      </c>
      <c r="D18" s="22">
        <v>0.6832596491228069</v>
      </c>
    </row>
    <row r="19" spans="1:4">
      <c r="A19" s="21" t="s">
        <v>126</v>
      </c>
      <c r="B19" s="21">
        <v>12043011</v>
      </c>
      <c r="C19" s="21" t="s">
        <v>150</v>
      </c>
      <c r="D19" s="22">
        <v>0.6580412280701754</v>
      </c>
    </row>
    <row r="20" spans="1:4">
      <c r="A20" s="21" t="s">
        <v>126</v>
      </c>
      <c r="B20" s="21">
        <v>12043011</v>
      </c>
      <c r="C20" s="21" t="s">
        <v>152</v>
      </c>
      <c r="D20" s="22">
        <v>0.22331885964912279</v>
      </c>
    </row>
    <row r="21" spans="1:4">
      <c r="A21" s="21" t="s">
        <v>126</v>
      </c>
      <c r="B21" s="21">
        <v>12043011</v>
      </c>
      <c r="C21" s="21" t="s">
        <v>289</v>
      </c>
      <c r="D21" s="22">
        <v>0.52660789473684211</v>
      </c>
    </row>
    <row r="22" spans="1:4">
      <c r="A22" s="21" t="s">
        <v>126</v>
      </c>
      <c r="B22" s="21">
        <v>12042511</v>
      </c>
      <c r="C22" s="21" t="s">
        <v>141</v>
      </c>
      <c r="D22" s="22">
        <v>0.52792368421052627</v>
      </c>
    </row>
    <row r="23" spans="1:4">
      <c r="A23" s="21" t="s">
        <v>87</v>
      </c>
      <c r="B23" s="21">
        <v>12043123</v>
      </c>
      <c r="C23" s="21" t="s">
        <v>85</v>
      </c>
      <c r="D23" s="22">
        <v>0.60650570175438601</v>
      </c>
    </row>
    <row r="24" spans="1:4">
      <c r="A24" s="21" t="s">
        <v>99</v>
      </c>
      <c r="B24" s="21">
        <v>12048099</v>
      </c>
      <c r="C24" s="21" t="s">
        <v>100</v>
      </c>
      <c r="D24" s="22">
        <v>0.66666666666666663</v>
      </c>
    </row>
    <row r="25" spans="1:4">
      <c r="A25" s="21" t="s">
        <v>99</v>
      </c>
      <c r="B25" s="21">
        <v>12048099</v>
      </c>
      <c r="C25" s="21" t="s">
        <v>153</v>
      </c>
      <c r="D25" s="22">
        <v>0.66666666666666663</v>
      </c>
    </row>
    <row r="26" spans="1:4">
      <c r="A26" s="21" t="s">
        <v>124</v>
      </c>
      <c r="B26" s="21">
        <v>12010500</v>
      </c>
      <c r="C26" s="21" t="s">
        <v>154</v>
      </c>
      <c r="D26" s="22">
        <v>0.66666666666666663</v>
      </c>
    </row>
    <row r="27" spans="1:4">
      <c r="A27" s="21" t="s">
        <v>124</v>
      </c>
      <c r="B27" s="21">
        <v>12010500</v>
      </c>
      <c r="C27" s="21" t="s">
        <v>155</v>
      </c>
      <c r="D27" s="22">
        <v>0.66666666666666663</v>
      </c>
    </row>
    <row r="28" spans="1:4">
      <c r="A28" s="21" t="s">
        <v>124</v>
      </c>
      <c r="B28" s="21">
        <v>12010500</v>
      </c>
      <c r="C28" s="21" t="s">
        <v>539</v>
      </c>
      <c r="D28" s="22">
        <v>0.66666666666666663</v>
      </c>
    </row>
    <row r="29" spans="1:4">
      <c r="A29" s="21" t="s">
        <v>102</v>
      </c>
      <c r="B29" s="21">
        <v>12018099</v>
      </c>
      <c r="C29" s="21" t="s">
        <v>103</v>
      </c>
      <c r="D29" s="22">
        <v>0.66666666666666663</v>
      </c>
    </row>
    <row r="30" spans="1:4">
      <c r="A30" s="21" t="s">
        <v>102</v>
      </c>
      <c r="B30" s="21">
        <v>12018099</v>
      </c>
      <c r="C30" s="21" t="s">
        <v>101</v>
      </c>
      <c r="D30" s="22">
        <v>0.61578947368421044</v>
      </c>
    </row>
    <row r="31" spans="1:4">
      <c r="A31" s="21" t="s">
        <v>120</v>
      </c>
      <c r="B31" s="21">
        <v>12019199</v>
      </c>
      <c r="C31" s="21" t="s">
        <v>156</v>
      </c>
      <c r="D31" s="22">
        <v>0.66666666666666663</v>
      </c>
    </row>
    <row r="32" spans="1:4">
      <c r="A32" s="21" t="s">
        <v>120</v>
      </c>
      <c r="B32" s="21">
        <v>12019199</v>
      </c>
      <c r="C32" s="21" t="s">
        <v>157</v>
      </c>
      <c r="D32" s="22">
        <v>0.66666666666666663</v>
      </c>
    </row>
    <row r="33" spans="1:4">
      <c r="A33" s="21" t="s">
        <v>120</v>
      </c>
      <c r="B33" s="21">
        <v>12019199</v>
      </c>
      <c r="C33" s="21" t="s">
        <v>158</v>
      </c>
      <c r="D33" s="22">
        <v>0.66666666666666663</v>
      </c>
    </row>
    <row r="34" spans="1:4">
      <c r="A34" s="21" t="s">
        <v>120</v>
      </c>
      <c r="B34" s="21">
        <v>12019199</v>
      </c>
      <c r="C34" s="21" t="s">
        <v>159</v>
      </c>
      <c r="D34" s="22">
        <v>0.66666666666666663</v>
      </c>
    </row>
    <row r="35" spans="1:4">
      <c r="A35" s="21" t="s">
        <v>120</v>
      </c>
      <c r="B35" s="21">
        <v>12019199</v>
      </c>
      <c r="C35" s="21" t="s">
        <v>160</v>
      </c>
      <c r="D35" s="22">
        <v>0.66666666666666663</v>
      </c>
    </row>
    <row r="36" spans="1:4">
      <c r="A36" s="21" t="s">
        <v>120</v>
      </c>
      <c r="B36" s="21">
        <v>12019199</v>
      </c>
      <c r="C36" s="21" t="s">
        <v>534</v>
      </c>
      <c r="D36" s="22">
        <v>0.66666666666666663</v>
      </c>
    </row>
    <row r="37" spans="1:4">
      <c r="A37" s="21" t="s">
        <v>121</v>
      </c>
      <c r="B37" s="21">
        <v>12018599</v>
      </c>
      <c r="C37" s="21" t="s">
        <v>161</v>
      </c>
      <c r="D37" s="22">
        <v>0.66666666666666663</v>
      </c>
    </row>
    <row r="38" spans="1:4">
      <c r="A38" s="21" t="s">
        <v>121</v>
      </c>
      <c r="B38" s="21">
        <v>12018599</v>
      </c>
      <c r="C38" s="21" t="s">
        <v>162</v>
      </c>
      <c r="D38" s="22">
        <v>0.66666666666666663</v>
      </c>
    </row>
    <row r="39" spans="1:4">
      <c r="A39" s="21" t="s">
        <v>123</v>
      </c>
      <c r="B39" s="21">
        <v>12013300</v>
      </c>
      <c r="C39" s="21" t="s">
        <v>163</v>
      </c>
      <c r="D39" s="22">
        <v>0.66666666666666663</v>
      </c>
    </row>
    <row r="40" spans="1:4">
      <c r="A40" s="21" t="s">
        <v>123</v>
      </c>
      <c r="B40" s="21">
        <v>12013300</v>
      </c>
      <c r="C40" s="21" t="s">
        <v>545</v>
      </c>
      <c r="D40" s="22">
        <v>0.4</v>
      </c>
    </row>
    <row r="41" spans="1:4">
      <c r="A41" s="21" t="s">
        <v>122</v>
      </c>
      <c r="B41" s="21">
        <v>12019099</v>
      </c>
      <c r="C41" s="21" t="s">
        <v>164</v>
      </c>
      <c r="D41" s="22">
        <v>0.66666666666666663</v>
      </c>
    </row>
    <row r="42" spans="1:4">
      <c r="A42" s="21" t="s">
        <v>116</v>
      </c>
      <c r="B42" s="21">
        <v>12030400</v>
      </c>
      <c r="C42" s="21" t="s">
        <v>165</v>
      </c>
      <c r="D42" s="22">
        <v>0.66666666666666663</v>
      </c>
    </row>
    <row r="43" spans="1:4">
      <c r="A43" s="21" t="s">
        <v>116</v>
      </c>
      <c r="B43" s="21">
        <v>12030400</v>
      </c>
      <c r="C43" s="21" t="s">
        <v>518</v>
      </c>
      <c r="D43" s="22">
        <v>6.6666666666666666E-2</v>
      </c>
    </row>
    <row r="44" spans="1:4">
      <c r="A44" s="21" t="s">
        <v>125</v>
      </c>
      <c r="B44" s="21">
        <v>12030500</v>
      </c>
      <c r="C44" s="21" t="s">
        <v>166</v>
      </c>
      <c r="D44" s="22">
        <v>0.66666666666666663</v>
      </c>
    </row>
    <row r="45" spans="1:4">
      <c r="A45" s="21" t="s">
        <v>125</v>
      </c>
      <c r="B45" s="21">
        <v>12030500</v>
      </c>
      <c r="C45" s="21" t="s">
        <v>168</v>
      </c>
      <c r="D45" s="22">
        <v>0</v>
      </c>
    </row>
    <row r="46" spans="1:4">
      <c r="A46" s="21" t="s">
        <v>57</v>
      </c>
      <c r="B46" s="21">
        <v>12030611</v>
      </c>
      <c r="C46" s="21" t="s">
        <v>79</v>
      </c>
      <c r="D46" s="22">
        <v>0.88282149122807019</v>
      </c>
    </row>
    <row r="47" spans="1:4">
      <c r="A47" s="21" t="s">
        <v>57</v>
      </c>
      <c r="B47" s="21">
        <v>12030611</v>
      </c>
      <c r="C47" s="21" t="s">
        <v>80</v>
      </c>
      <c r="D47" s="22">
        <v>0.66666666666666663</v>
      </c>
    </row>
    <row r="48" spans="1:4">
      <c r="A48" s="21" t="s">
        <v>57</v>
      </c>
      <c r="B48" s="21">
        <v>12030611</v>
      </c>
      <c r="C48" s="21" t="s">
        <v>64</v>
      </c>
      <c r="D48" s="22">
        <v>0.4975140350877193</v>
      </c>
    </row>
    <row r="49" spans="1:4">
      <c r="A49" s="21" t="s">
        <v>57</v>
      </c>
      <c r="B49" s="21">
        <v>12030611</v>
      </c>
      <c r="C49" s="21" t="s">
        <v>81</v>
      </c>
      <c r="D49" s="22">
        <v>0.76944473684210513</v>
      </c>
    </row>
    <row r="50" spans="1:4">
      <c r="A50" s="21" t="s">
        <v>57</v>
      </c>
      <c r="B50" s="21">
        <v>12030611</v>
      </c>
      <c r="C50" s="21" t="s">
        <v>78</v>
      </c>
      <c r="D50" s="22">
        <v>0.76001403508771925</v>
      </c>
    </row>
    <row r="51" spans="1:4">
      <c r="A51" s="21" t="s">
        <v>57</v>
      </c>
      <c r="B51" s="21">
        <v>12030611</v>
      </c>
      <c r="C51" s="21" t="s">
        <v>75</v>
      </c>
      <c r="D51" s="22">
        <v>0.79327412280701759</v>
      </c>
    </row>
    <row r="52" spans="1:4">
      <c r="A52" s="21" t="s">
        <v>57</v>
      </c>
      <c r="B52" s="21">
        <v>12030611</v>
      </c>
      <c r="C52" s="21" t="s">
        <v>84</v>
      </c>
      <c r="D52" s="22">
        <v>0.66666666666666663</v>
      </c>
    </row>
    <row r="53" spans="1:4">
      <c r="A53" s="21" t="s">
        <v>57</v>
      </c>
      <c r="B53" s="21">
        <v>12030611</v>
      </c>
      <c r="C53" s="21" t="s">
        <v>74</v>
      </c>
      <c r="D53" s="22">
        <v>0.7675442982456141</v>
      </c>
    </row>
    <row r="54" spans="1:4">
      <c r="A54" s="21" t="s">
        <v>57</v>
      </c>
      <c r="B54" s="21">
        <v>12030711</v>
      </c>
      <c r="C54" s="21" t="s">
        <v>548</v>
      </c>
      <c r="D54" s="22">
        <v>0.1080407894736842</v>
      </c>
    </row>
    <row r="55" spans="1:4">
      <c r="A55" s="21" t="s">
        <v>57</v>
      </c>
      <c r="B55" s="21">
        <v>12032511</v>
      </c>
      <c r="C55" s="21" t="s">
        <v>82</v>
      </c>
      <c r="D55" s="22">
        <v>0.77061315789473672</v>
      </c>
    </row>
    <row r="56" spans="1:4">
      <c r="A56" s="21" t="s">
        <v>57</v>
      </c>
      <c r="B56" s="21">
        <v>12033011</v>
      </c>
      <c r="C56" s="21" t="s">
        <v>83</v>
      </c>
      <c r="D56" s="22">
        <v>0.66973684210526307</v>
      </c>
    </row>
    <row r="57" spans="1:4">
      <c r="A57" s="21" t="s">
        <v>57</v>
      </c>
      <c r="B57" s="21">
        <v>12033011</v>
      </c>
      <c r="C57" s="21" t="s">
        <v>92</v>
      </c>
      <c r="D57" s="22">
        <v>0.90745657894736842</v>
      </c>
    </row>
    <row r="58" spans="1:4">
      <c r="A58" s="21" t="s">
        <v>57</v>
      </c>
      <c r="B58" s="21">
        <v>12033011</v>
      </c>
      <c r="C58" s="21" t="s">
        <v>93</v>
      </c>
      <c r="D58" s="22">
        <v>0.46037982456140353</v>
      </c>
    </row>
    <row r="59" spans="1:4">
      <c r="A59" s="21" t="s">
        <v>57</v>
      </c>
      <c r="B59" s="21">
        <v>12033011</v>
      </c>
      <c r="C59" s="21" t="s">
        <v>76</v>
      </c>
      <c r="D59" s="22">
        <v>0.89758815789473678</v>
      </c>
    </row>
    <row r="60" spans="1:4">
      <c r="A60" s="21" t="s">
        <v>57</v>
      </c>
      <c r="B60" s="21">
        <v>12033011</v>
      </c>
      <c r="C60" s="21" t="s">
        <v>77</v>
      </c>
      <c r="D60" s="22">
        <v>0.6888149122807018</v>
      </c>
    </row>
    <row r="61" spans="1:4">
      <c r="A61" s="21" t="s">
        <v>57</v>
      </c>
      <c r="B61" s="21">
        <v>12033011</v>
      </c>
      <c r="C61" s="21" t="s">
        <v>73</v>
      </c>
      <c r="D61" s="22">
        <v>0.78464868421052636</v>
      </c>
    </row>
    <row r="62" spans="1:4">
      <c r="A62" s="21" t="s">
        <v>57</v>
      </c>
      <c r="B62" s="21">
        <v>12033011</v>
      </c>
      <c r="C62" s="21" t="s">
        <v>58</v>
      </c>
      <c r="D62" s="22">
        <v>0.44502938596491232</v>
      </c>
    </row>
    <row r="63" spans="1:4">
      <c r="A63" s="21" t="s">
        <v>57</v>
      </c>
      <c r="B63" s="21">
        <v>12033011</v>
      </c>
      <c r="C63" s="21" t="s">
        <v>169</v>
      </c>
      <c r="D63" s="22">
        <v>0.77726535087719284</v>
      </c>
    </row>
    <row r="64" spans="1:4">
      <c r="A64" s="21" t="s">
        <v>57</v>
      </c>
      <c r="B64" s="21">
        <v>12033011</v>
      </c>
      <c r="C64" s="21" t="s">
        <v>71</v>
      </c>
      <c r="D64" s="22">
        <v>0.23428377192982452</v>
      </c>
    </row>
    <row r="65" spans="1:4">
      <c r="A65" s="21" t="s">
        <v>57</v>
      </c>
      <c r="B65" s="21">
        <v>12033011</v>
      </c>
      <c r="C65" s="21" t="s">
        <v>170</v>
      </c>
      <c r="D65" s="22">
        <v>0.74576052631578937</v>
      </c>
    </row>
    <row r="66" spans="1:4">
      <c r="A66" s="21" t="s">
        <v>57</v>
      </c>
      <c r="B66" s="21">
        <v>12033011</v>
      </c>
      <c r="C66" s="21" t="s">
        <v>171</v>
      </c>
      <c r="D66" s="22">
        <v>0.60687061403508769</v>
      </c>
    </row>
    <row r="67" spans="1:4">
      <c r="A67" s="21" t="s">
        <v>57</v>
      </c>
      <c r="B67" s="21">
        <v>12033011</v>
      </c>
      <c r="C67" s="21" t="s">
        <v>91</v>
      </c>
      <c r="D67" s="22">
        <v>0.80964824561403514</v>
      </c>
    </row>
    <row r="68" spans="1:4">
      <c r="A68" s="21" t="s">
        <v>57</v>
      </c>
      <c r="B68" s="21">
        <v>12033011</v>
      </c>
      <c r="C68" s="21" t="s">
        <v>65</v>
      </c>
      <c r="D68" s="22">
        <v>0.70767587719298231</v>
      </c>
    </row>
    <row r="69" spans="1:4">
      <c r="A69" s="21" t="s">
        <v>57</v>
      </c>
      <c r="B69" s="21">
        <v>12033011</v>
      </c>
      <c r="C69" s="21" t="s">
        <v>61</v>
      </c>
      <c r="D69" s="22">
        <v>0.74956140350877198</v>
      </c>
    </row>
    <row r="70" spans="1:4">
      <c r="A70" s="21" t="s">
        <v>57</v>
      </c>
      <c r="B70" s="21">
        <v>12033011</v>
      </c>
      <c r="C70" s="21" t="s">
        <v>68</v>
      </c>
      <c r="D70" s="22">
        <v>0.71308377192982453</v>
      </c>
    </row>
    <row r="71" spans="1:4">
      <c r="A71" s="21" t="s">
        <v>57</v>
      </c>
      <c r="B71" s="21">
        <v>12033011</v>
      </c>
      <c r="C71" s="21" t="s">
        <v>90</v>
      </c>
      <c r="D71" s="22">
        <v>0.80899166666666666</v>
      </c>
    </row>
    <row r="72" spans="1:4">
      <c r="A72" s="21" t="s">
        <v>57</v>
      </c>
      <c r="B72" s="21">
        <v>12033011</v>
      </c>
      <c r="C72" s="21" t="s">
        <v>517</v>
      </c>
      <c r="D72" s="22">
        <v>0.52434210526315783</v>
      </c>
    </row>
    <row r="73" spans="1:4">
      <c r="A73" s="21" t="s">
        <v>57</v>
      </c>
      <c r="B73" s="21">
        <v>12033011</v>
      </c>
      <c r="C73" s="21" t="s">
        <v>520</v>
      </c>
      <c r="D73" s="22">
        <v>0.77112456140350882</v>
      </c>
    </row>
    <row r="74" spans="1:4">
      <c r="A74" s="21" t="s">
        <v>57</v>
      </c>
      <c r="B74" s="21">
        <v>12033011</v>
      </c>
      <c r="C74" s="21" t="s">
        <v>547</v>
      </c>
      <c r="D74" s="22">
        <v>9.7807017543859648E-2</v>
      </c>
    </row>
    <row r="75" spans="1:4">
      <c r="A75" s="21" t="s">
        <v>57</v>
      </c>
      <c r="B75" s="21">
        <v>12033011</v>
      </c>
      <c r="C75" s="21" t="s">
        <v>549</v>
      </c>
      <c r="D75" s="22">
        <v>0.44634517543859648</v>
      </c>
    </row>
    <row r="76" spans="1:4">
      <c r="A76" s="21" t="s">
        <v>117</v>
      </c>
      <c r="B76" s="21">
        <v>12060400</v>
      </c>
      <c r="C76" s="21" t="s">
        <v>172</v>
      </c>
      <c r="D76" s="22">
        <v>0.66666666666666663</v>
      </c>
    </row>
    <row r="77" spans="1:4">
      <c r="A77" s="21" t="s">
        <v>127</v>
      </c>
      <c r="B77" s="21">
        <v>12060611</v>
      </c>
      <c r="C77" s="21" t="s">
        <v>173</v>
      </c>
      <c r="D77" s="22">
        <v>0.66666666666666663</v>
      </c>
    </row>
    <row r="78" spans="1:4">
      <c r="A78" s="21" t="s">
        <v>127</v>
      </c>
      <c r="B78" s="21">
        <v>12060611</v>
      </c>
      <c r="C78" s="21" t="s">
        <v>174</v>
      </c>
      <c r="D78" s="22">
        <v>0.66081929824561414</v>
      </c>
    </row>
    <row r="79" spans="1:4">
      <c r="A79" s="21" t="s">
        <v>127</v>
      </c>
      <c r="B79" s="21">
        <v>12060611</v>
      </c>
      <c r="C79" s="21" t="s">
        <v>177</v>
      </c>
      <c r="D79" s="22">
        <v>0.20526315789473684</v>
      </c>
    </row>
    <row r="80" spans="1:4">
      <c r="A80" s="21" t="s">
        <v>127</v>
      </c>
      <c r="B80" s="21">
        <v>12060611</v>
      </c>
      <c r="C80" s="21" t="s">
        <v>178</v>
      </c>
      <c r="D80" s="22">
        <v>0.67646271929824575</v>
      </c>
    </row>
    <row r="81" spans="1:4">
      <c r="A81" s="21" t="s">
        <v>127</v>
      </c>
      <c r="B81" s="21">
        <v>12060611</v>
      </c>
      <c r="C81" s="21" t="s">
        <v>179</v>
      </c>
      <c r="D81" s="22">
        <v>0.64459122807017544</v>
      </c>
    </row>
    <row r="82" spans="1:4">
      <c r="A82" s="21" t="s">
        <v>127</v>
      </c>
      <c r="B82" s="21">
        <v>12060611</v>
      </c>
      <c r="C82" s="21" t="s">
        <v>180</v>
      </c>
      <c r="D82" s="22">
        <v>0.50095000000000001</v>
      </c>
    </row>
    <row r="83" spans="1:4">
      <c r="A83" s="21" t="s">
        <v>127</v>
      </c>
      <c r="B83" s="21">
        <v>12062511</v>
      </c>
      <c r="C83" s="21" t="s">
        <v>175</v>
      </c>
      <c r="D83" s="22">
        <v>0.69773377192982455</v>
      </c>
    </row>
    <row r="84" spans="1:4">
      <c r="A84" s="21" t="s">
        <v>127</v>
      </c>
      <c r="B84" s="21">
        <v>12062511</v>
      </c>
      <c r="C84" s="21" t="s">
        <v>176</v>
      </c>
      <c r="D84" s="22">
        <v>0.21359605263157894</v>
      </c>
    </row>
    <row r="85" spans="1:4">
      <c r="A85" s="21" t="s">
        <v>127</v>
      </c>
      <c r="B85" s="21">
        <v>12062511</v>
      </c>
      <c r="C85" s="21" t="s">
        <v>290</v>
      </c>
      <c r="D85" s="22">
        <v>0.21915263157894738</v>
      </c>
    </row>
    <row r="86" spans="1:4">
      <c r="A86" s="21" t="s">
        <v>127</v>
      </c>
      <c r="B86" s="21">
        <v>12063011</v>
      </c>
      <c r="C86" s="21" t="s">
        <v>294</v>
      </c>
      <c r="D86" s="22">
        <v>0.356286403508772</v>
      </c>
    </row>
    <row r="87" spans="1:4">
      <c r="A87" s="21" t="s">
        <v>127</v>
      </c>
      <c r="B87" s="21">
        <v>12063011</v>
      </c>
      <c r="C87" s="21" t="s">
        <v>514</v>
      </c>
      <c r="D87" s="22">
        <v>0.55482500000000001</v>
      </c>
    </row>
    <row r="88" spans="1:4">
      <c r="A88" s="21" t="s">
        <v>105</v>
      </c>
      <c r="B88" s="21">
        <v>12068099</v>
      </c>
      <c r="C88" s="21" t="s">
        <v>104</v>
      </c>
      <c r="D88" s="22">
        <v>0.66666666666666663</v>
      </c>
    </row>
    <row r="89" spans="1:4">
      <c r="A89" s="21" t="s">
        <v>133</v>
      </c>
      <c r="B89" s="21">
        <v>12010700</v>
      </c>
      <c r="C89" s="21" t="s">
        <v>181</v>
      </c>
      <c r="D89" s="22">
        <v>0.66666666666666663</v>
      </c>
    </row>
    <row r="90" spans="1:4">
      <c r="A90" s="21" t="s">
        <v>133</v>
      </c>
      <c r="B90" s="21">
        <v>12010700</v>
      </c>
      <c r="C90" s="21" t="s">
        <v>167</v>
      </c>
      <c r="D90" s="22">
        <v>0.66666666666666663</v>
      </c>
    </row>
    <row r="91" spans="1:4">
      <c r="A91" s="21" t="s">
        <v>134</v>
      </c>
      <c r="B91" s="21">
        <v>12024021</v>
      </c>
      <c r="C91" s="21" t="s">
        <v>182</v>
      </c>
      <c r="D91" s="22">
        <v>0.66666666666666663</v>
      </c>
    </row>
    <row r="92" spans="1:4">
      <c r="A92" s="21" t="s">
        <v>89</v>
      </c>
      <c r="B92" s="21">
        <v>12013012</v>
      </c>
      <c r="C92" s="21" t="s">
        <v>88</v>
      </c>
      <c r="D92" s="22">
        <v>0.66666666666666663</v>
      </c>
    </row>
    <row r="93" spans="1:4">
      <c r="A93" s="21" t="s">
        <v>137</v>
      </c>
      <c r="B93" s="21">
        <v>12013250</v>
      </c>
      <c r="C93" s="21" t="s">
        <v>183</v>
      </c>
      <c r="D93" s="22">
        <v>0.66666666666666663</v>
      </c>
    </row>
    <row r="94" spans="1:4">
      <c r="A94" s="21" t="s">
        <v>137</v>
      </c>
      <c r="B94" s="21">
        <v>12013250</v>
      </c>
      <c r="C94" s="21" t="s">
        <v>184</v>
      </c>
      <c r="D94" s="22">
        <v>0.66666666666666663</v>
      </c>
    </row>
    <row r="95" spans="1:4">
      <c r="A95" s="21" t="s">
        <v>137</v>
      </c>
      <c r="B95" s="21">
        <v>12013250</v>
      </c>
      <c r="C95" s="21" t="s">
        <v>185</v>
      </c>
      <c r="D95" s="22">
        <v>0.66666666666666663</v>
      </c>
    </row>
    <row r="96" spans="1:4">
      <c r="A96" s="21" t="s">
        <v>137</v>
      </c>
      <c r="B96" s="21">
        <v>12013250</v>
      </c>
      <c r="C96" s="21" t="s">
        <v>186</v>
      </c>
      <c r="D96" s="22">
        <v>0.66666666666666663</v>
      </c>
    </row>
    <row r="97" spans="1:4">
      <c r="A97" s="21" t="s">
        <v>137</v>
      </c>
      <c r="B97" s="21">
        <v>12013250</v>
      </c>
      <c r="C97" s="21" t="s">
        <v>187</v>
      </c>
      <c r="D97" s="22">
        <v>0.66666666666666663</v>
      </c>
    </row>
    <row r="98" spans="1:4">
      <c r="A98" s="21" t="s">
        <v>137</v>
      </c>
      <c r="B98" s="21">
        <v>12013250</v>
      </c>
      <c r="C98" s="21" t="s">
        <v>188</v>
      </c>
      <c r="D98" s="22">
        <v>0.2</v>
      </c>
    </row>
    <row r="99" spans="1:4">
      <c r="A99" s="21" t="s">
        <v>113</v>
      </c>
      <c r="B99" s="21">
        <v>12021021</v>
      </c>
      <c r="C99" s="21" t="s">
        <v>189</v>
      </c>
      <c r="D99" s="22">
        <v>0.6908627192982455</v>
      </c>
    </row>
    <row r="100" spans="1:4">
      <c r="A100" s="21" t="s">
        <v>113</v>
      </c>
      <c r="B100" s="21">
        <v>12021021</v>
      </c>
      <c r="C100" s="21" t="s">
        <v>190</v>
      </c>
      <c r="D100" s="22">
        <v>0.71432807017543865</v>
      </c>
    </row>
    <row r="101" spans="1:4">
      <c r="A101" s="21" t="s">
        <v>113</v>
      </c>
      <c r="B101" s="21">
        <v>12021021</v>
      </c>
      <c r="C101" s="21" t="s">
        <v>195</v>
      </c>
      <c r="D101" s="22">
        <v>0.27141798245614035</v>
      </c>
    </row>
    <row r="102" spans="1:4">
      <c r="A102" s="21" t="s">
        <v>113</v>
      </c>
      <c r="B102" s="21">
        <v>12021021</v>
      </c>
      <c r="C102" s="21" t="s">
        <v>191</v>
      </c>
      <c r="D102" s="22">
        <v>0.66666666666666663</v>
      </c>
    </row>
    <row r="103" spans="1:4">
      <c r="A103" s="21" t="s">
        <v>113</v>
      </c>
      <c r="B103" s="21">
        <v>12021021</v>
      </c>
      <c r="C103" s="21" t="s">
        <v>192</v>
      </c>
      <c r="D103" s="22">
        <v>0.7497070175438596</v>
      </c>
    </row>
    <row r="104" spans="1:4">
      <c r="A104" s="21" t="s">
        <v>113</v>
      </c>
      <c r="B104" s="21">
        <v>12021021</v>
      </c>
      <c r="C104" s="21" t="s">
        <v>193</v>
      </c>
      <c r="D104" s="22">
        <v>0.66666666666666663</v>
      </c>
    </row>
    <row r="105" spans="1:4">
      <c r="A105" s="21" t="s">
        <v>113</v>
      </c>
      <c r="B105" s="21">
        <v>12021021</v>
      </c>
      <c r="C105" s="21" t="s">
        <v>194</v>
      </c>
      <c r="D105" s="22">
        <v>0.66271929824561404</v>
      </c>
    </row>
    <row r="106" spans="1:4">
      <c r="A106" s="21" t="s">
        <v>113</v>
      </c>
      <c r="B106" s="21">
        <v>12021021</v>
      </c>
      <c r="C106" s="21" t="s">
        <v>196</v>
      </c>
      <c r="D106" s="22">
        <v>0.73918114035087723</v>
      </c>
    </row>
    <row r="107" spans="1:4">
      <c r="A107" s="21" t="s">
        <v>113</v>
      </c>
      <c r="B107" s="21">
        <v>12021021</v>
      </c>
      <c r="C107" s="21" t="s">
        <v>197</v>
      </c>
      <c r="D107" s="22">
        <v>0.42441578947368425</v>
      </c>
    </row>
    <row r="108" spans="1:4">
      <c r="A108" s="21" t="s">
        <v>113</v>
      </c>
      <c r="B108" s="21">
        <v>12021021</v>
      </c>
      <c r="C108" s="21" t="s">
        <v>198</v>
      </c>
      <c r="D108" s="22">
        <v>0.74342105263157898</v>
      </c>
    </row>
    <row r="109" spans="1:4">
      <c r="A109" s="21" t="s">
        <v>113</v>
      </c>
      <c r="B109" s="21">
        <v>12021021</v>
      </c>
      <c r="C109" s="21" t="s">
        <v>200</v>
      </c>
      <c r="D109" s="22">
        <v>0.72953289473684202</v>
      </c>
    </row>
    <row r="110" spans="1:4">
      <c r="A110" s="21" t="s">
        <v>113</v>
      </c>
      <c r="B110" s="21">
        <v>12023021</v>
      </c>
      <c r="C110" s="21" t="s">
        <v>199</v>
      </c>
      <c r="D110" s="22">
        <v>0.68077500000000002</v>
      </c>
    </row>
    <row r="111" spans="1:4">
      <c r="A111" s="21" t="s">
        <v>113</v>
      </c>
      <c r="B111" s="21">
        <v>12023021</v>
      </c>
      <c r="C111" s="21" t="s">
        <v>201</v>
      </c>
      <c r="D111" s="22">
        <v>3.3333333333333333E-2</v>
      </c>
    </row>
    <row r="112" spans="1:4">
      <c r="A112" s="21" t="s">
        <v>118</v>
      </c>
      <c r="B112" s="21">
        <v>12020400</v>
      </c>
      <c r="C112" s="21" t="s">
        <v>203</v>
      </c>
      <c r="D112" s="22">
        <v>0.66666666666666663</v>
      </c>
    </row>
    <row r="113" spans="1:4">
      <c r="A113" s="21" t="s">
        <v>118</v>
      </c>
      <c r="B113" s="21">
        <v>12020400</v>
      </c>
      <c r="C113" s="21" t="s">
        <v>546</v>
      </c>
      <c r="D113" s="22">
        <v>0.4</v>
      </c>
    </row>
    <row r="114" spans="1:4">
      <c r="A114" s="21" t="s">
        <v>273</v>
      </c>
      <c r="B114" s="21">
        <v>12020500</v>
      </c>
      <c r="C114" s="21" t="s">
        <v>292</v>
      </c>
      <c r="D114" s="22">
        <v>0.4</v>
      </c>
    </row>
    <row r="115" spans="1:4">
      <c r="A115" s="21" t="s">
        <v>273</v>
      </c>
      <c r="B115" s="21">
        <v>12020500</v>
      </c>
      <c r="C115" s="21" t="s">
        <v>296</v>
      </c>
      <c r="D115" s="22">
        <v>0.35087719298245612</v>
      </c>
    </row>
    <row r="116" spans="1:4">
      <c r="A116" s="21" t="s">
        <v>128</v>
      </c>
      <c r="B116" s="21">
        <v>12020611</v>
      </c>
      <c r="C116" s="21" t="s">
        <v>204</v>
      </c>
      <c r="D116" s="22">
        <v>0.66666666666666652</v>
      </c>
    </row>
    <row r="117" spans="1:4">
      <c r="A117" s="21" t="s">
        <v>128</v>
      </c>
      <c r="B117" s="21">
        <v>12020611</v>
      </c>
      <c r="C117" s="21" t="s">
        <v>205</v>
      </c>
      <c r="D117" s="22">
        <v>0.66885964912280704</v>
      </c>
    </row>
    <row r="118" spans="1:4">
      <c r="A118" s="21" t="s">
        <v>128</v>
      </c>
      <c r="B118" s="21">
        <v>12020611</v>
      </c>
      <c r="C118" s="21" t="s">
        <v>209</v>
      </c>
      <c r="D118" s="22">
        <v>0.53552631578947363</v>
      </c>
    </row>
    <row r="119" spans="1:4">
      <c r="A119" s="21" t="s">
        <v>128</v>
      </c>
      <c r="B119" s="21">
        <v>12020611</v>
      </c>
      <c r="C119" s="21" t="s">
        <v>208</v>
      </c>
      <c r="D119" s="22">
        <v>0.26666666666666666</v>
      </c>
    </row>
    <row r="120" spans="1:4">
      <c r="A120" s="21" t="s">
        <v>128</v>
      </c>
      <c r="B120" s="21">
        <v>12020611</v>
      </c>
      <c r="C120" s="21" t="s">
        <v>210</v>
      </c>
      <c r="D120" s="22">
        <v>0.69298245614035092</v>
      </c>
    </row>
    <row r="121" spans="1:4">
      <c r="A121" s="21" t="s">
        <v>128</v>
      </c>
      <c r="B121" s="21">
        <v>12020611</v>
      </c>
      <c r="C121" s="21" t="s">
        <v>212</v>
      </c>
      <c r="D121" s="22">
        <v>0.67982456140350878</v>
      </c>
    </row>
    <row r="122" spans="1:4">
      <c r="A122" s="21" t="s">
        <v>128</v>
      </c>
      <c r="B122" s="21">
        <v>12020711</v>
      </c>
      <c r="C122" s="21" t="s">
        <v>211</v>
      </c>
      <c r="D122" s="22">
        <v>0.66666666666666663</v>
      </c>
    </row>
    <row r="123" spans="1:4">
      <c r="A123" s="21" t="s">
        <v>128</v>
      </c>
      <c r="B123" s="21">
        <v>12020711</v>
      </c>
      <c r="C123" s="21" t="s">
        <v>213</v>
      </c>
      <c r="D123" s="22">
        <v>0.30701754385964913</v>
      </c>
    </row>
    <row r="124" spans="1:4">
      <c r="A124" s="21" t="s">
        <v>128</v>
      </c>
      <c r="B124" s="21">
        <v>12020711</v>
      </c>
      <c r="C124" s="21" t="s">
        <v>218</v>
      </c>
      <c r="D124" s="22">
        <v>0.40219298245614032</v>
      </c>
    </row>
    <row r="125" spans="1:4">
      <c r="A125" s="21" t="s">
        <v>128</v>
      </c>
      <c r="B125" s="21">
        <v>12022511</v>
      </c>
      <c r="C125" s="21" t="s">
        <v>206</v>
      </c>
      <c r="D125" s="22">
        <v>0.40657894736842104</v>
      </c>
    </row>
    <row r="126" spans="1:4">
      <c r="A126" s="21" t="s">
        <v>128</v>
      </c>
      <c r="B126" s="21">
        <v>12022511</v>
      </c>
      <c r="C126" s="21" t="s">
        <v>207</v>
      </c>
      <c r="D126" s="22">
        <v>0.67543859649122806</v>
      </c>
    </row>
    <row r="127" spans="1:4">
      <c r="A127" s="21" t="s">
        <v>128</v>
      </c>
      <c r="B127" s="21">
        <v>12022511</v>
      </c>
      <c r="C127" s="21" t="s">
        <v>214</v>
      </c>
      <c r="D127" s="22">
        <v>0.68640350877192979</v>
      </c>
    </row>
    <row r="128" spans="1:4">
      <c r="A128" s="21" t="s">
        <v>128</v>
      </c>
      <c r="B128" s="21">
        <v>12023011</v>
      </c>
      <c r="C128" s="21" t="s">
        <v>215</v>
      </c>
      <c r="D128" s="22">
        <v>0.66666666666666663</v>
      </c>
    </row>
    <row r="129" spans="1:4">
      <c r="A129" s="21" t="s">
        <v>128</v>
      </c>
      <c r="B129" s="21">
        <v>12023011</v>
      </c>
      <c r="C129" s="21" t="s">
        <v>216</v>
      </c>
      <c r="D129" s="22">
        <v>0.39999999999999997</v>
      </c>
    </row>
    <row r="130" spans="1:4">
      <c r="A130" s="21" t="s">
        <v>128</v>
      </c>
      <c r="B130" s="21">
        <v>12023011</v>
      </c>
      <c r="C130" s="21" t="s">
        <v>217</v>
      </c>
      <c r="D130" s="22">
        <v>0.68640350877192979</v>
      </c>
    </row>
    <row r="131" spans="1:4">
      <c r="A131" s="21" t="s">
        <v>128</v>
      </c>
      <c r="B131" s="21">
        <v>12023011</v>
      </c>
      <c r="C131" s="21" t="s">
        <v>219</v>
      </c>
      <c r="D131" s="22">
        <v>0.67543859649122806</v>
      </c>
    </row>
    <row r="132" spans="1:4">
      <c r="A132" s="21" t="s">
        <v>128</v>
      </c>
      <c r="B132" s="21">
        <v>12023011</v>
      </c>
      <c r="C132" s="21" t="s">
        <v>222</v>
      </c>
      <c r="D132" s="22">
        <v>0.4087719298245614</v>
      </c>
    </row>
    <row r="133" spans="1:4">
      <c r="A133" s="21" t="s">
        <v>128</v>
      </c>
      <c r="B133" s="21">
        <v>12023011</v>
      </c>
      <c r="C133" s="21" t="s">
        <v>223</v>
      </c>
      <c r="D133" s="22">
        <v>0.40219298245614038</v>
      </c>
    </row>
    <row r="134" spans="1:4">
      <c r="A134" s="21" t="s">
        <v>128</v>
      </c>
      <c r="B134" s="21">
        <v>12023011</v>
      </c>
      <c r="C134" s="21" t="s">
        <v>220</v>
      </c>
      <c r="D134" s="22">
        <v>0.70394736842105265</v>
      </c>
    </row>
    <row r="135" spans="1:4">
      <c r="A135" s="21" t="s">
        <v>128</v>
      </c>
      <c r="B135" s="21">
        <v>12023011</v>
      </c>
      <c r="C135" s="21" t="s">
        <v>221</v>
      </c>
      <c r="D135" s="22">
        <v>0.66666666666666663</v>
      </c>
    </row>
    <row r="136" spans="1:4">
      <c r="A136" s="21" t="s">
        <v>128</v>
      </c>
      <c r="B136" s="21">
        <v>12023011</v>
      </c>
      <c r="C136" s="21" t="s">
        <v>291</v>
      </c>
      <c r="D136" s="22">
        <v>0.66666666666666663</v>
      </c>
    </row>
    <row r="137" spans="1:4">
      <c r="A137" s="21" t="s">
        <v>128</v>
      </c>
      <c r="B137" s="21">
        <v>12023011</v>
      </c>
      <c r="C137" s="21" t="s">
        <v>515</v>
      </c>
      <c r="D137" s="22">
        <v>0.68421052631578949</v>
      </c>
    </row>
    <row r="138" spans="1:4">
      <c r="A138" s="21" t="s">
        <v>128</v>
      </c>
      <c r="B138" s="21">
        <v>12023011</v>
      </c>
      <c r="C138" s="21" t="s">
        <v>516</v>
      </c>
      <c r="D138" s="22">
        <v>0.67982456140350878</v>
      </c>
    </row>
    <row r="139" spans="1:4">
      <c r="A139" s="21" t="s">
        <v>128</v>
      </c>
      <c r="B139" s="21">
        <v>12023011</v>
      </c>
      <c r="C139" s="21" t="s">
        <v>519</v>
      </c>
      <c r="D139" s="22">
        <v>0.40438596491228074</v>
      </c>
    </row>
    <row r="140" spans="1:4">
      <c r="A140" s="21" t="s">
        <v>135</v>
      </c>
      <c r="B140" s="21">
        <v>12028099</v>
      </c>
      <c r="C140" s="21" t="s">
        <v>202</v>
      </c>
      <c r="D140" s="22">
        <v>0.66666666666666663</v>
      </c>
    </row>
    <row r="141" spans="1:4">
      <c r="A141" s="21" t="s">
        <v>135</v>
      </c>
      <c r="B141" s="21">
        <v>12028099</v>
      </c>
      <c r="C141" s="21" t="s">
        <v>224</v>
      </c>
      <c r="D141" s="22">
        <v>0.66666666666666663</v>
      </c>
    </row>
    <row r="142" spans="1:4">
      <c r="A142" s="21" t="s">
        <v>135</v>
      </c>
      <c r="B142" s="21">
        <v>12028099</v>
      </c>
      <c r="C142" s="21" t="s">
        <v>531</v>
      </c>
      <c r="D142" s="22">
        <v>0.60000000000000009</v>
      </c>
    </row>
    <row r="143" spans="1:4">
      <c r="A143" s="21" t="s">
        <v>129</v>
      </c>
      <c r="B143" s="21">
        <v>12020800</v>
      </c>
      <c r="C143" s="21" t="s">
        <v>225</v>
      </c>
      <c r="D143" s="22">
        <v>0.72807017543859653</v>
      </c>
    </row>
    <row r="144" spans="1:4">
      <c r="A144" s="21" t="s">
        <v>129</v>
      </c>
      <c r="B144" s="21">
        <v>12020800</v>
      </c>
      <c r="C144" s="21" t="s">
        <v>532</v>
      </c>
      <c r="D144" s="22">
        <v>0.53333333333333333</v>
      </c>
    </row>
    <row r="145" spans="1:4">
      <c r="A145" s="21" t="s">
        <v>129</v>
      </c>
      <c r="B145" s="21">
        <v>12020800</v>
      </c>
      <c r="C145" s="21" t="s">
        <v>533</v>
      </c>
      <c r="D145" s="22">
        <v>0.43771929824561401</v>
      </c>
    </row>
    <row r="146" spans="1:4">
      <c r="A146" s="21" t="s">
        <v>129</v>
      </c>
      <c r="B146" s="21">
        <v>12020800</v>
      </c>
      <c r="C146" s="21" t="s">
        <v>535</v>
      </c>
      <c r="D146" s="22">
        <v>0.67105263157894735</v>
      </c>
    </row>
    <row r="147" spans="1:4">
      <c r="A147" s="21" t="s">
        <v>130</v>
      </c>
      <c r="B147" s="21">
        <v>12060800</v>
      </c>
      <c r="C147" s="21" t="s">
        <v>226</v>
      </c>
      <c r="D147" s="22">
        <v>0.69064429824561391</v>
      </c>
    </row>
    <row r="148" spans="1:4">
      <c r="A148" s="21" t="s">
        <v>130</v>
      </c>
      <c r="B148" s="21">
        <v>12060800</v>
      </c>
      <c r="C148" s="21" t="s">
        <v>227</v>
      </c>
      <c r="D148" s="22">
        <v>0.6873535087719298</v>
      </c>
    </row>
    <row r="149" spans="1:4">
      <c r="A149" s="21" t="s">
        <v>131</v>
      </c>
      <c r="B149" s="21">
        <v>12040800</v>
      </c>
      <c r="C149" s="21" t="s">
        <v>228</v>
      </c>
      <c r="D149" s="22">
        <v>0.39495614035087717</v>
      </c>
    </row>
    <row r="150" spans="1:4">
      <c r="A150" s="21" t="s">
        <v>131</v>
      </c>
      <c r="B150" s="21">
        <v>12040800</v>
      </c>
      <c r="C150" s="21" t="s">
        <v>229</v>
      </c>
      <c r="D150" s="22">
        <v>0.6957600877192982</v>
      </c>
    </row>
    <row r="151" spans="1:4">
      <c r="A151" s="21" t="s">
        <v>132</v>
      </c>
      <c r="B151" s="21">
        <v>12030800</v>
      </c>
      <c r="C151" s="21" t="s">
        <v>230</v>
      </c>
      <c r="D151" s="22">
        <v>0.33333333333333331</v>
      </c>
    </row>
    <row r="152" spans="1:4">
      <c r="A152" s="21" t="s">
        <v>139</v>
      </c>
      <c r="D152" s="22">
        <v>84.938374122807033</v>
      </c>
    </row>
    <row r="153" spans="1:4">
      <c r="D153"/>
    </row>
    <row r="154" spans="1:4">
      <c r="D154"/>
    </row>
    <row r="155" spans="1:4">
      <c r="D155"/>
    </row>
    <row r="156" spans="1:4">
      <c r="D156"/>
    </row>
    <row r="157" spans="1:4">
      <c r="D157"/>
    </row>
    <row r="158" spans="1:4">
      <c r="D158"/>
    </row>
    <row r="159" spans="1:4">
      <c r="D159"/>
    </row>
    <row r="160" spans="1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U269"/>
  <sheetViews>
    <sheetView tabSelected="1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J9" sqref="J9"/>
    </sheetView>
  </sheetViews>
  <sheetFormatPr defaultColWidth="8.85546875" defaultRowHeight="15"/>
  <cols>
    <col min="1" max="1" width="14.140625" style="10" hidden="1" customWidth="1"/>
    <col min="2" max="2" width="19.42578125" style="10" customWidth="1"/>
    <col min="3" max="3" width="15.85546875" style="10" customWidth="1"/>
    <col min="4" max="4" width="14.140625" style="10" customWidth="1"/>
    <col min="5" max="5" width="11.42578125" style="11" customWidth="1"/>
    <col min="6" max="6" width="34.5703125" style="10" customWidth="1"/>
    <col min="7" max="8" width="11.85546875" style="12" customWidth="1"/>
    <col min="9" max="9" width="12.140625" style="10" customWidth="1"/>
    <col min="10" max="11" width="12.140625" style="41" customWidth="1"/>
    <col min="12" max="12" width="14.85546875" style="10" customWidth="1"/>
    <col min="13" max="13" width="17.42578125" style="10" customWidth="1"/>
    <col min="14" max="14" width="19" style="10" customWidth="1"/>
    <col min="15" max="15" width="20.85546875" style="10" customWidth="1"/>
    <col min="16" max="16" width="21.140625" style="10" customWidth="1"/>
    <col min="17" max="17" width="19.85546875" style="10" customWidth="1"/>
    <col min="18" max="19" width="19" style="10" customWidth="1"/>
    <col min="20" max="20" width="19" style="8" customWidth="1"/>
    <col min="21" max="21" width="19" style="13" customWidth="1"/>
    <col min="22" max="22" width="19.85546875" style="13" customWidth="1"/>
    <col min="23" max="24" width="21.85546875" style="13" customWidth="1"/>
    <col min="25" max="25" width="17.85546875" style="13" customWidth="1"/>
    <col min="26" max="29" width="17.85546875" style="10" customWidth="1"/>
    <col min="30" max="31" width="20.85546875" style="13" customWidth="1"/>
    <col min="32" max="32" width="26.140625" style="13" customWidth="1"/>
    <col min="33" max="38" width="26.85546875" style="10" customWidth="1"/>
    <col min="39" max="39" width="30.85546875" style="10" customWidth="1"/>
    <col min="40" max="40" width="42.140625" style="10" customWidth="1"/>
    <col min="41" max="41" width="24.140625" style="10" customWidth="1"/>
    <col min="42" max="42" width="37.5703125" style="10" customWidth="1"/>
    <col min="43" max="43" width="26.140625" style="10" customWidth="1"/>
    <col min="44" max="44" width="26.85546875" style="10" customWidth="1"/>
    <col min="45" max="45" width="24" style="10" customWidth="1"/>
    <col min="46" max="46" width="18.85546875" style="10" customWidth="1"/>
    <col min="47" max="47" width="24.140625" style="10" customWidth="1"/>
    <col min="48" max="48" width="37.5703125" style="10" customWidth="1"/>
    <col min="49" max="16384" width="8.85546875" style="10"/>
  </cols>
  <sheetData>
    <row r="1" spans="1:47">
      <c r="E1" s="8"/>
    </row>
    <row r="2" spans="1:47">
      <c r="B2" s="10" t="str">
        <f>'TRANS EMP EXTRACT - EMP CATEGOR'!B1</f>
        <v>Trans Hist Emp Extract</v>
      </c>
      <c r="C2" s="10" t="str">
        <f>'TRANS EMP EXTRACT - EMP CATEGOR'!C1</f>
        <v>From: 01/02/2023</v>
      </c>
      <c r="D2" s="10" t="str">
        <f>'TRANS EMP EXTRACT - EMP CATEGOR'!D1</f>
        <v>To: 28/02/2023</v>
      </c>
      <c r="E2" s="8"/>
      <c r="L2" s="14"/>
      <c r="M2" s="14"/>
      <c r="N2" s="14"/>
      <c r="O2" s="14"/>
      <c r="P2" s="14"/>
      <c r="Q2" s="14"/>
      <c r="R2" s="14"/>
      <c r="S2" s="14"/>
      <c r="T2" s="15"/>
      <c r="U2" s="16"/>
      <c r="V2" s="16"/>
      <c r="W2" s="16"/>
      <c r="X2" s="16"/>
      <c r="Y2" s="16"/>
      <c r="Z2" s="14"/>
      <c r="AA2" s="14"/>
      <c r="AB2" s="14"/>
      <c r="AC2" s="14"/>
      <c r="AD2" s="16"/>
      <c r="AE2" s="16"/>
      <c r="AF2" s="16"/>
      <c r="AG2" s="14"/>
      <c r="AH2" s="14"/>
      <c r="AI2" s="14"/>
      <c r="AJ2" s="14"/>
      <c r="AK2" s="14"/>
      <c r="AL2" s="14"/>
      <c r="AP2" s="9">
        <f>76*2</f>
        <v>152</v>
      </c>
    </row>
    <row r="3" spans="1:47">
      <c r="B3" s="10" t="s">
        <v>9</v>
      </c>
      <c r="C3" s="10" t="s">
        <v>10</v>
      </c>
      <c r="D3" s="10" t="s">
        <v>11</v>
      </c>
      <c r="E3" s="8" t="s">
        <v>12</v>
      </c>
      <c r="F3" s="10" t="s">
        <v>13</v>
      </c>
      <c r="G3" s="12" t="s">
        <v>14</v>
      </c>
      <c r="H3" s="12" t="s">
        <v>15</v>
      </c>
      <c r="I3" s="10" t="s">
        <v>16</v>
      </c>
      <c r="J3" s="41" t="s">
        <v>512</v>
      </c>
      <c r="K3" s="41" t="s">
        <v>513</v>
      </c>
      <c r="L3" s="10" t="s">
        <v>17</v>
      </c>
      <c r="M3" t="s">
        <v>18</v>
      </c>
      <c r="N3" s="10" t="s">
        <v>19</v>
      </c>
      <c r="O3" s="10" t="s">
        <v>20</v>
      </c>
      <c r="P3" s="10" t="s">
        <v>21</v>
      </c>
      <c r="Q3" s="10" t="s">
        <v>22</v>
      </c>
      <c r="R3" s="10" t="s">
        <v>23</v>
      </c>
      <c r="S3" s="10" t="s">
        <v>24</v>
      </c>
      <c r="T3" s="7" t="s">
        <v>25</v>
      </c>
      <c r="U3" s="13" t="s">
        <v>26</v>
      </c>
      <c r="V3" s="13" t="s">
        <v>27</v>
      </c>
      <c r="W3" s="13" t="s">
        <v>28</v>
      </c>
      <c r="X3" s="13" t="s">
        <v>29</v>
      </c>
      <c r="Y3" s="13" t="s">
        <v>30</v>
      </c>
      <c r="Z3" s="9" t="s">
        <v>31</v>
      </c>
      <c r="AA3" s="3" t="s">
        <v>32</v>
      </c>
      <c r="AB3" s="3" t="s">
        <v>33</v>
      </c>
      <c r="AC3" s="9" t="s">
        <v>34</v>
      </c>
      <c r="AD3" s="13" t="s">
        <v>35</v>
      </c>
      <c r="AE3" s="13" t="s">
        <v>36</v>
      </c>
      <c r="AF3" s="13" t="s">
        <v>37</v>
      </c>
      <c r="AG3" s="17" t="s">
        <v>38</v>
      </c>
      <c r="AH3" s="17" t="s">
        <v>39</v>
      </c>
      <c r="AI3" s="17" t="s">
        <v>40</v>
      </c>
      <c r="AJ3" s="17" t="s">
        <v>41</v>
      </c>
      <c r="AK3" s="17" t="s">
        <v>42</v>
      </c>
      <c r="AL3" s="17" t="s">
        <v>43</v>
      </c>
      <c r="AM3" s="10" t="s">
        <v>44</v>
      </c>
      <c r="AN3" s="10" t="s">
        <v>45</v>
      </c>
      <c r="AO3" s="10" t="s">
        <v>46</v>
      </c>
      <c r="AP3" s="10" t="s">
        <v>47</v>
      </c>
      <c r="AQ3" s="10" t="s">
        <v>48</v>
      </c>
      <c r="AR3" s="10" t="s">
        <v>49</v>
      </c>
      <c r="AS3" s="10" t="s">
        <v>50</v>
      </c>
      <c r="AT3" s="10" t="s">
        <v>51</v>
      </c>
      <c r="AU3" s="10" t="s">
        <v>276</v>
      </c>
    </row>
    <row r="4" spans="1:47" ht="14.45" customHeight="1">
      <c r="A4" s="11" t="str">
        <f>B4&amp;E4</f>
        <v>1202301118999</v>
      </c>
      <c r="B4" s="11">
        <f>'TRANS EMP EXTRACT - COST CENTRE'!B3</f>
        <v>12023011</v>
      </c>
      <c r="C4" s="10" t="str">
        <f>IFERROR(VLOOKUP(E4,'TRANS EMP EXTRACT - EMP CATEGOR'!A:B,2,FALSE),"")</f>
        <v>FT</v>
      </c>
      <c r="D4" s="10" t="str">
        <f>IFERROR(VLOOKUP(E4,'TRANS EMP EXTRACT - EMP CATEGOR'!A:C,3,FALSE),"")</f>
        <v>Fulltime</v>
      </c>
      <c r="E4" s="11">
        <f>'TRANS EMP EXTRACT - COST CENTRE'!D3</f>
        <v>18999</v>
      </c>
      <c r="F4" s="10" t="str">
        <f>IFERROR(VLOOKUP(E4,'TRANS EMP EXTRACT - COST CENTRE'!D:E,2,FALSE),"")</f>
        <v>ABAZARI  HASTI MRS</v>
      </c>
      <c r="G4" s="12">
        <f>IFERROR(INDEX('TRANS EMP EXTRACT - COST CENTRE'!$A$1:$Z$455,MATCH('Summary - Monthly'!$A4,'TRANS EMP EXTRACT - COST CENTRE'!$A:$A,0),MATCH('Summary - Monthly'!G$3,'TRANS EMP EXTRACT - COST CENTRE'!$2:$2,0)),"")</f>
        <v>44663</v>
      </c>
      <c r="H4" s="10" t="str">
        <f>IFERROR(INDEX('TRANS EMP EXTRACT - COST CENTRE'!$B$1:$Z$455,MATCH('Summary - Monthly'!$E4,'TRANS EMP EXTRACT - COST CENTRE'!$D:$D,0),MATCH('Summary - Monthly'!H$3,'TRANS EMP EXTRACT - COST CENTRE'!$2:$2,0)),"")</f>
        <v>RT</v>
      </c>
      <c r="I4" s="12" t="str">
        <f>IFERROR(INDEX('TRANS EMP EXTRACT - EMP CATEGOR'!$B$1:$AF$421,MATCH('Summary - Monthly'!$E4,'TRANS EMP EXTRACT - EMP CATEGOR'!$D:$D,0),MATCH('Summary - Monthly'!H$3,'TRANS EMP EXTRACT - EMP CATEGOR'!$2:$2,0)),"")</f>
        <v>RT</v>
      </c>
      <c r="J4" s="41">
        <f t="shared" ref="J4:J67" ca="1" si="0">getSLBalance(E4)</f>
        <v>19.279499999999999</v>
      </c>
      <c r="K4" s="41">
        <f t="shared" ref="K4:K68" ca="1" si="1">getALBalance(E4)</f>
        <v>7.8921999999999999</v>
      </c>
      <c r="L4" s="10">
        <f>IFERROR(INDEX('TRANS EMP EXTRACT - COST CENTRE'!$A$1:$Z$455,MATCH('Summary - Monthly'!$A4,'TRANS EMP EXTRACT - COST CENTRE'!$A:$A,0),MATCH('Summary - Monthly'!L$3,'TRANS EMP EXTRACT - COST CENTRE'!$2:$2,0)),"")</f>
        <v>91.2</v>
      </c>
      <c r="M4" s="10">
        <f>IFERROR(INDEX('TRANS EMP EXTRACT - COST CENTRE'!$A$1:$Z$455,MATCH('Summary - Monthly'!$A4,'TRANS EMP EXTRACT - COST CENTRE'!$A:$A,0),MATCH('Summary - Monthly'!M$3,'TRANS EMP EXTRACT - COST CENTRE'!$2:$2,0)),0)</f>
        <v>0</v>
      </c>
      <c r="N4" s="10">
        <f>IFERROR(INDEX('TRANS EMP EXTRACT - COST CENTRE'!$A$1:$Z$455,MATCH('Summary - Monthly'!$A4,'TRANS EMP EXTRACT - COST CENTRE'!$A:$A,0),MATCH('Summary - Monthly'!N$3,'TRANS EMP EXTRACT - COST CENTRE'!$2:$2,0)),0)</f>
        <v>0</v>
      </c>
      <c r="O4" s="10">
        <f>IFERROR(INDEX('TRANS EMP EXTRACT - COST CENTRE'!$A$1:$Z$455,MATCH('Summary - Monthly'!$A4,'TRANS EMP EXTRACT - COST CENTRE'!$A:$A,0),MATCH('Summary - Monthly'!O$3,'TRANS EMP EXTRACT - COST CENTRE'!$2:$2,0)),0)</f>
        <v>30.4</v>
      </c>
      <c r="P4" s="10">
        <f>IFERROR(INDEX('TRANS EMP EXTRACT - COST CENTRE'!$A$1:$Z$455,MATCH('Summary - Monthly'!$A4,'TRANS EMP EXTRACT - COST CENTRE'!$A:$A,0),MATCH('Summary - Monthly'!P$3,'TRANS EMP EXTRACT - COST CENTRE'!$2:$2,0)),0)</f>
        <v>0</v>
      </c>
      <c r="Q4" s="10">
        <f>IFERROR(INDEX('TRANS EMP EXTRACT - COST CENTRE'!$A$1:$Z$455,MATCH('Summary - Monthly'!$A4,'TRANS EMP EXTRACT - COST CENTRE'!$A:$A,0),MATCH('Summary - Monthly'!Q$3,'TRANS EMP EXTRACT - COST CENTRE'!$2:$2,0)),0)</f>
        <v>2</v>
      </c>
      <c r="R4" s="10">
        <f>IFERROR(INDEX('TRANS EMP EXTRACT - COST CENTRE'!$A$1:$Z$455,MATCH('Summary - Monthly'!$A4,'TRANS EMP EXTRACT - COST CENTRE'!$A:$A,0),MATCH('Summary - Monthly'!R$3,'TRANS EMP EXTRACT - COST CENTRE'!$2:$2,0)),0)</f>
        <v>0</v>
      </c>
      <c r="S4" s="10">
        <f>IFERROR(INDEX('TRANS EMP EXTRACT - COST CENTRE'!$A$1:$Z$455,MATCH('Summary - Monthly'!$A4,'TRANS EMP EXTRACT - COST CENTRE'!$A:$A,0),MATCH('Summary - Monthly'!S$3,'TRANS EMP EXTRACT - COST CENTRE'!$2:$2,0)),0)</f>
        <v>0</v>
      </c>
      <c r="T4" s="8">
        <f>IFERROR(INDEX('TRANS EMP EXTRACT - COST CENTRE'!$A$1:$Z$455,MATCH('Summary - Monthly'!$A4,'TRANS EMP EXTRACT - COST CENTRE'!$A:$A,0),MATCH('Summary - Monthly'!T$3,'TRANS EMP EXTRACT - COST CENTRE'!$2:$2,0)),0)</f>
        <v>0</v>
      </c>
      <c r="U4" s="13">
        <f>IFERROR(INDEX('TRANS EMP EXTRACT - COST CENTRE'!$A$1:$Z$455,MATCH('Summary - Monthly'!$A4,'TRANS EMP EXTRACT - COST CENTRE'!$A:$A,0),MATCH('Summary - Monthly'!U$3,'TRANS EMP EXTRACT - COST CENTRE'!$2:$2,0)),0)</f>
        <v>30.4</v>
      </c>
      <c r="V4" s="13">
        <f>IFERROR(INDEX('TRANS EMP EXTRACT - COST CENTRE'!$A$1:$Z$455,MATCH('Summary - Monthly'!$A4,'TRANS EMP EXTRACT - COST CENTRE'!$A:$A,0),MATCH('Summary - Monthly'!V$3,'TRANS EMP EXTRACT - COST CENTRE'!$2:$2,0)),0)</f>
        <v>0</v>
      </c>
      <c r="W4" s="13">
        <f>IFERROR(INDEX('TRANS EMP EXTRACT - COST CENTRE'!$A$1:$Z$455,MATCH('Summary - Monthly'!$A4,'TRANS EMP EXTRACT - COST CENTRE'!$A:$A,0),MATCH('Summary - Monthly'!W$3,'TRANS EMP EXTRACT - COST CENTRE'!$2:$2,0)),0)</f>
        <v>0</v>
      </c>
      <c r="X4" s="13">
        <f>IFERROR(INDEX('TRANS EMP EXTRACT - COST CENTRE'!$A$1:$Z$455,MATCH('Summary - Monthly'!$A4,'TRANS EMP EXTRACT - COST CENTRE'!$A:$A,0),MATCH('Summary - Monthly'!X$3,'TRANS EMP EXTRACT - COST CENTRE'!$2:$2,0)),0)</f>
        <v>0</v>
      </c>
      <c r="Y4" s="13">
        <f>IFERROR(INDEX('TRANS EMP EXTRACT - COST CENTRE'!$A$1:$Z$455,MATCH('Summary - Monthly'!$A4,'TRANS EMP EXTRACT - COST CENTRE'!$A:$A,0),MATCH('Summary - Monthly'!Y$3,'TRANS EMP EXTRACT - COST CENTRE'!$2:$2,0)),0)</f>
        <v>0</v>
      </c>
      <c r="Z4" s="10">
        <f>IFERROR(INDEX('TRANS EMP EXTRACT - COST CENTRE'!$A$1:$Z$455,MATCH('Summary - Monthly'!$A4,'TRANS EMP EXTRACT - COST CENTRE'!$A:$A,0),MATCH('Summary - Monthly'!Z$3,'TRANS EMP EXTRACT - COST CENTRE'!$2:$2,0)),0)</f>
        <v>0</v>
      </c>
      <c r="AA4" s="10">
        <f>IFERROR(INDEX('TRANS EMP EXTRACT - COST CENTRE'!$A$1:$Z$455,MATCH('Summary - Monthly'!$A4,'TRANS EMP EXTRACT - COST CENTRE'!$A:$A,0),MATCH('Summary - Monthly'!AA$3,'TRANS EMP EXTRACT - COST CENTRE'!$2:$2,0)),0)</f>
        <v>0</v>
      </c>
      <c r="AB4" s="10">
        <f>IFERROR(INDEX('TRANS EMP EXTRACT - COST CENTRE'!$A$1:$Z$455,MATCH('Summary - Monthly'!$A4,'TRANS EMP EXTRACT - COST CENTRE'!$A:$A,0),MATCH('Summary - Monthly'!AB$3,'TRANS EMP EXTRACT - COST CENTRE'!$2:$2,0)),0)</f>
        <v>0</v>
      </c>
      <c r="AC4" s="8">
        <f>IFERROR(INDEX('TRANS EMP EXTRACT - COST CENTRE'!$A$1:$Z$455,MATCH('Summary - Monthly'!$A4,'TRANS EMP EXTRACT - COST CENTRE'!$A:$A,0),MATCH('Summary - Monthly'!AC$3,'TRANS EMP EXTRACT - COST CENTRE'!$2:$2,0)),0)</f>
        <v>0</v>
      </c>
      <c r="AD4" s="13">
        <f>IFERROR(INDEX('TRANS EMP EXTRACT - COST CENTRE'!$A$1:$Z$455,MATCH('Summary - Monthly'!$A4,'TRANS EMP EXTRACT - COST CENTRE'!$A:$A,0),MATCH('Summary - Monthly'!AD$3,'TRANS EMP EXTRACT - COST CENTRE'!$2:$2,0)),0)</f>
        <v>0</v>
      </c>
      <c r="AE4" s="13">
        <f>IFERROR(INDEX('TRANS EMP EXTRACT - COST CENTRE'!$A$1:$Z$455,MATCH('Summary - Monthly'!$A4,'TRANS EMP EXTRACT - COST CENTRE'!$A:$A,0),MATCH('Summary - Monthly'!AE$3,'TRANS EMP EXTRACT - COST CENTRE'!$2:$2,0)),0)</f>
        <v>0</v>
      </c>
      <c r="AF4" s="13">
        <f>IFERROR(INDEX('TRANS EMP EXTRACT - COST CENTRE'!$A$1:$Z$455,MATCH('Summary - Monthly'!$A4,'TRANS EMP EXTRACT - COST CENTRE'!$A:$A,0),MATCH('Summary - Monthly'!AF$3,'TRANS EMP EXTRACT - COST CENTRE'!$2:$2,0)),0)</f>
        <v>0</v>
      </c>
      <c r="AG4" s="10">
        <f>IFERROR(INDEX('TRANS EMP EXTRACT - COST CENTRE'!$A$1:$Z$455,MATCH('Summary - Monthly'!$A4,'TRANS EMP EXTRACT - COST CENTRE'!$A:$A,0),MATCH('Summary - Monthly'!AG$3,'TRANS EMP EXTRACT - COST CENTRE'!$2:$2,0)),0)</f>
        <v>0</v>
      </c>
      <c r="AH4" s="10">
        <f>IFERROR(INDEX('TRANS EMP EXTRACT - COST CENTRE'!$A$1:$Z$455,MATCH('Summary - Monthly'!$A4,'TRANS EMP EXTRACT - COST CENTRE'!$A:$A,0),MATCH('Summary - Monthly'!AH$3,'TRANS EMP EXTRACT - COST CENTRE'!$2:$2,0)),0)</f>
        <v>0</v>
      </c>
      <c r="AI4" s="10">
        <f>IFERROR(INDEX('TRANS EMP EXTRACT - COST CENTRE'!$A$1:$Z$455,MATCH('Summary - Monthly'!$A4,'TRANS EMP EXTRACT - COST CENTRE'!$A:$A,0),MATCH('Summary - Monthly'!AI$3,'TRANS EMP EXTRACT - COST CENTRE'!$2:$2,0)),0)</f>
        <v>0</v>
      </c>
      <c r="AJ4" s="10">
        <f>IFERROR(INDEX('TRANS EMP EXTRACT - COST CENTRE'!$A$1:$Z$455,MATCH('Summary - Monthly'!$A4,'TRANS EMP EXTRACT - COST CENTRE'!$A:$A,0),MATCH('Summary - Monthly'!AJ$3,'TRANS EMP EXTRACT - COST CENTRE'!$2:$2,0)),0)</f>
        <v>0</v>
      </c>
      <c r="AK4" s="10">
        <f>IFERROR(INDEX('TRANS EMP EXTRACT - COST CENTRE'!$A$1:$Z$455,MATCH('Summary - Monthly'!$A4,'TRANS EMP EXTRACT - COST CENTRE'!$A:$A,0),MATCH('Summary - Monthly'!AK$3,'TRANS EMP EXTRACT - COST CENTRE'!$2:$2,0)),0)</f>
        <v>0</v>
      </c>
      <c r="AL4" s="10">
        <f>IFERROR(INDEX('TRANS EMP EXTRACT - COST CENTRE'!$A$1:$Z$455,MATCH('Summary - Monthly'!$A4,'TRANS EMP EXTRACT - COST CENTRE'!$A:$A,0),MATCH('Summary - Monthly'!AL$3,'TRANS EMP EXTRACT - COST CENTRE'!$2:$2,0)),0)</f>
        <v>0</v>
      </c>
      <c r="AM4" s="10">
        <f>SUM(L4:Y4)+SUM(AD4:AF4)-T4</f>
        <v>154</v>
      </c>
      <c r="AN4" s="14">
        <f t="shared" ref="AN4:AN67" si="2">SUM(Q4:S4)/$AP$2</f>
        <v>1.3157894736842105E-2</v>
      </c>
      <c r="AO4" s="18">
        <f>AM4/$AP$2</f>
        <v>1.013157894736842</v>
      </c>
      <c r="AP4" s="18">
        <f>(AM4-SUM(U4:Y4)-SUM(AD4:AF4))/$AP$2</f>
        <v>0.81315789473684208</v>
      </c>
      <c r="AQ4" s="10" t="str">
        <f>IFERROR(VLOOKUP(B4,Departments!A:C,3,FALSE),"")</f>
        <v>Microbiology</v>
      </c>
      <c r="AR4" s="10" t="str">
        <f>IFERROR(VLOOKUP(B4,Departments!A:B,2,FALSE),"")</f>
        <v>Sydney Micro</v>
      </c>
      <c r="AS4" s="10">
        <f>V4+Y4+Z4+AA4+AD4</f>
        <v>0</v>
      </c>
      <c r="AT4" s="10">
        <f>U4+V4+W4+X4+Y4+Z4+AA4+AB4+AC4+AD4+AE4+AF4</f>
        <v>30.4</v>
      </c>
      <c r="AU4" s="10" t="str">
        <f>_xlfn.IFNA(VLOOKUP(B4,Departments!A:D,4,FALSE),"")</f>
        <v>Sydney Micro</v>
      </c>
    </row>
    <row r="5" spans="1:47" s="8" customFormat="1" ht="14.45" customHeight="1">
      <c r="A5" s="11" t="str">
        <f t="shared" ref="A5:A68" si="3">B5&amp;E5</f>
        <v>1202102119033</v>
      </c>
      <c r="B5" s="11">
        <f>'TRANS EMP EXTRACT - COST CENTRE'!B4</f>
        <v>12021021</v>
      </c>
      <c r="C5" s="10" t="str">
        <f>IFERROR(VLOOKUP(E5,'TRANS EMP EXTRACT - EMP CATEGOR'!A:B,2,FALSE),"")</f>
        <v>FT</v>
      </c>
      <c r="D5" s="10" t="str">
        <f>IFERROR(VLOOKUP(E5,'TRANS EMP EXTRACT - EMP CATEGOR'!A:C,3,FALSE),"")</f>
        <v>Fulltime</v>
      </c>
      <c r="E5" s="11">
        <f>'TRANS EMP EXTRACT - COST CENTRE'!D4</f>
        <v>19033</v>
      </c>
      <c r="F5" s="10" t="str">
        <f>IFERROR(VLOOKUP(E5,'TRANS EMP EXTRACT - COST CENTRE'!D:E,2,FALSE),"")</f>
        <v>AHMADI  MARYAM MRS</v>
      </c>
      <c r="G5" s="12">
        <f>IFERROR(INDEX('TRANS EMP EXTRACT - COST CENTRE'!$A$1:$Z$455,MATCH('Summary - Monthly'!$A5,'TRANS EMP EXTRACT - COST CENTRE'!$A:$A,0),MATCH('Summary - Monthly'!G$3,'TRANS EMP EXTRACT - COST CENTRE'!$2:$2,0)),"")</f>
        <v>44802</v>
      </c>
      <c r="H5" s="10" t="str">
        <f>IFERROR(INDEX('TRANS EMP EXTRACT - COST CENTRE'!$B$1:$Z$455,MATCH('Summary - Monthly'!$E5,'TRANS EMP EXTRACT - COST CENTRE'!$D:$D,0),MATCH('Summary - Monthly'!H$3,'TRANS EMP EXTRACT - COST CENTRE'!$2:$2,0)),"")</f>
        <v>RT</v>
      </c>
      <c r="I5" s="12" t="str">
        <f>IFERROR(INDEX('TRANS EMP EXTRACT - EMP CATEGOR'!$B$1:$AF$421,MATCH('Summary - Monthly'!$E5,'TRANS EMP EXTRACT - EMP CATEGOR'!$D:$D,0),MATCH('Summary - Monthly'!H$3,'TRANS EMP EXTRACT - EMP CATEGOR'!$2:$2,0)),"")</f>
        <v>RT</v>
      </c>
      <c r="J5" s="41">
        <f t="shared" ca="1" si="0"/>
        <v>24.736999999999998</v>
      </c>
      <c r="K5" s="41">
        <f t="shared" ca="1" si="1"/>
        <v>39.874000000000002</v>
      </c>
      <c r="L5" s="10">
        <f>IFERROR(INDEX('TRANS EMP EXTRACT - COST CENTRE'!$A$1:$Z$455,MATCH('Summary - Monthly'!$A5,'TRANS EMP EXTRACT - COST CENTRE'!$A:$A,0),MATCH('Summary - Monthly'!L$3,'TRANS EMP EXTRACT - COST CENTRE'!$2:$2,0)),"")</f>
        <v>145.35</v>
      </c>
      <c r="M5" s="10">
        <f>IFERROR(INDEX('TRANS EMP EXTRACT - COST CENTRE'!$A$1:$Z$455,MATCH('Summary - Monthly'!$A5,'TRANS EMP EXTRACT - COST CENTRE'!$A:$A,0),MATCH('Summary - Monthly'!M$3,'TRANS EMP EXTRACT - COST CENTRE'!$2:$2,0)),0)</f>
        <v>0</v>
      </c>
      <c r="N5" s="10">
        <f>IFERROR(INDEX('TRANS EMP EXTRACT - COST CENTRE'!$A$1:$Z$455,MATCH('Summary - Monthly'!$A5,'TRANS EMP EXTRACT - COST CENTRE'!$A:$A,0),MATCH('Summary - Monthly'!N$3,'TRANS EMP EXTRACT - COST CENTRE'!$2:$2,0)),0)</f>
        <v>0</v>
      </c>
      <c r="O5" s="10">
        <f>IFERROR(INDEX('TRANS EMP EXTRACT - COST CENTRE'!$A$1:$Z$455,MATCH('Summary - Monthly'!$A5,'TRANS EMP EXTRACT - COST CENTRE'!$A:$A,0),MATCH('Summary - Monthly'!O$3,'TRANS EMP EXTRACT - COST CENTRE'!$2:$2,0)),0)</f>
        <v>0</v>
      </c>
      <c r="P5" s="10">
        <f>IFERROR(INDEX('TRANS EMP EXTRACT - COST CENTRE'!$A$1:$Z$455,MATCH('Summary - Monthly'!$A5,'TRANS EMP EXTRACT - COST CENTRE'!$A:$A,0),MATCH('Summary - Monthly'!P$3,'TRANS EMP EXTRACT - COST CENTRE'!$2:$2,0)),0)</f>
        <v>0</v>
      </c>
      <c r="Q5" s="10">
        <f>IFERROR(INDEX('TRANS EMP EXTRACT - COST CENTRE'!$A$1:$Z$455,MATCH('Summary - Monthly'!$A5,'TRANS EMP EXTRACT - COST CENTRE'!$A:$A,0),MATCH('Summary - Monthly'!Q$3,'TRANS EMP EXTRACT - COST CENTRE'!$2:$2,0)),0)</f>
        <v>14.3835</v>
      </c>
      <c r="R5" s="10">
        <f>IFERROR(INDEX('TRANS EMP EXTRACT - COST CENTRE'!$A$1:$Z$455,MATCH('Summary - Monthly'!$A5,'TRANS EMP EXTRACT - COST CENTRE'!$A:$A,0),MATCH('Summary - Monthly'!R$3,'TRANS EMP EXTRACT - COST CENTRE'!$2:$2,0)),0)</f>
        <v>0</v>
      </c>
      <c r="S5" s="10">
        <f>IFERROR(INDEX('TRANS EMP EXTRACT - COST CENTRE'!$A$1:$Z$455,MATCH('Summary - Monthly'!$A5,'TRANS EMP EXTRACT - COST CENTRE'!$A:$A,0),MATCH('Summary - Monthly'!S$3,'TRANS EMP EXTRACT - COST CENTRE'!$2:$2,0)),0)</f>
        <v>0</v>
      </c>
      <c r="T5" s="8">
        <f>IFERROR(INDEX('TRANS EMP EXTRACT - COST CENTRE'!$A$1:$Z$455,MATCH('Summary - Monthly'!$A5,'TRANS EMP EXTRACT - COST CENTRE'!$A:$A,0),MATCH('Summary - Monthly'!T$3,'TRANS EMP EXTRACT - COST CENTRE'!$2:$2,0)),0)</f>
        <v>0</v>
      </c>
      <c r="U5" s="13">
        <f>IFERROR(INDEX('TRANS EMP EXTRACT - COST CENTRE'!$A$1:$Z$455,MATCH('Summary - Monthly'!$A5,'TRANS EMP EXTRACT - COST CENTRE'!$A:$A,0),MATCH('Summary - Monthly'!U$3,'TRANS EMP EXTRACT - COST CENTRE'!$2:$2,0)),0)</f>
        <v>0</v>
      </c>
      <c r="V5" s="13">
        <f>IFERROR(INDEX('TRANS EMP EXTRACT - COST CENTRE'!$A$1:$Z$455,MATCH('Summary - Monthly'!$A5,'TRANS EMP EXTRACT - COST CENTRE'!$A:$A,0),MATCH('Summary - Monthly'!V$3,'TRANS EMP EXTRACT - COST CENTRE'!$2:$2,0)),0)</f>
        <v>6.6</v>
      </c>
      <c r="W5" s="13">
        <f>IFERROR(INDEX('TRANS EMP EXTRACT - COST CENTRE'!$A$1:$Z$455,MATCH('Summary - Monthly'!$A5,'TRANS EMP EXTRACT - COST CENTRE'!$A:$A,0),MATCH('Summary - Monthly'!W$3,'TRANS EMP EXTRACT - COST CENTRE'!$2:$2,0)),0)</f>
        <v>0</v>
      </c>
      <c r="X5" s="13">
        <f>IFERROR(INDEX('TRANS EMP EXTRACT - COST CENTRE'!$A$1:$Z$455,MATCH('Summary - Monthly'!$A5,'TRANS EMP EXTRACT - COST CENTRE'!$A:$A,0),MATCH('Summary - Monthly'!X$3,'TRANS EMP EXTRACT - COST CENTRE'!$2:$2,0)),0)</f>
        <v>0</v>
      </c>
      <c r="Y5" s="13">
        <f>IFERROR(INDEX('TRANS EMP EXTRACT - COST CENTRE'!$A$1:$Z$455,MATCH('Summary - Monthly'!$A5,'TRANS EMP EXTRACT - COST CENTRE'!$A:$A,0),MATCH('Summary - Monthly'!Y$3,'TRANS EMP EXTRACT - COST CENTRE'!$2:$2,0)),0)</f>
        <v>0</v>
      </c>
      <c r="Z5" s="10">
        <f>IFERROR(INDEX('TRANS EMP EXTRACT - COST CENTRE'!$A$1:$Z$455,MATCH('Summary - Monthly'!$A5,'TRANS EMP EXTRACT - COST CENTRE'!$A:$A,0),MATCH('Summary - Monthly'!Z$3,'TRANS EMP EXTRACT - COST CENTRE'!$2:$2,0)),0)</f>
        <v>0</v>
      </c>
      <c r="AA5" s="10">
        <f>IFERROR(INDEX('TRANS EMP EXTRACT - COST CENTRE'!$A$1:$Z$455,MATCH('Summary - Monthly'!$A5,'TRANS EMP EXTRACT - COST CENTRE'!$A:$A,0),MATCH('Summary - Monthly'!AA$3,'TRANS EMP EXTRACT - COST CENTRE'!$2:$2,0)),0)</f>
        <v>0</v>
      </c>
      <c r="AB5" s="10">
        <f>IFERROR(INDEX('TRANS EMP EXTRACT - COST CENTRE'!$A$1:$Z$455,MATCH('Summary - Monthly'!$A5,'TRANS EMP EXTRACT - COST CENTRE'!$A:$A,0),MATCH('Summary - Monthly'!AB$3,'TRANS EMP EXTRACT - COST CENTRE'!$2:$2,0)),0)</f>
        <v>0</v>
      </c>
      <c r="AC5" s="8">
        <f>IFERROR(INDEX('TRANS EMP EXTRACT - COST CENTRE'!$A$1:$Z$455,MATCH('Summary - Monthly'!$A5,'TRANS EMP EXTRACT - COST CENTRE'!$A:$A,0),MATCH('Summary - Monthly'!AC$3,'TRANS EMP EXTRACT - COST CENTRE'!$2:$2,0)),0)</f>
        <v>0</v>
      </c>
      <c r="AD5" s="13">
        <f>IFERROR(INDEX('TRANS EMP EXTRACT - COST CENTRE'!$A$1:$Z$455,MATCH('Summary - Monthly'!$A5,'TRANS EMP EXTRACT - COST CENTRE'!$A:$A,0),MATCH('Summary - Monthly'!AD$3,'TRANS EMP EXTRACT - COST CENTRE'!$2:$2,0)),0)</f>
        <v>0</v>
      </c>
      <c r="AE5" s="13">
        <f>IFERROR(INDEX('TRANS EMP EXTRACT - COST CENTRE'!$A$1:$Z$455,MATCH('Summary - Monthly'!$A5,'TRANS EMP EXTRACT - COST CENTRE'!$A:$A,0),MATCH('Summary - Monthly'!AE$3,'TRANS EMP EXTRACT - COST CENTRE'!$2:$2,0)),0)</f>
        <v>0</v>
      </c>
      <c r="AF5" s="13">
        <f>IFERROR(INDEX('TRANS EMP EXTRACT - COST CENTRE'!$A$1:$Z$455,MATCH('Summary - Monthly'!$A5,'TRANS EMP EXTRACT - COST CENTRE'!$A:$A,0),MATCH('Summary - Monthly'!AF$3,'TRANS EMP EXTRACT - COST CENTRE'!$2:$2,0)),0)</f>
        <v>0</v>
      </c>
      <c r="AG5" s="10">
        <f>IFERROR(INDEX('TRANS EMP EXTRACT - COST CENTRE'!$A$1:$Z$455,MATCH('Summary - Monthly'!$A5,'TRANS EMP EXTRACT - COST CENTRE'!$A:$A,0),MATCH('Summary - Monthly'!AG$3,'TRANS EMP EXTRACT - COST CENTRE'!$2:$2,0)),0)</f>
        <v>0</v>
      </c>
      <c r="AH5" s="10">
        <f>IFERROR(INDEX('TRANS EMP EXTRACT - COST CENTRE'!$A$1:$Z$455,MATCH('Summary - Monthly'!$A5,'TRANS EMP EXTRACT - COST CENTRE'!$A:$A,0),MATCH('Summary - Monthly'!AH$3,'TRANS EMP EXTRACT - COST CENTRE'!$2:$2,0)),0)</f>
        <v>0</v>
      </c>
      <c r="AI5" s="10">
        <f>IFERROR(INDEX('TRANS EMP EXTRACT - COST CENTRE'!$A$1:$Z$455,MATCH('Summary - Monthly'!$A5,'TRANS EMP EXTRACT - COST CENTRE'!$A:$A,0),MATCH('Summary - Monthly'!AI$3,'TRANS EMP EXTRACT - COST CENTRE'!$2:$2,0)),0)</f>
        <v>0</v>
      </c>
      <c r="AJ5" s="10">
        <f>IFERROR(INDEX('TRANS EMP EXTRACT - COST CENTRE'!$A$1:$Z$455,MATCH('Summary - Monthly'!$A5,'TRANS EMP EXTRACT - COST CENTRE'!$A:$A,0),MATCH('Summary - Monthly'!AJ$3,'TRANS EMP EXTRACT - COST CENTRE'!$2:$2,0)),0)</f>
        <v>0</v>
      </c>
      <c r="AK5" s="10">
        <f>IFERROR(INDEX('TRANS EMP EXTRACT - COST CENTRE'!$A$1:$Z$455,MATCH('Summary - Monthly'!$A5,'TRANS EMP EXTRACT - COST CENTRE'!$A:$A,0),MATCH('Summary - Monthly'!AK$3,'TRANS EMP EXTRACT - COST CENTRE'!$2:$2,0)),0)</f>
        <v>0</v>
      </c>
      <c r="AL5" s="10">
        <f>IFERROR(INDEX('TRANS EMP EXTRACT - COST CENTRE'!$A$1:$Z$455,MATCH('Summary - Monthly'!$A5,'TRANS EMP EXTRACT - COST CENTRE'!$A:$A,0),MATCH('Summary - Monthly'!AL$3,'TRANS EMP EXTRACT - COST CENTRE'!$2:$2,0)),0)</f>
        <v>0</v>
      </c>
      <c r="AM5" s="10">
        <f t="shared" ref="AM5:AM16" si="4">SUM(L5:Y5)+SUM(AD5:AF5)-T5</f>
        <v>166.33349999999999</v>
      </c>
      <c r="AN5" s="15">
        <f t="shared" si="2"/>
        <v>9.4628289473684207E-2</v>
      </c>
      <c r="AO5" s="18">
        <f t="shared" ref="AO5:AO68" si="5">AM5/$AP$2</f>
        <v>1.0942993421052631</v>
      </c>
      <c r="AP5" s="18">
        <f t="shared" ref="AP5:AP68" si="6">(AM5-SUM(U5:Y5)-SUM(AD5:AF5))/$AP$2</f>
        <v>1.0508782894736841</v>
      </c>
      <c r="AQ5" s="10" t="str">
        <f>IFERROR(VLOOKUP(B5,Departments!A:C,3,FALSE),"")</f>
        <v>Chemistry</v>
      </c>
      <c r="AR5" s="10" t="str">
        <f>IFERROR(VLOOKUP(B5,Departments!A:B,2,FALSE),"")</f>
        <v>Sydney Chem</v>
      </c>
      <c r="AS5" s="10">
        <f t="shared" ref="AS5:AS35" si="7">V5+Y5+Z5+AA5+AD5</f>
        <v>6.6</v>
      </c>
      <c r="AT5" s="10">
        <f t="shared" ref="AT5:AT35" si="8">U5+V5+W5+X5+Y5+Z5+AA5+AB5+AC5+AD5+AE5+AF5</f>
        <v>6.6</v>
      </c>
      <c r="AU5" s="10" t="str">
        <f>_xlfn.IFNA(VLOOKUP(B5,Departments!A:D,4,FALSE),"")</f>
        <v>Sydney Chem</v>
      </c>
    </row>
    <row r="6" spans="1:47" ht="14.45" customHeight="1">
      <c r="A6" s="11" t="str">
        <f t="shared" si="3"/>
        <v>1202301118962</v>
      </c>
      <c r="B6" s="11">
        <f>'TRANS EMP EXTRACT - COST CENTRE'!B5</f>
        <v>12023011</v>
      </c>
      <c r="C6" s="10" t="str">
        <f>IFERROR(VLOOKUP(E6,'TRANS EMP EXTRACT - EMP CATEGOR'!A:B,2,FALSE),"")</f>
        <v>FT</v>
      </c>
      <c r="D6" s="10" t="str">
        <f>IFERROR(VLOOKUP(E6,'TRANS EMP EXTRACT - EMP CATEGOR'!A:C,3,FALSE),"")</f>
        <v>Fulltime</v>
      </c>
      <c r="E6" s="11">
        <f>'TRANS EMP EXTRACT - COST CENTRE'!D5</f>
        <v>18962</v>
      </c>
      <c r="F6" s="10" t="str">
        <f>IFERROR(VLOOKUP(E6,'TRANS EMP EXTRACT - COST CENTRE'!D:E,2,FALSE),"")</f>
        <v>AHMED  IMTIAZ MR</v>
      </c>
      <c r="G6" s="12">
        <f>IFERROR(INDEX('TRANS EMP EXTRACT - COST CENTRE'!$A$1:$Z$455,MATCH('Summary - Monthly'!$A6,'TRANS EMP EXTRACT - COST CENTRE'!$A:$A,0),MATCH('Summary - Monthly'!G$3,'TRANS EMP EXTRACT - COST CENTRE'!$2:$2,0)),"")</f>
        <v>44424</v>
      </c>
      <c r="H6" s="10" t="str">
        <f>IFERROR(INDEX('TRANS EMP EXTRACT - COST CENTRE'!$B$1:$Z$455,MATCH('Summary - Monthly'!$E6,'TRANS EMP EXTRACT - COST CENTRE'!$D:$D,0),MATCH('Summary - Monthly'!H$3,'TRANS EMP EXTRACT - COST CENTRE'!$2:$2,0)),"")</f>
        <v>FN</v>
      </c>
      <c r="I6" s="12" t="str">
        <f>IFERROR(INDEX('TRANS EMP EXTRACT - EMP CATEGOR'!$B$1:$AF$421,MATCH('Summary - Monthly'!$E6,'TRANS EMP EXTRACT - EMP CATEGOR'!$D:$D,0),MATCH('Summary - Monthly'!H$3,'TRANS EMP EXTRACT - EMP CATEGOR'!$2:$2,0)),"")</f>
        <v>FN</v>
      </c>
      <c r="J6" s="41">
        <f t="shared" ca="1" si="0"/>
        <v>87.243799999999993</v>
      </c>
      <c r="K6" s="41">
        <f t="shared" ca="1" si="1"/>
        <v>30.087700000000002</v>
      </c>
      <c r="L6" s="10">
        <f>IFERROR(INDEX('TRANS EMP EXTRACT - COST CENTRE'!$A$1:$Z$455,MATCH('Summary - Monthly'!$A6,'TRANS EMP EXTRACT - COST CENTRE'!$A:$A,0),MATCH('Summary - Monthly'!L$3,'TRANS EMP EXTRACT - COST CENTRE'!$2:$2,0)),"")</f>
        <v>152</v>
      </c>
      <c r="M6" s="10">
        <f>IFERROR(INDEX('TRANS EMP EXTRACT - COST CENTRE'!$A$1:$Z$455,MATCH('Summary - Monthly'!$A6,'TRANS EMP EXTRACT - COST CENTRE'!$A:$A,0),MATCH('Summary - Monthly'!M$3,'TRANS EMP EXTRACT - COST CENTRE'!$2:$2,0)),0)</f>
        <v>0</v>
      </c>
      <c r="N6" s="10">
        <f>IFERROR(INDEX('TRANS EMP EXTRACT - COST CENTRE'!$A$1:$Z$455,MATCH('Summary - Monthly'!$A6,'TRANS EMP EXTRACT - COST CENTRE'!$A:$A,0),MATCH('Summary - Monthly'!N$3,'TRANS EMP EXTRACT - COST CENTRE'!$2:$2,0)),0)</f>
        <v>0</v>
      </c>
      <c r="O6" s="10">
        <f>IFERROR(INDEX('TRANS EMP EXTRACT - COST CENTRE'!$A$1:$Z$455,MATCH('Summary - Monthly'!$A6,'TRANS EMP EXTRACT - COST CENTRE'!$A:$A,0),MATCH('Summary - Monthly'!O$3,'TRANS EMP EXTRACT - COST CENTRE'!$2:$2,0)),0)</f>
        <v>0</v>
      </c>
      <c r="P6" s="10">
        <f>IFERROR(INDEX('TRANS EMP EXTRACT - COST CENTRE'!$A$1:$Z$455,MATCH('Summary - Monthly'!$A6,'TRANS EMP EXTRACT - COST CENTRE'!$A:$A,0),MATCH('Summary - Monthly'!P$3,'TRANS EMP EXTRACT - COST CENTRE'!$2:$2,0)),0)</f>
        <v>0</v>
      </c>
      <c r="Q6" s="10">
        <f>IFERROR(INDEX('TRANS EMP EXTRACT - COST CENTRE'!$A$1:$Z$455,MATCH('Summary - Monthly'!$A6,'TRANS EMP EXTRACT - COST CENTRE'!$A:$A,0),MATCH('Summary - Monthly'!Q$3,'TRANS EMP EXTRACT - COST CENTRE'!$2:$2,0)),0)</f>
        <v>0</v>
      </c>
      <c r="R6" s="10">
        <f>IFERROR(INDEX('TRANS EMP EXTRACT - COST CENTRE'!$A$1:$Z$455,MATCH('Summary - Monthly'!$A6,'TRANS EMP EXTRACT - COST CENTRE'!$A:$A,0),MATCH('Summary - Monthly'!R$3,'TRANS EMP EXTRACT - COST CENTRE'!$2:$2,0)),0)</f>
        <v>0</v>
      </c>
      <c r="S6" s="10">
        <f>IFERROR(INDEX('TRANS EMP EXTRACT - COST CENTRE'!$A$1:$Z$455,MATCH('Summary - Monthly'!$A6,'TRANS EMP EXTRACT - COST CENTRE'!$A:$A,0),MATCH('Summary - Monthly'!S$3,'TRANS EMP EXTRACT - COST CENTRE'!$2:$2,0)),0)</f>
        <v>0</v>
      </c>
      <c r="T6" s="8">
        <f>IFERROR(INDEX('TRANS EMP EXTRACT - COST CENTRE'!$A$1:$Z$455,MATCH('Summary - Monthly'!$A6,'TRANS EMP EXTRACT - COST CENTRE'!$A:$A,0),MATCH('Summary - Monthly'!T$3,'TRANS EMP EXTRACT - COST CENTRE'!$2:$2,0)),0)</f>
        <v>0</v>
      </c>
      <c r="U6" s="13">
        <f>IFERROR(INDEX('TRANS EMP EXTRACT - COST CENTRE'!$A$1:$Z$455,MATCH('Summary - Monthly'!$A6,'TRANS EMP EXTRACT - COST CENTRE'!$A:$A,0),MATCH('Summary - Monthly'!U$3,'TRANS EMP EXTRACT - COST CENTRE'!$2:$2,0)),0)</f>
        <v>0</v>
      </c>
      <c r="V6" s="13">
        <f>IFERROR(INDEX('TRANS EMP EXTRACT - COST CENTRE'!$A$1:$Z$455,MATCH('Summary - Monthly'!$A6,'TRANS EMP EXTRACT - COST CENTRE'!$A:$A,0),MATCH('Summary - Monthly'!V$3,'TRANS EMP EXTRACT - COST CENTRE'!$2:$2,0)),0)</f>
        <v>0</v>
      </c>
      <c r="W6" s="13">
        <f>IFERROR(INDEX('TRANS EMP EXTRACT - COST CENTRE'!$A$1:$Z$455,MATCH('Summary - Monthly'!$A6,'TRANS EMP EXTRACT - COST CENTRE'!$A:$A,0),MATCH('Summary - Monthly'!W$3,'TRANS EMP EXTRACT - COST CENTRE'!$2:$2,0)),0)</f>
        <v>0</v>
      </c>
      <c r="X6" s="13">
        <f>IFERROR(INDEX('TRANS EMP EXTRACT - COST CENTRE'!$A$1:$Z$455,MATCH('Summary - Monthly'!$A6,'TRANS EMP EXTRACT - COST CENTRE'!$A:$A,0),MATCH('Summary - Monthly'!X$3,'TRANS EMP EXTRACT - COST CENTRE'!$2:$2,0)),0)</f>
        <v>0</v>
      </c>
      <c r="Y6" s="13">
        <f>IFERROR(INDEX('TRANS EMP EXTRACT - COST CENTRE'!$A$1:$Z$455,MATCH('Summary - Monthly'!$A6,'TRANS EMP EXTRACT - COST CENTRE'!$A:$A,0),MATCH('Summary - Monthly'!Y$3,'TRANS EMP EXTRACT - COST CENTRE'!$2:$2,0)),0)</f>
        <v>0</v>
      </c>
      <c r="Z6" s="10">
        <f>IFERROR(INDEX('TRANS EMP EXTRACT - COST CENTRE'!$A$1:$Z$455,MATCH('Summary - Monthly'!$A6,'TRANS EMP EXTRACT - COST CENTRE'!$A:$A,0),MATCH('Summary - Monthly'!Z$3,'TRANS EMP EXTRACT - COST CENTRE'!$2:$2,0)),0)</f>
        <v>0</v>
      </c>
      <c r="AA6" s="10">
        <f>IFERROR(INDEX('TRANS EMP EXTRACT - COST CENTRE'!$A$1:$Z$455,MATCH('Summary - Monthly'!$A6,'TRANS EMP EXTRACT - COST CENTRE'!$A:$A,0),MATCH('Summary - Monthly'!AA$3,'TRANS EMP EXTRACT - COST CENTRE'!$2:$2,0)),0)</f>
        <v>0</v>
      </c>
      <c r="AB6" s="10">
        <f>IFERROR(INDEX('TRANS EMP EXTRACT - COST CENTRE'!$A$1:$Z$455,MATCH('Summary - Monthly'!$A6,'TRANS EMP EXTRACT - COST CENTRE'!$A:$A,0),MATCH('Summary - Monthly'!AB$3,'TRANS EMP EXTRACT - COST CENTRE'!$2:$2,0)),0)</f>
        <v>0</v>
      </c>
      <c r="AC6" s="8">
        <f>IFERROR(INDEX('TRANS EMP EXTRACT - COST CENTRE'!$A$1:$Z$455,MATCH('Summary - Monthly'!$A6,'TRANS EMP EXTRACT - COST CENTRE'!$A:$A,0),MATCH('Summary - Monthly'!AC$3,'TRANS EMP EXTRACT - COST CENTRE'!$2:$2,0)),0)</f>
        <v>0</v>
      </c>
      <c r="AD6" s="13">
        <f>IFERROR(INDEX('TRANS EMP EXTRACT - COST CENTRE'!$A$1:$Z$455,MATCH('Summary - Monthly'!$A6,'TRANS EMP EXTRACT - COST CENTRE'!$A:$A,0),MATCH('Summary - Monthly'!AD$3,'TRANS EMP EXTRACT - COST CENTRE'!$2:$2,0)),0)</f>
        <v>0</v>
      </c>
      <c r="AE6" s="13">
        <f>IFERROR(INDEX('TRANS EMP EXTRACT - COST CENTRE'!$A$1:$Z$455,MATCH('Summary - Monthly'!$A6,'TRANS EMP EXTRACT - COST CENTRE'!$A:$A,0),MATCH('Summary - Monthly'!AE$3,'TRANS EMP EXTRACT - COST CENTRE'!$2:$2,0)),0)</f>
        <v>0</v>
      </c>
      <c r="AF6" s="13">
        <f>IFERROR(INDEX('TRANS EMP EXTRACT - COST CENTRE'!$A$1:$Z$455,MATCH('Summary - Monthly'!$A6,'TRANS EMP EXTRACT - COST CENTRE'!$A:$A,0),MATCH('Summary - Monthly'!AF$3,'TRANS EMP EXTRACT - COST CENTRE'!$2:$2,0)),0)</f>
        <v>0</v>
      </c>
      <c r="AG6" s="10">
        <f>IFERROR(INDEX('TRANS EMP EXTRACT - COST CENTRE'!$A$1:$Z$455,MATCH('Summary - Monthly'!$A6,'TRANS EMP EXTRACT - COST CENTRE'!$A:$A,0),MATCH('Summary - Monthly'!AG$3,'TRANS EMP EXTRACT - COST CENTRE'!$2:$2,0)),0)</f>
        <v>0</v>
      </c>
      <c r="AH6" s="10">
        <f>IFERROR(INDEX('TRANS EMP EXTRACT - COST CENTRE'!$A$1:$Z$455,MATCH('Summary - Monthly'!$A6,'TRANS EMP EXTRACT - COST CENTRE'!$A:$A,0),MATCH('Summary - Monthly'!AH$3,'TRANS EMP EXTRACT - COST CENTRE'!$2:$2,0)),0)</f>
        <v>0</v>
      </c>
      <c r="AI6" s="10">
        <f>IFERROR(INDEX('TRANS EMP EXTRACT - COST CENTRE'!$A$1:$Z$455,MATCH('Summary - Monthly'!$A6,'TRANS EMP EXTRACT - COST CENTRE'!$A:$A,0),MATCH('Summary - Monthly'!AI$3,'TRANS EMP EXTRACT - COST CENTRE'!$2:$2,0)),0)</f>
        <v>0</v>
      </c>
      <c r="AJ6" s="10">
        <f>IFERROR(INDEX('TRANS EMP EXTRACT - COST CENTRE'!$A$1:$Z$455,MATCH('Summary - Monthly'!$A6,'TRANS EMP EXTRACT - COST CENTRE'!$A:$A,0),MATCH('Summary - Monthly'!AJ$3,'TRANS EMP EXTRACT - COST CENTRE'!$2:$2,0)),0)</f>
        <v>0</v>
      </c>
      <c r="AK6" s="10">
        <f>IFERROR(INDEX('TRANS EMP EXTRACT - COST CENTRE'!$A$1:$Z$455,MATCH('Summary - Monthly'!$A6,'TRANS EMP EXTRACT - COST CENTRE'!$A:$A,0),MATCH('Summary - Monthly'!AK$3,'TRANS EMP EXTRACT - COST CENTRE'!$2:$2,0)),0)</f>
        <v>0</v>
      </c>
      <c r="AL6" s="10">
        <f>IFERROR(INDEX('TRANS EMP EXTRACT - COST CENTRE'!$A$1:$Z$455,MATCH('Summary - Monthly'!$A6,'TRANS EMP EXTRACT - COST CENTRE'!$A:$A,0),MATCH('Summary - Monthly'!AL$3,'TRANS EMP EXTRACT - COST CENTRE'!$2:$2,0)),0)</f>
        <v>0</v>
      </c>
      <c r="AM6" s="10">
        <f t="shared" si="4"/>
        <v>152</v>
      </c>
      <c r="AN6" s="14">
        <f t="shared" si="2"/>
        <v>0</v>
      </c>
      <c r="AO6" s="18">
        <f t="shared" si="5"/>
        <v>1</v>
      </c>
      <c r="AP6" s="18">
        <f t="shared" si="6"/>
        <v>1</v>
      </c>
      <c r="AQ6" s="10" t="str">
        <f>IFERROR(VLOOKUP(B6,Departments!A:C,3,FALSE),"")</f>
        <v>Microbiology</v>
      </c>
      <c r="AR6" s="10" t="str">
        <f>IFERROR(VLOOKUP(B6,Departments!A:B,2,FALSE),"")</f>
        <v>Sydney Micro</v>
      </c>
      <c r="AS6" s="10">
        <f t="shared" si="7"/>
        <v>0</v>
      </c>
      <c r="AT6" s="10">
        <f t="shared" si="8"/>
        <v>0</v>
      </c>
      <c r="AU6" s="10" t="str">
        <f>_xlfn.IFNA(VLOOKUP(B6,Departments!A:D,4,FALSE),"")</f>
        <v>Sydney Micro</v>
      </c>
    </row>
    <row r="7" spans="1:47" ht="14.45" customHeight="1">
      <c r="A7" s="11" t="str">
        <f t="shared" si="3"/>
        <v>1203080018989</v>
      </c>
      <c r="B7" s="11">
        <f>'TRANS EMP EXTRACT - COST CENTRE'!B6</f>
        <v>12030800</v>
      </c>
      <c r="C7" s="10" t="str">
        <f>IFERROR(VLOOKUP(E7,'TRANS EMP EXTRACT - EMP CATEGOR'!A:B,2,FALSE),"")</f>
        <v>FT</v>
      </c>
      <c r="D7" s="10" t="str">
        <f>IFERROR(VLOOKUP(E7,'TRANS EMP EXTRACT - EMP CATEGOR'!A:C,3,FALSE),"")</f>
        <v>Fulltime</v>
      </c>
      <c r="E7" s="11">
        <f>'TRANS EMP EXTRACT - COST CENTRE'!D6</f>
        <v>18989</v>
      </c>
      <c r="F7" s="10" t="str">
        <f>IFERROR(VLOOKUP(E7,'TRANS EMP EXTRACT - COST CENTRE'!D:E,2,FALSE),"")</f>
        <v>AHN  ERIC MR</v>
      </c>
      <c r="G7" s="12">
        <f>IFERROR(INDEX('TRANS EMP EXTRACT - COST CENTRE'!$A$1:$Z$455,MATCH('Summary - Monthly'!$A7,'TRANS EMP EXTRACT - COST CENTRE'!$A:$A,0),MATCH('Summary - Monthly'!G$3,'TRANS EMP EXTRACT - COST CENTRE'!$2:$2,0)),"")</f>
        <v>44571</v>
      </c>
      <c r="H7" s="10" t="str">
        <f>IFERROR(INDEX('TRANS EMP EXTRACT - COST CENTRE'!$B$1:$Z$455,MATCH('Summary - Monthly'!$E7,'TRANS EMP EXTRACT - COST CENTRE'!$D:$D,0),MATCH('Summary - Monthly'!H$3,'TRANS EMP EXTRACT - COST CENTRE'!$2:$2,0)),"")</f>
        <v>RT</v>
      </c>
      <c r="I7" s="12" t="str">
        <f>IFERROR(INDEX('TRANS EMP EXTRACT - EMP CATEGOR'!$B$1:$AF$421,MATCH('Summary - Monthly'!$E7,'TRANS EMP EXTRACT - EMP CATEGOR'!$D:$D,0),MATCH('Summary - Monthly'!H$3,'TRANS EMP EXTRACT - EMP CATEGOR'!$2:$2,0)),"")</f>
        <v>RT</v>
      </c>
      <c r="J7" s="41">
        <f t="shared" ca="1" si="0"/>
        <v>26.235600000000002</v>
      </c>
      <c r="K7" s="41">
        <f t="shared" ca="1" si="1"/>
        <v>14.4712</v>
      </c>
      <c r="L7" s="10">
        <f>IFERROR(INDEX('TRANS EMP EXTRACT - COST CENTRE'!$A$1:$Z$455,MATCH('Summary - Monthly'!$A7,'TRANS EMP EXTRACT - COST CENTRE'!$A:$A,0),MATCH('Summary - Monthly'!L$3,'TRANS EMP EXTRACT - COST CENTRE'!$2:$2,0)),"")</f>
        <v>0</v>
      </c>
      <c r="M7" s="10">
        <f>IFERROR(INDEX('TRANS EMP EXTRACT - COST CENTRE'!$A$1:$Z$455,MATCH('Summary - Monthly'!$A7,'TRANS EMP EXTRACT - COST CENTRE'!$A:$A,0),MATCH('Summary - Monthly'!M$3,'TRANS EMP EXTRACT - COST CENTRE'!$2:$2,0)),0)</f>
        <v>0</v>
      </c>
      <c r="N7" s="10">
        <f>IFERROR(INDEX('TRANS EMP EXTRACT - COST CENTRE'!$A$1:$Z$455,MATCH('Summary - Monthly'!$A7,'TRANS EMP EXTRACT - COST CENTRE'!$A:$A,0),MATCH('Summary - Monthly'!N$3,'TRANS EMP EXTRACT - COST CENTRE'!$2:$2,0)),0)</f>
        <v>0</v>
      </c>
      <c r="O7" s="10">
        <f>IFERROR(INDEX('TRANS EMP EXTRACT - COST CENTRE'!$A$1:$Z$455,MATCH('Summary - Monthly'!$A7,'TRANS EMP EXTRACT - COST CENTRE'!$A:$A,0),MATCH('Summary - Monthly'!O$3,'TRANS EMP EXTRACT - COST CENTRE'!$2:$2,0)),0)</f>
        <v>0</v>
      </c>
      <c r="P7" s="10">
        <f>IFERROR(INDEX('TRANS EMP EXTRACT - COST CENTRE'!$A$1:$Z$455,MATCH('Summary - Monthly'!$A7,'TRANS EMP EXTRACT - COST CENTRE'!$A:$A,0),MATCH('Summary - Monthly'!P$3,'TRANS EMP EXTRACT - COST CENTRE'!$2:$2,0)),0)</f>
        <v>0</v>
      </c>
      <c r="Q7" s="10">
        <f>IFERROR(INDEX('TRANS EMP EXTRACT - COST CENTRE'!$A$1:$Z$455,MATCH('Summary - Monthly'!$A7,'TRANS EMP EXTRACT - COST CENTRE'!$A:$A,0),MATCH('Summary - Monthly'!Q$3,'TRANS EMP EXTRACT - COST CENTRE'!$2:$2,0)),0)</f>
        <v>0</v>
      </c>
      <c r="R7" s="10">
        <f>IFERROR(INDEX('TRANS EMP EXTRACT - COST CENTRE'!$A$1:$Z$455,MATCH('Summary - Monthly'!$A7,'TRANS EMP EXTRACT - COST CENTRE'!$A:$A,0),MATCH('Summary - Monthly'!R$3,'TRANS EMP EXTRACT - COST CENTRE'!$2:$2,0)),0)</f>
        <v>0</v>
      </c>
      <c r="S7" s="10">
        <f>IFERROR(INDEX('TRANS EMP EXTRACT - COST CENTRE'!$A$1:$Z$455,MATCH('Summary - Monthly'!$A7,'TRANS EMP EXTRACT - COST CENTRE'!$A:$A,0),MATCH('Summary - Monthly'!S$3,'TRANS EMP EXTRACT - COST CENTRE'!$2:$2,0)),0)</f>
        <v>0</v>
      </c>
      <c r="T7" s="8">
        <f>IFERROR(INDEX('TRANS EMP EXTRACT - COST CENTRE'!$A$1:$Z$455,MATCH('Summary - Monthly'!$A7,'TRANS EMP EXTRACT - COST CENTRE'!$A:$A,0),MATCH('Summary - Monthly'!T$3,'TRANS EMP EXTRACT - COST CENTRE'!$2:$2,0)),0)</f>
        <v>0</v>
      </c>
      <c r="U7" s="13">
        <f>IFERROR(INDEX('TRANS EMP EXTRACT - COST CENTRE'!$A$1:$Z$455,MATCH('Summary - Monthly'!$A7,'TRANS EMP EXTRACT - COST CENTRE'!$A:$A,0),MATCH('Summary - Monthly'!U$3,'TRANS EMP EXTRACT - COST CENTRE'!$2:$2,0)),0)</f>
        <v>76</v>
      </c>
      <c r="V7" s="13">
        <f>IFERROR(INDEX('TRANS EMP EXTRACT - COST CENTRE'!$A$1:$Z$455,MATCH('Summary - Monthly'!$A7,'TRANS EMP EXTRACT - COST CENTRE'!$A:$A,0),MATCH('Summary - Monthly'!V$3,'TRANS EMP EXTRACT - COST CENTRE'!$2:$2,0)),0)</f>
        <v>0</v>
      </c>
      <c r="W7" s="13">
        <f>IFERROR(INDEX('TRANS EMP EXTRACT - COST CENTRE'!$A$1:$Z$455,MATCH('Summary - Monthly'!$A7,'TRANS EMP EXTRACT - COST CENTRE'!$A:$A,0),MATCH('Summary - Monthly'!W$3,'TRANS EMP EXTRACT - COST CENTRE'!$2:$2,0)),0)</f>
        <v>0</v>
      </c>
      <c r="X7" s="13">
        <f>IFERROR(INDEX('TRANS EMP EXTRACT - COST CENTRE'!$A$1:$Z$455,MATCH('Summary - Monthly'!$A7,'TRANS EMP EXTRACT - COST CENTRE'!$A:$A,0),MATCH('Summary - Monthly'!X$3,'TRANS EMP EXTRACT - COST CENTRE'!$2:$2,0)),0)</f>
        <v>0</v>
      </c>
      <c r="Y7" s="13">
        <f>IFERROR(INDEX('TRANS EMP EXTRACT - COST CENTRE'!$A$1:$Z$455,MATCH('Summary - Monthly'!$A7,'TRANS EMP EXTRACT - COST CENTRE'!$A:$A,0),MATCH('Summary - Monthly'!Y$3,'TRANS EMP EXTRACT - COST CENTRE'!$2:$2,0)),0)</f>
        <v>0</v>
      </c>
      <c r="Z7" s="10">
        <f>IFERROR(INDEX('TRANS EMP EXTRACT - COST CENTRE'!$A$1:$Z$455,MATCH('Summary - Monthly'!$A7,'TRANS EMP EXTRACT - COST CENTRE'!$A:$A,0),MATCH('Summary - Monthly'!Z$3,'TRANS EMP EXTRACT - COST CENTRE'!$2:$2,0)),0)</f>
        <v>0</v>
      </c>
      <c r="AA7" s="10">
        <f>IFERROR(INDEX('TRANS EMP EXTRACT - COST CENTRE'!$A$1:$Z$455,MATCH('Summary - Monthly'!$A7,'TRANS EMP EXTRACT - COST CENTRE'!$A:$A,0),MATCH('Summary - Monthly'!AA$3,'TRANS EMP EXTRACT - COST CENTRE'!$2:$2,0)),0)</f>
        <v>0</v>
      </c>
      <c r="AB7" s="10">
        <f>IFERROR(INDEX('TRANS EMP EXTRACT - COST CENTRE'!$A$1:$Z$455,MATCH('Summary - Monthly'!$A7,'TRANS EMP EXTRACT - COST CENTRE'!$A:$A,0),MATCH('Summary - Monthly'!AB$3,'TRANS EMP EXTRACT - COST CENTRE'!$2:$2,0)),0)</f>
        <v>0</v>
      </c>
      <c r="AC7" s="8">
        <f>IFERROR(INDEX('TRANS EMP EXTRACT - COST CENTRE'!$A$1:$Z$455,MATCH('Summary - Monthly'!$A7,'TRANS EMP EXTRACT - COST CENTRE'!$A:$A,0),MATCH('Summary - Monthly'!AC$3,'TRANS EMP EXTRACT - COST CENTRE'!$2:$2,0)),0)</f>
        <v>0</v>
      </c>
      <c r="AD7" s="13">
        <f>IFERROR(INDEX('TRANS EMP EXTRACT - COST CENTRE'!$A$1:$Z$455,MATCH('Summary - Monthly'!$A7,'TRANS EMP EXTRACT - COST CENTRE'!$A:$A,0),MATCH('Summary - Monthly'!AD$3,'TRANS EMP EXTRACT - COST CENTRE'!$2:$2,0)),0)</f>
        <v>0</v>
      </c>
      <c r="AE7" s="13">
        <f>IFERROR(INDEX('TRANS EMP EXTRACT - COST CENTRE'!$A$1:$Z$455,MATCH('Summary - Monthly'!$A7,'TRANS EMP EXTRACT - COST CENTRE'!$A:$A,0),MATCH('Summary - Monthly'!AE$3,'TRANS EMP EXTRACT - COST CENTRE'!$2:$2,0)),0)</f>
        <v>0</v>
      </c>
      <c r="AF7" s="13">
        <f>IFERROR(INDEX('TRANS EMP EXTRACT - COST CENTRE'!$A$1:$Z$455,MATCH('Summary - Monthly'!$A7,'TRANS EMP EXTRACT - COST CENTRE'!$A:$A,0),MATCH('Summary - Monthly'!AF$3,'TRANS EMP EXTRACT - COST CENTRE'!$2:$2,0)),0)</f>
        <v>0</v>
      </c>
      <c r="AG7" s="10">
        <f>IFERROR(INDEX('TRANS EMP EXTRACT - COST CENTRE'!$A$1:$Z$455,MATCH('Summary - Monthly'!$A7,'TRANS EMP EXTRACT - COST CENTRE'!$A:$A,0),MATCH('Summary - Monthly'!AG$3,'TRANS EMP EXTRACT - COST CENTRE'!$2:$2,0)),0)</f>
        <v>0</v>
      </c>
      <c r="AH7" s="10">
        <f>IFERROR(INDEX('TRANS EMP EXTRACT - COST CENTRE'!$A$1:$Z$455,MATCH('Summary - Monthly'!$A7,'TRANS EMP EXTRACT - COST CENTRE'!$A:$A,0),MATCH('Summary - Monthly'!AH$3,'TRANS EMP EXTRACT - COST CENTRE'!$2:$2,0)),0)</f>
        <v>0</v>
      </c>
      <c r="AI7" s="10">
        <f>IFERROR(INDEX('TRANS EMP EXTRACT - COST CENTRE'!$A$1:$Z$455,MATCH('Summary - Monthly'!$A7,'TRANS EMP EXTRACT - COST CENTRE'!$A:$A,0),MATCH('Summary - Monthly'!AI$3,'TRANS EMP EXTRACT - COST CENTRE'!$2:$2,0)),0)</f>
        <v>0</v>
      </c>
      <c r="AJ7" s="10">
        <f>IFERROR(INDEX('TRANS EMP EXTRACT - COST CENTRE'!$A$1:$Z$455,MATCH('Summary - Monthly'!$A7,'TRANS EMP EXTRACT - COST CENTRE'!$A:$A,0),MATCH('Summary - Monthly'!AJ$3,'TRANS EMP EXTRACT - COST CENTRE'!$2:$2,0)),0)</f>
        <v>0</v>
      </c>
      <c r="AK7" s="10">
        <f>IFERROR(INDEX('TRANS EMP EXTRACT - COST CENTRE'!$A$1:$Z$455,MATCH('Summary - Monthly'!$A7,'TRANS EMP EXTRACT - COST CENTRE'!$A:$A,0),MATCH('Summary - Monthly'!AK$3,'TRANS EMP EXTRACT - COST CENTRE'!$2:$2,0)),0)</f>
        <v>0</v>
      </c>
      <c r="AL7" s="10">
        <f>IFERROR(INDEX('TRANS EMP EXTRACT - COST CENTRE'!$A$1:$Z$455,MATCH('Summary - Monthly'!$A7,'TRANS EMP EXTRACT - COST CENTRE'!$A:$A,0),MATCH('Summary - Monthly'!AL$3,'TRANS EMP EXTRACT - COST CENTRE'!$2:$2,0)),0)</f>
        <v>0</v>
      </c>
      <c r="AM7" s="10">
        <f t="shared" si="4"/>
        <v>76</v>
      </c>
      <c r="AN7" s="14">
        <f t="shared" si="2"/>
        <v>0</v>
      </c>
      <c r="AO7" s="18">
        <f t="shared" si="5"/>
        <v>0.5</v>
      </c>
      <c r="AP7" s="18">
        <f t="shared" si="6"/>
        <v>0</v>
      </c>
      <c r="AQ7" s="10" t="str">
        <f>IFERROR(VLOOKUP(B7,Departments!A:C,3,FALSE),"")</f>
        <v>Microbiology</v>
      </c>
      <c r="AR7" s="10" t="str">
        <f>IFERROR(VLOOKUP(B7,Departments!A:B,2,FALSE),"")</f>
        <v>MEL Sample Registration</v>
      </c>
      <c r="AS7" s="10">
        <f t="shared" si="7"/>
        <v>0</v>
      </c>
      <c r="AT7" s="10">
        <f t="shared" si="8"/>
        <v>76</v>
      </c>
      <c r="AU7" s="10" t="str">
        <f>_xlfn.IFNA(VLOOKUP(B7,Departments!A:D,4,FALSE),"")</f>
        <v>Melbourne Micro</v>
      </c>
    </row>
    <row r="8" spans="1:47" ht="14.45" customHeight="1">
      <c r="A8" s="11" t="str">
        <f t="shared" si="3"/>
        <v>1202071118954</v>
      </c>
      <c r="B8" s="11">
        <f>'TRANS EMP EXTRACT - COST CENTRE'!B7</f>
        <v>12020711</v>
      </c>
      <c r="C8" s="10" t="str">
        <f>IFERROR(VLOOKUP(E8,'TRANS EMP EXTRACT - EMP CATEGOR'!A:B,2,FALSE),"")</f>
        <v>FT</v>
      </c>
      <c r="D8" s="10" t="str">
        <f>IFERROR(VLOOKUP(E8,'TRANS EMP EXTRACT - EMP CATEGOR'!A:C,3,FALSE),"")</f>
        <v>Fulltime</v>
      </c>
      <c r="E8" s="11">
        <f>'TRANS EMP EXTRACT - COST CENTRE'!D7</f>
        <v>18954</v>
      </c>
      <c r="F8" s="10" t="str">
        <f>IFERROR(VLOOKUP(E8,'TRANS EMP EXTRACT - COST CENTRE'!D:E,2,FALSE),"")</f>
        <v>AKKOYUN  METE HAN MR</v>
      </c>
      <c r="G8" s="12">
        <f>IFERROR(INDEX('TRANS EMP EXTRACT - COST CENTRE'!$A$1:$Z$455,MATCH('Summary - Monthly'!$A8,'TRANS EMP EXTRACT - COST CENTRE'!$A:$A,0),MATCH('Summary - Monthly'!G$3,'TRANS EMP EXTRACT - COST CENTRE'!$2:$2,0)),"")</f>
        <v>44382</v>
      </c>
      <c r="H8" s="10" t="str">
        <f>IFERROR(INDEX('TRANS EMP EXTRACT - COST CENTRE'!$B$1:$Z$455,MATCH('Summary - Monthly'!$E8,'TRANS EMP EXTRACT - COST CENTRE'!$D:$D,0),MATCH('Summary - Monthly'!H$3,'TRANS EMP EXTRACT - COST CENTRE'!$2:$2,0)),"")</f>
        <v>FN</v>
      </c>
      <c r="I8" s="12" t="str">
        <f>IFERROR(INDEX('TRANS EMP EXTRACT - EMP CATEGOR'!$B$1:$AF$421,MATCH('Summary - Monthly'!$E8,'TRANS EMP EXTRACT - EMP CATEGOR'!$D:$D,0),MATCH('Summary - Monthly'!H$3,'TRANS EMP EXTRACT - EMP CATEGOR'!$2:$2,0)),"")</f>
        <v>FN</v>
      </c>
      <c r="J8" s="41">
        <f t="shared" ca="1" si="0"/>
        <v>80.789000000000001</v>
      </c>
      <c r="K8" s="41">
        <f t="shared" ca="1" si="1"/>
        <v>153.97810000000001</v>
      </c>
      <c r="L8" s="10">
        <f>IFERROR(INDEX('TRANS EMP EXTRACT - COST CENTRE'!$A$1:$Z$455,MATCH('Summary - Monthly'!$A8,'TRANS EMP EXTRACT - COST CENTRE'!$A:$A,0),MATCH('Summary - Monthly'!L$3,'TRANS EMP EXTRACT - COST CENTRE'!$2:$2,0)),"")</f>
        <v>152</v>
      </c>
      <c r="M8" s="10">
        <f>IFERROR(INDEX('TRANS EMP EXTRACT - COST CENTRE'!$A$1:$Z$455,MATCH('Summary - Monthly'!$A8,'TRANS EMP EXTRACT - COST CENTRE'!$A:$A,0),MATCH('Summary - Monthly'!M$3,'TRANS EMP EXTRACT - COST CENTRE'!$2:$2,0)),0)</f>
        <v>0</v>
      </c>
      <c r="N8" s="10">
        <f>IFERROR(INDEX('TRANS EMP EXTRACT - COST CENTRE'!$A$1:$Z$455,MATCH('Summary - Monthly'!$A8,'TRANS EMP EXTRACT - COST CENTRE'!$A:$A,0),MATCH('Summary - Monthly'!N$3,'TRANS EMP EXTRACT - COST CENTRE'!$2:$2,0)),0)</f>
        <v>0</v>
      </c>
      <c r="O8" s="10">
        <f>IFERROR(INDEX('TRANS EMP EXTRACT - COST CENTRE'!$A$1:$Z$455,MATCH('Summary - Monthly'!$A8,'TRANS EMP EXTRACT - COST CENTRE'!$A:$A,0),MATCH('Summary - Monthly'!O$3,'TRANS EMP EXTRACT - COST CENTRE'!$2:$2,0)),0)</f>
        <v>0</v>
      </c>
      <c r="P8" s="10">
        <f>IFERROR(INDEX('TRANS EMP EXTRACT - COST CENTRE'!$A$1:$Z$455,MATCH('Summary - Monthly'!$A8,'TRANS EMP EXTRACT - COST CENTRE'!$A:$A,0),MATCH('Summary - Monthly'!P$3,'TRANS EMP EXTRACT - COST CENTRE'!$2:$2,0)),0)</f>
        <v>0</v>
      </c>
      <c r="Q8" s="10">
        <f>IFERROR(INDEX('TRANS EMP EXTRACT - COST CENTRE'!$A$1:$Z$455,MATCH('Summary - Monthly'!$A8,'TRANS EMP EXTRACT - COST CENTRE'!$A:$A,0),MATCH('Summary - Monthly'!Q$3,'TRANS EMP EXTRACT - COST CENTRE'!$2:$2,0)),0)</f>
        <v>0</v>
      </c>
      <c r="R8" s="10">
        <f>IFERROR(INDEX('TRANS EMP EXTRACT - COST CENTRE'!$A$1:$Z$455,MATCH('Summary - Monthly'!$A8,'TRANS EMP EXTRACT - COST CENTRE'!$A:$A,0),MATCH('Summary - Monthly'!R$3,'TRANS EMP EXTRACT - COST CENTRE'!$2:$2,0)),0)</f>
        <v>0</v>
      </c>
      <c r="S8" s="10">
        <f>IFERROR(INDEX('TRANS EMP EXTRACT - COST CENTRE'!$A$1:$Z$455,MATCH('Summary - Monthly'!$A8,'TRANS EMP EXTRACT - COST CENTRE'!$A:$A,0),MATCH('Summary - Monthly'!S$3,'TRANS EMP EXTRACT - COST CENTRE'!$2:$2,0)),0)</f>
        <v>0</v>
      </c>
      <c r="T8" s="8">
        <f>IFERROR(INDEX('TRANS EMP EXTRACT - COST CENTRE'!$A$1:$Z$455,MATCH('Summary - Monthly'!$A8,'TRANS EMP EXTRACT - COST CENTRE'!$A:$A,0),MATCH('Summary - Monthly'!T$3,'TRANS EMP EXTRACT - COST CENTRE'!$2:$2,0)),0)</f>
        <v>0</v>
      </c>
      <c r="U8" s="13">
        <f>IFERROR(INDEX('TRANS EMP EXTRACT - COST CENTRE'!$A$1:$Z$455,MATCH('Summary - Monthly'!$A8,'TRANS EMP EXTRACT - COST CENTRE'!$A:$A,0),MATCH('Summary - Monthly'!U$3,'TRANS EMP EXTRACT - COST CENTRE'!$2:$2,0)),0)</f>
        <v>0</v>
      </c>
      <c r="V8" s="13">
        <f>IFERROR(INDEX('TRANS EMP EXTRACT - COST CENTRE'!$A$1:$Z$455,MATCH('Summary - Monthly'!$A8,'TRANS EMP EXTRACT - COST CENTRE'!$A:$A,0),MATCH('Summary - Monthly'!V$3,'TRANS EMP EXTRACT - COST CENTRE'!$2:$2,0)),0)</f>
        <v>0</v>
      </c>
      <c r="W8" s="13">
        <f>IFERROR(INDEX('TRANS EMP EXTRACT - COST CENTRE'!$A$1:$Z$455,MATCH('Summary - Monthly'!$A8,'TRANS EMP EXTRACT - COST CENTRE'!$A:$A,0),MATCH('Summary - Monthly'!W$3,'TRANS EMP EXTRACT - COST CENTRE'!$2:$2,0)),0)</f>
        <v>0</v>
      </c>
      <c r="X8" s="13">
        <f>IFERROR(INDEX('TRANS EMP EXTRACT - COST CENTRE'!$A$1:$Z$455,MATCH('Summary - Monthly'!$A8,'TRANS EMP EXTRACT - COST CENTRE'!$A:$A,0),MATCH('Summary - Monthly'!X$3,'TRANS EMP EXTRACT - COST CENTRE'!$2:$2,0)),0)</f>
        <v>0</v>
      </c>
      <c r="Y8" s="13">
        <f>IFERROR(INDEX('TRANS EMP EXTRACT - COST CENTRE'!$A$1:$Z$455,MATCH('Summary - Monthly'!$A8,'TRANS EMP EXTRACT - COST CENTRE'!$A:$A,0),MATCH('Summary - Monthly'!Y$3,'TRANS EMP EXTRACT - COST CENTRE'!$2:$2,0)),0)</f>
        <v>0</v>
      </c>
      <c r="Z8" s="10">
        <f>IFERROR(INDEX('TRANS EMP EXTRACT - COST CENTRE'!$A$1:$Z$455,MATCH('Summary - Monthly'!$A8,'TRANS EMP EXTRACT - COST CENTRE'!$A:$A,0),MATCH('Summary - Monthly'!Z$3,'TRANS EMP EXTRACT - COST CENTRE'!$2:$2,0)),0)</f>
        <v>0</v>
      </c>
      <c r="AA8" s="10">
        <f>IFERROR(INDEX('TRANS EMP EXTRACT - COST CENTRE'!$A$1:$Z$455,MATCH('Summary - Monthly'!$A8,'TRANS EMP EXTRACT - COST CENTRE'!$A:$A,0),MATCH('Summary - Monthly'!AA$3,'TRANS EMP EXTRACT - COST CENTRE'!$2:$2,0)),0)</f>
        <v>0</v>
      </c>
      <c r="AB8" s="10">
        <f>IFERROR(INDEX('TRANS EMP EXTRACT - COST CENTRE'!$A$1:$Z$455,MATCH('Summary - Monthly'!$A8,'TRANS EMP EXTRACT - COST CENTRE'!$A:$A,0),MATCH('Summary - Monthly'!AB$3,'TRANS EMP EXTRACT - COST CENTRE'!$2:$2,0)),0)</f>
        <v>0</v>
      </c>
      <c r="AC8" s="8">
        <f>IFERROR(INDEX('TRANS EMP EXTRACT - COST CENTRE'!$A$1:$Z$455,MATCH('Summary - Monthly'!$A8,'TRANS EMP EXTRACT - COST CENTRE'!$A:$A,0),MATCH('Summary - Monthly'!AC$3,'TRANS EMP EXTRACT - COST CENTRE'!$2:$2,0)),0)</f>
        <v>0</v>
      </c>
      <c r="AD8" s="13">
        <f>IFERROR(INDEX('TRANS EMP EXTRACT - COST CENTRE'!$A$1:$Z$455,MATCH('Summary - Monthly'!$A8,'TRANS EMP EXTRACT - COST CENTRE'!$A:$A,0),MATCH('Summary - Monthly'!AD$3,'TRANS EMP EXTRACT - COST CENTRE'!$2:$2,0)),0)</f>
        <v>0</v>
      </c>
      <c r="AE8" s="13">
        <f>IFERROR(INDEX('TRANS EMP EXTRACT - COST CENTRE'!$A$1:$Z$455,MATCH('Summary - Monthly'!$A8,'TRANS EMP EXTRACT - COST CENTRE'!$A:$A,0),MATCH('Summary - Monthly'!AE$3,'TRANS EMP EXTRACT - COST CENTRE'!$2:$2,0)),0)</f>
        <v>0</v>
      </c>
      <c r="AF8" s="13">
        <f>IFERROR(INDEX('TRANS EMP EXTRACT - COST CENTRE'!$A$1:$Z$455,MATCH('Summary - Monthly'!$A8,'TRANS EMP EXTRACT - COST CENTRE'!$A:$A,0),MATCH('Summary - Monthly'!AF$3,'TRANS EMP EXTRACT - COST CENTRE'!$2:$2,0)),0)</f>
        <v>0</v>
      </c>
      <c r="AG8" s="10">
        <f>IFERROR(INDEX('TRANS EMP EXTRACT - COST CENTRE'!$A$1:$Z$455,MATCH('Summary - Monthly'!$A8,'TRANS EMP EXTRACT - COST CENTRE'!$A:$A,0),MATCH('Summary - Monthly'!AG$3,'TRANS EMP EXTRACT - COST CENTRE'!$2:$2,0)),0)</f>
        <v>0</v>
      </c>
      <c r="AH8" s="10">
        <f>IFERROR(INDEX('TRANS EMP EXTRACT - COST CENTRE'!$A$1:$Z$455,MATCH('Summary - Monthly'!$A8,'TRANS EMP EXTRACT - COST CENTRE'!$A:$A,0),MATCH('Summary - Monthly'!AH$3,'TRANS EMP EXTRACT - COST CENTRE'!$2:$2,0)),0)</f>
        <v>0</v>
      </c>
      <c r="AI8" s="10">
        <f>IFERROR(INDEX('TRANS EMP EXTRACT - COST CENTRE'!$A$1:$Z$455,MATCH('Summary - Monthly'!$A8,'TRANS EMP EXTRACT - COST CENTRE'!$A:$A,0),MATCH('Summary - Monthly'!AI$3,'TRANS EMP EXTRACT - COST CENTRE'!$2:$2,0)),0)</f>
        <v>0</v>
      </c>
      <c r="AJ8" s="10">
        <f>IFERROR(INDEX('TRANS EMP EXTRACT - COST CENTRE'!$A$1:$Z$455,MATCH('Summary - Monthly'!$A8,'TRANS EMP EXTRACT - COST CENTRE'!$A:$A,0),MATCH('Summary - Monthly'!AJ$3,'TRANS EMP EXTRACT - COST CENTRE'!$2:$2,0)),0)</f>
        <v>0</v>
      </c>
      <c r="AK8" s="10">
        <f>IFERROR(INDEX('TRANS EMP EXTRACT - COST CENTRE'!$A$1:$Z$455,MATCH('Summary - Monthly'!$A8,'TRANS EMP EXTRACT - COST CENTRE'!$A:$A,0),MATCH('Summary - Monthly'!AK$3,'TRANS EMP EXTRACT - COST CENTRE'!$2:$2,0)),0)</f>
        <v>0</v>
      </c>
      <c r="AL8" s="10">
        <f>IFERROR(INDEX('TRANS EMP EXTRACT - COST CENTRE'!$A$1:$Z$455,MATCH('Summary - Monthly'!$A8,'TRANS EMP EXTRACT - COST CENTRE'!$A:$A,0),MATCH('Summary - Monthly'!AL$3,'TRANS EMP EXTRACT - COST CENTRE'!$2:$2,0)),0)</f>
        <v>0</v>
      </c>
      <c r="AM8" s="10">
        <f t="shared" si="4"/>
        <v>152</v>
      </c>
      <c r="AN8" s="14">
        <f t="shared" si="2"/>
        <v>0</v>
      </c>
      <c r="AO8" s="18">
        <f t="shared" si="5"/>
        <v>1</v>
      </c>
      <c r="AP8" s="18">
        <f t="shared" si="6"/>
        <v>1</v>
      </c>
      <c r="AQ8" s="10" t="str">
        <f>IFERROR(VLOOKUP(B8,Departments!A:C,3,FALSE),"")</f>
        <v>Microbiology</v>
      </c>
      <c r="AR8" s="10" t="str">
        <f>IFERROR(VLOOKUP(B8,Departments!A:B,2,FALSE),"")</f>
        <v>Sydney Micro</v>
      </c>
      <c r="AS8" s="10">
        <f t="shared" si="7"/>
        <v>0</v>
      </c>
      <c r="AT8" s="10">
        <f t="shared" si="8"/>
        <v>0</v>
      </c>
      <c r="AU8" s="10" t="str">
        <f>_xlfn.IFNA(VLOOKUP(B8,Departments!A:D,4,FALSE),"")</f>
        <v>Sydney Micro</v>
      </c>
    </row>
    <row r="9" spans="1:47" ht="14.45" customHeight="1">
      <c r="A9" s="11" t="str">
        <f t="shared" si="3"/>
        <v>1202061118866</v>
      </c>
      <c r="B9" s="11">
        <f>'TRANS EMP EXTRACT - COST CENTRE'!B8</f>
        <v>12020611</v>
      </c>
      <c r="C9" s="10" t="str">
        <f>IFERROR(VLOOKUP(E9,'TRANS EMP EXTRACT - EMP CATEGOR'!A:B,2,FALSE),"")</f>
        <v>FT</v>
      </c>
      <c r="D9" s="10" t="str">
        <f>IFERROR(VLOOKUP(E9,'TRANS EMP EXTRACT - EMP CATEGOR'!A:C,3,FALSE),"")</f>
        <v>Fulltime</v>
      </c>
      <c r="E9" s="11">
        <f>'TRANS EMP EXTRACT - COST CENTRE'!D8</f>
        <v>18866</v>
      </c>
      <c r="F9" s="10" t="str">
        <f>IFERROR(VLOOKUP(E9,'TRANS EMP EXTRACT - COST CENTRE'!D:E,2,FALSE),"")</f>
        <v>ALI  MEHWISH MRS</v>
      </c>
      <c r="G9" s="12">
        <f>IFERROR(INDEX('TRANS EMP EXTRACT - COST CENTRE'!$A$1:$Z$455,MATCH('Summary - Monthly'!$A9,'TRANS EMP EXTRACT - COST CENTRE'!$A:$A,0),MATCH('Summary - Monthly'!G$3,'TRANS EMP EXTRACT - COST CENTRE'!$2:$2,0)),"")</f>
        <v>43528</v>
      </c>
      <c r="H9" s="10" t="str">
        <f>IFERROR(INDEX('TRANS EMP EXTRACT - COST CENTRE'!$B$1:$Z$455,MATCH('Summary - Monthly'!$E9,'TRANS EMP EXTRACT - COST CENTRE'!$D:$D,0),MATCH('Summary - Monthly'!H$3,'TRANS EMP EXTRACT - COST CENTRE'!$2:$2,0)),"")</f>
        <v>RT</v>
      </c>
      <c r="I9" s="12" t="str">
        <f>IFERROR(INDEX('TRANS EMP EXTRACT - EMP CATEGOR'!$B$1:$AF$421,MATCH('Summary - Monthly'!$E9,'TRANS EMP EXTRACT - EMP CATEGOR'!$D:$D,0),MATCH('Summary - Monthly'!H$3,'TRANS EMP EXTRACT - EMP CATEGOR'!$2:$2,0)),"")</f>
        <v>RT</v>
      </c>
      <c r="J9" s="41">
        <f t="shared" ca="1" si="0"/>
        <v>108.7</v>
      </c>
      <c r="K9" s="41">
        <f t="shared" ca="1" si="1"/>
        <v>220.3999</v>
      </c>
      <c r="L9" s="10">
        <f>IFERROR(INDEX('TRANS EMP EXTRACT - COST CENTRE'!$A$1:$Z$455,MATCH('Summary - Monthly'!$A9,'TRANS EMP EXTRACT - COST CENTRE'!$A:$A,0),MATCH('Summary - Monthly'!L$3,'TRANS EMP EXTRACT - COST CENTRE'!$2:$2,0)),"")</f>
        <v>100.8</v>
      </c>
      <c r="M9" s="10">
        <f>IFERROR(INDEX('TRANS EMP EXTRACT - COST CENTRE'!$A$1:$Z$455,MATCH('Summary - Monthly'!$A9,'TRANS EMP EXTRACT - COST CENTRE'!$A:$A,0),MATCH('Summary - Monthly'!M$3,'TRANS EMP EXTRACT - COST CENTRE'!$2:$2,0)),0)</f>
        <v>0</v>
      </c>
      <c r="N9" s="10">
        <f>IFERROR(INDEX('TRANS EMP EXTRACT - COST CENTRE'!$A$1:$Z$455,MATCH('Summary - Monthly'!$A9,'TRANS EMP EXTRACT - COST CENTRE'!$A:$A,0),MATCH('Summary - Monthly'!N$3,'TRANS EMP EXTRACT - COST CENTRE'!$2:$2,0)),0)</f>
        <v>0</v>
      </c>
      <c r="O9" s="10">
        <f>IFERROR(INDEX('TRANS EMP EXTRACT - COST CENTRE'!$A$1:$Z$455,MATCH('Summary - Monthly'!$A9,'TRANS EMP EXTRACT - COST CENTRE'!$A:$A,0),MATCH('Summary - Monthly'!O$3,'TRANS EMP EXTRACT - COST CENTRE'!$2:$2,0)),0)</f>
        <v>0</v>
      </c>
      <c r="P9" s="10">
        <f>IFERROR(INDEX('TRANS EMP EXTRACT - COST CENTRE'!$A$1:$Z$455,MATCH('Summary - Monthly'!$A9,'TRANS EMP EXTRACT - COST CENTRE'!$A:$A,0),MATCH('Summary - Monthly'!P$3,'TRANS EMP EXTRACT - COST CENTRE'!$2:$2,0)),0)</f>
        <v>30.4</v>
      </c>
      <c r="Q9" s="10">
        <f>IFERROR(INDEX('TRANS EMP EXTRACT - COST CENTRE'!$A$1:$Z$455,MATCH('Summary - Monthly'!$A9,'TRANS EMP EXTRACT - COST CENTRE'!$A:$A,0),MATCH('Summary - Monthly'!Q$3,'TRANS EMP EXTRACT - COST CENTRE'!$2:$2,0)),0)</f>
        <v>0</v>
      </c>
      <c r="R9" s="10">
        <f>IFERROR(INDEX('TRANS EMP EXTRACT - COST CENTRE'!$A$1:$Z$455,MATCH('Summary - Monthly'!$A9,'TRANS EMP EXTRACT - COST CENTRE'!$A:$A,0),MATCH('Summary - Monthly'!R$3,'TRANS EMP EXTRACT - COST CENTRE'!$2:$2,0)),0)</f>
        <v>0</v>
      </c>
      <c r="S9" s="10">
        <f>IFERROR(INDEX('TRANS EMP EXTRACT - COST CENTRE'!$A$1:$Z$455,MATCH('Summary - Monthly'!$A9,'TRANS EMP EXTRACT - COST CENTRE'!$A:$A,0),MATCH('Summary - Monthly'!S$3,'TRANS EMP EXTRACT - COST CENTRE'!$2:$2,0)),0)</f>
        <v>0</v>
      </c>
      <c r="T9" s="8">
        <f>IFERROR(INDEX('TRANS EMP EXTRACT - COST CENTRE'!$A$1:$Z$455,MATCH('Summary - Monthly'!$A9,'TRANS EMP EXTRACT - COST CENTRE'!$A:$A,0),MATCH('Summary - Monthly'!T$3,'TRANS EMP EXTRACT - COST CENTRE'!$2:$2,0)),0)</f>
        <v>0</v>
      </c>
      <c r="U9" s="13">
        <f>IFERROR(INDEX('TRANS EMP EXTRACT - COST CENTRE'!$A$1:$Z$455,MATCH('Summary - Monthly'!$A9,'TRANS EMP EXTRACT - COST CENTRE'!$A:$A,0),MATCH('Summary - Monthly'!U$3,'TRANS EMP EXTRACT - COST CENTRE'!$2:$2,0)),0)</f>
        <v>15.2</v>
      </c>
      <c r="V9" s="13">
        <f>IFERROR(INDEX('TRANS EMP EXTRACT - COST CENTRE'!$A$1:$Z$455,MATCH('Summary - Monthly'!$A9,'TRANS EMP EXTRACT - COST CENTRE'!$A:$A,0),MATCH('Summary - Monthly'!V$3,'TRANS EMP EXTRACT - COST CENTRE'!$2:$2,0)),0)</f>
        <v>5.6</v>
      </c>
      <c r="W9" s="13">
        <f>IFERROR(INDEX('TRANS EMP EXTRACT - COST CENTRE'!$A$1:$Z$455,MATCH('Summary - Monthly'!$A9,'TRANS EMP EXTRACT - COST CENTRE'!$A:$A,0),MATCH('Summary - Monthly'!W$3,'TRANS EMP EXTRACT - COST CENTRE'!$2:$2,0)),0)</f>
        <v>0</v>
      </c>
      <c r="X9" s="13">
        <f>IFERROR(INDEX('TRANS EMP EXTRACT - COST CENTRE'!$A$1:$Z$455,MATCH('Summary - Monthly'!$A9,'TRANS EMP EXTRACT - COST CENTRE'!$A:$A,0),MATCH('Summary - Monthly'!X$3,'TRANS EMP EXTRACT - COST CENTRE'!$2:$2,0)),0)</f>
        <v>0</v>
      </c>
      <c r="Y9" s="13">
        <f>IFERROR(INDEX('TRANS EMP EXTRACT - COST CENTRE'!$A$1:$Z$455,MATCH('Summary - Monthly'!$A9,'TRANS EMP EXTRACT - COST CENTRE'!$A:$A,0),MATCH('Summary - Monthly'!Y$3,'TRANS EMP EXTRACT - COST CENTRE'!$2:$2,0)),0)</f>
        <v>0</v>
      </c>
      <c r="Z9" s="10">
        <f>IFERROR(INDEX('TRANS EMP EXTRACT - COST CENTRE'!$A$1:$Z$455,MATCH('Summary - Monthly'!$A9,'TRANS EMP EXTRACT - COST CENTRE'!$A:$A,0),MATCH('Summary - Monthly'!Z$3,'TRANS EMP EXTRACT - COST CENTRE'!$2:$2,0)),0)</f>
        <v>0</v>
      </c>
      <c r="AA9" s="10">
        <f>IFERROR(INDEX('TRANS EMP EXTRACT - COST CENTRE'!$A$1:$Z$455,MATCH('Summary - Monthly'!$A9,'TRANS EMP EXTRACT - COST CENTRE'!$A:$A,0),MATCH('Summary - Monthly'!AA$3,'TRANS EMP EXTRACT - COST CENTRE'!$2:$2,0)),0)</f>
        <v>0</v>
      </c>
      <c r="AB9" s="10">
        <f>IFERROR(INDEX('TRANS EMP EXTRACT - COST CENTRE'!$A$1:$Z$455,MATCH('Summary - Monthly'!$A9,'TRANS EMP EXTRACT - COST CENTRE'!$A:$A,0),MATCH('Summary - Monthly'!AB$3,'TRANS EMP EXTRACT - COST CENTRE'!$2:$2,0)),0)</f>
        <v>0</v>
      </c>
      <c r="AC9" s="8">
        <f>IFERROR(INDEX('TRANS EMP EXTRACT - COST CENTRE'!$A$1:$Z$455,MATCH('Summary - Monthly'!$A9,'TRANS EMP EXTRACT - COST CENTRE'!$A:$A,0),MATCH('Summary - Monthly'!AC$3,'TRANS EMP EXTRACT - COST CENTRE'!$2:$2,0)),0)</f>
        <v>0</v>
      </c>
      <c r="AD9" s="13">
        <f>IFERROR(INDEX('TRANS EMP EXTRACT - COST CENTRE'!$A$1:$Z$455,MATCH('Summary - Monthly'!$A9,'TRANS EMP EXTRACT - COST CENTRE'!$A:$A,0),MATCH('Summary - Monthly'!AD$3,'TRANS EMP EXTRACT - COST CENTRE'!$2:$2,0)),0)</f>
        <v>0</v>
      </c>
      <c r="AE9" s="13">
        <f>IFERROR(INDEX('TRANS EMP EXTRACT - COST CENTRE'!$A$1:$Z$455,MATCH('Summary - Monthly'!$A9,'TRANS EMP EXTRACT - COST CENTRE'!$A:$A,0),MATCH('Summary - Monthly'!AE$3,'TRANS EMP EXTRACT - COST CENTRE'!$2:$2,0)),0)</f>
        <v>0</v>
      </c>
      <c r="AF9" s="13">
        <f>IFERROR(INDEX('TRANS EMP EXTRACT - COST CENTRE'!$A$1:$Z$455,MATCH('Summary - Monthly'!$A9,'TRANS EMP EXTRACT - COST CENTRE'!$A:$A,0),MATCH('Summary - Monthly'!AF$3,'TRANS EMP EXTRACT - COST CENTRE'!$2:$2,0)),0)</f>
        <v>0</v>
      </c>
      <c r="AG9" s="10">
        <f>IFERROR(INDEX('TRANS EMP EXTRACT - COST CENTRE'!$A$1:$Z$455,MATCH('Summary - Monthly'!$A9,'TRANS EMP EXTRACT - COST CENTRE'!$A:$A,0),MATCH('Summary - Monthly'!AG$3,'TRANS EMP EXTRACT - COST CENTRE'!$2:$2,0)),0)</f>
        <v>0</v>
      </c>
      <c r="AH9" s="10">
        <f>IFERROR(INDEX('TRANS EMP EXTRACT - COST CENTRE'!$A$1:$Z$455,MATCH('Summary - Monthly'!$A9,'TRANS EMP EXTRACT - COST CENTRE'!$A:$A,0),MATCH('Summary - Monthly'!AH$3,'TRANS EMP EXTRACT - COST CENTRE'!$2:$2,0)),0)</f>
        <v>0</v>
      </c>
      <c r="AI9" s="10">
        <f>IFERROR(INDEX('TRANS EMP EXTRACT - COST CENTRE'!$A$1:$Z$455,MATCH('Summary - Monthly'!$A9,'TRANS EMP EXTRACT - COST CENTRE'!$A:$A,0),MATCH('Summary - Monthly'!AI$3,'TRANS EMP EXTRACT - COST CENTRE'!$2:$2,0)),0)</f>
        <v>0</v>
      </c>
      <c r="AJ9" s="10">
        <f>IFERROR(INDEX('TRANS EMP EXTRACT - COST CENTRE'!$A$1:$Z$455,MATCH('Summary - Monthly'!$A9,'TRANS EMP EXTRACT - COST CENTRE'!$A:$A,0),MATCH('Summary - Monthly'!AJ$3,'TRANS EMP EXTRACT - COST CENTRE'!$2:$2,0)),0)</f>
        <v>0</v>
      </c>
      <c r="AK9" s="10">
        <f>IFERROR(INDEX('TRANS EMP EXTRACT - COST CENTRE'!$A$1:$Z$455,MATCH('Summary - Monthly'!$A9,'TRANS EMP EXTRACT - COST CENTRE'!$A:$A,0),MATCH('Summary - Monthly'!AK$3,'TRANS EMP EXTRACT - COST CENTRE'!$2:$2,0)),0)</f>
        <v>0</v>
      </c>
      <c r="AL9" s="10">
        <f>IFERROR(INDEX('TRANS EMP EXTRACT - COST CENTRE'!$A$1:$Z$455,MATCH('Summary - Monthly'!$A9,'TRANS EMP EXTRACT - COST CENTRE'!$A:$A,0),MATCH('Summary - Monthly'!AL$3,'TRANS EMP EXTRACT - COST CENTRE'!$2:$2,0)),0)</f>
        <v>0</v>
      </c>
      <c r="AM9" s="10">
        <f t="shared" si="4"/>
        <v>151.99999999999997</v>
      </c>
      <c r="AN9" s="14">
        <f t="shared" si="2"/>
        <v>0</v>
      </c>
      <c r="AO9" s="18">
        <f t="shared" si="5"/>
        <v>0.99999999999999978</v>
      </c>
      <c r="AP9" s="18">
        <f t="shared" si="6"/>
        <v>0.86315789473684201</v>
      </c>
      <c r="AQ9" s="10" t="str">
        <f>IFERROR(VLOOKUP(B9,Departments!A:C,3,FALSE),"")</f>
        <v>Microbiology</v>
      </c>
      <c r="AR9" s="10" t="str">
        <f>IFERROR(VLOOKUP(B9,Departments!A:B,2,FALSE),"")</f>
        <v>Sydney Micro</v>
      </c>
      <c r="AS9" s="10">
        <f t="shared" si="7"/>
        <v>5.6</v>
      </c>
      <c r="AT9" s="10">
        <f t="shared" si="8"/>
        <v>20.799999999999997</v>
      </c>
      <c r="AU9" s="10" t="str">
        <f>_xlfn.IFNA(VLOOKUP(B9,Departments!A:D,4,FALSE),"")</f>
        <v>Sydney Micro</v>
      </c>
    </row>
    <row r="10" spans="1:47" ht="14.45" customHeight="1">
      <c r="A10" s="11" t="str">
        <f t="shared" si="3"/>
        <v>1202809918836</v>
      </c>
      <c r="B10" s="11">
        <f>'TRANS EMP EXTRACT - COST CENTRE'!B9</f>
        <v>12028099</v>
      </c>
      <c r="C10" s="10" t="str">
        <f>IFERROR(VLOOKUP(E10,'TRANS EMP EXTRACT - EMP CATEGOR'!A:B,2,FALSE),"")</f>
        <v>FT</v>
      </c>
      <c r="D10" s="10" t="str">
        <f>IFERROR(VLOOKUP(E10,'TRANS EMP EXTRACT - EMP CATEGOR'!A:C,3,FALSE),"")</f>
        <v>Fulltime</v>
      </c>
      <c r="E10" s="11">
        <f>'TRANS EMP EXTRACT - COST CENTRE'!D9</f>
        <v>18836</v>
      </c>
      <c r="F10" s="10" t="str">
        <f>IFERROR(VLOOKUP(E10,'TRANS EMP EXTRACT - COST CENTRE'!D:E,2,FALSE),"")</f>
        <v>ALISIC  SUVADA MRS</v>
      </c>
      <c r="G10" s="12">
        <f>IFERROR(INDEX('TRANS EMP EXTRACT - COST CENTRE'!$A$1:$Z$455,MATCH('Summary - Monthly'!$A10,'TRANS EMP EXTRACT - COST CENTRE'!$A:$A,0),MATCH('Summary - Monthly'!G$3,'TRANS EMP EXTRACT - COST CENTRE'!$2:$2,0)),"")</f>
        <v>43353</v>
      </c>
      <c r="H10" s="10" t="str">
        <f>IFERROR(INDEX('TRANS EMP EXTRACT - COST CENTRE'!$B$1:$Z$455,MATCH('Summary - Monthly'!$E10,'TRANS EMP EXTRACT - COST CENTRE'!$D:$D,0),MATCH('Summary - Monthly'!H$3,'TRANS EMP EXTRACT - COST CENTRE'!$2:$2,0)),"")</f>
        <v>RT</v>
      </c>
      <c r="I10" s="12" t="str">
        <f>IFERROR(INDEX('TRANS EMP EXTRACT - EMP CATEGOR'!$B$1:$AF$421,MATCH('Summary - Monthly'!$E10,'TRANS EMP EXTRACT - EMP CATEGOR'!$D:$D,0),MATCH('Summary - Monthly'!H$3,'TRANS EMP EXTRACT - EMP CATEGOR'!$2:$2,0)),"")</f>
        <v>RT</v>
      </c>
      <c r="J10" s="41">
        <f t="shared" ca="1" si="0"/>
        <v>100.0382</v>
      </c>
      <c r="K10" s="41">
        <f t="shared" ca="1" si="1"/>
        <v>126.0766</v>
      </c>
      <c r="L10" s="10">
        <f>IFERROR(INDEX('TRANS EMP EXTRACT - COST CENTRE'!$A$1:$Z$455,MATCH('Summary - Monthly'!$A10,'TRANS EMP EXTRACT - COST CENTRE'!$A:$A,0),MATCH('Summary - Monthly'!L$3,'TRANS EMP EXTRACT - COST CENTRE'!$2:$2,0)),"")</f>
        <v>152</v>
      </c>
      <c r="M10" s="10">
        <f>IFERROR(INDEX('TRANS EMP EXTRACT - COST CENTRE'!$A$1:$Z$455,MATCH('Summary - Monthly'!$A10,'TRANS EMP EXTRACT - COST CENTRE'!$A:$A,0),MATCH('Summary - Monthly'!M$3,'TRANS EMP EXTRACT - COST CENTRE'!$2:$2,0)),0)</f>
        <v>0</v>
      </c>
      <c r="N10" s="10">
        <f>IFERROR(INDEX('TRANS EMP EXTRACT - COST CENTRE'!$A$1:$Z$455,MATCH('Summary - Monthly'!$A10,'TRANS EMP EXTRACT - COST CENTRE'!$A:$A,0),MATCH('Summary - Monthly'!N$3,'TRANS EMP EXTRACT - COST CENTRE'!$2:$2,0)),0)</f>
        <v>0</v>
      </c>
      <c r="O10" s="10">
        <f>IFERROR(INDEX('TRANS EMP EXTRACT - COST CENTRE'!$A$1:$Z$455,MATCH('Summary - Monthly'!$A10,'TRANS EMP EXTRACT - COST CENTRE'!$A:$A,0),MATCH('Summary - Monthly'!O$3,'TRANS EMP EXTRACT - COST CENTRE'!$2:$2,0)),0)</f>
        <v>0</v>
      </c>
      <c r="P10" s="10">
        <f>IFERROR(INDEX('TRANS EMP EXTRACT - COST CENTRE'!$A$1:$Z$455,MATCH('Summary - Monthly'!$A10,'TRANS EMP EXTRACT - COST CENTRE'!$A:$A,0),MATCH('Summary - Monthly'!P$3,'TRANS EMP EXTRACT - COST CENTRE'!$2:$2,0)),0)</f>
        <v>0</v>
      </c>
      <c r="Q10" s="10">
        <f>IFERROR(INDEX('TRANS EMP EXTRACT - COST CENTRE'!$A$1:$Z$455,MATCH('Summary - Monthly'!$A10,'TRANS EMP EXTRACT - COST CENTRE'!$A:$A,0),MATCH('Summary - Monthly'!Q$3,'TRANS EMP EXTRACT - COST CENTRE'!$2:$2,0)),0)</f>
        <v>0</v>
      </c>
      <c r="R10" s="10">
        <f>IFERROR(INDEX('TRANS EMP EXTRACT - COST CENTRE'!$A$1:$Z$455,MATCH('Summary - Monthly'!$A10,'TRANS EMP EXTRACT - COST CENTRE'!$A:$A,0),MATCH('Summary - Monthly'!R$3,'TRANS EMP EXTRACT - COST CENTRE'!$2:$2,0)),0)</f>
        <v>0</v>
      </c>
      <c r="S10" s="10">
        <f>IFERROR(INDEX('TRANS EMP EXTRACT - COST CENTRE'!$A$1:$Z$455,MATCH('Summary - Monthly'!$A10,'TRANS EMP EXTRACT - COST CENTRE'!$A:$A,0),MATCH('Summary - Monthly'!S$3,'TRANS EMP EXTRACT - COST CENTRE'!$2:$2,0)),0)</f>
        <v>0</v>
      </c>
      <c r="T10" s="8">
        <f>IFERROR(INDEX('TRANS EMP EXTRACT - COST CENTRE'!$A$1:$Z$455,MATCH('Summary - Monthly'!$A10,'TRANS EMP EXTRACT - COST CENTRE'!$A:$A,0),MATCH('Summary - Monthly'!T$3,'TRANS EMP EXTRACT - COST CENTRE'!$2:$2,0)),0)</f>
        <v>0</v>
      </c>
      <c r="U10" s="13">
        <f>IFERROR(INDEX('TRANS EMP EXTRACT - COST CENTRE'!$A$1:$Z$455,MATCH('Summary - Monthly'!$A10,'TRANS EMP EXTRACT - COST CENTRE'!$A:$A,0),MATCH('Summary - Monthly'!U$3,'TRANS EMP EXTRACT - COST CENTRE'!$2:$2,0)),0)</f>
        <v>0</v>
      </c>
      <c r="V10" s="13">
        <f>IFERROR(INDEX('TRANS EMP EXTRACT - COST CENTRE'!$A$1:$Z$455,MATCH('Summary - Monthly'!$A10,'TRANS EMP EXTRACT - COST CENTRE'!$A:$A,0),MATCH('Summary - Monthly'!V$3,'TRANS EMP EXTRACT - COST CENTRE'!$2:$2,0)),0)</f>
        <v>0</v>
      </c>
      <c r="W10" s="13">
        <f>IFERROR(INDEX('TRANS EMP EXTRACT - COST CENTRE'!$A$1:$Z$455,MATCH('Summary - Monthly'!$A10,'TRANS EMP EXTRACT - COST CENTRE'!$A:$A,0),MATCH('Summary - Monthly'!W$3,'TRANS EMP EXTRACT - COST CENTRE'!$2:$2,0)),0)</f>
        <v>0</v>
      </c>
      <c r="X10" s="13">
        <f>IFERROR(INDEX('TRANS EMP EXTRACT - COST CENTRE'!$A$1:$Z$455,MATCH('Summary - Monthly'!$A10,'TRANS EMP EXTRACT - COST CENTRE'!$A:$A,0),MATCH('Summary - Monthly'!X$3,'TRANS EMP EXTRACT - COST CENTRE'!$2:$2,0)),0)</f>
        <v>0</v>
      </c>
      <c r="Y10" s="13">
        <f>IFERROR(INDEX('TRANS EMP EXTRACT - COST CENTRE'!$A$1:$Z$455,MATCH('Summary - Monthly'!$A10,'TRANS EMP EXTRACT - COST CENTRE'!$A:$A,0),MATCH('Summary - Monthly'!Y$3,'TRANS EMP EXTRACT - COST CENTRE'!$2:$2,0)),0)</f>
        <v>0</v>
      </c>
      <c r="Z10" s="10">
        <f>IFERROR(INDEX('TRANS EMP EXTRACT - COST CENTRE'!$A$1:$Z$455,MATCH('Summary - Monthly'!$A10,'TRANS EMP EXTRACT - COST CENTRE'!$A:$A,0),MATCH('Summary - Monthly'!Z$3,'TRANS EMP EXTRACT - COST CENTRE'!$2:$2,0)),0)</f>
        <v>0</v>
      </c>
      <c r="AA10" s="10">
        <f>IFERROR(INDEX('TRANS EMP EXTRACT - COST CENTRE'!$A$1:$Z$455,MATCH('Summary - Monthly'!$A10,'TRANS EMP EXTRACT - COST CENTRE'!$A:$A,0),MATCH('Summary - Monthly'!AA$3,'TRANS EMP EXTRACT - COST CENTRE'!$2:$2,0)),0)</f>
        <v>0</v>
      </c>
      <c r="AB10" s="10">
        <f>IFERROR(INDEX('TRANS EMP EXTRACT - COST CENTRE'!$A$1:$Z$455,MATCH('Summary - Monthly'!$A10,'TRANS EMP EXTRACT - COST CENTRE'!$A:$A,0),MATCH('Summary - Monthly'!AB$3,'TRANS EMP EXTRACT - COST CENTRE'!$2:$2,0)),0)</f>
        <v>0</v>
      </c>
      <c r="AC10" s="8">
        <f>IFERROR(INDEX('TRANS EMP EXTRACT - COST CENTRE'!$A$1:$Z$455,MATCH('Summary - Monthly'!$A10,'TRANS EMP EXTRACT - COST CENTRE'!$A:$A,0),MATCH('Summary - Monthly'!AC$3,'TRANS EMP EXTRACT - COST CENTRE'!$2:$2,0)),0)</f>
        <v>0</v>
      </c>
      <c r="AD10" s="13">
        <f>IFERROR(INDEX('TRANS EMP EXTRACT - COST CENTRE'!$A$1:$Z$455,MATCH('Summary - Monthly'!$A10,'TRANS EMP EXTRACT - COST CENTRE'!$A:$A,0),MATCH('Summary - Monthly'!AD$3,'TRANS EMP EXTRACT - COST CENTRE'!$2:$2,0)),0)</f>
        <v>0</v>
      </c>
      <c r="AE10" s="13">
        <f>IFERROR(INDEX('TRANS EMP EXTRACT - COST CENTRE'!$A$1:$Z$455,MATCH('Summary - Monthly'!$A10,'TRANS EMP EXTRACT - COST CENTRE'!$A:$A,0),MATCH('Summary - Monthly'!AE$3,'TRANS EMP EXTRACT - COST CENTRE'!$2:$2,0)),0)</f>
        <v>0</v>
      </c>
      <c r="AF10" s="13">
        <f>IFERROR(INDEX('TRANS EMP EXTRACT - COST CENTRE'!$A$1:$Z$455,MATCH('Summary - Monthly'!$A10,'TRANS EMP EXTRACT - COST CENTRE'!$A:$A,0),MATCH('Summary - Monthly'!AF$3,'TRANS EMP EXTRACT - COST CENTRE'!$2:$2,0)),0)</f>
        <v>0</v>
      </c>
      <c r="AG10" s="10">
        <f>IFERROR(INDEX('TRANS EMP EXTRACT - COST CENTRE'!$A$1:$Z$455,MATCH('Summary - Monthly'!$A10,'TRANS EMP EXTRACT - COST CENTRE'!$A:$A,0),MATCH('Summary - Monthly'!AG$3,'TRANS EMP EXTRACT - COST CENTRE'!$2:$2,0)),0)</f>
        <v>0</v>
      </c>
      <c r="AH10" s="10">
        <f>IFERROR(INDEX('TRANS EMP EXTRACT - COST CENTRE'!$A$1:$Z$455,MATCH('Summary - Monthly'!$A10,'TRANS EMP EXTRACT - COST CENTRE'!$A:$A,0),MATCH('Summary - Monthly'!AH$3,'TRANS EMP EXTRACT - COST CENTRE'!$2:$2,0)),0)</f>
        <v>0</v>
      </c>
      <c r="AI10" s="10">
        <f>IFERROR(INDEX('TRANS EMP EXTRACT - COST CENTRE'!$A$1:$Z$455,MATCH('Summary - Monthly'!$A10,'TRANS EMP EXTRACT - COST CENTRE'!$A:$A,0),MATCH('Summary - Monthly'!AI$3,'TRANS EMP EXTRACT - COST CENTRE'!$2:$2,0)),0)</f>
        <v>0</v>
      </c>
      <c r="AJ10" s="10">
        <f>IFERROR(INDEX('TRANS EMP EXTRACT - COST CENTRE'!$A$1:$Z$455,MATCH('Summary - Monthly'!$A10,'TRANS EMP EXTRACT - COST CENTRE'!$A:$A,0),MATCH('Summary - Monthly'!AJ$3,'TRANS EMP EXTRACT - COST CENTRE'!$2:$2,0)),0)</f>
        <v>0</v>
      </c>
      <c r="AK10" s="10">
        <f>IFERROR(INDEX('TRANS EMP EXTRACT - COST CENTRE'!$A$1:$Z$455,MATCH('Summary - Monthly'!$A10,'TRANS EMP EXTRACT - COST CENTRE'!$A:$A,0),MATCH('Summary - Monthly'!AK$3,'TRANS EMP EXTRACT - COST CENTRE'!$2:$2,0)),0)</f>
        <v>0</v>
      </c>
      <c r="AL10" s="10">
        <f>IFERROR(INDEX('TRANS EMP EXTRACT - COST CENTRE'!$A$1:$Z$455,MATCH('Summary - Monthly'!$A10,'TRANS EMP EXTRACT - COST CENTRE'!$A:$A,0),MATCH('Summary - Monthly'!AL$3,'TRANS EMP EXTRACT - COST CENTRE'!$2:$2,0)),0)</f>
        <v>0</v>
      </c>
      <c r="AM10" s="10">
        <f t="shared" si="4"/>
        <v>152</v>
      </c>
      <c r="AN10" s="14">
        <f t="shared" si="2"/>
        <v>0</v>
      </c>
      <c r="AO10" s="18">
        <f t="shared" si="5"/>
        <v>1</v>
      </c>
      <c r="AP10" s="18">
        <f t="shared" si="6"/>
        <v>1</v>
      </c>
      <c r="AQ10" s="10" t="str">
        <f>IFERROR(VLOOKUP(B10,Departments!A:C,3,FALSE),"")</f>
        <v>Sales &amp; Marketing</v>
      </c>
      <c r="AR10" s="10" t="str">
        <f>IFERROR(VLOOKUP(B10,Departments!A:B,2,FALSE),"")</f>
        <v>Sydney Sales</v>
      </c>
      <c r="AS10" s="10">
        <f t="shared" si="7"/>
        <v>0</v>
      </c>
      <c r="AT10" s="10">
        <f t="shared" si="8"/>
        <v>0</v>
      </c>
      <c r="AU10" s="10" t="str">
        <f>_xlfn.IFNA(VLOOKUP(B10,Departments!A:D,4,FALSE),"")</f>
        <v>S&amp;M</v>
      </c>
    </row>
    <row r="11" spans="1:47" ht="14.45" customHeight="1">
      <c r="A11" s="11" t="str">
        <f t="shared" si="3"/>
        <v>1202301119026</v>
      </c>
      <c r="B11" s="11">
        <f>'TRANS EMP EXTRACT - COST CENTRE'!B10</f>
        <v>12023011</v>
      </c>
      <c r="C11" s="10" t="str">
        <f>IFERROR(VLOOKUP(E11,'TRANS EMP EXTRACT - EMP CATEGOR'!A:B,2,FALSE),"")</f>
        <v>PT</v>
      </c>
      <c r="D11" s="10" t="str">
        <f>IFERROR(VLOOKUP(E11,'TRANS EMP EXTRACT - EMP CATEGOR'!A:C,3,FALSE),"")</f>
        <v>Parttime</v>
      </c>
      <c r="E11" s="11">
        <f>'TRANS EMP EXTRACT - COST CENTRE'!D10</f>
        <v>19026</v>
      </c>
      <c r="F11" s="10" t="str">
        <f>IFERROR(VLOOKUP(E11,'TRANS EMP EXTRACT - COST CENTRE'!D:E,2,FALSE),"")</f>
        <v>ALMASSI  AREZOO MISS</v>
      </c>
      <c r="G11" s="12">
        <f>IFERROR(INDEX('TRANS EMP EXTRACT - COST CENTRE'!$A$1:$Z$455,MATCH('Summary - Monthly'!$A11,'TRANS EMP EXTRACT - COST CENTRE'!$A:$A,0),MATCH('Summary - Monthly'!G$3,'TRANS EMP EXTRACT - COST CENTRE'!$2:$2,0)),"")</f>
        <v>44774</v>
      </c>
      <c r="H11" s="10" t="str">
        <f>IFERROR(INDEX('TRANS EMP EXTRACT - COST CENTRE'!$B$1:$Z$455,MATCH('Summary - Monthly'!$E11,'TRANS EMP EXTRACT - COST CENTRE'!$D:$D,0),MATCH('Summary - Monthly'!H$3,'TRANS EMP EXTRACT - COST CENTRE'!$2:$2,0)),"")</f>
        <v>RT</v>
      </c>
      <c r="I11" s="12" t="str">
        <f>IFERROR(INDEX('TRANS EMP EXTRACT - EMP CATEGOR'!$B$1:$AF$421,MATCH('Summary - Monthly'!$E11,'TRANS EMP EXTRACT - EMP CATEGOR'!$D:$D,0),MATCH('Summary - Monthly'!H$3,'TRANS EMP EXTRACT - EMP CATEGOR'!$2:$2,0)),"")</f>
        <v>RT</v>
      </c>
      <c r="J11" s="41">
        <f t="shared" ca="1" si="0"/>
        <v>19.260300000000001</v>
      </c>
      <c r="K11" s="41">
        <f t="shared" ca="1" si="1"/>
        <v>53.720500000000001</v>
      </c>
      <c r="L11" s="10">
        <f>IFERROR(INDEX('TRANS EMP EXTRACT - COST CENTRE'!$A$1:$Z$455,MATCH('Summary - Monthly'!$A11,'TRANS EMP EXTRACT - COST CENTRE'!$A:$A,0),MATCH('Summary - Monthly'!L$3,'TRANS EMP EXTRACT - COST CENTRE'!$2:$2,0)),"")</f>
        <v>91.2</v>
      </c>
      <c r="M11" s="10">
        <f>IFERROR(INDEX('TRANS EMP EXTRACT - COST CENTRE'!$A$1:$Z$455,MATCH('Summary - Monthly'!$A11,'TRANS EMP EXTRACT - COST CENTRE'!$A:$A,0),MATCH('Summary - Monthly'!M$3,'TRANS EMP EXTRACT - COST CENTRE'!$2:$2,0)),0)</f>
        <v>0</v>
      </c>
      <c r="N11" s="10">
        <f>IFERROR(INDEX('TRANS EMP EXTRACT - COST CENTRE'!$A$1:$Z$455,MATCH('Summary - Monthly'!$A11,'TRANS EMP EXTRACT - COST CENTRE'!$A:$A,0),MATCH('Summary - Monthly'!N$3,'TRANS EMP EXTRACT - COST CENTRE'!$2:$2,0)),0)</f>
        <v>0</v>
      </c>
      <c r="O11" s="10">
        <f>IFERROR(INDEX('TRANS EMP EXTRACT - COST CENTRE'!$A$1:$Z$455,MATCH('Summary - Monthly'!$A11,'TRANS EMP EXTRACT - COST CENTRE'!$A:$A,0),MATCH('Summary - Monthly'!O$3,'TRANS EMP EXTRACT - COST CENTRE'!$2:$2,0)),0)</f>
        <v>0</v>
      </c>
      <c r="P11" s="10">
        <f>IFERROR(INDEX('TRANS EMP EXTRACT - COST CENTRE'!$A$1:$Z$455,MATCH('Summary - Monthly'!$A11,'TRANS EMP EXTRACT - COST CENTRE'!$A:$A,0),MATCH('Summary - Monthly'!P$3,'TRANS EMP EXTRACT - COST CENTRE'!$2:$2,0)),0)</f>
        <v>0</v>
      </c>
      <c r="Q11" s="10">
        <f>IFERROR(INDEX('TRANS EMP EXTRACT - COST CENTRE'!$A$1:$Z$455,MATCH('Summary - Monthly'!$A11,'TRANS EMP EXTRACT - COST CENTRE'!$A:$A,0),MATCH('Summary - Monthly'!Q$3,'TRANS EMP EXTRACT - COST CENTRE'!$2:$2,0)),0)</f>
        <v>2</v>
      </c>
      <c r="R11" s="10">
        <f>IFERROR(INDEX('TRANS EMP EXTRACT - COST CENTRE'!$A$1:$Z$455,MATCH('Summary - Monthly'!$A11,'TRANS EMP EXTRACT - COST CENTRE'!$A:$A,0),MATCH('Summary - Monthly'!R$3,'TRANS EMP EXTRACT - COST CENTRE'!$2:$2,0)),0)</f>
        <v>0</v>
      </c>
      <c r="S11" s="10">
        <f>IFERROR(INDEX('TRANS EMP EXTRACT - COST CENTRE'!$A$1:$Z$455,MATCH('Summary - Monthly'!$A11,'TRANS EMP EXTRACT - COST CENTRE'!$A:$A,0),MATCH('Summary - Monthly'!S$3,'TRANS EMP EXTRACT - COST CENTRE'!$2:$2,0)),0)</f>
        <v>0</v>
      </c>
      <c r="T11" s="8">
        <f>IFERROR(INDEX('TRANS EMP EXTRACT - COST CENTRE'!$A$1:$Z$455,MATCH('Summary - Monthly'!$A11,'TRANS EMP EXTRACT - COST CENTRE'!$A:$A,0),MATCH('Summary - Monthly'!T$3,'TRANS EMP EXTRACT - COST CENTRE'!$2:$2,0)),0)</f>
        <v>0</v>
      </c>
      <c r="U11" s="13">
        <f>IFERROR(INDEX('TRANS EMP EXTRACT - COST CENTRE'!$A$1:$Z$455,MATCH('Summary - Monthly'!$A11,'TRANS EMP EXTRACT - COST CENTRE'!$A:$A,0),MATCH('Summary - Monthly'!U$3,'TRANS EMP EXTRACT - COST CENTRE'!$2:$2,0)),0)</f>
        <v>0</v>
      </c>
      <c r="V11" s="13">
        <f>IFERROR(INDEX('TRANS EMP EXTRACT - COST CENTRE'!$A$1:$Z$455,MATCH('Summary - Monthly'!$A11,'TRANS EMP EXTRACT - COST CENTRE'!$A:$A,0),MATCH('Summary - Monthly'!V$3,'TRANS EMP EXTRACT - COST CENTRE'!$2:$2,0)),0)</f>
        <v>0</v>
      </c>
      <c r="W11" s="13">
        <f>IFERROR(INDEX('TRANS EMP EXTRACT - COST CENTRE'!$A$1:$Z$455,MATCH('Summary - Monthly'!$A11,'TRANS EMP EXTRACT - COST CENTRE'!$A:$A,0),MATCH('Summary - Monthly'!W$3,'TRANS EMP EXTRACT - COST CENTRE'!$2:$2,0)),0)</f>
        <v>0</v>
      </c>
      <c r="X11" s="13">
        <f>IFERROR(INDEX('TRANS EMP EXTRACT - COST CENTRE'!$A$1:$Z$455,MATCH('Summary - Monthly'!$A11,'TRANS EMP EXTRACT - COST CENTRE'!$A:$A,0),MATCH('Summary - Monthly'!X$3,'TRANS EMP EXTRACT - COST CENTRE'!$2:$2,0)),0)</f>
        <v>0</v>
      </c>
      <c r="Y11" s="13">
        <f>IFERROR(INDEX('TRANS EMP EXTRACT - COST CENTRE'!$A$1:$Z$455,MATCH('Summary - Monthly'!$A11,'TRANS EMP EXTRACT - COST CENTRE'!$A:$A,0),MATCH('Summary - Monthly'!Y$3,'TRANS EMP EXTRACT - COST CENTRE'!$2:$2,0)),0)</f>
        <v>0</v>
      </c>
      <c r="Z11" s="10">
        <f>IFERROR(INDEX('TRANS EMP EXTRACT - COST CENTRE'!$A$1:$Z$455,MATCH('Summary - Monthly'!$A11,'TRANS EMP EXTRACT - COST CENTRE'!$A:$A,0),MATCH('Summary - Monthly'!Z$3,'TRANS EMP EXTRACT - COST CENTRE'!$2:$2,0)),0)</f>
        <v>0</v>
      </c>
      <c r="AA11" s="10">
        <f>IFERROR(INDEX('TRANS EMP EXTRACT - COST CENTRE'!$A$1:$Z$455,MATCH('Summary - Monthly'!$A11,'TRANS EMP EXTRACT - COST CENTRE'!$A:$A,0),MATCH('Summary - Monthly'!AA$3,'TRANS EMP EXTRACT - COST CENTRE'!$2:$2,0)),0)</f>
        <v>0</v>
      </c>
      <c r="AB11" s="10">
        <f>IFERROR(INDEX('TRANS EMP EXTRACT - COST CENTRE'!$A$1:$Z$455,MATCH('Summary - Monthly'!$A11,'TRANS EMP EXTRACT - COST CENTRE'!$A:$A,0),MATCH('Summary - Monthly'!AB$3,'TRANS EMP EXTRACT - COST CENTRE'!$2:$2,0)),0)</f>
        <v>0</v>
      </c>
      <c r="AC11" s="8">
        <f>IFERROR(INDEX('TRANS EMP EXTRACT - COST CENTRE'!$A$1:$Z$455,MATCH('Summary - Monthly'!$A11,'TRANS EMP EXTRACT - COST CENTRE'!$A:$A,0),MATCH('Summary - Monthly'!AC$3,'TRANS EMP EXTRACT - COST CENTRE'!$2:$2,0)),0)</f>
        <v>0</v>
      </c>
      <c r="AD11" s="13">
        <f>IFERROR(INDEX('TRANS EMP EXTRACT - COST CENTRE'!$A$1:$Z$455,MATCH('Summary - Monthly'!$A11,'TRANS EMP EXTRACT - COST CENTRE'!$A:$A,0),MATCH('Summary - Monthly'!AD$3,'TRANS EMP EXTRACT - COST CENTRE'!$2:$2,0)),0)</f>
        <v>0</v>
      </c>
      <c r="AE11" s="13">
        <f>IFERROR(INDEX('TRANS EMP EXTRACT - COST CENTRE'!$A$1:$Z$455,MATCH('Summary - Monthly'!$A11,'TRANS EMP EXTRACT - COST CENTRE'!$A:$A,0),MATCH('Summary - Monthly'!AE$3,'TRANS EMP EXTRACT - COST CENTRE'!$2:$2,0)),0)</f>
        <v>0</v>
      </c>
      <c r="AF11" s="13">
        <f>IFERROR(INDEX('TRANS EMP EXTRACT - COST CENTRE'!$A$1:$Z$455,MATCH('Summary - Monthly'!$A11,'TRANS EMP EXTRACT - COST CENTRE'!$A:$A,0),MATCH('Summary - Monthly'!AF$3,'TRANS EMP EXTRACT - COST CENTRE'!$2:$2,0)),0)</f>
        <v>0</v>
      </c>
      <c r="AG11" s="10">
        <f>IFERROR(INDEX('TRANS EMP EXTRACT - COST CENTRE'!$A$1:$Z$455,MATCH('Summary - Monthly'!$A11,'TRANS EMP EXTRACT - COST CENTRE'!$A:$A,0),MATCH('Summary - Monthly'!AG$3,'TRANS EMP EXTRACT - COST CENTRE'!$2:$2,0)),0)</f>
        <v>0</v>
      </c>
      <c r="AH11" s="10">
        <f>IFERROR(INDEX('TRANS EMP EXTRACT - COST CENTRE'!$A$1:$Z$455,MATCH('Summary - Monthly'!$A11,'TRANS EMP EXTRACT - COST CENTRE'!$A:$A,0),MATCH('Summary - Monthly'!AH$3,'TRANS EMP EXTRACT - COST CENTRE'!$2:$2,0)),0)</f>
        <v>0</v>
      </c>
      <c r="AI11" s="10">
        <f>IFERROR(INDEX('TRANS EMP EXTRACT - COST CENTRE'!$A$1:$Z$455,MATCH('Summary - Monthly'!$A11,'TRANS EMP EXTRACT - COST CENTRE'!$A:$A,0),MATCH('Summary - Monthly'!AI$3,'TRANS EMP EXTRACT - COST CENTRE'!$2:$2,0)),0)</f>
        <v>0</v>
      </c>
      <c r="AJ11" s="10">
        <f>IFERROR(INDEX('TRANS EMP EXTRACT - COST CENTRE'!$A$1:$Z$455,MATCH('Summary - Monthly'!$A11,'TRANS EMP EXTRACT - COST CENTRE'!$A:$A,0),MATCH('Summary - Monthly'!AJ$3,'TRANS EMP EXTRACT - COST CENTRE'!$2:$2,0)),0)</f>
        <v>0</v>
      </c>
      <c r="AK11" s="10">
        <f>IFERROR(INDEX('TRANS EMP EXTRACT - COST CENTRE'!$A$1:$Z$455,MATCH('Summary - Monthly'!$A11,'TRANS EMP EXTRACT - COST CENTRE'!$A:$A,0),MATCH('Summary - Monthly'!AK$3,'TRANS EMP EXTRACT - COST CENTRE'!$2:$2,0)),0)</f>
        <v>0</v>
      </c>
      <c r="AL11" s="10">
        <f>IFERROR(INDEX('TRANS EMP EXTRACT - COST CENTRE'!$A$1:$Z$455,MATCH('Summary - Monthly'!$A11,'TRANS EMP EXTRACT - COST CENTRE'!$A:$A,0),MATCH('Summary - Monthly'!AL$3,'TRANS EMP EXTRACT - COST CENTRE'!$2:$2,0)),0)</f>
        <v>0</v>
      </c>
      <c r="AM11" s="10">
        <f t="shared" si="4"/>
        <v>93.2</v>
      </c>
      <c r="AN11" s="14">
        <f t="shared" si="2"/>
        <v>1.3157894736842105E-2</v>
      </c>
      <c r="AO11" s="18">
        <f t="shared" si="5"/>
        <v>0.61315789473684212</v>
      </c>
      <c r="AP11" s="18">
        <f t="shared" si="6"/>
        <v>0.61315789473684212</v>
      </c>
      <c r="AQ11" s="10" t="str">
        <f>IFERROR(VLOOKUP(B11,Departments!A:C,3,FALSE),"")</f>
        <v>Microbiology</v>
      </c>
      <c r="AR11" s="10" t="str">
        <f>IFERROR(VLOOKUP(B11,Departments!A:B,2,FALSE),"")</f>
        <v>Sydney Micro</v>
      </c>
      <c r="AS11" s="10">
        <f t="shared" si="7"/>
        <v>0</v>
      </c>
      <c r="AT11" s="10">
        <f t="shared" si="8"/>
        <v>0</v>
      </c>
      <c r="AU11" s="10" t="str">
        <f>_xlfn.IFNA(VLOOKUP(B11,Departments!A:D,4,FALSE),"")</f>
        <v>Sydney Micro</v>
      </c>
    </row>
    <row r="12" spans="1:47" ht="14.45" customHeight="1">
      <c r="A12" s="11" t="str">
        <f t="shared" si="3"/>
        <v>1202301119046</v>
      </c>
      <c r="B12" s="11">
        <f>'TRANS EMP EXTRACT - COST CENTRE'!B11</f>
        <v>12023011</v>
      </c>
      <c r="C12" s="10" t="str">
        <f>IFERROR(VLOOKUP(E12,'TRANS EMP EXTRACT - EMP CATEGOR'!A:B,2,FALSE),"")</f>
        <v>FT</v>
      </c>
      <c r="D12" s="10" t="str">
        <f>IFERROR(VLOOKUP(E12,'TRANS EMP EXTRACT - EMP CATEGOR'!A:C,3,FALSE),"")</f>
        <v>Fulltime</v>
      </c>
      <c r="E12" s="11">
        <f>'TRANS EMP EXTRACT - COST CENTRE'!D11</f>
        <v>19046</v>
      </c>
      <c r="F12" s="10" t="str">
        <f>IFERROR(VLOOKUP(E12,'TRANS EMP EXTRACT - COST CENTRE'!D:E,2,FALSE),"")</f>
        <v>ALZEYADI  MAYTHAM MR</v>
      </c>
      <c r="G12" s="12">
        <f>IFERROR(INDEX('TRANS EMP EXTRACT - COST CENTRE'!$A$1:$Z$455,MATCH('Summary - Monthly'!$A12,'TRANS EMP EXTRACT - COST CENTRE'!$A:$A,0),MATCH('Summary - Monthly'!G$3,'TRANS EMP EXTRACT - COST CENTRE'!$2:$2,0)),"")</f>
        <v>44893</v>
      </c>
      <c r="H12" s="10" t="str">
        <f>IFERROR(INDEX('TRANS EMP EXTRACT - COST CENTRE'!$B$1:$Z$455,MATCH('Summary - Monthly'!$E12,'TRANS EMP EXTRACT - COST CENTRE'!$D:$D,0),MATCH('Summary - Monthly'!H$3,'TRANS EMP EXTRACT - COST CENTRE'!$2:$2,0)),"")</f>
        <v>RT</v>
      </c>
      <c r="I12" s="12" t="str">
        <f>IFERROR(INDEX('TRANS EMP EXTRACT - EMP CATEGOR'!$B$1:$AF$421,MATCH('Summary - Monthly'!$E12,'TRANS EMP EXTRACT - EMP CATEGOR'!$D:$D,0),MATCH('Summary - Monthly'!H$3,'TRANS EMP EXTRACT - EMP CATEGOR'!$2:$2,0)),"")</f>
        <v>RT</v>
      </c>
      <c r="J12" s="41">
        <f t="shared" ca="1" si="0"/>
        <v>12.388999999999999</v>
      </c>
      <c r="K12" s="41">
        <f t="shared" ca="1" si="1"/>
        <v>39.978099999999998</v>
      </c>
      <c r="L12" s="10">
        <f>IFERROR(INDEX('TRANS EMP EXTRACT - COST CENTRE'!$A$1:$Z$455,MATCH('Summary - Monthly'!$A12,'TRANS EMP EXTRACT - COST CENTRE'!$A:$A,0),MATCH('Summary - Monthly'!L$3,'TRANS EMP EXTRACT - COST CENTRE'!$2:$2,0)),"")</f>
        <v>144.4</v>
      </c>
      <c r="M12" s="10">
        <f>IFERROR(INDEX('TRANS EMP EXTRACT - COST CENTRE'!$A$1:$Z$455,MATCH('Summary - Monthly'!$A12,'TRANS EMP EXTRACT - COST CENTRE'!$A:$A,0),MATCH('Summary - Monthly'!M$3,'TRANS EMP EXTRACT - COST CENTRE'!$2:$2,0)),0)</f>
        <v>0</v>
      </c>
      <c r="N12" s="10">
        <f>IFERROR(INDEX('TRANS EMP EXTRACT - COST CENTRE'!$A$1:$Z$455,MATCH('Summary - Monthly'!$A12,'TRANS EMP EXTRACT - COST CENTRE'!$A:$A,0),MATCH('Summary - Monthly'!N$3,'TRANS EMP EXTRACT - COST CENTRE'!$2:$2,0)),0)</f>
        <v>0</v>
      </c>
      <c r="O12" s="10">
        <f>IFERROR(INDEX('TRANS EMP EXTRACT - COST CENTRE'!$A$1:$Z$455,MATCH('Summary - Monthly'!$A12,'TRANS EMP EXTRACT - COST CENTRE'!$A:$A,0),MATCH('Summary - Monthly'!O$3,'TRANS EMP EXTRACT - COST CENTRE'!$2:$2,0)),0)</f>
        <v>0</v>
      </c>
      <c r="P12" s="10">
        <f>IFERROR(INDEX('TRANS EMP EXTRACT - COST CENTRE'!$A$1:$Z$455,MATCH('Summary - Monthly'!$A12,'TRANS EMP EXTRACT - COST CENTRE'!$A:$A,0),MATCH('Summary - Monthly'!P$3,'TRANS EMP EXTRACT - COST CENTRE'!$2:$2,0)),0)</f>
        <v>0</v>
      </c>
      <c r="Q12" s="10">
        <f>IFERROR(INDEX('TRANS EMP EXTRACT - COST CENTRE'!$A$1:$Z$455,MATCH('Summary - Monthly'!$A12,'TRANS EMP EXTRACT - COST CENTRE'!$A:$A,0),MATCH('Summary - Monthly'!Q$3,'TRANS EMP EXTRACT - COST CENTRE'!$2:$2,0)),0)</f>
        <v>3</v>
      </c>
      <c r="R12" s="10">
        <f>IFERROR(INDEX('TRANS EMP EXTRACT - COST CENTRE'!$A$1:$Z$455,MATCH('Summary - Monthly'!$A12,'TRANS EMP EXTRACT - COST CENTRE'!$A:$A,0),MATCH('Summary - Monthly'!R$3,'TRANS EMP EXTRACT - COST CENTRE'!$2:$2,0)),0)</f>
        <v>0</v>
      </c>
      <c r="S12" s="10">
        <f>IFERROR(INDEX('TRANS EMP EXTRACT - COST CENTRE'!$A$1:$Z$455,MATCH('Summary - Monthly'!$A12,'TRANS EMP EXTRACT - COST CENTRE'!$A:$A,0),MATCH('Summary - Monthly'!S$3,'TRANS EMP EXTRACT - COST CENTRE'!$2:$2,0)),0)</f>
        <v>0</v>
      </c>
      <c r="T12" s="8">
        <f>IFERROR(INDEX('TRANS EMP EXTRACT - COST CENTRE'!$A$1:$Z$455,MATCH('Summary - Monthly'!$A12,'TRANS EMP EXTRACT - COST CENTRE'!$A:$A,0),MATCH('Summary - Monthly'!T$3,'TRANS EMP EXTRACT - COST CENTRE'!$2:$2,0)),0)</f>
        <v>0</v>
      </c>
      <c r="U12" s="13">
        <f>IFERROR(INDEX('TRANS EMP EXTRACT - COST CENTRE'!$A$1:$Z$455,MATCH('Summary - Monthly'!$A12,'TRANS EMP EXTRACT - COST CENTRE'!$A:$A,0),MATCH('Summary - Monthly'!U$3,'TRANS EMP EXTRACT - COST CENTRE'!$2:$2,0)),0)</f>
        <v>0</v>
      </c>
      <c r="V12" s="13">
        <f>IFERROR(INDEX('TRANS EMP EXTRACT - COST CENTRE'!$A$1:$Z$455,MATCH('Summary - Monthly'!$A12,'TRANS EMP EXTRACT - COST CENTRE'!$A:$A,0),MATCH('Summary - Monthly'!V$3,'TRANS EMP EXTRACT - COST CENTRE'!$2:$2,0)),0)</f>
        <v>7.6</v>
      </c>
      <c r="W12" s="13">
        <f>IFERROR(INDEX('TRANS EMP EXTRACT - COST CENTRE'!$A$1:$Z$455,MATCH('Summary - Monthly'!$A12,'TRANS EMP EXTRACT - COST CENTRE'!$A:$A,0),MATCH('Summary - Monthly'!W$3,'TRANS EMP EXTRACT - COST CENTRE'!$2:$2,0)),0)</f>
        <v>0</v>
      </c>
      <c r="X12" s="13">
        <f>IFERROR(INDEX('TRANS EMP EXTRACT - COST CENTRE'!$A$1:$Z$455,MATCH('Summary - Monthly'!$A12,'TRANS EMP EXTRACT - COST CENTRE'!$A:$A,0),MATCH('Summary - Monthly'!X$3,'TRANS EMP EXTRACT - COST CENTRE'!$2:$2,0)),0)</f>
        <v>0</v>
      </c>
      <c r="Y12" s="13">
        <f>IFERROR(INDEX('TRANS EMP EXTRACT - COST CENTRE'!$A$1:$Z$455,MATCH('Summary - Monthly'!$A12,'TRANS EMP EXTRACT - COST CENTRE'!$A:$A,0),MATCH('Summary - Monthly'!Y$3,'TRANS EMP EXTRACT - COST CENTRE'!$2:$2,0)),0)</f>
        <v>0</v>
      </c>
      <c r="Z12" s="10">
        <f>IFERROR(INDEX('TRANS EMP EXTRACT - COST CENTRE'!$A$1:$Z$455,MATCH('Summary - Monthly'!$A12,'TRANS EMP EXTRACT - COST CENTRE'!$A:$A,0),MATCH('Summary - Monthly'!Z$3,'TRANS EMP EXTRACT - COST CENTRE'!$2:$2,0)),0)</f>
        <v>0</v>
      </c>
      <c r="AA12" s="10">
        <f>IFERROR(INDEX('TRANS EMP EXTRACT - COST CENTRE'!$A$1:$Z$455,MATCH('Summary - Monthly'!$A12,'TRANS EMP EXTRACT - COST CENTRE'!$A:$A,0),MATCH('Summary - Monthly'!AA$3,'TRANS EMP EXTRACT - COST CENTRE'!$2:$2,0)),0)</f>
        <v>0</v>
      </c>
      <c r="AB12" s="10">
        <f>IFERROR(INDEX('TRANS EMP EXTRACT - COST CENTRE'!$A$1:$Z$455,MATCH('Summary - Monthly'!$A12,'TRANS EMP EXTRACT - COST CENTRE'!$A:$A,0),MATCH('Summary - Monthly'!AB$3,'TRANS EMP EXTRACT - COST CENTRE'!$2:$2,0)),0)</f>
        <v>0</v>
      </c>
      <c r="AC12" s="8">
        <f>IFERROR(INDEX('TRANS EMP EXTRACT - COST CENTRE'!$A$1:$Z$455,MATCH('Summary - Monthly'!$A12,'TRANS EMP EXTRACT - COST CENTRE'!$A:$A,0),MATCH('Summary - Monthly'!AC$3,'TRANS EMP EXTRACT - COST CENTRE'!$2:$2,0)),0)</f>
        <v>0</v>
      </c>
      <c r="AD12" s="13">
        <f>IFERROR(INDEX('TRANS EMP EXTRACT - COST CENTRE'!$A$1:$Z$455,MATCH('Summary - Monthly'!$A12,'TRANS EMP EXTRACT - COST CENTRE'!$A:$A,0),MATCH('Summary - Monthly'!AD$3,'TRANS EMP EXTRACT - COST CENTRE'!$2:$2,0)),0)</f>
        <v>0</v>
      </c>
      <c r="AE12" s="13">
        <f>IFERROR(INDEX('TRANS EMP EXTRACT - COST CENTRE'!$A$1:$Z$455,MATCH('Summary - Monthly'!$A12,'TRANS EMP EXTRACT - COST CENTRE'!$A:$A,0),MATCH('Summary - Monthly'!AE$3,'TRANS EMP EXTRACT - COST CENTRE'!$2:$2,0)),0)</f>
        <v>0</v>
      </c>
      <c r="AF12" s="13">
        <f>IFERROR(INDEX('TRANS EMP EXTRACT - COST CENTRE'!$A$1:$Z$455,MATCH('Summary - Monthly'!$A12,'TRANS EMP EXTRACT - COST CENTRE'!$A:$A,0),MATCH('Summary - Monthly'!AF$3,'TRANS EMP EXTRACT - COST CENTRE'!$2:$2,0)),0)</f>
        <v>0</v>
      </c>
      <c r="AG12" s="10">
        <f>IFERROR(INDEX('TRANS EMP EXTRACT - COST CENTRE'!$A$1:$Z$455,MATCH('Summary - Monthly'!$A12,'TRANS EMP EXTRACT - COST CENTRE'!$A:$A,0),MATCH('Summary - Monthly'!AG$3,'TRANS EMP EXTRACT - COST CENTRE'!$2:$2,0)),0)</f>
        <v>0</v>
      </c>
      <c r="AH12" s="10">
        <f>IFERROR(INDEX('TRANS EMP EXTRACT - COST CENTRE'!$A$1:$Z$455,MATCH('Summary - Monthly'!$A12,'TRANS EMP EXTRACT - COST CENTRE'!$A:$A,0),MATCH('Summary - Monthly'!AH$3,'TRANS EMP EXTRACT - COST CENTRE'!$2:$2,0)),0)</f>
        <v>0</v>
      </c>
      <c r="AI12" s="10">
        <f>IFERROR(INDEX('TRANS EMP EXTRACT - COST CENTRE'!$A$1:$Z$455,MATCH('Summary - Monthly'!$A12,'TRANS EMP EXTRACT - COST CENTRE'!$A:$A,0),MATCH('Summary - Monthly'!AI$3,'TRANS EMP EXTRACT - COST CENTRE'!$2:$2,0)),0)</f>
        <v>0</v>
      </c>
      <c r="AJ12" s="10">
        <f>IFERROR(INDEX('TRANS EMP EXTRACT - COST CENTRE'!$A$1:$Z$455,MATCH('Summary - Monthly'!$A12,'TRANS EMP EXTRACT - COST CENTRE'!$A:$A,0),MATCH('Summary - Monthly'!AJ$3,'TRANS EMP EXTRACT - COST CENTRE'!$2:$2,0)),0)</f>
        <v>0</v>
      </c>
      <c r="AK12" s="10">
        <f>IFERROR(INDEX('TRANS EMP EXTRACT - COST CENTRE'!$A$1:$Z$455,MATCH('Summary - Monthly'!$A12,'TRANS EMP EXTRACT - COST CENTRE'!$A:$A,0),MATCH('Summary - Monthly'!AK$3,'TRANS EMP EXTRACT - COST CENTRE'!$2:$2,0)),0)</f>
        <v>0</v>
      </c>
      <c r="AL12" s="10">
        <f>IFERROR(INDEX('TRANS EMP EXTRACT - COST CENTRE'!$A$1:$Z$455,MATCH('Summary - Monthly'!$A12,'TRANS EMP EXTRACT - COST CENTRE'!$A:$A,0),MATCH('Summary - Monthly'!AL$3,'TRANS EMP EXTRACT - COST CENTRE'!$2:$2,0)),0)</f>
        <v>0</v>
      </c>
      <c r="AM12" s="10">
        <f t="shared" si="4"/>
        <v>155</v>
      </c>
      <c r="AN12" s="14">
        <f t="shared" si="2"/>
        <v>1.9736842105263157E-2</v>
      </c>
      <c r="AO12" s="18">
        <f t="shared" si="5"/>
        <v>1.0197368421052631</v>
      </c>
      <c r="AP12" s="18">
        <f t="shared" si="6"/>
        <v>0.96973684210526323</v>
      </c>
      <c r="AQ12" s="10" t="str">
        <f>IFERROR(VLOOKUP(B12,Departments!A:C,3,FALSE),"")</f>
        <v>Microbiology</v>
      </c>
      <c r="AR12" s="10" t="str">
        <f>IFERROR(VLOOKUP(B12,Departments!A:B,2,FALSE),"")</f>
        <v>Sydney Micro</v>
      </c>
      <c r="AS12" s="10">
        <f t="shared" si="7"/>
        <v>7.6</v>
      </c>
      <c r="AT12" s="10">
        <f t="shared" si="8"/>
        <v>7.6</v>
      </c>
      <c r="AU12" s="10" t="str">
        <f>_xlfn.IFNA(VLOOKUP(B12,Departments!A:D,4,FALSE),"")</f>
        <v>Sydney Micro</v>
      </c>
    </row>
    <row r="13" spans="1:47" ht="14.45" customHeight="1">
      <c r="A13" s="11" t="str">
        <f t="shared" si="3"/>
        <v>1204809919031</v>
      </c>
      <c r="B13" s="11">
        <f>'TRANS EMP EXTRACT - COST CENTRE'!B12</f>
        <v>12048099</v>
      </c>
      <c r="C13" s="10" t="str">
        <f>IFERROR(VLOOKUP(E13,'TRANS EMP EXTRACT - EMP CATEGOR'!A:B,2,FALSE),"")</f>
        <v>FT</v>
      </c>
      <c r="D13" s="10" t="str">
        <f>IFERROR(VLOOKUP(E13,'TRANS EMP EXTRACT - EMP CATEGOR'!A:C,3,FALSE),"")</f>
        <v>Fulltime</v>
      </c>
      <c r="E13" s="11">
        <f>'TRANS EMP EXTRACT - COST CENTRE'!D12</f>
        <v>19031</v>
      </c>
      <c r="F13" s="10" t="str">
        <f>IFERROR(VLOOKUP(E13,'TRANS EMP EXTRACT - COST CENTRE'!D:E,2,FALSE),"")</f>
        <v>AVERY  SUE MS</v>
      </c>
      <c r="G13" s="12">
        <f>IFERROR(INDEX('TRANS EMP EXTRACT - COST CENTRE'!$A$1:$Z$455,MATCH('Summary - Monthly'!$A13,'TRANS EMP EXTRACT - COST CENTRE'!$A:$A,0),MATCH('Summary - Monthly'!G$3,'TRANS EMP EXTRACT - COST CENTRE'!$2:$2,0)),"")</f>
        <v>44795</v>
      </c>
      <c r="H13" s="10" t="str">
        <f>IFERROR(INDEX('TRANS EMP EXTRACT - COST CENTRE'!$B$1:$Z$455,MATCH('Summary - Monthly'!$E13,'TRANS EMP EXTRACT - COST CENTRE'!$D:$D,0),MATCH('Summary - Monthly'!H$3,'TRANS EMP EXTRACT - COST CENTRE'!$2:$2,0)),"")</f>
        <v>FN</v>
      </c>
      <c r="I13" s="12" t="str">
        <f>IFERROR(INDEX('TRANS EMP EXTRACT - EMP CATEGOR'!$B$1:$AF$421,MATCH('Summary - Monthly'!$E13,'TRANS EMP EXTRACT - EMP CATEGOR'!$D:$D,0),MATCH('Summary - Monthly'!H$3,'TRANS EMP EXTRACT - EMP CATEGOR'!$2:$2,0)),"")</f>
        <v>FN</v>
      </c>
      <c r="J13" s="41">
        <f t="shared" ca="1" si="0"/>
        <v>25.194500000000001</v>
      </c>
      <c r="K13" s="41">
        <f t="shared" ca="1" si="1"/>
        <v>50.389000000000003</v>
      </c>
      <c r="L13" s="10">
        <f>IFERROR(INDEX('TRANS EMP EXTRACT - COST CENTRE'!$A$1:$Z$455,MATCH('Summary - Monthly'!$A13,'TRANS EMP EXTRACT - COST CENTRE'!$A:$A,0),MATCH('Summary - Monthly'!L$3,'TRANS EMP EXTRACT - COST CENTRE'!$2:$2,0)),"")</f>
        <v>144.4</v>
      </c>
      <c r="M13" s="10">
        <f>IFERROR(INDEX('TRANS EMP EXTRACT - COST CENTRE'!$A$1:$Z$455,MATCH('Summary - Monthly'!$A13,'TRANS EMP EXTRACT - COST CENTRE'!$A:$A,0),MATCH('Summary - Monthly'!M$3,'TRANS EMP EXTRACT - COST CENTRE'!$2:$2,0)),0)</f>
        <v>0</v>
      </c>
      <c r="N13" s="10">
        <f>IFERROR(INDEX('TRANS EMP EXTRACT - COST CENTRE'!$A$1:$Z$455,MATCH('Summary - Monthly'!$A13,'TRANS EMP EXTRACT - COST CENTRE'!$A:$A,0),MATCH('Summary - Monthly'!N$3,'TRANS EMP EXTRACT - COST CENTRE'!$2:$2,0)),0)</f>
        <v>0</v>
      </c>
      <c r="O13" s="10">
        <f>IFERROR(INDEX('TRANS EMP EXTRACT - COST CENTRE'!$A$1:$Z$455,MATCH('Summary - Monthly'!$A13,'TRANS EMP EXTRACT - COST CENTRE'!$A:$A,0),MATCH('Summary - Monthly'!O$3,'TRANS EMP EXTRACT - COST CENTRE'!$2:$2,0)),0)</f>
        <v>0</v>
      </c>
      <c r="P13" s="10">
        <f>IFERROR(INDEX('TRANS EMP EXTRACT - COST CENTRE'!$A$1:$Z$455,MATCH('Summary - Monthly'!$A13,'TRANS EMP EXTRACT - COST CENTRE'!$A:$A,0),MATCH('Summary - Monthly'!P$3,'TRANS EMP EXTRACT - COST CENTRE'!$2:$2,0)),0)</f>
        <v>0</v>
      </c>
      <c r="Q13" s="10">
        <f>IFERROR(INDEX('TRANS EMP EXTRACT - COST CENTRE'!$A$1:$Z$455,MATCH('Summary - Monthly'!$A13,'TRANS EMP EXTRACT - COST CENTRE'!$A:$A,0),MATCH('Summary - Monthly'!Q$3,'TRANS EMP EXTRACT - COST CENTRE'!$2:$2,0)),0)</f>
        <v>0</v>
      </c>
      <c r="R13" s="10">
        <f>IFERROR(INDEX('TRANS EMP EXTRACT - COST CENTRE'!$A$1:$Z$455,MATCH('Summary - Monthly'!$A13,'TRANS EMP EXTRACT - COST CENTRE'!$A:$A,0),MATCH('Summary - Monthly'!R$3,'TRANS EMP EXTRACT - COST CENTRE'!$2:$2,0)),0)</f>
        <v>0</v>
      </c>
      <c r="S13" s="10">
        <f>IFERROR(INDEX('TRANS EMP EXTRACT - COST CENTRE'!$A$1:$Z$455,MATCH('Summary - Monthly'!$A13,'TRANS EMP EXTRACT - COST CENTRE'!$A:$A,0),MATCH('Summary - Monthly'!S$3,'TRANS EMP EXTRACT - COST CENTRE'!$2:$2,0)),0)</f>
        <v>0</v>
      </c>
      <c r="T13" s="8">
        <f>IFERROR(INDEX('TRANS EMP EXTRACT - COST CENTRE'!$A$1:$Z$455,MATCH('Summary - Monthly'!$A13,'TRANS EMP EXTRACT - COST CENTRE'!$A:$A,0),MATCH('Summary - Monthly'!T$3,'TRANS EMP EXTRACT - COST CENTRE'!$2:$2,0)),0)</f>
        <v>0</v>
      </c>
      <c r="U13" s="13">
        <f>IFERROR(INDEX('TRANS EMP EXTRACT - COST CENTRE'!$A$1:$Z$455,MATCH('Summary - Monthly'!$A13,'TRANS EMP EXTRACT - COST CENTRE'!$A:$A,0),MATCH('Summary - Monthly'!U$3,'TRANS EMP EXTRACT - COST CENTRE'!$2:$2,0)),0)</f>
        <v>0</v>
      </c>
      <c r="V13" s="13">
        <f>IFERROR(INDEX('TRANS EMP EXTRACT - COST CENTRE'!$A$1:$Z$455,MATCH('Summary - Monthly'!$A13,'TRANS EMP EXTRACT - COST CENTRE'!$A:$A,0),MATCH('Summary - Monthly'!V$3,'TRANS EMP EXTRACT - COST CENTRE'!$2:$2,0)),0)</f>
        <v>7.6</v>
      </c>
      <c r="W13" s="13">
        <f>IFERROR(INDEX('TRANS EMP EXTRACT - COST CENTRE'!$A$1:$Z$455,MATCH('Summary - Monthly'!$A13,'TRANS EMP EXTRACT - COST CENTRE'!$A:$A,0),MATCH('Summary - Monthly'!W$3,'TRANS EMP EXTRACT - COST CENTRE'!$2:$2,0)),0)</f>
        <v>0</v>
      </c>
      <c r="X13" s="13">
        <f>IFERROR(INDEX('TRANS EMP EXTRACT - COST CENTRE'!$A$1:$Z$455,MATCH('Summary - Monthly'!$A13,'TRANS EMP EXTRACT - COST CENTRE'!$A:$A,0),MATCH('Summary - Monthly'!X$3,'TRANS EMP EXTRACT - COST CENTRE'!$2:$2,0)),0)</f>
        <v>0</v>
      </c>
      <c r="Y13" s="13">
        <f>IFERROR(INDEX('TRANS EMP EXTRACT - COST CENTRE'!$A$1:$Z$455,MATCH('Summary - Monthly'!$A13,'TRANS EMP EXTRACT - COST CENTRE'!$A:$A,0),MATCH('Summary - Monthly'!Y$3,'TRANS EMP EXTRACT - COST CENTRE'!$2:$2,0)),0)</f>
        <v>0</v>
      </c>
      <c r="Z13" s="10">
        <f>IFERROR(INDEX('TRANS EMP EXTRACT - COST CENTRE'!$A$1:$Z$455,MATCH('Summary - Monthly'!$A13,'TRANS EMP EXTRACT - COST CENTRE'!$A:$A,0),MATCH('Summary - Monthly'!Z$3,'TRANS EMP EXTRACT - COST CENTRE'!$2:$2,0)),0)</f>
        <v>0</v>
      </c>
      <c r="AA13" s="10">
        <f>IFERROR(INDEX('TRANS EMP EXTRACT - COST CENTRE'!$A$1:$Z$455,MATCH('Summary - Monthly'!$A13,'TRANS EMP EXTRACT - COST CENTRE'!$A:$A,0),MATCH('Summary - Monthly'!AA$3,'TRANS EMP EXTRACT - COST CENTRE'!$2:$2,0)),0)</f>
        <v>0</v>
      </c>
      <c r="AB13" s="10">
        <f>IFERROR(INDEX('TRANS EMP EXTRACT - COST CENTRE'!$A$1:$Z$455,MATCH('Summary - Monthly'!$A13,'TRANS EMP EXTRACT - COST CENTRE'!$A:$A,0),MATCH('Summary - Monthly'!AB$3,'TRANS EMP EXTRACT - COST CENTRE'!$2:$2,0)),0)</f>
        <v>0</v>
      </c>
      <c r="AC13" s="8">
        <f>IFERROR(INDEX('TRANS EMP EXTRACT - COST CENTRE'!$A$1:$Z$455,MATCH('Summary - Monthly'!$A13,'TRANS EMP EXTRACT - COST CENTRE'!$A:$A,0),MATCH('Summary - Monthly'!AC$3,'TRANS EMP EXTRACT - COST CENTRE'!$2:$2,0)),0)</f>
        <v>0</v>
      </c>
      <c r="AD13" s="13">
        <f>IFERROR(INDEX('TRANS EMP EXTRACT - COST CENTRE'!$A$1:$Z$455,MATCH('Summary - Monthly'!$A13,'TRANS EMP EXTRACT - COST CENTRE'!$A:$A,0),MATCH('Summary - Monthly'!AD$3,'TRANS EMP EXTRACT - COST CENTRE'!$2:$2,0)),0)</f>
        <v>0</v>
      </c>
      <c r="AE13" s="13">
        <f>IFERROR(INDEX('TRANS EMP EXTRACT - COST CENTRE'!$A$1:$Z$455,MATCH('Summary - Monthly'!$A13,'TRANS EMP EXTRACT - COST CENTRE'!$A:$A,0),MATCH('Summary - Monthly'!AE$3,'TRANS EMP EXTRACT - COST CENTRE'!$2:$2,0)),0)</f>
        <v>0</v>
      </c>
      <c r="AF13" s="13">
        <f>IFERROR(INDEX('TRANS EMP EXTRACT - COST CENTRE'!$A$1:$Z$455,MATCH('Summary - Monthly'!$A13,'TRANS EMP EXTRACT - COST CENTRE'!$A:$A,0),MATCH('Summary - Monthly'!AF$3,'TRANS EMP EXTRACT - COST CENTRE'!$2:$2,0)),0)</f>
        <v>0</v>
      </c>
      <c r="AG13" s="10">
        <f>IFERROR(INDEX('TRANS EMP EXTRACT - COST CENTRE'!$A$1:$Z$455,MATCH('Summary - Monthly'!$A13,'TRANS EMP EXTRACT - COST CENTRE'!$A:$A,0),MATCH('Summary - Monthly'!AG$3,'TRANS EMP EXTRACT - COST CENTRE'!$2:$2,0)),0)</f>
        <v>0</v>
      </c>
      <c r="AH13" s="10">
        <f>IFERROR(INDEX('TRANS EMP EXTRACT - COST CENTRE'!$A$1:$Z$455,MATCH('Summary - Monthly'!$A13,'TRANS EMP EXTRACT - COST CENTRE'!$A:$A,0),MATCH('Summary - Monthly'!AH$3,'TRANS EMP EXTRACT - COST CENTRE'!$2:$2,0)),0)</f>
        <v>0</v>
      </c>
      <c r="AI13" s="10">
        <f>IFERROR(INDEX('TRANS EMP EXTRACT - COST CENTRE'!$A$1:$Z$455,MATCH('Summary - Monthly'!$A13,'TRANS EMP EXTRACT - COST CENTRE'!$A:$A,0),MATCH('Summary - Monthly'!AI$3,'TRANS EMP EXTRACT - COST CENTRE'!$2:$2,0)),0)</f>
        <v>0</v>
      </c>
      <c r="AJ13" s="10">
        <f>IFERROR(INDEX('TRANS EMP EXTRACT - COST CENTRE'!$A$1:$Z$455,MATCH('Summary - Monthly'!$A13,'TRANS EMP EXTRACT - COST CENTRE'!$A:$A,0),MATCH('Summary - Monthly'!AJ$3,'TRANS EMP EXTRACT - COST CENTRE'!$2:$2,0)),0)</f>
        <v>0</v>
      </c>
      <c r="AK13" s="10">
        <f>IFERROR(INDEX('TRANS EMP EXTRACT - COST CENTRE'!$A$1:$Z$455,MATCH('Summary - Monthly'!$A13,'TRANS EMP EXTRACT - COST CENTRE'!$A:$A,0),MATCH('Summary - Monthly'!AK$3,'TRANS EMP EXTRACT - COST CENTRE'!$2:$2,0)),0)</f>
        <v>0</v>
      </c>
      <c r="AL13" s="10">
        <f>IFERROR(INDEX('TRANS EMP EXTRACT - COST CENTRE'!$A$1:$Z$455,MATCH('Summary - Monthly'!$A13,'TRANS EMP EXTRACT - COST CENTRE'!$A:$A,0),MATCH('Summary - Monthly'!AL$3,'TRANS EMP EXTRACT - COST CENTRE'!$2:$2,0)),0)</f>
        <v>0</v>
      </c>
      <c r="AM13" s="10">
        <f t="shared" si="4"/>
        <v>152</v>
      </c>
      <c r="AN13" s="14">
        <f t="shared" si="2"/>
        <v>0</v>
      </c>
      <c r="AO13" s="18">
        <f t="shared" si="5"/>
        <v>1</v>
      </c>
      <c r="AP13" s="18">
        <f t="shared" si="6"/>
        <v>0.95000000000000007</v>
      </c>
      <c r="AQ13" s="10" t="str">
        <f>IFERROR(VLOOKUP(B13,Departments!A:C,3,FALSE),"")</f>
        <v>Sales &amp; Marketing</v>
      </c>
      <c r="AR13" s="10" t="str">
        <f>IFERROR(VLOOKUP(B13,Departments!A:B,2,FALSE),"")</f>
        <v>Bris Sales</v>
      </c>
      <c r="AS13" s="10">
        <f t="shared" si="7"/>
        <v>7.6</v>
      </c>
      <c r="AT13" s="10">
        <f t="shared" si="8"/>
        <v>7.6</v>
      </c>
      <c r="AU13" s="10" t="str">
        <f>_xlfn.IFNA(VLOOKUP(B13,Departments!A:D,4,FALSE),"")</f>
        <v>S&amp;M</v>
      </c>
    </row>
    <row r="14" spans="1:47" ht="14.45" customHeight="1">
      <c r="A14" s="11" t="str">
        <f t="shared" si="3"/>
        <v>1202809919055</v>
      </c>
      <c r="B14" s="11">
        <f>'TRANS EMP EXTRACT - COST CENTRE'!B13</f>
        <v>12028099</v>
      </c>
      <c r="C14" s="10" t="str">
        <f>IFERROR(VLOOKUP(E14,'TRANS EMP EXTRACT - EMP CATEGOR'!A:B,2,FALSE),"")</f>
        <v>FT</v>
      </c>
      <c r="D14" s="10" t="str">
        <f>IFERROR(VLOOKUP(E14,'TRANS EMP EXTRACT - EMP CATEGOR'!A:C,3,FALSE),"")</f>
        <v>Fulltime</v>
      </c>
      <c r="E14" s="11">
        <f>'TRANS EMP EXTRACT - COST CENTRE'!D13</f>
        <v>19055</v>
      </c>
      <c r="F14" s="10" t="str">
        <f>IFERROR(VLOOKUP(E14,'TRANS EMP EXTRACT - COST CENTRE'!D:E,2,FALSE),"")</f>
        <v>AWAD  JASMINE MRS</v>
      </c>
      <c r="G14" s="12">
        <f>IFERROR(INDEX('TRANS EMP EXTRACT - COST CENTRE'!$A$1:$Z$455,MATCH('Summary - Monthly'!$A14,'TRANS EMP EXTRACT - COST CENTRE'!$A:$A,0),MATCH('Summary - Monthly'!G$3,'TRANS EMP EXTRACT - COST CENTRE'!$2:$2,0)),"")</f>
        <v>44942</v>
      </c>
      <c r="H14" s="10" t="str">
        <f>IFERROR(INDEX('TRANS EMP EXTRACT - COST CENTRE'!$B$1:$Z$455,MATCH('Summary - Monthly'!$E14,'TRANS EMP EXTRACT - COST CENTRE'!$D:$D,0),MATCH('Summary - Monthly'!H$3,'TRANS EMP EXTRACT - COST CENTRE'!$2:$2,0)),"")</f>
        <v>FN</v>
      </c>
      <c r="I14" s="12" t="str">
        <f>IFERROR(INDEX('TRANS EMP EXTRACT - EMP CATEGOR'!$B$1:$AF$421,MATCH('Summary - Monthly'!$E14,'TRANS EMP EXTRACT - EMP CATEGOR'!$D:$D,0),MATCH('Summary - Monthly'!H$3,'TRANS EMP EXTRACT - EMP CATEGOR'!$2:$2,0)),"")</f>
        <v>FN</v>
      </c>
      <c r="J14" s="41">
        <f t="shared" ca="1" si="0"/>
        <v>0</v>
      </c>
      <c r="K14" s="41">
        <f t="shared" ca="1" si="1"/>
        <v>0</v>
      </c>
      <c r="L14" s="10">
        <f>IFERROR(INDEX('TRANS EMP EXTRACT - COST CENTRE'!$A$1:$Z$455,MATCH('Summary - Monthly'!$A14,'TRANS EMP EXTRACT - COST CENTRE'!$A:$A,0),MATCH('Summary - Monthly'!L$3,'TRANS EMP EXTRACT - COST CENTRE'!$2:$2,0)),"")</f>
        <v>136.80000000000001</v>
      </c>
      <c r="M14" s="10">
        <f>IFERROR(INDEX('TRANS EMP EXTRACT - COST CENTRE'!$A$1:$Z$455,MATCH('Summary - Monthly'!$A14,'TRANS EMP EXTRACT - COST CENTRE'!$A:$A,0),MATCH('Summary - Monthly'!M$3,'TRANS EMP EXTRACT - COST CENTRE'!$2:$2,0)),0)</f>
        <v>0</v>
      </c>
      <c r="N14" s="10">
        <f>IFERROR(INDEX('TRANS EMP EXTRACT - COST CENTRE'!$A$1:$Z$455,MATCH('Summary - Monthly'!$A14,'TRANS EMP EXTRACT - COST CENTRE'!$A:$A,0),MATCH('Summary - Monthly'!N$3,'TRANS EMP EXTRACT - COST CENTRE'!$2:$2,0)),0)</f>
        <v>0</v>
      </c>
      <c r="O14" s="10">
        <f>IFERROR(INDEX('TRANS EMP EXTRACT - COST CENTRE'!$A$1:$Z$455,MATCH('Summary - Monthly'!$A14,'TRANS EMP EXTRACT - COST CENTRE'!$A:$A,0),MATCH('Summary - Monthly'!O$3,'TRANS EMP EXTRACT - COST CENTRE'!$2:$2,0)),0)</f>
        <v>0</v>
      </c>
      <c r="P14" s="10">
        <f>IFERROR(INDEX('TRANS EMP EXTRACT - COST CENTRE'!$A$1:$Z$455,MATCH('Summary - Monthly'!$A14,'TRANS EMP EXTRACT - COST CENTRE'!$A:$A,0),MATCH('Summary - Monthly'!P$3,'TRANS EMP EXTRACT - COST CENTRE'!$2:$2,0)),0)</f>
        <v>0</v>
      </c>
      <c r="Q14" s="10">
        <f>IFERROR(INDEX('TRANS EMP EXTRACT - COST CENTRE'!$A$1:$Z$455,MATCH('Summary - Monthly'!$A14,'TRANS EMP EXTRACT - COST CENTRE'!$A:$A,0),MATCH('Summary - Monthly'!Q$3,'TRANS EMP EXTRACT - COST CENTRE'!$2:$2,0)),0)</f>
        <v>0</v>
      </c>
      <c r="R14" s="10">
        <f>IFERROR(INDEX('TRANS EMP EXTRACT - COST CENTRE'!$A$1:$Z$455,MATCH('Summary - Monthly'!$A14,'TRANS EMP EXTRACT - COST CENTRE'!$A:$A,0),MATCH('Summary - Monthly'!R$3,'TRANS EMP EXTRACT - COST CENTRE'!$2:$2,0)),0)</f>
        <v>0</v>
      </c>
      <c r="S14" s="10">
        <f>IFERROR(INDEX('TRANS EMP EXTRACT - COST CENTRE'!$A$1:$Z$455,MATCH('Summary - Monthly'!$A14,'TRANS EMP EXTRACT - COST CENTRE'!$A:$A,0),MATCH('Summary - Monthly'!S$3,'TRANS EMP EXTRACT - COST CENTRE'!$2:$2,0)),0)</f>
        <v>0</v>
      </c>
      <c r="T14" s="8">
        <f>IFERROR(INDEX('TRANS EMP EXTRACT - COST CENTRE'!$A$1:$Z$455,MATCH('Summary - Monthly'!$A14,'TRANS EMP EXTRACT - COST CENTRE'!$A:$A,0),MATCH('Summary - Monthly'!T$3,'TRANS EMP EXTRACT - COST CENTRE'!$2:$2,0)),0)</f>
        <v>0</v>
      </c>
      <c r="U14" s="13">
        <f>IFERROR(INDEX('TRANS EMP EXTRACT - COST CENTRE'!$A$1:$Z$455,MATCH('Summary - Monthly'!$A14,'TRANS EMP EXTRACT - COST CENTRE'!$A:$A,0),MATCH('Summary - Monthly'!U$3,'TRANS EMP EXTRACT - COST CENTRE'!$2:$2,0)),0)</f>
        <v>0</v>
      </c>
      <c r="V14" s="13">
        <f>IFERROR(INDEX('TRANS EMP EXTRACT - COST CENTRE'!$A$1:$Z$455,MATCH('Summary - Monthly'!$A14,'TRANS EMP EXTRACT - COST CENTRE'!$A:$A,0),MATCH('Summary - Monthly'!V$3,'TRANS EMP EXTRACT - COST CENTRE'!$2:$2,0)),0)</f>
        <v>0</v>
      </c>
      <c r="W14" s="13">
        <f>IFERROR(INDEX('TRANS EMP EXTRACT - COST CENTRE'!$A$1:$Z$455,MATCH('Summary - Monthly'!$A14,'TRANS EMP EXTRACT - COST CENTRE'!$A:$A,0),MATCH('Summary - Monthly'!W$3,'TRANS EMP EXTRACT - COST CENTRE'!$2:$2,0)),0)</f>
        <v>0</v>
      </c>
      <c r="X14" s="13">
        <f>IFERROR(INDEX('TRANS EMP EXTRACT - COST CENTRE'!$A$1:$Z$455,MATCH('Summary - Monthly'!$A14,'TRANS EMP EXTRACT - COST CENTRE'!$A:$A,0),MATCH('Summary - Monthly'!X$3,'TRANS EMP EXTRACT - COST CENTRE'!$2:$2,0)),0)</f>
        <v>0</v>
      </c>
      <c r="Y14" s="13">
        <f>IFERROR(INDEX('TRANS EMP EXTRACT - COST CENTRE'!$A$1:$Z$455,MATCH('Summary - Monthly'!$A14,'TRANS EMP EXTRACT - COST CENTRE'!$A:$A,0),MATCH('Summary - Monthly'!Y$3,'TRANS EMP EXTRACT - COST CENTRE'!$2:$2,0)),0)</f>
        <v>0</v>
      </c>
      <c r="Z14" s="10">
        <f>IFERROR(INDEX('TRANS EMP EXTRACT - COST CENTRE'!$A$1:$Z$455,MATCH('Summary - Monthly'!$A14,'TRANS EMP EXTRACT - COST CENTRE'!$A:$A,0),MATCH('Summary - Monthly'!Z$3,'TRANS EMP EXTRACT - COST CENTRE'!$2:$2,0)),0)</f>
        <v>0</v>
      </c>
      <c r="AA14" s="10">
        <f>IFERROR(INDEX('TRANS EMP EXTRACT - COST CENTRE'!$A$1:$Z$455,MATCH('Summary - Monthly'!$A14,'TRANS EMP EXTRACT - COST CENTRE'!$A:$A,0),MATCH('Summary - Monthly'!AA$3,'TRANS EMP EXTRACT - COST CENTRE'!$2:$2,0)),0)</f>
        <v>0</v>
      </c>
      <c r="AB14" s="10">
        <f>IFERROR(INDEX('TRANS EMP EXTRACT - COST CENTRE'!$A$1:$Z$455,MATCH('Summary - Monthly'!$A14,'TRANS EMP EXTRACT - COST CENTRE'!$A:$A,0),MATCH('Summary - Monthly'!AB$3,'TRANS EMP EXTRACT - COST CENTRE'!$2:$2,0)),0)</f>
        <v>0</v>
      </c>
      <c r="AC14" s="8">
        <f>IFERROR(INDEX('TRANS EMP EXTRACT - COST CENTRE'!$A$1:$Z$455,MATCH('Summary - Monthly'!$A14,'TRANS EMP EXTRACT - COST CENTRE'!$A:$A,0),MATCH('Summary - Monthly'!AC$3,'TRANS EMP EXTRACT - COST CENTRE'!$2:$2,0)),0)</f>
        <v>0</v>
      </c>
      <c r="AD14" s="13">
        <f>IFERROR(INDEX('TRANS EMP EXTRACT - COST CENTRE'!$A$1:$Z$455,MATCH('Summary - Monthly'!$A14,'TRANS EMP EXTRACT - COST CENTRE'!$A:$A,0),MATCH('Summary - Monthly'!AD$3,'TRANS EMP EXTRACT - COST CENTRE'!$2:$2,0)),0)</f>
        <v>0</v>
      </c>
      <c r="AE14" s="13">
        <f>IFERROR(INDEX('TRANS EMP EXTRACT - COST CENTRE'!$A$1:$Z$455,MATCH('Summary - Monthly'!$A14,'TRANS EMP EXTRACT - COST CENTRE'!$A:$A,0),MATCH('Summary - Monthly'!AE$3,'TRANS EMP EXTRACT - COST CENTRE'!$2:$2,0)),0)</f>
        <v>0</v>
      </c>
      <c r="AF14" s="13">
        <f>IFERROR(INDEX('TRANS EMP EXTRACT - COST CENTRE'!$A$1:$Z$455,MATCH('Summary - Monthly'!$A14,'TRANS EMP EXTRACT - COST CENTRE'!$A:$A,0),MATCH('Summary - Monthly'!AF$3,'TRANS EMP EXTRACT - COST CENTRE'!$2:$2,0)),0)</f>
        <v>0</v>
      </c>
      <c r="AG14" s="10">
        <f>IFERROR(INDEX('TRANS EMP EXTRACT - COST CENTRE'!$A$1:$Z$455,MATCH('Summary - Monthly'!$A14,'TRANS EMP EXTRACT - COST CENTRE'!$A:$A,0),MATCH('Summary - Monthly'!AG$3,'TRANS EMP EXTRACT - COST CENTRE'!$2:$2,0)),0)</f>
        <v>0</v>
      </c>
      <c r="AH14" s="10">
        <f>IFERROR(INDEX('TRANS EMP EXTRACT - COST CENTRE'!$A$1:$Z$455,MATCH('Summary - Monthly'!$A14,'TRANS EMP EXTRACT - COST CENTRE'!$A:$A,0),MATCH('Summary - Monthly'!AH$3,'TRANS EMP EXTRACT - COST CENTRE'!$2:$2,0)),0)</f>
        <v>16.657499999999999</v>
      </c>
      <c r="AI14" s="10">
        <f>IFERROR(INDEX('TRANS EMP EXTRACT - COST CENTRE'!$A$1:$Z$455,MATCH('Summary - Monthly'!$A14,'TRANS EMP EXTRACT - COST CENTRE'!$A:$A,0),MATCH('Summary - Monthly'!AI$3,'TRANS EMP EXTRACT - COST CENTRE'!$2:$2,0)),0)</f>
        <v>16.657499999999999</v>
      </c>
      <c r="AJ14" s="10">
        <f>IFERROR(INDEX('TRANS EMP EXTRACT - COST CENTRE'!$A$1:$Z$455,MATCH('Summary - Monthly'!$A14,'TRANS EMP EXTRACT - COST CENTRE'!$A:$A,0),MATCH('Summary - Monthly'!AJ$3,'TRANS EMP EXTRACT - COST CENTRE'!$2:$2,0)),0)</f>
        <v>0</v>
      </c>
      <c r="AK14" s="10">
        <f>IFERROR(INDEX('TRANS EMP EXTRACT - COST CENTRE'!$A$1:$Z$455,MATCH('Summary - Monthly'!$A14,'TRANS EMP EXTRACT - COST CENTRE'!$A:$A,0),MATCH('Summary - Monthly'!AK$3,'TRANS EMP EXTRACT - COST CENTRE'!$2:$2,0)),0)</f>
        <v>0</v>
      </c>
      <c r="AL14" s="10">
        <f>IFERROR(INDEX('TRANS EMP EXTRACT - COST CENTRE'!$A$1:$Z$455,MATCH('Summary - Monthly'!$A14,'TRANS EMP EXTRACT - COST CENTRE'!$A:$A,0),MATCH('Summary - Monthly'!AL$3,'TRANS EMP EXTRACT - COST CENTRE'!$2:$2,0)),0)</f>
        <v>0</v>
      </c>
      <c r="AM14" s="10">
        <f t="shared" si="4"/>
        <v>136.80000000000001</v>
      </c>
      <c r="AN14" s="14">
        <f t="shared" si="2"/>
        <v>0</v>
      </c>
      <c r="AO14" s="18">
        <f t="shared" si="5"/>
        <v>0.9</v>
      </c>
      <c r="AP14" s="18">
        <f t="shared" si="6"/>
        <v>0.9</v>
      </c>
      <c r="AQ14" s="10" t="str">
        <f>IFERROR(VLOOKUP(B14,Departments!A:C,3,FALSE),"")</f>
        <v>Sales &amp; Marketing</v>
      </c>
      <c r="AR14" s="10" t="str">
        <f>IFERROR(VLOOKUP(B14,Departments!A:B,2,FALSE),"")</f>
        <v>Sydney Sales</v>
      </c>
      <c r="AS14" s="10">
        <f t="shared" si="7"/>
        <v>0</v>
      </c>
      <c r="AT14" s="10">
        <f t="shared" si="8"/>
        <v>0</v>
      </c>
      <c r="AU14" s="10" t="str">
        <f>_xlfn.IFNA(VLOOKUP(B14,Departments!A:D,4,FALSE),"")</f>
        <v>S&amp;M</v>
      </c>
    </row>
    <row r="15" spans="1:47" ht="14.45" customHeight="1">
      <c r="A15" s="11" t="str">
        <f t="shared" si="3"/>
        <v>1202102118733</v>
      </c>
      <c r="B15" s="11">
        <f>'TRANS EMP EXTRACT - COST CENTRE'!B14</f>
        <v>12021021</v>
      </c>
      <c r="C15" s="10" t="str">
        <f>IFERROR(VLOOKUP(E15,'TRANS EMP EXTRACT - EMP CATEGOR'!A:B,2,FALSE),"")</f>
        <v>FT</v>
      </c>
      <c r="D15" s="10" t="str">
        <f>IFERROR(VLOOKUP(E15,'TRANS EMP EXTRACT - EMP CATEGOR'!A:C,3,FALSE),"")</f>
        <v>Fulltime</v>
      </c>
      <c r="E15" s="11">
        <f>'TRANS EMP EXTRACT - COST CENTRE'!D14</f>
        <v>18733</v>
      </c>
      <c r="F15" s="10" t="str">
        <f>IFERROR(VLOOKUP(E15,'TRANS EMP EXTRACT - COST CENTRE'!D:E,2,FALSE),"")</f>
        <v>BANDI  RENU MRS</v>
      </c>
      <c r="G15" s="12">
        <f>IFERROR(INDEX('TRANS EMP EXTRACT - COST CENTRE'!$A$1:$Z$455,MATCH('Summary - Monthly'!$A15,'TRANS EMP EXTRACT - COST CENTRE'!$A:$A,0),MATCH('Summary - Monthly'!G$3,'TRANS EMP EXTRACT - COST CENTRE'!$2:$2,0)),"")</f>
        <v>42562</v>
      </c>
      <c r="H15" s="10" t="str">
        <f>IFERROR(INDEX('TRANS EMP EXTRACT - COST CENTRE'!$B$1:$Z$455,MATCH('Summary - Monthly'!$E15,'TRANS EMP EXTRACT - COST CENTRE'!$D:$D,0),MATCH('Summary - Monthly'!H$3,'TRANS EMP EXTRACT - COST CENTRE'!$2:$2,0)),"")</f>
        <v>RT</v>
      </c>
      <c r="I15" s="12" t="str">
        <f>IFERROR(INDEX('TRANS EMP EXTRACT - EMP CATEGOR'!$B$1:$AF$421,MATCH('Summary - Monthly'!$E15,'TRANS EMP EXTRACT - EMP CATEGOR'!$D:$D,0),MATCH('Summary - Monthly'!H$3,'TRANS EMP EXTRACT - EMP CATEGOR'!$2:$2,0)),"")</f>
        <v>RT</v>
      </c>
      <c r="J15" s="41">
        <f t="shared" ca="1" si="0"/>
        <v>5.3400999999999996</v>
      </c>
      <c r="K15" s="41">
        <f t="shared" ca="1" si="1"/>
        <v>96.131</v>
      </c>
      <c r="L15" s="10">
        <f>IFERROR(INDEX('TRANS EMP EXTRACT - COST CENTRE'!$A$1:$Z$455,MATCH('Summary - Monthly'!$A15,'TRANS EMP EXTRACT - COST CENTRE'!$A:$A,0),MATCH('Summary - Monthly'!L$3,'TRANS EMP EXTRACT - COST CENTRE'!$2:$2,0)),"")</f>
        <v>128.2833</v>
      </c>
      <c r="M15" s="10">
        <f>IFERROR(INDEX('TRANS EMP EXTRACT - COST CENTRE'!$A$1:$Z$455,MATCH('Summary - Monthly'!$A15,'TRANS EMP EXTRACT - COST CENTRE'!$A:$A,0),MATCH('Summary - Monthly'!M$3,'TRANS EMP EXTRACT - COST CENTRE'!$2:$2,0)),0)</f>
        <v>0</v>
      </c>
      <c r="N15" s="10">
        <f>IFERROR(INDEX('TRANS EMP EXTRACT - COST CENTRE'!$A$1:$Z$455,MATCH('Summary - Monthly'!$A15,'TRANS EMP EXTRACT - COST CENTRE'!$A:$A,0),MATCH('Summary - Monthly'!N$3,'TRANS EMP EXTRACT - COST CENTRE'!$2:$2,0)),0)</f>
        <v>0</v>
      </c>
      <c r="O15" s="10">
        <f>IFERROR(INDEX('TRANS EMP EXTRACT - COST CENTRE'!$A$1:$Z$455,MATCH('Summary - Monthly'!$A15,'TRANS EMP EXTRACT - COST CENTRE'!$A:$A,0),MATCH('Summary - Monthly'!O$3,'TRANS EMP EXTRACT - COST CENTRE'!$2:$2,0)),0)</f>
        <v>0</v>
      </c>
      <c r="P15" s="10">
        <f>IFERROR(INDEX('TRANS EMP EXTRACT - COST CENTRE'!$A$1:$Z$455,MATCH('Summary - Monthly'!$A15,'TRANS EMP EXTRACT - COST CENTRE'!$A:$A,0),MATCH('Summary - Monthly'!P$3,'TRANS EMP EXTRACT - COST CENTRE'!$2:$2,0)),0)</f>
        <v>0</v>
      </c>
      <c r="Q15" s="10">
        <f>IFERROR(INDEX('TRANS EMP EXTRACT - COST CENTRE'!$A$1:$Z$455,MATCH('Summary - Monthly'!$A15,'TRANS EMP EXTRACT - COST CENTRE'!$A:$A,0),MATCH('Summary - Monthly'!Q$3,'TRANS EMP EXTRACT - COST CENTRE'!$2:$2,0)),0)</f>
        <v>6.4333999999999998</v>
      </c>
      <c r="R15" s="10">
        <f>IFERROR(INDEX('TRANS EMP EXTRACT - COST CENTRE'!$A$1:$Z$455,MATCH('Summary - Monthly'!$A15,'TRANS EMP EXTRACT - COST CENTRE'!$A:$A,0),MATCH('Summary - Monthly'!R$3,'TRANS EMP EXTRACT - COST CENTRE'!$2:$2,0)),0)</f>
        <v>0</v>
      </c>
      <c r="S15" s="10">
        <f>IFERROR(INDEX('TRANS EMP EXTRACT - COST CENTRE'!$A$1:$Z$455,MATCH('Summary - Monthly'!$A15,'TRANS EMP EXTRACT - COST CENTRE'!$A:$A,0),MATCH('Summary - Monthly'!S$3,'TRANS EMP EXTRACT - COST CENTRE'!$2:$2,0)),0)</f>
        <v>0</v>
      </c>
      <c r="T15" s="8">
        <f>IFERROR(INDEX('TRANS EMP EXTRACT - COST CENTRE'!$A$1:$Z$455,MATCH('Summary - Monthly'!$A15,'TRANS EMP EXTRACT - COST CENTRE'!$A:$A,0),MATCH('Summary - Monthly'!T$3,'TRANS EMP EXTRACT - COST CENTRE'!$2:$2,0)),0)</f>
        <v>0</v>
      </c>
      <c r="U15" s="13">
        <f>IFERROR(INDEX('TRANS EMP EXTRACT - COST CENTRE'!$A$1:$Z$455,MATCH('Summary - Monthly'!$A15,'TRANS EMP EXTRACT - COST CENTRE'!$A:$A,0),MATCH('Summary - Monthly'!U$3,'TRANS EMP EXTRACT - COST CENTRE'!$2:$2,0)),0)</f>
        <v>7.6</v>
      </c>
      <c r="V15" s="13">
        <f>IFERROR(INDEX('TRANS EMP EXTRACT - COST CENTRE'!$A$1:$Z$455,MATCH('Summary - Monthly'!$A15,'TRANS EMP EXTRACT - COST CENTRE'!$A:$A,0),MATCH('Summary - Monthly'!V$3,'TRANS EMP EXTRACT - COST CENTRE'!$2:$2,0)),0)</f>
        <v>15.2</v>
      </c>
      <c r="W15" s="13">
        <f>IFERROR(INDEX('TRANS EMP EXTRACT - COST CENTRE'!$A$1:$Z$455,MATCH('Summary - Monthly'!$A15,'TRANS EMP EXTRACT - COST CENTRE'!$A:$A,0),MATCH('Summary - Monthly'!W$3,'TRANS EMP EXTRACT - COST CENTRE'!$2:$2,0)),0)</f>
        <v>0</v>
      </c>
      <c r="X15" s="13">
        <f>IFERROR(INDEX('TRANS EMP EXTRACT - COST CENTRE'!$A$1:$Z$455,MATCH('Summary - Monthly'!$A15,'TRANS EMP EXTRACT - COST CENTRE'!$A:$A,0),MATCH('Summary - Monthly'!X$3,'TRANS EMP EXTRACT - COST CENTRE'!$2:$2,0)),0)</f>
        <v>0</v>
      </c>
      <c r="Y15" s="13">
        <f>IFERROR(INDEX('TRANS EMP EXTRACT - COST CENTRE'!$A$1:$Z$455,MATCH('Summary - Monthly'!$A15,'TRANS EMP EXTRACT - COST CENTRE'!$A:$A,0),MATCH('Summary - Monthly'!Y$3,'TRANS EMP EXTRACT - COST CENTRE'!$2:$2,0)),0)</f>
        <v>0</v>
      </c>
      <c r="Z15" s="10">
        <f>IFERROR(INDEX('TRANS EMP EXTRACT - COST CENTRE'!$A$1:$Z$455,MATCH('Summary - Monthly'!$A15,'TRANS EMP EXTRACT - COST CENTRE'!$A:$A,0),MATCH('Summary - Monthly'!Z$3,'TRANS EMP EXTRACT - COST CENTRE'!$2:$2,0)),0)</f>
        <v>0</v>
      </c>
      <c r="AA15" s="10">
        <f>IFERROR(INDEX('TRANS EMP EXTRACT - COST CENTRE'!$A$1:$Z$455,MATCH('Summary - Monthly'!$A15,'TRANS EMP EXTRACT - COST CENTRE'!$A:$A,0),MATCH('Summary - Monthly'!AA$3,'TRANS EMP EXTRACT - COST CENTRE'!$2:$2,0)),0)</f>
        <v>0</v>
      </c>
      <c r="AB15" s="10">
        <f>IFERROR(INDEX('TRANS EMP EXTRACT - COST CENTRE'!$A$1:$Z$455,MATCH('Summary - Monthly'!$A15,'TRANS EMP EXTRACT - COST CENTRE'!$A:$A,0),MATCH('Summary - Monthly'!AB$3,'TRANS EMP EXTRACT - COST CENTRE'!$2:$2,0)),0)</f>
        <v>0</v>
      </c>
      <c r="AC15" s="8">
        <f>IFERROR(INDEX('TRANS EMP EXTRACT - COST CENTRE'!$A$1:$Z$455,MATCH('Summary - Monthly'!$A15,'TRANS EMP EXTRACT - COST CENTRE'!$A:$A,0),MATCH('Summary - Monthly'!AC$3,'TRANS EMP EXTRACT - COST CENTRE'!$2:$2,0)),0)</f>
        <v>0</v>
      </c>
      <c r="AD15" s="13">
        <f>IFERROR(INDEX('TRANS EMP EXTRACT - COST CENTRE'!$A$1:$Z$455,MATCH('Summary - Monthly'!$A15,'TRANS EMP EXTRACT - COST CENTRE'!$A:$A,0),MATCH('Summary - Monthly'!AD$3,'TRANS EMP EXTRACT - COST CENTRE'!$2:$2,0)),0)</f>
        <v>0</v>
      </c>
      <c r="AE15" s="13">
        <f>IFERROR(INDEX('TRANS EMP EXTRACT - COST CENTRE'!$A$1:$Z$455,MATCH('Summary - Monthly'!$A15,'TRANS EMP EXTRACT - COST CENTRE'!$A:$A,0),MATCH('Summary - Monthly'!AE$3,'TRANS EMP EXTRACT - COST CENTRE'!$2:$2,0)),0)</f>
        <v>0</v>
      </c>
      <c r="AF15" s="13">
        <f>IFERROR(INDEX('TRANS EMP EXTRACT - COST CENTRE'!$A$1:$Z$455,MATCH('Summary - Monthly'!$A15,'TRANS EMP EXTRACT - COST CENTRE'!$A:$A,0),MATCH('Summary - Monthly'!AF$3,'TRANS EMP EXTRACT - COST CENTRE'!$2:$2,0)),0)</f>
        <v>0</v>
      </c>
      <c r="AG15" s="10">
        <f>IFERROR(INDEX('TRANS EMP EXTRACT - COST CENTRE'!$A$1:$Z$455,MATCH('Summary - Monthly'!$A15,'TRANS EMP EXTRACT - COST CENTRE'!$A:$A,0),MATCH('Summary - Monthly'!AG$3,'TRANS EMP EXTRACT - COST CENTRE'!$2:$2,0)),0)</f>
        <v>0</v>
      </c>
      <c r="AH15" s="10">
        <f>IFERROR(INDEX('TRANS EMP EXTRACT - COST CENTRE'!$A$1:$Z$455,MATCH('Summary - Monthly'!$A15,'TRANS EMP EXTRACT - COST CENTRE'!$A:$A,0),MATCH('Summary - Monthly'!AH$3,'TRANS EMP EXTRACT - COST CENTRE'!$2:$2,0)),0)</f>
        <v>0</v>
      </c>
      <c r="AI15" s="10">
        <f>IFERROR(INDEX('TRANS EMP EXTRACT - COST CENTRE'!$A$1:$Z$455,MATCH('Summary - Monthly'!$A15,'TRANS EMP EXTRACT - COST CENTRE'!$A:$A,0),MATCH('Summary - Monthly'!AI$3,'TRANS EMP EXTRACT - COST CENTRE'!$2:$2,0)),0)</f>
        <v>0</v>
      </c>
      <c r="AJ15" s="10">
        <f>IFERROR(INDEX('TRANS EMP EXTRACT - COST CENTRE'!$A$1:$Z$455,MATCH('Summary - Monthly'!$A15,'TRANS EMP EXTRACT - COST CENTRE'!$A:$A,0),MATCH('Summary - Monthly'!AJ$3,'TRANS EMP EXTRACT - COST CENTRE'!$2:$2,0)),0)</f>
        <v>0</v>
      </c>
      <c r="AK15" s="10">
        <f>IFERROR(INDEX('TRANS EMP EXTRACT - COST CENTRE'!$A$1:$Z$455,MATCH('Summary - Monthly'!$A15,'TRANS EMP EXTRACT - COST CENTRE'!$A:$A,0),MATCH('Summary - Monthly'!AK$3,'TRANS EMP EXTRACT - COST CENTRE'!$2:$2,0)),0)</f>
        <v>0</v>
      </c>
      <c r="AL15" s="10">
        <f>IFERROR(INDEX('TRANS EMP EXTRACT - COST CENTRE'!$A$1:$Z$455,MATCH('Summary - Monthly'!$A15,'TRANS EMP EXTRACT - COST CENTRE'!$A:$A,0),MATCH('Summary - Monthly'!AL$3,'TRANS EMP EXTRACT - COST CENTRE'!$2:$2,0)),0)</f>
        <v>0</v>
      </c>
      <c r="AM15" s="10">
        <f t="shared" si="4"/>
        <v>157.51669999999999</v>
      </c>
      <c r="AN15" s="14">
        <f t="shared" si="2"/>
        <v>4.2325000000000002E-2</v>
      </c>
      <c r="AO15" s="18">
        <f t="shared" si="5"/>
        <v>1.0362940789473682</v>
      </c>
      <c r="AP15" s="18">
        <f t="shared" si="6"/>
        <v>0.88629407894736845</v>
      </c>
      <c r="AQ15" s="10" t="str">
        <f>IFERROR(VLOOKUP(B15,Departments!A:C,3,FALSE),"")</f>
        <v>Chemistry</v>
      </c>
      <c r="AR15" s="10" t="str">
        <f>IFERROR(VLOOKUP(B15,Departments!A:B,2,FALSE),"")</f>
        <v>Sydney Chem</v>
      </c>
      <c r="AS15" s="10">
        <f t="shared" si="7"/>
        <v>15.2</v>
      </c>
      <c r="AT15" s="10">
        <f t="shared" si="8"/>
        <v>22.799999999999997</v>
      </c>
      <c r="AU15" s="10" t="str">
        <f>_xlfn.IFNA(VLOOKUP(B15,Departments!A:D,4,FALSE),"")</f>
        <v>Sydney Chem</v>
      </c>
    </row>
    <row r="16" spans="1:47" ht="14.45" customHeight="1">
      <c r="A16" s="11" t="str">
        <f t="shared" si="3"/>
        <v>1202080019051</v>
      </c>
      <c r="B16" s="11">
        <f>'TRANS EMP EXTRACT - COST CENTRE'!B15</f>
        <v>12020800</v>
      </c>
      <c r="C16" s="10" t="str">
        <f>IFERROR(VLOOKUP(E16,'TRANS EMP EXTRACT - EMP CATEGOR'!A:B,2,FALSE),"")</f>
        <v>FT</v>
      </c>
      <c r="D16" s="10" t="str">
        <f>IFERROR(VLOOKUP(E16,'TRANS EMP EXTRACT - EMP CATEGOR'!A:C,3,FALSE),"")</f>
        <v>Fulltime</v>
      </c>
      <c r="E16" s="11">
        <f>'TRANS EMP EXTRACT - COST CENTRE'!D15</f>
        <v>19051</v>
      </c>
      <c r="F16" s="10" t="str">
        <f>IFERROR(VLOOKUP(E16,'TRANS EMP EXTRACT - COST CENTRE'!D:E,2,FALSE),"")</f>
        <v>BARAL  RICHA MS</v>
      </c>
      <c r="G16" s="12">
        <f>IFERROR(INDEX('TRANS EMP EXTRACT - COST CENTRE'!$A$1:$Z$455,MATCH('Summary - Monthly'!$A16,'TRANS EMP EXTRACT - COST CENTRE'!$A:$A,0),MATCH('Summary - Monthly'!G$3,'TRANS EMP EXTRACT - COST CENTRE'!$2:$2,0)),"")</f>
        <v>44909</v>
      </c>
      <c r="H16" s="10" t="str">
        <f>IFERROR(INDEX('TRANS EMP EXTRACT - COST CENTRE'!$B$1:$Z$455,MATCH('Summary - Monthly'!$E16,'TRANS EMP EXTRACT - COST CENTRE'!$D:$D,0),MATCH('Summary - Monthly'!H$3,'TRANS EMP EXTRACT - COST CENTRE'!$2:$2,0)),"")</f>
        <v>RT</v>
      </c>
      <c r="I16" s="12" t="str">
        <f>IFERROR(INDEX('TRANS EMP EXTRACT - EMP CATEGOR'!$B$1:$AF$421,MATCH('Summary - Monthly'!$E16,'TRANS EMP EXTRACT - EMP CATEGOR'!$D:$D,0),MATCH('Summary - Monthly'!H$3,'TRANS EMP EXTRACT - EMP CATEGOR'!$2:$2,0)),"")</f>
        <v>RT</v>
      </c>
      <c r="J16" s="41">
        <f t="shared" ca="1" si="0"/>
        <v>9.0574999999999992</v>
      </c>
      <c r="K16" s="41">
        <f t="shared" ca="1" si="1"/>
        <v>18.115100000000002</v>
      </c>
      <c r="L16" s="10">
        <f>IFERROR(INDEX('TRANS EMP EXTRACT - COST CENTRE'!$A$1:$Z$455,MATCH('Summary - Monthly'!$A16,'TRANS EMP EXTRACT - COST CENTRE'!$A:$A,0),MATCH('Summary - Monthly'!L$3,'TRANS EMP EXTRACT - COST CENTRE'!$2:$2,0)),"")</f>
        <v>76</v>
      </c>
      <c r="M16" s="10">
        <f>IFERROR(INDEX('TRANS EMP EXTRACT - COST CENTRE'!$A$1:$Z$455,MATCH('Summary - Monthly'!$A16,'TRANS EMP EXTRACT - COST CENTRE'!$A:$A,0),MATCH('Summary - Monthly'!M$3,'TRANS EMP EXTRACT - COST CENTRE'!$2:$2,0)),0)</f>
        <v>0</v>
      </c>
      <c r="N16" s="10">
        <f>IFERROR(INDEX('TRANS EMP EXTRACT - COST CENTRE'!$A$1:$Z$455,MATCH('Summary - Monthly'!$A16,'TRANS EMP EXTRACT - COST CENTRE'!$A:$A,0),MATCH('Summary - Monthly'!N$3,'TRANS EMP EXTRACT - COST CENTRE'!$2:$2,0)),0)</f>
        <v>0</v>
      </c>
      <c r="O16" s="10">
        <f>IFERROR(INDEX('TRANS EMP EXTRACT - COST CENTRE'!$A$1:$Z$455,MATCH('Summary - Monthly'!$A16,'TRANS EMP EXTRACT - COST CENTRE'!$A:$A,0),MATCH('Summary - Monthly'!O$3,'TRANS EMP EXTRACT - COST CENTRE'!$2:$2,0)),0)</f>
        <v>30.4</v>
      </c>
      <c r="P16" s="10">
        <f>IFERROR(INDEX('TRANS EMP EXTRACT - COST CENTRE'!$A$1:$Z$455,MATCH('Summary - Monthly'!$A16,'TRANS EMP EXTRACT - COST CENTRE'!$A:$A,0),MATCH('Summary - Monthly'!P$3,'TRANS EMP EXTRACT - COST CENTRE'!$2:$2,0)),0)</f>
        <v>0</v>
      </c>
      <c r="Q16" s="10">
        <f>IFERROR(INDEX('TRANS EMP EXTRACT - COST CENTRE'!$A$1:$Z$455,MATCH('Summary - Monthly'!$A16,'TRANS EMP EXTRACT - COST CENTRE'!$A:$A,0),MATCH('Summary - Monthly'!Q$3,'TRANS EMP EXTRACT - COST CENTRE'!$2:$2,0)),0)</f>
        <v>0</v>
      </c>
      <c r="R16" s="10">
        <f>IFERROR(INDEX('TRANS EMP EXTRACT - COST CENTRE'!$A$1:$Z$455,MATCH('Summary - Monthly'!$A16,'TRANS EMP EXTRACT - COST CENTRE'!$A:$A,0),MATCH('Summary - Monthly'!R$3,'TRANS EMP EXTRACT - COST CENTRE'!$2:$2,0)),0)</f>
        <v>0</v>
      </c>
      <c r="S16" s="10">
        <f>IFERROR(INDEX('TRANS EMP EXTRACT - COST CENTRE'!$A$1:$Z$455,MATCH('Summary - Monthly'!$A16,'TRANS EMP EXTRACT - COST CENTRE'!$A:$A,0),MATCH('Summary - Monthly'!S$3,'TRANS EMP EXTRACT - COST CENTRE'!$2:$2,0)),0)</f>
        <v>0</v>
      </c>
      <c r="T16" s="8">
        <f>IFERROR(INDEX('TRANS EMP EXTRACT - COST CENTRE'!$A$1:$Z$455,MATCH('Summary - Monthly'!$A16,'TRANS EMP EXTRACT - COST CENTRE'!$A:$A,0),MATCH('Summary - Monthly'!T$3,'TRANS EMP EXTRACT - COST CENTRE'!$2:$2,0)),0)</f>
        <v>0</v>
      </c>
      <c r="U16" s="13">
        <f>IFERROR(INDEX('TRANS EMP EXTRACT - COST CENTRE'!$A$1:$Z$455,MATCH('Summary - Monthly'!$A16,'TRANS EMP EXTRACT - COST CENTRE'!$A:$A,0),MATCH('Summary - Monthly'!U$3,'TRANS EMP EXTRACT - COST CENTRE'!$2:$2,0)),0)</f>
        <v>15.2</v>
      </c>
      <c r="V16" s="13">
        <f>IFERROR(INDEX('TRANS EMP EXTRACT - COST CENTRE'!$A$1:$Z$455,MATCH('Summary - Monthly'!$A16,'TRANS EMP EXTRACT - COST CENTRE'!$A:$A,0),MATCH('Summary - Monthly'!V$3,'TRANS EMP EXTRACT - COST CENTRE'!$2:$2,0)),0)</f>
        <v>0</v>
      </c>
      <c r="W16" s="13">
        <f>IFERROR(INDEX('TRANS EMP EXTRACT - COST CENTRE'!$A$1:$Z$455,MATCH('Summary - Monthly'!$A16,'TRANS EMP EXTRACT - COST CENTRE'!$A:$A,0),MATCH('Summary - Monthly'!W$3,'TRANS EMP EXTRACT - COST CENTRE'!$2:$2,0)),0)</f>
        <v>0</v>
      </c>
      <c r="X16" s="13">
        <f>IFERROR(INDEX('TRANS EMP EXTRACT - COST CENTRE'!$A$1:$Z$455,MATCH('Summary - Monthly'!$A16,'TRANS EMP EXTRACT - COST CENTRE'!$A:$A,0),MATCH('Summary - Monthly'!X$3,'TRANS EMP EXTRACT - COST CENTRE'!$2:$2,0)),0)</f>
        <v>0</v>
      </c>
      <c r="Y16" s="13">
        <f>IFERROR(INDEX('TRANS EMP EXTRACT - COST CENTRE'!$A$1:$Z$455,MATCH('Summary - Monthly'!$A16,'TRANS EMP EXTRACT - COST CENTRE'!$A:$A,0),MATCH('Summary - Monthly'!Y$3,'TRANS EMP EXTRACT - COST CENTRE'!$2:$2,0)),0)</f>
        <v>0</v>
      </c>
      <c r="Z16" s="10">
        <f>IFERROR(INDEX('TRANS EMP EXTRACT - COST CENTRE'!$A$1:$Z$455,MATCH('Summary - Monthly'!$A16,'TRANS EMP EXTRACT - COST CENTRE'!$A:$A,0),MATCH('Summary - Monthly'!Z$3,'TRANS EMP EXTRACT - COST CENTRE'!$2:$2,0)),0)</f>
        <v>0</v>
      </c>
      <c r="AA16" s="10">
        <f>IFERROR(INDEX('TRANS EMP EXTRACT - COST CENTRE'!$A$1:$Z$455,MATCH('Summary - Monthly'!$A16,'TRANS EMP EXTRACT - COST CENTRE'!$A:$A,0),MATCH('Summary - Monthly'!AA$3,'TRANS EMP EXTRACT - COST CENTRE'!$2:$2,0)),0)</f>
        <v>0</v>
      </c>
      <c r="AB16" s="10">
        <f>IFERROR(INDEX('TRANS EMP EXTRACT - COST CENTRE'!$A$1:$Z$455,MATCH('Summary - Monthly'!$A16,'TRANS EMP EXTRACT - COST CENTRE'!$A:$A,0),MATCH('Summary - Monthly'!AB$3,'TRANS EMP EXTRACT - COST CENTRE'!$2:$2,0)),0)</f>
        <v>0</v>
      </c>
      <c r="AC16" s="8">
        <f>IFERROR(INDEX('TRANS EMP EXTRACT - COST CENTRE'!$A$1:$Z$455,MATCH('Summary - Monthly'!$A16,'TRANS EMP EXTRACT - COST CENTRE'!$A:$A,0),MATCH('Summary - Monthly'!AC$3,'TRANS EMP EXTRACT - COST CENTRE'!$2:$2,0)),0)</f>
        <v>0</v>
      </c>
      <c r="AD16" s="13">
        <f>IFERROR(INDEX('TRANS EMP EXTRACT - COST CENTRE'!$A$1:$Z$455,MATCH('Summary - Monthly'!$A16,'TRANS EMP EXTRACT - COST CENTRE'!$A:$A,0),MATCH('Summary - Monthly'!AD$3,'TRANS EMP EXTRACT - COST CENTRE'!$2:$2,0)),0)</f>
        <v>0</v>
      </c>
      <c r="AE16" s="13">
        <f>IFERROR(INDEX('TRANS EMP EXTRACT - COST CENTRE'!$A$1:$Z$455,MATCH('Summary - Monthly'!$A16,'TRANS EMP EXTRACT - COST CENTRE'!$A:$A,0),MATCH('Summary - Monthly'!AE$3,'TRANS EMP EXTRACT - COST CENTRE'!$2:$2,0)),0)</f>
        <v>0</v>
      </c>
      <c r="AF16" s="13">
        <f>IFERROR(INDEX('TRANS EMP EXTRACT - COST CENTRE'!$A$1:$Z$455,MATCH('Summary - Monthly'!$A16,'TRANS EMP EXTRACT - COST CENTRE'!$A:$A,0),MATCH('Summary - Monthly'!AF$3,'TRANS EMP EXTRACT - COST CENTRE'!$2:$2,0)),0)</f>
        <v>0</v>
      </c>
      <c r="AG16" s="10">
        <f>IFERROR(INDEX('TRANS EMP EXTRACT - COST CENTRE'!$A$1:$Z$455,MATCH('Summary - Monthly'!$A16,'TRANS EMP EXTRACT - COST CENTRE'!$A:$A,0),MATCH('Summary - Monthly'!AG$3,'TRANS EMP EXTRACT - COST CENTRE'!$2:$2,0)),0)</f>
        <v>0</v>
      </c>
      <c r="AH16" s="10">
        <f>IFERROR(INDEX('TRANS EMP EXTRACT - COST CENTRE'!$A$1:$Z$455,MATCH('Summary - Monthly'!$A16,'TRANS EMP EXTRACT - COST CENTRE'!$A:$A,0),MATCH('Summary - Monthly'!AH$3,'TRANS EMP EXTRACT - COST CENTRE'!$2:$2,0)),0)</f>
        <v>0</v>
      </c>
      <c r="AI16" s="10">
        <f>IFERROR(INDEX('TRANS EMP EXTRACT - COST CENTRE'!$A$1:$Z$455,MATCH('Summary - Monthly'!$A16,'TRANS EMP EXTRACT - COST CENTRE'!$A:$A,0),MATCH('Summary - Monthly'!AI$3,'TRANS EMP EXTRACT - COST CENTRE'!$2:$2,0)),0)</f>
        <v>0</v>
      </c>
      <c r="AJ16" s="10">
        <f>IFERROR(INDEX('TRANS EMP EXTRACT - COST CENTRE'!$A$1:$Z$455,MATCH('Summary - Monthly'!$A16,'TRANS EMP EXTRACT - COST CENTRE'!$A:$A,0),MATCH('Summary - Monthly'!AJ$3,'TRANS EMP EXTRACT - COST CENTRE'!$2:$2,0)),0)</f>
        <v>0</v>
      </c>
      <c r="AK16" s="10">
        <f>IFERROR(INDEX('TRANS EMP EXTRACT - COST CENTRE'!$A$1:$Z$455,MATCH('Summary - Monthly'!$A16,'TRANS EMP EXTRACT - COST CENTRE'!$A:$A,0),MATCH('Summary - Monthly'!AK$3,'TRANS EMP EXTRACT - COST CENTRE'!$2:$2,0)),0)</f>
        <v>0</v>
      </c>
      <c r="AL16" s="10">
        <f>IFERROR(INDEX('TRANS EMP EXTRACT - COST CENTRE'!$A$1:$Z$455,MATCH('Summary - Monthly'!$A16,'TRANS EMP EXTRACT - COST CENTRE'!$A:$A,0),MATCH('Summary - Monthly'!AL$3,'TRANS EMP EXTRACT - COST CENTRE'!$2:$2,0)),0)</f>
        <v>0</v>
      </c>
      <c r="AM16" s="10">
        <f t="shared" si="4"/>
        <v>121.60000000000001</v>
      </c>
      <c r="AN16" s="14">
        <f t="shared" si="2"/>
        <v>0</v>
      </c>
      <c r="AO16" s="18">
        <f t="shared" si="5"/>
        <v>0.8</v>
      </c>
      <c r="AP16" s="18">
        <f t="shared" si="6"/>
        <v>0.70000000000000007</v>
      </c>
      <c r="AQ16" s="10" t="str">
        <f>IFERROR(VLOOKUP(B16,Departments!A:C,3,FALSE),"")</f>
        <v>Microbiology</v>
      </c>
      <c r="AR16" s="10" t="str">
        <f>IFERROR(VLOOKUP(B16,Departments!A:B,2,FALSE),"")</f>
        <v>Sydney Sample Registration</v>
      </c>
      <c r="AS16" s="10">
        <f t="shared" si="7"/>
        <v>0</v>
      </c>
      <c r="AT16" s="10">
        <f t="shared" si="8"/>
        <v>15.2</v>
      </c>
      <c r="AU16" s="10" t="str">
        <f>_xlfn.IFNA(VLOOKUP(B16,Departments!A:D,4,FALSE),"")</f>
        <v>Sydney Micro</v>
      </c>
    </row>
    <row r="17" spans="1:47" ht="14.45" customHeight="1">
      <c r="A17" s="11" t="str">
        <f t="shared" si="3"/>
        <v>1203301118923</v>
      </c>
      <c r="B17" s="11">
        <f>'TRANS EMP EXTRACT - COST CENTRE'!B16</f>
        <v>12033011</v>
      </c>
      <c r="C17" s="10" t="str">
        <f>IFERROR(VLOOKUP(E17,'TRANS EMP EXTRACT - EMP CATEGOR'!A:B,2,FALSE),"")</f>
        <v>FT</v>
      </c>
      <c r="D17" s="10" t="str">
        <f>IFERROR(VLOOKUP(E17,'TRANS EMP EXTRACT - EMP CATEGOR'!A:C,3,FALSE),"")</f>
        <v>Fulltime</v>
      </c>
      <c r="E17" s="11">
        <f>'TRANS EMP EXTRACT - COST CENTRE'!D16</f>
        <v>18923</v>
      </c>
      <c r="F17" s="10" t="str">
        <f>IFERROR(VLOOKUP(E17,'TRANS EMP EXTRACT - COST CENTRE'!D:E,2,FALSE),"")</f>
        <v>BATTY  MELISA MS</v>
      </c>
      <c r="G17" s="12">
        <f>IFERROR(INDEX('TRANS EMP EXTRACT - COST CENTRE'!$A$1:$Z$455,MATCH('Summary - Monthly'!$A17,'TRANS EMP EXTRACT - COST CENTRE'!$A:$A,0),MATCH('Summary - Monthly'!G$3,'TRANS EMP EXTRACT - COST CENTRE'!$2:$2,0)),"")</f>
        <v>44092</v>
      </c>
      <c r="H17" s="10" t="str">
        <f>IFERROR(INDEX('TRANS EMP EXTRACT - COST CENTRE'!$B$1:$Z$455,MATCH('Summary - Monthly'!$E17,'TRANS EMP EXTRACT - COST CENTRE'!$D:$D,0),MATCH('Summary - Monthly'!H$3,'TRANS EMP EXTRACT - COST CENTRE'!$2:$2,0)),"")</f>
        <v>RT</v>
      </c>
      <c r="I17" s="12" t="str">
        <f>IFERROR(INDEX('TRANS EMP EXTRACT - EMP CATEGOR'!$B$1:$AF$421,MATCH('Summary - Monthly'!$E17,'TRANS EMP EXTRACT - EMP CATEGOR'!$D:$D,0),MATCH('Summary - Monthly'!H$3,'TRANS EMP EXTRACT - EMP CATEGOR'!$2:$2,0)),"")</f>
        <v>RT</v>
      </c>
      <c r="J17" s="41">
        <f t="shared" ca="1" si="0"/>
        <v>58.160299999999999</v>
      </c>
      <c r="K17" s="41">
        <f t="shared" ca="1" si="1"/>
        <v>106.9205</v>
      </c>
      <c r="L17" s="10">
        <f>IFERROR(INDEX('TRANS EMP EXTRACT - COST CENTRE'!$A$1:$Z$455,MATCH('Summary - Monthly'!$A17,'TRANS EMP EXTRACT - COST CENTRE'!$A:$A,0),MATCH('Summary - Monthly'!L$3,'TRANS EMP EXTRACT - COST CENTRE'!$2:$2,0)),"")</f>
        <v>129.19999999999999</v>
      </c>
      <c r="M17" s="10">
        <f>IFERROR(INDEX('TRANS EMP EXTRACT - COST CENTRE'!$A$1:$Z$455,MATCH('Summary - Monthly'!$A17,'TRANS EMP EXTRACT - COST CENTRE'!$A:$A,0),MATCH('Summary - Monthly'!M$3,'TRANS EMP EXTRACT - COST CENTRE'!$2:$2,0)),0)</f>
        <v>0</v>
      </c>
      <c r="N17" s="10">
        <f>IFERROR(INDEX('TRANS EMP EXTRACT - COST CENTRE'!$A$1:$Z$455,MATCH('Summary - Monthly'!$A17,'TRANS EMP EXTRACT - COST CENTRE'!$A:$A,0),MATCH('Summary - Monthly'!N$3,'TRANS EMP EXTRACT - COST CENTRE'!$2:$2,0)),0)</f>
        <v>0</v>
      </c>
      <c r="O17" s="10">
        <f>IFERROR(INDEX('TRANS EMP EXTRACT - COST CENTRE'!$A$1:$Z$455,MATCH('Summary - Monthly'!$A17,'TRANS EMP EXTRACT - COST CENTRE'!$A:$A,0),MATCH('Summary - Monthly'!O$3,'TRANS EMP EXTRACT - COST CENTRE'!$2:$2,0)),0)</f>
        <v>0</v>
      </c>
      <c r="P17" s="10">
        <f>IFERROR(INDEX('TRANS EMP EXTRACT - COST CENTRE'!$A$1:$Z$455,MATCH('Summary - Monthly'!$A17,'TRANS EMP EXTRACT - COST CENTRE'!$A:$A,0),MATCH('Summary - Monthly'!P$3,'TRANS EMP EXTRACT - COST CENTRE'!$2:$2,0)),0)</f>
        <v>0</v>
      </c>
      <c r="Q17" s="10">
        <f>IFERROR(INDEX('TRANS EMP EXTRACT - COST CENTRE'!$A$1:$Z$455,MATCH('Summary - Monthly'!$A17,'TRANS EMP EXTRACT - COST CENTRE'!$A:$A,0),MATCH('Summary - Monthly'!Q$3,'TRANS EMP EXTRACT - COST CENTRE'!$2:$2,0)),0)</f>
        <v>5.0498000000000003</v>
      </c>
      <c r="R17" s="10">
        <f>IFERROR(INDEX('TRANS EMP EXTRACT - COST CENTRE'!$A$1:$Z$455,MATCH('Summary - Monthly'!$A17,'TRANS EMP EXTRACT - COST CENTRE'!$A:$A,0),MATCH('Summary - Monthly'!R$3,'TRANS EMP EXTRACT - COST CENTRE'!$2:$2,0)),0)</f>
        <v>0</v>
      </c>
      <c r="S17" s="10">
        <f>IFERROR(INDEX('TRANS EMP EXTRACT - COST CENTRE'!$A$1:$Z$455,MATCH('Summary - Monthly'!$A17,'TRANS EMP EXTRACT - COST CENTRE'!$A:$A,0),MATCH('Summary - Monthly'!S$3,'TRANS EMP EXTRACT - COST CENTRE'!$2:$2,0)),0)</f>
        <v>0</v>
      </c>
      <c r="T17" s="8">
        <f>IFERROR(INDEX('TRANS EMP EXTRACT - COST CENTRE'!$A$1:$Z$455,MATCH('Summary - Monthly'!$A17,'TRANS EMP EXTRACT - COST CENTRE'!$A:$A,0),MATCH('Summary - Monthly'!T$3,'TRANS EMP EXTRACT - COST CENTRE'!$2:$2,0)),0)</f>
        <v>0</v>
      </c>
      <c r="U17" s="13">
        <f>IFERROR(INDEX('TRANS EMP EXTRACT - COST CENTRE'!$A$1:$Z$455,MATCH('Summary - Monthly'!$A17,'TRANS EMP EXTRACT - COST CENTRE'!$A:$A,0),MATCH('Summary - Monthly'!U$3,'TRANS EMP EXTRACT - COST CENTRE'!$2:$2,0)),0)</f>
        <v>22.8</v>
      </c>
      <c r="V17" s="13">
        <f>IFERROR(INDEX('TRANS EMP EXTRACT - COST CENTRE'!$A$1:$Z$455,MATCH('Summary - Monthly'!$A17,'TRANS EMP EXTRACT - COST CENTRE'!$A:$A,0),MATCH('Summary - Monthly'!V$3,'TRANS EMP EXTRACT - COST CENTRE'!$2:$2,0)),0)</f>
        <v>0</v>
      </c>
      <c r="W17" s="13">
        <f>IFERROR(INDEX('TRANS EMP EXTRACT - COST CENTRE'!$A$1:$Z$455,MATCH('Summary - Monthly'!$A17,'TRANS EMP EXTRACT - COST CENTRE'!$A:$A,0),MATCH('Summary - Monthly'!W$3,'TRANS EMP EXTRACT - COST CENTRE'!$2:$2,0)),0)</f>
        <v>0</v>
      </c>
      <c r="X17" s="13">
        <f>IFERROR(INDEX('TRANS EMP EXTRACT - COST CENTRE'!$A$1:$Z$455,MATCH('Summary - Monthly'!$A17,'TRANS EMP EXTRACT - COST CENTRE'!$A:$A,0),MATCH('Summary - Monthly'!X$3,'TRANS EMP EXTRACT - COST CENTRE'!$2:$2,0)),0)</f>
        <v>0</v>
      </c>
      <c r="Y17" s="13">
        <f>IFERROR(INDEX('TRANS EMP EXTRACT - COST CENTRE'!$A$1:$Z$455,MATCH('Summary - Monthly'!$A17,'TRANS EMP EXTRACT - COST CENTRE'!$A:$A,0),MATCH('Summary - Monthly'!Y$3,'TRANS EMP EXTRACT - COST CENTRE'!$2:$2,0)),0)</f>
        <v>0</v>
      </c>
      <c r="Z17" s="10">
        <f>IFERROR(INDEX('TRANS EMP EXTRACT - COST CENTRE'!$A$1:$Z$455,MATCH('Summary - Monthly'!$A17,'TRANS EMP EXTRACT - COST CENTRE'!$A:$A,0),MATCH('Summary - Monthly'!Z$3,'TRANS EMP EXTRACT - COST CENTRE'!$2:$2,0)),0)</f>
        <v>0</v>
      </c>
      <c r="AA17" s="10">
        <f>IFERROR(INDEX('TRANS EMP EXTRACT - COST CENTRE'!$A$1:$Z$455,MATCH('Summary - Monthly'!$A17,'TRANS EMP EXTRACT - COST CENTRE'!$A:$A,0),MATCH('Summary - Monthly'!AA$3,'TRANS EMP EXTRACT - COST CENTRE'!$2:$2,0)),0)</f>
        <v>0</v>
      </c>
      <c r="AB17" s="10">
        <f>IFERROR(INDEX('TRANS EMP EXTRACT - COST CENTRE'!$A$1:$Z$455,MATCH('Summary - Monthly'!$A17,'TRANS EMP EXTRACT - COST CENTRE'!$A:$A,0),MATCH('Summary - Monthly'!AB$3,'TRANS EMP EXTRACT - COST CENTRE'!$2:$2,0)),0)</f>
        <v>0</v>
      </c>
      <c r="AC17" s="8">
        <f>IFERROR(INDEX('TRANS EMP EXTRACT - COST CENTRE'!$A$1:$Z$455,MATCH('Summary - Monthly'!$A17,'TRANS EMP EXTRACT - COST CENTRE'!$A:$A,0),MATCH('Summary - Monthly'!AC$3,'TRANS EMP EXTRACT - COST CENTRE'!$2:$2,0)),0)</f>
        <v>0</v>
      </c>
      <c r="AD17" s="13">
        <f>IFERROR(INDEX('TRANS EMP EXTRACT - COST CENTRE'!$A$1:$Z$455,MATCH('Summary - Monthly'!$A17,'TRANS EMP EXTRACT - COST CENTRE'!$A:$A,0),MATCH('Summary - Monthly'!AD$3,'TRANS EMP EXTRACT - COST CENTRE'!$2:$2,0)),0)</f>
        <v>0</v>
      </c>
      <c r="AE17" s="13">
        <f>IFERROR(INDEX('TRANS EMP EXTRACT - COST CENTRE'!$A$1:$Z$455,MATCH('Summary - Monthly'!$A17,'TRANS EMP EXTRACT - COST CENTRE'!$A:$A,0),MATCH('Summary - Monthly'!AE$3,'TRANS EMP EXTRACT - COST CENTRE'!$2:$2,0)),0)</f>
        <v>0</v>
      </c>
      <c r="AF17" s="13">
        <f>IFERROR(INDEX('TRANS EMP EXTRACT - COST CENTRE'!$A$1:$Z$455,MATCH('Summary - Monthly'!$A17,'TRANS EMP EXTRACT - COST CENTRE'!$A:$A,0),MATCH('Summary - Monthly'!AF$3,'TRANS EMP EXTRACT - COST CENTRE'!$2:$2,0)),0)</f>
        <v>0</v>
      </c>
      <c r="AG17" s="10">
        <f>IFERROR(INDEX('TRANS EMP EXTRACT - COST CENTRE'!$A$1:$Z$455,MATCH('Summary - Monthly'!$A17,'TRANS EMP EXTRACT - COST CENTRE'!$A:$A,0),MATCH('Summary - Monthly'!AG$3,'TRANS EMP EXTRACT - COST CENTRE'!$2:$2,0)),0)</f>
        <v>0</v>
      </c>
      <c r="AH17" s="10">
        <f>IFERROR(INDEX('TRANS EMP EXTRACT - COST CENTRE'!$A$1:$Z$455,MATCH('Summary - Monthly'!$A17,'TRANS EMP EXTRACT - COST CENTRE'!$A:$A,0),MATCH('Summary - Monthly'!AH$3,'TRANS EMP EXTRACT - COST CENTRE'!$2:$2,0)),0)</f>
        <v>0</v>
      </c>
      <c r="AI17" s="10">
        <f>IFERROR(INDEX('TRANS EMP EXTRACT - COST CENTRE'!$A$1:$Z$455,MATCH('Summary - Monthly'!$A17,'TRANS EMP EXTRACT - COST CENTRE'!$A:$A,0),MATCH('Summary - Monthly'!AI$3,'TRANS EMP EXTRACT - COST CENTRE'!$2:$2,0)),0)</f>
        <v>0</v>
      </c>
      <c r="AJ17" s="10">
        <f>IFERROR(INDEX('TRANS EMP EXTRACT - COST CENTRE'!$A$1:$Z$455,MATCH('Summary - Monthly'!$A17,'TRANS EMP EXTRACT - COST CENTRE'!$A:$A,0),MATCH('Summary - Monthly'!AJ$3,'TRANS EMP EXTRACT - COST CENTRE'!$2:$2,0)),0)</f>
        <v>0</v>
      </c>
      <c r="AK17" s="10">
        <f>IFERROR(INDEX('TRANS EMP EXTRACT - COST CENTRE'!$A$1:$Z$455,MATCH('Summary - Monthly'!$A17,'TRANS EMP EXTRACT - COST CENTRE'!$A:$A,0),MATCH('Summary - Monthly'!AK$3,'TRANS EMP EXTRACT - COST CENTRE'!$2:$2,0)),0)</f>
        <v>0</v>
      </c>
      <c r="AL17" s="10">
        <f>IFERROR(INDEX('TRANS EMP EXTRACT - COST CENTRE'!$A$1:$Z$455,MATCH('Summary - Monthly'!$A17,'TRANS EMP EXTRACT - COST CENTRE'!$A:$A,0),MATCH('Summary - Monthly'!AL$3,'TRANS EMP EXTRACT - COST CENTRE'!$2:$2,0)),0)</f>
        <v>0</v>
      </c>
      <c r="AM17" s="10">
        <f t="shared" ref="AM17:AM80" si="9">SUM(L17:Y17)+SUM(AD17:AF17)-T17</f>
        <v>157.0498</v>
      </c>
      <c r="AN17" s="14">
        <f t="shared" si="2"/>
        <v>3.3222368421052632E-2</v>
      </c>
      <c r="AO17" s="18">
        <f t="shared" si="5"/>
        <v>1.0332223684210526</v>
      </c>
      <c r="AP17" s="18">
        <f t="shared" si="6"/>
        <v>0.88322236842105262</v>
      </c>
      <c r="AQ17" s="10" t="str">
        <f>IFERROR(VLOOKUP(B17,Departments!A:C,3,FALSE),"")</f>
        <v>Microbiology</v>
      </c>
      <c r="AR17" s="10" t="str">
        <f>IFERROR(VLOOKUP(B17,Departments!A:B,2,FALSE),"")</f>
        <v>Melb Micro</v>
      </c>
      <c r="AS17" s="10">
        <f t="shared" si="7"/>
        <v>0</v>
      </c>
      <c r="AT17" s="10">
        <f t="shared" si="8"/>
        <v>22.8</v>
      </c>
      <c r="AU17" s="10" t="str">
        <f>_xlfn.IFNA(VLOOKUP(B17,Departments!A:D,4,FALSE),"")</f>
        <v>Melbourne Micro</v>
      </c>
    </row>
    <row r="18" spans="1:47" ht="14.45" customHeight="1">
      <c r="A18" s="11" t="str">
        <f t="shared" si="3"/>
        <v>1206061118634</v>
      </c>
      <c r="B18" s="11">
        <f>'TRANS EMP EXTRACT - COST CENTRE'!B17</f>
        <v>12060611</v>
      </c>
      <c r="C18" s="10" t="str">
        <f>IFERROR(VLOOKUP(E18,'TRANS EMP EXTRACT - EMP CATEGOR'!A:B,2,FALSE),"")</f>
        <v>PT</v>
      </c>
      <c r="D18" s="10" t="str">
        <f>IFERROR(VLOOKUP(E18,'TRANS EMP EXTRACT - EMP CATEGOR'!A:C,3,FALSE),"")</f>
        <v>Parttime</v>
      </c>
      <c r="E18" s="11">
        <f>'TRANS EMP EXTRACT - COST CENTRE'!D17</f>
        <v>18634</v>
      </c>
      <c r="F18" s="10" t="str">
        <f>IFERROR(VLOOKUP(E18,'TRANS EMP EXTRACT - COST CENTRE'!D:E,2,FALSE),"")</f>
        <v>BERA  KHUSHBU MS</v>
      </c>
      <c r="G18" s="12">
        <f>IFERROR(INDEX('TRANS EMP EXTRACT - COST CENTRE'!$A$1:$Z$455,MATCH('Summary - Monthly'!$A18,'TRANS EMP EXTRACT - COST CENTRE'!$A:$A,0),MATCH('Summary - Monthly'!G$3,'TRANS EMP EXTRACT - COST CENTRE'!$2:$2,0)),"")</f>
        <v>41920</v>
      </c>
      <c r="H18" s="10" t="str">
        <f>IFERROR(INDEX('TRANS EMP EXTRACT - COST CENTRE'!$B$1:$Z$455,MATCH('Summary - Monthly'!$E18,'TRANS EMP EXTRACT - COST CENTRE'!$D:$D,0),MATCH('Summary - Monthly'!H$3,'TRANS EMP EXTRACT - COST CENTRE'!$2:$2,0)),"")</f>
        <v>RT</v>
      </c>
      <c r="I18" s="12" t="str">
        <f>IFERROR(INDEX('TRANS EMP EXTRACT - EMP CATEGOR'!$B$1:$AF$421,MATCH('Summary - Monthly'!$E18,'TRANS EMP EXTRACT - EMP CATEGOR'!$D:$D,0),MATCH('Summary - Monthly'!H$3,'TRANS EMP EXTRACT - EMP CATEGOR'!$2:$2,0)),"")</f>
        <v>RT</v>
      </c>
      <c r="J18" s="41">
        <f t="shared" ca="1" si="0"/>
        <v>4.8872</v>
      </c>
      <c r="K18" s="41">
        <f t="shared" ca="1" si="1"/>
        <v>13.0084</v>
      </c>
      <c r="L18" s="10">
        <f>IFERROR(INDEX('TRANS EMP EXTRACT - COST CENTRE'!$A$1:$Z$455,MATCH('Summary - Monthly'!$A18,'TRANS EMP EXTRACT - COST CENTRE'!$A:$A,0),MATCH('Summary - Monthly'!L$3,'TRANS EMP EXTRACT - COST CENTRE'!$2:$2,0)),"")</f>
        <v>0</v>
      </c>
      <c r="M18" s="10">
        <f>IFERROR(INDEX('TRANS EMP EXTRACT - COST CENTRE'!$A$1:$Z$455,MATCH('Summary - Monthly'!$A18,'TRANS EMP EXTRACT - COST CENTRE'!$A:$A,0),MATCH('Summary - Monthly'!M$3,'TRANS EMP EXTRACT - COST CENTRE'!$2:$2,0)),0)</f>
        <v>0</v>
      </c>
      <c r="N18" s="10">
        <f>IFERROR(INDEX('TRANS EMP EXTRACT - COST CENTRE'!$A$1:$Z$455,MATCH('Summary - Monthly'!$A18,'TRANS EMP EXTRACT - COST CENTRE'!$A:$A,0),MATCH('Summary - Monthly'!N$3,'TRANS EMP EXTRACT - COST CENTRE'!$2:$2,0)),0)</f>
        <v>0</v>
      </c>
      <c r="O18" s="10">
        <f>IFERROR(INDEX('TRANS EMP EXTRACT - COST CENTRE'!$A$1:$Z$455,MATCH('Summary - Monthly'!$A18,'TRANS EMP EXTRACT - COST CENTRE'!$A:$A,0),MATCH('Summary - Monthly'!O$3,'TRANS EMP EXTRACT - COST CENTRE'!$2:$2,0)),0)</f>
        <v>0</v>
      </c>
      <c r="P18" s="10">
        <f>IFERROR(INDEX('TRANS EMP EXTRACT - COST CENTRE'!$A$1:$Z$455,MATCH('Summary - Monthly'!$A18,'TRANS EMP EXTRACT - COST CENTRE'!$A:$A,0),MATCH('Summary - Monthly'!P$3,'TRANS EMP EXTRACT - COST CENTRE'!$2:$2,0)),0)</f>
        <v>0</v>
      </c>
      <c r="Q18" s="10">
        <f>IFERROR(INDEX('TRANS EMP EXTRACT - COST CENTRE'!$A$1:$Z$455,MATCH('Summary - Monthly'!$A18,'TRANS EMP EXTRACT - COST CENTRE'!$A:$A,0),MATCH('Summary - Monthly'!Q$3,'TRANS EMP EXTRACT - COST CENTRE'!$2:$2,0)),0)</f>
        <v>0</v>
      </c>
      <c r="R18" s="10">
        <f>IFERROR(INDEX('TRANS EMP EXTRACT - COST CENTRE'!$A$1:$Z$455,MATCH('Summary - Monthly'!$A18,'TRANS EMP EXTRACT - COST CENTRE'!$A:$A,0),MATCH('Summary - Monthly'!R$3,'TRANS EMP EXTRACT - COST CENTRE'!$2:$2,0)),0)</f>
        <v>0</v>
      </c>
      <c r="S18" s="10">
        <f>IFERROR(INDEX('TRANS EMP EXTRACT - COST CENTRE'!$A$1:$Z$455,MATCH('Summary - Monthly'!$A18,'TRANS EMP EXTRACT - COST CENTRE'!$A:$A,0),MATCH('Summary - Monthly'!S$3,'TRANS EMP EXTRACT - COST CENTRE'!$2:$2,0)),0)</f>
        <v>0</v>
      </c>
      <c r="T18" s="8">
        <f>IFERROR(INDEX('TRANS EMP EXTRACT - COST CENTRE'!$A$1:$Z$455,MATCH('Summary - Monthly'!$A18,'TRANS EMP EXTRACT - COST CENTRE'!$A:$A,0),MATCH('Summary - Monthly'!T$3,'TRANS EMP EXTRACT - COST CENTRE'!$2:$2,0)),0)</f>
        <v>0</v>
      </c>
      <c r="U18" s="13">
        <f>IFERROR(INDEX('TRANS EMP EXTRACT - COST CENTRE'!$A$1:$Z$455,MATCH('Summary - Monthly'!$A18,'TRANS EMP EXTRACT - COST CENTRE'!$A:$A,0),MATCH('Summary - Monthly'!U$3,'TRANS EMP EXTRACT - COST CENTRE'!$2:$2,0)),0)</f>
        <v>46.8</v>
      </c>
      <c r="V18" s="13">
        <f>IFERROR(INDEX('TRANS EMP EXTRACT - COST CENTRE'!$A$1:$Z$455,MATCH('Summary - Monthly'!$A18,'TRANS EMP EXTRACT - COST CENTRE'!$A:$A,0),MATCH('Summary - Monthly'!V$3,'TRANS EMP EXTRACT - COST CENTRE'!$2:$2,0)),0)</f>
        <v>0</v>
      </c>
      <c r="W18" s="13">
        <f>IFERROR(INDEX('TRANS EMP EXTRACT - COST CENTRE'!$A$1:$Z$455,MATCH('Summary - Monthly'!$A18,'TRANS EMP EXTRACT - COST CENTRE'!$A:$A,0),MATCH('Summary - Monthly'!W$3,'TRANS EMP EXTRACT - COST CENTRE'!$2:$2,0)),0)</f>
        <v>0</v>
      </c>
      <c r="X18" s="13">
        <f>IFERROR(INDEX('TRANS EMP EXTRACT - COST CENTRE'!$A$1:$Z$455,MATCH('Summary - Monthly'!$A18,'TRANS EMP EXTRACT - COST CENTRE'!$A:$A,0),MATCH('Summary - Monthly'!X$3,'TRANS EMP EXTRACT - COST CENTRE'!$2:$2,0)),0)</f>
        <v>0</v>
      </c>
      <c r="Y18" s="13">
        <f>IFERROR(INDEX('TRANS EMP EXTRACT - COST CENTRE'!$A$1:$Z$455,MATCH('Summary - Monthly'!$A18,'TRANS EMP EXTRACT - COST CENTRE'!$A:$A,0),MATCH('Summary - Monthly'!Y$3,'TRANS EMP EXTRACT - COST CENTRE'!$2:$2,0)),0)</f>
        <v>0</v>
      </c>
      <c r="Z18" s="10">
        <f>IFERROR(INDEX('TRANS EMP EXTRACT - COST CENTRE'!$A$1:$Z$455,MATCH('Summary - Monthly'!$A18,'TRANS EMP EXTRACT - COST CENTRE'!$A:$A,0),MATCH('Summary - Monthly'!Z$3,'TRANS EMP EXTRACT - COST CENTRE'!$2:$2,0)),0)</f>
        <v>15.6</v>
      </c>
      <c r="AA18" s="10">
        <f>IFERROR(INDEX('TRANS EMP EXTRACT - COST CENTRE'!$A$1:$Z$455,MATCH('Summary - Monthly'!$A18,'TRANS EMP EXTRACT - COST CENTRE'!$A:$A,0),MATCH('Summary - Monthly'!AA$3,'TRANS EMP EXTRACT - COST CENTRE'!$2:$2,0)),0)</f>
        <v>0</v>
      </c>
      <c r="AB18" s="10">
        <f>IFERROR(INDEX('TRANS EMP EXTRACT - COST CENTRE'!$A$1:$Z$455,MATCH('Summary - Monthly'!$A18,'TRANS EMP EXTRACT - COST CENTRE'!$A:$A,0),MATCH('Summary - Monthly'!AB$3,'TRANS EMP EXTRACT - COST CENTRE'!$2:$2,0)),0)</f>
        <v>0</v>
      </c>
      <c r="AC18" s="8">
        <f>IFERROR(INDEX('TRANS EMP EXTRACT - COST CENTRE'!$A$1:$Z$455,MATCH('Summary - Monthly'!$A18,'TRANS EMP EXTRACT - COST CENTRE'!$A:$A,0),MATCH('Summary - Monthly'!AC$3,'TRANS EMP EXTRACT - COST CENTRE'!$2:$2,0)),0)</f>
        <v>0</v>
      </c>
      <c r="AD18" s="13">
        <f>IFERROR(INDEX('TRANS EMP EXTRACT - COST CENTRE'!$A$1:$Z$455,MATCH('Summary - Monthly'!$A18,'TRANS EMP EXTRACT - COST CENTRE'!$A:$A,0),MATCH('Summary - Monthly'!AD$3,'TRANS EMP EXTRACT - COST CENTRE'!$2:$2,0)),0)</f>
        <v>0</v>
      </c>
      <c r="AE18" s="13">
        <f>IFERROR(INDEX('TRANS EMP EXTRACT - COST CENTRE'!$A$1:$Z$455,MATCH('Summary - Monthly'!$A18,'TRANS EMP EXTRACT - COST CENTRE'!$A:$A,0),MATCH('Summary - Monthly'!AE$3,'TRANS EMP EXTRACT - COST CENTRE'!$2:$2,0)),0)</f>
        <v>0</v>
      </c>
      <c r="AF18" s="13">
        <f>IFERROR(INDEX('TRANS EMP EXTRACT - COST CENTRE'!$A$1:$Z$455,MATCH('Summary - Monthly'!$A18,'TRANS EMP EXTRACT - COST CENTRE'!$A:$A,0),MATCH('Summary - Monthly'!AF$3,'TRANS EMP EXTRACT - COST CENTRE'!$2:$2,0)),0)</f>
        <v>0</v>
      </c>
      <c r="AG18" s="10">
        <f>IFERROR(INDEX('TRANS EMP EXTRACT - COST CENTRE'!$A$1:$Z$455,MATCH('Summary - Monthly'!$A18,'TRANS EMP EXTRACT - COST CENTRE'!$A:$A,0),MATCH('Summary - Monthly'!AG$3,'TRANS EMP EXTRACT - COST CENTRE'!$2:$2,0)),0)</f>
        <v>0</v>
      </c>
      <c r="AH18" s="10">
        <f>IFERROR(INDEX('TRANS EMP EXTRACT - COST CENTRE'!$A$1:$Z$455,MATCH('Summary - Monthly'!$A18,'TRANS EMP EXTRACT - COST CENTRE'!$A:$A,0),MATCH('Summary - Monthly'!AH$3,'TRANS EMP EXTRACT - COST CENTRE'!$2:$2,0)),0)</f>
        <v>0</v>
      </c>
      <c r="AI18" s="10">
        <f>IFERROR(INDEX('TRANS EMP EXTRACT - COST CENTRE'!$A$1:$Z$455,MATCH('Summary - Monthly'!$A18,'TRANS EMP EXTRACT - COST CENTRE'!$A:$A,0),MATCH('Summary - Monthly'!AI$3,'TRANS EMP EXTRACT - COST CENTRE'!$2:$2,0)),0)</f>
        <v>0</v>
      </c>
      <c r="AJ18" s="10">
        <f>IFERROR(INDEX('TRANS EMP EXTRACT - COST CENTRE'!$A$1:$Z$455,MATCH('Summary - Monthly'!$A18,'TRANS EMP EXTRACT - COST CENTRE'!$A:$A,0),MATCH('Summary - Monthly'!AJ$3,'TRANS EMP EXTRACT - COST CENTRE'!$2:$2,0)),0)</f>
        <v>0</v>
      </c>
      <c r="AK18" s="10">
        <f>IFERROR(INDEX('TRANS EMP EXTRACT - COST CENTRE'!$A$1:$Z$455,MATCH('Summary - Monthly'!$A18,'TRANS EMP EXTRACT - COST CENTRE'!$A:$A,0),MATCH('Summary - Monthly'!AK$3,'TRANS EMP EXTRACT - COST CENTRE'!$2:$2,0)),0)</f>
        <v>0</v>
      </c>
      <c r="AL18" s="10">
        <f>IFERROR(INDEX('TRANS EMP EXTRACT - COST CENTRE'!$A$1:$Z$455,MATCH('Summary - Monthly'!$A18,'TRANS EMP EXTRACT - COST CENTRE'!$A:$A,0),MATCH('Summary - Monthly'!AL$3,'TRANS EMP EXTRACT - COST CENTRE'!$2:$2,0)),0)</f>
        <v>0</v>
      </c>
      <c r="AM18" s="10">
        <f t="shared" si="9"/>
        <v>46.8</v>
      </c>
      <c r="AN18" s="14">
        <f t="shared" si="2"/>
        <v>0</v>
      </c>
      <c r="AO18" s="18">
        <f t="shared" si="5"/>
        <v>0.30789473684210522</v>
      </c>
      <c r="AP18" s="18">
        <f t="shared" si="6"/>
        <v>0</v>
      </c>
      <c r="AQ18" s="10" t="str">
        <f>IFERROR(VLOOKUP(B18,Departments!A:C,3,FALSE),"")</f>
        <v>Microbiology</v>
      </c>
      <c r="AR18" s="10" t="str">
        <f>IFERROR(VLOOKUP(B18,Departments!A:B,2,FALSE),"")</f>
        <v>Perth Micro</v>
      </c>
      <c r="AS18" s="10">
        <f t="shared" si="7"/>
        <v>15.6</v>
      </c>
      <c r="AT18" s="10">
        <f t="shared" si="8"/>
        <v>62.4</v>
      </c>
      <c r="AU18" s="10" t="str">
        <f>_xlfn.IFNA(VLOOKUP(B18,Departments!A:D,4,FALSE),"")</f>
        <v>Perth Micro</v>
      </c>
    </row>
    <row r="19" spans="1:47" ht="14.45" customHeight="1">
      <c r="A19" s="11" t="str">
        <f t="shared" si="3"/>
        <v>1202071118</v>
      </c>
      <c r="B19" s="11">
        <f>'TRANS EMP EXTRACT - COST CENTRE'!B18</f>
        <v>12020711</v>
      </c>
      <c r="C19" s="10" t="str">
        <f>IFERROR(VLOOKUP(E19,'TRANS EMP EXTRACT - EMP CATEGOR'!A:B,2,FALSE),"")</f>
        <v>PT</v>
      </c>
      <c r="D19" s="10" t="str">
        <f>IFERROR(VLOOKUP(E19,'TRANS EMP EXTRACT - EMP CATEGOR'!A:C,3,FALSE),"")</f>
        <v>Parttime</v>
      </c>
      <c r="E19" s="11">
        <f>'TRANS EMP EXTRACT - COST CENTRE'!D18</f>
        <v>18</v>
      </c>
      <c r="F19" s="10" t="str">
        <f>IFERROR(VLOOKUP(E19,'TRANS EMP EXTRACT - COST CENTRE'!D:E,2,FALSE),"")</f>
        <v>BOATWRIGHT  ANNA MRS</v>
      </c>
      <c r="G19" s="12">
        <f>IFERROR(INDEX('TRANS EMP EXTRACT - COST CENTRE'!$A$1:$Z$455,MATCH('Summary - Monthly'!$A19,'TRANS EMP EXTRACT - COST CENTRE'!$A:$A,0),MATCH('Summary - Monthly'!G$3,'TRANS EMP EXTRACT - COST CENTRE'!$2:$2,0)),"")</f>
        <v>36557</v>
      </c>
      <c r="H19" s="10" t="str">
        <f>IFERROR(INDEX('TRANS EMP EXTRACT - COST CENTRE'!$B$1:$Z$455,MATCH('Summary - Monthly'!$E19,'TRANS EMP EXTRACT - COST CENTRE'!$D:$D,0),MATCH('Summary - Monthly'!H$3,'TRANS EMP EXTRACT - COST CENTRE'!$2:$2,0)),"")</f>
        <v>RT</v>
      </c>
      <c r="I19" s="12" t="str">
        <f>IFERROR(INDEX('TRANS EMP EXTRACT - EMP CATEGOR'!$B$1:$AF$421,MATCH('Summary - Monthly'!$E19,'TRANS EMP EXTRACT - EMP CATEGOR'!$D:$D,0),MATCH('Summary - Monthly'!H$3,'TRANS EMP EXTRACT - EMP CATEGOR'!$2:$2,0)),"")</f>
        <v>RT</v>
      </c>
      <c r="J19" s="41">
        <f t="shared" ca="1" si="0"/>
        <v>42.145600000000002</v>
      </c>
      <c r="K19" s="41">
        <f t="shared" ca="1" si="1"/>
        <v>100.3218</v>
      </c>
      <c r="L19" s="10">
        <f>IFERROR(INDEX('TRANS EMP EXTRACT - COST CENTRE'!$A$1:$Z$455,MATCH('Summary - Monthly'!$A19,'TRANS EMP EXTRACT - COST CENTRE'!$A:$A,0),MATCH('Summary - Monthly'!L$3,'TRANS EMP EXTRACT - COST CENTRE'!$2:$2,0)),"")</f>
        <v>66</v>
      </c>
      <c r="M19" s="10">
        <f>IFERROR(INDEX('TRANS EMP EXTRACT - COST CENTRE'!$A$1:$Z$455,MATCH('Summary - Monthly'!$A19,'TRANS EMP EXTRACT - COST CENTRE'!$A:$A,0),MATCH('Summary - Monthly'!M$3,'TRANS EMP EXTRACT - COST CENTRE'!$2:$2,0)),0)</f>
        <v>0</v>
      </c>
      <c r="N19" s="10">
        <f>IFERROR(INDEX('TRANS EMP EXTRACT - COST CENTRE'!$A$1:$Z$455,MATCH('Summary - Monthly'!$A19,'TRANS EMP EXTRACT - COST CENTRE'!$A:$A,0),MATCH('Summary - Monthly'!N$3,'TRANS EMP EXTRACT - COST CENTRE'!$2:$2,0)),0)</f>
        <v>0</v>
      </c>
      <c r="O19" s="10">
        <f>IFERROR(INDEX('TRANS EMP EXTRACT - COST CENTRE'!$A$1:$Z$455,MATCH('Summary - Monthly'!$A19,'TRANS EMP EXTRACT - COST CENTRE'!$A:$A,0),MATCH('Summary - Monthly'!O$3,'TRANS EMP EXTRACT - COST CENTRE'!$2:$2,0)),0)</f>
        <v>0</v>
      </c>
      <c r="P19" s="10">
        <f>IFERROR(INDEX('TRANS EMP EXTRACT - COST CENTRE'!$A$1:$Z$455,MATCH('Summary - Monthly'!$A19,'TRANS EMP EXTRACT - COST CENTRE'!$A:$A,0),MATCH('Summary - Monthly'!P$3,'TRANS EMP EXTRACT - COST CENTRE'!$2:$2,0)),0)</f>
        <v>0</v>
      </c>
      <c r="Q19" s="10">
        <f>IFERROR(INDEX('TRANS EMP EXTRACT - COST CENTRE'!$A$1:$Z$455,MATCH('Summary - Monthly'!$A19,'TRANS EMP EXTRACT - COST CENTRE'!$A:$A,0),MATCH('Summary - Monthly'!Q$3,'TRANS EMP EXTRACT - COST CENTRE'!$2:$2,0)),0)</f>
        <v>4</v>
      </c>
      <c r="R19" s="10">
        <f>IFERROR(INDEX('TRANS EMP EXTRACT - COST CENTRE'!$A$1:$Z$455,MATCH('Summary - Monthly'!$A19,'TRANS EMP EXTRACT - COST CENTRE'!$A:$A,0),MATCH('Summary - Monthly'!R$3,'TRANS EMP EXTRACT - COST CENTRE'!$2:$2,0)),0)</f>
        <v>0</v>
      </c>
      <c r="S19" s="10">
        <f>IFERROR(INDEX('TRANS EMP EXTRACT - COST CENTRE'!$A$1:$Z$455,MATCH('Summary - Monthly'!$A19,'TRANS EMP EXTRACT - COST CENTRE'!$A:$A,0),MATCH('Summary - Monthly'!S$3,'TRANS EMP EXTRACT - COST CENTRE'!$2:$2,0)),0)</f>
        <v>0</v>
      </c>
      <c r="T19" s="8">
        <f>IFERROR(INDEX('TRANS EMP EXTRACT - COST CENTRE'!$A$1:$Z$455,MATCH('Summary - Monthly'!$A19,'TRANS EMP EXTRACT - COST CENTRE'!$A:$A,0),MATCH('Summary - Monthly'!T$3,'TRANS EMP EXTRACT - COST CENTRE'!$2:$2,0)),0)</f>
        <v>0</v>
      </c>
      <c r="U19" s="13">
        <f>IFERROR(INDEX('TRANS EMP EXTRACT - COST CENTRE'!$A$1:$Z$455,MATCH('Summary - Monthly'!$A19,'TRANS EMP EXTRACT - COST CENTRE'!$A:$A,0),MATCH('Summary - Monthly'!U$3,'TRANS EMP EXTRACT - COST CENTRE'!$2:$2,0)),0)</f>
        <v>0</v>
      </c>
      <c r="V19" s="13">
        <f>IFERROR(INDEX('TRANS EMP EXTRACT - COST CENTRE'!$A$1:$Z$455,MATCH('Summary - Monthly'!$A19,'TRANS EMP EXTRACT - COST CENTRE'!$A:$A,0),MATCH('Summary - Monthly'!V$3,'TRANS EMP EXTRACT - COST CENTRE'!$2:$2,0)),0)</f>
        <v>0</v>
      </c>
      <c r="W19" s="13">
        <f>IFERROR(INDEX('TRANS EMP EXTRACT - COST CENTRE'!$A$1:$Z$455,MATCH('Summary - Monthly'!$A19,'TRANS EMP EXTRACT - COST CENTRE'!$A:$A,0),MATCH('Summary - Monthly'!W$3,'TRANS EMP EXTRACT - COST CENTRE'!$2:$2,0)),0)</f>
        <v>0</v>
      </c>
      <c r="X19" s="13">
        <f>IFERROR(INDEX('TRANS EMP EXTRACT - COST CENTRE'!$A$1:$Z$455,MATCH('Summary - Monthly'!$A19,'TRANS EMP EXTRACT - COST CENTRE'!$A:$A,0),MATCH('Summary - Monthly'!X$3,'TRANS EMP EXTRACT - COST CENTRE'!$2:$2,0)),0)</f>
        <v>0</v>
      </c>
      <c r="Y19" s="13">
        <f>IFERROR(INDEX('TRANS EMP EXTRACT - COST CENTRE'!$A$1:$Z$455,MATCH('Summary - Monthly'!$A19,'TRANS EMP EXTRACT - COST CENTRE'!$A:$A,0),MATCH('Summary - Monthly'!Y$3,'TRANS EMP EXTRACT - COST CENTRE'!$2:$2,0)),0)</f>
        <v>0</v>
      </c>
      <c r="Z19" s="10">
        <f>IFERROR(INDEX('TRANS EMP EXTRACT - COST CENTRE'!$A$1:$Z$455,MATCH('Summary - Monthly'!$A19,'TRANS EMP EXTRACT - COST CENTRE'!$A:$A,0),MATCH('Summary - Monthly'!Z$3,'TRANS EMP EXTRACT - COST CENTRE'!$2:$2,0)),0)</f>
        <v>0</v>
      </c>
      <c r="AA19" s="10">
        <f>IFERROR(INDEX('TRANS EMP EXTRACT - COST CENTRE'!$A$1:$Z$455,MATCH('Summary - Monthly'!$A19,'TRANS EMP EXTRACT - COST CENTRE'!$A:$A,0),MATCH('Summary - Monthly'!AA$3,'TRANS EMP EXTRACT - COST CENTRE'!$2:$2,0)),0)</f>
        <v>0</v>
      </c>
      <c r="AB19" s="10">
        <f>IFERROR(INDEX('TRANS EMP EXTRACT - COST CENTRE'!$A$1:$Z$455,MATCH('Summary - Monthly'!$A19,'TRANS EMP EXTRACT - COST CENTRE'!$A:$A,0),MATCH('Summary - Monthly'!AB$3,'TRANS EMP EXTRACT - COST CENTRE'!$2:$2,0)),0)</f>
        <v>0</v>
      </c>
      <c r="AC19" s="8">
        <f>IFERROR(INDEX('TRANS EMP EXTRACT - COST CENTRE'!$A$1:$Z$455,MATCH('Summary - Monthly'!$A19,'TRANS EMP EXTRACT - COST CENTRE'!$A:$A,0),MATCH('Summary - Monthly'!AC$3,'TRANS EMP EXTRACT - COST CENTRE'!$2:$2,0)),0)</f>
        <v>0</v>
      </c>
      <c r="AD19" s="13">
        <f>IFERROR(INDEX('TRANS EMP EXTRACT - COST CENTRE'!$A$1:$Z$455,MATCH('Summary - Monthly'!$A19,'TRANS EMP EXTRACT - COST CENTRE'!$A:$A,0),MATCH('Summary - Monthly'!AD$3,'TRANS EMP EXTRACT - COST CENTRE'!$2:$2,0)),0)</f>
        <v>0</v>
      </c>
      <c r="AE19" s="13">
        <f>IFERROR(INDEX('TRANS EMP EXTRACT - COST CENTRE'!$A$1:$Z$455,MATCH('Summary - Monthly'!$A19,'TRANS EMP EXTRACT - COST CENTRE'!$A:$A,0),MATCH('Summary - Monthly'!AE$3,'TRANS EMP EXTRACT - COST CENTRE'!$2:$2,0)),0)</f>
        <v>0</v>
      </c>
      <c r="AF19" s="13">
        <f>IFERROR(INDEX('TRANS EMP EXTRACT - COST CENTRE'!$A$1:$Z$455,MATCH('Summary - Monthly'!$A19,'TRANS EMP EXTRACT - COST CENTRE'!$A:$A,0),MATCH('Summary - Monthly'!AF$3,'TRANS EMP EXTRACT - COST CENTRE'!$2:$2,0)),0)</f>
        <v>0</v>
      </c>
      <c r="AG19" s="10">
        <f>IFERROR(INDEX('TRANS EMP EXTRACT - COST CENTRE'!$A$1:$Z$455,MATCH('Summary - Monthly'!$A19,'TRANS EMP EXTRACT - COST CENTRE'!$A:$A,0),MATCH('Summary - Monthly'!AG$3,'TRANS EMP EXTRACT - COST CENTRE'!$2:$2,0)),0)</f>
        <v>0</v>
      </c>
      <c r="AH19" s="10">
        <f>IFERROR(INDEX('TRANS EMP EXTRACT - COST CENTRE'!$A$1:$Z$455,MATCH('Summary - Monthly'!$A19,'TRANS EMP EXTRACT - COST CENTRE'!$A:$A,0),MATCH('Summary - Monthly'!AH$3,'TRANS EMP EXTRACT - COST CENTRE'!$2:$2,0)),0)</f>
        <v>0</v>
      </c>
      <c r="AI19" s="10">
        <f>IFERROR(INDEX('TRANS EMP EXTRACT - COST CENTRE'!$A$1:$Z$455,MATCH('Summary - Monthly'!$A19,'TRANS EMP EXTRACT - COST CENTRE'!$A:$A,0),MATCH('Summary - Monthly'!AI$3,'TRANS EMP EXTRACT - COST CENTRE'!$2:$2,0)),0)</f>
        <v>0</v>
      </c>
      <c r="AJ19" s="10">
        <f>IFERROR(INDEX('TRANS EMP EXTRACT - COST CENTRE'!$A$1:$Z$455,MATCH('Summary - Monthly'!$A19,'TRANS EMP EXTRACT - COST CENTRE'!$A:$A,0),MATCH('Summary - Monthly'!AJ$3,'TRANS EMP EXTRACT - COST CENTRE'!$2:$2,0)),0)</f>
        <v>0</v>
      </c>
      <c r="AK19" s="10">
        <f>IFERROR(INDEX('TRANS EMP EXTRACT - COST CENTRE'!$A$1:$Z$455,MATCH('Summary - Monthly'!$A19,'TRANS EMP EXTRACT - COST CENTRE'!$A:$A,0),MATCH('Summary - Monthly'!AK$3,'TRANS EMP EXTRACT - COST CENTRE'!$2:$2,0)),0)</f>
        <v>0</v>
      </c>
      <c r="AL19" s="10">
        <f>IFERROR(INDEX('TRANS EMP EXTRACT - COST CENTRE'!$A$1:$Z$455,MATCH('Summary - Monthly'!$A19,'TRANS EMP EXTRACT - COST CENTRE'!$A:$A,0),MATCH('Summary - Monthly'!AL$3,'TRANS EMP EXTRACT - COST CENTRE'!$2:$2,0)),0)</f>
        <v>0</v>
      </c>
      <c r="AM19" s="10">
        <f t="shared" si="9"/>
        <v>70</v>
      </c>
      <c r="AN19" s="14">
        <f t="shared" si="2"/>
        <v>2.6315789473684209E-2</v>
      </c>
      <c r="AO19" s="18">
        <f t="shared" si="5"/>
        <v>0.46052631578947367</v>
      </c>
      <c r="AP19" s="18">
        <f t="shared" si="6"/>
        <v>0.46052631578947367</v>
      </c>
      <c r="AQ19" s="10" t="str">
        <f>IFERROR(VLOOKUP(B19,Departments!A:C,3,FALSE),"")</f>
        <v>Microbiology</v>
      </c>
      <c r="AR19" s="10" t="str">
        <f>IFERROR(VLOOKUP(B19,Departments!A:B,2,FALSE),"")</f>
        <v>Sydney Micro</v>
      </c>
      <c r="AS19" s="10">
        <f t="shared" si="7"/>
        <v>0</v>
      </c>
      <c r="AT19" s="10">
        <f t="shared" si="8"/>
        <v>0</v>
      </c>
      <c r="AU19" s="10" t="str">
        <f>_xlfn.IFNA(VLOOKUP(B19,Departments!A:D,4,FALSE),"")</f>
        <v>Sydney Micro</v>
      </c>
    </row>
    <row r="20" spans="1:47" ht="14.45" customHeight="1">
      <c r="A20" s="11" t="str">
        <f t="shared" si="3"/>
        <v>1202061118589</v>
      </c>
      <c r="B20" s="11">
        <f>'TRANS EMP EXTRACT - COST CENTRE'!B19</f>
        <v>12020611</v>
      </c>
      <c r="C20" s="10" t="str">
        <f>IFERROR(VLOOKUP(E20,'TRANS EMP EXTRACT - EMP CATEGOR'!A:B,2,FALSE),"")</f>
        <v>FT</v>
      </c>
      <c r="D20" s="10" t="str">
        <f>IFERROR(VLOOKUP(E20,'TRANS EMP EXTRACT - EMP CATEGOR'!A:C,3,FALSE),"")</f>
        <v>Fulltime</v>
      </c>
      <c r="E20" s="11">
        <f>'TRANS EMP EXTRACT - COST CENTRE'!D19</f>
        <v>18589</v>
      </c>
      <c r="F20" s="10" t="str">
        <f>IFERROR(VLOOKUP(E20,'TRANS EMP EXTRACT - COST CENTRE'!D:E,2,FALSE),"")</f>
        <v>BOGAHAPITIYA  PRASANGA MRS</v>
      </c>
      <c r="G20" s="12">
        <f>IFERROR(INDEX('TRANS EMP EXTRACT - COST CENTRE'!$A$1:$Z$455,MATCH('Summary - Monthly'!$A20,'TRANS EMP EXTRACT - COST CENTRE'!$A:$A,0),MATCH('Summary - Monthly'!G$3,'TRANS EMP EXTRACT - COST CENTRE'!$2:$2,0)),"")</f>
        <v>41423</v>
      </c>
      <c r="H20" s="10" t="str">
        <f>IFERROR(INDEX('TRANS EMP EXTRACT - COST CENTRE'!$B$1:$Z$455,MATCH('Summary - Monthly'!$E20,'TRANS EMP EXTRACT - COST CENTRE'!$D:$D,0),MATCH('Summary - Monthly'!H$3,'TRANS EMP EXTRACT - COST CENTRE'!$2:$2,0)),"")</f>
        <v>RT</v>
      </c>
      <c r="I20" s="12" t="str">
        <f>IFERROR(INDEX('TRANS EMP EXTRACT - EMP CATEGOR'!$B$1:$AF$421,MATCH('Summary - Monthly'!$E20,'TRANS EMP EXTRACT - EMP CATEGOR'!$D:$D,0),MATCH('Summary - Monthly'!H$3,'TRANS EMP EXTRACT - EMP CATEGOR'!$2:$2,0)),"")</f>
        <v>RT</v>
      </c>
      <c r="J20" s="41">
        <f t="shared" ca="1" si="0"/>
        <v>19.590199999999999</v>
      </c>
      <c r="K20" s="41">
        <f t="shared" ca="1" si="1"/>
        <v>141.208</v>
      </c>
      <c r="L20" s="10">
        <f>IFERROR(INDEX('TRANS EMP EXTRACT - COST CENTRE'!$A$1:$Z$455,MATCH('Summary - Monthly'!$A20,'TRANS EMP EXTRACT - COST CENTRE'!$A:$A,0),MATCH('Summary - Monthly'!L$3,'TRANS EMP EXTRACT - COST CENTRE'!$2:$2,0)),"")</f>
        <v>121.6</v>
      </c>
      <c r="M20" s="10">
        <f>IFERROR(INDEX('TRANS EMP EXTRACT - COST CENTRE'!$A$1:$Z$455,MATCH('Summary - Monthly'!$A20,'TRANS EMP EXTRACT - COST CENTRE'!$A:$A,0),MATCH('Summary - Monthly'!M$3,'TRANS EMP EXTRACT - COST CENTRE'!$2:$2,0)),0)</f>
        <v>0</v>
      </c>
      <c r="N20" s="10">
        <f>IFERROR(INDEX('TRANS EMP EXTRACT - COST CENTRE'!$A$1:$Z$455,MATCH('Summary - Monthly'!$A20,'TRANS EMP EXTRACT - COST CENTRE'!$A:$A,0),MATCH('Summary - Monthly'!N$3,'TRANS EMP EXTRACT - COST CENTRE'!$2:$2,0)),0)</f>
        <v>0</v>
      </c>
      <c r="O20" s="10">
        <f>IFERROR(INDEX('TRANS EMP EXTRACT - COST CENTRE'!$A$1:$Z$455,MATCH('Summary - Monthly'!$A20,'TRANS EMP EXTRACT - COST CENTRE'!$A:$A,0),MATCH('Summary - Monthly'!O$3,'TRANS EMP EXTRACT - COST CENTRE'!$2:$2,0)),0)</f>
        <v>0</v>
      </c>
      <c r="P20" s="10">
        <f>IFERROR(INDEX('TRANS EMP EXTRACT - COST CENTRE'!$A$1:$Z$455,MATCH('Summary - Monthly'!$A20,'TRANS EMP EXTRACT - COST CENTRE'!$A:$A,0),MATCH('Summary - Monthly'!P$3,'TRANS EMP EXTRACT - COST CENTRE'!$2:$2,0)),0)</f>
        <v>30.4</v>
      </c>
      <c r="Q20" s="10">
        <f>IFERROR(INDEX('TRANS EMP EXTRACT - COST CENTRE'!$A$1:$Z$455,MATCH('Summary - Monthly'!$A20,'TRANS EMP EXTRACT - COST CENTRE'!$A:$A,0),MATCH('Summary - Monthly'!Q$3,'TRANS EMP EXTRACT - COST CENTRE'!$2:$2,0)),0)</f>
        <v>0</v>
      </c>
      <c r="R20" s="10">
        <f>IFERROR(INDEX('TRANS EMP EXTRACT - COST CENTRE'!$A$1:$Z$455,MATCH('Summary - Monthly'!$A20,'TRANS EMP EXTRACT - COST CENTRE'!$A:$A,0),MATCH('Summary - Monthly'!R$3,'TRANS EMP EXTRACT - COST CENTRE'!$2:$2,0)),0)</f>
        <v>0.5</v>
      </c>
      <c r="S20" s="10">
        <f>IFERROR(INDEX('TRANS EMP EXTRACT - COST CENTRE'!$A$1:$Z$455,MATCH('Summary - Monthly'!$A20,'TRANS EMP EXTRACT - COST CENTRE'!$A:$A,0),MATCH('Summary - Monthly'!S$3,'TRANS EMP EXTRACT - COST CENTRE'!$2:$2,0)),0)</f>
        <v>0</v>
      </c>
      <c r="T20" s="8">
        <f>IFERROR(INDEX('TRANS EMP EXTRACT - COST CENTRE'!$A$1:$Z$455,MATCH('Summary - Monthly'!$A20,'TRANS EMP EXTRACT - COST CENTRE'!$A:$A,0),MATCH('Summary - Monthly'!T$3,'TRANS EMP EXTRACT - COST CENTRE'!$2:$2,0)),0)</f>
        <v>0</v>
      </c>
      <c r="U20" s="13">
        <f>IFERROR(INDEX('TRANS EMP EXTRACT - COST CENTRE'!$A$1:$Z$455,MATCH('Summary - Monthly'!$A20,'TRANS EMP EXTRACT - COST CENTRE'!$A:$A,0),MATCH('Summary - Monthly'!U$3,'TRANS EMP EXTRACT - COST CENTRE'!$2:$2,0)),0)</f>
        <v>0</v>
      </c>
      <c r="V20" s="13">
        <f>IFERROR(INDEX('TRANS EMP EXTRACT - COST CENTRE'!$A$1:$Z$455,MATCH('Summary - Monthly'!$A20,'TRANS EMP EXTRACT - COST CENTRE'!$A:$A,0),MATCH('Summary - Monthly'!V$3,'TRANS EMP EXTRACT - COST CENTRE'!$2:$2,0)),0)</f>
        <v>0</v>
      </c>
      <c r="W20" s="13">
        <f>IFERROR(INDEX('TRANS EMP EXTRACT - COST CENTRE'!$A$1:$Z$455,MATCH('Summary - Monthly'!$A20,'TRANS EMP EXTRACT - COST CENTRE'!$A:$A,0),MATCH('Summary - Monthly'!W$3,'TRANS EMP EXTRACT - COST CENTRE'!$2:$2,0)),0)</f>
        <v>0</v>
      </c>
      <c r="X20" s="13">
        <f>IFERROR(INDEX('TRANS EMP EXTRACT - COST CENTRE'!$A$1:$Z$455,MATCH('Summary - Monthly'!$A20,'TRANS EMP EXTRACT - COST CENTRE'!$A:$A,0),MATCH('Summary - Monthly'!X$3,'TRANS EMP EXTRACT - COST CENTRE'!$2:$2,0)),0)</f>
        <v>0</v>
      </c>
      <c r="Y20" s="13">
        <f>IFERROR(INDEX('TRANS EMP EXTRACT - COST CENTRE'!$A$1:$Z$455,MATCH('Summary - Monthly'!$A20,'TRANS EMP EXTRACT - COST CENTRE'!$A:$A,0),MATCH('Summary - Monthly'!Y$3,'TRANS EMP EXTRACT - COST CENTRE'!$2:$2,0)),0)</f>
        <v>0</v>
      </c>
      <c r="Z20" s="10">
        <f>IFERROR(INDEX('TRANS EMP EXTRACT - COST CENTRE'!$A$1:$Z$455,MATCH('Summary - Monthly'!$A20,'TRANS EMP EXTRACT - COST CENTRE'!$A:$A,0),MATCH('Summary - Monthly'!Z$3,'TRANS EMP EXTRACT - COST CENTRE'!$2:$2,0)),0)</f>
        <v>0</v>
      </c>
      <c r="AA20" s="10">
        <f>IFERROR(INDEX('TRANS EMP EXTRACT - COST CENTRE'!$A$1:$Z$455,MATCH('Summary - Monthly'!$A20,'TRANS EMP EXTRACT - COST CENTRE'!$A:$A,0),MATCH('Summary - Monthly'!AA$3,'TRANS EMP EXTRACT - COST CENTRE'!$2:$2,0)),0)</f>
        <v>0</v>
      </c>
      <c r="AB20" s="10">
        <f>IFERROR(INDEX('TRANS EMP EXTRACT - COST CENTRE'!$A$1:$Z$455,MATCH('Summary - Monthly'!$A20,'TRANS EMP EXTRACT - COST CENTRE'!$A:$A,0),MATCH('Summary - Monthly'!AB$3,'TRANS EMP EXTRACT - COST CENTRE'!$2:$2,0)),0)</f>
        <v>0</v>
      </c>
      <c r="AC20" s="8">
        <f>IFERROR(INDEX('TRANS EMP EXTRACT - COST CENTRE'!$A$1:$Z$455,MATCH('Summary - Monthly'!$A20,'TRANS EMP EXTRACT - COST CENTRE'!$A:$A,0),MATCH('Summary - Monthly'!AC$3,'TRANS EMP EXTRACT - COST CENTRE'!$2:$2,0)),0)</f>
        <v>0</v>
      </c>
      <c r="AD20" s="13">
        <f>IFERROR(INDEX('TRANS EMP EXTRACT - COST CENTRE'!$A$1:$Z$455,MATCH('Summary - Monthly'!$A20,'TRANS EMP EXTRACT - COST CENTRE'!$A:$A,0),MATCH('Summary - Monthly'!AD$3,'TRANS EMP EXTRACT - COST CENTRE'!$2:$2,0)),0)</f>
        <v>0</v>
      </c>
      <c r="AE20" s="13">
        <f>IFERROR(INDEX('TRANS EMP EXTRACT - COST CENTRE'!$A$1:$Z$455,MATCH('Summary - Monthly'!$A20,'TRANS EMP EXTRACT - COST CENTRE'!$A:$A,0),MATCH('Summary - Monthly'!AE$3,'TRANS EMP EXTRACT - COST CENTRE'!$2:$2,0)),0)</f>
        <v>0</v>
      </c>
      <c r="AF20" s="13">
        <f>IFERROR(INDEX('TRANS EMP EXTRACT - COST CENTRE'!$A$1:$Z$455,MATCH('Summary - Monthly'!$A20,'TRANS EMP EXTRACT - COST CENTRE'!$A:$A,0),MATCH('Summary - Monthly'!AF$3,'TRANS EMP EXTRACT - COST CENTRE'!$2:$2,0)),0)</f>
        <v>0</v>
      </c>
      <c r="AG20" s="10">
        <f>IFERROR(INDEX('TRANS EMP EXTRACT - COST CENTRE'!$A$1:$Z$455,MATCH('Summary - Monthly'!$A20,'TRANS EMP EXTRACT - COST CENTRE'!$A:$A,0),MATCH('Summary - Monthly'!AG$3,'TRANS EMP EXTRACT - COST CENTRE'!$2:$2,0)),0)</f>
        <v>0</v>
      </c>
      <c r="AH20" s="10">
        <f>IFERROR(INDEX('TRANS EMP EXTRACT - COST CENTRE'!$A$1:$Z$455,MATCH('Summary - Monthly'!$A20,'TRANS EMP EXTRACT - COST CENTRE'!$A:$A,0),MATCH('Summary - Monthly'!AH$3,'TRANS EMP EXTRACT - COST CENTRE'!$2:$2,0)),0)</f>
        <v>0</v>
      </c>
      <c r="AI20" s="10">
        <f>IFERROR(INDEX('TRANS EMP EXTRACT - COST CENTRE'!$A$1:$Z$455,MATCH('Summary - Monthly'!$A20,'TRANS EMP EXTRACT - COST CENTRE'!$A:$A,0),MATCH('Summary - Monthly'!AI$3,'TRANS EMP EXTRACT - COST CENTRE'!$2:$2,0)),0)</f>
        <v>0</v>
      </c>
      <c r="AJ20" s="10">
        <f>IFERROR(INDEX('TRANS EMP EXTRACT - COST CENTRE'!$A$1:$Z$455,MATCH('Summary - Monthly'!$A20,'TRANS EMP EXTRACT - COST CENTRE'!$A:$A,0),MATCH('Summary - Monthly'!AJ$3,'TRANS EMP EXTRACT - COST CENTRE'!$2:$2,0)),0)</f>
        <v>0</v>
      </c>
      <c r="AK20" s="10">
        <f>IFERROR(INDEX('TRANS EMP EXTRACT - COST CENTRE'!$A$1:$Z$455,MATCH('Summary - Monthly'!$A20,'TRANS EMP EXTRACT - COST CENTRE'!$A:$A,0),MATCH('Summary - Monthly'!AK$3,'TRANS EMP EXTRACT - COST CENTRE'!$2:$2,0)),0)</f>
        <v>0</v>
      </c>
      <c r="AL20" s="10">
        <f>IFERROR(INDEX('TRANS EMP EXTRACT - COST CENTRE'!$A$1:$Z$455,MATCH('Summary - Monthly'!$A20,'TRANS EMP EXTRACT - COST CENTRE'!$A:$A,0),MATCH('Summary - Monthly'!AL$3,'TRANS EMP EXTRACT - COST CENTRE'!$2:$2,0)),0)</f>
        <v>0</v>
      </c>
      <c r="AM20" s="10">
        <f t="shared" si="9"/>
        <v>152.5</v>
      </c>
      <c r="AN20" s="14">
        <f t="shared" si="2"/>
        <v>3.2894736842105261E-3</v>
      </c>
      <c r="AO20" s="18">
        <f t="shared" si="5"/>
        <v>1.0032894736842106</v>
      </c>
      <c r="AP20" s="18">
        <f t="shared" si="6"/>
        <v>1.0032894736842106</v>
      </c>
      <c r="AQ20" s="10" t="str">
        <f>IFERROR(VLOOKUP(B20,Departments!A:C,3,FALSE),"")</f>
        <v>Microbiology</v>
      </c>
      <c r="AR20" s="10" t="str">
        <f>IFERROR(VLOOKUP(B20,Departments!A:B,2,FALSE),"")</f>
        <v>Sydney Micro</v>
      </c>
      <c r="AS20" s="10">
        <f t="shared" si="7"/>
        <v>0</v>
      </c>
      <c r="AT20" s="10">
        <f t="shared" si="8"/>
        <v>0</v>
      </c>
      <c r="AU20" s="10" t="str">
        <f>_xlfn.IFNA(VLOOKUP(B20,Departments!A:D,4,FALSE),"")</f>
        <v>Sydney Micro</v>
      </c>
    </row>
    <row r="21" spans="1:47" ht="14.45" customHeight="1">
      <c r="A21" s="11" t="str">
        <f t="shared" si="3"/>
        <v>1201325018987</v>
      </c>
      <c r="B21" s="11">
        <f>'TRANS EMP EXTRACT - COST CENTRE'!B20</f>
        <v>12013250</v>
      </c>
      <c r="C21" s="10" t="str">
        <f>IFERROR(VLOOKUP(E21,'TRANS EMP EXTRACT - EMP CATEGOR'!A:B,2,FALSE),"")</f>
        <v>FT</v>
      </c>
      <c r="D21" s="10" t="str">
        <f>IFERROR(VLOOKUP(E21,'TRANS EMP EXTRACT - EMP CATEGOR'!A:C,3,FALSE),"")</f>
        <v>Fulltime</v>
      </c>
      <c r="E21" s="11">
        <f>'TRANS EMP EXTRACT - COST CENTRE'!D20</f>
        <v>18987</v>
      </c>
      <c r="F21" s="10" t="str">
        <f>IFERROR(VLOOKUP(E21,'TRANS EMP EXTRACT - COST CENTRE'!D:E,2,FALSE),"")</f>
        <v>CAMPBELL-MCKECHNIE  ALMA MS</v>
      </c>
      <c r="G21" s="12">
        <f>IFERROR(INDEX('TRANS EMP EXTRACT - COST CENTRE'!$A$1:$Z$455,MATCH('Summary - Monthly'!$A21,'TRANS EMP EXTRACT - COST CENTRE'!$A:$A,0),MATCH('Summary - Monthly'!G$3,'TRANS EMP EXTRACT - COST CENTRE'!$2:$2,0)),"")</f>
        <v>44571</v>
      </c>
      <c r="H21" s="10" t="str">
        <f>IFERROR(INDEX('TRANS EMP EXTRACT - COST CENTRE'!$B$1:$Z$455,MATCH('Summary - Monthly'!$E21,'TRANS EMP EXTRACT - COST CENTRE'!$D:$D,0),MATCH('Summary - Monthly'!H$3,'TRANS EMP EXTRACT - COST CENTRE'!$2:$2,0)),"")</f>
        <v>FN</v>
      </c>
      <c r="I21" s="12" t="str">
        <f>IFERROR(INDEX('TRANS EMP EXTRACT - EMP CATEGOR'!$B$1:$AF$421,MATCH('Summary - Monthly'!$E21,'TRANS EMP EXTRACT - EMP CATEGOR'!$D:$D,0),MATCH('Summary - Monthly'!H$3,'TRANS EMP EXTRACT - EMP CATEGOR'!$2:$2,0)),"")</f>
        <v>FN</v>
      </c>
      <c r="J21" s="41">
        <f t="shared" ca="1" si="0"/>
        <v>71.835599999999999</v>
      </c>
      <c r="K21" s="41">
        <f t="shared" ca="1" si="1"/>
        <v>136.0712</v>
      </c>
      <c r="L21" s="10">
        <f>IFERROR(INDEX('TRANS EMP EXTRACT - COST CENTRE'!$A$1:$Z$455,MATCH('Summary - Monthly'!$A21,'TRANS EMP EXTRACT - COST CENTRE'!$A:$A,0),MATCH('Summary - Monthly'!L$3,'TRANS EMP EXTRACT - COST CENTRE'!$2:$2,0)),"")</f>
        <v>152</v>
      </c>
      <c r="M21" s="10">
        <f>IFERROR(INDEX('TRANS EMP EXTRACT - COST CENTRE'!$A$1:$Z$455,MATCH('Summary - Monthly'!$A21,'TRANS EMP EXTRACT - COST CENTRE'!$A:$A,0),MATCH('Summary - Monthly'!M$3,'TRANS EMP EXTRACT - COST CENTRE'!$2:$2,0)),0)</f>
        <v>0</v>
      </c>
      <c r="N21" s="10">
        <f>IFERROR(INDEX('TRANS EMP EXTRACT - COST CENTRE'!$A$1:$Z$455,MATCH('Summary - Monthly'!$A21,'TRANS EMP EXTRACT - COST CENTRE'!$A:$A,0),MATCH('Summary - Monthly'!N$3,'TRANS EMP EXTRACT - COST CENTRE'!$2:$2,0)),0)</f>
        <v>0</v>
      </c>
      <c r="O21" s="10">
        <f>IFERROR(INDEX('TRANS EMP EXTRACT - COST CENTRE'!$A$1:$Z$455,MATCH('Summary - Monthly'!$A21,'TRANS EMP EXTRACT - COST CENTRE'!$A:$A,0),MATCH('Summary - Monthly'!O$3,'TRANS EMP EXTRACT - COST CENTRE'!$2:$2,0)),0)</f>
        <v>0</v>
      </c>
      <c r="P21" s="10">
        <f>IFERROR(INDEX('TRANS EMP EXTRACT - COST CENTRE'!$A$1:$Z$455,MATCH('Summary - Monthly'!$A21,'TRANS EMP EXTRACT - COST CENTRE'!$A:$A,0),MATCH('Summary - Monthly'!P$3,'TRANS EMP EXTRACT - COST CENTRE'!$2:$2,0)),0)</f>
        <v>0</v>
      </c>
      <c r="Q21" s="10">
        <f>IFERROR(INDEX('TRANS EMP EXTRACT - COST CENTRE'!$A$1:$Z$455,MATCH('Summary - Monthly'!$A21,'TRANS EMP EXTRACT - COST CENTRE'!$A:$A,0),MATCH('Summary - Monthly'!Q$3,'TRANS EMP EXTRACT - COST CENTRE'!$2:$2,0)),0)</f>
        <v>0</v>
      </c>
      <c r="R21" s="10">
        <f>IFERROR(INDEX('TRANS EMP EXTRACT - COST CENTRE'!$A$1:$Z$455,MATCH('Summary - Monthly'!$A21,'TRANS EMP EXTRACT - COST CENTRE'!$A:$A,0),MATCH('Summary - Monthly'!R$3,'TRANS EMP EXTRACT - COST CENTRE'!$2:$2,0)),0)</f>
        <v>0</v>
      </c>
      <c r="S21" s="10">
        <f>IFERROR(INDEX('TRANS EMP EXTRACT - COST CENTRE'!$A$1:$Z$455,MATCH('Summary - Monthly'!$A21,'TRANS EMP EXTRACT - COST CENTRE'!$A:$A,0),MATCH('Summary - Monthly'!S$3,'TRANS EMP EXTRACT - COST CENTRE'!$2:$2,0)),0)</f>
        <v>0</v>
      </c>
      <c r="T21" s="8">
        <f>IFERROR(INDEX('TRANS EMP EXTRACT - COST CENTRE'!$A$1:$Z$455,MATCH('Summary - Monthly'!$A21,'TRANS EMP EXTRACT - COST CENTRE'!$A:$A,0),MATCH('Summary - Monthly'!T$3,'TRANS EMP EXTRACT - COST CENTRE'!$2:$2,0)),0)</f>
        <v>0</v>
      </c>
      <c r="U21" s="13">
        <f>IFERROR(INDEX('TRANS EMP EXTRACT - COST CENTRE'!$A$1:$Z$455,MATCH('Summary - Monthly'!$A21,'TRANS EMP EXTRACT - COST CENTRE'!$A:$A,0),MATCH('Summary - Monthly'!U$3,'TRANS EMP EXTRACT - COST CENTRE'!$2:$2,0)),0)</f>
        <v>0</v>
      </c>
      <c r="V21" s="13">
        <f>IFERROR(INDEX('TRANS EMP EXTRACT - COST CENTRE'!$A$1:$Z$455,MATCH('Summary - Monthly'!$A21,'TRANS EMP EXTRACT - COST CENTRE'!$A:$A,0),MATCH('Summary - Monthly'!V$3,'TRANS EMP EXTRACT - COST CENTRE'!$2:$2,0)),0)</f>
        <v>0</v>
      </c>
      <c r="W21" s="13">
        <f>IFERROR(INDEX('TRANS EMP EXTRACT - COST CENTRE'!$A$1:$Z$455,MATCH('Summary - Monthly'!$A21,'TRANS EMP EXTRACT - COST CENTRE'!$A:$A,0),MATCH('Summary - Monthly'!W$3,'TRANS EMP EXTRACT - COST CENTRE'!$2:$2,0)),0)</f>
        <v>0</v>
      </c>
      <c r="X21" s="13">
        <f>IFERROR(INDEX('TRANS EMP EXTRACT - COST CENTRE'!$A$1:$Z$455,MATCH('Summary - Monthly'!$A21,'TRANS EMP EXTRACT - COST CENTRE'!$A:$A,0),MATCH('Summary - Monthly'!X$3,'TRANS EMP EXTRACT - COST CENTRE'!$2:$2,0)),0)</f>
        <v>0</v>
      </c>
      <c r="Y21" s="13">
        <f>IFERROR(INDEX('TRANS EMP EXTRACT - COST CENTRE'!$A$1:$Z$455,MATCH('Summary - Monthly'!$A21,'TRANS EMP EXTRACT - COST CENTRE'!$A:$A,0),MATCH('Summary - Monthly'!Y$3,'TRANS EMP EXTRACT - COST CENTRE'!$2:$2,0)),0)</f>
        <v>0</v>
      </c>
      <c r="Z21" s="10">
        <f>IFERROR(INDEX('TRANS EMP EXTRACT - COST CENTRE'!$A$1:$Z$455,MATCH('Summary - Monthly'!$A21,'TRANS EMP EXTRACT - COST CENTRE'!$A:$A,0),MATCH('Summary - Monthly'!Z$3,'TRANS EMP EXTRACT - COST CENTRE'!$2:$2,0)),0)</f>
        <v>0</v>
      </c>
      <c r="AA21" s="10">
        <f>IFERROR(INDEX('TRANS EMP EXTRACT - COST CENTRE'!$A$1:$Z$455,MATCH('Summary - Monthly'!$A21,'TRANS EMP EXTRACT - COST CENTRE'!$A:$A,0),MATCH('Summary - Monthly'!AA$3,'TRANS EMP EXTRACT - COST CENTRE'!$2:$2,0)),0)</f>
        <v>0</v>
      </c>
      <c r="AB21" s="10">
        <f>IFERROR(INDEX('TRANS EMP EXTRACT - COST CENTRE'!$A$1:$Z$455,MATCH('Summary - Monthly'!$A21,'TRANS EMP EXTRACT - COST CENTRE'!$A:$A,0),MATCH('Summary - Monthly'!AB$3,'TRANS EMP EXTRACT - COST CENTRE'!$2:$2,0)),0)</f>
        <v>0</v>
      </c>
      <c r="AC21" s="8">
        <f>IFERROR(INDEX('TRANS EMP EXTRACT - COST CENTRE'!$A$1:$Z$455,MATCH('Summary - Monthly'!$A21,'TRANS EMP EXTRACT - COST CENTRE'!$A:$A,0),MATCH('Summary - Monthly'!AC$3,'TRANS EMP EXTRACT - COST CENTRE'!$2:$2,0)),0)</f>
        <v>0</v>
      </c>
      <c r="AD21" s="13">
        <f>IFERROR(INDEX('TRANS EMP EXTRACT - COST CENTRE'!$A$1:$Z$455,MATCH('Summary - Monthly'!$A21,'TRANS EMP EXTRACT - COST CENTRE'!$A:$A,0),MATCH('Summary - Monthly'!AD$3,'TRANS EMP EXTRACT - COST CENTRE'!$2:$2,0)),0)</f>
        <v>0</v>
      </c>
      <c r="AE21" s="13">
        <f>IFERROR(INDEX('TRANS EMP EXTRACT - COST CENTRE'!$A$1:$Z$455,MATCH('Summary - Monthly'!$A21,'TRANS EMP EXTRACT - COST CENTRE'!$A:$A,0),MATCH('Summary - Monthly'!AE$3,'TRANS EMP EXTRACT - COST CENTRE'!$2:$2,0)),0)</f>
        <v>0</v>
      </c>
      <c r="AF21" s="13">
        <f>IFERROR(INDEX('TRANS EMP EXTRACT - COST CENTRE'!$A$1:$Z$455,MATCH('Summary - Monthly'!$A21,'TRANS EMP EXTRACT - COST CENTRE'!$A:$A,0),MATCH('Summary - Monthly'!AF$3,'TRANS EMP EXTRACT - COST CENTRE'!$2:$2,0)),0)</f>
        <v>0</v>
      </c>
      <c r="AG21" s="10">
        <f>IFERROR(INDEX('TRANS EMP EXTRACT - COST CENTRE'!$A$1:$Z$455,MATCH('Summary - Monthly'!$A21,'TRANS EMP EXTRACT - COST CENTRE'!$A:$A,0),MATCH('Summary - Monthly'!AG$3,'TRANS EMP EXTRACT - COST CENTRE'!$2:$2,0)),0)</f>
        <v>0</v>
      </c>
      <c r="AH21" s="10">
        <f>IFERROR(INDEX('TRANS EMP EXTRACT - COST CENTRE'!$A$1:$Z$455,MATCH('Summary - Monthly'!$A21,'TRANS EMP EXTRACT - COST CENTRE'!$A:$A,0),MATCH('Summary - Monthly'!AH$3,'TRANS EMP EXTRACT - COST CENTRE'!$2:$2,0)),0)</f>
        <v>0</v>
      </c>
      <c r="AI21" s="10">
        <f>IFERROR(INDEX('TRANS EMP EXTRACT - COST CENTRE'!$A$1:$Z$455,MATCH('Summary - Monthly'!$A21,'TRANS EMP EXTRACT - COST CENTRE'!$A:$A,0),MATCH('Summary - Monthly'!AI$3,'TRANS EMP EXTRACT - COST CENTRE'!$2:$2,0)),0)</f>
        <v>0</v>
      </c>
      <c r="AJ21" s="10">
        <f>IFERROR(INDEX('TRANS EMP EXTRACT - COST CENTRE'!$A$1:$Z$455,MATCH('Summary - Monthly'!$A21,'TRANS EMP EXTRACT - COST CENTRE'!$A:$A,0),MATCH('Summary - Monthly'!AJ$3,'TRANS EMP EXTRACT - COST CENTRE'!$2:$2,0)),0)</f>
        <v>0</v>
      </c>
      <c r="AK21" s="10">
        <f>IFERROR(INDEX('TRANS EMP EXTRACT - COST CENTRE'!$A$1:$Z$455,MATCH('Summary - Monthly'!$A21,'TRANS EMP EXTRACT - COST CENTRE'!$A:$A,0),MATCH('Summary - Monthly'!AK$3,'TRANS EMP EXTRACT - COST CENTRE'!$2:$2,0)),0)</f>
        <v>0</v>
      </c>
      <c r="AL21" s="10">
        <f>IFERROR(INDEX('TRANS EMP EXTRACT - COST CENTRE'!$A$1:$Z$455,MATCH('Summary - Monthly'!$A21,'TRANS EMP EXTRACT - COST CENTRE'!$A:$A,0),MATCH('Summary - Monthly'!AL$3,'TRANS EMP EXTRACT - COST CENTRE'!$2:$2,0)),0)</f>
        <v>0</v>
      </c>
      <c r="AM21" s="10">
        <f t="shared" si="9"/>
        <v>152</v>
      </c>
      <c r="AN21" s="14">
        <f t="shared" si="2"/>
        <v>0</v>
      </c>
      <c r="AO21" s="18">
        <f t="shared" si="5"/>
        <v>1</v>
      </c>
      <c r="AP21" s="18">
        <f t="shared" si="6"/>
        <v>1</v>
      </c>
      <c r="AQ21" s="10" t="str">
        <f>IFERROR(VLOOKUP(B21,Departments!A:C,3,FALSE),"")</f>
        <v>Senior Audit</v>
      </c>
      <c r="AR21" s="10" t="str">
        <f>IFERROR(VLOOKUP(B21,Departments!A:B,2,FALSE),"")</f>
        <v>Senior Audit</v>
      </c>
      <c r="AS21" s="10">
        <f t="shared" si="7"/>
        <v>0</v>
      </c>
      <c r="AT21" s="10">
        <f t="shared" si="8"/>
        <v>0</v>
      </c>
      <c r="AU21" s="10" t="str">
        <f>_xlfn.IFNA(VLOOKUP(B21,Departments!A:D,4,FALSE),"")</f>
        <v>Senior Audit</v>
      </c>
    </row>
    <row r="22" spans="1:47" ht="14.45" customHeight="1">
      <c r="A22" s="11" t="str">
        <f t="shared" si="3"/>
        <v>1206301119043</v>
      </c>
      <c r="B22" s="11">
        <f>'TRANS EMP EXTRACT - COST CENTRE'!B21</f>
        <v>12063011</v>
      </c>
      <c r="C22" s="10" t="str">
        <f>IFERROR(VLOOKUP(E22,'TRANS EMP EXTRACT - EMP CATEGOR'!A:B,2,FALSE),"")</f>
        <v>TF</v>
      </c>
      <c r="D22" s="10" t="str">
        <f>IFERROR(VLOOKUP(E22,'TRANS EMP EXTRACT - EMP CATEGOR'!A:C,3,FALSE),"")</f>
        <v>Temporary Fulltime</v>
      </c>
      <c r="E22" s="11">
        <f>'TRANS EMP EXTRACT - COST CENTRE'!D21</f>
        <v>19043</v>
      </c>
      <c r="F22" s="10" t="str">
        <f>IFERROR(VLOOKUP(E22,'TRANS EMP EXTRACT - COST CENTRE'!D:E,2,FALSE),"")</f>
        <v>CAO  KIM MISS</v>
      </c>
      <c r="G22" s="12">
        <f>IFERROR(INDEX('TRANS EMP EXTRACT - COST CENTRE'!$A$1:$Z$455,MATCH('Summary - Monthly'!$A22,'TRANS EMP EXTRACT - COST CENTRE'!$A:$A,0),MATCH('Summary - Monthly'!G$3,'TRANS EMP EXTRACT - COST CENTRE'!$2:$2,0)),"")</f>
        <v>44886</v>
      </c>
      <c r="H22" s="10" t="str">
        <f>IFERROR(INDEX('TRANS EMP EXTRACT - COST CENTRE'!$B$1:$Z$455,MATCH('Summary - Monthly'!$E22,'TRANS EMP EXTRACT - COST CENTRE'!$D:$D,0),MATCH('Summary - Monthly'!H$3,'TRANS EMP EXTRACT - COST CENTRE'!$2:$2,0)),"")</f>
        <v>RT</v>
      </c>
      <c r="I22" s="12" t="str">
        <f>IFERROR(INDEX('TRANS EMP EXTRACT - EMP CATEGOR'!$B$1:$AF$421,MATCH('Summary - Monthly'!$E22,'TRANS EMP EXTRACT - EMP CATEGOR'!$D:$D,0),MATCH('Summary - Monthly'!H$3,'TRANS EMP EXTRACT - EMP CATEGOR'!$2:$2,0)),"")</f>
        <v>RT</v>
      </c>
      <c r="J22" s="41">
        <f t="shared" ca="1" si="0"/>
        <v>20.2774</v>
      </c>
      <c r="K22" s="41">
        <f t="shared" ca="1" si="1"/>
        <v>10.1547</v>
      </c>
      <c r="L22" s="10">
        <f>IFERROR(INDEX('TRANS EMP EXTRACT - COST CENTRE'!$A$1:$Z$455,MATCH('Summary - Monthly'!$A22,'TRANS EMP EXTRACT - COST CENTRE'!$A:$A,0),MATCH('Summary - Monthly'!L$3,'TRANS EMP EXTRACT - COST CENTRE'!$2:$2,0)),"")</f>
        <v>91.15</v>
      </c>
      <c r="M22" s="10">
        <f>IFERROR(INDEX('TRANS EMP EXTRACT - COST CENTRE'!$A$1:$Z$455,MATCH('Summary - Monthly'!$A22,'TRANS EMP EXTRACT - COST CENTRE'!$A:$A,0),MATCH('Summary - Monthly'!M$3,'TRANS EMP EXTRACT - COST CENTRE'!$2:$2,0)),0)</f>
        <v>0</v>
      </c>
      <c r="N22" s="10">
        <f>IFERROR(INDEX('TRANS EMP EXTRACT - COST CENTRE'!$A$1:$Z$455,MATCH('Summary - Monthly'!$A22,'TRANS EMP EXTRACT - COST CENTRE'!$A:$A,0),MATCH('Summary - Monthly'!N$3,'TRANS EMP EXTRACT - COST CENTRE'!$2:$2,0)),0)</f>
        <v>0</v>
      </c>
      <c r="O22" s="10">
        <f>IFERROR(INDEX('TRANS EMP EXTRACT - COST CENTRE'!$A$1:$Z$455,MATCH('Summary - Monthly'!$A22,'TRANS EMP EXTRACT - COST CENTRE'!$A:$A,0),MATCH('Summary - Monthly'!O$3,'TRANS EMP EXTRACT - COST CENTRE'!$2:$2,0)),0)</f>
        <v>0</v>
      </c>
      <c r="P22" s="10">
        <f>IFERROR(INDEX('TRANS EMP EXTRACT - COST CENTRE'!$A$1:$Z$455,MATCH('Summary - Monthly'!$A22,'TRANS EMP EXTRACT - COST CENTRE'!$A:$A,0),MATCH('Summary - Monthly'!P$3,'TRANS EMP EXTRACT - COST CENTRE'!$2:$2,0)),0)</f>
        <v>0</v>
      </c>
      <c r="Q22" s="10">
        <f>IFERROR(INDEX('TRANS EMP EXTRACT - COST CENTRE'!$A$1:$Z$455,MATCH('Summary - Monthly'!$A22,'TRANS EMP EXTRACT - COST CENTRE'!$A:$A,0),MATCH('Summary - Monthly'!Q$3,'TRANS EMP EXTRACT - COST CENTRE'!$2:$2,0)),0)</f>
        <v>4.9500999999999999</v>
      </c>
      <c r="R22" s="10">
        <f>IFERROR(INDEX('TRANS EMP EXTRACT - COST CENTRE'!$A$1:$Z$455,MATCH('Summary - Monthly'!$A22,'TRANS EMP EXTRACT - COST CENTRE'!$A:$A,0),MATCH('Summary - Monthly'!R$3,'TRANS EMP EXTRACT - COST CENTRE'!$2:$2,0)),0)</f>
        <v>0</v>
      </c>
      <c r="S22" s="10">
        <f>IFERROR(INDEX('TRANS EMP EXTRACT - COST CENTRE'!$A$1:$Z$455,MATCH('Summary - Monthly'!$A22,'TRANS EMP EXTRACT - COST CENTRE'!$A:$A,0),MATCH('Summary - Monthly'!S$3,'TRANS EMP EXTRACT - COST CENTRE'!$2:$2,0)),0)</f>
        <v>0</v>
      </c>
      <c r="T22" s="8">
        <f>IFERROR(INDEX('TRANS EMP EXTRACT - COST CENTRE'!$A$1:$Z$455,MATCH('Summary - Monthly'!$A22,'TRANS EMP EXTRACT - COST CENTRE'!$A:$A,0),MATCH('Summary - Monthly'!T$3,'TRANS EMP EXTRACT - COST CENTRE'!$2:$2,0)),0)</f>
        <v>0</v>
      </c>
      <c r="U22" s="13">
        <f>IFERROR(INDEX('TRANS EMP EXTRACT - COST CENTRE'!$A$1:$Z$455,MATCH('Summary - Monthly'!$A22,'TRANS EMP EXTRACT - COST CENTRE'!$A:$A,0),MATCH('Summary - Monthly'!U$3,'TRANS EMP EXTRACT - COST CENTRE'!$2:$2,0)),0)</f>
        <v>30.4</v>
      </c>
      <c r="V22" s="13">
        <f>IFERROR(INDEX('TRANS EMP EXTRACT - COST CENTRE'!$A$1:$Z$455,MATCH('Summary - Monthly'!$A22,'TRANS EMP EXTRACT - COST CENTRE'!$A:$A,0),MATCH('Summary - Monthly'!V$3,'TRANS EMP EXTRACT - COST CENTRE'!$2:$2,0)),0)</f>
        <v>0</v>
      </c>
      <c r="W22" s="13">
        <f>IFERROR(INDEX('TRANS EMP EXTRACT - COST CENTRE'!$A$1:$Z$455,MATCH('Summary - Monthly'!$A22,'TRANS EMP EXTRACT - COST CENTRE'!$A:$A,0),MATCH('Summary - Monthly'!W$3,'TRANS EMP EXTRACT - COST CENTRE'!$2:$2,0)),0)</f>
        <v>0</v>
      </c>
      <c r="X22" s="13">
        <f>IFERROR(INDEX('TRANS EMP EXTRACT - COST CENTRE'!$A$1:$Z$455,MATCH('Summary - Monthly'!$A22,'TRANS EMP EXTRACT - COST CENTRE'!$A:$A,0),MATCH('Summary - Monthly'!X$3,'TRANS EMP EXTRACT - COST CENTRE'!$2:$2,0)),0)</f>
        <v>0</v>
      </c>
      <c r="Y22" s="13">
        <f>IFERROR(INDEX('TRANS EMP EXTRACT - COST CENTRE'!$A$1:$Z$455,MATCH('Summary - Monthly'!$A22,'TRANS EMP EXTRACT - COST CENTRE'!$A:$A,0),MATCH('Summary - Monthly'!Y$3,'TRANS EMP EXTRACT - COST CENTRE'!$2:$2,0)),0)</f>
        <v>0</v>
      </c>
      <c r="Z22" s="10">
        <f>IFERROR(INDEX('TRANS EMP EXTRACT - COST CENTRE'!$A$1:$Z$455,MATCH('Summary - Monthly'!$A22,'TRANS EMP EXTRACT - COST CENTRE'!$A:$A,0),MATCH('Summary - Monthly'!Z$3,'TRANS EMP EXTRACT - COST CENTRE'!$2:$2,0)),0)</f>
        <v>30.4</v>
      </c>
      <c r="AA22" s="10">
        <f>IFERROR(INDEX('TRANS EMP EXTRACT - COST CENTRE'!$A$1:$Z$455,MATCH('Summary - Monthly'!$A22,'TRANS EMP EXTRACT - COST CENTRE'!$A:$A,0),MATCH('Summary - Monthly'!AA$3,'TRANS EMP EXTRACT - COST CENTRE'!$2:$2,0)),0)</f>
        <v>0</v>
      </c>
      <c r="AB22" s="10">
        <f>IFERROR(INDEX('TRANS EMP EXTRACT - COST CENTRE'!$A$1:$Z$455,MATCH('Summary - Monthly'!$A22,'TRANS EMP EXTRACT - COST CENTRE'!$A:$A,0),MATCH('Summary - Monthly'!AB$3,'TRANS EMP EXTRACT - COST CENTRE'!$2:$2,0)),0)</f>
        <v>0</v>
      </c>
      <c r="AC22" s="8">
        <f>IFERROR(INDEX('TRANS EMP EXTRACT - COST CENTRE'!$A$1:$Z$455,MATCH('Summary - Monthly'!$A22,'TRANS EMP EXTRACT - COST CENTRE'!$A:$A,0),MATCH('Summary - Monthly'!AC$3,'TRANS EMP EXTRACT - COST CENTRE'!$2:$2,0)),0)</f>
        <v>0</v>
      </c>
      <c r="AD22" s="13">
        <f>IFERROR(INDEX('TRANS EMP EXTRACT - COST CENTRE'!$A$1:$Z$455,MATCH('Summary - Monthly'!$A22,'TRANS EMP EXTRACT - COST CENTRE'!$A:$A,0),MATCH('Summary - Monthly'!AD$3,'TRANS EMP EXTRACT - COST CENTRE'!$2:$2,0)),0)</f>
        <v>0</v>
      </c>
      <c r="AE22" s="13">
        <f>IFERROR(INDEX('TRANS EMP EXTRACT - COST CENTRE'!$A$1:$Z$455,MATCH('Summary - Monthly'!$A22,'TRANS EMP EXTRACT - COST CENTRE'!$A:$A,0),MATCH('Summary - Monthly'!AE$3,'TRANS EMP EXTRACT - COST CENTRE'!$2:$2,0)),0)</f>
        <v>0</v>
      </c>
      <c r="AF22" s="13">
        <f>IFERROR(INDEX('TRANS EMP EXTRACT - COST CENTRE'!$A$1:$Z$455,MATCH('Summary - Monthly'!$A22,'TRANS EMP EXTRACT - COST CENTRE'!$A:$A,0),MATCH('Summary - Monthly'!AF$3,'TRANS EMP EXTRACT - COST CENTRE'!$2:$2,0)),0)</f>
        <v>0</v>
      </c>
      <c r="AG22" s="10">
        <f>IFERROR(INDEX('TRANS EMP EXTRACT - COST CENTRE'!$A$1:$Z$455,MATCH('Summary - Monthly'!$A22,'TRANS EMP EXTRACT - COST CENTRE'!$A:$A,0),MATCH('Summary - Monthly'!AG$3,'TRANS EMP EXTRACT - COST CENTRE'!$2:$2,0)),0)</f>
        <v>0</v>
      </c>
      <c r="AH22" s="10">
        <f>IFERROR(INDEX('TRANS EMP EXTRACT - COST CENTRE'!$A$1:$Z$455,MATCH('Summary - Monthly'!$A22,'TRANS EMP EXTRACT - COST CENTRE'!$A:$A,0),MATCH('Summary - Monthly'!AH$3,'TRANS EMP EXTRACT - COST CENTRE'!$2:$2,0)),0)</f>
        <v>0</v>
      </c>
      <c r="AI22" s="10">
        <f>IFERROR(INDEX('TRANS EMP EXTRACT - COST CENTRE'!$A$1:$Z$455,MATCH('Summary - Monthly'!$A22,'TRANS EMP EXTRACT - COST CENTRE'!$A:$A,0),MATCH('Summary - Monthly'!AI$3,'TRANS EMP EXTRACT - COST CENTRE'!$2:$2,0)),0)</f>
        <v>0</v>
      </c>
      <c r="AJ22" s="10">
        <f>IFERROR(INDEX('TRANS EMP EXTRACT - COST CENTRE'!$A$1:$Z$455,MATCH('Summary - Monthly'!$A22,'TRANS EMP EXTRACT - COST CENTRE'!$A:$A,0),MATCH('Summary - Monthly'!AJ$3,'TRANS EMP EXTRACT - COST CENTRE'!$2:$2,0)),0)</f>
        <v>0</v>
      </c>
      <c r="AK22" s="10">
        <f>IFERROR(INDEX('TRANS EMP EXTRACT - COST CENTRE'!$A$1:$Z$455,MATCH('Summary - Monthly'!$A22,'TRANS EMP EXTRACT - COST CENTRE'!$A:$A,0),MATCH('Summary - Monthly'!AK$3,'TRANS EMP EXTRACT - COST CENTRE'!$2:$2,0)),0)</f>
        <v>0</v>
      </c>
      <c r="AL22" s="10">
        <f>IFERROR(INDEX('TRANS EMP EXTRACT - COST CENTRE'!$A$1:$Z$455,MATCH('Summary - Monthly'!$A22,'TRANS EMP EXTRACT - COST CENTRE'!$A:$A,0),MATCH('Summary - Monthly'!AL$3,'TRANS EMP EXTRACT - COST CENTRE'!$2:$2,0)),0)</f>
        <v>0</v>
      </c>
      <c r="AM22" s="10">
        <f t="shared" si="9"/>
        <v>126.5001</v>
      </c>
      <c r="AN22" s="14">
        <f t="shared" si="2"/>
        <v>3.2566447368421049E-2</v>
      </c>
      <c r="AO22" s="18">
        <f t="shared" si="5"/>
        <v>0.83223750000000007</v>
      </c>
      <c r="AP22" s="18">
        <f t="shared" si="6"/>
        <v>0.63223750000000001</v>
      </c>
      <c r="AQ22" s="10" t="str">
        <f>IFERROR(VLOOKUP(B22,Departments!A:C,3,FALSE),"")</f>
        <v>Microbiology</v>
      </c>
      <c r="AR22" s="10" t="str">
        <f>IFERROR(VLOOKUP(B22,Departments!A:B,2,FALSE),"")</f>
        <v>Perth Micro</v>
      </c>
      <c r="AS22" s="10">
        <f t="shared" si="7"/>
        <v>30.4</v>
      </c>
      <c r="AT22" s="10">
        <f t="shared" si="8"/>
        <v>60.8</v>
      </c>
      <c r="AU22" s="10" t="str">
        <f>_xlfn.IFNA(VLOOKUP(B22,Departments!A:D,4,FALSE),"")</f>
        <v>Perth Micro</v>
      </c>
    </row>
    <row r="23" spans="1:47" ht="14.45" customHeight="1">
      <c r="A23" s="11" t="str">
        <f t="shared" si="3"/>
        <v>1201919918741</v>
      </c>
      <c r="B23" s="11">
        <f>'TRANS EMP EXTRACT - COST CENTRE'!B22</f>
        <v>12019199</v>
      </c>
      <c r="C23" s="10" t="str">
        <f>IFERROR(VLOOKUP(E23,'TRANS EMP EXTRACT - EMP CATEGOR'!A:B,2,FALSE),"")</f>
        <v>FT</v>
      </c>
      <c r="D23" s="10" t="str">
        <f>IFERROR(VLOOKUP(E23,'TRANS EMP EXTRACT - EMP CATEGOR'!A:C,3,FALSE),"")</f>
        <v>Fulltime</v>
      </c>
      <c r="E23" s="11">
        <f>'TRANS EMP EXTRACT - COST CENTRE'!D22</f>
        <v>18741</v>
      </c>
      <c r="F23" s="10" t="str">
        <f>IFERROR(VLOOKUP(E23,'TRANS EMP EXTRACT - COST CENTRE'!D:E,2,FALSE),"")</f>
        <v>CHAN  CHARMAINE MS</v>
      </c>
      <c r="G23" s="12">
        <f>IFERROR(INDEX('TRANS EMP EXTRACT - COST CENTRE'!$A$1:$Z$455,MATCH('Summary - Monthly'!$A23,'TRANS EMP EXTRACT - COST CENTRE'!$A:$A,0),MATCH('Summary - Monthly'!G$3,'TRANS EMP EXTRACT - COST CENTRE'!$2:$2,0)),"")</f>
        <v>42667</v>
      </c>
      <c r="H23" s="10" t="str">
        <f>IFERROR(INDEX('TRANS EMP EXTRACT - COST CENTRE'!$B$1:$Z$455,MATCH('Summary - Monthly'!$E23,'TRANS EMP EXTRACT - COST CENTRE'!$D:$D,0),MATCH('Summary - Monthly'!H$3,'TRANS EMP EXTRACT - COST CENTRE'!$2:$2,0)),"")</f>
        <v>FN</v>
      </c>
      <c r="I23" s="12" t="str">
        <f>IFERROR(INDEX('TRANS EMP EXTRACT - EMP CATEGOR'!$B$1:$AF$421,MATCH('Summary - Monthly'!$E23,'TRANS EMP EXTRACT - EMP CATEGOR'!$D:$D,0),MATCH('Summary - Monthly'!H$3,'TRANS EMP EXTRACT - EMP CATEGOR'!$2:$2,0)),"")</f>
        <v>FN</v>
      </c>
      <c r="J23" s="41">
        <f t="shared" ca="1" si="0"/>
        <v>118.4761</v>
      </c>
      <c r="K23" s="41">
        <f t="shared" ca="1" si="1"/>
        <v>236.9529</v>
      </c>
      <c r="L23" s="10">
        <f>IFERROR(INDEX('TRANS EMP EXTRACT - COST CENTRE'!$A$1:$Z$455,MATCH('Summary - Monthly'!$A23,'TRANS EMP EXTRACT - COST CENTRE'!$A:$A,0),MATCH('Summary - Monthly'!L$3,'TRANS EMP EXTRACT - COST CENTRE'!$2:$2,0)),"")</f>
        <v>144.4</v>
      </c>
      <c r="M23" s="10">
        <f>IFERROR(INDEX('TRANS EMP EXTRACT - COST CENTRE'!$A$1:$Z$455,MATCH('Summary - Monthly'!$A23,'TRANS EMP EXTRACT - COST CENTRE'!$A:$A,0),MATCH('Summary - Monthly'!M$3,'TRANS EMP EXTRACT - COST CENTRE'!$2:$2,0)),0)</f>
        <v>0</v>
      </c>
      <c r="N23" s="10">
        <f>IFERROR(INDEX('TRANS EMP EXTRACT - COST CENTRE'!$A$1:$Z$455,MATCH('Summary - Monthly'!$A23,'TRANS EMP EXTRACT - COST CENTRE'!$A:$A,0),MATCH('Summary - Monthly'!N$3,'TRANS EMP EXTRACT - COST CENTRE'!$2:$2,0)),0)</f>
        <v>0</v>
      </c>
      <c r="O23" s="10">
        <f>IFERROR(INDEX('TRANS EMP EXTRACT - COST CENTRE'!$A$1:$Z$455,MATCH('Summary - Monthly'!$A23,'TRANS EMP EXTRACT - COST CENTRE'!$A:$A,0),MATCH('Summary - Monthly'!O$3,'TRANS EMP EXTRACT - COST CENTRE'!$2:$2,0)),0)</f>
        <v>0</v>
      </c>
      <c r="P23" s="10">
        <f>IFERROR(INDEX('TRANS EMP EXTRACT - COST CENTRE'!$A$1:$Z$455,MATCH('Summary - Monthly'!$A23,'TRANS EMP EXTRACT - COST CENTRE'!$A:$A,0),MATCH('Summary - Monthly'!P$3,'TRANS EMP EXTRACT - COST CENTRE'!$2:$2,0)),0)</f>
        <v>0</v>
      </c>
      <c r="Q23" s="10">
        <f>IFERROR(INDEX('TRANS EMP EXTRACT - COST CENTRE'!$A$1:$Z$455,MATCH('Summary - Monthly'!$A23,'TRANS EMP EXTRACT - COST CENTRE'!$A:$A,0),MATCH('Summary - Monthly'!Q$3,'TRANS EMP EXTRACT - COST CENTRE'!$2:$2,0)),0)</f>
        <v>0</v>
      </c>
      <c r="R23" s="10">
        <f>IFERROR(INDEX('TRANS EMP EXTRACT - COST CENTRE'!$A$1:$Z$455,MATCH('Summary - Monthly'!$A23,'TRANS EMP EXTRACT - COST CENTRE'!$A:$A,0),MATCH('Summary - Monthly'!R$3,'TRANS EMP EXTRACT - COST CENTRE'!$2:$2,0)),0)</f>
        <v>0</v>
      </c>
      <c r="S23" s="10">
        <f>IFERROR(INDEX('TRANS EMP EXTRACT - COST CENTRE'!$A$1:$Z$455,MATCH('Summary - Monthly'!$A23,'TRANS EMP EXTRACT - COST CENTRE'!$A:$A,0),MATCH('Summary - Monthly'!S$3,'TRANS EMP EXTRACT - COST CENTRE'!$2:$2,0)),0)</f>
        <v>0</v>
      </c>
      <c r="T23" s="8">
        <f>IFERROR(INDEX('TRANS EMP EXTRACT - COST CENTRE'!$A$1:$Z$455,MATCH('Summary - Monthly'!$A23,'TRANS EMP EXTRACT - COST CENTRE'!$A:$A,0),MATCH('Summary - Monthly'!T$3,'TRANS EMP EXTRACT - COST CENTRE'!$2:$2,0)),0)</f>
        <v>0</v>
      </c>
      <c r="U23" s="13">
        <f>IFERROR(INDEX('TRANS EMP EXTRACT - COST CENTRE'!$A$1:$Z$455,MATCH('Summary - Monthly'!$A23,'TRANS EMP EXTRACT - COST CENTRE'!$A:$A,0),MATCH('Summary - Monthly'!U$3,'TRANS EMP EXTRACT - COST CENTRE'!$2:$2,0)),0)</f>
        <v>0</v>
      </c>
      <c r="V23" s="13">
        <f>IFERROR(INDEX('TRANS EMP EXTRACT - COST CENTRE'!$A$1:$Z$455,MATCH('Summary - Monthly'!$A23,'TRANS EMP EXTRACT - COST CENTRE'!$A:$A,0),MATCH('Summary - Monthly'!V$3,'TRANS EMP EXTRACT - COST CENTRE'!$2:$2,0)),0)</f>
        <v>7.6</v>
      </c>
      <c r="W23" s="13">
        <f>IFERROR(INDEX('TRANS EMP EXTRACT - COST CENTRE'!$A$1:$Z$455,MATCH('Summary - Monthly'!$A23,'TRANS EMP EXTRACT - COST CENTRE'!$A:$A,0),MATCH('Summary - Monthly'!W$3,'TRANS EMP EXTRACT - COST CENTRE'!$2:$2,0)),0)</f>
        <v>0</v>
      </c>
      <c r="X23" s="13">
        <f>IFERROR(INDEX('TRANS EMP EXTRACT - COST CENTRE'!$A$1:$Z$455,MATCH('Summary - Monthly'!$A23,'TRANS EMP EXTRACT - COST CENTRE'!$A:$A,0),MATCH('Summary - Monthly'!X$3,'TRANS EMP EXTRACT - COST CENTRE'!$2:$2,0)),0)</f>
        <v>0</v>
      </c>
      <c r="Y23" s="13">
        <f>IFERROR(INDEX('TRANS EMP EXTRACT - COST CENTRE'!$A$1:$Z$455,MATCH('Summary - Monthly'!$A23,'TRANS EMP EXTRACT - COST CENTRE'!$A:$A,0),MATCH('Summary - Monthly'!Y$3,'TRANS EMP EXTRACT - COST CENTRE'!$2:$2,0)),0)</f>
        <v>0</v>
      </c>
      <c r="Z23" s="10">
        <f>IFERROR(INDEX('TRANS EMP EXTRACT - COST CENTRE'!$A$1:$Z$455,MATCH('Summary - Monthly'!$A23,'TRANS EMP EXTRACT - COST CENTRE'!$A:$A,0),MATCH('Summary - Monthly'!Z$3,'TRANS EMP EXTRACT - COST CENTRE'!$2:$2,0)),0)</f>
        <v>0</v>
      </c>
      <c r="AA23" s="10">
        <f>IFERROR(INDEX('TRANS EMP EXTRACT - COST CENTRE'!$A$1:$Z$455,MATCH('Summary - Monthly'!$A23,'TRANS EMP EXTRACT - COST CENTRE'!$A:$A,0),MATCH('Summary - Monthly'!AA$3,'TRANS EMP EXTRACT - COST CENTRE'!$2:$2,0)),0)</f>
        <v>0</v>
      </c>
      <c r="AB23" s="10">
        <f>IFERROR(INDEX('TRANS EMP EXTRACT - COST CENTRE'!$A$1:$Z$455,MATCH('Summary - Monthly'!$A23,'TRANS EMP EXTRACT - COST CENTRE'!$A:$A,0),MATCH('Summary - Monthly'!AB$3,'TRANS EMP EXTRACT - COST CENTRE'!$2:$2,0)),0)</f>
        <v>0</v>
      </c>
      <c r="AC23" s="8">
        <f>IFERROR(INDEX('TRANS EMP EXTRACT - COST CENTRE'!$A$1:$Z$455,MATCH('Summary - Monthly'!$A23,'TRANS EMP EXTRACT - COST CENTRE'!$A:$A,0),MATCH('Summary - Monthly'!AC$3,'TRANS EMP EXTRACT - COST CENTRE'!$2:$2,0)),0)</f>
        <v>0</v>
      </c>
      <c r="AD23" s="13">
        <f>IFERROR(INDEX('TRANS EMP EXTRACT - COST CENTRE'!$A$1:$Z$455,MATCH('Summary - Monthly'!$A23,'TRANS EMP EXTRACT - COST CENTRE'!$A:$A,0),MATCH('Summary - Monthly'!AD$3,'TRANS EMP EXTRACT - COST CENTRE'!$2:$2,0)),0)</f>
        <v>0</v>
      </c>
      <c r="AE23" s="13">
        <f>IFERROR(INDEX('TRANS EMP EXTRACT - COST CENTRE'!$A$1:$Z$455,MATCH('Summary - Monthly'!$A23,'TRANS EMP EXTRACT - COST CENTRE'!$A:$A,0),MATCH('Summary - Monthly'!AE$3,'TRANS EMP EXTRACT - COST CENTRE'!$2:$2,0)),0)</f>
        <v>0</v>
      </c>
      <c r="AF23" s="13">
        <f>IFERROR(INDEX('TRANS EMP EXTRACT - COST CENTRE'!$A$1:$Z$455,MATCH('Summary - Monthly'!$A23,'TRANS EMP EXTRACT - COST CENTRE'!$A:$A,0),MATCH('Summary - Monthly'!AF$3,'TRANS EMP EXTRACT - COST CENTRE'!$2:$2,0)),0)</f>
        <v>0</v>
      </c>
      <c r="AG23" s="10">
        <f>IFERROR(INDEX('TRANS EMP EXTRACT - COST CENTRE'!$A$1:$Z$455,MATCH('Summary - Monthly'!$A23,'TRANS EMP EXTRACT - COST CENTRE'!$A:$A,0),MATCH('Summary - Monthly'!AG$3,'TRANS EMP EXTRACT - COST CENTRE'!$2:$2,0)),0)</f>
        <v>0</v>
      </c>
      <c r="AH23" s="10">
        <f>IFERROR(INDEX('TRANS EMP EXTRACT - COST CENTRE'!$A$1:$Z$455,MATCH('Summary - Monthly'!$A23,'TRANS EMP EXTRACT - COST CENTRE'!$A:$A,0),MATCH('Summary - Monthly'!AH$3,'TRANS EMP EXTRACT - COST CENTRE'!$2:$2,0)),0)</f>
        <v>0</v>
      </c>
      <c r="AI23" s="10">
        <f>IFERROR(INDEX('TRANS EMP EXTRACT - COST CENTRE'!$A$1:$Z$455,MATCH('Summary - Monthly'!$A23,'TRANS EMP EXTRACT - COST CENTRE'!$A:$A,0),MATCH('Summary - Monthly'!AI$3,'TRANS EMP EXTRACT - COST CENTRE'!$2:$2,0)),0)</f>
        <v>0</v>
      </c>
      <c r="AJ23" s="10">
        <f>IFERROR(INDEX('TRANS EMP EXTRACT - COST CENTRE'!$A$1:$Z$455,MATCH('Summary - Monthly'!$A23,'TRANS EMP EXTRACT - COST CENTRE'!$A:$A,0),MATCH('Summary - Monthly'!AJ$3,'TRANS EMP EXTRACT - COST CENTRE'!$2:$2,0)),0)</f>
        <v>0</v>
      </c>
      <c r="AK23" s="10">
        <f>IFERROR(INDEX('TRANS EMP EXTRACT - COST CENTRE'!$A$1:$Z$455,MATCH('Summary - Monthly'!$A23,'TRANS EMP EXTRACT - COST CENTRE'!$A:$A,0),MATCH('Summary - Monthly'!AK$3,'TRANS EMP EXTRACT - COST CENTRE'!$2:$2,0)),0)</f>
        <v>0</v>
      </c>
      <c r="AL23" s="10">
        <f>IFERROR(INDEX('TRANS EMP EXTRACT - COST CENTRE'!$A$1:$Z$455,MATCH('Summary - Monthly'!$A23,'TRANS EMP EXTRACT - COST CENTRE'!$A:$A,0),MATCH('Summary - Monthly'!AL$3,'TRANS EMP EXTRACT - COST CENTRE'!$2:$2,0)),0)</f>
        <v>0</v>
      </c>
      <c r="AM23" s="10">
        <f t="shared" si="9"/>
        <v>152</v>
      </c>
      <c r="AN23" s="14">
        <f t="shared" si="2"/>
        <v>0</v>
      </c>
      <c r="AO23" s="18">
        <f t="shared" si="5"/>
        <v>1</v>
      </c>
      <c r="AP23" s="18">
        <f t="shared" si="6"/>
        <v>0.95000000000000007</v>
      </c>
      <c r="AQ23" s="10" t="str">
        <f>IFERROR(VLOOKUP(B23,Departments!A:C,3,FALSE),"")</f>
        <v>G&amp;A</v>
      </c>
      <c r="AR23" s="10" t="str">
        <f>IFERROR(VLOOKUP(B23,Departments!A:B,2,FALSE),"")</f>
        <v>Finance</v>
      </c>
      <c r="AS23" s="10">
        <f t="shared" si="7"/>
        <v>7.6</v>
      </c>
      <c r="AT23" s="10">
        <f t="shared" si="8"/>
        <v>7.6</v>
      </c>
      <c r="AU23" s="10" t="str">
        <f>_xlfn.IFNA(VLOOKUP(B23,Departments!A:D,4,FALSE),"")</f>
        <v>G&amp;A</v>
      </c>
    </row>
    <row r="24" spans="1:47" ht="14.45" customHeight="1">
      <c r="A24" s="11" t="str">
        <f t="shared" si="3"/>
        <v>1202040018619</v>
      </c>
      <c r="B24" s="11">
        <f>'TRANS EMP EXTRACT - COST CENTRE'!B23</f>
        <v>12020400</v>
      </c>
      <c r="C24" s="10" t="str">
        <f>IFERROR(VLOOKUP(E24,'TRANS EMP EXTRACT - EMP CATEGOR'!A:B,2,FALSE),"")</f>
        <v>FT</v>
      </c>
      <c r="D24" s="10" t="str">
        <f>IFERROR(VLOOKUP(E24,'TRANS EMP EXTRACT - EMP CATEGOR'!A:C,3,FALSE),"")</f>
        <v>Fulltime</v>
      </c>
      <c r="E24" s="11">
        <f>'TRANS EMP EXTRACT - COST CENTRE'!D23</f>
        <v>18619</v>
      </c>
      <c r="F24" s="10" t="str">
        <f>IFERROR(VLOOKUP(E24,'TRANS EMP EXTRACT - COST CENTRE'!D:E,2,FALSE),"")</f>
        <v>CHANDRA  SHARON MRS</v>
      </c>
      <c r="G24" s="12">
        <f>IFERROR(INDEX('TRANS EMP EXTRACT - COST CENTRE'!$A$1:$Z$455,MATCH('Summary - Monthly'!$A24,'TRANS EMP EXTRACT - COST CENTRE'!$A:$A,0),MATCH('Summary - Monthly'!G$3,'TRANS EMP EXTRACT - COST CENTRE'!$2:$2,0)),"")</f>
        <v>41715</v>
      </c>
      <c r="H24" s="10" t="str">
        <f>IFERROR(INDEX('TRANS EMP EXTRACT - COST CENTRE'!$B$1:$Z$455,MATCH('Summary - Monthly'!$E24,'TRANS EMP EXTRACT - COST CENTRE'!$D:$D,0),MATCH('Summary - Monthly'!H$3,'TRANS EMP EXTRACT - COST CENTRE'!$2:$2,0)),"")</f>
        <v>RT</v>
      </c>
      <c r="I24" s="12" t="str">
        <f>IFERROR(INDEX('TRANS EMP EXTRACT - EMP CATEGOR'!$B$1:$AF$421,MATCH('Summary - Monthly'!$E24,'TRANS EMP EXTRACT - EMP CATEGOR'!$D:$D,0),MATCH('Summary - Monthly'!H$3,'TRANS EMP EXTRACT - EMP CATEGOR'!$2:$2,0)),"")</f>
        <v>RT</v>
      </c>
      <c r="J24" s="41">
        <f t="shared" ca="1" si="0"/>
        <v>233.23230000000001</v>
      </c>
      <c r="K24" s="41">
        <f t="shared" ca="1" si="1"/>
        <v>106.3656</v>
      </c>
      <c r="L24" s="10">
        <f>IFERROR(INDEX('TRANS EMP EXTRACT - COST CENTRE'!$A$1:$Z$455,MATCH('Summary - Monthly'!$A24,'TRANS EMP EXTRACT - COST CENTRE'!$A:$A,0),MATCH('Summary - Monthly'!L$3,'TRANS EMP EXTRACT - COST CENTRE'!$2:$2,0)),"")</f>
        <v>144.4</v>
      </c>
      <c r="M24" s="10">
        <f>IFERROR(INDEX('TRANS EMP EXTRACT - COST CENTRE'!$A$1:$Z$455,MATCH('Summary - Monthly'!$A24,'TRANS EMP EXTRACT - COST CENTRE'!$A:$A,0),MATCH('Summary - Monthly'!M$3,'TRANS EMP EXTRACT - COST CENTRE'!$2:$2,0)),0)</f>
        <v>0</v>
      </c>
      <c r="N24" s="10">
        <f>IFERROR(INDEX('TRANS EMP EXTRACT - COST CENTRE'!$A$1:$Z$455,MATCH('Summary - Monthly'!$A24,'TRANS EMP EXTRACT - COST CENTRE'!$A:$A,0),MATCH('Summary - Monthly'!N$3,'TRANS EMP EXTRACT - COST CENTRE'!$2:$2,0)),0)</f>
        <v>0</v>
      </c>
      <c r="O24" s="10">
        <f>IFERROR(INDEX('TRANS EMP EXTRACT - COST CENTRE'!$A$1:$Z$455,MATCH('Summary - Monthly'!$A24,'TRANS EMP EXTRACT - COST CENTRE'!$A:$A,0),MATCH('Summary - Monthly'!O$3,'TRANS EMP EXTRACT - COST CENTRE'!$2:$2,0)),0)</f>
        <v>0</v>
      </c>
      <c r="P24" s="10">
        <f>IFERROR(INDEX('TRANS EMP EXTRACT - COST CENTRE'!$A$1:$Z$455,MATCH('Summary - Monthly'!$A24,'TRANS EMP EXTRACT - COST CENTRE'!$A:$A,0),MATCH('Summary - Monthly'!P$3,'TRANS EMP EXTRACT - COST CENTRE'!$2:$2,0)),0)</f>
        <v>0</v>
      </c>
      <c r="Q24" s="10">
        <f>IFERROR(INDEX('TRANS EMP EXTRACT - COST CENTRE'!$A$1:$Z$455,MATCH('Summary - Monthly'!$A24,'TRANS EMP EXTRACT - COST CENTRE'!$A:$A,0),MATCH('Summary - Monthly'!Q$3,'TRANS EMP EXTRACT - COST CENTRE'!$2:$2,0)),0)</f>
        <v>0</v>
      </c>
      <c r="R24" s="10">
        <f>IFERROR(INDEX('TRANS EMP EXTRACT - COST CENTRE'!$A$1:$Z$455,MATCH('Summary - Monthly'!$A24,'TRANS EMP EXTRACT - COST CENTRE'!$A:$A,0),MATCH('Summary - Monthly'!R$3,'TRANS EMP EXTRACT - COST CENTRE'!$2:$2,0)),0)</f>
        <v>0</v>
      </c>
      <c r="S24" s="10">
        <f>IFERROR(INDEX('TRANS EMP EXTRACT - COST CENTRE'!$A$1:$Z$455,MATCH('Summary - Monthly'!$A24,'TRANS EMP EXTRACT - COST CENTRE'!$A:$A,0),MATCH('Summary - Monthly'!S$3,'TRANS EMP EXTRACT - COST CENTRE'!$2:$2,0)),0)</f>
        <v>0</v>
      </c>
      <c r="T24" s="8">
        <f>IFERROR(INDEX('TRANS EMP EXTRACT - COST CENTRE'!$A$1:$Z$455,MATCH('Summary - Monthly'!$A24,'TRANS EMP EXTRACT - COST CENTRE'!$A:$A,0),MATCH('Summary - Monthly'!T$3,'TRANS EMP EXTRACT - COST CENTRE'!$2:$2,0)),0)</f>
        <v>0</v>
      </c>
      <c r="U24" s="13">
        <f>IFERROR(INDEX('TRANS EMP EXTRACT - COST CENTRE'!$A$1:$Z$455,MATCH('Summary - Monthly'!$A24,'TRANS EMP EXTRACT - COST CENTRE'!$A:$A,0),MATCH('Summary - Monthly'!U$3,'TRANS EMP EXTRACT - COST CENTRE'!$2:$2,0)),0)</f>
        <v>0</v>
      </c>
      <c r="V24" s="13">
        <f>IFERROR(INDEX('TRANS EMP EXTRACT - COST CENTRE'!$A$1:$Z$455,MATCH('Summary - Monthly'!$A24,'TRANS EMP EXTRACT - COST CENTRE'!$A:$A,0),MATCH('Summary - Monthly'!V$3,'TRANS EMP EXTRACT - COST CENTRE'!$2:$2,0)),0)</f>
        <v>7.6</v>
      </c>
      <c r="W24" s="13">
        <f>IFERROR(INDEX('TRANS EMP EXTRACT - COST CENTRE'!$A$1:$Z$455,MATCH('Summary - Monthly'!$A24,'TRANS EMP EXTRACT - COST CENTRE'!$A:$A,0),MATCH('Summary - Monthly'!W$3,'TRANS EMP EXTRACT - COST CENTRE'!$2:$2,0)),0)</f>
        <v>0</v>
      </c>
      <c r="X24" s="13">
        <f>IFERROR(INDEX('TRANS EMP EXTRACT - COST CENTRE'!$A$1:$Z$455,MATCH('Summary - Monthly'!$A24,'TRANS EMP EXTRACT - COST CENTRE'!$A:$A,0),MATCH('Summary - Monthly'!X$3,'TRANS EMP EXTRACT - COST CENTRE'!$2:$2,0)),0)</f>
        <v>0</v>
      </c>
      <c r="Y24" s="13">
        <f>IFERROR(INDEX('TRANS EMP EXTRACT - COST CENTRE'!$A$1:$Z$455,MATCH('Summary - Monthly'!$A24,'TRANS EMP EXTRACT - COST CENTRE'!$A:$A,0),MATCH('Summary - Monthly'!Y$3,'TRANS EMP EXTRACT - COST CENTRE'!$2:$2,0)),0)</f>
        <v>0</v>
      </c>
      <c r="Z24" s="10">
        <f>IFERROR(INDEX('TRANS EMP EXTRACT - COST CENTRE'!$A$1:$Z$455,MATCH('Summary - Monthly'!$A24,'TRANS EMP EXTRACT - COST CENTRE'!$A:$A,0),MATCH('Summary - Monthly'!Z$3,'TRANS EMP EXTRACT - COST CENTRE'!$2:$2,0)),0)</f>
        <v>0</v>
      </c>
      <c r="AA24" s="10">
        <f>IFERROR(INDEX('TRANS EMP EXTRACT - COST CENTRE'!$A$1:$Z$455,MATCH('Summary - Monthly'!$A24,'TRANS EMP EXTRACT - COST CENTRE'!$A:$A,0),MATCH('Summary - Monthly'!AA$3,'TRANS EMP EXTRACT - COST CENTRE'!$2:$2,0)),0)</f>
        <v>0</v>
      </c>
      <c r="AB24" s="10">
        <f>IFERROR(INDEX('TRANS EMP EXTRACT - COST CENTRE'!$A$1:$Z$455,MATCH('Summary - Monthly'!$A24,'TRANS EMP EXTRACT - COST CENTRE'!$A:$A,0),MATCH('Summary - Monthly'!AB$3,'TRANS EMP EXTRACT - COST CENTRE'!$2:$2,0)),0)</f>
        <v>0</v>
      </c>
      <c r="AC24" s="8">
        <f>IFERROR(INDEX('TRANS EMP EXTRACT - COST CENTRE'!$A$1:$Z$455,MATCH('Summary - Monthly'!$A24,'TRANS EMP EXTRACT - COST CENTRE'!$A:$A,0),MATCH('Summary - Monthly'!AC$3,'TRANS EMP EXTRACT - COST CENTRE'!$2:$2,0)),0)</f>
        <v>0</v>
      </c>
      <c r="AD24" s="13">
        <f>IFERROR(INDEX('TRANS EMP EXTRACT - COST CENTRE'!$A$1:$Z$455,MATCH('Summary - Monthly'!$A24,'TRANS EMP EXTRACT - COST CENTRE'!$A:$A,0),MATCH('Summary - Monthly'!AD$3,'TRANS EMP EXTRACT - COST CENTRE'!$2:$2,0)),0)</f>
        <v>0</v>
      </c>
      <c r="AE24" s="13">
        <f>IFERROR(INDEX('TRANS EMP EXTRACT - COST CENTRE'!$A$1:$Z$455,MATCH('Summary - Monthly'!$A24,'TRANS EMP EXTRACT - COST CENTRE'!$A:$A,0),MATCH('Summary - Monthly'!AE$3,'TRANS EMP EXTRACT - COST CENTRE'!$2:$2,0)),0)</f>
        <v>0</v>
      </c>
      <c r="AF24" s="13">
        <f>IFERROR(INDEX('TRANS EMP EXTRACT - COST CENTRE'!$A$1:$Z$455,MATCH('Summary - Monthly'!$A24,'TRANS EMP EXTRACT - COST CENTRE'!$A:$A,0),MATCH('Summary - Monthly'!AF$3,'TRANS EMP EXTRACT - COST CENTRE'!$2:$2,0)),0)</f>
        <v>0</v>
      </c>
      <c r="AG24" s="10">
        <f>IFERROR(INDEX('TRANS EMP EXTRACT - COST CENTRE'!$A$1:$Z$455,MATCH('Summary - Monthly'!$A24,'TRANS EMP EXTRACT - COST CENTRE'!$A:$A,0),MATCH('Summary - Monthly'!AG$3,'TRANS EMP EXTRACT - COST CENTRE'!$2:$2,0)),0)</f>
        <v>0</v>
      </c>
      <c r="AH24" s="10">
        <f>IFERROR(INDEX('TRANS EMP EXTRACT - COST CENTRE'!$A$1:$Z$455,MATCH('Summary - Monthly'!$A24,'TRANS EMP EXTRACT - COST CENTRE'!$A:$A,0),MATCH('Summary - Monthly'!AH$3,'TRANS EMP EXTRACT - COST CENTRE'!$2:$2,0)),0)</f>
        <v>0</v>
      </c>
      <c r="AI24" s="10">
        <f>IFERROR(INDEX('TRANS EMP EXTRACT - COST CENTRE'!$A$1:$Z$455,MATCH('Summary - Monthly'!$A24,'TRANS EMP EXTRACT - COST CENTRE'!$A:$A,0),MATCH('Summary - Monthly'!AI$3,'TRANS EMP EXTRACT - COST CENTRE'!$2:$2,0)),0)</f>
        <v>0</v>
      </c>
      <c r="AJ24" s="10">
        <f>IFERROR(INDEX('TRANS EMP EXTRACT - COST CENTRE'!$A$1:$Z$455,MATCH('Summary - Monthly'!$A24,'TRANS EMP EXTRACT - COST CENTRE'!$A:$A,0),MATCH('Summary - Monthly'!AJ$3,'TRANS EMP EXTRACT - COST CENTRE'!$2:$2,0)),0)</f>
        <v>0</v>
      </c>
      <c r="AK24" s="10">
        <f>IFERROR(INDEX('TRANS EMP EXTRACT - COST CENTRE'!$A$1:$Z$455,MATCH('Summary - Monthly'!$A24,'TRANS EMP EXTRACT - COST CENTRE'!$A:$A,0),MATCH('Summary - Monthly'!AK$3,'TRANS EMP EXTRACT - COST CENTRE'!$2:$2,0)),0)</f>
        <v>0</v>
      </c>
      <c r="AL24" s="10">
        <f>IFERROR(INDEX('TRANS EMP EXTRACT - COST CENTRE'!$A$1:$Z$455,MATCH('Summary - Monthly'!$A24,'TRANS EMP EXTRACT - COST CENTRE'!$A:$A,0),MATCH('Summary - Monthly'!AL$3,'TRANS EMP EXTRACT - COST CENTRE'!$2:$2,0)),0)</f>
        <v>0</v>
      </c>
      <c r="AM24" s="10">
        <f t="shared" si="9"/>
        <v>152</v>
      </c>
      <c r="AN24" s="14">
        <f t="shared" si="2"/>
        <v>0</v>
      </c>
      <c r="AO24" s="18">
        <f t="shared" si="5"/>
        <v>1</v>
      </c>
      <c r="AP24" s="18">
        <f t="shared" si="6"/>
        <v>0.95000000000000007</v>
      </c>
      <c r="AQ24" s="10" t="str">
        <f>IFERROR(VLOOKUP(B24,Departments!A:C,3,FALSE),"")</f>
        <v>Customer Care</v>
      </c>
      <c r="AR24" s="10" t="str">
        <f>IFERROR(VLOOKUP(B24,Departments!A:B,2,FALSE),"")</f>
        <v>Sydney Customer Care</v>
      </c>
      <c r="AS24" s="10">
        <f t="shared" si="7"/>
        <v>7.6</v>
      </c>
      <c r="AT24" s="10">
        <f t="shared" si="8"/>
        <v>7.6</v>
      </c>
      <c r="AU24" s="10" t="str">
        <f>_xlfn.IFNA(VLOOKUP(B24,Departments!A:D,4,FALSE),"")</f>
        <v>Sydney Customer Care</v>
      </c>
    </row>
    <row r="25" spans="1:47" ht="14.45" customHeight="1">
      <c r="A25" s="11" t="str">
        <f t="shared" si="3"/>
        <v>1201859918862</v>
      </c>
      <c r="B25" s="11">
        <f>'TRANS EMP EXTRACT - COST CENTRE'!B24</f>
        <v>12018599</v>
      </c>
      <c r="C25" s="10" t="str">
        <f>IFERROR(VLOOKUP(E25,'TRANS EMP EXTRACT - EMP CATEGOR'!A:B,2,FALSE),"")</f>
        <v>FT</v>
      </c>
      <c r="D25" s="10" t="str">
        <f>IFERROR(VLOOKUP(E25,'TRANS EMP EXTRACT - EMP CATEGOR'!A:C,3,FALSE),"")</f>
        <v>Fulltime</v>
      </c>
      <c r="E25" s="11">
        <f>'TRANS EMP EXTRACT - COST CENTRE'!D24</f>
        <v>18862</v>
      </c>
      <c r="F25" s="10" t="str">
        <f>IFERROR(VLOOKUP(E25,'TRANS EMP EXTRACT - COST CENTRE'!D:E,2,FALSE),"")</f>
        <v>CHARLTON  STEPHANIE MISS</v>
      </c>
      <c r="G25" s="12">
        <f>IFERROR(INDEX('TRANS EMP EXTRACT - COST CENTRE'!$A$1:$Z$455,MATCH('Summary - Monthly'!$A25,'TRANS EMP EXTRACT - COST CENTRE'!$A:$A,0),MATCH('Summary - Monthly'!G$3,'TRANS EMP EXTRACT - COST CENTRE'!$2:$2,0)),"")</f>
        <v>43495</v>
      </c>
      <c r="H25" s="10" t="str">
        <f>IFERROR(INDEX('TRANS EMP EXTRACT - COST CENTRE'!$B$1:$Z$455,MATCH('Summary - Monthly'!$E25,'TRANS EMP EXTRACT - COST CENTRE'!$D:$D,0),MATCH('Summary - Monthly'!H$3,'TRANS EMP EXTRACT - COST CENTRE'!$2:$2,0)),"")</f>
        <v>RT</v>
      </c>
      <c r="I25" s="12" t="str">
        <f>IFERROR(INDEX('TRANS EMP EXTRACT - EMP CATEGOR'!$B$1:$AF$421,MATCH('Summary - Monthly'!$E25,'TRANS EMP EXTRACT - EMP CATEGOR'!$D:$D,0),MATCH('Summary - Monthly'!H$3,'TRANS EMP EXTRACT - EMP CATEGOR'!$2:$2,0)),"")</f>
        <v>RT</v>
      </c>
      <c r="J25" s="41">
        <f t="shared" ca="1" si="0"/>
        <v>95.861099999999993</v>
      </c>
      <c r="K25" s="41">
        <f t="shared" ca="1" si="1"/>
        <v>188.14240000000001</v>
      </c>
      <c r="L25" s="10">
        <f>IFERROR(INDEX('TRANS EMP EXTRACT - COST CENTRE'!$A$1:$Z$455,MATCH('Summary - Monthly'!$A25,'TRANS EMP EXTRACT - COST CENTRE'!$A:$A,0),MATCH('Summary - Monthly'!L$3,'TRANS EMP EXTRACT - COST CENTRE'!$2:$2,0)),"")</f>
        <v>152</v>
      </c>
      <c r="M25" s="10">
        <f>IFERROR(INDEX('TRANS EMP EXTRACT - COST CENTRE'!$A$1:$Z$455,MATCH('Summary - Monthly'!$A25,'TRANS EMP EXTRACT - COST CENTRE'!$A:$A,0),MATCH('Summary - Monthly'!M$3,'TRANS EMP EXTRACT - COST CENTRE'!$2:$2,0)),0)</f>
        <v>0</v>
      </c>
      <c r="N25" s="10">
        <f>IFERROR(INDEX('TRANS EMP EXTRACT - COST CENTRE'!$A$1:$Z$455,MATCH('Summary - Monthly'!$A25,'TRANS EMP EXTRACT - COST CENTRE'!$A:$A,0),MATCH('Summary - Monthly'!N$3,'TRANS EMP EXTRACT - COST CENTRE'!$2:$2,0)),0)</f>
        <v>0</v>
      </c>
      <c r="O25" s="10">
        <f>IFERROR(INDEX('TRANS EMP EXTRACT - COST CENTRE'!$A$1:$Z$455,MATCH('Summary - Monthly'!$A25,'TRANS EMP EXTRACT - COST CENTRE'!$A:$A,0),MATCH('Summary - Monthly'!O$3,'TRANS EMP EXTRACT - COST CENTRE'!$2:$2,0)),0)</f>
        <v>0</v>
      </c>
      <c r="P25" s="10">
        <f>IFERROR(INDEX('TRANS EMP EXTRACT - COST CENTRE'!$A$1:$Z$455,MATCH('Summary - Monthly'!$A25,'TRANS EMP EXTRACT - COST CENTRE'!$A:$A,0),MATCH('Summary - Monthly'!P$3,'TRANS EMP EXTRACT - COST CENTRE'!$2:$2,0)),0)</f>
        <v>0</v>
      </c>
      <c r="Q25" s="10">
        <f>IFERROR(INDEX('TRANS EMP EXTRACT - COST CENTRE'!$A$1:$Z$455,MATCH('Summary - Monthly'!$A25,'TRANS EMP EXTRACT - COST CENTRE'!$A:$A,0),MATCH('Summary - Monthly'!Q$3,'TRANS EMP EXTRACT - COST CENTRE'!$2:$2,0)),0)</f>
        <v>0</v>
      </c>
      <c r="R25" s="10">
        <f>IFERROR(INDEX('TRANS EMP EXTRACT - COST CENTRE'!$A$1:$Z$455,MATCH('Summary - Monthly'!$A25,'TRANS EMP EXTRACT - COST CENTRE'!$A:$A,0),MATCH('Summary - Monthly'!R$3,'TRANS EMP EXTRACT - COST CENTRE'!$2:$2,0)),0)</f>
        <v>0</v>
      </c>
      <c r="S25" s="10">
        <f>IFERROR(INDEX('TRANS EMP EXTRACT - COST CENTRE'!$A$1:$Z$455,MATCH('Summary - Monthly'!$A25,'TRANS EMP EXTRACT - COST CENTRE'!$A:$A,0),MATCH('Summary - Monthly'!S$3,'TRANS EMP EXTRACT - COST CENTRE'!$2:$2,0)),0)</f>
        <v>0</v>
      </c>
      <c r="T25" s="8">
        <f>IFERROR(INDEX('TRANS EMP EXTRACT - COST CENTRE'!$A$1:$Z$455,MATCH('Summary - Monthly'!$A25,'TRANS EMP EXTRACT - COST CENTRE'!$A:$A,0),MATCH('Summary - Monthly'!T$3,'TRANS EMP EXTRACT - COST CENTRE'!$2:$2,0)),0)</f>
        <v>0</v>
      </c>
      <c r="U25" s="13">
        <f>IFERROR(INDEX('TRANS EMP EXTRACT - COST CENTRE'!$A$1:$Z$455,MATCH('Summary - Monthly'!$A25,'TRANS EMP EXTRACT - COST CENTRE'!$A:$A,0),MATCH('Summary - Monthly'!U$3,'TRANS EMP EXTRACT - COST CENTRE'!$2:$2,0)),0)</f>
        <v>0</v>
      </c>
      <c r="V25" s="13">
        <f>IFERROR(INDEX('TRANS EMP EXTRACT - COST CENTRE'!$A$1:$Z$455,MATCH('Summary - Monthly'!$A25,'TRANS EMP EXTRACT - COST CENTRE'!$A:$A,0),MATCH('Summary - Monthly'!V$3,'TRANS EMP EXTRACT - COST CENTRE'!$2:$2,0)),0)</f>
        <v>0</v>
      </c>
      <c r="W25" s="13">
        <f>IFERROR(INDEX('TRANS EMP EXTRACT - COST CENTRE'!$A$1:$Z$455,MATCH('Summary - Monthly'!$A25,'TRANS EMP EXTRACT - COST CENTRE'!$A:$A,0),MATCH('Summary - Monthly'!W$3,'TRANS EMP EXTRACT - COST CENTRE'!$2:$2,0)),0)</f>
        <v>0</v>
      </c>
      <c r="X25" s="13">
        <f>IFERROR(INDEX('TRANS EMP EXTRACT - COST CENTRE'!$A$1:$Z$455,MATCH('Summary - Monthly'!$A25,'TRANS EMP EXTRACT - COST CENTRE'!$A:$A,0),MATCH('Summary - Monthly'!X$3,'TRANS EMP EXTRACT - COST CENTRE'!$2:$2,0)),0)</f>
        <v>0</v>
      </c>
      <c r="Y25" s="13">
        <f>IFERROR(INDEX('TRANS EMP EXTRACT - COST CENTRE'!$A$1:$Z$455,MATCH('Summary - Monthly'!$A25,'TRANS EMP EXTRACT - COST CENTRE'!$A:$A,0),MATCH('Summary - Monthly'!Y$3,'TRANS EMP EXTRACT - COST CENTRE'!$2:$2,0)),0)</f>
        <v>0</v>
      </c>
      <c r="Z25" s="10">
        <f>IFERROR(INDEX('TRANS EMP EXTRACT - COST CENTRE'!$A$1:$Z$455,MATCH('Summary - Monthly'!$A25,'TRANS EMP EXTRACT - COST CENTRE'!$A:$A,0),MATCH('Summary - Monthly'!Z$3,'TRANS EMP EXTRACT - COST CENTRE'!$2:$2,0)),0)</f>
        <v>0</v>
      </c>
      <c r="AA25" s="10">
        <f>IFERROR(INDEX('TRANS EMP EXTRACT - COST CENTRE'!$A$1:$Z$455,MATCH('Summary - Monthly'!$A25,'TRANS EMP EXTRACT - COST CENTRE'!$A:$A,0),MATCH('Summary - Monthly'!AA$3,'TRANS EMP EXTRACT - COST CENTRE'!$2:$2,0)),0)</f>
        <v>0</v>
      </c>
      <c r="AB25" s="10">
        <f>IFERROR(INDEX('TRANS EMP EXTRACT - COST CENTRE'!$A$1:$Z$455,MATCH('Summary - Monthly'!$A25,'TRANS EMP EXTRACT - COST CENTRE'!$A:$A,0),MATCH('Summary - Monthly'!AB$3,'TRANS EMP EXTRACT - COST CENTRE'!$2:$2,0)),0)</f>
        <v>0</v>
      </c>
      <c r="AC25" s="8">
        <f>IFERROR(INDEX('TRANS EMP EXTRACT - COST CENTRE'!$A$1:$Z$455,MATCH('Summary - Monthly'!$A25,'TRANS EMP EXTRACT - COST CENTRE'!$A:$A,0),MATCH('Summary - Monthly'!AC$3,'TRANS EMP EXTRACT - COST CENTRE'!$2:$2,0)),0)</f>
        <v>0</v>
      </c>
      <c r="AD25" s="13">
        <f>IFERROR(INDEX('TRANS EMP EXTRACT - COST CENTRE'!$A$1:$Z$455,MATCH('Summary - Monthly'!$A25,'TRANS EMP EXTRACT - COST CENTRE'!$A:$A,0),MATCH('Summary - Monthly'!AD$3,'TRANS EMP EXTRACT - COST CENTRE'!$2:$2,0)),0)</f>
        <v>0</v>
      </c>
      <c r="AE25" s="13">
        <f>IFERROR(INDEX('TRANS EMP EXTRACT - COST CENTRE'!$A$1:$Z$455,MATCH('Summary - Monthly'!$A25,'TRANS EMP EXTRACT - COST CENTRE'!$A:$A,0),MATCH('Summary - Monthly'!AE$3,'TRANS EMP EXTRACT - COST CENTRE'!$2:$2,0)),0)</f>
        <v>0</v>
      </c>
      <c r="AF25" s="13">
        <f>IFERROR(INDEX('TRANS EMP EXTRACT - COST CENTRE'!$A$1:$Z$455,MATCH('Summary - Monthly'!$A25,'TRANS EMP EXTRACT - COST CENTRE'!$A:$A,0),MATCH('Summary - Monthly'!AF$3,'TRANS EMP EXTRACT - COST CENTRE'!$2:$2,0)),0)</f>
        <v>0</v>
      </c>
      <c r="AG25" s="10">
        <f>IFERROR(INDEX('TRANS EMP EXTRACT - COST CENTRE'!$A$1:$Z$455,MATCH('Summary - Monthly'!$A25,'TRANS EMP EXTRACT - COST CENTRE'!$A:$A,0),MATCH('Summary - Monthly'!AG$3,'TRANS EMP EXTRACT - COST CENTRE'!$2:$2,0)),0)</f>
        <v>0</v>
      </c>
      <c r="AH25" s="10">
        <f>IFERROR(INDEX('TRANS EMP EXTRACT - COST CENTRE'!$A$1:$Z$455,MATCH('Summary - Monthly'!$A25,'TRANS EMP EXTRACT - COST CENTRE'!$A:$A,0),MATCH('Summary - Monthly'!AH$3,'TRANS EMP EXTRACT - COST CENTRE'!$2:$2,0)),0)</f>
        <v>0</v>
      </c>
      <c r="AI25" s="10">
        <f>IFERROR(INDEX('TRANS EMP EXTRACT - COST CENTRE'!$A$1:$Z$455,MATCH('Summary - Monthly'!$A25,'TRANS EMP EXTRACT - COST CENTRE'!$A:$A,0),MATCH('Summary - Monthly'!AI$3,'TRANS EMP EXTRACT - COST CENTRE'!$2:$2,0)),0)</f>
        <v>0</v>
      </c>
      <c r="AJ25" s="10">
        <f>IFERROR(INDEX('TRANS EMP EXTRACT - COST CENTRE'!$A$1:$Z$455,MATCH('Summary - Monthly'!$A25,'TRANS EMP EXTRACT - COST CENTRE'!$A:$A,0),MATCH('Summary - Monthly'!AJ$3,'TRANS EMP EXTRACT - COST CENTRE'!$2:$2,0)),0)</f>
        <v>0</v>
      </c>
      <c r="AK25" s="10">
        <f>IFERROR(INDEX('TRANS EMP EXTRACT - COST CENTRE'!$A$1:$Z$455,MATCH('Summary - Monthly'!$A25,'TRANS EMP EXTRACT - COST CENTRE'!$A:$A,0),MATCH('Summary - Monthly'!AK$3,'TRANS EMP EXTRACT - COST CENTRE'!$2:$2,0)),0)</f>
        <v>0</v>
      </c>
      <c r="AL25" s="10">
        <f>IFERROR(INDEX('TRANS EMP EXTRACT - COST CENTRE'!$A$1:$Z$455,MATCH('Summary - Monthly'!$A25,'TRANS EMP EXTRACT - COST CENTRE'!$A:$A,0),MATCH('Summary - Monthly'!AL$3,'TRANS EMP EXTRACT - COST CENTRE'!$2:$2,0)),0)</f>
        <v>0</v>
      </c>
      <c r="AM25" s="10">
        <f t="shared" si="9"/>
        <v>152</v>
      </c>
      <c r="AN25" s="14">
        <f t="shared" si="2"/>
        <v>0</v>
      </c>
      <c r="AO25" s="18">
        <f t="shared" si="5"/>
        <v>1</v>
      </c>
      <c r="AP25" s="18">
        <f t="shared" si="6"/>
        <v>1</v>
      </c>
      <c r="AQ25" s="10" t="str">
        <f>IFERROR(VLOOKUP(B25,Departments!A:C,3,FALSE),"")</f>
        <v>G&amp;A</v>
      </c>
      <c r="AR25" s="10" t="str">
        <f>IFERROR(VLOOKUP(B25,Departments!A:B,2,FALSE),"")</f>
        <v>HR</v>
      </c>
      <c r="AS25" s="10">
        <f t="shared" si="7"/>
        <v>0</v>
      </c>
      <c r="AT25" s="10">
        <f t="shared" si="8"/>
        <v>0</v>
      </c>
      <c r="AU25" s="10" t="str">
        <f>_xlfn.IFNA(VLOOKUP(B25,Departments!A:D,4,FALSE),"")</f>
        <v>G&amp;A</v>
      </c>
    </row>
    <row r="26" spans="1:47" ht="14.45" customHeight="1">
      <c r="A26" s="11" t="str">
        <f t="shared" si="3"/>
        <v>1206080018953</v>
      </c>
      <c r="B26" s="11">
        <f>'TRANS EMP EXTRACT - COST CENTRE'!B25</f>
        <v>12060800</v>
      </c>
      <c r="C26" s="10" t="str">
        <f>IFERROR(VLOOKUP(E26,'TRANS EMP EXTRACT - EMP CATEGOR'!A:B,2,FALSE),"")</f>
        <v>FT</v>
      </c>
      <c r="D26" s="10" t="str">
        <f>IFERROR(VLOOKUP(E26,'TRANS EMP EXTRACT - EMP CATEGOR'!A:C,3,FALSE),"")</f>
        <v>Fulltime</v>
      </c>
      <c r="E26" s="11">
        <f>'TRANS EMP EXTRACT - COST CENTRE'!D25</f>
        <v>18953</v>
      </c>
      <c r="F26" s="10" t="str">
        <f>IFERROR(VLOOKUP(E26,'TRANS EMP EXTRACT - COST CENTRE'!D:E,2,FALSE),"")</f>
        <v>CHEN  JIAOYANG MS</v>
      </c>
      <c r="G26" s="12">
        <f>IFERROR(INDEX('TRANS EMP EXTRACT - COST CENTRE'!$A$1:$Z$455,MATCH('Summary - Monthly'!$A26,'TRANS EMP EXTRACT - COST CENTRE'!$A:$A,0),MATCH('Summary - Monthly'!G$3,'TRANS EMP EXTRACT - COST CENTRE'!$2:$2,0)),"")</f>
        <v>44333</v>
      </c>
      <c r="H26" s="10" t="str">
        <f>IFERROR(INDEX('TRANS EMP EXTRACT - COST CENTRE'!$B$1:$Z$455,MATCH('Summary - Monthly'!$E26,'TRANS EMP EXTRACT - COST CENTRE'!$D:$D,0),MATCH('Summary - Monthly'!H$3,'TRANS EMP EXTRACT - COST CENTRE'!$2:$2,0)),"")</f>
        <v>RT</v>
      </c>
      <c r="I26" s="12" t="str">
        <f>IFERROR(INDEX('TRANS EMP EXTRACT - EMP CATEGOR'!$B$1:$AF$421,MATCH('Summary - Monthly'!$E26,'TRANS EMP EXTRACT - EMP CATEGOR'!$D:$D,0),MATCH('Summary - Monthly'!H$3,'TRANS EMP EXTRACT - EMP CATEGOR'!$2:$2,0)),"")</f>
        <v>RT</v>
      </c>
      <c r="J26" s="41">
        <f t="shared" ca="1" si="0"/>
        <v>107.4203</v>
      </c>
      <c r="K26" s="41">
        <f t="shared" ca="1" si="1"/>
        <v>207.2406</v>
      </c>
      <c r="L26" s="10">
        <f>IFERROR(INDEX('TRANS EMP EXTRACT - COST CENTRE'!$A$1:$Z$455,MATCH('Summary - Monthly'!$A26,'TRANS EMP EXTRACT - COST CENTRE'!$A:$A,0),MATCH('Summary - Monthly'!L$3,'TRANS EMP EXTRACT - COST CENTRE'!$2:$2,0)),"")</f>
        <v>151.9666</v>
      </c>
      <c r="M26" s="10">
        <f>IFERROR(INDEX('TRANS EMP EXTRACT - COST CENTRE'!$A$1:$Z$455,MATCH('Summary - Monthly'!$A26,'TRANS EMP EXTRACT - COST CENTRE'!$A:$A,0),MATCH('Summary - Monthly'!M$3,'TRANS EMP EXTRACT - COST CENTRE'!$2:$2,0)),0)</f>
        <v>0</v>
      </c>
      <c r="N26" s="10">
        <f>IFERROR(INDEX('TRANS EMP EXTRACT - COST CENTRE'!$A$1:$Z$455,MATCH('Summary - Monthly'!$A26,'TRANS EMP EXTRACT - COST CENTRE'!$A:$A,0),MATCH('Summary - Monthly'!N$3,'TRANS EMP EXTRACT - COST CENTRE'!$2:$2,0)),0)</f>
        <v>0</v>
      </c>
      <c r="O26" s="10">
        <f>IFERROR(INDEX('TRANS EMP EXTRACT - COST CENTRE'!$A$1:$Z$455,MATCH('Summary - Monthly'!$A26,'TRANS EMP EXTRACT - COST CENTRE'!$A:$A,0),MATCH('Summary - Monthly'!O$3,'TRANS EMP EXTRACT - COST CENTRE'!$2:$2,0)),0)</f>
        <v>0</v>
      </c>
      <c r="P26" s="10">
        <f>IFERROR(INDEX('TRANS EMP EXTRACT - COST CENTRE'!$A$1:$Z$455,MATCH('Summary - Monthly'!$A26,'TRANS EMP EXTRACT - COST CENTRE'!$A:$A,0),MATCH('Summary - Monthly'!P$3,'TRANS EMP EXTRACT - COST CENTRE'!$2:$2,0)),0)</f>
        <v>0</v>
      </c>
      <c r="Q26" s="10">
        <f>IFERROR(INDEX('TRANS EMP EXTRACT - COST CENTRE'!$A$1:$Z$455,MATCH('Summary - Monthly'!$A26,'TRANS EMP EXTRACT - COST CENTRE'!$A:$A,0),MATCH('Summary - Monthly'!Q$3,'TRANS EMP EXTRACT - COST CENTRE'!$2:$2,0)),0)</f>
        <v>4.75</v>
      </c>
      <c r="R26" s="10">
        <f>IFERROR(INDEX('TRANS EMP EXTRACT - COST CENTRE'!$A$1:$Z$455,MATCH('Summary - Monthly'!$A26,'TRANS EMP EXTRACT - COST CENTRE'!$A:$A,0),MATCH('Summary - Monthly'!R$3,'TRANS EMP EXTRACT - COST CENTRE'!$2:$2,0)),0)</f>
        <v>0</v>
      </c>
      <c r="S26" s="10">
        <f>IFERROR(INDEX('TRANS EMP EXTRACT - COST CENTRE'!$A$1:$Z$455,MATCH('Summary - Monthly'!$A26,'TRANS EMP EXTRACT - COST CENTRE'!$A:$A,0),MATCH('Summary - Monthly'!S$3,'TRANS EMP EXTRACT - COST CENTRE'!$2:$2,0)),0)</f>
        <v>0</v>
      </c>
      <c r="T26" s="8">
        <f>IFERROR(INDEX('TRANS EMP EXTRACT - COST CENTRE'!$A$1:$Z$455,MATCH('Summary - Monthly'!$A26,'TRANS EMP EXTRACT - COST CENTRE'!$A:$A,0),MATCH('Summary - Monthly'!T$3,'TRANS EMP EXTRACT - COST CENTRE'!$2:$2,0)),0)</f>
        <v>0</v>
      </c>
      <c r="U26" s="13">
        <f>IFERROR(INDEX('TRANS EMP EXTRACT - COST CENTRE'!$A$1:$Z$455,MATCH('Summary - Monthly'!$A26,'TRANS EMP EXTRACT - COST CENTRE'!$A:$A,0),MATCH('Summary - Monthly'!U$3,'TRANS EMP EXTRACT - COST CENTRE'!$2:$2,0)),0)</f>
        <v>0</v>
      </c>
      <c r="V26" s="13">
        <f>IFERROR(INDEX('TRANS EMP EXTRACT - COST CENTRE'!$A$1:$Z$455,MATCH('Summary - Monthly'!$A26,'TRANS EMP EXTRACT - COST CENTRE'!$A:$A,0),MATCH('Summary - Monthly'!V$3,'TRANS EMP EXTRACT - COST CENTRE'!$2:$2,0)),0)</f>
        <v>0</v>
      </c>
      <c r="W26" s="13">
        <f>IFERROR(INDEX('TRANS EMP EXTRACT - COST CENTRE'!$A$1:$Z$455,MATCH('Summary - Monthly'!$A26,'TRANS EMP EXTRACT - COST CENTRE'!$A:$A,0),MATCH('Summary - Monthly'!W$3,'TRANS EMP EXTRACT - COST CENTRE'!$2:$2,0)),0)</f>
        <v>0</v>
      </c>
      <c r="X26" s="13">
        <f>IFERROR(INDEX('TRANS EMP EXTRACT - COST CENTRE'!$A$1:$Z$455,MATCH('Summary - Monthly'!$A26,'TRANS EMP EXTRACT - COST CENTRE'!$A:$A,0),MATCH('Summary - Monthly'!X$3,'TRANS EMP EXTRACT - COST CENTRE'!$2:$2,0)),0)</f>
        <v>0</v>
      </c>
      <c r="Y26" s="13">
        <f>IFERROR(INDEX('TRANS EMP EXTRACT - COST CENTRE'!$A$1:$Z$455,MATCH('Summary - Monthly'!$A26,'TRANS EMP EXTRACT - COST CENTRE'!$A:$A,0),MATCH('Summary - Monthly'!Y$3,'TRANS EMP EXTRACT - COST CENTRE'!$2:$2,0)),0)</f>
        <v>0</v>
      </c>
      <c r="Z26" s="10">
        <f>IFERROR(INDEX('TRANS EMP EXTRACT - COST CENTRE'!$A$1:$Z$455,MATCH('Summary - Monthly'!$A26,'TRANS EMP EXTRACT - COST CENTRE'!$A:$A,0),MATCH('Summary - Monthly'!Z$3,'TRANS EMP EXTRACT - COST CENTRE'!$2:$2,0)),0)</f>
        <v>0</v>
      </c>
      <c r="AA26" s="10">
        <f>IFERROR(INDEX('TRANS EMP EXTRACT - COST CENTRE'!$A$1:$Z$455,MATCH('Summary - Monthly'!$A26,'TRANS EMP EXTRACT - COST CENTRE'!$A:$A,0),MATCH('Summary - Monthly'!AA$3,'TRANS EMP EXTRACT - COST CENTRE'!$2:$2,0)),0)</f>
        <v>0</v>
      </c>
      <c r="AB26" s="10">
        <f>IFERROR(INDEX('TRANS EMP EXTRACT - COST CENTRE'!$A$1:$Z$455,MATCH('Summary - Monthly'!$A26,'TRANS EMP EXTRACT - COST CENTRE'!$A:$A,0),MATCH('Summary - Monthly'!AB$3,'TRANS EMP EXTRACT - COST CENTRE'!$2:$2,0)),0)</f>
        <v>0</v>
      </c>
      <c r="AC26" s="8">
        <f>IFERROR(INDEX('TRANS EMP EXTRACT - COST CENTRE'!$A$1:$Z$455,MATCH('Summary - Monthly'!$A26,'TRANS EMP EXTRACT - COST CENTRE'!$A:$A,0),MATCH('Summary - Monthly'!AC$3,'TRANS EMP EXTRACT - COST CENTRE'!$2:$2,0)),0)</f>
        <v>0</v>
      </c>
      <c r="AD26" s="13">
        <f>IFERROR(INDEX('TRANS EMP EXTRACT - COST CENTRE'!$A$1:$Z$455,MATCH('Summary - Monthly'!$A26,'TRANS EMP EXTRACT - COST CENTRE'!$A:$A,0),MATCH('Summary - Monthly'!AD$3,'TRANS EMP EXTRACT - COST CENTRE'!$2:$2,0)),0)</f>
        <v>0</v>
      </c>
      <c r="AE26" s="13">
        <f>IFERROR(INDEX('TRANS EMP EXTRACT - COST CENTRE'!$A$1:$Z$455,MATCH('Summary - Monthly'!$A26,'TRANS EMP EXTRACT - COST CENTRE'!$A:$A,0),MATCH('Summary - Monthly'!AE$3,'TRANS EMP EXTRACT - COST CENTRE'!$2:$2,0)),0)</f>
        <v>0</v>
      </c>
      <c r="AF26" s="13">
        <f>IFERROR(INDEX('TRANS EMP EXTRACT - COST CENTRE'!$A$1:$Z$455,MATCH('Summary - Monthly'!$A26,'TRANS EMP EXTRACT - COST CENTRE'!$A:$A,0),MATCH('Summary - Monthly'!AF$3,'TRANS EMP EXTRACT - COST CENTRE'!$2:$2,0)),0)</f>
        <v>0</v>
      </c>
      <c r="AG26" s="10">
        <f>IFERROR(INDEX('TRANS EMP EXTRACT - COST CENTRE'!$A$1:$Z$455,MATCH('Summary - Monthly'!$A26,'TRANS EMP EXTRACT - COST CENTRE'!$A:$A,0),MATCH('Summary - Monthly'!AG$3,'TRANS EMP EXTRACT - COST CENTRE'!$2:$2,0)),0)</f>
        <v>0</v>
      </c>
      <c r="AH26" s="10">
        <f>IFERROR(INDEX('TRANS EMP EXTRACT - COST CENTRE'!$A$1:$Z$455,MATCH('Summary - Monthly'!$A26,'TRANS EMP EXTRACT - COST CENTRE'!$A:$A,0),MATCH('Summary - Monthly'!AH$3,'TRANS EMP EXTRACT - COST CENTRE'!$2:$2,0)),0)</f>
        <v>0</v>
      </c>
      <c r="AI26" s="10">
        <f>IFERROR(INDEX('TRANS EMP EXTRACT - COST CENTRE'!$A$1:$Z$455,MATCH('Summary - Monthly'!$A26,'TRANS EMP EXTRACT - COST CENTRE'!$A:$A,0),MATCH('Summary - Monthly'!AI$3,'TRANS EMP EXTRACT - COST CENTRE'!$2:$2,0)),0)</f>
        <v>0</v>
      </c>
      <c r="AJ26" s="10">
        <f>IFERROR(INDEX('TRANS EMP EXTRACT - COST CENTRE'!$A$1:$Z$455,MATCH('Summary - Monthly'!$A26,'TRANS EMP EXTRACT - COST CENTRE'!$A:$A,0),MATCH('Summary - Monthly'!AJ$3,'TRANS EMP EXTRACT - COST CENTRE'!$2:$2,0)),0)</f>
        <v>0</v>
      </c>
      <c r="AK26" s="10">
        <f>IFERROR(INDEX('TRANS EMP EXTRACT - COST CENTRE'!$A$1:$Z$455,MATCH('Summary - Monthly'!$A26,'TRANS EMP EXTRACT - COST CENTRE'!$A:$A,0),MATCH('Summary - Monthly'!AK$3,'TRANS EMP EXTRACT - COST CENTRE'!$2:$2,0)),0)</f>
        <v>0</v>
      </c>
      <c r="AL26" s="10">
        <f>IFERROR(INDEX('TRANS EMP EXTRACT - COST CENTRE'!$A$1:$Z$455,MATCH('Summary - Monthly'!$A26,'TRANS EMP EXTRACT - COST CENTRE'!$A:$A,0),MATCH('Summary - Monthly'!AL$3,'TRANS EMP EXTRACT - COST CENTRE'!$2:$2,0)),0)</f>
        <v>0</v>
      </c>
      <c r="AM26" s="10">
        <f t="shared" si="9"/>
        <v>156.7166</v>
      </c>
      <c r="AN26" s="14">
        <f t="shared" si="2"/>
        <v>3.125E-2</v>
      </c>
      <c r="AO26" s="18">
        <f t="shared" si="5"/>
        <v>1.0310302631578947</v>
      </c>
      <c r="AP26" s="18">
        <f t="shared" si="6"/>
        <v>1.0310302631578947</v>
      </c>
      <c r="AQ26" s="10" t="str">
        <f>IFERROR(VLOOKUP(B26,Departments!A:C,3,FALSE),"")</f>
        <v>Microbiology</v>
      </c>
      <c r="AR26" s="10" t="str">
        <f>IFERROR(VLOOKUP(B26,Departments!A:B,2,FALSE),"")</f>
        <v>PERTH Sample Registration</v>
      </c>
      <c r="AS26" s="10">
        <f t="shared" si="7"/>
        <v>0</v>
      </c>
      <c r="AT26" s="10">
        <f t="shared" si="8"/>
        <v>0</v>
      </c>
      <c r="AU26" s="10" t="str">
        <f>_xlfn.IFNA(VLOOKUP(B26,Departments!A:D,4,FALSE),"")</f>
        <v>Perth Micro</v>
      </c>
    </row>
    <row r="27" spans="1:47" ht="14.45" customHeight="1">
      <c r="A27" s="11" t="str">
        <f t="shared" si="3"/>
        <v>1201919918550</v>
      </c>
      <c r="B27" s="11">
        <f>'TRANS EMP EXTRACT - COST CENTRE'!B26</f>
        <v>12019199</v>
      </c>
      <c r="C27" s="10" t="str">
        <f>IFERROR(VLOOKUP(E27,'TRANS EMP EXTRACT - EMP CATEGOR'!A:B,2,FALSE),"")</f>
        <v>FT</v>
      </c>
      <c r="D27" s="10" t="str">
        <f>IFERROR(VLOOKUP(E27,'TRANS EMP EXTRACT - EMP CATEGOR'!A:C,3,FALSE),"")</f>
        <v>Fulltime</v>
      </c>
      <c r="E27" s="11">
        <f>'TRANS EMP EXTRACT - COST CENTRE'!D26</f>
        <v>18550</v>
      </c>
      <c r="F27" s="10" t="str">
        <f>IFERROR(VLOOKUP(E27,'TRANS EMP EXTRACT - COST CENTRE'!D:E,2,FALSE),"")</f>
        <v>CHEN  SOK KIAN MS</v>
      </c>
      <c r="G27" s="12">
        <f>IFERROR(INDEX('TRANS EMP EXTRACT - COST CENTRE'!$A$1:$Z$455,MATCH('Summary - Monthly'!$A27,'TRANS EMP EXTRACT - COST CENTRE'!$A:$A,0),MATCH('Summary - Monthly'!G$3,'TRANS EMP EXTRACT - COST CENTRE'!$2:$2,0)),"")</f>
        <v>41120</v>
      </c>
      <c r="H27" s="10" t="str">
        <f>IFERROR(INDEX('TRANS EMP EXTRACT - COST CENTRE'!$B$1:$Z$455,MATCH('Summary - Monthly'!$E27,'TRANS EMP EXTRACT - COST CENTRE'!$D:$D,0),MATCH('Summary - Monthly'!H$3,'TRANS EMP EXTRACT - COST CENTRE'!$2:$2,0)),"")</f>
        <v>FN</v>
      </c>
      <c r="I27" s="12" t="str">
        <f>IFERROR(INDEX('TRANS EMP EXTRACT - EMP CATEGOR'!$B$1:$AF$421,MATCH('Summary - Monthly'!$E27,'TRANS EMP EXTRACT - EMP CATEGOR'!$D:$D,0),MATCH('Summary - Monthly'!H$3,'TRANS EMP EXTRACT - EMP CATEGOR'!$2:$2,0)),"")</f>
        <v>FN</v>
      </c>
      <c r="J27" s="41">
        <f t="shared" ca="1" si="0"/>
        <v>255.70529999999999</v>
      </c>
      <c r="K27" s="41">
        <f t="shared" ca="1" si="1"/>
        <v>183.00630000000001</v>
      </c>
      <c r="L27" s="10">
        <f>IFERROR(INDEX('TRANS EMP EXTRACT - COST CENTRE'!$A$1:$Z$455,MATCH('Summary - Monthly'!$A27,'TRANS EMP EXTRACT - COST CENTRE'!$A:$A,0),MATCH('Summary - Monthly'!L$3,'TRANS EMP EXTRACT - COST CENTRE'!$2:$2,0)),"")</f>
        <v>152</v>
      </c>
      <c r="M27" s="10">
        <f>IFERROR(INDEX('TRANS EMP EXTRACT - COST CENTRE'!$A$1:$Z$455,MATCH('Summary - Monthly'!$A27,'TRANS EMP EXTRACT - COST CENTRE'!$A:$A,0),MATCH('Summary - Monthly'!M$3,'TRANS EMP EXTRACT - COST CENTRE'!$2:$2,0)),0)</f>
        <v>0</v>
      </c>
      <c r="N27" s="10">
        <f>IFERROR(INDEX('TRANS EMP EXTRACT - COST CENTRE'!$A$1:$Z$455,MATCH('Summary - Monthly'!$A27,'TRANS EMP EXTRACT - COST CENTRE'!$A:$A,0),MATCH('Summary - Monthly'!N$3,'TRANS EMP EXTRACT - COST CENTRE'!$2:$2,0)),0)</f>
        <v>0</v>
      </c>
      <c r="O27" s="10">
        <f>IFERROR(INDEX('TRANS EMP EXTRACT - COST CENTRE'!$A$1:$Z$455,MATCH('Summary - Monthly'!$A27,'TRANS EMP EXTRACT - COST CENTRE'!$A:$A,0),MATCH('Summary - Monthly'!O$3,'TRANS EMP EXTRACT - COST CENTRE'!$2:$2,0)),0)</f>
        <v>0</v>
      </c>
      <c r="P27" s="10">
        <f>IFERROR(INDEX('TRANS EMP EXTRACT - COST CENTRE'!$A$1:$Z$455,MATCH('Summary - Monthly'!$A27,'TRANS EMP EXTRACT - COST CENTRE'!$A:$A,0),MATCH('Summary - Monthly'!P$3,'TRANS EMP EXTRACT - COST CENTRE'!$2:$2,0)),0)</f>
        <v>0</v>
      </c>
      <c r="Q27" s="10">
        <f>IFERROR(INDEX('TRANS EMP EXTRACT - COST CENTRE'!$A$1:$Z$455,MATCH('Summary - Monthly'!$A27,'TRANS EMP EXTRACT - COST CENTRE'!$A:$A,0),MATCH('Summary - Monthly'!Q$3,'TRANS EMP EXTRACT - COST CENTRE'!$2:$2,0)),0)</f>
        <v>0</v>
      </c>
      <c r="R27" s="10">
        <f>IFERROR(INDEX('TRANS EMP EXTRACT - COST CENTRE'!$A$1:$Z$455,MATCH('Summary - Monthly'!$A27,'TRANS EMP EXTRACT - COST CENTRE'!$A:$A,0),MATCH('Summary - Monthly'!R$3,'TRANS EMP EXTRACT - COST CENTRE'!$2:$2,0)),0)</f>
        <v>0</v>
      </c>
      <c r="S27" s="10">
        <f>IFERROR(INDEX('TRANS EMP EXTRACT - COST CENTRE'!$A$1:$Z$455,MATCH('Summary - Monthly'!$A27,'TRANS EMP EXTRACT - COST CENTRE'!$A:$A,0),MATCH('Summary - Monthly'!S$3,'TRANS EMP EXTRACT - COST CENTRE'!$2:$2,0)),0)</f>
        <v>0</v>
      </c>
      <c r="T27" s="8">
        <f>IFERROR(INDEX('TRANS EMP EXTRACT - COST CENTRE'!$A$1:$Z$455,MATCH('Summary - Monthly'!$A27,'TRANS EMP EXTRACT - COST CENTRE'!$A:$A,0),MATCH('Summary - Monthly'!T$3,'TRANS EMP EXTRACT - COST CENTRE'!$2:$2,0)),0)</f>
        <v>0</v>
      </c>
      <c r="U27" s="13">
        <f>IFERROR(INDEX('TRANS EMP EXTRACT - COST CENTRE'!$A$1:$Z$455,MATCH('Summary - Monthly'!$A27,'TRANS EMP EXTRACT - COST CENTRE'!$A:$A,0),MATCH('Summary - Monthly'!U$3,'TRANS EMP EXTRACT - COST CENTRE'!$2:$2,0)),0)</f>
        <v>0</v>
      </c>
      <c r="V27" s="13">
        <f>IFERROR(INDEX('TRANS EMP EXTRACT - COST CENTRE'!$A$1:$Z$455,MATCH('Summary - Monthly'!$A27,'TRANS EMP EXTRACT - COST CENTRE'!$A:$A,0),MATCH('Summary - Monthly'!V$3,'TRANS EMP EXTRACT - COST CENTRE'!$2:$2,0)),0)</f>
        <v>0</v>
      </c>
      <c r="W27" s="13">
        <f>IFERROR(INDEX('TRANS EMP EXTRACT - COST CENTRE'!$A$1:$Z$455,MATCH('Summary - Monthly'!$A27,'TRANS EMP EXTRACT - COST CENTRE'!$A:$A,0),MATCH('Summary - Monthly'!W$3,'TRANS EMP EXTRACT - COST CENTRE'!$2:$2,0)),0)</f>
        <v>0</v>
      </c>
      <c r="X27" s="13">
        <f>IFERROR(INDEX('TRANS EMP EXTRACT - COST CENTRE'!$A$1:$Z$455,MATCH('Summary - Monthly'!$A27,'TRANS EMP EXTRACT - COST CENTRE'!$A:$A,0),MATCH('Summary - Monthly'!X$3,'TRANS EMP EXTRACT - COST CENTRE'!$2:$2,0)),0)</f>
        <v>0</v>
      </c>
      <c r="Y27" s="13">
        <f>IFERROR(INDEX('TRANS EMP EXTRACT - COST CENTRE'!$A$1:$Z$455,MATCH('Summary - Monthly'!$A27,'TRANS EMP EXTRACT - COST CENTRE'!$A:$A,0),MATCH('Summary - Monthly'!Y$3,'TRANS EMP EXTRACT - COST CENTRE'!$2:$2,0)),0)</f>
        <v>0</v>
      </c>
      <c r="Z27" s="10">
        <f>IFERROR(INDEX('TRANS EMP EXTRACT - COST CENTRE'!$A$1:$Z$455,MATCH('Summary - Monthly'!$A27,'TRANS EMP EXTRACT - COST CENTRE'!$A:$A,0),MATCH('Summary - Monthly'!Z$3,'TRANS EMP EXTRACT - COST CENTRE'!$2:$2,0)),0)</f>
        <v>0</v>
      </c>
      <c r="AA27" s="10">
        <f>IFERROR(INDEX('TRANS EMP EXTRACT - COST CENTRE'!$A$1:$Z$455,MATCH('Summary - Monthly'!$A27,'TRANS EMP EXTRACT - COST CENTRE'!$A:$A,0),MATCH('Summary - Monthly'!AA$3,'TRANS EMP EXTRACT - COST CENTRE'!$2:$2,0)),0)</f>
        <v>0</v>
      </c>
      <c r="AB27" s="10">
        <f>IFERROR(INDEX('TRANS EMP EXTRACT - COST CENTRE'!$A$1:$Z$455,MATCH('Summary - Monthly'!$A27,'TRANS EMP EXTRACT - COST CENTRE'!$A:$A,0),MATCH('Summary - Monthly'!AB$3,'TRANS EMP EXTRACT - COST CENTRE'!$2:$2,0)),0)</f>
        <v>0</v>
      </c>
      <c r="AC27" s="8">
        <f>IFERROR(INDEX('TRANS EMP EXTRACT - COST CENTRE'!$A$1:$Z$455,MATCH('Summary - Monthly'!$A27,'TRANS EMP EXTRACT - COST CENTRE'!$A:$A,0),MATCH('Summary - Monthly'!AC$3,'TRANS EMP EXTRACT - COST CENTRE'!$2:$2,0)),0)</f>
        <v>0</v>
      </c>
      <c r="AD27" s="13">
        <f>IFERROR(INDEX('TRANS EMP EXTRACT - COST CENTRE'!$A$1:$Z$455,MATCH('Summary - Monthly'!$A27,'TRANS EMP EXTRACT - COST CENTRE'!$A:$A,0),MATCH('Summary - Monthly'!AD$3,'TRANS EMP EXTRACT - COST CENTRE'!$2:$2,0)),0)</f>
        <v>0</v>
      </c>
      <c r="AE27" s="13">
        <f>IFERROR(INDEX('TRANS EMP EXTRACT - COST CENTRE'!$A$1:$Z$455,MATCH('Summary - Monthly'!$A27,'TRANS EMP EXTRACT - COST CENTRE'!$A:$A,0),MATCH('Summary - Monthly'!AE$3,'TRANS EMP EXTRACT - COST CENTRE'!$2:$2,0)),0)</f>
        <v>0</v>
      </c>
      <c r="AF27" s="13">
        <f>IFERROR(INDEX('TRANS EMP EXTRACT - COST CENTRE'!$A$1:$Z$455,MATCH('Summary - Monthly'!$A27,'TRANS EMP EXTRACT - COST CENTRE'!$A:$A,0),MATCH('Summary - Monthly'!AF$3,'TRANS EMP EXTRACT - COST CENTRE'!$2:$2,0)),0)</f>
        <v>0</v>
      </c>
      <c r="AG27" s="10">
        <f>IFERROR(INDEX('TRANS EMP EXTRACT - COST CENTRE'!$A$1:$Z$455,MATCH('Summary - Monthly'!$A27,'TRANS EMP EXTRACT - COST CENTRE'!$A:$A,0),MATCH('Summary - Monthly'!AG$3,'TRANS EMP EXTRACT - COST CENTRE'!$2:$2,0)),0)</f>
        <v>0</v>
      </c>
      <c r="AH27" s="10">
        <f>IFERROR(INDEX('TRANS EMP EXTRACT - COST CENTRE'!$A$1:$Z$455,MATCH('Summary - Monthly'!$A27,'TRANS EMP EXTRACT - COST CENTRE'!$A:$A,0),MATCH('Summary - Monthly'!AH$3,'TRANS EMP EXTRACT - COST CENTRE'!$2:$2,0)),0)</f>
        <v>0</v>
      </c>
      <c r="AI27" s="10">
        <f>IFERROR(INDEX('TRANS EMP EXTRACT - COST CENTRE'!$A$1:$Z$455,MATCH('Summary - Monthly'!$A27,'TRANS EMP EXTRACT - COST CENTRE'!$A:$A,0),MATCH('Summary - Monthly'!AI$3,'TRANS EMP EXTRACT - COST CENTRE'!$2:$2,0)),0)</f>
        <v>0</v>
      </c>
      <c r="AJ27" s="10">
        <f>IFERROR(INDEX('TRANS EMP EXTRACT - COST CENTRE'!$A$1:$Z$455,MATCH('Summary - Monthly'!$A27,'TRANS EMP EXTRACT - COST CENTRE'!$A:$A,0),MATCH('Summary - Monthly'!AJ$3,'TRANS EMP EXTRACT - COST CENTRE'!$2:$2,0)),0)</f>
        <v>0</v>
      </c>
      <c r="AK27" s="10">
        <f>IFERROR(INDEX('TRANS EMP EXTRACT - COST CENTRE'!$A$1:$Z$455,MATCH('Summary - Monthly'!$A27,'TRANS EMP EXTRACT - COST CENTRE'!$A:$A,0),MATCH('Summary - Monthly'!AK$3,'TRANS EMP EXTRACT - COST CENTRE'!$2:$2,0)),0)</f>
        <v>0</v>
      </c>
      <c r="AL27" s="10">
        <f>IFERROR(INDEX('TRANS EMP EXTRACT - COST CENTRE'!$A$1:$Z$455,MATCH('Summary - Monthly'!$A27,'TRANS EMP EXTRACT - COST CENTRE'!$A:$A,0),MATCH('Summary - Monthly'!AL$3,'TRANS EMP EXTRACT - COST CENTRE'!$2:$2,0)),0)</f>
        <v>0</v>
      </c>
      <c r="AM27" s="10">
        <f t="shared" si="9"/>
        <v>152</v>
      </c>
      <c r="AN27" s="14">
        <f t="shared" si="2"/>
        <v>0</v>
      </c>
      <c r="AO27" s="18">
        <f t="shared" si="5"/>
        <v>1</v>
      </c>
      <c r="AP27" s="18">
        <f t="shared" si="6"/>
        <v>1</v>
      </c>
      <c r="AQ27" s="10" t="str">
        <f>IFERROR(VLOOKUP(B27,Departments!A:C,3,FALSE),"")</f>
        <v>G&amp;A</v>
      </c>
      <c r="AR27" s="10" t="str">
        <f>IFERROR(VLOOKUP(B27,Departments!A:B,2,FALSE),"")</f>
        <v>Finance</v>
      </c>
      <c r="AS27" s="10">
        <f t="shared" si="7"/>
        <v>0</v>
      </c>
      <c r="AT27" s="10">
        <f t="shared" si="8"/>
        <v>0</v>
      </c>
      <c r="AU27" s="10" t="str">
        <f>_xlfn.IFNA(VLOOKUP(B27,Departments!A:D,4,FALSE),"")</f>
        <v>G&amp;A</v>
      </c>
    </row>
    <row r="28" spans="1:47" ht="14.45" customHeight="1">
      <c r="A28" s="11" t="str">
        <f t="shared" si="3"/>
        <v>1204301119039</v>
      </c>
      <c r="B28" s="11">
        <f>'TRANS EMP EXTRACT - COST CENTRE'!B27</f>
        <v>12043011</v>
      </c>
      <c r="C28" s="10" t="str">
        <f>IFERROR(VLOOKUP(E28,'TRANS EMP EXTRACT - EMP CATEGOR'!A:B,2,FALSE),"")</f>
        <v>PT</v>
      </c>
      <c r="D28" s="10" t="str">
        <f>IFERROR(VLOOKUP(E28,'TRANS EMP EXTRACT - EMP CATEGOR'!A:C,3,FALSE),"")</f>
        <v>Parttime</v>
      </c>
      <c r="E28" s="11">
        <f>'TRANS EMP EXTRACT - COST CENTRE'!D27</f>
        <v>19039</v>
      </c>
      <c r="F28" s="10" t="str">
        <f>IFERROR(VLOOKUP(E28,'TRANS EMP EXTRACT - COST CENTRE'!D:E,2,FALSE),"")</f>
        <v>CHEUNG  CINDY MISS</v>
      </c>
      <c r="G28" s="12">
        <f>IFERROR(INDEX('TRANS EMP EXTRACT - COST CENTRE'!$A$1:$Z$455,MATCH('Summary - Monthly'!$A28,'TRANS EMP EXTRACT - COST CENTRE'!$A:$A,0),MATCH('Summary - Monthly'!G$3,'TRANS EMP EXTRACT - COST CENTRE'!$2:$2,0)),"")</f>
        <v>44824</v>
      </c>
      <c r="H28" s="10" t="str">
        <f>IFERROR(INDEX('TRANS EMP EXTRACT - COST CENTRE'!$B$1:$Z$455,MATCH('Summary - Monthly'!$E28,'TRANS EMP EXTRACT - COST CENTRE'!$D:$D,0),MATCH('Summary - Monthly'!H$3,'TRANS EMP EXTRACT - COST CENTRE'!$2:$2,0)),"")</f>
        <v>RT</v>
      </c>
      <c r="I28" s="12" t="str">
        <f>IFERROR(INDEX('TRANS EMP EXTRACT - EMP CATEGOR'!$B$1:$AF$421,MATCH('Summary - Monthly'!$E28,'TRANS EMP EXTRACT - EMP CATEGOR'!$D:$D,0),MATCH('Summary - Monthly'!H$3,'TRANS EMP EXTRACT - EMP CATEGOR'!$2:$2,0)),"")</f>
        <v>RT</v>
      </c>
      <c r="J28" s="41">
        <f t="shared" ca="1" si="0"/>
        <v>25.315100000000001</v>
      </c>
      <c r="K28" s="41">
        <f t="shared" ca="1" si="1"/>
        <v>13.030099999999999</v>
      </c>
      <c r="L28" s="10">
        <f>IFERROR(INDEX('TRANS EMP EXTRACT - COST CENTRE'!$A$1:$Z$455,MATCH('Summary - Monthly'!$A28,'TRANS EMP EXTRACT - COST CENTRE'!$A:$A,0),MATCH('Summary - Monthly'!L$3,'TRANS EMP EXTRACT - COST CENTRE'!$2:$2,0)),"")</f>
        <v>74.366600000000005</v>
      </c>
      <c r="M28" s="10">
        <f>IFERROR(INDEX('TRANS EMP EXTRACT - COST CENTRE'!$A$1:$Z$455,MATCH('Summary - Monthly'!$A28,'TRANS EMP EXTRACT - COST CENTRE'!$A:$A,0),MATCH('Summary - Monthly'!M$3,'TRANS EMP EXTRACT - COST CENTRE'!$2:$2,0)),0)</f>
        <v>0</v>
      </c>
      <c r="N28" s="10">
        <f>IFERROR(INDEX('TRANS EMP EXTRACT - COST CENTRE'!$A$1:$Z$455,MATCH('Summary - Monthly'!$A28,'TRANS EMP EXTRACT - COST CENTRE'!$A:$A,0),MATCH('Summary - Monthly'!N$3,'TRANS EMP EXTRACT - COST CENTRE'!$2:$2,0)),0)</f>
        <v>0</v>
      </c>
      <c r="O28" s="10">
        <f>IFERROR(INDEX('TRANS EMP EXTRACT - COST CENTRE'!$A$1:$Z$455,MATCH('Summary - Monthly'!$A28,'TRANS EMP EXTRACT - COST CENTRE'!$A:$A,0),MATCH('Summary - Monthly'!O$3,'TRANS EMP EXTRACT - COST CENTRE'!$2:$2,0)),0)</f>
        <v>0</v>
      </c>
      <c r="P28" s="10">
        <f>IFERROR(INDEX('TRANS EMP EXTRACT - COST CENTRE'!$A$1:$Z$455,MATCH('Summary - Monthly'!$A28,'TRANS EMP EXTRACT - COST CENTRE'!$A:$A,0),MATCH('Summary - Monthly'!P$3,'TRANS EMP EXTRACT - COST CENTRE'!$2:$2,0)),0)</f>
        <v>30.15</v>
      </c>
      <c r="Q28" s="10">
        <f>IFERROR(INDEX('TRANS EMP EXTRACT - COST CENTRE'!$A$1:$Z$455,MATCH('Summary - Monthly'!$A28,'TRANS EMP EXTRACT - COST CENTRE'!$A:$A,0),MATCH('Summary - Monthly'!Q$3,'TRANS EMP EXTRACT - COST CENTRE'!$2:$2,0)),0)</f>
        <v>0.35</v>
      </c>
      <c r="R28" s="10">
        <f>IFERROR(INDEX('TRANS EMP EXTRACT - COST CENTRE'!$A$1:$Z$455,MATCH('Summary - Monthly'!$A28,'TRANS EMP EXTRACT - COST CENTRE'!$A:$A,0),MATCH('Summary - Monthly'!R$3,'TRANS EMP EXTRACT - COST CENTRE'!$2:$2,0)),0)</f>
        <v>0</v>
      </c>
      <c r="S28" s="10">
        <f>IFERROR(INDEX('TRANS EMP EXTRACT - COST CENTRE'!$A$1:$Z$455,MATCH('Summary - Monthly'!$A28,'TRANS EMP EXTRACT - COST CENTRE'!$A:$A,0),MATCH('Summary - Monthly'!S$3,'TRANS EMP EXTRACT - COST CENTRE'!$2:$2,0)),0)</f>
        <v>0</v>
      </c>
      <c r="T28" s="8">
        <f>IFERROR(INDEX('TRANS EMP EXTRACT - COST CENTRE'!$A$1:$Z$455,MATCH('Summary - Monthly'!$A28,'TRANS EMP EXTRACT - COST CENTRE'!$A:$A,0),MATCH('Summary - Monthly'!T$3,'TRANS EMP EXTRACT - COST CENTRE'!$2:$2,0)),0)</f>
        <v>0</v>
      </c>
      <c r="U28" s="13">
        <f>IFERROR(INDEX('TRANS EMP EXTRACT - COST CENTRE'!$A$1:$Z$455,MATCH('Summary - Monthly'!$A28,'TRANS EMP EXTRACT - COST CENTRE'!$A:$A,0),MATCH('Summary - Monthly'!U$3,'TRANS EMP EXTRACT - COST CENTRE'!$2:$2,0)),0)</f>
        <v>15.2</v>
      </c>
      <c r="V28" s="13">
        <f>IFERROR(INDEX('TRANS EMP EXTRACT - COST CENTRE'!$A$1:$Z$455,MATCH('Summary - Monthly'!$A28,'TRANS EMP EXTRACT - COST CENTRE'!$A:$A,0),MATCH('Summary - Monthly'!V$3,'TRANS EMP EXTRACT - COST CENTRE'!$2:$2,0)),0)</f>
        <v>0</v>
      </c>
      <c r="W28" s="13">
        <f>IFERROR(INDEX('TRANS EMP EXTRACT - COST CENTRE'!$A$1:$Z$455,MATCH('Summary - Monthly'!$A28,'TRANS EMP EXTRACT - COST CENTRE'!$A:$A,0),MATCH('Summary - Monthly'!W$3,'TRANS EMP EXTRACT - COST CENTRE'!$2:$2,0)),0)</f>
        <v>0</v>
      </c>
      <c r="X28" s="13">
        <f>IFERROR(INDEX('TRANS EMP EXTRACT - COST CENTRE'!$A$1:$Z$455,MATCH('Summary - Monthly'!$A28,'TRANS EMP EXTRACT - COST CENTRE'!$A:$A,0),MATCH('Summary - Monthly'!X$3,'TRANS EMP EXTRACT - COST CENTRE'!$2:$2,0)),0)</f>
        <v>0</v>
      </c>
      <c r="Y28" s="13">
        <f>IFERROR(INDEX('TRANS EMP EXTRACT - COST CENTRE'!$A$1:$Z$455,MATCH('Summary - Monthly'!$A28,'TRANS EMP EXTRACT - COST CENTRE'!$A:$A,0),MATCH('Summary - Monthly'!Y$3,'TRANS EMP EXTRACT - COST CENTRE'!$2:$2,0)),0)</f>
        <v>0</v>
      </c>
      <c r="Z28" s="10">
        <f>IFERROR(INDEX('TRANS EMP EXTRACT - COST CENTRE'!$A$1:$Z$455,MATCH('Summary - Monthly'!$A28,'TRANS EMP EXTRACT - COST CENTRE'!$A:$A,0),MATCH('Summary - Monthly'!Z$3,'TRANS EMP EXTRACT - COST CENTRE'!$2:$2,0)),0)</f>
        <v>0</v>
      </c>
      <c r="AA28" s="10">
        <f>IFERROR(INDEX('TRANS EMP EXTRACT - COST CENTRE'!$A$1:$Z$455,MATCH('Summary - Monthly'!$A28,'TRANS EMP EXTRACT - COST CENTRE'!$A:$A,0),MATCH('Summary - Monthly'!AA$3,'TRANS EMP EXTRACT - COST CENTRE'!$2:$2,0)),0)</f>
        <v>0</v>
      </c>
      <c r="AB28" s="10">
        <f>IFERROR(INDEX('TRANS EMP EXTRACT - COST CENTRE'!$A$1:$Z$455,MATCH('Summary - Monthly'!$A28,'TRANS EMP EXTRACT - COST CENTRE'!$A:$A,0),MATCH('Summary - Monthly'!AB$3,'TRANS EMP EXTRACT - COST CENTRE'!$2:$2,0)),0)</f>
        <v>0</v>
      </c>
      <c r="AC28" s="8">
        <f>IFERROR(INDEX('TRANS EMP EXTRACT - COST CENTRE'!$A$1:$Z$455,MATCH('Summary - Monthly'!$A28,'TRANS EMP EXTRACT - COST CENTRE'!$A:$A,0),MATCH('Summary - Monthly'!AC$3,'TRANS EMP EXTRACT - COST CENTRE'!$2:$2,0)),0)</f>
        <v>0</v>
      </c>
      <c r="AD28" s="13">
        <f>IFERROR(INDEX('TRANS EMP EXTRACT - COST CENTRE'!$A$1:$Z$455,MATCH('Summary - Monthly'!$A28,'TRANS EMP EXTRACT - COST CENTRE'!$A:$A,0),MATCH('Summary - Monthly'!AD$3,'TRANS EMP EXTRACT - COST CENTRE'!$2:$2,0)),0)</f>
        <v>0</v>
      </c>
      <c r="AE28" s="13">
        <f>IFERROR(INDEX('TRANS EMP EXTRACT - COST CENTRE'!$A$1:$Z$455,MATCH('Summary - Monthly'!$A28,'TRANS EMP EXTRACT - COST CENTRE'!$A:$A,0),MATCH('Summary - Monthly'!AE$3,'TRANS EMP EXTRACT - COST CENTRE'!$2:$2,0)),0)</f>
        <v>0</v>
      </c>
      <c r="AF28" s="13">
        <f>IFERROR(INDEX('TRANS EMP EXTRACT - COST CENTRE'!$A$1:$Z$455,MATCH('Summary - Monthly'!$A28,'TRANS EMP EXTRACT - COST CENTRE'!$A:$A,0),MATCH('Summary - Monthly'!AF$3,'TRANS EMP EXTRACT - COST CENTRE'!$2:$2,0)),0)</f>
        <v>0</v>
      </c>
      <c r="AG28" s="10">
        <f>IFERROR(INDEX('TRANS EMP EXTRACT - COST CENTRE'!$A$1:$Z$455,MATCH('Summary - Monthly'!$A28,'TRANS EMP EXTRACT - COST CENTRE'!$A:$A,0),MATCH('Summary - Monthly'!AG$3,'TRANS EMP EXTRACT - COST CENTRE'!$2:$2,0)),0)</f>
        <v>0</v>
      </c>
      <c r="AH28" s="10">
        <f>IFERROR(INDEX('TRANS EMP EXTRACT - COST CENTRE'!$A$1:$Z$455,MATCH('Summary - Monthly'!$A28,'TRANS EMP EXTRACT - COST CENTRE'!$A:$A,0),MATCH('Summary - Monthly'!AH$3,'TRANS EMP EXTRACT - COST CENTRE'!$2:$2,0)),0)</f>
        <v>0</v>
      </c>
      <c r="AI28" s="10">
        <f>IFERROR(INDEX('TRANS EMP EXTRACT - COST CENTRE'!$A$1:$Z$455,MATCH('Summary - Monthly'!$A28,'TRANS EMP EXTRACT - COST CENTRE'!$A:$A,0),MATCH('Summary - Monthly'!AI$3,'TRANS EMP EXTRACT - COST CENTRE'!$2:$2,0)),0)</f>
        <v>0</v>
      </c>
      <c r="AJ28" s="10">
        <f>IFERROR(INDEX('TRANS EMP EXTRACT - COST CENTRE'!$A$1:$Z$455,MATCH('Summary - Monthly'!$A28,'TRANS EMP EXTRACT - COST CENTRE'!$A:$A,0),MATCH('Summary - Monthly'!AJ$3,'TRANS EMP EXTRACT - COST CENTRE'!$2:$2,0)),0)</f>
        <v>0</v>
      </c>
      <c r="AK28" s="10">
        <f>IFERROR(INDEX('TRANS EMP EXTRACT - COST CENTRE'!$A$1:$Z$455,MATCH('Summary - Monthly'!$A28,'TRANS EMP EXTRACT - COST CENTRE'!$A:$A,0),MATCH('Summary - Monthly'!AK$3,'TRANS EMP EXTRACT - COST CENTRE'!$2:$2,0)),0)</f>
        <v>0</v>
      </c>
      <c r="AL28" s="10">
        <f>IFERROR(INDEX('TRANS EMP EXTRACT - COST CENTRE'!$A$1:$Z$455,MATCH('Summary - Monthly'!$A28,'TRANS EMP EXTRACT - COST CENTRE'!$A:$A,0),MATCH('Summary - Monthly'!AL$3,'TRANS EMP EXTRACT - COST CENTRE'!$2:$2,0)),0)</f>
        <v>0</v>
      </c>
      <c r="AM28" s="10">
        <f t="shared" si="9"/>
        <v>120.06660000000001</v>
      </c>
      <c r="AN28" s="14">
        <f t="shared" si="2"/>
        <v>2.3026315789473682E-3</v>
      </c>
      <c r="AO28" s="18">
        <f t="shared" si="5"/>
        <v>0.78991184210526322</v>
      </c>
      <c r="AP28" s="18">
        <f t="shared" si="6"/>
        <v>0.68991184210526324</v>
      </c>
      <c r="AQ28" s="10" t="str">
        <f>IFERROR(VLOOKUP(B28,Departments!A:C,3,FALSE),"")</f>
        <v>Microbiology</v>
      </c>
      <c r="AR28" s="10" t="str">
        <f>IFERROR(VLOOKUP(B28,Departments!A:B,2,FALSE),"")</f>
        <v>Bris Micro</v>
      </c>
      <c r="AS28" s="10">
        <f t="shared" si="7"/>
        <v>0</v>
      </c>
      <c r="AT28" s="10">
        <f t="shared" si="8"/>
        <v>15.2</v>
      </c>
      <c r="AU28" s="10" t="str">
        <f>_xlfn.IFNA(VLOOKUP(B28,Departments!A:D,4,FALSE),"")</f>
        <v>Brisbane Micro</v>
      </c>
    </row>
    <row r="29" spans="1:47" ht="14.45" customHeight="1">
      <c r="A29" s="11" t="str">
        <f t="shared" si="3"/>
        <v>12013300220</v>
      </c>
      <c r="B29" s="11">
        <f>'TRANS EMP EXTRACT - COST CENTRE'!B28</f>
        <v>12013300</v>
      </c>
      <c r="C29" s="10" t="str">
        <f>IFERROR(VLOOKUP(E29,'TRANS EMP EXTRACT - EMP CATEGOR'!A:B,2,FALSE),"")</f>
        <v>FT</v>
      </c>
      <c r="D29" s="10" t="str">
        <f>IFERROR(VLOOKUP(E29,'TRANS EMP EXTRACT - EMP CATEGOR'!A:C,3,FALSE),"")</f>
        <v>Fulltime</v>
      </c>
      <c r="E29" s="11">
        <f>'TRANS EMP EXTRACT - COST CENTRE'!D28</f>
        <v>220</v>
      </c>
      <c r="F29" s="10" t="str">
        <f>IFERROR(VLOOKUP(E29,'TRANS EMP EXTRACT - COST CENTRE'!D:E,2,FALSE),"")</f>
        <v>CREMONESI  BRUCE MR</v>
      </c>
      <c r="G29" s="12">
        <f>IFERROR(INDEX('TRANS EMP EXTRACT - COST CENTRE'!$A$1:$Z$455,MATCH('Summary - Monthly'!$A29,'TRANS EMP EXTRACT - COST CENTRE'!$A:$A,0),MATCH('Summary - Monthly'!G$3,'TRANS EMP EXTRACT - COST CENTRE'!$2:$2,0)),"")</f>
        <v>39251</v>
      </c>
      <c r="H29" s="10" t="str">
        <f>IFERROR(INDEX('TRANS EMP EXTRACT - COST CENTRE'!$B$1:$Z$455,MATCH('Summary - Monthly'!$E29,'TRANS EMP EXTRACT - COST CENTRE'!$D:$D,0),MATCH('Summary - Monthly'!H$3,'TRANS EMP EXTRACT - COST CENTRE'!$2:$2,0)),"")</f>
        <v>FN</v>
      </c>
      <c r="I29" s="12" t="str">
        <f>IFERROR(INDEX('TRANS EMP EXTRACT - EMP CATEGOR'!$B$1:$AF$421,MATCH('Summary - Monthly'!$E29,'TRANS EMP EXTRACT - EMP CATEGOR'!$D:$D,0),MATCH('Summary - Monthly'!H$3,'TRANS EMP EXTRACT - EMP CATEGOR'!$2:$2,0)),"")</f>
        <v>FN</v>
      </c>
      <c r="J29" s="41">
        <f t="shared" ca="1" si="0"/>
        <v>443.87799999999999</v>
      </c>
      <c r="K29" s="41">
        <f t="shared" ca="1" si="1"/>
        <v>218.2467</v>
      </c>
      <c r="L29" s="10">
        <f>IFERROR(INDEX('TRANS EMP EXTRACT - COST CENTRE'!$A$1:$Z$455,MATCH('Summary - Monthly'!$A29,'TRANS EMP EXTRACT - COST CENTRE'!$A:$A,0),MATCH('Summary - Monthly'!L$3,'TRANS EMP EXTRACT - COST CENTRE'!$2:$2,0)),"")</f>
        <v>152</v>
      </c>
      <c r="M29" s="10">
        <f>IFERROR(INDEX('TRANS EMP EXTRACT - COST CENTRE'!$A$1:$Z$455,MATCH('Summary - Monthly'!$A29,'TRANS EMP EXTRACT - COST CENTRE'!$A:$A,0),MATCH('Summary - Monthly'!M$3,'TRANS EMP EXTRACT - COST CENTRE'!$2:$2,0)),0)</f>
        <v>0</v>
      </c>
      <c r="N29" s="10">
        <f>IFERROR(INDEX('TRANS EMP EXTRACT - COST CENTRE'!$A$1:$Z$455,MATCH('Summary - Monthly'!$A29,'TRANS EMP EXTRACT - COST CENTRE'!$A:$A,0),MATCH('Summary - Monthly'!N$3,'TRANS EMP EXTRACT - COST CENTRE'!$2:$2,0)),0)</f>
        <v>0</v>
      </c>
      <c r="O29" s="10">
        <f>IFERROR(INDEX('TRANS EMP EXTRACT - COST CENTRE'!$A$1:$Z$455,MATCH('Summary - Monthly'!$A29,'TRANS EMP EXTRACT - COST CENTRE'!$A:$A,0),MATCH('Summary - Monthly'!O$3,'TRANS EMP EXTRACT - COST CENTRE'!$2:$2,0)),0)</f>
        <v>0</v>
      </c>
      <c r="P29" s="10">
        <f>IFERROR(INDEX('TRANS EMP EXTRACT - COST CENTRE'!$A$1:$Z$455,MATCH('Summary - Monthly'!$A29,'TRANS EMP EXTRACT - COST CENTRE'!$A:$A,0),MATCH('Summary - Monthly'!P$3,'TRANS EMP EXTRACT - COST CENTRE'!$2:$2,0)),0)</f>
        <v>0</v>
      </c>
      <c r="Q29" s="10">
        <f>IFERROR(INDEX('TRANS EMP EXTRACT - COST CENTRE'!$A$1:$Z$455,MATCH('Summary - Monthly'!$A29,'TRANS EMP EXTRACT - COST CENTRE'!$A:$A,0),MATCH('Summary - Monthly'!Q$3,'TRANS EMP EXTRACT - COST CENTRE'!$2:$2,0)),0)</f>
        <v>0</v>
      </c>
      <c r="R29" s="10">
        <f>IFERROR(INDEX('TRANS EMP EXTRACT - COST CENTRE'!$A$1:$Z$455,MATCH('Summary - Monthly'!$A29,'TRANS EMP EXTRACT - COST CENTRE'!$A:$A,0),MATCH('Summary - Monthly'!R$3,'TRANS EMP EXTRACT - COST CENTRE'!$2:$2,0)),0)</f>
        <v>0</v>
      </c>
      <c r="S29" s="10">
        <f>IFERROR(INDEX('TRANS EMP EXTRACT - COST CENTRE'!$A$1:$Z$455,MATCH('Summary - Monthly'!$A29,'TRANS EMP EXTRACT - COST CENTRE'!$A:$A,0),MATCH('Summary - Monthly'!S$3,'TRANS EMP EXTRACT - COST CENTRE'!$2:$2,0)),0)</f>
        <v>0</v>
      </c>
      <c r="T29" s="8">
        <f>IFERROR(INDEX('TRANS EMP EXTRACT - COST CENTRE'!$A$1:$Z$455,MATCH('Summary - Monthly'!$A29,'TRANS EMP EXTRACT - COST CENTRE'!$A:$A,0),MATCH('Summary - Monthly'!T$3,'TRANS EMP EXTRACT - COST CENTRE'!$2:$2,0)),0)</f>
        <v>0</v>
      </c>
      <c r="U29" s="13">
        <f>IFERROR(INDEX('TRANS EMP EXTRACT - COST CENTRE'!$A$1:$Z$455,MATCH('Summary - Monthly'!$A29,'TRANS EMP EXTRACT - COST CENTRE'!$A:$A,0),MATCH('Summary - Monthly'!U$3,'TRANS EMP EXTRACT - COST CENTRE'!$2:$2,0)),0)</f>
        <v>0</v>
      </c>
      <c r="V29" s="13">
        <f>IFERROR(INDEX('TRANS EMP EXTRACT - COST CENTRE'!$A$1:$Z$455,MATCH('Summary - Monthly'!$A29,'TRANS EMP EXTRACT - COST CENTRE'!$A:$A,0),MATCH('Summary - Monthly'!V$3,'TRANS EMP EXTRACT - COST CENTRE'!$2:$2,0)),0)</f>
        <v>0</v>
      </c>
      <c r="W29" s="13">
        <f>IFERROR(INDEX('TRANS EMP EXTRACT - COST CENTRE'!$A$1:$Z$455,MATCH('Summary - Monthly'!$A29,'TRANS EMP EXTRACT - COST CENTRE'!$A:$A,0),MATCH('Summary - Monthly'!W$3,'TRANS EMP EXTRACT - COST CENTRE'!$2:$2,0)),0)</f>
        <v>0</v>
      </c>
      <c r="X29" s="13">
        <f>IFERROR(INDEX('TRANS EMP EXTRACT - COST CENTRE'!$A$1:$Z$455,MATCH('Summary - Monthly'!$A29,'TRANS EMP EXTRACT - COST CENTRE'!$A:$A,0),MATCH('Summary - Monthly'!X$3,'TRANS EMP EXTRACT - COST CENTRE'!$2:$2,0)),0)</f>
        <v>0</v>
      </c>
      <c r="Y29" s="13">
        <f>IFERROR(INDEX('TRANS EMP EXTRACT - COST CENTRE'!$A$1:$Z$455,MATCH('Summary - Monthly'!$A29,'TRANS EMP EXTRACT - COST CENTRE'!$A:$A,0),MATCH('Summary - Monthly'!Y$3,'TRANS EMP EXTRACT - COST CENTRE'!$2:$2,0)),0)</f>
        <v>0</v>
      </c>
      <c r="Z29" s="10">
        <f>IFERROR(INDEX('TRANS EMP EXTRACT - COST CENTRE'!$A$1:$Z$455,MATCH('Summary - Monthly'!$A29,'TRANS EMP EXTRACT - COST CENTRE'!$A:$A,0),MATCH('Summary - Monthly'!Z$3,'TRANS EMP EXTRACT - COST CENTRE'!$2:$2,0)),0)</f>
        <v>0</v>
      </c>
      <c r="AA29" s="10">
        <f>IFERROR(INDEX('TRANS EMP EXTRACT - COST CENTRE'!$A$1:$Z$455,MATCH('Summary - Monthly'!$A29,'TRANS EMP EXTRACT - COST CENTRE'!$A:$A,0),MATCH('Summary - Monthly'!AA$3,'TRANS EMP EXTRACT - COST CENTRE'!$2:$2,0)),0)</f>
        <v>0</v>
      </c>
      <c r="AB29" s="10">
        <f>IFERROR(INDEX('TRANS EMP EXTRACT - COST CENTRE'!$A$1:$Z$455,MATCH('Summary - Monthly'!$A29,'TRANS EMP EXTRACT - COST CENTRE'!$A:$A,0),MATCH('Summary - Monthly'!AB$3,'TRANS EMP EXTRACT - COST CENTRE'!$2:$2,0)),0)</f>
        <v>0</v>
      </c>
      <c r="AC29" s="8">
        <f>IFERROR(INDEX('TRANS EMP EXTRACT - COST CENTRE'!$A$1:$Z$455,MATCH('Summary - Monthly'!$A29,'TRANS EMP EXTRACT - COST CENTRE'!$A:$A,0),MATCH('Summary - Monthly'!AC$3,'TRANS EMP EXTRACT - COST CENTRE'!$2:$2,0)),0)</f>
        <v>0</v>
      </c>
      <c r="AD29" s="13">
        <f>IFERROR(INDEX('TRANS EMP EXTRACT - COST CENTRE'!$A$1:$Z$455,MATCH('Summary - Monthly'!$A29,'TRANS EMP EXTRACT - COST CENTRE'!$A:$A,0),MATCH('Summary - Monthly'!AD$3,'TRANS EMP EXTRACT - COST CENTRE'!$2:$2,0)),0)</f>
        <v>0</v>
      </c>
      <c r="AE29" s="13">
        <f>IFERROR(INDEX('TRANS EMP EXTRACT - COST CENTRE'!$A$1:$Z$455,MATCH('Summary - Monthly'!$A29,'TRANS EMP EXTRACT - COST CENTRE'!$A:$A,0),MATCH('Summary - Monthly'!AE$3,'TRANS EMP EXTRACT - COST CENTRE'!$2:$2,0)),0)</f>
        <v>0</v>
      </c>
      <c r="AF29" s="13">
        <f>IFERROR(INDEX('TRANS EMP EXTRACT - COST CENTRE'!$A$1:$Z$455,MATCH('Summary - Monthly'!$A29,'TRANS EMP EXTRACT - COST CENTRE'!$A:$A,0),MATCH('Summary - Monthly'!AF$3,'TRANS EMP EXTRACT - COST CENTRE'!$2:$2,0)),0)</f>
        <v>0</v>
      </c>
      <c r="AG29" s="10">
        <f>IFERROR(INDEX('TRANS EMP EXTRACT - COST CENTRE'!$A$1:$Z$455,MATCH('Summary - Monthly'!$A29,'TRANS EMP EXTRACT - COST CENTRE'!$A:$A,0),MATCH('Summary - Monthly'!AG$3,'TRANS EMP EXTRACT - COST CENTRE'!$2:$2,0)),0)</f>
        <v>0</v>
      </c>
      <c r="AH29" s="10">
        <f>IFERROR(INDEX('TRANS EMP EXTRACT - COST CENTRE'!$A$1:$Z$455,MATCH('Summary - Monthly'!$A29,'TRANS EMP EXTRACT - COST CENTRE'!$A:$A,0),MATCH('Summary - Monthly'!AH$3,'TRANS EMP EXTRACT - COST CENTRE'!$2:$2,0)),0)</f>
        <v>0</v>
      </c>
      <c r="AI29" s="10">
        <f>IFERROR(INDEX('TRANS EMP EXTRACT - COST CENTRE'!$A$1:$Z$455,MATCH('Summary - Monthly'!$A29,'TRANS EMP EXTRACT - COST CENTRE'!$A:$A,0),MATCH('Summary - Monthly'!AI$3,'TRANS EMP EXTRACT - COST CENTRE'!$2:$2,0)),0)</f>
        <v>0</v>
      </c>
      <c r="AJ29" s="10">
        <f>IFERROR(INDEX('TRANS EMP EXTRACT - COST CENTRE'!$A$1:$Z$455,MATCH('Summary - Monthly'!$A29,'TRANS EMP EXTRACT - COST CENTRE'!$A:$A,0),MATCH('Summary - Monthly'!AJ$3,'TRANS EMP EXTRACT - COST CENTRE'!$2:$2,0)),0)</f>
        <v>0</v>
      </c>
      <c r="AK29" s="10">
        <f>IFERROR(INDEX('TRANS EMP EXTRACT - COST CENTRE'!$A$1:$Z$455,MATCH('Summary - Monthly'!$A29,'TRANS EMP EXTRACT - COST CENTRE'!$A:$A,0),MATCH('Summary - Monthly'!AK$3,'TRANS EMP EXTRACT - COST CENTRE'!$2:$2,0)),0)</f>
        <v>0</v>
      </c>
      <c r="AL29" s="10">
        <f>IFERROR(INDEX('TRANS EMP EXTRACT - COST CENTRE'!$A$1:$Z$455,MATCH('Summary - Monthly'!$A29,'TRANS EMP EXTRACT - COST CENTRE'!$A:$A,0),MATCH('Summary - Monthly'!AL$3,'TRANS EMP EXTRACT - COST CENTRE'!$2:$2,0)),0)</f>
        <v>0</v>
      </c>
      <c r="AM29" s="10">
        <f t="shared" si="9"/>
        <v>152</v>
      </c>
      <c r="AN29" s="14">
        <f t="shared" si="2"/>
        <v>0</v>
      </c>
      <c r="AO29" s="18">
        <f t="shared" si="5"/>
        <v>1</v>
      </c>
      <c r="AP29" s="18">
        <f t="shared" si="6"/>
        <v>1</v>
      </c>
      <c r="AQ29" s="10" t="str">
        <f>IFERROR(VLOOKUP(B29,Departments!A:C,3,FALSE),"")</f>
        <v>IT</v>
      </c>
      <c r="AR29" s="10" t="str">
        <f>IFERROR(VLOOKUP(B29,Departments!A:B,2,FALSE),"")</f>
        <v>IT</v>
      </c>
      <c r="AS29" s="10">
        <f t="shared" si="7"/>
        <v>0</v>
      </c>
      <c r="AT29" s="10">
        <f t="shared" si="8"/>
        <v>0</v>
      </c>
      <c r="AU29" s="10" t="str">
        <f>_xlfn.IFNA(VLOOKUP(B29,Departments!A:D,4,FALSE),"")</f>
        <v>IT</v>
      </c>
    </row>
    <row r="30" spans="1:47" ht="14.45" customHeight="1">
      <c r="A30" s="11" t="str">
        <f t="shared" si="3"/>
        <v>1206809918876</v>
      </c>
      <c r="B30" s="11">
        <f>'TRANS EMP EXTRACT - COST CENTRE'!B29</f>
        <v>12068099</v>
      </c>
      <c r="C30" s="10" t="str">
        <f>IFERROR(VLOOKUP(E30,'TRANS EMP EXTRACT - EMP CATEGOR'!A:B,2,FALSE),"")</f>
        <v>FT</v>
      </c>
      <c r="D30" s="10" t="str">
        <f>IFERROR(VLOOKUP(E30,'TRANS EMP EXTRACT - EMP CATEGOR'!A:C,3,FALSE),"")</f>
        <v>Fulltime</v>
      </c>
      <c r="E30" s="11">
        <f>'TRANS EMP EXTRACT - COST CENTRE'!D29</f>
        <v>18876</v>
      </c>
      <c r="F30" s="10" t="str">
        <f>IFERROR(VLOOKUP(E30,'TRANS EMP EXTRACT - COST CENTRE'!D:E,2,FALSE),"")</f>
        <v>DANIELLS  MARIE MISS</v>
      </c>
      <c r="G30" s="12">
        <f>IFERROR(INDEX('TRANS EMP EXTRACT - COST CENTRE'!$A$1:$Z$455,MATCH('Summary - Monthly'!$A30,'TRANS EMP EXTRACT - COST CENTRE'!$A:$A,0),MATCH('Summary - Monthly'!G$3,'TRANS EMP EXTRACT - COST CENTRE'!$2:$2,0)),"")</f>
        <v>43584</v>
      </c>
      <c r="H30" s="10" t="str">
        <f>IFERROR(INDEX('TRANS EMP EXTRACT - COST CENTRE'!$B$1:$Z$455,MATCH('Summary - Monthly'!$E30,'TRANS EMP EXTRACT - COST CENTRE'!$D:$D,0),MATCH('Summary - Monthly'!H$3,'TRANS EMP EXTRACT - COST CENTRE'!$2:$2,0)),"")</f>
        <v>FN</v>
      </c>
      <c r="I30" s="12" t="str">
        <f>IFERROR(INDEX('TRANS EMP EXTRACT - EMP CATEGOR'!$B$1:$AF$421,MATCH('Summary - Monthly'!$E30,'TRANS EMP EXTRACT - EMP CATEGOR'!$D:$D,0),MATCH('Summary - Monthly'!H$3,'TRANS EMP EXTRACT - EMP CATEGOR'!$2:$2,0)),"")</f>
        <v>FN</v>
      </c>
      <c r="J30" s="41">
        <f t="shared" ca="1" si="0"/>
        <v>204.1397</v>
      </c>
      <c r="K30" s="41">
        <f t="shared" ca="1" si="1"/>
        <v>93.279499999999999</v>
      </c>
      <c r="L30" s="10">
        <f>IFERROR(INDEX('TRANS EMP EXTRACT - COST CENTRE'!$A$1:$Z$455,MATCH('Summary - Monthly'!$A30,'TRANS EMP EXTRACT - COST CENTRE'!$A:$A,0),MATCH('Summary - Monthly'!L$3,'TRANS EMP EXTRACT - COST CENTRE'!$2:$2,0)),"")</f>
        <v>144.4</v>
      </c>
      <c r="M30" s="10">
        <f>IFERROR(INDEX('TRANS EMP EXTRACT - COST CENTRE'!$A$1:$Z$455,MATCH('Summary - Monthly'!$A30,'TRANS EMP EXTRACT - COST CENTRE'!$A:$A,0),MATCH('Summary - Monthly'!M$3,'TRANS EMP EXTRACT - COST CENTRE'!$2:$2,0)),0)</f>
        <v>0</v>
      </c>
      <c r="N30" s="10">
        <f>IFERROR(INDEX('TRANS EMP EXTRACT - COST CENTRE'!$A$1:$Z$455,MATCH('Summary - Monthly'!$A30,'TRANS EMP EXTRACT - COST CENTRE'!$A:$A,0),MATCH('Summary - Monthly'!N$3,'TRANS EMP EXTRACT - COST CENTRE'!$2:$2,0)),0)</f>
        <v>0</v>
      </c>
      <c r="O30" s="10">
        <f>IFERROR(INDEX('TRANS EMP EXTRACT - COST CENTRE'!$A$1:$Z$455,MATCH('Summary - Monthly'!$A30,'TRANS EMP EXTRACT - COST CENTRE'!$A:$A,0),MATCH('Summary - Monthly'!O$3,'TRANS EMP EXTRACT - COST CENTRE'!$2:$2,0)),0)</f>
        <v>0</v>
      </c>
      <c r="P30" s="10">
        <f>IFERROR(INDEX('TRANS EMP EXTRACT - COST CENTRE'!$A$1:$Z$455,MATCH('Summary - Monthly'!$A30,'TRANS EMP EXTRACT - COST CENTRE'!$A:$A,0),MATCH('Summary - Monthly'!P$3,'TRANS EMP EXTRACT - COST CENTRE'!$2:$2,0)),0)</f>
        <v>0</v>
      </c>
      <c r="Q30" s="10">
        <f>IFERROR(INDEX('TRANS EMP EXTRACT - COST CENTRE'!$A$1:$Z$455,MATCH('Summary - Monthly'!$A30,'TRANS EMP EXTRACT - COST CENTRE'!$A:$A,0),MATCH('Summary - Monthly'!Q$3,'TRANS EMP EXTRACT - COST CENTRE'!$2:$2,0)),0)</f>
        <v>0</v>
      </c>
      <c r="R30" s="10">
        <f>IFERROR(INDEX('TRANS EMP EXTRACT - COST CENTRE'!$A$1:$Z$455,MATCH('Summary - Monthly'!$A30,'TRANS EMP EXTRACT - COST CENTRE'!$A:$A,0),MATCH('Summary - Monthly'!R$3,'TRANS EMP EXTRACT - COST CENTRE'!$2:$2,0)),0)</f>
        <v>0</v>
      </c>
      <c r="S30" s="10">
        <f>IFERROR(INDEX('TRANS EMP EXTRACT - COST CENTRE'!$A$1:$Z$455,MATCH('Summary - Monthly'!$A30,'TRANS EMP EXTRACT - COST CENTRE'!$A:$A,0),MATCH('Summary - Monthly'!S$3,'TRANS EMP EXTRACT - COST CENTRE'!$2:$2,0)),0)</f>
        <v>0</v>
      </c>
      <c r="T30" s="8">
        <f>IFERROR(INDEX('TRANS EMP EXTRACT - COST CENTRE'!$A$1:$Z$455,MATCH('Summary - Monthly'!$A30,'TRANS EMP EXTRACT - COST CENTRE'!$A:$A,0),MATCH('Summary - Monthly'!T$3,'TRANS EMP EXTRACT - COST CENTRE'!$2:$2,0)),0)</f>
        <v>0</v>
      </c>
      <c r="U30" s="13">
        <f>IFERROR(INDEX('TRANS EMP EXTRACT - COST CENTRE'!$A$1:$Z$455,MATCH('Summary - Monthly'!$A30,'TRANS EMP EXTRACT - COST CENTRE'!$A:$A,0),MATCH('Summary - Monthly'!U$3,'TRANS EMP EXTRACT - COST CENTRE'!$2:$2,0)),0)</f>
        <v>7.6</v>
      </c>
      <c r="V30" s="13">
        <f>IFERROR(INDEX('TRANS EMP EXTRACT - COST CENTRE'!$A$1:$Z$455,MATCH('Summary - Monthly'!$A30,'TRANS EMP EXTRACT - COST CENTRE'!$A:$A,0),MATCH('Summary - Monthly'!V$3,'TRANS EMP EXTRACT - COST CENTRE'!$2:$2,0)),0)</f>
        <v>0</v>
      </c>
      <c r="W30" s="13">
        <f>IFERROR(INDEX('TRANS EMP EXTRACT - COST CENTRE'!$A$1:$Z$455,MATCH('Summary - Monthly'!$A30,'TRANS EMP EXTRACT - COST CENTRE'!$A:$A,0),MATCH('Summary - Monthly'!W$3,'TRANS EMP EXTRACT - COST CENTRE'!$2:$2,0)),0)</f>
        <v>0</v>
      </c>
      <c r="X30" s="13">
        <f>IFERROR(INDEX('TRANS EMP EXTRACT - COST CENTRE'!$A$1:$Z$455,MATCH('Summary - Monthly'!$A30,'TRANS EMP EXTRACT - COST CENTRE'!$A:$A,0),MATCH('Summary - Monthly'!X$3,'TRANS EMP EXTRACT - COST CENTRE'!$2:$2,0)),0)</f>
        <v>0</v>
      </c>
      <c r="Y30" s="13">
        <f>IFERROR(INDEX('TRANS EMP EXTRACT - COST CENTRE'!$A$1:$Z$455,MATCH('Summary - Monthly'!$A30,'TRANS EMP EXTRACT - COST CENTRE'!$A:$A,0),MATCH('Summary - Monthly'!Y$3,'TRANS EMP EXTRACT - COST CENTRE'!$2:$2,0)),0)</f>
        <v>0</v>
      </c>
      <c r="Z30" s="10">
        <f>IFERROR(INDEX('TRANS EMP EXTRACT - COST CENTRE'!$A$1:$Z$455,MATCH('Summary - Monthly'!$A30,'TRANS EMP EXTRACT - COST CENTRE'!$A:$A,0),MATCH('Summary - Monthly'!Z$3,'TRANS EMP EXTRACT - COST CENTRE'!$2:$2,0)),0)</f>
        <v>0</v>
      </c>
      <c r="AA30" s="10">
        <f>IFERROR(INDEX('TRANS EMP EXTRACT - COST CENTRE'!$A$1:$Z$455,MATCH('Summary - Monthly'!$A30,'TRANS EMP EXTRACT - COST CENTRE'!$A:$A,0),MATCH('Summary - Monthly'!AA$3,'TRANS EMP EXTRACT - COST CENTRE'!$2:$2,0)),0)</f>
        <v>0</v>
      </c>
      <c r="AB30" s="10">
        <f>IFERROR(INDEX('TRANS EMP EXTRACT - COST CENTRE'!$A$1:$Z$455,MATCH('Summary - Monthly'!$A30,'TRANS EMP EXTRACT - COST CENTRE'!$A:$A,0),MATCH('Summary - Monthly'!AB$3,'TRANS EMP EXTRACT - COST CENTRE'!$2:$2,0)),0)</f>
        <v>0</v>
      </c>
      <c r="AC30" s="8">
        <f>IFERROR(INDEX('TRANS EMP EXTRACT - COST CENTRE'!$A$1:$Z$455,MATCH('Summary - Monthly'!$A30,'TRANS EMP EXTRACT - COST CENTRE'!$A:$A,0),MATCH('Summary - Monthly'!AC$3,'TRANS EMP EXTRACT - COST CENTRE'!$2:$2,0)),0)</f>
        <v>0</v>
      </c>
      <c r="AD30" s="13">
        <f>IFERROR(INDEX('TRANS EMP EXTRACT - COST CENTRE'!$A$1:$Z$455,MATCH('Summary - Monthly'!$A30,'TRANS EMP EXTRACT - COST CENTRE'!$A:$A,0),MATCH('Summary - Monthly'!AD$3,'TRANS EMP EXTRACT - COST CENTRE'!$2:$2,0)),0)</f>
        <v>0</v>
      </c>
      <c r="AE30" s="13">
        <f>IFERROR(INDEX('TRANS EMP EXTRACT - COST CENTRE'!$A$1:$Z$455,MATCH('Summary - Monthly'!$A30,'TRANS EMP EXTRACT - COST CENTRE'!$A:$A,0),MATCH('Summary - Monthly'!AE$3,'TRANS EMP EXTRACT - COST CENTRE'!$2:$2,0)),0)</f>
        <v>0</v>
      </c>
      <c r="AF30" s="13">
        <f>IFERROR(INDEX('TRANS EMP EXTRACT - COST CENTRE'!$A$1:$Z$455,MATCH('Summary - Monthly'!$A30,'TRANS EMP EXTRACT - COST CENTRE'!$A:$A,0),MATCH('Summary - Monthly'!AF$3,'TRANS EMP EXTRACT - COST CENTRE'!$2:$2,0)),0)</f>
        <v>0</v>
      </c>
      <c r="AG30" s="10">
        <f>IFERROR(INDEX('TRANS EMP EXTRACT - COST CENTRE'!$A$1:$Z$455,MATCH('Summary - Monthly'!$A30,'TRANS EMP EXTRACT - COST CENTRE'!$A:$A,0),MATCH('Summary - Monthly'!AG$3,'TRANS EMP EXTRACT - COST CENTRE'!$2:$2,0)),0)</f>
        <v>0</v>
      </c>
      <c r="AH30" s="10">
        <f>IFERROR(INDEX('TRANS EMP EXTRACT - COST CENTRE'!$A$1:$Z$455,MATCH('Summary - Monthly'!$A30,'TRANS EMP EXTRACT - COST CENTRE'!$A:$A,0),MATCH('Summary - Monthly'!AH$3,'TRANS EMP EXTRACT - COST CENTRE'!$2:$2,0)),0)</f>
        <v>0</v>
      </c>
      <c r="AI30" s="10">
        <f>IFERROR(INDEX('TRANS EMP EXTRACT - COST CENTRE'!$A$1:$Z$455,MATCH('Summary - Monthly'!$A30,'TRANS EMP EXTRACT - COST CENTRE'!$A:$A,0),MATCH('Summary - Monthly'!AI$3,'TRANS EMP EXTRACT - COST CENTRE'!$2:$2,0)),0)</f>
        <v>0</v>
      </c>
      <c r="AJ30" s="10">
        <f>IFERROR(INDEX('TRANS EMP EXTRACT - COST CENTRE'!$A$1:$Z$455,MATCH('Summary - Monthly'!$A30,'TRANS EMP EXTRACT - COST CENTRE'!$A:$A,0),MATCH('Summary - Monthly'!AJ$3,'TRANS EMP EXTRACT - COST CENTRE'!$2:$2,0)),0)</f>
        <v>0</v>
      </c>
      <c r="AK30" s="10">
        <f>IFERROR(INDEX('TRANS EMP EXTRACT - COST CENTRE'!$A$1:$Z$455,MATCH('Summary - Monthly'!$A30,'TRANS EMP EXTRACT - COST CENTRE'!$A:$A,0),MATCH('Summary - Monthly'!AK$3,'TRANS EMP EXTRACT - COST CENTRE'!$2:$2,0)),0)</f>
        <v>0</v>
      </c>
      <c r="AL30" s="10">
        <f>IFERROR(INDEX('TRANS EMP EXTRACT - COST CENTRE'!$A$1:$Z$455,MATCH('Summary - Monthly'!$A30,'TRANS EMP EXTRACT - COST CENTRE'!$A:$A,0),MATCH('Summary - Monthly'!AL$3,'TRANS EMP EXTRACT - COST CENTRE'!$2:$2,0)),0)</f>
        <v>0</v>
      </c>
      <c r="AM30" s="10">
        <f t="shared" si="9"/>
        <v>152</v>
      </c>
      <c r="AN30" s="14">
        <f t="shared" si="2"/>
        <v>0</v>
      </c>
      <c r="AO30" s="18">
        <f t="shared" si="5"/>
        <v>1</v>
      </c>
      <c r="AP30" s="18">
        <f t="shared" si="6"/>
        <v>0.95000000000000007</v>
      </c>
      <c r="AQ30" s="10" t="str">
        <f>IFERROR(VLOOKUP(B30,Departments!A:C,3,FALSE),"")</f>
        <v>Sales &amp; Marketing</v>
      </c>
      <c r="AR30" s="10" t="str">
        <f>IFERROR(VLOOKUP(B30,Departments!A:B,2,FALSE),"")</f>
        <v>Perth Sales</v>
      </c>
      <c r="AS30" s="10">
        <f t="shared" si="7"/>
        <v>0</v>
      </c>
      <c r="AT30" s="10">
        <f t="shared" si="8"/>
        <v>7.6</v>
      </c>
      <c r="AU30" s="10" t="str">
        <f>_xlfn.IFNA(VLOOKUP(B30,Departments!A:D,4,FALSE),"")</f>
        <v>S&amp;M</v>
      </c>
    </row>
    <row r="31" spans="1:47" ht="14.45" customHeight="1">
      <c r="A31" s="11" t="str">
        <f t="shared" si="3"/>
        <v>1204301118942</v>
      </c>
      <c r="B31" s="11">
        <f>'TRANS EMP EXTRACT - COST CENTRE'!B30</f>
        <v>12043011</v>
      </c>
      <c r="C31" s="10" t="str">
        <f>IFERROR(VLOOKUP(E31,'TRANS EMP EXTRACT - EMP CATEGOR'!A:B,2,FALSE),"")</f>
        <v>FT</v>
      </c>
      <c r="D31" s="10" t="str">
        <f>IFERROR(VLOOKUP(E31,'TRANS EMP EXTRACT - EMP CATEGOR'!A:C,3,FALSE),"")</f>
        <v>Fulltime</v>
      </c>
      <c r="E31" s="11">
        <f>'TRANS EMP EXTRACT - COST CENTRE'!D30</f>
        <v>18942</v>
      </c>
      <c r="F31" s="10" t="str">
        <f>IFERROR(VLOOKUP(E31,'TRANS EMP EXTRACT - COST CENTRE'!D:E,2,FALSE),"")</f>
        <v>DELANEY  MEGAN FIONA MS</v>
      </c>
      <c r="G31" s="12">
        <f>IFERROR(INDEX('TRANS EMP EXTRACT - COST CENTRE'!$A$1:$Z$455,MATCH('Summary - Monthly'!$A31,'TRANS EMP EXTRACT - COST CENTRE'!$A:$A,0),MATCH('Summary - Monthly'!G$3,'TRANS EMP EXTRACT - COST CENTRE'!$2:$2,0)),"")</f>
        <v>44257</v>
      </c>
      <c r="H31" s="10" t="str">
        <f>IFERROR(INDEX('TRANS EMP EXTRACT - COST CENTRE'!$B$1:$Z$455,MATCH('Summary - Monthly'!$E31,'TRANS EMP EXTRACT - COST CENTRE'!$D:$D,0),MATCH('Summary - Monthly'!H$3,'TRANS EMP EXTRACT - COST CENTRE'!$2:$2,0)),"")</f>
        <v>RT</v>
      </c>
      <c r="I31" s="12" t="str">
        <f>IFERROR(INDEX('TRANS EMP EXTRACT - EMP CATEGOR'!$B$1:$AF$421,MATCH('Summary - Monthly'!$E31,'TRANS EMP EXTRACT - EMP CATEGOR'!$D:$D,0),MATCH('Summary - Monthly'!H$3,'TRANS EMP EXTRACT - EMP CATEGOR'!$2:$2,0)),"")</f>
        <v>RT</v>
      </c>
      <c r="J31" s="41">
        <f t="shared" ca="1" si="0"/>
        <v>0.61529999999999996</v>
      </c>
      <c r="K31" s="41">
        <f t="shared" ca="1" si="1"/>
        <v>29.630600000000001</v>
      </c>
      <c r="L31" s="10">
        <f>IFERROR(INDEX('TRANS EMP EXTRACT - COST CENTRE'!$A$1:$Z$455,MATCH('Summary - Monthly'!$A31,'TRANS EMP EXTRACT - COST CENTRE'!$A:$A,0),MATCH('Summary - Monthly'!L$3,'TRANS EMP EXTRACT - COST CENTRE'!$2:$2,0)),"")</f>
        <v>89.733400000000003</v>
      </c>
      <c r="M31" s="10">
        <f>IFERROR(INDEX('TRANS EMP EXTRACT - COST CENTRE'!$A$1:$Z$455,MATCH('Summary - Monthly'!$A31,'TRANS EMP EXTRACT - COST CENTRE'!$A:$A,0),MATCH('Summary - Monthly'!M$3,'TRANS EMP EXTRACT - COST CENTRE'!$2:$2,0)),0)</f>
        <v>0</v>
      </c>
      <c r="N31" s="10">
        <f>IFERROR(INDEX('TRANS EMP EXTRACT - COST CENTRE'!$A$1:$Z$455,MATCH('Summary - Monthly'!$A31,'TRANS EMP EXTRACT - COST CENTRE'!$A:$A,0),MATCH('Summary - Monthly'!N$3,'TRANS EMP EXTRACT - COST CENTRE'!$2:$2,0)),0)</f>
        <v>0</v>
      </c>
      <c r="O31" s="10">
        <f>IFERROR(INDEX('TRANS EMP EXTRACT - COST CENTRE'!$A$1:$Z$455,MATCH('Summary - Monthly'!$A31,'TRANS EMP EXTRACT - COST CENTRE'!$A:$A,0),MATCH('Summary - Monthly'!O$3,'TRANS EMP EXTRACT - COST CENTRE'!$2:$2,0)),0)</f>
        <v>0</v>
      </c>
      <c r="P31" s="10">
        <f>IFERROR(INDEX('TRANS EMP EXTRACT - COST CENTRE'!$A$1:$Z$455,MATCH('Summary - Monthly'!$A31,'TRANS EMP EXTRACT - COST CENTRE'!$A:$A,0),MATCH('Summary - Monthly'!P$3,'TRANS EMP EXTRACT - COST CENTRE'!$2:$2,0)),0)</f>
        <v>29.816700000000001</v>
      </c>
      <c r="Q31" s="10">
        <f>IFERROR(INDEX('TRANS EMP EXTRACT - COST CENTRE'!$A$1:$Z$455,MATCH('Summary - Monthly'!$A31,'TRANS EMP EXTRACT - COST CENTRE'!$A:$A,0),MATCH('Summary - Monthly'!Q$3,'TRANS EMP EXTRACT - COST CENTRE'!$2:$2,0)),0)</f>
        <v>0.18329999999999999</v>
      </c>
      <c r="R31" s="10">
        <f>IFERROR(INDEX('TRANS EMP EXTRACT - COST CENTRE'!$A$1:$Z$455,MATCH('Summary - Monthly'!$A31,'TRANS EMP EXTRACT - COST CENTRE'!$A:$A,0),MATCH('Summary - Monthly'!R$3,'TRANS EMP EXTRACT - COST CENTRE'!$2:$2,0)),0)</f>
        <v>0</v>
      </c>
      <c r="S31" s="10">
        <f>IFERROR(INDEX('TRANS EMP EXTRACT - COST CENTRE'!$A$1:$Z$455,MATCH('Summary - Monthly'!$A31,'TRANS EMP EXTRACT - COST CENTRE'!$A:$A,0),MATCH('Summary - Monthly'!S$3,'TRANS EMP EXTRACT - COST CENTRE'!$2:$2,0)),0)</f>
        <v>0</v>
      </c>
      <c r="T31" s="8">
        <f>IFERROR(INDEX('TRANS EMP EXTRACT - COST CENTRE'!$A$1:$Z$455,MATCH('Summary - Monthly'!$A31,'TRANS EMP EXTRACT - COST CENTRE'!$A:$A,0),MATCH('Summary - Monthly'!T$3,'TRANS EMP EXTRACT - COST CENTRE'!$2:$2,0)),0)</f>
        <v>0</v>
      </c>
      <c r="U31" s="13">
        <f>IFERROR(INDEX('TRANS EMP EXTRACT - COST CENTRE'!$A$1:$Z$455,MATCH('Summary - Monthly'!$A31,'TRANS EMP EXTRACT - COST CENTRE'!$A:$A,0),MATCH('Summary - Monthly'!U$3,'TRANS EMP EXTRACT - COST CENTRE'!$2:$2,0)),0)</f>
        <v>9.1999999999999993</v>
      </c>
      <c r="V31" s="13">
        <f>IFERROR(INDEX('TRANS EMP EXTRACT - COST CENTRE'!$A$1:$Z$455,MATCH('Summary - Monthly'!$A31,'TRANS EMP EXTRACT - COST CENTRE'!$A:$A,0),MATCH('Summary - Monthly'!V$3,'TRANS EMP EXTRACT - COST CENTRE'!$2:$2,0)),0)</f>
        <v>21.2</v>
      </c>
      <c r="W31" s="13">
        <f>IFERROR(INDEX('TRANS EMP EXTRACT - COST CENTRE'!$A$1:$Z$455,MATCH('Summary - Monthly'!$A31,'TRANS EMP EXTRACT - COST CENTRE'!$A:$A,0),MATCH('Summary - Monthly'!W$3,'TRANS EMP EXTRACT - COST CENTRE'!$2:$2,0)),0)</f>
        <v>0</v>
      </c>
      <c r="X31" s="13">
        <f>IFERROR(INDEX('TRANS EMP EXTRACT - COST CENTRE'!$A$1:$Z$455,MATCH('Summary - Monthly'!$A31,'TRANS EMP EXTRACT - COST CENTRE'!$A:$A,0),MATCH('Summary - Monthly'!X$3,'TRANS EMP EXTRACT - COST CENTRE'!$2:$2,0)),0)</f>
        <v>0</v>
      </c>
      <c r="Y31" s="13">
        <f>IFERROR(INDEX('TRANS EMP EXTRACT - COST CENTRE'!$A$1:$Z$455,MATCH('Summary - Monthly'!$A31,'TRANS EMP EXTRACT - COST CENTRE'!$A:$A,0),MATCH('Summary - Monthly'!Y$3,'TRANS EMP EXTRACT - COST CENTRE'!$2:$2,0)),0)</f>
        <v>0</v>
      </c>
      <c r="Z31" s="10">
        <f>IFERROR(INDEX('TRANS EMP EXTRACT - COST CENTRE'!$A$1:$Z$455,MATCH('Summary - Monthly'!$A31,'TRANS EMP EXTRACT - COST CENTRE'!$A:$A,0),MATCH('Summary - Monthly'!Z$3,'TRANS EMP EXTRACT - COST CENTRE'!$2:$2,0)),0)</f>
        <v>0</v>
      </c>
      <c r="AA31" s="10">
        <f>IFERROR(INDEX('TRANS EMP EXTRACT - COST CENTRE'!$A$1:$Z$455,MATCH('Summary - Monthly'!$A31,'TRANS EMP EXTRACT - COST CENTRE'!$A:$A,0),MATCH('Summary - Monthly'!AA$3,'TRANS EMP EXTRACT - COST CENTRE'!$2:$2,0)),0)</f>
        <v>0</v>
      </c>
      <c r="AB31" s="10">
        <f>IFERROR(INDEX('TRANS EMP EXTRACT - COST CENTRE'!$A$1:$Z$455,MATCH('Summary - Monthly'!$A31,'TRANS EMP EXTRACT - COST CENTRE'!$A:$A,0),MATCH('Summary - Monthly'!AB$3,'TRANS EMP EXTRACT - COST CENTRE'!$2:$2,0)),0)</f>
        <v>0</v>
      </c>
      <c r="AC31" s="8">
        <f>IFERROR(INDEX('TRANS EMP EXTRACT - COST CENTRE'!$A$1:$Z$455,MATCH('Summary - Monthly'!$A31,'TRANS EMP EXTRACT - COST CENTRE'!$A:$A,0),MATCH('Summary - Monthly'!AC$3,'TRANS EMP EXTRACT - COST CENTRE'!$2:$2,0)),0)</f>
        <v>0</v>
      </c>
      <c r="AD31" s="13">
        <f>IFERROR(INDEX('TRANS EMP EXTRACT - COST CENTRE'!$A$1:$Z$455,MATCH('Summary - Monthly'!$A31,'TRANS EMP EXTRACT - COST CENTRE'!$A:$A,0),MATCH('Summary - Monthly'!AD$3,'TRANS EMP EXTRACT - COST CENTRE'!$2:$2,0)),0)</f>
        <v>0</v>
      </c>
      <c r="AE31" s="13">
        <f>IFERROR(INDEX('TRANS EMP EXTRACT - COST CENTRE'!$A$1:$Z$455,MATCH('Summary - Monthly'!$A31,'TRANS EMP EXTRACT - COST CENTRE'!$A:$A,0),MATCH('Summary - Monthly'!AE$3,'TRANS EMP EXTRACT - COST CENTRE'!$2:$2,0)),0)</f>
        <v>0</v>
      </c>
      <c r="AF31" s="13">
        <f>IFERROR(INDEX('TRANS EMP EXTRACT - COST CENTRE'!$A$1:$Z$455,MATCH('Summary - Monthly'!$A31,'TRANS EMP EXTRACT - COST CENTRE'!$A:$A,0),MATCH('Summary - Monthly'!AF$3,'TRANS EMP EXTRACT - COST CENTRE'!$2:$2,0)),0)</f>
        <v>0</v>
      </c>
      <c r="AG31" s="10">
        <f>IFERROR(INDEX('TRANS EMP EXTRACT - COST CENTRE'!$A$1:$Z$455,MATCH('Summary - Monthly'!$A31,'TRANS EMP EXTRACT - COST CENTRE'!$A:$A,0),MATCH('Summary - Monthly'!AG$3,'TRANS EMP EXTRACT - COST CENTRE'!$2:$2,0)),0)</f>
        <v>0</v>
      </c>
      <c r="AH31" s="10">
        <f>IFERROR(INDEX('TRANS EMP EXTRACT - COST CENTRE'!$A$1:$Z$455,MATCH('Summary - Monthly'!$A31,'TRANS EMP EXTRACT - COST CENTRE'!$A:$A,0),MATCH('Summary - Monthly'!AH$3,'TRANS EMP EXTRACT - COST CENTRE'!$2:$2,0)),0)</f>
        <v>0</v>
      </c>
      <c r="AI31" s="10">
        <f>IFERROR(INDEX('TRANS EMP EXTRACT - COST CENTRE'!$A$1:$Z$455,MATCH('Summary - Monthly'!$A31,'TRANS EMP EXTRACT - COST CENTRE'!$A:$A,0),MATCH('Summary - Monthly'!AI$3,'TRANS EMP EXTRACT - COST CENTRE'!$2:$2,0)),0)</f>
        <v>0</v>
      </c>
      <c r="AJ31" s="10">
        <f>IFERROR(INDEX('TRANS EMP EXTRACT - COST CENTRE'!$A$1:$Z$455,MATCH('Summary - Monthly'!$A31,'TRANS EMP EXTRACT - COST CENTRE'!$A:$A,0),MATCH('Summary - Monthly'!AJ$3,'TRANS EMP EXTRACT - COST CENTRE'!$2:$2,0)),0)</f>
        <v>0</v>
      </c>
      <c r="AK31" s="10">
        <f>IFERROR(INDEX('TRANS EMP EXTRACT - COST CENTRE'!$A$1:$Z$455,MATCH('Summary - Monthly'!$A31,'TRANS EMP EXTRACT - COST CENTRE'!$A:$A,0),MATCH('Summary - Monthly'!AK$3,'TRANS EMP EXTRACT - COST CENTRE'!$2:$2,0)),0)</f>
        <v>0</v>
      </c>
      <c r="AL31" s="10">
        <f>IFERROR(INDEX('TRANS EMP EXTRACT - COST CENTRE'!$A$1:$Z$455,MATCH('Summary - Monthly'!$A31,'TRANS EMP EXTRACT - COST CENTRE'!$A:$A,0),MATCH('Summary - Monthly'!AL$3,'TRANS EMP EXTRACT - COST CENTRE'!$2:$2,0)),0)</f>
        <v>0</v>
      </c>
      <c r="AM31" s="10">
        <f t="shared" si="9"/>
        <v>150.13339999999999</v>
      </c>
      <c r="AN31" s="14">
        <f t="shared" si="2"/>
        <v>1.205921052631579E-3</v>
      </c>
      <c r="AO31" s="18">
        <f t="shared" si="5"/>
        <v>0.98771973684210523</v>
      </c>
      <c r="AP31" s="18">
        <f t="shared" si="6"/>
        <v>0.78771973684210517</v>
      </c>
      <c r="AQ31" s="10" t="str">
        <f>IFERROR(VLOOKUP(B31,Departments!A:C,3,FALSE),"")</f>
        <v>Microbiology</v>
      </c>
      <c r="AR31" s="10" t="str">
        <f>IFERROR(VLOOKUP(B31,Departments!A:B,2,FALSE),"")</f>
        <v>Bris Micro</v>
      </c>
      <c r="AS31" s="10">
        <f t="shared" si="7"/>
        <v>21.2</v>
      </c>
      <c r="AT31" s="10">
        <f t="shared" si="8"/>
        <v>30.4</v>
      </c>
      <c r="AU31" s="10" t="str">
        <f>_xlfn.IFNA(VLOOKUP(B31,Departments!A:D,4,FALSE),"")</f>
        <v>Brisbane Micro</v>
      </c>
    </row>
    <row r="32" spans="1:47" ht="14.45" customHeight="1">
      <c r="A32" s="11" t="str">
        <f t="shared" si="3"/>
        <v>1204251118650</v>
      </c>
      <c r="B32" s="11">
        <f>'TRANS EMP EXTRACT - COST CENTRE'!B31</f>
        <v>12042511</v>
      </c>
      <c r="C32" s="10" t="str">
        <f>IFERROR(VLOOKUP(E32,'TRANS EMP EXTRACT - EMP CATEGOR'!A:B,2,FALSE),"")</f>
        <v>PT</v>
      </c>
      <c r="D32" s="10" t="str">
        <f>IFERROR(VLOOKUP(E32,'TRANS EMP EXTRACT - EMP CATEGOR'!A:C,3,FALSE),"")</f>
        <v>Parttime</v>
      </c>
      <c r="E32" s="11">
        <f>'TRANS EMP EXTRACT - COST CENTRE'!D31</f>
        <v>18650</v>
      </c>
      <c r="F32" s="10" t="str">
        <f>IFERROR(VLOOKUP(E32,'TRANS EMP EXTRACT - COST CENTRE'!D:E,2,FALSE),"")</f>
        <v>DEMARCHI  STELLA MRS</v>
      </c>
      <c r="G32" s="12">
        <f>IFERROR(INDEX('TRANS EMP EXTRACT - COST CENTRE'!$A$1:$Z$455,MATCH('Summary - Monthly'!$A32,'TRANS EMP EXTRACT - COST CENTRE'!$A:$A,0),MATCH('Summary - Monthly'!G$3,'TRANS EMP EXTRACT - COST CENTRE'!$2:$2,0)),"")</f>
        <v>39727</v>
      </c>
      <c r="H32" s="10" t="str">
        <f>IFERROR(INDEX('TRANS EMP EXTRACT - COST CENTRE'!$B$1:$Z$455,MATCH('Summary - Monthly'!$E32,'TRANS EMP EXTRACT - COST CENTRE'!$D:$D,0),MATCH('Summary - Monthly'!H$3,'TRANS EMP EXTRACT - COST CENTRE'!$2:$2,0)),"")</f>
        <v>RT</v>
      </c>
      <c r="I32" s="12" t="str">
        <f>IFERROR(INDEX('TRANS EMP EXTRACT - EMP CATEGOR'!$B$1:$AF$421,MATCH('Summary - Monthly'!$E32,'TRANS EMP EXTRACT - EMP CATEGOR'!$D:$D,0),MATCH('Summary - Monthly'!H$3,'TRANS EMP EXTRACT - EMP CATEGOR'!$2:$2,0)),"")</f>
        <v>RT</v>
      </c>
      <c r="J32" s="41">
        <f t="shared" ca="1" si="0"/>
        <v>6.5667</v>
      </c>
      <c r="K32" s="41">
        <f t="shared" ca="1" si="1"/>
        <v>70.874799999999993</v>
      </c>
      <c r="L32" s="10">
        <f>IFERROR(INDEX('TRANS EMP EXTRACT - COST CENTRE'!$A$1:$Z$455,MATCH('Summary - Monthly'!$A32,'TRANS EMP EXTRACT - COST CENTRE'!$A:$A,0),MATCH('Summary - Monthly'!L$3,'TRANS EMP EXTRACT - COST CENTRE'!$2:$2,0)),"")</f>
        <v>97.533299999999997</v>
      </c>
      <c r="M32" s="10">
        <f>IFERROR(INDEX('TRANS EMP EXTRACT - COST CENTRE'!$A$1:$Z$455,MATCH('Summary - Monthly'!$A32,'TRANS EMP EXTRACT - COST CENTRE'!$A:$A,0),MATCH('Summary - Monthly'!M$3,'TRANS EMP EXTRACT - COST CENTRE'!$2:$2,0)),0)</f>
        <v>0</v>
      </c>
      <c r="N32" s="10">
        <f>IFERROR(INDEX('TRANS EMP EXTRACT - COST CENTRE'!$A$1:$Z$455,MATCH('Summary - Monthly'!$A32,'TRANS EMP EXTRACT - COST CENTRE'!$A:$A,0),MATCH('Summary - Monthly'!N$3,'TRANS EMP EXTRACT - COST CENTRE'!$2:$2,0)),0)</f>
        <v>0</v>
      </c>
      <c r="O32" s="10">
        <f>IFERROR(INDEX('TRANS EMP EXTRACT - COST CENTRE'!$A$1:$Z$455,MATCH('Summary - Monthly'!$A32,'TRANS EMP EXTRACT - COST CENTRE'!$A:$A,0),MATCH('Summary - Monthly'!O$3,'TRANS EMP EXTRACT - COST CENTRE'!$2:$2,0)),0)</f>
        <v>0</v>
      </c>
      <c r="P32" s="10">
        <f>IFERROR(INDEX('TRANS EMP EXTRACT - COST CENTRE'!$A$1:$Z$455,MATCH('Summary - Monthly'!$A32,'TRANS EMP EXTRACT - COST CENTRE'!$A:$A,0),MATCH('Summary - Monthly'!P$3,'TRANS EMP EXTRACT - COST CENTRE'!$2:$2,0)),0)</f>
        <v>0</v>
      </c>
      <c r="Q32" s="10">
        <f>IFERROR(INDEX('TRANS EMP EXTRACT - COST CENTRE'!$A$1:$Z$455,MATCH('Summary - Monthly'!$A32,'TRANS EMP EXTRACT - COST CENTRE'!$A:$A,0),MATCH('Summary - Monthly'!Q$3,'TRANS EMP EXTRACT - COST CENTRE'!$2:$2,0)),0)</f>
        <v>3.3300000000000003E-2</v>
      </c>
      <c r="R32" s="10">
        <f>IFERROR(INDEX('TRANS EMP EXTRACT - COST CENTRE'!$A$1:$Z$455,MATCH('Summary - Monthly'!$A32,'TRANS EMP EXTRACT - COST CENTRE'!$A:$A,0),MATCH('Summary - Monthly'!R$3,'TRANS EMP EXTRACT - COST CENTRE'!$2:$2,0)),0)</f>
        <v>0</v>
      </c>
      <c r="S32" s="10">
        <f>IFERROR(INDEX('TRANS EMP EXTRACT - COST CENTRE'!$A$1:$Z$455,MATCH('Summary - Monthly'!$A32,'TRANS EMP EXTRACT - COST CENTRE'!$A:$A,0),MATCH('Summary - Monthly'!S$3,'TRANS EMP EXTRACT - COST CENTRE'!$2:$2,0)),0)</f>
        <v>0</v>
      </c>
      <c r="T32" s="8">
        <f>IFERROR(INDEX('TRANS EMP EXTRACT - COST CENTRE'!$A$1:$Z$455,MATCH('Summary - Monthly'!$A32,'TRANS EMP EXTRACT - COST CENTRE'!$A:$A,0),MATCH('Summary - Monthly'!T$3,'TRANS EMP EXTRACT - COST CENTRE'!$2:$2,0)),0)</f>
        <v>0</v>
      </c>
      <c r="U32" s="13">
        <f>IFERROR(INDEX('TRANS EMP EXTRACT - COST CENTRE'!$A$1:$Z$455,MATCH('Summary - Monthly'!$A32,'TRANS EMP EXTRACT - COST CENTRE'!$A:$A,0),MATCH('Summary - Monthly'!U$3,'TRANS EMP EXTRACT - COST CENTRE'!$2:$2,0)),0)</f>
        <v>15.2</v>
      </c>
      <c r="V32" s="13">
        <f>IFERROR(INDEX('TRANS EMP EXTRACT - COST CENTRE'!$A$1:$Z$455,MATCH('Summary - Monthly'!$A32,'TRANS EMP EXTRACT - COST CENTRE'!$A:$A,0),MATCH('Summary - Monthly'!V$3,'TRANS EMP EXTRACT - COST CENTRE'!$2:$2,0)),0)</f>
        <v>7.6</v>
      </c>
      <c r="W32" s="13">
        <f>IFERROR(INDEX('TRANS EMP EXTRACT - COST CENTRE'!$A$1:$Z$455,MATCH('Summary - Monthly'!$A32,'TRANS EMP EXTRACT - COST CENTRE'!$A:$A,0),MATCH('Summary - Monthly'!W$3,'TRANS EMP EXTRACT - COST CENTRE'!$2:$2,0)),0)</f>
        <v>0</v>
      </c>
      <c r="X32" s="13">
        <f>IFERROR(INDEX('TRANS EMP EXTRACT - COST CENTRE'!$A$1:$Z$455,MATCH('Summary - Monthly'!$A32,'TRANS EMP EXTRACT - COST CENTRE'!$A:$A,0),MATCH('Summary - Monthly'!X$3,'TRANS EMP EXTRACT - COST CENTRE'!$2:$2,0)),0)</f>
        <v>0</v>
      </c>
      <c r="Y32" s="13">
        <f>IFERROR(INDEX('TRANS EMP EXTRACT - COST CENTRE'!$A$1:$Z$455,MATCH('Summary - Monthly'!$A32,'TRANS EMP EXTRACT - COST CENTRE'!$A:$A,0),MATCH('Summary - Monthly'!Y$3,'TRANS EMP EXTRACT - COST CENTRE'!$2:$2,0)),0)</f>
        <v>0</v>
      </c>
      <c r="Z32" s="10">
        <f>IFERROR(INDEX('TRANS EMP EXTRACT - COST CENTRE'!$A$1:$Z$455,MATCH('Summary - Monthly'!$A32,'TRANS EMP EXTRACT - COST CENTRE'!$A:$A,0),MATCH('Summary - Monthly'!Z$3,'TRANS EMP EXTRACT - COST CENTRE'!$2:$2,0)),0)</f>
        <v>0</v>
      </c>
      <c r="AA32" s="10">
        <f>IFERROR(INDEX('TRANS EMP EXTRACT - COST CENTRE'!$A$1:$Z$455,MATCH('Summary - Monthly'!$A32,'TRANS EMP EXTRACT - COST CENTRE'!$A:$A,0),MATCH('Summary - Monthly'!AA$3,'TRANS EMP EXTRACT - COST CENTRE'!$2:$2,0)),0)</f>
        <v>0</v>
      </c>
      <c r="AB32" s="10">
        <f>IFERROR(INDEX('TRANS EMP EXTRACT - COST CENTRE'!$A$1:$Z$455,MATCH('Summary - Monthly'!$A32,'TRANS EMP EXTRACT - COST CENTRE'!$A:$A,0),MATCH('Summary - Monthly'!AB$3,'TRANS EMP EXTRACT - COST CENTRE'!$2:$2,0)),0)</f>
        <v>0</v>
      </c>
      <c r="AC32" s="8">
        <f>IFERROR(INDEX('TRANS EMP EXTRACT - COST CENTRE'!$A$1:$Z$455,MATCH('Summary - Monthly'!$A32,'TRANS EMP EXTRACT - COST CENTRE'!$A:$A,0),MATCH('Summary - Monthly'!AC$3,'TRANS EMP EXTRACT - COST CENTRE'!$2:$2,0)),0)</f>
        <v>0</v>
      </c>
      <c r="AD32" s="13">
        <f>IFERROR(INDEX('TRANS EMP EXTRACT - COST CENTRE'!$A$1:$Z$455,MATCH('Summary - Monthly'!$A32,'TRANS EMP EXTRACT - COST CENTRE'!$A:$A,0),MATCH('Summary - Monthly'!AD$3,'TRANS EMP EXTRACT - COST CENTRE'!$2:$2,0)),0)</f>
        <v>0</v>
      </c>
      <c r="AE32" s="13">
        <f>IFERROR(INDEX('TRANS EMP EXTRACT - COST CENTRE'!$A$1:$Z$455,MATCH('Summary - Monthly'!$A32,'TRANS EMP EXTRACT - COST CENTRE'!$A:$A,0),MATCH('Summary - Monthly'!AE$3,'TRANS EMP EXTRACT - COST CENTRE'!$2:$2,0)),0)</f>
        <v>0</v>
      </c>
      <c r="AF32" s="13">
        <f>IFERROR(INDEX('TRANS EMP EXTRACT - COST CENTRE'!$A$1:$Z$455,MATCH('Summary - Monthly'!$A32,'TRANS EMP EXTRACT - COST CENTRE'!$A:$A,0),MATCH('Summary - Monthly'!AF$3,'TRANS EMP EXTRACT - COST CENTRE'!$2:$2,0)),0)</f>
        <v>0</v>
      </c>
      <c r="AG32" s="10">
        <f>IFERROR(INDEX('TRANS EMP EXTRACT - COST CENTRE'!$A$1:$Z$455,MATCH('Summary - Monthly'!$A32,'TRANS EMP EXTRACT - COST CENTRE'!$A:$A,0),MATCH('Summary - Monthly'!AG$3,'TRANS EMP EXTRACT - COST CENTRE'!$2:$2,0)),0)</f>
        <v>0</v>
      </c>
      <c r="AH32" s="10">
        <f>IFERROR(INDEX('TRANS EMP EXTRACT - COST CENTRE'!$A$1:$Z$455,MATCH('Summary - Monthly'!$A32,'TRANS EMP EXTRACT - COST CENTRE'!$A:$A,0),MATCH('Summary - Monthly'!AH$3,'TRANS EMP EXTRACT - COST CENTRE'!$2:$2,0)),0)</f>
        <v>0</v>
      </c>
      <c r="AI32" s="10">
        <f>IFERROR(INDEX('TRANS EMP EXTRACT - COST CENTRE'!$A$1:$Z$455,MATCH('Summary - Monthly'!$A32,'TRANS EMP EXTRACT - COST CENTRE'!$A:$A,0),MATCH('Summary - Monthly'!AI$3,'TRANS EMP EXTRACT - COST CENTRE'!$2:$2,0)),0)</f>
        <v>0</v>
      </c>
      <c r="AJ32" s="10">
        <f>IFERROR(INDEX('TRANS EMP EXTRACT - COST CENTRE'!$A$1:$Z$455,MATCH('Summary - Monthly'!$A32,'TRANS EMP EXTRACT - COST CENTRE'!$A:$A,0),MATCH('Summary - Monthly'!AJ$3,'TRANS EMP EXTRACT - COST CENTRE'!$2:$2,0)),0)</f>
        <v>0</v>
      </c>
      <c r="AK32" s="10">
        <f>IFERROR(INDEX('TRANS EMP EXTRACT - COST CENTRE'!$A$1:$Z$455,MATCH('Summary - Monthly'!$A32,'TRANS EMP EXTRACT - COST CENTRE'!$A:$A,0),MATCH('Summary - Monthly'!AK$3,'TRANS EMP EXTRACT - COST CENTRE'!$2:$2,0)),0)</f>
        <v>0</v>
      </c>
      <c r="AL32" s="10">
        <f>IFERROR(INDEX('TRANS EMP EXTRACT - COST CENTRE'!$A$1:$Z$455,MATCH('Summary - Monthly'!$A32,'TRANS EMP EXTRACT - COST CENTRE'!$A:$A,0),MATCH('Summary - Monthly'!AL$3,'TRANS EMP EXTRACT - COST CENTRE'!$2:$2,0)),0)</f>
        <v>0</v>
      </c>
      <c r="AM32" s="10">
        <f t="shared" si="9"/>
        <v>120.36659999999999</v>
      </c>
      <c r="AN32" s="14">
        <f t="shared" si="2"/>
        <v>2.1907894736842106E-4</v>
      </c>
      <c r="AO32" s="18">
        <f t="shared" si="5"/>
        <v>0.79188552631578946</v>
      </c>
      <c r="AP32" s="18">
        <f t="shared" si="6"/>
        <v>0.64188552631578943</v>
      </c>
      <c r="AQ32" s="10" t="str">
        <f>IFERROR(VLOOKUP(B32,Departments!A:C,3,FALSE),"")</f>
        <v>Microbiology</v>
      </c>
      <c r="AR32" s="10" t="str">
        <f>IFERROR(VLOOKUP(B32,Departments!A:B,2,FALSE),"")</f>
        <v>Bris Micro</v>
      </c>
      <c r="AS32" s="10">
        <f t="shared" si="7"/>
        <v>7.6</v>
      </c>
      <c r="AT32" s="10">
        <f t="shared" si="8"/>
        <v>22.799999999999997</v>
      </c>
      <c r="AU32" s="10" t="str">
        <f>_xlfn.IFNA(VLOOKUP(B32,Departments!A:D,4,FALSE),"")</f>
        <v>Brisbane Micro</v>
      </c>
    </row>
    <row r="33" spans="1:47" ht="14.45" customHeight="1">
      <c r="A33" s="11" t="str">
        <f t="shared" si="3"/>
        <v>1201919919025</v>
      </c>
      <c r="B33" s="11">
        <f>'TRANS EMP EXTRACT - COST CENTRE'!B32</f>
        <v>12019199</v>
      </c>
      <c r="C33" s="10" t="str">
        <f>IFERROR(VLOOKUP(E33,'TRANS EMP EXTRACT - EMP CATEGOR'!A:B,2,FALSE),"")</f>
        <v>FT</v>
      </c>
      <c r="D33" s="10" t="str">
        <f>IFERROR(VLOOKUP(E33,'TRANS EMP EXTRACT - EMP CATEGOR'!A:C,3,FALSE),"")</f>
        <v>Fulltime</v>
      </c>
      <c r="E33" s="11">
        <f>'TRANS EMP EXTRACT - COST CENTRE'!D32</f>
        <v>19025</v>
      </c>
      <c r="F33" s="10" t="str">
        <f>IFERROR(VLOOKUP(E33,'TRANS EMP EXTRACT - COST CENTRE'!D:E,2,FALSE),"")</f>
        <v>DENG  OLIVER MR</v>
      </c>
      <c r="G33" s="12">
        <f>IFERROR(INDEX('TRANS EMP EXTRACT - COST CENTRE'!$A$1:$Z$455,MATCH('Summary - Monthly'!$A33,'TRANS EMP EXTRACT - COST CENTRE'!$A:$A,0),MATCH('Summary - Monthly'!G$3,'TRANS EMP EXTRACT - COST CENTRE'!$2:$2,0)),"")</f>
        <v>44767</v>
      </c>
      <c r="H33" s="10" t="str">
        <f>IFERROR(INDEX('TRANS EMP EXTRACT - COST CENTRE'!$B$1:$Z$455,MATCH('Summary - Monthly'!$E33,'TRANS EMP EXTRACT - COST CENTRE'!$D:$D,0),MATCH('Summary - Monthly'!H$3,'TRANS EMP EXTRACT - COST CENTRE'!$2:$2,0)),"")</f>
        <v>FN</v>
      </c>
      <c r="I33" s="12" t="str">
        <f>IFERROR(INDEX('TRANS EMP EXTRACT - EMP CATEGOR'!$B$1:$AF$421,MATCH('Summary - Monthly'!$E33,'TRANS EMP EXTRACT - EMP CATEGOR'!$D:$D,0),MATCH('Summary - Monthly'!H$3,'TRANS EMP EXTRACT - EMP CATEGOR'!$2:$2,0)),"")</f>
        <v>FN</v>
      </c>
      <c r="J33" s="41">
        <f t="shared" ca="1" si="0"/>
        <v>18.8247</v>
      </c>
      <c r="K33" s="41">
        <f t="shared" ca="1" si="1"/>
        <v>46.849299999999999</v>
      </c>
      <c r="L33" s="10">
        <f>IFERROR(INDEX('TRANS EMP EXTRACT - COST CENTRE'!$A$1:$Z$455,MATCH('Summary - Monthly'!$A33,'TRANS EMP EXTRACT - COST CENTRE'!$A:$A,0),MATCH('Summary - Monthly'!L$3,'TRANS EMP EXTRACT - COST CENTRE'!$2:$2,0)),"")</f>
        <v>139.80000000000001</v>
      </c>
      <c r="M33" s="10">
        <f>IFERROR(INDEX('TRANS EMP EXTRACT - COST CENTRE'!$A$1:$Z$455,MATCH('Summary - Monthly'!$A33,'TRANS EMP EXTRACT - COST CENTRE'!$A:$A,0),MATCH('Summary - Monthly'!M$3,'TRANS EMP EXTRACT - COST CENTRE'!$2:$2,0)),0)</f>
        <v>0</v>
      </c>
      <c r="N33" s="10">
        <f>IFERROR(INDEX('TRANS EMP EXTRACT - COST CENTRE'!$A$1:$Z$455,MATCH('Summary - Monthly'!$A33,'TRANS EMP EXTRACT - COST CENTRE'!$A:$A,0),MATCH('Summary - Monthly'!N$3,'TRANS EMP EXTRACT - COST CENTRE'!$2:$2,0)),0)</f>
        <v>0</v>
      </c>
      <c r="O33" s="10">
        <f>IFERROR(INDEX('TRANS EMP EXTRACT - COST CENTRE'!$A$1:$Z$455,MATCH('Summary - Monthly'!$A33,'TRANS EMP EXTRACT - COST CENTRE'!$A:$A,0),MATCH('Summary - Monthly'!O$3,'TRANS EMP EXTRACT - COST CENTRE'!$2:$2,0)),0)</f>
        <v>0</v>
      </c>
      <c r="P33" s="10">
        <f>IFERROR(INDEX('TRANS EMP EXTRACT - COST CENTRE'!$A$1:$Z$455,MATCH('Summary - Monthly'!$A33,'TRANS EMP EXTRACT - COST CENTRE'!$A:$A,0),MATCH('Summary - Monthly'!P$3,'TRANS EMP EXTRACT - COST CENTRE'!$2:$2,0)),0)</f>
        <v>0</v>
      </c>
      <c r="Q33" s="10">
        <f>IFERROR(INDEX('TRANS EMP EXTRACT - COST CENTRE'!$A$1:$Z$455,MATCH('Summary - Monthly'!$A33,'TRANS EMP EXTRACT - COST CENTRE'!$A:$A,0),MATCH('Summary - Monthly'!Q$3,'TRANS EMP EXTRACT - COST CENTRE'!$2:$2,0)),0)</f>
        <v>0</v>
      </c>
      <c r="R33" s="10">
        <f>IFERROR(INDEX('TRANS EMP EXTRACT - COST CENTRE'!$A$1:$Z$455,MATCH('Summary - Monthly'!$A33,'TRANS EMP EXTRACT - COST CENTRE'!$A:$A,0),MATCH('Summary - Monthly'!R$3,'TRANS EMP EXTRACT - COST CENTRE'!$2:$2,0)),0)</f>
        <v>0</v>
      </c>
      <c r="S33" s="10">
        <f>IFERROR(INDEX('TRANS EMP EXTRACT - COST CENTRE'!$A$1:$Z$455,MATCH('Summary - Monthly'!$A33,'TRANS EMP EXTRACT - COST CENTRE'!$A:$A,0),MATCH('Summary - Monthly'!S$3,'TRANS EMP EXTRACT - COST CENTRE'!$2:$2,0)),0)</f>
        <v>0</v>
      </c>
      <c r="T33" s="8">
        <f>IFERROR(INDEX('TRANS EMP EXTRACT - COST CENTRE'!$A$1:$Z$455,MATCH('Summary - Monthly'!$A33,'TRANS EMP EXTRACT - COST CENTRE'!$A:$A,0),MATCH('Summary - Monthly'!T$3,'TRANS EMP EXTRACT - COST CENTRE'!$2:$2,0)),0)</f>
        <v>0</v>
      </c>
      <c r="U33" s="13">
        <f>IFERROR(INDEX('TRANS EMP EXTRACT - COST CENTRE'!$A$1:$Z$455,MATCH('Summary - Monthly'!$A33,'TRANS EMP EXTRACT - COST CENTRE'!$A:$A,0),MATCH('Summary - Monthly'!U$3,'TRANS EMP EXTRACT - COST CENTRE'!$2:$2,0)),0)</f>
        <v>0</v>
      </c>
      <c r="V33" s="13">
        <f>IFERROR(INDEX('TRANS EMP EXTRACT - COST CENTRE'!$A$1:$Z$455,MATCH('Summary - Monthly'!$A33,'TRANS EMP EXTRACT - COST CENTRE'!$A:$A,0),MATCH('Summary - Monthly'!V$3,'TRANS EMP EXTRACT - COST CENTRE'!$2:$2,0)),0)</f>
        <v>12.2</v>
      </c>
      <c r="W33" s="13">
        <f>IFERROR(INDEX('TRANS EMP EXTRACT - COST CENTRE'!$A$1:$Z$455,MATCH('Summary - Monthly'!$A33,'TRANS EMP EXTRACT - COST CENTRE'!$A:$A,0),MATCH('Summary - Monthly'!W$3,'TRANS EMP EXTRACT - COST CENTRE'!$2:$2,0)),0)</f>
        <v>0</v>
      </c>
      <c r="X33" s="13">
        <f>IFERROR(INDEX('TRANS EMP EXTRACT - COST CENTRE'!$A$1:$Z$455,MATCH('Summary - Monthly'!$A33,'TRANS EMP EXTRACT - COST CENTRE'!$A:$A,0),MATCH('Summary - Monthly'!X$3,'TRANS EMP EXTRACT - COST CENTRE'!$2:$2,0)),0)</f>
        <v>0</v>
      </c>
      <c r="Y33" s="13">
        <f>IFERROR(INDEX('TRANS EMP EXTRACT - COST CENTRE'!$A$1:$Z$455,MATCH('Summary - Monthly'!$A33,'TRANS EMP EXTRACT - COST CENTRE'!$A:$A,0),MATCH('Summary - Monthly'!Y$3,'TRANS EMP EXTRACT - COST CENTRE'!$2:$2,0)),0)</f>
        <v>0</v>
      </c>
      <c r="Z33" s="10">
        <f>IFERROR(INDEX('TRANS EMP EXTRACT - COST CENTRE'!$A$1:$Z$455,MATCH('Summary - Monthly'!$A33,'TRANS EMP EXTRACT - COST CENTRE'!$A:$A,0),MATCH('Summary - Monthly'!Z$3,'TRANS EMP EXTRACT - COST CENTRE'!$2:$2,0)),0)</f>
        <v>0</v>
      </c>
      <c r="AA33" s="10">
        <f>IFERROR(INDEX('TRANS EMP EXTRACT - COST CENTRE'!$A$1:$Z$455,MATCH('Summary - Monthly'!$A33,'TRANS EMP EXTRACT - COST CENTRE'!$A:$A,0),MATCH('Summary - Monthly'!AA$3,'TRANS EMP EXTRACT - COST CENTRE'!$2:$2,0)),0)</f>
        <v>0</v>
      </c>
      <c r="AB33" s="10">
        <f>IFERROR(INDEX('TRANS EMP EXTRACT - COST CENTRE'!$A$1:$Z$455,MATCH('Summary - Monthly'!$A33,'TRANS EMP EXTRACT - COST CENTRE'!$A:$A,0),MATCH('Summary - Monthly'!AB$3,'TRANS EMP EXTRACT - COST CENTRE'!$2:$2,0)),0)</f>
        <v>0</v>
      </c>
      <c r="AC33" s="8">
        <f>IFERROR(INDEX('TRANS EMP EXTRACT - COST CENTRE'!$A$1:$Z$455,MATCH('Summary - Monthly'!$A33,'TRANS EMP EXTRACT - COST CENTRE'!$A:$A,0),MATCH('Summary - Monthly'!AC$3,'TRANS EMP EXTRACT - COST CENTRE'!$2:$2,0)),0)</f>
        <v>0</v>
      </c>
      <c r="AD33" s="13">
        <f>IFERROR(INDEX('TRANS EMP EXTRACT - COST CENTRE'!$A$1:$Z$455,MATCH('Summary - Monthly'!$A33,'TRANS EMP EXTRACT - COST CENTRE'!$A:$A,0),MATCH('Summary - Monthly'!AD$3,'TRANS EMP EXTRACT - COST CENTRE'!$2:$2,0)),0)</f>
        <v>0</v>
      </c>
      <c r="AE33" s="13">
        <f>IFERROR(INDEX('TRANS EMP EXTRACT - COST CENTRE'!$A$1:$Z$455,MATCH('Summary - Monthly'!$A33,'TRANS EMP EXTRACT - COST CENTRE'!$A:$A,0),MATCH('Summary - Monthly'!AE$3,'TRANS EMP EXTRACT - COST CENTRE'!$2:$2,0)),0)</f>
        <v>0</v>
      </c>
      <c r="AF33" s="13">
        <f>IFERROR(INDEX('TRANS EMP EXTRACT - COST CENTRE'!$A$1:$Z$455,MATCH('Summary - Monthly'!$A33,'TRANS EMP EXTRACT - COST CENTRE'!$A:$A,0),MATCH('Summary - Monthly'!AF$3,'TRANS EMP EXTRACT - COST CENTRE'!$2:$2,0)),0)</f>
        <v>0</v>
      </c>
      <c r="AG33" s="10">
        <f>IFERROR(INDEX('TRANS EMP EXTRACT - COST CENTRE'!$A$1:$Z$455,MATCH('Summary - Monthly'!$A33,'TRANS EMP EXTRACT - COST CENTRE'!$A:$A,0),MATCH('Summary - Monthly'!AG$3,'TRANS EMP EXTRACT - COST CENTRE'!$2:$2,0)),0)</f>
        <v>0</v>
      </c>
      <c r="AH33" s="10">
        <f>IFERROR(INDEX('TRANS EMP EXTRACT - COST CENTRE'!$A$1:$Z$455,MATCH('Summary - Monthly'!$A33,'TRANS EMP EXTRACT - COST CENTRE'!$A:$A,0),MATCH('Summary - Monthly'!AH$3,'TRANS EMP EXTRACT - COST CENTRE'!$2:$2,0)),0)</f>
        <v>0</v>
      </c>
      <c r="AI33" s="10">
        <f>IFERROR(INDEX('TRANS EMP EXTRACT - COST CENTRE'!$A$1:$Z$455,MATCH('Summary - Monthly'!$A33,'TRANS EMP EXTRACT - COST CENTRE'!$A:$A,0),MATCH('Summary - Monthly'!AI$3,'TRANS EMP EXTRACT - COST CENTRE'!$2:$2,0)),0)</f>
        <v>0</v>
      </c>
      <c r="AJ33" s="10">
        <f>IFERROR(INDEX('TRANS EMP EXTRACT - COST CENTRE'!$A$1:$Z$455,MATCH('Summary - Monthly'!$A33,'TRANS EMP EXTRACT - COST CENTRE'!$A:$A,0),MATCH('Summary - Monthly'!AJ$3,'TRANS EMP EXTRACT - COST CENTRE'!$2:$2,0)),0)</f>
        <v>0</v>
      </c>
      <c r="AK33" s="10">
        <f>IFERROR(INDEX('TRANS EMP EXTRACT - COST CENTRE'!$A$1:$Z$455,MATCH('Summary - Monthly'!$A33,'TRANS EMP EXTRACT - COST CENTRE'!$A:$A,0),MATCH('Summary - Monthly'!AK$3,'TRANS EMP EXTRACT - COST CENTRE'!$2:$2,0)),0)</f>
        <v>0</v>
      </c>
      <c r="AL33" s="10">
        <f>IFERROR(INDEX('TRANS EMP EXTRACT - COST CENTRE'!$A$1:$Z$455,MATCH('Summary - Monthly'!$A33,'TRANS EMP EXTRACT - COST CENTRE'!$A:$A,0),MATCH('Summary - Monthly'!AL$3,'TRANS EMP EXTRACT - COST CENTRE'!$2:$2,0)),0)</f>
        <v>0</v>
      </c>
      <c r="AM33" s="10">
        <f t="shared" si="9"/>
        <v>152</v>
      </c>
      <c r="AN33" s="14">
        <f t="shared" si="2"/>
        <v>0</v>
      </c>
      <c r="AO33" s="18">
        <f t="shared" si="5"/>
        <v>1</v>
      </c>
      <c r="AP33" s="18">
        <f t="shared" si="6"/>
        <v>0.91973684210526319</v>
      </c>
      <c r="AQ33" s="10" t="str">
        <f>IFERROR(VLOOKUP(B33,Departments!A:C,3,FALSE),"")</f>
        <v>G&amp;A</v>
      </c>
      <c r="AR33" s="10" t="str">
        <f>IFERROR(VLOOKUP(B33,Departments!A:B,2,FALSE),"")</f>
        <v>Finance</v>
      </c>
      <c r="AS33" s="10">
        <f t="shared" si="7"/>
        <v>12.2</v>
      </c>
      <c r="AT33" s="10">
        <f t="shared" si="8"/>
        <v>12.2</v>
      </c>
      <c r="AU33" s="10" t="str">
        <f>_xlfn.IFNA(VLOOKUP(B33,Departments!A:D,4,FALSE),"")</f>
        <v>G&amp;A</v>
      </c>
    </row>
    <row r="34" spans="1:47" ht="14.45" customHeight="1">
      <c r="A34" s="11" t="str">
        <f t="shared" si="3"/>
        <v>1201330019056</v>
      </c>
      <c r="B34" s="11">
        <f>'TRANS EMP EXTRACT - COST CENTRE'!B33</f>
        <v>12013300</v>
      </c>
      <c r="C34" s="10" t="str">
        <f>IFERROR(VLOOKUP(E34,'TRANS EMP EXTRACT - EMP CATEGOR'!A:B,2,FALSE),"")</f>
        <v>PT</v>
      </c>
      <c r="D34" s="10" t="str">
        <f>IFERROR(VLOOKUP(E34,'TRANS EMP EXTRACT - EMP CATEGOR'!A:C,3,FALSE),"")</f>
        <v>Parttime</v>
      </c>
      <c r="E34" s="11">
        <f>'TRANS EMP EXTRACT - COST CENTRE'!D33</f>
        <v>19056</v>
      </c>
      <c r="F34" s="10" t="str">
        <f>IFERROR(VLOOKUP(E34,'TRANS EMP EXTRACT - COST CENTRE'!D:E,2,FALSE),"")</f>
        <v>DOGUPARTHY  NAVEEN MR</v>
      </c>
      <c r="G34" s="12">
        <f>IFERROR(INDEX('TRANS EMP EXTRACT - COST CENTRE'!$A$1:$Z$455,MATCH('Summary - Monthly'!$A34,'TRANS EMP EXTRACT - COST CENTRE'!$A:$A,0),MATCH('Summary - Monthly'!G$3,'TRANS EMP EXTRACT - COST CENTRE'!$2:$2,0)),"")</f>
        <v>44958</v>
      </c>
      <c r="H34" s="10" t="str">
        <f>IFERROR(INDEX('TRANS EMP EXTRACT - COST CENTRE'!$B$1:$Z$455,MATCH('Summary - Monthly'!$E34,'TRANS EMP EXTRACT - COST CENTRE'!$D:$D,0),MATCH('Summary - Monthly'!H$3,'TRANS EMP EXTRACT - COST CENTRE'!$2:$2,0)),"")</f>
        <v>FN</v>
      </c>
      <c r="I34" s="12" t="str">
        <f>IFERROR(INDEX('TRANS EMP EXTRACT - EMP CATEGOR'!$B$1:$AF$421,MATCH('Summary - Monthly'!$E34,'TRANS EMP EXTRACT - EMP CATEGOR'!$D:$D,0),MATCH('Summary - Monthly'!H$3,'TRANS EMP EXTRACT - EMP CATEGOR'!$2:$2,0)),"")</f>
        <v>FN</v>
      </c>
      <c r="J34" s="41">
        <f t="shared" ca="1" si="0"/>
        <v>3.5076999999999998</v>
      </c>
      <c r="K34" s="41">
        <f t="shared" ca="1" si="1"/>
        <v>7.0153999999999996</v>
      </c>
      <c r="L34" s="10">
        <f>IFERROR(INDEX('TRANS EMP EXTRACT - COST CENTRE'!$A$1:$Z$455,MATCH('Summary - Monthly'!$A34,'TRANS EMP EXTRACT - COST CENTRE'!$A:$A,0),MATCH('Summary - Monthly'!L$3,'TRANS EMP EXTRACT - COST CENTRE'!$2:$2,0)),"")</f>
        <v>91.2</v>
      </c>
      <c r="M34" s="10">
        <f>IFERROR(INDEX('TRANS EMP EXTRACT - COST CENTRE'!$A$1:$Z$455,MATCH('Summary - Monthly'!$A34,'TRANS EMP EXTRACT - COST CENTRE'!$A:$A,0),MATCH('Summary - Monthly'!M$3,'TRANS EMP EXTRACT - COST CENTRE'!$2:$2,0)),0)</f>
        <v>0</v>
      </c>
      <c r="N34" s="10">
        <f>IFERROR(INDEX('TRANS EMP EXTRACT - COST CENTRE'!$A$1:$Z$455,MATCH('Summary - Monthly'!$A34,'TRANS EMP EXTRACT - COST CENTRE'!$A:$A,0),MATCH('Summary - Monthly'!N$3,'TRANS EMP EXTRACT - COST CENTRE'!$2:$2,0)),0)</f>
        <v>0</v>
      </c>
      <c r="O34" s="10">
        <f>IFERROR(INDEX('TRANS EMP EXTRACT - COST CENTRE'!$A$1:$Z$455,MATCH('Summary - Monthly'!$A34,'TRANS EMP EXTRACT - COST CENTRE'!$A:$A,0),MATCH('Summary - Monthly'!O$3,'TRANS EMP EXTRACT - COST CENTRE'!$2:$2,0)),0)</f>
        <v>0</v>
      </c>
      <c r="P34" s="10">
        <f>IFERROR(INDEX('TRANS EMP EXTRACT - COST CENTRE'!$A$1:$Z$455,MATCH('Summary - Monthly'!$A34,'TRANS EMP EXTRACT - COST CENTRE'!$A:$A,0),MATCH('Summary - Monthly'!P$3,'TRANS EMP EXTRACT - COST CENTRE'!$2:$2,0)),0)</f>
        <v>0</v>
      </c>
      <c r="Q34" s="10">
        <f>IFERROR(INDEX('TRANS EMP EXTRACT - COST CENTRE'!$A$1:$Z$455,MATCH('Summary - Monthly'!$A34,'TRANS EMP EXTRACT - COST CENTRE'!$A:$A,0),MATCH('Summary - Monthly'!Q$3,'TRANS EMP EXTRACT - COST CENTRE'!$2:$2,0)),0)</f>
        <v>0</v>
      </c>
      <c r="R34" s="10">
        <f>IFERROR(INDEX('TRANS EMP EXTRACT - COST CENTRE'!$A$1:$Z$455,MATCH('Summary - Monthly'!$A34,'TRANS EMP EXTRACT - COST CENTRE'!$A:$A,0),MATCH('Summary - Monthly'!R$3,'TRANS EMP EXTRACT - COST CENTRE'!$2:$2,0)),0)</f>
        <v>0</v>
      </c>
      <c r="S34" s="10">
        <f>IFERROR(INDEX('TRANS EMP EXTRACT - COST CENTRE'!$A$1:$Z$455,MATCH('Summary - Monthly'!$A34,'TRANS EMP EXTRACT - COST CENTRE'!$A:$A,0),MATCH('Summary - Monthly'!S$3,'TRANS EMP EXTRACT - COST CENTRE'!$2:$2,0)),0)</f>
        <v>0</v>
      </c>
      <c r="T34" s="8">
        <f>IFERROR(INDEX('TRANS EMP EXTRACT - COST CENTRE'!$A$1:$Z$455,MATCH('Summary - Monthly'!$A34,'TRANS EMP EXTRACT - COST CENTRE'!$A:$A,0),MATCH('Summary - Monthly'!T$3,'TRANS EMP EXTRACT - COST CENTRE'!$2:$2,0)),0)</f>
        <v>0</v>
      </c>
      <c r="U34" s="13">
        <f>IFERROR(INDEX('TRANS EMP EXTRACT - COST CENTRE'!$A$1:$Z$455,MATCH('Summary - Monthly'!$A34,'TRANS EMP EXTRACT - COST CENTRE'!$A:$A,0),MATCH('Summary - Monthly'!U$3,'TRANS EMP EXTRACT - COST CENTRE'!$2:$2,0)),0)</f>
        <v>0</v>
      </c>
      <c r="V34" s="13">
        <f>IFERROR(INDEX('TRANS EMP EXTRACT - COST CENTRE'!$A$1:$Z$455,MATCH('Summary - Monthly'!$A34,'TRANS EMP EXTRACT - COST CENTRE'!$A:$A,0),MATCH('Summary - Monthly'!V$3,'TRANS EMP EXTRACT - COST CENTRE'!$2:$2,0)),0)</f>
        <v>0</v>
      </c>
      <c r="W34" s="13">
        <f>IFERROR(INDEX('TRANS EMP EXTRACT - COST CENTRE'!$A$1:$Z$455,MATCH('Summary - Monthly'!$A34,'TRANS EMP EXTRACT - COST CENTRE'!$A:$A,0),MATCH('Summary - Monthly'!W$3,'TRANS EMP EXTRACT - COST CENTRE'!$2:$2,0)),0)</f>
        <v>0</v>
      </c>
      <c r="X34" s="13">
        <f>IFERROR(INDEX('TRANS EMP EXTRACT - COST CENTRE'!$A$1:$Z$455,MATCH('Summary - Monthly'!$A34,'TRANS EMP EXTRACT - COST CENTRE'!$A:$A,0),MATCH('Summary - Monthly'!X$3,'TRANS EMP EXTRACT - COST CENTRE'!$2:$2,0)),0)</f>
        <v>0</v>
      </c>
      <c r="Y34" s="13">
        <f>IFERROR(INDEX('TRANS EMP EXTRACT - COST CENTRE'!$A$1:$Z$455,MATCH('Summary - Monthly'!$A34,'TRANS EMP EXTRACT - COST CENTRE'!$A:$A,0),MATCH('Summary - Monthly'!Y$3,'TRANS EMP EXTRACT - COST CENTRE'!$2:$2,0)),0)</f>
        <v>0</v>
      </c>
      <c r="Z34" s="10">
        <f>IFERROR(INDEX('TRANS EMP EXTRACT - COST CENTRE'!$A$1:$Z$455,MATCH('Summary - Monthly'!$A34,'TRANS EMP EXTRACT - COST CENTRE'!$A:$A,0),MATCH('Summary - Monthly'!Z$3,'TRANS EMP EXTRACT - COST CENTRE'!$2:$2,0)),0)</f>
        <v>0</v>
      </c>
      <c r="AA34" s="10">
        <f>IFERROR(INDEX('TRANS EMP EXTRACT - COST CENTRE'!$A$1:$Z$455,MATCH('Summary - Monthly'!$A34,'TRANS EMP EXTRACT - COST CENTRE'!$A:$A,0),MATCH('Summary - Monthly'!AA$3,'TRANS EMP EXTRACT - COST CENTRE'!$2:$2,0)),0)</f>
        <v>0</v>
      </c>
      <c r="AB34" s="10">
        <f>IFERROR(INDEX('TRANS EMP EXTRACT - COST CENTRE'!$A$1:$Z$455,MATCH('Summary - Monthly'!$A34,'TRANS EMP EXTRACT - COST CENTRE'!$A:$A,0),MATCH('Summary - Monthly'!AB$3,'TRANS EMP EXTRACT - COST CENTRE'!$2:$2,0)),0)</f>
        <v>0</v>
      </c>
      <c r="AC34" s="8">
        <f>IFERROR(INDEX('TRANS EMP EXTRACT - COST CENTRE'!$A$1:$Z$455,MATCH('Summary - Monthly'!$A34,'TRANS EMP EXTRACT - COST CENTRE'!$A:$A,0),MATCH('Summary - Monthly'!AC$3,'TRANS EMP EXTRACT - COST CENTRE'!$2:$2,0)),0)</f>
        <v>0</v>
      </c>
      <c r="AD34" s="13">
        <f>IFERROR(INDEX('TRANS EMP EXTRACT - COST CENTRE'!$A$1:$Z$455,MATCH('Summary - Monthly'!$A34,'TRANS EMP EXTRACT - COST CENTRE'!$A:$A,0),MATCH('Summary - Monthly'!AD$3,'TRANS EMP EXTRACT - COST CENTRE'!$2:$2,0)),0)</f>
        <v>0</v>
      </c>
      <c r="AE34" s="13">
        <f>IFERROR(INDEX('TRANS EMP EXTRACT - COST CENTRE'!$A$1:$Z$455,MATCH('Summary - Monthly'!$A34,'TRANS EMP EXTRACT - COST CENTRE'!$A:$A,0),MATCH('Summary - Monthly'!AE$3,'TRANS EMP EXTRACT - COST CENTRE'!$2:$2,0)),0)</f>
        <v>0</v>
      </c>
      <c r="AF34" s="13">
        <f>IFERROR(INDEX('TRANS EMP EXTRACT - COST CENTRE'!$A$1:$Z$455,MATCH('Summary - Monthly'!$A34,'TRANS EMP EXTRACT - COST CENTRE'!$A:$A,0),MATCH('Summary - Monthly'!AF$3,'TRANS EMP EXTRACT - COST CENTRE'!$2:$2,0)),0)</f>
        <v>0</v>
      </c>
      <c r="AG34" s="10">
        <f>IFERROR(INDEX('TRANS EMP EXTRACT - COST CENTRE'!$A$1:$Z$455,MATCH('Summary - Monthly'!$A34,'TRANS EMP EXTRACT - COST CENTRE'!$A:$A,0),MATCH('Summary - Monthly'!AG$3,'TRANS EMP EXTRACT - COST CENTRE'!$2:$2,0)),0)</f>
        <v>0</v>
      </c>
      <c r="AH34" s="10">
        <f>IFERROR(INDEX('TRANS EMP EXTRACT - COST CENTRE'!$A$1:$Z$455,MATCH('Summary - Monthly'!$A34,'TRANS EMP EXTRACT - COST CENTRE'!$A:$A,0),MATCH('Summary - Monthly'!AH$3,'TRANS EMP EXTRACT - COST CENTRE'!$2:$2,0)),0)</f>
        <v>0</v>
      </c>
      <c r="AI34" s="10">
        <f>IFERROR(INDEX('TRANS EMP EXTRACT - COST CENTRE'!$A$1:$Z$455,MATCH('Summary - Monthly'!$A34,'TRANS EMP EXTRACT - COST CENTRE'!$A:$A,0),MATCH('Summary - Monthly'!AI$3,'TRANS EMP EXTRACT - COST CENTRE'!$2:$2,0)),0)</f>
        <v>0</v>
      </c>
      <c r="AJ34" s="10">
        <f>IFERROR(INDEX('TRANS EMP EXTRACT - COST CENTRE'!$A$1:$Z$455,MATCH('Summary - Monthly'!$A34,'TRANS EMP EXTRACT - COST CENTRE'!$A:$A,0),MATCH('Summary - Monthly'!AJ$3,'TRANS EMP EXTRACT - COST CENTRE'!$2:$2,0)),0)</f>
        <v>0</v>
      </c>
      <c r="AK34" s="10">
        <f>IFERROR(INDEX('TRANS EMP EXTRACT - COST CENTRE'!$A$1:$Z$455,MATCH('Summary - Monthly'!$A34,'TRANS EMP EXTRACT - COST CENTRE'!$A:$A,0),MATCH('Summary - Monthly'!AK$3,'TRANS EMP EXTRACT - COST CENTRE'!$2:$2,0)),0)</f>
        <v>0</v>
      </c>
      <c r="AL34" s="10">
        <f>IFERROR(INDEX('TRANS EMP EXTRACT - COST CENTRE'!$A$1:$Z$455,MATCH('Summary - Monthly'!$A34,'TRANS EMP EXTRACT - COST CENTRE'!$A:$A,0),MATCH('Summary - Monthly'!AL$3,'TRANS EMP EXTRACT - COST CENTRE'!$2:$2,0)),0)</f>
        <v>0</v>
      </c>
      <c r="AM34" s="10">
        <f t="shared" si="9"/>
        <v>91.2</v>
      </c>
      <c r="AN34" s="14">
        <f t="shared" si="2"/>
        <v>0</v>
      </c>
      <c r="AO34" s="18">
        <f t="shared" si="5"/>
        <v>0.6</v>
      </c>
      <c r="AP34" s="18">
        <f t="shared" si="6"/>
        <v>0.6</v>
      </c>
      <c r="AQ34" s="10" t="str">
        <f>IFERROR(VLOOKUP(B34,Departments!A:C,3,FALSE),"")</f>
        <v>IT</v>
      </c>
      <c r="AR34" s="10" t="str">
        <f>IFERROR(VLOOKUP(B34,Departments!A:B,2,FALSE),"")</f>
        <v>IT</v>
      </c>
      <c r="AS34" s="10">
        <f t="shared" si="7"/>
        <v>0</v>
      </c>
      <c r="AT34" s="10">
        <f t="shared" si="8"/>
        <v>0</v>
      </c>
      <c r="AU34" s="10" t="str">
        <f>_xlfn.IFNA(VLOOKUP(B34,Departments!A:D,4,FALSE),"")</f>
        <v>IT</v>
      </c>
    </row>
    <row r="35" spans="1:47" ht="14.45" customHeight="1">
      <c r="A35" s="11" t="str">
        <f t="shared" si="3"/>
        <v>1201919918853</v>
      </c>
      <c r="B35" s="11">
        <f>'TRANS EMP EXTRACT - COST CENTRE'!B34</f>
        <v>12019199</v>
      </c>
      <c r="C35" s="10" t="str">
        <f>IFERROR(VLOOKUP(E35,'TRANS EMP EXTRACT - EMP CATEGOR'!A:B,2,FALSE),"")</f>
        <v>FT</v>
      </c>
      <c r="D35" s="10" t="str">
        <f>IFERROR(VLOOKUP(E35,'TRANS EMP EXTRACT - EMP CATEGOR'!A:C,3,FALSE),"")</f>
        <v>Fulltime</v>
      </c>
      <c r="E35" s="11">
        <f>'TRANS EMP EXTRACT - COST CENTRE'!D34</f>
        <v>18853</v>
      </c>
      <c r="F35" s="10" t="str">
        <f>IFERROR(VLOOKUP(E35,'TRANS EMP EXTRACT - COST CENTRE'!D:E,2,FALSE),"")</f>
        <v>EDEN  ANTHONY MR</v>
      </c>
      <c r="G35" s="12">
        <f>IFERROR(INDEX('TRANS EMP EXTRACT - COST CENTRE'!$A$1:$Z$455,MATCH('Summary - Monthly'!$A35,'TRANS EMP EXTRACT - COST CENTRE'!$A:$A,0),MATCH('Summary - Monthly'!G$3,'TRANS EMP EXTRACT - COST CENTRE'!$2:$2,0)),"")</f>
        <v>43472</v>
      </c>
      <c r="H35" s="10" t="str">
        <f>IFERROR(INDEX('TRANS EMP EXTRACT - COST CENTRE'!$B$1:$Z$455,MATCH('Summary - Monthly'!$E35,'TRANS EMP EXTRACT - COST CENTRE'!$D:$D,0),MATCH('Summary - Monthly'!H$3,'TRANS EMP EXTRACT - COST CENTRE'!$2:$2,0)),"")</f>
        <v>FN</v>
      </c>
      <c r="I35" s="12" t="str">
        <f>IFERROR(INDEX('TRANS EMP EXTRACT - EMP CATEGOR'!$B$1:$AF$421,MATCH('Summary - Monthly'!$E35,'TRANS EMP EXTRACT - EMP CATEGOR'!$D:$D,0),MATCH('Summary - Monthly'!H$3,'TRANS EMP EXTRACT - EMP CATEGOR'!$2:$2,0)),"")</f>
        <v>FN</v>
      </c>
      <c r="J35" s="41">
        <f t="shared" ca="1" si="0"/>
        <v>304.06020000000001</v>
      </c>
      <c r="K35" s="41">
        <f t="shared" ca="1" si="1"/>
        <v>106.9204</v>
      </c>
      <c r="L35" s="10">
        <f>IFERROR(INDEX('TRANS EMP EXTRACT - COST CENTRE'!$A$1:$Z$455,MATCH('Summary - Monthly'!$A35,'TRANS EMP EXTRACT - COST CENTRE'!$A:$A,0),MATCH('Summary - Monthly'!L$3,'TRANS EMP EXTRACT - COST CENTRE'!$2:$2,0)),"")</f>
        <v>152</v>
      </c>
      <c r="M35" s="10">
        <f>IFERROR(INDEX('TRANS EMP EXTRACT - COST CENTRE'!$A$1:$Z$455,MATCH('Summary - Monthly'!$A35,'TRANS EMP EXTRACT - COST CENTRE'!$A:$A,0),MATCH('Summary - Monthly'!M$3,'TRANS EMP EXTRACT - COST CENTRE'!$2:$2,0)),0)</f>
        <v>0</v>
      </c>
      <c r="N35" s="10">
        <f>IFERROR(INDEX('TRANS EMP EXTRACT - COST CENTRE'!$A$1:$Z$455,MATCH('Summary - Monthly'!$A35,'TRANS EMP EXTRACT - COST CENTRE'!$A:$A,0),MATCH('Summary - Monthly'!N$3,'TRANS EMP EXTRACT - COST CENTRE'!$2:$2,0)),0)</f>
        <v>0</v>
      </c>
      <c r="O35" s="10">
        <f>IFERROR(INDEX('TRANS EMP EXTRACT - COST CENTRE'!$A$1:$Z$455,MATCH('Summary - Monthly'!$A35,'TRANS EMP EXTRACT - COST CENTRE'!$A:$A,0),MATCH('Summary - Monthly'!O$3,'TRANS EMP EXTRACT - COST CENTRE'!$2:$2,0)),0)</f>
        <v>0</v>
      </c>
      <c r="P35" s="10">
        <f>IFERROR(INDEX('TRANS EMP EXTRACT - COST CENTRE'!$A$1:$Z$455,MATCH('Summary - Monthly'!$A35,'TRANS EMP EXTRACT - COST CENTRE'!$A:$A,0),MATCH('Summary - Monthly'!P$3,'TRANS EMP EXTRACT - COST CENTRE'!$2:$2,0)),0)</f>
        <v>0</v>
      </c>
      <c r="Q35" s="10">
        <f>IFERROR(INDEX('TRANS EMP EXTRACT - COST CENTRE'!$A$1:$Z$455,MATCH('Summary - Monthly'!$A35,'TRANS EMP EXTRACT - COST CENTRE'!$A:$A,0),MATCH('Summary - Monthly'!Q$3,'TRANS EMP EXTRACT - COST CENTRE'!$2:$2,0)),0)</f>
        <v>0</v>
      </c>
      <c r="R35" s="10">
        <f>IFERROR(INDEX('TRANS EMP EXTRACT - COST CENTRE'!$A$1:$Z$455,MATCH('Summary - Monthly'!$A35,'TRANS EMP EXTRACT - COST CENTRE'!$A:$A,0),MATCH('Summary - Monthly'!R$3,'TRANS EMP EXTRACT - COST CENTRE'!$2:$2,0)),0)</f>
        <v>0</v>
      </c>
      <c r="S35" s="10">
        <f>IFERROR(INDEX('TRANS EMP EXTRACT - COST CENTRE'!$A$1:$Z$455,MATCH('Summary - Monthly'!$A35,'TRANS EMP EXTRACT - COST CENTRE'!$A:$A,0),MATCH('Summary - Monthly'!S$3,'TRANS EMP EXTRACT - COST CENTRE'!$2:$2,0)),0)</f>
        <v>0</v>
      </c>
      <c r="T35" s="8">
        <f>IFERROR(INDEX('TRANS EMP EXTRACT - COST CENTRE'!$A$1:$Z$455,MATCH('Summary - Monthly'!$A35,'TRANS EMP EXTRACT - COST CENTRE'!$A:$A,0),MATCH('Summary - Monthly'!T$3,'TRANS EMP EXTRACT - COST CENTRE'!$2:$2,0)),0)</f>
        <v>0</v>
      </c>
      <c r="U35" s="13">
        <f>IFERROR(INDEX('TRANS EMP EXTRACT - COST CENTRE'!$A$1:$Z$455,MATCH('Summary - Monthly'!$A35,'TRANS EMP EXTRACT - COST CENTRE'!$A:$A,0),MATCH('Summary - Monthly'!U$3,'TRANS EMP EXTRACT - COST CENTRE'!$2:$2,0)),0)</f>
        <v>0</v>
      </c>
      <c r="V35" s="13">
        <f>IFERROR(INDEX('TRANS EMP EXTRACT - COST CENTRE'!$A$1:$Z$455,MATCH('Summary - Monthly'!$A35,'TRANS EMP EXTRACT - COST CENTRE'!$A:$A,0),MATCH('Summary - Monthly'!V$3,'TRANS EMP EXTRACT - COST CENTRE'!$2:$2,0)),0)</f>
        <v>0</v>
      </c>
      <c r="W35" s="13">
        <f>IFERROR(INDEX('TRANS EMP EXTRACT - COST CENTRE'!$A$1:$Z$455,MATCH('Summary - Monthly'!$A35,'TRANS EMP EXTRACT - COST CENTRE'!$A:$A,0),MATCH('Summary - Monthly'!W$3,'TRANS EMP EXTRACT - COST CENTRE'!$2:$2,0)),0)</f>
        <v>0</v>
      </c>
      <c r="X35" s="13">
        <f>IFERROR(INDEX('TRANS EMP EXTRACT - COST CENTRE'!$A$1:$Z$455,MATCH('Summary - Monthly'!$A35,'TRANS EMP EXTRACT - COST CENTRE'!$A:$A,0),MATCH('Summary - Monthly'!X$3,'TRANS EMP EXTRACT - COST CENTRE'!$2:$2,0)),0)</f>
        <v>0</v>
      </c>
      <c r="Y35" s="13">
        <f>IFERROR(INDEX('TRANS EMP EXTRACT - COST CENTRE'!$A$1:$Z$455,MATCH('Summary - Monthly'!$A35,'TRANS EMP EXTRACT - COST CENTRE'!$A:$A,0),MATCH('Summary - Monthly'!Y$3,'TRANS EMP EXTRACT - COST CENTRE'!$2:$2,0)),0)</f>
        <v>0</v>
      </c>
      <c r="Z35" s="10">
        <f>IFERROR(INDEX('TRANS EMP EXTRACT - COST CENTRE'!$A$1:$Z$455,MATCH('Summary - Monthly'!$A35,'TRANS EMP EXTRACT - COST CENTRE'!$A:$A,0),MATCH('Summary - Monthly'!Z$3,'TRANS EMP EXTRACT - COST CENTRE'!$2:$2,0)),0)</f>
        <v>0</v>
      </c>
      <c r="AA35" s="10">
        <f>IFERROR(INDEX('TRANS EMP EXTRACT - COST CENTRE'!$A$1:$Z$455,MATCH('Summary - Monthly'!$A35,'TRANS EMP EXTRACT - COST CENTRE'!$A:$A,0),MATCH('Summary - Monthly'!AA$3,'TRANS EMP EXTRACT - COST CENTRE'!$2:$2,0)),0)</f>
        <v>0</v>
      </c>
      <c r="AB35" s="10">
        <f>IFERROR(INDEX('TRANS EMP EXTRACT - COST CENTRE'!$A$1:$Z$455,MATCH('Summary - Monthly'!$A35,'TRANS EMP EXTRACT - COST CENTRE'!$A:$A,0),MATCH('Summary - Monthly'!AB$3,'TRANS EMP EXTRACT - COST CENTRE'!$2:$2,0)),0)</f>
        <v>0</v>
      </c>
      <c r="AC35" s="8">
        <f>IFERROR(INDEX('TRANS EMP EXTRACT - COST CENTRE'!$A$1:$Z$455,MATCH('Summary - Monthly'!$A35,'TRANS EMP EXTRACT - COST CENTRE'!$A:$A,0),MATCH('Summary - Monthly'!AC$3,'TRANS EMP EXTRACT - COST CENTRE'!$2:$2,0)),0)</f>
        <v>0</v>
      </c>
      <c r="AD35" s="13">
        <f>IFERROR(INDEX('TRANS EMP EXTRACT - COST CENTRE'!$A$1:$Z$455,MATCH('Summary - Monthly'!$A35,'TRANS EMP EXTRACT - COST CENTRE'!$A:$A,0),MATCH('Summary - Monthly'!AD$3,'TRANS EMP EXTRACT - COST CENTRE'!$2:$2,0)),0)</f>
        <v>0</v>
      </c>
      <c r="AE35" s="13">
        <f>IFERROR(INDEX('TRANS EMP EXTRACT - COST CENTRE'!$A$1:$Z$455,MATCH('Summary - Monthly'!$A35,'TRANS EMP EXTRACT - COST CENTRE'!$A:$A,0),MATCH('Summary - Monthly'!AE$3,'TRANS EMP EXTRACT - COST CENTRE'!$2:$2,0)),0)</f>
        <v>0</v>
      </c>
      <c r="AF35" s="13">
        <f>IFERROR(INDEX('TRANS EMP EXTRACT - COST CENTRE'!$A$1:$Z$455,MATCH('Summary - Monthly'!$A35,'TRANS EMP EXTRACT - COST CENTRE'!$A:$A,0),MATCH('Summary - Monthly'!AF$3,'TRANS EMP EXTRACT - COST CENTRE'!$2:$2,0)),0)</f>
        <v>0</v>
      </c>
      <c r="AG35" s="10">
        <f>IFERROR(INDEX('TRANS EMP EXTRACT - COST CENTRE'!$A$1:$Z$455,MATCH('Summary - Monthly'!$A35,'TRANS EMP EXTRACT - COST CENTRE'!$A:$A,0),MATCH('Summary - Monthly'!AG$3,'TRANS EMP EXTRACT - COST CENTRE'!$2:$2,0)),0)</f>
        <v>0</v>
      </c>
      <c r="AH35" s="10">
        <f>IFERROR(INDEX('TRANS EMP EXTRACT - COST CENTRE'!$A$1:$Z$455,MATCH('Summary - Monthly'!$A35,'TRANS EMP EXTRACT - COST CENTRE'!$A:$A,0),MATCH('Summary - Monthly'!AH$3,'TRANS EMP EXTRACT - COST CENTRE'!$2:$2,0)),0)</f>
        <v>0</v>
      </c>
      <c r="AI35" s="10">
        <f>IFERROR(INDEX('TRANS EMP EXTRACT - COST CENTRE'!$A$1:$Z$455,MATCH('Summary - Monthly'!$A35,'TRANS EMP EXTRACT - COST CENTRE'!$A:$A,0),MATCH('Summary - Monthly'!AI$3,'TRANS EMP EXTRACT - COST CENTRE'!$2:$2,0)),0)</f>
        <v>0</v>
      </c>
      <c r="AJ35" s="10">
        <f>IFERROR(INDEX('TRANS EMP EXTRACT - COST CENTRE'!$A$1:$Z$455,MATCH('Summary - Monthly'!$A35,'TRANS EMP EXTRACT - COST CENTRE'!$A:$A,0),MATCH('Summary - Monthly'!AJ$3,'TRANS EMP EXTRACT - COST CENTRE'!$2:$2,0)),0)</f>
        <v>0</v>
      </c>
      <c r="AK35" s="10">
        <f>IFERROR(INDEX('TRANS EMP EXTRACT - COST CENTRE'!$A$1:$Z$455,MATCH('Summary - Monthly'!$A35,'TRANS EMP EXTRACT - COST CENTRE'!$A:$A,0),MATCH('Summary - Monthly'!AK$3,'TRANS EMP EXTRACT - COST CENTRE'!$2:$2,0)),0)</f>
        <v>0</v>
      </c>
      <c r="AL35" s="10">
        <f>IFERROR(INDEX('TRANS EMP EXTRACT - COST CENTRE'!$A$1:$Z$455,MATCH('Summary - Monthly'!$A35,'TRANS EMP EXTRACT - COST CENTRE'!$A:$A,0),MATCH('Summary - Monthly'!AL$3,'TRANS EMP EXTRACT - COST CENTRE'!$2:$2,0)),0)</f>
        <v>0</v>
      </c>
      <c r="AM35" s="10">
        <f t="shared" si="9"/>
        <v>152</v>
      </c>
      <c r="AN35" s="14">
        <f t="shared" si="2"/>
        <v>0</v>
      </c>
      <c r="AO35" s="18">
        <f t="shared" si="5"/>
        <v>1</v>
      </c>
      <c r="AP35" s="18">
        <f t="shared" si="6"/>
        <v>1</v>
      </c>
      <c r="AQ35" s="10" t="str">
        <f>IFERROR(VLOOKUP(B35,Departments!A:C,3,FALSE),"")</f>
        <v>G&amp;A</v>
      </c>
      <c r="AR35" s="10" t="str">
        <f>IFERROR(VLOOKUP(B35,Departments!A:B,2,FALSE),"")</f>
        <v>Finance</v>
      </c>
      <c r="AS35" s="10">
        <f t="shared" si="7"/>
        <v>0</v>
      </c>
      <c r="AT35" s="10">
        <f t="shared" si="8"/>
        <v>0</v>
      </c>
      <c r="AU35" s="10" t="str">
        <f>_xlfn.IFNA(VLOOKUP(B35,Departments!A:D,4,FALSE),"")</f>
        <v>G&amp;A</v>
      </c>
    </row>
    <row r="36" spans="1:47" ht="14.45" customHeight="1">
      <c r="A36" s="11" t="str">
        <f t="shared" si="3"/>
        <v>1202301119032</v>
      </c>
      <c r="B36" s="11">
        <f>'TRANS EMP EXTRACT - COST CENTRE'!B35</f>
        <v>12023011</v>
      </c>
      <c r="C36" s="10" t="str">
        <f>IFERROR(VLOOKUP(E36,'TRANS EMP EXTRACT - EMP CATEGOR'!A:B,2,FALSE),"")</f>
        <v>TP</v>
      </c>
      <c r="D36" s="10" t="str">
        <f>IFERROR(VLOOKUP(E36,'TRANS EMP EXTRACT - EMP CATEGOR'!A:C,3,FALSE),"")</f>
        <v>Temporary Parttime</v>
      </c>
      <c r="E36" s="11">
        <f>'TRANS EMP EXTRACT - COST CENTRE'!D35</f>
        <v>19032</v>
      </c>
      <c r="F36" s="10" t="str">
        <f>IFERROR(VLOOKUP(E36,'TRANS EMP EXTRACT - COST CENTRE'!D:E,2,FALSE),"")</f>
        <v>EL-KLINK  IMAN MS</v>
      </c>
      <c r="G36" s="12">
        <f>IFERROR(INDEX('TRANS EMP EXTRACT - COST CENTRE'!$A$1:$Z$455,MATCH('Summary - Monthly'!$A36,'TRANS EMP EXTRACT - COST CENTRE'!$A:$A,0),MATCH('Summary - Monthly'!G$3,'TRANS EMP EXTRACT - COST CENTRE'!$2:$2,0)),"")</f>
        <v>44795</v>
      </c>
      <c r="H36" s="10" t="str">
        <f>IFERROR(INDEX('TRANS EMP EXTRACT - COST CENTRE'!$B$1:$Z$455,MATCH('Summary - Monthly'!$E36,'TRANS EMP EXTRACT - COST CENTRE'!$D:$D,0),MATCH('Summary - Monthly'!H$3,'TRANS EMP EXTRACT - COST CENTRE'!$2:$2,0)),"")</f>
        <v>RT</v>
      </c>
      <c r="I36" s="12" t="str">
        <f>IFERROR(INDEX('TRANS EMP EXTRACT - EMP CATEGOR'!$B$1:$AF$421,MATCH('Summary - Monthly'!$E36,'TRANS EMP EXTRACT - EMP CATEGOR'!$D:$D,0),MATCH('Summary - Monthly'!H$3,'TRANS EMP EXTRACT - EMP CATEGOR'!$2:$2,0)),"")</f>
        <v>RT</v>
      </c>
      <c r="J36" s="41">
        <f t="shared" ca="1" si="0"/>
        <v>11.3911</v>
      </c>
      <c r="K36" s="41">
        <f t="shared" ca="1" si="1"/>
        <v>15.182</v>
      </c>
      <c r="L36" s="10">
        <f>IFERROR(INDEX('TRANS EMP EXTRACT - COST CENTRE'!$A$1:$Z$455,MATCH('Summary - Monthly'!$A36,'TRANS EMP EXTRACT - COST CENTRE'!$A:$A,0),MATCH('Summary - Monthly'!L$3,'TRANS EMP EXTRACT - COST CENTRE'!$2:$2,0)),"")</f>
        <v>91.2</v>
      </c>
      <c r="M36" s="10">
        <f>IFERROR(INDEX('TRANS EMP EXTRACT - COST CENTRE'!$A$1:$Z$455,MATCH('Summary - Monthly'!$A36,'TRANS EMP EXTRACT - COST CENTRE'!$A:$A,0),MATCH('Summary - Monthly'!M$3,'TRANS EMP EXTRACT - COST CENTRE'!$2:$2,0)),0)</f>
        <v>0</v>
      </c>
      <c r="N36" s="10">
        <f>IFERROR(INDEX('TRANS EMP EXTRACT - COST CENTRE'!$A$1:$Z$455,MATCH('Summary - Monthly'!$A36,'TRANS EMP EXTRACT - COST CENTRE'!$A:$A,0),MATCH('Summary - Monthly'!N$3,'TRANS EMP EXTRACT - COST CENTRE'!$2:$2,0)),0)</f>
        <v>0</v>
      </c>
      <c r="O36" s="10">
        <f>IFERROR(INDEX('TRANS EMP EXTRACT - COST CENTRE'!$A$1:$Z$455,MATCH('Summary - Monthly'!$A36,'TRANS EMP EXTRACT - COST CENTRE'!$A:$A,0),MATCH('Summary - Monthly'!O$3,'TRANS EMP EXTRACT - COST CENTRE'!$2:$2,0)),0)</f>
        <v>0</v>
      </c>
      <c r="P36" s="10">
        <f>IFERROR(INDEX('TRANS EMP EXTRACT - COST CENTRE'!$A$1:$Z$455,MATCH('Summary - Monthly'!$A36,'TRANS EMP EXTRACT - COST CENTRE'!$A:$A,0),MATCH('Summary - Monthly'!P$3,'TRANS EMP EXTRACT - COST CENTRE'!$2:$2,0)),0)</f>
        <v>0</v>
      </c>
      <c r="Q36" s="10">
        <f>IFERROR(INDEX('TRANS EMP EXTRACT - COST CENTRE'!$A$1:$Z$455,MATCH('Summary - Monthly'!$A36,'TRANS EMP EXTRACT - COST CENTRE'!$A:$A,0),MATCH('Summary - Monthly'!Q$3,'TRANS EMP EXTRACT - COST CENTRE'!$2:$2,0)),0)</f>
        <v>0.5</v>
      </c>
      <c r="R36" s="10">
        <f>IFERROR(INDEX('TRANS EMP EXTRACT - COST CENTRE'!$A$1:$Z$455,MATCH('Summary - Monthly'!$A36,'TRANS EMP EXTRACT - COST CENTRE'!$A:$A,0),MATCH('Summary - Monthly'!R$3,'TRANS EMP EXTRACT - COST CENTRE'!$2:$2,0)),0)</f>
        <v>0</v>
      </c>
      <c r="S36" s="10">
        <f>IFERROR(INDEX('TRANS EMP EXTRACT - COST CENTRE'!$A$1:$Z$455,MATCH('Summary - Monthly'!$A36,'TRANS EMP EXTRACT - COST CENTRE'!$A:$A,0),MATCH('Summary - Monthly'!S$3,'TRANS EMP EXTRACT - COST CENTRE'!$2:$2,0)),0)</f>
        <v>0</v>
      </c>
      <c r="T36" s="8">
        <f>IFERROR(INDEX('TRANS EMP EXTRACT - COST CENTRE'!$A$1:$Z$455,MATCH('Summary - Monthly'!$A36,'TRANS EMP EXTRACT - COST CENTRE'!$A:$A,0),MATCH('Summary - Monthly'!T$3,'TRANS EMP EXTRACT - COST CENTRE'!$2:$2,0)),0)</f>
        <v>0</v>
      </c>
      <c r="U36" s="13">
        <f>IFERROR(INDEX('TRANS EMP EXTRACT - COST CENTRE'!$A$1:$Z$455,MATCH('Summary - Monthly'!$A36,'TRANS EMP EXTRACT - COST CENTRE'!$A:$A,0),MATCH('Summary - Monthly'!U$3,'TRANS EMP EXTRACT - COST CENTRE'!$2:$2,0)),0)</f>
        <v>0</v>
      </c>
      <c r="V36" s="13">
        <f>IFERROR(INDEX('TRANS EMP EXTRACT - COST CENTRE'!$A$1:$Z$455,MATCH('Summary - Monthly'!$A36,'TRANS EMP EXTRACT - COST CENTRE'!$A:$A,0),MATCH('Summary - Monthly'!V$3,'TRANS EMP EXTRACT - COST CENTRE'!$2:$2,0)),0)</f>
        <v>0</v>
      </c>
      <c r="W36" s="13">
        <f>IFERROR(INDEX('TRANS EMP EXTRACT - COST CENTRE'!$A$1:$Z$455,MATCH('Summary - Monthly'!$A36,'TRANS EMP EXTRACT - COST CENTRE'!$A:$A,0),MATCH('Summary - Monthly'!W$3,'TRANS EMP EXTRACT - COST CENTRE'!$2:$2,0)),0)</f>
        <v>0</v>
      </c>
      <c r="X36" s="13">
        <f>IFERROR(INDEX('TRANS EMP EXTRACT - COST CENTRE'!$A$1:$Z$455,MATCH('Summary - Monthly'!$A36,'TRANS EMP EXTRACT - COST CENTRE'!$A:$A,0),MATCH('Summary - Monthly'!X$3,'TRANS EMP EXTRACT - COST CENTRE'!$2:$2,0)),0)</f>
        <v>0</v>
      </c>
      <c r="Y36" s="13">
        <f>IFERROR(INDEX('TRANS EMP EXTRACT - COST CENTRE'!$A$1:$Z$455,MATCH('Summary - Monthly'!$A36,'TRANS EMP EXTRACT - COST CENTRE'!$A:$A,0),MATCH('Summary - Monthly'!Y$3,'TRANS EMP EXTRACT - COST CENTRE'!$2:$2,0)),0)</f>
        <v>0</v>
      </c>
      <c r="Z36" s="10">
        <f>IFERROR(INDEX('TRANS EMP EXTRACT - COST CENTRE'!$A$1:$Z$455,MATCH('Summary - Monthly'!$A36,'TRANS EMP EXTRACT - COST CENTRE'!$A:$A,0),MATCH('Summary - Monthly'!Z$3,'TRANS EMP EXTRACT - COST CENTRE'!$2:$2,0)),0)</f>
        <v>0</v>
      </c>
      <c r="AA36" s="10">
        <f>IFERROR(INDEX('TRANS EMP EXTRACT - COST CENTRE'!$A$1:$Z$455,MATCH('Summary - Monthly'!$A36,'TRANS EMP EXTRACT - COST CENTRE'!$A:$A,0),MATCH('Summary - Monthly'!AA$3,'TRANS EMP EXTRACT - COST CENTRE'!$2:$2,0)),0)</f>
        <v>0</v>
      </c>
      <c r="AB36" s="10">
        <f>IFERROR(INDEX('TRANS EMP EXTRACT - COST CENTRE'!$A$1:$Z$455,MATCH('Summary - Monthly'!$A36,'TRANS EMP EXTRACT - COST CENTRE'!$A:$A,0),MATCH('Summary - Monthly'!AB$3,'TRANS EMP EXTRACT - COST CENTRE'!$2:$2,0)),0)</f>
        <v>0</v>
      </c>
      <c r="AC36" s="8">
        <f>IFERROR(INDEX('TRANS EMP EXTRACT - COST CENTRE'!$A$1:$Z$455,MATCH('Summary - Monthly'!$A36,'TRANS EMP EXTRACT - COST CENTRE'!$A:$A,0),MATCH('Summary - Monthly'!AC$3,'TRANS EMP EXTRACT - COST CENTRE'!$2:$2,0)),0)</f>
        <v>0</v>
      </c>
      <c r="AD36" s="13">
        <f>IFERROR(INDEX('TRANS EMP EXTRACT - COST CENTRE'!$A$1:$Z$455,MATCH('Summary - Monthly'!$A36,'TRANS EMP EXTRACT - COST CENTRE'!$A:$A,0),MATCH('Summary - Monthly'!AD$3,'TRANS EMP EXTRACT - COST CENTRE'!$2:$2,0)),0)</f>
        <v>0</v>
      </c>
      <c r="AE36" s="13">
        <f>IFERROR(INDEX('TRANS EMP EXTRACT - COST CENTRE'!$A$1:$Z$455,MATCH('Summary - Monthly'!$A36,'TRANS EMP EXTRACT - COST CENTRE'!$A:$A,0),MATCH('Summary - Monthly'!AE$3,'TRANS EMP EXTRACT - COST CENTRE'!$2:$2,0)),0)</f>
        <v>0</v>
      </c>
      <c r="AF36" s="13">
        <f>IFERROR(INDEX('TRANS EMP EXTRACT - COST CENTRE'!$A$1:$Z$455,MATCH('Summary - Monthly'!$A36,'TRANS EMP EXTRACT - COST CENTRE'!$A:$A,0),MATCH('Summary - Monthly'!AF$3,'TRANS EMP EXTRACT - COST CENTRE'!$2:$2,0)),0)</f>
        <v>0</v>
      </c>
      <c r="AG36" s="10">
        <f>IFERROR(INDEX('TRANS EMP EXTRACT - COST CENTRE'!$A$1:$Z$455,MATCH('Summary - Monthly'!$A36,'TRANS EMP EXTRACT - COST CENTRE'!$A:$A,0),MATCH('Summary - Monthly'!AG$3,'TRANS EMP EXTRACT - COST CENTRE'!$2:$2,0)),0)</f>
        <v>0</v>
      </c>
      <c r="AH36" s="10">
        <f>IFERROR(INDEX('TRANS EMP EXTRACT - COST CENTRE'!$A$1:$Z$455,MATCH('Summary - Monthly'!$A36,'TRANS EMP EXTRACT - COST CENTRE'!$A:$A,0),MATCH('Summary - Monthly'!AH$3,'TRANS EMP EXTRACT - COST CENTRE'!$2:$2,0)),0)</f>
        <v>0</v>
      </c>
      <c r="AI36" s="10">
        <f>IFERROR(INDEX('TRANS EMP EXTRACT - COST CENTRE'!$A$1:$Z$455,MATCH('Summary - Monthly'!$A36,'TRANS EMP EXTRACT - COST CENTRE'!$A:$A,0),MATCH('Summary - Monthly'!AI$3,'TRANS EMP EXTRACT - COST CENTRE'!$2:$2,0)),0)</f>
        <v>0</v>
      </c>
      <c r="AJ36" s="10">
        <f>IFERROR(INDEX('TRANS EMP EXTRACT - COST CENTRE'!$A$1:$Z$455,MATCH('Summary - Monthly'!$A36,'TRANS EMP EXTRACT - COST CENTRE'!$A:$A,0),MATCH('Summary - Monthly'!AJ$3,'TRANS EMP EXTRACT - COST CENTRE'!$2:$2,0)),0)</f>
        <v>0</v>
      </c>
      <c r="AK36" s="10">
        <f>IFERROR(INDEX('TRANS EMP EXTRACT - COST CENTRE'!$A$1:$Z$455,MATCH('Summary - Monthly'!$A36,'TRANS EMP EXTRACT - COST CENTRE'!$A:$A,0),MATCH('Summary - Monthly'!AK$3,'TRANS EMP EXTRACT - COST CENTRE'!$2:$2,0)),0)</f>
        <v>0</v>
      </c>
      <c r="AL36" s="10">
        <f>IFERROR(INDEX('TRANS EMP EXTRACT - COST CENTRE'!$A$1:$Z$455,MATCH('Summary - Monthly'!$A36,'TRANS EMP EXTRACT - COST CENTRE'!$A:$A,0),MATCH('Summary - Monthly'!AL$3,'TRANS EMP EXTRACT - COST CENTRE'!$2:$2,0)),0)</f>
        <v>0</v>
      </c>
      <c r="AM36" s="10">
        <f t="shared" si="9"/>
        <v>91.7</v>
      </c>
      <c r="AN36" s="14">
        <f t="shared" si="2"/>
        <v>3.2894736842105261E-3</v>
      </c>
      <c r="AO36" s="18">
        <f t="shared" si="5"/>
        <v>0.6032894736842106</v>
      </c>
      <c r="AP36" s="18">
        <f t="shared" si="6"/>
        <v>0.6032894736842106</v>
      </c>
      <c r="AQ36" s="10" t="str">
        <f>IFERROR(VLOOKUP(B36,Departments!A:C,3,FALSE),"")</f>
        <v>Microbiology</v>
      </c>
      <c r="AR36" s="10" t="str">
        <f>IFERROR(VLOOKUP(B36,Departments!A:B,2,FALSE),"")</f>
        <v>Sydney Micro</v>
      </c>
      <c r="AS36" s="10">
        <f t="shared" ref="AS36:AS67" si="10">V36+Y36+Z36+AA36+AD36</f>
        <v>0</v>
      </c>
      <c r="AT36" s="10">
        <f t="shared" ref="AT36:AT67" si="11">U36+V36+W36+X36+Y36+Z36+AA36+AB36+AC36+AD36+AE36+AF36</f>
        <v>0</v>
      </c>
      <c r="AU36" s="10" t="str">
        <f>_xlfn.IFNA(VLOOKUP(B36,Departments!A:D,4,FALSE),"")</f>
        <v>Sydney Micro</v>
      </c>
    </row>
    <row r="37" spans="1:47" ht="14.45" customHeight="1">
      <c r="A37" s="11" t="str">
        <f t="shared" si="3"/>
        <v>1201325018988</v>
      </c>
      <c r="B37" s="11">
        <f>'TRANS EMP EXTRACT - COST CENTRE'!B36</f>
        <v>12013250</v>
      </c>
      <c r="C37" s="10" t="str">
        <f>IFERROR(VLOOKUP(E37,'TRANS EMP EXTRACT - EMP CATEGOR'!A:B,2,FALSE),"")</f>
        <v>FT</v>
      </c>
      <c r="D37" s="10" t="str">
        <f>IFERROR(VLOOKUP(E37,'TRANS EMP EXTRACT - EMP CATEGOR'!A:C,3,FALSE),"")</f>
        <v>Fulltime</v>
      </c>
      <c r="E37" s="11">
        <f>'TRANS EMP EXTRACT - COST CENTRE'!D36</f>
        <v>18988</v>
      </c>
      <c r="F37" s="10" t="str">
        <f>IFERROR(VLOOKUP(E37,'TRANS EMP EXTRACT - COST CENTRE'!D:E,2,FALSE),"")</f>
        <v>ESTORES  FELICIA MS</v>
      </c>
      <c r="G37" s="12">
        <f>IFERROR(INDEX('TRANS EMP EXTRACT - COST CENTRE'!$A$1:$Z$455,MATCH('Summary - Monthly'!$A37,'TRANS EMP EXTRACT - COST CENTRE'!$A:$A,0),MATCH('Summary - Monthly'!G$3,'TRANS EMP EXTRACT - COST CENTRE'!$2:$2,0)),"")</f>
        <v>44565</v>
      </c>
      <c r="H37" s="10" t="str">
        <f>IFERROR(INDEX('TRANS EMP EXTRACT - COST CENTRE'!$B$1:$Z$455,MATCH('Summary - Monthly'!$E37,'TRANS EMP EXTRACT - COST CENTRE'!$D:$D,0),MATCH('Summary - Monthly'!H$3,'TRANS EMP EXTRACT - COST CENTRE'!$2:$2,0)),"")</f>
        <v>FN</v>
      </c>
      <c r="I37" s="12" t="str">
        <f>IFERROR(INDEX('TRANS EMP EXTRACT - EMP CATEGOR'!$B$1:$AF$421,MATCH('Summary - Monthly'!$E37,'TRANS EMP EXTRACT - EMP CATEGOR'!$D:$D,0),MATCH('Summary - Monthly'!H$3,'TRANS EMP EXTRACT - EMP CATEGOR'!$2:$2,0)),"")</f>
        <v>FN</v>
      </c>
      <c r="J37" s="41">
        <f t="shared" ca="1" si="0"/>
        <v>88.284899999999993</v>
      </c>
      <c r="K37" s="41">
        <f t="shared" ca="1" si="1"/>
        <v>70.169899999999998</v>
      </c>
      <c r="L37" s="10">
        <f>IFERROR(INDEX('TRANS EMP EXTRACT - COST CENTRE'!$A$1:$Z$455,MATCH('Summary - Monthly'!$A37,'TRANS EMP EXTRACT - COST CENTRE'!$A:$A,0),MATCH('Summary - Monthly'!L$3,'TRANS EMP EXTRACT - COST CENTRE'!$2:$2,0)),"")</f>
        <v>152</v>
      </c>
      <c r="M37" s="10">
        <f>IFERROR(INDEX('TRANS EMP EXTRACT - COST CENTRE'!$A$1:$Z$455,MATCH('Summary - Monthly'!$A37,'TRANS EMP EXTRACT - COST CENTRE'!$A:$A,0),MATCH('Summary - Monthly'!M$3,'TRANS EMP EXTRACT - COST CENTRE'!$2:$2,0)),0)</f>
        <v>0</v>
      </c>
      <c r="N37" s="10">
        <f>IFERROR(INDEX('TRANS EMP EXTRACT - COST CENTRE'!$A$1:$Z$455,MATCH('Summary - Monthly'!$A37,'TRANS EMP EXTRACT - COST CENTRE'!$A:$A,0),MATCH('Summary - Monthly'!N$3,'TRANS EMP EXTRACT - COST CENTRE'!$2:$2,0)),0)</f>
        <v>0</v>
      </c>
      <c r="O37" s="10">
        <f>IFERROR(INDEX('TRANS EMP EXTRACT - COST CENTRE'!$A$1:$Z$455,MATCH('Summary - Monthly'!$A37,'TRANS EMP EXTRACT - COST CENTRE'!$A:$A,0),MATCH('Summary - Monthly'!O$3,'TRANS EMP EXTRACT - COST CENTRE'!$2:$2,0)),0)</f>
        <v>0</v>
      </c>
      <c r="P37" s="10">
        <f>IFERROR(INDEX('TRANS EMP EXTRACT - COST CENTRE'!$A$1:$Z$455,MATCH('Summary - Monthly'!$A37,'TRANS EMP EXTRACT - COST CENTRE'!$A:$A,0),MATCH('Summary - Monthly'!P$3,'TRANS EMP EXTRACT - COST CENTRE'!$2:$2,0)),0)</f>
        <v>0</v>
      </c>
      <c r="Q37" s="10">
        <f>IFERROR(INDEX('TRANS EMP EXTRACT - COST CENTRE'!$A$1:$Z$455,MATCH('Summary - Monthly'!$A37,'TRANS EMP EXTRACT - COST CENTRE'!$A:$A,0),MATCH('Summary - Monthly'!Q$3,'TRANS EMP EXTRACT - COST CENTRE'!$2:$2,0)),0)</f>
        <v>0</v>
      </c>
      <c r="R37" s="10">
        <f>IFERROR(INDEX('TRANS EMP EXTRACT - COST CENTRE'!$A$1:$Z$455,MATCH('Summary - Monthly'!$A37,'TRANS EMP EXTRACT - COST CENTRE'!$A:$A,0),MATCH('Summary - Monthly'!R$3,'TRANS EMP EXTRACT - COST CENTRE'!$2:$2,0)),0)</f>
        <v>0</v>
      </c>
      <c r="S37" s="10">
        <f>IFERROR(INDEX('TRANS EMP EXTRACT - COST CENTRE'!$A$1:$Z$455,MATCH('Summary - Monthly'!$A37,'TRANS EMP EXTRACT - COST CENTRE'!$A:$A,0),MATCH('Summary - Monthly'!S$3,'TRANS EMP EXTRACT - COST CENTRE'!$2:$2,0)),0)</f>
        <v>0</v>
      </c>
      <c r="T37" s="8">
        <f>IFERROR(INDEX('TRANS EMP EXTRACT - COST CENTRE'!$A$1:$Z$455,MATCH('Summary - Monthly'!$A37,'TRANS EMP EXTRACT - COST CENTRE'!$A:$A,0),MATCH('Summary - Monthly'!T$3,'TRANS EMP EXTRACT - COST CENTRE'!$2:$2,0)),0)</f>
        <v>0</v>
      </c>
      <c r="U37" s="13">
        <f>IFERROR(INDEX('TRANS EMP EXTRACT - COST CENTRE'!$A$1:$Z$455,MATCH('Summary - Monthly'!$A37,'TRANS EMP EXTRACT - COST CENTRE'!$A:$A,0),MATCH('Summary - Monthly'!U$3,'TRANS EMP EXTRACT - COST CENTRE'!$2:$2,0)),0)</f>
        <v>0</v>
      </c>
      <c r="V37" s="13">
        <f>IFERROR(INDEX('TRANS EMP EXTRACT - COST CENTRE'!$A$1:$Z$455,MATCH('Summary - Monthly'!$A37,'TRANS EMP EXTRACT - COST CENTRE'!$A:$A,0),MATCH('Summary - Monthly'!V$3,'TRANS EMP EXTRACT - COST CENTRE'!$2:$2,0)),0)</f>
        <v>0</v>
      </c>
      <c r="W37" s="13">
        <f>IFERROR(INDEX('TRANS EMP EXTRACT - COST CENTRE'!$A$1:$Z$455,MATCH('Summary - Monthly'!$A37,'TRANS EMP EXTRACT - COST CENTRE'!$A:$A,0),MATCH('Summary - Monthly'!W$3,'TRANS EMP EXTRACT - COST CENTRE'!$2:$2,0)),0)</f>
        <v>0</v>
      </c>
      <c r="X37" s="13">
        <f>IFERROR(INDEX('TRANS EMP EXTRACT - COST CENTRE'!$A$1:$Z$455,MATCH('Summary - Monthly'!$A37,'TRANS EMP EXTRACT - COST CENTRE'!$A:$A,0),MATCH('Summary - Monthly'!X$3,'TRANS EMP EXTRACT - COST CENTRE'!$2:$2,0)),0)</f>
        <v>0</v>
      </c>
      <c r="Y37" s="13">
        <f>IFERROR(INDEX('TRANS EMP EXTRACT - COST CENTRE'!$A$1:$Z$455,MATCH('Summary - Monthly'!$A37,'TRANS EMP EXTRACT - COST CENTRE'!$A:$A,0),MATCH('Summary - Monthly'!Y$3,'TRANS EMP EXTRACT - COST CENTRE'!$2:$2,0)),0)</f>
        <v>0</v>
      </c>
      <c r="Z37" s="10">
        <f>IFERROR(INDEX('TRANS EMP EXTRACT - COST CENTRE'!$A$1:$Z$455,MATCH('Summary - Monthly'!$A37,'TRANS EMP EXTRACT - COST CENTRE'!$A:$A,0),MATCH('Summary - Monthly'!Z$3,'TRANS EMP EXTRACT - COST CENTRE'!$2:$2,0)),0)</f>
        <v>0</v>
      </c>
      <c r="AA37" s="10">
        <f>IFERROR(INDEX('TRANS EMP EXTRACT - COST CENTRE'!$A$1:$Z$455,MATCH('Summary - Monthly'!$A37,'TRANS EMP EXTRACT - COST CENTRE'!$A:$A,0),MATCH('Summary - Monthly'!AA$3,'TRANS EMP EXTRACT - COST CENTRE'!$2:$2,0)),0)</f>
        <v>0</v>
      </c>
      <c r="AB37" s="10">
        <f>IFERROR(INDEX('TRANS EMP EXTRACT - COST CENTRE'!$A$1:$Z$455,MATCH('Summary - Monthly'!$A37,'TRANS EMP EXTRACT - COST CENTRE'!$A:$A,0),MATCH('Summary - Monthly'!AB$3,'TRANS EMP EXTRACT - COST CENTRE'!$2:$2,0)),0)</f>
        <v>0</v>
      </c>
      <c r="AC37" s="8">
        <f>IFERROR(INDEX('TRANS EMP EXTRACT - COST CENTRE'!$A$1:$Z$455,MATCH('Summary - Monthly'!$A37,'TRANS EMP EXTRACT - COST CENTRE'!$A:$A,0),MATCH('Summary - Monthly'!AC$3,'TRANS EMP EXTRACT - COST CENTRE'!$2:$2,0)),0)</f>
        <v>0</v>
      </c>
      <c r="AD37" s="13">
        <f>IFERROR(INDEX('TRANS EMP EXTRACT - COST CENTRE'!$A$1:$Z$455,MATCH('Summary - Monthly'!$A37,'TRANS EMP EXTRACT - COST CENTRE'!$A:$A,0),MATCH('Summary - Monthly'!AD$3,'TRANS EMP EXTRACT - COST CENTRE'!$2:$2,0)),0)</f>
        <v>0</v>
      </c>
      <c r="AE37" s="13">
        <f>IFERROR(INDEX('TRANS EMP EXTRACT - COST CENTRE'!$A$1:$Z$455,MATCH('Summary - Monthly'!$A37,'TRANS EMP EXTRACT - COST CENTRE'!$A:$A,0),MATCH('Summary - Monthly'!AE$3,'TRANS EMP EXTRACT - COST CENTRE'!$2:$2,0)),0)</f>
        <v>0</v>
      </c>
      <c r="AF37" s="13">
        <f>IFERROR(INDEX('TRANS EMP EXTRACT - COST CENTRE'!$A$1:$Z$455,MATCH('Summary - Monthly'!$A37,'TRANS EMP EXTRACT - COST CENTRE'!$A:$A,0),MATCH('Summary - Monthly'!AF$3,'TRANS EMP EXTRACT - COST CENTRE'!$2:$2,0)),0)</f>
        <v>0</v>
      </c>
      <c r="AG37" s="10">
        <f>IFERROR(INDEX('TRANS EMP EXTRACT - COST CENTRE'!$A$1:$Z$455,MATCH('Summary - Monthly'!$A37,'TRANS EMP EXTRACT - COST CENTRE'!$A:$A,0),MATCH('Summary - Monthly'!AG$3,'TRANS EMP EXTRACT - COST CENTRE'!$2:$2,0)),0)</f>
        <v>0</v>
      </c>
      <c r="AH37" s="10">
        <f>IFERROR(INDEX('TRANS EMP EXTRACT - COST CENTRE'!$A$1:$Z$455,MATCH('Summary - Monthly'!$A37,'TRANS EMP EXTRACT - COST CENTRE'!$A:$A,0),MATCH('Summary - Monthly'!AH$3,'TRANS EMP EXTRACT - COST CENTRE'!$2:$2,0)),0)</f>
        <v>0</v>
      </c>
      <c r="AI37" s="10">
        <f>IFERROR(INDEX('TRANS EMP EXTRACT - COST CENTRE'!$A$1:$Z$455,MATCH('Summary - Monthly'!$A37,'TRANS EMP EXTRACT - COST CENTRE'!$A:$A,0),MATCH('Summary - Monthly'!AI$3,'TRANS EMP EXTRACT - COST CENTRE'!$2:$2,0)),0)</f>
        <v>0</v>
      </c>
      <c r="AJ37" s="10">
        <f>IFERROR(INDEX('TRANS EMP EXTRACT - COST CENTRE'!$A$1:$Z$455,MATCH('Summary - Monthly'!$A37,'TRANS EMP EXTRACT - COST CENTRE'!$A:$A,0),MATCH('Summary - Monthly'!AJ$3,'TRANS EMP EXTRACT - COST CENTRE'!$2:$2,0)),0)</f>
        <v>0</v>
      </c>
      <c r="AK37" s="10">
        <f>IFERROR(INDEX('TRANS EMP EXTRACT - COST CENTRE'!$A$1:$Z$455,MATCH('Summary - Monthly'!$A37,'TRANS EMP EXTRACT - COST CENTRE'!$A:$A,0),MATCH('Summary - Monthly'!AK$3,'TRANS EMP EXTRACT - COST CENTRE'!$2:$2,0)),0)</f>
        <v>0</v>
      </c>
      <c r="AL37" s="10">
        <f>IFERROR(INDEX('TRANS EMP EXTRACT - COST CENTRE'!$A$1:$Z$455,MATCH('Summary - Monthly'!$A37,'TRANS EMP EXTRACT - COST CENTRE'!$A:$A,0),MATCH('Summary - Monthly'!AL$3,'TRANS EMP EXTRACT - COST CENTRE'!$2:$2,0)),0)</f>
        <v>0</v>
      </c>
      <c r="AM37" s="10">
        <f t="shared" si="9"/>
        <v>152</v>
      </c>
      <c r="AN37" s="14">
        <f t="shared" si="2"/>
        <v>0</v>
      </c>
      <c r="AO37" s="18">
        <f t="shared" si="5"/>
        <v>1</v>
      </c>
      <c r="AP37" s="18">
        <f t="shared" si="6"/>
        <v>1</v>
      </c>
      <c r="AQ37" s="10" t="str">
        <f>IFERROR(VLOOKUP(B37,Departments!A:C,3,FALSE),"")</f>
        <v>Senior Audit</v>
      </c>
      <c r="AR37" s="10" t="str">
        <f>IFERROR(VLOOKUP(B37,Departments!A:B,2,FALSE),"")</f>
        <v>Senior Audit</v>
      </c>
      <c r="AS37" s="10">
        <f t="shared" si="10"/>
        <v>0</v>
      </c>
      <c r="AT37" s="10">
        <f t="shared" si="11"/>
        <v>0</v>
      </c>
      <c r="AU37" s="10" t="str">
        <f>_xlfn.IFNA(VLOOKUP(B37,Departments!A:D,4,FALSE),"")</f>
        <v>Senior Audit</v>
      </c>
    </row>
    <row r="38" spans="1:47" ht="14.45" customHeight="1">
      <c r="A38" s="11" t="str">
        <f t="shared" si="3"/>
        <v>1201050018517</v>
      </c>
      <c r="B38" s="11">
        <f>'TRANS EMP EXTRACT - COST CENTRE'!B37</f>
        <v>12010500</v>
      </c>
      <c r="C38" s="10" t="str">
        <f>IFERROR(VLOOKUP(E38,'TRANS EMP EXTRACT - EMP CATEGOR'!A:B,2,FALSE),"")</f>
        <v>FT</v>
      </c>
      <c r="D38" s="10" t="str">
        <f>IFERROR(VLOOKUP(E38,'TRANS EMP EXTRACT - EMP CATEGOR'!A:C,3,FALSE),"")</f>
        <v>Fulltime</v>
      </c>
      <c r="E38" s="11">
        <f>'TRANS EMP EXTRACT - COST CENTRE'!D37</f>
        <v>18517</v>
      </c>
      <c r="F38" s="10" t="str">
        <f>IFERROR(VLOOKUP(E38,'TRANS EMP EXTRACT - COST CENTRE'!D:E,2,FALSE),"")</f>
        <v>EVANS  LUCY MISS</v>
      </c>
      <c r="G38" s="12">
        <f>IFERROR(INDEX('TRANS EMP EXTRACT - COST CENTRE'!$A$1:$Z$455,MATCH('Summary - Monthly'!$A38,'TRANS EMP EXTRACT - COST CENTRE'!$A:$A,0),MATCH('Summary - Monthly'!G$3,'TRANS EMP EXTRACT - COST CENTRE'!$2:$2,0)),"")</f>
        <v>40927</v>
      </c>
      <c r="H38" s="10" t="str">
        <f>IFERROR(INDEX('TRANS EMP EXTRACT - COST CENTRE'!$B$1:$Z$455,MATCH('Summary - Monthly'!$E38,'TRANS EMP EXTRACT - COST CENTRE'!$D:$D,0),MATCH('Summary - Monthly'!H$3,'TRANS EMP EXTRACT - COST CENTRE'!$2:$2,0)),"")</f>
        <v>RT</v>
      </c>
      <c r="I38" s="12" t="str">
        <f>IFERROR(INDEX('TRANS EMP EXTRACT - EMP CATEGOR'!$B$1:$AF$421,MATCH('Summary - Monthly'!$E38,'TRANS EMP EXTRACT - EMP CATEGOR'!$D:$D,0),MATCH('Summary - Monthly'!H$3,'TRANS EMP EXTRACT - EMP CATEGOR'!$2:$2,0)),"")</f>
        <v>RT</v>
      </c>
      <c r="J38" s="41">
        <f t="shared" ca="1" si="0"/>
        <v>750.86069999999995</v>
      </c>
      <c r="K38" s="41">
        <f t="shared" ca="1" si="1"/>
        <v>221.9425</v>
      </c>
      <c r="L38" s="10">
        <f>IFERROR(INDEX('TRANS EMP EXTRACT - COST CENTRE'!$A$1:$Z$455,MATCH('Summary - Monthly'!$A38,'TRANS EMP EXTRACT - COST CENTRE'!$A:$A,0),MATCH('Summary - Monthly'!L$3,'TRANS EMP EXTRACT - COST CENTRE'!$2:$2,0)),"")</f>
        <v>152</v>
      </c>
      <c r="M38" s="10">
        <f>IFERROR(INDEX('TRANS EMP EXTRACT - COST CENTRE'!$A$1:$Z$455,MATCH('Summary - Monthly'!$A38,'TRANS EMP EXTRACT - COST CENTRE'!$A:$A,0),MATCH('Summary - Monthly'!M$3,'TRANS EMP EXTRACT - COST CENTRE'!$2:$2,0)),0)</f>
        <v>0</v>
      </c>
      <c r="N38" s="10">
        <f>IFERROR(INDEX('TRANS EMP EXTRACT - COST CENTRE'!$A$1:$Z$455,MATCH('Summary - Monthly'!$A38,'TRANS EMP EXTRACT - COST CENTRE'!$A:$A,0),MATCH('Summary - Monthly'!N$3,'TRANS EMP EXTRACT - COST CENTRE'!$2:$2,0)),0)</f>
        <v>0</v>
      </c>
      <c r="O38" s="10">
        <f>IFERROR(INDEX('TRANS EMP EXTRACT - COST CENTRE'!$A$1:$Z$455,MATCH('Summary - Monthly'!$A38,'TRANS EMP EXTRACT - COST CENTRE'!$A:$A,0),MATCH('Summary - Monthly'!O$3,'TRANS EMP EXTRACT - COST CENTRE'!$2:$2,0)),0)</f>
        <v>0</v>
      </c>
      <c r="P38" s="10">
        <f>IFERROR(INDEX('TRANS EMP EXTRACT - COST CENTRE'!$A$1:$Z$455,MATCH('Summary - Monthly'!$A38,'TRANS EMP EXTRACT - COST CENTRE'!$A:$A,0),MATCH('Summary - Monthly'!P$3,'TRANS EMP EXTRACT - COST CENTRE'!$2:$2,0)),0)</f>
        <v>0</v>
      </c>
      <c r="Q38" s="10">
        <f>IFERROR(INDEX('TRANS EMP EXTRACT - COST CENTRE'!$A$1:$Z$455,MATCH('Summary - Monthly'!$A38,'TRANS EMP EXTRACT - COST CENTRE'!$A:$A,0),MATCH('Summary - Monthly'!Q$3,'TRANS EMP EXTRACT - COST CENTRE'!$2:$2,0)),0)</f>
        <v>0</v>
      </c>
      <c r="R38" s="10">
        <f>IFERROR(INDEX('TRANS EMP EXTRACT - COST CENTRE'!$A$1:$Z$455,MATCH('Summary - Monthly'!$A38,'TRANS EMP EXTRACT - COST CENTRE'!$A:$A,0),MATCH('Summary - Monthly'!R$3,'TRANS EMP EXTRACT - COST CENTRE'!$2:$2,0)),0)</f>
        <v>0</v>
      </c>
      <c r="S38" s="10">
        <f>IFERROR(INDEX('TRANS EMP EXTRACT - COST CENTRE'!$A$1:$Z$455,MATCH('Summary - Monthly'!$A38,'TRANS EMP EXTRACT - COST CENTRE'!$A:$A,0),MATCH('Summary - Monthly'!S$3,'TRANS EMP EXTRACT - COST CENTRE'!$2:$2,0)),0)</f>
        <v>0</v>
      </c>
      <c r="T38" s="8">
        <f>IFERROR(INDEX('TRANS EMP EXTRACT - COST CENTRE'!$A$1:$Z$455,MATCH('Summary - Monthly'!$A38,'TRANS EMP EXTRACT - COST CENTRE'!$A:$A,0),MATCH('Summary - Monthly'!T$3,'TRANS EMP EXTRACT - COST CENTRE'!$2:$2,0)),0)</f>
        <v>0</v>
      </c>
      <c r="U38" s="13">
        <f>IFERROR(INDEX('TRANS EMP EXTRACT - COST CENTRE'!$A$1:$Z$455,MATCH('Summary - Monthly'!$A38,'TRANS EMP EXTRACT - COST CENTRE'!$A:$A,0),MATCH('Summary - Monthly'!U$3,'TRANS EMP EXTRACT - COST CENTRE'!$2:$2,0)),0)</f>
        <v>0</v>
      </c>
      <c r="V38" s="13">
        <f>IFERROR(INDEX('TRANS EMP EXTRACT - COST CENTRE'!$A$1:$Z$455,MATCH('Summary - Monthly'!$A38,'TRANS EMP EXTRACT - COST CENTRE'!$A:$A,0),MATCH('Summary - Monthly'!V$3,'TRANS EMP EXTRACT - COST CENTRE'!$2:$2,0)),0)</f>
        <v>0</v>
      </c>
      <c r="W38" s="13">
        <f>IFERROR(INDEX('TRANS EMP EXTRACT - COST CENTRE'!$A$1:$Z$455,MATCH('Summary - Monthly'!$A38,'TRANS EMP EXTRACT - COST CENTRE'!$A:$A,0),MATCH('Summary - Monthly'!W$3,'TRANS EMP EXTRACT - COST CENTRE'!$2:$2,0)),0)</f>
        <v>0</v>
      </c>
      <c r="X38" s="13">
        <f>IFERROR(INDEX('TRANS EMP EXTRACT - COST CENTRE'!$A$1:$Z$455,MATCH('Summary - Monthly'!$A38,'TRANS EMP EXTRACT - COST CENTRE'!$A:$A,0),MATCH('Summary - Monthly'!X$3,'TRANS EMP EXTRACT - COST CENTRE'!$2:$2,0)),0)</f>
        <v>0</v>
      </c>
      <c r="Y38" s="13">
        <f>IFERROR(INDEX('TRANS EMP EXTRACT - COST CENTRE'!$A$1:$Z$455,MATCH('Summary - Monthly'!$A38,'TRANS EMP EXTRACT - COST CENTRE'!$A:$A,0),MATCH('Summary - Monthly'!Y$3,'TRANS EMP EXTRACT - COST CENTRE'!$2:$2,0)),0)</f>
        <v>0</v>
      </c>
      <c r="Z38" s="10">
        <f>IFERROR(INDEX('TRANS EMP EXTRACT - COST CENTRE'!$A$1:$Z$455,MATCH('Summary - Monthly'!$A38,'TRANS EMP EXTRACT - COST CENTRE'!$A:$A,0),MATCH('Summary - Monthly'!Z$3,'TRANS EMP EXTRACT - COST CENTRE'!$2:$2,0)),0)</f>
        <v>0</v>
      </c>
      <c r="AA38" s="10">
        <f>IFERROR(INDEX('TRANS EMP EXTRACT - COST CENTRE'!$A$1:$Z$455,MATCH('Summary - Monthly'!$A38,'TRANS EMP EXTRACT - COST CENTRE'!$A:$A,0),MATCH('Summary - Monthly'!AA$3,'TRANS EMP EXTRACT - COST CENTRE'!$2:$2,0)),0)</f>
        <v>0</v>
      </c>
      <c r="AB38" s="10">
        <f>IFERROR(INDEX('TRANS EMP EXTRACT - COST CENTRE'!$A$1:$Z$455,MATCH('Summary - Monthly'!$A38,'TRANS EMP EXTRACT - COST CENTRE'!$A:$A,0),MATCH('Summary - Monthly'!AB$3,'TRANS EMP EXTRACT - COST CENTRE'!$2:$2,0)),0)</f>
        <v>0</v>
      </c>
      <c r="AC38" s="8">
        <f>IFERROR(INDEX('TRANS EMP EXTRACT - COST CENTRE'!$A$1:$Z$455,MATCH('Summary - Monthly'!$A38,'TRANS EMP EXTRACT - COST CENTRE'!$A:$A,0),MATCH('Summary - Monthly'!AC$3,'TRANS EMP EXTRACT - COST CENTRE'!$2:$2,0)),0)</f>
        <v>0</v>
      </c>
      <c r="AD38" s="13">
        <f>IFERROR(INDEX('TRANS EMP EXTRACT - COST CENTRE'!$A$1:$Z$455,MATCH('Summary - Monthly'!$A38,'TRANS EMP EXTRACT - COST CENTRE'!$A:$A,0),MATCH('Summary - Monthly'!AD$3,'TRANS EMP EXTRACT - COST CENTRE'!$2:$2,0)),0)</f>
        <v>0</v>
      </c>
      <c r="AE38" s="13">
        <f>IFERROR(INDEX('TRANS EMP EXTRACT - COST CENTRE'!$A$1:$Z$455,MATCH('Summary - Monthly'!$A38,'TRANS EMP EXTRACT - COST CENTRE'!$A:$A,0),MATCH('Summary - Monthly'!AE$3,'TRANS EMP EXTRACT - COST CENTRE'!$2:$2,0)),0)</f>
        <v>0</v>
      </c>
      <c r="AF38" s="13">
        <f>IFERROR(INDEX('TRANS EMP EXTRACT - COST CENTRE'!$A$1:$Z$455,MATCH('Summary - Monthly'!$A38,'TRANS EMP EXTRACT - COST CENTRE'!$A:$A,0),MATCH('Summary - Monthly'!AF$3,'TRANS EMP EXTRACT - COST CENTRE'!$2:$2,0)),0)</f>
        <v>0</v>
      </c>
      <c r="AG38" s="10">
        <f>IFERROR(INDEX('TRANS EMP EXTRACT - COST CENTRE'!$A$1:$Z$455,MATCH('Summary - Monthly'!$A38,'TRANS EMP EXTRACT - COST CENTRE'!$A:$A,0),MATCH('Summary - Monthly'!AG$3,'TRANS EMP EXTRACT - COST CENTRE'!$2:$2,0)),0)</f>
        <v>0</v>
      </c>
      <c r="AH38" s="10">
        <f>IFERROR(INDEX('TRANS EMP EXTRACT - COST CENTRE'!$A$1:$Z$455,MATCH('Summary - Monthly'!$A38,'TRANS EMP EXTRACT - COST CENTRE'!$A:$A,0),MATCH('Summary - Monthly'!AH$3,'TRANS EMP EXTRACT - COST CENTRE'!$2:$2,0)),0)</f>
        <v>0</v>
      </c>
      <c r="AI38" s="10">
        <f>IFERROR(INDEX('TRANS EMP EXTRACT - COST CENTRE'!$A$1:$Z$455,MATCH('Summary - Monthly'!$A38,'TRANS EMP EXTRACT - COST CENTRE'!$A:$A,0),MATCH('Summary - Monthly'!AI$3,'TRANS EMP EXTRACT - COST CENTRE'!$2:$2,0)),0)</f>
        <v>0</v>
      </c>
      <c r="AJ38" s="10">
        <f>IFERROR(INDEX('TRANS EMP EXTRACT - COST CENTRE'!$A$1:$Z$455,MATCH('Summary - Monthly'!$A38,'TRANS EMP EXTRACT - COST CENTRE'!$A:$A,0),MATCH('Summary - Monthly'!AJ$3,'TRANS EMP EXTRACT - COST CENTRE'!$2:$2,0)),0)</f>
        <v>0</v>
      </c>
      <c r="AK38" s="10">
        <f>IFERROR(INDEX('TRANS EMP EXTRACT - COST CENTRE'!$A$1:$Z$455,MATCH('Summary - Monthly'!$A38,'TRANS EMP EXTRACT - COST CENTRE'!$A:$A,0),MATCH('Summary - Monthly'!AK$3,'TRANS EMP EXTRACT - COST CENTRE'!$2:$2,0)),0)</f>
        <v>0</v>
      </c>
      <c r="AL38" s="10">
        <f>IFERROR(INDEX('TRANS EMP EXTRACT - COST CENTRE'!$A$1:$Z$455,MATCH('Summary - Monthly'!$A38,'TRANS EMP EXTRACT - COST CENTRE'!$A:$A,0),MATCH('Summary - Monthly'!AL$3,'TRANS EMP EXTRACT - COST CENTRE'!$2:$2,0)),0)</f>
        <v>0</v>
      </c>
      <c r="AM38" s="10">
        <f t="shared" si="9"/>
        <v>152</v>
      </c>
      <c r="AN38" s="14">
        <f t="shared" si="2"/>
        <v>0</v>
      </c>
      <c r="AO38" s="18">
        <f t="shared" si="5"/>
        <v>1</v>
      </c>
      <c r="AP38" s="18">
        <f t="shared" si="6"/>
        <v>1</v>
      </c>
      <c r="AQ38" s="10" t="str">
        <f>IFERROR(VLOOKUP(B38,Departments!A:C,3,FALSE),"")</f>
        <v>Lab Admin</v>
      </c>
      <c r="AR38" s="10" t="str">
        <f>IFERROR(VLOOKUP(B38,Departments!A:B,2,FALSE),"")</f>
        <v>Central Lab Admin</v>
      </c>
      <c r="AS38" s="10">
        <f t="shared" si="10"/>
        <v>0</v>
      </c>
      <c r="AT38" s="10">
        <f t="shared" si="11"/>
        <v>0</v>
      </c>
      <c r="AU38" s="10" t="str">
        <f>_xlfn.IFNA(VLOOKUP(B38,Departments!A:D,4,FALSE),"")</f>
        <v>Central Lab Admin</v>
      </c>
    </row>
    <row r="39" spans="1:47" ht="14.45" customHeight="1">
      <c r="A39" s="11" t="str">
        <f t="shared" si="3"/>
        <v>1206040018442</v>
      </c>
      <c r="B39" s="11">
        <f>'TRANS EMP EXTRACT - COST CENTRE'!B38</f>
        <v>12060400</v>
      </c>
      <c r="C39" s="10" t="str">
        <f>IFERROR(VLOOKUP(E39,'TRANS EMP EXTRACT - EMP CATEGOR'!A:B,2,FALSE),"")</f>
        <v>FT</v>
      </c>
      <c r="D39" s="10" t="str">
        <f>IFERROR(VLOOKUP(E39,'TRANS EMP EXTRACT - EMP CATEGOR'!A:C,3,FALSE),"")</f>
        <v>Fulltime</v>
      </c>
      <c r="E39" s="11">
        <f>'TRANS EMP EXTRACT - COST CENTRE'!D38</f>
        <v>18442</v>
      </c>
      <c r="F39" s="10" t="str">
        <f>IFERROR(VLOOKUP(E39,'TRANS EMP EXTRACT - COST CENTRE'!D:E,2,FALSE),"")</f>
        <v>FONG  LAWRENCE MR</v>
      </c>
      <c r="G39" s="12">
        <f>IFERROR(INDEX('TRANS EMP EXTRACT - COST CENTRE'!$A$1:$Z$455,MATCH('Summary - Monthly'!$A39,'TRANS EMP EXTRACT - COST CENTRE'!$A:$A,0),MATCH('Summary - Monthly'!G$3,'TRANS EMP EXTRACT - COST CENTRE'!$2:$2,0)),"")</f>
        <v>40266</v>
      </c>
      <c r="H39" s="10" t="str">
        <f>IFERROR(INDEX('TRANS EMP EXTRACT - COST CENTRE'!$B$1:$Z$455,MATCH('Summary - Monthly'!$E39,'TRANS EMP EXTRACT - COST CENTRE'!$D:$D,0),MATCH('Summary - Monthly'!H$3,'TRANS EMP EXTRACT - COST CENTRE'!$2:$2,0)),"")</f>
        <v>RT</v>
      </c>
      <c r="I39" s="12" t="str">
        <f>IFERROR(INDEX('TRANS EMP EXTRACT - EMP CATEGOR'!$B$1:$AF$421,MATCH('Summary - Monthly'!$E39,'TRANS EMP EXTRACT - EMP CATEGOR'!$D:$D,0),MATCH('Summary - Monthly'!H$3,'TRANS EMP EXTRACT - EMP CATEGOR'!$2:$2,0)),"")</f>
        <v>RT</v>
      </c>
      <c r="J39" s="41">
        <f t="shared" ca="1" si="0"/>
        <v>220.8836</v>
      </c>
      <c r="K39" s="41">
        <f t="shared" ca="1" si="1"/>
        <v>189.16829999999999</v>
      </c>
      <c r="L39" s="10">
        <f>IFERROR(INDEX('TRANS EMP EXTRACT - COST CENTRE'!$A$1:$Z$455,MATCH('Summary - Monthly'!$A39,'TRANS EMP EXTRACT - COST CENTRE'!$A:$A,0),MATCH('Summary - Monthly'!L$3,'TRANS EMP EXTRACT - COST CENTRE'!$2:$2,0)),"")</f>
        <v>76</v>
      </c>
      <c r="M39" s="10">
        <f>IFERROR(INDEX('TRANS EMP EXTRACT - COST CENTRE'!$A$1:$Z$455,MATCH('Summary - Monthly'!$A39,'TRANS EMP EXTRACT - COST CENTRE'!$A:$A,0),MATCH('Summary - Monthly'!M$3,'TRANS EMP EXTRACT - COST CENTRE'!$2:$2,0)),0)</f>
        <v>0</v>
      </c>
      <c r="N39" s="10">
        <f>IFERROR(INDEX('TRANS EMP EXTRACT - COST CENTRE'!$A$1:$Z$455,MATCH('Summary - Monthly'!$A39,'TRANS EMP EXTRACT - COST CENTRE'!$A:$A,0),MATCH('Summary - Monthly'!N$3,'TRANS EMP EXTRACT - COST CENTRE'!$2:$2,0)),0)</f>
        <v>0</v>
      </c>
      <c r="O39" s="10">
        <f>IFERROR(INDEX('TRANS EMP EXTRACT - COST CENTRE'!$A$1:$Z$455,MATCH('Summary - Monthly'!$A39,'TRANS EMP EXTRACT - COST CENTRE'!$A:$A,0),MATCH('Summary - Monthly'!O$3,'TRANS EMP EXTRACT - COST CENTRE'!$2:$2,0)),0)</f>
        <v>0</v>
      </c>
      <c r="P39" s="10">
        <f>IFERROR(INDEX('TRANS EMP EXTRACT - COST CENTRE'!$A$1:$Z$455,MATCH('Summary - Monthly'!$A39,'TRANS EMP EXTRACT - COST CENTRE'!$A:$A,0),MATCH('Summary - Monthly'!P$3,'TRANS EMP EXTRACT - COST CENTRE'!$2:$2,0)),0)</f>
        <v>0</v>
      </c>
      <c r="Q39" s="10">
        <f>IFERROR(INDEX('TRANS EMP EXTRACT - COST CENTRE'!$A$1:$Z$455,MATCH('Summary - Monthly'!$A39,'TRANS EMP EXTRACT - COST CENTRE'!$A:$A,0),MATCH('Summary - Monthly'!Q$3,'TRANS EMP EXTRACT - COST CENTRE'!$2:$2,0)),0)</f>
        <v>0</v>
      </c>
      <c r="R39" s="10">
        <f>IFERROR(INDEX('TRANS EMP EXTRACT - COST CENTRE'!$A$1:$Z$455,MATCH('Summary - Monthly'!$A39,'TRANS EMP EXTRACT - COST CENTRE'!$A:$A,0),MATCH('Summary - Monthly'!R$3,'TRANS EMP EXTRACT - COST CENTRE'!$2:$2,0)),0)</f>
        <v>0</v>
      </c>
      <c r="S39" s="10">
        <f>IFERROR(INDEX('TRANS EMP EXTRACT - COST CENTRE'!$A$1:$Z$455,MATCH('Summary - Monthly'!$A39,'TRANS EMP EXTRACT - COST CENTRE'!$A:$A,0),MATCH('Summary - Monthly'!S$3,'TRANS EMP EXTRACT - COST CENTRE'!$2:$2,0)),0)</f>
        <v>0</v>
      </c>
      <c r="T39" s="8">
        <f>IFERROR(INDEX('TRANS EMP EXTRACT - COST CENTRE'!$A$1:$Z$455,MATCH('Summary - Monthly'!$A39,'TRANS EMP EXTRACT - COST CENTRE'!$A:$A,0),MATCH('Summary - Monthly'!T$3,'TRANS EMP EXTRACT - COST CENTRE'!$2:$2,0)),0)</f>
        <v>0</v>
      </c>
      <c r="U39" s="13">
        <f>IFERROR(INDEX('TRANS EMP EXTRACT - COST CENTRE'!$A$1:$Z$455,MATCH('Summary - Monthly'!$A39,'TRANS EMP EXTRACT - COST CENTRE'!$A:$A,0),MATCH('Summary - Monthly'!U$3,'TRANS EMP EXTRACT - COST CENTRE'!$2:$2,0)),0)</f>
        <v>76</v>
      </c>
      <c r="V39" s="13">
        <f>IFERROR(INDEX('TRANS EMP EXTRACT - COST CENTRE'!$A$1:$Z$455,MATCH('Summary - Monthly'!$A39,'TRANS EMP EXTRACT - COST CENTRE'!$A:$A,0),MATCH('Summary - Monthly'!V$3,'TRANS EMP EXTRACT - COST CENTRE'!$2:$2,0)),0)</f>
        <v>0</v>
      </c>
      <c r="W39" s="13">
        <f>IFERROR(INDEX('TRANS EMP EXTRACT - COST CENTRE'!$A$1:$Z$455,MATCH('Summary - Monthly'!$A39,'TRANS EMP EXTRACT - COST CENTRE'!$A:$A,0),MATCH('Summary - Monthly'!W$3,'TRANS EMP EXTRACT - COST CENTRE'!$2:$2,0)),0)</f>
        <v>0</v>
      </c>
      <c r="X39" s="13">
        <f>IFERROR(INDEX('TRANS EMP EXTRACT - COST CENTRE'!$A$1:$Z$455,MATCH('Summary - Monthly'!$A39,'TRANS EMP EXTRACT - COST CENTRE'!$A:$A,0),MATCH('Summary - Monthly'!X$3,'TRANS EMP EXTRACT - COST CENTRE'!$2:$2,0)),0)</f>
        <v>0</v>
      </c>
      <c r="Y39" s="13">
        <f>IFERROR(INDEX('TRANS EMP EXTRACT - COST CENTRE'!$A$1:$Z$455,MATCH('Summary - Monthly'!$A39,'TRANS EMP EXTRACT - COST CENTRE'!$A:$A,0),MATCH('Summary - Monthly'!Y$3,'TRANS EMP EXTRACT - COST CENTRE'!$2:$2,0)),0)</f>
        <v>0</v>
      </c>
      <c r="Z39" s="10">
        <f>IFERROR(INDEX('TRANS EMP EXTRACT - COST CENTRE'!$A$1:$Z$455,MATCH('Summary - Monthly'!$A39,'TRANS EMP EXTRACT - COST CENTRE'!$A:$A,0),MATCH('Summary - Monthly'!Z$3,'TRANS EMP EXTRACT - COST CENTRE'!$2:$2,0)),0)</f>
        <v>0</v>
      </c>
      <c r="AA39" s="10">
        <f>IFERROR(INDEX('TRANS EMP EXTRACT - COST CENTRE'!$A$1:$Z$455,MATCH('Summary - Monthly'!$A39,'TRANS EMP EXTRACT - COST CENTRE'!$A:$A,0),MATCH('Summary - Monthly'!AA$3,'TRANS EMP EXTRACT - COST CENTRE'!$2:$2,0)),0)</f>
        <v>0</v>
      </c>
      <c r="AB39" s="10">
        <f>IFERROR(INDEX('TRANS EMP EXTRACT - COST CENTRE'!$A$1:$Z$455,MATCH('Summary - Monthly'!$A39,'TRANS EMP EXTRACT - COST CENTRE'!$A:$A,0),MATCH('Summary - Monthly'!AB$3,'TRANS EMP EXTRACT - COST CENTRE'!$2:$2,0)),0)</f>
        <v>0</v>
      </c>
      <c r="AC39" s="8">
        <f>IFERROR(INDEX('TRANS EMP EXTRACT - COST CENTRE'!$A$1:$Z$455,MATCH('Summary - Monthly'!$A39,'TRANS EMP EXTRACT - COST CENTRE'!$A:$A,0),MATCH('Summary - Monthly'!AC$3,'TRANS EMP EXTRACT - COST CENTRE'!$2:$2,0)),0)</f>
        <v>0</v>
      </c>
      <c r="AD39" s="13">
        <f>IFERROR(INDEX('TRANS EMP EXTRACT - COST CENTRE'!$A$1:$Z$455,MATCH('Summary - Monthly'!$A39,'TRANS EMP EXTRACT - COST CENTRE'!$A:$A,0),MATCH('Summary - Monthly'!AD$3,'TRANS EMP EXTRACT - COST CENTRE'!$2:$2,0)),0)</f>
        <v>0</v>
      </c>
      <c r="AE39" s="13">
        <f>IFERROR(INDEX('TRANS EMP EXTRACT - COST CENTRE'!$A$1:$Z$455,MATCH('Summary - Monthly'!$A39,'TRANS EMP EXTRACT - COST CENTRE'!$A:$A,0),MATCH('Summary - Monthly'!AE$3,'TRANS EMP EXTRACT - COST CENTRE'!$2:$2,0)),0)</f>
        <v>0</v>
      </c>
      <c r="AF39" s="13">
        <f>IFERROR(INDEX('TRANS EMP EXTRACT - COST CENTRE'!$A$1:$Z$455,MATCH('Summary - Monthly'!$A39,'TRANS EMP EXTRACT - COST CENTRE'!$A:$A,0),MATCH('Summary - Monthly'!AF$3,'TRANS EMP EXTRACT - COST CENTRE'!$2:$2,0)),0)</f>
        <v>0</v>
      </c>
      <c r="AG39" s="10">
        <f>IFERROR(INDEX('TRANS EMP EXTRACT - COST CENTRE'!$A$1:$Z$455,MATCH('Summary - Monthly'!$A39,'TRANS EMP EXTRACT - COST CENTRE'!$A:$A,0),MATCH('Summary - Monthly'!AG$3,'TRANS EMP EXTRACT - COST CENTRE'!$2:$2,0)),0)</f>
        <v>0</v>
      </c>
      <c r="AH39" s="10">
        <f>IFERROR(INDEX('TRANS EMP EXTRACT - COST CENTRE'!$A$1:$Z$455,MATCH('Summary - Monthly'!$A39,'TRANS EMP EXTRACT - COST CENTRE'!$A:$A,0),MATCH('Summary - Monthly'!AH$3,'TRANS EMP EXTRACT - COST CENTRE'!$2:$2,0)),0)</f>
        <v>0</v>
      </c>
      <c r="AI39" s="10">
        <f>IFERROR(INDEX('TRANS EMP EXTRACT - COST CENTRE'!$A$1:$Z$455,MATCH('Summary - Monthly'!$A39,'TRANS EMP EXTRACT - COST CENTRE'!$A:$A,0),MATCH('Summary - Monthly'!AI$3,'TRANS EMP EXTRACT - COST CENTRE'!$2:$2,0)),0)</f>
        <v>0</v>
      </c>
      <c r="AJ39" s="10">
        <f>IFERROR(INDEX('TRANS EMP EXTRACT - COST CENTRE'!$A$1:$Z$455,MATCH('Summary - Monthly'!$A39,'TRANS EMP EXTRACT - COST CENTRE'!$A:$A,0),MATCH('Summary - Monthly'!AJ$3,'TRANS EMP EXTRACT - COST CENTRE'!$2:$2,0)),0)</f>
        <v>0</v>
      </c>
      <c r="AK39" s="10">
        <f>IFERROR(INDEX('TRANS EMP EXTRACT - COST CENTRE'!$A$1:$Z$455,MATCH('Summary - Monthly'!$A39,'TRANS EMP EXTRACT - COST CENTRE'!$A:$A,0),MATCH('Summary - Monthly'!AK$3,'TRANS EMP EXTRACT - COST CENTRE'!$2:$2,0)),0)</f>
        <v>0</v>
      </c>
      <c r="AL39" s="10">
        <f>IFERROR(INDEX('TRANS EMP EXTRACT - COST CENTRE'!$A$1:$Z$455,MATCH('Summary - Monthly'!$A39,'TRANS EMP EXTRACT - COST CENTRE'!$A:$A,0),MATCH('Summary - Monthly'!AL$3,'TRANS EMP EXTRACT - COST CENTRE'!$2:$2,0)),0)</f>
        <v>0</v>
      </c>
      <c r="AM39" s="10">
        <f t="shared" si="9"/>
        <v>152</v>
      </c>
      <c r="AN39" s="14">
        <f t="shared" si="2"/>
        <v>0</v>
      </c>
      <c r="AO39" s="18">
        <f t="shared" si="5"/>
        <v>1</v>
      </c>
      <c r="AP39" s="18">
        <f t="shared" si="6"/>
        <v>0.5</v>
      </c>
      <c r="AQ39" s="10" t="str">
        <f>IFERROR(VLOOKUP(B39,Departments!A:C,3,FALSE),"")</f>
        <v>Customer Care</v>
      </c>
      <c r="AR39" s="10" t="str">
        <f>IFERROR(VLOOKUP(B39,Departments!A:B,2,FALSE),"")</f>
        <v>Perth Customer Care</v>
      </c>
      <c r="AS39" s="10">
        <f t="shared" si="10"/>
        <v>0</v>
      </c>
      <c r="AT39" s="10">
        <f t="shared" si="11"/>
        <v>76</v>
      </c>
      <c r="AU39" s="10" t="str">
        <f>_xlfn.IFNA(VLOOKUP(B39,Departments!A:D,4,FALSE),"")</f>
        <v>Perth Customer Care</v>
      </c>
    </row>
    <row r="40" spans="1:47" ht="14.45" customHeight="1">
      <c r="A40" s="11" t="str">
        <f t="shared" si="3"/>
        <v>1202071118631</v>
      </c>
      <c r="B40" s="11">
        <f>'TRANS EMP EXTRACT - COST CENTRE'!B39</f>
        <v>12020711</v>
      </c>
      <c r="C40" s="10" t="str">
        <f>IFERROR(VLOOKUP(E40,'TRANS EMP EXTRACT - EMP CATEGOR'!A:B,2,FALSE),"")</f>
        <v>PT</v>
      </c>
      <c r="D40" s="10" t="str">
        <f>IFERROR(VLOOKUP(E40,'TRANS EMP EXTRACT - EMP CATEGOR'!A:C,3,FALSE),"")</f>
        <v>Parttime</v>
      </c>
      <c r="E40" s="11">
        <f>'TRANS EMP EXTRACT - COST CENTRE'!D39</f>
        <v>18631</v>
      </c>
      <c r="F40" s="10" t="str">
        <f>IFERROR(VLOOKUP(E40,'TRANS EMP EXTRACT - COST CENTRE'!D:E,2,FALSE),"")</f>
        <v>FOROOGHI  MARZIEH MRS</v>
      </c>
      <c r="G40" s="12">
        <f>IFERROR(INDEX('TRANS EMP EXTRACT - COST CENTRE'!$A$1:$Z$455,MATCH('Summary - Monthly'!$A40,'TRANS EMP EXTRACT - COST CENTRE'!$A:$A,0),MATCH('Summary - Monthly'!G$3,'TRANS EMP EXTRACT - COST CENTRE'!$2:$2,0)),"")</f>
        <v>41870</v>
      </c>
      <c r="H40" s="10" t="str">
        <f>IFERROR(INDEX('TRANS EMP EXTRACT - COST CENTRE'!$B$1:$Z$455,MATCH('Summary - Monthly'!$E40,'TRANS EMP EXTRACT - COST CENTRE'!$D:$D,0),MATCH('Summary - Monthly'!H$3,'TRANS EMP EXTRACT - COST CENTRE'!$2:$2,0)),"")</f>
        <v>RT</v>
      </c>
      <c r="I40" s="12" t="str">
        <f>IFERROR(INDEX('TRANS EMP EXTRACT - EMP CATEGOR'!$B$1:$AF$421,MATCH('Summary - Monthly'!$E40,'TRANS EMP EXTRACT - EMP CATEGOR'!$D:$D,0),MATCH('Summary - Monthly'!H$3,'TRANS EMP EXTRACT - EMP CATEGOR'!$2:$2,0)),"")</f>
        <v>RT</v>
      </c>
      <c r="J40" s="41">
        <f t="shared" ca="1" si="0"/>
        <v>37.486699999999999</v>
      </c>
      <c r="K40" s="41">
        <f t="shared" ca="1" si="1"/>
        <v>74.020399999999995</v>
      </c>
      <c r="L40" s="10">
        <f>IFERROR(INDEX('TRANS EMP EXTRACT - COST CENTRE'!$A$1:$Z$455,MATCH('Summary - Monthly'!$A40,'TRANS EMP EXTRACT - COST CENTRE'!$A:$A,0),MATCH('Summary - Monthly'!L$3,'TRANS EMP EXTRACT - COST CENTRE'!$2:$2,0)),"")</f>
        <v>53.2</v>
      </c>
      <c r="M40" s="10">
        <f>IFERROR(INDEX('TRANS EMP EXTRACT - COST CENTRE'!$A$1:$Z$455,MATCH('Summary - Monthly'!$A40,'TRANS EMP EXTRACT - COST CENTRE'!$A:$A,0),MATCH('Summary - Monthly'!M$3,'TRANS EMP EXTRACT - COST CENTRE'!$2:$2,0)),0)</f>
        <v>0</v>
      </c>
      <c r="N40" s="10">
        <f>IFERROR(INDEX('TRANS EMP EXTRACT - COST CENTRE'!$A$1:$Z$455,MATCH('Summary - Monthly'!$A40,'TRANS EMP EXTRACT - COST CENTRE'!$A:$A,0),MATCH('Summary - Monthly'!N$3,'TRANS EMP EXTRACT - COST CENTRE'!$2:$2,0)),0)</f>
        <v>0</v>
      </c>
      <c r="O40" s="10">
        <f>IFERROR(INDEX('TRANS EMP EXTRACT - COST CENTRE'!$A$1:$Z$455,MATCH('Summary - Monthly'!$A40,'TRANS EMP EXTRACT - COST CENTRE'!$A:$A,0),MATCH('Summary - Monthly'!O$3,'TRANS EMP EXTRACT - COST CENTRE'!$2:$2,0)),0)</f>
        <v>22.8</v>
      </c>
      <c r="P40" s="10">
        <f>IFERROR(INDEX('TRANS EMP EXTRACT - COST CENTRE'!$A$1:$Z$455,MATCH('Summary - Monthly'!$A40,'TRANS EMP EXTRACT - COST CENTRE'!$A:$A,0),MATCH('Summary - Monthly'!P$3,'TRANS EMP EXTRACT - COST CENTRE'!$2:$2,0)),0)</f>
        <v>0</v>
      </c>
      <c r="Q40" s="10">
        <f>IFERROR(INDEX('TRANS EMP EXTRACT - COST CENTRE'!$A$1:$Z$455,MATCH('Summary - Monthly'!$A40,'TRANS EMP EXTRACT - COST CENTRE'!$A:$A,0),MATCH('Summary - Monthly'!Q$3,'TRANS EMP EXTRACT - COST CENTRE'!$2:$2,0)),0)</f>
        <v>0.5</v>
      </c>
      <c r="R40" s="10">
        <f>IFERROR(INDEX('TRANS EMP EXTRACT - COST CENTRE'!$A$1:$Z$455,MATCH('Summary - Monthly'!$A40,'TRANS EMP EXTRACT - COST CENTRE'!$A:$A,0),MATCH('Summary - Monthly'!R$3,'TRANS EMP EXTRACT - COST CENTRE'!$2:$2,0)),0)</f>
        <v>0</v>
      </c>
      <c r="S40" s="10">
        <f>IFERROR(INDEX('TRANS EMP EXTRACT - COST CENTRE'!$A$1:$Z$455,MATCH('Summary - Monthly'!$A40,'TRANS EMP EXTRACT - COST CENTRE'!$A:$A,0),MATCH('Summary - Monthly'!S$3,'TRANS EMP EXTRACT - COST CENTRE'!$2:$2,0)),0)</f>
        <v>0</v>
      </c>
      <c r="T40" s="8">
        <f>IFERROR(INDEX('TRANS EMP EXTRACT - COST CENTRE'!$A$1:$Z$455,MATCH('Summary - Monthly'!$A40,'TRANS EMP EXTRACT - COST CENTRE'!$A:$A,0),MATCH('Summary - Monthly'!T$3,'TRANS EMP EXTRACT - COST CENTRE'!$2:$2,0)),0)</f>
        <v>0</v>
      </c>
      <c r="U40" s="13">
        <f>IFERROR(INDEX('TRANS EMP EXTRACT - COST CENTRE'!$A$1:$Z$455,MATCH('Summary - Monthly'!$A40,'TRANS EMP EXTRACT - COST CENTRE'!$A:$A,0),MATCH('Summary - Monthly'!U$3,'TRANS EMP EXTRACT - COST CENTRE'!$2:$2,0)),0)</f>
        <v>7.6</v>
      </c>
      <c r="V40" s="13">
        <f>IFERROR(INDEX('TRANS EMP EXTRACT - COST CENTRE'!$A$1:$Z$455,MATCH('Summary - Monthly'!$A40,'TRANS EMP EXTRACT - COST CENTRE'!$A:$A,0),MATCH('Summary - Monthly'!V$3,'TRANS EMP EXTRACT - COST CENTRE'!$2:$2,0)),0)</f>
        <v>7.6</v>
      </c>
      <c r="W40" s="13">
        <f>IFERROR(INDEX('TRANS EMP EXTRACT - COST CENTRE'!$A$1:$Z$455,MATCH('Summary - Monthly'!$A40,'TRANS EMP EXTRACT - COST CENTRE'!$A:$A,0),MATCH('Summary - Monthly'!W$3,'TRANS EMP EXTRACT - COST CENTRE'!$2:$2,0)),0)</f>
        <v>0</v>
      </c>
      <c r="X40" s="13">
        <f>IFERROR(INDEX('TRANS EMP EXTRACT - COST CENTRE'!$A$1:$Z$455,MATCH('Summary - Monthly'!$A40,'TRANS EMP EXTRACT - COST CENTRE'!$A:$A,0),MATCH('Summary - Monthly'!X$3,'TRANS EMP EXTRACT - COST CENTRE'!$2:$2,0)),0)</f>
        <v>0</v>
      </c>
      <c r="Y40" s="13">
        <f>IFERROR(INDEX('TRANS EMP EXTRACT - COST CENTRE'!$A$1:$Z$455,MATCH('Summary - Monthly'!$A40,'TRANS EMP EXTRACT - COST CENTRE'!$A:$A,0),MATCH('Summary - Monthly'!Y$3,'TRANS EMP EXTRACT - COST CENTRE'!$2:$2,0)),0)</f>
        <v>0</v>
      </c>
      <c r="Z40" s="10">
        <f>IFERROR(INDEX('TRANS EMP EXTRACT - COST CENTRE'!$A$1:$Z$455,MATCH('Summary - Monthly'!$A40,'TRANS EMP EXTRACT - COST CENTRE'!$A:$A,0),MATCH('Summary - Monthly'!Z$3,'TRANS EMP EXTRACT - COST CENTRE'!$2:$2,0)),0)</f>
        <v>0</v>
      </c>
      <c r="AA40" s="10">
        <f>IFERROR(INDEX('TRANS EMP EXTRACT - COST CENTRE'!$A$1:$Z$455,MATCH('Summary - Monthly'!$A40,'TRANS EMP EXTRACT - COST CENTRE'!$A:$A,0),MATCH('Summary - Monthly'!AA$3,'TRANS EMP EXTRACT - COST CENTRE'!$2:$2,0)),0)</f>
        <v>0</v>
      </c>
      <c r="AB40" s="10">
        <f>IFERROR(INDEX('TRANS EMP EXTRACT - COST CENTRE'!$A$1:$Z$455,MATCH('Summary - Monthly'!$A40,'TRANS EMP EXTRACT - COST CENTRE'!$A:$A,0),MATCH('Summary - Monthly'!AB$3,'TRANS EMP EXTRACT - COST CENTRE'!$2:$2,0)),0)</f>
        <v>0</v>
      </c>
      <c r="AC40" s="8">
        <f>IFERROR(INDEX('TRANS EMP EXTRACT - COST CENTRE'!$A$1:$Z$455,MATCH('Summary - Monthly'!$A40,'TRANS EMP EXTRACT - COST CENTRE'!$A:$A,0),MATCH('Summary - Monthly'!AC$3,'TRANS EMP EXTRACT - COST CENTRE'!$2:$2,0)),0)</f>
        <v>0</v>
      </c>
      <c r="AD40" s="13">
        <f>IFERROR(INDEX('TRANS EMP EXTRACT - COST CENTRE'!$A$1:$Z$455,MATCH('Summary - Monthly'!$A40,'TRANS EMP EXTRACT - COST CENTRE'!$A:$A,0),MATCH('Summary - Monthly'!AD$3,'TRANS EMP EXTRACT - COST CENTRE'!$2:$2,0)),0)</f>
        <v>0</v>
      </c>
      <c r="AE40" s="13">
        <f>IFERROR(INDEX('TRANS EMP EXTRACT - COST CENTRE'!$A$1:$Z$455,MATCH('Summary - Monthly'!$A40,'TRANS EMP EXTRACT - COST CENTRE'!$A:$A,0),MATCH('Summary - Monthly'!AE$3,'TRANS EMP EXTRACT - COST CENTRE'!$2:$2,0)),0)</f>
        <v>0</v>
      </c>
      <c r="AF40" s="13">
        <f>IFERROR(INDEX('TRANS EMP EXTRACT - COST CENTRE'!$A$1:$Z$455,MATCH('Summary - Monthly'!$A40,'TRANS EMP EXTRACT - COST CENTRE'!$A:$A,0),MATCH('Summary - Monthly'!AF$3,'TRANS EMP EXTRACT - COST CENTRE'!$2:$2,0)),0)</f>
        <v>0</v>
      </c>
      <c r="AG40" s="10">
        <f>IFERROR(INDEX('TRANS EMP EXTRACT - COST CENTRE'!$A$1:$Z$455,MATCH('Summary - Monthly'!$A40,'TRANS EMP EXTRACT - COST CENTRE'!$A:$A,0),MATCH('Summary - Monthly'!AG$3,'TRANS EMP EXTRACT - COST CENTRE'!$2:$2,0)),0)</f>
        <v>0</v>
      </c>
      <c r="AH40" s="10">
        <f>IFERROR(INDEX('TRANS EMP EXTRACT - COST CENTRE'!$A$1:$Z$455,MATCH('Summary - Monthly'!$A40,'TRANS EMP EXTRACT - COST CENTRE'!$A:$A,0),MATCH('Summary - Monthly'!AH$3,'TRANS EMP EXTRACT - COST CENTRE'!$2:$2,0)),0)</f>
        <v>0</v>
      </c>
      <c r="AI40" s="10">
        <f>IFERROR(INDEX('TRANS EMP EXTRACT - COST CENTRE'!$A$1:$Z$455,MATCH('Summary - Monthly'!$A40,'TRANS EMP EXTRACT - COST CENTRE'!$A:$A,0),MATCH('Summary - Monthly'!AI$3,'TRANS EMP EXTRACT - COST CENTRE'!$2:$2,0)),0)</f>
        <v>0</v>
      </c>
      <c r="AJ40" s="10">
        <f>IFERROR(INDEX('TRANS EMP EXTRACT - COST CENTRE'!$A$1:$Z$455,MATCH('Summary - Monthly'!$A40,'TRANS EMP EXTRACT - COST CENTRE'!$A:$A,0),MATCH('Summary - Monthly'!AJ$3,'TRANS EMP EXTRACT - COST CENTRE'!$2:$2,0)),0)</f>
        <v>0</v>
      </c>
      <c r="AK40" s="10">
        <f>IFERROR(INDEX('TRANS EMP EXTRACT - COST CENTRE'!$A$1:$Z$455,MATCH('Summary - Monthly'!$A40,'TRANS EMP EXTRACT - COST CENTRE'!$A:$A,0),MATCH('Summary - Monthly'!AK$3,'TRANS EMP EXTRACT - COST CENTRE'!$2:$2,0)),0)</f>
        <v>0</v>
      </c>
      <c r="AL40" s="10">
        <f>IFERROR(INDEX('TRANS EMP EXTRACT - COST CENTRE'!$A$1:$Z$455,MATCH('Summary - Monthly'!$A40,'TRANS EMP EXTRACT - COST CENTRE'!$A:$A,0),MATCH('Summary - Monthly'!AL$3,'TRANS EMP EXTRACT - COST CENTRE'!$2:$2,0)),0)</f>
        <v>0</v>
      </c>
      <c r="AM40" s="10">
        <f t="shared" si="9"/>
        <v>91.699999999999989</v>
      </c>
      <c r="AN40" s="14">
        <f t="shared" si="2"/>
        <v>3.2894736842105261E-3</v>
      </c>
      <c r="AO40" s="18">
        <f t="shared" si="5"/>
        <v>0.60328947368421049</v>
      </c>
      <c r="AP40" s="18">
        <f t="shared" si="6"/>
        <v>0.5032894736842104</v>
      </c>
      <c r="AQ40" s="10" t="str">
        <f>IFERROR(VLOOKUP(B40,Departments!A:C,3,FALSE),"")</f>
        <v>Microbiology</v>
      </c>
      <c r="AR40" s="10" t="str">
        <f>IFERROR(VLOOKUP(B40,Departments!A:B,2,FALSE),"")</f>
        <v>Sydney Micro</v>
      </c>
      <c r="AS40" s="10">
        <f t="shared" si="10"/>
        <v>7.6</v>
      </c>
      <c r="AT40" s="10">
        <f t="shared" si="11"/>
        <v>15.2</v>
      </c>
      <c r="AU40" s="10" t="str">
        <f>_xlfn.IFNA(VLOOKUP(B40,Departments!A:D,4,FALSE),"")</f>
        <v>Sydney Micro</v>
      </c>
    </row>
    <row r="41" spans="1:47">
      <c r="A41" s="11" t="str">
        <f t="shared" si="3"/>
        <v>1204301118990</v>
      </c>
      <c r="B41" s="11">
        <f>'TRANS EMP EXTRACT - COST CENTRE'!B40</f>
        <v>12043011</v>
      </c>
      <c r="C41" s="10" t="str">
        <f>IFERROR(VLOOKUP(E41,'TRANS EMP EXTRACT - EMP CATEGOR'!A:B,2,FALSE),"")</f>
        <v>FT</v>
      </c>
      <c r="D41" s="10" t="str">
        <f>IFERROR(VLOOKUP(E41,'TRANS EMP EXTRACT - EMP CATEGOR'!A:C,3,FALSE),"")</f>
        <v>Fulltime</v>
      </c>
      <c r="E41" s="11">
        <f>'TRANS EMP EXTRACT - COST CENTRE'!D40</f>
        <v>18990</v>
      </c>
      <c r="F41" s="10" t="str">
        <f>IFERROR(VLOOKUP(E41,'TRANS EMP EXTRACT - COST CENTRE'!D:E,2,FALSE),"")</f>
        <v>GALLAGHER  TROY MR</v>
      </c>
      <c r="G41" s="12">
        <f>IFERROR(INDEX('TRANS EMP EXTRACT - COST CENTRE'!$A$1:$Z$455,MATCH('Summary - Monthly'!$A41,'TRANS EMP EXTRACT - COST CENTRE'!$A:$A,0),MATCH('Summary - Monthly'!G$3,'TRANS EMP EXTRACT - COST CENTRE'!$2:$2,0)),"")</f>
        <v>44582</v>
      </c>
      <c r="H41" s="10" t="str">
        <f>IFERROR(INDEX('TRANS EMP EXTRACT - COST CENTRE'!$B$1:$Z$455,MATCH('Summary - Monthly'!$E41,'TRANS EMP EXTRACT - COST CENTRE'!$D:$D,0),MATCH('Summary - Monthly'!H$3,'TRANS EMP EXTRACT - COST CENTRE'!$2:$2,0)),"")</f>
        <v>RT</v>
      </c>
      <c r="I41" s="12" t="str">
        <f>IFERROR(INDEX('TRANS EMP EXTRACT - EMP CATEGOR'!$B$1:$AF$421,MATCH('Summary - Monthly'!$E41,'TRANS EMP EXTRACT - EMP CATEGOR'!$D:$D,0),MATCH('Summary - Monthly'!H$3,'TRANS EMP EXTRACT - EMP CATEGOR'!$2:$2,0)),"")</f>
        <v>RT</v>
      </c>
      <c r="J41" s="41">
        <f t="shared" ca="1" si="0"/>
        <v>9.1452000000000009</v>
      </c>
      <c r="K41" s="41">
        <f t="shared" ca="1" si="1"/>
        <v>55.490400000000001</v>
      </c>
      <c r="L41" s="10">
        <f>IFERROR(INDEX('TRANS EMP EXTRACT - COST CENTRE'!$A$1:$Z$455,MATCH('Summary - Monthly'!$A41,'TRANS EMP EXTRACT - COST CENTRE'!$A:$A,0),MATCH('Summary - Monthly'!L$3,'TRANS EMP EXTRACT - COST CENTRE'!$2:$2,0)),"")</f>
        <v>136.16659999999999</v>
      </c>
      <c r="M41" s="10">
        <f>IFERROR(INDEX('TRANS EMP EXTRACT - COST CENTRE'!$A$1:$Z$455,MATCH('Summary - Monthly'!$A41,'TRANS EMP EXTRACT - COST CENTRE'!$A:$A,0),MATCH('Summary - Monthly'!M$3,'TRANS EMP EXTRACT - COST CENTRE'!$2:$2,0)),0)</f>
        <v>0</v>
      </c>
      <c r="N41" s="10">
        <f>IFERROR(INDEX('TRANS EMP EXTRACT - COST CENTRE'!$A$1:$Z$455,MATCH('Summary - Monthly'!$A41,'TRANS EMP EXTRACT - COST CENTRE'!$A:$A,0),MATCH('Summary - Monthly'!N$3,'TRANS EMP EXTRACT - COST CENTRE'!$2:$2,0)),0)</f>
        <v>0</v>
      </c>
      <c r="O41" s="10">
        <f>IFERROR(INDEX('TRANS EMP EXTRACT - COST CENTRE'!$A$1:$Z$455,MATCH('Summary - Monthly'!$A41,'TRANS EMP EXTRACT - COST CENTRE'!$A:$A,0),MATCH('Summary - Monthly'!O$3,'TRANS EMP EXTRACT - COST CENTRE'!$2:$2,0)),0)</f>
        <v>0</v>
      </c>
      <c r="P41" s="10">
        <f>IFERROR(INDEX('TRANS EMP EXTRACT - COST CENTRE'!$A$1:$Z$455,MATCH('Summary - Monthly'!$A41,'TRANS EMP EXTRACT - COST CENTRE'!$A:$A,0),MATCH('Summary - Monthly'!P$3,'TRANS EMP EXTRACT - COST CENTRE'!$2:$2,0)),0)</f>
        <v>0</v>
      </c>
      <c r="Q41" s="10">
        <f>IFERROR(INDEX('TRANS EMP EXTRACT - COST CENTRE'!$A$1:$Z$455,MATCH('Summary - Monthly'!$A41,'TRANS EMP EXTRACT - COST CENTRE'!$A:$A,0),MATCH('Summary - Monthly'!Q$3,'TRANS EMP EXTRACT - COST CENTRE'!$2:$2,0)),0)</f>
        <v>4.4165999999999999</v>
      </c>
      <c r="R41" s="10">
        <f>IFERROR(INDEX('TRANS EMP EXTRACT - COST CENTRE'!$A$1:$Z$455,MATCH('Summary - Monthly'!$A41,'TRANS EMP EXTRACT - COST CENTRE'!$A:$A,0),MATCH('Summary - Monthly'!R$3,'TRANS EMP EXTRACT - COST CENTRE'!$2:$2,0)),0)</f>
        <v>0</v>
      </c>
      <c r="S41" s="10">
        <f>IFERROR(INDEX('TRANS EMP EXTRACT - COST CENTRE'!$A$1:$Z$455,MATCH('Summary - Monthly'!$A41,'TRANS EMP EXTRACT - COST CENTRE'!$A:$A,0),MATCH('Summary - Monthly'!S$3,'TRANS EMP EXTRACT - COST CENTRE'!$2:$2,0)),0)</f>
        <v>0</v>
      </c>
      <c r="T41" s="8">
        <f>IFERROR(INDEX('TRANS EMP EXTRACT - COST CENTRE'!$A$1:$Z$455,MATCH('Summary - Monthly'!$A41,'TRANS EMP EXTRACT - COST CENTRE'!$A:$A,0),MATCH('Summary - Monthly'!T$3,'TRANS EMP EXTRACT - COST CENTRE'!$2:$2,0)),0)</f>
        <v>0</v>
      </c>
      <c r="U41" s="13">
        <f>IFERROR(INDEX('TRANS EMP EXTRACT - COST CENTRE'!$A$1:$Z$455,MATCH('Summary - Monthly'!$A41,'TRANS EMP EXTRACT - COST CENTRE'!$A:$A,0),MATCH('Summary - Monthly'!U$3,'TRANS EMP EXTRACT - COST CENTRE'!$2:$2,0)),0)</f>
        <v>0</v>
      </c>
      <c r="V41" s="13">
        <f>IFERROR(INDEX('TRANS EMP EXTRACT - COST CENTRE'!$A$1:$Z$455,MATCH('Summary - Monthly'!$A41,'TRANS EMP EXTRACT - COST CENTRE'!$A:$A,0),MATCH('Summary - Monthly'!V$3,'TRANS EMP EXTRACT - COST CENTRE'!$2:$2,0)),0)</f>
        <v>15.2</v>
      </c>
      <c r="W41" s="13">
        <f>IFERROR(INDEX('TRANS EMP EXTRACT - COST CENTRE'!$A$1:$Z$455,MATCH('Summary - Monthly'!$A41,'TRANS EMP EXTRACT - COST CENTRE'!$A:$A,0),MATCH('Summary - Monthly'!W$3,'TRANS EMP EXTRACT - COST CENTRE'!$2:$2,0)),0)</f>
        <v>0</v>
      </c>
      <c r="X41" s="13">
        <f>IFERROR(INDEX('TRANS EMP EXTRACT - COST CENTRE'!$A$1:$Z$455,MATCH('Summary - Monthly'!$A41,'TRANS EMP EXTRACT - COST CENTRE'!$A:$A,0),MATCH('Summary - Monthly'!X$3,'TRANS EMP EXTRACT - COST CENTRE'!$2:$2,0)),0)</f>
        <v>0</v>
      </c>
      <c r="Y41" s="13">
        <f>IFERROR(INDEX('TRANS EMP EXTRACT - COST CENTRE'!$A$1:$Z$455,MATCH('Summary - Monthly'!$A41,'TRANS EMP EXTRACT - COST CENTRE'!$A:$A,0),MATCH('Summary - Monthly'!Y$3,'TRANS EMP EXTRACT - COST CENTRE'!$2:$2,0)),0)</f>
        <v>0</v>
      </c>
      <c r="Z41" s="10">
        <f>IFERROR(INDEX('TRANS EMP EXTRACT - COST CENTRE'!$A$1:$Z$455,MATCH('Summary - Monthly'!$A41,'TRANS EMP EXTRACT - COST CENTRE'!$A:$A,0),MATCH('Summary - Monthly'!Z$3,'TRANS EMP EXTRACT - COST CENTRE'!$2:$2,0)),0)</f>
        <v>0</v>
      </c>
      <c r="AA41" s="10">
        <f>IFERROR(INDEX('TRANS EMP EXTRACT - COST CENTRE'!$A$1:$Z$455,MATCH('Summary - Monthly'!$A41,'TRANS EMP EXTRACT - COST CENTRE'!$A:$A,0),MATCH('Summary - Monthly'!AA$3,'TRANS EMP EXTRACT - COST CENTRE'!$2:$2,0)),0)</f>
        <v>0</v>
      </c>
      <c r="AB41" s="10">
        <f>IFERROR(INDEX('TRANS EMP EXTRACT - COST CENTRE'!$A$1:$Z$455,MATCH('Summary - Monthly'!$A41,'TRANS EMP EXTRACT - COST CENTRE'!$A:$A,0),MATCH('Summary - Monthly'!AB$3,'TRANS EMP EXTRACT - COST CENTRE'!$2:$2,0)),0)</f>
        <v>0</v>
      </c>
      <c r="AC41" s="8">
        <f>IFERROR(INDEX('TRANS EMP EXTRACT - COST CENTRE'!$A$1:$Z$455,MATCH('Summary - Monthly'!$A41,'TRANS EMP EXTRACT - COST CENTRE'!$A:$A,0),MATCH('Summary - Monthly'!AC$3,'TRANS EMP EXTRACT - COST CENTRE'!$2:$2,0)),0)</f>
        <v>0</v>
      </c>
      <c r="AD41" s="13">
        <f>IFERROR(INDEX('TRANS EMP EXTRACT - COST CENTRE'!$A$1:$Z$455,MATCH('Summary - Monthly'!$A41,'TRANS EMP EXTRACT - COST CENTRE'!$A:$A,0),MATCH('Summary - Monthly'!AD$3,'TRANS EMP EXTRACT - COST CENTRE'!$2:$2,0)),0)</f>
        <v>0</v>
      </c>
      <c r="AE41" s="13">
        <f>IFERROR(INDEX('TRANS EMP EXTRACT - COST CENTRE'!$A$1:$Z$455,MATCH('Summary - Monthly'!$A41,'TRANS EMP EXTRACT - COST CENTRE'!$A:$A,0),MATCH('Summary - Monthly'!AE$3,'TRANS EMP EXTRACT - COST CENTRE'!$2:$2,0)),0)</f>
        <v>0</v>
      </c>
      <c r="AF41" s="13">
        <f>IFERROR(INDEX('TRANS EMP EXTRACT - COST CENTRE'!$A$1:$Z$455,MATCH('Summary - Monthly'!$A41,'TRANS EMP EXTRACT - COST CENTRE'!$A:$A,0),MATCH('Summary - Monthly'!AF$3,'TRANS EMP EXTRACT - COST CENTRE'!$2:$2,0)),0)</f>
        <v>0</v>
      </c>
      <c r="AG41" s="10">
        <f>IFERROR(INDEX('TRANS EMP EXTRACT - COST CENTRE'!$A$1:$Z$455,MATCH('Summary - Monthly'!$A41,'TRANS EMP EXTRACT - COST CENTRE'!$A:$A,0),MATCH('Summary - Monthly'!AG$3,'TRANS EMP EXTRACT - COST CENTRE'!$2:$2,0)),0)</f>
        <v>0</v>
      </c>
      <c r="AH41" s="10">
        <f>IFERROR(INDEX('TRANS EMP EXTRACT - COST CENTRE'!$A$1:$Z$455,MATCH('Summary - Monthly'!$A41,'TRANS EMP EXTRACT - COST CENTRE'!$A:$A,0),MATCH('Summary - Monthly'!AH$3,'TRANS EMP EXTRACT - COST CENTRE'!$2:$2,0)),0)</f>
        <v>0</v>
      </c>
      <c r="AI41" s="10">
        <f>IFERROR(INDEX('TRANS EMP EXTRACT - COST CENTRE'!$A$1:$Z$455,MATCH('Summary - Monthly'!$A41,'TRANS EMP EXTRACT - COST CENTRE'!$A:$A,0),MATCH('Summary - Monthly'!AI$3,'TRANS EMP EXTRACT - COST CENTRE'!$2:$2,0)),0)</f>
        <v>0</v>
      </c>
      <c r="AJ41" s="10">
        <f>IFERROR(INDEX('TRANS EMP EXTRACT - COST CENTRE'!$A$1:$Z$455,MATCH('Summary - Monthly'!$A41,'TRANS EMP EXTRACT - COST CENTRE'!$A:$A,0),MATCH('Summary - Monthly'!AJ$3,'TRANS EMP EXTRACT - COST CENTRE'!$2:$2,0)),0)</f>
        <v>0</v>
      </c>
      <c r="AK41" s="10">
        <f>IFERROR(INDEX('TRANS EMP EXTRACT - COST CENTRE'!$A$1:$Z$455,MATCH('Summary - Monthly'!$A41,'TRANS EMP EXTRACT - COST CENTRE'!$A:$A,0),MATCH('Summary - Monthly'!AK$3,'TRANS EMP EXTRACT - COST CENTRE'!$2:$2,0)),0)</f>
        <v>0</v>
      </c>
      <c r="AL41" s="10">
        <f>IFERROR(INDEX('TRANS EMP EXTRACT - COST CENTRE'!$A$1:$Z$455,MATCH('Summary - Monthly'!$A41,'TRANS EMP EXTRACT - COST CENTRE'!$A:$A,0),MATCH('Summary - Monthly'!AL$3,'TRANS EMP EXTRACT - COST CENTRE'!$2:$2,0)),0)</f>
        <v>0</v>
      </c>
      <c r="AM41" s="10">
        <f t="shared" si="9"/>
        <v>155.78319999999997</v>
      </c>
      <c r="AN41" s="14">
        <f t="shared" si="2"/>
        <v>2.9056578947368419E-2</v>
      </c>
      <c r="AO41" s="18">
        <f t="shared" si="5"/>
        <v>1.0248894736842102</v>
      </c>
      <c r="AP41" s="18">
        <f t="shared" si="6"/>
        <v>0.92488947368421037</v>
      </c>
      <c r="AQ41" s="10" t="str">
        <f>IFERROR(VLOOKUP(B41,Departments!A:C,3,FALSE),"")</f>
        <v>Microbiology</v>
      </c>
      <c r="AR41" s="10" t="str">
        <f>IFERROR(VLOOKUP(B41,Departments!A:B,2,FALSE),"")</f>
        <v>Bris Micro</v>
      </c>
      <c r="AS41" s="10">
        <f t="shared" si="10"/>
        <v>15.2</v>
      </c>
      <c r="AT41" s="10">
        <f t="shared" si="11"/>
        <v>15.2</v>
      </c>
      <c r="AU41" s="10" t="str">
        <f>_xlfn.IFNA(VLOOKUP(B41,Departments!A:D,4,FALSE),"")</f>
        <v>Brisbane Micro</v>
      </c>
    </row>
    <row r="42" spans="1:47">
      <c r="A42" s="11" t="str">
        <f t="shared" si="3"/>
        <v>1201909918886</v>
      </c>
      <c r="B42" s="11">
        <f>'TRANS EMP EXTRACT - COST CENTRE'!B41</f>
        <v>12019099</v>
      </c>
      <c r="C42" s="10" t="str">
        <f>IFERROR(VLOOKUP(E42,'TRANS EMP EXTRACT - EMP CATEGOR'!A:B,2,FALSE),"")</f>
        <v>FT</v>
      </c>
      <c r="D42" s="10" t="str">
        <f>IFERROR(VLOOKUP(E42,'TRANS EMP EXTRACT - EMP CATEGOR'!A:C,3,FALSE),"")</f>
        <v>Fulltime</v>
      </c>
      <c r="E42" s="11">
        <f>'TRANS EMP EXTRACT - COST CENTRE'!D41</f>
        <v>18886</v>
      </c>
      <c r="F42" s="10" t="str">
        <f>IFERROR(VLOOKUP(E42,'TRANS EMP EXTRACT - COST CENTRE'!D:E,2,FALSE),"")</f>
        <v>GODDAER  KEVIN MR</v>
      </c>
      <c r="G42" s="12">
        <f>IFERROR(INDEX('TRANS EMP EXTRACT - COST CENTRE'!$A$1:$Z$455,MATCH('Summary - Monthly'!$A42,'TRANS EMP EXTRACT - COST CENTRE'!$A:$A,0),MATCH('Summary - Monthly'!G$3,'TRANS EMP EXTRACT - COST CENTRE'!$2:$2,0)),"")</f>
        <v>43620</v>
      </c>
      <c r="H42" s="10" t="str">
        <f>IFERROR(INDEX('TRANS EMP EXTRACT - COST CENTRE'!$B$1:$Z$455,MATCH('Summary - Monthly'!$E42,'TRANS EMP EXTRACT - COST CENTRE'!$D:$D,0),MATCH('Summary - Monthly'!H$3,'TRANS EMP EXTRACT - COST CENTRE'!$2:$2,0)),"")</f>
        <v>FN</v>
      </c>
      <c r="I42" s="12" t="str">
        <f>IFERROR(INDEX('TRANS EMP EXTRACT - EMP CATEGOR'!$B$1:$AF$421,MATCH('Summary - Monthly'!$E42,'TRANS EMP EXTRACT - EMP CATEGOR'!$D:$D,0),MATCH('Summary - Monthly'!H$3,'TRANS EMP EXTRACT - EMP CATEGOR'!$2:$2,0)),"")</f>
        <v>FN</v>
      </c>
      <c r="J42" s="41">
        <f t="shared" ca="1" si="0"/>
        <v>252.44380000000001</v>
      </c>
      <c r="K42" s="41">
        <f t="shared" ca="1" si="1"/>
        <v>132.3877</v>
      </c>
      <c r="L42" s="10">
        <f>IFERROR(INDEX('TRANS EMP EXTRACT - COST CENTRE'!$A$1:$Z$455,MATCH('Summary - Monthly'!$A42,'TRANS EMP EXTRACT - COST CENTRE'!$A:$A,0),MATCH('Summary - Monthly'!L$3,'TRANS EMP EXTRACT - COST CENTRE'!$2:$2,0)),"")</f>
        <v>152</v>
      </c>
      <c r="M42" s="10">
        <f>IFERROR(INDEX('TRANS EMP EXTRACT - COST CENTRE'!$A$1:$Z$455,MATCH('Summary - Monthly'!$A42,'TRANS EMP EXTRACT - COST CENTRE'!$A:$A,0),MATCH('Summary - Monthly'!M$3,'TRANS EMP EXTRACT - COST CENTRE'!$2:$2,0)),0)</f>
        <v>0</v>
      </c>
      <c r="N42" s="10">
        <f>IFERROR(INDEX('TRANS EMP EXTRACT - COST CENTRE'!$A$1:$Z$455,MATCH('Summary - Monthly'!$A42,'TRANS EMP EXTRACT - COST CENTRE'!$A:$A,0),MATCH('Summary - Monthly'!N$3,'TRANS EMP EXTRACT - COST CENTRE'!$2:$2,0)),0)</f>
        <v>0</v>
      </c>
      <c r="O42" s="10">
        <f>IFERROR(INDEX('TRANS EMP EXTRACT - COST CENTRE'!$A$1:$Z$455,MATCH('Summary - Monthly'!$A42,'TRANS EMP EXTRACT - COST CENTRE'!$A:$A,0),MATCH('Summary - Monthly'!O$3,'TRANS EMP EXTRACT - COST CENTRE'!$2:$2,0)),0)</f>
        <v>0</v>
      </c>
      <c r="P42" s="10">
        <f>IFERROR(INDEX('TRANS EMP EXTRACT - COST CENTRE'!$A$1:$Z$455,MATCH('Summary - Monthly'!$A42,'TRANS EMP EXTRACT - COST CENTRE'!$A:$A,0),MATCH('Summary - Monthly'!P$3,'TRANS EMP EXTRACT - COST CENTRE'!$2:$2,0)),0)</f>
        <v>0</v>
      </c>
      <c r="Q42" s="10">
        <f>IFERROR(INDEX('TRANS EMP EXTRACT - COST CENTRE'!$A$1:$Z$455,MATCH('Summary - Monthly'!$A42,'TRANS EMP EXTRACT - COST CENTRE'!$A:$A,0),MATCH('Summary - Monthly'!Q$3,'TRANS EMP EXTRACT - COST CENTRE'!$2:$2,0)),0)</f>
        <v>0</v>
      </c>
      <c r="R42" s="10">
        <f>IFERROR(INDEX('TRANS EMP EXTRACT - COST CENTRE'!$A$1:$Z$455,MATCH('Summary - Monthly'!$A42,'TRANS EMP EXTRACT - COST CENTRE'!$A:$A,0),MATCH('Summary - Monthly'!R$3,'TRANS EMP EXTRACT - COST CENTRE'!$2:$2,0)),0)</f>
        <v>0</v>
      </c>
      <c r="S42" s="10">
        <f>IFERROR(INDEX('TRANS EMP EXTRACT - COST CENTRE'!$A$1:$Z$455,MATCH('Summary - Monthly'!$A42,'TRANS EMP EXTRACT - COST CENTRE'!$A:$A,0),MATCH('Summary - Monthly'!S$3,'TRANS EMP EXTRACT - COST CENTRE'!$2:$2,0)),0)</f>
        <v>0</v>
      </c>
      <c r="T42" s="8">
        <f>IFERROR(INDEX('TRANS EMP EXTRACT - COST CENTRE'!$A$1:$Z$455,MATCH('Summary - Monthly'!$A42,'TRANS EMP EXTRACT - COST CENTRE'!$A:$A,0),MATCH('Summary - Monthly'!T$3,'TRANS EMP EXTRACT - COST CENTRE'!$2:$2,0)),0)</f>
        <v>0</v>
      </c>
      <c r="U42" s="13">
        <f>IFERROR(INDEX('TRANS EMP EXTRACT - COST CENTRE'!$A$1:$Z$455,MATCH('Summary - Monthly'!$A42,'TRANS EMP EXTRACT - COST CENTRE'!$A:$A,0),MATCH('Summary - Monthly'!U$3,'TRANS EMP EXTRACT - COST CENTRE'!$2:$2,0)),0)</f>
        <v>0</v>
      </c>
      <c r="V42" s="13">
        <f>IFERROR(INDEX('TRANS EMP EXTRACT - COST CENTRE'!$A$1:$Z$455,MATCH('Summary - Monthly'!$A42,'TRANS EMP EXTRACT - COST CENTRE'!$A:$A,0),MATCH('Summary - Monthly'!V$3,'TRANS EMP EXTRACT - COST CENTRE'!$2:$2,0)),0)</f>
        <v>0</v>
      </c>
      <c r="W42" s="13">
        <f>IFERROR(INDEX('TRANS EMP EXTRACT - COST CENTRE'!$A$1:$Z$455,MATCH('Summary - Monthly'!$A42,'TRANS EMP EXTRACT - COST CENTRE'!$A:$A,0),MATCH('Summary - Monthly'!W$3,'TRANS EMP EXTRACT - COST CENTRE'!$2:$2,0)),0)</f>
        <v>0</v>
      </c>
      <c r="X42" s="13">
        <f>IFERROR(INDEX('TRANS EMP EXTRACT - COST CENTRE'!$A$1:$Z$455,MATCH('Summary - Monthly'!$A42,'TRANS EMP EXTRACT - COST CENTRE'!$A:$A,0),MATCH('Summary - Monthly'!X$3,'TRANS EMP EXTRACT - COST CENTRE'!$2:$2,0)),0)</f>
        <v>0</v>
      </c>
      <c r="Y42" s="13">
        <f>IFERROR(INDEX('TRANS EMP EXTRACT - COST CENTRE'!$A$1:$Z$455,MATCH('Summary - Monthly'!$A42,'TRANS EMP EXTRACT - COST CENTRE'!$A:$A,0),MATCH('Summary - Monthly'!Y$3,'TRANS EMP EXTRACT - COST CENTRE'!$2:$2,0)),0)</f>
        <v>0</v>
      </c>
      <c r="Z42" s="10">
        <f>IFERROR(INDEX('TRANS EMP EXTRACT - COST CENTRE'!$A$1:$Z$455,MATCH('Summary - Monthly'!$A42,'TRANS EMP EXTRACT - COST CENTRE'!$A:$A,0),MATCH('Summary - Monthly'!Z$3,'TRANS EMP EXTRACT - COST CENTRE'!$2:$2,0)),0)</f>
        <v>0</v>
      </c>
      <c r="AA42" s="10">
        <f>IFERROR(INDEX('TRANS EMP EXTRACT - COST CENTRE'!$A$1:$Z$455,MATCH('Summary - Monthly'!$A42,'TRANS EMP EXTRACT - COST CENTRE'!$A:$A,0),MATCH('Summary - Monthly'!AA$3,'TRANS EMP EXTRACT - COST CENTRE'!$2:$2,0)),0)</f>
        <v>0</v>
      </c>
      <c r="AB42" s="10">
        <f>IFERROR(INDEX('TRANS EMP EXTRACT - COST CENTRE'!$A$1:$Z$455,MATCH('Summary - Monthly'!$A42,'TRANS EMP EXTRACT - COST CENTRE'!$A:$A,0),MATCH('Summary - Monthly'!AB$3,'TRANS EMP EXTRACT - COST CENTRE'!$2:$2,0)),0)</f>
        <v>0</v>
      </c>
      <c r="AC42" s="8">
        <f>IFERROR(INDEX('TRANS EMP EXTRACT - COST CENTRE'!$A$1:$Z$455,MATCH('Summary - Monthly'!$A42,'TRANS EMP EXTRACT - COST CENTRE'!$A:$A,0),MATCH('Summary - Monthly'!AC$3,'TRANS EMP EXTRACT - COST CENTRE'!$2:$2,0)),0)</f>
        <v>0</v>
      </c>
      <c r="AD42" s="13">
        <f>IFERROR(INDEX('TRANS EMP EXTRACT - COST CENTRE'!$A$1:$Z$455,MATCH('Summary - Monthly'!$A42,'TRANS EMP EXTRACT - COST CENTRE'!$A:$A,0),MATCH('Summary - Monthly'!AD$3,'TRANS EMP EXTRACT - COST CENTRE'!$2:$2,0)),0)</f>
        <v>0</v>
      </c>
      <c r="AE42" s="13">
        <f>IFERROR(INDEX('TRANS EMP EXTRACT - COST CENTRE'!$A$1:$Z$455,MATCH('Summary - Monthly'!$A42,'TRANS EMP EXTRACT - COST CENTRE'!$A:$A,0),MATCH('Summary - Monthly'!AE$3,'TRANS EMP EXTRACT - COST CENTRE'!$2:$2,0)),0)</f>
        <v>0</v>
      </c>
      <c r="AF42" s="13">
        <f>IFERROR(INDEX('TRANS EMP EXTRACT - COST CENTRE'!$A$1:$Z$455,MATCH('Summary - Monthly'!$A42,'TRANS EMP EXTRACT - COST CENTRE'!$A:$A,0),MATCH('Summary - Monthly'!AF$3,'TRANS EMP EXTRACT - COST CENTRE'!$2:$2,0)),0)</f>
        <v>0</v>
      </c>
      <c r="AG42" s="10">
        <f>IFERROR(INDEX('TRANS EMP EXTRACT - COST CENTRE'!$A$1:$Z$455,MATCH('Summary - Monthly'!$A42,'TRANS EMP EXTRACT - COST CENTRE'!$A:$A,0),MATCH('Summary - Monthly'!AG$3,'TRANS EMP EXTRACT - COST CENTRE'!$2:$2,0)),0)</f>
        <v>0</v>
      </c>
      <c r="AH42" s="10">
        <f>IFERROR(INDEX('TRANS EMP EXTRACT - COST CENTRE'!$A$1:$Z$455,MATCH('Summary - Monthly'!$A42,'TRANS EMP EXTRACT - COST CENTRE'!$A:$A,0),MATCH('Summary - Monthly'!AH$3,'TRANS EMP EXTRACT - COST CENTRE'!$2:$2,0)),0)</f>
        <v>0</v>
      </c>
      <c r="AI42" s="10">
        <f>IFERROR(INDEX('TRANS EMP EXTRACT - COST CENTRE'!$A$1:$Z$455,MATCH('Summary - Monthly'!$A42,'TRANS EMP EXTRACT - COST CENTRE'!$A:$A,0),MATCH('Summary - Monthly'!AI$3,'TRANS EMP EXTRACT - COST CENTRE'!$2:$2,0)),0)</f>
        <v>0</v>
      </c>
      <c r="AJ42" s="10">
        <f>IFERROR(INDEX('TRANS EMP EXTRACT - COST CENTRE'!$A$1:$Z$455,MATCH('Summary - Monthly'!$A42,'TRANS EMP EXTRACT - COST CENTRE'!$A:$A,0),MATCH('Summary - Monthly'!AJ$3,'TRANS EMP EXTRACT - COST CENTRE'!$2:$2,0)),0)</f>
        <v>0</v>
      </c>
      <c r="AK42" s="10">
        <f>IFERROR(INDEX('TRANS EMP EXTRACT - COST CENTRE'!$A$1:$Z$455,MATCH('Summary - Monthly'!$A42,'TRANS EMP EXTRACT - COST CENTRE'!$A:$A,0),MATCH('Summary - Monthly'!AK$3,'TRANS EMP EXTRACT - COST CENTRE'!$2:$2,0)),0)</f>
        <v>0</v>
      </c>
      <c r="AL42" s="10">
        <f>IFERROR(INDEX('TRANS EMP EXTRACT - COST CENTRE'!$A$1:$Z$455,MATCH('Summary - Monthly'!$A42,'TRANS EMP EXTRACT - COST CENTRE'!$A:$A,0),MATCH('Summary - Monthly'!AL$3,'TRANS EMP EXTRACT - COST CENTRE'!$2:$2,0)),0)</f>
        <v>0</v>
      </c>
      <c r="AM42" s="10">
        <f t="shared" si="9"/>
        <v>152</v>
      </c>
      <c r="AN42" s="14">
        <f t="shared" si="2"/>
        <v>0</v>
      </c>
      <c r="AO42" s="18">
        <f t="shared" si="5"/>
        <v>1</v>
      </c>
      <c r="AP42" s="18">
        <f t="shared" si="6"/>
        <v>1</v>
      </c>
      <c r="AQ42" s="10" t="str">
        <f>IFERROR(VLOOKUP(B42,Departments!A:C,3,FALSE),"")</f>
        <v>G&amp;A</v>
      </c>
      <c r="AR42" s="10" t="str">
        <f>IFERROR(VLOOKUP(B42,Departments!A:B,2,FALSE),"")</f>
        <v>Management</v>
      </c>
      <c r="AS42" s="10">
        <f t="shared" si="10"/>
        <v>0</v>
      </c>
      <c r="AT42" s="10">
        <f t="shared" si="11"/>
        <v>0</v>
      </c>
      <c r="AU42" s="10" t="str">
        <f>_xlfn.IFNA(VLOOKUP(B42,Departments!A:D,4,FALSE),"")</f>
        <v>G&amp;A</v>
      </c>
    </row>
    <row r="43" spans="1:47">
      <c r="A43" s="11" t="str">
        <f t="shared" si="3"/>
        <v>1204050018649</v>
      </c>
      <c r="B43" s="11">
        <f>'TRANS EMP EXTRACT - COST CENTRE'!B42</f>
        <v>12040500</v>
      </c>
      <c r="C43" s="10" t="str">
        <f>IFERROR(VLOOKUP(E43,'TRANS EMP EXTRACT - EMP CATEGOR'!A:B,2,FALSE),"")</f>
        <v>FT</v>
      </c>
      <c r="D43" s="10" t="str">
        <f>IFERROR(VLOOKUP(E43,'TRANS EMP EXTRACT - EMP CATEGOR'!A:C,3,FALSE),"")</f>
        <v>Fulltime</v>
      </c>
      <c r="E43" s="11">
        <f>'TRANS EMP EXTRACT - COST CENTRE'!D42</f>
        <v>18649</v>
      </c>
      <c r="F43" s="10" t="str">
        <f>IFERROR(VLOOKUP(E43,'TRANS EMP EXTRACT - COST CENTRE'!D:E,2,FALSE),"")</f>
        <v>GODWIN  COLLEEN MRS</v>
      </c>
      <c r="G43" s="12">
        <f>IFERROR(INDEX('TRANS EMP EXTRACT - COST CENTRE'!$A$1:$Z$455,MATCH('Summary - Monthly'!$A43,'TRANS EMP EXTRACT - COST CENTRE'!$A:$A,0),MATCH('Summary - Monthly'!G$3,'TRANS EMP EXTRACT - COST CENTRE'!$2:$2,0)),"")</f>
        <v>41801</v>
      </c>
      <c r="H43" s="10" t="str">
        <f>IFERROR(INDEX('TRANS EMP EXTRACT - COST CENTRE'!$B$1:$Z$455,MATCH('Summary - Monthly'!$E43,'TRANS EMP EXTRACT - COST CENTRE'!$D:$D,0),MATCH('Summary - Monthly'!H$3,'TRANS EMP EXTRACT - COST CENTRE'!$2:$2,0)),"")</f>
        <v>RT</v>
      </c>
      <c r="I43" s="12" t="str">
        <f>IFERROR(INDEX('TRANS EMP EXTRACT - EMP CATEGOR'!$B$1:$AF$421,MATCH('Summary - Monthly'!$E43,'TRANS EMP EXTRACT - EMP CATEGOR'!$D:$D,0),MATCH('Summary - Monthly'!H$3,'TRANS EMP EXTRACT - EMP CATEGOR'!$2:$2,0)),"")</f>
        <v>RT</v>
      </c>
      <c r="J43" s="41">
        <f t="shared" ca="1" si="0"/>
        <v>218.126</v>
      </c>
      <c r="K43" s="41">
        <f t="shared" ca="1" si="1"/>
        <v>111.2332</v>
      </c>
      <c r="L43" s="10">
        <f>IFERROR(INDEX('TRANS EMP EXTRACT - COST CENTRE'!$A$1:$Z$455,MATCH('Summary - Monthly'!$A43,'TRANS EMP EXTRACT - COST CENTRE'!$A:$A,0),MATCH('Summary - Monthly'!L$3,'TRANS EMP EXTRACT - COST CENTRE'!$2:$2,0)),"")</f>
        <v>152</v>
      </c>
      <c r="M43" s="10">
        <f>IFERROR(INDEX('TRANS EMP EXTRACT - COST CENTRE'!$A$1:$Z$455,MATCH('Summary - Monthly'!$A43,'TRANS EMP EXTRACT - COST CENTRE'!$A:$A,0),MATCH('Summary - Monthly'!M$3,'TRANS EMP EXTRACT - COST CENTRE'!$2:$2,0)),0)</f>
        <v>0</v>
      </c>
      <c r="N43" s="10">
        <f>IFERROR(INDEX('TRANS EMP EXTRACT - COST CENTRE'!$A$1:$Z$455,MATCH('Summary - Monthly'!$A43,'TRANS EMP EXTRACT - COST CENTRE'!$A:$A,0),MATCH('Summary - Monthly'!N$3,'TRANS EMP EXTRACT - COST CENTRE'!$2:$2,0)),0)</f>
        <v>0</v>
      </c>
      <c r="O43" s="10">
        <f>IFERROR(INDEX('TRANS EMP EXTRACT - COST CENTRE'!$A$1:$Z$455,MATCH('Summary - Monthly'!$A43,'TRANS EMP EXTRACT - COST CENTRE'!$A:$A,0),MATCH('Summary - Monthly'!O$3,'TRANS EMP EXTRACT - COST CENTRE'!$2:$2,0)),0)</f>
        <v>0</v>
      </c>
      <c r="P43" s="10">
        <f>IFERROR(INDEX('TRANS EMP EXTRACT - COST CENTRE'!$A$1:$Z$455,MATCH('Summary - Monthly'!$A43,'TRANS EMP EXTRACT - COST CENTRE'!$A:$A,0),MATCH('Summary - Monthly'!P$3,'TRANS EMP EXTRACT - COST CENTRE'!$2:$2,0)),0)</f>
        <v>0</v>
      </c>
      <c r="Q43" s="10">
        <f>IFERROR(INDEX('TRANS EMP EXTRACT - COST CENTRE'!$A$1:$Z$455,MATCH('Summary - Monthly'!$A43,'TRANS EMP EXTRACT - COST CENTRE'!$A:$A,0),MATCH('Summary - Monthly'!Q$3,'TRANS EMP EXTRACT - COST CENTRE'!$2:$2,0)),0)</f>
        <v>0</v>
      </c>
      <c r="R43" s="10">
        <f>IFERROR(INDEX('TRANS EMP EXTRACT - COST CENTRE'!$A$1:$Z$455,MATCH('Summary - Monthly'!$A43,'TRANS EMP EXTRACT - COST CENTRE'!$A:$A,0),MATCH('Summary - Monthly'!R$3,'TRANS EMP EXTRACT - COST CENTRE'!$2:$2,0)),0)</f>
        <v>0</v>
      </c>
      <c r="S43" s="10">
        <f>IFERROR(INDEX('TRANS EMP EXTRACT - COST CENTRE'!$A$1:$Z$455,MATCH('Summary - Monthly'!$A43,'TRANS EMP EXTRACT - COST CENTRE'!$A:$A,0),MATCH('Summary - Monthly'!S$3,'TRANS EMP EXTRACT - COST CENTRE'!$2:$2,0)),0)</f>
        <v>0</v>
      </c>
      <c r="T43" s="8">
        <f>IFERROR(INDEX('TRANS EMP EXTRACT - COST CENTRE'!$A$1:$Z$455,MATCH('Summary - Monthly'!$A43,'TRANS EMP EXTRACT - COST CENTRE'!$A:$A,0),MATCH('Summary - Monthly'!T$3,'TRANS EMP EXTRACT - COST CENTRE'!$2:$2,0)),0)</f>
        <v>0</v>
      </c>
      <c r="U43" s="13">
        <f>IFERROR(INDEX('TRANS EMP EXTRACT - COST CENTRE'!$A$1:$Z$455,MATCH('Summary - Monthly'!$A43,'TRANS EMP EXTRACT - COST CENTRE'!$A:$A,0),MATCH('Summary - Monthly'!U$3,'TRANS EMP EXTRACT - COST CENTRE'!$2:$2,0)),0)</f>
        <v>0</v>
      </c>
      <c r="V43" s="13">
        <f>IFERROR(INDEX('TRANS EMP EXTRACT - COST CENTRE'!$A$1:$Z$455,MATCH('Summary - Monthly'!$A43,'TRANS EMP EXTRACT - COST CENTRE'!$A:$A,0),MATCH('Summary - Monthly'!V$3,'TRANS EMP EXTRACT - COST CENTRE'!$2:$2,0)),0)</f>
        <v>0</v>
      </c>
      <c r="W43" s="13">
        <f>IFERROR(INDEX('TRANS EMP EXTRACT - COST CENTRE'!$A$1:$Z$455,MATCH('Summary - Monthly'!$A43,'TRANS EMP EXTRACT - COST CENTRE'!$A:$A,0),MATCH('Summary - Monthly'!W$3,'TRANS EMP EXTRACT - COST CENTRE'!$2:$2,0)),0)</f>
        <v>0</v>
      </c>
      <c r="X43" s="13">
        <f>IFERROR(INDEX('TRANS EMP EXTRACT - COST CENTRE'!$A$1:$Z$455,MATCH('Summary - Monthly'!$A43,'TRANS EMP EXTRACT - COST CENTRE'!$A:$A,0),MATCH('Summary - Monthly'!X$3,'TRANS EMP EXTRACT - COST CENTRE'!$2:$2,0)),0)</f>
        <v>0</v>
      </c>
      <c r="Y43" s="13">
        <f>IFERROR(INDEX('TRANS EMP EXTRACT - COST CENTRE'!$A$1:$Z$455,MATCH('Summary - Monthly'!$A43,'TRANS EMP EXTRACT - COST CENTRE'!$A:$A,0),MATCH('Summary - Monthly'!Y$3,'TRANS EMP EXTRACT - COST CENTRE'!$2:$2,0)),0)</f>
        <v>0</v>
      </c>
      <c r="Z43" s="10">
        <f>IFERROR(INDEX('TRANS EMP EXTRACT - COST CENTRE'!$A$1:$Z$455,MATCH('Summary - Monthly'!$A43,'TRANS EMP EXTRACT - COST CENTRE'!$A:$A,0),MATCH('Summary - Monthly'!Z$3,'TRANS EMP EXTRACT - COST CENTRE'!$2:$2,0)),0)</f>
        <v>0</v>
      </c>
      <c r="AA43" s="10">
        <f>IFERROR(INDEX('TRANS EMP EXTRACT - COST CENTRE'!$A$1:$Z$455,MATCH('Summary - Monthly'!$A43,'TRANS EMP EXTRACT - COST CENTRE'!$A:$A,0),MATCH('Summary - Monthly'!AA$3,'TRANS EMP EXTRACT - COST CENTRE'!$2:$2,0)),0)</f>
        <v>0</v>
      </c>
      <c r="AB43" s="10">
        <f>IFERROR(INDEX('TRANS EMP EXTRACT - COST CENTRE'!$A$1:$Z$455,MATCH('Summary - Monthly'!$A43,'TRANS EMP EXTRACT - COST CENTRE'!$A:$A,0),MATCH('Summary - Monthly'!AB$3,'TRANS EMP EXTRACT - COST CENTRE'!$2:$2,0)),0)</f>
        <v>0</v>
      </c>
      <c r="AC43" s="8">
        <f>IFERROR(INDEX('TRANS EMP EXTRACT - COST CENTRE'!$A$1:$Z$455,MATCH('Summary - Monthly'!$A43,'TRANS EMP EXTRACT - COST CENTRE'!$A:$A,0),MATCH('Summary - Monthly'!AC$3,'TRANS EMP EXTRACT - COST CENTRE'!$2:$2,0)),0)</f>
        <v>0</v>
      </c>
      <c r="AD43" s="13">
        <f>IFERROR(INDEX('TRANS EMP EXTRACT - COST CENTRE'!$A$1:$Z$455,MATCH('Summary - Monthly'!$A43,'TRANS EMP EXTRACT - COST CENTRE'!$A:$A,0),MATCH('Summary - Monthly'!AD$3,'TRANS EMP EXTRACT - COST CENTRE'!$2:$2,0)),0)</f>
        <v>0</v>
      </c>
      <c r="AE43" s="13">
        <f>IFERROR(INDEX('TRANS EMP EXTRACT - COST CENTRE'!$A$1:$Z$455,MATCH('Summary - Monthly'!$A43,'TRANS EMP EXTRACT - COST CENTRE'!$A:$A,0),MATCH('Summary - Monthly'!AE$3,'TRANS EMP EXTRACT - COST CENTRE'!$2:$2,0)),0)</f>
        <v>0</v>
      </c>
      <c r="AF43" s="13">
        <f>IFERROR(INDEX('TRANS EMP EXTRACT - COST CENTRE'!$A$1:$Z$455,MATCH('Summary - Monthly'!$A43,'TRANS EMP EXTRACT - COST CENTRE'!$A:$A,0),MATCH('Summary - Monthly'!AF$3,'TRANS EMP EXTRACT - COST CENTRE'!$2:$2,0)),0)</f>
        <v>0</v>
      </c>
      <c r="AG43" s="10">
        <f>IFERROR(INDEX('TRANS EMP EXTRACT - COST CENTRE'!$A$1:$Z$455,MATCH('Summary - Monthly'!$A43,'TRANS EMP EXTRACT - COST CENTRE'!$A:$A,0),MATCH('Summary - Monthly'!AG$3,'TRANS EMP EXTRACT - COST CENTRE'!$2:$2,0)),0)</f>
        <v>0</v>
      </c>
      <c r="AH43" s="10">
        <f>IFERROR(INDEX('TRANS EMP EXTRACT - COST CENTRE'!$A$1:$Z$455,MATCH('Summary - Monthly'!$A43,'TRANS EMP EXTRACT - COST CENTRE'!$A:$A,0),MATCH('Summary - Monthly'!AH$3,'TRANS EMP EXTRACT - COST CENTRE'!$2:$2,0)),0)</f>
        <v>0</v>
      </c>
      <c r="AI43" s="10">
        <f>IFERROR(INDEX('TRANS EMP EXTRACT - COST CENTRE'!$A$1:$Z$455,MATCH('Summary - Monthly'!$A43,'TRANS EMP EXTRACT - COST CENTRE'!$A:$A,0),MATCH('Summary - Monthly'!AI$3,'TRANS EMP EXTRACT - COST CENTRE'!$2:$2,0)),0)</f>
        <v>0</v>
      </c>
      <c r="AJ43" s="10">
        <f>IFERROR(INDEX('TRANS EMP EXTRACT - COST CENTRE'!$A$1:$Z$455,MATCH('Summary - Monthly'!$A43,'TRANS EMP EXTRACT - COST CENTRE'!$A:$A,0),MATCH('Summary - Monthly'!AJ$3,'TRANS EMP EXTRACT - COST CENTRE'!$2:$2,0)),0)</f>
        <v>0</v>
      </c>
      <c r="AK43" s="10">
        <f>IFERROR(INDEX('TRANS EMP EXTRACT - COST CENTRE'!$A$1:$Z$455,MATCH('Summary - Monthly'!$A43,'TRANS EMP EXTRACT - COST CENTRE'!$A:$A,0),MATCH('Summary - Monthly'!AK$3,'TRANS EMP EXTRACT - COST CENTRE'!$2:$2,0)),0)</f>
        <v>0</v>
      </c>
      <c r="AL43" s="10">
        <f>IFERROR(INDEX('TRANS EMP EXTRACT - COST CENTRE'!$A$1:$Z$455,MATCH('Summary - Monthly'!$A43,'TRANS EMP EXTRACT - COST CENTRE'!$A:$A,0),MATCH('Summary - Monthly'!AL$3,'TRANS EMP EXTRACT - COST CENTRE'!$2:$2,0)),0)</f>
        <v>0</v>
      </c>
      <c r="AM43" s="10">
        <f t="shared" si="9"/>
        <v>152</v>
      </c>
      <c r="AN43" s="14">
        <f t="shared" si="2"/>
        <v>0</v>
      </c>
      <c r="AO43" s="18">
        <f t="shared" si="5"/>
        <v>1</v>
      </c>
      <c r="AP43" s="18">
        <f t="shared" si="6"/>
        <v>1</v>
      </c>
      <c r="AQ43" s="10" t="str">
        <f>IFERROR(VLOOKUP(B43,Departments!A:C,3,FALSE),"")</f>
        <v>Lab Admin</v>
      </c>
      <c r="AR43" s="10" t="str">
        <f>IFERROR(VLOOKUP(B43,Departments!A:B,2,FALSE),"")</f>
        <v>Bris Lab Admin</v>
      </c>
      <c r="AS43" s="10">
        <f t="shared" si="10"/>
        <v>0</v>
      </c>
      <c r="AT43" s="10">
        <f t="shared" si="11"/>
        <v>0</v>
      </c>
      <c r="AU43" s="10" t="str">
        <f>_xlfn.IFNA(VLOOKUP(B43,Departments!A:D,4,FALSE),"")</f>
        <v>Brisbane Lab Admin</v>
      </c>
    </row>
    <row r="44" spans="1:47">
      <c r="A44" s="11" t="str">
        <f t="shared" si="3"/>
        <v>1204809918976</v>
      </c>
      <c r="B44" s="11">
        <f>'TRANS EMP EXTRACT - COST CENTRE'!B43</f>
        <v>12048099</v>
      </c>
      <c r="C44" s="10" t="str">
        <f>IFERROR(VLOOKUP(E44,'TRANS EMP EXTRACT - EMP CATEGOR'!A:B,2,FALSE),"")</f>
        <v>FT</v>
      </c>
      <c r="D44" s="10" t="str">
        <f>IFERROR(VLOOKUP(E44,'TRANS EMP EXTRACT - EMP CATEGOR'!A:C,3,FALSE),"")</f>
        <v>Fulltime</v>
      </c>
      <c r="E44" s="11">
        <f>'TRANS EMP EXTRACT - COST CENTRE'!D43</f>
        <v>18976</v>
      </c>
      <c r="F44" s="10" t="str">
        <f>IFERROR(VLOOKUP(E44,'TRANS EMP EXTRACT - COST CENTRE'!D:E,2,FALSE),"")</f>
        <v>GUEVARA LUJAN  GABRIELA MS</v>
      </c>
      <c r="G44" s="12">
        <f>IFERROR(INDEX('TRANS EMP EXTRACT - COST CENTRE'!$A$1:$Z$455,MATCH('Summary - Monthly'!$A44,'TRANS EMP EXTRACT - COST CENTRE'!$A:$A,0),MATCH('Summary - Monthly'!G$3,'TRANS EMP EXTRACT - COST CENTRE'!$2:$2,0)),"")</f>
        <v>44501</v>
      </c>
      <c r="H44" s="10" t="str">
        <f>IFERROR(INDEX('TRANS EMP EXTRACT - COST CENTRE'!$B$1:$Z$455,MATCH('Summary - Monthly'!$E44,'TRANS EMP EXTRACT - COST CENTRE'!$D:$D,0),MATCH('Summary - Monthly'!H$3,'TRANS EMP EXTRACT - COST CENTRE'!$2:$2,0)),"")</f>
        <v>FN</v>
      </c>
      <c r="I44" s="12" t="str">
        <f>IFERROR(INDEX('TRANS EMP EXTRACT - EMP CATEGOR'!$B$1:$AF$421,MATCH('Summary - Monthly'!$E44,'TRANS EMP EXTRACT - EMP CATEGOR'!$D:$D,0),MATCH('Summary - Monthly'!H$3,'TRANS EMP EXTRACT - EMP CATEGOR'!$2:$2,0)),"")</f>
        <v>FN</v>
      </c>
      <c r="J44" s="41">
        <f t="shared" ca="1" si="0"/>
        <v>96.318700000000007</v>
      </c>
      <c r="K44" s="41">
        <f t="shared" ca="1" si="1"/>
        <v>58.237299999999998</v>
      </c>
      <c r="L44" s="10">
        <f>IFERROR(INDEX('TRANS EMP EXTRACT - COST CENTRE'!$A$1:$Z$455,MATCH('Summary - Monthly'!$A44,'TRANS EMP EXTRACT - COST CENTRE'!$A:$A,0),MATCH('Summary - Monthly'!L$3,'TRANS EMP EXTRACT - COST CENTRE'!$2:$2,0)),"")</f>
        <v>152</v>
      </c>
      <c r="M44" s="10">
        <f>IFERROR(INDEX('TRANS EMP EXTRACT - COST CENTRE'!$A$1:$Z$455,MATCH('Summary - Monthly'!$A44,'TRANS EMP EXTRACT - COST CENTRE'!$A:$A,0),MATCH('Summary - Monthly'!M$3,'TRANS EMP EXTRACT - COST CENTRE'!$2:$2,0)),0)</f>
        <v>0</v>
      </c>
      <c r="N44" s="10">
        <f>IFERROR(INDEX('TRANS EMP EXTRACT - COST CENTRE'!$A$1:$Z$455,MATCH('Summary - Monthly'!$A44,'TRANS EMP EXTRACT - COST CENTRE'!$A:$A,0),MATCH('Summary - Monthly'!N$3,'TRANS EMP EXTRACT - COST CENTRE'!$2:$2,0)),0)</f>
        <v>0</v>
      </c>
      <c r="O44" s="10">
        <f>IFERROR(INDEX('TRANS EMP EXTRACT - COST CENTRE'!$A$1:$Z$455,MATCH('Summary - Monthly'!$A44,'TRANS EMP EXTRACT - COST CENTRE'!$A:$A,0),MATCH('Summary - Monthly'!O$3,'TRANS EMP EXTRACT - COST CENTRE'!$2:$2,0)),0)</f>
        <v>0</v>
      </c>
      <c r="P44" s="10">
        <f>IFERROR(INDEX('TRANS EMP EXTRACT - COST CENTRE'!$A$1:$Z$455,MATCH('Summary - Monthly'!$A44,'TRANS EMP EXTRACT - COST CENTRE'!$A:$A,0),MATCH('Summary - Monthly'!P$3,'TRANS EMP EXTRACT - COST CENTRE'!$2:$2,0)),0)</f>
        <v>0</v>
      </c>
      <c r="Q44" s="10">
        <f>IFERROR(INDEX('TRANS EMP EXTRACT - COST CENTRE'!$A$1:$Z$455,MATCH('Summary - Monthly'!$A44,'TRANS EMP EXTRACT - COST CENTRE'!$A:$A,0),MATCH('Summary - Monthly'!Q$3,'TRANS EMP EXTRACT - COST CENTRE'!$2:$2,0)),0)</f>
        <v>0</v>
      </c>
      <c r="R44" s="10">
        <f>IFERROR(INDEX('TRANS EMP EXTRACT - COST CENTRE'!$A$1:$Z$455,MATCH('Summary - Monthly'!$A44,'TRANS EMP EXTRACT - COST CENTRE'!$A:$A,0),MATCH('Summary - Monthly'!R$3,'TRANS EMP EXTRACT - COST CENTRE'!$2:$2,0)),0)</f>
        <v>0</v>
      </c>
      <c r="S44" s="10">
        <f>IFERROR(INDEX('TRANS EMP EXTRACT - COST CENTRE'!$A$1:$Z$455,MATCH('Summary - Monthly'!$A44,'TRANS EMP EXTRACT - COST CENTRE'!$A:$A,0),MATCH('Summary - Monthly'!S$3,'TRANS EMP EXTRACT - COST CENTRE'!$2:$2,0)),0)</f>
        <v>0</v>
      </c>
      <c r="T44" s="8">
        <f>IFERROR(INDEX('TRANS EMP EXTRACT - COST CENTRE'!$A$1:$Z$455,MATCH('Summary - Monthly'!$A44,'TRANS EMP EXTRACT - COST CENTRE'!$A:$A,0),MATCH('Summary - Monthly'!T$3,'TRANS EMP EXTRACT - COST CENTRE'!$2:$2,0)),0)</f>
        <v>0</v>
      </c>
      <c r="U44" s="13">
        <f>IFERROR(INDEX('TRANS EMP EXTRACT - COST CENTRE'!$A$1:$Z$455,MATCH('Summary - Monthly'!$A44,'TRANS EMP EXTRACT - COST CENTRE'!$A:$A,0),MATCH('Summary - Monthly'!U$3,'TRANS EMP EXTRACT - COST CENTRE'!$2:$2,0)),0)</f>
        <v>0</v>
      </c>
      <c r="V44" s="13">
        <f>IFERROR(INDEX('TRANS EMP EXTRACT - COST CENTRE'!$A$1:$Z$455,MATCH('Summary - Monthly'!$A44,'TRANS EMP EXTRACT - COST CENTRE'!$A:$A,0),MATCH('Summary - Monthly'!V$3,'TRANS EMP EXTRACT - COST CENTRE'!$2:$2,0)),0)</f>
        <v>0</v>
      </c>
      <c r="W44" s="13">
        <f>IFERROR(INDEX('TRANS EMP EXTRACT - COST CENTRE'!$A$1:$Z$455,MATCH('Summary - Monthly'!$A44,'TRANS EMP EXTRACT - COST CENTRE'!$A:$A,0),MATCH('Summary - Monthly'!W$3,'TRANS EMP EXTRACT - COST CENTRE'!$2:$2,0)),0)</f>
        <v>0</v>
      </c>
      <c r="X44" s="13">
        <f>IFERROR(INDEX('TRANS EMP EXTRACT - COST CENTRE'!$A$1:$Z$455,MATCH('Summary - Monthly'!$A44,'TRANS EMP EXTRACT - COST CENTRE'!$A:$A,0),MATCH('Summary - Monthly'!X$3,'TRANS EMP EXTRACT - COST CENTRE'!$2:$2,0)),0)</f>
        <v>0</v>
      </c>
      <c r="Y44" s="13">
        <f>IFERROR(INDEX('TRANS EMP EXTRACT - COST CENTRE'!$A$1:$Z$455,MATCH('Summary - Monthly'!$A44,'TRANS EMP EXTRACT - COST CENTRE'!$A:$A,0),MATCH('Summary - Monthly'!Y$3,'TRANS EMP EXTRACT - COST CENTRE'!$2:$2,0)),0)</f>
        <v>0</v>
      </c>
      <c r="Z44" s="10">
        <f>IFERROR(INDEX('TRANS EMP EXTRACT - COST CENTRE'!$A$1:$Z$455,MATCH('Summary - Monthly'!$A44,'TRANS EMP EXTRACT - COST CENTRE'!$A:$A,0),MATCH('Summary - Monthly'!Z$3,'TRANS EMP EXTRACT - COST CENTRE'!$2:$2,0)),0)</f>
        <v>0</v>
      </c>
      <c r="AA44" s="10">
        <f>IFERROR(INDEX('TRANS EMP EXTRACT - COST CENTRE'!$A$1:$Z$455,MATCH('Summary - Monthly'!$A44,'TRANS EMP EXTRACT - COST CENTRE'!$A:$A,0),MATCH('Summary - Monthly'!AA$3,'TRANS EMP EXTRACT - COST CENTRE'!$2:$2,0)),0)</f>
        <v>0</v>
      </c>
      <c r="AB44" s="10">
        <f>IFERROR(INDEX('TRANS EMP EXTRACT - COST CENTRE'!$A$1:$Z$455,MATCH('Summary - Monthly'!$A44,'TRANS EMP EXTRACT - COST CENTRE'!$A:$A,0),MATCH('Summary - Monthly'!AB$3,'TRANS EMP EXTRACT - COST CENTRE'!$2:$2,0)),0)</f>
        <v>0</v>
      </c>
      <c r="AC44" s="8">
        <f>IFERROR(INDEX('TRANS EMP EXTRACT - COST CENTRE'!$A$1:$Z$455,MATCH('Summary - Monthly'!$A44,'TRANS EMP EXTRACT - COST CENTRE'!$A:$A,0),MATCH('Summary - Monthly'!AC$3,'TRANS EMP EXTRACT - COST CENTRE'!$2:$2,0)),0)</f>
        <v>0</v>
      </c>
      <c r="AD44" s="13">
        <f>IFERROR(INDEX('TRANS EMP EXTRACT - COST CENTRE'!$A$1:$Z$455,MATCH('Summary - Monthly'!$A44,'TRANS EMP EXTRACT - COST CENTRE'!$A:$A,0),MATCH('Summary - Monthly'!AD$3,'TRANS EMP EXTRACT - COST CENTRE'!$2:$2,0)),0)</f>
        <v>0</v>
      </c>
      <c r="AE44" s="13">
        <f>IFERROR(INDEX('TRANS EMP EXTRACT - COST CENTRE'!$A$1:$Z$455,MATCH('Summary - Monthly'!$A44,'TRANS EMP EXTRACT - COST CENTRE'!$A:$A,0),MATCH('Summary - Monthly'!AE$3,'TRANS EMP EXTRACT - COST CENTRE'!$2:$2,0)),0)</f>
        <v>0</v>
      </c>
      <c r="AF44" s="13">
        <f>IFERROR(INDEX('TRANS EMP EXTRACT - COST CENTRE'!$A$1:$Z$455,MATCH('Summary - Monthly'!$A44,'TRANS EMP EXTRACT - COST CENTRE'!$A:$A,0),MATCH('Summary - Monthly'!AF$3,'TRANS EMP EXTRACT - COST CENTRE'!$2:$2,0)),0)</f>
        <v>0</v>
      </c>
      <c r="AG44" s="10">
        <f>IFERROR(INDEX('TRANS EMP EXTRACT - COST CENTRE'!$A$1:$Z$455,MATCH('Summary - Monthly'!$A44,'TRANS EMP EXTRACT - COST CENTRE'!$A:$A,0),MATCH('Summary - Monthly'!AG$3,'TRANS EMP EXTRACT - COST CENTRE'!$2:$2,0)),0)</f>
        <v>0</v>
      </c>
      <c r="AH44" s="10">
        <f>IFERROR(INDEX('TRANS EMP EXTRACT - COST CENTRE'!$A$1:$Z$455,MATCH('Summary - Monthly'!$A44,'TRANS EMP EXTRACT - COST CENTRE'!$A:$A,0),MATCH('Summary - Monthly'!AH$3,'TRANS EMP EXTRACT - COST CENTRE'!$2:$2,0)),0)</f>
        <v>0</v>
      </c>
      <c r="AI44" s="10">
        <f>IFERROR(INDEX('TRANS EMP EXTRACT - COST CENTRE'!$A$1:$Z$455,MATCH('Summary - Monthly'!$A44,'TRANS EMP EXTRACT - COST CENTRE'!$A:$A,0),MATCH('Summary - Monthly'!AI$3,'TRANS EMP EXTRACT - COST CENTRE'!$2:$2,0)),0)</f>
        <v>0</v>
      </c>
      <c r="AJ44" s="10">
        <f>IFERROR(INDEX('TRANS EMP EXTRACT - COST CENTRE'!$A$1:$Z$455,MATCH('Summary - Monthly'!$A44,'TRANS EMP EXTRACT - COST CENTRE'!$A:$A,0),MATCH('Summary - Monthly'!AJ$3,'TRANS EMP EXTRACT - COST CENTRE'!$2:$2,0)),0)</f>
        <v>0</v>
      </c>
      <c r="AK44" s="10">
        <f>IFERROR(INDEX('TRANS EMP EXTRACT - COST CENTRE'!$A$1:$Z$455,MATCH('Summary - Monthly'!$A44,'TRANS EMP EXTRACT - COST CENTRE'!$A:$A,0),MATCH('Summary - Monthly'!AK$3,'TRANS EMP EXTRACT - COST CENTRE'!$2:$2,0)),0)</f>
        <v>0</v>
      </c>
      <c r="AL44" s="10">
        <f>IFERROR(INDEX('TRANS EMP EXTRACT - COST CENTRE'!$A$1:$Z$455,MATCH('Summary - Monthly'!$A44,'TRANS EMP EXTRACT - COST CENTRE'!$A:$A,0),MATCH('Summary - Monthly'!AL$3,'TRANS EMP EXTRACT - COST CENTRE'!$2:$2,0)),0)</f>
        <v>0</v>
      </c>
      <c r="AM44" s="10">
        <f t="shared" si="9"/>
        <v>152</v>
      </c>
      <c r="AN44" s="14">
        <f t="shared" si="2"/>
        <v>0</v>
      </c>
      <c r="AO44" s="18">
        <f t="shared" si="5"/>
        <v>1</v>
      </c>
      <c r="AP44" s="18">
        <f t="shared" si="6"/>
        <v>1</v>
      </c>
      <c r="AQ44" s="10" t="str">
        <f>IFERROR(VLOOKUP(B44,Departments!A:C,3,FALSE),"")</f>
        <v>Sales &amp; Marketing</v>
      </c>
      <c r="AR44" s="10" t="str">
        <f>IFERROR(VLOOKUP(B44,Departments!A:B,2,FALSE),"")</f>
        <v>Bris Sales</v>
      </c>
      <c r="AS44" s="10">
        <f t="shared" si="10"/>
        <v>0</v>
      </c>
      <c r="AT44" s="10">
        <f t="shared" si="11"/>
        <v>0</v>
      </c>
      <c r="AU44" s="10" t="str">
        <f>_xlfn.IFNA(VLOOKUP(B44,Departments!A:D,4,FALSE),"")</f>
        <v>S&amp;M</v>
      </c>
    </row>
    <row r="45" spans="1:47" ht="14.45" customHeight="1">
      <c r="A45" s="11" t="str">
        <f t="shared" si="3"/>
        <v>1206251118506</v>
      </c>
      <c r="B45" s="11">
        <f>'TRANS EMP EXTRACT - COST CENTRE'!B44</f>
        <v>12062511</v>
      </c>
      <c r="C45" s="10" t="str">
        <f>IFERROR(VLOOKUP(E45,'TRANS EMP EXTRACT - EMP CATEGOR'!A:B,2,FALSE),"")</f>
        <v>TP</v>
      </c>
      <c r="D45" s="10" t="str">
        <f>IFERROR(VLOOKUP(E45,'TRANS EMP EXTRACT - EMP CATEGOR'!A:C,3,FALSE),"")</f>
        <v>Temporary Parttime</v>
      </c>
      <c r="E45" s="11">
        <f>'TRANS EMP EXTRACT - COST CENTRE'!D44</f>
        <v>18506</v>
      </c>
      <c r="F45" s="10" t="str">
        <f>IFERROR(VLOOKUP(E45,'TRANS EMP EXTRACT - COST CENTRE'!D:E,2,FALSE),"")</f>
        <v>HADAGINAMAKKI  SHILPA MRS</v>
      </c>
      <c r="G45" s="12">
        <f>IFERROR(INDEX('TRANS EMP EXTRACT - COST CENTRE'!$A$1:$Z$455,MATCH('Summary - Monthly'!$A45,'TRANS EMP EXTRACT - COST CENTRE'!$A:$A,0),MATCH('Summary - Monthly'!G$3,'TRANS EMP EXTRACT - COST CENTRE'!$2:$2,0)),"")</f>
        <v>40800</v>
      </c>
      <c r="H45" s="10" t="str">
        <f>IFERROR(INDEX('TRANS EMP EXTRACT - COST CENTRE'!$B$1:$Z$455,MATCH('Summary - Monthly'!$E45,'TRANS EMP EXTRACT - COST CENTRE'!$D:$D,0),MATCH('Summary - Monthly'!H$3,'TRANS EMP EXTRACT - COST CENTRE'!$2:$2,0)),"")</f>
        <v>RT</v>
      </c>
      <c r="I45" s="12" t="str">
        <f>IFERROR(INDEX('TRANS EMP EXTRACT - EMP CATEGOR'!$B$1:$AF$421,MATCH('Summary - Monthly'!$E45,'TRANS EMP EXTRACT - EMP CATEGOR'!$D:$D,0),MATCH('Summary - Monthly'!H$3,'TRANS EMP EXTRACT - EMP CATEGOR'!$2:$2,0)),"")</f>
        <v>RT</v>
      </c>
      <c r="J45" s="41">
        <f t="shared" ca="1" si="0"/>
        <v>53.395200000000003</v>
      </c>
      <c r="K45" s="41">
        <f t="shared" ca="1" si="1"/>
        <v>271.846</v>
      </c>
      <c r="L45" s="10">
        <f>IFERROR(INDEX('TRANS EMP EXTRACT - COST CENTRE'!$A$1:$Z$455,MATCH('Summary - Monthly'!$A45,'TRANS EMP EXTRACT - COST CENTRE'!$A:$A,0),MATCH('Summary - Monthly'!L$3,'TRANS EMP EXTRACT - COST CENTRE'!$2:$2,0)),"")</f>
        <v>48</v>
      </c>
      <c r="M45" s="10">
        <f>IFERROR(INDEX('TRANS EMP EXTRACT - COST CENTRE'!$A$1:$Z$455,MATCH('Summary - Monthly'!$A45,'TRANS EMP EXTRACT - COST CENTRE'!$A:$A,0),MATCH('Summary - Monthly'!M$3,'TRANS EMP EXTRACT - COST CENTRE'!$2:$2,0)),0)</f>
        <v>0</v>
      </c>
      <c r="N45" s="10">
        <f>IFERROR(INDEX('TRANS EMP EXTRACT - COST CENTRE'!$A$1:$Z$455,MATCH('Summary - Monthly'!$A45,'TRANS EMP EXTRACT - COST CENTRE'!$A:$A,0),MATCH('Summary - Monthly'!N$3,'TRANS EMP EXTRACT - COST CENTRE'!$2:$2,0)),0)</f>
        <v>0</v>
      </c>
      <c r="O45" s="10">
        <f>IFERROR(INDEX('TRANS EMP EXTRACT - COST CENTRE'!$A$1:$Z$455,MATCH('Summary - Monthly'!$A45,'TRANS EMP EXTRACT - COST CENTRE'!$A:$A,0),MATCH('Summary - Monthly'!O$3,'TRANS EMP EXTRACT - COST CENTRE'!$2:$2,0)),0)</f>
        <v>0</v>
      </c>
      <c r="P45" s="10">
        <f>IFERROR(INDEX('TRANS EMP EXTRACT - COST CENTRE'!$A$1:$Z$455,MATCH('Summary - Monthly'!$A45,'TRANS EMP EXTRACT - COST CENTRE'!$A:$A,0),MATCH('Summary - Monthly'!P$3,'TRANS EMP EXTRACT - COST CENTRE'!$2:$2,0)),0)</f>
        <v>0</v>
      </c>
      <c r="Q45" s="10">
        <f>IFERROR(INDEX('TRANS EMP EXTRACT - COST CENTRE'!$A$1:$Z$455,MATCH('Summary - Monthly'!$A45,'TRANS EMP EXTRACT - COST CENTRE'!$A:$A,0),MATCH('Summary - Monthly'!Q$3,'TRANS EMP EXTRACT - COST CENTRE'!$2:$2,0)),0)</f>
        <v>1.9668000000000001</v>
      </c>
      <c r="R45" s="10">
        <f>IFERROR(INDEX('TRANS EMP EXTRACT - COST CENTRE'!$A$1:$Z$455,MATCH('Summary - Monthly'!$A45,'TRANS EMP EXTRACT - COST CENTRE'!$A:$A,0),MATCH('Summary - Monthly'!R$3,'TRANS EMP EXTRACT - COST CENTRE'!$2:$2,0)),0)</f>
        <v>0</v>
      </c>
      <c r="S45" s="10">
        <f>IFERROR(INDEX('TRANS EMP EXTRACT - COST CENTRE'!$A$1:$Z$455,MATCH('Summary - Monthly'!$A45,'TRANS EMP EXTRACT - COST CENTRE'!$A:$A,0),MATCH('Summary - Monthly'!S$3,'TRANS EMP EXTRACT - COST CENTRE'!$2:$2,0)),0)</f>
        <v>0</v>
      </c>
      <c r="T45" s="8">
        <f>IFERROR(INDEX('TRANS EMP EXTRACT - COST CENTRE'!$A$1:$Z$455,MATCH('Summary - Monthly'!$A45,'TRANS EMP EXTRACT - COST CENTRE'!$A:$A,0),MATCH('Summary - Monthly'!T$3,'TRANS EMP EXTRACT - COST CENTRE'!$2:$2,0)),0)</f>
        <v>0</v>
      </c>
      <c r="U45" s="13">
        <f>IFERROR(INDEX('TRANS EMP EXTRACT - COST CENTRE'!$A$1:$Z$455,MATCH('Summary - Monthly'!$A45,'TRANS EMP EXTRACT - COST CENTRE'!$A:$A,0),MATCH('Summary - Monthly'!U$3,'TRANS EMP EXTRACT - COST CENTRE'!$2:$2,0)),0)</f>
        <v>0</v>
      </c>
      <c r="V45" s="13">
        <f>IFERROR(INDEX('TRANS EMP EXTRACT - COST CENTRE'!$A$1:$Z$455,MATCH('Summary - Monthly'!$A45,'TRANS EMP EXTRACT - COST CENTRE'!$A:$A,0),MATCH('Summary - Monthly'!V$3,'TRANS EMP EXTRACT - COST CENTRE'!$2:$2,0)),0)</f>
        <v>0</v>
      </c>
      <c r="W45" s="13">
        <f>IFERROR(INDEX('TRANS EMP EXTRACT - COST CENTRE'!$A$1:$Z$455,MATCH('Summary - Monthly'!$A45,'TRANS EMP EXTRACT - COST CENTRE'!$A:$A,0),MATCH('Summary - Monthly'!W$3,'TRANS EMP EXTRACT - COST CENTRE'!$2:$2,0)),0)</f>
        <v>0</v>
      </c>
      <c r="X45" s="13">
        <f>IFERROR(INDEX('TRANS EMP EXTRACT - COST CENTRE'!$A$1:$Z$455,MATCH('Summary - Monthly'!$A45,'TRANS EMP EXTRACT - COST CENTRE'!$A:$A,0),MATCH('Summary - Monthly'!X$3,'TRANS EMP EXTRACT - COST CENTRE'!$2:$2,0)),0)</f>
        <v>0</v>
      </c>
      <c r="Y45" s="13">
        <f>IFERROR(INDEX('TRANS EMP EXTRACT - COST CENTRE'!$A$1:$Z$455,MATCH('Summary - Monthly'!$A45,'TRANS EMP EXTRACT - COST CENTRE'!$A:$A,0),MATCH('Summary - Monthly'!Y$3,'TRANS EMP EXTRACT - COST CENTRE'!$2:$2,0)),0)</f>
        <v>0</v>
      </c>
      <c r="Z45" s="10">
        <f>IFERROR(INDEX('TRANS EMP EXTRACT - COST CENTRE'!$A$1:$Z$455,MATCH('Summary - Monthly'!$A45,'TRANS EMP EXTRACT - COST CENTRE'!$A:$A,0),MATCH('Summary - Monthly'!Z$3,'TRANS EMP EXTRACT - COST CENTRE'!$2:$2,0)),0)</f>
        <v>0</v>
      </c>
      <c r="AA45" s="10">
        <f>IFERROR(INDEX('TRANS EMP EXTRACT - COST CENTRE'!$A$1:$Z$455,MATCH('Summary - Monthly'!$A45,'TRANS EMP EXTRACT - COST CENTRE'!$A:$A,0),MATCH('Summary - Monthly'!AA$3,'TRANS EMP EXTRACT - COST CENTRE'!$2:$2,0)),0)</f>
        <v>0</v>
      </c>
      <c r="AB45" s="10">
        <f>IFERROR(INDEX('TRANS EMP EXTRACT - COST CENTRE'!$A$1:$Z$455,MATCH('Summary - Monthly'!$A45,'TRANS EMP EXTRACT - COST CENTRE'!$A:$A,0),MATCH('Summary - Monthly'!AB$3,'TRANS EMP EXTRACT - COST CENTRE'!$2:$2,0)),0)</f>
        <v>0</v>
      </c>
      <c r="AC45" s="8">
        <f>IFERROR(INDEX('TRANS EMP EXTRACT - COST CENTRE'!$A$1:$Z$455,MATCH('Summary - Monthly'!$A45,'TRANS EMP EXTRACT - COST CENTRE'!$A:$A,0),MATCH('Summary - Monthly'!AC$3,'TRANS EMP EXTRACT - COST CENTRE'!$2:$2,0)),0)</f>
        <v>0</v>
      </c>
      <c r="AD45" s="13">
        <f>IFERROR(INDEX('TRANS EMP EXTRACT - COST CENTRE'!$A$1:$Z$455,MATCH('Summary - Monthly'!$A45,'TRANS EMP EXTRACT - COST CENTRE'!$A:$A,0),MATCH('Summary - Monthly'!AD$3,'TRANS EMP EXTRACT - COST CENTRE'!$2:$2,0)),0)</f>
        <v>0</v>
      </c>
      <c r="AE45" s="13">
        <f>IFERROR(INDEX('TRANS EMP EXTRACT - COST CENTRE'!$A$1:$Z$455,MATCH('Summary - Monthly'!$A45,'TRANS EMP EXTRACT - COST CENTRE'!$A:$A,0),MATCH('Summary - Monthly'!AE$3,'TRANS EMP EXTRACT - COST CENTRE'!$2:$2,0)),0)</f>
        <v>0</v>
      </c>
      <c r="AF45" s="13">
        <f>IFERROR(INDEX('TRANS EMP EXTRACT - COST CENTRE'!$A$1:$Z$455,MATCH('Summary - Monthly'!$A45,'TRANS EMP EXTRACT - COST CENTRE'!$A:$A,0),MATCH('Summary - Monthly'!AF$3,'TRANS EMP EXTRACT - COST CENTRE'!$2:$2,0)),0)</f>
        <v>0</v>
      </c>
      <c r="AG45" s="10">
        <f>IFERROR(INDEX('TRANS EMP EXTRACT - COST CENTRE'!$A$1:$Z$455,MATCH('Summary - Monthly'!$A45,'TRANS EMP EXTRACT - COST CENTRE'!$A:$A,0),MATCH('Summary - Monthly'!AG$3,'TRANS EMP EXTRACT - COST CENTRE'!$2:$2,0)),0)</f>
        <v>0</v>
      </c>
      <c r="AH45" s="10">
        <f>IFERROR(INDEX('TRANS EMP EXTRACT - COST CENTRE'!$A$1:$Z$455,MATCH('Summary - Monthly'!$A45,'TRANS EMP EXTRACT - COST CENTRE'!$A:$A,0),MATCH('Summary - Monthly'!AH$3,'TRANS EMP EXTRACT - COST CENTRE'!$2:$2,0)),0)</f>
        <v>0</v>
      </c>
      <c r="AI45" s="10">
        <f>IFERROR(INDEX('TRANS EMP EXTRACT - COST CENTRE'!$A$1:$Z$455,MATCH('Summary - Monthly'!$A45,'TRANS EMP EXTRACT - COST CENTRE'!$A:$A,0),MATCH('Summary - Monthly'!AI$3,'TRANS EMP EXTRACT - COST CENTRE'!$2:$2,0)),0)</f>
        <v>0</v>
      </c>
      <c r="AJ45" s="10">
        <f>IFERROR(INDEX('TRANS EMP EXTRACT - COST CENTRE'!$A$1:$Z$455,MATCH('Summary - Monthly'!$A45,'TRANS EMP EXTRACT - COST CENTRE'!$A:$A,0),MATCH('Summary - Monthly'!AJ$3,'TRANS EMP EXTRACT - COST CENTRE'!$2:$2,0)),0)</f>
        <v>0</v>
      </c>
      <c r="AK45" s="10">
        <f>IFERROR(INDEX('TRANS EMP EXTRACT - COST CENTRE'!$A$1:$Z$455,MATCH('Summary - Monthly'!$A45,'TRANS EMP EXTRACT - COST CENTRE'!$A:$A,0),MATCH('Summary - Monthly'!AK$3,'TRANS EMP EXTRACT - COST CENTRE'!$2:$2,0)),0)</f>
        <v>0</v>
      </c>
      <c r="AL45" s="10">
        <f>IFERROR(INDEX('TRANS EMP EXTRACT - COST CENTRE'!$A$1:$Z$455,MATCH('Summary - Monthly'!$A45,'TRANS EMP EXTRACT - COST CENTRE'!$A:$A,0),MATCH('Summary - Monthly'!AL$3,'TRANS EMP EXTRACT - COST CENTRE'!$2:$2,0)),0)</f>
        <v>0</v>
      </c>
      <c r="AM45" s="10">
        <f t="shared" si="9"/>
        <v>49.966799999999999</v>
      </c>
      <c r="AN45" s="14">
        <f t="shared" si="2"/>
        <v>1.2939473684210527E-2</v>
      </c>
      <c r="AO45" s="18">
        <f t="shared" si="5"/>
        <v>0.32872894736842107</v>
      </c>
      <c r="AP45" s="18">
        <f t="shared" si="6"/>
        <v>0.32872894736842107</v>
      </c>
      <c r="AQ45" s="10" t="str">
        <f>IFERROR(VLOOKUP(B45,Departments!A:C,3,FALSE),"")</f>
        <v>Microbiology</v>
      </c>
      <c r="AR45" s="10" t="str">
        <f>IFERROR(VLOOKUP(B45,Departments!A:B,2,FALSE),"")</f>
        <v>Perth Micro</v>
      </c>
      <c r="AS45" s="10">
        <f t="shared" si="10"/>
        <v>0</v>
      </c>
      <c r="AT45" s="10">
        <f t="shared" si="11"/>
        <v>0</v>
      </c>
      <c r="AU45" s="10" t="str">
        <f>_xlfn.IFNA(VLOOKUP(B45,Departments!A:D,4,FALSE),"")</f>
        <v>Perth Micro</v>
      </c>
    </row>
    <row r="46" spans="1:47" ht="14.45" customHeight="1">
      <c r="A46" s="11" t="str">
        <f t="shared" si="3"/>
        <v>1202080019053</v>
      </c>
      <c r="B46" s="11">
        <f>'TRANS EMP EXTRACT - COST CENTRE'!B45</f>
        <v>12020800</v>
      </c>
      <c r="C46" s="10" t="str">
        <f>IFERROR(VLOOKUP(E46,'TRANS EMP EXTRACT - EMP CATEGOR'!A:B,2,FALSE),"")</f>
        <v>FT</v>
      </c>
      <c r="D46" s="10" t="str">
        <f>IFERROR(VLOOKUP(E46,'TRANS EMP EXTRACT - EMP CATEGOR'!A:C,3,FALSE),"")</f>
        <v>Fulltime</v>
      </c>
      <c r="E46" s="11">
        <f>'TRANS EMP EXTRACT - COST CENTRE'!D45</f>
        <v>19053</v>
      </c>
      <c r="F46" s="10" t="str">
        <f>IFERROR(VLOOKUP(E46,'TRANS EMP EXTRACT - COST CENTRE'!D:E,2,FALSE),"")</f>
        <v>HAMAD  ESTHER MISS</v>
      </c>
      <c r="G46" s="12">
        <f>IFERROR(INDEX('TRANS EMP EXTRACT - COST CENTRE'!$A$1:$Z$455,MATCH('Summary - Monthly'!$A46,'TRANS EMP EXTRACT - COST CENTRE'!$A:$A,0),MATCH('Summary - Monthly'!G$3,'TRANS EMP EXTRACT - COST CENTRE'!$2:$2,0)),"")</f>
        <v>44930</v>
      </c>
      <c r="H46" s="10" t="str">
        <f>IFERROR(INDEX('TRANS EMP EXTRACT - COST CENTRE'!$B$1:$Z$455,MATCH('Summary - Monthly'!$E46,'TRANS EMP EXTRACT - COST CENTRE'!$D:$D,0),MATCH('Summary - Monthly'!H$3,'TRANS EMP EXTRACT - COST CENTRE'!$2:$2,0)),"")</f>
        <v>RT</v>
      </c>
      <c r="I46" s="12" t="str">
        <f>IFERROR(INDEX('TRANS EMP EXTRACT - EMP CATEGOR'!$B$1:$AF$421,MATCH('Summary - Monthly'!$E46,'TRANS EMP EXTRACT - EMP CATEGOR'!$D:$D,0),MATCH('Summary - Monthly'!H$3,'TRANS EMP EXTRACT - EMP CATEGOR'!$2:$2,0)),"")</f>
        <v>RT</v>
      </c>
      <c r="J46" s="41">
        <f t="shared" ca="1" si="0"/>
        <v>2.6387999999999998</v>
      </c>
      <c r="K46" s="41">
        <f t="shared" ca="1" si="1"/>
        <v>5.2775999999999996</v>
      </c>
      <c r="L46" s="10">
        <f>IFERROR(INDEX('TRANS EMP EXTRACT - COST CENTRE'!$A$1:$Z$455,MATCH('Summary - Monthly'!$A46,'TRANS EMP EXTRACT - COST CENTRE'!$A:$A,0),MATCH('Summary - Monthly'!L$3,'TRANS EMP EXTRACT - COST CENTRE'!$2:$2,0)),"")</f>
        <v>76</v>
      </c>
      <c r="M46" s="10">
        <f>IFERROR(INDEX('TRANS EMP EXTRACT - COST CENTRE'!$A$1:$Z$455,MATCH('Summary - Monthly'!$A46,'TRANS EMP EXTRACT - COST CENTRE'!$A:$A,0),MATCH('Summary - Monthly'!M$3,'TRANS EMP EXTRACT - COST CENTRE'!$2:$2,0)),0)</f>
        <v>0</v>
      </c>
      <c r="N46" s="10">
        <f>IFERROR(INDEX('TRANS EMP EXTRACT - COST CENTRE'!$A$1:$Z$455,MATCH('Summary - Monthly'!$A46,'TRANS EMP EXTRACT - COST CENTRE'!$A:$A,0),MATCH('Summary - Monthly'!N$3,'TRANS EMP EXTRACT - COST CENTRE'!$2:$2,0)),0)</f>
        <v>0</v>
      </c>
      <c r="O46" s="10">
        <f>IFERROR(INDEX('TRANS EMP EXTRACT - COST CENTRE'!$A$1:$Z$455,MATCH('Summary - Monthly'!$A46,'TRANS EMP EXTRACT - COST CENTRE'!$A:$A,0),MATCH('Summary - Monthly'!O$3,'TRANS EMP EXTRACT - COST CENTRE'!$2:$2,0)),0)</f>
        <v>0</v>
      </c>
      <c r="P46" s="10">
        <f>IFERROR(INDEX('TRANS EMP EXTRACT - COST CENTRE'!$A$1:$Z$455,MATCH('Summary - Monthly'!$A46,'TRANS EMP EXTRACT - COST CENTRE'!$A:$A,0),MATCH('Summary - Monthly'!P$3,'TRANS EMP EXTRACT - COST CENTRE'!$2:$2,0)),0)</f>
        <v>0</v>
      </c>
      <c r="Q46" s="10">
        <f>IFERROR(INDEX('TRANS EMP EXTRACT - COST CENTRE'!$A$1:$Z$455,MATCH('Summary - Monthly'!$A46,'TRANS EMP EXTRACT - COST CENTRE'!$A:$A,0),MATCH('Summary - Monthly'!Q$3,'TRANS EMP EXTRACT - COST CENTRE'!$2:$2,0)),0)</f>
        <v>1</v>
      </c>
      <c r="R46" s="10">
        <f>IFERROR(INDEX('TRANS EMP EXTRACT - COST CENTRE'!$A$1:$Z$455,MATCH('Summary - Monthly'!$A46,'TRANS EMP EXTRACT - COST CENTRE'!$A:$A,0),MATCH('Summary - Monthly'!R$3,'TRANS EMP EXTRACT - COST CENTRE'!$2:$2,0)),0)</f>
        <v>0</v>
      </c>
      <c r="S46" s="10">
        <f>IFERROR(INDEX('TRANS EMP EXTRACT - COST CENTRE'!$A$1:$Z$455,MATCH('Summary - Monthly'!$A46,'TRANS EMP EXTRACT - COST CENTRE'!$A:$A,0),MATCH('Summary - Monthly'!S$3,'TRANS EMP EXTRACT - COST CENTRE'!$2:$2,0)),0)</f>
        <v>0</v>
      </c>
      <c r="T46" s="8">
        <f>IFERROR(INDEX('TRANS EMP EXTRACT - COST CENTRE'!$A$1:$Z$455,MATCH('Summary - Monthly'!$A46,'TRANS EMP EXTRACT - COST CENTRE'!$A:$A,0),MATCH('Summary - Monthly'!T$3,'TRANS EMP EXTRACT - COST CENTRE'!$2:$2,0)),0)</f>
        <v>0</v>
      </c>
      <c r="U46" s="13">
        <f>IFERROR(INDEX('TRANS EMP EXTRACT - COST CENTRE'!$A$1:$Z$455,MATCH('Summary - Monthly'!$A46,'TRANS EMP EXTRACT - COST CENTRE'!$A:$A,0),MATCH('Summary - Monthly'!U$3,'TRANS EMP EXTRACT - COST CENTRE'!$2:$2,0)),0)</f>
        <v>15.2</v>
      </c>
      <c r="V46" s="13">
        <f>IFERROR(INDEX('TRANS EMP EXTRACT - COST CENTRE'!$A$1:$Z$455,MATCH('Summary - Monthly'!$A46,'TRANS EMP EXTRACT - COST CENTRE'!$A:$A,0),MATCH('Summary - Monthly'!V$3,'TRANS EMP EXTRACT - COST CENTRE'!$2:$2,0)),0)</f>
        <v>7.6</v>
      </c>
      <c r="W46" s="13">
        <f>IFERROR(INDEX('TRANS EMP EXTRACT - COST CENTRE'!$A$1:$Z$455,MATCH('Summary - Monthly'!$A46,'TRANS EMP EXTRACT - COST CENTRE'!$A:$A,0),MATCH('Summary - Monthly'!W$3,'TRANS EMP EXTRACT - COST CENTRE'!$2:$2,0)),0)</f>
        <v>0</v>
      </c>
      <c r="X46" s="13">
        <f>IFERROR(INDEX('TRANS EMP EXTRACT - COST CENTRE'!$A$1:$Z$455,MATCH('Summary - Monthly'!$A46,'TRANS EMP EXTRACT - COST CENTRE'!$A:$A,0),MATCH('Summary - Monthly'!X$3,'TRANS EMP EXTRACT - COST CENTRE'!$2:$2,0)),0)</f>
        <v>0</v>
      </c>
      <c r="Y46" s="13">
        <f>IFERROR(INDEX('TRANS EMP EXTRACT - COST CENTRE'!$A$1:$Z$455,MATCH('Summary - Monthly'!$A46,'TRANS EMP EXTRACT - COST CENTRE'!$A:$A,0),MATCH('Summary - Monthly'!Y$3,'TRANS EMP EXTRACT - COST CENTRE'!$2:$2,0)),0)</f>
        <v>0</v>
      </c>
      <c r="Z46" s="10">
        <f>IFERROR(INDEX('TRANS EMP EXTRACT - COST CENTRE'!$A$1:$Z$455,MATCH('Summary - Monthly'!$A46,'TRANS EMP EXTRACT - COST CENTRE'!$A:$A,0),MATCH('Summary - Monthly'!Z$3,'TRANS EMP EXTRACT - COST CENTRE'!$2:$2,0)),0)</f>
        <v>53.2</v>
      </c>
      <c r="AA46" s="10">
        <f>IFERROR(INDEX('TRANS EMP EXTRACT - COST CENTRE'!$A$1:$Z$455,MATCH('Summary - Monthly'!$A46,'TRANS EMP EXTRACT - COST CENTRE'!$A:$A,0),MATCH('Summary - Monthly'!AA$3,'TRANS EMP EXTRACT - COST CENTRE'!$2:$2,0)),0)</f>
        <v>0</v>
      </c>
      <c r="AB46" s="10">
        <f>IFERROR(INDEX('TRANS EMP EXTRACT - COST CENTRE'!$A$1:$Z$455,MATCH('Summary - Monthly'!$A46,'TRANS EMP EXTRACT - COST CENTRE'!$A:$A,0),MATCH('Summary - Monthly'!AB$3,'TRANS EMP EXTRACT - COST CENTRE'!$2:$2,0)),0)</f>
        <v>0</v>
      </c>
      <c r="AC46" s="8">
        <f>IFERROR(INDEX('TRANS EMP EXTRACT - COST CENTRE'!$A$1:$Z$455,MATCH('Summary - Monthly'!$A46,'TRANS EMP EXTRACT - COST CENTRE'!$A:$A,0),MATCH('Summary - Monthly'!AC$3,'TRANS EMP EXTRACT - COST CENTRE'!$2:$2,0)),0)</f>
        <v>0</v>
      </c>
      <c r="AD46" s="13">
        <f>IFERROR(INDEX('TRANS EMP EXTRACT - COST CENTRE'!$A$1:$Z$455,MATCH('Summary - Monthly'!$A46,'TRANS EMP EXTRACT - COST CENTRE'!$A:$A,0),MATCH('Summary - Monthly'!AD$3,'TRANS EMP EXTRACT - COST CENTRE'!$2:$2,0)),0)</f>
        <v>0</v>
      </c>
      <c r="AE46" s="13">
        <f>IFERROR(INDEX('TRANS EMP EXTRACT - COST CENTRE'!$A$1:$Z$455,MATCH('Summary - Monthly'!$A46,'TRANS EMP EXTRACT - COST CENTRE'!$A:$A,0),MATCH('Summary - Monthly'!AE$3,'TRANS EMP EXTRACT - COST CENTRE'!$2:$2,0)),0)</f>
        <v>0</v>
      </c>
      <c r="AF46" s="13">
        <f>IFERROR(INDEX('TRANS EMP EXTRACT - COST CENTRE'!$A$1:$Z$455,MATCH('Summary - Monthly'!$A46,'TRANS EMP EXTRACT - COST CENTRE'!$A:$A,0),MATCH('Summary - Monthly'!AF$3,'TRANS EMP EXTRACT - COST CENTRE'!$2:$2,0)),0)</f>
        <v>0</v>
      </c>
      <c r="AG46" s="10">
        <f>IFERROR(INDEX('TRANS EMP EXTRACT - COST CENTRE'!$A$1:$Z$455,MATCH('Summary - Monthly'!$A46,'TRANS EMP EXTRACT - COST CENTRE'!$A:$A,0),MATCH('Summary - Monthly'!AG$3,'TRANS EMP EXTRACT - COST CENTRE'!$2:$2,0)),0)</f>
        <v>0</v>
      </c>
      <c r="AH46" s="10">
        <f>IFERROR(INDEX('TRANS EMP EXTRACT - COST CENTRE'!$A$1:$Z$455,MATCH('Summary - Monthly'!$A46,'TRANS EMP EXTRACT - COST CENTRE'!$A:$A,0),MATCH('Summary - Monthly'!AH$3,'TRANS EMP EXTRACT - COST CENTRE'!$2:$2,0)),0)</f>
        <v>0</v>
      </c>
      <c r="AI46" s="10">
        <f>IFERROR(INDEX('TRANS EMP EXTRACT - COST CENTRE'!$A$1:$Z$455,MATCH('Summary - Monthly'!$A46,'TRANS EMP EXTRACT - COST CENTRE'!$A:$A,0),MATCH('Summary - Monthly'!AI$3,'TRANS EMP EXTRACT - COST CENTRE'!$2:$2,0)),0)</f>
        <v>0</v>
      </c>
      <c r="AJ46" s="10">
        <f>IFERROR(INDEX('TRANS EMP EXTRACT - COST CENTRE'!$A$1:$Z$455,MATCH('Summary - Monthly'!$A46,'TRANS EMP EXTRACT - COST CENTRE'!$A:$A,0),MATCH('Summary - Monthly'!AJ$3,'TRANS EMP EXTRACT - COST CENTRE'!$2:$2,0)),0)</f>
        <v>0</v>
      </c>
      <c r="AK46" s="10">
        <f>IFERROR(INDEX('TRANS EMP EXTRACT - COST CENTRE'!$A$1:$Z$455,MATCH('Summary - Monthly'!$A46,'TRANS EMP EXTRACT - COST CENTRE'!$A:$A,0),MATCH('Summary - Monthly'!AK$3,'TRANS EMP EXTRACT - COST CENTRE'!$2:$2,0)),0)</f>
        <v>0</v>
      </c>
      <c r="AL46" s="10">
        <f>IFERROR(INDEX('TRANS EMP EXTRACT - COST CENTRE'!$A$1:$Z$455,MATCH('Summary - Monthly'!$A46,'TRANS EMP EXTRACT - COST CENTRE'!$A:$A,0),MATCH('Summary - Monthly'!AL$3,'TRANS EMP EXTRACT - COST CENTRE'!$2:$2,0)),0)</f>
        <v>0</v>
      </c>
      <c r="AM46" s="10">
        <f t="shared" si="9"/>
        <v>99.8</v>
      </c>
      <c r="AN46" s="14">
        <f t="shared" si="2"/>
        <v>6.5789473684210523E-3</v>
      </c>
      <c r="AO46" s="18">
        <f t="shared" si="5"/>
        <v>0.65657894736842104</v>
      </c>
      <c r="AP46" s="18">
        <f t="shared" si="6"/>
        <v>0.50657894736842102</v>
      </c>
      <c r="AQ46" s="10" t="str">
        <f>IFERROR(VLOOKUP(B46,Departments!A:C,3,FALSE),"")</f>
        <v>Microbiology</v>
      </c>
      <c r="AR46" s="10" t="str">
        <f>IFERROR(VLOOKUP(B46,Departments!A:B,2,FALSE),"")</f>
        <v>Sydney Sample Registration</v>
      </c>
      <c r="AS46" s="10">
        <f t="shared" si="10"/>
        <v>60.800000000000004</v>
      </c>
      <c r="AT46" s="10">
        <f t="shared" si="11"/>
        <v>76</v>
      </c>
      <c r="AU46" s="10" t="str">
        <f>_xlfn.IFNA(VLOOKUP(B46,Departments!A:D,4,FALSE),"")</f>
        <v>Sydney Micro</v>
      </c>
    </row>
    <row r="47" spans="1:47" ht="14.45" customHeight="1">
      <c r="A47" s="11" t="str">
        <f t="shared" si="3"/>
        <v>1201919919003</v>
      </c>
      <c r="B47" s="11">
        <f>'TRANS EMP EXTRACT - COST CENTRE'!B46</f>
        <v>12019199</v>
      </c>
      <c r="C47" s="10" t="str">
        <f>IFERROR(VLOOKUP(E47,'TRANS EMP EXTRACT - EMP CATEGOR'!A:B,2,FALSE),"")</f>
        <v>FT</v>
      </c>
      <c r="D47" s="10" t="str">
        <f>IFERROR(VLOOKUP(E47,'TRANS EMP EXTRACT - EMP CATEGOR'!A:C,3,FALSE),"")</f>
        <v>Fulltime</v>
      </c>
      <c r="E47" s="11">
        <f>'TRANS EMP EXTRACT - COST CENTRE'!D46</f>
        <v>19003</v>
      </c>
      <c r="F47" s="10" t="str">
        <f>IFERROR(VLOOKUP(E47,'TRANS EMP EXTRACT - COST CENTRE'!D:E,2,FALSE),"")</f>
        <v>HAMILTON  PAUL MR</v>
      </c>
      <c r="G47" s="12">
        <f>IFERROR(INDEX('TRANS EMP EXTRACT - COST CENTRE'!$A$1:$Z$455,MATCH('Summary - Monthly'!$A47,'TRANS EMP EXTRACT - COST CENTRE'!$A:$A,0),MATCH('Summary - Monthly'!G$3,'TRANS EMP EXTRACT - COST CENTRE'!$2:$2,0)),"")</f>
        <v>44670</v>
      </c>
      <c r="H47" s="10" t="str">
        <f>IFERROR(INDEX('TRANS EMP EXTRACT - COST CENTRE'!$B$1:$Z$455,MATCH('Summary - Monthly'!$E47,'TRANS EMP EXTRACT - COST CENTRE'!$D:$D,0),MATCH('Summary - Monthly'!H$3,'TRANS EMP EXTRACT - COST CENTRE'!$2:$2,0)),"")</f>
        <v>FN</v>
      </c>
      <c r="I47" s="12" t="str">
        <f>IFERROR(INDEX('TRANS EMP EXTRACT - EMP CATEGOR'!$B$1:$AF$421,MATCH('Summary - Monthly'!$E47,'TRANS EMP EXTRACT - EMP CATEGOR'!$D:$D,0),MATCH('Summary - Monthly'!H$3,'TRANS EMP EXTRACT - EMP CATEGOR'!$2:$2,0)),"")</f>
        <v>FN</v>
      </c>
      <c r="J47" s="41">
        <f t="shared" ca="1" si="0"/>
        <v>24.421900000000001</v>
      </c>
      <c r="K47" s="41">
        <f t="shared" ca="1" si="1"/>
        <v>56.843800000000002</v>
      </c>
      <c r="L47" s="10">
        <f>IFERROR(INDEX('TRANS EMP EXTRACT - COST CENTRE'!$A$1:$Z$455,MATCH('Summary - Monthly'!$A47,'TRANS EMP EXTRACT - COST CENTRE'!$A:$A,0),MATCH('Summary - Monthly'!L$3,'TRANS EMP EXTRACT - COST CENTRE'!$2:$2,0)),"")</f>
        <v>136.80000000000001</v>
      </c>
      <c r="M47" s="10">
        <f>IFERROR(INDEX('TRANS EMP EXTRACT - COST CENTRE'!$A$1:$Z$455,MATCH('Summary - Monthly'!$A47,'TRANS EMP EXTRACT - COST CENTRE'!$A:$A,0),MATCH('Summary - Monthly'!M$3,'TRANS EMP EXTRACT - COST CENTRE'!$2:$2,0)),0)</f>
        <v>0</v>
      </c>
      <c r="N47" s="10">
        <f>IFERROR(INDEX('TRANS EMP EXTRACT - COST CENTRE'!$A$1:$Z$455,MATCH('Summary - Monthly'!$A47,'TRANS EMP EXTRACT - COST CENTRE'!$A:$A,0),MATCH('Summary - Monthly'!N$3,'TRANS EMP EXTRACT - COST CENTRE'!$2:$2,0)),0)</f>
        <v>0</v>
      </c>
      <c r="O47" s="10">
        <f>IFERROR(INDEX('TRANS EMP EXTRACT - COST CENTRE'!$A$1:$Z$455,MATCH('Summary - Monthly'!$A47,'TRANS EMP EXTRACT - COST CENTRE'!$A:$A,0),MATCH('Summary - Monthly'!O$3,'TRANS EMP EXTRACT - COST CENTRE'!$2:$2,0)),0)</f>
        <v>0</v>
      </c>
      <c r="P47" s="10">
        <f>IFERROR(INDEX('TRANS EMP EXTRACT - COST CENTRE'!$A$1:$Z$455,MATCH('Summary - Monthly'!$A47,'TRANS EMP EXTRACT - COST CENTRE'!$A:$A,0),MATCH('Summary - Monthly'!P$3,'TRANS EMP EXTRACT - COST CENTRE'!$2:$2,0)),0)</f>
        <v>0</v>
      </c>
      <c r="Q47" s="10">
        <f>IFERROR(INDEX('TRANS EMP EXTRACT - COST CENTRE'!$A$1:$Z$455,MATCH('Summary - Monthly'!$A47,'TRANS EMP EXTRACT - COST CENTRE'!$A:$A,0),MATCH('Summary - Monthly'!Q$3,'TRANS EMP EXTRACT - COST CENTRE'!$2:$2,0)),0)</f>
        <v>0</v>
      </c>
      <c r="R47" s="10">
        <f>IFERROR(INDEX('TRANS EMP EXTRACT - COST CENTRE'!$A$1:$Z$455,MATCH('Summary - Monthly'!$A47,'TRANS EMP EXTRACT - COST CENTRE'!$A:$A,0),MATCH('Summary - Monthly'!R$3,'TRANS EMP EXTRACT - COST CENTRE'!$2:$2,0)),0)</f>
        <v>0</v>
      </c>
      <c r="S47" s="10">
        <f>IFERROR(INDEX('TRANS EMP EXTRACT - COST CENTRE'!$A$1:$Z$455,MATCH('Summary - Monthly'!$A47,'TRANS EMP EXTRACT - COST CENTRE'!$A:$A,0),MATCH('Summary - Monthly'!S$3,'TRANS EMP EXTRACT - COST CENTRE'!$2:$2,0)),0)</f>
        <v>0</v>
      </c>
      <c r="T47" s="8">
        <f>IFERROR(INDEX('TRANS EMP EXTRACT - COST CENTRE'!$A$1:$Z$455,MATCH('Summary - Monthly'!$A47,'TRANS EMP EXTRACT - COST CENTRE'!$A:$A,0),MATCH('Summary - Monthly'!T$3,'TRANS EMP EXTRACT - COST CENTRE'!$2:$2,0)),0)</f>
        <v>0</v>
      </c>
      <c r="U47" s="13">
        <f>IFERROR(INDEX('TRANS EMP EXTRACT - COST CENTRE'!$A$1:$Z$455,MATCH('Summary - Monthly'!$A47,'TRANS EMP EXTRACT - COST CENTRE'!$A:$A,0),MATCH('Summary - Monthly'!U$3,'TRANS EMP EXTRACT - COST CENTRE'!$2:$2,0)),0)</f>
        <v>7.6</v>
      </c>
      <c r="V47" s="13">
        <f>IFERROR(INDEX('TRANS EMP EXTRACT - COST CENTRE'!$A$1:$Z$455,MATCH('Summary - Monthly'!$A47,'TRANS EMP EXTRACT - COST CENTRE'!$A:$A,0),MATCH('Summary - Monthly'!V$3,'TRANS EMP EXTRACT - COST CENTRE'!$2:$2,0)),0)</f>
        <v>7.6</v>
      </c>
      <c r="W47" s="13">
        <f>IFERROR(INDEX('TRANS EMP EXTRACT - COST CENTRE'!$A$1:$Z$455,MATCH('Summary - Monthly'!$A47,'TRANS EMP EXTRACT - COST CENTRE'!$A:$A,0),MATCH('Summary - Monthly'!W$3,'TRANS EMP EXTRACT - COST CENTRE'!$2:$2,0)),0)</f>
        <v>0</v>
      </c>
      <c r="X47" s="13">
        <f>IFERROR(INDEX('TRANS EMP EXTRACT - COST CENTRE'!$A$1:$Z$455,MATCH('Summary - Monthly'!$A47,'TRANS EMP EXTRACT - COST CENTRE'!$A:$A,0),MATCH('Summary - Monthly'!X$3,'TRANS EMP EXTRACT - COST CENTRE'!$2:$2,0)),0)</f>
        <v>0</v>
      </c>
      <c r="Y47" s="13">
        <f>IFERROR(INDEX('TRANS EMP EXTRACT - COST CENTRE'!$A$1:$Z$455,MATCH('Summary - Monthly'!$A47,'TRANS EMP EXTRACT - COST CENTRE'!$A:$A,0),MATCH('Summary - Monthly'!Y$3,'TRANS EMP EXTRACT - COST CENTRE'!$2:$2,0)),0)</f>
        <v>0</v>
      </c>
      <c r="Z47" s="10">
        <f>IFERROR(INDEX('TRANS EMP EXTRACT - COST CENTRE'!$A$1:$Z$455,MATCH('Summary - Monthly'!$A47,'TRANS EMP EXTRACT - COST CENTRE'!$A:$A,0),MATCH('Summary - Monthly'!Z$3,'TRANS EMP EXTRACT - COST CENTRE'!$2:$2,0)),0)</f>
        <v>0</v>
      </c>
      <c r="AA47" s="10">
        <f>IFERROR(INDEX('TRANS EMP EXTRACT - COST CENTRE'!$A$1:$Z$455,MATCH('Summary - Monthly'!$A47,'TRANS EMP EXTRACT - COST CENTRE'!$A:$A,0),MATCH('Summary - Monthly'!AA$3,'TRANS EMP EXTRACT - COST CENTRE'!$2:$2,0)),0)</f>
        <v>0</v>
      </c>
      <c r="AB47" s="10">
        <f>IFERROR(INDEX('TRANS EMP EXTRACT - COST CENTRE'!$A$1:$Z$455,MATCH('Summary - Monthly'!$A47,'TRANS EMP EXTRACT - COST CENTRE'!$A:$A,0),MATCH('Summary - Monthly'!AB$3,'TRANS EMP EXTRACT - COST CENTRE'!$2:$2,0)),0)</f>
        <v>0</v>
      </c>
      <c r="AC47" s="8">
        <f>IFERROR(INDEX('TRANS EMP EXTRACT - COST CENTRE'!$A$1:$Z$455,MATCH('Summary - Monthly'!$A47,'TRANS EMP EXTRACT - COST CENTRE'!$A:$A,0),MATCH('Summary - Monthly'!AC$3,'TRANS EMP EXTRACT - COST CENTRE'!$2:$2,0)),0)</f>
        <v>0</v>
      </c>
      <c r="AD47" s="13">
        <f>IFERROR(INDEX('TRANS EMP EXTRACT - COST CENTRE'!$A$1:$Z$455,MATCH('Summary - Monthly'!$A47,'TRANS EMP EXTRACT - COST CENTRE'!$A:$A,0),MATCH('Summary - Monthly'!AD$3,'TRANS EMP EXTRACT - COST CENTRE'!$2:$2,0)),0)</f>
        <v>0</v>
      </c>
      <c r="AE47" s="13">
        <f>IFERROR(INDEX('TRANS EMP EXTRACT - COST CENTRE'!$A$1:$Z$455,MATCH('Summary - Monthly'!$A47,'TRANS EMP EXTRACT - COST CENTRE'!$A:$A,0),MATCH('Summary - Monthly'!AE$3,'TRANS EMP EXTRACT - COST CENTRE'!$2:$2,0)),0)</f>
        <v>0</v>
      </c>
      <c r="AF47" s="13">
        <f>IFERROR(INDEX('TRANS EMP EXTRACT - COST CENTRE'!$A$1:$Z$455,MATCH('Summary - Monthly'!$A47,'TRANS EMP EXTRACT - COST CENTRE'!$A:$A,0),MATCH('Summary - Monthly'!AF$3,'TRANS EMP EXTRACT - COST CENTRE'!$2:$2,0)),0)</f>
        <v>0</v>
      </c>
      <c r="AG47" s="10">
        <f>IFERROR(INDEX('TRANS EMP EXTRACT - COST CENTRE'!$A$1:$Z$455,MATCH('Summary - Monthly'!$A47,'TRANS EMP EXTRACT - COST CENTRE'!$A:$A,0),MATCH('Summary - Monthly'!AG$3,'TRANS EMP EXTRACT - COST CENTRE'!$2:$2,0)),0)</f>
        <v>0</v>
      </c>
      <c r="AH47" s="10">
        <f>IFERROR(INDEX('TRANS EMP EXTRACT - COST CENTRE'!$A$1:$Z$455,MATCH('Summary - Monthly'!$A47,'TRANS EMP EXTRACT - COST CENTRE'!$A:$A,0),MATCH('Summary - Monthly'!AH$3,'TRANS EMP EXTRACT - COST CENTRE'!$2:$2,0)),0)</f>
        <v>0</v>
      </c>
      <c r="AI47" s="10">
        <f>IFERROR(INDEX('TRANS EMP EXTRACT - COST CENTRE'!$A$1:$Z$455,MATCH('Summary - Monthly'!$A47,'TRANS EMP EXTRACT - COST CENTRE'!$A:$A,0),MATCH('Summary - Monthly'!AI$3,'TRANS EMP EXTRACT - COST CENTRE'!$2:$2,0)),0)</f>
        <v>0</v>
      </c>
      <c r="AJ47" s="10">
        <f>IFERROR(INDEX('TRANS EMP EXTRACT - COST CENTRE'!$A$1:$Z$455,MATCH('Summary - Monthly'!$A47,'TRANS EMP EXTRACT - COST CENTRE'!$A:$A,0),MATCH('Summary - Monthly'!AJ$3,'TRANS EMP EXTRACT - COST CENTRE'!$2:$2,0)),0)</f>
        <v>0</v>
      </c>
      <c r="AK47" s="10">
        <f>IFERROR(INDEX('TRANS EMP EXTRACT - COST CENTRE'!$A$1:$Z$455,MATCH('Summary - Monthly'!$A47,'TRANS EMP EXTRACT - COST CENTRE'!$A:$A,0),MATCH('Summary - Monthly'!AK$3,'TRANS EMP EXTRACT - COST CENTRE'!$2:$2,0)),0)</f>
        <v>0</v>
      </c>
      <c r="AL47" s="10">
        <f>IFERROR(INDEX('TRANS EMP EXTRACT - COST CENTRE'!$A$1:$Z$455,MATCH('Summary - Monthly'!$A47,'TRANS EMP EXTRACT - COST CENTRE'!$A:$A,0),MATCH('Summary - Monthly'!AL$3,'TRANS EMP EXTRACT - COST CENTRE'!$2:$2,0)),0)</f>
        <v>0</v>
      </c>
      <c r="AM47" s="10">
        <f t="shared" si="9"/>
        <v>152</v>
      </c>
      <c r="AN47" s="14">
        <f t="shared" si="2"/>
        <v>0</v>
      </c>
      <c r="AO47" s="18">
        <f t="shared" si="5"/>
        <v>1</v>
      </c>
      <c r="AP47" s="18">
        <f t="shared" si="6"/>
        <v>0.9</v>
      </c>
      <c r="AQ47" s="10" t="str">
        <f>IFERROR(VLOOKUP(B47,Departments!A:C,3,FALSE),"")</f>
        <v>G&amp;A</v>
      </c>
      <c r="AR47" s="10" t="str">
        <f>IFERROR(VLOOKUP(B47,Departments!A:B,2,FALSE),"")</f>
        <v>Finance</v>
      </c>
      <c r="AS47" s="10">
        <f t="shared" si="10"/>
        <v>7.6</v>
      </c>
      <c r="AT47" s="10">
        <f t="shared" si="11"/>
        <v>15.2</v>
      </c>
      <c r="AU47" s="10" t="str">
        <f>_xlfn.IFNA(VLOOKUP(B47,Departments!A:D,4,FALSE),"")</f>
        <v>G&amp;A</v>
      </c>
    </row>
    <row r="48" spans="1:47" ht="14.45" customHeight="1">
      <c r="A48" s="11" t="str">
        <f t="shared" si="3"/>
        <v>1202251118961</v>
      </c>
      <c r="B48" s="11">
        <f>'TRANS EMP EXTRACT - COST CENTRE'!B47</f>
        <v>12022511</v>
      </c>
      <c r="C48" s="10" t="str">
        <f>IFERROR(VLOOKUP(E48,'TRANS EMP EXTRACT - EMP CATEGOR'!A:B,2,FALSE),"")</f>
        <v>FT</v>
      </c>
      <c r="D48" s="10" t="str">
        <f>IFERROR(VLOOKUP(E48,'TRANS EMP EXTRACT - EMP CATEGOR'!A:C,3,FALSE),"")</f>
        <v>Fulltime</v>
      </c>
      <c r="E48" s="11">
        <f>'TRANS EMP EXTRACT - COST CENTRE'!D47</f>
        <v>18961</v>
      </c>
      <c r="F48" s="10" t="str">
        <f>IFERROR(VLOOKUP(E48,'TRANS EMP EXTRACT - COST CENTRE'!D:E,2,FALSE),"")</f>
        <v>HANANIA  FERRIZ MR</v>
      </c>
      <c r="G48" s="12">
        <f>IFERROR(INDEX('TRANS EMP EXTRACT - COST CENTRE'!$A$1:$Z$455,MATCH('Summary - Monthly'!$A48,'TRANS EMP EXTRACT - COST CENTRE'!$A:$A,0),MATCH('Summary - Monthly'!G$3,'TRANS EMP EXTRACT - COST CENTRE'!$2:$2,0)),"")</f>
        <v>44412</v>
      </c>
      <c r="H48" s="10" t="str">
        <f>IFERROR(INDEX('TRANS EMP EXTRACT - COST CENTRE'!$B$1:$Z$455,MATCH('Summary - Monthly'!$E48,'TRANS EMP EXTRACT - COST CENTRE'!$D:$D,0),MATCH('Summary - Monthly'!H$3,'TRANS EMP EXTRACT - COST CENTRE'!$2:$2,0)),"")</f>
        <v>RT</v>
      </c>
      <c r="I48" s="12" t="str">
        <f>IFERROR(INDEX('TRANS EMP EXTRACT - EMP CATEGOR'!$B$1:$AF$421,MATCH('Summary - Monthly'!$E48,'TRANS EMP EXTRACT - EMP CATEGOR'!$D:$D,0),MATCH('Summary - Monthly'!H$3,'TRANS EMP EXTRACT - EMP CATEGOR'!$2:$2,0)),"")</f>
        <v>RT</v>
      </c>
      <c r="J48" s="41">
        <f t="shared" ca="1" si="0"/>
        <v>16.491</v>
      </c>
      <c r="K48" s="41">
        <f t="shared" ca="1" si="1"/>
        <v>32.981900000000003</v>
      </c>
      <c r="L48" s="10">
        <f>IFERROR(INDEX('TRANS EMP EXTRACT - COST CENTRE'!$A$1:$Z$455,MATCH('Summary - Monthly'!$A48,'TRANS EMP EXTRACT - COST CENTRE'!$A:$A,0),MATCH('Summary - Monthly'!L$3,'TRANS EMP EXTRACT - COST CENTRE'!$2:$2,0)),"")</f>
        <v>152</v>
      </c>
      <c r="M48" s="10">
        <f>IFERROR(INDEX('TRANS EMP EXTRACT - COST CENTRE'!$A$1:$Z$455,MATCH('Summary - Monthly'!$A48,'TRANS EMP EXTRACT - COST CENTRE'!$A:$A,0),MATCH('Summary - Monthly'!M$3,'TRANS EMP EXTRACT - COST CENTRE'!$2:$2,0)),0)</f>
        <v>0</v>
      </c>
      <c r="N48" s="10">
        <f>IFERROR(INDEX('TRANS EMP EXTRACT - COST CENTRE'!$A$1:$Z$455,MATCH('Summary - Monthly'!$A48,'TRANS EMP EXTRACT - COST CENTRE'!$A:$A,0),MATCH('Summary - Monthly'!N$3,'TRANS EMP EXTRACT - COST CENTRE'!$2:$2,0)),0)</f>
        <v>0</v>
      </c>
      <c r="O48" s="10">
        <f>IFERROR(INDEX('TRANS EMP EXTRACT - COST CENTRE'!$A$1:$Z$455,MATCH('Summary - Monthly'!$A48,'TRANS EMP EXTRACT - COST CENTRE'!$A:$A,0),MATCH('Summary - Monthly'!O$3,'TRANS EMP EXTRACT - COST CENTRE'!$2:$2,0)),0)</f>
        <v>0</v>
      </c>
      <c r="P48" s="10">
        <f>IFERROR(INDEX('TRANS EMP EXTRACT - COST CENTRE'!$A$1:$Z$455,MATCH('Summary - Monthly'!$A48,'TRANS EMP EXTRACT - COST CENTRE'!$A:$A,0),MATCH('Summary - Monthly'!P$3,'TRANS EMP EXTRACT - COST CENTRE'!$2:$2,0)),0)</f>
        <v>0</v>
      </c>
      <c r="Q48" s="10">
        <f>IFERROR(INDEX('TRANS EMP EXTRACT - COST CENTRE'!$A$1:$Z$455,MATCH('Summary - Monthly'!$A48,'TRANS EMP EXTRACT - COST CENTRE'!$A:$A,0),MATCH('Summary - Monthly'!Q$3,'TRANS EMP EXTRACT - COST CENTRE'!$2:$2,0)),0)</f>
        <v>4.5</v>
      </c>
      <c r="R48" s="10">
        <f>IFERROR(INDEX('TRANS EMP EXTRACT - COST CENTRE'!$A$1:$Z$455,MATCH('Summary - Monthly'!$A48,'TRANS EMP EXTRACT - COST CENTRE'!$A:$A,0),MATCH('Summary - Monthly'!R$3,'TRANS EMP EXTRACT - COST CENTRE'!$2:$2,0)),0)</f>
        <v>0</v>
      </c>
      <c r="S48" s="10">
        <f>IFERROR(INDEX('TRANS EMP EXTRACT - COST CENTRE'!$A$1:$Z$455,MATCH('Summary - Monthly'!$A48,'TRANS EMP EXTRACT - COST CENTRE'!$A:$A,0),MATCH('Summary - Monthly'!S$3,'TRANS EMP EXTRACT - COST CENTRE'!$2:$2,0)),0)</f>
        <v>0</v>
      </c>
      <c r="T48" s="8">
        <f>IFERROR(INDEX('TRANS EMP EXTRACT - COST CENTRE'!$A$1:$Z$455,MATCH('Summary - Monthly'!$A48,'TRANS EMP EXTRACT - COST CENTRE'!$A:$A,0),MATCH('Summary - Monthly'!T$3,'TRANS EMP EXTRACT - COST CENTRE'!$2:$2,0)),0)</f>
        <v>0</v>
      </c>
      <c r="U48" s="13">
        <f>IFERROR(INDEX('TRANS EMP EXTRACT - COST CENTRE'!$A$1:$Z$455,MATCH('Summary - Monthly'!$A48,'TRANS EMP EXTRACT - COST CENTRE'!$A:$A,0),MATCH('Summary - Monthly'!U$3,'TRANS EMP EXTRACT - COST CENTRE'!$2:$2,0)),0)</f>
        <v>0</v>
      </c>
      <c r="V48" s="13">
        <f>IFERROR(INDEX('TRANS EMP EXTRACT - COST CENTRE'!$A$1:$Z$455,MATCH('Summary - Monthly'!$A48,'TRANS EMP EXTRACT - COST CENTRE'!$A:$A,0),MATCH('Summary - Monthly'!V$3,'TRANS EMP EXTRACT - COST CENTRE'!$2:$2,0)),0)</f>
        <v>0</v>
      </c>
      <c r="W48" s="13">
        <f>IFERROR(INDEX('TRANS EMP EXTRACT - COST CENTRE'!$A$1:$Z$455,MATCH('Summary - Monthly'!$A48,'TRANS EMP EXTRACT - COST CENTRE'!$A:$A,0),MATCH('Summary - Monthly'!W$3,'TRANS EMP EXTRACT - COST CENTRE'!$2:$2,0)),0)</f>
        <v>0</v>
      </c>
      <c r="X48" s="13">
        <f>IFERROR(INDEX('TRANS EMP EXTRACT - COST CENTRE'!$A$1:$Z$455,MATCH('Summary - Monthly'!$A48,'TRANS EMP EXTRACT - COST CENTRE'!$A:$A,0),MATCH('Summary - Monthly'!X$3,'TRANS EMP EXTRACT - COST CENTRE'!$2:$2,0)),0)</f>
        <v>0</v>
      </c>
      <c r="Y48" s="13">
        <f>IFERROR(INDEX('TRANS EMP EXTRACT - COST CENTRE'!$A$1:$Z$455,MATCH('Summary - Monthly'!$A48,'TRANS EMP EXTRACT - COST CENTRE'!$A:$A,0),MATCH('Summary - Monthly'!Y$3,'TRANS EMP EXTRACT - COST CENTRE'!$2:$2,0)),0)</f>
        <v>0</v>
      </c>
      <c r="Z48" s="10">
        <f>IFERROR(INDEX('TRANS EMP EXTRACT - COST CENTRE'!$A$1:$Z$455,MATCH('Summary - Monthly'!$A48,'TRANS EMP EXTRACT - COST CENTRE'!$A:$A,0),MATCH('Summary - Monthly'!Z$3,'TRANS EMP EXTRACT - COST CENTRE'!$2:$2,0)),0)</f>
        <v>0</v>
      </c>
      <c r="AA48" s="10">
        <f>IFERROR(INDEX('TRANS EMP EXTRACT - COST CENTRE'!$A$1:$Z$455,MATCH('Summary - Monthly'!$A48,'TRANS EMP EXTRACT - COST CENTRE'!$A:$A,0),MATCH('Summary - Monthly'!AA$3,'TRANS EMP EXTRACT - COST CENTRE'!$2:$2,0)),0)</f>
        <v>0</v>
      </c>
      <c r="AB48" s="10">
        <f>IFERROR(INDEX('TRANS EMP EXTRACT - COST CENTRE'!$A$1:$Z$455,MATCH('Summary - Monthly'!$A48,'TRANS EMP EXTRACT - COST CENTRE'!$A:$A,0),MATCH('Summary - Monthly'!AB$3,'TRANS EMP EXTRACT - COST CENTRE'!$2:$2,0)),0)</f>
        <v>0</v>
      </c>
      <c r="AC48" s="8">
        <f>IFERROR(INDEX('TRANS EMP EXTRACT - COST CENTRE'!$A$1:$Z$455,MATCH('Summary - Monthly'!$A48,'TRANS EMP EXTRACT - COST CENTRE'!$A:$A,0),MATCH('Summary - Monthly'!AC$3,'TRANS EMP EXTRACT - COST CENTRE'!$2:$2,0)),0)</f>
        <v>0</v>
      </c>
      <c r="AD48" s="13">
        <f>IFERROR(INDEX('TRANS EMP EXTRACT - COST CENTRE'!$A$1:$Z$455,MATCH('Summary - Monthly'!$A48,'TRANS EMP EXTRACT - COST CENTRE'!$A:$A,0),MATCH('Summary - Monthly'!AD$3,'TRANS EMP EXTRACT - COST CENTRE'!$2:$2,0)),0)</f>
        <v>0</v>
      </c>
      <c r="AE48" s="13">
        <f>IFERROR(INDEX('TRANS EMP EXTRACT - COST CENTRE'!$A$1:$Z$455,MATCH('Summary - Monthly'!$A48,'TRANS EMP EXTRACT - COST CENTRE'!$A:$A,0),MATCH('Summary - Monthly'!AE$3,'TRANS EMP EXTRACT - COST CENTRE'!$2:$2,0)),0)</f>
        <v>0</v>
      </c>
      <c r="AF48" s="13">
        <f>IFERROR(INDEX('TRANS EMP EXTRACT - COST CENTRE'!$A$1:$Z$455,MATCH('Summary - Monthly'!$A48,'TRANS EMP EXTRACT - COST CENTRE'!$A:$A,0),MATCH('Summary - Monthly'!AF$3,'TRANS EMP EXTRACT - COST CENTRE'!$2:$2,0)),0)</f>
        <v>0</v>
      </c>
      <c r="AG48" s="10">
        <f>IFERROR(INDEX('TRANS EMP EXTRACT - COST CENTRE'!$A$1:$Z$455,MATCH('Summary - Monthly'!$A48,'TRANS EMP EXTRACT - COST CENTRE'!$A:$A,0),MATCH('Summary - Monthly'!AG$3,'TRANS EMP EXTRACT - COST CENTRE'!$2:$2,0)),0)</f>
        <v>0</v>
      </c>
      <c r="AH48" s="10">
        <f>IFERROR(INDEX('TRANS EMP EXTRACT - COST CENTRE'!$A$1:$Z$455,MATCH('Summary - Monthly'!$A48,'TRANS EMP EXTRACT - COST CENTRE'!$A:$A,0),MATCH('Summary - Monthly'!AH$3,'TRANS EMP EXTRACT - COST CENTRE'!$2:$2,0)),0)</f>
        <v>0</v>
      </c>
      <c r="AI48" s="10">
        <f>IFERROR(INDEX('TRANS EMP EXTRACT - COST CENTRE'!$A$1:$Z$455,MATCH('Summary - Monthly'!$A48,'TRANS EMP EXTRACT - COST CENTRE'!$A:$A,0),MATCH('Summary - Monthly'!AI$3,'TRANS EMP EXTRACT - COST CENTRE'!$2:$2,0)),0)</f>
        <v>0</v>
      </c>
      <c r="AJ48" s="10">
        <f>IFERROR(INDEX('TRANS EMP EXTRACT - COST CENTRE'!$A$1:$Z$455,MATCH('Summary - Monthly'!$A48,'TRANS EMP EXTRACT - COST CENTRE'!$A:$A,0),MATCH('Summary - Monthly'!AJ$3,'TRANS EMP EXTRACT - COST CENTRE'!$2:$2,0)),0)</f>
        <v>0</v>
      </c>
      <c r="AK48" s="10">
        <f>IFERROR(INDEX('TRANS EMP EXTRACT - COST CENTRE'!$A$1:$Z$455,MATCH('Summary - Monthly'!$A48,'TRANS EMP EXTRACT - COST CENTRE'!$A:$A,0),MATCH('Summary - Monthly'!AK$3,'TRANS EMP EXTRACT - COST CENTRE'!$2:$2,0)),0)</f>
        <v>0</v>
      </c>
      <c r="AL48" s="10">
        <f>IFERROR(INDEX('TRANS EMP EXTRACT - COST CENTRE'!$A$1:$Z$455,MATCH('Summary - Monthly'!$A48,'TRANS EMP EXTRACT - COST CENTRE'!$A:$A,0),MATCH('Summary - Monthly'!AL$3,'TRANS EMP EXTRACT - COST CENTRE'!$2:$2,0)),0)</f>
        <v>0</v>
      </c>
      <c r="AM48" s="10">
        <f t="shared" si="9"/>
        <v>156.5</v>
      </c>
      <c r="AN48" s="14">
        <f t="shared" si="2"/>
        <v>2.9605263157894735E-2</v>
      </c>
      <c r="AO48" s="18">
        <f t="shared" si="5"/>
        <v>1.0296052631578947</v>
      </c>
      <c r="AP48" s="18">
        <f t="shared" si="6"/>
        <v>1.0296052631578947</v>
      </c>
      <c r="AQ48" s="10" t="str">
        <f>IFERROR(VLOOKUP(B48,Departments!A:C,3,FALSE),"")</f>
        <v>Microbiology</v>
      </c>
      <c r="AR48" s="10" t="str">
        <f>IFERROR(VLOOKUP(B48,Departments!A:B,2,FALSE),"")</f>
        <v>Sydney Micro</v>
      </c>
      <c r="AS48" s="10">
        <f t="shared" si="10"/>
        <v>0</v>
      </c>
      <c r="AT48" s="10">
        <f t="shared" si="11"/>
        <v>0</v>
      </c>
      <c r="AU48" s="10" t="str">
        <f>_xlfn.IFNA(VLOOKUP(B48,Departments!A:D,4,FALSE),"")</f>
        <v>Sydney Micro</v>
      </c>
    </row>
    <row r="49" spans="1:47" ht="14.45" customHeight="1">
      <c r="A49" s="11" t="str">
        <f t="shared" si="3"/>
        <v>1204301118917</v>
      </c>
      <c r="B49" s="11">
        <f>'TRANS EMP EXTRACT - COST CENTRE'!B48</f>
        <v>12043011</v>
      </c>
      <c r="C49" s="10" t="str">
        <f>IFERROR(VLOOKUP(E49,'TRANS EMP EXTRACT - EMP CATEGOR'!A:B,2,FALSE),"")</f>
        <v>CAS</v>
      </c>
      <c r="D49" s="10" t="str">
        <f>IFERROR(VLOOKUP(E49,'TRANS EMP EXTRACT - EMP CATEGOR'!A:C,3,FALSE),"")</f>
        <v>Casual RL</v>
      </c>
      <c r="E49" s="11">
        <f>'TRANS EMP EXTRACT - COST CENTRE'!D48</f>
        <v>18917</v>
      </c>
      <c r="F49" s="10" t="str">
        <f>IFERROR(VLOOKUP(E49,'TRANS EMP EXTRACT - COST CENTRE'!D:E,2,FALSE),"")</f>
        <v>HARRIS  KYM MS</v>
      </c>
      <c r="G49" s="12">
        <f>IFERROR(INDEX('TRANS EMP EXTRACT - COST CENTRE'!$A$1:$Z$455,MATCH('Summary - Monthly'!$A49,'TRANS EMP EXTRACT - COST CENTRE'!$A:$A,0),MATCH('Summary - Monthly'!G$3,'TRANS EMP EXTRACT - COST CENTRE'!$2:$2,0)),"")</f>
        <v>44005</v>
      </c>
      <c r="H49" s="10" t="str">
        <f>IFERROR(INDEX('TRANS EMP EXTRACT - COST CENTRE'!$B$1:$Z$455,MATCH('Summary - Monthly'!$E49,'TRANS EMP EXTRACT - COST CENTRE'!$D:$D,0),MATCH('Summary - Monthly'!H$3,'TRANS EMP EXTRACT - COST CENTRE'!$2:$2,0)),"")</f>
        <v>RT</v>
      </c>
      <c r="I49" s="12" t="str">
        <f>IFERROR(INDEX('TRANS EMP EXTRACT - EMP CATEGOR'!$B$1:$AF$421,MATCH('Summary - Monthly'!$E49,'TRANS EMP EXTRACT - EMP CATEGOR'!$D:$D,0),MATCH('Summary - Monthly'!H$3,'TRANS EMP EXTRACT - EMP CATEGOR'!$2:$2,0)),"")</f>
        <v>RT</v>
      </c>
      <c r="J49" s="41">
        <f t="shared" ca="1" si="0"/>
        <v>30.316700000000001</v>
      </c>
      <c r="K49" s="41">
        <f t="shared" ca="1" si="1"/>
        <v>60.633400000000002</v>
      </c>
      <c r="L49" s="10">
        <f>IFERROR(INDEX('TRANS EMP EXTRACT - COST CENTRE'!$A$1:$Z$455,MATCH('Summary - Monthly'!$A49,'TRANS EMP EXTRACT - COST CENTRE'!$A:$A,0),MATCH('Summary - Monthly'!L$3,'TRANS EMP EXTRACT - COST CENTRE'!$2:$2,0)),"")</f>
        <v>0</v>
      </c>
      <c r="M49" s="10">
        <f>IFERROR(INDEX('TRANS EMP EXTRACT - COST CENTRE'!$A$1:$Z$455,MATCH('Summary - Monthly'!$A49,'TRANS EMP EXTRACT - COST CENTRE'!$A:$A,0),MATCH('Summary - Monthly'!M$3,'TRANS EMP EXTRACT - COST CENTRE'!$2:$2,0)),0)</f>
        <v>0</v>
      </c>
      <c r="N49" s="10">
        <f>IFERROR(INDEX('TRANS EMP EXTRACT - COST CENTRE'!$A$1:$Z$455,MATCH('Summary - Monthly'!$A49,'TRANS EMP EXTRACT - COST CENTRE'!$A:$A,0),MATCH('Summary - Monthly'!N$3,'TRANS EMP EXTRACT - COST CENTRE'!$2:$2,0)),0)</f>
        <v>47.083300000000001</v>
      </c>
      <c r="O49" s="10">
        <f>IFERROR(INDEX('TRANS EMP EXTRACT - COST CENTRE'!$A$1:$Z$455,MATCH('Summary - Monthly'!$A49,'TRANS EMP EXTRACT - COST CENTRE'!$A:$A,0),MATCH('Summary - Monthly'!O$3,'TRANS EMP EXTRACT - COST CENTRE'!$2:$2,0)),0)</f>
        <v>0</v>
      </c>
      <c r="P49" s="10">
        <f>IFERROR(INDEX('TRANS EMP EXTRACT - COST CENTRE'!$A$1:$Z$455,MATCH('Summary - Monthly'!$A49,'TRANS EMP EXTRACT - COST CENTRE'!$A:$A,0),MATCH('Summary - Monthly'!P$3,'TRANS EMP EXTRACT - COST CENTRE'!$2:$2,0)),0)</f>
        <v>0</v>
      </c>
      <c r="Q49" s="10">
        <f>IFERROR(INDEX('TRANS EMP EXTRACT - COST CENTRE'!$A$1:$Z$455,MATCH('Summary - Monthly'!$A49,'TRANS EMP EXTRACT - COST CENTRE'!$A:$A,0),MATCH('Summary - Monthly'!Q$3,'TRANS EMP EXTRACT - COST CENTRE'!$2:$2,0)),0)</f>
        <v>0</v>
      </c>
      <c r="R49" s="10">
        <f>IFERROR(INDEX('TRANS EMP EXTRACT - COST CENTRE'!$A$1:$Z$455,MATCH('Summary - Monthly'!$A49,'TRANS EMP EXTRACT - COST CENTRE'!$A:$A,0),MATCH('Summary - Monthly'!R$3,'TRANS EMP EXTRACT - COST CENTRE'!$2:$2,0)),0)</f>
        <v>0</v>
      </c>
      <c r="S49" s="10">
        <f>IFERROR(INDEX('TRANS EMP EXTRACT - COST CENTRE'!$A$1:$Z$455,MATCH('Summary - Monthly'!$A49,'TRANS EMP EXTRACT - COST CENTRE'!$A:$A,0),MATCH('Summary - Monthly'!S$3,'TRANS EMP EXTRACT - COST CENTRE'!$2:$2,0)),0)</f>
        <v>0</v>
      </c>
      <c r="T49" s="8">
        <f>IFERROR(INDEX('TRANS EMP EXTRACT - COST CENTRE'!$A$1:$Z$455,MATCH('Summary - Monthly'!$A49,'TRANS EMP EXTRACT - COST CENTRE'!$A:$A,0),MATCH('Summary - Monthly'!T$3,'TRANS EMP EXTRACT - COST CENTRE'!$2:$2,0)),0)</f>
        <v>0</v>
      </c>
      <c r="U49" s="13">
        <f>IFERROR(INDEX('TRANS EMP EXTRACT - COST CENTRE'!$A$1:$Z$455,MATCH('Summary - Monthly'!$A49,'TRANS EMP EXTRACT - COST CENTRE'!$A:$A,0),MATCH('Summary - Monthly'!U$3,'TRANS EMP EXTRACT - COST CENTRE'!$2:$2,0)),0)</f>
        <v>0</v>
      </c>
      <c r="V49" s="13">
        <f>IFERROR(INDEX('TRANS EMP EXTRACT - COST CENTRE'!$A$1:$Z$455,MATCH('Summary - Monthly'!$A49,'TRANS EMP EXTRACT - COST CENTRE'!$A:$A,0),MATCH('Summary - Monthly'!V$3,'TRANS EMP EXTRACT - COST CENTRE'!$2:$2,0)),0)</f>
        <v>0</v>
      </c>
      <c r="W49" s="13">
        <f>IFERROR(INDEX('TRANS EMP EXTRACT - COST CENTRE'!$A$1:$Z$455,MATCH('Summary - Monthly'!$A49,'TRANS EMP EXTRACT - COST CENTRE'!$A:$A,0),MATCH('Summary - Monthly'!W$3,'TRANS EMP EXTRACT - COST CENTRE'!$2:$2,0)),0)</f>
        <v>0</v>
      </c>
      <c r="X49" s="13">
        <f>IFERROR(INDEX('TRANS EMP EXTRACT - COST CENTRE'!$A$1:$Z$455,MATCH('Summary - Monthly'!$A49,'TRANS EMP EXTRACT - COST CENTRE'!$A:$A,0),MATCH('Summary - Monthly'!X$3,'TRANS EMP EXTRACT - COST CENTRE'!$2:$2,0)),0)</f>
        <v>0</v>
      </c>
      <c r="Y49" s="13">
        <f>IFERROR(INDEX('TRANS EMP EXTRACT - COST CENTRE'!$A$1:$Z$455,MATCH('Summary - Monthly'!$A49,'TRANS EMP EXTRACT - COST CENTRE'!$A:$A,0),MATCH('Summary - Monthly'!Y$3,'TRANS EMP EXTRACT - COST CENTRE'!$2:$2,0)),0)</f>
        <v>0</v>
      </c>
      <c r="Z49" s="10">
        <f>IFERROR(INDEX('TRANS EMP EXTRACT - COST CENTRE'!$A$1:$Z$455,MATCH('Summary - Monthly'!$A49,'TRANS EMP EXTRACT - COST CENTRE'!$A:$A,0),MATCH('Summary - Monthly'!Z$3,'TRANS EMP EXTRACT - COST CENTRE'!$2:$2,0)),0)</f>
        <v>0</v>
      </c>
      <c r="AA49" s="10">
        <f>IFERROR(INDEX('TRANS EMP EXTRACT - COST CENTRE'!$A$1:$Z$455,MATCH('Summary - Monthly'!$A49,'TRANS EMP EXTRACT - COST CENTRE'!$A:$A,0),MATCH('Summary - Monthly'!AA$3,'TRANS EMP EXTRACT - COST CENTRE'!$2:$2,0)),0)</f>
        <v>0</v>
      </c>
      <c r="AB49" s="10">
        <f>IFERROR(INDEX('TRANS EMP EXTRACT - COST CENTRE'!$A$1:$Z$455,MATCH('Summary - Monthly'!$A49,'TRANS EMP EXTRACT - COST CENTRE'!$A:$A,0),MATCH('Summary - Monthly'!AB$3,'TRANS EMP EXTRACT - COST CENTRE'!$2:$2,0)),0)</f>
        <v>0</v>
      </c>
      <c r="AC49" s="8">
        <f>IFERROR(INDEX('TRANS EMP EXTRACT - COST CENTRE'!$A$1:$Z$455,MATCH('Summary - Monthly'!$A49,'TRANS EMP EXTRACT - COST CENTRE'!$A:$A,0),MATCH('Summary - Monthly'!AC$3,'TRANS EMP EXTRACT - COST CENTRE'!$2:$2,0)),0)</f>
        <v>0</v>
      </c>
      <c r="AD49" s="13">
        <f>IFERROR(INDEX('TRANS EMP EXTRACT - COST CENTRE'!$A$1:$Z$455,MATCH('Summary - Monthly'!$A49,'TRANS EMP EXTRACT - COST CENTRE'!$A:$A,0),MATCH('Summary - Monthly'!AD$3,'TRANS EMP EXTRACT - COST CENTRE'!$2:$2,0)),0)</f>
        <v>0</v>
      </c>
      <c r="AE49" s="13">
        <f>IFERROR(INDEX('TRANS EMP EXTRACT - COST CENTRE'!$A$1:$Z$455,MATCH('Summary - Monthly'!$A49,'TRANS EMP EXTRACT - COST CENTRE'!$A:$A,0),MATCH('Summary - Monthly'!AE$3,'TRANS EMP EXTRACT - COST CENTRE'!$2:$2,0)),0)</f>
        <v>0</v>
      </c>
      <c r="AF49" s="13">
        <f>IFERROR(INDEX('TRANS EMP EXTRACT - COST CENTRE'!$A$1:$Z$455,MATCH('Summary - Monthly'!$A49,'TRANS EMP EXTRACT - COST CENTRE'!$A:$A,0),MATCH('Summary - Monthly'!AF$3,'TRANS EMP EXTRACT - COST CENTRE'!$2:$2,0)),0)</f>
        <v>0</v>
      </c>
      <c r="AG49" s="10">
        <f>IFERROR(INDEX('TRANS EMP EXTRACT - COST CENTRE'!$A$1:$Z$455,MATCH('Summary - Monthly'!$A49,'TRANS EMP EXTRACT - COST CENTRE'!$A:$A,0),MATCH('Summary - Monthly'!AG$3,'TRANS EMP EXTRACT - COST CENTRE'!$2:$2,0)),0)</f>
        <v>0</v>
      </c>
      <c r="AH49" s="10">
        <f>IFERROR(INDEX('TRANS EMP EXTRACT - COST CENTRE'!$A$1:$Z$455,MATCH('Summary - Monthly'!$A49,'TRANS EMP EXTRACT - COST CENTRE'!$A:$A,0),MATCH('Summary - Monthly'!AH$3,'TRANS EMP EXTRACT - COST CENTRE'!$2:$2,0)),0)</f>
        <v>0</v>
      </c>
      <c r="AI49" s="10">
        <f>IFERROR(INDEX('TRANS EMP EXTRACT - COST CENTRE'!$A$1:$Z$455,MATCH('Summary - Monthly'!$A49,'TRANS EMP EXTRACT - COST CENTRE'!$A:$A,0),MATCH('Summary - Monthly'!AI$3,'TRANS EMP EXTRACT - COST CENTRE'!$2:$2,0)),0)</f>
        <v>0</v>
      </c>
      <c r="AJ49" s="10">
        <f>IFERROR(INDEX('TRANS EMP EXTRACT - COST CENTRE'!$A$1:$Z$455,MATCH('Summary - Monthly'!$A49,'TRANS EMP EXTRACT - COST CENTRE'!$A:$A,0),MATCH('Summary - Monthly'!AJ$3,'TRANS EMP EXTRACT - COST CENTRE'!$2:$2,0)),0)</f>
        <v>0</v>
      </c>
      <c r="AK49" s="10">
        <f>IFERROR(INDEX('TRANS EMP EXTRACT - COST CENTRE'!$A$1:$Z$455,MATCH('Summary - Monthly'!$A49,'TRANS EMP EXTRACT - COST CENTRE'!$A:$A,0),MATCH('Summary - Monthly'!AK$3,'TRANS EMP EXTRACT - COST CENTRE'!$2:$2,0)),0)</f>
        <v>0</v>
      </c>
      <c r="AL49" s="10">
        <f>IFERROR(INDEX('TRANS EMP EXTRACT - COST CENTRE'!$A$1:$Z$455,MATCH('Summary - Monthly'!$A49,'TRANS EMP EXTRACT - COST CENTRE'!$A:$A,0),MATCH('Summary - Monthly'!AL$3,'TRANS EMP EXTRACT - COST CENTRE'!$2:$2,0)),0)</f>
        <v>0</v>
      </c>
      <c r="AM49" s="10">
        <f t="shared" si="9"/>
        <v>47.083300000000001</v>
      </c>
      <c r="AN49" s="14">
        <f t="shared" si="2"/>
        <v>0</v>
      </c>
      <c r="AO49" s="18">
        <f t="shared" si="5"/>
        <v>0.30975855263157898</v>
      </c>
      <c r="AP49" s="18">
        <f t="shared" si="6"/>
        <v>0.30975855263157898</v>
      </c>
      <c r="AQ49" s="10" t="str">
        <f>IFERROR(VLOOKUP(B49,Departments!A:C,3,FALSE),"")</f>
        <v>Microbiology</v>
      </c>
      <c r="AR49" s="10" t="str">
        <f>IFERROR(VLOOKUP(B49,Departments!A:B,2,FALSE),"")</f>
        <v>Bris Micro</v>
      </c>
      <c r="AS49" s="10">
        <f t="shared" si="10"/>
        <v>0</v>
      </c>
      <c r="AT49" s="10">
        <f t="shared" si="11"/>
        <v>0</v>
      </c>
      <c r="AU49" s="10" t="str">
        <f>_xlfn.IFNA(VLOOKUP(B49,Departments!A:D,4,FALSE),"")</f>
        <v>Brisbane Micro</v>
      </c>
    </row>
    <row r="50" spans="1:47" ht="14.45" customHeight="1">
      <c r="A50" s="11" t="str">
        <f t="shared" si="3"/>
        <v>1202040019057</v>
      </c>
      <c r="B50" s="11">
        <f>'TRANS EMP EXTRACT - COST CENTRE'!B49</f>
        <v>12020400</v>
      </c>
      <c r="C50" s="10" t="str">
        <f>IFERROR(VLOOKUP(E50,'TRANS EMP EXTRACT - EMP CATEGOR'!A:B,2,FALSE),"")</f>
        <v>FT</v>
      </c>
      <c r="D50" s="10" t="str">
        <f>IFERROR(VLOOKUP(E50,'TRANS EMP EXTRACT - EMP CATEGOR'!A:C,3,FALSE),"")</f>
        <v>Fulltime</v>
      </c>
      <c r="E50" s="11">
        <f>'TRANS EMP EXTRACT - COST CENTRE'!D49</f>
        <v>19057</v>
      </c>
      <c r="F50" s="10" t="str">
        <f>IFERROR(VLOOKUP(E50,'TRANS EMP EXTRACT - COST CENTRE'!D:E,2,FALSE),"")</f>
        <v>HENRI  BROOKE MS</v>
      </c>
      <c r="G50" s="12">
        <f>IFERROR(INDEX('TRANS EMP EXTRACT - COST CENTRE'!$A$1:$Z$455,MATCH('Summary - Monthly'!$A50,'TRANS EMP EXTRACT - COST CENTRE'!$A:$A,0),MATCH('Summary - Monthly'!G$3,'TRANS EMP EXTRACT - COST CENTRE'!$2:$2,0)),"")</f>
        <v>44970</v>
      </c>
      <c r="H50" s="10" t="str">
        <f>IFERROR(INDEX('TRANS EMP EXTRACT - COST CENTRE'!$B$1:$Z$455,MATCH('Summary - Monthly'!$E50,'TRANS EMP EXTRACT - COST CENTRE'!$D:$D,0),MATCH('Summary - Monthly'!H$3,'TRANS EMP EXTRACT - COST CENTRE'!$2:$2,0)),"")</f>
        <v>FN</v>
      </c>
      <c r="I50" s="12" t="str">
        <f>IFERROR(INDEX('TRANS EMP EXTRACT - EMP CATEGOR'!$B$1:$AF$421,MATCH('Summary - Monthly'!$E50,'TRANS EMP EXTRACT - EMP CATEGOR'!$D:$D,0),MATCH('Summary - Monthly'!H$3,'TRANS EMP EXTRACT - EMP CATEGOR'!$2:$2,0)),"")</f>
        <v>FN</v>
      </c>
      <c r="J50" s="41">
        <f t="shared" ca="1" si="0"/>
        <v>3.9561999999999999</v>
      </c>
      <c r="K50" s="41">
        <f t="shared" ca="1" si="1"/>
        <v>7.9123000000000001</v>
      </c>
      <c r="L50" s="10">
        <f>IFERROR(INDEX('TRANS EMP EXTRACT - COST CENTRE'!$A$1:$Z$455,MATCH('Summary - Monthly'!$A50,'TRANS EMP EXTRACT - COST CENTRE'!$A:$A,0),MATCH('Summary - Monthly'!L$3,'TRANS EMP EXTRACT - COST CENTRE'!$2:$2,0)),"")</f>
        <v>91.2</v>
      </c>
      <c r="M50" s="10">
        <f>IFERROR(INDEX('TRANS EMP EXTRACT - COST CENTRE'!$A$1:$Z$455,MATCH('Summary - Monthly'!$A50,'TRANS EMP EXTRACT - COST CENTRE'!$A:$A,0),MATCH('Summary - Monthly'!M$3,'TRANS EMP EXTRACT - COST CENTRE'!$2:$2,0)),0)</f>
        <v>0</v>
      </c>
      <c r="N50" s="10">
        <f>IFERROR(INDEX('TRANS EMP EXTRACT - COST CENTRE'!$A$1:$Z$455,MATCH('Summary - Monthly'!$A50,'TRANS EMP EXTRACT - COST CENTRE'!$A:$A,0),MATCH('Summary - Monthly'!N$3,'TRANS EMP EXTRACT - COST CENTRE'!$2:$2,0)),0)</f>
        <v>0</v>
      </c>
      <c r="O50" s="10">
        <f>IFERROR(INDEX('TRANS EMP EXTRACT - COST CENTRE'!$A$1:$Z$455,MATCH('Summary - Monthly'!$A50,'TRANS EMP EXTRACT - COST CENTRE'!$A:$A,0),MATCH('Summary - Monthly'!O$3,'TRANS EMP EXTRACT - COST CENTRE'!$2:$2,0)),0)</f>
        <v>0</v>
      </c>
      <c r="P50" s="10">
        <f>IFERROR(INDEX('TRANS EMP EXTRACT - COST CENTRE'!$A$1:$Z$455,MATCH('Summary - Monthly'!$A50,'TRANS EMP EXTRACT - COST CENTRE'!$A:$A,0),MATCH('Summary - Monthly'!P$3,'TRANS EMP EXTRACT - COST CENTRE'!$2:$2,0)),0)</f>
        <v>0</v>
      </c>
      <c r="Q50" s="10">
        <f>IFERROR(INDEX('TRANS EMP EXTRACT - COST CENTRE'!$A$1:$Z$455,MATCH('Summary - Monthly'!$A50,'TRANS EMP EXTRACT - COST CENTRE'!$A:$A,0),MATCH('Summary - Monthly'!Q$3,'TRANS EMP EXTRACT - COST CENTRE'!$2:$2,0)),0)</f>
        <v>0</v>
      </c>
      <c r="R50" s="10">
        <f>IFERROR(INDEX('TRANS EMP EXTRACT - COST CENTRE'!$A$1:$Z$455,MATCH('Summary - Monthly'!$A50,'TRANS EMP EXTRACT - COST CENTRE'!$A:$A,0),MATCH('Summary - Monthly'!R$3,'TRANS EMP EXTRACT - COST CENTRE'!$2:$2,0)),0)</f>
        <v>0</v>
      </c>
      <c r="S50" s="10">
        <f>IFERROR(INDEX('TRANS EMP EXTRACT - COST CENTRE'!$A$1:$Z$455,MATCH('Summary - Monthly'!$A50,'TRANS EMP EXTRACT - COST CENTRE'!$A:$A,0),MATCH('Summary - Monthly'!S$3,'TRANS EMP EXTRACT - COST CENTRE'!$2:$2,0)),0)</f>
        <v>0</v>
      </c>
      <c r="T50" s="8">
        <f>IFERROR(INDEX('TRANS EMP EXTRACT - COST CENTRE'!$A$1:$Z$455,MATCH('Summary - Monthly'!$A50,'TRANS EMP EXTRACT - COST CENTRE'!$A:$A,0),MATCH('Summary - Monthly'!T$3,'TRANS EMP EXTRACT - COST CENTRE'!$2:$2,0)),0)</f>
        <v>0</v>
      </c>
      <c r="U50" s="13">
        <f>IFERROR(INDEX('TRANS EMP EXTRACT - COST CENTRE'!$A$1:$Z$455,MATCH('Summary - Monthly'!$A50,'TRANS EMP EXTRACT - COST CENTRE'!$A:$A,0),MATCH('Summary - Monthly'!U$3,'TRANS EMP EXTRACT - COST CENTRE'!$2:$2,0)),0)</f>
        <v>0</v>
      </c>
      <c r="V50" s="13">
        <f>IFERROR(INDEX('TRANS EMP EXTRACT - COST CENTRE'!$A$1:$Z$455,MATCH('Summary - Monthly'!$A50,'TRANS EMP EXTRACT - COST CENTRE'!$A:$A,0),MATCH('Summary - Monthly'!V$3,'TRANS EMP EXTRACT - COST CENTRE'!$2:$2,0)),0)</f>
        <v>0</v>
      </c>
      <c r="W50" s="13">
        <f>IFERROR(INDEX('TRANS EMP EXTRACT - COST CENTRE'!$A$1:$Z$455,MATCH('Summary - Monthly'!$A50,'TRANS EMP EXTRACT - COST CENTRE'!$A:$A,0),MATCH('Summary - Monthly'!W$3,'TRANS EMP EXTRACT - COST CENTRE'!$2:$2,0)),0)</f>
        <v>0</v>
      </c>
      <c r="X50" s="13">
        <f>IFERROR(INDEX('TRANS EMP EXTRACT - COST CENTRE'!$A$1:$Z$455,MATCH('Summary - Monthly'!$A50,'TRANS EMP EXTRACT - COST CENTRE'!$A:$A,0),MATCH('Summary - Monthly'!X$3,'TRANS EMP EXTRACT - COST CENTRE'!$2:$2,0)),0)</f>
        <v>0</v>
      </c>
      <c r="Y50" s="13">
        <f>IFERROR(INDEX('TRANS EMP EXTRACT - COST CENTRE'!$A$1:$Z$455,MATCH('Summary - Monthly'!$A50,'TRANS EMP EXTRACT - COST CENTRE'!$A:$A,0),MATCH('Summary - Monthly'!Y$3,'TRANS EMP EXTRACT - COST CENTRE'!$2:$2,0)),0)</f>
        <v>0</v>
      </c>
      <c r="Z50" s="10">
        <f>IFERROR(INDEX('TRANS EMP EXTRACT - COST CENTRE'!$A$1:$Z$455,MATCH('Summary - Monthly'!$A50,'TRANS EMP EXTRACT - COST CENTRE'!$A:$A,0),MATCH('Summary - Monthly'!Z$3,'TRANS EMP EXTRACT - COST CENTRE'!$2:$2,0)),0)</f>
        <v>0</v>
      </c>
      <c r="AA50" s="10">
        <f>IFERROR(INDEX('TRANS EMP EXTRACT - COST CENTRE'!$A$1:$Z$455,MATCH('Summary - Monthly'!$A50,'TRANS EMP EXTRACT - COST CENTRE'!$A:$A,0),MATCH('Summary - Monthly'!AA$3,'TRANS EMP EXTRACT - COST CENTRE'!$2:$2,0)),0)</f>
        <v>0</v>
      </c>
      <c r="AB50" s="10">
        <f>IFERROR(INDEX('TRANS EMP EXTRACT - COST CENTRE'!$A$1:$Z$455,MATCH('Summary - Monthly'!$A50,'TRANS EMP EXTRACT - COST CENTRE'!$A:$A,0),MATCH('Summary - Monthly'!AB$3,'TRANS EMP EXTRACT - COST CENTRE'!$2:$2,0)),0)</f>
        <v>0</v>
      </c>
      <c r="AC50" s="8">
        <f>IFERROR(INDEX('TRANS EMP EXTRACT - COST CENTRE'!$A$1:$Z$455,MATCH('Summary - Monthly'!$A50,'TRANS EMP EXTRACT - COST CENTRE'!$A:$A,0),MATCH('Summary - Monthly'!AC$3,'TRANS EMP EXTRACT - COST CENTRE'!$2:$2,0)),0)</f>
        <v>0</v>
      </c>
      <c r="AD50" s="13">
        <f>IFERROR(INDEX('TRANS EMP EXTRACT - COST CENTRE'!$A$1:$Z$455,MATCH('Summary - Monthly'!$A50,'TRANS EMP EXTRACT - COST CENTRE'!$A:$A,0),MATCH('Summary - Monthly'!AD$3,'TRANS EMP EXTRACT - COST CENTRE'!$2:$2,0)),0)</f>
        <v>0</v>
      </c>
      <c r="AE50" s="13">
        <f>IFERROR(INDEX('TRANS EMP EXTRACT - COST CENTRE'!$A$1:$Z$455,MATCH('Summary - Monthly'!$A50,'TRANS EMP EXTRACT - COST CENTRE'!$A:$A,0),MATCH('Summary - Monthly'!AE$3,'TRANS EMP EXTRACT - COST CENTRE'!$2:$2,0)),0)</f>
        <v>0</v>
      </c>
      <c r="AF50" s="13">
        <f>IFERROR(INDEX('TRANS EMP EXTRACT - COST CENTRE'!$A$1:$Z$455,MATCH('Summary - Monthly'!$A50,'TRANS EMP EXTRACT - COST CENTRE'!$A:$A,0),MATCH('Summary - Monthly'!AF$3,'TRANS EMP EXTRACT - COST CENTRE'!$2:$2,0)),0)</f>
        <v>0</v>
      </c>
      <c r="AG50" s="10">
        <f>IFERROR(INDEX('TRANS EMP EXTRACT - COST CENTRE'!$A$1:$Z$455,MATCH('Summary - Monthly'!$A50,'TRANS EMP EXTRACT - COST CENTRE'!$A:$A,0),MATCH('Summary - Monthly'!AG$3,'TRANS EMP EXTRACT - COST CENTRE'!$2:$2,0)),0)</f>
        <v>0</v>
      </c>
      <c r="AH50" s="10">
        <f>IFERROR(INDEX('TRANS EMP EXTRACT - COST CENTRE'!$A$1:$Z$455,MATCH('Summary - Monthly'!$A50,'TRANS EMP EXTRACT - COST CENTRE'!$A:$A,0),MATCH('Summary - Monthly'!AH$3,'TRANS EMP EXTRACT - COST CENTRE'!$2:$2,0)),0)</f>
        <v>0</v>
      </c>
      <c r="AI50" s="10">
        <f>IFERROR(INDEX('TRANS EMP EXTRACT - COST CENTRE'!$A$1:$Z$455,MATCH('Summary - Monthly'!$A50,'TRANS EMP EXTRACT - COST CENTRE'!$A:$A,0),MATCH('Summary - Monthly'!AI$3,'TRANS EMP EXTRACT - COST CENTRE'!$2:$2,0)),0)</f>
        <v>0</v>
      </c>
      <c r="AJ50" s="10">
        <f>IFERROR(INDEX('TRANS EMP EXTRACT - COST CENTRE'!$A$1:$Z$455,MATCH('Summary - Monthly'!$A50,'TRANS EMP EXTRACT - COST CENTRE'!$A:$A,0),MATCH('Summary - Monthly'!AJ$3,'TRANS EMP EXTRACT - COST CENTRE'!$2:$2,0)),0)</f>
        <v>0</v>
      </c>
      <c r="AK50" s="10">
        <f>IFERROR(INDEX('TRANS EMP EXTRACT - COST CENTRE'!$A$1:$Z$455,MATCH('Summary - Monthly'!$A50,'TRANS EMP EXTRACT - COST CENTRE'!$A:$A,0),MATCH('Summary - Monthly'!AK$3,'TRANS EMP EXTRACT - COST CENTRE'!$2:$2,0)),0)</f>
        <v>0</v>
      </c>
      <c r="AL50" s="10">
        <f>IFERROR(INDEX('TRANS EMP EXTRACT - COST CENTRE'!$A$1:$Z$455,MATCH('Summary - Monthly'!$A50,'TRANS EMP EXTRACT - COST CENTRE'!$A:$A,0),MATCH('Summary - Monthly'!AL$3,'TRANS EMP EXTRACT - COST CENTRE'!$2:$2,0)),0)</f>
        <v>0</v>
      </c>
      <c r="AM50" s="10">
        <f t="shared" si="9"/>
        <v>91.2</v>
      </c>
      <c r="AN50" s="14">
        <f t="shared" si="2"/>
        <v>0</v>
      </c>
      <c r="AO50" s="18">
        <f t="shared" si="5"/>
        <v>0.6</v>
      </c>
      <c r="AP50" s="18">
        <f t="shared" si="6"/>
        <v>0.6</v>
      </c>
      <c r="AQ50" s="10" t="str">
        <f>IFERROR(VLOOKUP(B50,Departments!A:C,3,FALSE),"")</f>
        <v>Customer Care</v>
      </c>
      <c r="AR50" s="10" t="str">
        <f>IFERROR(VLOOKUP(B50,Departments!A:B,2,FALSE),"")</f>
        <v>Sydney Customer Care</v>
      </c>
      <c r="AS50" s="10">
        <f t="shared" si="10"/>
        <v>0</v>
      </c>
      <c r="AT50" s="10">
        <f t="shared" si="11"/>
        <v>0</v>
      </c>
      <c r="AU50" s="10" t="str">
        <f>_xlfn.IFNA(VLOOKUP(B50,Departments!A:D,4,FALSE),"")</f>
        <v>Sydney Customer Care</v>
      </c>
    </row>
    <row r="51" spans="1:47" ht="14.45" customHeight="1">
      <c r="A51" s="11" t="str">
        <f t="shared" si="3"/>
        <v>1202080019013</v>
      </c>
      <c r="B51" s="11">
        <f>'TRANS EMP EXTRACT - COST CENTRE'!B50</f>
        <v>12020800</v>
      </c>
      <c r="C51" s="10" t="str">
        <f>IFERROR(VLOOKUP(E51,'TRANS EMP EXTRACT - EMP CATEGOR'!A:B,2,FALSE),"")</f>
        <v>FT</v>
      </c>
      <c r="D51" s="10" t="str">
        <f>IFERROR(VLOOKUP(E51,'TRANS EMP EXTRACT - EMP CATEGOR'!A:C,3,FALSE),"")</f>
        <v>Fulltime</v>
      </c>
      <c r="E51" s="11">
        <f>'TRANS EMP EXTRACT - COST CENTRE'!D50</f>
        <v>19013</v>
      </c>
      <c r="F51" s="10" t="str">
        <f>IFERROR(VLOOKUP(E51,'TRANS EMP EXTRACT - COST CENTRE'!D:E,2,FALSE),"")</f>
        <v>HO  JOHN MR</v>
      </c>
      <c r="G51" s="12">
        <f>IFERROR(INDEX('TRANS EMP EXTRACT - COST CENTRE'!$A$1:$Z$455,MATCH('Summary - Monthly'!$A51,'TRANS EMP EXTRACT - COST CENTRE'!$A:$A,0),MATCH('Summary - Monthly'!G$3,'TRANS EMP EXTRACT - COST CENTRE'!$2:$2,0)),"")</f>
        <v>44732</v>
      </c>
      <c r="H51" s="10" t="str">
        <f>IFERROR(INDEX('TRANS EMP EXTRACT - COST CENTRE'!$B$1:$Z$455,MATCH('Summary - Monthly'!$E51,'TRANS EMP EXTRACT - COST CENTRE'!$D:$D,0),MATCH('Summary - Monthly'!H$3,'TRANS EMP EXTRACT - COST CENTRE'!$2:$2,0)),"")</f>
        <v>RT</v>
      </c>
      <c r="I51" s="12" t="str">
        <f>IFERROR(INDEX('TRANS EMP EXTRACT - EMP CATEGOR'!$B$1:$AF$421,MATCH('Summary - Monthly'!$E51,'TRANS EMP EXTRACT - EMP CATEGOR'!$D:$D,0),MATCH('Summary - Monthly'!H$3,'TRANS EMP EXTRACT - EMP CATEGOR'!$2:$2,0)),"")</f>
        <v>RT</v>
      </c>
      <c r="J51" s="41">
        <f t="shared" ca="1" si="0"/>
        <v>45.912300000000002</v>
      </c>
      <c r="K51" s="41">
        <f t="shared" ca="1" si="1"/>
        <v>99.424700000000001</v>
      </c>
      <c r="L51" s="10">
        <f>IFERROR(INDEX('TRANS EMP EXTRACT - COST CENTRE'!$A$1:$Z$455,MATCH('Summary - Monthly'!$A51,'TRANS EMP EXTRACT - COST CENTRE'!$A:$A,0),MATCH('Summary - Monthly'!L$3,'TRANS EMP EXTRACT - COST CENTRE'!$2:$2,0)),"")</f>
        <v>152</v>
      </c>
      <c r="M51" s="10">
        <f>IFERROR(INDEX('TRANS EMP EXTRACT - COST CENTRE'!$A$1:$Z$455,MATCH('Summary - Monthly'!$A51,'TRANS EMP EXTRACT - COST CENTRE'!$A:$A,0),MATCH('Summary - Monthly'!M$3,'TRANS EMP EXTRACT - COST CENTRE'!$2:$2,0)),0)</f>
        <v>0</v>
      </c>
      <c r="N51" s="10">
        <f>IFERROR(INDEX('TRANS EMP EXTRACT - COST CENTRE'!$A$1:$Z$455,MATCH('Summary - Monthly'!$A51,'TRANS EMP EXTRACT - COST CENTRE'!$A:$A,0),MATCH('Summary - Monthly'!N$3,'TRANS EMP EXTRACT - COST CENTRE'!$2:$2,0)),0)</f>
        <v>0</v>
      </c>
      <c r="O51" s="10">
        <f>IFERROR(INDEX('TRANS EMP EXTRACT - COST CENTRE'!$A$1:$Z$455,MATCH('Summary - Monthly'!$A51,'TRANS EMP EXTRACT - COST CENTRE'!$A:$A,0),MATCH('Summary - Monthly'!O$3,'TRANS EMP EXTRACT - COST CENTRE'!$2:$2,0)),0)</f>
        <v>0</v>
      </c>
      <c r="P51" s="10">
        <f>IFERROR(INDEX('TRANS EMP EXTRACT - COST CENTRE'!$A$1:$Z$455,MATCH('Summary - Monthly'!$A51,'TRANS EMP EXTRACT - COST CENTRE'!$A:$A,0),MATCH('Summary - Monthly'!P$3,'TRANS EMP EXTRACT - COST CENTRE'!$2:$2,0)),0)</f>
        <v>0</v>
      </c>
      <c r="Q51" s="10">
        <f>IFERROR(INDEX('TRANS EMP EXTRACT - COST CENTRE'!$A$1:$Z$455,MATCH('Summary - Monthly'!$A51,'TRANS EMP EXTRACT - COST CENTRE'!$A:$A,0),MATCH('Summary - Monthly'!Q$3,'TRANS EMP EXTRACT - COST CENTRE'!$2:$2,0)),0)</f>
        <v>14</v>
      </c>
      <c r="R51" s="10">
        <f>IFERROR(INDEX('TRANS EMP EXTRACT - COST CENTRE'!$A$1:$Z$455,MATCH('Summary - Monthly'!$A51,'TRANS EMP EXTRACT - COST CENTRE'!$A:$A,0),MATCH('Summary - Monthly'!R$3,'TRANS EMP EXTRACT - COST CENTRE'!$2:$2,0)),0)</f>
        <v>0</v>
      </c>
      <c r="S51" s="10">
        <f>IFERROR(INDEX('TRANS EMP EXTRACT - COST CENTRE'!$A$1:$Z$455,MATCH('Summary - Monthly'!$A51,'TRANS EMP EXTRACT - COST CENTRE'!$A:$A,0),MATCH('Summary - Monthly'!S$3,'TRANS EMP EXTRACT - COST CENTRE'!$2:$2,0)),0)</f>
        <v>0</v>
      </c>
      <c r="T51" s="8">
        <f>IFERROR(INDEX('TRANS EMP EXTRACT - COST CENTRE'!$A$1:$Z$455,MATCH('Summary - Monthly'!$A51,'TRANS EMP EXTRACT - COST CENTRE'!$A:$A,0),MATCH('Summary - Monthly'!T$3,'TRANS EMP EXTRACT - COST CENTRE'!$2:$2,0)),0)</f>
        <v>0</v>
      </c>
      <c r="U51" s="13">
        <f>IFERROR(INDEX('TRANS EMP EXTRACT - COST CENTRE'!$A$1:$Z$455,MATCH('Summary - Monthly'!$A51,'TRANS EMP EXTRACT - COST CENTRE'!$A:$A,0),MATCH('Summary - Monthly'!U$3,'TRANS EMP EXTRACT - COST CENTRE'!$2:$2,0)),0)</f>
        <v>0</v>
      </c>
      <c r="V51" s="13">
        <f>IFERROR(INDEX('TRANS EMP EXTRACT - COST CENTRE'!$A$1:$Z$455,MATCH('Summary - Monthly'!$A51,'TRANS EMP EXTRACT - COST CENTRE'!$A:$A,0),MATCH('Summary - Monthly'!V$3,'TRANS EMP EXTRACT - COST CENTRE'!$2:$2,0)),0)</f>
        <v>0</v>
      </c>
      <c r="W51" s="13">
        <f>IFERROR(INDEX('TRANS EMP EXTRACT - COST CENTRE'!$A$1:$Z$455,MATCH('Summary - Monthly'!$A51,'TRANS EMP EXTRACT - COST CENTRE'!$A:$A,0),MATCH('Summary - Monthly'!W$3,'TRANS EMP EXTRACT - COST CENTRE'!$2:$2,0)),0)</f>
        <v>0</v>
      </c>
      <c r="X51" s="13">
        <f>IFERROR(INDEX('TRANS EMP EXTRACT - COST CENTRE'!$A$1:$Z$455,MATCH('Summary - Monthly'!$A51,'TRANS EMP EXTRACT - COST CENTRE'!$A:$A,0),MATCH('Summary - Monthly'!X$3,'TRANS EMP EXTRACT - COST CENTRE'!$2:$2,0)),0)</f>
        <v>0</v>
      </c>
      <c r="Y51" s="13">
        <f>IFERROR(INDEX('TRANS EMP EXTRACT - COST CENTRE'!$A$1:$Z$455,MATCH('Summary - Monthly'!$A51,'TRANS EMP EXTRACT - COST CENTRE'!$A:$A,0),MATCH('Summary - Monthly'!Y$3,'TRANS EMP EXTRACT - COST CENTRE'!$2:$2,0)),0)</f>
        <v>0</v>
      </c>
      <c r="Z51" s="10">
        <f>IFERROR(INDEX('TRANS EMP EXTRACT - COST CENTRE'!$A$1:$Z$455,MATCH('Summary - Monthly'!$A51,'TRANS EMP EXTRACT - COST CENTRE'!$A:$A,0),MATCH('Summary - Monthly'!Z$3,'TRANS EMP EXTRACT - COST CENTRE'!$2:$2,0)),0)</f>
        <v>0</v>
      </c>
      <c r="AA51" s="10">
        <f>IFERROR(INDEX('TRANS EMP EXTRACT - COST CENTRE'!$A$1:$Z$455,MATCH('Summary - Monthly'!$A51,'TRANS EMP EXTRACT - COST CENTRE'!$A:$A,0),MATCH('Summary - Monthly'!AA$3,'TRANS EMP EXTRACT - COST CENTRE'!$2:$2,0)),0)</f>
        <v>0</v>
      </c>
      <c r="AB51" s="10">
        <f>IFERROR(INDEX('TRANS EMP EXTRACT - COST CENTRE'!$A$1:$Z$455,MATCH('Summary - Monthly'!$A51,'TRANS EMP EXTRACT - COST CENTRE'!$A:$A,0),MATCH('Summary - Monthly'!AB$3,'TRANS EMP EXTRACT - COST CENTRE'!$2:$2,0)),0)</f>
        <v>0</v>
      </c>
      <c r="AC51" s="8">
        <f>IFERROR(INDEX('TRANS EMP EXTRACT - COST CENTRE'!$A$1:$Z$455,MATCH('Summary - Monthly'!$A51,'TRANS EMP EXTRACT - COST CENTRE'!$A:$A,0),MATCH('Summary - Monthly'!AC$3,'TRANS EMP EXTRACT - COST CENTRE'!$2:$2,0)),0)</f>
        <v>0</v>
      </c>
      <c r="AD51" s="13">
        <f>IFERROR(INDEX('TRANS EMP EXTRACT - COST CENTRE'!$A$1:$Z$455,MATCH('Summary - Monthly'!$A51,'TRANS EMP EXTRACT - COST CENTRE'!$A:$A,0),MATCH('Summary - Monthly'!AD$3,'TRANS EMP EXTRACT - COST CENTRE'!$2:$2,0)),0)</f>
        <v>0</v>
      </c>
      <c r="AE51" s="13">
        <f>IFERROR(INDEX('TRANS EMP EXTRACT - COST CENTRE'!$A$1:$Z$455,MATCH('Summary - Monthly'!$A51,'TRANS EMP EXTRACT - COST CENTRE'!$A:$A,0),MATCH('Summary - Monthly'!AE$3,'TRANS EMP EXTRACT - COST CENTRE'!$2:$2,0)),0)</f>
        <v>0</v>
      </c>
      <c r="AF51" s="13">
        <f>IFERROR(INDEX('TRANS EMP EXTRACT - COST CENTRE'!$A$1:$Z$455,MATCH('Summary - Monthly'!$A51,'TRANS EMP EXTRACT - COST CENTRE'!$A:$A,0),MATCH('Summary - Monthly'!AF$3,'TRANS EMP EXTRACT - COST CENTRE'!$2:$2,0)),0)</f>
        <v>0</v>
      </c>
      <c r="AG51" s="10">
        <f>IFERROR(INDEX('TRANS EMP EXTRACT - COST CENTRE'!$A$1:$Z$455,MATCH('Summary - Monthly'!$A51,'TRANS EMP EXTRACT - COST CENTRE'!$A:$A,0),MATCH('Summary - Monthly'!AG$3,'TRANS EMP EXTRACT - COST CENTRE'!$2:$2,0)),0)</f>
        <v>0</v>
      </c>
      <c r="AH51" s="10">
        <f>IFERROR(INDEX('TRANS EMP EXTRACT - COST CENTRE'!$A$1:$Z$455,MATCH('Summary - Monthly'!$A51,'TRANS EMP EXTRACT - COST CENTRE'!$A:$A,0),MATCH('Summary - Monthly'!AH$3,'TRANS EMP EXTRACT - COST CENTRE'!$2:$2,0)),0)</f>
        <v>0</v>
      </c>
      <c r="AI51" s="10">
        <f>IFERROR(INDEX('TRANS EMP EXTRACT - COST CENTRE'!$A$1:$Z$455,MATCH('Summary - Monthly'!$A51,'TRANS EMP EXTRACT - COST CENTRE'!$A:$A,0),MATCH('Summary - Monthly'!AI$3,'TRANS EMP EXTRACT - COST CENTRE'!$2:$2,0)),0)</f>
        <v>0</v>
      </c>
      <c r="AJ51" s="10">
        <f>IFERROR(INDEX('TRANS EMP EXTRACT - COST CENTRE'!$A$1:$Z$455,MATCH('Summary - Monthly'!$A51,'TRANS EMP EXTRACT - COST CENTRE'!$A:$A,0),MATCH('Summary - Monthly'!AJ$3,'TRANS EMP EXTRACT - COST CENTRE'!$2:$2,0)),0)</f>
        <v>0</v>
      </c>
      <c r="AK51" s="10">
        <f>IFERROR(INDEX('TRANS EMP EXTRACT - COST CENTRE'!$A$1:$Z$455,MATCH('Summary - Monthly'!$A51,'TRANS EMP EXTRACT - COST CENTRE'!$A:$A,0),MATCH('Summary - Monthly'!AK$3,'TRANS EMP EXTRACT - COST CENTRE'!$2:$2,0)),0)</f>
        <v>0</v>
      </c>
      <c r="AL51" s="10">
        <f>IFERROR(INDEX('TRANS EMP EXTRACT - COST CENTRE'!$A$1:$Z$455,MATCH('Summary - Monthly'!$A51,'TRANS EMP EXTRACT - COST CENTRE'!$A:$A,0),MATCH('Summary - Monthly'!AL$3,'TRANS EMP EXTRACT - COST CENTRE'!$2:$2,0)),0)</f>
        <v>0</v>
      </c>
      <c r="AM51" s="10">
        <f t="shared" si="9"/>
        <v>166</v>
      </c>
      <c r="AN51" s="14">
        <f t="shared" si="2"/>
        <v>9.2105263157894732E-2</v>
      </c>
      <c r="AO51" s="18">
        <f t="shared" si="5"/>
        <v>1.0921052631578947</v>
      </c>
      <c r="AP51" s="18">
        <f t="shared" si="6"/>
        <v>1.0921052631578947</v>
      </c>
      <c r="AQ51" s="10" t="str">
        <f>IFERROR(VLOOKUP(B51,Departments!A:C,3,FALSE),"")</f>
        <v>Microbiology</v>
      </c>
      <c r="AR51" s="10" t="str">
        <f>IFERROR(VLOOKUP(B51,Departments!A:B,2,FALSE),"")</f>
        <v>Sydney Sample Registration</v>
      </c>
      <c r="AS51" s="10">
        <f t="shared" si="10"/>
        <v>0</v>
      </c>
      <c r="AT51" s="10">
        <f t="shared" si="11"/>
        <v>0</v>
      </c>
      <c r="AU51" s="10" t="str">
        <f>_xlfn.IFNA(VLOOKUP(B51,Departments!A:D,4,FALSE),"")</f>
        <v>Sydney Micro</v>
      </c>
    </row>
    <row r="52" spans="1:47" ht="14.45" customHeight="1">
      <c r="A52" s="11" t="str">
        <f t="shared" si="3"/>
        <v>1203050018841</v>
      </c>
      <c r="B52" s="11">
        <f>'TRANS EMP EXTRACT - COST CENTRE'!B51</f>
        <v>12030500</v>
      </c>
      <c r="C52" s="10" t="str">
        <f>IFERROR(VLOOKUP(E52,'TRANS EMP EXTRACT - EMP CATEGOR'!A:B,2,FALSE),"")</f>
        <v>FT</v>
      </c>
      <c r="D52" s="10" t="str">
        <f>IFERROR(VLOOKUP(E52,'TRANS EMP EXTRACT - EMP CATEGOR'!A:C,3,FALSE),"")</f>
        <v>Fulltime</v>
      </c>
      <c r="E52" s="11">
        <f>'TRANS EMP EXTRACT - COST CENTRE'!D51</f>
        <v>18841</v>
      </c>
      <c r="F52" s="10" t="str">
        <f>IFERROR(VLOOKUP(E52,'TRANS EMP EXTRACT - COST CENTRE'!D:E,2,FALSE),"")</f>
        <v>HOLLEY  KRISTY MRS</v>
      </c>
      <c r="G52" s="12">
        <f>IFERROR(INDEX('TRANS EMP EXTRACT - COST CENTRE'!$A$1:$Z$455,MATCH('Summary - Monthly'!$A52,'TRANS EMP EXTRACT - COST CENTRE'!$A:$A,0),MATCH('Summary - Monthly'!G$3,'TRANS EMP EXTRACT - COST CENTRE'!$2:$2,0)),"")</f>
        <v>43383</v>
      </c>
      <c r="H52" s="10" t="str">
        <f>IFERROR(INDEX('TRANS EMP EXTRACT - COST CENTRE'!$B$1:$Z$455,MATCH('Summary - Monthly'!$E52,'TRANS EMP EXTRACT - COST CENTRE'!$D:$D,0),MATCH('Summary - Monthly'!H$3,'TRANS EMP EXTRACT - COST CENTRE'!$2:$2,0)),"")</f>
        <v>RT</v>
      </c>
      <c r="I52" s="12" t="str">
        <f>IFERROR(INDEX('TRANS EMP EXTRACT - EMP CATEGOR'!$B$1:$AF$421,MATCH('Summary - Monthly'!$E52,'TRANS EMP EXTRACT - EMP CATEGOR'!$D:$D,0),MATCH('Summary - Monthly'!H$3,'TRANS EMP EXTRACT - EMP CATEGOR'!$2:$2,0)),"")</f>
        <v>RT</v>
      </c>
      <c r="J52" s="41">
        <f t="shared" ca="1" si="0"/>
        <v>101.2617</v>
      </c>
      <c r="K52" s="41">
        <f t="shared" ca="1" si="1"/>
        <v>106.5335</v>
      </c>
      <c r="L52" s="10">
        <f>IFERROR(INDEX('TRANS EMP EXTRACT - COST CENTRE'!$A$1:$Z$455,MATCH('Summary - Monthly'!$A52,'TRANS EMP EXTRACT - COST CENTRE'!$A:$A,0),MATCH('Summary - Monthly'!L$3,'TRANS EMP EXTRACT - COST CENTRE'!$2:$2,0)),"")</f>
        <v>138.6</v>
      </c>
      <c r="M52" s="10">
        <f>IFERROR(INDEX('TRANS EMP EXTRACT - COST CENTRE'!$A$1:$Z$455,MATCH('Summary - Monthly'!$A52,'TRANS EMP EXTRACT - COST CENTRE'!$A:$A,0),MATCH('Summary - Monthly'!M$3,'TRANS EMP EXTRACT - COST CENTRE'!$2:$2,0)),0)</f>
        <v>0</v>
      </c>
      <c r="N52" s="10">
        <f>IFERROR(INDEX('TRANS EMP EXTRACT - COST CENTRE'!$A$1:$Z$455,MATCH('Summary - Monthly'!$A52,'TRANS EMP EXTRACT - COST CENTRE'!$A:$A,0),MATCH('Summary - Monthly'!N$3,'TRANS EMP EXTRACT - COST CENTRE'!$2:$2,0)),0)</f>
        <v>0</v>
      </c>
      <c r="O52" s="10">
        <f>IFERROR(INDEX('TRANS EMP EXTRACT - COST CENTRE'!$A$1:$Z$455,MATCH('Summary - Monthly'!$A52,'TRANS EMP EXTRACT - COST CENTRE'!$A:$A,0),MATCH('Summary - Monthly'!O$3,'TRANS EMP EXTRACT - COST CENTRE'!$2:$2,0)),0)</f>
        <v>0</v>
      </c>
      <c r="P52" s="10">
        <f>IFERROR(INDEX('TRANS EMP EXTRACT - COST CENTRE'!$A$1:$Z$455,MATCH('Summary - Monthly'!$A52,'TRANS EMP EXTRACT - COST CENTRE'!$A:$A,0),MATCH('Summary - Monthly'!P$3,'TRANS EMP EXTRACT - COST CENTRE'!$2:$2,0)),0)</f>
        <v>0</v>
      </c>
      <c r="Q52" s="10">
        <f>IFERROR(INDEX('TRANS EMP EXTRACT - COST CENTRE'!$A$1:$Z$455,MATCH('Summary - Monthly'!$A52,'TRANS EMP EXTRACT - COST CENTRE'!$A:$A,0),MATCH('Summary - Monthly'!Q$3,'TRANS EMP EXTRACT - COST CENTRE'!$2:$2,0)),0)</f>
        <v>0</v>
      </c>
      <c r="R52" s="10">
        <f>IFERROR(INDEX('TRANS EMP EXTRACT - COST CENTRE'!$A$1:$Z$455,MATCH('Summary - Monthly'!$A52,'TRANS EMP EXTRACT - COST CENTRE'!$A:$A,0),MATCH('Summary - Monthly'!R$3,'TRANS EMP EXTRACT - COST CENTRE'!$2:$2,0)),0)</f>
        <v>0</v>
      </c>
      <c r="S52" s="10">
        <f>IFERROR(INDEX('TRANS EMP EXTRACT - COST CENTRE'!$A$1:$Z$455,MATCH('Summary - Monthly'!$A52,'TRANS EMP EXTRACT - COST CENTRE'!$A:$A,0),MATCH('Summary - Monthly'!S$3,'TRANS EMP EXTRACT - COST CENTRE'!$2:$2,0)),0)</f>
        <v>0</v>
      </c>
      <c r="T52" s="8">
        <f>IFERROR(INDEX('TRANS EMP EXTRACT - COST CENTRE'!$A$1:$Z$455,MATCH('Summary - Monthly'!$A52,'TRANS EMP EXTRACT - COST CENTRE'!$A:$A,0),MATCH('Summary - Monthly'!T$3,'TRANS EMP EXTRACT - COST CENTRE'!$2:$2,0)),0)</f>
        <v>0</v>
      </c>
      <c r="U52" s="13">
        <f>IFERROR(INDEX('TRANS EMP EXTRACT - COST CENTRE'!$A$1:$Z$455,MATCH('Summary - Monthly'!$A52,'TRANS EMP EXTRACT - COST CENTRE'!$A:$A,0),MATCH('Summary - Monthly'!U$3,'TRANS EMP EXTRACT - COST CENTRE'!$2:$2,0)),0)</f>
        <v>11.05</v>
      </c>
      <c r="V52" s="13">
        <f>IFERROR(INDEX('TRANS EMP EXTRACT - COST CENTRE'!$A$1:$Z$455,MATCH('Summary - Monthly'!$A52,'TRANS EMP EXTRACT - COST CENTRE'!$A:$A,0),MATCH('Summary - Monthly'!V$3,'TRANS EMP EXTRACT - COST CENTRE'!$2:$2,0)),0)</f>
        <v>0</v>
      </c>
      <c r="W52" s="13">
        <f>IFERROR(INDEX('TRANS EMP EXTRACT - COST CENTRE'!$A$1:$Z$455,MATCH('Summary - Monthly'!$A52,'TRANS EMP EXTRACT - COST CENTRE'!$A:$A,0),MATCH('Summary - Monthly'!W$3,'TRANS EMP EXTRACT - COST CENTRE'!$2:$2,0)),0)</f>
        <v>0</v>
      </c>
      <c r="X52" s="13">
        <f>IFERROR(INDEX('TRANS EMP EXTRACT - COST CENTRE'!$A$1:$Z$455,MATCH('Summary - Monthly'!$A52,'TRANS EMP EXTRACT - COST CENTRE'!$A:$A,0),MATCH('Summary - Monthly'!X$3,'TRANS EMP EXTRACT - COST CENTRE'!$2:$2,0)),0)</f>
        <v>0</v>
      </c>
      <c r="Y52" s="13">
        <f>IFERROR(INDEX('TRANS EMP EXTRACT - COST CENTRE'!$A$1:$Z$455,MATCH('Summary - Monthly'!$A52,'TRANS EMP EXTRACT - COST CENTRE'!$A:$A,0),MATCH('Summary - Monthly'!Y$3,'TRANS EMP EXTRACT - COST CENTRE'!$2:$2,0)),0)</f>
        <v>2.35</v>
      </c>
      <c r="Z52" s="10">
        <f>IFERROR(INDEX('TRANS EMP EXTRACT - COST CENTRE'!$A$1:$Z$455,MATCH('Summary - Monthly'!$A52,'TRANS EMP EXTRACT - COST CENTRE'!$A:$A,0),MATCH('Summary - Monthly'!Z$3,'TRANS EMP EXTRACT - COST CENTRE'!$2:$2,0)),0)</f>
        <v>0</v>
      </c>
      <c r="AA52" s="10">
        <f>IFERROR(INDEX('TRANS EMP EXTRACT - COST CENTRE'!$A$1:$Z$455,MATCH('Summary - Monthly'!$A52,'TRANS EMP EXTRACT - COST CENTRE'!$A:$A,0),MATCH('Summary - Monthly'!AA$3,'TRANS EMP EXTRACT - COST CENTRE'!$2:$2,0)),0)</f>
        <v>0</v>
      </c>
      <c r="AB52" s="10">
        <f>IFERROR(INDEX('TRANS EMP EXTRACT - COST CENTRE'!$A$1:$Z$455,MATCH('Summary - Monthly'!$A52,'TRANS EMP EXTRACT - COST CENTRE'!$A:$A,0),MATCH('Summary - Monthly'!AB$3,'TRANS EMP EXTRACT - COST CENTRE'!$2:$2,0)),0)</f>
        <v>0</v>
      </c>
      <c r="AC52" s="8">
        <f>IFERROR(INDEX('TRANS EMP EXTRACT - COST CENTRE'!$A$1:$Z$455,MATCH('Summary - Monthly'!$A52,'TRANS EMP EXTRACT - COST CENTRE'!$A:$A,0),MATCH('Summary - Monthly'!AC$3,'TRANS EMP EXTRACT - COST CENTRE'!$2:$2,0)),0)</f>
        <v>0</v>
      </c>
      <c r="AD52" s="13">
        <f>IFERROR(INDEX('TRANS EMP EXTRACT - COST CENTRE'!$A$1:$Z$455,MATCH('Summary - Monthly'!$A52,'TRANS EMP EXTRACT - COST CENTRE'!$A:$A,0),MATCH('Summary - Monthly'!AD$3,'TRANS EMP EXTRACT - COST CENTRE'!$2:$2,0)),0)</f>
        <v>0</v>
      </c>
      <c r="AE52" s="13">
        <f>IFERROR(INDEX('TRANS EMP EXTRACT - COST CENTRE'!$A$1:$Z$455,MATCH('Summary - Monthly'!$A52,'TRANS EMP EXTRACT - COST CENTRE'!$A:$A,0),MATCH('Summary - Monthly'!AE$3,'TRANS EMP EXTRACT - COST CENTRE'!$2:$2,0)),0)</f>
        <v>0</v>
      </c>
      <c r="AF52" s="13">
        <f>IFERROR(INDEX('TRANS EMP EXTRACT - COST CENTRE'!$A$1:$Z$455,MATCH('Summary - Monthly'!$A52,'TRANS EMP EXTRACT - COST CENTRE'!$A:$A,0),MATCH('Summary - Monthly'!AF$3,'TRANS EMP EXTRACT - COST CENTRE'!$2:$2,0)),0)</f>
        <v>0</v>
      </c>
      <c r="AG52" s="10">
        <f>IFERROR(INDEX('TRANS EMP EXTRACT - COST CENTRE'!$A$1:$Z$455,MATCH('Summary - Monthly'!$A52,'TRANS EMP EXTRACT - COST CENTRE'!$A:$A,0),MATCH('Summary - Monthly'!AG$3,'TRANS EMP EXTRACT - COST CENTRE'!$2:$2,0)),0)</f>
        <v>0</v>
      </c>
      <c r="AH52" s="10">
        <f>IFERROR(INDEX('TRANS EMP EXTRACT - COST CENTRE'!$A$1:$Z$455,MATCH('Summary - Monthly'!$A52,'TRANS EMP EXTRACT - COST CENTRE'!$A:$A,0),MATCH('Summary - Monthly'!AH$3,'TRANS EMP EXTRACT - COST CENTRE'!$2:$2,0)),0)</f>
        <v>0</v>
      </c>
      <c r="AI52" s="10">
        <f>IFERROR(INDEX('TRANS EMP EXTRACT - COST CENTRE'!$A$1:$Z$455,MATCH('Summary - Monthly'!$A52,'TRANS EMP EXTRACT - COST CENTRE'!$A:$A,0),MATCH('Summary - Monthly'!AI$3,'TRANS EMP EXTRACT - COST CENTRE'!$2:$2,0)),0)</f>
        <v>0</v>
      </c>
      <c r="AJ52" s="10">
        <f>IFERROR(INDEX('TRANS EMP EXTRACT - COST CENTRE'!$A$1:$Z$455,MATCH('Summary - Monthly'!$A52,'TRANS EMP EXTRACT - COST CENTRE'!$A:$A,0),MATCH('Summary - Monthly'!AJ$3,'TRANS EMP EXTRACT - COST CENTRE'!$2:$2,0)),0)</f>
        <v>0</v>
      </c>
      <c r="AK52" s="10">
        <f>IFERROR(INDEX('TRANS EMP EXTRACT - COST CENTRE'!$A$1:$Z$455,MATCH('Summary - Monthly'!$A52,'TRANS EMP EXTRACT - COST CENTRE'!$A:$A,0),MATCH('Summary - Monthly'!AK$3,'TRANS EMP EXTRACT - COST CENTRE'!$2:$2,0)),0)</f>
        <v>0</v>
      </c>
      <c r="AL52" s="10">
        <f>IFERROR(INDEX('TRANS EMP EXTRACT - COST CENTRE'!$A$1:$Z$455,MATCH('Summary - Monthly'!$A52,'TRANS EMP EXTRACT - COST CENTRE'!$A:$A,0),MATCH('Summary - Monthly'!AL$3,'TRANS EMP EXTRACT - COST CENTRE'!$2:$2,0)),0)</f>
        <v>0</v>
      </c>
      <c r="AM52" s="10">
        <f t="shared" si="9"/>
        <v>152</v>
      </c>
      <c r="AN52" s="14">
        <f t="shared" si="2"/>
        <v>0</v>
      </c>
      <c r="AO52" s="18">
        <f t="shared" si="5"/>
        <v>1</v>
      </c>
      <c r="AP52" s="18">
        <f t="shared" si="6"/>
        <v>0.9118421052631579</v>
      </c>
      <c r="AQ52" s="10" t="str">
        <f>IFERROR(VLOOKUP(B52,Departments!A:C,3,FALSE),"")</f>
        <v>Lab Admin</v>
      </c>
      <c r="AR52" s="10" t="str">
        <f>IFERROR(VLOOKUP(B52,Departments!A:B,2,FALSE),"")</f>
        <v>Melb Lab Admin</v>
      </c>
      <c r="AS52" s="10">
        <f t="shared" si="10"/>
        <v>2.35</v>
      </c>
      <c r="AT52" s="10">
        <f t="shared" si="11"/>
        <v>13.4</v>
      </c>
      <c r="AU52" s="10" t="str">
        <f>_xlfn.IFNA(VLOOKUP(B52,Departments!A:D,4,FALSE),"")</f>
        <v>Melbourne Lab Admin</v>
      </c>
    </row>
    <row r="53" spans="1:47" ht="14.45" customHeight="1">
      <c r="A53" s="11" t="str">
        <f t="shared" si="3"/>
        <v>1201325018721</v>
      </c>
      <c r="B53" s="11">
        <f>'TRANS EMP EXTRACT - COST CENTRE'!B52</f>
        <v>12013250</v>
      </c>
      <c r="C53" s="10" t="str">
        <f>IFERROR(VLOOKUP(E53,'TRANS EMP EXTRACT - EMP CATEGOR'!A:B,2,FALSE),"")</f>
        <v>FT</v>
      </c>
      <c r="D53" s="10" t="str">
        <f>IFERROR(VLOOKUP(E53,'TRANS EMP EXTRACT - EMP CATEGOR'!A:C,3,FALSE),"")</f>
        <v>Fulltime</v>
      </c>
      <c r="E53" s="11">
        <f>'TRANS EMP EXTRACT - COST CENTRE'!D52</f>
        <v>18721</v>
      </c>
      <c r="F53" s="10" t="str">
        <f>IFERROR(VLOOKUP(E53,'TRANS EMP EXTRACT - COST CENTRE'!D:E,2,FALSE),"")</f>
        <v>HOLLY  DONNA MRS</v>
      </c>
      <c r="G53" s="12">
        <f>IFERROR(INDEX('TRANS EMP EXTRACT - COST CENTRE'!$A$1:$Z$455,MATCH('Summary - Monthly'!$A53,'TRANS EMP EXTRACT - COST CENTRE'!$A:$A,0),MATCH('Summary - Monthly'!G$3,'TRANS EMP EXTRACT - COST CENTRE'!$2:$2,0)),"")</f>
        <v>42415</v>
      </c>
      <c r="H53" s="10" t="str">
        <f>IFERROR(INDEX('TRANS EMP EXTRACT - COST CENTRE'!$B$1:$Z$455,MATCH('Summary - Monthly'!$E53,'TRANS EMP EXTRACT - COST CENTRE'!$D:$D,0),MATCH('Summary - Monthly'!H$3,'TRANS EMP EXTRACT - COST CENTRE'!$2:$2,0)),"")</f>
        <v>FN</v>
      </c>
      <c r="I53" s="12" t="str">
        <f>IFERROR(INDEX('TRANS EMP EXTRACT - EMP CATEGOR'!$B$1:$AF$421,MATCH('Summary - Monthly'!$E53,'TRANS EMP EXTRACT - EMP CATEGOR'!$D:$D,0),MATCH('Summary - Monthly'!H$3,'TRANS EMP EXTRACT - EMP CATEGOR'!$2:$2,0)),"")</f>
        <v>FN</v>
      </c>
      <c r="J53" s="41">
        <f t="shared" ca="1" si="0"/>
        <v>296.99169999999998</v>
      </c>
      <c r="K53" s="41">
        <f t="shared" ca="1" si="1"/>
        <v>49.923999999999999</v>
      </c>
      <c r="L53" s="10">
        <f>IFERROR(INDEX('TRANS EMP EXTRACT - COST CENTRE'!$A$1:$Z$455,MATCH('Summary - Monthly'!$A53,'TRANS EMP EXTRACT - COST CENTRE'!$A:$A,0),MATCH('Summary - Monthly'!L$3,'TRANS EMP EXTRACT - COST CENTRE'!$2:$2,0)),"")</f>
        <v>22.8</v>
      </c>
      <c r="M53" s="10">
        <f>IFERROR(INDEX('TRANS EMP EXTRACT - COST CENTRE'!$A$1:$Z$455,MATCH('Summary - Monthly'!$A53,'TRANS EMP EXTRACT - COST CENTRE'!$A:$A,0),MATCH('Summary - Monthly'!M$3,'TRANS EMP EXTRACT - COST CENTRE'!$2:$2,0)),0)</f>
        <v>0</v>
      </c>
      <c r="N53" s="10">
        <f>IFERROR(INDEX('TRANS EMP EXTRACT - COST CENTRE'!$A$1:$Z$455,MATCH('Summary - Monthly'!$A53,'TRANS EMP EXTRACT - COST CENTRE'!$A:$A,0),MATCH('Summary - Monthly'!N$3,'TRANS EMP EXTRACT - COST CENTRE'!$2:$2,0)),0)</f>
        <v>0</v>
      </c>
      <c r="O53" s="10">
        <f>IFERROR(INDEX('TRANS EMP EXTRACT - COST CENTRE'!$A$1:$Z$455,MATCH('Summary - Monthly'!$A53,'TRANS EMP EXTRACT - COST CENTRE'!$A:$A,0),MATCH('Summary - Monthly'!O$3,'TRANS EMP EXTRACT - COST CENTRE'!$2:$2,0)),0)</f>
        <v>0</v>
      </c>
      <c r="P53" s="10">
        <f>IFERROR(INDEX('TRANS EMP EXTRACT - COST CENTRE'!$A$1:$Z$455,MATCH('Summary - Monthly'!$A53,'TRANS EMP EXTRACT - COST CENTRE'!$A:$A,0),MATCH('Summary - Monthly'!P$3,'TRANS EMP EXTRACT - COST CENTRE'!$2:$2,0)),0)</f>
        <v>0</v>
      </c>
      <c r="Q53" s="10">
        <f>IFERROR(INDEX('TRANS EMP EXTRACT - COST CENTRE'!$A$1:$Z$455,MATCH('Summary - Monthly'!$A53,'TRANS EMP EXTRACT - COST CENTRE'!$A:$A,0),MATCH('Summary - Monthly'!Q$3,'TRANS EMP EXTRACT - COST CENTRE'!$2:$2,0)),0)</f>
        <v>0</v>
      </c>
      <c r="R53" s="10">
        <f>IFERROR(INDEX('TRANS EMP EXTRACT - COST CENTRE'!$A$1:$Z$455,MATCH('Summary - Monthly'!$A53,'TRANS EMP EXTRACT - COST CENTRE'!$A:$A,0),MATCH('Summary - Monthly'!R$3,'TRANS EMP EXTRACT - COST CENTRE'!$2:$2,0)),0)</f>
        <v>0</v>
      </c>
      <c r="S53" s="10">
        <f>IFERROR(INDEX('TRANS EMP EXTRACT - COST CENTRE'!$A$1:$Z$455,MATCH('Summary - Monthly'!$A53,'TRANS EMP EXTRACT - COST CENTRE'!$A:$A,0),MATCH('Summary - Monthly'!S$3,'TRANS EMP EXTRACT - COST CENTRE'!$2:$2,0)),0)</f>
        <v>0</v>
      </c>
      <c r="T53" s="8">
        <f>IFERROR(INDEX('TRANS EMP EXTRACT - COST CENTRE'!$A$1:$Z$455,MATCH('Summary - Monthly'!$A53,'TRANS EMP EXTRACT - COST CENTRE'!$A:$A,0),MATCH('Summary - Monthly'!T$3,'TRANS EMP EXTRACT - COST CENTRE'!$2:$2,0)),0)</f>
        <v>0</v>
      </c>
      <c r="U53" s="13">
        <f>IFERROR(INDEX('TRANS EMP EXTRACT - COST CENTRE'!$A$1:$Z$455,MATCH('Summary - Monthly'!$A53,'TRANS EMP EXTRACT - COST CENTRE'!$A:$A,0),MATCH('Summary - Monthly'!U$3,'TRANS EMP EXTRACT - COST CENTRE'!$2:$2,0)),0)</f>
        <v>129.19999999999999</v>
      </c>
      <c r="V53" s="13">
        <f>IFERROR(INDEX('TRANS EMP EXTRACT - COST CENTRE'!$A$1:$Z$455,MATCH('Summary - Monthly'!$A53,'TRANS EMP EXTRACT - COST CENTRE'!$A:$A,0),MATCH('Summary - Monthly'!V$3,'TRANS EMP EXTRACT - COST CENTRE'!$2:$2,0)),0)</f>
        <v>0</v>
      </c>
      <c r="W53" s="13">
        <f>IFERROR(INDEX('TRANS EMP EXTRACT - COST CENTRE'!$A$1:$Z$455,MATCH('Summary - Monthly'!$A53,'TRANS EMP EXTRACT - COST CENTRE'!$A:$A,0),MATCH('Summary - Monthly'!W$3,'TRANS EMP EXTRACT - COST CENTRE'!$2:$2,0)),0)</f>
        <v>0</v>
      </c>
      <c r="X53" s="13">
        <f>IFERROR(INDEX('TRANS EMP EXTRACT - COST CENTRE'!$A$1:$Z$455,MATCH('Summary - Monthly'!$A53,'TRANS EMP EXTRACT - COST CENTRE'!$A:$A,0),MATCH('Summary - Monthly'!X$3,'TRANS EMP EXTRACT - COST CENTRE'!$2:$2,0)),0)</f>
        <v>0</v>
      </c>
      <c r="Y53" s="13">
        <f>IFERROR(INDEX('TRANS EMP EXTRACT - COST CENTRE'!$A$1:$Z$455,MATCH('Summary - Monthly'!$A53,'TRANS EMP EXTRACT - COST CENTRE'!$A:$A,0),MATCH('Summary - Monthly'!Y$3,'TRANS EMP EXTRACT - COST CENTRE'!$2:$2,0)),0)</f>
        <v>0</v>
      </c>
      <c r="Z53" s="10">
        <f>IFERROR(INDEX('TRANS EMP EXTRACT - COST CENTRE'!$A$1:$Z$455,MATCH('Summary - Monthly'!$A53,'TRANS EMP EXTRACT - COST CENTRE'!$A:$A,0),MATCH('Summary - Monthly'!Z$3,'TRANS EMP EXTRACT - COST CENTRE'!$2:$2,0)),0)</f>
        <v>0</v>
      </c>
      <c r="AA53" s="10">
        <f>IFERROR(INDEX('TRANS EMP EXTRACT - COST CENTRE'!$A$1:$Z$455,MATCH('Summary - Monthly'!$A53,'TRANS EMP EXTRACT - COST CENTRE'!$A:$A,0),MATCH('Summary - Monthly'!AA$3,'TRANS EMP EXTRACT - COST CENTRE'!$2:$2,0)),0)</f>
        <v>0</v>
      </c>
      <c r="AB53" s="10">
        <f>IFERROR(INDEX('TRANS EMP EXTRACT - COST CENTRE'!$A$1:$Z$455,MATCH('Summary - Monthly'!$A53,'TRANS EMP EXTRACT - COST CENTRE'!$A:$A,0),MATCH('Summary - Monthly'!AB$3,'TRANS EMP EXTRACT - COST CENTRE'!$2:$2,0)),0)</f>
        <v>0</v>
      </c>
      <c r="AC53" s="8">
        <f>IFERROR(INDEX('TRANS EMP EXTRACT - COST CENTRE'!$A$1:$Z$455,MATCH('Summary - Monthly'!$A53,'TRANS EMP EXTRACT - COST CENTRE'!$A:$A,0),MATCH('Summary - Monthly'!AC$3,'TRANS EMP EXTRACT - COST CENTRE'!$2:$2,0)),0)</f>
        <v>0</v>
      </c>
      <c r="AD53" s="13">
        <f>IFERROR(INDEX('TRANS EMP EXTRACT - COST CENTRE'!$A$1:$Z$455,MATCH('Summary - Monthly'!$A53,'TRANS EMP EXTRACT - COST CENTRE'!$A:$A,0),MATCH('Summary - Monthly'!AD$3,'TRANS EMP EXTRACT - COST CENTRE'!$2:$2,0)),0)</f>
        <v>0</v>
      </c>
      <c r="AE53" s="13">
        <f>IFERROR(INDEX('TRANS EMP EXTRACT - COST CENTRE'!$A$1:$Z$455,MATCH('Summary - Monthly'!$A53,'TRANS EMP EXTRACT - COST CENTRE'!$A:$A,0),MATCH('Summary - Monthly'!AE$3,'TRANS EMP EXTRACT - COST CENTRE'!$2:$2,0)),0)</f>
        <v>0</v>
      </c>
      <c r="AF53" s="13">
        <f>IFERROR(INDEX('TRANS EMP EXTRACT - COST CENTRE'!$A$1:$Z$455,MATCH('Summary - Monthly'!$A53,'TRANS EMP EXTRACT - COST CENTRE'!$A:$A,0),MATCH('Summary - Monthly'!AF$3,'TRANS EMP EXTRACT - COST CENTRE'!$2:$2,0)),0)</f>
        <v>0</v>
      </c>
      <c r="AG53" s="10">
        <f>IFERROR(INDEX('TRANS EMP EXTRACT - COST CENTRE'!$A$1:$Z$455,MATCH('Summary - Monthly'!$A53,'TRANS EMP EXTRACT - COST CENTRE'!$A:$A,0),MATCH('Summary - Monthly'!AG$3,'TRANS EMP EXTRACT - COST CENTRE'!$2:$2,0)),0)</f>
        <v>0</v>
      </c>
      <c r="AH53" s="10">
        <f>IFERROR(INDEX('TRANS EMP EXTRACT - COST CENTRE'!$A$1:$Z$455,MATCH('Summary - Monthly'!$A53,'TRANS EMP EXTRACT - COST CENTRE'!$A:$A,0),MATCH('Summary - Monthly'!AH$3,'TRANS EMP EXTRACT - COST CENTRE'!$2:$2,0)),0)</f>
        <v>0</v>
      </c>
      <c r="AI53" s="10">
        <f>IFERROR(INDEX('TRANS EMP EXTRACT - COST CENTRE'!$A$1:$Z$455,MATCH('Summary - Monthly'!$A53,'TRANS EMP EXTRACT - COST CENTRE'!$A:$A,0),MATCH('Summary - Monthly'!AI$3,'TRANS EMP EXTRACT - COST CENTRE'!$2:$2,0)),0)</f>
        <v>0</v>
      </c>
      <c r="AJ53" s="10">
        <f>IFERROR(INDEX('TRANS EMP EXTRACT - COST CENTRE'!$A$1:$Z$455,MATCH('Summary - Monthly'!$A53,'TRANS EMP EXTRACT - COST CENTRE'!$A:$A,0),MATCH('Summary - Monthly'!AJ$3,'TRANS EMP EXTRACT - COST CENTRE'!$2:$2,0)),0)</f>
        <v>0</v>
      </c>
      <c r="AK53" s="10">
        <f>IFERROR(INDEX('TRANS EMP EXTRACT - COST CENTRE'!$A$1:$Z$455,MATCH('Summary - Monthly'!$A53,'TRANS EMP EXTRACT - COST CENTRE'!$A:$A,0),MATCH('Summary - Monthly'!AK$3,'TRANS EMP EXTRACT - COST CENTRE'!$2:$2,0)),0)</f>
        <v>0</v>
      </c>
      <c r="AL53" s="10">
        <f>IFERROR(INDEX('TRANS EMP EXTRACT - COST CENTRE'!$A$1:$Z$455,MATCH('Summary - Monthly'!$A53,'TRANS EMP EXTRACT - COST CENTRE'!$A:$A,0),MATCH('Summary - Monthly'!AL$3,'TRANS EMP EXTRACT - COST CENTRE'!$2:$2,0)),0)</f>
        <v>0</v>
      </c>
      <c r="AM53" s="10">
        <f t="shared" si="9"/>
        <v>152</v>
      </c>
      <c r="AN53" s="14">
        <f t="shared" si="2"/>
        <v>0</v>
      </c>
      <c r="AO53" s="18">
        <f t="shared" si="5"/>
        <v>1</v>
      </c>
      <c r="AP53" s="18">
        <f t="shared" si="6"/>
        <v>0.15000000000000008</v>
      </c>
      <c r="AQ53" s="10" t="str">
        <f>IFERROR(VLOOKUP(B53,Departments!A:C,3,FALSE),"")</f>
        <v>Senior Audit</v>
      </c>
      <c r="AR53" s="10" t="str">
        <f>IFERROR(VLOOKUP(B53,Departments!A:B,2,FALSE),"")</f>
        <v>Senior Audit</v>
      </c>
      <c r="AS53" s="10">
        <f t="shared" si="10"/>
        <v>0</v>
      </c>
      <c r="AT53" s="10">
        <f t="shared" si="11"/>
        <v>129.19999999999999</v>
      </c>
      <c r="AU53" s="10" t="str">
        <f>_xlfn.IFNA(VLOOKUP(B53,Departments!A:D,4,FALSE),"")</f>
        <v>Senior Audit</v>
      </c>
    </row>
    <row r="54" spans="1:47" ht="14.45" customHeight="1">
      <c r="A54" s="11" t="str">
        <f t="shared" si="3"/>
        <v>1203301118679</v>
      </c>
      <c r="B54" s="11">
        <f>'TRANS EMP EXTRACT - COST CENTRE'!B53</f>
        <v>12033011</v>
      </c>
      <c r="C54" s="10" t="str">
        <f>IFERROR(VLOOKUP(E54,'TRANS EMP EXTRACT - EMP CATEGOR'!A:B,2,FALSE),"")</f>
        <v>FT</v>
      </c>
      <c r="D54" s="10" t="str">
        <f>IFERROR(VLOOKUP(E54,'TRANS EMP EXTRACT - EMP CATEGOR'!A:C,3,FALSE),"")</f>
        <v>Fulltime</v>
      </c>
      <c r="E54" s="11">
        <f>'TRANS EMP EXTRACT - COST CENTRE'!D53</f>
        <v>18679</v>
      </c>
      <c r="F54" s="10" t="str">
        <f>IFERROR(VLOOKUP(E54,'TRANS EMP EXTRACT - COST CENTRE'!D:E,2,FALSE),"")</f>
        <v>HOLMES  JULIAN MR</v>
      </c>
      <c r="G54" s="12">
        <f>IFERROR(INDEX('TRANS EMP EXTRACT - COST CENTRE'!$A$1:$Z$455,MATCH('Summary - Monthly'!$A54,'TRANS EMP EXTRACT - COST CENTRE'!$A:$A,0),MATCH('Summary - Monthly'!G$3,'TRANS EMP EXTRACT - COST CENTRE'!$2:$2,0)),"")</f>
        <v>42157</v>
      </c>
      <c r="H54" s="10" t="str">
        <f>IFERROR(INDEX('TRANS EMP EXTRACT - COST CENTRE'!$B$1:$Z$455,MATCH('Summary - Monthly'!$E54,'TRANS EMP EXTRACT - COST CENTRE'!$D:$D,0),MATCH('Summary - Monthly'!H$3,'TRANS EMP EXTRACT - COST CENTRE'!$2:$2,0)),"")</f>
        <v>RT</v>
      </c>
      <c r="I54" s="12" t="str">
        <f>IFERROR(INDEX('TRANS EMP EXTRACT - EMP CATEGOR'!$B$1:$AF$421,MATCH('Summary - Monthly'!$E54,'TRANS EMP EXTRACT - EMP CATEGOR'!$D:$D,0),MATCH('Summary - Monthly'!H$3,'TRANS EMP EXTRACT - EMP CATEGOR'!$2:$2,0)),"")</f>
        <v>RT</v>
      </c>
      <c r="J54" s="41">
        <f t="shared" ca="1" si="0"/>
        <v>200.45930000000001</v>
      </c>
      <c r="K54" s="41">
        <f t="shared" ca="1" si="1"/>
        <v>51.260899999999999</v>
      </c>
      <c r="L54" s="10">
        <f>IFERROR(INDEX('TRANS EMP EXTRACT - COST CENTRE'!$A$1:$Z$455,MATCH('Summary - Monthly'!$A54,'TRANS EMP EXTRACT - COST CENTRE'!$A:$A,0),MATCH('Summary - Monthly'!L$3,'TRANS EMP EXTRACT - COST CENTRE'!$2:$2,0)),"")</f>
        <v>151.6</v>
      </c>
      <c r="M54" s="10">
        <f>IFERROR(INDEX('TRANS EMP EXTRACT - COST CENTRE'!$A$1:$Z$455,MATCH('Summary - Monthly'!$A54,'TRANS EMP EXTRACT - COST CENTRE'!$A:$A,0),MATCH('Summary - Monthly'!M$3,'TRANS EMP EXTRACT - COST CENTRE'!$2:$2,0)),0)</f>
        <v>0</v>
      </c>
      <c r="N54" s="10">
        <f>IFERROR(INDEX('TRANS EMP EXTRACT - COST CENTRE'!$A$1:$Z$455,MATCH('Summary - Monthly'!$A54,'TRANS EMP EXTRACT - COST CENTRE'!$A:$A,0),MATCH('Summary - Monthly'!N$3,'TRANS EMP EXTRACT - COST CENTRE'!$2:$2,0)),0)</f>
        <v>0</v>
      </c>
      <c r="O54" s="10">
        <f>IFERROR(INDEX('TRANS EMP EXTRACT - COST CENTRE'!$A$1:$Z$455,MATCH('Summary - Monthly'!$A54,'TRANS EMP EXTRACT - COST CENTRE'!$A:$A,0),MATCH('Summary - Monthly'!O$3,'TRANS EMP EXTRACT - COST CENTRE'!$2:$2,0)),0)</f>
        <v>0</v>
      </c>
      <c r="P54" s="10">
        <f>IFERROR(INDEX('TRANS EMP EXTRACT - COST CENTRE'!$A$1:$Z$455,MATCH('Summary - Monthly'!$A54,'TRANS EMP EXTRACT - COST CENTRE'!$A:$A,0),MATCH('Summary - Monthly'!P$3,'TRANS EMP EXTRACT - COST CENTRE'!$2:$2,0)),0)</f>
        <v>0</v>
      </c>
      <c r="Q54" s="10">
        <f>IFERROR(INDEX('TRANS EMP EXTRACT - COST CENTRE'!$A$1:$Z$455,MATCH('Summary - Monthly'!$A54,'TRANS EMP EXTRACT - COST CENTRE'!$A:$A,0),MATCH('Summary - Monthly'!Q$3,'TRANS EMP EXTRACT - COST CENTRE'!$2:$2,0)),0)</f>
        <v>1.1000000000000001</v>
      </c>
      <c r="R54" s="10">
        <f>IFERROR(INDEX('TRANS EMP EXTRACT - COST CENTRE'!$A$1:$Z$455,MATCH('Summary - Monthly'!$A54,'TRANS EMP EXTRACT - COST CENTRE'!$A:$A,0),MATCH('Summary - Monthly'!R$3,'TRANS EMP EXTRACT - COST CENTRE'!$2:$2,0)),0)</f>
        <v>0</v>
      </c>
      <c r="S54" s="10">
        <f>IFERROR(INDEX('TRANS EMP EXTRACT - COST CENTRE'!$A$1:$Z$455,MATCH('Summary - Monthly'!$A54,'TRANS EMP EXTRACT - COST CENTRE'!$A:$A,0),MATCH('Summary - Monthly'!S$3,'TRANS EMP EXTRACT - COST CENTRE'!$2:$2,0)),0)</f>
        <v>0</v>
      </c>
      <c r="T54" s="8">
        <f>IFERROR(INDEX('TRANS EMP EXTRACT - COST CENTRE'!$A$1:$Z$455,MATCH('Summary - Monthly'!$A54,'TRANS EMP EXTRACT - COST CENTRE'!$A:$A,0),MATCH('Summary - Monthly'!T$3,'TRANS EMP EXTRACT - COST CENTRE'!$2:$2,0)),0)</f>
        <v>0</v>
      </c>
      <c r="U54" s="13">
        <f>IFERROR(INDEX('TRANS EMP EXTRACT - COST CENTRE'!$A$1:$Z$455,MATCH('Summary - Monthly'!$A54,'TRANS EMP EXTRACT - COST CENTRE'!$A:$A,0),MATCH('Summary - Monthly'!U$3,'TRANS EMP EXTRACT - COST CENTRE'!$2:$2,0)),0)</f>
        <v>0</v>
      </c>
      <c r="V54" s="13">
        <f>IFERROR(INDEX('TRANS EMP EXTRACT - COST CENTRE'!$A$1:$Z$455,MATCH('Summary - Monthly'!$A54,'TRANS EMP EXTRACT - COST CENTRE'!$A:$A,0),MATCH('Summary - Monthly'!V$3,'TRANS EMP EXTRACT - COST CENTRE'!$2:$2,0)),0)</f>
        <v>0</v>
      </c>
      <c r="W54" s="13">
        <f>IFERROR(INDEX('TRANS EMP EXTRACT - COST CENTRE'!$A$1:$Z$455,MATCH('Summary - Monthly'!$A54,'TRANS EMP EXTRACT - COST CENTRE'!$A:$A,0),MATCH('Summary - Monthly'!W$3,'TRANS EMP EXTRACT - COST CENTRE'!$2:$2,0)),0)</f>
        <v>0</v>
      </c>
      <c r="X54" s="13">
        <f>IFERROR(INDEX('TRANS EMP EXTRACT - COST CENTRE'!$A$1:$Z$455,MATCH('Summary - Monthly'!$A54,'TRANS EMP EXTRACT - COST CENTRE'!$A:$A,0),MATCH('Summary - Monthly'!X$3,'TRANS EMP EXTRACT - COST CENTRE'!$2:$2,0)),0)</f>
        <v>0</v>
      </c>
      <c r="Y54" s="13">
        <f>IFERROR(INDEX('TRANS EMP EXTRACT - COST CENTRE'!$A$1:$Z$455,MATCH('Summary - Monthly'!$A54,'TRANS EMP EXTRACT - COST CENTRE'!$A:$A,0),MATCH('Summary - Monthly'!Y$3,'TRANS EMP EXTRACT - COST CENTRE'!$2:$2,0)),0)</f>
        <v>0</v>
      </c>
      <c r="Z54" s="10">
        <f>IFERROR(INDEX('TRANS EMP EXTRACT - COST CENTRE'!$A$1:$Z$455,MATCH('Summary - Monthly'!$A54,'TRANS EMP EXTRACT - COST CENTRE'!$A:$A,0),MATCH('Summary - Monthly'!Z$3,'TRANS EMP EXTRACT - COST CENTRE'!$2:$2,0)),0)</f>
        <v>0</v>
      </c>
      <c r="AA54" s="10">
        <f>IFERROR(INDEX('TRANS EMP EXTRACT - COST CENTRE'!$A$1:$Z$455,MATCH('Summary - Monthly'!$A54,'TRANS EMP EXTRACT - COST CENTRE'!$A:$A,0),MATCH('Summary - Monthly'!AA$3,'TRANS EMP EXTRACT - COST CENTRE'!$2:$2,0)),0)</f>
        <v>0</v>
      </c>
      <c r="AB54" s="10">
        <f>IFERROR(INDEX('TRANS EMP EXTRACT - COST CENTRE'!$A$1:$Z$455,MATCH('Summary - Monthly'!$A54,'TRANS EMP EXTRACT - COST CENTRE'!$A:$A,0),MATCH('Summary - Monthly'!AB$3,'TRANS EMP EXTRACT - COST CENTRE'!$2:$2,0)),0)</f>
        <v>0</v>
      </c>
      <c r="AC54" s="8">
        <f>IFERROR(INDEX('TRANS EMP EXTRACT - COST CENTRE'!$A$1:$Z$455,MATCH('Summary - Monthly'!$A54,'TRANS EMP EXTRACT - COST CENTRE'!$A:$A,0),MATCH('Summary - Monthly'!AC$3,'TRANS EMP EXTRACT - COST CENTRE'!$2:$2,0)),0)</f>
        <v>0</v>
      </c>
      <c r="AD54" s="13">
        <f>IFERROR(INDEX('TRANS EMP EXTRACT - COST CENTRE'!$A$1:$Z$455,MATCH('Summary - Monthly'!$A54,'TRANS EMP EXTRACT - COST CENTRE'!$A:$A,0),MATCH('Summary - Monthly'!AD$3,'TRANS EMP EXTRACT - COST CENTRE'!$2:$2,0)),0)</f>
        <v>0</v>
      </c>
      <c r="AE54" s="13">
        <f>IFERROR(INDEX('TRANS EMP EXTRACT - COST CENTRE'!$A$1:$Z$455,MATCH('Summary - Monthly'!$A54,'TRANS EMP EXTRACT - COST CENTRE'!$A:$A,0),MATCH('Summary - Monthly'!AE$3,'TRANS EMP EXTRACT - COST CENTRE'!$2:$2,0)),0)</f>
        <v>0</v>
      </c>
      <c r="AF54" s="13">
        <f>IFERROR(INDEX('TRANS EMP EXTRACT - COST CENTRE'!$A$1:$Z$455,MATCH('Summary - Monthly'!$A54,'TRANS EMP EXTRACT - COST CENTRE'!$A:$A,0),MATCH('Summary - Monthly'!AF$3,'TRANS EMP EXTRACT - COST CENTRE'!$2:$2,0)),0)</f>
        <v>0</v>
      </c>
      <c r="AG54" s="10">
        <f>IFERROR(INDEX('TRANS EMP EXTRACT - COST CENTRE'!$A$1:$Z$455,MATCH('Summary - Monthly'!$A54,'TRANS EMP EXTRACT - COST CENTRE'!$A:$A,0),MATCH('Summary - Monthly'!AG$3,'TRANS EMP EXTRACT - COST CENTRE'!$2:$2,0)),0)</f>
        <v>0</v>
      </c>
      <c r="AH54" s="10">
        <f>IFERROR(INDEX('TRANS EMP EXTRACT - COST CENTRE'!$A$1:$Z$455,MATCH('Summary - Monthly'!$A54,'TRANS EMP EXTRACT - COST CENTRE'!$A:$A,0),MATCH('Summary - Monthly'!AH$3,'TRANS EMP EXTRACT - COST CENTRE'!$2:$2,0)),0)</f>
        <v>0</v>
      </c>
      <c r="AI54" s="10">
        <f>IFERROR(INDEX('TRANS EMP EXTRACT - COST CENTRE'!$A$1:$Z$455,MATCH('Summary - Monthly'!$A54,'TRANS EMP EXTRACT - COST CENTRE'!$A:$A,0),MATCH('Summary - Monthly'!AI$3,'TRANS EMP EXTRACT - COST CENTRE'!$2:$2,0)),0)</f>
        <v>0</v>
      </c>
      <c r="AJ54" s="10">
        <f>IFERROR(INDEX('TRANS EMP EXTRACT - COST CENTRE'!$A$1:$Z$455,MATCH('Summary - Monthly'!$A54,'TRANS EMP EXTRACT - COST CENTRE'!$A:$A,0),MATCH('Summary - Monthly'!AJ$3,'TRANS EMP EXTRACT - COST CENTRE'!$2:$2,0)),0)</f>
        <v>0</v>
      </c>
      <c r="AK54" s="10">
        <f>IFERROR(INDEX('TRANS EMP EXTRACT - COST CENTRE'!$A$1:$Z$455,MATCH('Summary - Monthly'!$A54,'TRANS EMP EXTRACT - COST CENTRE'!$A:$A,0),MATCH('Summary - Monthly'!AK$3,'TRANS EMP EXTRACT - COST CENTRE'!$2:$2,0)),0)</f>
        <v>0</v>
      </c>
      <c r="AL54" s="10">
        <f>IFERROR(INDEX('TRANS EMP EXTRACT - COST CENTRE'!$A$1:$Z$455,MATCH('Summary - Monthly'!$A54,'TRANS EMP EXTRACT - COST CENTRE'!$A:$A,0),MATCH('Summary - Monthly'!AL$3,'TRANS EMP EXTRACT - COST CENTRE'!$2:$2,0)),0)</f>
        <v>0</v>
      </c>
      <c r="AM54" s="10">
        <f t="shared" si="9"/>
        <v>152.69999999999999</v>
      </c>
      <c r="AN54" s="14">
        <f t="shared" si="2"/>
        <v>7.2368421052631587E-3</v>
      </c>
      <c r="AO54" s="18">
        <f t="shared" si="5"/>
        <v>1.0046052631578946</v>
      </c>
      <c r="AP54" s="18">
        <f t="shared" si="6"/>
        <v>1.0046052631578946</v>
      </c>
      <c r="AQ54" s="10" t="str">
        <f>IFERROR(VLOOKUP(B54,Departments!A:C,3,FALSE),"")</f>
        <v>Microbiology</v>
      </c>
      <c r="AR54" s="10" t="str">
        <f>IFERROR(VLOOKUP(B54,Departments!A:B,2,FALSE),"")</f>
        <v>Melb Micro</v>
      </c>
      <c r="AS54" s="10">
        <f t="shared" si="10"/>
        <v>0</v>
      </c>
      <c r="AT54" s="10">
        <f t="shared" si="11"/>
        <v>0</v>
      </c>
      <c r="AU54" s="10" t="str">
        <f>_xlfn.IFNA(VLOOKUP(B54,Departments!A:D,4,FALSE),"")</f>
        <v>Melbourne Micro</v>
      </c>
    </row>
    <row r="55" spans="1:47" ht="14.45" customHeight="1">
      <c r="A55" s="11" t="str">
        <f t="shared" si="3"/>
        <v>1202301118974</v>
      </c>
      <c r="B55" s="11">
        <f>'TRANS EMP EXTRACT - COST CENTRE'!B54</f>
        <v>12023011</v>
      </c>
      <c r="C55" s="10" t="str">
        <f>IFERROR(VLOOKUP(E55,'TRANS EMP EXTRACT - EMP CATEGOR'!A:B,2,FALSE),"")</f>
        <v>FT</v>
      </c>
      <c r="D55" s="10" t="str">
        <f>IFERROR(VLOOKUP(E55,'TRANS EMP EXTRACT - EMP CATEGOR'!A:C,3,FALSE),"")</f>
        <v>Fulltime</v>
      </c>
      <c r="E55" s="11">
        <f>'TRANS EMP EXTRACT - COST CENTRE'!D54</f>
        <v>18974</v>
      </c>
      <c r="F55" s="10" t="str">
        <f>IFERROR(VLOOKUP(E55,'TRANS EMP EXTRACT - COST CENTRE'!D:E,2,FALSE),"")</f>
        <v>HOMAINEJAD  DORNA MS</v>
      </c>
      <c r="G55" s="12">
        <f>IFERROR(INDEX('TRANS EMP EXTRACT - COST CENTRE'!$A$1:$Z$455,MATCH('Summary - Monthly'!$A55,'TRANS EMP EXTRACT - COST CENTRE'!$A:$A,0),MATCH('Summary - Monthly'!G$3,'TRANS EMP EXTRACT - COST CENTRE'!$2:$2,0)),"")</f>
        <v>44503</v>
      </c>
      <c r="H55" s="10" t="str">
        <f>IFERROR(INDEX('TRANS EMP EXTRACT - COST CENTRE'!$B$1:$Z$455,MATCH('Summary - Monthly'!$E55,'TRANS EMP EXTRACT - COST CENTRE'!$D:$D,0),MATCH('Summary - Monthly'!H$3,'TRANS EMP EXTRACT - COST CENTRE'!$2:$2,0)),"")</f>
        <v>RT</v>
      </c>
      <c r="I55" s="12" t="str">
        <f>IFERROR(INDEX('TRANS EMP EXTRACT - EMP CATEGOR'!$B$1:$AF$421,MATCH('Summary - Monthly'!$E55,'TRANS EMP EXTRACT - EMP CATEGOR'!$D:$D,0),MATCH('Summary - Monthly'!H$3,'TRANS EMP EXTRACT - EMP CATEGOR'!$2:$2,0)),"")</f>
        <v>RT</v>
      </c>
      <c r="J55" s="41">
        <f t="shared" ca="1" si="0"/>
        <v>43.994500000000002</v>
      </c>
      <c r="K55" s="41">
        <f t="shared" ca="1" si="1"/>
        <v>102.289</v>
      </c>
      <c r="L55" s="10">
        <f>IFERROR(INDEX('TRANS EMP EXTRACT - COST CENTRE'!$A$1:$Z$455,MATCH('Summary - Monthly'!$A55,'TRANS EMP EXTRACT - COST CENTRE'!$A:$A,0),MATCH('Summary - Monthly'!L$3,'TRANS EMP EXTRACT - COST CENTRE'!$2:$2,0)),"")</f>
        <v>91.2</v>
      </c>
      <c r="M55" s="10">
        <f>IFERROR(INDEX('TRANS EMP EXTRACT - COST CENTRE'!$A$1:$Z$455,MATCH('Summary - Monthly'!$A55,'TRANS EMP EXTRACT - COST CENTRE'!$A:$A,0),MATCH('Summary - Monthly'!M$3,'TRANS EMP EXTRACT - COST CENTRE'!$2:$2,0)),0)</f>
        <v>0</v>
      </c>
      <c r="N55" s="10">
        <f>IFERROR(INDEX('TRANS EMP EXTRACT - COST CENTRE'!$A$1:$Z$455,MATCH('Summary - Monthly'!$A55,'TRANS EMP EXTRACT - COST CENTRE'!$A:$A,0),MATCH('Summary - Monthly'!N$3,'TRANS EMP EXTRACT - COST CENTRE'!$2:$2,0)),0)</f>
        <v>0</v>
      </c>
      <c r="O55" s="10">
        <f>IFERROR(INDEX('TRANS EMP EXTRACT - COST CENTRE'!$A$1:$Z$455,MATCH('Summary - Monthly'!$A55,'TRANS EMP EXTRACT - COST CENTRE'!$A:$A,0),MATCH('Summary - Monthly'!O$3,'TRANS EMP EXTRACT - COST CENTRE'!$2:$2,0)),0)</f>
        <v>30.4</v>
      </c>
      <c r="P55" s="10">
        <f>IFERROR(INDEX('TRANS EMP EXTRACT - COST CENTRE'!$A$1:$Z$455,MATCH('Summary - Monthly'!$A55,'TRANS EMP EXTRACT - COST CENTRE'!$A:$A,0),MATCH('Summary - Monthly'!P$3,'TRANS EMP EXTRACT - COST CENTRE'!$2:$2,0)),0)</f>
        <v>30.4</v>
      </c>
      <c r="Q55" s="10">
        <f>IFERROR(INDEX('TRANS EMP EXTRACT - COST CENTRE'!$A$1:$Z$455,MATCH('Summary - Monthly'!$A55,'TRANS EMP EXTRACT - COST CENTRE'!$A:$A,0),MATCH('Summary - Monthly'!Q$3,'TRANS EMP EXTRACT - COST CENTRE'!$2:$2,0)),0)</f>
        <v>4.5</v>
      </c>
      <c r="R55" s="10">
        <f>IFERROR(INDEX('TRANS EMP EXTRACT - COST CENTRE'!$A$1:$Z$455,MATCH('Summary - Monthly'!$A55,'TRANS EMP EXTRACT - COST CENTRE'!$A:$A,0),MATCH('Summary - Monthly'!R$3,'TRANS EMP EXTRACT - COST CENTRE'!$2:$2,0)),0)</f>
        <v>0</v>
      </c>
      <c r="S55" s="10">
        <f>IFERROR(INDEX('TRANS EMP EXTRACT - COST CENTRE'!$A$1:$Z$455,MATCH('Summary - Monthly'!$A55,'TRANS EMP EXTRACT - COST CENTRE'!$A:$A,0),MATCH('Summary - Monthly'!S$3,'TRANS EMP EXTRACT - COST CENTRE'!$2:$2,0)),0)</f>
        <v>0</v>
      </c>
      <c r="T55" s="8">
        <f>IFERROR(INDEX('TRANS EMP EXTRACT - COST CENTRE'!$A$1:$Z$455,MATCH('Summary - Monthly'!$A55,'TRANS EMP EXTRACT - COST CENTRE'!$A:$A,0),MATCH('Summary - Monthly'!T$3,'TRANS EMP EXTRACT - COST CENTRE'!$2:$2,0)),0)</f>
        <v>0</v>
      </c>
      <c r="U55" s="13">
        <f>IFERROR(INDEX('TRANS EMP EXTRACT - COST CENTRE'!$A$1:$Z$455,MATCH('Summary - Monthly'!$A55,'TRANS EMP EXTRACT - COST CENTRE'!$A:$A,0),MATCH('Summary - Monthly'!U$3,'TRANS EMP EXTRACT - COST CENTRE'!$2:$2,0)),0)</f>
        <v>0</v>
      </c>
      <c r="V55" s="13">
        <f>IFERROR(INDEX('TRANS EMP EXTRACT - COST CENTRE'!$A$1:$Z$455,MATCH('Summary - Monthly'!$A55,'TRANS EMP EXTRACT - COST CENTRE'!$A:$A,0),MATCH('Summary - Monthly'!V$3,'TRANS EMP EXTRACT - COST CENTRE'!$2:$2,0)),0)</f>
        <v>0</v>
      </c>
      <c r="W55" s="13">
        <f>IFERROR(INDEX('TRANS EMP EXTRACT - COST CENTRE'!$A$1:$Z$455,MATCH('Summary - Monthly'!$A55,'TRANS EMP EXTRACT - COST CENTRE'!$A:$A,0),MATCH('Summary - Monthly'!W$3,'TRANS EMP EXTRACT - COST CENTRE'!$2:$2,0)),0)</f>
        <v>0</v>
      </c>
      <c r="X55" s="13">
        <f>IFERROR(INDEX('TRANS EMP EXTRACT - COST CENTRE'!$A$1:$Z$455,MATCH('Summary - Monthly'!$A55,'TRANS EMP EXTRACT - COST CENTRE'!$A:$A,0),MATCH('Summary - Monthly'!X$3,'TRANS EMP EXTRACT - COST CENTRE'!$2:$2,0)),0)</f>
        <v>0</v>
      </c>
      <c r="Y55" s="13">
        <f>IFERROR(INDEX('TRANS EMP EXTRACT - COST CENTRE'!$A$1:$Z$455,MATCH('Summary - Monthly'!$A55,'TRANS EMP EXTRACT - COST CENTRE'!$A:$A,0),MATCH('Summary - Monthly'!Y$3,'TRANS EMP EXTRACT - COST CENTRE'!$2:$2,0)),0)</f>
        <v>0</v>
      </c>
      <c r="Z55" s="10">
        <f>IFERROR(INDEX('TRANS EMP EXTRACT - COST CENTRE'!$A$1:$Z$455,MATCH('Summary - Monthly'!$A55,'TRANS EMP EXTRACT - COST CENTRE'!$A:$A,0),MATCH('Summary - Monthly'!Z$3,'TRANS EMP EXTRACT - COST CENTRE'!$2:$2,0)),0)</f>
        <v>0</v>
      </c>
      <c r="AA55" s="10">
        <f>IFERROR(INDEX('TRANS EMP EXTRACT - COST CENTRE'!$A$1:$Z$455,MATCH('Summary - Monthly'!$A55,'TRANS EMP EXTRACT - COST CENTRE'!$A:$A,0),MATCH('Summary - Monthly'!AA$3,'TRANS EMP EXTRACT - COST CENTRE'!$2:$2,0)),0)</f>
        <v>0</v>
      </c>
      <c r="AB55" s="10">
        <f>IFERROR(INDEX('TRANS EMP EXTRACT - COST CENTRE'!$A$1:$Z$455,MATCH('Summary - Monthly'!$A55,'TRANS EMP EXTRACT - COST CENTRE'!$A:$A,0),MATCH('Summary - Monthly'!AB$3,'TRANS EMP EXTRACT - COST CENTRE'!$2:$2,0)),0)</f>
        <v>0</v>
      </c>
      <c r="AC55" s="8">
        <f>IFERROR(INDEX('TRANS EMP EXTRACT - COST CENTRE'!$A$1:$Z$455,MATCH('Summary - Monthly'!$A55,'TRANS EMP EXTRACT - COST CENTRE'!$A:$A,0),MATCH('Summary - Monthly'!AC$3,'TRANS EMP EXTRACT - COST CENTRE'!$2:$2,0)),0)</f>
        <v>0</v>
      </c>
      <c r="AD55" s="13">
        <f>IFERROR(INDEX('TRANS EMP EXTRACT - COST CENTRE'!$A$1:$Z$455,MATCH('Summary - Monthly'!$A55,'TRANS EMP EXTRACT - COST CENTRE'!$A:$A,0),MATCH('Summary - Monthly'!AD$3,'TRANS EMP EXTRACT - COST CENTRE'!$2:$2,0)),0)</f>
        <v>0</v>
      </c>
      <c r="AE55" s="13">
        <f>IFERROR(INDEX('TRANS EMP EXTRACT - COST CENTRE'!$A$1:$Z$455,MATCH('Summary - Monthly'!$A55,'TRANS EMP EXTRACT - COST CENTRE'!$A:$A,0),MATCH('Summary - Monthly'!AE$3,'TRANS EMP EXTRACT - COST CENTRE'!$2:$2,0)),0)</f>
        <v>0</v>
      </c>
      <c r="AF55" s="13">
        <f>IFERROR(INDEX('TRANS EMP EXTRACT - COST CENTRE'!$A$1:$Z$455,MATCH('Summary - Monthly'!$A55,'TRANS EMP EXTRACT - COST CENTRE'!$A:$A,0),MATCH('Summary - Monthly'!AF$3,'TRANS EMP EXTRACT - COST CENTRE'!$2:$2,0)),0)</f>
        <v>0</v>
      </c>
      <c r="AG55" s="10">
        <f>IFERROR(INDEX('TRANS EMP EXTRACT - COST CENTRE'!$A$1:$Z$455,MATCH('Summary - Monthly'!$A55,'TRANS EMP EXTRACT - COST CENTRE'!$A:$A,0),MATCH('Summary - Monthly'!AG$3,'TRANS EMP EXTRACT - COST CENTRE'!$2:$2,0)),0)</f>
        <v>0</v>
      </c>
      <c r="AH55" s="10">
        <f>IFERROR(INDEX('TRANS EMP EXTRACT - COST CENTRE'!$A$1:$Z$455,MATCH('Summary - Monthly'!$A55,'TRANS EMP EXTRACT - COST CENTRE'!$A:$A,0),MATCH('Summary - Monthly'!AH$3,'TRANS EMP EXTRACT - COST CENTRE'!$2:$2,0)),0)</f>
        <v>0</v>
      </c>
      <c r="AI55" s="10">
        <f>IFERROR(INDEX('TRANS EMP EXTRACT - COST CENTRE'!$A$1:$Z$455,MATCH('Summary - Monthly'!$A55,'TRANS EMP EXTRACT - COST CENTRE'!$A:$A,0),MATCH('Summary - Monthly'!AI$3,'TRANS EMP EXTRACT - COST CENTRE'!$2:$2,0)),0)</f>
        <v>0</v>
      </c>
      <c r="AJ55" s="10">
        <f>IFERROR(INDEX('TRANS EMP EXTRACT - COST CENTRE'!$A$1:$Z$455,MATCH('Summary - Monthly'!$A55,'TRANS EMP EXTRACT - COST CENTRE'!$A:$A,0),MATCH('Summary - Monthly'!AJ$3,'TRANS EMP EXTRACT - COST CENTRE'!$2:$2,0)),0)</f>
        <v>0</v>
      </c>
      <c r="AK55" s="10">
        <f>IFERROR(INDEX('TRANS EMP EXTRACT - COST CENTRE'!$A$1:$Z$455,MATCH('Summary - Monthly'!$A55,'TRANS EMP EXTRACT - COST CENTRE'!$A:$A,0),MATCH('Summary - Monthly'!AK$3,'TRANS EMP EXTRACT - COST CENTRE'!$2:$2,0)),0)</f>
        <v>0</v>
      </c>
      <c r="AL55" s="10">
        <f>IFERROR(INDEX('TRANS EMP EXTRACT - COST CENTRE'!$A$1:$Z$455,MATCH('Summary - Monthly'!$A55,'TRANS EMP EXTRACT - COST CENTRE'!$A:$A,0),MATCH('Summary - Monthly'!AL$3,'TRANS EMP EXTRACT - COST CENTRE'!$2:$2,0)),0)</f>
        <v>0</v>
      </c>
      <c r="AM55" s="10">
        <f t="shared" si="9"/>
        <v>156.5</v>
      </c>
      <c r="AN55" s="14">
        <f t="shared" si="2"/>
        <v>2.9605263157894735E-2</v>
      </c>
      <c r="AO55" s="18">
        <f t="shared" si="5"/>
        <v>1.0296052631578947</v>
      </c>
      <c r="AP55" s="18">
        <f t="shared" si="6"/>
        <v>1.0296052631578947</v>
      </c>
      <c r="AQ55" s="10" t="str">
        <f>IFERROR(VLOOKUP(B55,Departments!A:C,3,FALSE),"")</f>
        <v>Microbiology</v>
      </c>
      <c r="AR55" s="10" t="str">
        <f>IFERROR(VLOOKUP(B55,Departments!A:B,2,FALSE),"")</f>
        <v>Sydney Micro</v>
      </c>
      <c r="AS55" s="10">
        <f t="shared" si="10"/>
        <v>0</v>
      </c>
      <c r="AT55" s="10">
        <f t="shared" si="11"/>
        <v>0</v>
      </c>
      <c r="AU55" s="10" t="str">
        <f>_xlfn.IFNA(VLOOKUP(B55,Departments!A:D,4,FALSE),"")</f>
        <v>Sydney Micro</v>
      </c>
    </row>
    <row r="56" spans="1:47" ht="14.45" customHeight="1">
      <c r="A56" s="11" t="str">
        <f t="shared" si="3"/>
        <v>1203301119015</v>
      </c>
      <c r="B56" s="11">
        <f>'TRANS EMP EXTRACT - COST CENTRE'!B55</f>
        <v>12033011</v>
      </c>
      <c r="C56" s="10" t="str">
        <f>IFERROR(VLOOKUP(E56,'TRANS EMP EXTRACT - EMP CATEGOR'!A:B,2,FALSE),"")</f>
        <v>FT</v>
      </c>
      <c r="D56" s="10" t="str">
        <f>IFERROR(VLOOKUP(E56,'TRANS EMP EXTRACT - EMP CATEGOR'!A:C,3,FALSE),"")</f>
        <v>Fulltime</v>
      </c>
      <c r="E56" s="11">
        <f>'TRANS EMP EXTRACT - COST CENTRE'!D55</f>
        <v>19015</v>
      </c>
      <c r="F56" s="10" t="str">
        <f>IFERROR(VLOOKUP(E56,'TRANS EMP EXTRACT - COST CENTRE'!D:E,2,FALSE),"")</f>
        <v>HUSSAIN  EMRAN MR</v>
      </c>
      <c r="G56" s="12">
        <f>IFERROR(INDEX('TRANS EMP EXTRACT - COST CENTRE'!$A$1:$Z$455,MATCH('Summary - Monthly'!$A56,'TRANS EMP EXTRACT - COST CENTRE'!$A:$A,0),MATCH('Summary - Monthly'!G$3,'TRANS EMP EXTRACT - COST CENTRE'!$2:$2,0)),"")</f>
        <v>44721</v>
      </c>
      <c r="H56" s="10" t="str">
        <f>IFERROR(INDEX('TRANS EMP EXTRACT - COST CENTRE'!$B$1:$Z$455,MATCH('Summary - Monthly'!$E56,'TRANS EMP EXTRACT - COST CENTRE'!$D:$D,0),MATCH('Summary - Monthly'!H$3,'TRANS EMP EXTRACT - COST CENTRE'!$2:$2,0)),"")</f>
        <v>RT</v>
      </c>
      <c r="I56" s="12" t="str">
        <f>IFERROR(INDEX('TRANS EMP EXTRACT - EMP CATEGOR'!$B$1:$AF$421,MATCH('Summary - Monthly'!$E56,'TRANS EMP EXTRACT - EMP CATEGOR'!$D:$D,0),MATCH('Summary - Monthly'!H$3,'TRANS EMP EXTRACT - EMP CATEGOR'!$2:$2,0)),"")</f>
        <v>RT</v>
      </c>
      <c r="J56" s="41">
        <f t="shared" ca="1" si="0"/>
        <v>11.8027</v>
      </c>
      <c r="K56" s="41">
        <f t="shared" ca="1" si="1"/>
        <v>-6.3944999999999999</v>
      </c>
      <c r="L56" s="10">
        <f>IFERROR(INDEX('TRANS EMP EXTRACT - COST CENTRE'!$A$1:$Z$455,MATCH('Summary - Monthly'!$A56,'TRANS EMP EXTRACT - COST CENTRE'!$A:$A,0),MATCH('Summary - Monthly'!L$3,'TRANS EMP EXTRACT - COST CENTRE'!$2:$2,0)),"")</f>
        <v>15.1</v>
      </c>
      <c r="M56" s="10">
        <f>IFERROR(INDEX('TRANS EMP EXTRACT - COST CENTRE'!$A$1:$Z$455,MATCH('Summary - Monthly'!$A56,'TRANS EMP EXTRACT - COST CENTRE'!$A:$A,0),MATCH('Summary - Monthly'!M$3,'TRANS EMP EXTRACT - COST CENTRE'!$2:$2,0)),0)</f>
        <v>0</v>
      </c>
      <c r="N56" s="10">
        <f>IFERROR(INDEX('TRANS EMP EXTRACT - COST CENTRE'!$A$1:$Z$455,MATCH('Summary - Monthly'!$A56,'TRANS EMP EXTRACT - COST CENTRE'!$A:$A,0),MATCH('Summary - Monthly'!N$3,'TRANS EMP EXTRACT - COST CENTRE'!$2:$2,0)),0)</f>
        <v>0</v>
      </c>
      <c r="O56" s="10">
        <f>IFERROR(INDEX('TRANS EMP EXTRACT - COST CENTRE'!$A$1:$Z$455,MATCH('Summary - Monthly'!$A56,'TRANS EMP EXTRACT - COST CENTRE'!$A:$A,0),MATCH('Summary - Monthly'!O$3,'TRANS EMP EXTRACT - COST CENTRE'!$2:$2,0)),0)</f>
        <v>7.5</v>
      </c>
      <c r="P56" s="10">
        <f>IFERROR(INDEX('TRANS EMP EXTRACT - COST CENTRE'!$A$1:$Z$455,MATCH('Summary - Monthly'!$A56,'TRANS EMP EXTRACT - COST CENTRE'!$A:$A,0),MATCH('Summary - Monthly'!P$3,'TRANS EMP EXTRACT - COST CENTRE'!$2:$2,0)),0)</f>
        <v>0</v>
      </c>
      <c r="Q56" s="10">
        <f>IFERROR(INDEX('TRANS EMP EXTRACT - COST CENTRE'!$A$1:$Z$455,MATCH('Summary - Monthly'!$A56,'TRANS EMP EXTRACT - COST CENTRE'!$A:$A,0),MATCH('Summary - Monthly'!Q$3,'TRANS EMP EXTRACT - COST CENTRE'!$2:$2,0)),0)</f>
        <v>2</v>
      </c>
      <c r="R56" s="10">
        <f>IFERROR(INDEX('TRANS EMP EXTRACT - COST CENTRE'!$A$1:$Z$455,MATCH('Summary - Monthly'!$A56,'TRANS EMP EXTRACT - COST CENTRE'!$A:$A,0),MATCH('Summary - Monthly'!R$3,'TRANS EMP EXTRACT - COST CENTRE'!$2:$2,0)),0)</f>
        <v>0.86670000000000003</v>
      </c>
      <c r="S56" s="10">
        <f>IFERROR(INDEX('TRANS EMP EXTRACT - COST CENTRE'!$A$1:$Z$455,MATCH('Summary - Monthly'!$A56,'TRANS EMP EXTRACT - COST CENTRE'!$A:$A,0),MATCH('Summary - Monthly'!S$3,'TRANS EMP EXTRACT - COST CENTRE'!$2:$2,0)),0)</f>
        <v>0</v>
      </c>
      <c r="T56" s="8">
        <f>IFERROR(INDEX('TRANS EMP EXTRACT - COST CENTRE'!$A$1:$Z$455,MATCH('Summary - Monthly'!$A56,'TRANS EMP EXTRACT - COST CENTRE'!$A:$A,0),MATCH('Summary - Monthly'!T$3,'TRANS EMP EXTRACT - COST CENTRE'!$2:$2,0)),0)</f>
        <v>0</v>
      </c>
      <c r="U56" s="13">
        <f>IFERROR(INDEX('TRANS EMP EXTRACT - COST CENTRE'!$A$1:$Z$455,MATCH('Summary - Monthly'!$A56,'TRANS EMP EXTRACT - COST CENTRE'!$A:$A,0),MATCH('Summary - Monthly'!U$3,'TRANS EMP EXTRACT - COST CENTRE'!$2:$2,0)),0)</f>
        <v>76</v>
      </c>
      <c r="V56" s="13">
        <f>IFERROR(INDEX('TRANS EMP EXTRACT - COST CENTRE'!$A$1:$Z$455,MATCH('Summary - Monthly'!$A56,'TRANS EMP EXTRACT - COST CENTRE'!$A:$A,0),MATCH('Summary - Monthly'!V$3,'TRANS EMP EXTRACT - COST CENTRE'!$2:$2,0)),0)</f>
        <v>0</v>
      </c>
      <c r="W56" s="13">
        <f>IFERROR(INDEX('TRANS EMP EXTRACT - COST CENTRE'!$A$1:$Z$455,MATCH('Summary - Monthly'!$A56,'TRANS EMP EXTRACT - COST CENTRE'!$A:$A,0),MATCH('Summary - Monthly'!W$3,'TRANS EMP EXTRACT - COST CENTRE'!$2:$2,0)),0)</f>
        <v>0</v>
      </c>
      <c r="X56" s="13">
        <f>IFERROR(INDEX('TRANS EMP EXTRACT - COST CENTRE'!$A$1:$Z$455,MATCH('Summary - Monthly'!$A56,'TRANS EMP EXTRACT - COST CENTRE'!$A:$A,0),MATCH('Summary - Monthly'!X$3,'TRANS EMP EXTRACT - COST CENTRE'!$2:$2,0)),0)</f>
        <v>0</v>
      </c>
      <c r="Y56" s="13">
        <f>IFERROR(INDEX('TRANS EMP EXTRACT - COST CENTRE'!$A$1:$Z$455,MATCH('Summary - Monthly'!$A56,'TRANS EMP EXTRACT - COST CENTRE'!$A:$A,0),MATCH('Summary - Monthly'!Y$3,'TRANS EMP EXTRACT - COST CENTRE'!$2:$2,0)),0)</f>
        <v>0</v>
      </c>
      <c r="Z56" s="10">
        <f>IFERROR(INDEX('TRANS EMP EXTRACT - COST CENTRE'!$A$1:$Z$455,MATCH('Summary - Monthly'!$A56,'TRANS EMP EXTRACT - COST CENTRE'!$A:$A,0),MATCH('Summary - Monthly'!Z$3,'TRANS EMP EXTRACT - COST CENTRE'!$2:$2,0)),0)</f>
        <v>0</v>
      </c>
      <c r="AA56" s="10">
        <f>IFERROR(INDEX('TRANS EMP EXTRACT - COST CENTRE'!$A$1:$Z$455,MATCH('Summary - Monthly'!$A56,'TRANS EMP EXTRACT - COST CENTRE'!$A:$A,0),MATCH('Summary - Monthly'!AA$3,'TRANS EMP EXTRACT - COST CENTRE'!$2:$2,0)),0)</f>
        <v>0</v>
      </c>
      <c r="AB56" s="10">
        <f>IFERROR(INDEX('TRANS EMP EXTRACT - COST CENTRE'!$A$1:$Z$455,MATCH('Summary - Monthly'!$A56,'TRANS EMP EXTRACT - COST CENTRE'!$A:$A,0),MATCH('Summary - Monthly'!AB$3,'TRANS EMP EXTRACT - COST CENTRE'!$2:$2,0)),0)</f>
        <v>0</v>
      </c>
      <c r="AC56" s="8">
        <f>IFERROR(INDEX('TRANS EMP EXTRACT - COST CENTRE'!$A$1:$Z$455,MATCH('Summary - Monthly'!$A56,'TRANS EMP EXTRACT - COST CENTRE'!$A:$A,0),MATCH('Summary - Monthly'!AC$3,'TRANS EMP EXTRACT - COST CENTRE'!$2:$2,0)),0)</f>
        <v>0</v>
      </c>
      <c r="AD56" s="13">
        <f>IFERROR(INDEX('TRANS EMP EXTRACT - COST CENTRE'!$A$1:$Z$455,MATCH('Summary - Monthly'!$A56,'TRANS EMP EXTRACT - COST CENTRE'!$A:$A,0),MATCH('Summary - Monthly'!AD$3,'TRANS EMP EXTRACT - COST CENTRE'!$2:$2,0)),0)</f>
        <v>0</v>
      </c>
      <c r="AE56" s="13">
        <f>IFERROR(INDEX('TRANS EMP EXTRACT - COST CENTRE'!$A$1:$Z$455,MATCH('Summary - Monthly'!$A56,'TRANS EMP EXTRACT - COST CENTRE'!$A:$A,0),MATCH('Summary - Monthly'!AE$3,'TRANS EMP EXTRACT - COST CENTRE'!$2:$2,0)),0)</f>
        <v>0</v>
      </c>
      <c r="AF56" s="13">
        <f>IFERROR(INDEX('TRANS EMP EXTRACT - COST CENTRE'!$A$1:$Z$455,MATCH('Summary - Monthly'!$A56,'TRANS EMP EXTRACT - COST CENTRE'!$A:$A,0),MATCH('Summary - Monthly'!AF$3,'TRANS EMP EXTRACT - COST CENTRE'!$2:$2,0)),0)</f>
        <v>0</v>
      </c>
      <c r="AG56" s="10">
        <f>IFERROR(INDEX('TRANS EMP EXTRACT - COST CENTRE'!$A$1:$Z$455,MATCH('Summary - Monthly'!$A56,'TRANS EMP EXTRACT - COST CENTRE'!$A:$A,0),MATCH('Summary - Monthly'!AG$3,'TRANS EMP EXTRACT - COST CENTRE'!$2:$2,0)),0)</f>
        <v>0</v>
      </c>
      <c r="AH56" s="10">
        <f>IFERROR(INDEX('TRANS EMP EXTRACT - COST CENTRE'!$A$1:$Z$455,MATCH('Summary - Monthly'!$A56,'TRANS EMP EXTRACT - COST CENTRE'!$A:$A,0),MATCH('Summary - Monthly'!AH$3,'TRANS EMP EXTRACT - COST CENTRE'!$2:$2,0)),0)</f>
        <v>0</v>
      </c>
      <c r="AI56" s="10">
        <f>IFERROR(INDEX('TRANS EMP EXTRACT - COST CENTRE'!$A$1:$Z$455,MATCH('Summary - Monthly'!$A56,'TRANS EMP EXTRACT - COST CENTRE'!$A:$A,0),MATCH('Summary - Monthly'!AI$3,'TRANS EMP EXTRACT - COST CENTRE'!$2:$2,0)),0)</f>
        <v>0</v>
      </c>
      <c r="AJ56" s="10">
        <f>IFERROR(INDEX('TRANS EMP EXTRACT - COST CENTRE'!$A$1:$Z$455,MATCH('Summary - Monthly'!$A56,'TRANS EMP EXTRACT - COST CENTRE'!$A:$A,0),MATCH('Summary - Monthly'!AJ$3,'TRANS EMP EXTRACT - COST CENTRE'!$2:$2,0)),0)</f>
        <v>0</v>
      </c>
      <c r="AK56" s="10">
        <f>IFERROR(INDEX('TRANS EMP EXTRACT - COST CENTRE'!$A$1:$Z$455,MATCH('Summary - Monthly'!$A56,'TRANS EMP EXTRACT - COST CENTRE'!$A:$A,0),MATCH('Summary - Monthly'!AK$3,'TRANS EMP EXTRACT - COST CENTRE'!$2:$2,0)),0)</f>
        <v>0</v>
      </c>
      <c r="AL56" s="10">
        <f>IFERROR(INDEX('TRANS EMP EXTRACT - COST CENTRE'!$A$1:$Z$455,MATCH('Summary - Monthly'!$A56,'TRANS EMP EXTRACT - COST CENTRE'!$A:$A,0),MATCH('Summary - Monthly'!AL$3,'TRANS EMP EXTRACT - COST CENTRE'!$2:$2,0)),0)</f>
        <v>0</v>
      </c>
      <c r="AM56" s="10">
        <f t="shared" si="9"/>
        <v>101.4667</v>
      </c>
      <c r="AN56" s="14">
        <f t="shared" si="2"/>
        <v>1.8859868421052629E-2</v>
      </c>
      <c r="AO56" s="18">
        <f t="shared" si="5"/>
        <v>0.66754407894736845</v>
      </c>
      <c r="AP56" s="18">
        <f t="shared" si="6"/>
        <v>0.16754407894736845</v>
      </c>
      <c r="AQ56" s="10" t="str">
        <f>IFERROR(VLOOKUP(B56,Departments!A:C,3,FALSE),"")</f>
        <v>Microbiology</v>
      </c>
      <c r="AR56" s="10" t="str">
        <f>IFERROR(VLOOKUP(B56,Departments!A:B,2,FALSE),"")</f>
        <v>Melb Micro</v>
      </c>
      <c r="AS56" s="10">
        <f t="shared" si="10"/>
        <v>0</v>
      </c>
      <c r="AT56" s="10">
        <f t="shared" si="11"/>
        <v>76</v>
      </c>
      <c r="AU56" s="10" t="str">
        <f>_xlfn.IFNA(VLOOKUP(B56,Departments!A:D,4,FALSE),"")</f>
        <v>Melbourne Micro</v>
      </c>
    </row>
    <row r="57" spans="1:47" ht="14.45" customHeight="1">
      <c r="A57" s="11" t="str">
        <f t="shared" si="3"/>
        <v>1202102118659</v>
      </c>
      <c r="B57" s="11">
        <f>'TRANS EMP EXTRACT - COST CENTRE'!B56</f>
        <v>12021021</v>
      </c>
      <c r="C57" s="10" t="str">
        <f>IFERROR(VLOOKUP(E57,'TRANS EMP EXTRACT - EMP CATEGOR'!A:B,2,FALSE),"")</f>
        <v>FT</v>
      </c>
      <c r="D57" s="10" t="str">
        <f>IFERROR(VLOOKUP(E57,'TRANS EMP EXTRACT - EMP CATEGOR'!A:C,3,FALSE),"")</f>
        <v>Fulltime</v>
      </c>
      <c r="E57" s="11">
        <f>'TRANS EMP EXTRACT - COST CENTRE'!D56</f>
        <v>18659</v>
      </c>
      <c r="F57" s="10" t="str">
        <f>IFERROR(VLOOKUP(E57,'TRANS EMP EXTRACT - COST CENTRE'!D:E,2,FALSE),"")</f>
        <v>HWANG  MI HEI MS</v>
      </c>
      <c r="G57" s="12">
        <f>IFERROR(INDEX('TRANS EMP EXTRACT - COST CENTRE'!$A$1:$Z$455,MATCH('Summary - Monthly'!$A57,'TRANS EMP EXTRACT - COST CENTRE'!$A:$A,0),MATCH('Summary - Monthly'!G$3,'TRANS EMP EXTRACT - COST CENTRE'!$2:$2,0)),"")</f>
        <v>42016</v>
      </c>
      <c r="H57" s="10" t="str">
        <f>IFERROR(INDEX('TRANS EMP EXTRACT - COST CENTRE'!$B$1:$Z$455,MATCH('Summary - Monthly'!$E57,'TRANS EMP EXTRACT - COST CENTRE'!$D:$D,0),MATCH('Summary - Monthly'!H$3,'TRANS EMP EXTRACT - COST CENTRE'!$2:$2,0)),"")</f>
        <v>RT</v>
      </c>
      <c r="I57" s="12" t="str">
        <f>IFERROR(INDEX('TRANS EMP EXTRACT - EMP CATEGOR'!$B$1:$AF$421,MATCH('Summary - Monthly'!$E57,'TRANS EMP EXTRACT - EMP CATEGOR'!$D:$D,0),MATCH('Summary - Monthly'!H$3,'TRANS EMP EXTRACT - EMP CATEGOR'!$2:$2,0)),"")</f>
        <v>RT</v>
      </c>
      <c r="J57" s="41">
        <f t="shared" ca="1" si="0"/>
        <v>278.89830000000001</v>
      </c>
      <c r="K57" s="41">
        <f t="shared" ca="1" si="1"/>
        <v>158.0376</v>
      </c>
      <c r="L57" s="10">
        <f>IFERROR(INDEX('TRANS EMP EXTRACT - COST CENTRE'!$A$1:$Z$455,MATCH('Summary - Monthly'!$A57,'TRANS EMP EXTRACT - COST CENTRE'!$A:$A,0),MATCH('Summary - Monthly'!L$3,'TRANS EMP EXTRACT - COST CENTRE'!$2:$2,0)),"")</f>
        <v>118.6</v>
      </c>
      <c r="M57" s="10">
        <f>IFERROR(INDEX('TRANS EMP EXTRACT - COST CENTRE'!$A$1:$Z$455,MATCH('Summary - Monthly'!$A57,'TRANS EMP EXTRACT - COST CENTRE'!$A:$A,0),MATCH('Summary - Monthly'!M$3,'TRANS EMP EXTRACT - COST CENTRE'!$2:$2,0)),0)</f>
        <v>0</v>
      </c>
      <c r="N57" s="10">
        <f>IFERROR(INDEX('TRANS EMP EXTRACT - COST CENTRE'!$A$1:$Z$455,MATCH('Summary - Monthly'!$A57,'TRANS EMP EXTRACT - COST CENTRE'!$A:$A,0),MATCH('Summary - Monthly'!N$3,'TRANS EMP EXTRACT - COST CENTRE'!$2:$2,0)),0)</f>
        <v>0</v>
      </c>
      <c r="O57" s="10">
        <f>IFERROR(INDEX('TRANS EMP EXTRACT - COST CENTRE'!$A$1:$Z$455,MATCH('Summary - Monthly'!$A57,'TRANS EMP EXTRACT - COST CENTRE'!$A:$A,0),MATCH('Summary - Monthly'!O$3,'TRANS EMP EXTRACT - COST CENTRE'!$2:$2,0)),0)</f>
        <v>0</v>
      </c>
      <c r="P57" s="10">
        <f>IFERROR(INDEX('TRANS EMP EXTRACT - COST CENTRE'!$A$1:$Z$455,MATCH('Summary - Monthly'!$A57,'TRANS EMP EXTRACT - COST CENTRE'!$A:$A,0),MATCH('Summary - Monthly'!P$3,'TRANS EMP EXTRACT - COST CENTRE'!$2:$2,0)),0)</f>
        <v>0</v>
      </c>
      <c r="Q57" s="10">
        <f>IFERROR(INDEX('TRANS EMP EXTRACT - COST CENTRE'!$A$1:$Z$455,MATCH('Summary - Monthly'!$A57,'TRANS EMP EXTRACT - COST CENTRE'!$A:$A,0),MATCH('Summary - Monthly'!Q$3,'TRANS EMP EXTRACT - COST CENTRE'!$2:$2,0)),0)</f>
        <v>10.6501</v>
      </c>
      <c r="R57" s="10">
        <f>IFERROR(INDEX('TRANS EMP EXTRACT - COST CENTRE'!$A$1:$Z$455,MATCH('Summary - Monthly'!$A57,'TRANS EMP EXTRACT - COST CENTRE'!$A:$A,0),MATCH('Summary - Monthly'!R$3,'TRANS EMP EXTRACT - COST CENTRE'!$2:$2,0)),0)</f>
        <v>0.2167</v>
      </c>
      <c r="S57" s="10">
        <f>IFERROR(INDEX('TRANS EMP EXTRACT - COST CENTRE'!$A$1:$Z$455,MATCH('Summary - Monthly'!$A57,'TRANS EMP EXTRACT - COST CENTRE'!$A:$A,0),MATCH('Summary - Monthly'!S$3,'TRANS EMP EXTRACT - COST CENTRE'!$2:$2,0)),0)</f>
        <v>0</v>
      </c>
      <c r="T57" s="8">
        <f>IFERROR(INDEX('TRANS EMP EXTRACT - COST CENTRE'!$A$1:$Z$455,MATCH('Summary - Monthly'!$A57,'TRANS EMP EXTRACT - COST CENTRE'!$A:$A,0),MATCH('Summary - Monthly'!T$3,'TRANS EMP EXTRACT - COST CENTRE'!$2:$2,0)),0)</f>
        <v>0</v>
      </c>
      <c r="U57" s="13">
        <f>IFERROR(INDEX('TRANS EMP EXTRACT - COST CENTRE'!$A$1:$Z$455,MATCH('Summary - Monthly'!$A57,'TRANS EMP EXTRACT - COST CENTRE'!$A:$A,0),MATCH('Summary - Monthly'!U$3,'TRANS EMP EXTRACT - COST CENTRE'!$2:$2,0)),0)</f>
        <v>30.4</v>
      </c>
      <c r="V57" s="13">
        <f>IFERROR(INDEX('TRANS EMP EXTRACT - COST CENTRE'!$A$1:$Z$455,MATCH('Summary - Monthly'!$A57,'TRANS EMP EXTRACT - COST CENTRE'!$A:$A,0),MATCH('Summary - Monthly'!V$3,'TRANS EMP EXTRACT - COST CENTRE'!$2:$2,0)),0)</f>
        <v>3</v>
      </c>
      <c r="W57" s="13">
        <f>IFERROR(INDEX('TRANS EMP EXTRACT - COST CENTRE'!$A$1:$Z$455,MATCH('Summary - Monthly'!$A57,'TRANS EMP EXTRACT - COST CENTRE'!$A:$A,0),MATCH('Summary - Monthly'!W$3,'TRANS EMP EXTRACT - COST CENTRE'!$2:$2,0)),0)</f>
        <v>0</v>
      </c>
      <c r="X57" s="13">
        <f>IFERROR(INDEX('TRANS EMP EXTRACT - COST CENTRE'!$A$1:$Z$455,MATCH('Summary - Monthly'!$A57,'TRANS EMP EXTRACT - COST CENTRE'!$A:$A,0),MATCH('Summary - Monthly'!X$3,'TRANS EMP EXTRACT - COST CENTRE'!$2:$2,0)),0)</f>
        <v>0</v>
      </c>
      <c r="Y57" s="13">
        <f>IFERROR(INDEX('TRANS EMP EXTRACT - COST CENTRE'!$A$1:$Z$455,MATCH('Summary - Monthly'!$A57,'TRANS EMP EXTRACT - COST CENTRE'!$A:$A,0),MATCH('Summary - Monthly'!Y$3,'TRANS EMP EXTRACT - COST CENTRE'!$2:$2,0)),0)</f>
        <v>0</v>
      </c>
      <c r="Z57" s="10">
        <f>IFERROR(INDEX('TRANS EMP EXTRACT - COST CENTRE'!$A$1:$Z$455,MATCH('Summary - Monthly'!$A57,'TRANS EMP EXTRACT - COST CENTRE'!$A:$A,0),MATCH('Summary - Monthly'!Z$3,'TRANS EMP EXTRACT - COST CENTRE'!$2:$2,0)),0)</f>
        <v>0</v>
      </c>
      <c r="AA57" s="10">
        <f>IFERROR(INDEX('TRANS EMP EXTRACT - COST CENTRE'!$A$1:$Z$455,MATCH('Summary - Monthly'!$A57,'TRANS EMP EXTRACT - COST CENTRE'!$A:$A,0),MATCH('Summary - Monthly'!AA$3,'TRANS EMP EXTRACT - COST CENTRE'!$2:$2,0)),0)</f>
        <v>0</v>
      </c>
      <c r="AB57" s="10">
        <f>IFERROR(INDEX('TRANS EMP EXTRACT - COST CENTRE'!$A$1:$Z$455,MATCH('Summary - Monthly'!$A57,'TRANS EMP EXTRACT - COST CENTRE'!$A:$A,0),MATCH('Summary - Monthly'!AB$3,'TRANS EMP EXTRACT - COST CENTRE'!$2:$2,0)),0)</f>
        <v>0</v>
      </c>
      <c r="AC57" s="8">
        <f>IFERROR(INDEX('TRANS EMP EXTRACT - COST CENTRE'!$A$1:$Z$455,MATCH('Summary - Monthly'!$A57,'TRANS EMP EXTRACT - COST CENTRE'!$A:$A,0),MATCH('Summary - Monthly'!AC$3,'TRANS EMP EXTRACT - COST CENTRE'!$2:$2,0)),0)</f>
        <v>0</v>
      </c>
      <c r="AD57" s="13">
        <f>IFERROR(INDEX('TRANS EMP EXTRACT - COST CENTRE'!$A$1:$Z$455,MATCH('Summary - Monthly'!$A57,'TRANS EMP EXTRACT - COST CENTRE'!$A:$A,0),MATCH('Summary - Monthly'!AD$3,'TRANS EMP EXTRACT - COST CENTRE'!$2:$2,0)),0)</f>
        <v>0</v>
      </c>
      <c r="AE57" s="13">
        <f>IFERROR(INDEX('TRANS EMP EXTRACT - COST CENTRE'!$A$1:$Z$455,MATCH('Summary - Monthly'!$A57,'TRANS EMP EXTRACT - COST CENTRE'!$A:$A,0),MATCH('Summary - Monthly'!AE$3,'TRANS EMP EXTRACT - COST CENTRE'!$2:$2,0)),0)</f>
        <v>0</v>
      </c>
      <c r="AF57" s="13">
        <f>IFERROR(INDEX('TRANS EMP EXTRACT - COST CENTRE'!$A$1:$Z$455,MATCH('Summary - Monthly'!$A57,'TRANS EMP EXTRACT - COST CENTRE'!$A:$A,0),MATCH('Summary - Monthly'!AF$3,'TRANS EMP EXTRACT - COST CENTRE'!$2:$2,0)),0)</f>
        <v>0</v>
      </c>
      <c r="AG57" s="10">
        <f>IFERROR(INDEX('TRANS EMP EXTRACT - COST CENTRE'!$A$1:$Z$455,MATCH('Summary - Monthly'!$A57,'TRANS EMP EXTRACT - COST CENTRE'!$A:$A,0),MATCH('Summary - Monthly'!AG$3,'TRANS EMP EXTRACT - COST CENTRE'!$2:$2,0)),0)</f>
        <v>0</v>
      </c>
      <c r="AH57" s="10">
        <f>IFERROR(INDEX('TRANS EMP EXTRACT - COST CENTRE'!$A$1:$Z$455,MATCH('Summary - Monthly'!$A57,'TRANS EMP EXTRACT - COST CENTRE'!$A:$A,0),MATCH('Summary - Monthly'!AH$3,'TRANS EMP EXTRACT - COST CENTRE'!$2:$2,0)),0)</f>
        <v>0</v>
      </c>
      <c r="AI57" s="10">
        <f>IFERROR(INDEX('TRANS EMP EXTRACT - COST CENTRE'!$A$1:$Z$455,MATCH('Summary - Monthly'!$A57,'TRANS EMP EXTRACT - COST CENTRE'!$A:$A,0),MATCH('Summary - Monthly'!AI$3,'TRANS EMP EXTRACT - COST CENTRE'!$2:$2,0)),0)</f>
        <v>0</v>
      </c>
      <c r="AJ57" s="10">
        <f>IFERROR(INDEX('TRANS EMP EXTRACT - COST CENTRE'!$A$1:$Z$455,MATCH('Summary - Monthly'!$A57,'TRANS EMP EXTRACT - COST CENTRE'!$A:$A,0),MATCH('Summary - Monthly'!AJ$3,'TRANS EMP EXTRACT - COST CENTRE'!$2:$2,0)),0)</f>
        <v>0</v>
      </c>
      <c r="AK57" s="10">
        <f>IFERROR(INDEX('TRANS EMP EXTRACT - COST CENTRE'!$A$1:$Z$455,MATCH('Summary - Monthly'!$A57,'TRANS EMP EXTRACT - COST CENTRE'!$A:$A,0),MATCH('Summary - Monthly'!AK$3,'TRANS EMP EXTRACT - COST CENTRE'!$2:$2,0)),0)</f>
        <v>0</v>
      </c>
      <c r="AL57" s="10">
        <f>IFERROR(INDEX('TRANS EMP EXTRACT - COST CENTRE'!$A$1:$Z$455,MATCH('Summary - Monthly'!$A57,'TRANS EMP EXTRACT - COST CENTRE'!$A:$A,0),MATCH('Summary - Monthly'!AL$3,'TRANS EMP EXTRACT - COST CENTRE'!$2:$2,0)),0)</f>
        <v>0</v>
      </c>
      <c r="AM57" s="10">
        <f t="shared" si="9"/>
        <v>162.86680000000001</v>
      </c>
      <c r="AN57" s="14">
        <f t="shared" si="2"/>
        <v>7.1492105263157898E-2</v>
      </c>
      <c r="AO57" s="18">
        <f t="shared" si="5"/>
        <v>1.0714921052631581</v>
      </c>
      <c r="AP57" s="18">
        <f t="shared" si="6"/>
        <v>0.85175526315789474</v>
      </c>
      <c r="AQ57" s="10" t="str">
        <f>IFERROR(VLOOKUP(B57,Departments!A:C,3,FALSE),"")</f>
        <v>Chemistry</v>
      </c>
      <c r="AR57" s="10" t="str">
        <f>IFERROR(VLOOKUP(B57,Departments!A:B,2,FALSE),"")</f>
        <v>Sydney Chem</v>
      </c>
      <c r="AS57" s="10">
        <f t="shared" si="10"/>
        <v>3</v>
      </c>
      <c r="AT57" s="10">
        <f t="shared" si="11"/>
        <v>33.4</v>
      </c>
      <c r="AU57" s="10" t="str">
        <f>_xlfn.IFNA(VLOOKUP(B57,Departments!A:D,4,FALSE),"")</f>
        <v>Sydney Chem</v>
      </c>
    </row>
    <row r="58" spans="1:47" ht="14.45" customHeight="1">
      <c r="A58" s="11" t="str">
        <f t="shared" si="3"/>
        <v>1203301119049</v>
      </c>
      <c r="B58" s="11">
        <f>'TRANS EMP EXTRACT - COST CENTRE'!B57</f>
        <v>12033011</v>
      </c>
      <c r="C58" s="10" t="str">
        <f>IFERROR(VLOOKUP(E58,'TRANS EMP EXTRACT - EMP CATEGOR'!A:B,2,FALSE),"")</f>
        <v>FT</v>
      </c>
      <c r="D58" s="10" t="str">
        <f>IFERROR(VLOOKUP(E58,'TRANS EMP EXTRACT - EMP CATEGOR'!A:C,3,FALSE),"")</f>
        <v>Fulltime</v>
      </c>
      <c r="E58" s="11">
        <f>'TRANS EMP EXTRACT - COST CENTRE'!D57</f>
        <v>19049</v>
      </c>
      <c r="F58" s="10" t="str">
        <f>IFERROR(VLOOKUP(E58,'TRANS EMP EXTRACT - COST CENTRE'!D:E,2,FALSE),"")</f>
        <v>IMAD  SYED MR</v>
      </c>
      <c r="G58" s="12">
        <f>IFERROR(INDEX('TRANS EMP EXTRACT - COST CENTRE'!$A$1:$Z$455,MATCH('Summary - Monthly'!$A58,'TRANS EMP EXTRACT - COST CENTRE'!$A:$A,0),MATCH('Summary - Monthly'!G$3,'TRANS EMP EXTRACT - COST CENTRE'!$2:$2,0)),"")</f>
        <v>44901</v>
      </c>
      <c r="H58" s="10" t="str">
        <f>IFERROR(INDEX('TRANS EMP EXTRACT - COST CENTRE'!$B$1:$Z$455,MATCH('Summary - Monthly'!$E58,'TRANS EMP EXTRACT - COST CENTRE'!$D:$D,0),MATCH('Summary - Monthly'!H$3,'TRANS EMP EXTRACT - COST CENTRE'!$2:$2,0)),"")</f>
        <v>RT</v>
      </c>
      <c r="I58" s="12" t="str">
        <f>IFERROR(INDEX('TRANS EMP EXTRACT - EMP CATEGOR'!$B$1:$AF$421,MATCH('Summary - Monthly'!$E58,'TRANS EMP EXTRACT - EMP CATEGOR'!$D:$D,0),MATCH('Summary - Monthly'!H$3,'TRANS EMP EXTRACT - EMP CATEGOR'!$2:$2,0)),"")</f>
        <v>RT</v>
      </c>
      <c r="J58" s="41">
        <f t="shared" ca="1" si="0"/>
        <v>18.3233</v>
      </c>
      <c r="K58" s="41">
        <f t="shared" ca="1" si="1"/>
        <v>36.646599999999999</v>
      </c>
      <c r="L58" s="10">
        <f>IFERROR(INDEX('TRANS EMP EXTRACT - COST CENTRE'!$A$1:$Z$455,MATCH('Summary - Monthly'!$A58,'TRANS EMP EXTRACT - COST CENTRE'!$A:$A,0),MATCH('Summary - Monthly'!L$3,'TRANS EMP EXTRACT - COST CENTRE'!$2:$2,0)),"")</f>
        <v>29.333300000000001</v>
      </c>
      <c r="M58" s="10">
        <f>IFERROR(INDEX('TRANS EMP EXTRACT - COST CENTRE'!$A$1:$Z$455,MATCH('Summary - Monthly'!$A58,'TRANS EMP EXTRACT - COST CENTRE'!$A:$A,0),MATCH('Summary - Monthly'!M$3,'TRANS EMP EXTRACT - COST CENTRE'!$2:$2,0)),0)</f>
        <v>0</v>
      </c>
      <c r="N58" s="10">
        <f>IFERROR(INDEX('TRANS EMP EXTRACT - COST CENTRE'!$A$1:$Z$455,MATCH('Summary - Monthly'!$A58,'TRANS EMP EXTRACT - COST CENTRE'!$A:$A,0),MATCH('Summary - Monthly'!N$3,'TRANS EMP EXTRACT - COST CENTRE'!$2:$2,0)),0)</f>
        <v>0</v>
      </c>
      <c r="O58" s="10">
        <f>IFERROR(INDEX('TRANS EMP EXTRACT - COST CENTRE'!$A$1:$Z$455,MATCH('Summary - Monthly'!$A58,'TRANS EMP EXTRACT - COST CENTRE'!$A:$A,0),MATCH('Summary - Monthly'!O$3,'TRANS EMP EXTRACT - COST CENTRE'!$2:$2,0)),0)</f>
        <v>30.2333</v>
      </c>
      <c r="P58" s="10">
        <f>IFERROR(INDEX('TRANS EMP EXTRACT - COST CENTRE'!$A$1:$Z$455,MATCH('Summary - Monthly'!$A58,'TRANS EMP EXTRACT - COST CENTRE'!$A:$A,0),MATCH('Summary - Monthly'!P$3,'TRANS EMP EXTRACT - COST CENTRE'!$2:$2,0)),0)</f>
        <v>26.3</v>
      </c>
      <c r="Q58" s="10">
        <f>IFERROR(INDEX('TRANS EMP EXTRACT - COST CENTRE'!$A$1:$Z$455,MATCH('Summary - Monthly'!$A58,'TRANS EMP EXTRACT - COST CENTRE'!$A:$A,0),MATCH('Summary - Monthly'!Q$3,'TRANS EMP EXTRACT - COST CENTRE'!$2:$2,0)),0)</f>
        <v>16.600000000000001</v>
      </c>
      <c r="R58" s="10">
        <f>IFERROR(INDEX('TRANS EMP EXTRACT - COST CENTRE'!$A$1:$Z$455,MATCH('Summary - Monthly'!$A58,'TRANS EMP EXTRACT - COST CENTRE'!$A:$A,0),MATCH('Summary - Monthly'!R$3,'TRANS EMP EXTRACT - COST CENTRE'!$2:$2,0)),0)</f>
        <v>17.083400000000001</v>
      </c>
      <c r="S58" s="10">
        <f>IFERROR(INDEX('TRANS EMP EXTRACT - COST CENTRE'!$A$1:$Z$455,MATCH('Summary - Monthly'!$A58,'TRANS EMP EXTRACT - COST CENTRE'!$A:$A,0),MATCH('Summary - Monthly'!S$3,'TRANS EMP EXTRACT - COST CENTRE'!$2:$2,0)),0)</f>
        <v>0</v>
      </c>
      <c r="T58" s="8">
        <f>IFERROR(INDEX('TRANS EMP EXTRACT - COST CENTRE'!$A$1:$Z$455,MATCH('Summary - Monthly'!$A58,'TRANS EMP EXTRACT - COST CENTRE'!$A:$A,0),MATCH('Summary - Monthly'!T$3,'TRANS EMP EXTRACT - COST CENTRE'!$2:$2,0)),0)</f>
        <v>0</v>
      </c>
      <c r="U58" s="13">
        <f>IFERROR(INDEX('TRANS EMP EXTRACT - COST CENTRE'!$A$1:$Z$455,MATCH('Summary - Monthly'!$A58,'TRANS EMP EXTRACT - COST CENTRE'!$A:$A,0),MATCH('Summary - Monthly'!U$3,'TRANS EMP EXTRACT - COST CENTRE'!$2:$2,0)),0)</f>
        <v>0</v>
      </c>
      <c r="V58" s="13">
        <f>IFERROR(INDEX('TRANS EMP EXTRACT - COST CENTRE'!$A$1:$Z$455,MATCH('Summary - Monthly'!$A58,'TRANS EMP EXTRACT - COST CENTRE'!$A:$A,0),MATCH('Summary - Monthly'!V$3,'TRANS EMP EXTRACT - COST CENTRE'!$2:$2,0)),0)</f>
        <v>0</v>
      </c>
      <c r="W58" s="13">
        <f>IFERROR(INDEX('TRANS EMP EXTRACT - COST CENTRE'!$A$1:$Z$455,MATCH('Summary - Monthly'!$A58,'TRANS EMP EXTRACT - COST CENTRE'!$A:$A,0),MATCH('Summary - Monthly'!W$3,'TRANS EMP EXTRACT - COST CENTRE'!$2:$2,0)),0)</f>
        <v>0</v>
      </c>
      <c r="X58" s="13">
        <f>IFERROR(INDEX('TRANS EMP EXTRACT - COST CENTRE'!$A$1:$Z$455,MATCH('Summary - Monthly'!$A58,'TRANS EMP EXTRACT - COST CENTRE'!$A:$A,0),MATCH('Summary - Monthly'!X$3,'TRANS EMP EXTRACT - COST CENTRE'!$2:$2,0)),0)</f>
        <v>0</v>
      </c>
      <c r="Y58" s="13">
        <f>IFERROR(INDEX('TRANS EMP EXTRACT - COST CENTRE'!$A$1:$Z$455,MATCH('Summary - Monthly'!$A58,'TRANS EMP EXTRACT - COST CENTRE'!$A:$A,0),MATCH('Summary - Monthly'!Y$3,'TRANS EMP EXTRACT - COST CENTRE'!$2:$2,0)),0)</f>
        <v>0</v>
      </c>
      <c r="Z58" s="10">
        <f>IFERROR(INDEX('TRANS EMP EXTRACT - COST CENTRE'!$A$1:$Z$455,MATCH('Summary - Monthly'!$A58,'TRANS EMP EXTRACT - COST CENTRE'!$A:$A,0),MATCH('Summary - Monthly'!Z$3,'TRANS EMP EXTRACT - COST CENTRE'!$2:$2,0)),0)</f>
        <v>0</v>
      </c>
      <c r="AA58" s="10">
        <f>IFERROR(INDEX('TRANS EMP EXTRACT - COST CENTRE'!$A$1:$Z$455,MATCH('Summary - Monthly'!$A58,'TRANS EMP EXTRACT - COST CENTRE'!$A:$A,0),MATCH('Summary - Monthly'!AA$3,'TRANS EMP EXTRACT - COST CENTRE'!$2:$2,0)),0)</f>
        <v>0</v>
      </c>
      <c r="AB58" s="10">
        <f>IFERROR(INDEX('TRANS EMP EXTRACT - COST CENTRE'!$A$1:$Z$455,MATCH('Summary - Monthly'!$A58,'TRANS EMP EXTRACT - COST CENTRE'!$A:$A,0),MATCH('Summary - Monthly'!AB$3,'TRANS EMP EXTRACT - COST CENTRE'!$2:$2,0)),0)</f>
        <v>0</v>
      </c>
      <c r="AC58" s="8">
        <f>IFERROR(INDEX('TRANS EMP EXTRACT - COST CENTRE'!$A$1:$Z$455,MATCH('Summary - Monthly'!$A58,'TRANS EMP EXTRACT - COST CENTRE'!$A:$A,0),MATCH('Summary - Monthly'!AC$3,'TRANS EMP EXTRACT - COST CENTRE'!$2:$2,0)),0)</f>
        <v>0</v>
      </c>
      <c r="AD58" s="13">
        <f>IFERROR(INDEX('TRANS EMP EXTRACT - COST CENTRE'!$A$1:$Z$455,MATCH('Summary - Monthly'!$A58,'TRANS EMP EXTRACT - COST CENTRE'!$A:$A,0),MATCH('Summary - Monthly'!AD$3,'TRANS EMP EXTRACT - COST CENTRE'!$2:$2,0)),0)</f>
        <v>0</v>
      </c>
      <c r="AE58" s="13">
        <f>IFERROR(INDEX('TRANS EMP EXTRACT - COST CENTRE'!$A$1:$Z$455,MATCH('Summary - Monthly'!$A58,'TRANS EMP EXTRACT - COST CENTRE'!$A:$A,0),MATCH('Summary - Monthly'!AE$3,'TRANS EMP EXTRACT - COST CENTRE'!$2:$2,0)),0)</f>
        <v>0</v>
      </c>
      <c r="AF58" s="13">
        <f>IFERROR(INDEX('TRANS EMP EXTRACT - COST CENTRE'!$A$1:$Z$455,MATCH('Summary - Monthly'!$A58,'TRANS EMP EXTRACT - COST CENTRE'!$A:$A,0),MATCH('Summary - Monthly'!AF$3,'TRANS EMP EXTRACT - COST CENTRE'!$2:$2,0)),0)</f>
        <v>0</v>
      </c>
      <c r="AG58" s="10">
        <f>IFERROR(INDEX('TRANS EMP EXTRACT - COST CENTRE'!$A$1:$Z$455,MATCH('Summary - Monthly'!$A58,'TRANS EMP EXTRACT - COST CENTRE'!$A:$A,0),MATCH('Summary - Monthly'!AG$3,'TRANS EMP EXTRACT - COST CENTRE'!$2:$2,0)),0)</f>
        <v>0</v>
      </c>
      <c r="AH58" s="10">
        <f>IFERROR(INDEX('TRANS EMP EXTRACT - COST CENTRE'!$A$1:$Z$455,MATCH('Summary - Monthly'!$A58,'TRANS EMP EXTRACT - COST CENTRE'!$A:$A,0),MATCH('Summary - Monthly'!AH$3,'TRANS EMP EXTRACT - COST CENTRE'!$2:$2,0)),0)</f>
        <v>0</v>
      </c>
      <c r="AI58" s="10">
        <f>IFERROR(INDEX('TRANS EMP EXTRACT - COST CENTRE'!$A$1:$Z$455,MATCH('Summary - Monthly'!$A58,'TRANS EMP EXTRACT - COST CENTRE'!$A:$A,0),MATCH('Summary - Monthly'!AI$3,'TRANS EMP EXTRACT - COST CENTRE'!$2:$2,0)),0)</f>
        <v>0</v>
      </c>
      <c r="AJ58" s="10">
        <f>IFERROR(INDEX('TRANS EMP EXTRACT - COST CENTRE'!$A$1:$Z$455,MATCH('Summary - Monthly'!$A58,'TRANS EMP EXTRACT - COST CENTRE'!$A:$A,0),MATCH('Summary - Monthly'!AJ$3,'TRANS EMP EXTRACT - COST CENTRE'!$2:$2,0)),0)</f>
        <v>0</v>
      </c>
      <c r="AK58" s="10">
        <f>IFERROR(INDEX('TRANS EMP EXTRACT - COST CENTRE'!$A$1:$Z$455,MATCH('Summary - Monthly'!$A58,'TRANS EMP EXTRACT - COST CENTRE'!$A:$A,0),MATCH('Summary - Monthly'!AK$3,'TRANS EMP EXTRACT - COST CENTRE'!$2:$2,0)),0)</f>
        <v>0</v>
      </c>
      <c r="AL58" s="10">
        <f>IFERROR(INDEX('TRANS EMP EXTRACT - COST CENTRE'!$A$1:$Z$455,MATCH('Summary - Monthly'!$A58,'TRANS EMP EXTRACT - COST CENTRE'!$A:$A,0),MATCH('Summary - Monthly'!AL$3,'TRANS EMP EXTRACT - COST CENTRE'!$2:$2,0)),0)</f>
        <v>0</v>
      </c>
      <c r="AM58" s="10">
        <f t="shared" si="9"/>
        <v>119.55</v>
      </c>
      <c r="AN58" s="14">
        <f t="shared" si="2"/>
        <v>0.22160131578947373</v>
      </c>
      <c r="AO58" s="18">
        <f t="shared" si="5"/>
        <v>0.78651315789473686</v>
      </c>
      <c r="AP58" s="18">
        <f t="shared" si="6"/>
        <v>0.78651315789473686</v>
      </c>
      <c r="AQ58" s="10" t="str">
        <f>IFERROR(VLOOKUP(B58,Departments!A:C,3,FALSE),"")</f>
        <v>Microbiology</v>
      </c>
      <c r="AR58" s="10" t="str">
        <f>IFERROR(VLOOKUP(B58,Departments!A:B,2,FALSE),"")</f>
        <v>Melb Micro</v>
      </c>
      <c r="AS58" s="10">
        <f t="shared" si="10"/>
        <v>0</v>
      </c>
      <c r="AT58" s="10">
        <f t="shared" si="11"/>
        <v>0</v>
      </c>
      <c r="AU58" s="10" t="str">
        <f>_xlfn.IFNA(VLOOKUP(B58,Departments!A:D,4,FALSE),"")</f>
        <v>Melbourne Micro</v>
      </c>
    </row>
    <row r="59" spans="1:47" ht="14.45" customHeight="1">
      <c r="A59" s="11" t="str">
        <f t="shared" si="3"/>
        <v>1204301118646</v>
      </c>
      <c r="B59" s="11">
        <f>'TRANS EMP EXTRACT - COST CENTRE'!B58</f>
        <v>12043011</v>
      </c>
      <c r="C59" s="10" t="str">
        <f>IFERROR(VLOOKUP(E59,'TRANS EMP EXTRACT - EMP CATEGOR'!A:B,2,FALSE),"")</f>
        <v>PT</v>
      </c>
      <c r="D59" s="10" t="str">
        <f>IFERROR(VLOOKUP(E59,'TRANS EMP EXTRACT - EMP CATEGOR'!A:C,3,FALSE),"")</f>
        <v>Parttime</v>
      </c>
      <c r="E59" s="11">
        <f>'TRANS EMP EXTRACT - COST CENTRE'!D58</f>
        <v>18646</v>
      </c>
      <c r="F59" s="10" t="str">
        <f>IFERROR(VLOOKUP(E59,'TRANS EMP EXTRACT - COST CENTRE'!D:E,2,FALSE),"")</f>
        <v>IQBAL  SHABANA MRS</v>
      </c>
      <c r="G59" s="12">
        <f>IFERROR(INDEX('TRANS EMP EXTRACT - COST CENTRE'!$A$1:$Z$455,MATCH('Summary - Monthly'!$A59,'TRANS EMP EXTRACT - COST CENTRE'!$A:$A,0),MATCH('Summary - Monthly'!G$3,'TRANS EMP EXTRACT - COST CENTRE'!$2:$2,0)),"")</f>
        <v>41701</v>
      </c>
      <c r="H59" s="10" t="str">
        <f>IFERROR(INDEX('TRANS EMP EXTRACT - COST CENTRE'!$B$1:$Z$455,MATCH('Summary - Monthly'!$E59,'TRANS EMP EXTRACT - COST CENTRE'!$D:$D,0),MATCH('Summary - Monthly'!H$3,'TRANS EMP EXTRACT - COST CENTRE'!$2:$2,0)),"")</f>
        <v>RT</v>
      </c>
      <c r="I59" s="12" t="str">
        <f>IFERROR(INDEX('TRANS EMP EXTRACT - EMP CATEGOR'!$B$1:$AF$421,MATCH('Summary - Monthly'!$E59,'TRANS EMP EXTRACT - EMP CATEGOR'!$D:$D,0),MATCH('Summary - Monthly'!H$3,'TRANS EMP EXTRACT - EMP CATEGOR'!$2:$2,0)),"")</f>
        <v>RT</v>
      </c>
      <c r="J59" s="41">
        <f t="shared" ca="1" si="0"/>
        <v>10.7416</v>
      </c>
      <c r="K59" s="41">
        <f t="shared" ca="1" si="1"/>
        <v>46.483600000000003</v>
      </c>
      <c r="L59" s="10">
        <f>IFERROR(INDEX('TRANS EMP EXTRACT - COST CENTRE'!$A$1:$Z$455,MATCH('Summary - Monthly'!$A59,'TRANS EMP EXTRACT - COST CENTRE'!$A:$A,0),MATCH('Summary - Monthly'!L$3,'TRANS EMP EXTRACT - COST CENTRE'!$2:$2,0)),"")</f>
        <v>50.333300000000001</v>
      </c>
      <c r="M59" s="10">
        <f>IFERROR(INDEX('TRANS EMP EXTRACT - COST CENTRE'!$A$1:$Z$455,MATCH('Summary - Monthly'!$A59,'TRANS EMP EXTRACT - COST CENTRE'!$A:$A,0),MATCH('Summary - Monthly'!M$3,'TRANS EMP EXTRACT - COST CENTRE'!$2:$2,0)),0)</f>
        <v>0</v>
      </c>
      <c r="N59" s="10">
        <f>IFERROR(INDEX('TRANS EMP EXTRACT - COST CENTRE'!$A$1:$Z$455,MATCH('Summary - Monthly'!$A59,'TRANS EMP EXTRACT - COST CENTRE'!$A:$A,0),MATCH('Summary - Monthly'!N$3,'TRANS EMP EXTRACT - COST CENTRE'!$2:$2,0)),0)</f>
        <v>0</v>
      </c>
      <c r="O59" s="10">
        <f>IFERROR(INDEX('TRANS EMP EXTRACT - COST CENTRE'!$A$1:$Z$455,MATCH('Summary - Monthly'!$A59,'TRANS EMP EXTRACT - COST CENTRE'!$A:$A,0),MATCH('Summary - Monthly'!O$3,'TRANS EMP EXTRACT - COST CENTRE'!$2:$2,0)),0)</f>
        <v>30.166699999999999</v>
      </c>
      <c r="P59" s="10">
        <f>IFERROR(INDEX('TRANS EMP EXTRACT - COST CENTRE'!$A$1:$Z$455,MATCH('Summary - Monthly'!$A59,'TRANS EMP EXTRACT - COST CENTRE'!$A:$A,0),MATCH('Summary - Monthly'!P$3,'TRANS EMP EXTRACT - COST CENTRE'!$2:$2,0)),0)</f>
        <v>30.1</v>
      </c>
      <c r="Q59" s="10">
        <f>IFERROR(INDEX('TRANS EMP EXTRACT - COST CENTRE'!$A$1:$Z$455,MATCH('Summary - Monthly'!$A59,'TRANS EMP EXTRACT - COST CENTRE'!$A:$A,0),MATCH('Summary - Monthly'!Q$3,'TRANS EMP EXTRACT - COST CENTRE'!$2:$2,0)),0)</f>
        <v>5.9</v>
      </c>
      <c r="R59" s="10">
        <f>IFERROR(INDEX('TRANS EMP EXTRACT - COST CENTRE'!$A$1:$Z$455,MATCH('Summary - Monthly'!$A59,'TRANS EMP EXTRACT - COST CENTRE'!$A:$A,0),MATCH('Summary - Monthly'!R$3,'TRANS EMP EXTRACT - COST CENTRE'!$2:$2,0)),0)</f>
        <v>2.4998999999999998</v>
      </c>
      <c r="S59" s="10">
        <f>IFERROR(INDEX('TRANS EMP EXTRACT - COST CENTRE'!$A$1:$Z$455,MATCH('Summary - Monthly'!$A59,'TRANS EMP EXTRACT - COST CENTRE'!$A:$A,0),MATCH('Summary - Monthly'!S$3,'TRANS EMP EXTRACT - COST CENTRE'!$2:$2,0)),0)</f>
        <v>0</v>
      </c>
      <c r="T59" s="8">
        <f>IFERROR(INDEX('TRANS EMP EXTRACT - COST CENTRE'!$A$1:$Z$455,MATCH('Summary - Monthly'!$A59,'TRANS EMP EXTRACT - COST CENTRE'!$A:$A,0),MATCH('Summary - Monthly'!T$3,'TRANS EMP EXTRACT - COST CENTRE'!$2:$2,0)),0)</f>
        <v>0</v>
      </c>
      <c r="U59" s="13">
        <f>IFERROR(INDEX('TRANS EMP EXTRACT - COST CENTRE'!$A$1:$Z$455,MATCH('Summary - Monthly'!$A59,'TRANS EMP EXTRACT - COST CENTRE'!$A:$A,0),MATCH('Summary - Monthly'!U$3,'TRANS EMP EXTRACT - COST CENTRE'!$2:$2,0)),0)</f>
        <v>0</v>
      </c>
      <c r="V59" s="13">
        <f>IFERROR(INDEX('TRANS EMP EXTRACT - COST CENTRE'!$A$1:$Z$455,MATCH('Summary - Monthly'!$A59,'TRANS EMP EXTRACT - COST CENTRE'!$A:$A,0),MATCH('Summary - Monthly'!V$3,'TRANS EMP EXTRACT - COST CENTRE'!$2:$2,0)),0)</f>
        <v>0</v>
      </c>
      <c r="W59" s="13">
        <f>IFERROR(INDEX('TRANS EMP EXTRACT - COST CENTRE'!$A$1:$Z$455,MATCH('Summary - Monthly'!$A59,'TRANS EMP EXTRACT - COST CENTRE'!$A:$A,0),MATCH('Summary - Monthly'!W$3,'TRANS EMP EXTRACT - COST CENTRE'!$2:$2,0)),0)</f>
        <v>0</v>
      </c>
      <c r="X59" s="13">
        <f>IFERROR(INDEX('TRANS EMP EXTRACT - COST CENTRE'!$A$1:$Z$455,MATCH('Summary - Monthly'!$A59,'TRANS EMP EXTRACT - COST CENTRE'!$A:$A,0),MATCH('Summary - Monthly'!X$3,'TRANS EMP EXTRACT - COST CENTRE'!$2:$2,0)),0)</f>
        <v>0</v>
      </c>
      <c r="Y59" s="13">
        <f>IFERROR(INDEX('TRANS EMP EXTRACT - COST CENTRE'!$A$1:$Z$455,MATCH('Summary - Monthly'!$A59,'TRANS EMP EXTRACT - COST CENTRE'!$A:$A,0),MATCH('Summary - Monthly'!Y$3,'TRANS EMP EXTRACT - COST CENTRE'!$2:$2,0)),0)</f>
        <v>0</v>
      </c>
      <c r="Z59" s="10">
        <f>IFERROR(INDEX('TRANS EMP EXTRACT - COST CENTRE'!$A$1:$Z$455,MATCH('Summary - Monthly'!$A59,'TRANS EMP EXTRACT - COST CENTRE'!$A:$A,0),MATCH('Summary - Monthly'!Z$3,'TRANS EMP EXTRACT - COST CENTRE'!$2:$2,0)),0)</f>
        <v>0</v>
      </c>
      <c r="AA59" s="10">
        <f>IFERROR(INDEX('TRANS EMP EXTRACT - COST CENTRE'!$A$1:$Z$455,MATCH('Summary - Monthly'!$A59,'TRANS EMP EXTRACT - COST CENTRE'!$A:$A,0),MATCH('Summary - Monthly'!AA$3,'TRANS EMP EXTRACT - COST CENTRE'!$2:$2,0)),0)</f>
        <v>0</v>
      </c>
      <c r="AB59" s="10">
        <f>IFERROR(INDEX('TRANS EMP EXTRACT - COST CENTRE'!$A$1:$Z$455,MATCH('Summary - Monthly'!$A59,'TRANS EMP EXTRACT - COST CENTRE'!$A:$A,0),MATCH('Summary - Monthly'!AB$3,'TRANS EMP EXTRACT - COST CENTRE'!$2:$2,0)),0)</f>
        <v>0</v>
      </c>
      <c r="AC59" s="8">
        <f>IFERROR(INDEX('TRANS EMP EXTRACT - COST CENTRE'!$A$1:$Z$455,MATCH('Summary - Monthly'!$A59,'TRANS EMP EXTRACT - COST CENTRE'!$A:$A,0),MATCH('Summary - Monthly'!AC$3,'TRANS EMP EXTRACT - COST CENTRE'!$2:$2,0)),0)</f>
        <v>0</v>
      </c>
      <c r="AD59" s="13">
        <f>IFERROR(INDEX('TRANS EMP EXTRACT - COST CENTRE'!$A$1:$Z$455,MATCH('Summary - Monthly'!$A59,'TRANS EMP EXTRACT - COST CENTRE'!$A:$A,0),MATCH('Summary - Monthly'!AD$3,'TRANS EMP EXTRACT - COST CENTRE'!$2:$2,0)),0)</f>
        <v>0</v>
      </c>
      <c r="AE59" s="13">
        <f>IFERROR(INDEX('TRANS EMP EXTRACT - COST CENTRE'!$A$1:$Z$455,MATCH('Summary - Monthly'!$A59,'TRANS EMP EXTRACT - COST CENTRE'!$A:$A,0),MATCH('Summary - Monthly'!AE$3,'TRANS EMP EXTRACT - COST CENTRE'!$2:$2,0)),0)</f>
        <v>0</v>
      </c>
      <c r="AF59" s="13">
        <f>IFERROR(INDEX('TRANS EMP EXTRACT - COST CENTRE'!$A$1:$Z$455,MATCH('Summary - Monthly'!$A59,'TRANS EMP EXTRACT - COST CENTRE'!$A:$A,0),MATCH('Summary - Monthly'!AF$3,'TRANS EMP EXTRACT - COST CENTRE'!$2:$2,0)),0)</f>
        <v>0</v>
      </c>
      <c r="AG59" s="10">
        <f>IFERROR(INDEX('TRANS EMP EXTRACT - COST CENTRE'!$A$1:$Z$455,MATCH('Summary - Monthly'!$A59,'TRANS EMP EXTRACT - COST CENTRE'!$A:$A,0),MATCH('Summary - Monthly'!AG$3,'TRANS EMP EXTRACT - COST CENTRE'!$2:$2,0)),0)</f>
        <v>0</v>
      </c>
      <c r="AH59" s="10">
        <f>IFERROR(INDEX('TRANS EMP EXTRACT - COST CENTRE'!$A$1:$Z$455,MATCH('Summary - Monthly'!$A59,'TRANS EMP EXTRACT - COST CENTRE'!$A:$A,0),MATCH('Summary - Monthly'!AH$3,'TRANS EMP EXTRACT - COST CENTRE'!$2:$2,0)),0)</f>
        <v>0</v>
      </c>
      <c r="AI59" s="10">
        <f>IFERROR(INDEX('TRANS EMP EXTRACT - COST CENTRE'!$A$1:$Z$455,MATCH('Summary - Monthly'!$A59,'TRANS EMP EXTRACT - COST CENTRE'!$A:$A,0),MATCH('Summary - Monthly'!AI$3,'TRANS EMP EXTRACT - COST CENTRE'!$2:$2,0)),0)</f>
        <v>0</v>
      </c>
      <c r="AJ59" s="10">
        <f>IFERROR(INDEX('TRANS EMP EXTRACT - COST CENTRE'!$A$1:$Z$455,MATCH('Summary - Monthly'!$A59,'TRANS EMP EXTRACT - COST CENTRE'!$A:$A,0),MATCH('Summary - Monthly'!AJ$3,'TRANS EMP EXTRACT - COST CENTRE'!$2:$2,0)),0)</f>
        <v>0</v>
      </c>
      <c r="AK59" s="10">
        <f>IFERROR(INDEX('TRANS EMP EXTRACT - COST CENTRE'!$A$1:$Z$455,MATCH('Summary - Monthly'!$A59,'TRANS EMP EXTRACT - COST CENTRE'!$A:$A,0),MATCH('Summary - Monthly'!AK$3,'TRANS EMP EXTRACT - COST CENTRE'!$2:$2,0)),0)</f>
        <v>0</v>
      </c>
      <c r="AL59" s="10">
        <f>IFERROR(INDEX('TRANS EMP EXTRACT - COST CENTRE'!$A$1:$Z$455,MATCH('Summary - Monthly'!$A59,'TRANS EMP EXTRACT - COST CENTRE'!$A:$A,0),MATCH('Summary - Monthly'!AL$3,'TRANS EMP EXTRACT - COST CENTRE'!$2:$2,0)),0)</f>
        <v>0</v>
      </c>
      <c r="AM59" s="10">
        <f t="shared" si="9"/>
        <v>118.9999</v>
      </c>
      <c r="AN59" s="14">
        <f t="shared" si="2"/>
        <v>5.5262500000000006E-2</v>
      </c>
      <c r="AO59" s="18">
        <f t="shared" si="5"/>
        <v>0.7828940789473684</v>
      </c>
      <c r="AP59" s="18">
        <f t="shared" si="6"/>
        <v>0.7828940789473684</v>
      </c>
      <c r="AQ59" s="10" t="str">
        <f>IFERROR(VLOOKUP(B59,Departments!A:C,3,FALSE),"")</f>
        <v>Microbiology</v>
      </c>
      <c r="AR59" s="10" t="str">
        <f>IFERROR(VLOOKUP(B59,Departments!A:B,2,FALSE),"")</f>
        <v>Bris Micro</v>
      </c>
      <c r="AS59" s="10">
        <f t="shared" si="10"/>
        <v>0</v>
      </c>
      <c r="AT59" s="10">
        <f t="shared" si="11"/>
        <v>0</v>
      </c>
      <c r="AU59" s="10" t="str">
        <f>_xlfn.IFNA(VLOOKUP(B59,Departments!A:D,4,FALSE),"")</f>
        <v>Brisbane Micro</v>
      </c>
    </row>
    <row r="60" spans="1:47" ht="14.45" customHeight="1">
      <c r="A60" s="11" t="str">
        <f t="shared" si="3"/>
        <v>1202102118967</v>
      </c>
      <c r="B60" s="11">
        <f>'TRANS EMP EXTRACT - COST CENTRE'!B59</f>
        <v>12021021</v>
      </c>
      <c r="C60" s="10" t="str">
        <f>IFERROR(VLOOKUP(E60,'TRANS EMP EXTRACT - EMP CATEGOR'!A:B,2,FALSE),"")</f>
        <v>FT</v>
      </c>
      <c r="D60" s="10" t="str">
        <f>IFERROR(VLOOKUP(E60,'TRANS EMP EXTRACT - EMP CATEGOR'!A:C,3,FALSE),"")</f>
        <v>Fulltime</v>
      </c>
      <c r="E60" s="11">
        <f>'TRANS EMP EXTRACT - COST CENTRE'!D59</f>
        <v>18967</v>
      </c>
      <c r="F60" s="10" t="str">
        <f>IFERROR(VLOOKUP(E60,'TRANS EMP EXTRACT - COST CENTRE'!D:E,2,FALSE),"")</f>
        <v>ISLAM  MD FOKHRUL MR</v>
      </c>
      <c r="G60" s="12">
        <f>IFERROR(INDEX('TRANS EMP EXTRACT - COST CENTRE'!$A$1:$Z$455,MATCH('Summary - Monthly'!$A60,'TRANS EMP EXTRACT - COST CENTRE'!$A:$A,0),MATCH('Summary - Monthly'!G$3,'TRANS EMP EXTRACT - COST CENTRE'!$2:$2,0)),"")</f>
        <v>44431</v>
      </c>
      <c r="H60" s="10" t="str">
        <f>IFERROR(INDEX('TRANS EMP EXTRACT - COST CENTRE'!$B$1:$Z$455,MATCH('Summary - Monthly'!$E60,'TRANS EMP EXTRACT - COST CENTRE'!$D:$D,0),MATCH('Summary - Monthly'!H$3,'TRANS EMP EXTRACT - COST CENTRE'!$2:$2,0)),"")</f>
        <v>RT</v>
      </c>
      <c r="I60" s="12" t="str">
        <f>IFERROR(INDEX('TRANS EMP EXTRACT - EMP CATEGOR'!$B$1:$AF$421,MATCH('Summary - Monthly'!$E60,'TRANS EMP EXTRACT - EMP CATEGOR'!$D:$D,0),MATCH('Summary - Monthly'!H$3,'TRANS EMP EXTRACT - EMP CATEGOR'!$2:$2,0)),"")</f>
        <v>RT</v>
      </c>
      <c r="J60" s="41">
        <f t="shared" ca="1" si="0"/>
        <v>15.9863</v>
      </c>
      <c r="K60" s="41">
        <f t="shared" ca="1" si="1"/>
        <v>87.9726</v>
      </c>
      <c r="L60" s="10">
        <f>IFERROR(INDEX('TRANS EMP EXTRACT - COST CENTRE'!$A$1:$Z$455,MATCH('Summary - Monthly'!$A60,'TRANS EMP EXTRACT - COST CENTRE'!$A:$A,0),MATCH('Summary - Monthly'!L$3,'TRANS EMP EXTRACT - COST CENTRE'!$2:$2,0)),"")</f>
        <v>144.4</v>
      </c>
      <c r="M60" s="10">
        <f>IFERROR(INDEX('TRANS EMP EXTRACT - COST CENTRE'!$A$1:$Z$455,MATCH('Summary - Monthly'!$A60,'TRANS EMP EXTRACT - COST CENTRE'!$A:$A,0),MATCH('Summary - Monthly'!M$3,'TRANS EMP EXTRACT - COST CENTRE'!$2:$2,0)),0)</f>
        <v>0</v>
      </c>
      <c r="N60" s="10">
        <f>IFERROR(INDEX('TRANS EMP EXTRACT - COST CENTRE'!$A$1:$Z$455,MATCH('Summary - Monthly'!$A60,'TRANS EMP EXTRACT - COST CENTRE'!$A:$A,0),MATCH('Summary - Monthly'!N$3,'TRANS EMP EXTRACT - COST CENTRE'!$2:$2,0)),0)</f>
        <v>0</v>
      </c>
      <c r="O60" s="10">
        <f>IFERROR(INDEX('TRANS EMP EXTRACT - COST CENTRE'!$A$1:$Z$455,MATCH('Summary - Monthly'!$A60,'TRANS EMP EXTRACT - COST CENTRE'!$A:$A,0),MATCH('Summary - Monthly'!O$3,'TRANS EMP EXTRACT - COST CENTRE'!$2:$2,0)),0)</f>
        <v>0</v>
      </c>
      <c r="P60" s="10">
        <f>IFERROR(INDEX('TRANS EMP EXTRACT - COST CENTRE'!$A$1:$Z$455,MATCH('Summary - Monthly'!$A60,'TRANS EMP EXTRACT - COST CENTRE'!$A:$A,0),MATCH('Summary - Monthly'!P$3,'TRANS EMP EXTRACT - COST CENTRE'!$2:$2,0)),0)</f>
        <v>0</v>
      </c>
      <c r="Q60" s="10">
        <f>IFERROR(INDEX('TRANS EMP EXTRACT - COST CENTRE'!$A$1:$Z$455,MATCH('Summary - Monthly'!$A60,'TRANS EMP EXTRACT - COST CENTRE'!$A:$A,0),MATCH('Summary - Monthly'!Q$3,'TRANS EMP EXTRACT - COST CENTRE'!$2:$2,0)),0)</f>
        <v>17.5</v>
      </c>
      <c r="R60" s="10">
        <f>IFERROR(INDEX('TRANS EMP EXTRACT - COST CENTRE'!$A$1:$Z$455,MATCH('Summary - Monthly'!$A60,'TRANS EMP EXTRACT - COST CENTRE'!$A:$A,0),MATCH('Summary - Monthly'!R$3,'TRANS EMP EXTRACT - COST CENTRE'!$2:$2,0)),0)</f>
        <v>0</v>
      </c>
      <c r="S60" s="10">
        <f>IFERROR(INDEX('TRANS EMP EXTRACT - COST CENTRE'!$A$1:$Z$455,MATCH('Summary - Monthly'!$A60,'TRANS EMP EXTRACT - COST CENTRE'!$A:$A,0),MATCH('Summary - Monthly'!S$3,'TRANS EMP EXTRACT - COST CENTRE'!$2:$2,0)),0)</f>
        <v>0</v>
      </c>
      <c r="T60" s="8">
        <f>IFERROR(INDEX('TRANS EMP EXTRACT - COST CENTRE'!$A$1:$Z$455,MATCH('Summary - Monthly'!$A60,'TRANS EMP EXTRACT - COST CENTRE'!$A:$A,0),MATCH('Summary - Monthly'!T$3,'TRANS EMP EXTRACT - COST CENTRE'!$2:$2,0)),0)</f>
        <v>0</v>
      </c>
      <c r="U60" s="13">
        <f>IFERROR(INDEX('TRANS EMP EXTRACT - COST CENTRE'!$A$1:$Z$455,MATCH('Summary - Monthly'!$A60,'TRANS EMP EXTRACT - COST CENTRE'!$A:$A,0),MATCH('Summary - Monthly'!U$3,'TRANS EMP EXTRACT - COST CENTRE'!$2:$2,0)),0)</f>
        <v>0</v>
      </c>
      <c r="V60" s="13">
        <f>IFERROR(INDEX('TRANS EMP EXTRACT - COST CENTRE'!$A$1:$Z$455,MATCH('Summary - Monthly'!$A60,'TRANS EMP EXTRACT - COST CENTRE'!$A:$A,0),MATCH('Summary - Monthly'!V$3,'TRANS EMP EXTRACT - COST CENTRE'!$2:$2,0)),0)</f>
        <v>7.6</v>
      </c>
      <c r="W60" s="13">
        <f>IFERROR(INDEX('TRANS EMP EXTRACT - COST CENTRE'!$A$1:$Z$455,MATCH('Summary - Monthly'!$A60,'TRANS EMP EXTRACT - COST CENTRE'!$A:$A,0),MATCH('Summary - Monthly'!W$3,'TRANS EMP EXTRACT - COST CENTRE'!$2:$2,0)),0)</f>
        <v>0</v>
      </c>
      <c r="X60" s="13">
        <f>IFERROR(INDEX('TRANS EMP EXTRACT - COST CENTRE'!$A$1:$Z$455,MATCH('Summary - Monthly'!$A60,'TRANS EMP EXTRACT - COST CENTRE'!$A:$A,0),MATCH('Summary - Monthly'!X$3,'TRANS EMP EXTRACT - COST CENTRE'!$2:$2,0)),0)</f>
        <v>0</v>
      </c>
      <c r="Y60" s="13">
        <f>IFERROR(INDEX('TRANS EMP EXTRACT - COST CENTRE'!$A$1:$Z$455,MATCH('Summary - Monthly'!$A60,'TRANS EMP EXTRACT - COST CENTRE'!$A:$A,0),MATCH('Summary - Monthly'!Y$3,'TRANS EMP EXTRACT - COST CENTRE'!$2:$2,0)),0)</f>
        <v>0</v>
      </c>
      <c r="Z60" s="10">
        <f>IFERROR(INDEX('TRANS EMP EXTRACT - COST CENTRE'!$A$1:$Z$455,MATCH('Summary - Monthly'!$A60,'TRANS EMP EXTRACT - COST CENTRE'!$A:$A,0),MATCH('Summary - Monthly'!Z$3,'TRANS EMP EXTRACT - COST CENTRE'!$2:$2,0)),0)</f>
        <v>0</v>
      </c>
      <c r="AA60" s="10">
        <f>IFERROR(INDEX('TRANS EMP EXTRACT - COST CENTRE'!$A$1:$Z$455,MATCH('Summary - Monthly'!$A60,'TRANS EMP EXTRACT - COST CENTRE'!$A:$A,0),MATCH('Summary - Monthly'!AA$3,'TRANS EMP EXTRACT - COST CENTRE'!$2:$2,0)),0)</f>
        <v>0</v>
      </c>
      <c r="AB60" s="10">
        <f>IFERROR(INDEX('TRANS EMP EXTRACT - COST CENTRE'!$A$1:$Z$455,MATCH('Summary - Monthly'!$A60,'TRANS EMP EXTRACT - COST CENTRE'!$A:$A,0),MATCH('Summary - Monthly'!AB$3,'TRANS EMP EXTRACT - COST CENTRE'!$2:$2,0)),0)</f>
        <v>0</v>
      </c>
      <c r="AC60" s="8">
        <f>IFERROR(INDEX('TRANS EMP EXTRACT - COST CENTRE'!$A$1:$Z$455,MATCH('Summary - Monthly'!$A60,'TRANS EMP EXTRACT - COST CENTRE'!$A:$A,0),MATCH('Summary - Monthly'!AC$3,'TRANS EMP EXTRACT - COST CENTRE'!$2:$2,0)),0)</f>
        <v>0</v>
      </c>
      <c r="AD60" s="13">
        <f>IFERROR(INDEX('TRANS EMP EXTRACT - COST CENTRE'!$A$1:$Z$455,MATCH('Summary - Monthly'!$A60,'TRANS EMP EXTRACT - COST CENTRE'!$A:$A,0),MATCH('Summary - Monthly'!AD$3,'TRANS EMP EXTRACT - COST CENTRE'!$2:$2,0)),0)</f>
        <v>0</v>
      </c>
      <c r="AE60" s="13">
        <f>IFERROR(INDEX('TRANS EMP EXTRACT - COST CENTRE'!$A$1:$Z$455,MATCH('Summary - Monthly'!$A60,'TRANS EMP EXTRACT - COST CENTRE'!$A:$A,0),MATCH('Summary - Monthly'!AE$3,'TRANS EMP EXTRACT - COST CENTRE'!$2:$2,0)),0)</f>
        <v>0</v>
      </c>
      <c r="AF60" s="13">
        <f>IFERROR(INDEX('TRANS EMP EXTRACT - COST CENTRE'!$A$1:$Z$455,MATCH('Summary - Monthly'!$A60,'TRANS EMP EXTRACT - COST CENTRE'!$A:$A,0),MATCH('Summary - Monthly'!AF$3,'TRANS EMP EXTRACT - COST CENTRE'!$2:$2,0)),0)</f>
        <v>0</v>
      </c>
      <c r="AG60" s="10">
        <f>IFERROR(INDEX('TRANS EMP EXTRACT - COST CENTRE'!$A$1:$Z$455,MATCH('Summary - Monthly'!$A60,'TRANS EMP EXTRACT - COST CENTRE'!$A:$A,0),MATCH('Summary - Monthly'!AG$3,'TRANS EMP EXTRACT - COST CENTRE'!$2:$2,0)),0)</f>
        <v>0</v>
      </c>
      <c r="AH60" s="10">
        <f>IFERROR(INDEX('TRANS EMP EXTRACT - COST CENTRE'!$A$1:$Z$455,MATCH('Summary - Monthly'!$A60,'TRANS EMP EXTRACT - COST CENTRE'!$A:$A,0),MATCH('Summary - Monthly'!AH$3,'TRANS EMP EXTRACT - COST CENTRE'!$2:$2,0)),0)</f>
        <v>0</v>
      </c>
      <c r="AI60" s="10">
        <f>IFERROR(INDEX('TRANS EMP EXTRACT - COST CENTRE'!$A$1:$Z$455,MATCH('Summary - Monthly'!$A60,'TRANS EMP EXTRACT - COST CENTRE'!$A:$A,0),MATCH('Summary - Monthly'!AI$3,'TRANS EMP EXTRACT - COST CENTRE'!$2:$2,0)),0)</f>
        <v>0</v>
      </c>
      <c r="AJ60" s="10">
        <f>IFERROR(INDEX('TRANS EMP EXTRACT - COST CENTRE'!$A$1:$Z$455,MATCH('Summary - Monthly'!$A60,'TRANS EMP EXTRACT - COST CENTRE'!$A:$A,0),MATCH('Summary - Monthly'!AJ$3,'TRANS EMP EXTRACT - COST CENTRE'!$2:$2,0)),0)</f>
        <v>0</v>
      </c>
      <c r="AK60" s="10">
        <f>IFERROR(INDEX('TRANS EMP EXTRACT - COST CENTRE'!$A$1:$Z$455,MATCH('Summary - Monthly'!$A60,'TRANS EMP EXTRACT - COST CENTRE'!$A:$A,0),MATCH('Summary - Monthly'!AK$3,'TRANS EMP EXTRACT - COST CENTRE'!$2:$2,0)),0)</f>
        <v>0</v>
      </c>
      <c r="AL60" s="10">
        <f>IFERROR(INDEX('TRANS EMP EXTRACT - COST CENTRE'!$A$1:$Z$455,MATCH('Summary - Monthly'!$A60,'TRANS EMP EXTRACT - COST CENTRE'!$A:$A,0),MATCH('Summary - Monthly'!AL$3,'TRANS EMP EXTRACT - COST CENTRE'!$2:$2,0)),0)</f>
        <v>0</v>
      </c>
      <c r="AM60" s="10">
        <f t="shared" si="9"/>
        <v>169.5</v>
      </c>
      <c r="AN60" s="14">
        <f t="shared" si="2"/>
        <v>0.11513157894736842</v>
      </c>
      <c r="AO60" s="18">
        <f t="shared" si="5"/>
        <v>1.1151315789473684</v>
      </c>
      <c r="AP60" s="18">
        <f t="shared" si="6"/>
        <v>1.0651315789473685</v>
      </c>
      <c r="AQ60" s="10" t="str">
        <f>IFERROR(VLOOKUP(B60,Departments!A:C,3,FALSE),"")</f>
        <v>Chemistry</v>
      </c>
      <c r="AR60" s="10" t="str">
        <f>IFERROR(VLOOKUP(B60,Departments!A:B,2,FALSE),"")</f>
        <v>Sydney Chem</v>
      </c>
      <c r="AS60" s="10">
        <f t="shared" si="10"/>
        <v>7.6</v>
      </c>
      <c r="AT60" s="10">
        <f t="shared" si="11"/>
        <v>7.6</v>
      </c>
      <c r="AU60" s="10" t="str">
        <f>_xlfn.IFNA(VLOOKUP(B60,Departments!A:D,4,FALSE),"")</f>
        <v>Sydney Chem</v>
      </c>
    </row>
    <row r="61" spans="1:47" ht="14.45" customHeight="1">
      <c r="A61" s="11" t="str">
        <f t="shared" si="3"/>
        <v>1202050019040</v>
      </c>
      <c r="B61" s="11">
        <f>'TRANS EMP EXTRACT - COST CENTRE'!B60</f>
        <v>12020500</v>
      </c>
      <c r="C61" s="10" t="str">
        <f>IFERROR(VLOOKUP(E61,'TRANS EMP EXTRACT - EMP CATEGOR'!A:B,2,FALSE),"")</f>
        <v>TP</v>
      </c>
      <c r="D61" s="10" t="str">
        <f>IFERROR(VLOOKUP(E61,'TRANS EMP EXTRACT - EMP CATEGOR'!A:C,3,FALSE),"")</f>
        <v>Temporary Parttime</v>
      </c>
      <c r="E61" s="11">
        <f>'TRANS EMP EXTRACT - COST CENTRE'!D60</f>
        <v>19040</v>
      </c>
      <c r="F61" s="10" t="str">
        <f>IFERROR(VLOOKUP(E61,'TRANS EMP EXTRACT - COST CENTRE'!D:E,2,FALSE),"")</f>
        <v>JOKATAMA  SIKITI MISS</v>
      </c>
      <c r="G61" s="12">
        <f>IFERROR(INDEX('TRANS EMP EXTRACT - COST CENTRE'!$A$1:$Z$455,MATCH('Summary - Monthly'!$A61,'TRANS EMP EXTRACT - COST CENTRE'!$A:$A,0),MATCH('Summary - Monthly'!G$3,'TRANS EMP EXTRACT - COST CENTRE'!$2:$2,0)),"")</f>
        <v>44858</v>
      </c>
      <c r="H61" s="10" t="str">
        <f>IFERROR(INDEX('TRANS EMP EXTRACT - COST CENTRE'!$B$1:$Z$455,MATCH('Summary - Monthly'!$E61,'TRANS EMP EXTRACT - COST CENTRE'!$D:$D,0),MATCH('Summary - Monthly'!H$3,'TRANS EMP EXTRACT - COST CENTRE'!$2:$2,0)),"")</f>
        <v>FN</v>
      </c>
      <c r="I61" s="12" t="str">
        <f>IFERROR(INDEX('TRANS EMP EXTRACT - EMP CATEGOR'!$B$1:$AF$421,MATCH('Summary - Monthly'!$E61,'TRANS EMP EXTRACT - EMP CATEGOR'!$D:$D,0),MATCH('Summary - Monthly'!H$3,'TRANS EMP EXTRACT - EMP CATEGOR'!$2:$2,0)),"")</f>
        <v>FN</v>
      </c>
      <c r="J61" s="41">
        <f t="shared" ca="1" si="0"/>
        <v>14.356199999999999</v>
      </c>
      <c r="K61" s="41">
        <f t="shared" ca="1" si="1"/>
        <v>28.712299999999999</v>
      </c>
      <c r="L61" s="10">
        <f>IFERROR(INDEX('TRANS EMP EXTRACT - COST CENTRE'!$A$1:$Z$455,MATCH('Summary - Monthly'!$A61,'TRANS EMP EXTRACT - COST CENTRE'!$A:$A,0),MATCH('Summary - Monthly'!L$3,'TRANS EMP EXTRACT - COST CENTRE'!$2:$2,0)),"")</f>
        <v>80</v>
      </c>
      <c r="M61" s="10">
        <f>IFERROR(INDEX('TRANS EMP EXTRACT - COST CENTRE'!$A$1:$Z$455,MATCH('Summary - Monthly'!$A61,'TRANS EMP EXTRACT - COST CENTRE'!$A:$A,0),MATCH('Summary - Monthly'!M$3,'TRANS EMP EXTRACT - COST CENTRE'!$2:$2,0)),0)</f>
        <v>0</v>
      </c>
      <c r="N61" s="10">
        <f>IFERROR(INDEX('TRANS EMP EXTRACT - COST CENTRE'!$A$1:$Z$455,MATCH('Summary - Monthly'!$A61,'TRANS EMP EXTRACT - COST CENTRE'!$A:$A,0),MATCH('Summary - Monthly'!N$3,'TRANS EMP EXTRACT - COST CENTRE'!$2:$2,0)),0)</f>
        <v>0</v>
      </c>
      <c r="O61" s="10">
        <f>IFERROR(INDEX('TRANS EMP EXTRACT - COST CENTRE'!$A$1:$Z$455,MATCH('Summary - Monthly'!$A61,'TRANS EMP EXTRACT - COST CENTRE'!$A:$A,0),MATCH('Summary - Monthly'!O$3,'TRANS EMP EXTRACT - COST CENTRE'!$2:$2,0)),0)</f>
        <v>0</v>
      </c>
      <c r="P61" s="10">
        <f>IFERROR(INDEX('TRANS EMP EXTRACT - COST CENTRE'!$A$1:$Z$455,MATCH('Summary - Monthly'!$A61,'TRANS EMP EXTRACT - COST CENTRE'!$A:$A,0),MATCH('Summary - Monthly'!P$3,'TRANS EMP EXTRACT - COST CENTRE'!$2:$2,0)),0)</f>
        <v>0</v>
      </c>
      <c r="Q61" s="10">
        <f>IFERROR(INDEX('TRANS EMP EXTRACT - COST CENTRE'!$A$1:$Z$455,MATCH('Summary - Monthly'!$A61,'TRANS EMP EXTRACT - COST CENTRE'!$A:$A,0),MATCH('Summary - Monthly'!Q$3,'TRANS EMP EXTRACT - COST CENTRE'!$2:$2,0)),0)</f>
        <v>0</v>
      </c>
      <c r="R61" s="10">
        <f>IFERROR(INDEX('TRANS EMP EXTRACT - COST CENTRE'!$A$1:$Z$455,MATCH('Summary - Monthly'!$A61,'TRANS EMP EXTRACT - COST CENTRE'!$A:$A,0),MATCH('Summary - Monthly'!R$3,'TRANS EMP EXTRACT - COST CENTRE'!$2:$2,0)),0)</f>
        <v>0</v>
      </c>
      <c r="S61" s="10">
        <f>IFERROR(INDEX('TRANS EMP EXTRACT - COST CENTRE'!$A$1:$Z$455,MATCH('Summary - Monthly'!$A61,'TRANS EMP EXTRACT - COST CENTRE'!$A:$A,0),MATCH('Summary - Monthly'!S$3,'TRANS EMP EXTRACT - COST CENTRE'!$2:$2,0)),0)</f>
        <v>0</v>
      </c>
      <c r="T61" s="8">
        <f>IFERROR(INDEX('TRANS EMP EXTRACT - COST CENTRE'!$A$1:$Z$455,MATCH('Summary - Monthly'!$A61,'TRANS EMP EXTRACT - COST CENTRE'!$A:$A,0),MATCH('Summary - Monthly'!T$3,'TRANS EMP EXTRACT - COST CENTRE'!$2:$2,0)),0)</f>
        <v>0</v>
      </c>
      <c r="U61" s="13">
        <f>IFERROR(INDEX('TRANS EMP EXTRACT - COST CENTRE'!$A$1:$Z$455,MATCH('Summary - Monthly'!$A61,'TRANS EMP EXTRACT - COST CENTRE'!$A:$A,0),MATCH('Summary - Monthly'!U$3,'TRANS EMP EXTRACT - COST CENTRE'!$2:$2,0)),0)</f>
        <v>0</v>
      </c>
      <c r="V61" s="13">
        <f>IFERROR(INDEX('TRANS EMP EXTRACT - COST CENTRE'!$A$1:$Z$455,MATCH('Summary - Monthly'!$A61,'TRANS EMP EXTRACT - COST CENTRE'!$A:$A,0),MATCH('Summary - Monthly'!V$3,'TRANS EMP EXTRACT - COST CENTRE'!$2:$2,0)),0)</f>
        <v>0</v>
      </c>
      <c r="W61" s="13">
        <f>IFERROR(INDEX('TRANS EMP EXTRACT - COST CENTRE'!$A$1:$Z$455,MATCH('Summary - Monthly'!$A61,'TRANS EMP EXTRACT - COST CENTRE'!$A:$A,0),MATCH('Summary - Monthly'!W$3,'TRANS EMP EXTRACT - COST CENTRE'!$2:$2,0)),0)</f>
        <v>0</v>
      </c>
      <c r="X61" s="13">
        <f>IFERROR(INDEX('TRANS EMP EXTRACT - COST CENTRE'!$A$1:$Z$455,MATCH('Summary - Monthly'!$A61,'TRANS EMP EXTRACT - COST CENTRE'!$A:$A,0),MATCH('Summary - Monthly'!X$3,'TRANS EMP EXTRACT - COST CENTRE'!$2:$2,0)),0)</f>
        <v>0</v>
      </c>
      <c r="Y61" s="13">
        <f>IFERROR(INDEX('TRANS EMP EXTRACT - COST CENTRE'!$A$1:$Z$455,MATCH('Summary - Monthly'!$A61,'TRANS EMP EXTRACT - COST CENTRE'!$A:$A,0),MATCH('Summary - Monthly'!Y$3,'TRANS EMP EXTRACT - COST CENTRE'!$2:$2,0)),0)</f>
        <v>0</v>
      </c>
      <c r="Z61" s="10">
        <f>IFERROR(INDEX('TRANS EMP EXTRACT - COST CENTRE'!$A$1:$Z$455,MATCH('Summary - Monthly'!$A61,'TRANS EMP EXTRACT - COST CENTRE'!$A:$A,0),MATCH('Summary - Monthly'!Z$3,'TRANS EMP EXTRACT - COST CENTRE'!$2:$2,0)),0)</f>
        <v>0</v>
      </c>
      <c r="AA61" s="10">
        <f>IFERROR(INDEX('TRANS EMP EXTRACT - COST CENTRE'!$A$1:$Z$455,MATCH('Summary - Monthly'!$A61,'TRANS EMP EXTRACT - COST CENTRE'!$A:$A,0),MATCH('Summary - Monthly'!AA$3,'TRANS EMP EXTRACT - COST CENTRE'!$2:$2,0)),0)</f>
        <v>0</v>
      </c>
      <c r="AB61" s="10">
        <f>IFERROR(INDEX('TRANS EMP EXTRACT - COST CENTRE'!$A$1:$Z$455,MATCH('Summary - Monthly'!$A61,'TRANS EMP EXTRACT - COST CENTRE'!$A:$A,0),MATCH('Summary - Monthly'!AB$3,'TRANS EMP EXTRACT - COST CENTRE'!$2:$2,0)),0)</f>
        <v>0</v>
      </c>
      <c r="AC61" s="8">
        <f>IFERROR(INDEX('TRANS EMP EXTRACT - COST CENTRE'!$A$1:$Z$455,MATCH('Summary - Monthly'!$A61,'TRANS EMP EXTRACT - COST CENTRE'!$A:$A,0),MATCH('Summary - Monthly'!AC$3,'TRANS EMP EXTRACT - COST CENTRE'!$2:$2,0)),0)</f>
        <v>0</v>
      </c>
      <c r="AD61" s="13">
        <f>IFERROR(INDEX('TRANS EMP EXTRACT - COST CENTRE'!$A$1:$Z$455,MATCH('Summary - Monthly'!$A61,'TRANS EMP EXTRACT - COST CENTRE'!$A:$A,0),MATCH('Summary - Monthly'!AD$3,'TRANS EMP EXTRACT - COST CENTRE'!$2:$2,0)),0)</f>
        <v>0</v>
      </c>
      <c r="AE61" s="13">
        <f>IFERROR(INDEX('TRANS EMP EXTRACT - COST CENTRE'!$A$1:$Z$455,MATCH('Summary - Monthly'!$A61,'TRANS EMP EXTRACT - COST CENTRE'!$A:$A,0),MATCH('Summary - Monthly'!AE$3,'TRANS EMP EXTRACT - COST CENTRE'!$2:$2,0)),0)</f>
        <v>0</v>
      </c>
      <c r="AF61" s="13">
        <f>IFERROR(INDEX('TRANS EMP EXTRACT - COST CENTRE'!$A$1:$Z$455,MATCH('Summary - Monthly'!$A61,'TRANS EMP EXTRACT - COST CENTRE'!$A:$A,0),MATCH('Summary - Monthly'!AF$3,'TRANS EMP EXTRACT - COST CENTRE'!$2:$2,0)),0)</f>
        <v>0</v>
      </c>
      <c r="AG61" s="10">
        <f>IFERROR(INDEX('TRANS EMP EXTRACT - COST CENTRE'!$A$1:$Z$455,MATCH('Summary - Monthly'!$A61,'TRANS EMP EXTRACT - COST CENTRE'!$A:$A,0),MATCH('Summary - Monthly'!AG$3,'TRANS EMP EXTRACT - COST CENTRE'!$2:$2,0)),0)</f>
        <v>0</v>
      </c>
      <c r="AH61" s="10">
        <f>IFERROR(INDEX('TRANS EMP EXTRACT - COST CENTRE'!$A$1:$Z$455,MATCH('Summary - Monthly'!$A61,'TRANS EMP EXTRACT - COST CENTRE'!$A:$A,0),MATCH('Summary - Monthly'!AH$3,'TRANS EMP EXTRACT - COST CENTRE'!$2:$2,0)),0)</f>
        <v>0</v>
      </c>
      <c r="AI61" s="10">
        <f>IFERROR(INDEX('TRANS EMP EXTRACT - COST CENTRE'!$A$1:$Z$455,MATCH('Summary - Monthly'!$A61,'TRANS EMP EXTRACT - COST CENTRE'!$A:$A,0),MATCH('Summary - Monthly'!AI$3,'TRANS EMP EXTRACT - COST CENTRE'!$2:$2,0)),0)</f>
        <v>0</v>
      </c>
      <c r="AJ61" s="10">
        <f>IFERROR(INDEX('TRANS EMP EXTRACT - COST CENTRE'!$A$1:$Z$455,MATCH('Summary - Monthly'!$A61,'TRANS EMP EXTRACT - COST CENTRE'!$A:$A,0),MATCH('Summary - Monthly'!AJ$3,'TRANS EMP EXTRACT - COST CENTRE'!$2:$2,0)),0)</f>
        <v>0</v>
      </c>
      <c r="AK61" s="10">
        <f>IFERROR(INDEX('TRANS EMP EXTRACT - COST CENTRE'!$A$1:$Z$455,MATCH('Summary - Monthly'!$A61,'TRANS EMP EXTRACT - COST CENTRE'!$A:$A,0),MATCH('Summary - Monthly'!AK$3,'TRANS EMP EXTRACT - COST CENTRE'!$2:$2,0)),0)</f>
        <v>0</v>
      </c>
      <c r="AL61" s="10">
        <f>IFERROR(INDEX('TRANS EMP EXTRACT - COST CENTRE'!$A$1:$Z$455,MATCH('Summary - Monthly'!$A61,'TRANS EMP EXTRACT - COST CENTRE'!$A:$A,0),MATCH('Summary - Monthly'!AL$3,'TRANS EMP EXTRACT - COST CENTRE'!$2:$2,0)),0)</f>
        <v>0</v>
      </c>
      <c r="AM61" s="10">
        <f t="shared" si="9"/>
        <v>80</v>
      </c>
      <c r="AN61" s="14">
        <f t="shared" si="2"/>
        <v>0</v>
      </c>
      <c r="AO61" s="18">
        <f t="shared" si="5"/>
        <v>0.52631578947368418</v>
      </c>
      <c r="AP61" s="18">
        <f t="shared" si="6"/>
        <v>0.52631578947368418</v>
      </c>
      <c r="AQ61" s="10" t="str">
        <f>IFERROR(VLOOKUP(B61,Departments!A:C,3,FALSE),"")</f>
        <v>Lab Admin</v>
      </c>
      <c r="AR61" s="10" t="str">
        <f>IFERROR(VLOOKUP(B61,Departments!A:B,2,FALSE),"")</f>
        <v>Sydney Lab Admin</v>
      </c>
      <c r="AS61" s="10">
        <f t="shared" si="10"/>
        <v>0</v>
      </c>
      <c r="AT61" s="10">
        <f t="shared" si="11"/>
        <v>0</v>
      </c>
      <c r="AU61" s="10" t="str">
        <f>_xlfn.IFNA(VLOOKUP(B61,Departments!A:D,4,FALSE),"")</f>
        <v>Sydney Lab Admin</v>
      </c>
    </row>
    <row r="62" spans="1:47" s="8" customFormat="1" ht="14.45" customHeight="1">
      <c r="A62" s="8" t="str">
        <f t="shared" si="3"/>
        <v>1204301118703</v>
      </c>
      <c r="B62" s="11">
        <f>'TRANS EMP EXTRACT - COST CENTRE'!B61</f>
        <v>12043011</v>
      </c>
      <c r="C62" s="8" t="str">
        <f>IFERROR(VLOOKUP(E62,'TRANS EMP EXTRACT - EMP CATEGOR'!A:B,2,FALSE),"")</f>
        <v>FT</v>
      </c>
      <c r="D62" s="8" t="str">
        <f>IFERROR(VLOOKUP(E62,'TRANS EMP EXTRACT - EMP CATEGOR'!A:C,3,FALSE),"")</f>
        <v>Fulltime</v>
      </c>
      <c r="E62" s="11">
        <f>'TRANS EMP EXTRACT - COST CENTRE'!D61</f>
        <v>18703</v>
      </c>
      <c r="F62" s="8" t="str">
        <f>IFERROR(VLOOKUP(E62,'TRANS EMP EXTRACT - COST CENTRE'!D:E,2,FALSE),"")</f>
        <v>JOYCE  BLAKE MR</v>
      </c>
      <c r="G62" s="39">
        <f>IFERROR(INDEX('TRANS EMP EXTRACT - COST CENTRE'!$A$1:$Z$455,MATCH('Summary - Monthly'!$A62,'TRANS EMP EXTRACT - COST CENTRE'!$A:$A,0),MATCH('Summary - Monthly'!G$3,'TRANS EMP EXTRACT - COST CENTRE'!$2:$2,0)),"")</f>
        <v>42289</v>
      </c>
      <c r="H62" s="8" t="str">
        <f>IFERROR(INDEX('TRANS EMP EXTRACT - COST CENTRE'!$B$1:$Z$455,MATCH('Summary - Monthly'!$E62,'TRANS EMP EXTRACT - COST CENTRE'!$D:$D,0),MATCH('Summary - Monthly'!H$3,'TRANS EMP EXTRACT - COST CENTRE'!$2:$2,0)),"")</f>
        <v>RT</v>
      </c>
      <c r="I62" s="39" t="str">
        <f>IFERROR(INDEX('TRANS EMP EXTRACT - EMP CATEGOR'!$B$1:$AF$421,MATCH('Summary - Monthly'!$E62,'TRANS EMP EXTRACT - EMP CATEGOR'!$D:$D,0),MATCH('Summary - Monthly'!H$3,'TRANS EMP EXTRACT - EMP CATEGOR'!$2:$2,0)),"")</f>
        <v>RT</v>
      </c>
      <c r="J62" s="41">
        <f t="shared" ca="1" si="0"/>
        <v>147.72460000000001</v>
      </c>
      <c r="K62" s="41">
        <f t="shared" ca="1" si="1"/>
        <v>99.350099999999998</v>
      </c>
      <c r="L62" s="8">
        <f>IFERROR(INDEX('TRANS EMP EXTRACT - COST CENTRE'!$A$1:$Z$455,MATCH('Summary - Monthly'!$A62,'TRANS EMP EXTRACT - COST CENTRE'!$A:$A,0),MATCH('Summary - Monthly'!L$3,'TRANS EMP EXTRACT - COST CENTRE'!$2:$2,0)),"")</f>
        <v>143.3999</v>
      </c>
      <c r="M62" s="8">
        <f>IFERROR(INDEX('TRANS EMP EXTRACT - COST CENTRE'!$A$1:$Z$455,MATCH('Summary - Monthly'!$A62,'TRANS EMP EXTRACT - COST CENTRE'!$A:$A,0),MATCH('Summary - Monthly'!M$3,'TRANS EMP EXTRACT - COST CENTRE'!$2:$2,0)),0)</f>
        <v>0</v>
      </c>
      <c r="N62" s="8">
        <f>IFERROR(INDEX('TRANS EMP EXTRACT - COST CENTRE'!$A$1:$Z$455,MATCH('Summary - Monthly'!$A62,'TRANS EMP EXTRACT - COST CENTRE'!$A:$A,0),MATCH('Summary - Monthly'!N$3,'TRANS EMP EXTRACT - COST CENTRE'!$2:$2,0)),0)</f>
        <v>0</v>
      </c>
      <c r="O62" s="8">
        <f>IFERROR(INDEX('TRANS EMP EXTRACT - COST CENTRE'!$A$1:$Z$455,MATCH('Summary - Monthly'!$A62,'TRANS EMP EXTRACT - COST CENTRE'!$A:$A,0),MATCH('Summary - Monthly'!O$3,'TRANS EMP EXTRACT - COST CENTRE'!$2:$2,0)),0)</f>
        <v>0</v>
      </c>
      <c r="P62" s="8">
        <f>IFERROR(INDEX('TRANS EMP EXTRACT - COST CENTRE'!$A$1:$Z$455,MATCH('Summary - Monthly'!$A62,'TRANS EMP EXTRACT - COST CENTRE'!$A:$A,0),MATCH('Summary - Monthly'!P$3,'TRANS EMP EXTRACT - COST CENTRE'!$2:$2,0)),0)</f>
        <v>0</v>
      </c>
      <c r="Q62" s="8">
        <f>IFERROR(INDEX('TRANS EMP EXTRACT - COST CENTRE'!$A$1:$Z$455,MATCH('Summary - Monthly'!$A62,'TRANS EMP EXTRACT - COST CENTRE'!$A:$A,0),MATCH('Summary - Monthly'!Q$3,'TRANS EMP EXTRACT - COST CENTRE'!$2:$2,0)),0)</f>
        <v>2.0167999999999999</v>
      </c>
      <c r="R62" s="8">
        <f>IFERROR(INDEX('TRANS EMP EXTRACT - COST CENTRE'!$A$1:$Z$455,MATCH('Summary - Monthly'!$A62,'TRANS EMP EXTRACT - COST CENTRE'!$A:$A,0),MATCH('Summary - Monthly'!R$3,'TRANS EMP EXTRACT - COST CENTRE'!$2:$2,0)),0)</f>
        <v>0</v>
      </c>
      <c r="S62" s="8">
        <f>IFERROR(INDEX('TRANS EMP EXTRACT - COST CENTRE'!$A$1:$Z$455,MATCH('Summary - Monthly'!$A62,'TRANS EMP EXTRACT - COST CENTRE'!$A:$A,0),MATCH('Summary - Monthly'!S$3,'TRANS EMP EXTRACT - COST CENTRE'!$2:$2,0)),0)</f>
        <v>0</v>
      </c>
      <c r="T62" s="8">
        <f>IFERROR(INDEX('TRANS EMP EXTRACT - COST CENTRE'!$A$1:$Z$455,MATCH('Summary - Monthly'!$A62,'TRANS EMP EXTRACT - COST CENTRE'!$A:$A,0),MATCH('Summary - Monthly'!T$3,'TRANS EMP EXTRACT - COST CENTRE'!$2:$2,0)),0)</f>
        <v>0</v>
      </c>
      <c r="U62" s="8">
        <f>IFERROR(INDEX('TRANS EMP EXTRACT - COST CENTRE'!$A$1:$Z$455,MATCH('Summary - Monthly'!$A62,'TRANS EMP EXTRACT - COST CENTRE'!$A:$A,0),MATCH('Summary - Monthly'!U$3,'TRANS EMP EXTRACT - COST CENTRE'!$2:$2,0)),0)</f>
        <v>0</v>
      </c>
      <c r="V62" s="8">
        <f>IFERROR(INDEX('TRANS EMP EXTRACT - COST CENTRE'!$A$1:$Z$455,MATCH('Summary - Monthly'!$A62,'TRANS EMP EXTRACT - COST CENTRE'!$A:$A,0),MATCH('Summary - Monthly'!V$3,'TRANS EMP EXTRACT - COST CENTRE'!$2:$2,0)),0)</f>
        <v>7.6</v>
      </c>
      <c r="W62" s="8">
        <f>IFERROR(INDEX('TRANS EMP EXTRACT - COST CENTRE'!$A$1:$Z$455,MATCH('Summary - Monthly'!$A62,'TRANS EMP EXTRACT - COST CENTRE'!$A:$A,0),MATCH('Summary - Monthly'!W$3,'TRANS EMP EXTRACT - COST CENTRE'!$2:$2,0)),0)</f>
        <v>0</v>
      </c>
      <c r="X62" s="8">
        <f>IFERROR(INDEX('TRANS EMP EXTRACT - COST CENTRE'!$A$1:$Z$455,MATCH('Summary - Monthly'!$A62,'TRANS EMP EXTRACT - COST CENTRE'!$A:$A,0),MATCH('Summary - Monthly'!X$3,'TRANS EMP EXTRACT - COST CENTRE'!$2:$2,0)),0)</f>
        <v>0</v>
      </c>
      <c r="Y62" s="8">
        <f>IFERROR(INDEX('TRANS EMP EXTRACT - COST CENTRE'!$A$1:$Z$455,MATCH('Summary - Monthly'!$A62,'TRANS EMP EXTRACT - COST CENTRE'!$A:$A,0),MATCH('Summary - Monthly'!Y$3,'TRANS EMP EXTRACT - COST CENTRE'!$2:$2,0)),0)</f>
        <v>0</v>
      </c>
      <c r="Z62" s="8">
        <f>IFERROR(INDEX('TRANS EMP EXTRACT - COST CENTRE'!$A$1:$Z$455,MATCH('Summary - Monthly'!$A62,'TRANS EMP EXTRACT - COST CENTRE'!$A:$A,0),MATCH('Summary - Monthly'!Z$3,'TRANS EMP EXTRACT - COST CENTRE'!$2:$2,0)),0)</f>
        <v>0</v>
      </c>
      <c r="AA62" s="8">
        <f>IFERROR(INDEX('TRANS EMP EXTRACT - COST CENTRE'!$A$1:$Z$455,MATCH('Summary - Monthly'!$A62,'TRANS EMP EXTRACT - COST CENTRE'!$A:$A,0),MATCH('Summary - Monthly'!AA$3,'TRANS EMP EXTRACT - COST CENTRE'!$2:$2,0)),0)</f>
        <v>0</v>
      </c>
      <c r="AB62" s="8">
        <f>IFERROR(INDEX('TRANS EMP EXTRACT - COST CENTRE'!$A$1:$Z$455,MATCH('Summary - Monthly'!$A62,'TRANS EMP EXTRACT - COST CENTRE'!$A:$A,0),MATCH('Summary - Monthly'!AB$3,'TRANS EMP EXTRACT - COST CENTRE'!$2:$2,0)),0)</f>
        <v>0</v>
      </c>
      <c r="AC62" s="8">
        <f>IFERROR(INDEX('TRANS EMP EXTRACT - COST CENTRE'!$A$1:$Z$455,MATCH('Summary - Monthly'!$A62,'TRANS EMP EXTRACT - COST CENTRE'!$A:$A,0),MATCH('Summary - Monthly'!AC$3,'TRANS EMP EXTRACT - COST CENTRE'!$2:$2,0)),0)</f>
        <v>0</v>
      </c>
      <c r="AD62" s="8">
        <f>IFERROR(INDEX('TRANS EMP EXTRACT - COST CENTRE'!$A$1:$Z$455,MATCH('Summary - Monthly'!$A62,'TRANS EMP EXTRACT - COST CENTRE'!$A:$A,0),MATCH('Summary - Monthly'!AD$3,'TRANS EMP EXTRACT - COST CENTRE'!$2:$2,0)),0)</f>
        <v>0</v>
      </c>
      <c r="AE62" s="8">
        <f>IFERROR(INDEX('TRANS EMP EXTRACT - COST CENTRE'!$A$1:$Z$455,MATCH('Summary - Monthly'!$A62,'TRANS EMP EXTRACT - COST CENTRE'!$A:$A,0),MATCH('Summary - Monthly'!AE$3,'TRANS EMP EXTRACT - COST CENTRE'!$2:$2,0)),0)</f>
        <v>0</v>
      </c>
      <c r="AF62" s="8">
        <f>IFERROR(INDEX('TRANS EMP EXTRACT - COST CENTRE'!$A$1:$Z$455,MATCH('Summary - Monthly'!$A62,'TRANS EMP EXTRACT - COST CENTRE'!$A:$A,0),MATCH('Summary - Monthly'!AF$3,'TRANS EMP EXTRACT - COST CENTRE'!$2:$2,0)),0)</f>
        <v>0</v>
      </c>
      <c r="AG62" s="8">
        <f>IFERROR(INDEX('TRANS EMP EXTRACT - COST CENTRE'!$A$1:$Z$455,MATCH('Summary - Monthly'!$A62,'TRANS EMP EXTRACT - COST CENTRE'!$A:$A,0),MATCH('Summary - Monthly'!AG$3,'TRANS EMP EXTRACT - COST CENTRE'!$2:$2,0)),0)</f>
        <v>0</v>
      </c>
      <c r="AH62" s="8">
        <f>IFERROR(INDEX('TRANS EMP EXTRACT - COST CENTRE'!$A$1:$Z$455,MATCH('Summary - Monthly'!$A62,'TRANS EMP EXTRACT - COST CENTRE'!$A:$A,0),MATCH('Summary - Monthly'!AH$3,'TRANS EMP EXTRACT - COST CENTRE'!$2:$2,0)),0)</f>
        <v>0</v>
      </c>
      <c r="AI62" s="8">
        <f>IFERROR(INDEX('TRANS EMP EXTRACT - COST CENTRE'!$A$1:$Z$455,MATCH('Summary - Monthly'!$A62,'TRANS EMP EXTRACT - COST CENTRE'!$A:$A,0),MATCH('Summary - Monthly'!AI$3,'TRANS EMP EXTRACT - COST CENTRE'!$2:$2,0)),0)</f>
        <v>0</v>
      </c>
      <c r="AJ62" s="8">
        <f>IFERROR(INDEX('TRANS EMP EXTRACT - COST CENTRE'!$A$1:$Z$455,MATCH('Summary - Monthly'!$A62,'TRANS EMP EXTRACT - COST CENTRE'!$A:$A,0),MATCH('Summary - Monthly'!AJ$3,'TRANS EMP EXTRACT - COST CENTRE'!$2:$2,0)),0)</f>
        <v>0</v>
      </c>
      <c r="AK62" s="8">
        <f>IFERROR(INDEX('TRANS EMP EXTRACT - COST CENTRE'!$A$1:$Z$455,MATCH('Summary - Monthly'!$A62,'TRANS EMP EXTRACT - COST CENTRE'!$A:$A,0),MATCH('Summary - Monthly'!AK$3,'TRANS EMP EXTRACT - COST CENTRE'!$2:$2,0)),0)</f>
        <v>0</v>
      </c>
      <c r="AL62" s="8">
        <f>IFERROR(INDEX('TRANS EMP EXTRACT - COST CENTRE'!$A$1:$Z$455,MATCH('Summary - Monthly'!$A62,'TRANS EMP EXTRACT - COST CENTRE'!$A:$A,0),MATCH('Summary - Monthly'!AL$3,'TRANS EMP EXTRACT - COST CENTRE'!$2:$2,0)),0)</f>
        <v>0</v>
      </c>
      <c r="AM62" s="8">
        <f t="shared" si="9"/>
        <v>153.01669999999999</v>
      </c>
      <c r="AN62" s="15">
        <f t="shared" si="2"/>
        <v>1.3268421052631579E-2</v>
      </c>
      <c r="AO62" s="40">
        <f t="shared" si="5"/>
        <v>1.0066888157894736</v>
      </c>
      <c r="AP62" s="40">
        <f t="shared" si="6"/>
        <v>0.95668881578947362</v>
      </c>
      <c r="AQ62" s="8" t="str">
        <f>IFERROR(VLOOKUP(B62,Departments!A:C,3,FALSE),"")</f>
        <v>Microbiology</v>
      </c>
      <c r="AR62" s="8" t="str">
        <f>IFERROR(VLOOKUP(B62,Departments!A:B,2,FALSE),"")</f>
        <v>Bris Micro</v>
      </c>
      <c r="AS62" s="8">
        <f t="shared" si="10"/>
        <v>7.6</v>
      </c>
      <c r="AT62" s="8">
        <f t="shared" si="11"/>
        <v>7.6</v>
      </c>
      <c r="AU62" s="8" t="str">
        <f>_xlfn.IFNA(VLOOKUP(B62,Departments!A:D,4,FALSE),"")</f>
        <v>Brisbane Micro</v>
      </c>
    </row>
    <row r="63" spans="1:47" ht="14.45" customHeight="1">
      <c r="A63" s="11" t="str">
        <f t="shared" si="3"/>
        <v>1202301118973</v>
      </c>
      <c r="B63" s="11">
        <f>'TRANS EMP EXTRACT - COST CENTRE'!B62</f>
        <v>12023011</v>
      </c>
      <c r="C63" s="10" t="str">
        <f>IFERROR(VLOOKUP(E63,'TRANS EMP EXTRACT - EMP CATEGOR'!A:B,2,FALSE),"")</f>
        <v>PT</v>
      </c>
      <c r="D63" s="10" t="str">
        <f>IFERROR(VLOOKUP(E63,'TRANS EMP EXTRACT - EMP CATEGOR'!A:C,3,FALSE),"")</f>
        <v>Parttime</v>
      </c>
      <c r="E63" s="11">
        <f>'TRANS EMP EXTRACT - COST CENTRE'!D62</f>
        <v>18973</v>
      </c>
      <c r="F63" s="10" t="str">
        <f>IFERROR(VLOOKUP(E63,'TRANS EMP EXTRACT - COST CENTRE'!D:E,2,FALSE),"")</f>
        <v>KANTHAN  SU MS</v>
      </c>
      <c r="G63" s="12">
        <f>IFERROR(INDEX('TRANS EMP EXTRACT - COST CENTRE'!$A$1:$Z$455,MATCH('Summary - Monthly'!$A63,'TRANS EMP EXTRACT - COST CENTRE'!$A:$A,0),MATCH('Summary - Monthly'!G$3,'TRANS EMP EXTRACT - COST CENTRE'!$2:$2,0)),"")</f>
        <v>44468</v>
      </c>
      <c r="H63" s="10" t="str">
        <f>IFERROR(INDEX('TRANS EMP EXTRACT - COST CENTRE'!$B$1:$Z$455,MATCH('Summary - Monthly'!$E63,'TRANS EMP EXTRACT - COST CENTRE'!$D:$D,0),MATCH('Summary - Monthly'!H$3,'TRANS EMP EXTRACT - COST CENTRE'!$2:$2,0)),"")</f>
        <v>RT</v>
      </c>
      <c r="I63" s="12" t="str">
        <f>IFERROR(INDEX('TRANS EMP EXTRACT - EMP CATEGOR'!$B$1:$AF$421,MATCH('Summary - Monthly'!$E63,'TRANS EMP EXTRACT - EMP CATEGOR'!$D:$D,0),MATCH('Summary - Monthly'!H$3,'TRANS EMP EXTRACT - EMP CATEGOR'!$2:$2,0)),"")</f>
        <v>RT</v>
      </c>
      <c r="J63" s="41">
        <f t="shared" ca="1" si="0"/>
        <v>8.6751000000000005</v>
      </c>
      <c r="K63" s="41">
        <f t="shared" ca="1" si="1"/>
        <v>17.350000000000001</v>
      </c>
      <c r="L63" s="10">
        <f>IFERROR(INDEX('TRANS EMP EXTRACT - COST CENTRE'!$A$1:$Z$455,MATCH('Summary - Monthly'!$A63,'TRANS EMP EXTRACT - COST CENTRE'!$A:$A,0),MATCH('Summary - Monthly'!L$3,'TRANS EMP EXTRACT - COST CENTRE'!$2:$2,0)),"")</f>
        <v>83.6</v>
      </c>
      <c r="M63" s="10">
        <f>IFERROR(INDEX('TRANS EMP EXTRACT - COST CENTRE'!$A$1:$Z$455,MATCH('Summary - Monthly'!$A63,'TRANS EMP EXTRACT - COST CENTRE'!$A:$A,0),MATCH('Summary - Monthly'!M$3,'TRANS EMP EXTRACT - COST CENTRE'!$2:$2,0)),0)</f>
        <v>0</v>
      </c>
      <c r="N63" s="10">
        <f>IFERROR(INDEX('TRANS EMP EXTRACT - COST CENTRE'!$A$1:$Z$455,MATCH('Summary - Monthly'!$A63,'TRANS EMP EXTRACT - COST CENTRE'!$A:$A,0),MATCH('Summary - Monthly'!N$3,'TRANS EMP EXTRACT - COST CENTRE'!$2:$2,0)),0)</f>
        <v>0</v>
      </c>
      <c r="O63" s="10">
        <f>IFERROR(INDEX('TRANS EMP EXTRACT - COST CENTRE'!$A$1:$Z$455,MATCH('Summary - Monthly'!$A63,'TRANS EMP EXTRACT - COST CENTRE'!$A:$A,0),MATCH('Summary - Monthly'!O$3,'TRANS EMP EXTRACT - COST CENTRE'!$2:$2,0)),0)</f>
        <v>0</v>
      </c>
      <c r="P63" s="10">
        <f>IFERROR(INDEX('TRANS EMP EXTRACT - COST CENTRE'!$A$1:$Z$455,MATCH('Summary - Monthly'!$A63,'TRANS EMP EXTRACT - COST CENTRE'!$A:$A,0),MATCH('Summary - Monthly'!P$3,'TRANS EMP EXTRACT - COST CENTRE'!$2:$2,0)),0)</f>
        <v>0</v>
      </c>
      <c r="Q63" s="10">
        <f>IFERROR(INDEX('TRANS EMP EXTRACT - COST CENTRE'!$A$1:$Z$455,MATCH('Summary - Monthly'!$A63,'TRANS EMP EXTRACT - COST CENTRE'!$A:$A,0),MATCH('Summary - Monthly'!Q$3,'TRANS EMP EXTRACT - COST CENTRE'!$2:$2,0)),0)</f>
        <v>0</v>
      </c>
      <c r="R63" s="10">
        <f>IFERROR(INDEX('TRANS EMP EXTRACT - COST CENTRE'!$A$1:$Z$455,MATCH('Summary - Monthly'!$A63,'TRANS EMP EXTRACT - COST CENTRE'!$A:$A,0),MATCH('Summary - Monthly'!R$3,'TRANS EMP EXTRACT - COST CENTRE'!$2:$2,0)),0)</f>
        <v>0</v>
      </c>
      <c r="S63" s="10">
        <f>IFERROR(INDEX('TRANS EMP EXTRACT - COST CENTRE'!$A$1:$Z$455,MATCH('Summary - Monthly'!$A63,'TRANS EMP EXTRACT - COST CENTRE'!$A:$A,0),MATCH('Summary - Monthly'!S$3,'TRANS EMP EXTRACT - COST CENTRE'!$2:$2,0)),0)</f>
        <v>0</v>
      </c>
      <c r="T63" s="8">
        <f>IFERROR(INDEX('TRANS EMP EXTRACT - COST CENTRE'!$A$1:$Z$455,MATCH('Summary - Monthly'!$A63,'TRANS EMP EXTRACT - COST CENTRE'!$A:$A,0),MATCH('Summary - Monthly'!T$3,'TRANS EMP EXTRACT - COST CENTRE'!$2:$2,0)),0)</f>
        <v>0</v>
      </c>
      <c r="U63" s="13">
        <f>IFERROR(INDEX('TRANS EMP EXTRACT - COST CENTRE'!$A$1:$Z$455,MATCH('Summary - Monthly'!$A63,'TRANS EMP EXTRACT - COST CENTRE'!$A:$A,0),MATCH('Summary - Monthly'!U$3,'TRANS EMP EXTRACT - COST CENTRE'!$2:$2,0)),0)</f>
        <v>7.6</v>
      </c>
      <c r="V63" s="13">
        <f>IFERROR(INDEX('TRANS EMP EXTRACT - COST CENTRE'!$A$1:$Z$455,MATCH('Summary - Monthly'!$A63,'TRANS EMP EXTRACT - COST CENTRE'!$A:$A,0),MATCH('Summary - Monthly'!V$3,'TRANS EMP EXTRACT - COST CENTRE'!$2:$2,0)),0)</f>
        <v>0</v>
      </c>
      <c r="W63" s="13">
        <f>IFERROR(INDEX('TRANS EMP EXTRACT - COST CENTRE'!$A$1:$Z$455,MATCH('Summary - Monthly'!$A63,'TRANS EMP EXTRACT - COST CENTRE'!$A:$A,0),MATCH('Summary - Monthly'!W$3,'TRANS EMP EXTRACT - COST CENTRE'!$2:$2,0)),0)</f>
        <v>0</v>
      </c>
      <c r="X63" s="13">
        <f>IFERROR(INDEX('TRANS EMP EXTRACT - COST CENTRE'!$A$1:$Z$455,MATCH('Summary - Monthly'!$A63,'TRANS EMP EXTRACT - COST CENTRE'!$A:$A,0),MATCH('Summary - Monthly'!X$3,'TRANS EMP EXTRACT - COST CENTRE'!$2:$2,0)),0)</f>
        <v>0</v>
      </c>
      <c r="Y63" s="13">
        <f>IFERROR(INDEX('TRANS EMP EXTRACT - COST CENTRE'!$A$1:$Z$455,MATCH('Summary - Monthly'!$A63,'TRANS EMP EXTRACT - COST CENTRE'!$A:$A,0),MATCH('Summary - Monthly'!Y$3,'TRANS EMP EXTRACT - COST CENTRE'!$2:$2,0)),0)</f>
        <v>0</v>
      </c>
      <c r="Z63" s="10">
        <f>IFERROR(INDEX('TRANS EMP EXTRACT - COST CENTRE'!$A$1:$Z$455,MATCH('Summary - Monthly'!$A63,'TRANS EMP EXTRACT - COST CENTRE'!$A:$A,0),MATCH('Summary - Monthly'!Z$3,'TRANS EMP EXTRACT - COST CENTRE'!$2:$2,0)),0)</f>
        <v>0</v>
      </c>
      <c r="AA63" s="10">
        <f>IFERROR(INDEX('TRANS EMP EXTRACT - COST CENTRE'!$A$1:$Z$455,MATCH('Summary - Monthly'!$A63,'TRANS EMP EXTRACT - COST CENTRE'!$A:$A,0),MATCH('Summary - Monthly'!AA$3,'TRANS EMP EXTRACT - COST CENTRE'!$2:$2,0)),0)</f>
        <v>0</v>
      </c>
      <c r="AB63" s="10">
        <f>IFERROR(INDEX('TRANS EMP EXTRACT - COST CENTRE'!$A$1:$Z$455,MATCH('Summary - Monthly'!$A63,'TRANS EMP EXTRACT - COST CENTRE'!$A:$A,0),MATCH('Summary - Monthly'!AB$3,'TRANS EMP EXTRACT - COST CENTRE'!$2:$2,0)),0)</f>
        <v>0</v>
      </c>
      <c r="AC63" s="8">
        <f>IFERROR(INDEX('TRANS EMP EXTRACT - COST CENTRE'!$A$1:$Z$455,MATCH('Summary - Monthly'!$A63,'TRANS EMP EXTRACT - COST CENTRE'!$A:$A,0),MATCH('Summary - Monthly'!AC$3,'TRANS EMP EXTRACT - COST CENTRE'!$2:$2,0)),0)</f>
        <v>0</v>
      </c>
      <c r="AD63" s="13">
        <f>IFERROR(INDEX('TRANS EMP EXTRACT - COST CENTRE'!$A$1:$Z$455,MATCH('Summary - Monthly'!$A63,'TRANS EMP EXTRACT - COST CENTRE'!$A:$A,0),MATCH('Summary - Monthly'!AD$3,'TRANS EMP EXTRACT - COST CENTRE'!$2:$2,0)),0)</f>
        <v>0</v>
      </c>
      <c r="AE63" s="13">
        <f>IFERROR(INDEX('TRANS EMP EXTRACT - COST CENTRE'!$A$1:$Z$455,MATCH('Summary - Monthly'!$A63,'TRANS EMP EXTRACT - COST CENTRE'!$A:$A,0),MATCH('Summary - Monthly'!AE$3,'TRANS EMP EXTRACT - COST CENTRE'!$2:$2,0)),0)</f>
        <v>0</v>
      </c>
      <c r="AF63" s="13">
        <f>IFERROR(INDEX('TRANS EMP EXTRACT - COST CENTRE'!$A$1:$Z$455,MATCH('Summary - Monthly'!$A63,'TRANS EMP EXTRACT - COST CENTRE'!$A:$A,0),MATCH('Summary - Monthly'!AF$3,'TRANS EMP EXTRACT - COST CENTRE'!$2:$2,0)),0)</f>
        <v>0</v>
      </c>
      <c r="AG63" s="10">
        <f>IFERROR(INDEX('TRANS EMP EXTRACT - COST CENTRE'!$A$1:$Z$455,MATCH('Summary - Monthly'!$A63,'TRANS EMP EXTRACT - COST CENTRE'!$A:$A,0),MATCH('Summary - Monthly'!AG$3,'TRANS EMP EXTRACT - COST CENTRE'!$2:$2,0)),0)</f>
        <v>0</v>
      </c>
      <c r="AH63" s="10">
        <f>IFERROR(INDEX('TRANS EMP EXTRACT - COST CENTRE'!$A$1:$Z$455,MATCH('Summary - Monthly'!$A63,'TRANS EMP EXTRACT - COST CENTRE'!$A:$A,0),MATCH('Summary - Monthly'!AH$3,'TRANS EMP EXTRACT - COST CENTRE'!$2:$2,0)),0)</f>
        <v>0</v>
      </c>
      <c r="AI63" s="10">
        <f>IFERROR(INDEX('TRANS EMP EXTRACT - COST CENTRE'!$A$1:$Z$455,MATCH('Summary - Monthly'!$A63,'TRANS EMP EXTRACT - COST CENTRE'!$A:$A,0),MATCH('Summary - Monthly'!AI$3,'TRANS EMP EXTRACT - COST CENTRE'!$2:$2,0)),0)</f>
        <v>0</v>
      </c>
      <c r="AJ63" s="10">
        <f>IFERROR(INDEX('TRANS EMP EXTRACT - COST CENTRE'!$A$1:$Z$455,MATCH('Summary - Monthly'!$A63,'TRANS EMP EXTRACT - COST CENTRE'!$A:$A,0),MATCH('Summary - Monthly'!AJ$3,'TRANS EMP EXTRACT - COST CENTRE'!$2:$2,0)),0)</f>
        <v>0</v>
      </c>
      <c r="AK63" s="10">
        <f>IFERROR(INDEX('TRANS EMP EXTRACT - COST CENTRE'!$A$1:$Z$455,MATCH('Summary - Monthly'!$A63,'TRANS EMP EXTRACT - COST CENTRE'!$A:$A,0),MATCH('Summary - Monthly'!AK$3,'TRANS EMP EXTRACT - COST CENTRE'!$2:$2,0)),0)</f>
        <v>0</v>
      </c>
      <c r="AL63" s="10">
        <f>IFERROR(INDEX('TRANS EMP EXTRACT - COST CENTRE'!$A$1:$Z$455,MATCH('Summary - Monthly'!$A63,'TRANS EMP EXTRACT - COST CENTRE'!$A:$A,0),MATCH('Summary - Monthly'!AL$3,'TRANS EMP EXTRACT - COST CENTRE'!$2:$2,0)),0)</f>
        <v>0</v>
      </c>
      <c r="AM63" s="10">
        <f t="shared" si="9"/>
        <v>91.199999999999989</v>
      </c>
      <c r="AN63" s="14">
        <f t="shared" si="2"/>
        <v>0</v>
      </c>
      <c r="AO63" s="18">
        <f t="shared" si="5"/>
        <v>0.6</v>
      </c>
      <c r="AP63" s="18">
        <f t="shared" si="6"/>
        <v>0.54999999999999993</v>
      </c>
      <c r="AQ63" s="10" t="str">
        <f>IFERROR(VLOOKUP(B63,Departments!A:C,3,FALSE),"")</f>
        <v>Microbiology</v>
      </c>
      <c r="AR63" s="10" t="str">
        <f>IFERROR(VLOOKUP(B63,Departments!A:B,2,FALSE),"")</f>
        <v>Sydney Micro</v>
      </c>
      <c r="AS63" s="10">
        <f t="shared" si="10"/>
        <v>0</v>
      </c>
      <c r="AT63" s="10">
        <f t="shared" si="11"/>
        <v>7.6</v>
      </c>
      <c r="AU63" s="10" t="str">
        <f>_xlfn.IFNA(VLOOKUP(B63,Departments!A:D,4,FALSE),"")</f>
        <v>Sydney Micro</v>
      </c>
    </row>
    <row r="64" spans="1:47" ht="14.45" customHeight="1">
      <c r="A64" s="11" t="str">
        <f t="shared" si="3"/>
        <v>1203301118932</v>
      </c>
      <c r="B64" s="11">
        <f>'TRANS EMP EXTRACT - COST CENTRE'!B63</f>
        <v>12033011</v>
      </c>
      <c r="C64" s="10" t="str">
        <f>IFERROR(VLOOKUP(E64,'TRANS EMP EXTRACT - EMP CATEGOR'!A:B,2,FALSE),"")</f>
        <v>FT</v>
      </c>
      <c r="D64" s="10" t="str">
        <f>IFERROR(VLOOKUP(E64,'TRANS EMP EXTRACT - EMP CATEGOR'!A:C,3,FALSE),"")</f>
        <v>Fulltime</v>
      </c>
      <c r="E64" s="11">
        <f>'TRANS EMP EXTRACT - COST CENTRE'!D63</f>
        <v>18932</v>
      </c>
      <c r="F64" s="10" t="str">
        <f>IFERROR(VLOOKUP(E64,'TRANS EMP EXTRACT - COST CENTRE'!D:E,2,FALSE),"")</f>
        <v>KAPADIA  MUFFADAL MR</v>
      </c>
      <c r="G64" s="12">
        <f>IFERROR(INDEX('TRANS EMP EXTRACT - COST CENTRE'!$A$1:$Z$455,MATCH('Summary - Monthly'!$A64,'TRANS EMP EXTRACT - COST CENTRE'!$A:$A,0),MATCH('Summary - Monthly'!G$3,'TRANS EMP EXTRACT - COST CENTRE'!$2:$2,0)),"")</f>
        <v>44223</v>
      </c>
      <c r="H64" s="10" t="str">
        <f>IFERROR(INDEX('TRANS EMP EXTRACT - COST CENTRE'!$B$1:$Z$455,MATCH('Summary - Monthly'!$E64,'TRANS EMP EXTRACT - COST CENTRE'!$D:$D,0),MATCH('Summary - Monthly'!H$3,'TRANS EMP EXTRACT - COST CENTRE'!$2:$2,0)),"")</f>
        <v>RT</v>
      </c>
      <c r="I64" s="12" t="str">
        <f>IFERROR(INDEX('TRANS EMP EXTRACT - EMP CATEGOR'!$B$1:$AF$421,MATCH('Summary - Monthly'!$E64,'TRANS EMP EXTRACT - EMP CATEGOR'!$D:$D,0),MATCH('Summary - Monthly'!H$3,'TRANS EMP EXTRACT - EMP CATEGOR'!$2:$2,0)),"")</f>
        <v>RT</v>
      </c>
      <c r="J64" s="41">
        <f t="shared" ca="1" si="0"/>
        <v>17.195900000000002</v>
      </c>
      <c r="K64" s="41">
        <f t="shared" ca="1" si="1"/>
        <v>37.891800000000003</v>
      </c>
      <c r="L64" s="10">
        <f>IFERROR(INDEX('TRANS EMP EXTRACT - COST CENTRE'!$A$1:$Z$455,MATCH('Summary - Monthly'!$A64,'TRANS EMP EXTRACT - COST CENTRE'!$A:$A,0),MATCH('Summary - Monthly'!L$3,'TRANS EMP EXTRACT - COST CENTRE'!$2:$2,0)),"")</f>
        <v>114</v>
      </c>
      <c r="M64" s="10">
        <f>IFERROR(INDEX('TRANS EMP EXTRACT - COST CENTRE'!$A$1:$Z$455,MATCH('Summary - Monthly'!$A64,'TRANS EMP EXTRACT - COST CENTRE'!$A:$A,0),MATCH('Summary - Monthly'!M$3,'TRANS EMP EXTRACT - COST CENTRE'!$2:$2,0)),0)</f>
        <v>0</v>
      </c>
      <c r="N64" s="10">
        <f>IFERROR(INDEX('TRANS EMP EXTRACT - COST CENTRE'!$A$1:$Z$455,MATCH('Summary - Monthly'!$A64,'TRANS EMP EXTRACT - COST CENTRE'!$A:$A,0),MATCH('Summary - Monthly'!N$3,'TRANS EMP EXTRACT - COST CENTRE'!$2:$2,0)),0)</f>
        <v>0</v>
      </c>
      <c r="O64" s="10">
        <f>IFERROR(INDEX('TRANS EMP EXTRACT - COST CENTRE'!$A$1:$Z$455,MATCH('Summary - Monthly'!$A64,'TRANS EMP EXTRACT - COST CENTRE'!$A:$A,0),MATCH('Summary - Monthly'!O$3,'TRANS EMP EXTRACT - COST CENTRE'!$2:$2,0)),0)</f>
        <v>0</v>
      </c>
      <c r="P64" s="10">
        <f>IFERROR(INDEX('TRANS EMP EXTRACT - COST CENTRE'!$A$1:$Z$455,MATCH('Summary - Monthly'!$A64,'TRANS EMP EXTRACT - COST CENTRE'!$A:$A,0),MATCH('Summary - Monthly'!P$3,'TRANS EMP EXTRACT - COST CENTRE'!$2:$2,0)),0)</f>
        <v>0</v>
      </c>
      <c r="Q64" s="10">
        <f>IFERROR(INDEX('TRANS EMP EXTRACT - COST CENTRE'!$A$1:$Z$455,MATCH('Summary - Monthly'!$A64,'TRANS EMP EXTRACT - COST CENTRE'!$A:$A,0),MATCH('Summary - Monthly'!Q$3,'TRANS EMP EXTRACT - COST CENTRE'!$2:$2,0)),0)</f>
        <v>28.3001</v>
      </c>
      <c r="R64" s="10">
        <f>IFERROR(INDEX('TRANS EMP EXTRACT - COST CENTRE'!$A$1:$Z$455,MATCH('Summary - Monthly'!$A64,'TRANS EMP EXTRACT - COST CENTRE'!$A:$A,0),MATCH('Summary - Monthly'!R$3,'TRANS EMP EXTRACT - COST CENTRE'!$2:$2,0)),0)</f>
        <v>24.35</v>
      </c>
      <c r="S64" s="10">
        <f>IFERROR(INDEX('TRANS EMP EXTRACT - COST CENTRE'!$A$1:$Z$455,MATCH('Summary - Monthly'!$A64,'TRANS EMP EXTRACT - COST CENTRE'!$A:$A,0),MATCH('Summary - Monthly'!S$3,'TRANS EMP EXTRACT - COST CENTRE'!$2:$2,0)),0)</f>
        <v>0</v>
      </c>
      <c r="T64" s="8">
        <f>IFERROR(INDEX('TRANS EMP EXTRACT - COST CENTRE'!$A$1:$Z$455,MATCH('Summary - Monthly'!$A64,'TRANS EMP EXTRACT - COST CENTRE'!$A:$A,0),MATCH('Summary - Monthly'!T$3,'TRANS EMP EXTRACT - COST CENTRE'!$2:$2,0)),0)</f>
        <v>0</v>
      </c>
      <c r="U64" s="13">
        <f>IFERROR(INDEX('TRANS EMP EXTRACT - COST CENTRE'!$A$1:$Z$455,MATCH('Summary - Monthly'!$A64,'TRANS EMP EXTRACT - COST CENTRE'!$A:$A,0),MATCH('Summary - Monthly'!U$3,'TRANS EMP EXTRACT - COST CENTRE'!$2:$2,0)),0)</f>
        <v>22.8</v>
      </c>
      <c r="V64" s="13">
        <f>IFERROR(INDEX('TRANS EMP EXTRACT - COST CENTRE'!$A$1:$Z$455,MATCH('Summary - Monthly'!$A64,'TRANS EMP EXTRACT - COST CENTRE'!$A:$A,0),MATCH('Summary - Monthly'!V$3,'TRANS EMP EXTRACT - COST CENTRE'!$2:$2,0)),0)</f>
        <v>15.2</v>
      </c>
      <c r="W64" s="13">
        <f>IFERROR(INDEX('TRANS EMP EXTRACT - COST CENTRE'!$A$1:$Z$455,MATCH('Summary - Monthly'!$A64,'TRANS EMP EXTRACT - COST CENTRE'!$A:$A,0),MATCH('Summary - Monthly'!W$3,'TRANS EMP EXTRACT - COST CENTRE'!$2:$2,0)),0)</f>
        <v>0</v>
      </c>
      <c r="X64" s="13">
        <f>IFERROR(INDEX('TRANS EMP EXTRACT - COST CENTRE'!$A$1:$Z$455,MATCH('Summary - Monthly'!$A64,'TRANS EMP EXTRACT - COST CENTRE'!$A:$A,0),MATCH('Summary - Monthly'!X$3,'TRANS EMP EXTRACT - COST CENTRE'!$2:$2,0)),0)</f>
        <v>0</v>
      </c>
      <c r="Y64" s="13">
        <f>IFERROR(INDEX('TRANS EMP EXTRACT - COST CENTRE'!$A$1:$Z$455,MATCH('Summary - Monthly'!$A64,'TRANS EMP EXTRACT - COST CENTRE'!$A:$A,0),MATCH('Summary - Monthly'!Y$3,'TRANS EMP EXTRACT - COST CENTRE'!$2:$2,0)),0)</f>
        <v>0</v>
      </c>
      <c r="Z64" s="10">
        <f>IFERROR(INDEX('TRANS EMP EXTRACT - COST CENTRE'!$A$1:$Z$455,MATCH('Summary - Monthly'!$A64,'TRANS EMP EXTRACT - COST CENTRE'!$A:$A,0),MATCH('Summary - Monthly'!Z$3,'TRANS EMP EXTRACT - COST CENTRE'!$2:$2,0)),0)</f>
        <v>0</v>
      </c>
      <c r="AA64" s="10">
        <f>IFERROR(INDEX('TRANS EMP EXTRACT - COST CENTRE'!$A$1:$Z$455,MATCH('Summary - Monthly'!$A64,'TRANS EMP EXTRACT - COST CENTRE'!$A:$A,0),MATCH('Summary - Monthly'!AA$3,'TRANS EMP EXTRACT - COST CENTRE'!$2:$2,0)),0)</f>
        <v>0</v>
      </c>
      <c r="AB64" s="10">
        <f>IFERROR(INDEX('TRANS EMP EXTRACT - COST CENTRE'!$A$1:$Z$455,MATCH('Summary - Monthly'!$A64,'TRANS EMP EXTRACT - COST CENTRE'!$A:$A,0),MATCH('Summary - Monthly'!AB$3,'TRANS EMP EXTRACT - COST CENTRE'!$2:$2,0)),0)</f>
        <v>0</v>
      </c>
      <c r="AC64" s="8">
        <f>IFERROR(INDEX('TRANS EMP EXTRACT - COST CENTRE'!$A$1:$Z$455,MATCH('Summary - Monthly'!$A64,'TRANS EMP EXTRACT - COST CENTRE'!$A:$A,0),MATCH('Summary - Monthly'!AC$3,'TRANS EMP EXTRACT - COST CENTRE'!$2:$2,0)),0)</f>
        <v>0</v>
      </c>
      <c r="AD64" s="13">
        <f>IFERROR(INDEX('TRANS EMP EXTRACT - COST CENTRE'!$A$1:$Z$455,MATCH('Summary - Monthly'!$A64,'TRANS EMP EXTRACT - COST CENTRE'!$A:$A,0),MATCH('Summary - Monthly'!AD$3,'TRANS EMP EXTRACT - COST CENTRE'!$2:$2,0)),0)</f>
        <v>0</v>
      </c>
      <c r="AE64" s="13">
        <f>IFERROR(INDEX('TRANS EMP EXTRACT - COST CENTRE'!$A$1:$Z$455,MATCH('Summary - Monthly'!$A64,'TRANS EMP EXTRACT - COST CENTRE'!$A:$A,0),MATCH('Summary - Monthly'!AE$3,'TRANS EMP EXTRACT - COST CENTRE'!$2:$2,0)),0)</f>
        <v>0</v>
      </c>
      <c r="AF64" s="13">
        <f>IFERROR(INDEX('TRANS EMP EXTRACT - COST CENTRE'!$A$1:$Z$455,MATCH('Summary - Monthly'!$A64,'TRANS EMP EXTRACT - COST CENTRE'!$A:$A,0),MATCH('Summary - Monthly'!AF$3,'TRANS EMP EXTRACT - COST CENTRE'!$2:$2,0)),0)</f>
        <v>0</v>
      </c>
      <c r="AG64" s="10">
        <f>IFERROR(INDEX('TRANS EMP EXTRACT - COST CENTRE'!$A$1:$Z$455,MATCH('Summary - Monthly'!$A64,'TRANS EMP EXTRACT - COST CENTRE'!$A:$A,0),MATCH('Summary - Monthly'!AG$3,'TRANS EMP EXTRACT - COST CENTRE'!$2:$2,0)),0)</f>
        <v>0</v>
      </c>
      <c r="AH64" s="10">
        <f>IFERROR(INDEX('TRANS EMP EXTRACT - COST CENTRE'!$A$1:$Z$455,MATCH('Summary - Monthly'!$A64,'TRANS EMP EXTRACT - COST CENTRE'!$A:$A,0),MATCH('Summary - Monthly'!AH$3,'TRANS EMP EXTRACT - COST CENTRE'!$2:$2,0)),0)</f>
        <v>0</v>
      </c>
      <c r="AI64" s="10">
        <f>IFERROR(INDEX('TRANS EMP EXTRACT - COST CENTRE'!$A$1:$Z$455,MATCH('Summary - Monthly'!$A64,'TRANS EMP EXTRACT - COST CENTRE'!$A:$A,0),MATCH('Summary - Monthly'!AI$3,'TRANS EMP EXTRACT - COST CENTRE'!$2:$2,0)),0)</f>
        <v>0</v>
      </c>
      <c r="AJ64" s="10">
        <f>IFERROR(INDEX('TRANS EMP EXTRACT - COST CENTRE'!$A$1:$Z$455,MATCH('Summary - Monthly'!$A64,'TRANS EMP EXTRACT - COST CENTRE'!$A:$A,0),MATCH('Summary - Monthly'!AJ$3,'TRANS EMP EXTRACT - COST CENTRE'!$2:$2,0)),0)</f>
        <v>0</v>
      </c>
      <c r="AK64" s="10">
        <f>IFERROR(INDEX('TRANS EMP EXTRACT - COST CENTRE'!$A$1:$Z$455,MATCH('Summary - Monthly'!$A64,'TRANS EMP EXTRACT - COST CENTRE'!$A:$A,0),MATCH('Summary - Monthly'!AK$3,'TRANS EMP EXTRACT - COST CENTRE'!$2:$2,0)),0)</f>
        <v>0</v>
      </c>
      <c r="AL64" s="10">
        <f>IFERROR(INDEX('TRANS EMP EXTRACT - COST CENTRE'!$A$1:$Z$455,MATCH('Summary - Monthly'!$A64,'TRANS EMP EXTRACT - COST CENTRE'!$A:$A,0),MATCH('Summary - Monthly'!AL$3,'TRANS EMP EXTRACT - COST CENTRE'!$2:$2,0)),0)</f>
        <v>0</v>
      </c>
      <c r="AM64" s="10">
        <f t="shared" si="9"/>
        <v>204.65009999999998</v>
      </c>
      <c r="AN64" s="14">
        <f t="shared" si="2"/>
        <v>0.34638223684210528</v>
      </c>
      <c r="AO64" s="18">
        <f t="shared" si="5"/>
        <v>1.3463822368421052</v>
      </c>
      <c r="AP64" s="18">
        <f t="shared" si="6"/>
        <v>1.0963822368421052</v>
      </c>
      <c r="AQ64" s="10" t="str">
        <f>IFERROR(VLOOKUP(B64,Departments!A:C,3,FALSE),"")</f>
        <v>Microbiology</v>
      </c>
      <c r="AR64" s="10" t="str">
        <f>IFERROR(VLOOKUP(B64,Departments!A:B,2,FALSE),"")</f>
        <v>Melb Micro</v>
      </c>
      <c r="AS64" s="10">
        <f t="shared" si="10"/>
        <v>15.2</v>
      </c>
      <c r="AT64" s="10">
        <f t="shared" si="11"/>
        <v>38</v>
      </c>
      <c r="AU64" s="10" t="str">
        <f>_xlfn.IFNA(VLOOKUP(B64,Departments!A:D,4,FALSE),"")</f>
        <v>Melbourne Micro</v>
      </c>
    </row>
    <row r="65" spans="1:47" ht="14.45" customHeight="1">
      <c r="A65" s="11" t="str">
        <f t="shared" si="3"/>
        <v>1201301219014</v>
      </c>
      <c r="B65" s="11">
        <f>'TRANS EMP EXTRACT - COST CENTRE'!B64</f>
        <v>12013012</v>
      </c>
      <c r="C65" s="10" t="str">
        <f>IFERROR(VLOOKUP(E65,'TRANS EMP EXTRACT - EMP CATEGOR'!A:B,2,FALSE),"")</f>
        <v>FT</v>
      </c>
      <c r="D65" s="10" t="str">
        <f>IFERROR(VLOOKUP(E65,'TRANS EMP EXTRACT - EMP CATEGOR'!A:C,3,FALSE),"")</f>
        <v>Fulltime</v>
      </c>
      <c r="E65" s="11">
        <f>'TRANS EMP EXTRACT - COST CENTRE'!D64</f>
        <v>19014</v>
      </c>
      <c r="F65" s="10" t="str">
        <f>IFERROR(VLOOKUP(E65,'TRANS EMP EXTRACT - COST CENTRE'!D:E,2,FALSE),"")</f>
        <v>KARIMZADA  OMID MR</v>
      </c>
      <c r="G65" s="12">
        <f>IFERROR(INDEX('TRANS EMP EXTRACT - COST CENTRE'!$A$1:$Z$455,MATCH('Summary - Monthly'!$A65,'TRANS EMP EXTRACT - COST CENTRE'!$A:$A,0),MATCH('Summary - Monthly'!G$3,'TRANS EMP EXTRACT - COST CENTRE'!$2:$2,0)),"")</f>
        <v>44727</v>
      </c>
      <c r="H65" s="10" t="str">
        <f>IFERROR(INDEX('TRANS EMP EXTRACT - COST CENTRE'!$B$1:$Z$455,MATCH('Summary - Monthly'!$E65,'TRANS EMP EXTRACT - COST CENTRE'!$D:$D,0),MATCH('Summary - Monthly'!H$3,'TRANS EMP EXTRACT - COST CENTRE'!$2:$2,0)),"")</f>
        <v>FN</v>
      </c>
      <c r="I65" s="12" t="str">
        <f>IFERROR(INDEX('TRANS EMP EXTRACT - EMP CATEGOR'!$B$1:$AF$421,MATCH('Summary - Monthly'!$E65,'TRANS EMP EXTRACT - EMP CATEGOR'!$D:$D,0),MATCH('Summary - Monthly'!H$3,'TRANS EMP EXTRACT - EMP CATEGOR'!$2:$2,0)),"")</f>
        <v>FN</v>
      </c>
      <c r="J65" s="41">
        <f t="shared" ca="1" si="0"/>
        <v>46.076500000000003</v>
      </c>
      <c r="K65" s="41">
        <f t="shared" ca="1" si="1"/>
        <v>68.552999999999997</v>
      </c>
      <c r="L65" s="10">
        <f>IFERROR(INDEX('TRANS EMP EXTRACT - COST CENTRE'!$A$1:$Z$455,MATCH('Summary - Monthly'!$A65,'TRANS EMP EXTRACT - COST CENTRE'!$A:$A,0),MATCH('Summary - Monthly'!L$3,'TRANS EMP EXTRACT - COST CENTRE'!$2:$2,0)),"")</f>
        <v>136.80000000000001</v>
      </c>
      <c r="M65" s="10">
        <f>IFERROR(INDEX('TRANS EMP EXTRACT - COST CENTRE'!$A$1:$Z$455,MATCH('Summary - Monthly'!$A65,'TRANS EMP EXTRACT - COST CENTRE'!$A:$A,0),MATCH('Summary - Monthly'!M$3,'TRANS EMP EXTRACT - COST CENTRE'!$2:$2,0)),0)</f>
        <v>0</v>
      </c>
      <c r="N65" s="10">
        <f>IFERROR(INDEX('TRANS EMP EXTRACT - COST CENTRE'!$A$1:$Z$455,MATCH('Summary - Monthly'!$A65,'TRANS EMP EXTRACT - COST CENTRE'!$A:$A,0),MATCH('Summary - Monthly'!N$3,'TRANS EMP EXTRACT - COST CENTRE'!$2:$2,0)),0)</f>
        <v>0</v>
      </c>
      <c r="O65" s="10">
        <f>IFERROR(INDEX('TRANS EMP EXTRACT - COST CENTRE'!$A$1:$Z$455,MATCH('Summary - Monthly'!$A65,'TRANS EMP EXTRACT - COST CENTRE'!$A:$A,0),MATCH('Summary - Monthly'!O$3,'TRANS EMP EXTRACT - COST CENTRE'!$2:$2,0)),0)</f>
        <v>0</v>
      </c>
      <c r="P65" s="10">
        <f>IFERROR(INDEX('TRANS EMP EXTRACT - COST CENTRE'!$A$1:$Z$455,MATCH('Summary - Monthly'!$A65,'TRANS EMP EXTRACT - COST CENTRE'!$A:$A,0),MATCH('Summary - Monthly'!P$3,'TRANS EMP EXTRACT - COST CENTRE'!$2:$2,0)),0)</f>
        <v>0</v>
      </c>
      <c r="Q65" s="10">
        <f>IFERROR(INDEX('TRANS EMP EXTRACT - COST CENTRE'!$A$1:$Z$455,MATCH('Summary - Monthly'!$A65,'TRANS EMP EXTRACT - COST CENTRE'!$A:$A,0),MATCH('Summary - Monthly'!Q$3,'TRANS EMP EXTRACT - COST CENTRE'!$2:$2,0)),0)</f>
        <v>0</v>
      </c>
      <c r="R65" s="10">
        <f>IFERROR(INDEX('TRANS EMP EXTRACT - COST CENTRE'!$A$1:$Z$455,MATCH('Summary - Monthly'!$A65,'TRANS EMP EXTRACT - COST CENTRE'!$A:$A,0),MATCH('Summary - Monthly'!R$3,'TRANS EMP EXTRACT - COST CENTRE'!$2:$2,0)),0)</f>
        <v>0</v>
      </c>
      <c r="S65" s="10">
        <f>IFERROR(INDEX('TRANS EMP EXTRACT - COST CENTRE'!$A$1:$Z$455,MATCH('Summary - Monthly'!$A65,'TRANS EMP EXTRACT - COST CENTRE'!$A:$A,0),MATCH('Summary - Monthly'!S$3,'TRANS EMP EXTRACT - COST CENTRE'!$2:$2,0)),0)</f>
        <v>0</v>
      </c>
      <c r="T65" s="8">
        <f>IFERROR(INDEX('TRANS EMP EXTRACT - COST CENTRE'!$A$1:$Z$455,MATCH('Summary - Monthly'!$A65,'TRANS EMP EXTRACT - COST CENTRE'!$A:$A,0),MATCH('Summary - Monthly'!T$3,'TRANS EMP EXTRACT - COST CENTRE'!$2:$2,0)),0)</f>
        <v>0</v>
      </c>
      <c r="U65" s="13">
        <f>IFERROR(INDEX('TRANS EMP EXTRACT - COST CENTRE'!$A$1:$Z$455,MATCH('Summary - Monthly'!$A65,'TRANS EMP EXTRACT - COST CENTRE'!$A:$A,0),MATCH('Summary - Monthly'!U$3,'TRANS EMP EXTRACT - COST CENTRE'!$2:$2,0)),0)</f>
        <v>7.6</v>
      </c>
      <c r="V65" s="13">
        <f>IFERROR(INDEX('TRANS EMP EXTRACT - COST CENTRE'!$A$1:$Z$455,MATCH('Summary - Monthly'!$A65,'TRANS EMP EXTRACT - COST CENTRE'!$A:$A,0),MATCH('Summary - Monthly'!V$3,'TRANS EMP EXTRACT - COST CENTRE'!$2:$2,0)),0)</f>
        <v>7.6</v>
      </c>
      <c r="W65" s="13">
        <f>IFERROR(INDEX('TRANS EMP EXTRACT - COST CENTRE'!$A$1:$Z$455,MATCH('Summary - Monthly'!$A65,'TRANS EMP EXTRACT - COST CENTRE'!$A:$A,0),MATCH('Summary - Monthly'!W$3,'TRANS EMP EXTRACT - COST CENTRE'!$2:$2,0)),0)</f>
        <v>0</v>
      </c>
      <c r="X65" s="13">
        <f>IFERROR(INDEX('TRANS EMP EXTRACT - COST CENTRE'!$A$1:$Z$455,MATCH('Summary - Monthly'!$A65,'TRANS EMP EXTRACT - COST CENTRE'!$A:$A,0),MATCH('Summary - Monthly'!X$3,'TRANS EMP EXTRACT - COST CENTRE'!$2:$2,0)),0)</f>
        <v>0</v>
      </c>
      <c r="Y65" s="13">
        <f>IFERROR(INDEX('TRANS EMP EXTRACT - COST CENTRE'!$A$1:$Z$455,MATCH('Summary - Monthly'!$A65,'TRANS EMP EXTRACT - COST CENTRE'!$A:$A,0),MATCH('Summary - Monthly'!Y$3,'TRANS EMP EXTRACT - COST CENTRE'!$2:$2,0)),0)</f>
        <v>0</v>
      </c>
      <c r="Z65" s="10">
        <f>IFERROR(INDEX('TRANS EMP EXTRACT - COST CENTRE'!$A$1:$Z$455,MATCH('Summary - Monthly'!$A65,'TRANS EMP EXTRACT - COST CENTRE'!$A:$A,0),MATCH('Summary - Monthly'!Z$3,'TRANS EMP EXTRACT - COST CENTRE'!$2:$2,0)),0)</f>
        <v>0</v>
      </c>
      <c r="AA65" s="10">
        <f>IFERROR(INDEX('TRANS EMP EXTRACT - COST CENTRE'!$A$1:$Z$455,MATCH('Summary - Monthly'!$A65,'TRANS EMP EXTRACT - COST CENTRE'!$A:$A,0),MATCH('Summary - Monthly'!AA$3,'TRANS EMP EXTRACT - COST CENTRE'!$2:$2,0)),0)</f>
        <v>0</v>
      </c>
      <c r="AB65" s="10">
        <f>IFERROR(INDEX('TRANS EMP EXTRACT - COST CENTRE'!$A$1:$Z$455,MATCH('Summary - Monthly'!$A65,'TRANS EMP EXTRACT - COST CENTRE'!$A:$A,0),MATCH('Summary - Monthly'!AB$3,'TRANS EMP EXTRACT - COST CENTRE'!$2:$2,0)),0)</f>
        <v>0</v>
      </c>
      <c r="AC65" s="8">
        <f>IFERROR(INDEX('TRANS EMP EXTRACT - COST CENTRE'!$A$1:$Z$455,MATCH('Summary - Monthly'!$A65,'TRANS EMP EXTRACT - COST CENTRE'!$A:$A,0),MATCH('Summary - Monthly'!AC$3,'TRANS EMP EXTRACT - COST CENTRE'!$2:$2,0)),0)</f>
        <v>0</v>
      </c>
      <c r="AD65" s="13">
        <f>IFERROR(INDEX('TRANS EMP EXTRACT - COST CENTRE'!$A$1:$Z$455,MATCH('Summary - Monthly'!$A65,'TRANS EMP EXTRACT - COST CENTRE'!$A:$A,0),MATCH('Summary - Monthly'!AD$3,'TRANS EMP EXTRACT - COST CENTRE'!$2:$2,0)),0)</f>
        <v>0</v>
      </c>
      <c r="AE65" s="13">
        <f>IFERROR(INDEX('TRANS EMP EXTRACT - COST CENTRE'!$A$1:$Z$455,MATCH('Summary - Monthly'!$A65,'TRANS EMP EXTRACT - COST CENTRE'!$A:$A,0),MATCH('Summary - Monthly'!AE$3,'TRANS EMP EXTRACT - COST CENTRE'!$2:$2,0)),0)</f>
        <v>0</v>
      </c>
      <c r="AF65" s="13">
        <f>IFERROR(INDEX('TRANS EMP EXTRACT - COST CENTRE'!$A$1:$Z$455,MATCH('Summary - Monthly'!$A65,'TRANS EMP EXTRACT - COST CENTRE'!$A:$A,0),MATCH('Summary - Monthly'!AF$3,'TRANS EMP EXTRACT - COST CENTRE'!$2:$2,0)),0)</f>
        <v>0</v>
      </c>
      <c r="AG65" s="10">
        <f>IFERROR(INDEX('TRANS EMP EXTRACT - COST CENTRE'!$A$1:$Z$455,MATCH('Summary - Monthly'!$A65,'TRANS EMP EXTRACT - COST CENTRE'!$A:$A,0),MATCH('Summary - Monthly'!AG$3,'TRANS EMP EXTRACT - COST CENTRE'!$2:$2,0)),0)</f>
        <v>0</v>
      </c>
      <c r="AH65" s="10">
        <f>IFERROR(INDEX('TRANS EMP EXTRACT - COST CENTRE'!$A$1:$Z$455,MATCH('Summary - Monthly'!$A65,'TRANS EMP EXTRACT - COST CENTRE'!$A:$A,0),MATCH('Summary - Monthly'!AH$3,'TRANS EMP EXTRACT - COST CENTRE'!$2:$2,0)),0)</f>
        <v>0</v>
      </c>
      <c r="AI65" s="10">
        <f>IFERROR(INDEX('TRANS EMP EXTRACT - COST CENTRE'!$A$1:$Z$455,MATCH('Summary - Monthly'!$A65,'TRANS EMP EXTRACT - COST CENTRE'!$A:$A,0),MATCH('Summary - Monthly'!AI$3,'TRANS EMP EXTRACT - COST CENTRE'!$2:$2,0)),0)</f>
        <v>0</v>
      </c>
      <c r="AJ65" s="10">
        <f>IFERROR(INDEX('TRANS EMP EXTRACT - COST CENTRE'!$A$1:$Z$455,MATCH('Summary - Monthly'!$A65,'TRANS EMP EXTRACT - COST CENTRE'!$A:$A,0),MATCH('Summary - Monthly'!AJ$3,'TRANS EMP EXTRACT - COST CENTRE'!$2:$2,0)),0)</f>
        <v>0</v>
      </c>
      <c r="AK65" s="10">
        <f>IFERROR(INDEX('TRANS EMP EXTRACT - COST CENTRE'!$A$1:$Z$455,MATCH('Summary - Monthly'!$A65,'TRANS EMP EXTRACT - COST CENTRE'!$A:$A,0),MATCH('Summary - Monthly'!AK$3,'TRANS EMP EXTRACT - COST CENTRE'!$2:$2,0)),0)</f>
        <v>0</v>
      </c>
      <c r="AL65" s="10">
        <f>IFERROR(INDEX('TRANS EMP EXTRACT - COST CENTRE'!$A$1:$Z$455,MATCH('Summary - Monthly'!$A65,'TRANS EMP EXTRACT - COST CENTRE'!$A:$A,0),MATCH('Summary - Monthly'!AL$3,'TRANS EMP EXTRACT - COST CENTRE'!$2:$2,0)),0)</f>
        <v>0</v>
      </c>
      <c r="AM65" s="10">
        <f t="shared" si="9"/>
        <v>152</v>
      </c>
      <c r="AN65" s="14">
        <f t="shared" si="2"/>
        <v>0</v>
      </c>
      <c r="AO65" s="18">
        <f t="shared" si="5"/>
        <v>1</v>
      </c>
      <c r="AP65" s="18">
        <f t="shared" si="6"/>
        <v>0.9</v>
      </c>
      <c r="AQ65" s="10" t="str">
        <f>IFERROR(VLOOKUP(B65,Departments!A:C,3,FALSE),"")</f>
        <v>Microbiology</v>
      </c>
      <c r="AR65" s="10" t="str">
        <f>IFERROR(VLOOKUP(B65,Departments!A:B,2,FALSE),"")</f>
        <v>Science Centre</v>
      </c>
      <c r="AS65" s="10">
        <f t="shared" si="10"/>
        <v>7.6</v>
      </c>
      <c r="AT65" s="10">
        <f t="shared" si="11"/>
        <v>15.2</v>
      </c>
      <c r="AU65" s="10" t="str">
        <f>_xlfn.IFNA(VLOOKUP(B65,Departments!A:D,4,FALSE),"")</f>
        <v>Consulting Micro  SC</v>
      </c>
    </row>
    <row r="66" spans="1:47" ht="14.45" customHeight="1">
      <c r="A66" s="11" t="str">
        <f t="shared" si="3"/>
        <v>1204301118850</v>
      </c>
      <c r="B66" s="11">
        <f>'TRANS EMP EXTRACT - COST CENTRE'!B65</f>
        <v>12043011</v>
      </c>
      <c r="C66" s="10" t="str">
        <f>IFERROR(VLOOKUP(E66,'TRANS EMP EXTRACT - EMP CATEGOR'!A:B,2,FALSE),"")</f>
        <v>FT</v>
      </c>
      <c r="D66" s="10" t="str">
        <f>IFERROR(VLOOKUP(E66,'TRANS EMP EXTRACT - EMP CATEGOR'!A:C,3,FALSE),"")</f>
        <v>Fulltime</v>
      </c>
      <c r="E66" s="11">
        <f>'TRANS EMP EXTRACT - COST CENTRE'!D65</f>
        <v>18850</v>
      </c>
      <c r="F66" s="10" t="str">
        <f>IFERROR(VLOOKUP(E66,'TRANS EMP EXTRACT - COST CENTRE'!D:E,2,FALSE),"")</f>
        <v>KASHANI  ANGELA MRS</v>
      </c>
      <c r="G66" s="12">
        <f>IFERROR(INDEX('TRANS EMP EXTRACT - COST CENTRE'!$A$1:$Z$455,MATCH('Summary - Monthly'!$A66,'TRANS EMP EXTRACT - COST CENTRE'!$A:$A,0),MATCH('Summary - Monthly'!G$3,'TRANS EMP EXTRACT - COST CENTRE'!$2:$2,0)),"")</f>
        <v>43467</v>
      </c>
      <c r="H66" s="10" t="str">
        <f>IFERROR(INDEX('TRANS EMP EXTRACT - COST CENTRE'!$B$1:$Z$455,MATCH('Summary - Monthly'!$E66,'TRANS EMP EXTRACT - COST CENTRE'!$D:$D,0),MATCH('Summary - Monthly'!H$3,'TRANS EMP EXTRACT - COST CENTRE'!$2:$2,0)),"")</f>
        <v>RT</v>
      </c>
      <c r="I66" s="12" t="str">
        <f>IFERROR(INDEX('TRANS EMP EXTRACT - EMP CATEGOR'!$B$1:$AF$421,MATCH('Summary - Monthly'!$E66,'TRANS EMP EXTRACT - EMP CATEGOR'!$D:$D,0),MATCH('Summary - Monthly'!H$3,'TRANS EMP EXTRACT - EMP CATEGOR'!$2:$2,0)),"")</f>
        <v>RT</v>
      </c>
      <c r="J66" s="41">
        <f t="shared" ca="1" si="0"/>
        <v>188.69130000000001</v>
      </c>
      <c r="K66" s="41">
        <f t="shared" ca="1" si="1"/>
        <v>94.735900000000001</v>
      </c>
      <c r="L66" s="10">
        <f>IFERROR(INDEX('TRANS EMP EXTRACT - COST CENTRE'!$A$1:$Z$455,MATCH('Summary - Monthly'!$A66,'TRANS EMP EXTRACT - COST CENTRE'!$A:$A,0),MATCH('Summary - Monthly'!L$3,'TRANS EMP EXTRACT - COST CENTRE'!$2:$2,0)),"")</f>
        <v>121.5</v>
      </c>
      <c r="M66" s="10">
        <f>IFERROR(INDEX('TRANS EMP EXTRACT - COST CENTRE'!$A$1:$Z$455,MATCH('Summary - Monthly'!$A66,'TRANS EMP EXTRACT - COST CENTRE'!$A:$A,0),MATCH('Summary - Monthly'!M$3,'TRANS EMP EXTRACT - COST CENTRE'!$2:$2,0)),0)</f>
        <v>0</v>
      </c>
      <c r="N66" s="10">
        <f>IFERROR(INDEX('TRANS EMP EXTRACT - COST CENTRE'!$A$1:$Z$455,MATCH('Summary - Monthly'!$A66,'TRANS EMP EXTRACT - COST CENTRE'!$A:$A,0),MATCH('Summary - Monthly'!N$3,'TRANS EMP EXTRACT - COST CENTRE'!$2:$2,0)),0)</f>
        <v>0</v>
      </c>
      <c r="O66" s="10">
        <f>IFERROR(INDEX('TRANS EMP EXTRACT - COST CENTRE'!$A$1:$Z$455,MATCH('Summary - Monthly'!$A66,'TRANS EMP EXTRACT - COST CENTRE'!$A:$A,0),MATCH('Summary - Monthly'!O$3,'TRANS EMP EXTRACT - COST CENTRE'!$2:$2,0)),0)</f>
        <v>30.4</v>
      </c>
      <c r="P66" s="10">
        <f>IFERROR(INDEX('TRANS EMP EXTRACT - COST CENTRE'!$A$1:$Z$455,MATCH('Summary - Monthly'!$A66,'TRANS EMP EXTRACT - COST CENTRE'!$A:$A,0),MATCH('Summary - Monthly'!P$3,'TRANS EMP EXTRACT - COST CENTRE'!$2:$2,0)),0)</f>
        <v>0</v>
      </c>
      <c r="Q66" s="10">
        <f>IFERROR(INDEX('TRANS EMP EXTRACT - COST CENTRE'!$A$1:$Z$455,MATCH('Summary - Monthly'!$A66,'TRANS EMP EXTRACT - COST CENTRE'!$A:$A,0),MATCH('Summary - Monthly'!Q$3,'TRANS EMP EXTRACT - COST CENTRE'!$2:$2,0)),0)</f>
        <v>5.4169</v>
      </c>
      <c r="R66" s="10">
        <f>IFERROR(INDEX('TRANS EMP EXTRACT - COST CENTRE'!$A$1:$Z$455,MATCH('Summary - Monthly'!$A66,'TRANS EMP EXTRACT - COST CENTRE'!$A:$A,0),MATCH('Summary - Monthly'!R$3,'TRANS EMP EXTRACT - COST CENTRE'!$2:$2,0)),0)</f>
        <v>0</v>
      </c>
      <c r="S66" s="10">
        <f>IFERROR(INDEX('TRANS EMP EXTRACT - COST CENTRE'!$A$1:$Z$455,MATCH('Summary - Monthly'!$A66,'TRANS EMP EXTRACT - COST CENTRE'!$A:$A,0),MATCH('Summary - Monthly'!S$3,'TRANS EMP EXTRACT - COST CENTRE'!$2:$2,0)),0)</f>
        <v>0</v>
      </c>
      <c r="T66" s="8">
        <f>IFERROR(INDEX('TRANS EMP EXTRACT - COST CENTRE'!$A$1:$Z$455,MATCH('Summary - Monthly'!$A66,'TRANS EMP EXTRACT - COST CENTRE'!$A:$A,0),MATCH('Summary - Monthly'!T$3,'TRANS EMP EXTRACT - COST CENTRE'!$2:$2,0)),0)</f>
        <v>0</v>
      </c>
      <c r="U66" s="13">
        <f>IFERROR(INDEX('TRANS EMP EXTRACT - COST CENTRE'!$A$1:$Z$455,MATCH('Summary - Monthly'!$A66,'TRANS EMP EXTRACT - COST CENTRE'!$A:$A,0),MATCH('Summary - Monthly'!U$3,'TRANS EMP EXTRACT - COST CENTRE'!$2:$2,0)),0)</f>
        <v>0</v>
      </c>
      <c r="V66" s="13">
        <f>IFERROR(INDEX('TRANS EMP EXTRACT - COST CENTRE'!$A$1:$Z$455,MATCH('Summary - Monthly'!$A66,'TRANS EMP EXTRACT - COST CENTRE'!$A:$A,0),MATCH('Summary - Monthly'!V$3,'TRANS EMP EXTRACT - COST CENTRE'!$2:$2,0)),0)</f>
        <v>0</v>
      </c>
      <c r="W66" s="13">
        <f>IFERROR(INDEX('TRANS EMP EXTRACT - COST CENTRE'!$A$1:$Z$455,MATCH('Summary - Monthly'!$A66,'TRANS EMP EXTRACT - COST CENTRE'!$A:$A,0),MATCH('Summary - Monthly'!W$3,'TRANS EMP EXTRACT - COST CENTRE'!$2:$2,0)),0)</f>
        <v>0</v>
      </c>
      <c r="X66" s="13">
        <f>IFERROR(INDEX('TRANS EMP EXTRACT - COST CENTRE'!$A$1:$Z$455,MATCH('Summary - Monthly'!$A66,'TRANS EMP EXTRACT - COST CENTRE'!$A:$A,0),MATCH('Summary - Monthly'!X$3,'TRANS EMP EXTRACT - COST CENTRE'!$2:$2,0)),0)</f>
        <v>0</v>
      </c>
      <c r="Y66" s="13">
        <f>IFERROR(INDEX('TRANS EMP EXTRACT - COST CENTRE'!$A$1:$Z$455,MATCH('Summary - Monthly'!$A66,'TRANS EMP EXTRACT - COST CENTRE'!$A:$A,0),MATCH('Summary - Monthly'!Y$3,'TRANS EMP EXTRACT - COST CENTRE'!$2:$2,0)),0)</f>
        <v>0</v>
      </c>
      <c r="Z66" s="10">
        <f>IFERROR(INDEX('TRANS EMP EXTRACT - COST CENTRE'!$A$1:$Z$455,MATCH('Summary - Monthly'!$A66,'TRANS EMP EXTRACT - COST CENTRE'!$A:$A,0),MATCH('Summary - Monthly'!Z$3,'TRANS EMP EXTRACT - COST CENTRE'!$2:$2,0)),0)</f>
        <v>0</v>
      </c>
      <c r="AA66" s="10">
        <f>IFERROR(INDEX('TRANS EMP EXTRACT - COST CENTRE'!$A$1:$Z$455,MATCH('Summary - Monthly'!$A66,'TRANS EMP EXTRACT - COST CENTRE'!$A:$A,0),MATCH('Summary - Monthly'!AA$3,'TRANS EMP EXTRACT - COST CENTRE'!$2:$2,0)),0)</f>
        <v>0</v>
      </c>
      <c r="AB66" s="10">
        <f>IFERROR(INDEX('TRANS EMP EXTRACT - COST CENTRE'!$A$1:$Z$455,MATCH('Summary - Monthly'!$A66,'TRANS EMP EXTRACT - COST CENTRE'!$A:$A,0),MATCH('Summary - Monthly'!AB$3,'TRANS EMP EXTRACT - COST CENTRE'!$2:$2,0)),0)</f>
        <v>0</v>
      </c>
      <c r="AC66" s="8">
        <f>IFERROR(INDEX('TRANS EMP EXTRACT - COST CENTRE'!$A$1:$Z$455,MATCH('Summary - Monthly'!$A66,'TRANS EMP EXTRACT - COST CENTRE'!$A:$A,0),MATCH('Summary - Monthly'!AC$3,'TRANS EMP EXTRACT - COST CENTRE'!$2:$2,0)),0)</f>
        <v>0</v>
      </c>
      <c r="AD66" s="13">
        <f>IFERROR(INDEX('TRANS EMP EXTRACT - COST CENTRE'!$A$1:$Z$455,MATCH('Summary - Monthly'!$A66,'TRANS EMP EXTRACT - COST CENTRE'!$A:$A,0),MATCH('Summary - Monthly'!AD$3,'TRANS EMP EXTRACT - COST CENTRE'!$2:$2,0)),0)</f>
        <v>0</v>
      </c>
      <c r="AE66" s="13">
        <f>IFERROR(INDEX('TRANS EMP EXTRACT - COST CENTRE'!$A$1:$Z$455,MATCH('Summary - Monthly'!$A66,'TRANS EMP EXTRACT - COST CENTRE'!$A:$A,0),MATCH('Summary - Monthly'!AE$3,'TRANS EMP EXTRACT - COST CENTRE'!$2:$2,0)),0)</f>
        <v>0</v>
      </c>
      <c r="AF66" s="13">
        <f>IFERROR(INDEX('TRANS EMP EXTRACT - COST CENTRE'!$A$1:$Z$455,MATCH('Summary - Monthly'!$A66,'TRANS EMP EXTRACT - COST CENTRE'!$A:$A,0),MATCH('Summary - Monthly'!AF$3,'TRANS EMP EXTRACT - COST CENTRE'!$2:$2,0)),0)</f>
        <v>0</v>
      </c>
      <c r="AG66" s="10">
        <f>IFERROR(INDEX('TRANS EMP EXTRACT - COST CENTRE'!$A$1:$Z$455,MATCH('Summary - Monthly'!$A66,'TRANS EMP EXTRACT - COST CENTRE'!$A:$A,0),MATCH('Summary - Monthly'!AG$3,'TRANS EMP EXTRACT - COST CENTRE'!$2:$2,0)),0)</f>
        <v>0</v>
      </c>
      <c r="AH66" s="10">
        <f>IFERROR(INDEX('TRANS EMP EXTRACT - COST CENTRE'!$A$1:$Z$455,MATCH('Summary - Monthly'!$A66,'TRANS EMP EXTRACT - COST CENTRE'!$A:$A,0),MATCH('Summary - Monthly'!AH$3,'TRANS EMP EXTRACT - COST CENTRE'!$2:$2,0)),0)</f>
        <v>0</v>
      </c>
      <c r="AI66" s="10">
        <f>IFERROR(INDEX('TRANS EMP EXTRACT - COST CENTRE'!$A$1:$Z$455,MATCH('Summary - Monthly'!$A66,'TRANS EMP EXTRACT - COST CENTRE'!$A:$A,0),MATCH('Summary - Monthly'!AI$3,'TRANS EMP EXTRACT - COST CENTRE'!$2:$2,0)),0)</f>
        <v>0</v>
      </c>
      <c r="AJ66" s="10">
        <f>IFERROR(INDEX('TRANS EMP EXTRACT - COST CENTRE'!$A$1:$Z$455,MATCH('Summary - Monthly'!$A66,'TRANS EMP EXTRACT - COST CENTRE'!$A:$A,0),MATCH('Summary - Monthly'!AJ$3,'TRANS EMP EXTRACT - COST CENTRE'!$2:$2,0)),0)</f>
        <v>0</v>
      </c>
      <c r="AK66" s="10">
        <f>IFERROR(INDEX('TRANS EMP EXTRACT - COST CENTRE'!$A$1:$Z$455,MATCH('Summary - Monthly'!$A66,'TRANS EMP EXTRACT - COST CENTRE'!$A:$A,0),MATCH('Summary - Monthly'!AK$3,'TRANS EMP EXTRACT - COST CENTRE'!$2:$2,0)),0)</f>
        <v>0</v>
      </c>
      <c r="AL66" s="10">
        <f>IFERROR(INDEX('TRANS EMP EXTRACT - COST CENTRE'!$A$1:$Z$455,MATCH('Summary - Monthly'!$A66,'TRANS EMP EXTRACT - COST CENTRE'!$A:$A,0),MATCH('Summary - Monthly'!AL$3,'TRANS EMP EXTRACT - COST CENTRE'!$2:$2,0)),0)</f>
        <v>0</v>
      </c>
      <c r="AM66" s="10">
        <f t="shared" si="9"/>
        <v>157.3169</v>
      </c>
      <c r="AN66" s="14">
        <f t="shared" si="2"/>
        <v>3.5637500000000003E-2</v>
      </c>
      <c r="AO66" s="18">
        <f t="shared" si="5"/>
        <v>1.0349796052631579</v>
      </c>
      <c r="AP66" s="18">
        <f t="shared" si="6"/>
        <v>1.0349796052631579</v>
      </c>
      <c r="AQ66" s="10" t="str">
        <f>IFERROR(VLOOKUP(B66,Departments!A:C,3,FALSE),"")</f>
        <v>Microbiology</v>
      </c>
      <c r="AR66" s="10" t="str">
        <f>IFERROR(VLOOKUP(B66,Departments!A:B,2,FALSE),"")</f>
        <v>Bris Micro</v>
      </c>
      <c r="AS66" s="10">
        <f t="shared" si="10"/>
        <v>0</v>
      </c>
      <c r="AT66" s="10">
        <f t="shared" si="11"/>
        <v>0</v>
      </c>
      <c r="AU66" s="10" t="str">
        <f>_xlfn.IFNA(VLOOKUP(B66,Departments!A:D,4,FALSE),"")</f>
        <v>Brisbane Micro</v>
      </c>
    </row>
    <row r="67" spans="1:47" ht="14.45" customHeight="1">
      <c r="A67" s="11" t="str">
        <f t="shared" si="3"/>
        <v>1203301118829</v>
      </c>
      <c r="B67" s="11">
        <f>'TRANS EMP EXTRACT - COST CENTRE'!B66</f>
        <v>12033011</v>
      </c>
      <c r="C67" s="10" t="str">
        <f>IFERROR(VLOOKUP(E67,'TRANS EMP EXTRACT - EMP CATEGOR'!A:B,2,FALSE),"")</f>
        <v>FT</v>
      </c>
      <c r="D67" s="10" t="str">
        <f>IFERROR(VLOOKUP(E67,'TRANS EMP EXTRACT - EMP CATEGOR'!A:C,3,FALSE),"")</f>
        <v>Fulltime</v>
      </c>
      <c r="E67" s="11">
        <f>'TRANS EMP EXTRACT - COST CENTRE'!D66</f>
        <v>18829</v>
      </c>
      <c r="F67" s="10" t="str">
        <f>IFERROR(VLOOKUP(E67,'TRANS EMP EXTRACT - COST CENTRE'!D:E,2,FALSE),"")</f>
        <v>KELLY  KYLE MR</v>
      </c>
      <c r="G67" s="12">
        <f>IFERROR(INDEX('TRANS EMP EXTRACT - COST CENTRE'!$A$1:$Z$455,MATCH('Summary - Monthly'!$A67,'TRANS EMP EXTRACT - COST CENTRE'!$A:$A,0),MATCH('Summary - Monthly'!G$3,'TRANS EMP EXTRACT - COST CENTRE'!$2:$2,0)),"")</f>
        <v>43255</v>
      </c>
      <c r="H67" s="10" t="str">
        <f>IFERROR(INDEX('TRANS EMP EXTRACT - COST CENTRE'!$B$1:$Z$455,MATCH('Summary - Monthly'!$E67,'TRANS EMP EXTRACT - COST CENTRE'!$D:$D,0),MATCH('Summary - Monthly'!H$3,'TRANS EMP EXTRACT - COST CENTRE'!$2:$2,0)),"")</f>
        <v>RT</v>
      </c>
      <c r="I67" s="12" t="str">
        <f>IFERROR(INDEX('TRANS EMP EXTRACT - EMP CATEGOR'!$B$1:$AF$421,MATCH('Summary - Monthly'!$E67,'TRANS EMP EXTRACT - EMP CATEGOR'!$D:$D,0),MATCH('Summary - Monthly'!H$3,'TRANS EMP EXTRACT - EMP CATEGOR'!$2:$2,0)),"")</f>
        <v>RT</v>
      </c>
      <c r="J67" s="41">
        <f t="shared" ca="1" si="0"/>
        <v>22.843599999999999</v>
      </c>
      <c r="K67" s="41">
        <f t="shared" ca="1" si="1"/>
        <v>174.48750000000001</v>
      </c>
      <c r="L67" s="10">
        <f>IFERROR(INDEX('TRANS EMP EXTRACT - COST CENTRE'!$A$1:$Z$455,MATCH('Summary - Monthly'!$A67,'TRANS EMP EXTRACT - COST CENTRE'!$A:$A,0),MATCH('Summary - Monthly'!L$3,'TRANS EMP EXTRACT - COST CENTRE'!$2:$2,0)),"")</f>
        <v>121.6</v>
      </c>
      <c r="M67" s="10">
        <f>IFERROR(INDEX('TRANS EMP EXTRACT - COST CENTRE'!$A$1:$Z$455,MATCH('Summary - Monthly'!$A67,'TRANS EMP EXTRACT - COST CENTRE'!$A:$A,0),MATCH('Summary - Monthly'!M$3,'TRANS EMP EXTRACT - COST CENTRE'!$2:$2,0)),0)</f>
        <v>0</v>
      </c>
      <c r="N67" s="10">
        <f>IFERROR(INDEX('TRANS EMP EXTRACT - COST CENTRE'!$A$1:$Z$455,MATCH('Summary - Monthly'!$A67,'TRANS EMP EXTRACT - COST CENTRE'!$A:$A,0),MATCH('Summary - Monthly'!N$3,'TRANS EMP EXTRACT - COST CENTRE'!$2:$2,0)),0)</f>
        <v>0</v>
      </c>
      <c r="O67" s="10">
        <f>IFERROR(INDEX('TRANS EMP EXTRACT - COST CENTRE'!$A$1:$Z$455,MATCH('Summary - Monthly'!$A67,'TRANS EMP EXTRACT - COST CENTRE'!$A:$A,0),MATCH('Summary - Monthly'!O$3,'TRANS EMP EXTRACT - COST CENTRE'!$2:$2,0)),0)</f>
        <v>0</v>
      </c>
      <c r="P67" s="10">
        <f>IFERROR(INDEX('TRANS EMP EXTRACT - COST CENTRE'!$A$1:$Z$455,MATCH('Summary - Monthly'!$A67,'TRANS EMP EXTRACT - COST CENTRE'!$A:$A,0),MATCH('Summary - Monthly'!P$3,'TRANS EMP EXTRACT - COST CENTRE'!$2:$2,0)),0)</f>
        <v>30.4</v>
      </c>
      <c r="Q67" s="10">
        <f>IFERROR(INDEX('TRANS EMP EXTRACT - COST CENTRE'!$A$1:$Z$455,MATCH('Summary - Monthly'!$A67,'TRANS EMP EXTRACT - COST CENTRE'!$A:$A,0),MATCH('Summary - Monthly'!Q$3,'TRANS EMP EXTRACT - COST CENTRE'!$2:$2,0)),0)</f>
        <v>32.616700000000002</v>
      </c>
      <c r="R67" s="10">
        <f>IFERROR(INDEX('TRANS EMP EXTRACT - COST CENTRE'!$A$1:$Z$455,MATCH('Summary - Monthly'!$A67,'TRANS EMP EXTRACT - COST CENTRE'!$A:$A,0),MATCH('Summary - Monthly'!R$3,'TRANS EMP EXTRACT - COST CENTRE'!$2:$2,0)),0)</f>
        <v>22.2834</v>
      </c>
      <c r="S67" s="10">
        <f>IFERROR(INDEX('TRANS EMP EXTRACT - COST CENTRE'!$A$1:$Z$455,MATCH('Summary - Monthly'!$A67,'TRANS EMP EXTRACT - COST CENTRE'!$A:$A,0),MATCH('Summary - Monthly'!S$3,'TRANS EMP EXTRACT - COST CENTRE'!$2:$2,0)),0)</f>
        <v>0</v>
      </c>
      <c r="T67" s="8">
        <f>IFERROR(INDEX('TRANS EMP EXTRACT - COST CENTRE'!$A$1:$Z$455,MATCH('Summary - Monthly'!$A67,'TRANS EMP EXTRACT - COST CENTRE'!$A:$A,0),MATCH('Summary - Monthly'!T$3,'TRANS EMP EXTRACT - COST CENTRE'!$2:$2,0)),0)</f>
        <v>0</v>
      </c>
      <c r="U67" s="13">
        <f>IFERROR(INDEX('TRANS EMP EXTRACT - COST CENTRE'!$A$1:$Z$455,MATCH('Summary - Monthly'!$A67,'TRANS EMP EXTRACT - COST CENTRE'!$A:$A,0),MATCH('Summary - Monthly'!U$3,'TRANS EMP EXTRACT - COST CENTRE'!$2:$2,0)),0)</f>
        <v>0</v>
      </c>
      <c r="V67" s="13">
        <f>IFERROR(INDEX('TRANS EMP EXTRACT - COST CENTRE'!$A$1:$Z$455,MATCH('Summary - Monthly'!$A67,'TRANS EMP EXTRACT - COST CENTRE'!$A:$A,0),MATCH('Summary - Monthly'!V$3,'TRANS EMP EXTRACT - COST CENTRE'!$2:$2,0)),0)</f>
        <v>0</v>
      </c>
      <c r="W67" s="13">
        <f>IFERROR(INDEX('TRANS EMP EXTRACT - COST CENTRE'!$A$1:$Z$455,MATCH('Summary - Monthly'!$A67,'TRANS EMP EXTRACT - COST CENTRE'!$A:$A,0),MATCH('Summary - Monthly'!W$3,'TRANS EMP EXTRACT - COST CENTRE'!$2:$2,0)),0)</f>
        <v>0</v>
      </c>
      <c r="X67" s="13">
        <f>IFERROR(INDEX('TRANS EMP EXTRACT - COST CENTRE'!$A$1:$Z$455,MATCH('Summary - Monthly'!$A67,'TRANS EMP EXTRACT - COST CENTRE'!$A:$A,0),MATCH('Summary - Monthly'!X$3,'TRANS EMP EXTRACT - COST CENTRE'!$2:$2,0)),0)</f>
        <v>0</v>
      </c>
      <c r="Y67" s="13">
        <f>IFERROR(INDEX('TRANS EMP EXTRACT - COST CENTRE'!$A$1:$Z$455,MATCH('Summary - Monthly'!$A67,'TRANS EMP EXTRACT - COST CENTRE'!$A:$A,0),MATCH('Summary - Monthly'!Y$3,'TRANS EMP EXTRACT - COST CENTRE'!$2:$2,0)),0)</f>
        <v>0</v>
      </c>
      <c r="Z67" s="10">
        <f>IFERROR(INDEX('TRANS EMP EXTRACT - COST CENTRE'!$A$1:$Z$455,MATCH('Summary - Monthly'!$A67,'TRANS EMP EXTRACT - COST CENTRE'!$A:$A,0),MATCH('Summary - Monthly'!Z$3,'TRANS EMP EXTRACT - COST CENTRE'!$2:$2,0)),0)</f>
        <v>0</v>
      </c>
      <c r="AA67" s="10">
        <f>IFERROR(INDEX('TRANS EMP EXTRACT - COST CENTRE'!$A$1:$Z$455,MATCH('Summary - Monthly'!$A67,'TRANS EMP EXTRACT - COST CENTRE'!$A:$A,0),MATCH('Summary - Monthly'!AA$3,'TRANS EMP EXTRACT - COST CENTRE'!$2:$2,0)),0)</f>
        <v>0</v>
      </c>
      <c r="AB67" s="10">
        <f>IFERROR(INDEX('TRANS EMP EXTRACT - COST CENTRE'!$A$1:$Z$455,MATCH('Summary - Monthly'!$A67,'TRANS EMP EXTRACT - COST CENTRE'!$A:$A,0),MATCH('Summary - Monthly'!AB$3,'TRANS EMP EXTRACT - COST CENTRE'!$2:$2,0)),0)</f>
        <v>0</v>
      </c>
      <c r="AC67" s="8">
        <f>IFERROR(INDEX('TRANS EMP EXTRACT - COST CENTRE'!$A$1:$Z$455,MATCH('Summary - Monthly'!$A67,'TRANS EMP EXTRACT - COST CENTRE'!$A:$A,0),MATCH('Summary - Monthly'!AC$3,'TRANS EMP EXTRACT - COST CENTRE'!$2:$2,0)),0)</f>
        <v>0</v>
      </c>
      <c r="AD67" s="13">
        <f>IFERROR(INDEX('TRANS EMP EXTRACT - COST CENTRE'!$A$1:$Z$455,MATCH('Summary - Monthly'!$A67,'TRANS EMP EXTRACT - COST CENTRE'!$A:$A,0),MATCH('Summary - Monthly'!AD$3,'TRANS EMP EXTRACT - COST CENTRE'!$2:$2,0)),0)</f>
        <v>0</v>
      </c>
      <c r="AE67" s="13">
        <f>IFERROR(INDEX('TRANS EMP EXTRACT - COST CENTRE'!$A$1:$Z$455,MATCH('Summary - Monthly'!$A67,'TRANS EMP EXTRACT - COST CENTRE'!$A:$A,0),MATCH('Summary - Monthly'!AE$3,'TRANS EMP EXTRACT - COST CENTRE'!$2:$2,0)),0)</f>
        <v>0</v>
      </c>
      <c r="AF67" s="13">
        <f>IFERROR(INDEX('TRANS EMP EXTRACT - COST CENTRE'!$A$1:$Z$455,MATCH('Summary - Monthly'!$A67,'TRANS EMP EXTRACT - COST CENTRE'!$A:$A,0),MATCH('Summary - Monthly'!AF$3,'TRANS EMP EXTRACT - COST CENTRE'!$2:$2,0)),0)</f>
        <v>0</v>
      </c>
      <c r="AG67" s="10">
        <f>IFERROR(INDEX('TRANS EMP EXTRACT - COST CENTRE'!$A$1:$Z$455,MATCH('Summary - Monthly'!$A67,'TRANS EMP EXTRACT - COST CENTRE'!$A:$A,0),MATCH('Summary - Monthly'!AG$3,'TRANS EMP EXTRACT - COST CENTRE'!$2:$2,0)),0)</f>
        <v>0</v>
      </c>
      <c r="AH67" s="10">
        <f>IFERROR(INDEX('TRANS EMP EXTRACT - COST CENTRE'!$A$1:$Z$455,MATCH('Summary - Monthly'!$A67,'TRANS EMP EXTRACT - COST CENTRE'!$A:$A,0),MATCH('Summary - Monthly'!AH$3,'TRANS EMP EXTRACT - COST CENTRE'!$2:$2,0)),0)</f>
        <v>0</v>
      </c>
      <c r="AI67" s="10">
        <f>IFERROR(INDEX('TRANS EMP EXTRACT - COST CENTRE'!$A$1:$Z$455,MATCH('Summary - Monthly'!$A67,'TRANS EMP EXTRACT - COST CENTRE'!$A:$A,0),MATCH('Summary - Monthly'!AI$3,'TRANS EMP EXTRACT - COST CENTRE'!$2:$2,0)),0)</f>
        <v>0</v>
      </c>
      <c r="AJ67" s="10">
        <f>IFERROR(INDEX('TRANS EMP EXTRACT - COST CENTRE'!$A$1:$Z$455,MATCH('Summary - Monthly'!$A67,'TRANS EMP EXTRACT - COST CENTRE'!$A:$A,0),MATCH('Summary - Monthly'!AJ$3,'TRANS EMP EXTRACT - COST CENTRE'!$2:$2,0)),0)</f>
        <v>0</v>
      </c>
      <c r="AK67" s="10">
        <f>IFERROR(INDEX('TRANS EMP EXTRACT - COST CENTRE'!$A$1:$Z$455,MATCH('Summary - Monthly'!$A67,'TRANS EMP EXTRACT - COST CENTRE'!$A:$A,0),MATCH('Summary - Monthly'!AK$3,'TRANS EMP EXTRACT - COST CENTRE'!$2:$2,0)),0)</f>
        <v>0</v>
      </c>
      <c r="AL67" s="10">
        <f>IFERROR(INDEX('TRANS EMP EXTRACT - COST CENTRE'!$A$1:$Z$455,MATCH('Summary - Monthly'!$A67,'TRANS EMP EXTRACT - COST CENTRE'!$A:$A,0),MATCH('Summary - Monthly'!AL$3,'TRANS EMP EXTRACT - COST CENTRE'!$2:$2,0)),0)</f>
        <v>0</v>
      </c>
      <c r="AM67" s="10">
        <f t="shared" si="9"/>
        <v>206.90010000000001</v>
      </c>
      <c r="AN67" s="14">
        <f t="shared" si="2"/>
        <v>0.36118486842105263</v>
      </c>
      <c r="AO67" s="18">
        <f t="shared" si="5"/>
        <v>1.3611848684210528</v>
      </c>
      <c r="AP67" s="18">
        <f t="shared" si="6"/>
        <v>1.3611848684210528</v>
      </c>
      <c r="AQ67" s="10" t="str">
        <f>IFERROR(VLOOKUP(B67,Departments!A:C,3,FALSE),"")</f>
        <v>Microbiology</v>
      </c>
      <c r="AR67" s="10" t="str">
        <f>IFERROR(VLOOKUP(B67,Departments!A:B,2,FALSE),"")</f>
        <v>Melb Micro</v>
      </c>
      <c r="AS67" s="10">
        <f t="shared" si="10"/>
        <v>0</v>
      </c>
      <c r="AT67" s="10">
        <f t="shared" si="11"/>
        <v>0</v>
      </c>
      <c r="AU67" s="10" t="str">
        <f>_xlfn.IFNA(VLOOKUP(B67,Departments!A:D,4,FALSE),"")</f>
        <v>Melbourne Micro</v>
      </c>
    </row>
    <row r="68" spans="1:47" ht="14.45" customHeight="1">
      <c r="A68" s="11" t="str">
        <f t="shared" si="3"/>
        <v>1202301119035</v>
      </c>
      <c r="B68" s="11">
        <f>'TRANS EMP EXTRACT - COST CENTRE'!B67</f>
        <v>12023011</v>
      </c>
      <c r="C68" s="10" t="str">
        <f>IFERROR(VLOOKUP(E68,'TRANS EMP EXTRACT - EMP CATEGOR'!A:B,2,FALSE),"")</f>
        <v>TF</v>
      </c>
      <c r="D68" s="10" t="str">
        <f>IFERROR(VLOOKUP(E68,'TRANS EMP EXTRACT - EMP CATEGOR'!A:C,3,FALSE),"")</f>
        <v>Temporary Fulltime</v>
      </c>
      <c r="E68" s="11">
        <f>'TRANS EMP EXTRACT - COST CENTRE'!D67</f>
        <v>19035</v>
      </c>
      <c r="F68" s="10" t="str">
        <f>IFERROR(VLOOKUP(E68,'TRANS EMP EXTRACT - COST CENTRE'!D:E,2,FALSE),"")</f>
        <v>KHAMBAY  BILL MR</v>
      </c>
      <c r="G68" s="12">
        <f>IFERROR(INDEX('TRANS EMP EXTRACT - COST CENTRE'!$A$1:$Z$455,MATCH('Summary - Monthly'!$A68,'TRANS EMP EXTRACT - COST CENTRE'!$A:$A,0),MATCH('Summary - Monthly'!G$3,'TRANS EMP EXTRACT - COST CENTRE'!$2:$2,0)),"")</f>
        <v>44809</v>
      </c>
      <c r="H68" s="10" t="str">
        <f>IFERROR(INDEX('TRANS EMP EXTRACT - COST CENTRE'!$B$1:$Z$455,MATCH('Summary - Monthly'!$E68,'TRANS EMP EXTRACT - COST CENTRE'!$D:$D,0),MATCH('Summary - Monthly'!H$3,'TRANS EMP EXTRACT - COST CENTRE'!$2:$2,0)),"")</f>
        <v>RT</v>
      </c>
      <c r="I68" s="12" t="str">
        <f>IFERROR(INDEX('TRANS EMP EXTRACT - EMP CATEGOR'!$B$1:$AF$421,MATCH('Summary - Monthly'!$E68,'TRANS EMP EXTRACT - EMP CATEGOR'!$D:$D,0),MATCH('Summary - Monthly'!H$3,'TRANS EMP EXTRACT - EMP CATEGOR'!$2:$2,0)),"")</f>
        <v>RT</v>
      </c>
      <c r="J68" s="41">
        <f t="shared" ref="J68:J131" ca="1" si="12">getSLBalance(E68)</f>
        <v>10.094900000000001</v>
      </c>
      <c r="K68" s="41">
        <f t="shared" ca="1" si="1"/>
        <v>1.8896999999999999</v>
      </c>
      <c r="L68" s="10">
        <f>IFERROR(INDEX('TRANS EMP EXTRACT - COST CENTRE'!$A$1:$Z$455,MATCH('Summary - Monthly'!$A68,'TRANS EMP EXTRACT - COST CENTRE'!$A:$A,0),MATCH('Summary - Monthly'!L$3,'TRANS EMP EXTRACT - COST CENTRE'!$2:$2,0)),"")</f>
        <v>148.5</v>
      </c>
      <c r="M68" s="10">
        <f>IFERROR(INDEX('TRANS EMP EXTRACT - COST CENTRE'!$A$1:$Z$455,MATCH('Summary - Monthly'!$A68,'TRANS EMP EXTRACT - COST CENTRE'!$A:$A,0),MATCH('Summary - Monthly'!M$3,'TRANS EMP EXTRACT - COST CENTRE'!$2:$2,0)),0)</f>
        <v>0</v>
      </c>
      <c r="N68" s="10">
        <f>IFERROR(INDEX('TRANS EMP EXTRACT - COST CENTRE'!$A$1:$Z$455,MATCH('Summary - Monthly'!$A68,'TRANS EMP EXTRACT - COST CENTRE'!$A:$A,0),MATCH('Summary - Monthly'!N$3,'TRANS EMP EXTRACT - COST CENTRE'!$2:$2,0)),0)</f>
        <v>0</v>
      </c>
      <c r="O68" s="10">
        <f>IFERROR(INDEX('TRANS EMP EXTRACT - COST CENTRE'!$A$1:$Z$455,MATCH('Summary - Monthly'!$A68,'TRANS EMP EXTRACT - COST CENTRE'!$A:$A,0),MATCH('Summary - Monthly'!O$3,'TRANS EMP EXTRACT - COST CENTRE'!$2:$2,0)),0)</f>
        <v>0</v>
      </c>
      <c r="P68" s="10">
        <f>IFERROR(INDEX('TRANS EMP EXTRACT - COST CENTRE'!$A$1:$Z$455,MATCH('Summary - Monthly'!$A68,'TRANS EMP EXTRACT - COST CENTRE'!$A:$A,0),MATCH('Summary - Monthly'!P$3,'TRANS EMP EXTRACT - COST CENTRE'!$2:$2,0)),0)</f>
        <v>0</v>
      </c>
      <c r="Q68" s="10">
        <f>IFERROR(INDEX('TRANS EMP EXTRACT - COST CENTRE'!$A$1:$Z$455,MATCH('Summary - Monthly'!$A68,'TRANS EMP EXTRACT - COST CENTRE'!$A:$A,0),MATCH('Summary - Monthly'!Q$3,'TRANS EMP EXTRACT - COST CENTRE'!$2:$2,0)),0)</f>
        <v>0</v>
      </c>
      <c r="R68" s="10">
        <f>IFERROR(INDEX('TRANS EMP EXTRACT - COST CENTRE'!$A$1:$Z$455,MATCH('Summary - Monthly'!$A68,'TRANS EMP EXTRACT - COST CENTRE'!$A:$A,0),MATCH('Summary - Monthly'!R$3,'TRANS EMP EXTRACT - COST CENTRE'!$2:$2,0)),0)</f>
        <v>0</v>
      </c>
      <c r="S68" s="10">
        <f>IFERROR(INDEX('TRANS EMP EXTRACT - COST CENTRE'!$A$1:$Z$455,MATCH('Summary - Monthly'!$A68,'TRANS EMP EXTRACT - COST CENTRE'!$A:$A,0),MATCH('Summary - Monthly'!S$3,'TRANS EMP EXTRACT - COST CENTRE'!$2:$2,0)),0)</f>
        <v>0</v>
      </c>
      <c r="T68" s="8">
        <f>IFERROR(INDEX('TRANS EMP EXTRACT - COST CENTRE'!$A$1:$Z$455,MATCH('Summary - Monthly'!$A68,'TRANS EMP EXTRACT - COST CENTRE'!$A:$A,0),MATCH('Summary - Monthly'!T$3,'TRANS EMP EXTRACT - COST CENTRE'!$2:$2,0)),0)</f>
        <v>0</v>
      </c>
      <c r="U68" s="13">
        <f>IFERROR(INDEX('TRANS EMP EXTRACT - COST CENTRE'!$A$1:$Z$455,MATCH('Summary - Monthly'!$A68,'TRANS EMP EXTRACT - COST CENTRE'!$A:$A,0),MATCH('Summary - Monthly'!U$3,'TRANS EMP EXTRACT - COST CENTRE'!$2:$2,0)),0)</f>
        <v>3.5</v>
      </c>
      <c r="V68" s="13">
        <f>IFERROR(INDEX('TRANS EMP EXTRACT - COST CENTRE'!$A$1:$Z$455,MATCH('Summary - Monthly'!$A68,'TRANS EMP EXTRACT - COST CENTRE'!$A:$A,0),MATCH('Summary - Monthly'!V$3,'TRANS EMP EXTRACT - COST CENTRE'!$2:$2,0)),0)</f>
        <v>0</v>
      </c>
      <c r="W68" s="13">
        <f>IFERROR(INDEX('TRANS EMP EXTRACT - COST CENTRE'!$A$1:$Z$455,MATCH('Summary - Monthly'!$A68,'TRANS EMP EXTRACT - COST CENTRE'!$A:$A,0),MATCH('Summary - Monthly'!W$3,'TRANS EMP EXTRACT - COST CENTRE'!$2:$2,0)),0)</f>
        <v>0</v>
      </c>
      <c r="X68" s="13">
        <f>IFERROR(INDEX('TRANS EMP EXTRACT - COST CENTRE'!$A$1:$Z$455,MATCH('Summary - Monthly'!$A68,'TRANS EMP EXTRACT - COST CENTRE'!$A:$A,0),MATCH('Summary - Monthly'!X$3,'TRANS EMP EXTRACT - COST CENTRE'!$2:$2,0)),0)</f>
        <v>0</v>
      </c>
      <c r="Y68" s="13">
        <f>IFERROR(INDEX('TRANS EMP EXTRACT - COST CENTRE'!$A$1:$Z$455,MATCH('Summary - Monthly'!$A68,'TRANS EMP EXTRACT - COST CENTRE'!$A:$A,0),MATCH('Summary - Monthly'!Y$3,'TRANS EMP EXTRACT - COST CENTRE'!$2:$2,0)),0)</f>
        <v>0</v>
      </c>
      <c r="Z68" s="10">
        <f>IFERROR(INDEX('TRANS EMP EXTRACT - COST CENTRE'!$A$1:$Z$455,MATCH('Summary - Monthly'!$A68,'TRANS EMP EXTRACT - COST CENTRE'!$A:$A,0),MATCH('Summary - Monthly'!Z$3,'TRANS EMP EXTRACT - COST CENTRE'!$2:$2,0)),0)</f>
        <v>0</v>
      </c>
      <c r="AA68" s="10">
        <f>IFERROR(INDEX('TRANS EMP EXTRACT - COST CENTRE'!$A$1:$Z$455,MATCH('Summary - Monthly'!$A68,'TRANS EMP EXTRACT - COST CENTRE'!$A:$A,0),MATCH('Summary - Monthly'!AA$3,'TRANS EMP EXTRACT - COST CENTRE'!$2:$2,0)),0)</f>
        <v>0</v>
      </c>
      <c r="AB68" s="10">
        <f>IFERROR(INDEX('TRANS EMP EXTRACT - COST CENTRE'!$A$1:$Z$455,MATCH('Summary - Monthly'!$A68,'TRANS EMP EXTRACT - COST CENTRE'!$A:$A,0),MATCH('Summary - Monthly'!AB$3,'TRANS EMP EXTRACT - COST CENTRE'!$2:$2,0)),0)</f>
        <v>0</v>
      </c>
      <c r="AC68" s="8">
        <f>IFERROR(INDEX('TRANS EMP EXTRACT - COST CENTRE'!$A$1:$Z$455,MATCH('Summary - Monthly'!$A68,'TRANS EMP EXTRACT - COST CENTRE'!$A:$A,0),MATCH('Summary - Monthly'!AC$3,'TRANS EMP EXTRACT - COST CENTRE'!$2:$2,0)),0)</f>
        <v>0</v>
      </c>
      <c r="AD68" s="13">
        <f>IFERROR(INDEX('TRANS EMP EXTRACT - COST CENTRE'!$A$1:$Z$455,MATCH('Summary - Monthly'!$A68,'TRANS EMP EXTRACT - COST CENTRE'!$A:$A,0),MATCH('Summary - Monthly'!AD$3,'TRANS EMP EXTRACT - COST CENTRE'!$2:$2,0)),0)</f>
        <v>0</v>
      </c>
      <c r="AE68" s="13">
        <f>IFERROR(INDEX('TRANS EMP EXTRACT - COST CENTRE'!$A$1:$Z$455,MATCH('Summary - Monthly'!$A68,'TRANS EMP EXTRACT - COST CENTRE'!$A:$A,0),MATCH('Summary - Monthly'!AE$3,'TRANS EMP EXTRACT - COST CENTRE'!$2:$2,0)),0)</f>
        <v>0</v>
      </c>
      <c r="AF68" s="13">
        <f>IFERROR(INDEX('TRANS EMP EXTRACT - COST CENTRE'!$A$1:$Z$455,MATCH('Summary - Monthly'!$A68,'TRANS EMP EXTRACT - COST CENTRE'!$A:$A,0),MATCH('Summary - Monthly'!AF$3,'TRANS EMP EXTRACT - COST CENTRE'!$2:$2,0)),0)</f>
        <v>0</v>
      </c>
      <c r="AG68" s="10">
        <f>IFERROR(INDEX('TRANS EMP EXTRACT - COST CENTRE'!$A$1:$Z$455,MATCH('Summary - Monthly'!$A68,'TRANS EMP EXTRACT - COST CENTRE'!$A:$A,0),MATCH('Summary - Monthly'!AG$3,'TRANS EMP EXTRACT - COST CENTRE'!$2:$2,0)),0)</f>
        <v>0</v>
      </c>
      <c r="AH68" s="10">
        <f>IFERROR(INDEX('TRANS EMP EXTRACT - COST CENTRE'!$A$1:$Z$455,MATCH('Summary - Monthly'!$A68,'TRANS EMP EXTRACT - COST CENTRE'!$A:$A,0),MATCH('Summary - Monthly'!AH$3,'TRANS EMP EXTRACT - COST CENTRE'!$2:$2,0)),0)</f>
        <v>0</v>
      </c>
      <c r="AI68" s="10">
        <f>IFERROR(INDEX('TRANS EMP EXTRACT - COST CENTRE'!$A$1:$Z$455,MATCH('Summary - Monthly'!$A68,'TRANS EMP EXTRACT - COST CENTRE'!$A:$A,0),MATCH('Summary - Monthly'!AI$3,'TRANS EMP EXTRACT - COST CENTRE'!$2:$2,0)),0)</f>
        <v>0</v>
      </c>
      <c r="AJ68" s="10">
        <f>IFERROR(INDEX('TRANS EMP EXTRACT - COST CENTRE'!$A$1:$Z$455,MATCH('Summary - Monthly'!$A68,'TRANS EMP EXTRACT - COST CENTRE'!$A:$A,0),MATCH('Summary - Monthly'!AJ$3,'TRANS EMP EXTRACT - COST CENTRE'!$2:$2,0)),0)</f>
        <v>0</v>
      </c>
      <c r="AK68" s="10">
        <f>IFERROR(INDEX('TRANS EMP EXTRACT - COST CENTRE'!$A$1:$Z$455,MATCH('Summary - Monthly'!$A68,'TRANS EMP EXTRACT - COST CENTRE'!$A:$A,0),MATCH('Summary - Monthly'!AK$3,'TRANS EMP EXTRACT - COST CENTRE'!$2:$2,0)),0)</f>
        <v>0</v>
      </c>
      <c r="AL68" s="10">
        <f>IFERROR(INDEX('TRANS EMP EXTRACT - COST CENTRE'!$A$1:$Z$455,MATCH('Summary - Monthly'!$A68,'TRANS EMP EXTRACT - COST CENTRE'!$A:$A,0),MATCH('Summary - Monthly'!AL$3,'TRANS EMP EXTRACT - COST CENTRE'!$2:$2,0)),0)</f>
        <v>0</v>
      </c>
      <c r="AM68" s="10">
        <f t="shared" si="9"/>
        <v>152</v>
      </c>
      <c r="AN68" s="14">
        <f t="shared" ref="AN68:AN131" si="13">SUM(Q68:S68)/$AP$2</f>
        <v>0</v>
      </c>
      <c r="AO68" s="18">
        <f t="shared" si="5"/>
        <v>1</v>
      </c>
      <c r="AP68" s="18">
        <f t="shared" si="6"/>
        <v>0.97697368421052633</v>
      </c>
      <c r="AQ68" s="10" t="str">
        <f>IFERROR(VLOOKUP(B68,Departments!A:C,3,FALSE),"")</f>
        <v>Microbiology</v>
      </c>
      <c r="AR68" s="10" t="str">
        <f>IFERROR(VLOOKUP(B68,Departments!A:B,2,FALSE),"")</f>
        <v>Sydney Micro</v>
      </c>
      <c r="AS68" s="10">
        <f t="shared" ref="AS68:AS99" si="14">V68+Y68+Z68+AA68+AD68</f>
        <v>0</v>
      </c>
      <c r="AT68" s="10">
        <f t="shared" ref="AT68:AT99" si="15">U68+V68+W68+X68+Y68+Z68+AA68+AB68+AC68+AD68+AE68+AF68</f>
        <v>3.5</v>
      </c>
      <c r="AU68" s="10" t="str">
        <f>_xlfn.IFNA(VLOOKUP(B68,Departments!A:D,4,FALSE),"")</f>
        <v>Sydney Micro</v>
      </c>
    </row>
    <row r="69" spans="1:47" ht="14.45" customHeight="1">
      <c r="A69" s="11" t="str">
        <f t="shared" ref="A69:A131" si="16">B69&amp;E69</f>
        <v>1203040019047</v>
      </c>
      <c r="B69" s="11">
        <f>'TRANS EMP EXTRACT - COST CENTRE'!B68</f>
        <v>12030400</v>
      </c>
      <c r="C69" s="10" t="str">
        <f>IFERROR(VLOOKUP(E69,'TRANS EMP EXTRACT - EMP CATEGOR'!A:B,2,FALSE),"")</f>
        <v>FT</v>
      </c>
      <c r="D69" s="10" t="str">
        <f>IFERROR(VLOOKUP(E69,'TRANS EMP EXTRACT - EMP CATEGOR'!A:C,3,FALSE),"")</f>
        <v>Fulltime</v>
      </c>
      <c r="E69" s="11">
        <f>'TRANS EMP EXTRACT - COST CENTRE'!D68</f>
        <v>19047</v>
      </c>
      <c r="F69" s="10" t="str">
        <f>IFERROR(VLOOKUP(E69,'TRANS EMP EXTRACT - COST CENTRE'!D:E,2,FALSE),"")</f>
        <v>KIRBY  MALIKA MS</v>
      </c>
      <c r="G69" s="12">
        <f>IFERROR(INDEX('TRANS EMP EXTRACT - COST CENTRE'!$A$1:$Z$455,MATCH('Summary - Monthly'!$A69,'TRANS EMP EXTRACT - COST CENTRE'!$A:$A,0),MATCH('Summary - Monthly'!G$3,'TRANS EMP EXTRACT - COST CENTRE'!$2:$2,0)),"")</f>
        <v>44907</v>
      </c>
      <c r="H69" s="10" t="str">
        <f>IFERROR(INDEX('TRANS EMP EXTRACT - COST CENTRE'!$B$1:$Z$455,MATCH('Summary - Monthly'!$E69,'TRANS EMP EXTRACT - COST CENTRE'!$D:$D,0),MATCH('Summary - Monthly'!H$3,'TRANS EMP EXTRACT - COST CENTRE'!$2:$2,0)),"")</f>
        <v>FN</v>
      </c>
      <c r="I69" s="12" t="str">
        <f>IFERROR(INDEX('TRANS EMP EXTRACT - EMP CATEGOR'!$B$1:$AF$421,MATCH('Summary - Monthly'!$E69,'TRANS EMP EXTRACT - EMP CATEGOR'!$D:$D,0),MATCH('Summary - Monthly'!H$3,'TRANS EMP EXTRACT - EMP CATEGOR'!$2:$2,0)),"")</f>
        <v>FN</v>
      </c>
      <c r="J69" s="41">
        <f t="shared" ca="1" si="12"/>
        <v>0</v>
      </c>
      <c r="K69" s="41">
        <f t="shared" ref="K69:K132" ca="1" si="17">getALBalance(E69)</f>
        <v>0</v>
      </c>
      <c r="L69" s="10">
        <f>IFERROR(INDEX('TRANS EMP EXTRACT - COST CENTRE'!$A$1:$Z$455,MATCH('Summary - Monthly'!$A69,'TRANS EMP EXTRACT - COST CENTRE'!$A:$A,0),MATCH('Summary - Monthly'!L$3,'TRANS EMP EXTRACT - COST CENTRE'!$2:$2,0)),"")</f>
        <v>15.2</v>
      </c>
      <c r="M69" s="10">
        <f>IFERROR(INDEX('TRANS EMP EXTRACT - COST CENTRE'!$A$1:$Z$455,MATCH('Summary - Monthly'!$A69,'TRANS EMP EXTRACT - COST CENTRE'!$A:$A,0),MATCH('Summary - Monthly'!M$3,'TRANS EMP EXTRACT - COST CENTRE'!$2:$2,0)),0)</f>
        <v>0</v>
      </c>
      <c r="N69" s="10">
        <f>IFERROR(INDEX('TRANS EMP EXTRACT - COST CENTRE'!$A$1:$Z$455,MATCH('Summary - Monthly'!$A69,'TRANS EMP EXTRACT - COST CENTRE'!$A:$A,0),MATCH('Summary - Monthly'!N$3,'TRANS EMP EXTRACT - COST CENTRE'!$2:$2,0)),0)</f>
        <v>0</v>
      </c>
      <c r="O69" s="10">
        <f>IFERROR(INDEX('TRANS EMP EXTRACT - COST CENTRE'!$A$1:$Z$455,MATCH('Summary - Monthly'!$A69,'TRANS EMP EXTRACT - COST CENTRE'!$A:$A,0),MATCH('Summary - Monthly'!O$3,'TRANS EMP EXTRACT - COST CENTRE'!$2:$2,0)),0)</f>
        <v>0</v>
      </c>
      <c r="P69" s="10">
        <f>IFERROR(INDEX('TRANS EMP EXTRACT - COST CENTRE'!$A$1:$Z$455,MATCH('Summary - Monthly'!$A69,'TRANS EMP EXTRACT - COST CENTRE'!$A:$A,0),MATCH('Summary - Monthly'!P$3,'TRANS EMP EXTRACT - COST CENTRE'!$2:$2,0)),0)</f>
        <v>0</v>
      </c>
      <c r="Q69" s="10">
        <f>IFERROR(INDEX('TRANS EMP EXTRACT - COST CENTRE'!$A$1:$Z$455,MATCH('Summary - Monthly'!$A69,'TRANS EMP EXTRACT - COST CENTRE'!$A:$A,0),MATCH('Summary - Monthly'!Q$3,'TRANS EMP EXTRACT - COST CENTRE'!$2:$2,0)),0)</f>
        <v>0</v>
      </c>
      <c r="R69" s="10">
        <f>IFERROR(INDEX('TRANS EMP EXTRACT - COST CENTRE'!$A$1:$Z$455,MATCH('Summary - Monthly'!$A69,'TRANS EMP EXTRACT - COST CENTRE'!$A:$A,0),MATCH('Summary - Monthly'!R$3,'TRANS EMP EXTRACT - COST CENTRE'!$2:$2,0)),0)</f>
        <v>0</v>
      </c>
      <c r="S69" s="10">
        <f>IFERROR(INDEX('TRANS EMP EXTRACT - COST CENTRE'!$A$1:$Z$455,MATCH('Summary - Monthly'!$A69,'TRANS EMP EXTRACT - COST CENTRE'!$A:$A,0),MATCH('Summary - Monthly'!S$3,'TRANS EMP EXTRACT - COST CENTRE'!$2:$2,0)),0)</f>
        <v>0</v>
      </c>
      <c r="T69" s="8">
        <f>IFERROR(INDEX('TRANS EMP EXTRACT - COST CENTRE'!$A$1:$Z$455,MATCH('Summary - Monthly'!$A69,'TRANS EMP EXTRACT - COST CENTRE'!$A:$A,0),MATCH('Summary - Monthly'!T$3,'TRANS EMP EXTRACT - COST CENTRE'!$2:$2,0)),0)</f>
        <v>0</v>
      </c>
      <c r="U69" s="13">
        <f>IFERROR(INDEX('TRANS EMP EXTRACT - COST CENTRE'!$A$1:$Z$455,MATCH('Summary - Monthly'!$A69,'TRANS EMP EXTRACT - COST CENTRE'!$A:$A,0),MATCH('Summary - Monthly'!U$3,'TRANS EMP EXTRACT - COST CENTRE'!$2:$2,0)),0)</f>
        <v>0</v>
      </c>
      <c r="V69" s="13">
        <f>IFERROR(INDEX('TRANS EMP EXTRACT - COST CENTRE'!$A$1:$Z$455,MATCH('Summary - Monthly'!$A69,'TRANS EMP EXTRACT - COST CENTRE'!$A:$A,0),MATCH('Summary - Monthly'!V$3,'TRANS EMP EXTRACT - COST CENTRE'!$2:$2,0)),0)</f>
        <v>0</v>
      </c>
      <c r="W69" s="13">
        <f>IFERROR(INDEX('TRANS EMP EXTRACT - COST CENTRE'!$A$1:$Z$455,MATCH('Summary - Monthly'!$A69,'TRANS EMP EXTRACT - COST CENTRE'!$A:$A,0),MATCH('Summary - Monthly'!W$3,'TRANS EMP EXTRACT - COST CENTRE'!$2:$2,0)),0)</f>
        <v>0</v>
      </c>
      <c r="X69" s="13">
        <f>IFERROR(INDEX('TRANS EMP EXTRACT - COST CENTRE'!$A$1:$Z$455,MATCH('Summary - Monthly'!$A69,'TRANS EMP EXTRACT - COST CENTRE'!$A:$A,0),MATCH('Summary - Monthly'!X$3,'TRANS EMP EXTRACT - COST CENTRE'!$2:$2,0)),0)</f>
        <v>0</v>
      </c>
      <c r="Y69" s="13">
        <f>IFERROR(INDEX('TRANS EMP EXTRACT - COST CENTRE'!$A$1:$Z$455,MATCH('Summary - Monthly'!$A69,'TRANS EMP EXTRACT - COST CENTRE'!$A:$A,0),MATCH('Summary - Monthly'!Y$3,'TRANS EMP EXTRACT - COST CENTRE'!$2:$2,0)),0)</f>
        <v>0</v>
      </c>
      <c r="Z69" s="10">
        <f>IFERROR(INDEX('TRANS EMP EXTRACT - COST CENTRE'!$A$1:$Z$455,MATCH('Summary - Monthly'!$A69,'TRANS EMP EXTRACT - COST CENTRE'!$A:$A,0),MATCH('Summary - Monthly'!Z$3,'TRANS EMP EXTRACT - COST CENTRE'!$2:$2,0)),0)</f>
        <v>0</v>
      </c>
      <c r="AA69" s="10">
        <f>IFERROR(INDEX('TRANS EMP EXTRACT - COST CENTRE'!$A$1:$Z$455,MATCH('Summary - Monthly'!$A69,'TRANS EMP EXTRACT - COST CENTRE'!$A:$A,0),MATCH('Summary - Monthly'!AA$3,'TRANS EMP EXTRACT - COST CENTRE'!$2:$2,0)),0)</f>
        <v>0</v>
      </c>
      <c r="AB69" s="10">
        <f>IFERROR(INDEX('TRANS EMP EXTRACT - COST CENTRE'!$A$1:$Z$455,MATCH('Summary - Monthly'!$A69,'TRANS EMP EXTRACT - COST CENTRE'!$A:$A,0),MATCH('Summary - Monthly'!AB$3,'TRANS EMP EXTRACT - COST CENTRE'!$2:$2,0)),0)</f>
        <v>0</v>
      </c>
      <c r="AC69" s="8">
        <f>IFERROR(INDEX('TRANS EMP EXTRACT - COST CENTRE'!$A$1:$Z$455,MATCH('Summary - Monthly'!$A69,'TRANS EMP EXTRACT - COST CENTRE'!$A:$A,0),MATCH('Summary - Monthly'!AC$3,'TRANS EMP EXTRACT - COST CENTRE'!$2:$2,0)),0)</f>
        <v>0</v>
      </c>
      <c r="AD69" s="13">
        <f>IFERROR(INDEX('TRANS EMP EXTRACT - COST CENTRE'!$A$1:$Z$455,MATCH('Summary - Monthly'!$A69,'TRANS EMP EXTRACT - COST CENTRE'!$A:$A,0),MATCH('Summary - Monthly'!AD$3,'TRANS EMP EXTRACT - COST CENTRE'!$2:$2,0)),0)</f>
        <v>0</v>
      </c>
      <c r="AE69" s="13">
        <f>IFERROR(INDEX('TRANS EMP EXTRACT - COST CENTRE'!$A$1:$Z$455,MATCH('Summary - Monthly'!$A69,'TRANS EMP EXTRACT - COST CENTRE'!$A:$A,0),MATCH('Summary - Monthly'!AE$3,'TRANS EMP EXTRACT - COST CENTRE'!$2:$2,0)),0)</f>
        <v>0</v>
      </c>
      <c r="AF69" s="13">
        <f>IFERROR(INDEX('TRANS EMP EXTRACT - COST CENTRE'!$A$1:$Z$455,MATCH('Summary - Monthly'!$A69,'TRANS EMP EXTRACT - COST CENTRE'!$A:$A,0),MATCH('Summary - Monthly'!AF$3,'TRANS EMP EXTRACT - COST CENTRE'!$2:$2,0)),0)</f>
        <v>0</v>
      </c>
      <c r="AG69" s="10">
        <f>IFERROR(INDEX('TRANS EMP EXTRACT - COST CENTRE'!$A$1:$Z$455,MATCH('Summary - Monthly'!$A69,'TRANS EMP EXTRACT - COST CENTRE'!$A:$A,0),MATCH('Summary - Monthly'!AG$3,'TRANS EMP EXTRACT - COST CENTRE'!$2:$2,0)),0)</f>
        <v>0</v>
      </c>
      <c r="AH69" s="10">
        <f>IFERROR(INDEX('TRANS EMP EXTRACT - COST CENTRE'!$A$1:$Z$455,MATCH('Summary - Monthly'!$A69,'TRANS EMP EXTRACT - COST CENTRE'!$A:$A,0),MATCH('Summary - Monthly'!AH$3,'TRANS EMP EXTRACT - COST CENTRE'!$2:$2,0)),0)</f>
        <v>20.317399999999999</v>
      </c>
      <c r="AI69" s="10">
        <f>IFERROR(INDEX('TRANS EMP EXTRACT - COST CENTRE'!$A$1:$Z$455,MATCH('Summary - Monthly'!$A69,'TRANS EMP EXTRACT - COST CENTRE'!$A:$A,0),MATCH('Summary - Monthly'!AI$3,'TRANS EMP EXTRACT - COST CENTRE'!$2:$2,0)),0)</f>
        <v>20.317399999999999</v>
      </c>
      <c r="AJ69" s="10">
        <f>IFERROR(INDEX('TRANS EMP EXTRACT - COST CENTRE'!$A$1:$Z$455,MATCH('Summary - Monthly'!$A69,'TRANS EMP EXTRACT - COST CENTRE'!$A:$A,0),MATCH('Summary - Monthly'!AJ$3,'TRANS EMP EXTRACT - COST CENTRE'!$2:$2,0)),0)</f>
        <v>0</v>
      </c>
      <c r="AK69" s="10">
        <f>IFERROR(INDEX('TRANS EMP EXTRACT - COST CENTRE'!$A$1:$Z$455,MATCH('Summary - Monthly'!$A69,'TRANS EMP EXTRACT - COST CENTRE'!$A:$A,0),MATCH('Summary - Monthly'!AK$3,'TRANS EMP EXTRACT - COST CENTRE'!$2:$2,0)),0)</f>
        <v>0</v>
      </c>
      <c r="AL69" s="10">
        <f>IFERROR(INDEX('TRANS EMP EXTRACT - COST CENTRE'!$A$1:$Z$455,MATCH('Summary - Monthly'!$A69,'TRANS EMP EXTRACT - COST CENTRE'!$A:$A,0),MATCH('Summary - Monthly'!AL$3,'TRANS EMP EXTRACT - COST CENTRE'!$2:$2,0)),0)</f>
        <v>0</v>
      </c>
      <c r="AM69" s="10">
        <f t="shared" si="9"/>
        <v>15.2</v>
      </c>
      <c r="AN69" s="14">
        <f t="shared" si="13"/>
        <v>0</v>
      </c>
      <c r="AO69" s="18">
        <f t="shared" ref="AO69:AO100" si="18">AM69/$AP$2</f>
        <v>9.9999999999999992E-2</v>
      </c>
      <c r="AP69" s="18">
        <f t="shared" ref="AP69:AP132" si="19">(AM69-SUM(U69:Y69)-SUM(AD69:AF69))/$AP$2</f>
        <v>9.9999999999999992E-2</v>
      </c>
      <c r="AQ69" s="10" t="str">
        <f>IFERROR(VLOOKUP(B69,Departments!A:C,3,FALSE),"")</f>
        <v>Customer Care</v>
      </c>
      <c r="AR69" s="10" t="str">
        <f>IFERROR(VLOOKUP(B69,Departments!A:B,2,FALSE),"")</f>
        <v>Melb Customer Care</v>
      </c>
      <c r="AS69" s="10">
        <f t="shared" si="14"/>
        <v>0</v>
      </c>
      <c r="AT69" s="10">
        <f t="shared" si="15"/>
        <v>0</v>
      </c>
      <c r="AU69" s="10" t="str">
        <f>_xlfn.IFNA(VLOOKUP(B69,Departments!A:D,4,FALSE),"")</f>
        <v>Melb Customer Care</v>
      </c>
    </row>
    <row r="70" spans="1:47" ht="14.45" customHeight="1">
      <c r="A70" s="11" t="str">
        <f t="shared" si="16"/>
        <v>1203061118979</v>
      </c>
      <c r="B70" s="11">
        <f>'TRANS EMP EXTRACT - COST CENTRE'!B69</f>
        <v>12030611</v>
      </c>
      <c r="C70" s="10" t="str">
        <f>IFERROR(VLOOKUP(E70,'TRANS EMP EXTRACT - EMP CATEGOR'!A:B,2,FALSE),"")</f>
        <v>FT</v>
      </c>
      <c r="D70" s="10" t="str">
        <f>IFERROR(VLOOKUP(E70,'TRANS EMP EXTRACT - EMP CATEGOR'!A:C,3,FALSE),"")</f>
        <v>Fulltime</v>
      </c>
      <c r="E70" s="11">
        <f>'TRANS EMP EXTRACT - COST CENTRE'!D69</f>
        <v>18979</v>
      </c>
      <c r="F70" s="10" t="str">
        <f>IFERROR(VLOOKUP(E70,'TRANS EMP EXTRACT - COST CENTRE'!D:E,2,FALSE),"")</f>
        <v>KO  SOL MR</v>
      </c>
      <c r="G70" s="12">
        <f>IFERROR(INDEX('TRANS EMP EXTRACT - COST CENTRE'!$A$1:$Z$455,MATCH('Summary - Monthly'!$A70,'TRANS EMP EXTRACT - COST CENTRE'!$A:$A,0),MATCH('Summary - Monthly'!G$3,'TRANS EMP EXTRACT - COST CENTRE'!$2:$2,0)),"")</f>
        <v>44536</v>
      </c>
      <c r="H70" s="10" t="str">
        <f>IFERROR(INDEX('TRANS EMP EXTRACT - COST CENTRE'!$B$1:$Z$455,MATCH('Summary - Monthly'!$E70,'TRANS EMP EXTRACT - COST CENTRE'!$D:$D,0),MATCH('Summary - Monthly'!H$3,'TRANS EMP EXTRACT - COST CENTRE'!$2:$2,0)),"")</f>
        <v>RT</v>
      </c>
      <c r="I70" s="12" t="str">
        <f>IFERROR(INDEX('TRANS EMP EXTRACT - EMP CATEGOR'!$B$1:$AF$421,MATCH('Summary - Monthly'!$E70,'TRANS EMP EXTRACT - EMP CATEGOR'!$D:$D,0),MATCH('Summary - Monthly'!H$3,'TRANS EMP EXTRACT - EMP CATEGOR'!$2:$2,0)),"")</f>
        <v>RT</v>
      </c>
      <c r="J70" s="41">
        <f t="shared" ca="1" si="12"/>
        <v>10.3233</v>
      </c>
      <c r="K70" s="41">
        <f t="shared" ca="1" si="17"/>
        <v>44.246600000000001</v>
      </c>
      <c r="L70" s="10">
        <f>IFERROR(INDEX('TRANS EMP EXTRACT - COST CENTRE'!$A$1:$Z$455,MATCH('Summary - Monthly'!$A70,'TRANS EMP EXTRACT - COST CENTRE'!$A:$A,0),MATCH('Summary - Monthly'!L$3,'TRANS EMP EXTRACT - COST CENTRE'!$2:$2,0)),"")</f>
        <v>128.55000000000001</v>
      </c>
      <c r="M70" s="10">
        <f>IFERROR(INDEX('TRANS EMP EXTRACT - COST CENTRE'!$A$1:$Z$455,MATCH('Summary - Monthly'!$A70,'TRANS EMP EXTRACT - COST CENTRE'!$A:$A,0),MATCH('Summary - Monthly'!M$3,'TRANS EMP EXTRACT - COST CENTRE'!$2:$2,0)),0)</f>
        <v>0</v>
      </c>
      <c r="N70" s="10">
        <f>IFERROR(INDEX('TRANS EMP EXTRACT - COST CENTRE'!$A$1:$Z$455,MATCH('Summary - Monthly'!$A70,'TRANS EMP EXTRACT - COST CENTRE'!$A:$A,0),MATCH('Summary - Monthly'!N$3,'TRANS EMP EXTRACT - COST CENTRE'!$2:$2,0)),0)</f>
        <v>0</v>
      </c>
      <c r="O70" s="10">
        <f>IFERROR(INDEX('TRANS EMP EXTRACT - COST CENTRE'!$A$1:$Z$455,MATCH('Summary - Monthly'!$A70,'TRANS EMP EXTRACT - COST CENTRE'!$A:$A,0),MATCH('Summary - Monthly'!O$3,'TRANS EMP EXTRACT - COST CENTRE'!$2:$2,0)),0)</f>
        <v>0</v>
      </c>
      <c r="P70" s="10">
        <f>IFERROR(INDEX('TRANS EMP EXTRACT - COST CENTRE'!$A$1:$Z$455,MATCH('Summary - Monthly'!$A70,'TRANS EMP EXTRACT - COST CENTRE'!$A:$A,0),MATCH('Summary - Monthly'!P$3,'TRANS EMP EXTRACT - COST CENTRE'!$2:$2,0)),0)</f>
        <v>0</v>
      </c>
      <c r="Q70" s="10">
        <f>IFERROR(INDEX('TRANS EMP EXTRACT - COST CENTRE'!$A$1:$Z$455,MATCH('Summary - Monthly'!$A70,'TRANS EMP EXTRACT - COST CENTRE'!$A:$A,0),MATCH('Summary - Monthly'!Q$3,'TRANS EMP EXTRACT - COST CENTRE'!$2:$2,0)),0)</f>
        <v>18.2834</v>
      </c>
      <c r="R70" s="10">
        <f>IFERROR(INDEX('TRANS EMP EXTRACT - COST CENTRE'!$A$1:$Z$455,MATCH('Summary - Monthly'!$A70,'TRANS EMP EXTRACT - COST CENTRE'!$A:$A,0),MATCH('Summary - Monthly'!R$3,'TRANS EMP EXTRACT - COST CENTRE'!$2:$2,0)),0)</f>
        <v>5.3666999999999998</v>
      </c>
      <c r="S70" s="10">
        <f>IFERROR(INDEX('TRANS EMP EXTRACT - COST CENTRE'!$A$1:$Z$455,MATCH('Summary - Monthly'!$A70,'TRANS EMP EXTRACT - COST CENTRE'!$A:$A,0),MATCH('Summary - Monthly'!S$3,'TRANS EMP EXTRACT - COST CENTRE'!$2:$2,0)),0)</f>
        <v>0</v>
      </c>
      <c r="T70" s="8">
        <f>IFERROR(INDEX('TRANS EMP EXTRACT - COST CENTRE'!$A$1:$Z$455,MATCH('Summary - Monthly'!$A70,'TRANS EMP EXTRACT - COST CENTRE'!$A:$A,0),MATCH('Summary - Monthly'!T$3,'TRANS EMP EXTRACT - COST CENTRE'!$2:$2,0)),0)</f>
        <v>0</v>
      </c>
      <c r="U70" s="13">
        <f>IFERROR(INDEX('TRANS EMP EXTRACT - COST CENTRE'!$A$1:$Z$455,MATCH('Summary - Monthly'!$A70,'TRANS EMP EXTRACT - COST CENTRE'!$A:$A,0),MATCH('Summary - Monthly'!U$3,'TRANS EMP EXTRACT - COST CENTRE'!$2:$2,0)),0)</f>
        <v>15.2</v>
      </c>
      <c r="V70" s="13">
        <f>IFERROR(INDEX('TRANS EMP EXTRACT - COST CENTRE'!$A$1:$Z$455,MATCH('Summary - Monthly'!$A70,'TRANS EMP EXTRACT - COST CENTRE'!$A:$A,0),MATCH('Summary - Monthly'!V$3,'TRANS EMP EXTRACT - COST CENTRE'!$2:$2,0)),0)</f>
        <v>7.6</v>
      </c>
      <c r="W70" s="13">
        <f>IFERROR(INDEX('TRANS EMP EXTRACT - COST CENTRE'!$A$1:$Z$455,MATCH('Summary - Monthly'!$A70,'TRANS EMP EXTRACT - COST CENTRE'!$A:$A,0),MATCH('Summary - Monthly'!W$3,'TRANS EMP EXTRACT - COST CENTRE'!$2:$2,0)),0)</f>
        <v>0</v>
      </c>
      <c r="X70" s="13">
        <f>IFERROR(INDEX('TRANS EMP EXTRACT - COST CENTRE'!$A$1:$Z$455,MATCH('Summary - Monthly'!$A70,'TRANS EMP EXTRACT - COST CENTRE'!$A:$A,0),MATCH('Summary - Monthly'!X$3,'TRANS EMP EXTRACT - COST CENTRE'!$2:$2,0)),0)</f>
        <v>0</v>
      </c>
      <c r="Y70" s="13">
        <f>IFERROR(INDEX('TRANS EMP EXTRACT - COST CENTRE'!$A$1:$Z$455,MATCH('Summary - Monthly'!$A70,'TRANS EMP EXTRACT - COST CENTRE'!$A:$A,0),MATCH('Summary - Monthly'!Y$3,'TRANS EMP EXTRACT - COST CENTRE'!$2:$2,0)),0)</f>
        <v>0</v>
      </c>
      <c r="Z70" s="10">
        <f>IFERROR(INDEX('TRANS EMP EXTRACT - COST CENTRE'!$A$1:$Z$455,MATCH('Summary - Monthly'!$A70,'TRANS EMP EXTRACT - COST CENTRE'!$A:$A,0),MATCH('Summary - Monthly'!Z$3,'TRANS EMP EXTRACT - COST CENTRE'!$2:$2,0)),0)</f>
        <v>0</v>
      </c>
      <c r="AA70" s="10">
        <f>IFERROR(INDEX('TRANS EMP EXTRACT - COST CENTRE'!$A$1:$Z$455,MATCH('Summary - Monthly'!$A70,'TRANS EMP EXTRACT - COST CENTRE'!$A:$A,0),MATCH('Summary - Monthly'!AA$3,'TRANS EMP EXTRACT - COST CENTRE'!$2:$2,0)),0)</f>
        <v>0</v>
      </c>
      <c r="AB70" s="10">
        <f>IFERROR(INDEX('TRANS EMP EXTRACT - COST CENTRE'!$A$1:$Z$455,MATCH('Summary - Monthly'!$A70,'TRANS EMP EXTRACT - COST CENTRE'!$A:$A,0),MATCH('Summary - Monthly'!AB$3,'TRANS EMP EXTRACT - COST CENTRE'!$2:$2,0)),0)</f>
        <v>0</v>
      </c>
      <c r="AC70" s="8">
        <f>IFERROR(INDEX('TRANS EMP EXTRACT - COST CENTRE'!$A$1:$Z$455,MATCH('Summary - Monthly'!$A70,'TRANS EMP EXTRACT - COST CENTRE'!$A:$A,0),MATCH('Summary - Monthly'!AC$3,'TRANS EMP EXTRACT - COST CENTRE'!$2:$2,0)),0)</f>
        <v>0</v>
      </c>
      <c r="AD70" s="13">
        <f>IFERROR(INDEX('TRANS EMP EXTRACT - COST CENTRE'!$A$1:$Z$455,MATCH('Summary - Monthly'!$A70,'TRANS EMP EXTRACT - COST CENTRE'!$A:$A,0),MATCH('Summary - Monthly'!AD$3,'TRANS EMP EXTRACT - COST CENTRE'!$2:$2,0)),0)</f>
        <v>0</v>
      </c>
      <c r="AE70" s="13">
        <f>IFERROR(INDEX('TRANS EMP EXTRACT - COST CENTRE'!$A$1:$Z$455,MATCH('Summary - Monthly'!$A70,'TRANS EMP EXTRACT - COST CENTRE'!$A:$A,0),MATCH('Summary - Monthly'!AE$3,'TRANS EMP EXTRACT - COST CENTRE'!$2:$2,0)),0)</f>
        <v>0</v>
      </c>
      <c r="AF70" s="13">
        <f>IFERROR(INDEX('TRANS EMP EXTRACT - COST CENTRE'!$A$1:$Z$455,MATCH('Summary - Monthly'!$A70,'TRANS EMP EXTRACT - COST CENTRE'!$A:$A,0),MATCH('Summary - Monthly'!AF$3,'TRANS EMP EXTRACT - COST CENTRE'!$2:$2,0)),0)</f>
        <v>0</v>
      </c>
      <c r="AG70" s="10">
        <f>IFERROR(INDEX('TRANS EMP EXTRACT - COST CENTRE'!$A$1:$Z$455,MATCH('Summary - Monthly'!$A70,'TRANS EMP EXTRACT - COST CENTRE'!$A:$A,0),MATCH('Summary - Monthly'!AG$3,'TRANS EMP EXTRACT - COST CENTRE'!$2:$2,0)),0)</f>
        <v>0</v>
      </c>
      <c r="AH70" s="10">
        <f>IFERROR(INDEX('TRANS EMP EXTRACT - COST CENTRE'!$A$1:$Z$455,MATCH('Summary - Monthly'!$A70,'TRANS EMP EXTRACT - COST CENTRE'!$A:$A,0),MATCH('Summary - Monthly'!AH$3,'TRANS EMP EXTRACT - COST CENTRE'!$2:$2,0)),0)</f>
        <v>0</v>
      </c>
      <c r="AI70" s="10">
        <f>IFERROR(INDEX('TRANS EMP EXTRACT - COST CENTRE'!$A$1:$Z$455,MATCH('Summary - Monthly'!$A70,'TRANS EMP EXTRACT - COST CENTRE'!$A:$A,0),MATCH('Summary - Monthly'!AI$3,'TRANS EMP EXTRACT - COST CENTRE'!$2:$2,0)),0)</f>
        <v>0</v>
      </c>
      <c r="AJ70" s="10">
        <f>IFERROR(INDEX('TRANS EMP EXTRACT - COST CENTRE'!$A$1:$Z$455,MATCH('Summary - Monthly'!$A70,'TRANS EMP EXTRACT - COST CENTRE'!$A:$A,0),MATCH('Summary - Monthly'!AJ$3,'TRANS EMP EXTRACT - COST CENTRE'!$2:$2,0)),0)</f>
        <v>0</v>
      </c>
      <c r="AK70" s="10">
        <f>IFERROR(INDEX('TRANS EMP EXTRACT - COST CENTRE'!$A$1:$Z$455,MATCH('Summary - Monthly'!$A70,'TRANS EMP EXTRACT - COST CENTRE'!$A:$A,0),MATCH('Summary - Monthly'!AK$3,'TRANS EMP EXTRACT - COST CENTRE'!$2:$2,0)),0)</f>
        <v>0</v>
      </c>
      <c r="AL70" s="10">
        <f>IFERROR(INDEX('TRANS EMP EXTRACT - COST CENTRE'!$A$1:$Z$455,MATCH('Summary - Monthly'!$A70,'TRANS EMP EXTRACT - COST CENTRE'!$A:$A,0),MATCH('Summary - Monthly'!AL$3,'TRANS EMP EXTRACT - COST CENTRE'!$2:$2,0)),0)</f>
        <v>0</v>
      </c>
      <c r="AM70" s="10">
        <f t="shared" si="9"/>
        <v>175.0001</v>
      </c>
      <c r="AN70" s="14">
        <f t="shared" si="13"/>
        <v>0.15559276315789475</v>
      </c>
      <c r="AO70" s="18">
        <f t="shared" si="18"/>
        <v>1.151316447368421</v>
      </c>
      <c r="AP70" s="18">
        <f t="shared" si="19"/>
        <v>1.0013164473684213</v>
      </c>
      <c r="AQ70" s="10" t="str">
        <f>IFERROR(VLOOKUP(B70,Departments!A:C,3,FALSE),"")</f>
        <v>Microbiology</v>
      </c>
      <c r="AR70" s="10" t="str">
        <f>IFERROR(VLOOKUP(B70,Departments!A:B,2,FALSE),"")</f>
        <v>Melb Micro</v>
      </c>
      <c r="AS70" s="10">
        <f t="shared" si="14"/>
        <v>7.6</v>
      </c>
      <c r="AT70" s="10">
        <f t="shared" si="15"/>
        <v>22.799999999999997</v>
      </c>
      <c r="AU70" s="10" t="str">
        <f>_xlfn.IFNA(VLOOKUP(B70,Departments!A:D,4,FALSE),"")</f>
        <v>Melbourne Micro</v>
      </c>
    </row>
    <row r="71" spans="1:47" ht="14.45" customHeight="1">
      <c r="A71" s="11" t="str">
        <f t="shared" si="16"/>
        <v>1202061118891</v>
      </c>
      <c r="B71" s="11">
        <f>'TRANS EMP EXTRACT - COST CENTRE'!B70</f>
        <v>12020611</v>
      </c>
      <c r="C71" s="10" t="str">
        <f>IFERROR(VLOOKUP(E71,'TRANS EMP EXTRACT - EMP CATEGOR'!A:B,2,FALSE),"")</f>
        <v>PT</v>
      </c>
      <c r="D71" s="10" t="str">
        <f>IFERROR(VLOOKUP(E71,'TRANS EMP EXTRACT - EMP CATEGOR'!A:C,3,FALSE),"")</f>
        <v>Parttime</v>
      </c>
      <c r="E71" s="11">
        <f>'TRANS EMP EXTRACT - COST CENTRE'!D70</f>
        <v>18891</v>
      </c>
      <c r="F71" s="10" t="str">
        <f>IFERROR(VLOOKUP(E71,'TRANS EMP EXTRACT - COST CENTRE'!D:E,2,FALSE),"")</f>
        <v>KODOR  MARA MRS</v>
      </c>
      <c r="G71" s="12">
        <f>IFERROR(INDEX('TRANS EMP EXTRACT - COST CENTRE'!$A$1:$Z$455,MATCH('Summary - Monthly'!$A71,'TRANS EMP EXTRACT - COST CENTRE'!$A:$A,0),MATCH('Summary - Monthly'!G$3,'TRANS EMP EXTRACT - COST CENTRE'!$2:$2,0)),"")</f>
        <v>43746</v>
      </c>
      <c r="H71" s="10" t="str">
        <f>IFERROR(INDEX('TRANS EMP EXTRACT - COST CENTRE'!$B$1:$Z$455,MATCH('Summary - Monthly'!$E71,'TRANS EMP EXTRACT - COST CENTRE'!$D:$D,0),MATCH('Summary - Monthly'!H$3,'TRANS EMP EXTRACT - COST CENTRE'!$2:$2,0)),"")</f>
        <v>FN</v>
      </c>
      <c r="I71" s="12" t="str">
        <f>IFERROR(INDEX('TRANS EMP EXTRACT - EMP CATEGOR'!$B$1:$AF$421,MATCH('Summary - Monthly'!$E71,'TRANS EMP EXTRACT - EMP CATEGOR'!$D:$D,0),MATCH('Summary - Monthly'!H$3,'TRANS EMP EXTRACT - EMP CATEGOR'!$2:$2,0)),"")</f>
        <v>FN</v>
      </c>
      <c r="J71" s="41">
        <f t="shared" ca="1" si="12"/>
        <v>121.2381</v>
      </c>
      <c r="K71" s="41">
        <f t="shared" ca="1" si="17"/>
        <v>131.03229999999999</v>
      </c>
      <c r="L71" s="10">
        <f>IFERROR(INDEX('TRANS EMP EXTRACT - COST CENTRE'!$A$1:$Z$455,MATCH('Summary - Monthly'!$A71,'TRANS EMP EXTRACT - COST CENTRE'!$A:$A,0),MATCH('Summary - Monthly'!L$3,'TRANS EMP EXTRACT - COST CENTRE'!$2:$2,0)),"")</f>
        <v>121.6</v>
      </c>
      <c r="M71" s="10">
        <f>IFERROR(INDEX('TRANS EMP EXTRACT - COST CENTRE'!$A$1:$Z$455,MATCH('Summary - Monthly'!$A71,'TRANS EMP EXTRACT - COST CENTRE'!$A:$A,0),MATCH('Summary - Monthly'!M$3,'TRANS EMP EXTRACT - COST CENTRE'!$2:$2,0)),0)</f>
        <v>0</v>
      </c>
      <c r="N71" s="10">
        <f>IFERROR(INDEX('TRANS EMP EXTRACT - COST CENTRE'!$A$1:$Z$455,MATCH('Summary - Monthly'!$A71,'TRANS EMP EXTRACT - COST CENTRE'!$A:$A,0),MATCH('Summary - Monthly'!N$3,'TRANS EMP EXTRACT - COST CENTRE'!$2:$2,0)),0)</f>
        <v>0</v>
      </c>
      <c r="O71" s="10">
        <f>IFERROR(INDEX('TRANS EMP EXTRACT - COST CENTRE'!$A$1:$Z$455,MATCH('Summary - Monthly'!$A71,'TRANS EMP EXTRACT - COST CENTRE'!$A:$A,0),MATCH('Summary - Monthly'!O$3,'TRANS EMP EXTRACT - COST CENTRE'!$2:$2,0)),0)</f>
        <v>0</v>
      </c>
      <c r="P71" s="10">
        <f>IFERROR(INDEX('TRANS EMP EXTRACT - COST CENTRE'!$A$1:$Z$455,MATCH('Summary - Monthly'!$A71,'TRANS EMP EXTRACT - COST CENTRE'!$A:$A,0),MATCH('Summary - Monthly'!P$3,'TRANS EMP EXTRACT - COST CENTRE'!$2:$2,0)),0)</f>
        <v>0</v>
      </c>
      <c r="Q71" s="10">
        <f>IFERROR(INDEX('TRANS EMP EXTRACT - COST CENTRE'!$A$1:$Z$455,MATCH('Summary - Monthly'!$A71,'TRANS EMP EXTRACT - COST CENTRE'!$A:$A,0),MATCH('Summary - Monthly'!Q$3,'TRANS EMP EXTRACT - COST CENTRE'!$2:$2,0)),0)</f>
        <v>0.5</v>
      </c>
      <c r="R71" s="10">
        <f>IFERROR(INDEX('TRANS EMP EXTRACT - COST CENTRE'!$A$1:$Z$455,MATCH('Summary - Monthly'!$A71,'TRANS EMP EXTRACT - COST CENTRE'!$A:$A,0),MATCH('Summary - Monthly'!R$3,'TRANS EMP EXTRACT - COST CENTRE'!$2:$2,0)),0)</f>
        <v>0</v>
      </c>
      <c r="S71" s="10">
        <f>IFERROR(INDEX('TRANS EMP EXTRACT - COST CENTRE'!$A$1:$Z$455,MATCH('Summary - Monthly'!$A71,'TRANS EMP EXTRACT - COST CENTRE'!$A:$A,0),MATCH('Summary - Monthly'!S$3,'TRANS EMP EXTRACT - COST CENTRE'!$2:$2,0)),0)</f>
        <v>0</v>
      </c>
      <c r="T71" s="8">
        <f>IFERROR(INDEX('TRANS EMP EXTRACT - COST CENTRE'!$A$1:$Z$455,MATCH('Summary - Monthly'!$A71,'TRANS EMP EXTRACT - COST CENTRE'!$A:$A,0),MATCH('Summary - Monthly'!T$3,'TRANS EMP EXTRACT - COST CENTRE'!$2:$2,0)),0)</f>
        <v>0</v>
      </c>
      <c r="U71" s="13">
        <f>IFERROR(INDEX('TRANS EMP EXTRACT - COST CENTRE'!$A$1:$Z$455,MATCH('Summary - Monthly'!$A71,'TRANS EMP EXTRACT - COST CENTRE'!$A:$A,0),MATCH('Summary - Monthly'!U$3,'TRANS EMP EXTRACT - COST CENTRE'!$2:$2,0)),0)</f>
        <v>0</v>
      </c>
      <c r="V71" s="13">
        <f>IFERROR(INDEX('TRANS EMP EXTRACT - COST CENTRE'!$A$1:$Z$455,MATCH('Summary - Monthly'!$A71,'TRANS EMP EXTRACT - COST CENTRE'!$A:$A,0),MATCH('Summary - Monthly'!V$3,'TRANS EMP EXTRACT - COST CENTRE'!$2:$2,0)),0)</f>
        <v>0</v>
      </c>
      <c r="W71" s="13">
        <f>IFERROR(INDEX('TRANS EMP EXTRACT - COST CENTRE'!$A$1:$Z$455,MATCH('Summary - Monthly'!$A71,'TRANS EMP EXTRACT - COST CENTRE'!$A:$A,0),MATCH('Summary - Monthly'!W$3,'TRANS EMP EXTRACT - COST CENTRE'!$2:$2,0)),0)</f>
        <v>0</v>
      </c>
      <c r="X71" s="13">
        <f>IFERROR(INDEX('TRANS EMP EXTRACT - COST CENTRE'!$A$1:$Z$455,MATCH('Summary - Monthly'!$A71,'TRANS EMP EXTRACT - COST CENTRE'!$A:$A,0),MATCH('Summary - Monthly'!X$3,'TRANS EMP EXTRACT - COST CENTRE'!$2:$2,0)),0)</f>
        <v>0</v>
      </c>
      <c r="Y71" s="13">
        <f>IFERROR(INDEX('TRANS EMP EXTRACT - COST CENTRE'!$A$1:$Z$455,MATCH('Summary - Monthly'!$A71,'TRANS EMP EXTRACT - COST CENTRE'!$A:$A,0),MATCH('Summary - Monthly'!Y$3,'TRANS EMP EXTRACT - COST CENTRE'!$2:$2,0)),0)</f>
        <v>0</v>
      </c>
      <c r="Z71" s="10">
        <f>IFERROR(INDEX('TRANS EMP EXTRACT - COST CENTRE'!$A$1:$Z$455,MATCH('Summary - Monthly'!$A71,'TRANS EMP EXTRACT - COST CENTRE'!$A:$A,0),MATCH('Summary - Monthly'!Z$3,'TRANS EMP EXTRACT - COST CENTRE'!$2:$2,0)),0)</f>
        <v>0</v>
      </c>
      <c r="AA71" s="10">
        <f>IFERROR(INDEX('TRANS EMP EXTRACT - COST CENTRE'!$A$1:$Z$455,MATCH('Summary - Monthly'!$A71,'TRANS EMP EXTRACT - COST CENTRE'!$A:$A,0),MATCH('Summary - Monthly'!AA$3,'TRANS EMP EXTRACT - COST CENTRE'!$2:$2,0)),0)</f>
        <v>0</v>
      </c>
      <c r="AB71" s="10">
        <f>IFERROR(INDEX('TRANS EMP EXTRACT - COST CENTRE'!$A$1:$Z$455,MATCH('Summary - Monthly'!$A71,'TRANS EMP EXTRACT - COST CENTRE'!$A:$A,0),MATCH('Summary - Monthly'!AB$3,'TRANS EMP EXTRACT - COST CENTRE'!$2:$2,0)),0)</f>
        <v>0</v>
      </c>
      <c r="AC71" s="8">
        <f>IFERROR(INDEX('TRANS EMP EXTRACT - COST CENTRE'!$A$1:$Z$455,MATCH('Summary - Monthly'!$A71,'TRANS EMP EXTRACT - COST CENTRE'!$A:$A,0),MATCH('Summary - Monthly'!AC$3,'TRANS EMP EXTRACT - COST CENTRE'!$2:$2,0)),0)</f>
        <v>0</v>
      </c>
      <c r="AD71" s="13">
        <f>IFERROR(INDEX('TRANS EMP EXTRACT - COST CENTRE'!$A$1:$Z$455,MATCH('Summary - Monthly'!$A71,'TRANS EMP EXTRACT - COST CENTRE'!$A:$A,0),MATCH('Summary - Monthly'!AD$3,'TRANS EMP EXTRACT - COST CENTRE'!$2:$2,0)),0)</f>
        <v>0</v>
      </c>
      <c r="AE71" s="13">
        <f>IFERROR(INDEX('TRANS EMP EXTRACT - COST CENTRE'!$A$1:$Z$455,MATCH('Summary - Monthly'!$A71,'TRANS EMP EXTRACT - COST CENTRE'!$A:$A,0),MATCH('Summary - Monthly'!AE$3,'TRANS EMP EXTRACT - COST CENTRE'!$2:$2,0)),0)</f>
        <v>0</v>
      </c>
      <c r="AF71" s="13">
        <f>IFERROR(INDEX('TRANS EMP EXTRACT - COST CENTRE'!$A$1:$Z$455,MATCH('Summary - Monthly'!$A71,'TRANS EMP EXTRACT - COST CENTRE'!$A:$A,0),MATCH('Summary - Monthly'!AF$3,'TRANS EMP EXTRACT - COST CENTRE'!$2:$2,0)),0)</f>
        <v>0</v>
      </c>
      <c r="AG71" s="10">
        <f>IFERROR(INDEX('TRANS EMP EXTRACT - COST CENTRE'!$A$1:$Z$455,MATCH('Summary - Monthly'!$A71,'TRANS EMP EXTRACT - COST CENTRE'!$A:$A,0),MATCH('Summary - Monthly'!AG$3,'TRANS EMP EXTRACT - COST CENTRE'!$2:$2,0)),0)</f>
        <v>0</v>
      </c>
      <c r="AH71" s="10">
        <f>IFERROR(INDEX('TRANS EMP EXTRACT - COST CENTRE'!$A$1:$Z$455,MATCH('Summary - Monthly'!$A71,'TRANS EMP EXTRACT - COST CENTRE'!$A:$A,0),MATCH('Summary - Monthly'!AH$3,'TRANS EMP EXTRACT - COST CENTRE'!$2:$2,0)),0)</f>
        <v>0</v>
      </c>
      <c r="AI71" s="10">
        <f>IFERROR(INDEX('TRANS EMP EXTRACT - COST CENTRE'!$A$1:$Z$455,MATCH('Summary - Monthly'!$A71,'TRANS EMP EXTRACT - COST CENTRE'!$A:$A,0),MATCH('Summary - Monthly'!AI$3,'TRANS EMP EXTRACT - COST CENTRE'!$2:$2,0)),0)</f>
        <v>0</v>
      </c>
      <c r="AJ71" s="10">
        <f>IFERROR(INDEX('TRANS EMP EXTRACT - COST CENTRE'!$A$1:$Z$455,MATCH('Summary - Monthly'!$A71,'TRANS EMP EXTRACT - COST CENTRE'!$A:$A,0),MATCH('Summary - Monthly'!AJ$3,'TRANS EMP EXTRACT - COST CENTRE'!$2:$2,0)),0)</f>
        <v>0</v>
      </c>
      <c r="AK71" s="10">
        <f>IFERROR(INDEX('TRANS EMP EXTRACT - COST CENTRE'!$A$1:$Z$455,MATCH('Summary - Monthly'!$A71,'TRANS EMP EXTRACT - COST CENTRE'!$A:$A,0),MATCH('Summary - Monthly'!AK$3,'TRANS EMP EXTRACT - COST CENTRE'!$2:$2,0)),0)</f>
        <v>0</v>
      </c>
      <c r="AL71" s="10">
        <f>IFERROR(INDEX('TRANS EMP EXTRACT - COST CENTRE'!$A$1:$Z$455,MATCH('Summary - Monthly'!$A71,'TRANS EMP EXTRACT - COST CENTRE'!$A:$A,0),MATCH('Summary - Monthly'!AL$3,'TRANS EMP EXTRACT - COST CENTRE'!$2:$2,0)),0)</f>
        <v>0</v>
      </c>
      <c r="AM71" s="10">
        <f t="shared" si="9"/>
        <v>122.1</v>
      </c>
      <c r="AN71" s="14">
        <f t="shared" si="13"/>
        <v>3.2894736842105261E-3</v>
      </c>
      <c r="AO71" s="18">
        <f t="shared" si="18"/>
        <v>0.80328947368421044</v>
      </c>
      <c r="AP71" s="18">
        <f t="shared" si="19"/>
        <v>0.80328947368421044</v>
      </c>
      <c r="AQ71" s="10" t="str">
        <f>IFERROR(VLOOKUP(B71,Departments!A:C,3,FALSE),"")</f>
        <v>Microbiology</v>
      </c>
      <c r="AR71" s="10" t="str">
        <f>IFERROR(VLOOKUP(B71,Departments!A:B,2,FALSE),"")</f>
        <v>Sydney Micro</v>
      </c>
      <c r="AS71" s="10">
        <f t="shared" si="14"/>
        <v>0</v>
      </c>
      <c r="AT71" s="10">
        <f t="shared" si="15"/>
        <v>0</v>
      </c>
      <c r="AU71" s="10" t="str">
        <f>_xlfn.IFNA(VLOOKUP(B71,Departments!A:D,4,FALSE),"")</f>
        <v>Sydney Micro</v>
      </c>
    </row>
    <row r="72" spans="1:47" ht="14.45" customHeight="1">
      <c r="A72" s="11" t="str">
        <f t="shared" si="16"/>
        <v>1204301119023</v>
      </c>
      <c r="B72" s="11">
        <f>'TRANS EMP EXTRACT - COST CENTRE'!B71</f>
        <v>12043011</v>
      </c>
      <c r="C72" s="10" t="str">
        <f>IFERROR(VLOOKUP(E72,'TRANS EMP EXTRACT - EMP CATEGOR'!A:B,2,FALSE),"")</f>
        <v>CAS</v>
      </c>
      <c r="D72" s="10" t="str">
        <f>IFERROR(VLOOKUP(E72,'TRANS EMP EXTRACT - EMP CATEGOR'!A:C,3,FALSE),"")</f>
        <v>Casual RL</v>
      </c>
      <c r="E72" s="11">
        <f>'TRANS EMP EXTRACT - COST CENTRE'!D71</f>
        <v>19023</v>
      </c>
      <c r="F72" s="10" t="str">
        <f>IFERROR(VLOOKUP(E72,'TRANS EMP EXTRACT - COST CENTRE'!D:E,2,FALSE),"")</f>
        <v>LAWRENCE  SHARON MS</v>
      </c>
      <c r="G72" s="12">
        <f>IFERROR(INDEX('TRANS EMP EXTRACT - COST CENTRE'!$A$1:$Z$455,MATCH('Summary - Monthly'!$A72,'TRANS EMP EXTRACT - COST CENTRE'!$A:$A,0),MATCH('Summary - Monthly'!G$3,'TRANS EMP EXTRACT - COST CENTRE'!$2:$2,0)),"")</f>
        <v>44748</v>
      </c>
      <c r="H72" s="10" t="str">
        <f>IFERROR(INDEX('TRANS EMP EXTRACT - COST CENTRE'!$B$1:$Z$455,MATCH('Summary - Monthly'!$E72,'TRANS EMP EXTRACT - COST CENTRE'!$D:$D,0),MATCH('Summary - Monthly'!H$3,'TRANS EMP EXTRACT - COST CENTRE'!$2:$2,0)),"")</f>
        <v>RT</v>
      </c>
      <c r="I72" s="12" t="str">
        <f>IFERROR(INDEX('TRANS EMP EXTRACT - EMP CATEGOR'!$B$1:$AF$421,MATCH('Summary - Monthly'!$E72,'TRANS EMP EXTRACT - EMP CATEGOR'!$D:$D,0),MATCH('Summary - Monthly'!H$3,'TRANS EMP EXTRACT - EMP CATEGOR'!$2:$2,0)),"")</f>
        <v>RT</v>
      </c>
      <c r="J72" s="41">
        <f t="shared" ca="1" si="12"/>
        <v>0</v>
      </c>
      <c r="K72" s="41">
        <f t="shared" ca="1" si="17"/>
        <v>0</v>
      </c>
      <c r="L72" s="10">
        <f>IFERROR(INDEX('TRANS EMP EXTRACT - COST CENTRE'!$A$1:$Z$455,MATCH('Summary - Monthly'!$A72,'TRANS EMP EXTRACT - COST CENTRE'!$A:$A,0),MATCH('Summary - Monthly'!L$3,'TRANS EMP EXTRACT - COST CENTRE'!$2:$2,0)),"")</f>
        <v>0</v>
      </c>
      <c r="M72" s="10">
        <f>IFERROR(INDEX('TRANS EMP EXTRACT - COST CENTRE'!$A$1:$Z$455,MATCH('Summary - Monthly'!$A72,'TRANS EMP EXTRACT - COST CENTRE'!$A:$A,0),MATCH('Summary - Monthly'!M$3,'TRANS EMP EXTRACT - COST CENTRE'!$2:$2,0)),0)</f>
        <v>0</v>
      </c>
      <c r="N72" s="10">
        <f>IFERROR(INDEX('TRANS EMP EXTRACT - COST CENTRE'!$A$1:$Z$455,MATCH('Summary - Monthly'!$A72,'TRANS EMP EXTRACT - COST CENTRE'!$A:$A,0),MATCH('Summary - Monthly'!N$3,'TRANS EMP EXTRACT - COST CENTRE'!$2:$2,0)),0)</f>
        <v>50.916699999999999</v>
      </c>
      <c r="O72" s="10">
        <f>IFERROR(INDEX('TRANS EMP EXTRACT - COST CENTRE'!$A$1:$Z$455,MATCH('Summary - Monthly'!$A72,'TRANS EMP EXTRACT - COST CENTRE'!$A:$A,0),MATCH('Summary - Monthly'!O$3,'TRANS EMP EXTRACT - COST CENTRE'!$2:$2,0)),0)</f>
        <v>0</v>
      </c>
      <c r="P72" s="10">
        <f>IFERROR(INDEX('TRANS EMP EXTRACT - COST CENTRE'!$A$1:$Z$455,MATCH('Summary - Monthly'!$A72,'TRANS EMP EXTRACT - COST CENTRE'!$A:$A,0),MATCH('Summary - Monthly'!P$3,'TRANS EMP EXTRACT - COST CENTRE'!$2:$2,0)),0)</f>
        <v>0</v>
      </c>
      <c r="Q72" s="10">
        <f>IFERROR(INDEX('TRANS EMP EXTRACT - COST CENTRE'!$A$1:$Z$455,MATCH('Summary - Monthly'!$A72,'TRANS EMP EXTRACT - COST CENTRE'!$A:$A,0),MATCH('Summary - Monthly'!Q$3,'TRANS EMP EXTRACT - COST CENTRE'!$2:$2,0)),0)</f>
        <v>0</v>
      </c>
      <c r="R72" s="10">
        <f>IFERROR(INDEX('TRANS EMP EXTRACT - COST CENTRE'!$A$1:$Z$455,MATCH('Summary - Monthly'!$A72,'TRANS EMP EXTRACT - COST CENTRE'!$A:$A,0),MATCH('Summary - Monthly'!R$3,'TRANS EMP EXTRACT - COST CENTRE'!$2:$2,0)),0)</f>
        <v>0</v>
      </c>
      <c r="S72" s="10">
        <f>IFERROR(INDEX('TRANS EMP EXTRACT - COST CENTRE'!$A$1:$Z$455,MATCH('Summary - Monthly'!$A72,'TRANS EMP EXTRACT - COST CENTRE'!$A:$A,0),MATCH('Summary - Monthly'!S$3,'TRANS EMP EXTRACT - COST CENTRE'!$2:$2,0)),0)</f>
        <v>0</v>
      </c>
      <c r="T72" s="8">
        <f>IFERROR(INDEX('TRANS EMP EXTRACT - COST CENTRE'!$A$1:$Z$455,MATCH('Summary - Monthly'!$A72,'TRANS EMP EXTRACT - COST CENTRE'!$A:$A,0),MATCH('Summary - Monthly'!T$3,'TRANS EMP EXTRACT - COST CENTRE'!$2:$2,0)),0)</f>
        <v>0</v>
      </c>
      <c r="U72" s="13">
        <f>IFERROR(INDEX('TRANS EMP EXTRACT - COST CENTRE'!$A$1:$Z$455,MATCH('Summary - Monthly'!$A72,'TRANS EMP EXTRACT - COST CENTRE'!$A:$A,0),MATCH('Summary - Monthly'!U$3,'TRANS EMP EXTRACT - COST CENTRE'!$2:$2,0)),0)</f>
        <v>0</v>
      </c>
      <c r="V72" s="13">
        <f>IFERROR(INDEX('TRANS EMP EXTRACT - COST CENTRE'!$A$1:$Z$455,MATCH('Summary - Monthly'!$A72,'TRANS EMP EXTRACT - COST CENTRE'!$A:$A,0),MATCH('Summary - Monthly'!V$3,'TRANS EMP EXTRACT - COST CENTRE'!$2:$2,0)),0)</f>
        <v>0</v>
      </c>
      <c r="W72" s="13">
        <f>IFERROR(INDEX('TRANS EMP EXTRACT - COST CENTRE'!$A$1:$Z$455,MATCH('Summary - Monthly'!$A72,'TRANS EMP EXTRACT - COST CENTRE'!$A:$A,0),MATCH('Summary - Monthly'!W$3,'TRANS EMP EXTRACT - COST CENTRE'!$2:$2,0)),0)</f>
        <v>0</v>
      </c>
      <c r="X72" s="13">
        <f>IFERROR(INDEX('TRANS EMP EXTRACT - COST CENTRE'!$A$1:$Z$455,MATCH('Summary - Monthly'!$A72,'TRANS EMP EXTRACT - COST CENTRE'!$A:$A,0),MATCH('Summary - Monthly'!X$3,'TRANS EMP EXTRACT - COST CENTRE'!$2:$2,0)),0)</f>
        <v>0</v>
      </c>
      <c r="Y72" s="13">
        <f>IFERROR(INDEX('TRANS EMP EXTRACT - COST CENTRE'!$A$1:$Z$455,MATCH('Summary - Monthly'!$A72,'TRANS EMP EXTRACT - COST CENTRE'!$A:$A,0),MATCH('Summary - Monthly'!Y$3,'TRANS EMP EXTRACT - COST CENTRE'!$2:$2,0)),0)</f>
        <v>0</v>
      </c>
      <c r="Z72" s="10">
        <f>IFERROR(INDEX('TRANS EMP EXTRACT - COST CENTRE'!$A$1:$Z$455,MATCH('Summary - Monthly'!$A72,'TRANS EMP EXTRACT - COST CENTRE'!$A:$A,0),MATCH('Summary - Monthly'!Z$3,'TRANS EMP EXTRACT - COST CENTRE'!$2:$2,0)),0)</f>
        <v>0</v>
      </c>
      <c r="AA72" s="10">
        <f>IFERROR(INDEX('TRANS EMP EXTRACT - COST CENTRE'!$A$1:$Z$455,MATCH('Summary - Monthly'!$A72,'TRANS EMP EXTRACT - COST CENTRE'!$A:$A,0),MATCH('Summary - Monthly'!AA$3,'TRANS EMP EXTRACT - COST CENTRE'!$2:$2,0)),0)</f>
        <v>0</v>
      </c>
      <c r="AB72" s="10">
        <f>IFERROR(INDEX('TRANS EMP EXTRACT - COST CENTRE'!$A$1:$Z$455,MATCH('Summary - Monthly'!$A72,'TRANS EMP EXTRACT - COST CENTRE'!$A:$A,0),MATCH('Summary - Monthly'!AB$3,'TRANS EMP EXTRACT - COST CENTRE'!$2:$2,0)),0)</f>
        <v>0</v>
      </c>
      <c r="AC72" s="8">
        <f>IFERROR(INDEX('TRANS EMP EXTRACT - COST CENTRE'!$A$1:$Z$455,MATCH('Summary - Monthly'!$A72,'TRANS EMP EXTRACT - COST CENTRE'!$A:$A,0),MATCH('Summary - Monthly'!AC$3,'TRANS EMP EXTRACT - COST CENTRE'!$2:$2,0)),0)</f>
        <v>0</v>
      </c>
      <c r="AD72" s="13">
        <f>IFERROR(INDEX('TRANS EMP EXTRACT - COST CENTRE'!$A$1:$Z$455,MATCH('Summary - Monthly'!$A72,'TRANS EMP EXTRACT - COST CENTRE'!$A:$A,0),MATCH('Summary - Monthly'!AD$3,'TRANS EMP EXTRACT - COST CENTRE'!$2:$2,0)),0)</f>
        <v>0</v>
      </c>
      <c r="AE72" s="13">
        <f>IFERROR(INDEX('TRANS EMP EXTRACT - COST CENTRE'!$A$1:$Z$455,MATCH('Summary - Monthly'!$A72,'TRANS EMP EXTRACT - COST CENTRE'!$A:$A,0),MATCH('Summary - Monthly'!AE$3,'TRANS EMP EXTRACT - COST CENTRE'!$2:$2,0)),0)</f>
        <v>0</v>
      </c>
      <c r="AF72" s="13">
        <f>IFERROR(INDEX('TRANS EMP EXTRACT - COST CENTRE'!$A$1:$Z$455,MATCH('Summary - Monthly'!$A72,'TRANS EMP EXTRACT - COST CENTRE'!$A:$A,0),MATCH('Summary - Monthly'!AF$3,'TRANS EMP EXTRACT - COST CENTRE'!$2:$2,0)),0)</f>
        <v>0</v>
      </c>
      <c r="AG72" s="10">
        <f>IFERROR(INDEX('TRANS EMP EXTRACT - COST CENTRE'!$A$1:$Z$455,MATCH('Summary - Monthly'!$A72,'TRANS EMP EXTRACT - COST CENTRE'!$A:$A,0),MATCH('Summary - Monthly'!AG$3,'TRANS EMP EXTRACT - COST CENTRE'!$2:$2,0)),0)</f>
        <v>0</v>
      </c>
      <c r="AH72" s="10">
        <f>IFERROR(INDEX('TRANS EMP EXTRACT - COST CENTRE'!$A$1:$Z$455,MATCH('Summary - Monthly'!$A72,'TRANS EMP EXTRACT - COST CENTRE'!$A:$A,0),MATCH('Summary - Monthly'!AH$3,'TRANS EMP EXTRACT - COST CENTRE'!$2:$2,0)),0)</f>
        <v>0</v>
      </c>
      <c r="AI72" s="10">
        <f>IFERROR(INDEX('TRANS EMP EXTRACT - COST CENTRE'!$A$1:$Z$455,MATCH('Summary - Monthly'!$A72,'TRANS EMP EXTRACT - COST CENTRE'!$A:$A,0),MATCH('Summary - Monthly'!AI$3,'TRANS EMP EXTRACT - COST CENTRE'!$2:$2,0)),0)</f>
        <v>0</v>
      </c>
      <c r="AJ72" s="10">
        <f>IFERROR(INDEX('TRANS EMP EXTRACT - COST CENTRE'!$A$1:$Z$455,MATCH('Summary - Monthly'!$A72,'TRANS EMP EXTRACT - COST CENTRE'!$A:$A,0),MATCH('Summary - Monthly'!AJ$3,'TRANS EMP EXTRACT - COST CENTRE'!$2:$2,0)),0)</f>
        <v>0</v>
      </c>
      <c r="AK72" s="10">
        <f>IFERROR(INDEX('TRANS EMP EXTRACT - COST CENTRE'!$A$1:$Z$455,MATCH('Summary - Monthly'!$A72,'TRANS EMP EXTRACT - COST CENTRE'!$A:$A,0),MATCH('Summary - Monthly'!AK$3,'TRANS EMP EXTRACT - COST CENTRE'!$2:$2,0)),0)</f>
        <v>0</v>
      </c>
      <c r="AL72" s="10">
        <f>IFERROR(INDEX('TRANS EMP EXTRACT - COST CENTRE'!$A$1:$Z$455,MATCH('Summary - Monthly'!$A72,'TRANS EMP EXTRACT - COST CENTRE'!$A:$A,0),MATCH('Summary - Monthly'!AL$3,'TRANS EMP EXTRACT - COST CENTRE'!$2:$2,0)),0)</f>
        <v>0</v>
      </c>
      <c r="AM72" s="10">
        <f t="shared" si="9"/>
        <v>50.916699999999999</v>
      </c>
      <c r="AN72" s="14">
        <f t="shared" si="13"/>
        <v>0</v>
      </c>
      <c r="AO72" s="18">
        <f t="shared" si="18"/>
        <v>0.33497828947368419</v>
      </c>
      <c r="AP72" s="18">
        <f t="shared" si="19"/>
        <v>0.33497828947368419</v>
      </c>
      <c r="AQ72" s="10" t="str">
        <f>IFERROR(VLOOKUP(B72,Departments!A:C,3,FALSE),"")</f>
        <v>Microbiology</v>
      </c>
      <c r="AR72" s="10" t="str">
        <f>IFERROR(VLOOKUP(B72,Departments!A:B,2,FALSE),"")</f>
        <v>Bris Micro</v>
      </c>
      <c r="AS72" s="10">
        <f t="shared" si="14"/>
        <v>0</v>
      </c>
      <c r="AT72" s="10">
        <f t="shared" si="15"/>
        <v>0</v>
      </c>
      <c r="AU72" s="10" t="str">
        <f>_xlfn.IFNA(VLOOKUP(B72,Departments!A:D,4,FALSE),"")</f>
        <v>Brisbane Micro</v>
      </c>
    </row>
    <row r="73" spans="1:47" ht="14.45" customHeight="1">
      <c r="A73" s="11" t="str">
        <f t="shared" si="16"/>
        <v>1203040018805</v>
      </c>
      <c r="B73" s="11">
        <f>'TRANS EMP EXTRACT - COST CENTRE'!B72</f>
        <v>12030400</v>
      </c>
      <c r="C73" s="10" t="str">
        <f>IFERROR(VLOOKUP(E73,'TRANS EMP EXTRACT - EMP CATEGOR'!A:B,2,FALSE),"")</f>
        <v>FT</v>
      </c>
      <c r="D73" s="10" t="str">
        <f>IFERROR(VLOOKUP(E73,'TRANS EMP EXTRACT - EMP CATEGOR'!A:C,3,FALSE),"")</f>
        <v>Fulltime</v>
      </c>
      <c r="E73" s="11">
        <f>'TRANS EMP EXTRACT - COST CENTRE'!D72</f>
        <v>18805</v>
      </c>
      <c r="F73" s="10" t="str">
        <f>IFERROR(VLOOKUP(E73,'TRANS EMP EXTRACT - COST CENTRE'!D:E,2,FALSE),"")</f>
        <v>LETHBORG  GABRIELLA MISS</v>
      </c>
      <c r="G73" s="12">
        <f>IFERROR(INDEX('TRANS EMP EXTRACT - COST CENTRE'!$A$1:$Z$455,MATCH('Summary - Monthly'!$A73,'TRANS EMP EXTRACT - COST CENTRE'!$A:$A,0),MATCH('Summary - Monthly'!G$3,'TRANS EMP EXTRACT - COST CENTRE'!$2:$2,0)),"")</f>
        <v>43067</v>
      </c>
      <c r="H73" s="10" t="str">
        <f>IFERROR(INDEX('TRANS EMP EXTRACT - COST CENTRE'!$B$1:$Z$455,MATCH('Summary - Monthly'!$E73,'TRANS EMP EXTRACT - COST CENTRE'!$D:$D,0),MATCH('Summary - Monthly'!H$3,'TRANS EMP EXTRACT - COST CENTRE'!$2:$2,0)),"")</f>
        <v>RT</v>
      </c>
      <c r="I73" s="12" t="str">
        <f>IFERROR(INDEX('TRANS EMP EXTRACT - EMP CATEGOR'!$B$1:$AF$421,MATCH('Summary - Monthly'!$E73,'TRANS EMP EXTRACT - EMP CATEGOR'!$D:$D,0),MATCH('Summary - Monthly'!H$3,'TRANS EMP EXTRACT - EMP CATEGOR'!$2:$2,0)),"")</f>
        <v>RT</v>
      </c>
      <c r="J73" s="41">
        <f t="shared" ca="1" si="12"/>
        <v>289.3886</v>
      </c>
      <c r="K73" s="41">
        <f t="shared" ca="1" si="17"/>
        <v>146.37780000000001</v>
      </c>
      <c r="L73" s="10">
        <f>IFERROR(INDEX('TRANS EMP EXTRACT - COST CENTRE'!$A$1:$Z$455,MATCH('Summary - Monthly'!$A73,'TRANS EMP EXTRACT - COST CENTRE'!$A:$A,0),MATCH('Summary - Monthly'!L$3,'TRANS EMP EXTRACT - COST CENTRE'!$2:$2,0)),"")</f>
        <v>106.4</v>
      </c>
      <c r="M73" s="10">
        <f>IFERROR(INDEX('TRANS EMP EXTRACT - COST CENTRE'!$A$1:$Z$455,MATCH('Summary - Monthly'!$A73,'TRANS EMP EXTRACT - COST CENTRE'!$A:$A,0),MATCH('Summary - Monthly'!M$3,'TRANS EMP EXTRACT - COST CENTRE'!$2:$2,0)),0)</f>
        <v>0</v>
      </c>
      <c r="N73" s="10">
        <f>IFERROR(INDEX('TRANS EMP EXTRACT - COST CENTRE'!$A$1:$Z$455,MATCH('Summary - Monthly'!$A73,'TRANS EMP EXTRACT - COST CENTRE'!$A:$A,0),MATCH('Summary - Monthly'!N$3,'TRANS EMP EXTRACT - COST CENTRE'!$2:$2,0)),0)</f>
        <v>0</v>
      </c>
      <c r="O73" s="10">
        <f>IFERROR(INDEX('TRANS EMP EXTRACT - COST CENTRE'!$A$1:$Z$455,MATCH('Summary - Monthly'!$A73,'TRANS EMP EXTRACT - COST CENTRE'!$A:$A,0),MATCH('Summary - Monthly'!O$3,'TRANS EMP EXTRACT - COST CENTRE'!$2:$2,0)),0)</f>
        <v>0</v>
      </c>
      <c r="P73" s="10">
        <f>IFERROR(INDEX('TRANS EMP EXTRACT - COST CENTRE'!$A$1:$Z$455,MATCH('Summary - Monthly'!$A73,'TRANS EMP EXTRACT - COST CENTRE'!$A:$A,0),MATCH('Summary - Monthly'!P$3,'TRANS EMP EXTRACT - COST CENTRE'!$2:$2,0)),0)</f>
        <v>0</v>
      </c>
      <c r="Q73" s="10">
        <f>IFERROR(INDEX('TRANS EMP EXTRACT - COST CENTRE'!$A$1:$Z$455,MATCH('Summary - Monthly'!$A73,'TRANS EMP EXTRACT - COST CENTRE'!$A:$A,0),MATCH('Summary - Monthly'!Q$3,'TRANS EMP EXTRACT - COST CENTRE'!$2:$2,0)),0)</f>
        <v>0</v>
      </c>
      <c r="R73" s="10">
        <f>IFERROR(INDEX('TRANS EMP EXTRACT - COST CENTRE'!$A$1:$Z$455,MATCH('Summary - Monthly'!$A73,'TRANS EMP EXTRACT - COST CENTRE'!$A:$A,0),MATCH('Summary - Monthly'!R$3,'TRANS EMP EXTRACT - COST CENTRE'!$2:$2,0)),0)</f>
        <v>0</v>
      </c>
      <c r="S73" s="10">
        <f>IFERROR(INDEX('TRANS EMP EXTRACT - COST CENTRE'!$A$1:$Z$455,MATCH('Summary - Monthly'!$A73,'TRANS EMP EXTRACT - COST CENTRE'!$A:$A,0),MATCH('Summary - Monthly'!S$3,'TRANS EMP EXTRACT - COST CENTRE'!$2:$2,0)),0)</f>
        <v>0</v>
      </c>
      <c r="T73" s="8">
        <f>IFERROR(INDEX('TRANS EMP EXTRACT - COST CENTRE'!$A$1:$Z$455,MATCH('Summary - Monthly'!$A73,'TRANS EMP EXTRACT - COST CENTRE'!$A:$A,0),MATCH('Summary - Monthly'!T$3,'TRANS EMP EXTRACT - COST CENTRE'!$2:$2,0)),0)</f>
        <v>0</v>
      </c>
      <c r="U73" s="13">
        <f>IFERROR(INDEX('TRANS EMP EXTRACT - COST CENTRE'!$A$1:$Z$455,MATCH('Summary - Monthly'!$A73,'TRANS EMP EXTRACT - COST CENTRE'!$A:$A,0),MATCH('Summary - Monthly'!U$3,'TRANS EMP EXTRACT - COST CENTRE'!$2:$2,0)),0)</f>
        <v>45.6</v>
      </c>
      <c r="V73" s="13">
        <f>IFERROR(INDEX('TRANS EMP EXTRACT - COST CENTRE'!$A$1:$Z$455,MATCH('Summary - Monthly'!$A73,'TRANS EMP EXTRACT - COST CENTRE'!$A:$A,0),MATCH('Summary - Monthly'!V$3,'TRANS EMP EXTRACT - COST CENTRE'!$2:$2,0)),0)</f>
        <v>0</v>
      </c>
      <c r="W73" s="13">
        <f>IFERROR(INDEX('TRANS EMP EXTRACT - COST CENTRE'!$A$1:$Z$455,MATCH('Summary - Monthly'!$A73,'TRANS EMP EXTRACT - COST CENTRE'!$A:$A,0),MATCH('Summary - Monthly'!W$3,'TRANS EMP EXTRACT - COST CENTRE'!$2:$2,0)),0)</f>
        <v>0</v>
      </c>
      <c r="X73" s="13">
        <f>IFERROR(INDEX('TRANS EMP EXTRACT - COST CENTRE'!$A$1:$Z$455,MATCH('Summary - Monthly'!$A73,'TRANS EMP EXTRACT - COST CENTRE'!$A:$A,0),MATCH('Summary - Monthly'!X$3,'TRANS EMP EXTRACT - COST CENTRE'!$2:$2,0)),0)</f>
        <v>0</v>
      </c>
      <c r="Y73" s="13">
        <f>IFERROR(INDEX('TRANS EMP EXTRACT - COST CENTRE'!$A$1:$Z$455,MATCH('Summary - Monthly'!$A73,'TRANS EMP EXTRACT - COST CENTRE'!$A:$A,0),MATCH('Summary - Monthly'!Y$3,'TRANS EMP EXTRACT - COST CENTRE'!$2:$2,0)),0)</f>
        <v>0</v>
      </c>
      <c r="Z73" s="10">
        <f>IFERROR(INDEX('TRANS EMP EXTRACT - COST CENTRE'!$A$1:$Z$455,MATCH('Summary - Monthly'!$A73,'TRANS EMP EXTRACT - COST CENTRE'!$A:$A,0),MATCH('Summary - Monthly'!Z$3,'TRANS EMP EXTRACT - COST CENTRE'!$2:$2,0)),0)</f>
        <v>0</v>
      </c>
      <c r="AA73" s="10">
        <f>IFERROR(INDEX('TRANS EMP EXTRACT - COST CENTRE'!$A$1:$Z$455,MATCH('Summary - Monthly'!$A73,'TRANS EMP EXTRACT - COST CENTRE'!$A:$A,0),MATCH('Summary - Monthly'!AA$3,'TRANS EMP EXTRACT - COST CENTRE'!$2:$2,0)),0)</f>
        <v>0</v>
      </c>
      <c r="AB73" s="10">
        <f>IFERROR(INDEX('TRANS EMP EXTRACT - COST CENTRE'!$A$1:$Z$455,MATCH('Summary - Monthly'!$A73,'TRANS EMP EXTRACT - COST CENTRE'!$A:$A,0),MATCH('Summary - Monthly'!AB$3,'TRANS EMP EXTRACT - COST CENTRE'!$2:$2,0)),0)</f>
        <v>0</v>
      </c>
      <c r="AC73" s="8">
        <f>IFERROR(INDEX('TRANS EMP EXTRACT - COST CENTRE'!$A$1:$Z$455,MATCH('Summary - Monthly'!$A73,'TRANS EMP EXTRACT - COST CENTRE'!$A:$A,0),MATCH('Summary - Monthly'!AC$3,'TRANS EMP EXTRACT - COST CENTRE'!$2:$2,0)),0)</f>
        <v>0</v>
      </c>
      <c r="AD73" s="13">
        <f>IFERROR(INDEX('TRANS EMP EXTRACT - COST CENTRE'!$A$1:$Z$455,MATCH('Summary - Monthly'!$A73,'TRANS EMP EXTRACT - COST CENTRE'!$A:$A,0),MATCH('Summary - Monthly'!AD$3,'TRANS EMP EXTRACT - COST CENTRE'!$2:$2,0)),0)</f>
        <v>0</v>
      </c>
      <c r="AE73" s="13">
        <f>IFERROR(INDEX('TRANS EMP EXTRACT - COST CENTRE'!$A$1:$Z$455,MATCH('Summary - Monthly'!$A73,'TRANS EMP EXTRACT - COST CENTRE'!$A:$A,0),MATCH('Summary - Monthly'!AE$3,'TRANS EMP EXTRACT - COST CENTRE'!$2:$2,0)),0)</f>
        <v>0</v>
      </c>
      <c r="AF73" s="13">
        <f>IFERROR(INDEX('TRANS EMP EXTRACT - COST CENTRE'!$A$1:$Z$455,MATCH('Summary - Monthly'!$A73,'TRANS EMP EXTRACT - COST CENTRE'!$A:$A,0),MATCH('Summary - Monthly'!AF$3,'TRANS EMP EXTRACT - COST CENTRE'!$2:$2,0)),0)</f>
        <v>0</v>
      </c>
      <c r="AG73" s="10">
        <f>IFERROR(INDEX('TRANS EMP EXTRACT - COST CENTRE'!$A$1:$Z$455,MATCH('Summary - Monthly'!$A73,'TRANS EMP EXTRACT - COST CENTRE'!$A:$A,0),MATCH('Summary - Monthly'!AG$3,'TRANS EMP EXTRACT - COST CENTRE'!$2:$2,0)),0)</f>
        <v>0</v>
      </c>
      <c r="AH73" s="10">
        <f>IFERROR(INDEX('TRANS EMP EXTRACT - COST CENTRE'!$A$1:$Z$455,MATCH('Summary - Monthly'!$A73,'TRANS EMP EXTRACT - COST CENTRE'!$A:$A,0),MATCH('Summary - Monthly'!AH$3,'TRANS EMP EXTRACT - COST CENTRE'!$2:$2,0)),0)</f>
        <v>0</v>
      </c>
      <c r="AI73" s="10">
        <f>IFERROR(INDEX('TRANS EMP EXTRACT - COST CENTRE'!$A$1:$Z$455,MATCH('Summary - Monthly'!$A73,'TRANS EMP EXTRACT - COST CENTRE'!$A:$A,0),MATCH('Summary - Monthly'!AI$3,'TRANS EMP EXTRACT - COST CENTRE'!$2:$2,0)),0)</f>
        <v>0</v>
      </c>
      <c r="AJ73" s="10">
        <f>IFERROR(INDEX('TRANS EMP EXTRACT - COST CENTRE'!$A$1:$Z$455,MATCH('Summary - Monthly'!$A73,'TRANS EMP EXTRACT - COST CENTRE'!$A:$A,0),MATCH('Summary - Monthly'!AJ$3,'TRANS EMP EXTRACT - COST CENTRE'!$2:$2,0)),0)</f>
        <v>0</v>
      </c>
      <c r="AK73" s="10">
        <f>IFERROR(INDEX('TRANS EMP EXTRACT - COST CENTRE'!$A$1:$Z$455,MATCH('Summary - Monthly'!$A73,'TRANS EMP EXTRACT - COST CENTRE'!$A:$A,0),MATCH('Summary - Monthly'!AK$3,'TRANS EMP EXTRACT - COST CENTRE'!$2:$2,0)),0)</f>
        <v>0</v>
      </c>
      <c r="AL73" s="10">
        <f>IFERROR(INDEX('TRANS EMP EXTRACT - COST CENTRE'!$A$1:$Z$455,MATCH('Summary - Monthly'!$A73,'TRANS EMP EXTRACT - COST CENTRE'!$A:$A,0),MATCH('Summary - Monthly'!AL$3,'TRANS EMP EXTRACT - COST CENTRE'!$2:$2,0)),0)</f>
        <v>0</v>
      </c>
      <c r="AM73" s="10">
        <f t="shared" si="9"/>
        <v>152</v>
      </c>
      <c r="AN73" s="14">
        <f t="shared" si="13"/>
        <v>0</v>
      </c>
      <c r="AO73" s="18">
        <f t="shared" si="18"/>
        <v>1</v>
      </c>
      <c r="AP73" s="18">
        <f t="shared" si="19"/>
        <v>0.70000000000000007</v>
      </c>
      <c r="AQ73" s="10" t="str">
        <f>IFERROR(VLOOKUP(B73,Departments!A:C,3,FALSE),"")</f>
        <v>Customer Care</v>
      </c>
      <c r="AR73" s="10" t="str">
        <f>IFERROR(VLOOKUP(B73,Departments!A:B,2,FALSE),"")</f>
        <v>Melb Customer Care</v>
      </c>
      <c r="AS73" s="10">
        <f t="shared" si="14"/>
        <v>0</v>
      </c>
      <c r="AT73" s="10">
        <f t="shared" si="15"/>
        <v>45.6</v>
      </c>
      <c r="AU73" s="10" t="str">
        <f>_xlfn.IFNA(VLOOKUP(B73,Departments!A:D,4,FALSE),"")</f>
        <v>Melb Customer Care</v>
      </c>
    </row>
    <row r="74" spans="1:47" ht="14.45" customHeight="1">
      <c r="A74" s="11" t="str">
        <f t="shared" si="16"/>
        <v>1201919918968</v>
      </c>
      <c r="B74" s="11">
        <f>'TRANS EMP EXTRACT - COST CENTRE'!B73</f>
        <v>12019199</v>
      </c>
      <c r="C74" s="10" t="str">
        <f>IFERROR(VLOOKUP(E74,'TRANS EMP EXTRACT - EMP CATEGOR'!A:B,2,FALSE),"")</f>
        <v>FT</v>
      </c>
      <c r="D74" s="10" t="str">
        <f>IFERROR(VLOOKUP(E74,'TRANS EMP EXTRACT - EMP CATEGOR'!A:C,3,FALSE),"")</f>
        <v>Fulltime</v>
      </c>
      <c r="E74" s="11">
        <f>'TRANS EMP EXTRACT - COST CENTRE'!D73</f>
        <v>18968</v>
      </c>
      <c r="F74" s="10" t="str">
        <f>IFERROR(VLOOKUP(E74,'TRANS EMP EXTRACT - COST CENTRE'!D:E,2,FALSE),"")</f>
        <v>LI  MATTHEW MR</v>
      </c>
      <c r="G74" s="12">
        <f>IFERROR(INDEX('TRANS EMP EXTRACT - COST CENTRE'!$A$1:$Z$455,MATCH('Summary - Monthly'!$A74,'TRANS EMP EXTRACT - COST CENTRE'!$A:$A,0),MATCH('Summary - Monthly'!G$3,'TRANS EMP EXTRACT - COST CENTRE'!$2:$2,0)),"")</f>
        <v>44440</v>
      </c>
      <c r="H74" s="10" t="str">
        <f>IFERROR(INDEX('TRANS EMP EXTRACT - COST CENTRE'!$B$1:$Z$455,MATCH('Summary - Monthly'!$E74,'TRANS EMP EXTRACT - COST CENTRE'!$D:$D,0),MATCH('Summary - Monthly'!H$3,'TRANS EMP EXTRACT - COST CENTRE'!$2:$2,0)),"")</f>
        <v>FN</v>
      </c>
      <c r="I74" s="12" t="str">
        <f>IFERROR(INDEX('TRANS EMP EXTRACT - EMP CATEGOR'!$B$1:$AF$421,MATCH('Summary - Monthly'!$E74,'TRANS EMP EXTRACT - EMP CATEGOR'!$D:$D,0),MATCH('Summary - Monthly'!H$3,'TRANS EMP EXTRACT - EMP CATEGOR'!$2:$2,0)),"")</f>
        <v>FN</v>
      </c>
      <c r="J74" s="41">
        <f t="shared" ca="1" si="12"/>
        <v>91.612300000000005</v>
      </c>
      <c r="K74" s="41">
        <f t="shared" ca="1" si="17"/>
        <v>113.9747</v>
      </c>
      <c r="L74" s="10">
        <f>IFERROR(INDEX('TRANS EMP EXTRACT - COST CENTRE'!$A$1:$Z$455,MATCH('Summary - Monthly'!$A74,'TRANS EMP EXTRACT - COST CENTRE'!$A:$A,0),MATCH('Summary - Monthly'!L$3,'TRANS EMP EXTRACT - COST CENTRE'!$2:$2,0)),"")</f>
        <v>151</v>
      </c>
      <c r="M74" s="10">
        <f>IFERROR(INDEX('TRANS EMP EXTRACT - COST CENTRE'!$A$1:$Z$455,MATCH('Summary - Monthly'!$A74,'TRANS EMP EXTRACT - COST CENTRE'!$A:$A,0),MATCH('Summary - Monthly'!M$3,'TRANS EMP EXTRACT - COST CENTRE'!$2:$2,0)),0)</f>
        <v>0</v>
      </c>
      <c r="N74" s="10">
        <f>IFERROR(INDEX('TRANS EMP EXTRACT - COST CENTRE'!$A$1:$Z$455,MATCH('Summary - Monthly'!$A74,'TRANS EMP EXTRACT - COST CENTRE'!$A:$A,0),MATCH('Summary - Monthly'!N$3,'TRANS EMP EXTRACT - COST CENTRE'!$2:$2,0)),0)</f>
        <v>0</v>
      </c>
      <c r="O74" s="10">
        <f>IFERROR(INDEX('TRANS EMP EXTRACT - COST CENTRE'!$A$1:$Z$455,MATCH('Summary - Monthly'!$A74,'TRANS EMP EXTRACT - COST CENTRE'!$A:$A,0),MATCH('Summary - Monthly'!O$3,'TRANS EMP EXTRACT - COST CENTRE'!$2:$2,0)),0)</f>
        <v>0</v>
      </c>
      <c r="P74" s="10">
        <f>IFERROR(INDEX('TRANS EMP EXTRACT - COST CENTRE'!$A$1:$Z$455,MATCH('Summary - Monthly'!$A74,'TRANS EMP EXTRACT - COST CENTRE'!$A:$A,0),MATCH('Summary - Monthly'!P$3,'TRANS EMP EXTRACT - COST CENTRE'!$2:$2,0)),0)</f>
        <v>0</v>
      </c>
      <c r="Q74" s="10">
        <f>IFERROR(INDEX('TRANS EMP EXTRACT - COST CENTRE'!$A$1:$Z$455,MATCH('Summary - Monthly'!$A74,'TRANS EMP EXTRACT - COST CENTRE'!$A:$A,0),MATCH('Summary - Monthly'!Q$3,'TRANS EMP EXTRACT - COST CENTRE'!$2:$2,0)),0)</f>
        <v>0</v>
      </c>
      <c r="R74" s="10">
        <f>IFERROR(INDEX('TRANS EMP EXTRACT - COST CENTRE'!$A$1:$Z$455,MATCH('Summary - Monthly'!$A74,'TRANS EMP EXTRACT - COST CENTRE'!$A:$A,0),MATCH('Summary - Monthly'!R$3,'TRANS EMP EXTRACT - COST CENTRE'!$2:$2,0)),0)</f>
        <v>0</v>
      </c>
      <c r="S74" s="10">
        <f>IFERROR(INDEX('TRANS EMP EXTRACT - COST CENTRE'!$A$1:$Z$455,MATCH('Summary - Monthly'!$A74,'TRANS EMP EXTRACT - COST CENTRE'!$A:$A,0),MATCH('Summary - Monthly'!S$3,'TRANS EMP EXTRACT - COST CENTRE'!$2:$2,0)),0)</f>
        <v>0</v>
      </c>
      <c r="T74" s="8">
        <f>IFERROR(INDEX('TRANS EMP EXTRACT - COST CENTRE'!$A$1:$Z$455,MATCH('Summary - Monthly'!$A74,'TRANS EMP EXTRACT - COST CENTRE'!$A:$A,0),MATCH('Summary - Monthly'!T$3,'TRANS EMP EXTRACT - COST CENTRE'!$2:$2,0)),0)</f>
        <v>0</v>
      </c>
      <c r="U74" s="13">
        <f>IFERROR(INDEX('TRANS EMP EXTRACT - COST CENTRE'!$A$1:$Z$455,MATCH('Summary - Monthly'!$A74,'TRANS EMP EXTRACT - COST CENTRE'!$A:$A,0),MATCH('Summary - Monthly'!U$3,'TRANS EMP EXTRACT - COST CENTRE'!$2:$2,0)),0)</f>
        <v>1</v>
      </c>
      <c r="V74" s="13">
        <f>IFERROR(INDEX('TRANS EMP EXTRACT - COST CENTRE'!$A$1:$Z$455,MATCH('Summary - Monthly'!$A74,'TRANS EMP EXTRACT - COST CENTRE'!$A:$A,0),MATCH('Summary - Monthly'!V$3,'TRANS EMP EXTRACT - COST CENTRE'!$2:$2,0)),0)</f>
        <v>0</v>
      </c>
      <c r="W74" s="13">
        <f>IFERROR(INDEX('TRANS EMP EXTRACT - COST CENTRE'!$A$1:$Z$455,MATCH('Summary - Monthly'!$A74,'TRANS EMP EXTRACT - COST CENTRE'!$A:$A,0),MATCH('Summary - Monthly'!W$3,'TRANS EMP EXTRACT - COST CENTRE'!$2:$2,0)),0)</f>
        <v>0</v>
      </c>
      <c r="X74" s="13">
        <f>IFERROR(INDEX('TRANS EMP EXTRACT - COST CENTRE'!$A$1:$Z$455,MATCH('Summary - Monthly'!$A74,'TRANS EMP EXTRACT - COST CENTRE'!$A:$A,0),MATCH('Summary - Monthly'!X$3,'TRANS EMP EXTRACT - COST CENTRE'!$2:$2,0)),0)</f>
        <v>0</v>
      </c>
      <c r="Y74" s="13">
        <f>IFERROR(INDEX('TRANS EMP EXTRACT - COST CENTRE'!$A$1:$Z$455,MATCH('Summary - Monthly'!$A74,'TRANS EMP EXTRACT - COST CENTRE'!$A:$A,0),MATCH('Summary - Monthly'!Y$3,'TRANS EMP EXTRACT - COST CENTRE'!$2:$2,0)),0)</f>
        <v>0</v>
      </c>
      <c r="Z74" s="10">
        <f>IFERROR(INDEX('TRANS EMP EXTRACT - COST CENTRE'!$A$1:$Z$455,MATCH('Summary - Monthly'!$A74,'TRANS EMP EXTRACT - COST CENTRE'!$A:$A,0),MATCH('Summary - Monthly'!Z$3,'TRANS EMP EXTRACT - COST CENTRE'!$2:$2,0)),0)</f>
        <v>0</v>
      </c>
      <c r="AA74" s="10">
        <f>IFERROR(INDEX('TRANS EMP EXTRACT - COST CENTRE'!$A$1:$Z$455,MATCH('Summary - Monthly'!$A74,'TRANS EMP EXTRACT - COST CENTRE'!$A:$A,0),MATCH('Summary - Monthly'!AA$3,'TRANS EMP EXTRACT - COST CENTRE'!$2:$2,0)),0)</f>
        <v>0</v>
      </c>
      <c r="AB74" s="10">
        <f>IFERROR(INDEX('TRANS EMP EXTRACT - COST CENTRE'!$A$1:$Z$455,MATCH('Summary - Monthly'!$A74,'TRANS EMP EXTRACT - COST CENTRE'!$A:$A,0),MATCH('Summary - Monthly'!AB$3,'TRANS EMP EXTRACT - COST CENTRE'!$2:$2,0)),0)</f>
        <v>0</v>
      </c>
      <c r="AC74" s="8">
        <f>IFERROR(INDEX('TRANS EMP EXTRACT - COST CENTRE'!$A$1:$Z$455,MATCH('Summary - Monthly'!$A74,'TRANS EMP EXTRACT - COST CENTRE'!$A:$A,0),MATCH('Summary - Monthly'!AC$3,'TRANS EMP EXTRACT - COST CENTRE'!$2:$2,0)),0)</f>
        <v>0</v>
      </c>
      <c r="AD74" s="13">
        <f>IFERROR(INDEX('TRANS EMP EXTRACT - COST CENTRE'!$A$1:$Z$455,MATCH('Summary - Monthly'!$A74,'TRANS EMP EXTRACT - COST CENTRE'!$A:$A,0),MATCH('Summary - Monthly'!AD$3,'TRANS EMP EXTRACT - COST CENTRE'!$2:$2,0)),0)</f>
        <v>0</v>
      </c>
      <c r="AE74" s="13">
        <f>IFERROR(INDEX('TRANS EMP EXTRACT - COST CENTRE'!$A$1:$Z$455,MATCH('Summary - Monthly'!$A74,'TRANS EMP EXTRACT - COST CENTRE'!$A:$A,0),MATCH('Summary - Monthly'!AE$3,'TRANS EMP EXTRACT - COST CENTRE'!$2:$2,0)),0)</f>
        <v>0</v>
      </c>
      <c r="AF74" s="13">
        <f>IFERROR(INDEX('TRANS EMP EXTRACT - COST CENTRE'!$A$1:$Z$455,MATCH('Summary - Monthly'!$A74,'TRANS EMP EXTRACT - COST CENTRE'!$A:$A,0),MATCH('Summary - Monthly'!AF$3,'TRANS EMP EXTRACT - COST CENTRE'!$2:$2,0)),0)</f>
        <v>0</v>
      </c>
      <c r="AG74" s="10">
        <f>IFERROR(INDEX('TRANS EMP EXTRACT - COST CENTRE'!$A$1:$Z$455,MATCH('Summary - Monthly'!$A74,'TRANS EMP EXTRACT - COST CENTRE'!$A:$A,0),MATCH('Summary - Monthly'!AG$3,'TRANS EMP EXTRACT - COST CENTRE'!$2:$2,0)),0)</f>
        <v>0</v>
      </c>
      <c r="AH74" s="10">
        <f>IFERROR(INDEX('TRANS EMP EXTRACT - COST CENTRE'!$A$1:$Z$455,MATCH('Summary - Monthly'!$A74,'TRANS EMP EXTRACT - COST CENTRE'!$A:$A,0),MATCH('Summary - Monthly'!AH$3,'TRANS EMP EXTRACT - COST CENTRE'!$2:$2,0)),0)</f>
        <v>0</v>
      </c>
      <c r="AI74" s="10">
        <f>IFERROR(INDEX('TRANS EMP EXTRACT - COST CENTRE'!$A$1:$Z$455,MATCH('Summary - Monthly'!$A74,'TRANS EMP EXTRACT - COST CENTRE'!$A:$A,0),MATCH('Summary - Monthly'!AI$3,'TRANS EMP EXTRACT - COST CENTRE'!$2:$2,0)),0)</f>
        <v>0</v>
      </c>
      <c r="AJ74" s="10">
        <f>IFERROR(INDEX('TRANS EMP EXTRACT - COST CENTRE'!$A$1:$Z$455,MATCH('Summary - Monthly'!$A74,'TRANS EMP EXTRACT - COST CENTRE'!$A:$A,0),MATCH('Summary - Monthly'!AJ$3,'TRANS EMP EXTRACT - COST CENTRE'!$2:$2,0)),0)</f>
        <v>0</v>
      </c>
      <c r="AK74" s="10">
        <f>IFERROR(INDEX('TRANS EMP EXTRACT - COST CENTRE'!$A$1:$Z$455,MATCH('Summary - Monthly'!$A74,'TRANS EMP EXTRACT - COST CENTRE'!$A:$A,0),MATCH('Summary - Monthly'!AK$3,'TRANS EMP EXTRACT - COST CENTRE'!$2:$2,0)),0)</f>
        <v>0</v>
      </c>
      <c r="AL74" s="10">
        <f>IFERROR(INDEX('TRANS EMP EXTRACT - COST CENTRE'!$A$1:$Z$455,MATCH('Summary - Monthly'!$A74,'TRANS EMP EXTRACT - COST CENTRE'!$A:$A,0),MATCH('Summary - Monthly'!AL$3,'TRANS EMP EXTRACT - COST CENTRE'!$2:$2,0)),0)</f>
        <v>0</v>
      </c>
      <c r="AM74" s="10">
        <f t="shared" si="9"/>
        <v>152</v>
      </c>
      <c r="AN74" s="14">
        <f t="shared" si="13"/>
        <v>0</v>
      </c>
      <c r="AO74" s="18">
        <f t="shared" si="18"/>
        <v>1</v>
      </c>
      <c r="AP74" s="18">
        <f t="shared" si="19"/>
        <v>0.99342105263157898</v>
      </c>
      <c r="AQ74" s="10" t="str">
        <f>IFERROR(VLOOKUP(B74,Departments!A:C,3,FALSE),"")</f>
        <v>G&amp;A</v>
      </c>
      <c r="AR74" s="10" t="str">
        <f>IFERROR(VLOOKUP(B74,Departments!A:B,2,FALSE),"")</f>
        <v>Finance</v>
      </c>
      <c r="AS74" s="10">
        <f t="shared" si="14"/>
        <v>0</v>
      </c>
      <c r="AT74" s="10">
        <f t="shared" si="15"/>
        <v>1</v>
      </c>
      <c r="AU74" s="10" t="str">
        <f>_xlfn.IFNA(VLOOKUP(B74,Departments!A:D,4,FALSE),"")</f>
        <v>G&amp;A</v>
      </c>
    </row>
    <row r="75" spans="1:47" ht="14.45" customHeight="1">
      <c r="A75" s="11" t="str">
        <f t="shared" si="16"/>
        <v>1203061118887</v>
      </c>
      <c r="B75" s="11">
        <f>'TRANS EMP EXTRACT - COST CENTRE'!B74</f>
        <v>12030611</v>
      </c>
      <c r="C75" s="10" t="str">
        <f>IFERROR(VLOOKUP(E75,'TRANS EMP EXTRACT - EMP CATEGOR'!A:B,2,FALSE),"")</f>
        <v>FT</v>
      </c>
      <c r="D75" s="10" t="str">
        <f>IFERROR(VLOOKUP(E75,'TRANS EMP EXTRACT - EMP CATEGOR'!A:C,3,FALSE),"")</f>
        <v>Fulltime</v>
      </c>
      <c r="E75" s="11">
        <f>'TRANS EMP EXTRACT - COST CENTRE'!D74</f>
        <v>18887</v>
      </c>
      <c r="F75" s="10" t="str">
        <f>IFERROR(VLOOKUP(E75,'TRANS EMP EXTRACT - COST CENTRE'!D:E,2,FALSE),"")</f>
        <v>LIN  LIN MISS</v>
      </c>
      <c r="G75" s="12">
        <f>IFERROR(INDEX('TRANS EMP EXTRACT - COST CENTRE'!$A$1:$Z$455,MATCH('Summary - Monthly'!$A75,'TRANS EMP EXTRACT - COST CENTRE'!$A:$A,0),MATCH('Summary - Monthly'!G$3,'TRANS EMP EXTRACT - COST CENTRE'!$2:$2,0)),"")</f>
        <v>43627</v>
      </c>
      <c r="H75" s="10" t="str">
        <f>IFERROR(INDEX('TRANS EMP EXTRACT - COST CENTRE'!$B$1:$Z$455,MATCH('Summary - Monthly'!$E75,'TRANS EMP EXTRACT - COST CENTRE'!$D:$D,0),MATCH('Summary - Monthly'!H$3,'TRANS EMP EXTRACT - COST CENTRE'!$2:$2,0)),"")</f>
        <v>RT</v>
      </c>
      <c r="I75" s="12" t="str">
        <f>IFERROR(INDEX('TRANS EMP EXTRACT - EMP CATEGOR'!$B$1:$AF$421,MATCH('Summary - Monthly'!$E75,'TRANS EMP EXTRACT - EMP CATEGOR'!$D:$D,0),MATCH('Summary - Monthly'!H$3,'TRANS EMP EXTRACT - EMP CATEGOR'!$2:$2,0)),"")</f>
        <v>RT</v>
      </c>
      <c r="J75" s="41">
        <f t="shared" ca="1" si="12"/>
        <v>123.7863</v>
      </c>
      <c r="K75" s="41">
        <f t="shared" ca="1" si="17"/>
        <v>285.57260000000002</v>
      </c>
      <c r="L75" s="10">
        <f>IFERROR(INDEX('TRANS EMP EXTRACT - COST CENTRE'!$A$1:$Z$455,MATCH('Summary - Monthly'!$A75,'TRANS EMP EXTRACT - COST CENTRE'!$A:$A,0),MATCH('Summary - Monthly'!L$3,'TRANS EMP EXTRACT - COST CENTRE'!$2:$2,0)),"")</f>
        <v>152</v>
      </c>
      <c r="M75" s="10">
        <f>IFERROR(INDEX('TRANS EMP EXTRACT - COST CENTRE'!$A$1:$Z$455,MATCH('Summary - Monthly'!$A75,'TRANS EMP EXTRACT - COST CENTRE'!$A:$A,0),MATCH('Summary - Monthly'!M$3,'TRANS EMP EXTRACT - COST CENTRE'!$2:$2,0)),0)</f>
        <v>0</v>
      </c>
      <c r="N75" s="10">
        <f>IFERROR(INDEX('TRANS EMP EXTRACT - COST CENTRE'!$A$1:$Z$455,MATCH('Summary - Monthly'!$A75,'TRANS EMP EXTRACT - COST CENTRE'!$A:$A,0),MATCH('Summary - Monthly'!N$3,'TRANS EMP EXTRACT - COST CENTRE'!$2:$2,0)),0)</f>
        <v>0</v>
      </c>
      <c r="O75" s="10">
        <f>IFERROR(INDEX('TRANS EMP EXTRACT - COST CENTRE'!$A$1:$Z$455,MATCH('Summary - Monthly'!$A75,'TRANS EMP EXTRACT - COST CENTRE'!$A:$A,0),MATCH('Summary - Monthly'!O$3,'TRANS EMP EXTRACT - COST CENTRE'!$2:$2,0)),0)</f>
        <v>0</v>
      </c>
      <c r="P75" s="10">
        <f>IFERROR(INDEX('TRANS EMP EXTRACT - COST CENTRE'!$A$1:$Z$455,MATCH('Summary - Monthly'!$A75,'TRANS EMP EXTRACT - COST CENTRE'!$A:$A,0),MATCH('Summary - Monthly'!P$3,'TRANS EMP EXTRACT - COST CENTRE'!$2:$2,0)),0)</f>
        <v>0</v>
      </c>
      <c r="Q75" s="10">
        <f>IFERROR(INDEX('TRANS EMP EXTRACT - COST CENTRE'!$A$1:$Z$455,MATCH('Summary - Monthly'!$A75,'TRANS EMP EXTRACT - COST CENTRE'!$A:$A,0),MATCH('Summary - Monthly'!Q$3,'TRANS EMP EXTRACT - COST CENTRE'!$2:$2,0)),0)</f>
        <v>38.1</v>
      </c>
      <c r="R75" s="10">
        <f>IFERROR(INDEX('TRANS EMP EXTRACT - COST CENTRE'!$A$1:$Z$455,MATCH('Summary - Monthly'!$A75,'TRANS EMP EXTRACT - COST CENTRE'!$A:$A,0),MATCH('Summary - Monthly'!R$3,'TRANS EMP EXTRACT - COST CENTRE'!$2:$2,0)),0)</f>
        <v>11.183299999999999</v>
      </c>
      <c r="S75" s="10">
        <f>IFERROR(INDEX('TRANS EMP EXTRACT - COST CENTRE'!$A$1:$Z$455,MATCH('Summary - Monthly'!$A75,'TRANS EMP EXTRACT - COST CENTRE'!$A:$A,0),MATCH('Summary - Monthly'!S$3,'TRANS EMP EXTRACT - COST CENTRE'!$2:$2,0)),0)</f>
        <v>0</v>
      </c>
      <c r="T75" s="8">
        <f>IFERROR(INDEX('TRANS EMP EXTRACT - COST CENTRE'!$A$1:$Z$455,MATCH('Summary - Monthly'!$A75,'TRANS EMP EXTRACT - COST CENTRE'!$A:$A,0),MATCH('Summary - Monthly'!T$3,'TRANS EMP EXTRACT - COST CENTRE'!$2:$2,0)),0)</f>
        <v>0</v>
      </c>
      <c r="U75" s="13">
        <f>IFERROR(INDEX('TRANS EMP EXTRACT - COST CENTRE'!$A$1:$Z$455,MATCH('Summary - Monthly'!$A75,'TRANS EMP EXTRACT - COST CENTRE'!$A:$A,0),MATCH('Summary - Monthly'!U$3,'TRANS EMP EXTRACT - COST CENTRE'!$2:$2,0)),0)</f>
        <v>0</v>
      </c>
      <c r="V75" s="13">
        <f>IFERROR(INDEX('TRANS EMP EXTRACT - COST CENTRE'!$A$1:$Z$455,MATCH('Summary - Monthly'!$A75,'TRANS EMP EXTRACT - COST CENTRE'!$A:$A,0),MATCH('Summary - Monthly'!V$3,'TRANS EMP EXTRACT - COST CENTRE'!$2:$2,0)),0)</f>
        <v>0</v>
      </c>
      <c r="W75" s="13">
        <f>IFERROR(INDEX('TRANS EMP EXTRACT - COST CENTRE'!$A$1:$Z$455,MATCH('Summary - Monthly'!$A75,'TRANS EMP EXTRACT - COST CENTRE'!$A:$A,0),MATCH('Summary - Monthly'!W$3,'TRANS EMP EXTRACT - COST CENTRE'!$2:$2,0)),0)</f>
        <v>0</v>
      </c>
      <c r="X75" s="13">
        <f>IFERROR(INDEX('TRANS EMP EXTRACT - COST CENTRE'!$A$1:$Z$455,MATCH('Summary - Monthly'!$A75,'TRANS EMP EXTRACT - COST CENTRE'!$A:$A,0),MATCH('Summary - Monthly'!X$3,'TRANS EMP EXTRACT - COST CENTRE'!$2:$2,0)),0)</f>
        <v>0</v>
      </c>
      <c r="Y75" s="13">
        <f>IFERROR(INDEX('TRANS EMP EXTRACT - COST CENTRE'!$A$1:$Z$455,MATCH('Summary - Monthly'!$A75,'TRANS EMP EXTRACT - COST CENTRE'!$A:$A,0),MATCH('Summary - Monthly'!Y$3,'TRANS EMP EXTRACT - COST CENTRE'!$2:$2,0)),0)</f>
        <v>0</v>
      </c>
      <c r="Z75" s="10">
        <f>IFERROR(INDEX('TRANS EMP EXTRACT - COST CENTRE'!$A$1:$Z$455,MATCH('Summary - Monthly'!$A75,'TRANS EMP EXTRACT - COST CENTRE'!$A:$A,0),MATCH('Summary - Monthly'!Z$3,'TRANS EMP EXTRACT - COST CENTRE'!$2:$2,0)),0)</f>
        <v>0</v>
      </c>
      <c r="AA75" s="10">
        <f>IFERROR(INDEX('TRANS EMP EXTRACT - COST CENTRE'!$A$1:$Z$455,MATCH('Summary - Monthly'!$A75,'TRANS EMP EXTRACT - COST CENTRE'!$A:$A,0),MATCH('Summary - Monthly'!AA$3,'TRANS EMP EXTRACT - COST CENTRE'!$2:$2,0)),0)</f>
        <v>0</v>
      </c>
      <c r="AB75" s="10">
        <f>IFERROR(INDEX('TRANS EMP EXTRACT - COST CENTRE'!$A$1:$Z$455,MATCH('Summary - Monthly'!$A75,'TRANS EMP EXTRACT - COST CENTRE'!$A:$A,0),MATCH('Summary - Monthly'!AB$3,'TRANS EMP EXTRACT - COST CENTRE'!$2:$2,0)),0)</f>
        <v>0</v>
      </c>
      <c r="AC75" s="8">
        <f>IFERROR(INDEX('TRANS EMP EXTRACT - COST CENTRE'!$A$1:$Z$455,MATCH('Summary - Monthly'!$A75,'TRANS EMP EXTRACT - COST CENTRE'!$A:$A,0),MATCH('Summary - Monthly'!AC$3,'TRANS EMP EXTRACT - COST CENTRE'!$2:$2,0)),0)</f>
        <v>0</v>
      </c>
      <c r="AD75" s="13">
        <f>IFERROR(INDEX('TRANS EMP EXTRACT - COST CENTRE'!$A$1:$Z$455,MATCH('Summary - Monthly'!$A75,'TRANS EMP EXTRACT - COST CENTRE'!$A:$A,0),MATCH('Summary - Monthly'!AD$3,'TRANS EMP EXTRACT - COST CENTRE'!$2:$2,0)),0)</f>
        <v>0</v>
      </c>
      <c r="AE75" s="13">
        <f>IFERROR(INDEX('TRANS EMP EXTRACT - COST CENTRE'!$A$1:$Z$455,MATCH('Summary - Monthly'!$A75,'TRANS EMP EXTRACT - COST CENTRE'!$A:$A,0),MATCH('Summary - Monthly'!AE$3,'TRANS EMP EXTRACT - COST CENTRE'!$2:$2,0)),0)</f>
        <v>0</v>
      </c>
      <c r="AF75" s="13">
        <f>IFERROR(INDEX('TRANS EMP EXTRACT - COST CENTRE'!$A$1:$Z$455,MATCH('Summary - Monthly'!$A75,'TRANS EMP EXTRACT - COST CENTRE'!$A:$A,0),MATCH('Summary - Monthly'!AF$3,'TRANS EMP EXTRACT - COST CENTRE'!$2:$2,0)),0)</f>
        <v>0</v>
      </c>
      <c r="AG75" s="10">
        <f>IFERROR(INDEX('TRANS EMP EXTRACT - COST CENTRE'!$A$1:$Z$455,MATCH('Summary - Monthly'!$A75,'TRANS EMP EXTRACT - COST CENTRE'!$A:$A,0),MATCH('Summary - Monthly'!AG$3,'TRANS EMP EXTRACT - COST CENTRE'!$2:$2,0)),0)</f>
        <v>0</v>
      </c>
      <c r="AH75" s="10">
        <f>IFERROR(INDEX('TRANS EMP EXTRACT - COST CENTRE'!$A$1:$Z$455,MATCH('Summary - Monthly'!$A75,'TRANS EMP EXTRACT - COST CENTRE'!$A:$A,0),MATCH('Summary - Monthly'!AH$3,'TRANS EMP EXTRACT - COST CENTRE'!$2:$2,0)),0)</f>
        <v>0</v>
      </c>
      <c r="AI75" s="10">
        <f>IFERROR(INDEX('TRANS EMP EXTRACT - COST CENTRE'!$A$1:$Z$455,MATCH('Summary - Monthly'!$A75,'TRANS EMP EXTRACT - COST CENTRE'!$A:$A,0),MATCH('Summary - Monthly'!AI$3,'TRANS EMP EXTRACT - COST CENTRE'!$2:$2,0)),0)</f>
        <v>0</v>
      </c>
      <c r="AJ75" s="10">
        <f>IFERROR(INDEX('TRANS EMP EXTRACT - COST CENTRE'!$A$1:$Z$455,MATCH('Summary - Monthly'!$A75,'TRANS EMP EXTRACT - COST CENTRE'!$A:$A,0),MATCH('Summary - Monthly'!AJ$3,'TRANS EMP EXTRACT - COST CENTRE'!$2:$2,0)),0)</f>
        <v>0</v>
      </c>
      <c r="AK75" s="10">
        <f>IFERROR(INDEX('TRANS EMP EXTRACT - COST CENTRE'!$A$1:$Z$455,MATCH('Summary - Monthly'!$A75,'TRANS EMP EXTRACT - COST CENTRE'!$A:$A,0),MATCH('Summary - Monthly'!AK$3,'TRANS EMP EXTRACT - COST CENTRE'!$2:$2,0)),0)</f>
        <v>0</v>
      </c>
      <c r="AL75" s="10">
        <f>IFERROR(INDEX('TRANS EMP EXTRACT - COST CENTRE'!$A$1:$Z$455,MATCH('Summary - Monthly'!$A75,'TRANS EMP EXTRACT - COST CENTRE'!$A:$A,0),MATCH('Summary - Monthly'!AL$3,'TRANS EMP EXTRACT - COST CENTRE'!$2:$2,0)),0)</f>
        <v>0</v>
      </c>
      <c r="AM75" s="10">
        <f t="shared" si="9"/>
        <v>201.2833</v>
      </c>
      <c r="AN75" s="14">
        <f t="shared" si="13"/>
        <v>0.32423223684210523</v>
      </c>
      <c r="AO75" s="18">
        <f t="shared" si="18"/>
        <v>1.3242322368421053</v>
      </c>
      <c r="AP75" s="18">
        <f t="shared" si="19"/>
        <v>1.3242322368421053</v>
      </c>
      <c r="AQ75" s="10" t="str">
        <f>IFERROR(VLOOKUP(B75,Departments!A:C,3,FALSE),"")</f>
        <v>Microbiology</v>
      </c>
      <c r="AR75" s="10" t="str">
        <f>IFERROR(VLOOKUP(B75,Departments!A:B,2,FALSE),"")</f>
        <v>Melb Micro</v>
      </c>
      <c r="AS75" s="10">
        <f t="shared" si="14"/>
        <v>0</v>
      </c>
      <c r="AT75" s="10">
        <f t="shared" si="15"/>
        <v>0</v>
      </c>
      <c r="AU75" s="10" t="str">
        <f>_xlfn.IFNA(VLOOKUP(B75,Departments!A:D,4,FALSE),"")</f>
        <v>Melbourne Micro</v>
      </c>
    </row>
    <row r="76" spans="1:47" ht="14.45" customHeight="1">
      <c r="A76" s="11" t="str">
        <f t="shared" si="16"/>
        <v>12060611261</v>
      </c>
      <c r="B76" s="11">
        <f>'TRANS EMP EXTRACT - COST CENTRE'!B75</f>
        <v>12060611</v>
      </c>
      <c r="C76" s="10" t="str">
        <f>IFERROR(VLOOKUP(E76,'TRANS EMP EXTRACT - EMP CATEGOR'!A:B,2,FALSE),"")</f>
        <v>FT</v>
      </c>
      <c r="D76" s="10" t="str">
        <f>IFERROR(VLOOKUP(E76,'TRANS EMP EXTRACT - EMP CATEGOR'!A:C,3,FALSE),"")</f>
        <v>Fulltime</v>
      </c>
      <c r="E76" s="11">
        <f>'TRANS EMP EXTRACT - COST CENTRE'!D75</f>
        <v>261</v>
      </c>
      <c r="F76" s="10" t="str">
        <f>IFERROR(VLOOKUP(E76,'TRANS EMP EXTRACT - COST CENTRE'!D:E,2,FALSE),"")</f>
        <v>MARKOSKA  KATERINA MRS</v>
      </c>
      <c r="G76" s="12">
        <f>IFERROR(INDEX('TRANS EMP EXTRACT - COST CENTRE'!$A$1:$Z$455,MATCH('Summary - Monthly'!$A76,'TRANS EMP EXTRACT - COST CENTRE'!$A:$A,0),MATCH('Summary - Monthly'!G$3,'TRANS EMP EXTRACT - COST CENTRE'!$2:$2,0)),"")</f>
        <v>39449</v>
      </c>
      <c r="H76" s="10" t="str">
        <f>IFERROR(INDEX('TRANS EMP EXTRACT - COST CENTRE'!$B$1:$Z$455,MATCH('Summary - Monthly'!$E76,'TRANS EMP EXTRACT - COST CENTRE'!$D:$D,0),MATCH('Summary - Monthly'!H$3,'TRANS EMP EXTRACT - COST CENTRE'!$2:$2,0)),"")</f>
        <v>RT</v>
      </c>
      <c r="I76" s="12" t="str">
        <f>IFERROR(INDEX('TRANS EMP EXTRACT - EMP CATEGOR'!$B$1:$AF$421,MATCH('Summary - Monthly'!$E76,'TRANS EMP EXTRACT - EMP CATEGOR'!$D:$D,0),MATCH('Summary - Monthly'!H$3,'TRANS EMP EXTRACT - EMP CATEGOR'!$2:$2,0)),"")</f>
        <v>RT</v>
      </c>
      <c r="J76" s="41">
        <f t="shared" ca="1" si="12"/>
        <v>144.07910000000001</v>
      </c>
      <c r="K76" s="41">
        <f t="shared" ca="1" si="17"/>
        <v>188.28980000000001</v>
      </c>
      <c r="L76" s="10">
        <f>IFERROR(INDEX('TRANS EMP EXTRACT - COST CENTRE'!$A$1:$Z$455,MATCH('Summary - Monthly'!$A76,'TRANS EMP EXTRACT - COST CENTRE'!$A:$A,0),MATCH('Summary - Monthly'!L$3,'TRANS EMP EXTRACT - COST CENTRE'!$2:$2,0)),"")</f>
        <v>152</v>
      </c>
      <c r="M76" s="10">
        <f>IFERROR(INDEX('TRANS EMP EXTRACT - COST CENTRE'!$A$1:$Z$455,MATCH('Summary - Monthly'!$A76,'TRANS EMP EXTRACT - COST CENTRE'!$A:$A,0),MATCH('Summary - Monthly'!M$3,'TRANS EMP EXTRACT - COST CENTRE'!$2:$2,0)),0)</f>
        <v>0</v>
      </c>
      <c r="N76" s="10">
        <f>IFERROR(INDEX('TRANS EMP EXTRACT - COST CENTRE'!$A$1:$Z$455,MATCH('Summary - Monthly'!$A76,'TRANS EMP EXTRACT - COST CENTRE'!$A:$A,0),MATCH('Summary - Monthly'!N$3,'TRANS EMP EXTRACT - COST CENTRE'!$2:$2,0)),0)</f>
        <v>0</v>
      </c>
      <c r="O76" s="10">
        <f>IFERROR(INDEX('TRANS EMP EXTRACT - COST CENTRE'!$A$1:$Z$455,MATCH('Summary - Monthly'!$A76,'TRANS EMP EXTRACT - COST CENTRE'!$A:$A,0),MATCH('Summary - Monthly'!O$3,'TRANS EMP EXTRACT - COST CENTRE'!$2:$2,0)),0)</f>
        <v>0</v>
      </c>
      <c r="P76" s="10">
        <f>IFERROR(INDEX('TRANS EMP EXTRACT - COST CENTRE'!$A$1:$Z$455,MATCH('Summary - Monthly'!$A76,'TRANS EMP EXTRACT - COST CENTRE'!$A:$A,0),MATCH('Summary - Monthly'!P$3,'TRANS EMP EXTRACT - COST CENTRE'!$2:$2,0)),0)</f>
        <v>0</v>
      </c>
      <c r="Q76" s="10">
        <f>IFERROR(INDEX('TRANS EMP EXTRACT - COST CENTRE'!$A$1:$Z$455,MATCH('Summary - Monthly'!$A76,'TRANS EMP EXTRACT - COST CENTRE'!$A:$A,0),MATCH('Summary - Monthly'!Q$3,'TRANS EMP EXTRACT - COST CENTRE'!$2:$2,0)),0)</f>
        <v>0</v>
      </c>
      <c r="R76" s="10">
        <f>IFERROR(INDEX('TRANS EMP EXTRACT - COST CENTRE'!$A$1:$Z$455,MATCH('Summary - Monthly'!$A76,'TRANS EMP EXTRACT - COST CENTRE'!$A:$A,0),MATCH('Summary - Monthly'!R$3,'TRANS EMP EXTRACT - COST CENTRE'!$2:$2,0)),0)</f>
        <v>0</v>
      </c>
      <c r="S76" s="10">
        <f>IFERROR(INDEX('TRANS EMP EXTRACT - COST CENTRE'!$A$1:$Z$455,MATCH('Summary - Monthly'!$A76,'TRANS EMP EXTRACT - COST CENTRE'!$A:$A,0),MATCH('Summary - Monthly'!S$3,'TRANS EMP EXTRACT - COST CENTRE'!$2:$2,0)),0)</f>
        <v>0</v>
      </c>
      <c r="T76" s="8">
        <f>IFERROR(INDEX('TRANS EMP EXTRACT - COST CENTRE'!$A$1:$Z$455,MATCH('Summary - Monthly'!$A76,'TRANS EMP EXTRACT - COST CENTRE'!$A:$A,0),MATCH('Summary - Monthly'!T$3,'TRANS EMP EXTRACT - COST CENTRE'!$2:$2,0)),0)</f>
        <v>0</v>
      </c>
      <c r="U76" s="13">
        <f>IFERROR(INDEX('TRANS EMP EXTRACT - COST CENTRE'!$A$1:$Z$455,MATCH('Summary - Monthly'!$A76,'TRANS EMP EXTRACT - COST CENTRE'!$A:$A,0),MATCH('Summary - Monthly'!U$3,'TRANS EMP EXTRACT - COST CENTRE'!$2:$2,0)),0)</f>
        <v>0</v>
      </c>
      <c r="V76" s="13">
        <f>IFERROR(INDEX('TRANS EMP EXTRACT - COST CENTRE'!$A$1:$Z$455,MATCH('Summary - Monthly'!$A76,'TRANS EMP EXTRACT - COST CENTRE'!$A:$A,0),MATCH('Summary - Monthly'!V$3,'TRANS EMP EXTRACT - COST CENTRE'!$2:$2,0)),0)</f>
        <v>0</v>
      </c>
      <c r="W76" s="13">
        <f>IFERROR(INDEX('TRANS EMP EXTRACT - COST CENTRE'!$A$1:$Z$455,MATCH('Summary - Monthly'!$A76,'TRANS EMP EXTRACT - COST CENTRE'!$A:$A,0),MATCH('Summary - Monthly'!W$3,'TRANS EMP EXTRACT - COST CENTRE'!$2:$2,0)),0)</f>
        <v>0</v>
      </c>
      <c r="X76" s="13">
        <f>IFERROR(INDEX('TRANS EMP EXTRACT - COST CENTRE'!$A$1:$Z$455,MATCH('Summary - Monthly'!$A76,'TRANS EMP EXTRACT - COST CENTRE'!$A:$A,0),MATCH('Summary - Monthly'!X$3,'TRANS EMP EXTRACT - COST CENTRE'!$2:$2,0)),0)</f>
        <v>0</v>
      </c>
      <c r="Y76" s="13">
        <f>IFERROR(INDEX('TRANS EMP EXTRACT - COST CENTRE'!$A$1:$Z$455,MATCH('Summary - Monthly'!$A76,'TRANS EMP EXTRACT - COST CENTRE'!$A:$A,0),MATCH('Summary - Monthly'!Y$3,'TRANS EMP EXTRACT - COST CENTRE'!$2:$2,0)),0)</f>
        <v>0</v>
      </c>
      <c r="Z76" s="10">
        <f>IFERROR(INDEX('TRANS EMP EXTRACT - COST CENTRE'!$A$1:$Z$455,MATCH('Summary - Monthly'!$A76,'TRANS EMP EXTRACT - COST CENTRE'!$A:$A,0),MATCH('Summary - Monthly'!Z$3,'TRANS EMP EXTRACT - COST CENTRE'!$2:$2,0)),0)</f>
        <v>0</v>
      </c>
      <c r="AA76" s="10">
        <f>IFERROR(INDEX('TRANS EMP EXTRACT - COST CENTRE'!$A$1:$Z$455,MATCH('Summary - Monthly'!$A76,'TRANS EMP EXTRACT - COST CENTRE'!$A:$A,0),MATCH('Summary - Monthly'!AA$3,'TRANS EMP EXTRACT - COST CENTRE'!$2:$2,0)),0)</f>
        <v>0</v>
      </c>
      <c r="AB76" s="10">
        <f>IFERROR(INDEX('TRANS EMP EXTRACT - COST CENTRE'!$A$1:$Z$455,MATCH('Summary - Monthly'!$A76,'TRANS EMP EXTRACT - COST CENTRE'!$A:$A,0),MATCH('Summary - Monthly'!AB$3,'TRANS EMP EXTRACT - COST CENTRE'!$2:$2,0)),0)</f>
        <v>0</v>
      </c>
      <c r="AC76" s="8">
        <f>IFERROR(INDEX('TRANS EMP EXTRACT - COST CENTRE'!$A$1:$Z$455,MATCH('Summary - Monthly'!$A76,'TRANS EMP EXTRACT - COST CENTRE'!$A:$A,0),MATCH('Summary - Monthly'!AC$3,'TRANS EMP EXTRACT - COST CENTRE'!$2:$2,0)),0)</f>
        <v>0</v>
      </c>
      <c r="AD76" s="13">
        <f>IFERROR(INDEX('TRANS EMP EXTRACT - COST CENTRE'!$A$1:$Z$455,MATCH('Summary - Monthly'!$A76,'TRANS EMP EXTRACT - COST CENTRE'!$A:$A,0),MATCH('Summary - Monthly'!AD$3,'TRANS EMP EXTRACT - COST CENTRE'!$2:$2,0)),0)</f>
        <v>0</v>
      </c>
      <c r="AE76" s="13">
        <f>IFERROR(INDEX('TRANS EMP EXTRACT - COST CENTRE'!$A$1:$Z$455,MATCH('Summary - Monthly'!$A76,'TRANS EMP EXTRACT - COST CENTRE'!$A:$A,0),MATCH('Summary - Monthly'!AE$3,'TRANS EMP EXTRACT - COST CENTRE'!$2:$2,0)),0)</f>
        <v>0</v>
      </c>
      <c r="AF76" s="13">
        <f>IFERROR(INDEX('TRANS EMP EXTRACT - COST CENTRE'!$A$1:$Z$455,MATCH('Summary - Monthly'!$A76,'TRANS EMP EXTRACT - COST CENTRE'!$A:$A,0),MATCH('Summary - Monthly'!AF$3,'TRANS EMP EXTRACT - COST CENTRE'!$2:$2,0)),0)</f>
        <v>0</v>
      </c>
      <c r="AG76" s="10">
        <f>IFERROR(INDEX('TRANS EMP EXTRACT - COST CENTRE'!$A$1:$Z$455,MATCH('Summary - Monthly'!$A76,'TRANS EMP EXTRACT - COST CENTRE'!$A:$A,0),MATCH('Summary - Monthly'!AG$3,'TRANS EMP EXTRACT - COST CENTRE'!$2:$2,0)),0)</f>
        <v>0</v>
      </c>
      <c r="AH76" s="10">
        <f>IFERROR(INDEX('TRANS EMP EXTRACT - COST CENTRE'!$A$1:$Z$455,MATCH('Summary - Monthly'!$A76,'TRANS EMP EXTRACT - COST CENTRE'!$A:$A,0),MATCH('Summary - Monthly'!AH$3,'TRANS EMP EXTRACT - COST CENTRE'!$2:$2,0)),0)</f>
        <v>0</v>
      </c>
      <c r="AI76" s="10">
        <f>IFERROR(INDEX('TRANS EMP EXTRACT - COST CENTRE'!$A$1:$Z$455,MATCH('Summary - Monthly'!$A76,'TRANS EMP EXTRACT - COST CENTRE'!$A:$A,0),MATCH('Summary - Monthly'!AI$3,'TRANS EMP EXTRACT - COST CENTRE'!$2:$2,0)),0)</f>
        <v>0</v>
      </c>
      <c r="AJ76" s="10">
        <f>IFERROR(INDEX('TRANS EMP EXTRACT - COST CENTRE'!$A$1:$Z$455,MATCH('Summary - Monthly'!$A76,'TRANS EMP EXTRACT - COST CENTRE'!$A:$A,0),MATCH('Summary - Monthly'!AJ$3,'TRANS EMP EXTRACT - COST CENTRE'!$2:$2,0)),0)</f>
        <v>0</v>
      </c>
      <c r="AK76" s="10">
        <f>IFERROR(INDEX('TRANS EMP EXTRACT - COST CENTRE'!$A$1:$Z$455,MATCH('Summary - Monthly'!$A76,'TRANS EMP EXTRACT - COST CENTRE'!$A:$A,0),MATCH('Summary - Monthly'!AK$3,'TRANS EMP EXTRACT - COST CENTRE'!$2:$2,0)),0)</f>
        <v>0</v>
      </c>
      <c r="AL76" s="10">
        <f>IFERROR(INDEX('TRANS EMP EXTRACT - COST CENTRE'!$A$1:$Z$455,MATCH('Summary - Monthly'!$A76,'TRANS EMP EXTRACT - COST CENTRE'!$A:$A,0),MATCH('Summary - Monthly'!AL$3,'TRANS EMP EXTRACT - COST CENTRE'!$2:$2,0)),0)</f>
        <v>0</v>
      </c>
      <c r="AM76" s="10">
        <f t="shared" si="9"/>
        <v>152</v>
      </c>
      <c r="AN76" s="14">
        <f t="shared" si="13"/>
        <v>0</v>
      </c>
      <c r="AO76" s="18">
        <f t="shared" si="18"/>
        <v>1</v>
      </c>
      <c r="AP76" s="18">
        <f t="shared" si="19"/>
        <v>1</v>
      </c>
      <c r="AQ76" s="10" t="str">
        <f>IFERROR(VLOOKUP(B76,Departments!A:C,3,FALSE),"")</f>
        <v>Microbiology</v>
      </c>
      <c r="AR76" s="10" t="str">
        <f>IFERROR(VLOOKUP(B76,Departments!A:B,2,FALSE),"")</f>
        <v>Perth Micro</v>
      </c>
      <c r="AS76" s="10">
        <f t="shared" si="14"/>
        <v>0</v>
      </c>
      <c r="AT76" s="10">
        <f t="shared" si="15"/>
        <v>0</v>
      </c>
      <c r="AU76" s="10" t="str">
        <f>_xlfn.IFNA(VLOOKUP(B76,Departments!A:D,4,FALSE),"")</f>
        <v>Perth Micro</v>
      </c>
    </row>
    <row r="77" spans="1:47" ht="14.45" customHeight="1">
      <c r="A77" s="11" t="str">
        <f t="shared" si="16"/>
        <v>1203301119050</v>
      </c>
      <c r="B77" s="11">
        <f>'TRANS EMP EXTRACT - COST CENTRE'!B76</f>
        <v>12033011</v>
      </c>
      <c r="C77" s="10" t="str">
        <f>IFERROR(VLOOKUP(E77,'TRANS EMP EXTRACT - EMP CATEGOR'!A:B,2,FALSE),"")</f>
        <v>CAS</v>
      </c>
      <c r="D77" s="10" t="str">
        <f>IFERROR(VLOOKUP(E77,'TRANS EMP EXTRACT - EMP CATEGOR'!A:C,3,FALSE),"")</f>
        <v>Casual RL</v>
      </c>
      <c r="E77" s="11">
        <f>'TRANS EMP EXTRACT - COST CENTRE'!D76</f>
        <v>19050</v>
      </c>
      <c r="F77" s="10" t="str">
        <f>IFERROR(VLOOKUP(E77,'TRANS EMP EXTRACT - COST CENTRE'!D:E,2,FALSE),"")</f>
        <v>MATTUPALLI  MADHAVI MRS</v>
      </c>
      <c r="G77" s="12">
        <f>IFERROR(INDEX('TRANS EMP EXTRACT - COST CENTRE'!$A$1:$Z$455,MATCH('Summary - Monthly'!$A77,'TRANS EMP EXTRACT - COST CENTRE'!$A:$A,0),MATCH('Summary - Monthly'!G$3,'TRANS EMP EXTRACT - COST CENTRE'!$2:$2,0)),"")</f>
        <v>44902</v>
      </c>
      <c r="H77" s="10" t="str">
        <f>IFERROR(INDEX('TRANS EMP EXTRACT - COST CENTRE'!$B$1:$Z$455,MATCH('Summary - Monthly'!$E77,'TRANS EMP EXTRACT - COST CENTRE'!$D:$D,0),MATCH('Summary - Monthly'!H$3,'TRANS EMP EXTRACT - COST CENTRE'!$2:$2,0)),"")</f>
        <v>FN</v>
      </c>
      <c r="I77" s="12" t="str">
        <f>IFERROR(INDEX('TRANS EMP EXTRACT - EMP CATEGOR'!$B$1:$AF$421,MATCH('Summary - Monthly'!$E77,'TRANS EMP EXTRACT - EMP CATEGOR'!$D:$D,0),MATCH('Summary - Monthly'!H$3,'TRANS EMP EXTRACT - EMP CATEGOR'!$2:$2,0)),"")</f>
        <v>FN</v>
      </c>
      <c r="J77" s="41">
        <f t="shared" ca="1" si="12"/>
        <v>0</v>
      </c>
      <c r="K77" s="41">
        <f t="shared" ca="1" si="17"/>
        <v>0</v>
      </c>
      <c r="L77" s="10">
        <f>IFERROR(INDEX('TRANS EMP EXTRACT - COST CENTRE'!$A$1:$Z$455,MATCH('Summary - Monthly'!$A77,'TRANS EMP EXTRACT - COST CENTRE'!$A:$A,0),MATCH('Summary - Monthly'!L$3,'TRANS EMP EXTRACT - COST CENTRE'!$2:$2,0)),"")</f>
        <v>0</v>
      </c>
      <c r="M77" s="10">
        <f>IFERROR(INDEX('TRANS EMP EXTRACT - COST CENTRE'!$A$1:$Z$455,MATCH('Summary - Monthly'!$A77,'TRANS EMP EXTRACT - COST CENTRE'!$A:$A,0),MATCH('Summary - Monthly'!M$3,'TRANS EMP EXTRACT - COST CENTRE'!$2:$2,0)),0)</f>
        <v>0</v>
      </c>
      <c r="N77" s="10">
        <f>IFERROR(INDEX('TRANS EMP EXTRACT - COST CENTRE'!$A$1:$Z$455,MATCH('Summary - Monthly'!$A77,'TRANS EMP EXTRACT - COST CENTRE'!$A:$A,0),MATCH('Summary - Monthly'!N$3,'TRANS EMP EXTRACT - COST CENTRE'!$2:$2,0)),0)</f>
        <v>22.3</v>
      </c>
      <c r="O77" s="10">
        <f>IFERROR(INDEX('TRANS EMP EXTRACT - COST CENTRE'!$A$1:$Z$455,MATCH('Summary - Monthly'!$A77,'TRANS EMP EXTRACT - COST CENTRE'!$A:$A,0),MATCH('Summary - Monthly'!O$3,'TRANS EMP EXTRACT - COST CENTRE'!$2:$2,0)),0)</f>
        <v>0</v>
      </c>
      <c r="P77" s="10">
        <f>IFERROR(INDEX('TRANS EMP EXTRACT - COST CENTRE'!$A$1:$Z$455,MATCH('Summary - Monthly'!$A77,'TRANS EMP EXTRACT - COST CENTRE'!$A:$A,0),MATCH('Summary - Monthly'!P$3,'TRANS EMP EXTRACT - COST CENTRE'!$2:$2,0)),0)</f>
        <v>0</v>
      </c>
      <c r="Q77" s="10">
        <f>IFERROR(INDEX('TRANS EMP EXTRACT - COST CENTRE'!$A$1:$Z$455,MATCH('Summary - Monthly'!$A77,'TRANS EMP EXTRACT - COST CENTRE'!$A:$A,0),MATCH('Summary - Monthly'!Q$3,'TRANS EMP EXTRACT - COST CENTRE'!$2:$2,0)),0)</f>
        <v>0</v>
      </c>
      <c r="R77" s="10">
        <f>IFERROR(INDEX('TRANS EMP EXTRACT - COST CENTRE'!$A$1:$Z$455,MATCH('Summary - Monthly'!$A77,'TRANS EMP EXTRACT - COST CENTRE'!$A:$A,0),MATCH('Summary - Monthly'!R$3,'TRANS EMP EXTRACT - COST CENTRE'!$2:$2,0)),0)</f>
        <v>0</v>
      </c>
      <c r="S77" s="10">
        <f>IFERROR(INDEX('TRANS EMP EXTRACT - COST CENTRE'!$A$1:$Z$455,MATCH('Summary - Monthly'!$A77,'TRANS EMP EXTRACT - COST CENTRE'!$A:$A,0),MATCH('Summary - Monthly'!S$3,'TRANS EMP EXTRACT - COST CENTRE'!$2:$2,0)),0)</f>
        <v>0</v>
      </c>
      <c r="T77" s="8">
        <f>IFERROR(INDEX('TRANS EMP EXTRACT - COST CENTRE'!$A$1:$Z$455,MATCH('Summary - Monthly'!$A77,'TRANS EMP EXTRACT - COST CENTRE'!$A:$A,0),MATCH('Summary - Monthly'!T$3,'TRANS EMP EXTRACT - COST CENTRE'!$2:$2,0)),0)</f>
        <v>0</v>
      </c>
      <c r="U77" s="13">
        <f>IFERROR(INDEX('TRANS EMP EXTRACT - COST CENTRE'!$A$1:$Z$455,MATCH('Summary - Monthly'!$A77,'TRANS EMP EXTRACT - COST CENTRE'!$A:$A,0),MATCH('Summary - Monthly'!U$3,'TRANS EMP EXTRACT - COST CENTRE'!$2:$2,0)),0)</f>
        <v>0</v>
      </c>
      <c r="V77" s="13">
        <f>IFERROR(INDEX('TRANS EMP EXTRACT - COST CENTRE'!$A$1:$Z$455,MATCH('Summary - Monthly'!$A77,'TRANS EMP EXTRACT - COST CENTRE'!$A:$A,0),MATCH('Summary - Monthly'!V$3,'TRANS EMP EXTRACT - COST CENTRE'!$2:$2,0)),0)</f>
        <v>0</v>
      </c>
      <c r="W77" s="13">
        <f>IFERROR(INDEX('TRANS EMP EXTRACT - COST CENTRE'!$A$1:$Z$455,MATCH('Summary - Monthly'!$A77,'TRANS EMP EXTRACT - COST CENTRE'!$A:$A,0),MATCH('Summary - Monthly'!W$3,'TRANS EMP EXTRACT - COST CENTRE'!$2:$2,0)),0)</f>
        <v>0</v>
      </c>
      <c r="X77" s="13">
        <f>IFERROR(INDEX('TRANS EMP EXTRACT - COST CENTRE'!$A$1:$Z$455,MATCH('Summary - Monthly'!$A77,'TRANS EMP EXTRACT - COST CENTRE'!$A:$A,0),MATCH('Summary - Monthly'!X$3,'TRANS EMP EXTRACT - COST CENTRE'!$2:$2,0)),0)</f>
        <v>0</v>
      </c>
      <c r="Y77" s="13">
        <f>IFERROR(INDEX('TRANS EMP EXTRACT - COST CENTRE'!$A$1:$Z$455,MATCH('Summary - Monthly'!$A77,'TRANS EMP EXTRACT - COST CENTRE'!$A:$A,0),MATCH('Summary - Monthly'!Y$3,'TRANS EMP EXTRACT - COST CENTRE'!$2:$2,0)),0)</f>
        <v>0</v>
      </c>
      <c r="Z77" s="10">
        <f>IFERROR(INDEX('TRANS EMP EXTRACT - COST CENTRE'!$A$1:$Z$455,MATCH('Summary - Monthly'!$A77,'TRANS EMP EXTRACT - COST CENTRE'!$A:$A,0),MATCH('Summary - Monthly'!Z$3,'TRANS EMP EXTRACT - COST CENTRE'!$2:$2,0)),0)</f>
        <v>0</v>
      </c>
      <c r="AA77" s="10">
        <f>IFERROR(INDEX('TRANS EMP EXTRACT - COST CENTRE'!$A$1:$Z$455,MATCH('Summary - Monthly'!$A77,'TRANS EMP EXTRACT - COST CENTRE'!$A:$A,0),MATCH('Summary - Monthly'!AA$3,'TRANS EMP EXTRACT - COST CENTRE'!$2:$2,0)),0)</f>
        <v>0</v>
      </c>
      <c r="AB77" s="10">
        <f>IFERROR(INDEX('TRANS EMP EXTRACT - COST CENTRE'!$A$1:$Z$455,MATCH('Summary - Monthly'!$A77,'TRANS EMP EXTRACT - COST CENTRE'!$A:$A,0),MATCH('Summary - Monthly'!AB$3,'TRANS EMP EXTRACT - COST CENTRE'!$2:$2,0)),0)</f>
        <v>0</v>
      </c>
      <c r="AC77" s="8">
        <f>IFERROR(INDEX('TRANS EMP EXTRACT - COST CENTRE'!$A$1:$Z$455,MATCH('Summary - Monthly'!$A77,'TRANS EMP EXTRACT - COST CENTRE'!$A:$A,0),MATCH('Summary - Monthly'!AC$3,'TRANS EMP EXTRACT - COST CENTRE'!$2:$2,0)),0)</f>
        <v>0</v>
      </c>
      <c r="AD77" s="13">
        <f>IFERROR(INDEX('TRANS EMP EXTRACT - COST CENTRE'!$A$1:$Z$455,MATCH('Summary - Monthly'!$A77,'TRANS EMP EXTRACT - COST CENTRE'!$A:$A,0),MATCH('Summary - Monthly'!AD$3,'TRANS EMP EXTRACT - COST CENTRE'!$2:$2,0)),0)</f>
        <v>0</v>
      </c>
      <c r="AE77" s="13">
        <f>IFERROR(INDEX('TRANS EMP EXTRACT - COST CENTRE'!$A$1:$Z$455,MATCH('Summary - Monthly'!$A77,'TRANS EMP EXTRACT - COST CENTRE'!$A:$A,0),MATCH('Summary - Monthly'!AE$3,'TRANS EMP EXTRACT - COST CENTRE'!$2:$2,0)),0)</f>
        <v>0</v>
      </c>
      <c r="AF77" s="13">
        <f>IFERROR(INDEX('TRANS EMP EXTRACT - COST CENTRE'!$A$1:$Z$455,MATCH('Summary - Monthly'!$A77,'TRANS EMP EXTRACT - COST CENTRE'!$A:$A,0),MATCH('Summary - Monthly'!AF$3,'TRANS EMP EXTRACT - COST CENTRE'!$2:$2,0)),0)</f>
        <v>0</v>
      </c>
      <c r="AG77" s="10">
        <f>IFERROR(INDEX('TRANS EMP EXTRACT - COST CENTRE'!$A$1:$Z$455,MATCH('Summary - Monthly'!$A77,'TRANS EMP EXTRACT - COST CENTRE'!$A:$A,0),MATCH('Summary - Monthly'!AG$3,'TRANS EMP EXTRACT - COST CENTRE'!$2:$2,0)),0)</f>
        <v>0</v>
      </c>
      <c r="AH77" s="10">
        <f>IFERROR(INDEX('TRANS EMP EXTRACT - COST CENTRE'!$A$1:$Z$455,MATCH('Summary - Monthly'!$A77,'TRANS EMP EXTRACT - COST CENTRE'!$A:$A,0),MATCH('Summary - Monthly'!AH$3,'TRANS EMP EXTRACT - COST CENTRE'!$2:$2,0)),0)</f>
        <v>0</v>
      </c>
      <c r="AI77" s="10">
        <f>IFERROR(INDEX('TRANS EMP EXTRACT - COST CENTRE'!$A$1:$Z$455,MATCH('Summary - Monthly'!$A77,'TRANS EMP EXTRACT - COST CENTRE'!$A:$A,0),MATCH('Summary - Monthly'!AI$3,'TRANS EMP EXTRACT - COST CENTRE'!$2:$2,0)),0)</f>
        <v>0</v>
      </c>
      <c r="AJ77" s="10">
        <f>IFERROR(INDEX('TRANS EMP EXTRACT - COST CENTRE'!$A$1:$Z$455,MATCH('Summary - Monthly'!$A77,'TRANS EMP EXTRACT - COST CENTRE'!$A:$A,0),MATCH('Summary - Monthly'!AJ$3,'TRANS EMP EXTRACT - COST CENTRE'!$2:$2,0)),0)</f>
        <v>0</v>
      </c>
      <c r="AK77" s="10">
        <f>IFERROR(INDEX('TRANS EMP EXTRACT - COST CENTRE'!$A$1:$Z$455,MATCH('Summary - Monthly'!$A77,'TRANS EMP EXTRACT - COST CENTRE'!$A:$A,0),MATCH('Summary - Monthly'!AK$3,'TRANS EMP EXTRACT - COST CENTRE'!$2:$2,0)),0)</f>
        <v>0</v>
      </c>
      <c r="AL77" s="10">
        <f>IFERROR(INDEX('TRANS EMP EXTRACT - COST CENTRE'!$A$1:$Z$455,MATCH('Summary - Monthly'!$A77,'TRANS EMP EXTRACT - COST CENTRE'!$A:$A,0),MATCH('Summary - Monthly'!AL$3,'TRANS EMP EXTRACT - COST CENTRE'!$2:$2,0)),0)</f>
        <v>0</v>
      </c>
      <c r="AM77" s="10">
        <f t="shared" si="9"/>
        <v>22.3</v>
      </c>
      <c r="AN77" s="14">
        <f t="shared" si="13"/>
        <v>0</v>
      </c>
      <c r="AO77" s="18">
        <f t="shared" si="18"/>
        <v>0.14671052631578949</v>
      </c>
      <c r="AP77" s="18">
        <f t="shared" si="19"/>
        <v>0.14671052631578949</v>
      </c>
      <c r="AQ77" s="10" t="str">
        <f>IFERROR(VLOOKUP(B77,Departments!A:C,3,FALSE),"")</f>
        <v>Microbiology</v>
      </c>
      <c r="AR77" s="10" t="str">
        <f>IFERROR(VLOOKUP(B77,Departments!A:B,2,FALSE),"")</f>
        <v>Melb Micro</v>
      </c>
      <c r="AS77" s="10">
        <f t="shared" si="14"/>
        <v>0</v>
      </c>
      <c r="AT77" s="10">
        <f t="shared" si="15"/>
        <v>0</v>
      </c>
      <c r="AU77" s="10" t="str">
        <f>_xlfn.IFNA(VLOOKUP(B77,Departments!A:D,4,FALSE),"")</f>
        <v>Melbourne Micro</v>
      </c>
    </row>
    <row r="78" spans="1:47" ht="14.45" customHeight="1">
      <c r="A78" s="11" t="str">
        <f t="shared" si="16"/>
        <v>1204312318970</v>
      </c>
      <c r="B78" s="11">
        <f>'TRANS EMP EXTRACT - COST CENTRE'!B77</f>
        <v>12043123</v>
      </c>
      <c r="C78" s="10" t="str">
        <f>IFERROR(VLOOKUP(E78,'TRANS EMP EXTRACT - EMP CATEGOR'!A:B,2,FALSE),"")</f>
        <v>PT</v>
      </c>
      <c r="D78" s="10" t="str">
        <f>IFERROR(VLOOKUP(E78,'TRANS EMP EXTRACT - EMP CATEGOR'!A:C,3,FALSE),"")</f>
        <v>Parttime</v>
      </c>
      <c r="E78" s="11">
        <f>'TRANS EMP EXTRACT - COST CENTRE'!D77</f>
        <v>18970</v>
      </c>
      <c r="F78" s="10" t="str">
        <f>IFERROR(VLOOKUP(E78,'TRANS EMP EXTRACT - COST CENTRE'!D:E,2,FALSE),"")</f>
        <v>MAVRONICHOLAS  CHRISTOPHER MR</v>
      </c>
      <c r="G78" s="12">
        <f>IFERROR(INDEX('TRANS EMP EXTRACT - COST CENTRE'!$A$1:$Z$455,MATCH('Summary - Monthly'!$A78,'TRANS EMP EXTRACT - COST CENTRE'!$A:$A,0),MATCH('Summary - Monthly'!G$3,'TRANS EMP EXTRACT - COST CENTRE'!$2:$2,0)),"")</f>
        <v>44452</v>
      </c>
      <c r="H78" s="10" t="str">
        <f>IFERROR(INDEX('TRANS EMP EXTRACT - COST CENTRE'!$B$1:$Z$455,MATCH('Summary - Monthly'!$E78,'TRANS EMP EXTRACT - COST CENTRE'!$D:$D,0),MATCH('Summary - Monthly'!H$3,'TRANS EMP EXTRACT - COST CENTRE'!$2:$2,0)),"")</f>
        <v>RT</v>
      </c>
      <c r="I78" s="12" t="str">
        <f>IFERROR(INDEX('TRANS EMP EXTRACT - EMP CATEGOR'!$B$1:$AF$421,MATCH('Summary - Monthly'!$E78,'TRANS EMP EXTRACT - EMP CATEGOR'!$D:$D,0),MATCH('Summary - Monthly'!H$3,'TRANS EMP EXTRACT - EMP CATEGOR'!$2:$2,0)),"")</f>
        <v>RT</v>
      </c>
      <c r="J78" s="41">
        <f t="shared" ca="1" si="12"/>
        <v>3.4579</v>
      </c>
      <c r="K78" s="41">
        <f t="shared" ca="1" si="17"/>
        <v>112.9158</v>
      </c>
      <c r="L78" s="10">
        <f>IFERROR(INDEX('TRANS EMP EXTRACT - COST CENTRE'!$A$1:$Z$455,MATCH('Summary - Monthly'!$A78,'TRANS EMP EXTRACT - COST CENTRE'!$A:$A,0),MATCH('Summary - Monthly'!L$3,'TRANS EMP EXTRACT - COST CENTRE'!$2:$2,0)),"")</f>
        <v>75.599999999999994</v>
      </c>
      <c r="M78" s="10">
        <f>IFERROR(INDEX('TRANS EMP EXTRACT - COST CENTRE'!$A$1:$Z$455,MATCH('Summary - Monthly'!$A78,'TRANS EMP EXTRACT - COST CENTRE'!$A:$A,0),MATCH('Summary - Monthly'!M$3,'TRANS EMP EXTRACT - COST CENTRE'!$2:$2,0)),0)</f>
        <v>0</v>
      </c>
      <c r="N78" s="10">
        <f>IFERROR(INDEX('TRANS EMP EXTRACT - COST CENTRE'!$A$1:$Z$455,MATCH('Summary - Monthly'!$A78,'TRANS EMP EXTRACT - COST CENTRE'!$A:$A,0),MATCH('Summary - Monthly'!N$3,'TRANS EMP EXTRACT - COST CENTRE'!$2:$2,0)),0)</f>
        <v>0</v>
      </c>
      <c r="O78" s="10">
        <f>IFERROR(INDEX('TRANS EMP EXTRACT - COST CENTRE'!$A$1:$Z$455,MATCH('Summary - Monthly'!$A78,'TRANS EMP EXTRACT - COST CENTRE'!$A:$A,0),MATCH('Summary - Monthly'!O$3,'TRANS EMP EXTRACT - COST CENTRE'!$2:$2,0)),0)</f>
        <v>30.25</v>
      </c>
      <c r="P78" s="10">
        <f>IFERROR(INDEX('TRANS EMP EXTRACT - COST CENTRE'!$A$1:$Z$455,MATCH('Summary - Monthly'!$A78,'TRANS EMP EXTRACT - COST CENTRE'!$A:$A,0),MATCH('Summary - Monthly'!P$3,'TRANS EMP EXTRACT - COST CENTRE'!$2:$2,0)),0)</f>
        <v>0</v>
      </c>
      <c r="Q78" s="10">
        <f>IFERROR(INDEX('TRANS EMP EXTRACT - COST CENTRE'!$A$1:$Z$455,MATCH('Summary - Monthly'!$A78,'TRANS EMP EXTRACT - COST CENTRE'!$A:$A,0),MATCH('Summary - Monthly'!Q$3,'TRANS EMP EXTRACT - COST CENTRE'!$2:$2,0)),0)</f>
        <v>12.7666</v>
      </c>
      <c r="R78" s="10">
        <f>IFERROR(INDEX('TRANS EMP EXTRACT - COST CENTRE'!$A$1:$Z$455,MATCH('Summary - Monthly'!$A78,'TRANS EMP EXTRACT - COST CENTRE'!$A:$A,0),MATCH('Summary - Monthly'!R$3,'TRANS EMP EXTRACT - COST CENTRE'!$2:$2,0)),0)</f>
        <v>4.4667000000000003</v>
      </c>
      <c r="S78" s="10">
        <f>IFERROR(INDEX('TRANS EMP EXTRACT - COST CENTRE'!$A$1:$Z$455,MATCH('Summary - Monthly'!$A78,'TRANS EMP EXTRACT - COST CENTRE'!$A:$A,0),MATCH('Summary - Monthly'!S$3,'TRANS EMP EXTRACT - COST CENTRE'!$2:$2,0)),0)</f>
        <v>0</v>
      </c>
      <c r="T78" s="8">
        <f>IFERROR(INDEX('TRANS EMP EXTRACT - COST CENTRE'!$A$1:$Z$455,MATCH('Summary - Monthly'!$A78,'TRANS EMP EXTRACT - COST CENTRE'!$A:$A,0),MATCH('Summary - Monthly'!T$3,'TRANS EMP EXTRACT - COST CENTRE'!$2:$2,0)),0)</f>
        <v>0</v>
      </c>
      <c r="U78" s="13">
        <f>IFERROR(INDEX('TRANS EMP EXTRACT - COST CENTRE'!$A$1:$Z$455,MATCH('Summary - Monthly'!$A78,'TRANS EMP EXTRACT - COST CENTRE'!$A:$A,0),MATCH('Summary - Monthly'!U$3,'TRANS EMP EXTRACT - COST CENTRE'!$2:$2,0)),0)</f>
        <v>0</v>
      </c>
      <c r="V78" s="13">
        <f>IFERROR(INDEX('TRANS EMP EXTRACT - COST CENTRE'!$A$1:$Z$455,MATCH('Summary - Monthly'!$A78,'TRANS EMP EXTRACT - COST CENTRE'!$A:$A,0),MATCH('Summary - Monthly'!V$3,'TRANS EMP EXTRACT - COST CENTRE'!$2:$2,0)),0)</f>
        <v>15.2</v>
      </c>
      <c r="W78" s="13">
        <f>IFERROR(INDEX('TRANS EMP EXTRACT - COST CENTRE'!$A$1:$Z$455,MATCH('Summary - Monthly'!$A78,'TRANS EMP EXTRACT - COST CENTRE'!$A:$A,0),MATCH('Summary - Monthly'!W$3,'TRANS EMP EXTRACT - COST CENTRE'!$2:$2,0)),0)</f>
        <v>0</v>
      </c>
      <c r="X78" s="13">
        <f>IFERROR(INDEX('TRANS EMP EXTRACT - COST CENTRE'!$A$1:$Z$455,MATCH('Summary - Monthly'!$A78,'TRANS EMP EXTRACT - COST CENTRE'!$A:$A,0),MATCH('Summary - Monthly'!X$3,'TRANS EMP EXTRACT - COST CENTRE'!$2:$2,0)),0)</f>
        <v>0</v>
      </c>
      <c r="Y78" s="13">
        <f>IFERROR(INDEX('TRANS EMP EXTRACT - COST CENTRE'!$A$1:$Z$455,MATCH('Summary - Monthly'!$A78,'TRANS EMP EXTRACT - COST CENTRE'!$A:$A,0),MATCH('Summary - Monthly'!Y$3,'TRANS EMP EXTRACT - COST CENTRE'!$2:$2,0)),0)</f>
        <v>0</v>
      </c>
      <c r="Z78" s="10">
        <f>IFERROR(INDEX('TRANS EMP EXTRACT - COST CENTRE'!$A$1:$Z$455,MATCH('Summary - Monthly'!$A78,'TRANS EMP EXTRACT - COST CENTRE'!$A:$A,0),MATCH('Summary - Monthly'!Z$3,'TRANS EMP EXTRACT - COST CENTRE'!$2:$2,0)),0)</f>
        <v>0</v>
      </c>
      <c r="AA78" s="10">
        <f>IFERROR(INDEX('TRANS EMP EXTRACT - COST CENTRE'!$A$1:$Z$455,MATCH('Summary - Monthly'!$A78,'TRANS EMP EXTRACT - COST CENTRE'!$A:$A,0),MATCH('Summary - Monthly'!AA$3,'TRANS EMP EXTRACT - COST CENTRE'!$2:$2,0)),0)</f>
        <v>0</v>
      </c>
      <c r="AB78" s="10">
        <f>IFERROR(INDEX('TRANS EMP EXTRACT - COST CENTRE'!$A$1:$Z$455,MATCH('Summary - Monthly'!$A78,'TRANS EMP EXTRACT - COST CENTRE'!$A:$A,0),MATCH('Summary - Monthly'!AB$3,'TRANS EMP EXTRACT - COST CENTRE'!$2:$2,0)),0)</f>
        <v>0</v>
      </c>
      <c r="AC78" s="8">
        <f>IFERROR(INDEX('TRANS EMP EXTRACT - COST CENTRE'!$A$1:$Z$455,MATCH('Summary - Monthly'!$A78,'TRANS EMP EXTRACT - COST CENTRE'!$A:$A,0),MATCH('Summary - Monthly'!AC$3,'TRANS EMP EXTRACT - COST CENTRE'!$2:$2,0)),0)</f>
        <v>0</v>
      </c>
      <c r="AD78" s="13">
        <f>IFERROR(INDEX('TRANS EMP EXTRACT - COST CENTRE'!$A$1:$Z$455,MATCH('Summary - Monthly'!$A78,'TRANS EMP EXTRACT - COST CENTRE'!$A:$A,0),MATCH('Summary - Monthly'!AD$3,'TRANS EMP EXTRACT - COST CENTRE'!$2:$2,0)),0)</f>
        <v>0</v>
      </c>
      <c r="AE78" s="13">
        <f>IFERROR(INDEX('TRANS EMP EXTRACT - COST CENTRE'!$A$1:$Z$455,MATCH('Summary - Monthly'!$A78,'TRANS EMP EXTRACT - COST CENTRE'!$A:$A,0),MATCH('Summary - Monthly'!AE$3,'TRANS EMP EXTRACT - COST CENTRE'!$2:$2,0)),0)</f>
        <v>0</v>
      </c>
      <c r="AF78" s="13">
        <f>IFERROR(INDEX('TRANS EMP EXTRACT - COST CENTRE'!$A$1:$Z$455,MATCH('Summary - Monthly'!$A78,'TRANS EMP EXTRACT - COST CENTRE'!$A:$A,0),MATCH('Summary - Monthly'!AF$3,'TRANS EMP EXTRACT - COST CENTRE'!$2:$2,0)),0)</f>
        <v>0</v>
      </c>
      <c r="AG78" s="10">
        <f>IFERROR(INDEX('TRANS EMP EXTRACT - COST CENTRE'!$A$1:$Z$455,MATCH('Summary - Monthly'!$A78,'TRANS EMP EXTRACT - COST CENTRE'!$A:$A,0),MATCH('Summary - Monthly'!AG$3,'TRANS EMP EXTRACT - COST CENTRE'!$2:$2,0)),0)</f>
        <v>0</v>
      </c>
      <c r="AH78" s="10">
        <f>IFERROR(INDEX('TRANS EMP EXTRACT - COST CENTRE'!$A$1:$Z$455,MATCH('Summary - Monthly'!$A78,'TRANS EMP EXTRACT - COST CENTRE'!$A:$A,0),MATCH('Summary - Monthly'!AH$3,'TRANS EMP EXTRACT - COST CENTRE'!$2:$2,0)),0)</f>
        <v>0</v>
      </c>
      <c r="AI78" s="10">
        <f>IFERROR(INDEX('TRANS EMP EXTRACT - COST CENTRE'!$A$1:$Z$455,MATCH('Summary - Monthly'!$A78,'TRANS EMP EXTRACT - COST CENTRE'!$A:$A,0),MATCH('Summary - Monthly'!AI$3,'TRANS EMP EXTRACT - COST CENTRE'!$2:$2,0)),0)</f>
        <v>0</v>
      </c>
      <c r="AJ78" s="10">
        <f>IFERROR(INDEX('TRANS EMP EXTRACT - COST CENTRE'!$A$1:$Z$455,MATCH('Summary - Monthly'!$A78,'TRANS EMP EXTRACT - COST CENTRE'!$A:$A,0),MATCH('Summary - Monthly'!AJ$3,'TRANS EMP EXTRACT - COST CENTRE'!$2:$2,0)),0)</f>
        <v>0</v>
      </c>
      <c r="AK78" s="10">
        <f>IFERROR(INDEX('TRANS EMP EXTRACT - COST CENTRE'!$A$1:$Z$455,MATCH('Summary - Monthly'!$A78,'TRANS EMP EXTRACT - COST CENTRE'!$A:$A,0),MATCH('Summary - Monthly'!AK$3,'TRANS EMP EXTRACT - COST CENTRE'!$2:$2,0)),0)</f>
        <v>0</v>
      </c>
      <c r="AL78" s="10">
        <f>IFERROR(INDEX('TRANS EMP EXTRACT - COST CENTRE'!$A$1:$Z$455,MATCH('Summary - Monthly'!$A78,'TRANS EMP EXTRACT - COST CENTRE'!$A:$A,0),MATCH('Summary - Monthly'!AL$3,'TRANS EMP EXTRACT - COST CENTRE'!$2:$2,0)),0)</f>
        <v>0</v>
      </c>
      <c r="AM78" s="10">
        <f t="shared" si="9"/>
        <v>138.2833</v>
      </c>
      <c r="AN78" s="14">
        <f t="shared" si="13"/>
        <v>0.11337697368421053</v>
      </c>
      <c r="AO78" s="18">
        <f t="shared" si="18"/>
        <v>0.9097585526315789</v>
      </c>
      <c r="AP78" s="18">
        <f t="shared" si="19"/>
        <v>0.80975855263157892</v>
      </c>
      <c r="AQ78" s="10" t="str">
        <f>IFERROR(VLOOKUP(B78,Departments!A:C,3,FALSE),"")</f>
        <v>Chemistry</v>
      </c>
      <c r="AR78" s="10" t="str">
        <f>IFERROR(VLOOKUP(B78,Departments!A:B,2,FALSE),"")</f>
        <v>Bris Milk</v>
      </c>
      <c r="AS78" s="10">
        <f t="shared" si="14"/>
        <v>15.2</v>
      </c>
      <c r="AT78" s="10">
        <f t="shared" si="15"/>
        <v>15.2</v>
      </c>
      <c r="AU78" s="10" t="str">
        <f>_xlfn.IFNA(VLOOKUP(B78,Departments!A:D,4,FALSE),"")</f>
        <v>Brisbane Milk Testing</v>
      </c>
    </row>
    <row r="79" spans="1:47" ht="14.45" customHeight="1">
      <c r="A79" s="11" t="str">
        <f t="shared" si="16"/>
        <v>1206061118823</v>
      </c>
      <c r="B79" s="11">
        <f>'TRANS EMP EXTRACT - COST CENTRE'!B78</f>
        <v>12060611</v>
      </c>
      <c r="C79" s="10" t="str">
        <f>IFERROR(VLOOKUP(E79,'TRANS EMP EXTRACT - EMP CATEGOR'!A:B,2,FALSE),"")</f>
        <v>FT</v>
      </c>
      <c r="D79" s="10" t="str">
        <f>IFERROR(VLOOKUP(E79,'TRANS EMP EXTRACT - EMP CATEGOR'!A:C,3,FALSE),"")</f>
        <v>Fulltime</v>
      </c>
      <c r="E79" s="11">
        <f>'TRANS EMP EXTRACT - COST CENTRE'!D78</f>
        <v>18823</v>
      </c>
      <c r="F79" s="10" t="str">
        <f>IFERROR(VLOOKUP(E79,'TRANS EMP EXTRACT - COST CENTRE'!D:E,2,FALSE),"")</f>
        <v>MCCANN-DORAN  CONOR MR</v>
      </c>
      <c r="G79" s="12">
        <f>IFERROR(INDEX('TRANS EMP EXTRACT - COST CENTRE'!$A$1:$Z$455,MATCH('Summary - Monthly'!$A79,'TRANS EMP EXTRACT - COST CENTRE'!$A:$A,0),MATCH('Summary - Monthly'!G$3,'TRANS EMP EXTRACT - COST CENTRE'!$2:$2,0)),"")</f>
        <v>43222</v>
      </c>
      <c r="H79" s="10" t="str">
        <f>IFERROR(INDEX('TRANS EMP EXTRACT - COST CENTRE'!$B$1:$Z$455,MATCH('Summary - Monthly'!$E79,'TRANS EMP EXTRACT - COST CENTRE'!$D:$D,0),MATCH('Summary - Monthly'!H$3,'TRANS EMP EXTRACT - COST CENTRE'!$2:$2,0)),"")</f>
        <v>RT</v>
      </c>
      <c r="I79" s="12" t="str">
        <f>IFERROR(INDEX('TRANS EMP EXTRACT - EMP CATEGOR'!$B$1:$AF$421,MATCH('Summary - Monthly'!$E79,'TRANS EMP EXTRACT - EMP CATEGOR'!$D:$D,0),MATCH('Summary - Monthly'!H$3,'TRANS EMP EXTRACT - EMP CATEGOR'!$2:$2,0)),"")</f>
        <v>RT</v>
      </c>
      <c r="J79" s="41">
        <f t="shared" ca="1" si="12"/>
        <v>7.3139000000000003</v>
      </c>
      <c r="K79" s="41">
        <f t="shared" ca="1" si="17"/>
        <v>6.1380999999999997</v>
      </c>
      <c r="L79" s="10">
        <f>IFERROR(INDEX('TRANS EMP EXTRACT - COST CENTRE'!$A$1:$Z$455,MATCH('Summary - Monthly'!$A79,'TRANS EMP EXTRACT - COST CENTRE'!$A:$A,0),MATCH('Summary - Monthly'!L$3,'TRANS EMP EXTRACT - COST CENTRE'!$2:$2,0)),"")</f>
        <v>76</v>
      </c>
      <c r="M79" s="10">
        <f>IFERROR(INDEX('TRANS EMP EXTRACT - COST CENTRE'!$A$1:$Z$455,MATCH('Summary - Monthly'!$A79,'TRANS EMP EXTRACT - COST CENTRE'!$A:$A,0),MATCH('Summary - Monthly'!M$3,'TRANS EMP EXTRACT - COST CENTRE'!$2:$2,0)),0)</f>
        <v>0</v>
      </c>
      <c r="N79" s="10">
        <f>IFERROR(INDEX('TRANS EMP EXTRACT - COST CENTRE'!$A$1:$Z$455,MATCH('Summary - Monthly'!$A79,'TRANS EMP EXTRACT - COST CENTRE'!$A:$A,0),MATCH('Summary - Monthly'!N$3,'TRANS EMP EXTRACT - COST CENTRE'!$2:$2,0)),0)</f>
        <v>0</v>
      </c>
      <c r="O79" s="10">
        <f>IFERROR(INDEX('TRANS EMP EXTRACT - COST CENTRE'!$A$1:$Z$455,MATCH('Summary - Monthly'!$A79,'TRANS EMP EXTRACT - COST CENTRE'!$A:$A,0),MATCH('Summary - Monthly'!O$3,'TRANS EMP EXTRACT - COST CENTRE'!$2:$2,0)),0)</f>
        <v>0</v>
      </c>
      <c r="P79" s="10">
        <f>IFERROR(INDEX('TRANS EMP EXTRACT - COST CENTRE'!$A$1:$Z$455,MATCH('Summary - Monthly'!$A79,'TRANS EMP EXTRACT - COST CENTRE'!$A:$A,0),MATCH('Summary - Monthly'!P$3,'TRANS EMP EXTRACT - COST CENTRE'!$2:$2,0)),0)</f>
        <v>15.1333</v>
      </c>
      <c r="Q79" s="10">
        <f>IFERROR(INDEX('TRANS EMP EXTRACT - COST CENTRE'!$A$1:$Z$455,MATCH('Summary - Monthly'!$A79,'TRANS EMP EXTRACT - COST CENTRE'!$A:$A,0),MATCH('Summary - Monthly'!Q$3,'TRANS EMP EXTRACT - COST CENTRE'!$2:$2,0)),0)</f>
        <v>5.2502000000000004</v>
      </c>
      <c r="R79" s="10">
        <f>IFERROR(INDEX('TRANS EMP EXTRACT - COST CENTRE'!$A$1:$Z$455,MATCH('Summary - Monthly'!$A79,'TRANS EMP EXTRACT - COST CENTRE'!$A:$A,0),MATCH('Summary - Monthly'!R$3,'TRANS EMP EXTRACT - COST CENTRE'!$2:$2,0)),0)</f>
        <v>1.0832999999999999</v>
      </c>
      <c r="S79" s="10">
        <f>IFERROR(INDEX('TRANS EMP EXTRACT - COST CENTRE'!$A$1:$Z$455,MATCH('Summary - Monthly'!$A79,'TRANS EMP EXTRACT - COST CENTRE'!$A:$A,0),MATCH('Summary - Monthly'!S$3,'TRANS EMP EXTRACT - COST CENTRE'!$2:$2,0)),0)</f>
        <v>0</v>
      </c>
      <c r="T79" s="8">
        <f>IFERROR(INDEX('TRANS EMP EXTRACT - COST CENTRE'!$A$1:$Z$455,MATCH('Summary - Monthly'!$A79,'TRANS EMP EXTRACT - COST CENTRE'!$A:$A,0),MATCH('Summary - Monthly'!T$3,'TRANS EMP EXTRACT - COST CENTRE'!$2:$2,0)),0)</f>
        <v>0</v>
      </c>
      <c r="U79" s="13">
        <f>IFERROR(INDEX('TRANS EMP EXTRACT - COST CENTRE'!$A$1:$Z$455,MATCH('Summary - Monthly'!$A79,'TRANS EMP EXTRACT - COST CENTRE'!$A:$A,0),MATCH('Summary - Monthly'!U$3,'TRANS EMP EXTRACT - COST CENTRE'!$2:$2,0)),0)</f>
        <v>53.2</v>
      </c>
      <c r="V79" s="13">
        <f>IFERROR(INDEX('TRANS EMP EXTRACT - COST CENTRE'!$A$1:$Z$455,MATCH('Summary - Monthly'!$A79,'TRANS EMP EXTRACT - COST CENTRE'!$A:$A,0),MATCH('Summary - Monthly'!V$3,'TRANS EMP EXTRACT - COST CENTRE'!$2:$2,0)),0)</f>
        <v>0</v>
      </c>
      <c r="W79" s="13">
        <f>IFERROR(INDEX('TRANS EMP EXTRACT - COST CENTRE'!$A$1:$Z$455,MATCH('Summary - Monthly'!$A79,'TRANS EMP EXTRACT - COST CENTRE'!$A:$A,0),MATCH('Summary - Monthly'!W$3,'TRANS EMP EXTRACT - COST CENTRE'!$2:$2,0)),0)</f>
        <v>0</v>
      </c>
      <c r="X79" s="13">
        <f>IFERROR(INDEX('TRANS EMP EXTRACT - COST CENTRE'!$A$1:$Z$455,MATCH('Summary - Monthly'!$A79,'TRANS EMP EXTRACT - COST CENTRE'!$A:$A,0),MATCH('Summary - Monthly'!X$3,'TRANS EMP EXTRACT - COST CENTRE'!$2:$2,0)),0)</f>
        <v>0</v>
      </c>
      <c r="Y79" s="13">
        <f>IFERROR(INDEX('TRANS EMP EXTRACT - COST CENTRE'!$A$1:$Z$455,MATCH('Summary - Monthly'!$A79,'TRANS EMP EXTRACT - COST CENTRE'!$A:$A,0),MATCH('Summary - Monthly'!Y$3,'TRANS EMP EXTRACT - COST CENTRE'!$2:$2,0)),0)</f>
        <v>0</v>
      </c>
      <c r="Z79" s="10">
        <f>IFERROR(INDEX('TRANS EMP EXTRACT - COST CENTRE'!$A$1:$Z$455,MATCH('Summary - Monthly'!$A79,'TRANS EMP EXTRACT - COST CENTRE'!$A:$A,0),MATCH('Summary - Monthly'!Z$3,'TRANS EMP EXTRACT - COST CENTRE'!$2:$2,0)),0)</f>
        <v>7.6</v>
      </c>
      <c r="AA79" s="10">
        <f>IFERROR(INDEX('TRANS EMP EXTRACT - COST CENTRE'!$A$1:$Z$455,MATCH('Summary - Monthly'!$A79,'TRANS EMP EXTRACT - COST CENTRE'!$A:$A,0),MATCH('Summary - Monthly'!AA$3,'TRANS EMP EXTRACT - COST CENTRE'!$2:$2,0)),0)</f>
        <v>0</v>
      </c>
      <c r="AB79" s="10">
        <f>IFERROR(INDEX('TRANS EMP EXTRACT - COST CENTRE'!$A$1:$Z$455,MATCH('Summary - Monthly'!$A79,'TRANS EMP EXTRACT - COST CENTRE'!$A:$A,0),MATCH('Summary - Monthly'!AB$3,'TRANS EMP EXTRACT - COST CENTRE'!$2:$2,0)),0)</f>
        <v>0</v>
      </c>
      <c r="AC79" s="8">
        <f>IFERROR(INDEX('TRANS EMP EXTRACT - COST CENTRE'!$A$1:$Z$455,MATCH('Summary - Monthly'!$A79,'TRANS EMP EXTRACT - COST CENTRE'!$A:$A,0),MATCH('Summary - Monthly'!AC$3,'TRANS EMP EXTRACT - COST CENTRE'!$2:$2,0)),0)</f>
        <v>0</v>
      </c>
      <c r="AD79" s="13">
        <f>IFERROR(INDEX('TRANS EMP EXTRACT - COST CENTRE'!$A$1:$Z$455,MATCH('Summary - Monthly'!$A79,'TRANS EMP EXTRACT - COST CENTRE'!$A:$A,0),MATCH('Summary - Monthly'!AD$3,'TRANS EMP EXTRACT - COST CENTRE'!$2:$2,0)),0)</f>
        <v>0</v>
      </c>
      <c r="AE79" s="13">
        <f>IFERROR(INDEX('TRANS EMP EXTRACT - COST CENTRE'!$A$1:$Z$455,MATCH('Summary - Monthly'!$A79,'TRANS EMP EXTRACT - COST CENTRE'!$A:$A,0),MATCH('Summary - Monthly'!AE$3,'TRANS EMP EXTRACT - COST CENTRE'!$2:$2,0)),0)</f>
        <v>0</v>
      </c>
      <c r="AF79" s="13">
        <f>IFERROR(INDEX('TRANS EMP EXTRACT - COST CENTRE'!$A$1:$Z$455,MATCH('Summary - Monthly'!$A79,'TRANS EMP EXTRACT - COST CENTRE'!$A:$A,0),MATCH('Summary - Monthly'!AF$3,'TRANS EMP EXTRACT - COST CENTRE'!$2:$2,0)),0)</f>
        <v>0</v>
      </c>
      <c r="AG79" s="10">
        <f>IFERROR(INDEX('TRANS EMP EXTRACT - COST CENTRE'!$A$1:$Z$455,MATCH('Summary - Monthly'!$A79,'TRANS EMP EXTRACT - COST CENTRE'!$A:$A,0),MATCH('Summary - Monthly'!AG$3,'TRANS EMP EXTRACT - COST CENTRE'!$2:$2,0)),0)</f>
        <v>0</v>
      </c>
      <c r="AH79" s="10">
        <f>IFERROR(INDEX('TRANS EMP EXTRACT - COST CENTRE'!$A$1:$Z$455,MATCH('Summary - Monthly'!$A79,'TRANS EMP EXTRACT - COST CENTRE'!$A:$A,0),MATCH('Summary - Monthly'!AH$3,'TRANS EMP EXTRACT - COST CENTRE'!$2:$2,0)),0)</f>
        <v>0</v>
      </c>
      <c r="AI79" s="10">
        <f>IFERROR(INDEX('TRANS EMP EXTRACT - COST CENTRE'!$A$1:$Z$455,MATCH('Summary - Monthly'!$A79,'TRANS EMP EXTRACT - COST CENTRE'!$A:$A,0),MATCH('Summary - Monthly'!AI$3,'TRANS EMP EXTRACT - COST CENTRE'!$2:$2,0)),0)</f>
        <v>0</v>
      </c>
      <c r="AJ79" s="10">
        <f>IFERROR(INDEX('TRANS EMP EXTRACT - COST CENTRE'!$A$1:$Z$455,MATCH('Summary - Monthly'!$A79,'TRANS EMP EXTRACT - COST CENTRE'!$A:$A,0),MATCH('Summary - Monthly'!AJ$3,'TRANS EMP EXTRACT - COST CENTRE'!$2:$2,0)),0)</f>
        <v>0</v>
      </c>
      <c r="AK79" s="10">
        <f>IFERROR(INDEX('TRANS EMP EXTRACT - COST CENTRE'!$A$1:$Z$455,MATCH('Summary - Monthly'!$A79,'TRANS EMP EXTRACT - COST CENTRE'!$A:$A,0),MATCH('Summary - Monthly'!AK$3,'TRANS EMP EXTRACT - COST CENTRE'!$2:$2,0)),0)</f>
        <v>0</v>
      </c>
      <c r="AL79" s="10">
        <f>IFERROR(INDEX('TRANS EMP EXTRACT - COST CENTRE'!$A$1:$Z$455,MATCH('Summary - Monthly'!$A79,'TRANS EMP EXTRACT - COST CENTRE'!$A:$A,0),MATCH('Summary - Monthly'!AL$3,'TRANS EMP EXTRACT - COST CENTRE'!$2:$2,0)),0)</f>
        <v>0</v>
      </c>
      <c r="AM79" s="10">
        <f t="shared" si="9"/>
        <v>150.66680000000002</v>
      </c>
      <c r="AN79" s="14">
        <f t="shared" si="13"/>
        <v>4.1667763157894742E-2</v>
      </c>
      <c r="AO79" s="18">
        <f t="shared" si="18"/>
        <v>0.99122894736842115</v>
      </c>
      <c r="AP79" s="18">
        <f t="shared" si="19"/>
        <v>0.64122894736842118</v>
      </c>
      <c r="AQ79" s="10" t="str">
        <f>IFERROR(VLOOKUP(B79,Departments!A:C,3,FALSE),"")</f>
        <v>Microbiology</v>
      </c>
      <c r="AR79" s="10" t="str">
        <f>IFERROR(VLOOKUP(B79,Departments!A:B,2,FALSE),"")</f>
        <v>Perth Micro</v>
      </c>
      <c r="AS79" s="10">
        <f t="shared" si="14"/>
        <v>7.6</v>
      </c>
      <c r="AT79" s="10">
        <f t="shared" si="15"/>
        <v>60.800000000000004</v>
      </c>
      <c r="AU79" s="10" t="str">
        <f>_xlfn.IFNA(VLOOKUP(B79,Departments!A:D,4,FALSE),"")</f>
        <v>Perth Micro</v>
      </c>
    </row>
    <row r="80" spans="1:47" ht="14.45" customHeight="1">
      <c r="A80" s="11" t="str">
        <f t="shared" si="16"/>
        <v>1204301118713</v>
      </c>
      <c r="B80" s="11">
        <f>'TRANS EMP EXTRACT - COST CENTRE'!B79</f>
        <v>12043011</v>
      </c>
      <c r="C80" s="10" t="str">
        <f>IFERROR(VLOOKUP(E80,'TRANS EMP EXTRACT - EMP CATEGOR'!A:B,2,FALSE),"")</f>
        <v>FT</v>
      </c>
      <c r="D80" s="10" t="str">
        <f>IFERROR(VLOOKUP(E80,'TRANS EMP EXTRACT - EMP CATEGOR'!A:C,3,FALSE),"")</f>
        <v>Fulltime</v>
      </c>
      <c r="E80" s="11">
        <f>'TRANS EMP EXTRACT - COST CENTRE'!D79</f>
        <v>18713</v>
      </c>
      <c r="F80" s="10" t="str">
        <f>IFERROR(VLOOKUP(E80,'TRANS EMP EXTRACT - COST CENTRE'!D:E,2,FALSE),"")</f>
        <v>MCDONALD  WILMA MRS</v>
      </c>
      <c r="G80" s="12">
        <f>IFERROR(INDEX('TRANS EMP EXTRACT - COST CENTRE'!$A$1:$Z$455,MATCH('Summary - Monthly'!$A80,'TRANS EMP EXTRACT - COST CENTRE'!$A:$A,0),MATCH('Summary - Monthly'!G$3,'TRANS EMP EXTRACT - COST CENTRE'!$2:$2,0)),"")</f>
        <v>42352</v>
      </c>
      <c r="H80" s="10" t="str">
        <f>IFERROR(INDEX('TRANS EMP EXTRACT - COST CENTRE'!$B$1:$Z$455,MATCH('Summary - Monthly'!$E80,'TRANS EMP EXTRACT - COST CENTRE'!$D:$D,0),MATCH('Summary - Monthly'!H$3,'TRANS EMP EXTRACT - COST CENTRE'!$2:$2,0)),"")</f>
        <v>RT</v>
      </c>
      <c r="I80" s="12" t="str">
        <f>IFERROR(INDEX('TRANS EMP EXTRACT - EMP CATEGOR'!$B$1:$AF$421,MATCH('Summary - Monthly'!$E80,'TRANS EMP EXTRACT - EMP CATEGOR'!$D:$D,0),MATCH('Summary - Monthly'!H$3,'TRANS EMP EXTRACT - EMP CATEGOR'!$2:$2,0)),"")</f>
        <v>RT</v>
      </c>
      <c r="J80" s="41">
        <f t="shared" ca="1" si="12"/>
        <v>224.38679999999999</v>
      </c>
      <c r="K80" s="41">
        <f t="shared" ca="1" si="17"/>
        <v>158.5145</v>
      </c>
      <c r="L80" s="10">
        <f>IFERROR(INDEX('TRANS EMP EXTRACT - COST CENTRE'!$A$1:$Z$455,MATCH('Summary - Monthly'!$A80,'TRANS EMP EXTRACT - COST CENTRE'!$A:$A,0),MATCH('Summary - Monthly'!L$3,'TRANS EMP EXTRACT - COST CENTRE'!$2:$2,0)),"")</f>
        <v>152</v>
      </c>
      <c r="M80" s="10">
        <f>IFERROR(INDEX('TRANS EMP EXTRACT - COST CENTRE'!$A$1:$Z$455,MATCH('Summary - Monthly'!$A80,'TRANS EMP EXTRACT - COST CENTRE'!$A:$A,0),MATCH('Summary - Monthly'!M$3,'TRANS EMP EXTRACT - COST CENTRE'!$2:$2,0)),0)</f>
        <v>0</v>
      </c>
      <c r="N80" s="10">
        <f>IFERROR(INDEX('TRANS EMP EXTRACT - COST CENTRE'!$A$1:$Z$455,MATCH('Summary - Monthly'!$A80,'TRANS EMP EXTRACT - COST CENTRE'!$A:$A,0),MATCH('Summary - Monthly'!N$3,'TRANS EMP EXTRACT - COST CENTRE'!$2:$2,0)),0)</f>
        <v>0</v>
      </c>
      <c r="O80" s="10">
        <f>IFERROR(INDEX('TRANS EMP EXTRACT - COST CENTRE'!$A$1:$Z$455,MATCH('Summary - Monthly'!$A80,'TRANS EMP EXTRACT - COST CENTRE'!$A:$A,0),MATCH('Summary - Monthly'!O$3,'TRANS EMP EXTRACT - COST CENTRE'!$2:$2,0)),0)</f>
        <v>0</v>
      </c>
      <c r="P80" s="10">
        <f>IFERROR(INDEX('TRANS EMP EXTRACT - COST CENTRE'!$A$1:$Z$455,MATCH('Summary - Monthly'!$A80,'TRANS EMP EXTRACT - COST CENTRE'!$A:$A,0),MATCH('Summary - Monthly'!P$3,'TRANS EMP EXTRACT - COST CENTRE'!$2:$2,0)),0)</f>
        <v>0</v>
      </c>
      <c r="Q80" s="10">
        <f>IFERROR(INDEX('TRANS EMP EXTRACT - COST CENTRE'!$A$1:$Z$455,MATCH('Summary - Monthly'!$A80,'TRANS EMP EXTRACT - COST CENTRE'!$A:$A,0),MATCH('Summary - Monthly'!Q$3,'TRANS EMP EXTRACT - COST CENTRE'!$2:$2,0)),0)</f>
        <v>0</v>
      </c>
      <c r="R80" s="10">
        <f>IFERROR(INDEX('TRANS EMP EXTRACT - COST CENTRE'!$A$1:$Z$455,MATCH('Summary - Monthly'!$A80,'TRANS EMP EXTRACT - COST CENTRE'!$A:$A,0),MATCH('Summary - Monthly'!R$3,'TRANS EMP EXTRACT - COST CENTRE'!$2:$2,0)),0)</f>
        <v>0</v>
      </c>
      <c r="S80" s="10">
        <f>IFERROR(INDEX('TRANS EMP EXTRACT - COST CENTRE'!$A$1:$Z$455,MATCH('Summary - Monthly'!$A80,'TRANS EMP EXTRACT - COST CENTRE'!$A:$A,0),MATCH('Summary - Monthly'!S$3,'TRANS EMP EXTRACT - COST CENTRE'!$2:$2,0)),0)</f>
        <v>0</v>
      </c>
      <c r="T80" s="8">
        <f>IFERROR(INDEX('TRANS EMP EXTRACT - COST CENTRE'!$A$1:$Z$455,MATCH('Summary - Monthly'!$A80,'TRANS EMP EXTRACT - COST CENTRE'!$A:$A,0),MATCH('Summary - Monthly'!T$3,'TRANS EMP EXTRACT - COST CENTRE'!$2:$2,0)),0)</f>
        <v>0</v>
      </c>
      <c r="U80" s="13">
        <f>IFERROR(INDEX('TRANS EMP EXTRACT - COST CENTRE'!$A$1:$Z$455,MATCH('Summary - Monthly'!$A80,'TRANS EMP EXTRACT - COST CENTRE'!$A:$A,0),MATCH('Summary - Monthly'!U$3,'TRANS EMP EXTRACT - COST CENTRE'!$2:$2,0)),0)</f>
        <v>0</v>
      </c>
      <c r="V80" s="13">
        <f>IFERROR(INDEX('TRANS EMP EXTRACT - COST CENTRE'!$A$1:$Z$455,MATCH('Summary - Monthly'!$A80,'TRANS EMP EXTRACT - COST CENTRE'!$A:$A,0),MATCH('Summary - Monthly'!V$3,'TRANS EMP EXTRACT - COST CENTRE'!$2:$2,0)),0)</f>
        <v>0</v>
      </c>
      <c r="W80" s="13">
        <f>IFERROR(INDEX('TRANS EMP EXTRACT - COST CENTRE'!$A$1:$Z$455,MATCH('Summary - Monthly'!$A80,'TRANS EMP EXTRACT - COST CENTRE'!$A:$A,0),MATCH('Summary - Monthly'!W$3,'TRANS EMP EXTRACT - COST CENTRE'!$2:$2,0)),0)</f>
        <v>0</v>
      </c>
      <c r="X80" s="13">
        <f>IFERROR(INDEX('TRANS EMP EXTRACT - COST CENTRE'!$A$1:$Z$455,MATCH('Summary - Monthly'!$A80,'TRANS EMP EXTRACT - COST CENTRE'!$A:$A,0),MATCH('Summary - Monthly'!X$3,'TRANS EMP EXTRACT - COST CENTRE'!$2:$2,0)),0)</f>
        <v>0</v>
      </c>
      <c r="Y80" s="13">
        <f>IFERROR(INDEX('TRANS EMP EXTRACT - COST CENTRE'!$A$1:$Z$455,MATCH('Summary - Monthly'!$A80,'TRANS EMP EXTRACT - COST CENTRE'!$A:$A,0),MATCH('Summary - Monthly'!Y$3,'TRANS EMP EXTRACT - COST CENTRE'!$2:$2,0)),0)</f>
        <v>0</v>
      </c>
      <c r="Z80" s="10">
        <f>IFERROR(INDEX('TRANS EMP EXTRACT - COST CENTRE'!$A$1:$Z$455,MATCH('Summary - Monthly'!$A80,'TRANS EMP EXTRACT - COST CENTRE'!$A:$A,0),MATCH('Summary - Monthly'!Z$3,'TRANS EMP EXTRACT - COST CENTRE'!$2:$2,0)),0)</f>
        <v>0</v>
      </c>
      <c r="AA80" s="10">
        <f>IFERROR(INDEX('TRANS EMP EXTRACT - COST CENTRE'!$A$1:$Z$455,MATCH('Summary - Monthly'!$A80,'TRANS EMP EXTRACT - COST CENTRE'!$A:$A,0),MATCH('Summary - Monthly'!AA$3,'TRANS EMP EXTRACT - COST CENTRE'!$2:$2,0)),0)</f>
        <v>0</v>
      </c>
      <c r="AB80" s="10">
        <f>IFERROR(INDEX('TRANS EMP EXTRACT - COST CENTRE'!$A$1:$Z$455,MATCH('Summary - Monthly'!$A80,'TRANS EMP EXTRACT - COST CENTRE'!$A:$A,0),MATCH('Summary - Monthly'!AB$3,'TRANS EMP EXTRACT - COST CENTRE'!$2:$2,0)),0)</f>
        <v>0</v>
      </c>
      <c r="AC80" s="8">
        <f>IFERROR(INDEX('TRANS EMP EXTRACT - COST CENTRE'!$A$1:$Z$455,MATCH('Summary - Monthly'!$A80,'TRANS EMP EXTRACT - COST CENTRE'!$A:$A,0),MATCH('Summary - Monthly'!AC$3,'TRANS EMP EXTRACT - COST CENTRE'!$2:$2,0)),0)</f>
        <v>0</v>
      </c>
      <c r="AD80" s="13">
        <f>IFERROR(INDEX('TRANS EMP EXTRACT - COST CENTRE'!$A$1:$Z$455,MATCH('Summary - Monthly'!$A80,'TRANS EMP EXTRACT - COST CENTRE'!$A:$A,0),MATCH('Summary - Monthly'!AD$3,'TRANS EMP EXTRACT - COST CENTRE'!$2:$2,0)),0)</f>
        <v>0</v>
      </c>
      <c r="AE80" s="13">
        <f>IFERROR(INDEX('TRANS EMP EXTRACT - COST CENTRE'!$A$1:$Z$455,MATCH('Summary - Monthly'!$A80,'TRANS EMP EXTRACT - COST CENTRE'!$A:$A,0),MATCH('Summary - Monthly'!AE$3,'TRANS EMP EXTRACT - COST CENTRE'!$2:$2,0)),0)</f>
        <v>0</v>
      </c>
      <c r="AF80" s="13">
        <f>IFERROR(INDEX('TRANS EMP EXTRACT - COST CENTRE'!$A$1:$Z$455,MATCH('Summary - Monthly'!$A80,'TRANS EMP EXTRACT - COST CENTRE'!$A:$A,0),MATCH('Summary - Monthly'!AF$3,'TRANS EMP EXTRACT - COST CENTRE'!$2:$2,0)),0)</f>
        <v>0</v>
      </c>
      <c r="AG80" s="10">
        <f>IFERROR(INDEX('TRANS EMP EXTRACT - COST CENTRE'!$A$1:$Z$455,MATCH('Summary - Monthly'!$A80,'TRANS EMP EXTRACT - COST CENTRE'!$A:$A,0),MATCH('Summary - Monthly'!AG$3,'TRANS EMP EXTRACT - COST CENTRE'!$2:$2,0)),0)</f>
        <v>0</v>
      </c>
      <c r="AH80" s="10">
        <f>IFERROR(INDEX('TRANS EMP EXTRACT - COST CENTRE'!$A$1:$Z$455,MATCH('Summary - Monthly'!$A80,'TRANS EMP EXTRACT - COST CENTRE'!$A:$A,0),MATCH('Summary - Monthly'!AH$3,'TRANS EMP EXTRACT - COST CENTRE'!$2:$2,0)),0)</f>
        <v>0</v>
      </c>
      <c r="AI80" s="10">
        <f>IFERROR(INDEX('TRANS EMP EXTRACT - COST CENTRE'!$A$1:$Z$455,MATCH('Summary - Monthly'!$A80,'TRANS EMP EXTRACT - COST CENTRE'!$A:$A,0),MATCH('Summary - Monthly'!AI$3,'TRANS EMP EXTRACT - COST CENTRE'!$2:$2,0)),0)</f>
        <v>0</v>
      </c>
      <c r="AJ80" s="10">
        <f>IFERROR(INDEX('TRANS EMP EXTRACT - COST CENTRE'!$A$1:$Z$455,MATCH('Summary - Monthly'!$A80,'TRANS EMP EXTRACT - COST CENTRE'!$A:$A,0),MATCH('Summary - Monthly'!AJ$3,'TRANS EMP EXTRACT - COST CENTRE'!$2:$2,0)),0)</f>
        <v>0</v>
      </c>
      <c r="AK80" s="10">
        <f>IFERROR(INDEX('TRANS EMP EXTRACT - COST CENTRE'!$A$1:$Z$455,MATCH('Summary - Monthly'!$A80,'TRANS EMP EXTRACT - COST CENTRE'!$A:$A,0),MATCH('Summary - Monthly'!AK$3,'TRANS EMP EXTRACT - COST CENTRE'!$2:$2,0)),0)</f>
        <v>0</v>
      </c>
      <c r="AL80" s="10">
        <f>IFERROR(INDEX('TRANS EMP EXTRACT - COST CENTRE'!$A$1:$Z$455,MATCH('Summary - Monthly'!$A80,'TRANS EMP EXTRACT - COST CENTRE'!$A:$A,0),MATCH('Summary - Monthly'!AL$3,'TRANS EMP EXTRACT - COST CENTRE'!$2:$2,0)),0)</f>
        <v>0</v>
      </c>
      <c r="AM80" s="10">
        <f t="shared" si="9"/>
        <v>152</v>
      </c>
      <c r="AN80" s="14">
        <f t="shared" si="13"/>
        <v>0</v>
      </c>
      <c r="AO80" s="18">
        <f t="shared" si="18"/>
        <v>1</v>
      </c>
      <c r="AP80" s="18">
        <f t="shared" si="19"/>
        <v>1</v>
      </c>
      <c r="AQ80" s="10" t="str">
        <f>IFERROR(VLOOKUP(B80,Departments!A:C,3,FALSE),"")</f>
        <v>Microbiology</v>
      </c>
      <c r="AR80" s="10" t="str">
        <f>IFERROR(VLOOKUP(B80,Departments!A:B,2,FALSE),"")</f>
        <v>Bris Micro</v>
      </c>
      <c r="AS80" s="10">
        <f t="shared" si="14"/>
        <v>0</v>
      </c>
      <c r="AT80" s="10">
        <f t="shared" si="15"/>
        <v>0</v>
      </c>
      <c r="AU80" s="10" t="str">
        <f>_xlfn.IFNA(VLOOKUP(B80,Departments!A:D,4,FALSE),"")</f>
        <v>Brisbane Micro</v>
      </c>
    </row>
    <row r="81" spans="1:47" ht="14.45" customHeight="1">
      <c r="A81" s="11" t="str">
        <f t="shared" si="16"/>
        <v>1204080018839</v>
      </c>
      <c r="B81" s="11">
        <f>'TRANS EMP EXTRACT - COST CENTRE'!B80</f>
        <v>12040800</v>
      </c>
      <c r="C81" s="10" t="str">
        <f>IFERROR(VLOOKUP(E81,'TRANS EMP EXTRACT - EMP CATEGOR'!A:B,2,FALSE),"")</f>
        <v>PT</v>
      </c>
      <c r="D81" s="10" t="str">
        <f>IFERROR(VLOOKUP(E81,'TRANS EMP EXTRACT - EMP CATEGOR'!A:C,3,FALSE),"")</f>
        <v>Parttime</v>
      </c>
      <c r="E81" s="11">
        <f>'TRANS EMP EXTRACT - COST CENTRE'!D80</f>
        <v>18839</v>
      </c>
      <c r="F81" s="10" t="str">
        <f>IFERROR(VLOOKUP(E81,'TRANS EMP EXTRACT - COST CENTRE'!D:E,2,FALSE),"")</f>
        <v>MENDIVELSO-BOHORQUEZ  SANDRA MISS</v>
      </c>
      <c r="G81" s="12">
        <f>IFERROR(INDEX('TRANS EMP EXTRACT - COST CENTRE'!$A$1:$Z$455,MATCH('Summary - Monthly'!$A81,'TRANS EMP EXTRACT - COST CENTRE'!$A:$A,0),MATCH('Summary - Monthly'!G$3,'TRANS EMP EXTRACT - COST CENTRE'!$2:$2,0)),"")</f>
        <v>43376</v>
      </c>
      <c r="H81" s="10" t="str">
        <f>IFERROR(INDEX('TRANS EMP EXTRACT - COST CENTRE'!$B$1:$Z$455,MATCH('Summary - Monthly'!$E81,'TRANS EMP EXTRACT - COST CENTRE'!$D:$D,0),MATCH('Summary - Monthly'!H$3,'TRANS EMP EXTRACT - COST CENTRE'!$2:$2,0)),"")</f>
        <v>RT</v>
      </c>
      <c r="I81" s="12" t="str">
        <f>IFERROR(INDEX('TRANS EMP EXTRACT - EMP CATEGOR'!$B$1:$AF$421,MATCH('Summary - Monthly'!$E81,'TRANS EMP EXTRACT - EMP CATEGOR'!$D:$D,0),MATCH('Summary - Monthly'!H$3,'TRANS EMP EXTRACT - EMP CATEGOR'!$2:$2,0)),"")</f>
        <v>RT</v>
      </c>
      <c r="J81" s="41">
        <f t="shared" ca="1" si="12"/>
        <v>34.161999999999999</v>
      </c>
      <c r="K81" s="41">
        <f t="shared" ca="1" si="17"/>
        <v>28.164400000000001</v>
      </c>
      <c r="L81" s="10">
        <f>IFERROR(INDEX('TRANS EMP EXTRACT - COST CENTRE'!$A$1:$Z$455,MATCH('Summary - Monthly'!$A81,'TRANS EMP EXTRACT - COST CENTRE'!$A:$A,0),MATCH('Summary - Monthly'!L$3,'TRANS EMP EXTRACT - COST CENTRE'!$2:$2,0)),"")</f>
        <v>90.05</v>
      </c>
      <c r="M81" s="10">
        <f>IFERROR(INDEX('TRANS EMP EXTRACT - COST CENTRE'!$A$1:$Z$455,MATCH('Summary - Monthly'!$A81,'TRANS EMP EXTRACT - COST CENTRE'!$A:$A,0),MATCH('Summary - Monthly'!M$3,'TRANS EMP EXTRACT - COST CENTRE'!$2:$2,0)),0)</f>
        <v>0</v>
      </c>
      <c r="N81" s="10">
        <f>IFERROR(INDEX('TRANS EMP EXTRACT - COST CENTRE'!$A$1:$Z$455,MATCH('Summary - Monthly'!$A81,'TRANS EMP EXTRACT - COST CENTRE'!$A:$A,0),MATCH('Summary - Monthly'!N$3,'TRANS EMP EXTRACT - COST CENTRE'!$2:$2,0)),0)</f>
        <v>0</v>
      </c>
      <c r="O81" s="10">
        <f>IFERROR(INDEX('TRANS EMP EXTRACT - COST CENTRE'!$A$1:$Z$455,MATCH('Summary - Monthly'!$A81,'TRANS EMP EXTRACT - COST CENTRE'!$A:$A,0),MATCH('Summary - Monthly'!O$3,'TRANS EMP EXTRACT - COST CENTRE'!$2:$2,0)),0)</f>
        <v>0</v>
      </c>
      <c r="P81" s="10">
        <f>IFERROR(INDEX('TRANS EMP EXTRACT - COST CENTRE'!$A$1:$Z$455,MATCH('Summary - Monthly'!$A81,'TRANS EMP EXTRACT - COST CENTRE'!$A:$A,0),MATCH('Summary - Monthly'!P$3,'TRANS EMP EXTRACT - COST CENTRE'!$2:$2,0)),0)</f>
        <v>0</v>
      </c>
      <c r="Q81" s="10">
        <f>IFERROR(INDEX('TRANS EMP EXTRACT - COST CENTRE'!$A$1:$Z$455,MATCH('Summary - Monthly'!$A81,'TRANS EMP EXTRACT - COST CENTRE'!$A:$A,0),MATCH('Summary - Monthly'!Q$3,'TRANS EMP EXTRACT - COST CENTRE'!$2:$2,0)),0)</f>
        <v>0</v>
      </c>
      <c r="R81" s="10">
        <f>IFERROR(INDEX('TRANS EMP EXTRACT - COST CENTRE'!$A$1:$Z$455,MATCH('Summary - Monthly'!$A81,'TRANS EMP EXTRACT - COST CENTRE'!$A:$A,0),MATCH('Summary - Monthly'!R$3,'TRANS EMP EXTRACT - COST CENTRE'!$2:$2,0)),0)</f>
        <v>0</v>
      </c>
      <c r="S81" s="10">
        <f>IFERROR(INDEX('TRANS EMP EXTRACT - COST CENTRE'!$A$1:$Z$455,MATCH('Summary - Monthly'!$A81,'TRANS EMP EXTRACT - COST CENTRE'!$A:$A,0),MATCH('Summary - Monthly'!S$3,'TRANS EMP EXTRACT - COST CENTRE'!$2:$2,0)),0)</f>
        <v>0</v>
      </c>
      <c r="T81" s="8">
        <f>IFERROR(INDEX('TRANS EMP EXTRACT - COST CENTRE'!$A$1:$Z$455,MATCH('Summary - Monthly'!$A81,'TRANS EMP EXTRACT - COST CENTRE'!$A:$A,0),MATCH('Summary - Monthly'!T$3,'TRANS EMP EXTRACT - COST CENTRE'!$2:$2,0)),0)</f>
        <v>0</v>
      </c>
      <c r="U81" s="13">
        <f>IFERROR(INDEX('TRANS EMP EXTRACT - COST CENTRE'!$A$1:$Z$455,MATCH('Summary - Monthly'!$A81,'TRANS EMP EXTRACT - COST CENTRE'!$A:$A,0),MATCH('Summary - Monthly'!U$3,'TRANS EMP EXTRACT - COST CENTRE'!$2:$2,0)),0)</f>
        <v>0</v>
      </c>
      <c r="V81" s="13">
        <f>IFERROR(INDEX('TRANS EMP EXTRACT - COST CENTRE'!$A$1:$Z$455,MATCH('Summary - Monthly'!$A81,'TRANS EMP EXTRACT - COST CENTRE'!$A:$A,0),MATCH('Summary - Monthly'!V$3,'TRANS EMP EXTRACT - COST CENTRE'!$2:$2,0)),0)</f>
        <v>0</v>
      </c>
      <c r="W81" s="13">
        <f>IFERROR(INDEX('TRANS EMP EXTRACT - COST CENTRE'!$A$1:$Z$455,MATCH('Summary - Monthly'!$A81,'TRANS EMP EXTRACT - COST CENTRE'!$A:$A,0),MATCH('Summary - Monthly'!W$3,'TRANS EMP EXTRACT - COST CENTRE'!$2:$2,0)),0)</f>
        <v>0</v>
      </c>
      <c r="X81" s="13">
        <f>IFERROR(INDEX('TRANS EMP EXTRACT - COST CENTRE'!$A$1:$Z$455,MATCH('Summary - Monthly'!$A81,'TRANS EMP EXTRACT - COST CENTRE'!$A:$A,0),MATCH('Summary - Monthly'!X$3,'TRANS EMP EXTRACT - COST CENTRE'!$2:$2,0)),0)</f>
        <v>0</v>
      </c>
      <c r="Y81" s="13">
        <f>IFERROR(INDEX('TRANS EMP EXTRACT - COST CENTRE'!$A$1:$Z$455,MATCH('Summary - Monthly'!$A81,'TRANS EMP EXTRACT - COST CENTRE'!$A:$A,0),MATCH('Summary - Monthly'!Y$3,'TRANS EMP EXTRACT - COST CENTRE'!$2:$2,0)),0)</f>
        <v>0</v>
      </c>
      <c r="Z81" s="10">
        <f>IFERROR(INDEX('TRANS EMP EXTRACT - COST CENTRE'!$A$1:$Z$455,MATCH('Summary - Monthly'!$A81,'TRANS EMP EXTRACT - COST CENTRE'!$A:$A,0),MATCH('Summary - Monthly'!Z$3,'TRANS EMP EXTRACT - COST CENTRE'!$2:$2,0)),0)</f>
        <v>0</v>
      </c>
      <c r="AA81" s="10">
        <f>IFERROR(INDEX('TRANS EMP EXTRACT - COST CENTRE'!$A$1:$Z$455,MATCH('Summary - Monthly'!$A81,'TRANS EMP EXTRACT - COST CENTRE'!$A:$A,0),MATCH('Summary - Monthly'!AA$3,'TRANS EMP EXTRACT - COST CENTRE'!$2:$2,0)),0)</f>
        <v>0</v>
      </c>
      <c r="AB81" s="10">
        <f>IFERROR(INDEX('TRANS EMP EXTRACT - COST CENTRE'!$A$1:$Z$455,MATCH('Summary - Monthly'!$A81,'TRANS EMP EXTRACT - COST CENTRE'!$A:$A,0),MATCH('Summary - Monthly'!AB$3,'TRANS EMP EXTRACT - COST CENTRE'!$2:$2,0)),0)</f>
        <v>0</v>
      </c>
      <c r="AC81" s="8">
        <f>IFERROR(INDEX('TRANS EMP EXTRACT - COST CENTRE'!$A$1:$Z$455,MATCH('Summary - Monthly'!$A81,'TRANS EMP EXTRACT - COST CENTRE'!$A:$A,0),MATCH('Summary - Monthly'!AC$3,'TRANS EMP EXTRACT - COST CENTRE'!$2:$2,0)),0)</f>
        <v>0</v>
      </c>
      <c r="AD81" s="13">
        <f>IFERROR(INDEX('TRANS EMP EXTRACT - COST CENTRE'!$A$1:$Z$455,MATCH('Summary - Monthly'!$A81,'TRANS EMP EXTRACT - COST CENTRE'!$A:$A,0),MATCH('Summary - Monthly'!AD$3,'TRANS EMP EXTRACT - COST CENTRE'!$2:$2,0)),0)</f>
        <v>0</v>
      </c>
      <c r="AE81" s="13">
        <f>IFERROR(INDEX('TRANS EMP EXTRACT - COST CENTRE'!$A$1:$Z$455,MATCH('Summary - Monthly'!$A81,'TRANS EMP EXTRACT - COST CENTRE'!$A:$A,0),MATCH('Summary - Monthly'!AE$3,'TRANS EMP EXTRACT - COST CENTRE'!$2:$2,0)),0)</f>
        <v>0</v>
      </c>
      <c r="AF81" s="13">
        <f>IFERROR(INDEX('TRANS EMP EXTRACT - COST CENTRE'!$A$1:$Z$455,MATCH('Summary - Monthly'!$A81,'TRANS EMP EXTRACT - COST CENTRE'!$A:$A,0),MATCH('Summary - Monthly'!AF$3,'TRANS EMP EXTRACT - COST CENTRE'!$2:$2,0)),0)</f>
        <v>0</v>
      </c>
      <c r="AG81" s="10">
        <f>IFERROR(INDEX('TRANS EMP EXTRACT - COST CENTRE'!$A$1:$Z$455,MATCH('Summary - Monthly'!$A81,'TRANS EMP EXTRACT - COST CENTRE'!$A:$A,0),MATCH('Summary - Monthly'!AG$3,'TRANS EMP EXTRACT - COST CENTRE'!$2:$2,0)),0)</f>
        <v>0</v>
      </c>
      <c r="AH81" s="10">
        <f>IFERROR(INDEX('TRANS EMP EXTRACT - COST CENTRE'!$A$1:$Z$455,MATCH('Summary - Monthly'!$A81,'TRANS EMP EXTRACT - COST CENTRE'!$A:$A,0),MATCH('Summary - Monthly'!AH$3,'TRANS EMP EXTRACT - COST CENTRE'!$2:$2,0)),0)</f>
        <v>0</v>
      </c>
      <c r="AI81" s="10">
        <f>IFERROR(INDEX('TRANS EMP EXTRACT - COST CENTRE'!$A$1:$Z$455,MATCH('Summary - Monthly'!$A81,'TRANS EMP EXTRACT - COST CENTRE'!$A:$A,0),MATCH('Summary - Monthly'!AI$3,'TRANS EMP EXTRACT - COST CENTRE'!$2:$2,0)),0)</f>
        <v>0</v>
      </c>
      <c r="AJ81" s="10">
        <f>IFERROR(INDEX('TRANS EMP EXTRACT - COST CENTRE'!$A$1:$Z$455,MATCH('Summary - Monthly'!$A81,'TRANS EMP EXTRACT - COST CENTRE'!$A:$A,0),MATCH('Summary - Monthly'!AJ$3,'TRANS EMP EXTRACT - COST CENTRE'!$2:$2,0)),0)</f>
        <v>0</v>
      </c>
      <c r="AK81" s="10">
        <f>IFERROR(INDEX('TRANS EMP EXTRACT - COST CENTRE'!$A$1:$Z$455,MATCH('Summary - Monthly'!$A81,'TRANS EMP EXTRACT - COST CENTRE'!$A:$A,0),MATCH('Summary - Monthly'!AK$3,'TRANS EMP EXTRACT - COST CENTRE'!$2:$2,0)),0)</f>
        <v>0</v>
      </c>
      <c r="AL81" s="10">
        <f>IFERROR(INDEX('TRANS EMP EXTRACT - COST CENTRE'!$A$1:$Z$455,MATCH('Summary - Monthly'!$A81,'TRANS EMP EXTRACT - COST CENTRE'!$A:$A,0),MATCH('Summary - Monthly'!AL$3,'TRANS EMP EXTRACT - COST CENTRE'!$2:$2,0)),0)</f>
        <v>0</v>
      </c>
      <c r="AM81" s="10">
        <f t="shared" ref="AM81:AM144" si="20">SUM(L81:Y81)+SUM(AD81:AF81)-T81</f>
        <v>90.05</v>
      </c>
      <c r="AN81" s="14">
        <f t="shared" si="13"/>
        <v>0</v>
      </c>
      <c r="AO81" s="18">
        <f t="shared" si="18"/>
        <v>0.59243421052631573</v>
      </c>
      <c r="AP81" s="18">
        <f t="shared" si="19"/>
        <v>0.59243421052631573</v>
      </c>
      <c r="AQ81" s="10" t="str">
        <f>IFERROR(VLOOKUP(B81,Departments!A:C,3,FALSE),"")</f>
        <v>Microbiology</v>
      </c>
      <c r="AR81" s="10" t="str">
        <f>IFERROR(VLOOKUP(B81,Departments!A:B,2,FALSE),"")</f>
        <v>BRI Sample Registration</v>
      </c>
      <c r="AS81" s="10">
        <f t="shared" si="14"/>
        <v>0</v>
      </c>
      <c r="AT81" s="10">
        <f t="shared" si="15"/>
        <v>0</v>
      </c>
      <c r="AU81" s="10" t="str">
        <f>_xlfn.IFNA(VLOOKUP(B81,Departments!A:D,4,FALSE),"")</f>
        <v>Brisbane Micro</v>
      </c>
    </row>
    <row r="82" spans="1:47" ht="14.45" customHeight="1">
      <c r="A82" s="11" t="str">
        <f t="shared" si="16"/>
        <v>1203061118949</v>
      </c>
      <c r="B82" s="11">
        <f>'TRANS EMP EXTRACT - COST CENTRE'!B81</f>
        <v>12030611</v>
      </c>
      <c r="C82" s="10" t="str">
        <f>IFERROR(VLOOKUP(E82,'TRANS EMP EXTRACT - EMP CATEGOR'!A:B,2,FALSE),"")</f>
        <v>FT</v>
      </c>
      <c r="D82" s="10" t="str">
        <f>IFERROR(VLOOKUP(E82,'TRANS EMP EXTRACT - EMP CATEGOR'!A:C,3,FALSE),"")</f>
        <v>Fulltime</v>
      </c>
      <c r="E82" s="11">
        <f>'TRANS EMP EXTRACT - COST CENTRE'!D81</f>
        <v>18949</v>
      </c>
      <c r="F82" s="10" t="str">
        <f>IFERROR(VLOOKUP(E82,'TRANS EMP EXTRACT - COST CENTRE'!D:E,2,FALSE),"")</f>
        <v>MENON  SHIVANI MISS</v>
      </c>
      <c r="G82" s="12">
        <f>IFERROR(INDEX('TRANS EMP EXTRACT - COST CENTRE'!$A$1:$Z$455,MATCH('Summary - Monthly'!$A82,'TRANS EMP EXTRACT - COST CENTRE'!$A:$A,0),MATCH('Summary - Monthly'!G$3,'TRANS EMP EXTRACT - COST CENTRE'!$2:$2,0)),"")</f>
        <v>44291</v>
      </c>
      <c r="H82" s="10" t="str">
        <f>IFERROR(INDEX('TRANS EMP EXTRACT - COST CENTRE'!$B$1:$Z$455,MATCH('Summary - Monthly'!$E82,'TRANS EMP EXTRACT - COST CENTRE'!$D:$D,0),MATCH('Summary - Monthly'!H$3,'TRANS EMP EXTRACT - COST CENTRE'!$2:$2,0)),"")</f>
        <v>FN</v>
      </c>
      <c r="I82" s="12" t="str">
        <f>IFERROR(INDEX('TRANS EMP EXTRACT - EMP CATEGOR'!$B$1:$AF$421,MATCH('Summary - Monthly'!$E82,'TRANS EMP EXTRACT - EMP CATEGOR'!$D:$D,0),MATCH('Summary - Monthly'!H$3,'TRANS EMP EXTRACT - EMP CATEGOR'!$2:$2,0)),"")</f>
        <v>FN</v>
      </c>
      <c r="J82" s="41">
        <f t="shared" ca="1" si="12"/>
        <v>19.052099999999999</v>
      </c>
      <c r="K82" s="41">
        <f t="shared" ca="1" si="17"/>
        <v>30.504100000000001</v>
      </c>
      <c r="L82" s="10">
        <f>IFERROR(INDEX('TRANS EMP EXTRACT - COST CENTRE'!$A$1:$Z$455,MATCH('Summary - Monthly'!$A82,'TRANS EMP EXTRACT - COST CENTRE'!$A:$A,0),MATCH('Summary - Monthly'!L$3,'TRANS EMP EXTRACT - COST CENTRE'!$2:$2,0)),"")</f>
        <v>121.6</v>
      </c>
      <c r="M82" s="10">
        <f>IFERROR(INDEX('TRANS EMP EXTRACT - COST CENTRE'!$A$1:$Z$455,MATCH('Summary - Monthly'!$A82,'TRANS EMP EXTRACT - COST CENTRE'!$A:$A,0),MATCH('Summary - Monthly'!M$3,'TRANS EMP EXTRACT - COST CENTRE'!$2:$2,0)),0)</f>
        <v>0</v>
      </c>
      <c r="N82" s="10">
        <f>IFERROR(INDEX('TRANS EMP EXTRACT - COST CENTRE'!$A$1:$Z$455,MATCH('Summary - Monthly'!$A82,'TRANS EMP EXTRACT - COST CENTRE'!$A:$A,0),MATCH('Summary - Monthly'!N$3,'TRANS EMP EXTRACT - COST CENTRE'!$2:$2,0)),0)</f>
        <v>0</v>
      </c>
      <c r="O82" s="10">
        <f>IFERROR(INDEX('TRANS EMP EXTRACT - COST CENTRE'!$A$1:$Z$455,MATCH('Summary - Monthly'!$A82,'TRANS EMP EXTRACT - COST CENTRE'!$A:$A,0),MATCH('Summary - Monthly'!O$3,'TRANS EMP EXTRACT - COST CENTRE'!$2:$2,0)),0)</f>
        <v>0</v>
      </c>
      <c r="P82" s="10">
        <f>IFERROR(INDEX('TRANS EMP EXTRACT - COST CENTRE'!$A$1:$Z$455,MATCH('Summary - Monthly'!$A82,'TRANS EMP EXTRACT - COST CENTRE'!$A:$A,0),MATCH('Summary - Monthly'!P$3,'TRANS EMP EXTRACT - COST CENTRE'!$2:$2,0)),0)</f>
        <v>0</v>
      </c>
      <c r="Q82" s="10">
        <f>IFERROR(INDEX('TRANS EMP EXTRACT - COST CENTRE'!$A$1:$Z$455,MATCH('Summary - Monthly'!$A82,'TRANS EMP EXTRACT - COST CENTRE'!$A:$A,0),MATCH('Summary - Monthly'!Q$3,'TRANS EMP EXTRACT - COST CENTRE'!$2:$2,0)),0)</f>
        <v>31.9832</v>
      </c>
      <c r="R82" s="10">
        <f>IFERROR(INDEX('TRANS EMP EXTRACT - COST CENTRE'!$A$1:$Z$455,MATCH('Summary - Monthly'!$A82,'TRANS EMP EXTRACT - COST CENTRE'!$A:$A,0),MATCH('Summary - Monthly'!R$3,'TRANS EMP EXTRACT - COST CENTRE'!$2:$2,0)),0)</f>
        <v>27.283300000000001</v>
      </c>
      <c r="S82" s="10">
        <f>IFERROR(INDEX('TRANS EMP EXTRACT - COST CENTRE'!$A$1:$Z$455,MATCH('Summary - Monthly'!$A82,'TRANS EMP EXTRACT - COST CENTRE'!$A:$A,0),MATCH('Summary - Monthly'!S$3,'TRANS EMP EXTRACT - COST CENTRE'!$2:$2,0)),0)</f>
        <v>0</v>
      </c>
      <c r="T82" s="8">
        <f>IFERROR(INDEX('TRANS EMP EXTRACT - COST CENTRE'!$A$1:$Z$455,MATCH('Summary - Monthly'!$A82,'TRANS EMP EXTRACT - COST CENTRE'!$A:$A,0),MATCH('Summary - Monthly'!T$3,'TRANS EMP EXTRACT - COST CENTRE'!$2:$2,0)),0)</f>
        <v>0</v>
      </c>
      <c r="U82" s="13">
        <f>IFERROR(INDEX('TRANS EMP EXTRACT - COST CENTRE'!$A$1:$Z$455,MATCH('Summary - Monthly'!$A82,'TRANS EMP EXTRACT - COST CENTRE'!$A:$A,0),MATCH('Summary - Monthly'!U$3,'TRANS EMP EXTRACT - COST CENTRE'!$2:$2,0)),0)</f>
        <v>0</v>
      </c>
      <c r="V82" s="13">
        <f>IFERROR(INDEX('TRANS EMP EXTRACT - COST CENTRE'!$A$1:$Z$455,MATCH('Summary - Monthly'!$A82,'TRANS EMP EXTRACT - COST CENTRE'!$A:$A,0),MATCH('Summary - Monthly'!V$3,'TRANS EMP EXTRACT - COST CENTRE'!$2:$2,0)),0)</f>
        <v>0</v>
      </c>
      <c r="W82" s="13">
        <f>IFERROR(INDEX('TRANS EMP EXTRACT - COST CENTRE'!$A$1:$Z$455,MATCH('Summary - Monthly'!$A82,'TRANS EMP EXTRACT - COST CENTRE'!$A:$A,0),MATCH('Summary - Monthly'!W$3,'TRANS EMP EXTRACT - COST CENTRE'!$2:$2,0)),0)</f>
        <v>0</v>
      </c>
      <c r="X82" s="13">
        <f>IFERROR(INDEX('TRANS EMP EXTRACT - COST CENTRE'!$A$1:$Z$455,MATCH('Summary - Monthly'!$A82,'TRANS EMP EXTRACT - COST CENTRE'!$A:$A,0),MATCH('Summary - Monthly'!X$3,'TRANS EMP EXTRACT - COST CENTRE'!$2:$2,0)),0)</f>
        <v>0</v>
      </c>
      <c r="Y82" s="13">
        <f>IFERROR(INDEX('TRANS EMP EXTRACT - COST CENTRE'!$A$1:$Z$455,MATCH('Summary - Monthly'!$A82,'TRANS EMP EXTRACT - COST CENTRE'!$A:$A,0),MATCH('Summary - Monthly'!Y$3,'TRANS EMP EXTRACT - COST CENTRE'!$2:$2,0)),0)</f>
        <v>0</v>
      </c>
      <c r="Z82" s="10">
        <f>IFERROR(INDEX('TRANS EMP EXTRACT - COST CENTRE'!$A$1:$Z$455,MATCH('Summary - Monthly'!$A82,'TRANS EMP EXTRACT - COST CENTRE'!$A:$A,0),MATCH('Summary - Monthly'!Z$3,'TRANS EMP EXTRACT - COST CENTRE'!$2:$2,0)),0)</f>
        <v>0</v>
      </c>
      <c r="AA82" s="10">
        <f>IFERROR(INDEX('TRANS EMP EXTRACT - COST CENTRE'!$A$1:$Z$455,MATCH('Summary - Monthly'!$A82,'TRANS EMP EXTRACT - COST CENTRE'!$A:$A,0),MATCH('Summary - Monthly'!AA$3,'TRANS EMP EXTRACT - COST CENTRE'!$2:$2,0)),0)</f>
        <v>0</v>
      </c>
      <c r="AB82" s="10">
        <f>IFERROR(INDEX('TRANS EMP EXTRACT - COST CENTRE'!$A$1:$Z$455,MATCH('Summary - Monthly'!$A82,'TRANS EMP EXTRACT - COST CENTRE'!$A:$A,0),MATCH('Summary - Monthly'!AB$3,'TRANS EMP EXTRACT - COST CENTRE'!$2:$2,0)),0)</f>
        <v>0</v>
      </c>
      <c r="AC82" s="8">
        <f>IFERROR(INDEX('TRANS EMP EXTRACT - COST CENTRE'!$A$1:$Z$455,MATCH('Summary - Monthly'!$A82,'TRANS EMP EXTRACT - COST CENTRE'!$A:$A,0),MATCH('Summary - Monthly'!AC$3,'TRANS EMP EXTRACT - COST CENTRE'!$2:$2,0)),0)</f>
        <v>0</v>
      </c>
      <c r="AD82" s="13">
        <f>IFERROR(INDEX('TRANS EMP EXTRACT - COST CENTRE'!$A$1:$Z$455,MATCH('Summary - Monthly'!$A82,'TRANS EMP EXTRACT - COST CENTRE'!$A:$A,0),MATCH('Summary - Monthly'!AD$3,'TRANS EMP EXTRACT - COST CENTRE'!$2:$2,0)),0)</f>
        <v>0</v>
      </c>
      <c r="AE82" s="13">
        <f>IFERROR(INDEX('TRANS EMP EXTRACT - COST CENTRE'!$A$1:$Z$455,MATCH('Summary - Monthly'!$A82,'TRANS EMP EXTRACT - COST CENTRE'!$A:$A,0),MATCH('Summary - Monthly'!AE$3,'TRANS EMP EXTRACT - COST CENTRE'!$2:$2,0)),0)</f>
        <v>0</v>
      </c>
      <c r="AF82" s="13">
        <f>IFERROR(INDEX('TRANS EMP EXTRACT - COST CENTRE'!$A$1:$Z$455,MATCH('Summary - Monthly'!$A82,'TRANS EMP EXTRACT - COST CENTRE'!$A:$A,0),MATCH('Summary - Monthly'!AF$3,'TRANS EMP EXTRACT - COST CENTRE'!$2:$2,0)),0)</f>
        <v>0</v>
      </c>
      <c r="AG82" s="10">
        <f>IFERROR(INDEX('TRANS EMP EXTRACT - COST CENTRE'!$A$1:$Z$455,MATCH('Summary - Monthly'!$A82,'TRANS EMP EXTRACT - COST CENTRE'!$A:$A,0),MATCH('Summary - Monthly'!AG$3,'TRANS EMP EXTRACT - COST CENTRE'!$2:$2,0)),0)</f>
        <v>0</v>
      </c>
      <c r="AH82" s="10">
        <f>IFERROR(INDEX('TRANS EMP EXTRACT - COST CENTRE'!$A$1:$Z$455,MATCH('Summary - Monthly'!$A82,'TRANS EMP EXTRACT - COST CENTRE'!$A:$A,0),MATCH('Summary - Monthly'!AH$3,'TRANS EMP EXTRACT - COST CENTRE'!$2:$2,0)),0)</f>
        <v>0</v>
      </c>
      <c r="AI82" s="10">
        <f>IFERROR(INDEX('TRANS EMP EXTRACT - COST CENTRE'!$A$1:$Z$455,MATCH('Summary - Monthly'!$A82,'TRANS EMP EXTRACT - COST CENTRE'!$A:$A,0),MATCH('Summary - Monthly'!AI$3,'TRANS EMP EXTRACT - COST CENTRE'!$2:$2,0)),0)</f>
        <v>0</v>
      </c>
      <c r="AJ82" s="10">
        <f>IFERROR(INDEX('TRANS EMP EXTRACT - COST CENTRE'!$A$1:$Z$455,MATCH('Summary - Monthly'!$A82,'TRANS EMP EXTRACT - COST CENTRE'!$A:$A,0),MATCH('Summary - Monthly'!AJ$3,'TRANS EMP EXTRACT - COST CENTRE'!$2:$2,0)),0)</f>
        <v>0</v>
      </c>
      <c r="AK82" s="10">
        <f>IFERROR(INDEX('TRANS EMP EXTRACT - COST CENTRE'!$A$1:$Z$455,MATCH('Summary - Monthly'!$A82,'TRANS EMP EXTRACT - COST CENTRE'!$A:$A,0),MATCH('Summary - Monthly'!AK$3,'TRANS EMP EXTRACT - COST CENTRE'!$2:$2,0)),0)</f>
        <v>0</v>
      </c>
      <c r="AL82" s="10">
        <f>IFERROR(INDEX('TRANS EMP EXTRACT - COST CENTRE'!$A$1:$Z$455,MATCH('Summary - Monthly'!$A82,'TRANS EMP EXTRACT - COST CENTRE'!$A:$A,0),MATCH('Summary - Monthly'!AL$3,'TRANS EMP EXTRACT - COST CENTRE'!$2:$2,0)),0)</f>
        <v>0</v>
      </c>
      <c r="AM82" s="10">
        <f t="shared" si="20"/>
        <v>180.8665</v>
      </c>
      <c r="AN82" s="14">
        <f t="shared" si="13"/>
        <v>0.38991118421052634</v>
      </c>
      <c r="AO82" s="18">
        <f t="shared" si="18"/>
        <v>1.1899111842105263</v>
      </c>
      <c r="AP82" s="18">
        <f t="shared" si="19"/>
        <v>1.1899111842105263</v>
      </c>
      <c r="AQ82" s="10" t="str">
        <f>IFERROR(VLOOKUP(B82,Departments!A:C,3,FALSE),"")</f>
        <v>Microbiology</v>
      </c>
      <c r="AR82" s="10" t="str">
        <f>IFERROR(VLOOKUP(B82,Departments!A:B,2,FALSE),"")</f>
        <v>Melb Micro</v>
      </c>
      <c r="AS82" s="10">
        <f t="shared" si="14"/>
        <v>0</v>
      </c>
      <c r="AT82" s="10">
        <f t="shared" si="15"/>
        <v>0</v>
      </c>
      <c r="AU82" s="10" t="str">
        <f>_xlfn.IFNA(VLOOKUP(B82,Departments!A:D,4,FALSE),"")</f>
        <v>Melbourne Micro</v>
      </c>
    </row>
    <row r="83" spans="1:47" ht="14.45" customHeight="1">
      <c r="A83" s="11" t="str">
        <f t="shared" si="16"/>
        <v>1201809918716</v>
      </c>
      <c r="B83" s="11">
        <f>'TRANS EMP EXTRACT - COST CENTRE'!B82</f>
        <v>12018099</v>
      </c>
      <c r="C83" s="10" t="str">
        <f>IFERROR(VLOOKUP(E83,'TRANS EMP EXTRACT - EMP CATEGOR'!A:B,2,FALSE),"")</f>
        <v>FT</v>
      </c>
      <c r="D83" s="10" t="str">
        <f>IFERROR(VLOOKUP(E83,'TRANS EMP EXTRACT - EMP CATEGOR'!A:C,3,FALSE),"")</f>
        <v>Fulltime</v>
      </c>
      <c r="E83" s="11">
        <f>'TRANS EMP EXTRACT - COST CENTRE'!D82</f>
        <v>18716</v>
      </c>
      <c r="F83" s="10" t="str">
        <f>IFERROR(VLOOKUP(E83,'TRANS EMP EXTRACT - COST CENTRE'!D:E,2,FALSE),"")</f>
        <v>MOONSAMY  MAYEN MR</v>
      </c>
      <c r="G83" s="12">
        <f>IFERROR(INDEX('TRANS EMP EXTRACT - COST CENTRE'!$A$1:$Z$455,MATCH('Summary - Monthly'!$A83,'TRANS EMP EXTRACT - COST CENTRE'!$A:$A,0),MATCH('Summary - Monthly'!G$3,'TRANS EMP EXTRACT - COST CENTRE'!$2:$2,0)),"")</f>
        <v>42380</v>
      </c>
      <c r="H83" s="10" t="str">
        <f>IFERROR(INDEX('TRANS EMP EXTRACT - COST CENTRE'!$B$1:$Z$455,MATCH('Summary - Monthly'!$E83,'TRANS EMP EXTRACT - COST CENTRE'!$D:$D,0),MATCH('Summary - Monthly'!H$3,'TRANS EMP EXTRACT - COST CENTRE'!$2:$2,0)),"")</f>
        <v>FN</v>
      </c>
      <c r="I83" s="12" t="str">
        <f>IFERROR(INDEX('TRANS EMP EXTRACT - EMP CATEGOR'!$B$1:$AF$421,MATCH('Summary - Monthly'!$E83,'TRANS EMP EXTRACT - EMP CATEGOR'!$D:$D,0),MATCH('Summary - Monthly'!H$3,'TRANS EMP EXTRACT - EMP CATEGOR'!$2:$2,0)),"")</f>
        <v>FN</v>
      </c>
      <c r="J83" s="41">
        <f t="shared" ca="1" si="12"/>
        <v>527.6268</v>
      </c>
      <c r="K83" s="41">
        <f t="shared" ca="1" si="17"/>
        <v>162.2542</v>
      </c>
      <c r="L83" s="10">
        <f>IFERROR(INDEX('TRANS EMP EXTRACT - COST CENTRE'!$A$1:$Z$455,MATCH('Summary - Monthly'!$A83,'TRANS EMP EXTRACT - COST CENTRE'!$A:$A,0),MATCH('Summary - Monthly'!L$3,'TRANS EMP EXTRACT - COST CENTRE'!$2:$2,0)),"")</f>
        <v>148.19999999999999</v>
      </c>
      <c r="M83" s="10">
        <f>IFERROR(INDEX('TRANS EMP EXTRACT - COST CENTRE'!$A$1:$Z$455,MATCH('Summary - Monthly'!$A83,'TRANS EMP EXTRACT - COST CENTRE'!$A:$A,0),MATCH('Summary - Monthly'!M$3,'TRANS EMP EXTRACT - COST CENTRE'!$2:$2,0)),0)</f>
        <v>0</v>
      </c>
      <c r="N83" s="10">
        <f>IFERROR(INDEX('TRANS EMP EXTRACT - COST CENTRE'!$A$1:$Z$455,MATCH('Summary - Monthly'!$A83,'TRANS EMP EXTRACT - COST CENTRE'!$A:$A,0),MATCH('Summary - Monthly'!N$3,'TRANS EMP EXTRACT - COST CENTRE'!$2:$2,0)),0)</f>
        <v>0</v>
      </c>
      <c r="O83" s="10">
        <f>IFERROR(INDEX('TRANS EMP EXTRACT - COST CENTRE'!$A$1:$Z$455,MATCH('Summary - Monthly'!$A83,'TRANS EMP EXTRACT - COST CENTRE'!$A:$A,0),MATCH('Summary - Monthly'!O$3,'TRANS EMP EXTRACT - COST CENTRE'!$2:$2,0)),0)</f>
        <v>0</v>
      </c>
      <c r="P83" s="10">
        <f>IFERROR(INDEX('TRANS EMP EXTRACT - COST CENTRE'!$A$1:$Z$455,MATCH('Summary - Monthly'!$A83,'TRANS EMP EXTRACT - COST CENTRE'!$A:$A,0),MATCH('Summary - Monthly'!P$3,'TRANS EMP EXTRACT - COST CENTRE'!$2:$2,0)),0)</f>
        <v>0</v>
      </c>
      <c r="Q83" s="10">
        <f>IFERROR(INDEX('TRANS EMP EXTRACT - COST CENTRE'!$A$1:$Z$455,MATCH('Summary - Monthly'!$A83,'TRANS EMP EXTRACT - COST CENTRE'!$A:$A,0),MATCH('Summary - Monthly'!Q$3,'TRANS EMP EXTRACT - COST CENTRE'!$2:$2,0)),0)</f>
        <v>0</v>
      </c>
      <c r="R83" s="10">
        <f>IFERROR(INDEX('TRANS EMP EXTRACT - COST CENTRE'!$A$1:$Z$455,MATCH('Summary - Monthly'!$A83,'TRANS EMP EXTRACT - COST CENTRE'!$A:$A,0),MATCH('Summary - Monthly'!R$3,'TRANS EMP EXTRACT - COST CENTRE'!$2:$2,0)),0)</f>
        <v>0</v>
      </c>
      <c r="S83" s="10">
        <f>IFERROR(INDEX('TRANS EMP EXTRACT - COST CENTRE'!$A$1:$Z$455,MATCH('Summary - Monthly'!$A83,'TRANS EMP EXTRACT - COST CENTRE'!$A:$A,0),MATCH('Summary - Monthly'!S$3,'TRANS EMP EXTRACT - COST CENTRE'!$2:$2,0)),0)</f>
        <v>0</v>
      </c>
      <c r="T83" s="8">
        <f>IFERROR(INDEX('TRANS EMP EXTRACT - COST CENTRE'!$A$1:$Z$455,MATCH('Summary - Monthly'!$A83,'TRANS EMP EXTRACT - COST CENTRE'!$A:$A,0),MATCH('Summary - Monthly'!T$3,'TRANS EMP EXTRACT - COST CENTRE'!$2:$2,0)),0)</f>
        <v>0</v>
      </c>
      <c r="U83" s="13">
        <f>IFERROR(INDEX('TRANS EMP EXTRACT - COST CENTRE'!$A$1:$Z$455,MATCH('Summary - Monthly'!$A83,'TRANS EMP EXTRACT - COST CENTRE'!$A:$A,0),MATCH('Summary - Monthly'!U$3,'TRANS EMP EXTRACT - COST CENTRE'!$2:$2,0)),0)</f>
        <v>3.8</v>
      </c>
      <c r="V83" s="13">
        <f>IFERROR(INDEX('TRANS EMP EXTRACT - COST CENTRE'!$A$1:$Z$455,MATCH('Summary - Monthly'!$A83,'TRANS EMP EXTRACT - COST CENTRE'!$A:$A,0),MATCH('Summary - Monthly'!V$3,'TRANS EMP EXTRACT - COST CENTRE'!$2:$2,0)),0)</f>
        <v>0</v>
      </c>
      <c r="W83" s="13">
        <f>IFERROR(INDEX('TRANS EMP EXTRACT - COST CENTRE'!$A$1:$Z$455,MATCH('Summary - Monthly'!$A83,'TRANS EMP EXTRACT - COST CENTRE'!$A:$A,0),MATCH('Summary - Monthly'!W$3,'TRANS EMP EXTRACT - COST CENTRE'!$2:$2,0)),0)</f>
        <v>0</v>
      </c>
      <c r="X83" s="13">
        <f>IFERROR(INDEX('TRANS EMP EXTRACT - COST CENTRE'!$A$1:$Z$455,MATCH('Summary - Monthly'!$A83,'TRANS EMP EXTRACT - COST CENTRE'!$A:$A,0),MATCH('Summary - Monthly'!X$3,'TRANS EMP EXTRACT - COST CENTRE'!$2:$2,0)),0)</f>
        <v>0</v>
      </c>
      <c r="Y83" s="13">
        <f>IFERROR(INDEX('TRANS EMP EXTRACT - COST CENTRE'!$A$1:$Z$455,MATCH('Summary - Monthly'!$A83,'TRANS EMP EXTRACT - COST CENTRE'!$A:$A,0),MATCH('Summary - Monthly'!Y$3,'TRANS EMP EXTRACT - COST CENTRE'!$2:$2,0)),0)</f>
        <v>0</v>
      </c>
      <c r="Z83" s="10">
        <f>IFERROR(INDEX('TRANS EMP EXTRACT - COST CENTRE'!$A$1:$Z$455,MATCH('Summary - Monthly'!$A83,'TRANS EMP EXTRACT - COST CENTRE'!$A:$A,0),MATCH('Summary - Monthly'!Z$3,'TRANS EMP EXTRACT - COST CENTRE'!$2:$2,0)),0)</f>
        <v>0</v>
      </c>
      <c r="AA83" s="10">
        <f>IFERROR(INDEX('TRANS EMP EXTRACT - COST CENTRE'!$A$1:$Z$455,MATCH('Summary - Monthly'!$A83,'TRANS EMP EXTRACT - COST CENTRE'!$A:$A,0),MATCH('Summary - Monthly'!AA$3,'TRANS EMP EXTRACT - COST CENTRE'!$2:$2,0)),0)</f>
        <v>0</v>
      </c>
      <c r="AB83" s="10">
        <f>IFERROR(INDEX('TRANS EMP EXTRACT - COST CENTRE'!$A$1:$Z$455,MATCH('Summary - Monthly'!$A83,'TRANS EMP EXTRACT - COST CENTRE'!$A:$A,0),MATCH('Summary - Monthly'!AB$3,'TRANS EMP EXTRACT - COST CENTRE'!$2:$2,0)),0)</f>
        <v>0</v>
      </c>
      <c r="AC83" s="8">
        <f>IFERROR(INDEX('TRANS EMP EXTRACT - COST CENTRE'!$A$1:$Z$455,MATCH('Summary - Monthly'!$A83,'TRANS EMP EXTRACT - COST CENTRE'!$A:$A,0),MATCH('Summary - Monthly'!AC$3,'TRANS EMP EXTRACT - COST CENTRE'!$2:$2,0)),0)</f>
        <v>0</v>
      </c>
      <c r="AD83" s="13">
        <f>IFERROR(INDEX('TRANS EMP EXTRACT - COST CENTRE'!$A$1:$Z$455,MATCH('Summary - Monthly'!$A83,'TRANS EMP EXTRACT - COST CENTRE'!$A:$A,0),MATCH('Summary - Monthly'!AD$3,'TRANS EMP EXTRACT - COST CENTRE'!$2:$2,0)),0)</f>
        <v>0</v>
      </c>
      <c r="AE83" s="13">
        <f>IFERROR(INDEX('TRANS EMP EXTRACT - COST CENTRE'!$A$1:$Z$455,MATCH('Summary - Monthly'!$A83,'TRANS EMP EXTRACT - COST CENTRE'!$A:$A,0),MATCH('Summary - Monthly'!AE$3,'TRANS EMP EXTRACT - COST CENTRE'!$2:$2,0)),0)</f>
        <v>0</v>
      </c>
      <c r="AF83" s="13">
        <f>IFERROR(INDEX('TRANS EMP EXTRACT - COST CENTRE'!$A$1:$Z$455,MATCH('Summary - Monthly'!$A83,'TRANS EMP EXTRACT - COST CENTRE'!$A:$A,0),MATCH('Summary - Monthly'!AF$3,'TRANS EMP EXTRACT - COST CENTRE'!$2:$2,0)),0)</f>
        <v>0</v>
      </c>
      <c r="AG83" s="10">
        <f>IFERROR(INDEX('TRANS EMP EXTRACT - COST CENTRE'!$A$1:$Z$455,MATCH('Summary - Monthly'!$A83,'TRANS EMP EXTRACT - COST CENTRE'!$A:$A,0),MATCH('Summary - Monthly'!AG$3,'TRANS EMP EXTRACT - COST CENTRE'!$2:$2,0)),0)</f>
        <v>0</v>
      </c>
      <c r="AH83" s="10">
        <f>IFERROR(INDEX('TRANS EMP EXTRACT - COST CENTRE'!$A$1:$Z$455,MATCH('Summary - Monthly'!$A83,'TRANS EMP EXTRACT - COST CENTRE'!$A:$A,0),MATCH('Summary - Monthly'!AH$3,'TRANS EMP EXTRACT - COST CENTRE'!$2:$2,0)),0)</f>
        <v>0</v>
      </c>
      <c r="AI83" s="10">
        <f>IFERROR(INDEX('TRANS EMP EXTRACT - COST CENTRE'!$A$1:$Z$455,MATCH('Summary - Monthly'!$A83,'TRANS EMP EXTRACT - COST CENTRE'!$A:$A,0),MATCH('Summary - Monthly'!AI$3,'TRANS EMP EXTRACT - COST CENTRE'!$2:$2,0)),0)</f>
        <v>0</v>
      </c>
      <c r="AJ83" s="10">
        <f>IFERROR(INDEX('TRANS EMP EXTRACT - COST CENTRE'!$A$1:$Z$455,MATCH('Summary - Monthly'!$A83,'TRANS EMP EXTRACT - COST CENTRE'!$A:$A,0),MATCH('Summary - Monthly'!AJ$3,'TRANS EMP EXTRACT - COST CENTRE'!$2:$2,0)),0)</f>
        <v>0</v>
      </c>
      <c r="AK83" s="10">
        <f>IFERROR(INDEX('TRANS EMP EXTRACT - COST CENTRE'!$A$1:$Z$455,MATCH('Summary - Monthly'!$A83,'TRANS EMP EXTRACT - COST CENTRE'!$A:$A,0),MATCH('Summary - Monthly'!AK$3,'TRANS EMP EXTRACT - COST CENTRE'!$2:$2,0)),0)</f>
        <v>0</v>
      </c>
      <c r="AL83" s="10">
        <f>IFERROR(INDEX('TRANS EMP EXTRACT - COST CENTRE'!$A$1:$Z$455,MATCH('Summary - Monthly'!$A83,'TRANS EMP EXTRACT - COST CENTRE'!$A:$A,0),MATCH('Summary - Monthly'!AL$3,'TRANS EMP EXTRACT - COST CENTRE'!$2:$2,0)),0)</f>
        <v>0</v>
      </c>
      <c r="AM83" s="10">
        <f t="shared" si="20"/>
        <v>152</v>
      </c>
      <c r="AN83" s="14">
        <f t="shared" si="13"/>
        <v>0</v>
      </c>
      <c r="AO83" s="18">
        <f t="shared" si="18"/>
        <v>1</v>
      </c>
      <c r="AP83" s="18">
        <f t="shared" si="19"/>
        <v>0.97499999999999998</v>
      </c>
      <c r="AQ83" s="10" t="str">
        <f>IFERROR(VLOOKUP(B83,Departments!A:C,3,FALSE),"")</f>
        <v>Sales &amp; Marketing</v>
      </c>
      <c r="AR83" s="10" t="str">
        <f>IFERROR(VLOOKUP(B83,Departments!A:B,2,FALSE),"")</f>
        <v>Central Sales</v>
      </c>
      <c r="AS83" s="10">
        <f t="shared" si="14"/>
        <v>0</v>
      </c>
      <c r="AT83" s="10">
        <f t="shared" si="15"/>
        <v>3.8</v>
      </c>
      <c r="AU83" s="10" t="str">
        <f>_xlfn.IFNA(VLOOKUP(B83,Departments!A:D,4,FALSE),"")</f>
        <v>S&amp;M</v>
      </c>
    </row>
    <row r="84" spans="1:47" ht="14.45" customHeight="1">
      <c r="A84" s="11" t="str">
        <f t="shared" si="16"/>
        <v>12040400115</v>
      </c>
      <c r="B84" s="11">
        <f>'TRANS EMP EXTRACT - COST CENTRE'!B83</f>
        <v>12040400</v>
      </c>
      <c r="C84" s="10" t="str">
        <f>IFERROR(VLOOKUP(E84,'TRANS EMP EXTRACT - EMP CATEGOR'!A:B,2,FALSE),"")</f>
        <v>FT</v>
      </c>
      <c r="D84" s="10" t="str">
        <f>IFERROR(VLOOKUP(E84,'TRANS EMP EXTRACT - EMP CATEGOR'!A:C,3,FALSE),"")</f>
        <v>Fulltime</v>
      </c>
      <c r="E84" s="11">
        <f>'TRANS EMP EXTRACT - COST CENTRE'!D83</f>
        <v>115</v>
      </c>
      <c r="F84" s="10" t="str">
        <f>IFERROR(VLOOKUP(E84,'TRANS EMP EXTRACT - COST CENTRE'!D:E,2,FALSE),"")</f>
        <v>MOORE  SALOTE MS</v>
      </c>
      <c r="G84" s="12">
        <f>IFERROR(INDEX('TRANS EMP EXTRACT - COST CENTRE'!$A$1:$Z$455,MATCH('Summary - Monthly'!$A84,'TRANS EMP EXTRACT - COST CENTRE'!$A:$A,0),MATCH('Summary - Monthly'!G$3,'TRANS EMP EXTRACT - COST CENTRE'!$2:$2,0)),"")</f>
        <v>35578</v>
      </c>
      <c r="H84" s="10" t="str">
        <f>IFERROR(INDEX('TRANS EMP EXTRACT - COST CENTRE'!$B$1:$Z$455,MATCH('Summary - Monthly'!$E84,'TRANS EMP EXTRACT - COST CENTRE'!$D:$D,0),MATCH('Summary - Monthly'!H$3,'TRANS EMP EXTRACT - COST CENTRE'!$2:$2,0)),"")</f>
        <v>FN</v>
      </c>
      <c r="I84" s="12" t="str">
        <f>IFERROR(INDEX('TRANS EMP EXTRACT - EMP CATEGOR'!$B$1:$AF$421,MATCH('Summary - Monthly'!$E84,'TRANS EMP EXTRACT - EMP CATEGOR'!$D:$D,0),MATCH('Summary - Monthly'!H$3,'TRANS EMP EXTRACT - EMP CATEGOR'!$2:$2,0)),"")</f>
        <v>FN</v>
      </c>
      <c r="J84" s="41">
        <f t="shared" ca="1" si="12"/>
        <v>100.21769999999999</v>
      </c>
      <c r="K84" s="41">
        <f t="shared" ca="1" si="17"/>
        <v>70.596299999999999</v>
      </c>
      <c r="L84" s="10">
        <f>IFERROR(INDEX('TRANS EMP EXTRACT - COST CENTRE'!$A$1:$Z$455,MATCH('Summary - Monthly'!$A84,'TRANS EMP EXTRACT - COST CENTRE'!$A:$A,0),MATCH('Summary - Monthly'!L$3,'TRANS EMP EXTRACT - COST CENTRE'!$2:$2,0)),"")</f>
        <v>152</v>
      </c>
      <c r="M84" s="10">
        <f>IFERROR(INDEX('TRANS EMP EXTRACT - COST CENTRE'!$A$1:$Z$455,MATCH('Summary - Monthly'!$A84,'TRANS EMP EXTRACT - COST CENTRE'!$A:$A,0),MATCH('Summary - Monthly'!M$3,'TRANS EMP EXTRACT - COST CENTRE'!$2:$2,0)),0)</f>
        <v>0</v>
      </c>
      <c r="N84" s="10">
        <f>IFERROR(INDEX('TRANS EMP EXTRACT - COST CENTRE'!$A$1:$Z$455,MATCH('Summary - Monthly'!$A84,'TRANS EMP EXTRACT - COST CENTRE'!$A:$A,0),MATCH('Summary - Monthly'!N$3,'TRANS EMP EXTRACT - COST CENTRE'!$2:$2,0)),0)</f>
        <v>0</v>
      </c>
      <c r="O84" s="10">
        <f>IFERROR(INDEX('TRANS EMP EXTRACT - COST CENTRE'!$A$1:$Z$455,MATCH('Summary - Monthly'!$A84,'TRANS EMP EXTRACT - COST CENTRE'!$A:$A,0),MATCH('Summary - Monthly'!O$3,'TRANS EMP EXTRACT - COST CENTRE'!$2:$2,0)),0)</f>
        <v>0</v>
      </c>
      <c r="P84" s="10">
        <f>IFERROR(INDEX('TRANS EMP EXTRACT - COST CENTRE'!$A$1:$Z$455,MATCH('Summary - Monthly'!$A84,'TRANS EMP EXTRACT - COST CENTRE'!$A:$A,0),MATCH('Summary - Monthly'!P$3,'TRANS EMP EXTRACT - COST CENTRE'!$2:$2,0)),0)</f>
        <v>0</v>
      </c>
      <c r="Q84" s="10">
        <f>IFERROR(INDEX('TRANS EMP EXTRACT - COST CENTRE'!$A$1:$Z$455,MATCH('Summary - Monthly'!$A84,'TRANS EMP EXTRACT - COST CENTRE'!$A:$A,0),MATCH('Summary - Monthly'!Q$3,'TRANS EMP EXTRACT - COST CENTRE'!$2:$2,0)),0)</f>
        <v>0</v>
      </c>
      <c r="R84" s="10">
        <f>IFERROR(INDEX('TRANS EMP EXTRACT - COST CENTRE'!$A$1:$Z$455,MATCH('Summary - Monthly'!$A84,'TRANS EMP EXTRACT - COST CENTRE'!$A:$A,0),MATCH('Summary - Monthly'!R$3,'TRANS EMP EXTRACT - COST CENTRE'!$2:$2,0)),0)</f>
        <v>0</v>
      </c>
      <c r="S84" s="10">
        <f>IFERROR(INDEX('TRANS EMP EXTRACT - COST CENTRE'!$A$1:$Z$455,MATCH('Summary - Monthly'!$A84,'TRANS EMP EXTRACT - COST CENTRE'!$A:$A,0),MATCH('Summary - Monthly'!S$3,'TRANS EMP EXTRACT - COST CENTRE'!$2:$2,0)),0)</f>
        <v>0</v>
      </c>
      <c r="T84" s="8">
        <f>IFERROR(INDEX('TRANS EMP EXTRACT - COST CENTRE'!$A$1:$Z$455,MATCH('Summary - Monthly'!$A84,'TRANS EMP EXTRACT - COST CENTRE'!$A:$A,0),MATCH('Summary - Monthly'!T$3,'TRANS EMP EXTRACT - COST CENTRE'!$2:$2,0)),0)</f>
        <v>0</v>
      </c>
      <c r="U84" s="13">
        <f>IFERROR(INDEX('TRANS EMP EXTRACT - COST CENTRE'!$A$1:$Z$455,MATCH('Summary - Monthly'!$A84,'TRANS EMP EXTRACT - COST CENTRE'!$A:$A,0),MATCH('Summary - Monthly'!U$3,'TRANS EMP EXTRACT - COST CENTRE'!$2:$2,0)),0)</f>
        <v>0</v>
      </c>
      <c r="V84" s="13">
        <f>IFERROR(INDEX('TRANS EMP EXTRACT - COST CENTRE'!$A$1:$Z$455,MATCH('Summary - Monthly'!$A84,'TRANS EMP EXTRACT - COST CENTRE'!$A:$A,0),MATCH('Summary - Monthly'!V$3,'TRANS EMP EXTRACT - COST CENTRE'!$2:$2,0)),0)</f>
        <v>0</v>
      </c>
      <c r="W84" s="13">
        <f>IFERROR(INDEX('TRANS EMP EXTRACT - COST CENTRE'!$A$1:$Z$455,MATCH('Summary - Monthly'!$A84,'TRANS EMP EXTRACT - COST CENTRE'!$A:$A,0),MATCH('Summary - Monthly'!W$3,'TRANS EMP EXTRACT - COST CENTRE'!$2:$2,0)),0)</f>
        <v>0</v>
      </c>
      <c r="X84" s="13">
        <f>IFERROR(INDEX('TRANS EMP EXTRACT - COST CENTRE'!$A$1:$Z$455,MATCH('Summary - Monthly'!$A84,'TRANS EMP EXTRACT - COST CENTRE'!$A:$A,0),MATCH('Summary - Monthly'!X$3,'TRANS EMP EXTRACT - COST CENTRE'!$2:$2,0)),0)</f>
        <v>0</v>
      </c>
      <c r="Y84" s="13">
        <f>IFERROR(INDEX('TRANS EMP EXTRACT - COST CENTRE'!$A$1:$Z$455,MATCH('Summary - Monthly'!$A84,'TRANS EMP EXTRACT - COST CENTRE'!$A:$A,0),MATCH('Summary - Monthly'!Y$3,'TRANS EMP EXTRACT - COST CENTRE'!$2:$2,0)),0)</f>
        <v>0</v>
      </c>
      <c r="Z84" s="10">
        <f>IFERROR(INDEX('TRANS EMP EXTRACT - COST CENTRE'!$A$1:$Z$455,MATCH('Summary - Monthly'!$A84,'TRANS EMP EXTRACT - COST CENTRE'!$A:$A,0),MATCH('Summary - Monthly'!Z$3,'TRANS EMP EXTRACT - COST CENTRE'!$2:$2,0)),0)</f>
        <v>0</v>
      </c>
      <c r="AA84" s="10">
        <f>IFERROR(INDEX('TRANS EMP EXTRACT - COST CENTRE'!$A$1:$Z$455,MATCH('Summary - Monthly'!$A84,'TRANS EMP EXTRACT - COST CENTRE'!$A:$A,0),MATCH('Summary - Monthly'!AA$3,'TRANS EMP EXTRACT - COST CENTRE'!$2:$2,0)),0)</f>
        <v>0</v>
      </c>
      <c r="AB84" s="10">
        <f>IFERROR(INDEX('TRANS EMP EXTRACT - COST CENTRE'!$A$1:$Z$455,MATCH('Summary - Monthly'!$A84,'TRANS EMP EXTRACT - COST CENTRE'!$A:$A,0),MATCH('Summary - Monthly'!AB$3,'TRANS EMP EXTRACT - COST CENTRE'!$2:$2,0)),0)</f>
        <v>0</v>
      </c>
      <c r="AC84" s="8">
        <f>IFERROR(INDEX('TRANS EMP EXTRACT - COST CENTRE'!$A$1:$Z$455,MATCH('Summary - Monthly'!$A84,'TRANS EMP EXTRACT - COST CENTRE'!$A:$A,0),MATCH('Summary - Monthly'!AC$3,'TRANS EMP EXTRACT - COST CENTRE'!$2:$2,0)),0)</f>
        <v>0</v>
      </c>
      <c r="AD84" s="13">
        <f>IFERROR(INDEX('TRANS EMP EXTRACT - COST CENTRE'!$A$1:$Z$455,MATCH('Summary - Monthly'!$A84,'TRANS EMP EXTRACT - COST CENTRE'!$A:$A,0),MATCH('Summary - Monthly'!AD$3,'TRANS EMP EXTRACT - COST CENTRE'!$2:$2,0)),0)</f>
        <v>0</v>
      </c>
      <c r="AE84" s="13">
        <f>IFERROR(INDEX('TRANS EMP EXTRACT - COST CENTRE'!$A$1:$Z$455,MATCH('Summary - Monthly'!$A84,'TRANS EMP EXTRACT - COST CENTRE'!$A:$A,0),MATCH('Summary - Monthly'!AE$3,'TRANS EMP EXTRACT - COST CENTRE'!$2:$2,0)),0)</f>
        <v>0</v>
      </c>
      <c r="AF84" s="13">
        <f>IFERROR(INDEX('TRANS EMP EXTRACT - COST CENTRE'!$A$1:$Z$455,MATCH('Summary - Monthly'!$A84,'TRANS EMP EXTRACT - COST CENTRE'!$A:$A,0),MATCH('Summary - Monthly'!AF$3,'TRANS EMP EXTRACT - COST CENTRE'!$2:$2,0)),0)</f>
        <v>0</v>
      </c>
      <c r="AG84" s="10">
        <f>IFERROR(INDEX('TRANS EMP EXTRACT - COST CENTRE'!$A$1:$Z$455,MATCH('Summary - Monthly'!$A84,'TRANS EMP EXTRACT - COST CENTRE'!$A:$A,0),MATCH('Summary - Monthly'!AG$3,'TRANS EMP EXTRACT - COST CENTRE'!$2:$2,0)),0)</f>
        <v>0</v>
      </c>
      <c r="AH84" s="10">
        <f>IFERROR(INDEX('TRANS EMP EXTRACT - COST CENTRE'!$A$1:$Z$455,MATCH('Summary - Monthly'!$A84,'TRANS EMP EXTRACT - COST CENTRE'!$A:$A,0),MATCH('Summary - Monthly'!AH$3,'TRANS EMP EXTRACT - COST CENTRE'!$2:$2,0)),0)</f>
        <v>0</v>
      </c>
      <c r="AI84" s="10">
        <f>IFERROR(INDEX('TRANS EMP EXTRACT - COST CENTRE'!$A$1:$Z$455,MATCH('Summary - Monthly'!$A84,'TRANS EMP EXTRACT - COST CENTRE'!$A:$A,0),MATCH('Summary - Monthly'!AI$3,'TRANS EMP EXTRACT - COST CENTRE'!$2:$2,0)),0)</f>
        <v>0</v>
      </c>
      <c r="AJ84" s="10">
        <f>IFERROR(INDEX('TRANS EMP EXTRACT - COST CENTRE'!$A$1:$Z$455,MATCH('Summary - Monthly'!$A84,'TRANS EMP EXTRACT - COST CENTRE'!$A:$A,0),MATCH('Summary - Monthly'!AJ$3,'TRANS EMP EXTRACT - COST CENTRE'!$2:$2,0)),0)</f>
        <v>0</v>
      </c>
      <c r="AK84" s="10">
        <f>IFERROR(INDEX('TRANS EMP EXTRACT - COST CENTRE'!$A$1:$Z$455,MATCH('Summary - Monthly'!$A84,'TRANS EMP EXTRACT - COST CENTRE'!$A:$A,0),MATCH('Summary - Monthly'!AK$3,'TRANS EMP EXTRACT - COST CENTRE'!$2:$2,0)),0)</f>
        <v>0</v>
      </c>
      <c r="AL84" s="10">
        <f>IFERROR(INDEX('TRANS EMP EXTRACT - COST CENTRE'!$A$1:$Z$455,MATCH('Summary - Monthly'!$A84,'TRANS EMP EXTRACT - COST CENTRE'!$A:$A,0),MATCH('Summary - Monthly'!AL$3,'TRANS EMP EXTRACT - COST CENTRE'!$2:$2,0)),0)</f>
        <v>0</v>
      </c>
      <c r="AM84" s="10">
        <f t="shared" si="20"/>
        <v>152</v>
      </c>
      <c r="AN84" s="14">
        <f t="shared" si="13"/>
        <v>0</v>
      </c>
      <c r="AO84" s="18">
        <f t="shared" si="18"/>
        <v>1</v>
      </c>
      <c r="AP84" s="18">
        <f t="shared" si="19"/>
        <v>1</v>
      </c>
      <c r="AQ84" s="10" t="str">
        <f>IFERROR(VLOOKUP(B84,Departments!A:C,3,FALSE),"")</f>
        <v>Customer Care</v>
      </c>
      <c r="AR84" s="10" t="str">
        <f>IFERROR(VLOOKUP(B84,Departments!A:B,2,FALSE),"")</f>
        <v>Bris Customer Care</v>
      </c>
      <c r="AS84" s="10">
        <f t="shared" si="14"/>
        <v>0</v>
      </c>
      <c r="AT84" s="10">
        <f t="shared" si="15"/>
        <v>0</v>
      </c>
      <c r="AU84" s="10" t="str">
        <f>_xlfn.IFNA(VLOOKUP(B84,Departments!A:D,4,FALSE),"")</f>
        <v>Bris Customer Care</v>
      </c>
    </row>
    <row r="85" spans="1:47" ht="14.45" customHeight="1">
      <c r="A85" s="11" t="str">
        <f t="shared" si="16"/>
        <v>1203061118626</v>
      </c>
      <c r="B85" s="11">
        <f>'TRANS EMP EXTRACT - COST CENTRE'!B84</f>
        <v>12030611</v>
      </c>
      <c r="C85" s="10" t="str">
        <f>IFERROR(VLOOKUP(E85,'TRANS EMP EXTRACT - EMP CATEGOR'!A:B,2,FALSE),"")</f>
        <v>FT</v>
      </c>
      <c r="D85" s="10" t="str">
        <f>IFERROR(VLOOKUP(E85,'TRANS EMP EXTRACT - EMP CATEGOR'!A:C,3,FALSE),"")</f>
        <v>Fulltime</v>
      </c>
      <c r="E85" s="11">
        <f>'TRANS EMP EXTRACT - COST CENTRE'!D84</f>
        <v>18626</v>
      </c>
      <c r="F85" s="10" t="str">
        <f>IFERROR(VLOOKUP(E85,'TRANS EMP EXTRACT - COST CENTRE'!D:E,2,FALSE),"")</f>
        <v>MOORKANATH  ANU MRS</v>
      </c>
      <c r="G85" s="12">
        <f>IFERROR(INDEX('TRANS EMP EXTRACT - COST CENTRE'!$A$1:$Z$455,MATCH('Summary - Monthly'!$A85,'TRANS EMP EXTRACT - COST CENTRE'!$A:$A,0),MATCH('Summary - Monthly'!G$3,'TRANS EMP EXTRACT - COST CENTRE'!$2:$2,0)),"")</f>
        <v>41828</v>
      </c>
      <c r="H85" s="10" t="str">
        <f>IFERROR(INDEX('TRANS EMP EXTRACT - COST CENTRE'!$B$1:$Z$455,MATCH('Summary - Monthly'!$E85,'TRANS EMP EXTRACT - COST CENTRE'!$D:$D,0),MATCH('Summary - Monthly'!H$3,'TRANS EMP EXTRACT - COST CENTRE'!$2:$2,0)),"")</f>
        <v>RT</v>
      </c>
      <c r="I85" s="12" t="str">
        <f>IFERROR(INDEX('TRANS EMP EXTRACT - EMP CATEGOR'!$B$1:$AF$421,MATCH('Summary - Monthly'!$E85,'TRANS EMP EXTRACT - EMP CATEGOR'!$D:$D,0),MATCH('Summary - Monthly'!H$3,'TRANS EMP EXTRACT - EMP CATEGOR'!$2:$2,0)),"")</f>
        <v>RT</v>
      </c>
      <c r="J85" s="41">
        <f t="shared" ca="1" si="12"/>
        <v>360.00360000000001</v>
      </c>
      <c r="K85" s="41">
        <f t="shared" ca="1" si="17"/>
        <v>179.16810000000001</v>
      </c>
      <c r="L85" s="10">
        <f>IFERROR(INDEX('TRANS EMP EXTRACT - COST CENTRE'!$A$1:$Z$455,MATCH('Summary - Monthly'!$A85,'TRANS EMP EXTRACT - COST CENTRE'!$A:$A,0),MATCH('Summary - Monthly'!L$3,'TRANS EMP EXTRACT - COST CENTRE'!$2:$2,0)),"")</f>
        <v>152</v>
      </c>
      <c r="M85" s="10">
        <f>IFERROR(INDEX('TRANS EMP EXTRACT - COST CENTRE'!$A$1:$Z$455,MATCH('Summary - Monthly'!$A85,'TRANS EMP EXTRACT - COST CENTRE'!$A:$A,0),MATCH('Summary - Monthly'!M$3,'TRANS EMP EXTRACT - COST CENTRE'!$2:$2,0)),0)</f>
        <v>0</v>
      </c>
      <c r="N85" s="10">
        <f>IFERROR(INDEX('TRANS EMP EXTRACT - COST CENTRE'!$A$1:$Z$455,MATCH('Summary - Monthly'!$A85,'TRANS EMP EXTRACT - COST CENTRE'!$A:$A,0),MATCH('Summary - Monthly'!N$3,'TRANS EMP EXTRACT - COST CENTRE'!$2:$2,0)),0)</f>
        <v>0</v>
      </c>
      <c r="O85" s="10">
        <f>IFERROR(INDEX('TRANS EMP EXTRACT - COST CENTRE'!$A$1:$Z$455,MATCH('Summary - Monthly'!$A85,'TRANS EMP EXTRACT - COST CENTRE'!$A:$A,0),MATCH('Summary - Monthly'!O$3,'TRANS EMP EXTRACT - COST CENTRE'!$2:$2,0)),0)</f>
        <v>0</v>
      </c>
      <c r="P85" s="10">
        <f>IFERROR(INDEX('TRANS EMP EXTRACT - COST CENTRE'!$A$1:$Z$455,MATCH('Summary - Monthly'!$A85,'TRANS EMP EXTRACT - COST CENTRE'!$A:$A,0),MATCH('Summary - Monthly'!P$3,'TRANS EMP EXTRACT - COST CENTRE'!$2:$2,0)),0)</f>
        <v>0</v>
      </c>
      <c r="Q85" s="10">
        <f>IFERROR(INDEX('TRANS EMP EXTRACT - COST CENTRE'!$A$1:$Z$455,MATCH('Summary - Monthly'!$A85,'TRANS EMP EXTRACT - COST CENTRE'!$A:$A,0),MATCH('Summary - Monthly'!Q$3,'TRANS EMP EXTRACT - COST CENTRE'!$2:$2,0)),0)</f>
        <v>0</v>
      </c>
      <c r="R85" s="10">
        <f>IFERROR(INDEX('TRANS EMP EXTRACT - COST CENTRE'!$A$1:$Z$455,MATCH('Summary - Monthly'!$A85,'TRANS EMP EXTRACT - COST CENTRE'!$A:$A,0),MATCH('Summary - Monthly'!R$3,'TRANS EMP EXTRACT - COST CENTRE'!$2:$2,0)),0)</f>
        <v>0</v>
      </c>
      <c r="S85" s="10">
        <f>IFERROR(INDEX('TRANS EMP EXTRACT - COST CENTRE'!$A$1:$Z$455,MATCH('Summary - Monthly'!$A85,'TRANS EMP EXTRACT - COST CENTRE'!$A:$A,0),MATCH('Summary - Monthly'!S$3,'TRANS EMP EXTRACT - COST CENTRE'!$2:$2,0)),0)</f>
        <v>0</v>
      </c>
      <c r="T85" s="8">
        <f>IFERROR(INDEX('TRANS EMP EXTRACT - COST CENTRE'!$A$1:$Z$455,MATCH('Summary - Monthly'!$A85,'TRANS EMP EXTRACT - COST CENTRE'!$A:$A,0),MATCH('Summary - Monthly'!T$3,'TRANS EMP EXTRACT - COST CENTRE'!$2:$2,0)),0)</f>
        <v>0</v>
      </c>
      <c r="U85" s="13">
        <f>IFERROR(INDEX('TRANS EMP EXTRACT - COST CENTRE'!$A$1:$Z$455,MATCH('Summary - Monthly'!$A85,'TRANS EMP EXTRACT - COST CENTRE'!$A:$A,0),MATCH('Summary - Monthly'!U$3,'TRANS EMP EXTRACT - COST CENTRE'!$2:$2,0)),0)</f>
        <v>0</v>
      </c>
      <c r="V85" s="13">
        <f>IFERROR(INDEX('TRANS EMP EXTRACT - COST CENTRE'!$A$1:$Z$455,MATCH('Summary - Monthly'!$A85,'TRANS EMP EXTRACT - COST CENTRE'!$A:$A,0),MATCH('Summary - Monthly'!V$3,'TRANS EMP EXTRACT - COST CENTRE'!$2:$2,0)),0)</f>
        <v>0</v>
      </c>
      <c r="W85" s="13">
        <f>IFERROR(INDEX('TRANS EMP EXTRACT - COST CENTRE'!$A$1:$Z$455,MATCH('Summary - Monthly'!$A85,'TRANS EMP EXTRACT - COST CENTRE'!$A:$A,0),MATCH('Summary - Monthly'!W$3,'TRANS EMP EXTRACT - COST CENTRE'!$2:$2,0)),0)</f>
        <v>0</v>
      </c>
      <c r="X85" s="13">
        <f>IFERROR(INDEX('TRANS EMP EXTRACT - COST CENTRE'!$A$1:$Z$455,MATCH('Summary - Monthly'!$A85,'TRANS EMP EXTRACT - COST CENTRE'!$A:$A,0),MATCH('Summary - Monthly'!X$3,'TRANS EMP EXTRACT - COST CENTRE'!$2:$2,0)),0)</f>
        <v>0</v>
      </c>
      <c r="Y85" s="13">
        <f>IFERROR(INDEX('TRANS EMP EXTRACT - COST CENTRE'!$A$1:$Z$455,MATCH('Summary - Monthly'!$A85,'TRANS EMP EXTRACT - COST CENTRE'!$A:$A,0),MATCH('Summary - Monthly'!Y$3,'TRANS EMP EXTRACT - COST CENTRE'!$2:$2,0)),0)</f>
        <v>0</v>
      </c>
      <c r="Z85" s="10">
        <f>IFERROR(INDEX('TRANS EMP EXTRACT - COST CENTRE'!$A$1:$Z$455,MATCH('Summary - Monthly'!$A85,'TRANS EMP EXTRACT - COST CENTRE'!$A:$A,0),MATCH('Summary - Monthly'!Z$3,'TRANS EMP EXTRACT - COST CENTRE'!$2:$2,0)),0)</f>
        <v>0</v>
      </c>
      <c r="AA85" s="10">
        <f>IFERROR(INDEX('TRANS EMP EXTRACT - COST CENTRE'!$A$1:$Z$455,MATCH('Summary - Monthly'!$A85,'TRANS EMP EXTRACT - COST CENTRE'!$A:$A,0),MATCH('Summary - Monthly'!AA$3,'TRANS EMP EXTRACT - COST CENTRE'!$2:$2,0)),0)</f>
        <v>0</v>
      </c>
      <c r="AB85" s="10">
        <f>IFERROR(INDEX('TRANS EMP EXTRACT - COST CENTRE'!$A$1:$Z$455,MATCH('Summary - Monthly'!$A85,'TRANS EMP EXTRACT - COST CENTRE'!$A:$A,0),MATCH('Summary - Monthly'!AB$3,'TRANS EMP EXTRACT - COST CENTRE'!$2:$2,0)),0)</f>
        <v>0</v>
      </c>
      <c r="AC85" s="8">
        <f>IFERROR(INDEX('TRANS EMP EXTRACT - COST CENTRE'!$A$1:$Z$455,MATCH('Summary - Monthly'!$A85,'TRANS EMP EXTRACT - COST CENTRE'!$A:$A,0),MATCH('Summary - Monthly'!AC$3,'TRANS EMP EXTRACT - COST CENTRE'!$2:$2,0)),0)</f>
        <v>0</v>
      </c>
      <c r="AD85" s="13">
        <f>IFERROR(INDEX('TRANS EMP EXTRACT - COST CENTRE'!$A$1:$Z$455,MATCH('Summary - Monthly'!$A85,'TRANS EMP EXTRACT - COST CENTRE'!$A:$A,0),MATCH('Summary - Monthly'!AD$3,'TRANS EMP EXTRACT - COST CENTRE'!$2:$2,0)),0)</f>
        <v>0</v>
      </c>
      <c r="AE85" s="13">
        <f>IFERROR(INDEX('TRANS EMP EXTRACT - COST CENTRE'!$A$1:$Z$455,MATCH('Summary - Monthly'!$A85,'TRANS EMP EXTRACT - COST CENTRE'!$A:$A,0),MATCH('Summary - Monthly'!AE$3,'TRANS EMP EXTRACT - COST CENTRE'!$2:$2,0)),0)</f>
        <v>0</v>
      </c>
      <c r="AF85" s="13">
        <f>IFERROR(INDEX('TRANS EMP EXTRACT - COST CENTRE'!$A$1:$Z$455,MATCH('Summary - Monthly'!$A85,'TRANS EMP EXTRACT - COST CENTRE'!$A:$A,0),MATCH('Summary - Monthly'!AF$3,'TRANS EMP EXTRACT - COST CENTRE'!$2:$2,0)),0)</f>
        <v>0</v>
      </c>
      <c r="AG85" s="10">
        <f>IFERROR(INDEX('TRANS EMP EXTRACT - COST CENTRE'!$A$1:$Z$455,MATCH('Summary - Monthly'!$A85,'TRANS EMP EXTRACT - COST CENTRE'!$A:$A,0),MATCH('Summary - Monthly'!AG$3,'TRANS EMP EXTRACT - COST CENTRE'!$2:$2,0)),0)</f>
        <v>0</v>
      </c>
      <c r="AH85" s="10">
        <f>IFERROR(INDEX('TRANS EMP EXTRACT - COST CENTRE'!$A$1:$Z$455,MATCH('Summary - Monthly'!$A85,'TRANS EMP EXTRACT - COST CENTRE'!$A:$A,0),MATCH('Summary - Monthly'!AH$3,'TRANS EMP EXTRACT - COST CENTRE'!$2:$2,0)),0)</f>
        <v>0</v>
      </c>
      <c r="AI85" s="10">
        <f>IFERROR(INDEX('TRANS EMP EXTRACT - COST CENTRE'!$A$1:$Z$455,MATCH('Summary - Monthly'!$A85,'TRANS EMP EXTRACT - COST CENTRE'!$A:$A,0),MATCH('Summary - Monthly'!AI$3,'TRANS EMP EXTRACT - COST CENTRE'!$2:$2,0)),0)</f>
        <v>0</v>
      </c>
      <c r="AJ85" s="10">
        <f>IFERROR(INDEX('TRANS EMP EXTRACT - COST CENTRE'!$A$1:$Z$455,MATCH('Summary - Monthly'!$A85,'TRANS EMP EXTRACT - COST CENTRE'!$A:$A,0),MATCH('Summary - Monthly'!AJ$3,'TRANS EMP EXTRACT - COST CENTRE'!$2:$2,0)),0)</f>
        <v>0</v>
      </c>
      <c r="AK85" s="10">
        <f>IFERROR(INDEX('TRANS EMP EXTRACT - COST CENTRE'!$A$1:$Z$455,MATCH('Summary - Monthly'!$A85,'TRANS EMP EXTRACT - COST CENTRE'!$A:$A,0),MATCH('Summary - Monthly'!AK$3,'TRANS EMP EXTRACT - COST CENTRE'!$2:$2,0)),0)</f>
        <v>0</v>
      </c>
      <c r="AL85" s="10">
        <f>IFERROR(INDEX('TRANS EMP EXTRACT - COST CENTRE'!$A$1:$Z$455,MATCH('Summary - Monthly'!$A85,'TRANS EMP EXTRACT - COST CENTRE'!$A:$A,0),MATCH('Summary - Monthly'!AL$3,'TRANS EMP EXTRACT - COST CENTRE'!$2:$2,0)),0)</f>
        <v>0</v>
      </c>
      <c r="AM85" s="10">
        <f t="shared" si="20"/>
        <v>152</v>
      </c>
      <c r="AN85" s="14">
        <f t="shared" si="13"/>
        <v>0</v>
      </c>
      <c r="AO85" s="18">
        <f t="shared" si="18"/>
        <v>1</v>
      </c>
      <c r="AP85" s="18">
        <f t="shared" si="19"/>
        <v>1</v>
      </c>
      <c r="AQ85" s="10" t="str">
        <f>IFERROR(VLOOKUP(B85,Departments!A:C,3,FALSE),"")</f>
        <v>Microbiology</v>
      </c>
      <c r="AR85" s="10" t="str">
        <f>IFERROR(VLOOKUP(B85,Departments!A:B,2,FALSE),"")</f>
        <v>Melb Micro</v>
      </c>
      <c r="AS85" s="10">
        <f t="shared" si="14"/>
        <v>0</v>
      </c>
      <c r="AT85" s="10">
        <f t="shared" si="15"/>
        <v>0</v>
      </c>
      <c r="AU85" s="10" t="str">
        <f>_xlfn.IFNA(VLOOKUP(B85,Departments!A:D,4,FALSE),"")</f>
        <v>Melbourne Micro</v>
      </c>
    </row>
    <row r="86" spans="1:47" ht="14.45" customHeight="1">
      <c r="A86" s="11" t="str">
        <f t="shared" si="16"/>
        <v>1203301119028</v>
      </c>
      <c r="B86" s="11">
        <f>'TRANS EMP EXTRACT - COST CENTRE'!B85</f>
        <v>12033011</v>
      </c>
      <c r="C86" s="10" t="str">
        <f>IFERROR(VLOOKUP(E86,'TRANS EMP EXTRACT - EMP CATEGOR'!A:B,2,FALSE),"")</f>
        <v>TF</v>
      </c>
      <c r="D86" s="10" t="str">
        <f>IFERROR(VLOOKUP(E86,'TRANS EMP EXTRACT - EMP CATEGOR'!A:C,3,FALSE),"")</f>
        <v>Temporary Fulltime</v>
      </c>
      <c r="E86" s="11">
        <f>'TRANS EMP EXTRACT - COST CENTRE'!D85</f>
        <v>19028</v>
      </c>
      <c r="F86" s="10" t="str">
        <f>IFERROR(VLOOKUP(E86,'TRANS EMP EXTRACT - COST CENTRE'!D:E,2,FALSE),"")</f>
        <v>NANAYAKKARA W V W  SHALINI MISS</v>
      </c>
      <c r="G86" s="12">
        <f>IFERROR(INDEX('TRANS EMP EXTRACT - COST CENTRE'!$A$1:$Z$455,MATCH('Summary - Monthly'!$A86,'TRANS EMP EXTRACT - COST CENTRE'!$A:$A,0),MATCH('Summary - Monthly'!G$3,'TRANS EMP EXTRACT - COST CENTRE'!$2:$2,0)),"")</f>
        <v>44788</v>
      </c>
      <c r="H86" s="10" t="str">
        <f>IFERROR(INDEX('TRANS EMP EXTRACT - COST CENTRE'!$B$1:$Z$455,MATCH('Summary - Monthly'!$E86,'TRANS EMP EXTRACT - COST CENTRE'!$D:$D,0),MATCH('Summary - Monthly'!H$3,'TRANS EMP EXTRACT - COST CENTRE'!$2:$2,0)),"")</f>
        <v>RT</v>
      </c>
      <c r="I86" s="12" t="str">
        <f>IFERROR(INDEX('TRANS EMP EXTRACT - EMP CATEGOR'!$B$1:$AF$421,MATCH('Summary - Monthly'!$E86,'TRANS EMP EXTRACT - EMP CATEGOR'!$D:$D,0),MATCH('Summary - Monthly'!H$3,'TRANS EMP EXTRACT - EMP CATEGOR'!$2:$2,0)),"")</f>
        <v>RT</v>
      </c>
      <c r="J86" s="41">
        <f t="shared" ca="1" si="12"/>
        <v>3.8521000000000001</v>
      </c>
      <c r="K86" s="41">
        <f t="shared" ca="1" si="17"/>
        <v>38.104100000000003</v>
      </c>
      <c r="L86" s="10">
        <f>IFERROR(INDEX('TRANS EMP EXTRACT - COST CENTRE'!$A$1:$Z$455,MATCH('Summary - Monthly'!$A86,'TRANS EMP EXTRACT - COST CENTRE'!$A:$A,0),MATCH('Summary - Monthly'!L$3,'TRANS EMP EXTRACT - COST CENTRE'!$2:$2,0)),"")</f>
        <v>144.1</v>
      </c>
      <c r="M86" s="10">
        <f>IFERROR(INDEX('TRANS EMP EXTRACT - COST CENTRE'!$A$1:$Z$455,MATCH('Summary - Monthly'!$A86,'TRANS EMP EXTRACT - COST CENTRE'!$A:$A,0),MATCH('Summary - Monthly'!M$3,'TRANS EMP EXTRACT - COST CENTRE'!$2:$2,0)),0)</f>
        <v>0</v>
      </c>
      <c r="N86" s="10">
        <f>IFERROR(INDEX('TRANS EMP EXTRACT - COST CENTRE'!$A$1:$Z$455,MATCH('Summary - Monthly'!$A86,'TRANS EMP EXTRACT - COST CENTRE'!$A:$A,0),MATCH('Summary - Monthly'!N$3,'TRANS EMP EXTRACT - COST CENTRE'!$2:$2,0)),0)</f>
        <v>0</v>
      </c>
      <c r="O86" s="10">
        <f>IFERROR(INDEX('TRANS EMP EXTRACT - COST CENTRE'!$A$1:$Z$455,MATCH('Summary - Monthly'!$A86,'TRANS EMP EXTRACT - COST CENTRE'!$A:$A,0),MATCH('Summary - Monthly'!O$3,'TRANS EMP EXTRACT - COST CENTRE'!$2:$2,0)),0)</f>
        <v>0</v>
      </c>
      <c r="P86" s="10">
        <f>IFERROR(INDEX('TRANS EMP EXTRACT - COST CENTRE'!$A$1:$Z$455,MATCH('Summary - Monthly'!$A86,'TRANS EMP EXTRACT - COST CENTRE'!$A:$A,0),MATCH('Summary - Monthly'!P$3,'TRANS EMP EXTRACT - COST CENTRE'!$2:$2,0)),0)</f>
        <v>0</v>
      </c>
      <c r="Q86" s="10">
        <f>IFERROR(INDEX('TRANS EMP EXTRACT - COST CENTRE'!$A$1:$Z$455,MATCH('Summary - Monthly'!$A86,'TRANS EMP EXTRACT - COST CENTRE'!$A:$A,0),MATCH('Summary - Monthly'!Q$3,'TRANS EMP EXTRACT - COST CENTRE'!$2:$2,0)),0)</f>
        <v>22.633099999999999</v>
      </c>
      <c r="R86" s="10">
        <f>IFERROR(INDEX('TRANS EMP EXTRACT - COST CENTRE'!$A$1:$Z$455,MATCH('Summary - Monthly'!$A86,'TRANS EMP EXTRACT - COST CENTRE'!$A:$A,0),MATCH('Summary - Monthly'!R$3,'TRANS EMP EXTRACT - COST CENTRE'!$2:$2,0)),0)</f>
        <v>2.8834</v>
      </c>
      <c r="S86" s="10">
        <f>IFERROR(INDEX('TRANS EMP EXTRACT - COST CENTRE'!$A$1:$Z$455,MATCH('Summary - Monthly'!$A86,'TRANS EMP EXTRACT - COST CENTRE'!$A:$A,0),MATCH('Summary - Monthly'!S$3,'TRANS EMP EXTRACT - COST CENTRE'!$2:$2,0)),0)</f>
        <v>0</v>
      </c>
      <c r="T86" s="8">
        <f>IFERROR(INDEX('TRANS EMP EXTRACT - COST CENTRE'!$A$1:$Z$455,MATCH('Summary - Monthly'!$A86,'TRANS EMP EXTRACT - COST CENTRE'!$A:$A,0),MATCH('Summary - Monthly'!T$3,'TRANS EMP EXTRACT - COST CENTRE'!$2:$2,0)),0)</f>
        <v>0</v>
      </c>
      <c r="U86" s="13">
        <f>IFERROR(INDEX('TRANS EMP EXTRACT - COST CENTRE'!$A$1:$Z$455,MATCH('Summary - Monthly'!$A86,'TRANS EMP EXTRACT - COST CENTRE'!$A:$A,0),MATCH('Summary - Monthly'!U$3,'TRANS EMP EXTRACT - COST CENTRE'!$2:$2,0)),0)</f>
        <v>0</v>
      </c>
      <c r="V86" s="13">
        <f>IFERROR(INDEX('TRANS EMP EXTRACT - COST CENTRE'!$A$1:$Z$455,MATCH('Summary - Monthly'!$A86,'TRANS EMP EXTRACT - COST CENTRE'!$A:$A,0),MATCH('Summary - Monthly'!V$3,'TRANS EMP EXTRACT - COST CENTRE'!$2:$2,0)),0)</f>
        <v>7.6</v>
      </c>
      <c r="W86" s="13">
        <f>IFERROR(INDEX('TRANS EMP EXTRACT - COST CENTRE'!$A$1:$Z$455,MATCH('Summary - Monthly'!$A86,'TRANS EMP EXTRACT - COST CENTRE'!$A:$A,0),MATCH('Summary - Monthly'!W$3,'TRANS EMP EXTRACT - COST CENTRE'!$2:$2,0)),0)</f>
        <v>0</v>
      </c>
      <c r="X86" s="13">
        <f>IFERROR(INDEX('TRANS EMP EXTRACT - COST CENTRE'!$A$1:$Z$455,MATCH('Summary - Monthly'!$A86,'TRANS EMP EXTRACT - COST CENTRE'!$A:$A,0),MATCH('Summary - Monthly'!X$3,'TRANS EMP EXTRACT - COST CENTRE'!$2:$2,0)),0)</f>
        <v>0</v>
      </c>
      <c r="Y86" s="13">
        <f>IFERROR(INDEX('TRANS EMP EXTRACT - COST CENTRE'!$A$1:$Z$455,MATCH('Summary - Monthly'!$A86,'TRANS EMP EXTRACT - COST CENTRE'!$A:$A,0),MATCH('Summary - Monthly'!Y$3,'TRANS EMP EXTRACT - COST CENTRE'!$2:$2,0)),0)</f>
        <v>0</v>
      </c>
      <c r="Z86" s="10">
        <f>IFERROR(INDEX('TRANS EMP EXTRACT - COST CENTRE'!$A$1:$Z$455,MATCH('Summary - Monthly'!$A86,'TRANS EMP EXTRACT - COST CENTRE'!$A:$A,0),MATCH('Summary - Monthly'!Z$3,'TRANS EMP EXTRACT - COST CENTRE'!$2:$2,0)),0)</f>
        <v>0</v>
      </c>
      <c r="AA86" s="10">
        <f>IFERROR(INDEX('TRANS EMP EXTRACT - COST CENTRE'!$A$1:$Z$455,MATCH('Summary - Monthly'!$A86,'TRANS EMP EXTRACT - COST CENTRE'!$A:$A,0),MATCH('Summary - Monthly'!AA$3,'TRANS EMP EXTRACT - COST CENTRE'!$2:$2,0)),0)</f>
        <v>0</v>
      </c>
      <c r="AB86" s="10">
        <f>IFERROR(INDEX('TRANS EMP EXTRACT - COST CENTRE'!$A$1:$Z$455,MATCH('Summary - Monthly'!$A86,'TRANS EMP EXTRACT - COST CENTRE'!$A:$A,0),MATCH('Summary - Monthly'!AB$3,'TRANS EMP EXTRACT - COST CENTRE'!$2:$2,0)),0)</f>
        <v>0</v>
      </c>
      <c r="AC86" s="8">
        <f>IFERROR(INDEX('TRANS EMP EXTRACT - COST CENTRE'!$A$1:$Z$455,MATCH('Summary - Monthly'!$A86,'TRANS EMP EXTRACT - COST CENTRE'!$A:$A,0),MATCH('Summary - Monthly'!AC$3,'TRANS EMP EXTRACT - COST CENTRE'!$2:$2,0)),0)</f>
        <v>0</v>
      </c>
      <c r="AD86" s="13">
        <f>IFERROR(INDEX('TRANS EMP EXTRACT - COST CENTRE'!$A$1:$Z$455,MATCH('Summary - Monthly'!$A86,'TRANS EMP EXTRACT - COST CENTRE'!$A:$A,0),MATCH('Summary - Monthly'!AD$3,'TRANS EMP EXTRACT - COST CENTRE'!$2:$2,0)),0)</f>
        <v>0</v>
      </c>
      <c r="AE86" s="13">
        <f>IFERROR(INDEX('TRANS EMP EXTRACT - COST CENTRE'!$A$1:$Z$455,MATCH('Summary - Monthly'!$A86,'TRANS EMP EXTRACT - COST CENTRE'!$A:$A,0),MATCH('Summary - Monthly'!AE$3,'TRANS EMP EXTRACT - COST CENTRE'!$2:$2,0)),0)</f>
        <v>0</v>
      </c>
      <c r="AF86" s="13">
        <f>IFERROR(INDEX('TRANS EMP EXTRACT - COST CENTRE'!$A$1:$Z$455,MATCH('Summary - Monthly'!$A86,'TRANS EMP EXTRACT - COST CENTRE'!$A:$A,0),MATCH('Summary - Monthly'!AF$3,'TRANS EMP EXTRACT - COST CENTRE'!$2:$2,0)),0)</f>
        <v>0</v>
      </c>
      <c r="AG86" s="10">
        <f>IFERROR(INDEX('TRANS EMP EXTRACT - COST CENTRE'!$A$1:$Z$455,MATCH('Summary - Monthly'!$A86,'TRANS EMP EXTRACT - COST CENTRE'!$A:$A,0),MATCH('Summary - Monthly'!AG$3,'TRANS EMP EXTRACT - COST CENTRE'!$2:$2,0)),0)</f>
        <v>0</v>
      </c>
      <c r="AH86" s="10">
        <f>IFERROR(INDEX('TRANS EMP EXTRACT - COST CENTRE'!$A$1:$Z$455,MATCH('Summary - Monthly'!$A86,'TRANS EMP EXTRACT - COST CENTRE'!$A:$A,0),MATCH('Summary - Monthly'!AH$3,'TRANS EMP EXTRACT - COST CENTRE'!$2:$2,0)),0)</f>
        <v>0</v>
      </c>
      <c r="AI86" s="10">
        <f>IFERROR(INDEX('TRANS EMP EXTRACT - COST CENTRE'!$A$1:$Z$455,MATCH('Summary - Monthly'!$A86,'TRANS EMP EXTRACT - COST CENTRE'!$A:$A,0),MATCH('Summary - Monthly'!AI$3,'TRANS EMP EXTRACT - COST CENTRE'!$2:$2,0)),0)</f>
        <v>0</v>
      </c>
      <c r="AJ86" s="10">
        <f>IFERROR(INDEX('TRANS EMP EXTRACT - COST CENTRE'!$A$1:$Z$455,MATCH('Summary - Monthly'!$A86,'TRANS EMP EXTRACT - COST CENTRE'!$A:$A,0),MATCH('Summary - Monthly'!AJ$3,'TRANS EMP EXTRACT - COST CENTRE'!$2:$2,0)),0)</f>
        <v>0</v>
      </c>
      <c r="AK86" s="10">
        <f>IFERROR(INDEX('TRANS EMP EXTRACT - COST CENTRE'!$A$1:$Z$455,MATCH('Summary - Monthly'!$A86,'TRANS EMP EXTRACT - COST CENTRE'!$A:$A,0),MATCH('Summary - Monthly'!AK$3,'TRANS EMP EXTRACT - COST CENTRE'!$2:$2,0)),0)</f>
        <v>0</v>
      </c>
      <c r="AL86" s="10">
        <f>IFERROR(INDEX('TRANS EMP EXTRACT - COST CENTRE'!$A$1:$Z$455,MATCH('Summary - Monthly'!$A86,'TRANS EMP EXTRACT - COST CENTRE'!$A:$A,0),MATCH('Summary - Monthly'!AL$3,'TRANS EMP EXTRACT - COST CENTRE'!$2:$2,0)),0)</f>
        <v>0</v>
      </c>
      <c r="AM86" s="10">
        <f t="shared" si="20"/>
        <v>177.21649999999997</v>
      </c>
      <c r="AN86" s="14">
        <f t="shared" si="13"/>
        <v>0.1678717105263158</v>
      </c>
      <c r="AO86" s="18">
        <f t="shared" si="18"/>
        <v>1.1658980263157892</v>
      </c>
      <c r="AP86" s="18">
        <f t="shared" si="19"/>
        <v>1.1158980263157894</v>
      </c>
      <c r="AQ86" s="10" t="str">
        <f>IFERROR(VLOOKUP(B86,Departments!A:C,3,FALSE),"")</f>
        <v>Microbiology</v>
      </c>
      <c r="AR86" s="10" t="str">
        <f>IFERROR(VLOOKUP(B86,Departments!A:B,2,FALSE),"")</f>
        <v>Melb Micro</v>
      </c>
      <c r="AS86" s="10">
        <f t="shared" si="14"/>
        <v>7.6</v>
      </c>
      <c r="AT86" s="10">
        <f t="shared" si="15"/>
        <v>7.6</v>
      </c>
      <c r="AU86" s="10" t="str">
        <f>_xlfn.IFNA(VLOOKUP(B86,Departments!A:D,4,FALSE),"")</f>
        <v>Melbourne Micro</v>
      </c>
    </row>
    <row r="87" spans="1:47" ht="14.45" customHeight="1">
      <c r="A87" s="11" t="str">
        <f t="shared" si="16"/>
        <v>1201809918948</v>
      </c>
      <c r="B87" s="11">
        <f>'TRANS EMP EXTRACT - COST CENTRE'!B86</f>
        <v>12018099</v>
      </c>
      <c r="C87" s="10" t="str">
        <f>IFERROR(VLOOKUP(E87,'TRANS EMP EXTRACT - EMP CATEGOR'!A:B,2,FALSE),"")</f>
        <v>FT</v>
      </c>
      <c r="D87" s="10" t="str">
        <f>IFERROR(VLOOKUP(E87,'TRANS EMP EXTRACT - EMP CATEGOR'!A:C,3,FALSE),"")</f>
        <v>Fulltime</v>
      </c>
      <c r="E87" s="11">
        <f>'TRANS EMP EXTRACT - COST CENTRE'!D86</f>
        <v>18948</v>
      </c>
      <c r="F87" s="10" t="str">
        <f>IFERROR(VLOOKUP(E87,'TRANS EMP EXTRACT - COST CENTRE'!D:E,2,FALSE),"")</f>
        <v>NARAYANA SWAMY  KUSUMA MRS</v>
      </c>
      <c r="G87" s="12">
        <f>IFERROR(INDEX('TRANS EMP EXTRACT - COST CENTRE'!$A$1:$Z$455,MATCH('Summary - Monthly'!$A87,'TRANS EMP EXTRACT - COST CENTRE'!$A:$A,0),MATCH('Summary - Monthly'!G$3,'TRANS EMP EXTRACT - COST CENTRE'!$2:$2,0)),"")</f>
        <v>44279</v>
      </c>
      <c r="H87" s="10" t="str">
        <f>IFERROR(INDEX('TRANS EMP EXTRACT - COST CENTRE'!$B$1:$Z$455,MATCH('Summary - Monthly'!$E87,'TRANS EMP EXTRACT - COST CENTRE'!$D:$D,0),MATCH('Summary - Monthly'!H$3,'TRANS EMP EXTRACT - COST CENTRE'!$2:$2,0)),"")</f>
        <v>FN</v>
      </c>
      <c r="I87" s="12" t="str">
        <f>IFERROR(INDEX('TRANS EMP EXTRACT - EMP CATEGOR'!$B$1:$AF$421,MATCH('Summary - Monthly'!$E87,'TRANS EMP EXTRACT - EMP CATEGOR'!$D:$D,0),MATCH('Summary - Monthly'!H$3,'TRANS EMP EXTRACT - EMP CATEGOR'!$2:$2,0)),"")</f>
        <v>FN</v>
      </c>
      <c r="J87" s="41">
        <f t="shared" ca="1" si="12"/>
        <v>6.1048</v>
      </c>
      <c r="K87" s="41">
        <f t="shared" ca="1" si="17"/>
        <v>27.6097</v>
      </c>
      <c r="L87" s="10">
        <f>IFERROR(INDEX('TRANS EMP EXTRACT - COST CENTRE'!$A$1:$Z$455,MATCH('Summary - Monthly'!$A87,'TRANS EMP EXTRACT - COST CENTRE'!$A:$A,0),MATCH('Summary - Monthly'!L$3,'TRANS EMP EXTRACT - COST CENTRE'!$2:$2,0)),"")</f>
        <v>117.6</v>
      </c>
      <c r="M87" s="10">
        <f>IFERROR(INDEX('TRANS EMP EXTRACT - COST CENTRE'!$A$1:$Z$455,MATCH('Summary - Monthly'!$A87,'TRANS EMP EXTRACT - COST CENTRE'!$A:$A,0),MATCH('Summary - Monthly'!M$3,'TRANS EMP EXTRACT - COST CENTRE'!$2:$2,0)),0)</f>
        <v>0</v>
      </c>
      <c r="N87" s="10">
        <f>IFERROR(INDEX('TRANS EMP EXTRACT - COST CENTRE'!$A$1:$Z$455,MATCH('Summary - Monthly'!$A87,'TRANS EMP EXTRACT - COST CENTRE'!$A:$A,0),MATCH('Summary - Monthly'!N$3,'TRANS EMP EXTRACT - COST CENTRE'!$2:$2,0)),0)</f>
        <v>0</v>
      </c>
      <c r="O87" s="10">
        <f>IFERROR(INDEX('TRANS EMP EXTRACT - COST CENTRE'!$A$1:$Z$455,MATCH('Summary - Monthly'!$A87,'TRANS EMP EXTRACT - COST CENTRE'!$A:$A,0),MATCH('Summary - Monthly'!O$3,'TRANS EMP EXTRACT - COST CENTRE'!$2:$2,0)),0)</f>
        <v>0</v>
      </c>
      <c r="P87" s="10">
        <f>IFERROR(INDEX('TRANS EMP EXTRACT - COST CENTRE'!$A$1:$Z$455,MATCH('Summary - Monthly'!$A87,'TRANS EMP EXTRACT - COST CENTRE'!$A:$A,0),MATCH('Summary - Monthly'!P$3,'TRANS EMP EXTRACT - COST CENTRE'!$2:$2,0)),0)</f>
        <v>0</v>
      </c>
      <c r="Q87" s="10">
        <f>IFERROR(INDEX('TRANS EMP EXTRACT - COST CENTRE'!$A$1:$Z$455,MATCH('Summary - Monthly'!$A87,'TRANS EMP EXTRACT - COST CENTRE'!$A:$A,0),MATCH('Summary - Monthly'!Q$3,'TRANS EMP EXTRACT - COST CENTRE'!$2:$2,0)),0)</f>
        <v>0</v>
      </c>
      <c r="R87" s="10">
        <f>IFERROR(INDEX('TRANS EMP EXTRACT - COST CENTRE'!$A$1:$Z$455,MATCH('Summary - Monthly'!$A87,'TRANS EMP EXTRACT - COST CENTRE'!$A:$A,0),MATCH('Summary - Monthly'!R$3,'TRANS EMP EXTRACT - COST CENTRE'!$2:$2,0)),0)</f>
        <v>0</v>
      </c>
      <c r="S87" s="10">
        <f>IFERROR(INDEX('TRANS EMP EXTRACT - COST CENTRE'!$A$1:$Z$455,MATCH('Summary - Monthly'!$A87,'TRANS EMP EXTRACT - COST CENTRE'!$A:$A,0),MATCH('Summary - Monthly'!S$3,'TRANS EMP EXTRACT - COST CENTRE'!$2:$2,0)),0)</f>
        <v>0</v>
      </c>
      <c r="T87" s="8">
        <f>IFERROR(INDEX('TRANS EMP EXTRACT - COST CENTRE'!$A$1:$Z$455,MATCH('Summary - Monthly'!$A87,'TRANS EMP EXTRACT - COST CENTRE'!$A:$A,0),MATCH('Summary - Monthly'!T$3,'TRANS EMP EXTRACT - COST CENTRE'!$2:$2,0)),0)</f>
        <v>0</v>
      </c>
      <c r="U87" s="13">
        <f>IFERROR(INDEX('TRANS EMP EXTRACT - COST CENTRE'!$A$1:$Z$455,MATCH('Summary - Monthly'!$A87,'TRANS EMP EXTRACT - COST CENTRE'!$A:$A,0),MATCH('Summary - Monthly'!U$3,'TRANS EMP EXTRACT - COST CENTRE'!$2:$2,0)),0)</f>
        <v>15.2</v>
      </c>
      <c r="V87" s="13">
        <f>IFERROR(INDEX('TRANS EMP EXTRACT - COST CENTRE'!$A$1:$Z$455,MATCH('Summary - Monthly'!$A87,'TRANS EMP EXTRACT - COST CENTRE'!$A:$A,0),MATCH('Summary - Monthly'!V$3,'TRANS EMP EXTRACT - COST CENTRE'!$2:$2,0)),0)</f>
        <v>7.6</v>
      </c>
      <c r="W87" s="13">
        <f>IFERROR(INDEX('TRANS EMP EXTRACT - COST CENTRE'!$A$1:$Z$455,MATCH('Summary - Monthly'!$A87,'TRANS EMP EXTRACT - COST CENTRE'!$A:$A,0),MATCH('Summary - Monthly'!W$3,'TRANS EMP EXTRACT - COST CENTRE'!$2:$2,0)),0)</f>
        <v>0</v>
      </c>
      <c r="X87" s="13">
        <f>IFERROR(INDEX('TRANS EMP EXTRACT - COST CENTRE'!$A$1:$Z$455,MATCH('Summary - Monthly'!$A87,'TRANS EMP EXTRACT - COST CENTRE'!$A:$A,0),MATCH('Summary - Monthly'!X$3,'TRANS EMP EXTRACT - COST CENTRE'!$2:$2,0)),0)</f>
        <v>0</v>
      </c>
      <c r="Y87" s="13">
        <f>IFERROR(INDEX('TRANS EMP EXTRACT - COST CENTRE'!$A$1:$Z$455,MATCH('Summary - Monthly'!$A87,'TRANS EMP EXTRACT - COST CENTRE'!$A:$A,0),MATCH('Summary - Monthly'!Y$3,'TRANS EMP EXTRACT - COST CENTRE'!$2:$2,0)),0)</f>
        <v>0</v>
      </c>
      <c r="Z87" s="10">
        <f>IFERROR(INDEX('TRANS EMP EXTRACT - COST CENTRE'!$A$1:$Z$455,MATCH('Summary - Monthly'!$A87,'TRANS EMP EXTRACT - COST CENTRE'!$A:$A,0),MATCH('Summary - Monthly'!Z$3,'TRANS EMP EXTRACT - COST CENTRE'!$2:$2,0)),0)</f>
        <v>0</v>
      </c>
      <c r="AA87" s="10">
        <f>IFERROR(INDEX('TRANS EMP EXTRACT - COST CENTRE'!$A$1:$Z$455,MATCH('Summary - Monthly'!$A87,'TRANS EMP EXTRACT - COST CENTRE'!$A:$A,0),MATCH('Summary - Monthly'!AA$3,'TRANS EMP EXTRACT - COST CENTRE'!$2:$2,0)),0)</f>
        <v>11.6</v>
      </c>
      <c r="AB87" s="10">
        <f>IFERROR(INDEX('TRANS EMP EXTRACT - COST CENTRE'!$A$1:$Z$455,MATCH('Summary - Monthly'!$A87,'TRANS EMP EXTRACT - COST CENTRE'!$A:$A,0),MATCH('Summary - Monthly'!AB$3,'TRANS EMP EXTRACT - COST CENTRE'!$2:$2,0)),0)</f>
        <v>0</v>
      </c>
      <c r="AC87" s="8">
        <f>IFERROR(INDEX('TRANS EMP EXTRACT - COST CENTRE'!$A$1:$Z$455,MATCH('Summary - Monthly'!$A87,'TRANS EMP EXTRACT - COST CENTRE'!$A:$A,0),MATCH('Summary - Monthly'!AC$3,'TRANS EMP EXTRACT - COST CENTRE'!$2:$2,0)),0)</f>
        <v>0</v>
      </c>
      <c r="AD87" s="13">
        <f>IFERROR(INDEX('TRANS EMP EXTRACT - COST CENTRE'!$A$1:$Z$455,MATCH('Summary - Monthly'!$A87,'TRANS EMP EXTRACT - COST CENTRE'!$A:$A,0),MATCH('Summary - Monthly'!AD$3,'TRANS EMP EXTRACT - COST CENTRE'!$2:$2,0)),0)</f>
        <v>0</v>
      </c>
      <c r="AE87" s="13">
        <f>IFERROR(INDEX('TRANS EMP EXTRACT - COST CENTRE'!$A$1:$Z$455,MATCH('Summary - Monthly'!$A87,'TRANS EMP EXTRACT - COST CENTRE'!$A:$A,0),MATCH('Summary - Monthly'!AE$3,'TRANS EMP EXTRACT - COST CENTRE'!$2:$2,0)),0)</f>
        <v>0</v>
      </c>
      <c r="AF87" s="13">
        <f>IFERROR(INDEX('TRANS EMP EXTRACT - COST CENTRE'!$A$1:$Z$455,MATCH('Summary - Monthly'!$A87,'TRANS EMP EXTRACT - COST CENTRE'!$A:$A,0),MATCH('Summary - Monthly'!AF$3,'TRANS EMP EXTRACT - COST CENTRE'!$2:$2,0)),0)</f>
        <v>0</v>
      </c>
      <c r="AG87" s="10">
        <f>IFERROR(INDEX('TRANS EMP EXTRACT - COST CENTRE'!$A$1:$Z$455,MATCH('Summary - Monthly'!$A87,'TRANS EMP EXTRACT - COST CENTRE'!$A:$A,0),MATCH('Summary - Monthly'!AG$3,'TRANS EMP EXTRACT - COST CENTRE'!$2:$2,0)),0)</f>
        <v>0</v>
      </c>
      <c r="AH87" s="10">
        <f>IFERROR(INDEX('TRANS EMP EXTRACT - COST CENTRE'!$A$1:$Z$455,MATCH('Summary - Monthly'!$A87,'TRANS EMP EXTRACT - COST CENTRE'!$A:$A,0),MATCH('Summary - Monthly'!AH$3,'TRANS EMP EXTRACT - COST CENTRE'!$2:$2,0)),0)</f>
        <v>0</v>
      </c>
      <c r="AI87" s="10">
        <f>IFERROR(INDEX('TRANS EMP EXTRACT - COST CENTRE'!$A$1:$Z$455,MATCH('Summary - Monthly'!$A87,'TRANS EMP EXTRACT - COST CENTRE'!$A:$A,0),MATCH('Summary - Monthly'!AI$3,'TRANS EMP EXTRACT - COST CENTRE'!$2:$2,0)),0)</f>
        <v>0</v>
      </c>
      <c r="AJ87" s="10">
        <f>IFERROR(INDEX('TRANS EMP EXTRACT - COST CENTRE'!$A$1:$Z$455,MATCH('Summary - Monthly'!$A87,'TRANS EMP EXTRACT - COST CENTRE'!$A:$A,0),MATCH('Summary - Monthly'!AJ$3,'TRANS EMP EXTRACT - COST CENTRE'!$2:$2,0)),0)</f>
        <v>0</v>
      </c>
      <c r="AK87" s="10">
        <f>IFERROR(INDEX('TRANS EMP EXTRACT - COST CENTRE'!$A$1:$Z$455,MATCH('Summary - Monthly'!$A87,'TRANS EMP EXTRACT - COST CENTRE'!$A:$A,0),MATCH('Summary - Monthly'!AK$3,'TRANS EMP EXTRACT - COST CENTRE'!$2:$2,0)),0)</f>
        <v>0</v>
      </c>
      <c r="AL87" s="10">
        <f>IFERROR(INDEX('TRANS EMP EXTRACT - COST CENTRE'!$A$1:$Z$455,MATCH('Summary - Monthly'!$A87,'TRANS EMP EXTRACT - COST CENTRE'!$A:$A,0),MATCH('Summary - Monthly'!AL$3,'TRANS EMP EXTRACT - COST CENTRE'!$2:$2,0)),0)</f>
        <v>0</v>
      </c>
      <c r="AM87" s="10">
        <f t="shared" si="20"/>
        <v>140.39999999999998</v>
      </c>
      <c r="AN87" s="14">
        <f t="shared" si="13"/>
        <v>0</v>
      </c>
      <c r="AO87" s="18">
        <f t="shared" si="18"/>
        <v>0.92368421052631566</v>
      </c>
      <c r="AP87" s="18">
        <f t="shared" si="19"/>
        <v>0.77368421052631564</v>
      </c>
      <c r="AQ87" s="10" t="str">
        <f>IFERROR(VLOOKUP(B87,Departments!A:C,3,FALSE),"")</f>
        <v>Sales &amp; Marketing</v>
      </c>
      <c r="AR87" s="10" t="str">
        <f>IFERROR(VLOOKUP(B87,Departments!A:B,2,FALSE),"")</f>
        <v>Central Sales</v>
      </c>
      <c r="AS87" s="10">
        <f t="shared" si="14"/>
        <v>19.2</v>
      </c>
      <c r="AT87" s="10">
        <f t="shared" si="15"/>
        <v>34.4</v>
      </c>
      <c r="AU87" s="10" t="str">
        <f>_xlfn.IFNA(VLOOKUP(B87,Departments!A:D,4,FALSE),"")</f>
        <v>S&amp;M</v>
      </c>
    </row>
    <row r="88" spans="1:47" ht="14.45" customHeight="1">
      <c r="A88" s="11" t="str">
        <f t="shared" si="16"/>
        <v>1204050019020</v>
      </c>
      <c r="B88" s="11">
        <f>'TRANS EMP EXTRACT - COST CENTRE'!B87</f>
        <v>12040500</v>
      </c>
      <c r="C88" s="10" t="str">
        <f>IFERROR(VLOOKUP(E88,'TRANS EMP EXTRACT - EMP CATEGOR'!A:B,2,FALSE),"")</f>
        <v>PT</v>
      </c>
      <c r="D88" s="10" t="str">
        <f>IFERROR(VLOOKUP(E88,'TRANS EMP EXTRACT - EMP CATEGOR'!A:C,3,FALSE),"")</f>
        <v>Parttime</v>
      </c>
      <c r="E88" s="11">
        <f>'TRANS EMP EXTRACT - COST CENTRE'!D87</f>
        <v>19020</v>
      </c>
      <c r="F88" s="10" t="str">
        <f>IFERROR(VLOOKUP(E88,'TRANS EMP EXTRACT - COST CENTRE'!D:E,2,FALSE),"")</f>
        <v>O'NEILL  CHRISTINE MRS</v>
      </c>
      <c r="G88" s="12">
        <f>IFERROR(INDEX('TRANS EMP EXTRACT - COST CENTRE'!$A$1:$Z$455,MATCH('Summary - Monthly'!$A88,'TRANS EMP EXTRACT - COST CENTRE'!$A:$A,0),MATCH('Summary - Monthly'!G$3,'TRANS EMP EXTRACT - COST CENTRE'!$2:$2,0)),"")</f>
        <v>44740</v>
      </c>
      <c r="H88" s="10" t="str">
        <f>IFERROR(INDEX('TRANS EMP EXTRACT - COST CENTRE'!$B$1:$Z$455,MATCH('Summary - Monthly'!$E88,'TRANS EMP EXTRACT - COST CENTRE'!$D:$D,0),MATCH('Summary - Monthly'!H$3,'TRANS EMP EXTRACT - COST CENTRE'!$2:$2,0)),"")</f>
        <v>FN</v>
      </c>
      <c r="I88" s="12" t="str">
        <f>IFERROR(INDEX('TRANS EMP EXTRACT - EMP CATEGOR'!$B$1:$AF$421,MATCH('Summary - Monthly'!$E88,'TRANS EMP EXTRACT - EMP CATEGOR'!$D:$D,0),MATCH('Summary - Monthly'!H$3,'TRANS EMP EXTRACT - EMP CATEGOR'!$2:$2,0)),"")</f>
        <v>FN</v>
      </c>
      <c r="J88" s="41">
        <f t="shared" ca="1" si="12"/>
        <v>41.435600000000001</v>
      </c>
      <c r="K88" s="41">
        <f t="shared" ca="1" si="17"/>
        <v>82.871200000000002</v>
      </c>
      <c r="L88" s="10">
        <f>IFERROR(INDEX('TRANS EMP EXTRACT - COST CENTRE'!$A$1:$Z$455,MATCH('Summary - Monthly'!$A88,'TRANS EMP EXTRACT - COST CENTRE'!$A:$A,0),MATCH('Summary - Monthly'!L$3,'TRANS EMP EXTRACT - COST CENTRE'!$2:$2,0)),"")</f>
        <v>136.80000000000001</v>
      </c>
      <c r="M88" s="10">
        <f>IFERROR(INDEX('TRANS EMP EXTRACT - COST CENTRE'!$A$1:$Z$455,MATCH('Summary - Monthly'!$A88,'TRANS EMP EXTRACT - COST CENTRE'!$A:$A,0),MATCH('Summary - Monthly'!M$3,'TRANS EMP EXTRACT - COST CENTRE'!$2:$2,0)),0)</f>
        <v>0</v>
      </c>
      <c r="N88" s="10">
        <f>IFERROR(INDEX('TRANS EMP EXTRACT - COST CENTRE'!$A$1:$Z$455,MATCH('Summary - Monthly'!$A88,'TRANS EMP EXTRACT - COST CENTRE'!$A:$A,0),MATCH('Summary - Monthly'!N$3,'TRANS EMP EXTRACT - COST CENTRE'!$2:$2,0)),0)</f>
        <v>0</v>
      </c>
      <c r="O88" s="10">
        <f>IFERROR(INDEX('TRANS EMP EXTRACT - COST CENTRE'!$A$1:$Z$455,MATCH('Summary - Monthly'!$A88,'TRANS EMP EXTRACT - COST CENTRE'!$A:$A,0),MATCH('Summary - Monthly'!O$3,'TRANS EMP EXTRACT - COST CENTRE'!$2:$2,0)),0)</f>
        <v>0</v>
      </c>
      <c r="P88" s="10">
        <f>IFERROR(INDEX('TRANS EMP EXTRACT - COST CENTRE'!$A$1:$Z$455,MATCH('Summary - Monthly'!$A88,'TRANS EMP EXTRACT - COST CENTRE'!$A:$A,0),MATCH('Summary - Monthly'!P$3,'TRANS EMP EXTRACT - COST CENTRE'!$2:$2,0)),0)</f>
        <v>0</v>
      </c>
      <c r="Q88" s="10">
        <f>IFERROR(INDEX('TRANS EMP EXTRACT - COST CENTRE'!$A$1:$Z$455,MATCH('Summary - Monthly'!$A88,'TRANS EMP EXTRACT - COST CENTRE'!$A:$A,0),MATCH('Summary - Monthly'!Q$3,'TRANS EMP EXTRACT - COST CENTRE'!$2:$2,0)),0)</f>
        <v>0</v>
      </c>
      <c r="R88" s="10">
        <f>IFERROR(INDEX('TRANS EMP EXTRACT - COST CENTRE'!$A$1:$Z$455,MATCH('Summary - Monthly'!$A88,'TRANS EMP EXTRACT - COST CENTRE'!$A:$A,0),MATCH('Summary - Monthly'!R$3,'TRANS EMP EXTRACT - COST CENTRE'!$2:$2,0)),0)</f>
        <v>0</v>
      </c>
      <c r="S88" s="10">
        <f>IFERROR(INDEX('TRANS EMP EXTRACT - COST CENTRE'!$A$1:$Z$455,MATCH('Summary - Monthly'!$A88,'TRANS EMP EXTRACT - COST CENTRE'!$A:$A,0),MATCH('Summary - Monthly'!S$3,'TRANS EMP EXTRACT - COST CENTRE'!$2:$2,0)),0)</f>
        <v>0</v>
      </c>
      <c r="T88" s="8">
        <f>IFERROR(INDEX('TRANS EMP EXTRACT - COST CENTRE'!$A$1:$Z$455,MATCH('Summary - Monthly'!$A88,'TRANS EMP EXTRACT - COST CENTRE'!$A:$A,0),MATCH('Summary - Monthly'!T$3,'TRANS EMP EXTRACT - COST CENTRE'!$2:$2,0)),0)</f>
        <v>0</v>
      </c>
      <c r="U88" s="13">
        <f>IFERROR(INDEX('TRANS EMP EXTRACT - COST CENTRE'!$A$1:$Z$455,MATCH('Summary - Monthly'!$A88,'TRANS EMP EXTRACT - COST CENTRE'!$A:$A,0),MATCH('Summary - Monthly'!U$3,'TRANS EMP EXTRACT - COST CENTRE'!$2:$2,0)),0)</f>
        <v>0</v>
      </c>
      <c r="V88" s="13">
        <f>IFERROR(INDEX('TRANS EMP EXTRACT - COST CENTRE'!$A$1:$Z$455,MATCH('Summary - Monthly'!$A88,'TRANS EMP EXTRACT - COST CENTRE'!$A:$A,0),MATCH('Summary - Monthly'!V$3,'TRANS EMP EXTRACT - COST CENTRE'!$2:$2,0)),0)</f>
        <v>0</v>
      </c>
      <c r="W88" s="13">
        <f>IFERROR(INDEX('TRANS EMP EXTRACT - COST CENTRE'!$A$1:$Z$455,MATCH('Summary - Monthly'!$A88,'TRANS EMP EXTRACT - COST CENTRE'!$A:$A,0),MATCH('Summary - Monthly'!W$3,'TRANS EMP EXTRACT - COST CENTRE'!$2:$2,0)),0)</f>
        <v>0</v>
      </c>
      <c r="X88" s="13">
        <f>IFERROR(INDEX('TRANS EMP EXTRACT - COST CENTRE'!$A$1:$Z$455,MATCH('Summary - Monthly'!$A88,'TRANS EMP EXTRACT - COST CENTRE'!$A:$A,0),MATCH('Summary - Monthly'!X$3,'TRANS EMP EXTRACT - COST CENTRE'!$2:$2,0)),0)</f>
        <v>0</v>
      </c>
      <c r="Y88" s="13">
        <f>IFERROR(INDEX('TRANS EMP EXTRACT - COST CENTRE'!$A$1:$Z$455,MATCH('Summary - Monthly'!$A88,'TRANS EMP EXTRACT - COST CENTRE'!$A:$A,0),MATCH('Summary - Monthly'!Y$3,'TRANS EMP EXTRACT - COST CENTRE'!$2:$2,0)),0)</f>
        <v>0</v>
      </c>
      <c r="Z88" s="10">
        <f>IFERROR(INDEX('TRANS EMP EXTRACT - COST CENTRE'!$A$1:$Z$455,MATCH('Summary - Monthly'!$A88,'TRANS EMP EXTRACT - COST CENTRE'!$A:$A,0),MATCH('Summary - Monthly'!Z$3,'TRANS EMP EXTRACT - COST CENTRE'!$2:$2,0)),0)</f>
        <v>0</v>
      </c>
      <c r="AA88" s="10">
        <f>IFERROR(INDEX('TRANS EMP EXTRACT - COST CENTRE'!$A$1:$Z$455,MATCH('Summary - Monthly'!$A88,'TRANS EMP EXTRACT - COST CENTRE'!$A:$A,0),MATCH('Summary - Monthly'!AA$3,'TRANS EMP EXTRACT - COST CENTRE'!$2:$2,0)),0)</f>
        <v>0</v>
      </c>
      <c r="AB88" s="10">
        <f>IFERROR(INDEX('TRANS EMP EXTRACT - COST CENTRE'!$A$1:$Z$455,MATCH('Summary - Monthly'!$A88,'TRANS EMP EXTRACT - COST CENTRE'!$A:$A,0),MATCH('Summary - Monthly'!AB$3,'TRANS EMP EXTRACT - COST CENTRE'!$2:$2,0)),0)</f>
        <v>0</v>
      </c>
      <c r="AC88" s="8">
        <f>IFERROR(INDEX('TRANS EMP EXTRACT - COST CENTRE'!$A$1:$Z$455,MATCH('Summary - Monthly'!$A88,'TRANS EMP EXTRACT - COST CENTRE'!$A:$A,0),MATCH('Summary - Monthly'!AC$3,'TRANS EMP EXTRACT - COST CENTRE'!$2:$2,0)),0)</f>
        <v>0</v>
      </c>
      <c r="AD88" s="13">
        <f>IFERROR(INDEX('TRANS EMP EXTRACT - COST CENTRE'!$A$1:$Z$455,MATCH('Summary - Monthly'!$A88,'TRANS EMP EXTRACT - COST CENTRE'!$A:$A,0),MATCH('Summary - Monthly'!AD$3,'TRANS EMP EXTRACT - COST CENTRE'!$2:$2,0)),0)</f>
        <v>0</v>
      </c>
      <c r="AE88" s="13">
        <f>IFERROR(INDEX('TRANS EMP EXTRACT - COST CENTRE'!$A$1:$Z$455,MATCH('Summary - Monthly'!$A88,'TRANS EMP EXTRACT - COST CENTRE'!$A:$A,0),MATCH('Summary - Monthly'!AE$3,'TRANS EMP EXTRACT - COST CENTRE'!$2:$2,0)),0)</f>
        <v>0</v>
      </c>
      <c r="AF88" s="13">
        <f>IFERROR(INDEX('TRANS EMP EXTRACT - COST CENTRE'!$A$1:$Z$455,MATCH('Summary - Monthly'!$A88,'TRANS EMP EXTRACT - COST CENTRE'!$A:$A,0),MATCH('Summary - Monthly'!AF$3,'TRANS EMP EXTRACT - COST CENTRE'!$2:$2,0)),0)</f>
        <v>0</v>
      </c>
      <c r="AG88" s="10">
        <f>IFERROR(INDEX('TRANS EMP EXTRACT - COST CENTRE'!$A$1:$Z$455,MATCH('Summary - Monthly'!$A88,'TRANS EMP EXTRACT - COST CENTRE'!$A:$A,0),MATCH('Summary - Monthly'!AG$3,'TRANS EMP EXTRACT - COST CENTRE'!$2:$2,0)),0)</f>
        <v>0</v>
      </c>
      <c r="AH88" s="10">
        <f>IFERROR(INDEX('TRANS EMP EXTRACT - COST CENTRE'!$A$1:$Z$455,MATCH('Summary - Monthly'!$A88,'TRANS EMP EXTRACT - COST CENTRE'!$A:$A,0),MATCH('Summary - Monthly'!AH$3,'TRANS EMP EXTRACT - COST CENTRE'!$2:$2,0)),0)</f>
        <v>0</v>
      </c>
      <c r="AI88" s="10">
        <f>IFERROR(INDEX('TRANS EMP EXTRACT - COST CENTRE'!$A$1:$Z$455,MATCH('Summary - Monthly'!$A88,'TRANS EMP EXTRACT - COST CENTRE'!$A:$A,0),MATCH('Summary - Monthly'!AI$3,'TRANS EMP EXTRACT - COST CENTRE'!$2:$2,0)),0)</f>
        <v>0</v>
      </c>
      <c r="AJ88" s="10">
        <f>IFERROR(INDEX('TRANS EMP EXTRACT - COST CENTRE'!$A$1:$Z$455,MATCH('Summary - Monthly'!$A88,'TRANS EMP EXTRACT - COST CENTRE'!$A:$A,0),MATCH('Summary - Monthly'!AJ$3,'TRANS EMP EXTRACT - COST CENTRE'!$2:$2,0)),0)</f>
        <v>0</v>
      </c>
      <c r="AK88" s="10">
        <f>IFERROR(INDEX('TRANS EMP EXTRACT - COST CENTRE'!$A$1:$Z$455,MATCH('Summary - Monthly'!$A88,'TRANS EMP EXTRACT - COST CENTRE'!$A:$A,0),MATCH('Summary - Monthly'!AK$3,'TRANS EMP EXTRACT - COST CENTRE'!$2:$2,0)),0)</f>
        <v>0</v>
      </c>
      <c r="AL88" s="10">
        <f>IFERROR(INDEX('TRANS EMP EXTRACT - COST CENTRE'!$A$1:$Z$455,MATCH('Summary - Monthly'!$A88,'TRANS EMP EXTRACT - COST CENTRE'!$A:$A,0),MATCH('Summary - Monthly'!AL$3,'TRANS EMP EXTRACT - COST CENTRE'!$2:$2,0)),0)</f>
        <v>0</v>
      </c>
      <c r="AM88" s="10">
        <f t="shared" si="20"/>
        <v>136.80000000000001</v>
      </c>
      <c r="AN88" s="14">
        <f t="shared" si="13"/>
        <v>0</v>
      </c>
      <c r="AO88" s="18">
        <f t="shared" si="18"/>
        <v>0.9</v>
      </c>
      <c r="AP88" s="18">
        <f t="shared" si="19"/>
        <v>0.9</v>
      </c>
      <c r="AQ88" s="10" t="str">
        <f>IFERROR(VLOOKUP(B88,Departments!A:C,3,FALSE),"")</f>
        <v>Lab Admin</v>
      </c>
      <c r="AR88" s="10" t="str">
        <f>IFERROR(VLOOKUP(B88,Departments!A:B,2,FALSE),"")</f>
        <v>Bris Lab Admin</v>
      </c>
      <c r="AS88" s="10">
        <f t="shared" si="14"/>
        <v>0</v>
      </c>
      <c r="AT88" s="10">
        <f t="shared" si="15"/>
        <v>0</v>
      </c>
      <c r="AU88" s="10" t="str">
        <f>_xlfn.IFNA(VLOOKUP(B88,Departments!A:D,4,FALSE),"")</f>
        <v>Brisbane Lab Admin</v>
      </c>
    </row>
    <row r="89" spans="1:47" ht="14.45" customHeight="1">
      <c r="A89" s="11" t="str">
        <f t="shared" si="16"/>
        <v>1202301119045</v>
      </c>
      <c r="B89" s="11">
        <f>'TRANS EMP EXTRACT - COST CENTRE'!B88</f>
        <v>12023011</v>
      </c>
      <c r="C89" s="10" t="str">
        <f>IFERROR(VLOOKUP(E89,'TRANS EMP EXTRACT - EMP CATEGOR'!A:B,2,FALSE),"")</f>
        <v>FT</v>
      </c>
      <c r="D89" s="10" t="str">
        <f>IFERROR(VLOOKUP(E89,'TRANS EMP EXTRACT - EMP CATEGOR'!A:C,3,FALSE),"")</f>
        <v>Fulltime</v>
      </c>
      <c r="E89" s="11">
        <f>'TRANS EMP EXTRACT - COST CENTRE'!D88</f>
        <v>19045</v>
      </c>
      <c r="F89" s="10" t="str">
        <f>IFERROR(VLOOKUP(E89,'TRANS EMP EXTRACT - COST CENTRE'!D:E,2,FALSE),"")</f>
        <v>ORAHA  AFRAH MISS</v>
      </c>
      <c r="G89" s="12">
        <f>IFERROR(INDEX('TRANS EMP EXTRACT - COST CENTRE'!$A$1:$Z$455,MATCH('Summary - Monthly'!$A89,'TRANS EMP EXTRACT - COST CENTRE'!$A:$A,0),MATCH('Summary - Monthly'!G$3,'TRANS EMP EXTRACT - COST CENTRE'!$2:$2,0)),"")</f>
        <v>44888</v>
      </c>
      <c r="H89" s="10" t="str">
        <f>IFERROR(INDEX('TRANS EMP EXTRACT - COST CENTRE'!$B$1:$Z$455,MATCH('Summary - Monthly'!$E89,'TRANS EMP EXTRACT - COST CENTRE'!$D:$D,0),MATCH('Summary - Monthly'!H$3,'TRANS EMP EXTRACT - COST CENTRE'!$2:$2,0)),"")</f>
        <v>RT</v>
      </c>
      <c r="I89" s="12" t="str">
        <f>IFERROR(INDEX('TRANS EMP EXTRACT - EMP CATEGOR'!$B$1:$AF$421,MATCH('Summary - Monthly'!$E89,'TRANS EMP EXTRACT - EMP CATEGOR'!$D:$D,0),MATCH('Summary - Monthly'!H$3,'TRANS EMP EXTRACT - EMP CATEGOR'!$2:$2,0)),"")</f>
        <v>RT</v>
      </c>
      <c r="J89" s="41">
        <f t="shared" ca="1" si="12"/>
        <v>12.6181</v>
      </c>
      <c r="K89" s="41">
        <f t="shared" ca="1" si="17"/>
        <v>23.7362</v>
      </c>
      <c r="L89" s="10">
        <f>IFERROR(INDEX('TRANS EMP EXTRACT - COST CENTRE'!$A$1:$Z$455,MATCH('Summary - Monthly'!$A89,'TRANS EMP EXTRACT - COST CENTRE'!$A:$A,0),MATCH('Summary - Monthly'!L$3,'TRANS EMP EXTRACT - COST CENTRE'!$2:$2,0)),"")</f>
        <v>91.2</v>
      </c>
      <c r="M89" s="10">
        <f>IFERROR(INDEX('TRANS EMP EXTRACT - COST CENTRE'!$A$1:$Z$455,MATCH('Summary - Monthly'!$A89,'TRANS EMP EXTRACT - COST CENTRE'!$A:$A,0),MATCH('Summary - Monthly'!M$3,'TRANS EMP EXTRACT - COST CENTRE'!$2:$2,0)),0)</f>
        <v>0</v>
      </c>
      <c r="N89" s="10">
        <f>IFERROR(INDEX('TRANS EMP EXTRACT - COST CENTRE'!$A$1:$Z$455,MATCH('Summary - Monthly'!$A89,'TRANS EMP EXTRACT - COST CENTRE'!$A:$A,0),MATCH('Summary - Monthly'!N$3,'TRANS EMP EXTRACT - COST CENTRE'!$2:$2,0)),0)</f>
        <v>0</v>
      </c>
      <c r="O89" s="10">
        <f>IFERROR(INDEX('TRANS EMP EXTRACT - COST CENTRE'!$A$1:$Z$455,MATCH('Summary - Monthly'!$A89,'TRANS EMP EXTRACT - COST CENTRE'!$A:$A,0),MATCH('Summary - Monthly'!O$3,'TRANS EMP EXTRACT - COST CENTRE'!$2:$2,0)),0)</f>
        <v>0</v>
      </c>
      <c r="P89" s="10">
        <f>IFERROR(INDEX('TRANS EMP EXTRACT - COST CENTRE'!$A$1:$Z$455,MATCH('Summary - Monthly'!$A89,'TRANS EMP EXTRACT - COST CENTRE'!$A:$A,0),MATCH('Summary - Monthly'!P$3,'TRANS EMP EXTRACT - COST CENTRE'!$2:$2,0)),0)</f>
        <v>0</v>
      </c>
      <c r="Q89" s="10">
        <f>IFERROR(INDEX('TRANS EMP EXTRACT - COST CENTRE'!$A$1:$Z$455,MATCH('Summary - Monthly'!$A89,'TRANS EMP EXTRACT - COST CENTRE'!$A:$A,0),MATCH('Summary - Monthly'!Q$3,'TRANS EMP EXTRACT - COST CENTRE'!$2:$2,0)),0)</f>
        <v>1</v>
      </c>
      <c r="R89" s="10">
        <f>IFERROR(INDEX('TRANS EMP EXTRACT - COST CENTRE'!$A$1:$Z$455,MATCH('Summary - Monthly'!$A89,'TRANS EMP EXTRACT - COST CENTRE'!$A:$A,0),MATCH('Summary - Monthly'!R$3,'TRANS EMP EXTRACT - COST CENTRE'!$2:$2,0)),0)</f>
        <v>0</v>
      </c>
      <c r="S89" s="10">
        <f>IFERROR(INDEX('TRANS EMP EXTRACT - COST CENTRE'!$A$1:$Z$455,MATCH('Summary - Monthly'!$A89,'TRANS EMP EXTRACT - COST CENTRE'!$A:$A,0),MATCH('Summary - Monthly'!S$3,'TRANS EMP EXTRACT - COST CENTRE'!$2:$2,0)),0)</f>
        <v>0</v>
      </c>
      <c r="T89" s="8">
        <f>IFERROR(INDEX('TRANS EMP EXTRACT - COST CENTRE'!$A$1:$Z$455,MATCH('Summary - Monthly'!$A89,'TRANS EMP EXTRACT - COST CENTRE'!$A:$A,0),MATCH('Summary - Monthly'!T$3,'TRANS EMP EXTRACT - COST CENTRE'!$2:$2,0)),0)</f>
        <v>0</v>
      </c>
      <c r="U89" s="13">
        <f>IFERROR(INDEX('TRANS EMP EXTRACT - COST CENTRE'!$A$1:$Z$455,MATCH('Summary - Monthly'!$A89,'TRANS EMP EXTRACT - COST CENTRE'!$A:$A,0),MATCH('Summary - Monthly'!U$3,'TRANS EMP EXTRACT - COST CENTRE'!$2:$2,0)),0)</f>
        <v>0</v>
      </c>
      <c r="V89" s="13">
        <f>IFERROR(INDEX('TRANS EMP EXTRACT - COST CENTRE'!$A$1:$Z$455,MATCH('Summary - Monthly'!$A89,'TRANS EMP EXTRACT - COST CENTRE'!$A:$A,0),MATCH('Summary - Monthly'!V$3,'TRANS EMP EXTRACT - COST CENTRE'!$2:$2,0)),0)</f>
        <v>0</v>
      </c>
      <c r="W89" s="13">
        <f>IFERROR(INDEX('TRANS EMP EXTRACT - COST CENTRE'!$A$1:$Z$455,MATCH('Summary - Monthly'!$A89,'TRANS EMP EXTRACT - COST CENTRE'!$A:$A,0),MATCH('Summary - Monthly'!W$3,'TRANS EMP EXTRACT - COST CENTRE'!$2:$2,0)),0)</f>
        <v>0</v>
      </c>
      <c r="X89" s="13">
        <f>IFERROR(INDEX('TRANS EMP EXTRACT - COST CENTRE'!$A$1:$Z$455,MATCH('Summary - Monthly'!$A89,'TRANS EMP EXTRACT - COST CENTRE'!$A:$A,0),MATCH('Summary - Monthly'!X$3,'TRANS EMP EXTRACT - COST CENTRE'!$2:$2,0)),0)</f>
        <v>0</v>
      </c>
      <c r="Y89" s="13">
        <f>IFERROR(INDEX('TRANS EMP EXTRACT - COST CENTRE'!$A$1:$Z$455,MATCH('Summary - Monthly'!$A89,'TRANS EMP EXTRACT - COST CENTRE'!$A:$A,0),MATCH('Summary - Monthly'!Y$3,'TRANS EMP EXTRACT - COST CENTRE'!$2:$2,0)),0)</f>
        <v>0</v>
      </c>
      <c r="Z89" s="10">
        <f>IFERROR(INDEX('TRANS EMP EXTRACT - COST CENTRE'!$A$1:$Z$455,MATCH('Summary - Monthly'!$A89,'TRANS EMP EXTRACT - COST CENTRE'!$A:$A,0),MATCH('Summary - Monthly'!Z$3,'TRANS EMP EXTRACT - COST CENTRE'!$2:$2,0)),0)</f>
        <v>0</v>
      </c>
      <c r="AA89" s="10">
        <f>IFERROR(INDEX('TRANS EMP EXTRACT - COST CENTRE'!$A$1:$Z$455,MATCH('Summary - Monthly'!$A89,'TRANS EMP EXTRACT - COST CENTRE'!$A:$A,0),MATCH('Summary - Monthly'!AA$3,'TRANS EMP EXTRACT - COST CENTRE'!$2:$2,0)),0)</f>
        <v>0</v>
      </c>
      <c r="AB89" s="10">
        <f>IFERROR(INDEX('TRANS EMP EXTRACT - COST CENTRE'!$A$1:$Z$455,MATCH('Summary - Monthly'!$A89,'TRANS EMP EXTRACT - COST CENTRE'!$A:$A,0),MATCH('Summary - Monthly'!AB$3,'TRANS EMP EXTRACT - COST CENTRE'!$2:$2,0)),0)</f>
        <v>0</v>
      </c>
      <c r="AC89" s="8">
        <f>IFERROR(INDEX('TRANS EMP EXTRACT - COST CENTRE'!$A$1:$Z$455,MATCH('Summary - Monthly'!$A89,'TRANS EMP EXTRACT - COST CENTRE'!$A:$A,0),MATCH('Summary - Monthly'!AC$3,'TRANS EMP EXTRACT - COST CENTRE'!$2:$2,0)),0)</f>
        <v>0</v>
      </c>
      <c r="AD89" s="13">
        <f>IFERROR(INDEX('TRANS EMP EXTRACT - COST CENTRE'!$A$1:$Z$455,MATCH('Summary - Monthly'!$A89,'TRANS EMP EXTRACT - COST CENTRE'!$A:$A,0),MATCH('Summary - Monthly'!AD$3,'TRANS EMP EXTRACT - COST CENTRE'!$2:$2,0)),0)</f>
        <v>0</v>
      </c>
      <c r="AE89" s="13">
        <f>IFERROR(INDEX('TRANS EMP EXTRACT - COST CENTRE'!$A$1:$Z$455,MATCH('Summary - Monthly'!$A89,'TRANS EMP EXTRACT - COST CENTRE'!$A:$A,0),MATCH('Summary - Monthly'!AE$3,'TRANS EMP EXTRACT - COST CENTRE'!$2:$2,0)),0)</f>
        <v>0</v>
      </c>
      <c r="AF89" s="13">
        <f>IFERROR(INDEX('TRANS EMP EXTRACT - COST CENTRE'!$A$1:$Z$455,MATCH('Summary - Monthly'!$A89,'TRANS EMP EXTRACT - COST CENTRE'!$A:$A,0),MATCH('Summary - Monthly'!AF$3,'TRANS EMP EXTRACT - COST CENTRE'!$2:$2,0)),0)</f>
        <v>0</v>
      </c>
      <c r="AG89" s="10">
        <f>IFERROR(INDEX('TRANS EMP EXTRACT - COST CENTRE'!$A$1:$Z$455,MATCH('Summary - Monthly'!$A89,'TRANS EMP EXTRACT - COST CENTRE'!$A:$A,0),MATCH('Summary - Monthly'!AG$3,'TRANS EMP EXTRACT - COST CENTRE'!$2:$2,0)),0)</f>
        <v>0</v>
      </c>
      <c r="AH89" s="10">
        <f>IFERROR(INDEX('TRANS EMP EXTRACT - COST CENTRE'!$A$1:$Z$455,MATCH('Summary - Monthly'!$A89,'TRANS EMP EXTRACT - COST CENTRE'!$A:$A,0),MATCH('Summary - Monthly'!AH$3,'TRANS EMP EXTRACT - COST CENTRE'!$2:$2,0)),0)</f>
        <v>0</v>
      </c>
      <c r="AI89" s="10">
        <f>IFERROR(INDEX('TRANS EMP EXTRACT - COST CENTRE'!$A$1:$Z$455,MATCH('Summary - Monthly'!$A89,'TRANS EMP EXTRACT - COST CENTRE'!$A:$A,0),MATCH('Summary - Monthly'!AI$3,'TRANS EMP EXTRACT - COST CENTRE'!$2:$2,0)),0)</f>
        <v>0</v>
      </c>
      <c r="AJ89" s="10">
        <f>IFERROR(INDEX('TRANS EMP EXTRACT - COST CENTRE'!$A$1:$Z$455,MATCH('Summary - Monthly'!$A89,'TRANS EMP EXTRACT - COST CENTRE'!$A:$A,0),MATCH('Summary - Monthly'!AJ$3,'TRANS EMP EXTRACT - COST CENTRE'!$2:$2,0)),0)</f>
        <v>0</v>
      </c>
      <c r="AK89" s="10">
        <f>IFERROR(INDEX('TRANS EMP EXTRACT - COST CENTRE'!$A$1:$Z$455,MATCH('Summary - Monthly'!$A89,'TRANS EMP EXTRACT - COST CENTRE'!$A:$A,0),MATCH('Summary - Monthly'!AK$3,'TRANS EMP EXTRACT - COST CENTRE'!$2:$2,0)),0)</f>
        <v>0</v>
      </c>
      <c r="AL89" s="10">
        <f>IFERROR(INDEX('TRANS EMP EXTRACT - COST CENTRE'!$A$1:$Z$455,MATCH('Summary - Monthly'!$A89,'TRANS EMP EXTRACT - COST CENTRE'!$A:$A,0),MATCH('Summary - Monthly'!AL$3,'TRANS EMP EXTRACT - COST CENTRE'!$2:$2,0)),0)</f>
        <v>0</v>
      </c>
      <c r="AM89" s="10">
        <f t="shared" si="20"/>
        <v>92.2</v>
      </c>
      <c r="AN89" s="14">
        <f t="shared" si="13"/>
        <v>6.5789473684210523E-3</v>
      </c>
      <c r="AO89" s="18">
        <f t="shared" si="18"/>
        <v>0.60657894736842111</v>
      </c>
      <c r="AP89" s="18">
        <f t="shared" si="19"/>
        <v>0.60657894736842111</v>
      </c>
      <c r="AQ89" s="10" t="str">
        <f>IFERROR(VLOOKUP(B89,Departments!A:C,3,FALSE),"")</f>
        <v>Microbiology</v>
      </c>
      <c r="AR89" s="10" t="str">
        <f>IFERROR(VLOOKUP(B89,Departments!A:B,2,FALSE),"")</f>
        <v>Sydney Micro</v>
      </c>
      <c r="AS89" s="10">
        <f t="shared" si="14"/>
        <v>0</v>
      </c>
      <c r="AT89" s="10">
        <f t="shared" si="15"/>
        <v>0</v>
      </c>
      <c r="AU89" s="10" t="str">
        <f>_xlfn.IFNA(VLOOKUP(B89,Departments!A:D,4,FALSE),"")</f>
        <v>Sydney Micro</v>
      </c>
    </row>
    <row r="90" spans="1:47" ht="14.45" customHeight="1">
      <c r="A90" s="11" t="str">
        <f t="shared" si="16"/>
        <v>1201050018871</v>
      </c>
      <c r="B90" s="11">
        <f>'TRANS EMP EXTRACT - COST CENTRE'!B89</f>
        <v>12010500</v>
      </c>
      <c r="C90" s="10" t="str">
        <f>IFERROR(VLOOKUP(E90,'TRANS EMP EXTRACT - EMP CATEGOR'!A:B,2,FALSE),"")</f>
        <v>FT</v>
      </c>
      <c r="D90" s="10" t="str">
        <f>IFERROR(VLOOKUP(E90,'TRANS EMP EXTRACT - EMP CATEGOR'!A:C,3,FALSE),"")</f>
        <v>Fulltime</v>
      </c>
      <c r="E90" s="11">
        <f>'TRANS EMP EXTRACT - COST CENTRE'!D89</f>
        <v>18871</v>
      </c>
      <c r="F90" s="10" t="str">
        <f>IFERROR(VLOOKUP(E90,'TRANS EMP EXTRACT - COST CENTRE'!D:E,2,FALSE),"")</f>
        <v>PARMAR  DINUSHA MRS</v>
      </c>
      <c r="G90" s="12">
        <f>IFERROR(INDEX('TRANS EMP EXTRACT - COST CENTRE'!$A$1:$Z$455,MATCH('Summary - Monthly'!$A90,'TRANS EMP EXTRACT - COST CENTRE'!$A:$A,0),MATCH('Summary - Monthly'!G$3,'TRANS EMP EXTRACT - COST CENTRE'!$2:$2,0)),"")</f>
        <v>43550</v>
      </c>
      <c r="H90" s="10" t="str">
        <f>IFERROR(INDEX('TRANS EMP EXTRACT - COST CENTRE'!$B$1:$Z$455,MATCH('Summary - Monthly'!$E90,'TRANS EMP EXTRACT - COST CENTRE'!$D:$D,0),MATCH('Summary - Monthly'!H$3,'TRANS EMP EXTRACT - COST CENTRE'!$2:$2,0)),"")</f>
        <v>FN</v>
      </c>
      <c r="I90" s="12" t="str">
        <f>IFERROR(INDEX('TRANS EMP EXTRACT - EMP CATEGOR'!$B$1:$AF$421,MATCH('Summary - Monthly'!$E90,'TRANS EMP EXTRACT - EMP CATEGOR'!$D:$D,0),MATCH('Summary - Monthly'!H$3,'TRANS EMP EXTRACT - EMP CATEGOR'!$2:$2,0)),"")</f>
        <v>FN</v>
      </c>
      <c r="J90" s="41">
        <f t="shared" ca="1" si="12"/>
        <v>128.61920000000001</v>
      </c>
      <c r="K90" s="41">
        <f t="shared" ca="1" si="17"/>
        <v>161.63839999999999</v>
      </c>
      <c r="L90" s="10">
        <f>IFERROR(INDEX('TRANS EMP EXTRACT - COST CENTRE'!$A$1:$Z$455,MATCH('Summary - Monthly'!$A90,'TRANS EMP EXTRACT - COST CENTRE'!$A:$A,0),MATCH('Summary - Monthly'!L$3,'TRANS EMP EXTRACT - COST CENTRE'!$2:$2,0)),"")</f>
        <v>152</v>
      </c>
      <c r="M90" s="10">
        <f>IFERROR(INDEX('TRANS EMP EXTRACT - COST CENTRE'!$A$1:$Z$455,MATCH('Summary - Monthly'!$A90,'TRANS EMP EXTRACT - COST CENTRE'!$A:$A,0),MATCH('Summary - Monthly'!M$3,'TRANS EMP EXTRACT - COST CENTRE'!$2:$2,0)),0)</f>
        <v>0</v>
      </c>
      <c r="N90" s="10">
        <f>IFERROR(INDEX('TRANS EMP EXTRACT - COST CENTRE'!$A$1:$Z$455,MATCH('Summary - Monthly'!$A90,'TRANS EMP EXTRACT - COST CENTRE'!$A:$A,0),MATCH('Summary - Monthly'!N$3,'TRANS EMP EXTRACT - COST CENTRE'!$2:$2,0)),0)</f>
        <v>0</v>
      </c>
      <c r="O90" s="10">
        <f>IFERROR(INDEX('TRANS EMP EXTRACT - COST CENTRE'!$A$1:$Z$455,MATCH('Summary - Monthly'!$A90,'TRANS EMP EXTRACT - COST CENTRE'!$A:$A,0),MATCH('Summary - Monthly'!O$3,'TRANS EMP EXTRACT - COST CENTRE'!$2:$2,0)),0)</f>
        <v>0</v>
      </c>
      <c r="P90" s="10">
        <f>IFERROR(INDEX('TRANS EMP EXTRACT - COST CENTRE'!$A$1:$Z$455,MATCH('Summary - Monthly'!$A90,'TRANS EMP EXTRACT - COST CENTRE'!$A:$A,0),MATCH('Summary - Monthly'!P$3,'TRANS EMP EXTRACT - COST CENTRE'!$2:$2,0)),0)</f>
        <v>0</v>
      </c>
      <c r="Q90" s="10">
        <f>IFERROR(INDEX('TRANS EMP EXTRACT - COST CENTRE'!$A$1:$Z$455,MATCH('Summary - Monthly'!$A90,'TRANS EMP EXTRACT - COST CENTRE'!$A:$A,0),MATCH('Summary - Monthly'!Q$3,'TRANS EMP EXTRACT - COST CENTRE'!$2:$2,0)),0)</f>
        <v>0</v>
      </c>
      <c r="R90" s="10">
        <f>IFERROR(INDEX('TRANS EMP EXTRACT - COST CENTRE'!$A$1:$Z$455,MATCH('Summary - Monthly'!$A90,'TRANS EMP EXTRACT - COST CENTRE'!$A:$A,0),MATCH('Summary - Monthly'!R$3,'TRANS EMP EXTRACT - COST CENTRE'!$2:$2,0)),0)</f>
        <v>0</v>
      </c>
      <c r="S90" s="10">
        <f>IFERROR(INDEX('TRANS EMP EXTRACT - COST CENTRE'!$A$1:$Z$455,MATCH('Summary - Monthly'!$A90,'TRANS EMP EXTRACT - COST CENTRE'!$A:$A,0),MATCH('Summary - Monthly'!S$3,'TRANS EMP EXTRACT - COST CENTRE'!$2:$2,0)),0)</f>
        <v>0</v>
      </c>
      <c r="T90" s="8">
        <f>IFERROR(INDEX('TRANS EMP EXTRACT - COST CENTRE'!$A$1:$Z$455,MATCH('Summary - Monthly'!$A90,'TRANS EMP EXTRACT - COST CENTRE'!$A:$A,0),MATCH('Summary - Monthly'!T$3,'TRANS EMP EXTRACT - COST CENTRE'!$2:$2,0)),0)</f>
        <v>0</v>
      </c>
      <c r="U90" s="13">
        <f>IFERROR(INDEX('TRANS EMP EXTRACT - COST CENTRE'!$A$1:$Z$455,MATCH('Summary - Monthly'!$A90,'TRANS EMP EXTRACT - COST CENTRE'!$A:$A,0),MATCH('Summary - Monthly'!U$3,'TRANS EMP EXTRACT - COST CENTRE'!$2:$2,0)),0)</f>
        <v>0</v>
      </c>
      <c r="V90" s="13">
        <f>IFERROR(INDEX('TRANS EMP EXTRACT - COST CENTRE'!$A$1:$Z$455,MATCH('Summary - Monthly'!$A90,'TRANS EMP EXTRACT - COST CENTRE'!$A:$A,0),MATCH('Summary - Monthly'!V$3,'TRANS EMP EXTRACT - COST CENTRE'!$2:$2,0)),0)</f>
        <v>0</v>
      </c>
      <c r="W90" s="13">
        <f>IFERROR(INDEX('TRANS EMP EXTRACT - COST CENTRE'!$A$1:$Z$455,MATCH('Summary - Monthly'!$A90,'TRANS EMP EXTRACT - COST CENTRE'!$A:$A,0),MATCH('Summary - Monthly'!W$3,'TRANS EMP EXTRACT - COST CENTRE'!$2:$2,0)),0)</f>
        <v>0</v>
      </c>
      <c r="X90" s="13">
        <f>IFERROR(INDEX('TRANS EMP EXTRACT - COST CENTRE'!$A$1:$Z$455,MATCH('Summary - Monthly'!$A90,'TRANS EMP EXTRACT - COST CENTRE'!$A:$A,0),MATCH('Summary - Monthly'!X$3,'TRANS EMP EXTRACT - COST CENTRE'!$2:$2,0)),0)</f>
        <v>0</v>
      </c>
      <c r="Y90" s="13">
        <f>IFERROR(INDEX('TRANS EMP EXTRACT - COST CENTRE'!$A$1:$Z$455,MATCH('Summary - Monthly'!$A90,'TRANS EMP EXTRACT - COST CENTRE'!$A:$A,0),MATCH('Summary - Monthly'!Y$3,'TRANS EMP EXTRACT - COST CENTRE'!$2:$2,0)),0)</f>
        <v>0</v>
      </c>
      <c r="Z90" s="10">
        <f>IFERROR(INDEX('TRANS EMP EXTRACT - COST CENTRE'!$A$1:$Z$455,MATCH('Summary - Monthly'!$A90,'TRANS EMP EXTRACT - COST CENTRE'!$A:$A,0),MATCH('Summary - Monthly'!Z$3,'TRANS EMP EXTRACT - COST CENTRE'!$2:$2,0)),0)</f>
        <v>0</v>
      </c>
      <c r="AA90" s="10">
        <f>IFERROR(INDEX('TRANS EMP EXTRACT - COST CENTRE'!$A$1:$Z$455,MATCH('Summary - Monthly'!$A90,'TRANS EMP EXTRACT - COST CENTRE'!$A:$A,0),MATCH('Summary - Monthly'!AA$3,'TRANS EMP EXTRACT - COST CENTRE'!$2:$2,0)),0)</f>
        <v>0</v>
      </c>
      <c r="AB90" s="10">
        <f>IFERROR(INDEX('TRANS EMP EXTRACT - COST CENTRE'!$A$1:$Z$455,MATCH('Summary - Monthly'!$A90,'TRANS EMP EXTRACT - COST CENTRE'!$A:$A,0),MATCH('Summary - Monthly'!AB$3,'TRANS EMP EXTRACT - COST CENTRE'!$2:$2,0)),0)</f>
        <v>0</v>
      </c>
      <c r="AC90" s="8">
        <f>IFERROR(INDEX('TRANS EMP EXTRACT - COST CENTRE'!$A$1:$Z$455,MATCH('Summary - Monthly'!$A90,'TRANS EMP EXTRACT - COST CENTRE'!$A:$A,0),MATCH('Summary - Monthly'!AC$3,'TRANS EMP EXTRACT - COST CENTRE'!$2:$2,0)),0)</f>
        <v>0</v>
      </c>
      <c r="AD90" s="13">
        <f>IFERROR(INDEX('TRANS EMP EXTRACT - COST CENTRE'!$A$1:$Z$455,MATCH('Summary - Monthly'!$A90,'TRANS EMP EXTRACT - COST CENTRE'!$A:$A,0),MATCH('Summary - Monthly'!AD$3,'TRANS EMP EXTRACT - COST CENTRE'!$2:$2,0)),0)</f>
        <v>0</v>
      </c>
      <c r="AE90" s="13">
        <f>IFERROR(INDEX('TRANS EMP EXTRACT - COST CENTRE'!$A$1:$Z$455,MATCH('Summary - Monthly'!$A90,'TRANS EMP EXTRACT - COST CENTRE'!$A:$A,0),MATCH('Summary - Monthly'!AE$3,'TRANS EMP EXTRACT - COST CENTRE'!$2:$2,0)),0)</f>
        <v>0</v>
      </c>
      <c r="AF90" s="13">
        <f>IFERROR(INDEX('TRANS EMP EXTRACT - COST CENTRE'!$A$1:$Z$455,MATCH('Summary - Monthly'!$A90,'TRANS EMP EXTRACT - COST CENTRE'!$A:$A,0),MATCH('Summary - Monthly'!AF$3,'TRANS EMP EXTRACT - COST CENTRE'!$2:$2,0)),0)</f>
        <v>0</v>
      </c>
      <c r="AG90" s="10">
        <f>IFERROR(INDEX('TRANS EMP EXTRACT - COST CENTRE'!$A$1:$Z$455,MATCH('Summary - Monthly'!$A90,'TRANS EMP EXTRACT - COST CENTRE'!$A:$A,0),MATCH('Summary - Monthly'!AG$3,'TRANS EMP EXTRACT - COST CENTRE'!$2:$2,0)),0)</f>
        <v>0</v>
      </c>
      <c r="AH90" s="10">
        <f>IFERROR(INDEX('TRANS EMP EXTRACT - COST CENTRE'!$A$1:$Z$455,MATCH('Summary - Monthly'!$A90,'TRANS EMP EXTRACT - COST CENTRE'!$A:$A,0),MATCH('Summary - Monthly'!AH$3,'TRANS EMP EXTRACT - COST CENTRE'!$2:$2,0)),0)</f>
        <v>0</v>
      </c>
      <c r="AI90" s="10">
        <f>IFERROR(INDEX('TRANS EMP EXTRACT - COST CENTRE'!$A$1:$Z$455,MATCH('Summary - Monthly'!$A90,'TRANS EMP EXTRACT - COST CENTRE'!$A:$A,0),MATCH('Summary - Monthly'!AI$3,'TRANS EMP EXTRACT - COST CENTRE'!$2:$2,0)),0)</f>
        <v>0</v>
      </c>
      <c r="AJ90" s="10">
        <f>IFERROR(INDEX('TRANS EMP EXTRACT - COST CENTRE'!$A$1:$Z$455,MATCH('Summary - Monthly'!$A90,'TRANS EMP EXTRACT - COST CENTRE'!$A:$A,0),MATCH('Summary - Monthly'!AJ$3,'TRANS EMP EXTRACT - COST CENTRE'!$2:$2,0)),0)</f>
        <v>0</v>
      </c>
      <c r="AK90" s="10">
        <f>IFERROR(INDEX('TRANS EMP EXTRACT - COST CENTRE'!$A$1:$Z$455,MATCH('Summary - Monthly'!$A90,'TRANS EMP EXTRACT - COST CENTRE'!$A:$A,0),MATCH('Summary - Monthly'!AK$3,'TRANS EMP EXTRACT - COST CENTRE'!$2:$2,0)),0)</f>
        <v>0</v>
      </c>
      <c r="AL90" s="10">
        <f>IFERROR(INDEX('TRANS EMP EXTRACT - COST CENTRE'!$A$1:$Z$455,MATCH('Summary - Monthly'!$A90,'TRANS EMP EXTRACT - COST CENTRE'!$A:$A,0),MATCH('Summary - Monthly'!AL$3,'TRANS EMP EXTRACT - COST CENTRE'!$2:$2,0)),0)</f>
        <v>0</v>
      </c>
      <c r="AM90" s="10">
        <f t="shared" si="20"/>
        <v>152</v>
      </c>
      <c r="AN90" s="14">
        <f t="shared" si="13"/>
        <v>0</v>
      </c>
      <c r="AO90" s="18">
        <f t="shared" si="18"/>
        <v>1</v>
      </c>
      <c r="AP90" s="18">
        <f t="shared" si="19"/>
        <v>1</v>
      </c>
      <c r="AQ90" s="10" t="str">
        <f>IFERROR(VLOOKUP(B90,Departments!A:C,3,FALSE),"")</f>
        <v>Lab Admin</v>
      </c>
      <c r="AR90" s="10" t="str">
        <f>IFERROR(VLOOKUP(B90,Departments!A:B,2,FALSE),"")</f>
        <v>Central Lab Admin</v>
      </c>
      <c r="AS90" s="10">
        <f t="shared" si="14"/>
        <v>0</v>
      </c>
      <c r="AT90" s="10">
        <f t="shared" si="15"/>
        <v>0</v>
      </c>
      <c r="AU90" s="10" t="str">
        <f>_xlfn.IFNA(VLOOKUP(B90,Departments!A:D,4,FALSE),"")</f>
        <v>Central Lab Admin</v>
      </c>
    </row>
    <row r="91" spans="1:47" ht="14.45" customHeight="1">
      <c r="A91" s="11" t="str">
        <f t="shared" si="16"/>
        <v>1202102118894</v>
      </c>
      <c r="B91" s="11">
        <f>'TRANS EMP EXTRACT - COST CENTRE'!B90</f>
        <v>12021021</v>
      </c>
      <c r="C91" s="10" t="str">
        <f>IFERROR(VLOOKUP(E91,'TRANS EMP EXTRACT - EMP CATEGOR'!A:B,2,FALSE),"")</f>
        <v>TP</v>
      </c>
      <c r="D91" s="10" t="str">
        <f>IFERROR(VLOOKUP(E91,'TRANS EMP EXTRACT - EMP CATEGOR'!A:C,3,FALSE),"")</f>
        <v>Temporary Parttime</v>
      </c>
      <c r="E91" s="11">
        <f>'TRANS EMP EXTRACT - COST CENTRE'!D90</f>
        <v>18894</v>
      </c>
      <c r="F91" s="10" t="str">
        <f>IFERROR(VLOOKUP(E91,'TRANS EMP EXTRACT - COST CENTRE'!D:E,2,FALSE),"")</f>
        <v>PATEL  SWETA SHANTILAL MISS</v>
      </c>
      <c r="G91" s="12">
        <f>IFERROR(INDEX('TRANS EMP EXTRACT - COST CENTRE'!$A$1:$Z$455,MATCH('Summary - Monthly'!$A91,'TRANS EMP EXTRACT - COST CENTRE'!$A:$A,0),MATCH('Summary - Monthly'!G$3,'TRANS EMP EXTRACT - COST CENTRE'!$2:$2,0)),"")</f>
        <v>43774</v>
      </c>
      <c r="H91" s="10" t="str">
        <f>IFERROR(INDEX('TRANS EMP EXTRACT - COST CENTRE'!$B$1:$Z$455,MATCH('Summary - Monthly'!$E91,'TRANS EMP EXTRACT - COST CENTRE'!$D:$D,0),MATCH('Summary - Monthly'!H$3,'TRANS EMP EXTRACT - COST CENTRE'!$2:$2,0)),"")</f>
        <v>RT</v>
      </c>
      <c r="I91" s="12" t="str">
        <f>IFERROR(INDEX('TRANS EMP EXTRACT - EMP CATEGOR'!$B$1:$AF$421,MATCH('Summary - Monthly'!$E91,'TRANS EMP EXTRACT - EMP CATEGOR'!$D:$D,0),MATCH('Summary - Monthly'!H$3,'TRANS EMP EXTRACT - EMP CATEGOR'!$2:$2,0)),"")</f>
        <v>RT</v>
      </c>
      <c r="J91" s="41">
        <f t="shared" ca="1" si="12"/>
        <v>22.0868</v>
      </c>
      <c r="K91" s="41">
        <f t="shared" ca="1" si="17"/>
        <v>59.507300000000001</v>
      </c>
      <c r="L91" s="10">
        <f>IFERROR(INDEX('TRANS EMP EXTRACT - COST CENTRE'!$A$1:$Z$455,MATCH('Summary - Monthly'!$A91,'TRANS EMP EXTRACT - COST CENTRE'!$A:$A,0),MATCH('Summary - Monthly'!L$3,'TRANS EMP EXTRACT - COST CENTRE'!$2:$2,0)),"")</f>
        <v>61.633299999999998</v>
      </c>
      <c r="M91" s="10">
        <f>IFERROR(INDEX('TRANS EMP EXTRACT - COST CENTRE'!$A$1:$Z$455,MATCH('Summary - Monthly'!$A91,'TRANS EMP EXTRACT - COST CENTRE'!$A:$A,0),MATCH('Summary - Monthly'!M$3,'TRANS EMP EXTRACT - COST CENTRE'!$2:$2,0)),0)</f>
        <v>0</v>
      </c>
      <c r="N91" s="10">
        <f>IFERROR(INDEX('TRANS EMP EXTRACT - COST CENTRE'!$A$1:$Z$455,MATCH('Summary - Monthly'!$A91,'TRANS EMP EXTRACT - COST CENTRE'!$A:$A,0),MATCH('Summary - Monthly'!N$3,'TRANS EMP EXTRACT - COST CENTRE'!$2:$2,0)),0)</f>
        <v>0</v>
      </c>
      <c r="O91" s="10">
        <f>IFERROR(INDEX('TRANS EMP EXTRACT - COST CENTRE'!$A$1:$Z$455,MATCH('Summary - Monthly'!$A91,'TRANS EMP EXTRACT - COST CENTRE'!$A:$A,0),MATCH('Summary - Monthly'!O$3,'TRANS EMP EXTRACT - COST CENTRE'!$2:$2,0)),0)</f>
        <v>0</v>
      </c>
      <c r="P91" s="10">
        <f>IFERROR(INDEX('TRANS EMP EXTRACT - COST CENTRE'!$A$1:$Z$455,MATCH('Summary - Monthly'!$A91,'TRANS EMP EXTRACT - COST CENTRE'!$A:$A,0),MATCH('Summary - Monthly'!P$3,'TRANS EMP EXTRACT - COST CENTRE'!$2:$2,0)),0)</f>
        <v>0</v>
      </c>
      <c r="Q91" s="10">
        <f>IFERROR(INDEX('TRANS EMP EXTRACT - COST CENTRE'!$A$1:$Z$455,MATCH('Summary - Monthly'!$A91,'TRANS EMP EXTRACT - COST CENTRE'!$A:$A,0),MATCH('Summary - Monthly'!Q$3,'TRANS EMP EXTRACT - COST CENTRE'!$2:$2,0)),0)</f>
        <v>0.25</v>
      </c>
      <c r="R91" s="10">
        <f>IFERROR(INDEX('TRANS EMP EXTRACT - COST CENTRE'!$A$1:$Z$455,MATCH('Summary - Monthly'!$A91,'TRANS EMP EXTRACT - COST CENTRE'!$A:$A,0),MATCH('Summary - Monthly'!R$3,'TRANS EMP EXTRACT - COST CENTRE'!$2:$2,0)),0)</f>
        <v>0</v>
      </c>
      <c r="S91" s="10">
        <f>IFERROR(INDEX('TRANS EMP EXTRACT - COST CENTRE'!$A$1:$Z$455,MATCH('Summary - Monthly'!$A91,'TRANS EMP EXTRACT - COST CENTRE'!$A:$A,0),MATCH('Summary - Monthly'!S$3,'TRANS EMP EXTRACT - COST CENTRE'!$2:$2,0)),0)</f>
        <v>0</v>
      </c>
      <c r="T91" s="8">
        <f>IFERROR(INDEX('TRANS EMP EXTRACT - COST CENTRE'!$A$1:$Z$455,MATCH('Summary - Monthly'!$A91,'TRANS EMP EXTRACT - COST CENTRE'!$A:$A,0),MATCH('Summary - Monthly'!T$3,'TRANS EMP EXTRACT - COST CENTRE'!$2:$2,0)),0)</f>
        <v>0</v>
      </c>
      <c r="U91" s="13">
        <f>IFERROR(INDEX('TRANS EMP EXTRACT - COST CENTRE'!$A$1:$Z$455,MATCH('Summary - Monthly'!$A91,'TRANS EMP EXTRACT - COST CENTRE'!$A:$A,0),MATCH('Summary - Monthly'!U$3,'TRANS EMP EXTRACT - COST CENTRE'!$2:$2,0)),0)</f>
        <v>0</v>
      </c>
      <c r="V91" s="13">
        <f>IFERROR(INDEX('TRANS EMP EXTRACT - COST CENTRE'!$A$1:$Z$455,MATCH('Summary - Monthly'!$A91,'TRANS EMP EXTRACT - COST CENTRE'!$A:$A,0),MATCH('Summary - Monthly'!V$3,'TRANS EMP EXTRACT - COST CENTRE'!$2:$2,0)),0)</f>
        <v>0</v>
      </c>
      <c r="W91" s="13">
        <f>IFERROR(INDEX('TRANS EMP EXTRACT - COST CENTRE'!$A$1:$Z$455,MATCH('Summary - Monthly'!$A91,'TRANS EMP EXTRACT - COST CENTRE'!$A:$A,0),MATCH('Summary - Monthly'!W$3,'TRANS EMP EXTRACT - COST CENTRE'!$2:$2,0)),0)</f>
        <v>0</v>
      </c>
      <c r="X91" s="13">
        <f>IFERROR(INDEX('TRANS EMP EXTRACT - COST CENTRE'!$A$1:$Z$455,MATCH('Summary - Monthly'!$A91,'TRANS EMP EXTRACT - COST CENTRE'!$A:$A,0),MATCH('Summary - Monthly'!X$3,'TRANS EMP EXTRACT - COST CENTRE'!$2:$2,0)),0)</f>
        <v>0</v>
      </c>
      <c r="Y91" s="13">
        <f>IFERROR(INDEX('TRANS EMP EXTRACT - COST CENTRE'!$A$1:$Z$455,MATCH('Summary - Monthly'!$A91,'TRANS EMP EXTRACT - COST CENTRE'!$A:$A,0),MATCH('Summary - Monthly'!Y$3,'TRANS EMP EXTRACT - COST CENTRE'!$2:$2,0)),0)</f>
        <v>0</v>
      </c>
      <c r="Z91" s="10">
        <f>IFERROR(INDEX('TRANS EMP EXTRACT - COST CENTRE'!$A$1:$Z$455,MATCH('Summary - Monthly'!$A91,'TRANS EMP EXTRACT - COST CENTRE'!$A:$A,0),MATCH('Summary - Monthly'!Z$3,'TRANS EMP EXTRACT - COST CENTRE'!$2:$2,0)),0)</f>
        <v>0</v>
      </c>
      <c r="AA91" s="10">
        <f>IFERROR(INDEX('TRANS EMP EXTRACT - COST CENTRE'!$A$1:$Z$455,MATCH('Summary - Monthly'!$A91,'TRANS EMP EXTRACT - COST CENTRE'!$A:$A,0),MATCH('Summary - Monthly'!AA$3,'TRANS EMP EXTRACT - COST CENTRE'!$2:$2,0)),0)</f>
        <v>0</v>
      </c>
      <c r="AB91" s="10">
        <f>IFERROR(INDEX('TRANS EMP EXTRACT - COST CENTRE'!$A$1:$Z$455,MATCH('Summary - Monthly'!$A91,'TRANS EMP EXTRACT - COST CENTRE'!$A:$A,0),MATCH('Summary - Monthly'!AB$3,'TRANS EMP EXTRACT - COST CENTRE'!$2:$2,0)),0)</f>
        <v>0</v>
      </c>
      <c r="AC91" s="8">
        <f>IFERROR(INDEX('TRANS EMP EXTRACT - COST CENTRE'!$A$1:$Z$455,MATCH('Summary - Monthly'!$A91,'TRANS EMP EXTRACT - COST CENTRE'!$A:$A,0),MATCH('Summary - Monthly'!AC$3,'TRANS EMP EXTRACT - COST CENTRE'!$2:$2,0)),0)</f>
        <v>0</v>
      </c>
      <c r="AD91" s="13">
        <f>IFERROR(INDEX('TRANS EMP EXTRACT - COST CENTRE'!$A$1:$Z$455,MATCH('Summary - Monthly'!$A91,'TRANS EMP EXTRACT - COST CENTRE'!$A:$A,0),MATCH('Summary - Monthly'!AD$3,'TRANS EMP EXTRACT - COST CENTRE'!$2:$2,0)),0)</f>
        <v>0</v>
      </c>
      <c r="AE91" s="13">
        <f>IFERROR(INDEX('TRANS EMP EXTRACT - COST CENTRE'!$A$1:$Z$455,MATCH('Summary - Monthly'!$A91,'TRANS EMP EXTRACT - COST CENTRE'!$A:$A,0),MATCH('Summary - Monthly'!AE$3,'TRANS EMP EXTRACT - COST CENTRE'!$2:$2,0)),0)</f>
        <v>0</v>
      </c>
      <c r="AF91" s="13">
        <f>IFERROR(INDEX('TRANS EMP EXTRACT - COST CENTRE'!$A$1:$Z$455,MATCH('Summary - Monthly'!$A91,'TRANS EMP EXTRACT - COST CENTRE'!$A:$A,0),MATCH('Summary - Monthly'!AF$3,'TRANS EMP EXTRACT - COST CENTRE'!$2:$2,0)),0)</f>
        <v>0</v>
      </c>
      <c r="AG91" s="10">
        <f>IFERROR(INDEX('TRANS EMP EXTRACT - COST CENTRE'!$A$1:$Z$455,MATCH('Summary - Monthly'!$A91,'TRANS EMP EXTRACT - COST CENTRE'!$A:$A,0),MATCH('Summary - Monthly'!AG$3,'TRANS EMP EXTRACT - COST CENTRE'!$2:$2,0)),0)</f>
        <v>0</v>
      </c>
      <c r="AH91" s="10">
        <f>IFERROR(INDEX('TRANS EMP EXTRACT - COST CENTRE'!$A$1:$Z$455,MATCH('Summary - Monthly'!$A91,'TRANS EMP EXTRACT - COST CENTRE'!$A:$A,0),MATCH('Summary - Monthly'!AH$3,'TRANS EMP EXTRACT - COST CENTRE'!$2:$2,0)),0)</f>
        <v>0</v>
      </c>
      <c r="AI91" s="10">
        <f>IFERROR(INDEX('TRANS EMP EXTRACT - COST CENTRE'!$A$1:$Z$455,MATCH('Summary - Monthly'!$A91,'TRANS EMP EXTRACT - COST CENTRE'!$A:$A,0),MATCH('Summary - Monthly'!AI$3,'TRANS EMP EXTRACT - COST CENTRE'!$2:$2,0)),0)</f>
        <v>0</v>
      </c>
      <c r="AJ91" s="10">
        <f>IFERROR(INDEX('TRANS EMP EXTRACT - COST CENTRE'!$A$1:$Z$455,MATCH('Summary - Monthly'!$A91,'TRANS EMP EXTRACT - COST CENTRE'!$A:$A,0),MATCH('Summary - Monthly'!AJ$3,'TRANS EMP EXTRACT - COST CENTRE'!$2:$2,0)),0)</f>
        <v>0</v>
      </c>
      <c r="AK91" s="10">
        <f>IFERROR(INDEX('TRANS EMP EXTRACT - COST CENTRE'!$A$1:$Z$455,MATCH('Summary - Monthly'!$A91,'TRANS EMP EXTRACT - COST CENTRE'!$A:$A,0),MATCH('Summary - Monthly'!AK$3,'TRANS EMP EXTRACT - COST CENTRE'!$2:$2,0)),0)</f>
        <v>0</v>
      </c>
      <c r="AL91" s="10">
        <f>IFERROR(INDEX('TRANS EMP EXTRACT - COST CENTRE'!$A$1:$Z$455,MATCH('Summary - Monthly'!$A91,'TRANS EMP EXTRACT - COST CENTRE'!$A:$A,0),MATCH('Summary - Monthly'!AL$3,'TRANS EMP EXTRACT - COST CENTRE'!$2:$2,0)),0)</f>
        <v>0</v>
      </c>
      <c r="AM91" s="10">
        <f t="shared" si="20"/>
        <v>61.883299999999998</v>
      </c>
      <c r="AN91" s="14">
        <f t="shared" si="13"/>
        <v>1.6447368421052631E-3</v>
      </c>
      <c r="AO91" s="18">
        <f t="shared" si="18"/>
        <v>0.40712697368421052</v>
      </c>
      <c r="AP91" s="18">
        <f t="shared" si="19"/>
        <v>0.40712697368421052</v>
      </c>
      <c r="AQ91" s="10" t="str">
        <f>IFERROR(VLOOKUP(B91,Departments!A:C,3,FALSE),"")</f>
        <v>Chemistry</v>
      </c>
      <c r="AR91" s="10" t="str">
        <f>IFERROR(VLOOKUP(B91,Departments!A:B,2,FALSE),"")</f>
        <v>Sydney Chem</v>
      </c>
      <c r="AS91" s="10">
        <f t="shared" si="14"/>
        <v>0</v>
      </c>
      <c r="AT91" s="10">
        <f t="shared" si="15"/>
        <v>0</v>
      </c>
      <c r="AU91" s="10" t="str">
        <f>_xlfn.IFNA(VLOOKUP(B91,Departments!A:D,4,FALSE),"")</f>
        <v>Sydney Chem</v>
      </c>
    </row>
    <row r="92" spans="1:47" ht="14.45" customHeight="1">
      <c r="A92" s="11" t="str">
        <f t="shared" si="16"/>
        <v>1202102118559</v>
      </c>
      <c r="B92" s="11">
        <f>'TRANS EMP EXTRACT - COST CENTRE'!B91</f>
        <v>12021021</v>
      </c>
      <c r="C92" s="10" t="str">
        <f>IFERROR(VLOOKUP(E92,'TRANS EMP EXTRACT - EMP CATEGOR'!A:B,2,FALSE),"")</f>
        <v>FT</v>
      </c>
      <c r="D92" s="10" t="str">
        <f>IFERROR(VLOOKUP(E92,'TRANS EMP EXTRACT - EMP CATEGOR'!A:C,3,FALSE),"")</f>
        <v>Fulltime</v>
      </c>
      <c r="E92" s="11">
        <f>'TRANS EMP EXTRACT - COST CENTRE'!D91</f>
        <v>18559</v>
      </c>
      <c r="F92" s="10" t="str">
        <f>IFERROR(VLOOKUP(E92,'TRANS EMP EXTRACT - COST CENTRE'!D:E,2,FALSE),"")</f>
        <v>PATEL  VIPUL MR</v>
      </c>
      <c r="G92" s="12">
        <f>IFERROR(INDEX('TRANS EMP EXTRACT - COST CENTRE'!$A$1:$Z$455,MATCH('Summary - Monthly'!$A92,'TRANS EMP EXTRACT - COST CENTRE'!$A:$A,0),MATCH('Summary - Monthly'!G$3,'TRANS EMP EXTRACT - COST CENTRE'!$2:$2,0)),"")</f>
        <v>41190</v>
      </c>
      <c r="H92" s="10" t="str">
        <f>IFERROR(INDEX('TRANS EMP EXTRACT - COST CENTRE'!$B$1:$Z$455,MATCH('Summary - Monthly'!$E92,'TRANS EMP EXTRACT - COST CENTRE'!$D:$D,0),MATCH('Summary - Monthly'!H$3,'TRANS EMP EXTRACT - COST CENTRE'!$2:$2,0)),"")</f>
        <v>RT</v>
      </c>
      <c r="I92" s="12" t="str">
        <f>IFERROR(INDEX('TRANS EMP EXTRACT - EMP CATEGOR'!$B$1:$AF$421,MATCH('Summary - Monthly'!$E92,'TRANS EMP EXTRACT - EMP CATEGOR'!$D:$D,0),MATCH('Summary - Monthly'!H$3,'TRANS EMP EXTRACT - EMP CATEGOR'!$2:$2,0)),"")</f>
        <v>RT</v>
      </c>
      <c r="J92" s="41">
        <f t="shared" ca="1" si="12"/>
        <v>337.39060000000001</v>
      </c>
      <c r="K92" s="41">
        <f t="shared" ca="1" si="17"/>
        <v>239.93549999999999</v>
      </c>
      <c r="L92" s="10">
        <f>IFERROR(INDEX('TRANS EMP EXTRACT - COST CENTRE'!$A$1:$Z$455,MATCH('Summary - Monthly'!$A92,'TRANS EMP EXTRACT - COST CENTRE'!$A:$A,0),MATCH('Summary - Monthly'!L$3,'TRANS EMP EXTRACT - COST CENTRE'!$2:$2,0)),"")</f>
        <v>152</v>
      </c>
      <c r="M92" s="10">
        <f>IFERROR(INDEX('TRANS EMP EXTRACT - COST CENTRE'!$A$1:$Z$455,MATCH('Summary - Monthly'!$A92,'TRANS EMP EXTRACT - COST CENTRE'!$A:$A,0),MATCH('Summary - Monthly'!M$3,'TRANS EMP EXTRACT - COST CENTRE'!$2:$2,0)),0)</f>
        <v>0</v>
      </c>
      <c r="N92" s="10">
        <f>IFERROR(INDEX('TRANS EMP EXTRACT - COST CENTRE'!$A$1:$Z$455,MATCH('Summary - Monthly'!$A92,'TRANS EMP EXTRACT - COST CENTRE'!$A:$A,0),MATCH('Summary - Monthly'!N$3,'TRANS EMP EXTRACT - COST CENTRE'!$2:$2,0)),0)</f>
        <v>0</v>
      </c>
      <c r="O92" s="10">
        <f>IFERROR(INDEX('TRANS EMP EXTRACT - COST CENTRE'!$A$1:$Z$455,MATCH('Summary - Monthly'!$A92,'TRANS EMP EXTRACT - COST CENTRE'!$A:$A,0),MATCH('Summary - Monthly'!O$3,'TRANS EMP EXTRACT - COST CENTRE'!$2:$2,0)),0)</f>
        <v>0</v>
      </c>
      <c r="P92" s="10">
        <f>IFERROR(INDEX('TRANS EMP EXTRACT - COST CENTRE'!$A$1:$Z$455,MATCH('Summary - Monthly'!$A92,'TRANS EMP EXTRACT - COST CENTRE'!$A:$A,0),MATCH('Summary - Monthly'!P$3,'TRANS EMP EXTRACT - COST CENTRE'!$2:$2,0)),0)</f>
        <v>0</v>
      </c>
      <c r="Q92" s="10">
        <f>IFERROR(INDEX('TRANS EMP EXTRACT - COST CENTRE'!$A$1:$Z$455,MATCH('Summary - Monthly'!$A92,'TRANS EMP EXTRACT - COST CENTRE'!$A:$A,0),MATCH('Summary - Monthly'!Q$3,'TRANS EMP EXTRACT - COST CENTRE'!$2:$2,0)),0)</f>
        <v>0</v>
      </c>
      <c r="R92" s="10">
        <f>IFERROR(INDEX('TRANS EMP EXTRACT - COST CENTRE'!$A$1:$Z$455,MATCH('Summary - Monthly'!$A92,'TRANS EMP EXTRACT - COST CENTRE'!$A:$A,0),MATCH('Summary - Monthly'!R$3,'TRANS EMP EXTRACT - COST CENTRE'!$2:$2,0)),0)</f>
        <v>0</v>
      </c>
      <c r="S92" s="10">
        <f>IFERROR(INDEX('TRANS EMP EXTRACT - COST CENTRE'!$A$1:$Z$455,MATCH('Summary - Monthly'!$A92,'TRANS EMP EXTRACT - COST CENTRE'!$A:$A,0),MATCH('Summary - Monthly'!S$3,'TRANS EMP EXTRACT - COST CENTRE'!$2:$2,0)),0)</f>
        <v>0</v>
      </c>
      <c r="T92" s="8">
        <f>IFERROR(INDEX('TRANS EMP EXTRACT - COST CENTRE'!$A$1:$Z$455,MATCH('Summary - Monthly'!$A92,'TRANS EMP EXTRACT - COST CENTRE'!$A:$A,0),MATCH('Summary - Monthly'!T$3,'TRANS EMP EXTRACT - COST CENTRE'!$2:$2,0)),0)</f>
        <v>0</v>
      </c>
      <c r="U92" s="13">
        <f>IFERROR(INDEX('TRANS EMP EXTRACT - COST CENTRE'!$A$1:$Z$455,MATCH('Summary - Monthly'!$A92,'TRANS EMP EXTRACT - COST CENTRE'!$A:$A,0),MATCH('Summary - Monthly'!U$3,'TRANS EMP EXTRACT - COST CENTRE'!$2:$2,0)),0)</f>
        <v>0</v>
      </c>
      <c r="V92" s="13">
        <f>IFERROR(INDEX('TRANS EMP EXTRACT - COST CENTRE'!$A$1:$Z$455,MATCH('Summary - Monthly'!$A92,'TRANS EMP EXTRACT - COST CENTRE'!$A:$A,0),MATCH('Summary - Monthly'!V$3,'TRANS EMP EXTRACT - COST CENTRE'!$2:$2,0)),0)</f>
        <v>0</v>
      </c>
      <c r="W92" s="13">
        <f>IFERROR(INDEX('TRANS EMP EXTRACT - COST CENTRE'!$A$1:$Z$455,MATCH('Summary - Monthly'!$A92,'TRANS EMP EXTRACT - COST CENTRE'!$A:$A,0),MATCH('Summary - Monthly'!W$3,'TRANS EMP EXTRACT - COST CENTRE'!$2:$2,0)),0)</f>
        <v>0</v>
      </c>
      <c r="X92" s="13">
        <f>IFERROR(INDEX('TRANS EMP EXTRACT - COST CENTRE'!$A$1:$Z$455,MATCH('Summary - Monthly'!$A92,'TRANS EMP EXTRACT - COST CENTRE'!$A:$A,0),MATCH('Summary - Monthly'!X$3,'TRANS EMP EXTRACT - COST CENTRE'!$2:$2,0)),0)</f>
        <v>0</v>
      </c>
      <c r="Y92" s="13">
        <f>IFERROR(INDEX('TRANS EMP EXTRACT - COST CENTRE'!$A$1:$Z$455,MATCH('Summary - Monthly'!$A92,'TRANS EMP EXTRACT - COST CENTRE'!$A:$A,0),MATCH('Summary - Monthly'!Y$3,'TRANS EMP EXTRACT - COST CENTRE'!$2:$2,0)),0)</f>
        <v>0</v>
      </c>
      <c r="Z92" s="10">
        <f>IFERROR(INDEX('TRANS EMP EXTRACT - COST CENTRE'!$A$1:$Z$455,MATCH('Summary - Monthly'!$A92,'TRANS EMP EXTRACT - COST CENTRE'!$A:$A,0),MATCH('Summary - Monthly'!Z$3,'TRANS EMP EXTRACT - COST CENTRE'!$2:$2,0)),0)</f>
        <v>0</v>
      </c>
      <c r="AA92" s="10">
        <f>IFERROR(INDEX('TRANS EMP EXTRACT - COST CENTRE'!$A$1:$Z$455,MATCH('Summary - Monthly'!$A92,'TRANS EMP EXTRACT - COST CENTRE'!$A:$A,0),MATCH('Summary - Monthly'!AA$3,'TRANS EMP EXTRACT - COST CENTRE'!$2:$2,0)),0)</f>
        <v>0</v>
      </c>
      <c r="AB92" s="10">
        <f>IFERROR(INDEX('TRANS EMP EXTRACT - COST CENTRE'!$A$1:$Z$455,MATCH('Summary - Monthly'!$A92,'TRANS EMP EXTRACT - COST CENTRE'!$A:$A,0),MATCH('Summary - Monthly'!AB$3,'TRANS EMP EXTRACT - COST CENTRE'!$2:$2,0)),0)</f>
        <v>0</v>
      </c>
      <c r="AC92" s="8">
        <f>IFERROR(INDEX('TRANS EMP EXTRACT - COST CENTRE'!$A$1:$Z$455,MATCH('Summary - Monthly'!$A92,'TRANS EMP EXTRACT - COST CENTRE'!$A:$A,0),MATCH('Summary - Monthly'!AC$3,'TRANS EMP EXTRACT - COST CENTRE'!$2:$2,0)),0)</f>
        <v>0</v>
      </c>
      <c r="AD92" s="13">
        <f>IFERROR(INDEX('TRANS EMP EXTRACT - COST CENTRE'!$A$1:$Z$455,MATCH('Summary - Monthly'!$A92,'TRANS EMP EXTRACT - COST CENTRE'!$A:$A,0),MATCH('Summary - Monthly'!AD$3,'TRANS EMP EXTRACT - COST CENTRE'!$2:$2,0)),0)</f>
        <v>0</v>
      </c>
      <c r="AE92" s="13">
        <f>IFERROR(INDEX('TRANS EMP EXTRACT - COST CENTRE'!$A$1:$Z$455,MATCH('Summary - Monthly'!$A92,'TRANS EMP EXTRACT - COST CENTRE'!$A:$A,0),MATCH('Summary - Monthly'!AE$3,'TRANS EMP EXTRACT - COST CENTRE'!$2:$2,0)),0)</f>
        <v>0</v>
      </c>
      <c r="AF92" s="13">
        <f>IFERROR(INDEX('TRANS EMP EXTRACT - COST CENTRE'!$A$1:$Z$455,MATCH('Summary - Monthly'!$A92,'TRANS EMP EXTRACT - COST CENTRE'!$A:$A,0),MATCH('Summary - Monthly'!AF$3,'TRANS EMP EXTRACT - COST CENTRE'!$2:$2,0)),0)</f>
        <v>0</v>
      </c>
      <c r="AG92" s="10">
        <f>IFERROR(INDEX('TRANS EMP EXTRACT - COST CENTRE'!$A$1:$Z$455,MATCH('Summary - Monthly'!$A92,'TRANS EMP EXTRACT - COST CENTRE'!$A:$A,0),MATCH('Summary - Monthly'!AG$3,'TRANS EMP EXTRACT - COST CENTRE'!$2:$2,0)),0)</f>
        <v>0</v>
      </c>
      <c r="AH92" s="10">
        <f>IFERROR(INDEX('TRANS EMP EXTRACT - COST CENTRE'!$A$1:$Z$455,MATCH('Summary - Monthly'!$A92,'TRANS EMP EXTRACT - COST CENTRE'!$A:$A,0),MATCH('Summary - Monthly'!AH$3,'TRANS EMP EXTRACT - COST CENTRE'!$2:$2,0)),0)</f>
        <v>0</v>
      </c>
      <c r="AI92" s="10">
        <f>IFERROR(INDEX('TRANS EMP EXTRACT - COST CENTRE'!$A$1:$Z$455,MATCH('Summary - Monthly'!$A92,'TRANS EMP EXTRACT - COST CENTRE'!$A:$A,0),MATCH('Summary - Monthly'!AI$3,'TRANS EMP EXTRACT - COST CENTRE'!$2:$2,0)),0)</f>
        <v>0</v>
      </c>
      <c r="AJ92" s="10">
        <f>IFERROR(INDEX('TRANS EMP EXTRACT - COST CENTRE'!$A$1:$Z$455,MATCH('Summary - Monthly'!$A92,'TRANS EMP EXTRACT - COST CENTRE'!$A:$A,0),MATCH('Summary - Monthly'!AJ$3,'TRANS EMP EXTRACT - COST CENTRE'!$2:$2,0)),0)</f>
        <v>0</v>
      </c>
      <c r="AK92" s="10">
        <f>IFERROR(INDEX('TRANS EMP EXTRACT - COST CENTRE'!$A$1:$Z$455,MATCH('Summary - Monthly'!$A92,'TRANS EMP EXTRACT - COST CENTRE'!$A:$A,0),MATCH('Summary - Monthly'!AK$3,'TRANS EMP EXTRACT - COST CENTRE'!$2:$2,0)),0)</f>
        <v>0</v>
      </c>
      <c r="AL92" s="10">
        <f>IFERROR(INDEX('TRANS EMP EXTRACT - COST CENTRE'!$A$1:$Z$455,MATCH('Summary - Monthly'!$A92,'TRANS EMP EXTRACT - COST CENTRE'!$A:$A,0),MATCH('Summary - Monthly'!AL$3,'TRANS EMP EXTRACT - COST CENTRE'!$2:$2,0)),0)</f>
        <v>0</v>
      </c>
      <c r="AM92" s="10">
        <f t="shared" si="20"/>
        <v>152</v>
      </c>
      <c r="AN92" s="14">
        <f t="shared" si="13"/>
        <v>0</v>
      </c>
      <c r="AO92" s="18">
        <f t="shared" si="18"/>
        <v>1</v>
      </c>
      <c r="AP92" s="18">
        <f t="shared" si="19"/>
        <v>1</v>
      </c>
      <c r="AQ92" s="10" t="str">
        <f>IFERROR(VLOOKUP(B92,Departments!A:C,3,FALSE),"")</f>
        <v>Chemistry</v>
      </c>
      <c r="AR92" s="10" t="str">
        <f>IFERROR(VLOOKUP(B92,Departments!A:B,2,FALSE),"")</f>
        <v>Sydney Chem</v>
      </c>
      <c r="AS92" s="10">
        <f t="shared" si="14"/>
        <v>0</v>
      </c>
      <c r="AT92" s="10">
        <f t="shared" si="15"/>
        <v>0</v>
      </c>
      <c r="AU92" s="10" t="str">
        <f>_xlfn.IFNA(VLOOKUP(B92,Departments!A:D,4,FALSE),"")</f>
        <v>Sydney Chem</v>
      </c>
    </row>
    <row r="93" spans="1:47" ht="14.45" customHeight="1">
      <c r="A93" s="11" t="str">
        <f t="shared" si="16"/>
        <v>1201859918969</v>
      </c>
      <c r="B93" s="11">
        <f>'TRANS EMP EXTRACT - COST CENTRE'!B92</f>
        <v>12018599</v>
      </c>
      <c r="C93" s="10" t="str">
        <f>IFERROR(VLOOKUP(E93,'TRANS EMP EXTRACT - EMP CATEGOR'!A:B,2,FALSE),"")</f>
        <v>FT</v>
      </c>
      <c r="D93" s="10" t="str">
        <f>IFERROR(VLOOKUP(E93,'TRANS EMP EXTRACT - EMP CATEGOR'!A:C,3,FALSE),"")</f>
        <v>Fulltime</v>
      </c>
      <c r="E93" s="11">
        <f>'TRANS EMP EXTRACT - COST CENTRE'!D92</f>
        <v>18969</v>
      </c>
      <c r="F93" s="10" t="str">
        <f>IFERROR(VLOOKUP(E93,'TRANS EMP EXTRACT - COST CENTRE'!D:E,2,FALSE),"")</f>
        <v>PETRAKIS  NICK MR</v>
      </c>
      <c r="G93" s="12">
        <f>IFERROR(INDEX('TRANS EMP EXTRACT - COST CENTRE'!$A$1:$Z$455,MATCH('Summary - Monthly'!$A93,'TRANS EMP EXTRACT - COST CENTRE'!$A:$A,0),MATCH('Summary - Monthly'!G$3,'TRANS EMP EXTRACT - COST CENTRE'!$2:$2,0)),"")</f>
        <v>44452</v>
      </c>
      <c r="H93" s="10" t="str">
        <f>IFERROR(INDEX('TRANS EMP EXTRACT - COST CENTRE'!$B$1:$Z$455,MATCH('Summary - Monthly'!$E93,'TRANS EMP EXTRACT - COST CENTRE'!$D:$D,0),MATCH('Summary - Monthly'!H$3,'TRANS EMP EXTRACT - COST CENTRE'!$2:$2,0)),"")</f>
        <v>FN</v>
      </c>
      <c r="I93" s="12" t="str">
        <f>IFERROR(INDEX('TRANS EMP EXTRACT - EMP CATEGOR'!$B$1:$AF$421,MATCH('Summary - Monthly'!$E93,'TRANS EMP EXTRACT - EMP CATEGOR'!$D:$D,0),MATCH('Summary - Monthly'!H$3,'TRANS EMP EXTRACT - EMP CATEGOR'!$2:$2,0)),"")</f>
        <v>FN</v>
      </c>
      <c r="J93" s="41">
        <f t="shared" ca="1" si="12"/>
        <v>111.8137</v>
      </c>
      <c r="K93" s="41">
        <f t="shared" ca="1" si="17"/>
        <v>98.0274</v>
      </c>
      <c r="L93" s="10">
        <f>IFERROR(INDEX('TRANS EMP EXTRACT - COST CENTRE'!$A$1:$Z$455,MATCH('Summary - Monthly'!$A93,'TRANS EMP EXTRACT - COST CENTRE'!$A:$A,0),MATCH('Summary - Monthly'!L$3,'TRANS EMP EXTRACT - COST CENTRE'!$2:$2,0)),"")</f>
        <v>148</v>
      </c>
      <c r="M93" s="10">
        <f>IFERROR(INDEX('TRANS EMP EXTRACT - COST CENTRE'!$A$1:$Z$455,MATCH('Summary - Monthly'!$A93,'TRANS EMP EXTRACT - COST CENTRE'!$A:$A,0),MATCH('Summary - Monthly'!M$3,'TRANS EMP EXTRACT - COST CENTRE'!$2:$2,0)),0)</f>
        <v>0</v>
      </c>
      <c r="N93" s="10">
        <f>IFERROR(INDEX('TRANS EMP EXTRACT - COST CENTRE'!$A$1:$Z$455,MATCH('Summary - Monthly'!$A93,'TRANS EMP EXTRACT - COST CENTRE'!$A:$A,0),MATCH('Summary - Monthly'!N$3,'TRANS EMP EXTRACT - COST CENTRE'!$2:$2,0)),0)</f>
        <v>0</v>
      </c>
      <c r="O93" s="10">
        <f>IFERROR(INDEX('TRANS EMP EXTRACT - COST CENTRE'!$A$1:$Z$455,MATCH('Summary - Monthly'!$A93,'TRANS EMP EXTRACT - COST CENTRE'!$A:$A,0),MATCH('Summary - Monthly'!O$3,'TRANS EMP EXTRACT - COST CENTRE'!$2:$2,0)),0)</f>
        <v>0</v>
      </c>
      <c r="P93" s="10">
        <f>IFERROR(INDEX('TRANS EMP EXTRACT - COST CENTRE'!$A$1:$Z$455,MATCH('Summary - Monthly'!$A93,'TRANS EMP EXTRACT - COST CENTRE'!$A:$A,0),MATCH('Summary - Monthly'!P$3,'TRANS EMP EXTRACT - COST CENTRE'!$2:$2,0)),0)</f>
        <v>0</v>
      </c>
      <c r="Q93" s="10">
        <f>IFERROR(INDEX('TRANS EMP EXTRACT - COST CENTRE'!$A$1:$Z$455,MATCH('Summary - Monthly'!$A93,'TRANS EMP EXTRACT - COST CENTRE'!$A:$A,0),MATCH('Summary - Monthly'!Q$3,'TRANS EMP EXTRACT - COST CENTRE'!$2:$2,0)),0)</f>
        <v>0</v>
      </c>
      <c r="R93" s="10">
        <f>IFERROR(INDEX('TRANS EMP EXTRACT - COST CENTRE'!$A$1:$Z$455,MATCH('Summary - Monthly'!$A93,'TRANS EMP EXTRACT - COST CENTRE'!$A:$A,0),MATCH('Summary - Monthly'!R$3,'TRANS EMP EXTRACT - COST CENTRE'!$2:$2,0)),0)</f>
        <v>0</v>
      </c>
      <c r="S93" s="10">
        <f>IFERROR(INDEX('TRANS EMP EXTRACT - COST CENTRE'!$A$1:$Z$455,MATCH('Summary - Monthly'!$A93,'TRANS EMP EXTRACT - COST CENTRE'!$A:$A,0),MATCH('Summary - Monthly'!S$3,'TRANS EMP EXTRACT - COST CENTRE'!$2:$2,0)),0)</f>
        <v>0</v>
      </c>
      <c r="T93" s="8">
        <f>IFERROR(INDEX('TRANS EMP EXTRACT - COST CENTRE'!$A$1:$Z$455,MATCH('Summary - Monthly'!$A93,'TRANS EMP EXTRACT - COST CENTRE'!$A:$A,0),MATCH('Summary - Monthly'!T$3,'TRANS EMP EXTRACT - COST CENTRE'!$2:$2,0)),0)</f>
        <v>0</v>
      </c>
      <c r="U93" s="13">
        <f>IFERROR(INDEX('TRANS EMP EXTRACT - COST CENTRE'!$A$1:$Z$455,MATCH('Summary - Monthly'!$A93,'TRANS EMP EXTRACT - COST CENTRE'!$A:$A,0),MATCH('Summary - Monthly'!U$3,'TRANS EMP EXTRACT - COST CENTRE'!$2:$2,0)),0)</f>
        <v>4</v>
      </c>
      <c r="V93" s="13">
        <f>IFERROR(INDEX('TRANS EMP EXTRACT - COST CENTRE'!$A$1:$Z$455,MATCH('Summary - Monthly'!$A93,'TRANS EMP EXTRACT - COST CENTRE'!$A:$A,0),MATCH('Summary - Monthly'!V$3,'TRANS EMP EXTRACT - COST CENTRE'!$2:$2,0)),0)</f>
        <v>0</v>
      </c>
      <c r="W93" s="13">
        <f>IFERROR(INDEX('TRANS EMP EXTRACT - COST CENTRE'!$A$1:$Z$455,MATCH('Summary - Monthly'!$A93,'TRANS EMP EXTRACT - COST CENTRE'!$A:$A,0),MATCH('Summary - Monthly'!W$3,'TRANS EMP EXTRACT - COST CENTRE'!$2:$2,0)),0)</f>
        <v>0</v>
      </c>
      <c r="X93" s="13">
        <f>IFERROR(INDEX('TRANS EMP EXTRACT - COST CENTRE'!$A$1:$Z$455,MATCH('Summary - Monthly'!$A93,'TRANS EMP EXTRACT - COST CENTRE'!$A:$A,0),MATCH('Summary - Monthly'!X$3,'TRANS EMP EXTRACT - COST CENTRE'!$2:$2,0)),0)</f>
        <v>0</v>
      </c>
      <c r="Y93" s="13">
        <f>IFERROR(INDEX('TRANS EMP EXTRACT - COST CENTRE'!$A$1:$Z$455,MATCH('Summary - Monthly'!$A93,'TRANS EMP EXTRACT - COST CENTRE'!$A:$A,0),MATCH('Summary - Monthly'!Y$3,'TRANS EMP EXTRACT - COST CENTRE'!$2:$2,0)),0)</f>
        <v>0</v>
      </c>
      <c r="Z93" s="10">
        <f>IFERROR(INDEX('TRANS EMP EXTRACT - COST CENTRE'!$A$1:$Z$455,MATCH('Summary - Monthly'!$A93,'TRANS EMP EXTRACT - COST CENTRE'!$A:$A,0),MATCH('Summary - Monthly'!Z$3,'TRANS EMP EXTRACT - COST CENTRE'!$2:$2,0)),0)</f>
        <v>0</v>
      </c>
      <c r="AA93" s="10">
        <f>IFERROR(INDEX('TRANS EMP EXTRACT - COST CENTRE'!$A$1:$Z$455,MATCH('Summary - Monthly'!$A93,'TRANS EMP EXTRACT - COST CENTRE'!$A:$A,0),MATCH('Summary - Monthly'!AA$3,'TRANS EMP EXTRACT - COST CENTRE'!$2:$2,0)),0)</f>
        <v>0</v>
      </c>
      <c r="AB93" s="10">
        <f>IFERROR(INDEX('TRANS EMP EXTRACT - COST CENTRE'!$A$1:$Z$455,MATCH('Summary - Monthly'!$A93,'TRANS EMP EXTRACT - COST CENTRE'!$A:$A,0),MATCH('Summary - Monthly'!AB$3,'TRANS EMP EXTRACT - COST CENTRE'!$2:$2,0)),0)</f>
        <v>0</v>
      </c>
      <c r="AC93" s="8">
        <f>IFERROR(INDEX('TRANS EMP EXTRACT - COST CENTRE'!$A$1:$Z$455,MATCH('Summary - Monthly'!$A93,'TRANS EMP EXTRACT - COST CENTRE'!$A:$A,0),MATCH('Summary - Monthly'!AC$3,'TRANS EMP EXTRACT - COST CENTRE'!$2:$2,0)),0)</f>
        <v>0</v>
      </c>
      <c r="AD93" s="13">
        <f>IFERROR(INDEX('TRANS EMP EXTRACT - COST CENTRE'!$A$1:$Z$455,MATCH('Summary - Monthly'!$A93,'TRANS EMP EXTRACT - COST CENTRE'!$A:$A,0),MATCH('Summary - Monthly'!AD$3,'TRANS EMP EXTRACT - COST CENTRE'!$2:$2,0)),0)</f>
        <v>0</v>
      </c>
      <c r="AE93" s="13">
        <f>IFERROR(INDEX('TRANS EMP EXTRACT - COST CENTRE'!$A$1:$Z$455,MATCH('Summary - Monthly'!$A93,'TRANS EMP EXTRACT - COST CENTRE'!$A:$A,0),MATCH('Summary - Monthly'!AE$3,'TRANS EMP EXTRACT - COST CENTRE'!$2:$2,0)),0)</f>
        <v>0</v>
      </c>
      <c r="AF93" s="13">
        <f>IFERROR(INDEX('TRANS EMP EXTRACT - COST CENTRE'!$A$1:$Z$455,MATCH('Summary - Monthly'!$A93,'TRANS EMP EXTRACT - COST CENTRE'!$A:$A,0),MATCH('Summary - Monthly'!AF$3,'TRANS EMP EXTRACT - COST CENTRE'!$2:$2,0)),0)</f>
        <v>0</v>
      </c>
      <c r="AG93" s="10">
        <f>IFERROR(INDEX('TRANS EMP EXTRACT - COST CENTRE'!$A$1:$Z$455,MATCH('Summary - Monthly'!$A93,'TRANS EMP EXTRACT - COST CENTRE'!$A:$A,0),MATCH('Summary - Monthly'!AG$3,'TRANS EMP EXTRACT - COST CENTRE'!$2:$2,0)),0)</f>
        <v>0</v>
      </c>
      <c r="AH93" s="10">
        <f>IFERROR(INDEX('TRANS EMP EXTRACT - COST CENTRE'!$A$1:$Z$455,MATCH('Summary - Monthly'!$A93,'TRANS EMP EXTRACT - COST CENTRE'!$A:$A,0),MATCH('Summary - Monthly'!AH$3,'TRANS EMP EXTRACT - COST CENTRE'!$2:$2,0)),0)</f>
        <v>0</v>
      </c>
      <c r="AI93" s="10">
        <f>IFERROR(INDEX('TRANS EMP EXTRACT - COST CENTRE'!$A$1:$Z$455,MATCH('Summary - Monthly'!$A93,'TRANS EMP EXTRACT - COST CENTRE'!$A:$A,0),MATCH('Summary - Monthly'!AI$3,'TRANS EMP EXTRACT - COST CENTRE'!$2:$2,0)),0)</f>
        <v>0</v>
      </c>
      <c r="AJ93" s="10">
        <f>IFERROR(INDEX('TRANS EMP EXTRACT - COST CENTRE'!$A$1:$Z$455,MATCH('Summary - Monthly'!$A93,'TRANS EMP EXTRACT - COST CENTRE'!$A:$A,0),MATCH('Summary - Monthly'!AJ$3,'TRANS EMP EXTRACT - COST CENTRE'!$2:$2,0)),0)</f>
        <v>0</v>
      </c>
      <c r="AK93" s="10">
        <f>IFERROR(INDEX('TRANS EMP EXTRACT - COST CENTRE'!$A$1:$Z$455,MATCH('Summary - Monthly'!$A93,'TRANS EMP EXTRACT - COST CENTRE'!$A:$A,0),MATCH('Summary - Monthly'!AK$3,'TRANS EMP EXTRACT - COST CENTRE'!$2:$2,0)),0)</f>
        <v>0</v>
      </c>
      <c r="AL93" s="10">
        <f>IFERROR(INDEX('TRANS EMP EXTRACT - COST CENTRE'!$A$1:$Z$455,MATCH('Summary - Monthly'!$A93,'TRANS EMP EXTRACT - COST CENTRE'!$A:$A,0),MATCH('Summary - Monthly'!AL$3,'TRANS EMP EXTRACT - COST CENTRE'!$2:$2,0)),0)</f>
        <v>0</v>
      </c>
      <c r="AM93" s="10">
        <f t="shared" si="20"/>
        <v>152</v>
      </c>
      <c r="AN93" s="14">
        <f t="shared" si="13"/>
        <v>0</v>
      </c>
      <c r="AO93" s="18">
        <f t="shared" si="18"/>
        <v>1</v>
      </c>
      <c r="AP93" s="18">
        <f t="shared" si="19"/>
        <v>0.97368421052631582</v>
      </c>
      <c r="AQ93" s="10" t="str">
        <f>IFERROR(VLOOKUP(B93,Departments!A:C,3,FALSE),"")</f>
        <v>G&amp;A</v>
      </c>
      <c r="AR93" s="10" t="str">
        <f>IFERROR(VLOOKUP(B93,Departments!A:B,2,FALSE),"")</f>
        <v>HR</v>
      </c>
      <c r="AS93" s="10">
        <f t="shared" si="14"/>
        <v>0</v>
      </c>
      <c r="AT93" s="10">
        <f t="shared" si="15"/>
        <v>4</v>
      </c>
      <c r="AU93" s="10" t="str">
        <f>_xlfn.IFNA(VLOOKUP(B93,Departments!A:D,4,FALSE),"")</f>
        <v>G&amp;A</v>
      </c>
    </row>
    <row r="94" spans="1:47" ht="14.45" customHeight="1">
      <c r="A94" s="11" t="str">
        <f t="shared" si="16"/>
        <v>1206061118996</v>
      </c>
      <c r="B94" s="11">
        <f>'TRANS EMP EXTRACT - COST CENTRE'!B93</f>
        <v>12060611</v>
      </c>
      <c r="C94" s="10" t="str">
        <f>IFERROR(VLOOKUP(E94,'TRANS EMP EXTRACT - EMP CATEGOR'!A:B,2,FALSE),"")</f>
        <v>TP</v>
      </c>
      <c r="D94" s="10" t="str">
        <f>IFERROR(VLOOKUP(E94,'TRANS EMP EXTRACT - EMP CATEGOR'!A:C,3,FALSE),"")</f>
        <v>Temporary Parttime</v>
      </c>
      <c r="E94" s="11">
        <f>'TRANS EMP EXTRACT - COST CENTRE'!D93</f>
        <v>18996</v>
      </c>
      <c r="F94" s="10" t="str">
        <f>IFERROR(VLOOKUP(E94,'TRANS EMP EXTRACT - COST CENTRE'!D:E,2,FALSE),"")</f>
        <v>PINDORIA  NIKSHEE MISS</v>
      </c>
      <c r="G94" s="12">
        <f>IFERROR(INDEX('TRANS EMP EXTRACT - COST CENTRE'!$A$1:$Z$455,MATCH('Summary - Monthly'!$A94,'TRANS EMP EXTRACT - COST CENTRE'!$A:$A,0),MATCH('Summary - Monthly'!G$3,'TRANS EMP EXTRACT - COST CENTRE'!$2:$2,0)),"")</f>
        <v>44621</v>
      </c>
      <c r="H94" s="10" t="str">
        <f>IFERROR(INDEX('TRANS EMP EXTRACT - COST CENTRE'!$B$1:$Z$455,MATCH('Summary - Monthly'!$E94,'TRANS EMP EXTRACT - COST CENTRE'!$D:$D,0),MATCH('Summary - Monthly'!H$3,'TRANS EMP EXTRACT - COST CENTRE'!$2:$2,0)),"")</f>
        <v>RT</v>
      </c>
      <c r="I94" s="12" t="str">
        <f>IFERROR(INDEX('TRANS EMP EXTRACT - EMP CATEGOR'!$B$1:$AF$421,MATCH('Summary - Monthly'!$E94,'TRANS EMP EXTRACT - EMP CATEGOR'!$D:$D,0),MATCH('Summary - Monthly'!H$3,'TRANS EMP EXTRACT - EMP CATEGOR'!$2:$2,0)),"")</f>
        <v>RT</v>
      </c>
      <c r="J94" s="41">
        <f t="shared" ca="1" si="12"/>
        <v>36.866399999999999</v>
      </c>
      <c r="K94" s="41">
        <f t="shared" ca="1" si="17"/>
        <v>8.5329999999999995</v>
      </c>
      <c r="L94" s="10">
        <f>IFERROR(INDEX('TRANS EMP EXTRACT - COST CENTRE'!$A$1:$Z$455,MATCH('Summary - Monthly'!$A94,'TRANS EMP EXTRACT - COST CENTRE'!$A:$A,0),MATCH('Summary - Monthly'!L$3,'TRANS EMP EXTRACT - COST CENTRE'!$2:$2,0)),"")</f>
        <v>77.133300000000006</v>
      </c>
      <c r="M94" s="10">
        <f>IFERROR(INDEX('TRANS EMP EXTRACT - COST CENTRE'!$A$1:$Z$455,MATCH('Summary - Monthly'!$A94,'TRANS EMP EXTRACT - COST CENTRE'!$A:$A,0),MATCH('Summary - Monthly'!M$3,'TRANS EMP EXTRACT - COST CENTRE'!$2:$2,0)),0)</f>
        <v>0</v>
      </c>
      <c r="N94" s="10">
        <f>IFERROR(INDEX('TRANS EMP EXTRACT - COST CENTRE'!$A$1:$Z$455,MATCH('Summary - Monthly'!$A94,'TRANS EMP EXTRACT - COST CENTRE'!$A:$A,0),MATCH('Summary - Monthly'!N$3,'TRANS EMP EXTRACT - COST CENTRE'!$2:$2,0)),0)</f>
        <v>0</v>
      </c>
      <c r="O94" s="10">
        <f>IFERROR(INDEX('TRANS EMP EXTRACT - COST CENTRE'!$A$1:$Z$455,MATCH('Summary - Monthly'!$A94,'TRANS EMP EXTRACT - COST CENTRE'!$A:$A,0),MATCH('Summary - Monthly'!O$3,'TRANS EMP EXTRACT - COST CENTRE'!$2:$2,0)),0)</f>
        <v>20.9</v>
      </c>
      <c r="P94" s="10">
        <f>IFERROR(INDEX('TRANS EMP EXTRACT - COST CENTRE'!$A$1:$Z$455,MATCH('Summary - Monthly'!$A94,'TRANS EMP EXTRACT - COST CENTRE'!$A:$A,0),MATCH('Summary - Monthly'!P$3,'TRANS EMP EXTRACT - COST CENTRE'!$2:$2,0)),0)</f>
        <v>0</v>
      </c>
      <c r="Q94" s="10">
        <f>IFERROR(INDEX('TRANS EMP EXTRACT - COST CENTRE'!$A$1:$Z$455,MATCH('Summary - Monthly'!$A94,'TRANS EMP EXTRACT - COST CENTRE'!$A:$A,0),MATCH('Summary - Monthly'!Q$3,'TRANS EMP EXTRACT - COST CENTRE'!$2:$2,0)),0)</f>
        <v>15.966699999999999</v>
      </c>
      <c r="R94" s="10">
        <f>IFERROR(INDEX('TRANS EMP EXTRACT - COST CENTRE'!$A$1:$Z$455,MATCH('Summary - Monthly'!$A94,'TRANS EMP EXTRACT - COST CENTRE'!$A:$A,0),MATCH('Summary - Monthly'!R$3,'TRANS EMP EXTRACT - COST CENTRE'!$2:$2,0)),0)</f>
        <v>0.21659999999999999</v>
      </c>
      <c r="S94" s="10">
        <f>IFERROR(INDEX('TRANS EMP EXTRACT - COST CENTRE'!$A$1:$Z$455,MATCH('Summary - Monthly'!$A94,'TRANS EMP EXTRACT - COST CENTRE'!$A:$A,0),MATCH('Summary - Monthly'!S$3,'TRANS EMP EXTRACT - COST CENTRE'!$2:$2,0)),0)</f>
        <v>0</v>
      </c>
      <c r="T94" s="8">
        <f>IFERROR(INDEX('TRANS EMP EXTRACT - COST CENTRE'!$A$1:$Z$455,MATCH('Summary - Monthly'!$A94,'TRANS EMP EXTRACT - COST CENTRE'!$A:$A,0),MATCH('Summary - Monthly'!T$3,'TRANS EMP EXTRACT - COST CENTRE'!$2:$2,0)),0)</f>
        <v>0</v>
      </c>
      <c r="U94" s="13">
        <f>IFERROR(INDEX('TRANS EMP EXTRACT - COST CENTRE'!$A$1:$Z$455,MATCH('Summary - Monthly'!$A94,'TRANS EMP EXTRACT - COST CENTRE'!$A:$A,0),MATCH('Summary - Monthly'!U$3,'TRANS EMP EXTRACT - COST CENTRE'!$2:$2,0)),0)</f>
        <v>0</v>
      </c>
      <c r="V94" s="13">
        <f>IFERROR(INDEX('TRANS EMP EXTRACT - COST CENTRE'!$A$1:$Z$455,MATCH('Summary - Monthly'!$A94,'TRANS EMP EXTRACT - COST CENTRE'!$A:$A,0),MATCH('Summary - Monthly'!V$3,'TRANS EMP EXTRACT - COST CENTRE'!$2:$2,0)),0)</f>
        <v>0</v>
      </c>
      <c r="W94" s="13">
        <f>IFERROR(INDEX('TRANS EMP EXTRACT - COST CENTRE'!$A$1:$Z$455,MATCH('Summary - Monthly'!$A94,'TRANS EMP EXTRACT - COST CENTRE'!$A:$A,0),MATCH('Summary - Monthly'!W$3,'TRANS EMP EXTRACT - COST CENTRE'!$2:$2,0)),0)</f>
        <v>0</v>
      </c>
      <c r="X94" s="13">
        <f>IFERROR(INDEX('TRANS EMP EXTRACT - COST CENTRE'!$A$1:$Z$455,MATCH('Summary - Monthly'!$A94,'TRANS EMP EXTRACT - COST CENTRE'!$A:$A,0),MATCH('Summary - Monthly'!X$3,'TRANS EMP EXTRACT - COST CENTRE'!$2:$2,0)),0)</f>
        <v>0</v>
      </c>
      <c r="Y94" s="13">
        <f>IFERROR(INDEX('TRANS EMP EXTRACT - COST CENTRE'!$A$1:$Z$455,MATCH('Summary - Monthly'!$A94,'TRANS EMP EXTRACT - COST CENTRE'!$A:$A,0),MATCH('Summary - Monthly'!Y$3,'TRANS EMP EXTRACT - COST CENTRE'!$2:$2,0)),0)</f>
        <v>0</v>
      </c>
      <c r="Z94" s="10">
        <f>IFERROR(INDEX('TRANS EMP EXTRACT - COST CENTRE'!$A$1:$Z$455,MATCH('Summary - Monthly'!$A94,'TRANS EMP EXTRACT - COST CENTRE'!$A:$A,0),MATCH('Summary - Monthly'!Z$3,'TRANS EMP EXTRACT - COST CENTRE'!$2:$2,0)),0)</f>
        <v>15.6</v>
      </c>
      <c r="AA94" s="10">
        <f>IFERROR(INDEX('TRANS EMP EXTRACT - COST CENTRE'!$A$1:$Z$455,MATCH('Summary - Monthly'!$A94,'TRANS EMP EXTRACT - COST CENTRE'!$A:$A,0),MATCH('Summary - Monthly'!AA$3,'TRANS EMP EXTRACT - COST CENTRE'!$2:$2,0)),0)</f>
        <v>0</v>
      </c>
      <c r="AB94" s="10">
        <f>IFERROR(INDEX('TRANS EMP EXTRACT - COST CENTRE'!$A$1:$Z$455,MATCH('Summary - Monthly'!$A94,'TRANS EMP EXTRACT - COST CENTRE'!$A:$A,0),MATCH('Summary - Monthly'!AB$3,'TRANS EMP EXTRACT - COST CENTRE'!$2:$2,0)),0)</f>
        <v>0</v>
      </c>
      <c r="AC94" s="8">
        <f>IFERROR(INDEX('TRANS EMP EXTRACT - COST CENTRE'!$A$1:$Z$455,MATCH('Summary - Monthly'!$A94,'TRANS EMP EXTRACT - COST CENTRE'!$A:$A,0),MATCH('Summary - Monthly'!AC$3,'TRANS EMP EXTRACT - COST CENTRE'!$2:$2,0)),0)</f>
        <v>0</v>
      </c>
      <c r="AD94" s="13">
        <f>IFERROR(INDEX('TRANS EMP EXTRACT - COST CENTRE'!$A$1:$Z$455,MATCH('Summary - Monthly'!$A94,'TRANS EMP EXTRACT - COST CENTRE'!$A:$A,0),MATCH('Summary - Monthly'!AD$3,'TRANS EMP EXTRACT - COST CENTRE'!$2:$2,0)),0)</f>
        <v>0</v>
      </c>
      <c r="AE94" s="13">
        <f>IFERROR(INDEX('TRANS EMP EXTRACT - COST CENTRE'!$A$1:$Z$455,MATCH('Summary - Monthly'!$A94,'TRANS EMP EXTRACT - COST CENTRE'!$A:$A,0),MATCH('Summary - Monthly'!AE$3,'TRANS EMP EXTRACT - COST CENTRE'!$2:$2,0)),0)</f>
        <v>0</v>
      </c>
      <c r="AF94" s="13">
        <f>IFERROR(INDEX('TRANS EMP EXTRACT - COST CENTRE'!$A$1:$Z$455,MATCH('Summary - Monthly'!$A94,'TRANS EMP EXTRACT - COST CENTRE'!$A:$A,0),MATCH('Summary - Monthly'!AF$3,'TRANS EMP EXTRACT - COST CENTRE'!$2:$2,0)),0)</f>
        <v>0</v>
      </c>
      <c r="AG94" s="10">
        <f>IFERROR(INDEX('TRANS EMP EXTRACT - COST CENTRE'!$A$1:$Z$455,MATCH('Summary - Monthly'!$A94,'TRANS EMP EXTRACT - COST CENTRE'!$A:$A,0),MATCH('Summary - Monthly'!AG$3,'TRANS EMP EXTRACT - COST CENTRE'!$2:$2,0)),0)</f>
        <v>0</v>
      </c>
      <c r="AH94" s="10">
        <f>IFERROR(INDEX('TRANS EMP EXTRACT - COST CENTRE'!$A$1:$Z$455,MATCH('Summary - Monthly'!$A94,'TRANS EMP EXTRACT - COST CENTRE'!$A:$A,0),MATCH('Summary - Monthly'!AH$3,'TRANS EMP EXTRACT - COST CENTRE'!$2:$2,0)),0)</f>
        <v>0</v>
      </c>
      <c r="AI94" s="10">
        <f>IFERROR(INDEX('TRANS EMP EXTRACT - COST CENTRE'!$A$1:$Z$455,MATCH('Summary - Monthly'!$A94,'TRANS EMP EXTRACT - COST CENTRE'!$A:$A,0),MATCH('Summary - Monthly'!AI$3,'TRANS EMP EXTRACT - COST CENTRE'!$2:$2,0)),0)</f>
        <v>0</v>
      </c>
      <c r="AJ94" s="10">
        <f>IFERROR(INDEX('TRANS EMP EXTRACT - COST CENTRE'!$A$1:$Z$455,MATCH('Summary - Monthly'!$A94,'TRANS EMP EXTRACT - COST CENTRE'!$A:$A,0),MATCH('Summary - Monthly'!AJ$3,'TRANS EMP EXTRACT - COST CENTRE'!$2:$2,0)),0)</f>
        <v>0</v>
      </c>
      <c r="AK94" s="10">
        <f>IFERROR(INDEX('TRANS EMP EXTRACT - COST CENTRE'!$A$1:$Z$455,MATCH('Summary - Monthly'!$A94,'TRANS EMP EXTRACT - COST CENTRE'!$A:$A,0),MATCH('Summary - Monthly'!AK$3,'TRANS EMP EXTRACT - COST CENTRE'!$2:$2,0)),0)</f>
        <v>0</v>
      </c>
      <c r="AL94" s="10">
        <f>IFERROR(INDEX('TRANS EMP EXTRACT - COST CENTRE'!$A$1:$Z$455,MATCH('Summary - Monthly'!$A94,'TRANS EMP EXTRACT - COST CENTRE'!$A:$A,0),MATCH('Summary - Monthly'!AL$3,'TRANS EMP EXTRACT - COST CENTRE'!$2:$2,0)),0)</f>
        <v>0</v>
      </c>
      <c r="AM94" s="10">
        <f t="shared" si="20"/>
        <v>114.2166</v>
      </c>
      <c r="AN94" s="14">
        <f t="shared" si="13"/>
        <v>0.10646907894736841</v>
      </c>
      <c r="AO94" s="18">
        <f t="shared" si="18"/>
        <v>0.75142500000000001</v>
      </c>
      <c r="AP94" s="18">
        <f t="shared" si="19"/>
        <v>0.75142500000000001</v>
      </c>
      <c r="AQ94" s="10" t="str">
        <f>IFERROR(VLOOKUP(B94,Departments!A:C,3,FALSE),"")</f>
        <v>Microbiology</v>
      </c>
      <c r="AR94" s="10" t="str">
        <f>IFERROR(VLOOKUP(B94,Departments!A:B,2,FALSE),"")</f>
        <v>Perth Micro</v>
      </c>
      <c r="AS94" s="10">
        <f t="shared" si="14"/>
        <v>15.6</v>
      </c>
      <c r="AT94" s="10">
        <f t="shared" si="15"/>
        <v>15.6</v>
      </c>
      <c r="AU94" s="10" t="str">
        <f>_xlfn.IFNA(VLOOKUP(B94,Departments!A:D,4,FALSE),"")</f>
        <v>Perth Micro</v>
      </c>
    </row>
    <row r="95" spans="1:47" ht="14.45" customHeight="1">
      <c r="A95" s="11" t="str">
        <f t="shared" si="16"/>
        <v>1201325018995</v>
      </c>
      <c r="B95" s="11">
        <f>'TRANS EMP EXTRACT - COST CENTRE'!B94</f>
        <v>12013250</v>
      </c>
      <c r="C95" s="10" t="str">
        <f>IFERROR(VLOOKUP(E95,'TRANS EMP EXTRACT - EMP CATEGOR'!A:B,2,FALSE),"")</f>
        <v>FT</v>
      </c>
      <c r="D95" s="10" t="str">
        <f>IFERROR(VLOOKUP(E95,'TRANS EMP EXTRACT - EMP CATEGOR'!A:C,3,FALSE),"")</f>
        <v>Fulltime</v>
      </c>
      <c r="E95" s="11">
        <f>'TRANS EMP EXTRACT - COST CENTRE'!D94</f>
        <v>18995</v>
      </c>
      <c r="F95" s="10" t="str">
        <f>IFERROR(VLOOKUP(E95,'TRANS EMP EXTRACT - COST CENTRE'!D:E,2,FALSE),"")</f>
        <v>PRAEKELT  WILNA MRS</v>
      </c>
      <c r="G95" s="12">
        <f>IFERROR(INDEX('TRANS EMP EXTRACT - COST CENTRE'!$A$1:$Z$455,MATCH('Summary - Monthly'!$A95,'TRANS EMP EXTRACT - COST CENTRE'!$A:$A,0),MATCH('Summary - Monthly'!G$3,'TRANS EMP EXTRACT - COST CENTRE'!$2:$2,0)),"")</f>
        <v>44627</v>
      </c>
      <c r="H95" s="10" t="str">
        <f>IFERROR(INDEX('TRANS EMP EXTRACT - COST CENTRE'!$B$1:$Z$455,MATCH('Summary - Monthly'!$E95,'TRANS EMP EXTRACT - COST CENTRE'!$D:$D,0),MATCH('Summary - Monthly'!H$3,'TRANS EMP EXTRACT - COST CENTRE'!$2:$2,0)),"")</f>
        <v>FN</v>
      </c>
      <c r="I95" s="12" t="str">
        <f>IFERROR(INDEX('TRANS EMP EXTRACT - EMP CATEGOR'!$B$1:$AF$421,MATCH('Summary - Monthly'!$E95,'TRANS EMP EXTRACT - EMP CATEGOR'!$D:$D,0),MATCH('Summary - Monthly'!H$3,'TRANS EMP EXTRACT - EMP CATEGOR'!$2:$2,0)),"")</f>
        <v>FN</v>
      </c>
      <c r="J95" s="41">
        <f t="shared" ca="1" si="12"/>
        <v>0</v>
      </c>
      <c r="K95" s="41">
        <f t="shared" ca="1" si="17"/>
        <v>0</v>
      </c>
      <c r="L95" s="10">
        <f>IFERROR(INDEX('TRANS EMP EXTRACT - COST CENTRE'!$A$1:$Z$455,MATCH('Summary - Monthly'!$A95,'TRANS EMP EXTRACT - COST CENTRE'!$A:$A,0),MATCH('Summary - Monthly'!L$3,'TRANS EMP EXTRACT - COST CENTRE'!$2:$2,0)),"")</f>
        <v>45.6</v>
      </c>
      <c r="M95" s="10">
        <f>IFERROR(INDEX('TRANS EMP EXTRACT - COST CENTRE'!$A$1:$Z$455,MATCH('Summary - Monthly'!$A95,'TRANS EMP EXTRACT - COST CENTRE'!$A:$A,0),MATCH('Summary - Monthly'!M$3,'TRANS EMP EXTRACT - COST CENTRE'!$2:$2,0)),0)</f>
        <v>0</v>
      </c>
      <c r="N95" s="10">
        <f>IFERROR(INDEX('TRANS EMP EXTRACT - COST CENTRE'!$A$1:$Z$455,MATCH('Summary - Monthly'!$A95,'TRANS EMP EXTRACT - COST CENTRE'!$A:$A,0),MATCH('Summary - Monthly'!N$3,'TRANS EMP EXTRACT - COST CENTRE'!$2:$2,0)),0)</f>
        <v>0</v>
      </c>
      <c r="O95" s="10">
        <f>IFERROR(INDEX('TRANS EMP EXTRACT - COST CENTRE'!$A$1:$Z$455,MATCH('Summary - Monthly'!$A95,'TRANS EMP EXTRACT - COST CENTRE'!$A:$A,0),MATCH('Summary - Monthly'!O$3,'TRANS EMP EXTRACT - COST CENTRE'!$2:$2,0)),0)</f>
        <v>0</v>
      </c>
      <c r="P95" s="10">
        <f>IFERROR(INDEX('TRANS EMP EXTRACT - COST CENTRE'!$A$1:$Z$455,MATCH('Summary - Monthly'!$A95,'TRANS EMP EXTRACT - COST CENTRE'!$A:$A,0),MATCH('Summary - Monthly'!P$3,'TRANS EMP EXTRACT - COST CENTRE'!$2:$2,0)),0)</f>
        <v>0</v>
      </c>
      <c r="Q95" s="10">
        <f>IFERROR(INDEX('TRANS EMP EXTRACT - COST CENTRE'!$A$1:$Z$455,MATCH('Summary - Monthly'!$A95,'TRANS EMP EXTRACT - COST CENTRE'!$A:$A,0),MATCH('Summary - Monthly'!Q$3,'TRANS EMP EXTRACT - COST CENTRE'!$2:$2,0)),0)</f>
        <v>0</v>
      </c>
      <c r="R95" s="10">
        <f>IFERROR(INDEX('TRANS EMP EXTRACT - COST CENTRE'!$A$1:$Z$455,MATCH('Summary - Monthly'!$A95,'TRANS EMP EXTRACT - COST CENTRE'!$A:$A,0),MATCH('Summary - Monthly'!R$3,'TRANS EMP EXTRACT - COST CENTRE'!$2:$2,0)),0)</f>
        <v>0</v>
      </c>
      <c r="S95" s="10">
        <f>IFERROR(INDEX('TRANS EMP EXTRACT - COST CENTRE'!$A$1:$Z$455,MATCH('Summary - Monthly'!$A95,'TRANS EMP EXTRACT - COST CENTRE'!$A:$A,0),MATCH('Summary - Monthly'!S$3,'TRANS EMP EXTRACT - COST CENTRE'!$2:$2,0)),0)</f>
        <v>0</v>
      </c>
      <c r="T95" s="8">
        <f>IFERROR(INDEX('TRANS EMP EXTRACT - COST CENTRE'!$A$1:$Z$455,MATCH('Summary - Monthly'!$A95,'TRANS EMP EXTRACT - COST CENTRE'!$A:$A,0),MATCH('Summary - Monthly'!T$3,'TRANS EMP EXTRACT - COST CENTRE'!$2:$2,0)),0)</f>
        <v>0</v>
      </c>
      <c r="U95" s="13">
        <f>IFERROR(INDEX('TRANS EMP EXTRACT - COST CENTRE'!$A$1:$Z$455,MATCH('Summary - Monthly'!$A95,'TRANS EMP EXTRACT - COST CENTRE'!$A:$A,0),MATCH('Summary - Monthly'!U$3,'TRANS EMP EXTRACT - COST CENTRE'!$2:$2,0)),0)</f>
        <v>0</v>
      </c>
      <c r="V95" s="13">
        <f>IFERROR(INDEX('TRANS EMP EXTRACT - COST CENTRE'!$A$1:$Z$455,MATCH('Summary - Monthly'!$A95,'TRANS EMP EXTRACT - COST CENTRE'!$A:$A,0),MATCH('Summary - Monthly'!V$3,'TRANS EMP EXTRACT - COST CENTRE'!$2:$2,0)),0)</f>
        <v>0</v>
      </c>
      <c r="W95" s="13">
        <f>IFERROR(INDEX('TRANS EMP EXTRACT - COST CENTRE'!$A$1:$Z$455,MATCH('Summary - Monthly'!$A95,'TRANS EMP EXTRACT - COST CENTRE'!$A:$A,0),MATCH('Summary - Monthly'!W$3,'TRANS EMP EXTRACT - COST CENTRE'!$2:$2,0)),0)</f>
        <v>0</v>
      </c>
      <c r="X95" s="13">
        <f>IFERROR(INDEX('TRANS EMP EXTRACT - COST CENTRE'!$A$1:$Z$455,MATCH('Summary - Monthly'!$A95,'TRANS EMP EXTRACT - COST CENTRE'!$A:$A,0),MATCH('Summary - Monthly'!X$3,'TRANS EMP EXTRACT - COST CENTRE'!$2:$2,0)),0)</f>
        <v>0</v>
      </c>
      <c r="Y95" s="13">
        <f>IFERROR(INDEX('TRANS EMP EXTRACT - COST CENTRE'!$A$1:$Z$455,MATCH('Summary - Monthly'!$A95,'TRANS EMP EXTRACT - COST CENTRE'!$A:$A,0),MATCH('Summary - Monthly'!Y$3,'TRANS EMP EXTRACT - COST CENTRE'!$2:$2,0)),0)</f>
        <v>0</v>
      </c>
      <c r="Z95" s="10">
        <f>IFERROR(INDEX('TRANS EMP EXTRACT - COST CENTRE'!$A$1:$Z$455,MATCH('Summary - Monthly'!$A95,'TRANS EMP EXTRACT - COST CENTRE'!$A:$A,0),MATCH('Summary - Monthly'!Z$3,'TRANS EMP EXTRACT - COST CENTRE'!$2:$2,0)),0)</f>
        <v>0</v>
      </c>
      <c r="AA95" s="10">
        <f>IFERROR(INDEX('TRANS EMP EXTRACT - COST CENTRE'!$A$1:$Z$455,MATCH('Summary - Monthly'!$A95,'TRANS EMP EXTRACT - COST CENTRE'!$A:$A,0),MATCH('Summary - Monthly'!AA$3,'TRANS EMP EXTRACT - COST CENTRE'!$2:$2,0)),0)</f>
        <v>0</v>
      </c>
      <c r="AB95" s="10">
        <f>IFERROR(INDEX('TRANS EMP EXTRACT - COST CENTRE'!$A$1:$Z$455,MATCH('Summary - Monthly'!$A95,'TRANS EMP EXTRACT - COST CENTRE'!$A:$A,0),MATCH('Summary - Monthly'!AB$3,'TRANS EMP EXTRACT - COST CENTRE'!$2:$2,0)),0)</f>
        <v>0</v>
      </c>
      <c r="AC95" s="8">
        <f>IFERROR(INDEX('TRANS EMP EXTRACT - COST CENTRE'!$A$1:$Z$455,MATCH('Summary - Monthly'!$A95,'TRANS EMP EXTRACT - COST CENTRE'!$A:$A,0),MATCH('Summary - Monthly'!AC$3,'TRANS EMP EXTRACT - COST CENTRE'!$2:$2,0)),0)</f>
        <v>0</v>
      </c>
      <c r="AD95" s="13">
        <f>IFERROR(INDEX('TRANS EMP EXTRACT - COST CENTRE'!$A$1:$Z$455,MATCH('Summary - Monthly'!$A95,'TRANS EMP EXTRACT - COST CENTRE'!$A:$A,0),MATCH('Summary - Monthly'!AD$3,'TRANS EMP EXTRACT - COST CENTRE'!$2:$2,0)),0)</f>
        <v>0</v>
      </c>
      <c r="AE95" s="13">
        <f>IFERROR(INDEX('TRANS EMP EXTRACT - COST CENTRE'!$A$1:$Z$455,MATCH('Summary - Monthly'!$A95,'TRANS EMP EXTRACT - COST CENTRE'!$A:$A,0),MATCH('Summary - Monthly'!AE$3,'TRANS EMP EXTRACT - COST CENTRE'!$2:$2,0)),0)</f>
        <v>0</v>
      </c>
      <c r="AF95" s="13">
        <f>IFERROR(INDEX('TRANS EMP EXTRACT - COST CENTRE'!$A$1:$Z$455,MATCH('Summary - Monthly'!$A95,'TRANS EMP EXTRACT - COST CENTRE'!$A:$A,0),MATCH('Summary - Monthly'!AF$3,'TRANS EMP EXTRACT - COST CENTRE'!$2:$2,0)),0)</f>
        <v>0</v>
      </c>
      <c r="AG95" s="10">
        <f>IFERROR(INDEX('TRANS EMP EXTRACT - COST CENTRE'!$A$1:$Z$455,MATCH('Summary - Monthly'!$A95,'TRANS EMP EXTRACT - COST CENTRE'!$A:$A,0),MATCH('Summary - Monthly'!AG$3,'TRANS EMP EXTRACT - COST CENTRE'!$2:$2,0)),0)</f>
        <v>0</v>
      </c>
      <c r="AH95" s="10">
        <f>IFERROR(INDEX('TRANS EMP EXTRACT - COST CENTRE'!$A$1:$Z$455,MATCH('Summary - Monthly'!$A95,'TRANS EMP EXTRACT - COST CENTRE'!$A:$A,0),MATCH('Summary - Monthly'!AH$3,'TRANS EMP EXTRACT - COST CENTRE'!$2:$2,0)),0)</f>
        <v>0</v>
      </c>
      <c r="AI95" s="10">
        <f>IFERROR(INDEX('TRANS EMP EXTRACT - COST CENTRE'!$A$1:$Z$455,MATCH('Summary - Monthly'!$A95,'TRANS EMP EXTRACT - COST CENTRE'!$A:$A,0),MATCH('Summary - Monthly'!AI$3,'TRANS EMP EXTRACT - COST CENTRE'!$2:$2,0)),0)</f>
        <v>0</v>
      </c>
      <c r="AJ95" s="10">
        <f>IFERROR(INDEX('TRANS EMP EXTRACT - COST CENTRE'!$A$1:$Z$455,MATCH('Summary - Monthly'!$A95,'TRANS EMP EXTRACT - COST CENTRE'!$A:$A,0),MATCH('Summary - Monthly'!AJ$3,'TRANS EMP EXTRACT - COST CENTRE'!$2:$2,0)),0)</f>
        <v>0</v>
      </c>
      <c r="AK95" s="10">
        <f>IFERROR(INDEX('TRANS EMP EXTRACT - COST CENTRE'!$A$1:$Z$455,MATCH('Summary - Monthly'!$A95,'TRANS EMP EXTRACT - COST CENTRE'!$A:$A,0),MATCH('Summary - Monthly'!AK$3,'TRANS EMP EXTRACT - COST CENTRE'!$2:$2,0)),0)</f>
        <v>152</v>
      </c>
      <c r="AL95" s="10">
        <f>IFERROR(INDEX('TRANS EMP EXTRACT - COST CENTRE'!$A$1:$Z$455,MATCH('Summary - Monthly'!$A95,'TRANS EMP EXTRACT - COST CENTRE'!$A:$A,0),MATCH('Summary - Monthly'!AL$3,'TRANS EMP EXTRACT - COST CENTRE'!$2:$2,0)),0)</f>
        <v>0</v>
      </c>
      <c r="AM95" s="10">
        <f t="shared" si="20"/>
        <v>45.6</v>
      </c>
      <c r="AN95" s="14">
        <f t="shared" si="13"/>
        <v>0</v>
      </c>
      <c r="AO95" s="18">
        <f t="shared" si="18"/>
        <v>0.3</v>
      </c>
      <c r="AP95" s="18">
        <f t="shared" si="19"/>
        <v>0.3</v>
      </c>
      <c r="AQ95" s="10" t="str">
        <f>IFERROR(VLOOKUP(B95,Departments!A:C,3,FALSE),"")</f>
        <v>Senior Audit</v>
      </c>
      <c r="AR95" s="10" t="str">
        <f>IFERROR(VLOOKUP(B95,Departments!A:B,2,FALSE),"")</f>
        <v>Senior Audit</v>
      </c>
      <c r="AS95" s="10">
        <f t="shared" si="14"/>
        <v>0</v>
      </c>
      <c r="AT95" s="10">
        <f t="shared" si="15"/>
        <v>0</v>
      </c>
      <c r="AU95" s="10" t="str">
        <f>_xlfn.IFNA(VLOOKUP(B95,Departments!A:D,4,FALSE),"")</f>
        <v>Senior Audit</v>
      </c>
    </row>
    <row r="96" spans="1:47" ht="14.45" customHeight="1">
      <c r="A96" s="11" t="str">
        <f t="shared" si="16"/>
        <v>1202302119021</v>
      </c>
      <c r="B96" s="11">
        <f>'TRANS EMP EXTRACT - COST CENTRE'!B95</f>
        <v>12023021</v>
      </c>
      <c r="C96" s="10" t="str">
        <f>IFERROR(VLOOKUP(E96,'TRANS EMP EXTRACT - EMP CATEGOR'!A:B,2,FALSE),"")</f>
        <v>FT</v>
      </c>
      <c r="D96" s="10" t="str">
        <f>IFERROR(VLOOKUP(E96,'TRANS EMP EXTRACT - EMP CATEGOR'!A:C,3,FALSE),"")</f>
        <v>Fulltime</v>
      </c>
      <c r="E96" s="11">
        <f>'TRANS EMP EXTRACT - COST CENTRE'!D95</f>
        <v>19021</v>
      </c>
      <c r="F96" s="10" t="str">
        <f>IFERROR(VLOOKUP(E96,'TRANS EMP EXTRACT - COST CENTRE'!D:E,2,FALSE),"")</f>
        <v>PRASHANTHAN  ARANE MRS</v>
      </c>
      <c r="G96" s="12">
        <f>IFERROR(INDEX('TRANS EMP EXTRACT - COST CENTRE'!$A$1:$Z$455,MATCH('Summary - Monthly'!$A96,'TRANS EMP EXTRACT - COST CENTRE'!$A:$A,0),MATCH('Summary - Monthly'!G$3,'TRANS EMP EXTRACT - COST CENTRE'!$2:$2,0)),"")</f>
        <v>44736</v>
      </c>
      <c r="H96" s="10" t="str">
        <f>IFERROR(INDEX('TRANS EMP EXTRACT - COST CENTRE'!$B$1:$Z$455,MATCH('Summary - Monthly'!$E96,'TRANS EMP EXTRACT - COST CENTRE'!$D:$D,0),MATCH('Summary - Monthly'!H$3,'TRANS EMP EXTRACT - COST CENTRE'!$2:$2,0)),"")</f>
        <v>RT</v>
      </c>
      <c r="I96" s="12" t="str">
        <f>IFERROR(INDEX('TRANS EMP EXTRACT - EMP CATEGOR'!$B$1:$AF$421,MATCH('Summary - Monthly'!$E96,'TRANS EMP EXTRACT - EMP CATEGOR'!$D:$D,0),MATCH('Summary - Monthly'!H$3,'TRANS EMP EXTRACT - EMP CATEGOR'!$2:$2,0)),"")</f>
        <v>RT</v>
      </c>
      <c r="J96" s="41">
        <f t="shared" ca="1" si="12"/>
        <v>29.002600000000001</v>
      </c>
      <c r="K96" s="41">
        <f t="shared" ca="1" si="17"/>
        <v>88.405100000000004</v>
      </c>
      <c r="L96" s="10">
        <f>IFERROR(INDEX('TRANS EMP EXTRACT - COST CENTRE'!$A$1:$Z$455,MATCH('Summary - Monthly'!$A96,'TRANS EMP EXTRACT - COST CENTRE'!$A:$A,0),MATCH('Summary - Monthly'!L$3,'TRANS EMP EXTRACT - COST CENTRE'!$2:$2,0)),"")</f>
        <v>143.86670000000001</v>
      </c>
      <c r="M96" s="10">
        <f>IFERROR(INDEX('TRANS EMP EXTRACT - COST CENTRE'!$A$1:$Z$455,MATCH('Summary - Monthly'!$A96,'TRANS EMP EXTRACT - COST CENTRE'!$A:$A,0),MATCH('Summary - Monthly'!M$3,'TRANS EMP EXTRACT - COST CENTRE'!$2:$2,0)),0)</f>
        <v>0</v>
      </c>
      <c r="N96" s="10">
        <f>IFERROR(INDEX('TRANS EMP EXTRACT - COST CENTRE'!$A$1:$Z$455,MATCH('Summary - Monthly'!$A96,'TRANS EMP EXTRACT - COST CENTRE'!$A:$A,0),MATCH('Summary - Monthly'!N$3,'TRANS EMP EXTRACT - COST CENTRE'!$2:$2,0)),0)</f>
        <v>0</v>
      </c>
      <c r="O96" s="10">
        <f>IFERROR(INDEX('TRANS EMP EXTRACT - COST CENTRE'!$A$1:$Z$455,MATCH('Summary - Monthly'!$A96,'TRANS EMP EXTRACT - COST CENTRE'!$A:$A,0),MATCH('Summary - Monthly'!O$3,'TRANS EMP EXTRACT - COST CENTRE'!$2:$2,0)),0)</f>
        <v>0</v>
      </c>
      <c r="P96" s="10">
        <f>IFERROR(INDEX('TRANS EMP EXTRACT - COST CENTRE'!$A$1:$Z$455,MATCH('Summary - Monthly'!$A96,'TRANS EMP EXTRACT - COST CENTRE'!$A:$A,0),MATCH('Summary - Monthly'!P$3,'TRANS EMP EXTRACT - COST CENTRE'!$2:$2,0)),0)</f>
        <v>0</v>
      </c>
      <c r="Q96" s="10">
        <f>IFERROR(INDEX('TRANS EMP EXTRACT - COST CENTRE'!$A$1:$Z$455,MATCH('Summary - Monthly'!$A96,'TRANS EMP EXTRACT - COST CENTRE'!$A:$A,0),MATCH('Summary - Monthly'!Q$3,'TRANS EMP EXTRACT - COST CENTRE'!$2:$2,0)),0)</f>
        <v>3.75</v>
      </c>
      <c r="R96" s="10">
        <f>IFERROR(INDEX('TRANS EMP EXTRACT - COST CENTRE'!$A$1:$Z$455,MATCH('Summary - Monthly'!$A96,'TRANS EMP EXTRACT - COST CENTRE'!$A:$A,0),MATCH('Summary - Monthly'!R$3,'TRANS EMP EXTRACT - COST CENTRE'!$2:$2,0)),0)</f>
        <v>0</v>
      </c>
      <c r="S96" s="10">
        <f>IFERROR(INDEX('TRANS EMP EXTRACT - COST CENTRE'!$A$1:$Z$455,MATCH('Summary - Monthly'!$A96,'TRANS EMP EXTRACT - COST CENTRE'!$A:$A,0),MATCH('Summary - Monthly'!S$3,'TRANS EMP EXTRACT - COST CENTRE'!$2:$2,0)),0)</f>
        <v>0</v>
      </c>
      <c r="T96" s="8">
        <f>IFERROR(INDEX('TRANS EMP EXTRACT - COST CENTRE'!$A$1:$Z$455,MATCH('Summary - Monthly'!$A96,'TRANS EMP EXTRACT - COST CENTRE'!$A:$A,0),MATCH('Summary - Monthly'!T$3,'TRANS EMP EXTRACT - COST CENTRE'!$2:$2,0)),0)</f>
        <v>0</v>
      </c>
      <c r="U96" s="13">
        <f>IFERROR(INDEX('TRANS EMP EXTRACT - COST CENTRE'!$A$1:$Z$455,MATCH('Summary - Monthly'!$A96,'TRANS EMP EXTRACT - COST CENTRE'!$A:$A,0),MATCH('Summary - Monthly'!U$3,'TRANS EMP EXTRACT - COST CENTRE'!$2:$2,0)),0)</f>
        <v>0</v>
      </c>
      <c r="V96" s="13">
        <f>IFERROR(INDEX('TRANS EMP EXTRACT - COST CENTRE'!$A$1:$Z$455,MATCH('Summary - Monthly'!$A96,'TRANS EMP EXTRACT - COST CENTRE'!$A:$A,0),MATCH('Summary - Monthly'!V$3,'TRANS EMP EXTRACT - COST CENTRE'!$2:$2,0)),0)</f>
        <v>7.6</v>
      </c>
      <c r="W96" s="13">
        <f>IFERROR(INDEX('TRANS EMP EXTRACT - COST CENTRE'!$A$1:$Z$455,MATCH('Summary - Monthly'!$A96,'TRANS EMP EXTRACT - COST CENTRE'!$A:$A,0),MATCH('Summary - Monthly'!W$3,'TRANS EMP EXTRACT - COST CENTRE'!$2:$2,0)),0)</f>
        <v>0</v>
      </c>
      <c r="X96" s="13">
        <f>IFERROR(INDEX('TRANS EMP EXTRACT - COST CENTRE'!$A$1:$Z$455,MATCH('Summary - Monthly'!$A96,'TRANS EMP EXTRACT - COST CENTRE'!$A:$A,0),MATCH('Summary - Monthly'!X$3,'TRANS EMP EXTRACT - COST CENTRE'!$2:$2,0)),0)</f>
        <v>0</v>
      </c>
      <c r="Y96" s="13">
        <f>IFERROR(INDEX('TRANS EMP EXTRACT - COST CENTRE'!$A$1:$Z$455,MATCH('Summary - Monthly'!$A96,'TRANS EMP EXTRACT - COST CENTRE'!$A:$A,0),MATCH('Summary - Monthly'!Y$3,'TRANS EMP EXTRACT - COST CENTRE'!$2:$2,0)),0)</f>
        <v>0</v>
      </c>
      <c r="Z96" s="10">
        <f>IFERROR(INDEX('TRANS EMP EXTRACT - COST CENTRE'!$A$1:$Z$455,MATCH('Summary - Monthly'!$A96,'TRANS EMP EXTRACT - COST CENTRE'!$A:$A,0),MATCH('Summary - Monthly'!Z$3,'TRANS EMP EXTRACT - COST CENTRE'!$2:$2,0)),0)</f>
        <v>0</v>
      </c>
      <c r="AA96" s="10">
        <f>IFERROR(INDEX('TRANS EMP EXTRACT - COST CENTRE'!$A$1:$Z$455,MATCH('Summary - Monthly'!$A96,'TRANS EMP EXTRACT - COST CENTRE'!$A:$A,0),MATCH('Summary - Monthly'!AA$3,'TRANS EMP EXTRACT - COST CENTRE'!$2:$2,0)),0)</f>
        <v>0</v>
      </c>
      <c r="AB96" s="10">
        <f>IFERROR(INDEX('TRANS EMP EXTRACT - COST CENTRE'!$A$1:$Z$455,MATCH('Summary - Monthly'!$A96,'TRANS EMP EXTRACT - COST CENTRE'!$A:$A,0),MATCH('Summary - Monthly'!AB$3,'TRANS EMP EXTRACT - COST CENTRE'!$2:$2,0)),0)</f>
        <v>0</v>
      </c>
      <c r="AC96" s="8">
        <f>IFERROR(INDEX('TRANS EMP EXTRACT - COST CENTRE'!$A$1:$Z$455,MATCH('Summary - Monthly'!$A96,'TRANS EMP EXTRACT - COST CENTRE'!$A:$A,0),MATCH('Summary - Monthly'!AC$3,'TRANS EMP EXTRACT - COST CENTRE'!$2:$2,0)),0)</f>
        <v>0</v>
      </c>
      <c r="AD96" s="13">
        <f>IFERROR(INDEX('TRANS EMP EXTRACT - COST CENTRE'!$A$1:$Z$455,MATCH('Summary - Monthly'!$A96,'TRANS EMP EXTRACT - COST CENTRE'!$A:$A,0),MATCH('Summary - Monthly'!AD$3,'TRANS EMP EXTRACT - COST CENTRE'!$2:$2,0)),0)</f>
        <v>0</v>
      </c>
      <c r="AE96" s="13">
        <f>IFERROR(INDEX('TRANS EMP EXTRACT - COST CENTRE'!$A$1:$Z$455,MATCH('Summary - Monthly'!$A96,'TRANS EMP EXTRACT - COST CENTRE'!$A:$A,0),MATCH('Summary - Monthly'!AE$3,'TRANS EMP EXTRACT - COST CENTRE'!$2:$2,0)),0)</f>
        <v>0</v>
      </c>
      <c r="AF96" s="13">
        <f>IFERROR(INDEX('TRANS EMP EXTRACT - COST CENTRE'!$A$1:$Z$455,MATCH('Summary - Monthly'!$A96,'TRANS EMP EXTRACT - COST CENTRE'!$A:$A,0),MATCH('Summary - Monthly'!AF$3,'TRANS EMP EXTRACT - COST CENTRE'!$2:$2,0)),0)</f>
        <v>0</v>
      </c>
      <c r="AG96" s="10">
        <f>IFERROR(INDEX('TRANS EMP EXTRACT - COST CENTRE'!$A$1:$Z$455,MATCH('Summary - Monthly'!$A96,'TRANS EMP EXTRACT - COST CENTRE'!$A:$A,0),MATCH('Summary - Monthly'!AG$3,'TRANS EMP EXTRACT - COST CENTRE'!$2:$2,0)),0)</f>
        <v>0</v>
      </c>
      <c r="AH96" s="10">
        <f>IFERROR(INDEX('TRANS EMP EXTRACT - COST CENTRE'!$A$1:$Z$455,MATCH('Summary - Monthly'!$A96,'TRANS EMP EXTRACT - COST CENTRE'!$A:$A,0),MATCH('Summary - Monthly'!AH$3,'TRANS EMP EXTRACT - COST CENTRE'!$2:$2,0)),0)</f>
        <v>0</v>
      </c>
      <c r="AI96" s="10">
        <f>IFERROR(INDEX('TRANS EMP EXTRACT - COST CENTRE'!$A$1:$Z$455,MATCH('Summary - Monthly'!$A96,'TRANS EMP EXTRACT - COST CENTRE'!$A:$A,0),MATCH('Summary - Monthly'!AI$3,'TRANS EMP EXTRACT - COST CENTRE'!$2:$2,0)),0)</f>
        <v>0</v>
      </c>
      <c r="AJ96" s="10">
        <f>IFERROR(INDEX('TRANS EMP EXTRACT - COST CENTRE'!$A$1:$Z$455,MATCH('Summary - Monthly'!$A96,'TRANS EMP EXTRACT - COST CENTRE'!$A:$A,0),MATCH('Summary - Monthly'!AJ$3,'TRANS EMP EXTRACT - COST CENTRE'!$2:$2,0)),0)</f>
        <v>0</v>
      </c>
      <c r="AK96" s="10">
        <f>IFERROR(INDEX('TRANS EMP EXTRACT - COST CENTRE'!$A$1:$Z$455,MATCH('Summary - Monthly'!$A96,'TRANS EMP EXTRACT - COST CENTRE'!$A:$A,0),MATCH('Summary - Monthly'!AK$3,'TRANS EMP EXTRACT - COST CENTRE'!$2:$2,0)),0)</f>
        <v>0</v>
      </c>
      <c r="AL96" s="10">
        <f>IFERROR(INDEX('TRANS EMP EXTRACT - COST CENTRE'!$A$1:$Z$455,MATCH('Summary - Monthly'!$A96,'TRANS EMP EXTRACT - COST CENTRE'!$A:$A,0),MATCH('Summary - Monthly'!AL$3,'TRANS EMP EXTRACT - COST CENTRE'!$2:$2,0)),0)</f>
        <v>0</v>
      </c>
      <c r="AM96" s="10">
        <f t="shared" si="20"/>
        <v>155.2167</v>
      </c>
      <c r="AN96" s="14">
        <f t="shared" si="13"/>
        <v>2.4671052631578948E-2</v>
      </c>
      <c r="AO96" s="18">
        <f t="shared" si="18"/>
        <v>1.0211625</v>
      </c>
      <c r="AP96" s="18">
        <f t="shared" si="19"/>
        <v>0.97116250000000004</v>
      </c>
      <c r="AQ96" s="10" t="str">
        <f>IFERROR(VLOOKUP(B96,Departments!A:C,3,FALSE),"")</f>
        <v>Chemistry</v>
      </c>
      <c r="AR96" s="10" t="str">
        <f>IFERROR(VLOOKUP(B96,Departments!A:B,2,FALSE),"")</f>
        <v>Sydney Chem</v>
      </c>
      <c r="AS96" s="10">
        <f t="shared" si="14"/>
        <v>7.6</v>
      </c>
      <c r="AT96" s="10">
        <f t="shared" si="15"/>
        <v>7.6</v>
      </c>
      <c r="AU96" s="10" t="str">
        <f>_xlfn.IFNA(VLOOKUP(B96,Departments!A:D,4,FALSE),"")</f>
        <v>Sydney Chem</v>
      </c>
    </row>
    <row r="97" spans="1:47" ht="14.45" customHeight="1">
      <c r="A97" s="11" t="str">
        <f t="shared" si="16"/>
        <v>1206251118792</v>
      </c>
      <c r="B97" s="11">
        <f>'TRANS EMP EXTRACT - COST CENTRE'!B96</f>
        <v>12062511</v>
      </c>
      <c r="C97" s="10" t="str">
        <f>IFERROR(VLOOKUP(E97,'TRANS EMP EXTRACT - EMP CATEGOR'!A:B,2,FALSE),"")</f>
        <v>FT</v>
      </c>
      <c r="D97" s="10" t="str">
        <f>IFERROR(VLOOKUP(E97,'TRANS EMP EXTRACT - EMP CATEGOR'!A:C,3,FALSE),"")</f>
        <v>Fulltime</v>
      </c>
      <c r="E97" s="11">
        <f>'TRANS EMP EXTRACT - COST CENTRE'!D96</f>
        <v>18792</v>
      </c>
      <c r="F97" s="10" t="str">
        <f>IFERROR(VLOOKUP(E97,'TRANS EMP EXTRACT - COST CENTRE'!D:E,2,FALSE),"")</f>
        <v>PREMTHONG  VATCHAREE MISS</v>
      </c>
      <c r="G97" s="12">
        <f>IFERROR(INDEX('TRANS EMP EXTRACT - COST CENTRE'!$A$1:$Z$455,MATCH('Summary - Monthly'!$A97,'TRANS EMP EXTRACT - COST CENTRE'!$A:$A,0),MATCH('Summary - Monthly'!G$3,'TRANS EMP EXTRACT - COST CENTRE'!$2:$2,0)),"")</f>
        <v>43004</v>
      </c>
      <c r="H97" s="10" t="str">
        <f>IFERROR(INDEX('TRANS EMP EXTRACT - COST CENTRE'!$B$1:$Z$455,MATCH('Summary - Monthly'!$E97,'TRANS EMP EXTRACT - COST CENTRE'!$D:$D,0),MATCH('Summary - Monthly'!H$3,'TRANS EMP EXTRACT - COST CENTRE'!$2:$2,0)),"")</f>
        <v>RT</v>
      </c>
      <c r="I97" s="12" t="str">
        <f>IFERROR(INDEX('TRANS EMP EXTRACT - EMP CATEGOR'!$B$1:$AF$421,MATCH('Summary - Monthly'!$E97,'TRANS EMP EXTRACT - EMP CATEGOR'!$D:$D,0),MATCH('Summary - Monthly'!H$3,'TRANS EMP EXTRACT - EMP CATEGOR'!$2:$2,0)),"")</f>
        <v>RT</v>
      </c>
      <c r="J97" s="41">
        <f t="shared" ca="1" si="12"/>
        <v>6.2925000000000004</v>
      </c>
      <c r="K97" s="41">
        <f t="shared" ca="1" si="17"/>
        <v>169.65209999999999</v>
      </c>
      <c r="L97" s="10">
        <f>IFERROR(INDEX('TRANS EMP EXTRACT - COST CENTRE'!$A$1:$Z$455,MATCH('Summary - Monthly'!$A97,'TRANS EMP EXTRACT - COST CENTRE'!$A:$A,0),MATCH('Summary - Monthly'!L$3,'TRANS EMP EXTRACT - COST CENTRE'!$2:$2,0)),"")</f>
        <v>144.2167</v>
      </c>
      <c r="M97" s="10">
        <f>IFERROR(INDEX('TRANS EMP EXTRACT - COST CENTRE'!$A$1:$Z$455,MATCH('Summary - Monthly'!$A97,'TRANS EMP EXTRACT - COST CENTRE'!$A:$A,0),MATCH('Summary - Monthly'!M$3,'TRANS EMP EXTRACT - COST CENTRE'!$2:$2,0)),0)</f>
        <v>0</v>
      </c>
      <c r="N97" s="10">
        <f>IFERROR(INDEX('TRANS EMP EXTRACT - COST CENTRE'!$A$1:$Z$455,MATCH('Summary - Monthly'!$A97,'TRANS EMP EXTRACT - COST CENTRE'!$A:$A,0),MATCH('Summary - Monthly'!N$3,'TRANS EMP EXTRACT - COST CENTRE'!$2:$2,0)),0)</f>
        <v>0</v>
      </c>
      <c r="O97" s="10">
        <f>IFERROR(INDEX('TRANS EMP EXTRACT - COST CENTRE'!$A$1:$Z$455,MATCH('Summary - Monthly'!$A97,'TRANS EMP EXTRACT - COST CENTRE'!$A:$A,0),MATCH('Summary - Monthly'!O$3,'TRANS EMP EXTRACT - COST CENTRE'!$2:$2,0)),0)</f>
        <v>0</v>
      </c>
      <c r="P97" s="10">
        <f>IFERROR(INDEX('TRANS EMP EXTRACT - COST CENTRE'!$A$1:$Z$455,MATCH('Summary - Monthly'!$A97,'TRANS EMP EXTRACT - COST CENTRE'!$A:$A,0),MATCH('Summary - Monthly'!P$3,'TRANS EMP EXTRACT - COST CENTRE'!$2:$2,0)),0)</f>
        <v>0</v>
      </c>
      <c r="Q97" s="10">
        <f>IFERROR(INDEX('TRANS EMP EXTRACT - COST CENTRE'!$A$1:$Z$455,MATCH('Summary - Monthly'!$A97,'TRANS EMP EXTRACT - COST CENTRE'!$A:$A,0),MATCH('Summary - Monthly'!Q$3,'TRANS EMP EXTRACT - COST CENTRE'!$2:$2,0)),0)</f>
        <v>7.2666000000000004</v>
      </c>
      <c r="R97" s="10">
        <f>IFERROR(INDEX('TRANS EMP EXTRACT - COST CENTRE'!$A$1:$Z$455,MATCH('Summary - Monthly'!$A97,'TRANS EMP EXTRACT - COST CENTRE'!$A:$A,0),MATCH('Summary - Monthly'!R$3,'TRANS EMP EXTRACT - COST CENTRE'!$2:$2,0)),0)</f>
        <v>0</v>
      </c>
      <c r="S97" s="10">
        <f>IFERROR(INDEX('TRANS EMP EXTRACT - COST CENTRE'!$A$1:$Z$455,MATCH('Summary - Monthly'!$A97,'TRANS EMP EXTRACT - COST CENTRE'!$A:$A,0),MATCH('Summary - Monthly'!S$3,'TRANS EMP EXTRACT - COST CENTRE'!$2:$2,0)),0)</f>
        <v>0</v>
      </c>
      <c r="T97" s="8">
        <f>IFERROR(INDEX('TRANS EMP EXTRACT - COST CENTRE'!$A$1:$Z$455,MATCH('Summary - Monthly'!$A97,'TRANS EMP EXTRACT - COST CENTRE'!$A:$A,0),MATCH('Summary - Monthly'!T$3,'TRANS EMP EXTRACT - COST CENTRE'!$2:$2,0)),0)</f>
        <v>0</v>
      </c>
      <c r="U97" s="13">
        <f>IFERROR(INDEX('TRANS EMP EXTRACT - COST CENTRE'!$A$1:$Z$455,MATCH('Summary - Monthly'!$A97,'TRANS EMP EXTRACT - COST CENTRE'!$A:$A,0),MATCH('Summary - Monthly'!U$3,'TRANS EMP EXTRACT - COST CENTRE'!$2:$2,0)),0)</f>
        <v>0</v>
      </c>
      <c r="V97" s="13">
        <f>IFERROR(INDEX('TRANS EMP EXTRACT - COST CENTRE'!$A$1:$Z$455,MATCH('Summary - Monthly'!$A97,'TRANS EMP EXTRACT - COST CENTRE'!$A:$A,0),MATCH('Summary - Monthly'!V$3,'TRANS EMP EXTRACT - COST CENTRE'!$2:$2,0)),0)</f>
        <v>7.6</v>
      </c>
      <c r="W97" s="13">
        <f>IFERROR(INDEX('TRANS EMP EXTRACT - COST CENTRE'!$A$1:$Z$455,MATCH('Summary - Monthly'!$A97,'TRANS EMP EXTRACT - COST CENTRE'!$A:$A,0),MATCH('Summary - Monthly'!W$3,'TRANS EMP EXTRACT - COST CENTRE'!$2:$2,0)),0)</f>
        <v>0</v>
      </c>
      <c r="X97" s="13">
        <f>IFERROR(INDEX('TRANS EMP EXTRACT - COST CENTRE'!$A$1:$Z$455,MATCH('Summary - Monthly'!$A97,'TRANS EMP EXTRACT - COST CENTRE'!$A:$A,0),MATCH('Summary - Monthly'!X$3,'TRANS EMP EXTRACT - COST CENTRE'!$2:$2,0)),0)</f>
        <v>0</v>
      </c>
      <c r="Y97" s="13">
        <f>IFERROR(INDEX('TRANS EMP EXTRACT - COST CENTRE'!$A$1:$Z$455,MATCH('Summary - Monthly'!$A97,'TRANS EMP EXTRACT - COST CENTRE'!$A:$A,0),MATCH('Summary - Monthly'!Y$3,'TRANS EMP EXTRACT - COST CENTRE'!$2:$2,0)),0)</f>
        <v>0</v>
      </c>
      <c r="Z97" s="10">
        <f>IFERROR(INDEX('TRANS EMP EXTRACT - COST CENTRE'!$A$1:$Z$455,MATCH('Summary - Monthly'!$A97,'TRANS EMP EXTRACT - COST CENTRE'!$A:$A,0),MATCH('Summary - Monthly'!Z$3,'TRANS EMP EXTRACT - COST CENTRE'!$2:$2,0)),0)</f>
        <v>0</v>
      </c>
      <c r="AA97" s="10">
        <f>IFERROR(INDEX('TRANS EMP EXTRACT - COST CENTRE'!$A$1:$Z$455,MATCH('Summary - Monthly'!$A97,'TRANS EMP EXTRACT - COST CENTRE'!$A:$A,0),MATCH('Summary - Monthly'!AA$3,'TRANS EMP EXTRACT - COST CENTRE'!$2:$2,0)),0)</f>
        <v>0</v>
      </c>
      <c r="AB97" s="10">
        <f>IFERROR(INDEX('TRANS EMP EXTRACT - COST CENTRE'!$A$1:$Z$455,MATCH('Summary - Monthly'!$A97,'TRANS EMP EXTRACT - COST CENTRE'!$A:$A,0),MATCH('Summary - Monthly'!AB$3,'TRANS EMP EXTRACT - COST CENTRE'!$2:$2,0)),0)</f>
        <v>0</v>
      </c>
      <c r="AC97" s="8">
        <f>IFERROR(INDEX('TRANS EMP EXTRACT - COST CENTRE'!$A$1:$Z$455,MATCH('Summary - Monthly'!$A97,'TRANS EMP EXTRACT - COST CENTRE'!$A:$A,0),MATCH('Summary - Monthly'!AC$3,'TRANS EMP EXTRACT - COST CENTRE'!$2:$2,0)),0)</f>
        <v>0</v>
      </c>
      <c r="AD97" s="13">
        <f>IFERROR(INDEX('TRANS EMP EXTRACT - COST CENTRE'!$A$1:$Z$455,MATCH('Summary - Monthly'!$A97,'TRANS EMP EXTRACT - COST CENTRE'!$A:$A,0),MATCH('Summary - Monthly'!AD$3,'TRANS EMP EXTRACT - COST CENTRE'!$2:$2,0)),0)</f>
        <v>0</v>
      </c>
      <c r="AE97" s="13">
        <f>IFERROR(INDEX('TRANS EMP EXTRACT - COST CENTRE'!$A$1:$Z$455,MATCH('Summary - Monthly'!$A97,'TRANS EMP EXTRACT - COST CENTRE'!$A:$A,0),MATCH('Summary - Monthly'!AE$3,'TRANS EMP EXTRACT - COST CENTRE'!$2:$2,0)),0)</f>
        <v>0</v>
      </c>
      <c r="AF97" s="13">
        <f>IFERROR(INDEX('TRANS EMP EXTRACT - COST CENTRE'!$A$1:$Z$455,MATCH('Summary - Monthly'!$A97,'TRANS EMP EXTRACT - COST CENTRE'!$A:$A,0),MATCH('Summary - Monthly'!AF$3,'TRANS EMP EXTRACT - COST CENTRE'!$2:$2,0)),0)</f>
        <v>0</v>
      </c>
      <c r="AG97" s="10">
        <f>IFERROR(INDEX('TRANS EMP EXTRACT - COST CENTRE'!$A$1:$Z$455,MATCH('Summary - Monthly'!$A97,'TRANS EMP EXTRACT - COST CENTRE'!$A:$A,0),MATCH('Summary - Monthly'!AG$3,'TRANS EMP EXTRACT - COST CENTRE'!$2:$2,0)),0)</f>
        <v>0</v>
      </c>
      <c r="AH97" s="10">
        <f>IFERROR(INDEX('TRANS EMP EXTRACT - COST CENTRE'!$A$1:$Z$455,MATCH('Summary - Monthly'!$A97,'TRANS EMP EXTRACT - COST CENTRE'!$A:$A,0),MATCH('Summary - Monthly'!AH$3,'TRANS EMP EXTRACT - COST CENTRE'!$2:$2,0)),0)</f>
        <v>0</v>
      </c>
      <c r="AI97" s="10">
        <f>IFERROR(INDEX('TRANS EMP EXTRACT - COST CENTRE'!$A$1:$Z$455,MATCH('Summary - Monthly'!$A97,'TRANS EMP EXTRACT - COST CENTRE'!$A:$A,0),MATCH('Summary - Monthly'!AI$3,'TRANS EMP EXTRACT - COST CENTRE'!$2:$2,0)),0)</f>
        <v>0</v>
      </c>
      <c r="AJ97" s="10">
        <f>IFERROR(INDEX('TRANS EMP EXTRACT - COST CENTRE'!$A$1:$Z$455,MATCH('Summary - Monthly'!$A97,'TRANS EMP EXTRACT - COST CENTRE'!$A:$A,0),MATCH('Summary - Monthly'!AJ$3,'TRANS EMP EXTRACT - COST CENTRE'!$2:$2,0)),0)</f>
        <v>0</v>
      </c>
      <c r="AK97" s="10">
        <f>IFERROR(INDEX('TRANS EMP EXTRACT - COST CENTRE'!$A$1:$Z$455,MATCH('Summary - Monthly'!$A97,'TRANS EMP EXTRACT - COST CENTRE'!$A:$A,0),MATCH('Summary - Monthly'!AK$3,'TRANS EMP EXTRACT - COST CENTRE'!$2:$2,0)),0)</f>
        <v>0</v>
      </c>
      <c r="AL97" s="10">
        <f>IFERROR(INDEX('TRANS EMP EXTRACT - COST CENTRE'!$A$1:$Z$455,MATCH('Summary - Monthly'!$A97,'TRANS EMP EXTRACT - COST CENTRE'!$A:$A,0),MATCH('Summary - Monthly'!AL$3,'TRANS EMP EXTRACT - COST CENTRE'!$2:$2,0)),0)</f>
        <v>0</v>
      </c>
      <c r="AM97" s="10">
        <f t="shared" si="20"/>
        <v>159.08330000000001</v>
      </c>
      <c r="AN97" s="14">
        <f t="shared" si="13"/>
        <v>4.7806578947368422E-2</v>
      </c>
      <c r="AO97" s="18">
        <f t="shared" si="18"/>
        <v>1.0466006578947369</v>
      </c>
      <c r="AP97" s="18">
        <f t="shared" si="19"/>
        <v>0.99660065789473695</v>
      </c>
      <c r="AQ97" s="10" t="str">
        <f>IFERROR(VLOOKUP(B97,Departments!A:C,3,FALSE),"")</f>
        <v>Microbiology</v>
      </c>
      <c r="AR97" s="10" t="str">
        <f>IFERROR(VLOOKUP(B97,Departments!A:B,2,FALSE),"")</f>
        <v>Perth Micro</v>
      </c>
      <c r="AS97" s="10">
        <f t="shared" si="14"/>
        <v>7.6</v>
      </c>
      <c r="AT97" s="10">
        <f t="shared" si="15"/>
        <v>7.6</v>
      </c>
      <c r="AU97" s="10" t="str">
        <f>_xlfn.IFNA(VLOOKUP(B97,Departments!A:D,4,FALSE),"")</f>
        <v>Perth Micro</v>
      </c>
    </row>
    <row r="98" spans="1:47" ht="14.45" customHeight="1">
      <c r="A98" s="11" t="str">
        <f t="shared" si="16"/>
        <v>1202302119027</v>
      </c>
      <c r="B98" s="11">
        <f>'TRANS EMP EXTRACT - COST CENTRE'!B97</f>
        <v>12023021</v>
      </c>
      <c r="C98" s="10" t="str">
        <f>IFERROR(VLOOKUP(E98,'TRANS EMP EXTRACT - EMP CATEGOR'!A:B,2,FALSE),"")</f>
        <v>FT</v>
      </c>
      <c r="D98" s="10" t="str">
        <f>IFERROR(VLOOKUP(E98,'TRANS EMP EXTRACT - EMP CATEGOR'!A:C,3,FALSE),"")</f>
        <v>Fulltime</v>
      </c>
      <c r="E98" s="11">
        <f>'TRANS EMP EXTRACT - COST CENTRE'!D97</f>
        <v>19027</v>
      </c>
      <c r="F98" s="10" t="str">
        <f>IFERROR(VLOOKUP(E98,'TRANS EMP EXTRACT - COST CENTRE'!D:E,2,FALSE),"")</f>
        <v>QURASHI  RAYEED AHMED MR</v>
      </c>
      <c r="G98" s="12">
        <f>IFERROR(INDEX('TRANS EMP EXTRACT - COST CENTRE'!$A$1:$Z$455,MATCH('Summary - Monthly'!$A98,'TRANS EMP EXTRACT - COST CENTRE'!$A:$A,0),MATCH('Summary - Monthly'!G$3,'TRANS EMP EXTRACT - COST CENTRE'!$2:$2,0)),"")</f>
        <v>44776</v>
      </c>
      <c r="H98" s="10" t="str">
        <f>IFERROR(INDEX('TRANS EMP EXTRACT - COST CENTRE'!$B$1:$Z$455,MATCH('Summary - Monthly'!$E98,'TRANS EMP EXTRACT - COST CENTRE'!$D:$D,0),MATCH('Summary - Monthly'!H$3,'TRANS EMP EXTRACT - COST CENTRE'!$2:$2,0)),"")</f>
        <v>RT</v>
      </c>
      <c r="I98" s="12" t="str">
        <f>IFERROR(INDEX('TRANS EMP EXTRACT - EMP CATEGOR'!$B$1:$AF$421,MATCH('Summary - Monthly'!$E98,'TRANS EMP EXTRACT - EMP CATEGOR'!$D:$D,0),MATCH('Summary - Monthly'!H$3,'TRANS EMP EXTRACT - EMP CATEGOR'!$2:$2,0)),"")</f>
        <v>RT</v>
      </c>
      <c r="J98" s="41">
        <f t="shared" ca="1" si="12"/>
        <v>32.1663</v>
      </c>
      <c r="K98" s="41">
        <f t="shared" ca="1" si="17"/>
        <v>64.732200000000006</v>
      </c>
      <c r="L98" s="10">
        <f>IFERROR(INDEX('TRANS EMP EXTRACT - COST CENTRE'!$A$1:$Z$455,MATCH('Summary - Monthly'!$A98,'TRANS EMP EXTRACT - COST CENTRE'!$A:$A,0),MATCH('Summary - Monthly'!L$3,'TRANS EMP EXTRACT - COST CENTRE'!$2:$2,0)),"")</f>
        <v>7.6</v>
      </c>
      <c r="M98" s="10">
        <f>IFERROR(INDEX('TRANS EMP EXTRACT - COST CENTRE'!$A$1:$Z$455,MATCH('Summary - Monthly'!$A98,'TRANS EMP EXTRACT - COST CENTRE'!$A:$A,0),MATCH('Summary - Monthly'!M$3,'TRANS EMP EXTRACT - COST CENTRE'!$2:$2,0)),0)</f>
        <v>0</v>
      </c>
      <c r="N98" s="10">
        <f>IFERROR(INDEX('TRANS EMP EXTRACT - COST CENTRE'!$A$1:$Z$455,MATCH('Summary - Monthly'!$A98,'TRANS EMP EXTRACT - COST CENTRE'!$A:$A,0),MATCH('Summary - Monthly'!N$3,'TRANS EMP EXTRACT - COST CENTRE'!$2:$2,0)),0)</f>
        <v>0</v>
      </c>
      <c r="O98" s="10">
        <f>IFERROR(INDEX('TRANS EMP EXTRACT - COST CENTRE'!$A$1:$Z$455,MATCH('Summary - Monthly'!$A98,'TRANS EMP EXTRACT - COST CENTRE'!$A:$A,0),MATCH('Summary - Monthly'!O$3,'TRANS EMP EXTRACT - COST CENTRE'!$2:$2,0)),0)</f>
        <v>0</v>
      </c>
      <c r="P98" s="10">
        <f>IFERROR(INDEX('TRANS EMP EXTRACT - COST CENTRE'!$A$1:$Z$455,MATCH('Summary - Monthly'!$A98,'TRANS EMP EXTRACT - COST CENTRE'!$A:$A,0),MATCH('Summary - Monthly'!P$3,'TRANS EMP EXTRACT - COST CENTRE'!$2:$2,0)),0)</f>
        <v>0</v>
      </c>
      <c r="Q98" s="10">
        <f>IFERROR(INDEX('TRANS EMP EXTRACT - COST CENTRE'!$A$1:$Z$455,MATCH('Summary - Monthly'!$A98,'TRANS EMP EXTRACT - COST CENTRE'!$A:$A,0),MATCH('Summary - Monthly'!Q$3,'TRANS EMP EXTRACT - COST CENTRE'!$2:$2,0)),0)</f>
        <v>0</v>
      </c>
      <c r="R98" s="10">
        <f>IFERROR(INDEX('TRANS EMP EXTRACT - COST CENTRE'!$A$1:$Z$455,MATCH('Summary - Monthly'!$A98,'TRANS EMP EXTRACT - COST CENTRE'!$A:$A,0),MATCH('Summary - Monthly'!R$3,'TRANS EMP EXTRACT - COST CENTRE'!$2:$2,0)),0)</f>
        <v>0</v>
      </c>
      <c r="S98" s="10">
        <f>IFERROR(INDEX('TRANS EMP EXTRACT - COST CENTRE'!$A$1:$Z$455,MATCH('Summary - Monthly'!$A98,'TRANS EMP EXTRACT - COST CENTRE'!$A:$A,0),MATCH('Summary - Monthly'!S$3,'TRANS EMP EXTRACT - COST CENTRE'!$2:$2,0)),0)</f>
        <v>0</v>
      </c>
      <c r="T98" s="8">
        <f>IFERROR(INDEX('TRANS EMP EXTRACT - COST CENTRE'!$A$1:$Z$455,MATCH('Summary - Monthly'!$A98,'TRANS EMP EXTRACT - COST CENTRE'!$A:$A,0),MATCH('Summary - Monthly'!T$3,'TRANS EMP EXTRACT - COST CENTRE'!$2:$2,0)),0)</f>
        <v>0</v>
      </c>
      <c r="U98" s="13">
        <f>IFERROR(INDEX('TRANS EMP EXTRACT - COST CENTRE'!$A$1:$Z$455,MATCH('Summary - Monthly'!$A98,'TRANS EMP EXTRACT - COST CENTRE'!$A:$A,0),MATCH('Summary - Monthly'!U$3,'TRANS EMP EXTRACT - COST CENTRE'!$2:$2,0)),0)</f>
        <v>0</v>
      </c>
      <c r="V98" s="13">
        <f>IFERROR(INDEX('TRANS EMP EXTRACT - COST CENTRE'!$A$1:$Z$455,MATCH('Summary - Monthly'!$A98,'TRANS EMP EXTRACT - COST CENTRE'!$A:$A,0),MATCH('Summary - Monthly'!V$3,'TRANS EMP EXTRACT - COST CENTRE'!$2:$2,0)),0)</f>
        <v>0</v>
      </c>
      <c r="W98" s="13">
        <f>IFERROR(INDEX('TRANS EMP EXTRACT - COST CENTRE'!$A$1:$Z$455,MATCH('Summary - Monthly'!$A98,'TRANS EMP EXTRACT - COST CENTRE'!$A:$A,0),MATCH('Summary - Monthly'!W$3,'TRANS EMP EXTRACT - COST CENTRE'!$2:$2,0)),0)</f>
        <v>0</v>
      </c>
      <c r="X98" s="13">
        <f>IFERROR(INDEX('TRANS EMP EXTRACT - COST CENTRE'!$A$1:$Z$455,MATCH('Summary - Monthly'!$A98,'TRANS EMP EXTRACT - COST CENTRE'!$A:$A,0),MATCH('Summary - Monthly'!X$3,'TRANS EMP EXTRACT - COST CENTRE'!$2:$2,0)),0)</f>
        <v>0</v>
      </c>
      <c r="Y98" s="13">
        <f>IFERROR(INDEX('TRANS EMP EXTRACT - COST CENTRE'!$A$1:$Z$455,MATCH('Summary - Monthly'!$A98,'TRANS EMP EXTRACT - COST CENTRE'!$A:$A,0),MATCH('Summary - Monthly'!Y$3,'TRANS EMP EXTRACT - COST CENTRE'!$2:$2,0)),0)</f>
        <v>0</v>
      </c>
      <c r="Z98" s="10">
        <f>IFERROR(INDEX('TRANS EMP EXTRACT - COST CENTRE'!$A$1:$Z$455,MATCH('Summary - Monthly'!$A98,'TRANS EMP EXTRACT - COST CENTRE'!$A:$A,0),MATCH('Summary - Monthly'!Z$3,'TRANS EMP EXTRACT - COST CENTRE'!$2:$2,0)),0)</f>
        <v>38</v>
      </c>
      <c r="AA98" s="10">
        <f>IFERROR(INDEX('TRANS EMP EXTRACT - COST CENTRE'!$A$1:$Z$455,MATCH('Summary - Monthly'!$A98,'TRANS EMP EXTRACT - COST CENTRE'!$A:$A,0),MATCH('Summary - Monthly'!AA$3,'TRANS EMP EXTRACT - COST CENTRE'!$2:$2,0)),0)</f>
        <v>0</v>
      </c>
      <c r="AB98" s="10">
        <f>IFERROR(INDEX('TRANS EMP EXTRACT - COST CENTRE'!$A$1:$Z$455,MATCH('Summary - Monthly'!$A98,'TRANS EMP EXTRACT - COST CENTRE'!$A:$A,0),MATCH('Summary - Monthly'!AB$3,'TRANS EMP EXTRACT - COST CENTRE'!$2:$2,0)),0)</f>
        <v>0</v>
      </c>
      <c r="AC98" s="8">
        <f>IFERROR(INDEX('TRANS EMP EXTRACT - COST CENTRE'!$A$1:$Z$455,MATCH('Summary - Monthly'!$A98,'TRANS EMP EXTRACT - COST CENTRE'!$A:$A,0),MATCH('Summary - Monthly'!AC$3,'TRANS EMP EXTRACT - COST CENTRE'!$2:$2,0)),0)</f>
        <v>0</v>
      </c>
      <c r="AD98" s="13">
        <f>IFERROR(INDEX('TRANS EMP EXTRACT - COST CENTRE'!$A$1:$Z$455,MATCH('Summary - Monthly'!$A98,'TRANS EMP EXTRACT - COST CENTRE'!$A:$A,0),MATCH('Summary - Monthly'!AD$3,'TRANS EMP EXTRACT - COST CENTRE'!$2:$2,0)),0)</f>
        <v>0</v>
      </c>
      <c r="AE98" s="13">
        <f>IFERROR(INDEX('TRANS EMP EXTRACT - COST CENTRE'!$A$1:$Z$455,MATCH('Summary - Monthly'!$A98,'TRANS EMP EXTRACT - COST CENTRE'!$A:$A,0),MATCH('Summary - Monthly'!AE$3,'TRANS EMP EXTRACT - COST CENTRE'!$2:$2,0)),0)</f>
        <v>0</v>
      </c>
      <c r="AF98" s="13">
        <f>IFERROR(INDEX('TRANS EMP EXTRACT - COST CENTRE'!$A$1:$Z$455,MATCH('Summary - Monthly'!$A98,'TRANS EMP EXTRACT - COST CENTRE'!$A:$A,0),MATCH('Summary - Monthly'!AF$3,'TRANS EMP EXTRACT - COST CENTRE'!$2:$2,0)),0)</f>
        <v>0</v>
      </c>
      <c r="AG98" s="10">
        <f>IFERROR(INDEX('TRANS EMP EXTRACT - COST CENTRE'!$A$1:$Z$455,MATCH('Summary - Monthly'!$A98,'TRANS EMP EXTRACT - COST CENTRE'!$A:$A,0),MATCH('Summary - Monthly'!AG$3,'TRANS EMP EXTRACT - COST CENTRE'!$2:$2,0)),0)</f>
        <v>0</v>
      </c>
      <c r="AH98" s="10">
        <f>IFERROR(INDEX('TRANS EMP EXTRACT - COST CENTRE'!$A$1:$Z$455,MATCH('Summary - Monthly'!$A98,'TRANS EMP EXTRACT - COST CENTRE'!$A:$A,0),MATCH('Summary - Monthly'!AH$3,'TRANS EMP EXTRACT - COST CENTRE'!$2:$2,0)),0)</f>
        <v>0</v>
      </c>
      <c r="AI98" s="10">
        <f>IFERROR(INDEX('TRANS EMP EXTRACT - COST CENTRE'!$A$1:$Z$455,MATCH('Summary - Monthly'!$A98,'TRANS EMP EXTRACT - COST CENTRE'!$A:$A,0),MATCH('Summary - Monthly'!AI$3,'TRANS EMP EXTRACT - COST CENTRE'!$2:$2,0)),0)</f>
        <v>0</v>
      </c>
      <c r="AJ98" s="10">
        <f>IFERROR(INDEX('TRANS EMP EXTRACT - COST CENTRE'!$A$1:$Z$455,MATCH('Summary - Monthly'!$A98,'TRANS EMP EXTRACT - COST CENTRE'!$A:$A,0),MATCH('Summary - Monthly'!AJ$3,'TRANS EMP EXTRACT - COST CENTRE'!$2:$2,0)),0)</f>
        <v>0</v>
      </c>
      <c r="AK98" s="10">
        <f>IFERROR(INDEX('TRANS EMP EXTRACT - COST CENTRE'!$A$1:$Z$455,MATCH('Summary - Monthly'!$A98,'TRANS EMP EXTRACT - COST CENTRE'!$A:$A,0),MATCH('Summary - Monthly'!AK$3,'TRANS EMP EXTRACT - COST CENTRE'!$2:$2,0)),0)</f>
        <v>0</v>
      </c>
      <c r="AL98" s="10">
        <f>IFERROR(INDEX('TRANS EMP EXTRACT - COST CENTRE'!$A$1:$Z$455,MATCH('Summary - Monthly'!$A98,'TRANS EMP EXTRACT - COST CENTRE'!$A:$A,0),MATCH('Summary - Monthly'!AL$3,'TRANS EMP EXTRACT - COST CENTRE'!$2:$2,0)),0)</f>
        <v>0</v>
      </c>
      <c r="AM98" s="10">
        <f t="shared" si="20"/>
        <v>7.6</v>
      </c>
      <c r="AN98" s="14">
        <f t="shared" si="13"/>
        <v>0</v>
      </c>
      <c r="AO98" s="18">
        <f t="shared" si="18"/>
        <v>4.9999999999999996E-2</v>
      </c>
      <c r="AP98" s="18">
        <f t="shared" si="19"/>
        <v>4.9999999999999996E-2</v>
      </c>
      <c r="AQ98" s="10" t="str">
        <f>IFERROR(VLOOKUP(B98,Departments!A:C,3,FALSE),"")</f>
        <v>Chemistry</v>
      </c>
      <c r="AR98" s="10" t="str">
        <f>IFERROR(VLOOKUP(B98,Departments!A:B,2,FALSE),"")</f>
        <v>Sydney Chem</v>
      </c>
      <c r="AS98" s="10">
        <f t="shared" si="14"/>
        <v>38</v>
      </c>
      <c r="AT98" s="10">
        <f t="shared" si="15"/>
        <v>38</v>
      </c>
      <c r="AU98" s="10" t="str">
        <f>_xlfn.IFNA(VLOOKUP(B98,Departments!A:D,4,FALSE),"")</f>
        <v>Sydney Chem</v>
      </c>
    </row>
    <row r="99" spans="1:47" ht="14.45" customHeight="1">
      <c r="A99" s="11" t="str">
        <f t="shared" si="16"/>
        <v>1203301119008</v>
      </c>
      <c r="B99" s="11">
        <f>'TRANS EMP EXTRACT - COST CENTRE'!B98</f>
        <v>12033011</v>
      </c>
      <c r="C99" s="10" t="str">
        <f>IFERROR(VLOOKUP(E99,'TRANS EMP EXTRACT - EMP CATEGOR'!A:B,2,FALSE),"")</f>
        <v>TP</v>
      </c>
      <c r="D99" s="10" t="str">
        <f>IFERROR(VLOOKUP(E99,'TRANS EMP EXTRACT - EMP CATEGOR'!A:C,3,FALSE),"")</f>
        <v>Temporary Parttime</v>
      </c>
      <c r="E99" s="11">
        <f>'TRANS EMP EXTRACT - COST CENTRE'!D98</f>
        <v>19008</v>
      </c>
      <c r="F99" s="10" t="str">
        <f>IFERROR(VLOOKUP(E99,'TRANS EMP EXTRACT - COST CENTRE'!D:E,2,FALSE),"")</f>
        <v>RADHA  IKSHITHA MS</v>
      </c>
      <c r="G99" s="12">
        <f>IFERROR(INDEX('TRANS EMP EXTRACT - COST CENTRE'!$A$1:$Z$455,MATCH('Summary - Monthly'!$A99,'TRANS EMP EXTRACT - COST CENTRE'!$A:$A,0),MATCH('Summary - Monthly'!G$3,'TRANS EMP EXTRACT - COST CENTRE'!$2:$2,0)),"")</f>
        <v>44697</v>
      </c>
      <c r="H99" s="10" t="str">
        <f>IFERROR(INDEX('TRANS EMP EXTRACT - COST CENTRE'!$B$1:$Z$455,MATCH('Summary - Monthly'!$E99,'TRANS EMP EXTRACT - COST CENTRE'!$D:$D,0),MATCH('Summary - Monthly'!H$3,'TRANS EMP EXTRACT - COST CENTRE'!$2:$2,0)),"")</f>
        <v>RT</v>
      </c>
      <c r="I99" s="12" t="str">
        <f>IFERROR(INDEX('TRANS EMP EXTRACT - EMP CATEGOR'!$B$1:$AF$421,MATCH('Summary - Monthly'!$E99,'TRANS EMP EXTRACT - EMP CATEGOR'!$D:$D,0),MATCH('Summary - Monthly'!H$3,'TRANS EMP EXTRACT - EMP CATEGOR'!$2:$2,0)),"")</f>
        <v>RT</v>
      </c>
      <c r="J99" s="41">
        <f t="shared" ca="1" si="12"/>
        <v>12.264099999999999</v>
      </c>
      <c r="K99" s="41">
        <f t="shared" ca="1" si="17"/>
        <v>16.9282</v>
      </c>
      <c r="L99" s="10">
        <f>IFERROR(INDEX('TRANS EMP EXTRACT - COST CENTRE'!$A$1:$Z$455,MATCH('Summary - Monthly'!$A99,'TRANS EMP EXTRACT - COST CENTRE'!$A:$A,0),MATCH('Summary - Monthly'!L$3,'TRANS EMP EXTRACT - COST CENTRE'!$2:$2,0)),"")</f>
        <v>0</v>
      </c>
      <c r="M99" s="10">
        <f>IFERROR(INDEX('TRANS EMP EXTRACT - COST CENTRE'!$A$1:$Z$455,MATCH('Summary - Monthly'!$A99,'TRANS EMP EXTRACT - COST CENTRE'!$A:$A,0),MATCH('Summary - Monthly'!M$3,'TRANS EMP EXTRACT - COST CENTRE'!$2:$2,0)),0)</f>
        <v>0</v>
      </c>
      <c r="N99" s="10">
        <f>IFERROR(INDEX('TRANS EMP EXTRACT - COST CENTRE'!$A$1:$Z$455,MATCH('Summary - Monthly'!$A99,'TRANS EMP EXTRACT - COST CENTRE'!$A:$A,0),MATCH('Summary - Monthly'!N$3,'TRANS EMP EXTRACT - COST CENTRE'!$2:$2,0)),0)</f>
        <v>0</v>
      </c>
      <c r="O99" s="10">
        <f>IFERROR(INDEX('TRANS EMP EXTRACT - COST CENTRE'!$A$1:$Z$455,MATCH('Summary - Monthly'!$A99,'TRANS EMP EXTRACT - COST CENTRE'!$A:$A,0),MATCH('Summary - Monthly'!O$3,'TRANS EMP EXTRACT - COST CENTRE'!$2:$2,0)),0)</f>
        <v>22.8</v>
      </c>
      <c r="P99" s="10">
        <f>IFERROR(INDEX('TRANS EMP EXTRACT - COST CENTRE'!$A$1:$Z$455,MATCH('Summary - Monthly'!$A99,'TRANS EMP EXTRACT - COST CENTRE'!$A:$A,0),MATCH('Summary - Monthly'!P$3,'TRANS EMP EXTRACT - COST CENTRE'!$2:$2,0)),0)</f>
        <v>21.9833</v>
      </c>
      <c r="Q99" s="10">
        <f>IFERROR(INDEX('TRANS EMP EXTRACT - COST CENTRE'!$A$1:$Z$455,MATCH('Summary - Monthly'!$A99,'TRANS EMP EXTRACT - COST CENTRE'!$A:$A,0),MATCH('Summary - Monthly'!Q$3,'TRANS EMP EXTRACT - COST CENTRE'!$2:$2,0)),0)</f>
        <v>5.5667</v>
      </c>
      <c r="R99" s="10">
        <f>IFERROR(INDEX('TRANS EMP EXTRACT - COST CENTRE'!$A$1:$Z$455,MATCH('Summary - Monthly'!$A99,'TRANS EMP EXTRACT - COST CENTRE'!$A:$A,0),MATCH('Summary - Monthly'!R$3,'TRANS EMP EXTRACT - COST CENTRE'!$2:$2,0)),0)</f>
        <v>3.0667</v>
      </c>
      <c r="S99" s="10">
        <f>IFERROR(INDEX('TRANS EMP EXTRACT - COST CENTRE'!$A$1:$Z$455,MATCH('Summary - Monthly'!$A99,'TRANS EMP EXTRACT - COST CENTRE'!$A:$A,0),MATCH('Summary - Monthly'!S$3,'TRANS EMP EXTRACT - COST CENTRE'!$2:$2,0)),0)</f>
        <v>0</v>
      </c>
      <c r="T99" s="8">
        <f>IFERROR(INDEX('TRANS EMP EXTRACT - COST CENTRE'!$A$1:$Z$455,MATCH('Summary - Monthly'!$A99,'TRANS EMP EXTRACT - COST CENTRE'!$A:$A,0),MATCH('Summary - Monthly'!T$3,'TRANS EMP EXTRACT - COST CENTRE'!$2:$2,0)),0)</f>
        <v>0</v>
      </c>
      <c r="U99" s="13">
        <f>IFERROR(INDEX('TRANS EMP EXTRACT - COST CENTRE'!$A$1:$Z$455,MATCH('Summary - Monthly'!$A99,'TRANS EMP EXTRACT - COST CENTRE'!$A:$A,0),MATCH('Summary - Monthly'!U$3,'TRANS EMP EXTRACT - COST CENTRE'!$2:$2,0)),0)</f>
        <v>0</v>
      </c>
      <c r="V99" s="13">
        <f>IFERROR(INDEX('TRANS EMP EXTRACT - COST CENTRE'!$A$1:$Z$455,MATCH('Summary - Monthly'!$A99,'TRANS EMP EXTRACT - COST CENTRE'!$A:$A,0),MATCH('Summary - Monthly'!V$3,'TRANS EMP EXTRACT - COST CENTRE'!$2:$2,0)),0)</f>
        <v>0</v>
      </c>
      <c r="W99" s="13">
        <f>IFERROR(INDEX('TRANS EMP EXTRACT - COST CENTRE'!$A$1:$Z$455,MATCH('Summary - Monthly'!$A99,'TRANS EMP EXTRACT - COST CENTRE'!$A:$A,0),MATCH('Summary - Monthly'!W$3,'TRANS EMP EXTRACT - COST CENTRE'!$2:$2,0)),0)</f>
        <v>0</v>
      </c>
      <c r="X99" s="13">
        <f>IFERROR(INDEX('TRANS EMP EXTRACT - COST CENTRE'!$A$1:$Z$455,MATCH('Summary - Monthly'!$A99,'TRANS EMP EXTRACT - COST CENTRE'!$A:$A,0),MATCH('Summary - Monthly'!X$3,'TRANS EMP EXTRACT - COST CENTRE'!$2:$2,0)),0)</f>
        <v>0</v>
      </c>
      <c r="Y99" s="13">
        <f>IFERROR(INDEX('TRANS EMP EXTRACT - COST CENTRE'!$A$1:$Z$455,MATCH('Summary - Monthly'!$A99,'TRANS EMP EXTRACT - COST CENTRE'!$A:$A,0),MATCH('Summary - Monthly'!Y$3,'TRANS EMP EXTRACT - COST CENTRE'!$2:$2,0)),0)</f>
        <v>0</v>
      </c>
      <c r="Z99" s="10">
        <f>IFERROR(INDEX('TRANS EMP EXTRACT - COST CENTRE'!$A$1:$Z$455,MATCH('Summary - Monthly'!$A99,'TRANS EMP EXTRACT - COST CENTRE'!$A:$A,0),MATCH('Summary - Monthly'!Z$3,'TRANS EMP EXTRACT - COST CENTRE'!$2:$2,0)),0)</f>
        <v>0</v>
      </c>
      <c r="AA99" s="10">
        <f>IFERROR(INDEX('TRANS EMP EXTRACT - COST CENTRE'!$A$1:$Z$455,MATCH('Summary - Monthly'!$A99,'TRANS EMP EXTRACT - COST CENTRE'!$A:$A,0),MATCH('Summary - Monthly'!AA$3,'TRANS EMP EXTRACT - COST CENTRE'!$2:$2,0)),0)</f>
        <v>0</v>
      </c>
      <c r="AB99" s="10">
        <f>IFERROR(INDEX('TRANS EMP EXTRACT - COST CENTRE'!$A$1:$Z$455,MATCH('Summary - Monthly'!$A99,'TRANS EMP EXTRACT - COST CENTRE'!$A:$A,0),MATCH('Summary - Monthly'!AB$3,'TRANS EMP EXTRACT - COST CENTRE'!$2:$2,0)),0)</f>
        <v>0</v>
      </c>
      <c r="AC99" s="8">
        <f>IFERROR(INDEX('TRANS EMP EXTRACT - COST CENTRE'!$A$1:$Z$455,MATCH('Summary - Monthly'!$A99,'TRANS EMP EXTRACT - COST CENTRE'!$A:$A,0),MATCH('Summary - Monthly'!AC$3,'TRANS EMP EXTRACT - COST CENTRE'!$2:$2,0)),0)</f>
        <v>0</v>
      </c>
      <c r="AD99" s="13">
        <f>IFERROR(INDEX('TRANS EMP EXTRACT - COST CENTRE'!$A$1:$Z$455,MATCH('Summary - Monthly'!$A99,'TRANS EMP EXTRACT - COST CENTRE'!$A:$A,0),MATCH('Summary - Monthly'!AD$3,'TRANS EMP EXTRACT - COST CENTRE'!$2:$2,0)),0)</f>
        <v>0</v>
      </c>
      <c r="AE99" s="13">
        <f>IFERROR(INDEX('TRANS EMP EXTRACT - COST CENTRE'!$A$1:$Z$455,MATCH('Summary - Monthly'!$A99,'TRANS EMP EXTRACT - COST CENTRE'!$A:$A,0),MATCH('Summary - Monthly'!AE$3,'TRANS EMP EXTRACT - COST CENTRE'!$2:$2,0)),0)</f>
        <v>0</v>
      </c>
      <c r="AF99" s="13">
        <f>IFERROR(INDEX('TRANS EMP EXTRACT - COST CENTRE'!$A$1:$Z$455,MATCH('Summary - Monthly'!$A99,'TRANS EMP EXTRACT - COST CENTRE'!$A:$A,0),MATCH('Summary - Monthly'!AF$3,'TRANS EMP EXTRACT - COST CENTRE'!$2:$2,0)),0)</f>
        <v>0</v>
      </c>
      <c r="AG99" s="10">
        <f>IFERROR(INDEX('TRANS EMP EXTRACT - COST CENTRE'!$A$1:$Z$455,MATCH('Summary - Monthly'!$A99,'TRANS EMP EXTRACT - COST CENTRE'!$A:$A,0),MATCH('Summary - Monthly'!AG$3,'TRANS EMP EXTRACT - COST CENTRE'!$2:$2,0)),0)</f>
        <v>0</v>
      </c>
      <c r="AH99" s="10">
        <f>IFERROR(INDEX('TRANS EMP EXTRACT - COST CENTRE'!$A$1:$Z$455,MATCH('Summary - Monthly'!$A99,'TRANS EMP EXTRACT - COST CENTRE'!$A:$A,0),MATCH('Summary - Monthly'!AH$3,'TRANS EMP EXTRACT - COST CENTRE'!$2:$2,0)),0)</f>
        <v>0</v>
      </c>
      <c r="AI99" s="10">
        <f>IFERROR(INDEX('TRANS EMP EXTRACT - COST CENTRE'!$A$1:$Z$455,MATCH('Summary - Monthly'!$A99,'TRANS EMP EXTRACT - COST CENTRE'!$A:$A,0),MATCH('Summary - Monthly'!AI$3,'TRANS EMP EXTRACT - COST CENTRE'!$2:$2,0)),0)</f>
        <v>0</v>
      </c>
      <c r="AJ99" s="10">
        <f>IFERROR(INDEX('TRANS EMP EXTRACT - COST CENTRE'!$A$1:$Z$455,MATCH('Summary - Monthly'!$A99,'TRANS EMP EXTRACT - COST CENTRE'!$A:$A,0),MATCH('Summary - Monthly'!AJ$3,'TRANS EMP EXTRACT - COST CENTRE'!$2:$2,0)),0)</f>
        <v>0</v>
      </c>
      <c r="AK99" s="10">
        <f>IFERROR(INDEX('TRANS EMP EXTRACT - COST CENTRE'!$A$1:$Z$455,MATCH('Summary - Monthly'!$A99,'TRANS EMP EXTRACT - COST CENTRE'!$A:$A,0),MATCH('Summary - Monthly'!AK$3,'TRANS EMP EXTRACT - COST CENTRE'!$2:$2,0)),0)</f>
        <v>0</v>
      </c>
      <c r="AL99" s="10">
        <f>IFERROR(INDEX('TRANS EMP EXTRACT - COST CENTRE'!$A$1:$Z$455,MATCH('Summary - Monthly'!$A99,'TRANS EMP EXTRACT - COST CENTRE'!$A:$A,0),MATCH('Summary - Monthly'!AL$3,'TRANS EMP EXTRACT - COST CENTRE'!$2:$2,0)),0)</f>
        <v>0</v>
      </c>
      <c r="AM99" s="10">
        <f t="shared" si="20"/>
        <v>53.416699999999992</v>
      </c>
      <c r="AN99" s="14">
        <f t="shared" si="13"/>
        <v>5.6798684210526314E-2</v>
      </c>
      <c r="AO99" s="18">
        <f t="shared" si="18"/>
        <v>0.35142565789473679</v>
      </c>
      <c r="AP99" s="18">
        <f t="shared" si="19"/>
        <v>0.35142565789473679</v>
      </c>
      <c r="AQ99" s="10" t="str">
        <f>IFERROR(VLOOKUP(B99,Departments!A:C,3,FALSE),"")</f>
        <v>Microbiology</v>
      </c>
      <c r="AR99" s="10" t="str">
        <f>IFERROR(VLOOKUP(B99,Departments!A:B,2,FALSE),"")</f>
        <v>Melb Micro</v>
      </c>
      <c r="AS99" s="10">
        <f t="shared" si="14"/>
        <v>0</v>
      </c>
      <c r="AT99" s="10">
        <f t="shared" si="15"/>
        <v>0</v>
      </c>
      <c r="AU99" s="10" t="str">
        <f>_xlfn.IFNA(VLOOKUP(B99,Departments!A:D,4,FALSE),"")</f>
        <v>Melbourne Micro</v>
      </c>
    </row>
    <row r="100" spans="1:47" ht="14.45" customHeight="1">
      <c r="A100" s="11" t="str">
        <f t="shared" si="16"/>
        <v>1203061118827</v>
      </c>
      <c r="B100" s="11">
        <f>'TRANS EMP EXTRACT - COST CENTRE'!B99</f>
        <v>12030611</v>
      </c>
      <c r="C100" s="10" t="str">
        <f>IFERROR(VLOOKUP(E100,'TRANS EMP EXTRACT - EMP CATEGOR'!A:B,2,FALSE),"")</f>
        <v>FT</v>
      </c>
      <c r="D100" s="10" t="str">
        <f>IFERROR(VLOOKUP(E100,'TRANS EMP EXTRACT - EMP CATEGOR'!A:C,3,FALSE),"")</f>
        <v>Fulltime</v>
      </c>
      <c r="E100" s="11">
        <f>'TRANS EMP EXTRACT - COST CENTRE'!D99</f>
        <v>18827</v>
      </c>
      <c r="F100" s="10" t="str">
        <f>IFERROR(VLOOKUP(E100,'TRANS EMP EXTRACT - COST CENTRE'!D:E,2,FALSE),"")</f>
        <v>RAMALINGAM  JANSI MS</v>
      </c>
      <c r="G100" s="12">
        <f>IFERROR(INDEX('TRANS EMP EXTRACT - COST CENTRE'!$A$1:$Z$455,MATCH('Summary - Monthly'!$A100,'TRANS EMP EXTRACT - COST CENTRE'!$A:$A,0),MATCH('Summary - Monthly'!G$3,'TRANS EMP EXTRACT - COST CENTRE'!$2:$2,0)),"")</f>
        <v>43244</v>
      </c>
      <c r="H100" s="10" t="str">
        <f>IFERROR(INDEX('TRANS EMP EXTRACT - COST CENTRE'!$B$1:$Z$455,MATCH('Summary - Monthly'!$E100,'TRANS EMP EXTRACT - COST CENTRE'!$D:$D,0),MATCH('Summary - Monthly'!H$3,'TRANS EMP EXTRACT - COST CENTRE'!$2:$2,0)),"")</f>
        <v>RT</v>
      </c>
      <c r="I100" s="12" t="str">
        <f>IFERROR(INDEX('TRANS EMP EXTRACT - EMP CATEGOR'!$B$1:$AF$421,MATCH('Summary - Monthly'!$E100,'TRANS EMP EXTRACT - EMP CATEGOR'!$D:$D,0),MATCH('Summary - Monthly'!H$3,'TRANS EMP EXTRACT - EMP CATEGOR'!$2:$2,0)),"")</f>
        <v>RT</v>
      </c>
      <c r="J100" s="41">
        <f t="shared" ca="1" si="12"/>
        <v>31.9786</v>
      </c>
      <c r="K100" s="41">
        <f t="shared" ca="1" si="17"/>
        <v>49.204099999999997</v>
      </c>
      <c r="L100" s="10">
        <f>IFERROR(INDEX('TRANS EMP EXTRACT - COST CENTRE'!$A$1:$Z$455,MATCH('Summary - Monthly'!$A100,'TRANS EMP EXTRACT - COST CENTRE'!$A:$A,0),MATCH('Summary - Monthly'!L$3,'TRANS EMP EXTRACT - COST CENTRE'!$2:$2,0)),"")</f>
        <v>53.2</v>
      </c>
      <c r="M100" s="10">
        <f>IFERROR(INDEX('TRANS EMP EXTRACT - COST CENTRE'!$A$1:$Z$455,MATCH('Summary - Monthly'!$A100,'TRANS EMP EXTRACT - COST CENTRE'!$A:$A,0),MATCH('Summary - Monthly'!M$3,'TRANS EMP EXTRACT - COST CENTRE'!$2:$2,0)),0)</f>
        <v>0</v>
      </c>
      <c r="N100" s="10">
        <f>IFERROR(INDEX('TRANS EMP EXTRACT - COST CENTRE'!$A$1:$Z$455,MATCH('Summary - Monthly'!$A100,'TRANS EMP EXTRACT - COST CENTRE'!$A:$A,0),MATCH('Summary - Monthly'!N$3,'TRANS EMP EXTRACT - COST CENTRE'!$2:$2,0)),0)</f>
        <v>0</v>
      </c>
      <c r="O100" s="10">
        <f>IFERROR(INDEX('TRANS EMP EXTRACT - COST CENTRE'!$A$1:$Z$455,MATCH('Summary - Monthly'!$A100,'TRANS EMP EXTRACT - COST CENTRE'!$A:$A,0),MATCH('Summary - Monthly'!O$3,'TRANS EMP EXTRACT - COST CENTRE'!$2:$2,0)),0)</f>
        <v>0</v>
      </c>
      <c r="P100" s="10">
        <f>IFERROR(INDEX('TRANS EMP EXTRACT - COST CENTRE'!$A$1:$Z$455,MATCH('Summary - Monthly'!$A100,'TRANS EMP EXTRACT - COST CENTRE'!$A:$A,0),MATCH('Summary - Monthly'!P$3,'TRANS EMP EXTRACT - COST CENTRE'!$2:$2,0)),0)</f>
        <v>0</v>
      </c>
      <c r="Q100" s="10">
        <f>IFERROR(INDEX('TRANS EMP EXTRACT - COST CENTRE'!$A$1:$Z$455,MATCH('Summary - Monthly'!$A100,'TRANS EMP EXTRACT - COST CENTRE'!$A:$A,0),MATCH('Summary - Monthly'!Q$3,'TRANS EMP EXTRACT - COST CENTRE'!$2:$2,0)),0)</f>
        <v>0</v>
      </c>
      <c r="R100" s="10">
        <f>IFERROR(INDEX('TRANS EMP EXTRACT - COST CENTRE'!$A$1:$Z$455,MATCH('Summary - Monthly'!$A100,'TRANS EMP EXTRACT - COST CENTRE'!$A:$A,0),MATCH('Summary - Monthly'!R$3,'TRANS EMP EXTRACT - COST CENTRE'!$2:$2,0)),0)</f>
        <v>0</v>
      </c>
      <c r="S100" s="10">
        <f>IFERROR(INDEX('TRANS EMP EXTRACT - COST CENTRE'!$A$1:$Z$455,MATCH('Summary - Monthly'!$A100,'TRANS EMP EXTRACT - COST CENTRE'!$A:$A,0),MATCH('Summary - Monthly'!S$3,'TRANS EMP EXTRACT - COST CENTRE'!$2:$2,0)),0)</f>
        <v>0</v>
      </c>
      <c r="T100" s="8">
        <f>IFERROR(INDEX('TRANS EMP EXTRACT - COST CENTRE'!$A$1:$Z$455,MATCH('Summary - Monthly'!$A100,'TRANS EMP EXTRACT - COST CENTRE'!$A:$A,0),MATCH('Summary - Monthly'!T$3,'TRANS EMP EXTRACT - COST CENTRE'!$2:$2,0)),0)</f>
        <v>0</v>
      </c>
      <c r="U100" s="13">
        <f>IFERROR(INDEX('TRANS EMP EXTRACT - COST CENTRE'!$A$1:$Z$455,MATCH('Summary - Monthly'!$A100,'TRANS EMP EXTRACT - COST CENTRE'!$A:$A,0),MATCH('Summary - Monthly'!U$3,'TRANS EMP EXTRACT - COST CENTRE'!$2:$2,0)),0)</f>
        <v>98.8</v>
      </c>
      <c r="V100" s="13">
        <f>IFERROR(INDEX('TRANS EMP EXTRACT - COST CENTRE'!$A$1:$Z$455,MATCH('Summary - Monthly'!$A100,'TRANS EMP EXTRACT - COST CENTRE'!$A:$A,0),MATCH('Summary - Monthly'!V$3,'TRANS EMP EXTRACT - COST CENTRE'!$2:$2,0)),0)</f>
        <v>0</v>
      </c>
      <c r="W100" s="13">
        <f>IFERROR(INDEX('TRANS EMP EXTRACT - COST CENTRE'!$A$1:$Z$455,MATCH('Summary - Monthly'!$A100,'TRANS EMP EXTRACT - COST CENTRE'!$A:$A,0),MATCH('Summary - Monthly'!W$3,'TRANS EMP EXTRACT - COST CENTRE'!$2:$2,0)),0)</f>
        <v>0</v>
      </c>
      <c r="X100" s="13">
        <f>IFERROR(INDEX('TRANS EMP EXTRACT - COST CENTRE'!$A$1:$Z$455,MATCH('Summary - Monthly'!$A100,'TRANS EMP EXTRACT - COST CENTRE'!$A:$A,0),MATCH('Summary - Monthly'!X$3,'TRANS EMP EXTRACT - COST CENTRE'!$2:$2,0)),0)</f>
        <v>0</v>
      </c>
      <c r="Y100" s="13">
        <f>IFERROR(INDEX('TRANS EMP EXTRACT - COST CENTRE'!$A$1:$Z$455,MATCH('Summary - Monthly'!$A100,'TRANS EMP EXTRACT - COST CENTRE'!$A:$A,0),MATCH('Summary - Monthly'!Y$3,'TRANS EMP EXTRACT - COST CENTRE'!$2:$2,0)),0)</f>
        <v>0</v>
      </c>
      <c r="Z100" s="10">
        <f>IFERROR(INDEX('TRANS EMP EXTRACT - COST CENTRE'!$A$1:$Z$455,MATCH('Summary - Monthly'!$A100,'TRANS EMP EXTRACT - COST CENTRE'!$A:$A,0),MATCH('Summary - Monthly'!Z$3,'TRANS EMP EXTRACT - COST CENTRE'!$2:$2,0)),0)</f>
        <v>0</v>
      </c>
      <c r="AA100" s="10">
        <f>IFERROR(INDEX('TRANS EMP EXTRACT - COST CENTRE'!$A$1:$Z$455,MATCH('Summary - Monthly'!$A100,'TRANS EMP EXTRACT - COST CENTRE'!$A:$A,0),MATCH('Summary - Monthly'!AA$3,'TRANS EMP EXTRACT - COST CENTRE'!$2:$2,0)),0)</f>
        <v>0</v>
      </c>
      <c r="AB100" s="10">
        <f>IFERROR(INDEX('TRANS EMP EXTRACT - COST CENTRE'!$A$1:$Z$455,MATCH('Summary - Monthly'!$A100,'TRANS EMP EXTRACT - COST CENTRE'!$A:$A,0),MATCH('Summary - Monthly'!AB$3,'TRANS EMP EXTRACT - COST CENTRE'!$2:$2,0)),0)</f>
        <v>0</v>
      </c>
      <c r="AC100" s="8">
        <f>IFERROR(INDEX('TRANS EMP EXTRACT - COST CENTRE'!$A$1:$Z$455,MATCH('Summary - Monthly'!$A100,'TRANS EMP EXTRACT - COST CENTRE'!$A:$A,0),MATCH('Summary - Monthly'!AC$3,'TRANS EMP EXTRACT - COST CENTRE'!$2:$2,0)),0)</f>
        <v>0</v>
      </c>
      <c r="AD100" s="13">
        <f>IFERROR(INDEX('TRANS EMP EXTRACT - COST CENTRE'!$A$1:$Z$455,MATCH('Summary - Monthly'!$A100,'TRANS EMP EXTRACT - COST CENTRE'!$A:$A,0),MATCH('Summary - Monthly'!AD$3,'TRANS EMP EXTRACT - COST CENTRE'!$2:$2,0)),0)</f>
        <v>0</v>
      </c>
      <c r="AE100" s="13">
        <f>IFERROR(INDEX('TRANS EMP EXTRACT - COST CENTRE'!$A$1:$Z$455,MATCH('Summary - Monthly'!$A100,'TRANS EMP EXTRACT - COST CENTRE'!$A:$A,0),MATCH('Summary - Monthly'!AE$3,'TRANS EMP EXTRACT - COST CENTRE'!$2:$2,0)),0)</f>
        <v>0</v>
      </c>
      <c r="AF100" s="13">
        <f>IFERROR(INDEX('TRANS EMP EXTRACT - COST CENTRE'!$A$1:$Z$455,MATCH('Summary - Monthly'!$A100,'TRANS EMP EXTRACT - COST CENTRE'!$A:$A,0),MATCH('Summary - Monthly'!AF$3,'TRANS EMP EXTRACT - COST CENTRE'!$2:$2,0)),0)</f>
        <v>0</v>
      </c>
      <c r="AG100" s="10">
        <f>IFERROR(INDEX('TRANS EMP EXTRACT - COST CENTRE'!$A$1:$Z$455,MATCH('Summary - Monthly'!$A100,'TRANS EMP EXTRACT - COST CENTRE'!$A:$A,0),MATCH('Summary - Monthly'!AG$3,'TRANS EMP EXTRACT - COST CENTRE'!$2:$2,0)),0)</f>
        <v>0</v>
      </c>
      <c r="AH100" s="10">
        <f>IFERROR(INDEX('TRANS EMP EXTRACT - COST CENTRE'!$A$1:$Z$455,MATCH('Summary - Monthly'!$A100,'TRANS EMP EXTRACT - COST CENTRE'!$A:$A,0),MATCH('Summary - Monthly'!AH$3,'TRANS EMP EXTRACT - COST CENTRE'!$2:$2,0)),0)</f>
        <v>0</v>
      </c>
      <c r="AI100" s="10">
        <f>IFERROR(INDEX('TRANS EMP EXTRACT - COST CENTRE'!$A$1:$Z$455,MATCH('Summary - Monthly'!$A100,'TRANS EMP EXTRACT - COST CENTRE'!$A:$A,0),MATCH('Summary - Monthly'!AI$3,'TRANS EMP EXTRACT - COST CENTRE'!$2:$2,0)),0)</f>
        <v>0</v>
      </c>
      <c r="AJ100" s="10">
        <f>IFERROR(INDEX('TRANS EMP EXTRACT - COST CENTRE'!$A$1:$Z$455,MATCH('Summary - Monthly'!$A100,'TRANS EMP EXTRACT - COST CENTRE'!$A:$A,0),MATCH('Summary - Monthly'!AJ$3,'TRANS EMP EXTRACT - COST CENTRE'!$2:$2,0)),0)</f>
        <v>0</v>
      </c>
      <c r="AK100" s="10">
        <f>IFERROR(INDEX('TRANS EMP EXTRACT - COST CENTRE'!$A$1:$Z$455,MATCH('Summary - Monthly'!$A100,'TRANS EMP EXTRACT - COST CENTRE'!$A:$A,0),MATCH('Summary - Monthly'!AK$3,'TRANS EMP EXTRACT - COST CENTRE'!$2:$2,0)),0)</f>
        <v>0</v>
      </c>
      <c r="AL100" s="10">
        <f>IFERROR(INDEX('TRANS EMP EXTRACT - COST CENTRE'!$A$1:$Z$455,MATCH('Summary - Monthly'!$A100,'TRANS EMP EXTRACT - COST CENTRE'!$A:$A,0),MATCH('Summary - Monthly'!AL$3,'TRANS EMP EXTRACT - COST CENTRE'!$2:$2,0)),0)</f>
        <v>0</v>
      </c>
      <c r="AM100" s="10">
        <f t="shared" si="20"/>
        <v>152</v>
      </c>
      <c r="AN100" s="14">
        <f t="shared" si="13"/>
        <v>0</v>
      </c>
      <c r="AO100" s="18">
        <f t="shared" si="18"/>
        <v>1</v>
      </c>
      <c r="AP100" s="18">
        <f t="shared" si="19"/>
        <v>0.35000000000000003</v>
      </c>
      <c r="AQ100" s="10" t="str">
        <f>IFERROR(VLOOKUP(B100,Departments!A:C,3,FALSE),"")</f>
        <v>Microbiology</v>
      </c>
      <c r="AR100" s="10" t="str">
        <f>IFERROR(VLOOKUP(B100,Departments!A:B,2,FALSE),"")</f>
        <v>Melb Micro</v>
      </c>
      <c r="AS100" s="10">
        <f t="shared" ref="AS100:AS131" si="21">V100+Y100+Z100+AA100+AD100</f>
        <v>0</v>
      </c>
      <c r="AT100" s="10">
        <f t="shared" ref="AT100:AT131" si="22">U100+V100+W100+X100+Y100+Z100+AA100+AB100+AC100+AD100+AE100+AF100</f>
        <v>98.8</v>
      </c>
      <c r="AU100" s="10" t="str">
        <f>_xlfn.IFNA(VLOOKUP(B100,Departments!A:D,4,FALSE),"")</f>
        <v>Melbourne Micro</v>
      </c>
    </row>
    <row r="101" spans="1:47" ht="14.45" customHeight="1">
      <c r="A101" s="11" t="str">
        <f t="shared" si="16"/>
        <v>1204301118986</v>
      </c>
      <c r="B101" s="11">
        <f>'TRANS EMP EXTRACT - COST CENTRE'!B100</f>
        <v>12043011</v>
      </c>
      <c r="C101" s="10" t="str">
        <f>IFERROR(VLOOKUP(E101,'TRANS EMP EXTRACT - EMP CATEGOR'!A:B,2,FALSE),"")</f>
        <v>FT</v>
      </c>
      <c r="D101" s="10" t="str">
        <f>IFERROR(VLOOKUP(E101,'TRANS EMP EXTRACT - EMP CATEGOR'!A:C,3,FALSE),"")</f>
        <v>Fulltime</v>
      </c>
      <c r="E101" s="11">
        <f>'TRANS EMP EXTRACT - COST CENTRE'!D100</f>
        <v>18986</v>
      </c>
      <c r="F101" s="10" t="str">
        <f>IFERROR(VLOOKUP(E101,'TRANS EMP EXTRACT - COST CENTRE'!D:E,2,FALSE),"")</f>
        <v>RAMIREZ CASTRO  MARIA MRS</v>
      </c>
      <c r="G101" s="12">
        <f>IFERROR(INDEX('TRANS EMP EXTRACT - COST CENTRE'!$A$1:$Z$455,MATCH('Summary - Monthly'!$A101,'TRANS EMP EXTRACT - COST CENTRE'!$A:$A,0),MATCH('Summary - Monthly'!G$3,'TRANS EMP EXTRACT - COST CENTRE'!$2:$2,0)),"")</f>
        <v>44544</v>
      </c>
      <c r="H101" s="10" t="str">
        <f>IFERROR(INDEX('TRANS EMP EXTRACT - COST CENTRE'!$B$1:$Z$455,MATCH('Summary - Monthly'!$E101,'TRANS EMP EXTRACT - COST CENTRE'!$D:$D,0),MATCH('Summary - Monthly'!H$3,'TRANS EMP EXTRACT - COST CENTRE'!$2:$2,0)),"")</f>
        <v>RT</v>
      </c>
      <c r="I101" s="12" t="str">
        <f>IFERROR(INDEX('TRANS EMP EXTRACT - EMP CATEGOR'!$B$1:$AF$421,MATCH('Summary - Monthly'!$E101,'TRANS EMP EXTRACT - EMP CATEGOR'!$D:$D,0),MATCH('Summary - Monthly'!H$3,'TRANS EMP EXTRACT - EMP CATEGOR'!$2:$2,0)),"")</f>
        <v>RT</v>
      </c>
      <c r="J101" s="41">
        <f t="shared" ca="1" si="12"/>
        <v>62.104799999999997</v>
      </c>
      <c r="K101" s="41">
        <f t="shared" ca="1" si="17"/>
        <v>159.00970000000001</v>
      </c>
      <c r="L101" s="10">
        <f>IFERROR(INDEX('TRANS EMP EXTRACT - COST CENTRE'!$A$1:$Z$455,MATCH('Summary - Monthly'!$A101,'TRANS EMP EXTRACT - COST CENTRE'!$A:$A,0),MATCH('Summary - Monthly'!L$3,'TRANS EMP EXTRACT - COST CENTRE'!$2:$2,0)),"")</f>
        <v>149.26679999999999</v>
      </c>
      <c r="M101" s="10">
        <f>IFERROR(INDEX('TRANS EMP EXTRACT - COST CENTRE'!$A$1:$Z$455,MATCH('Summary - Monthly'!$A101,'TRANS EMP EXTRACT - COST CENTRE'!$A:$A,0),MATCH('Summary - Monthly'!M$3,'TRANS EMP EXTRACT - COST CENTRE'!$2:$2,0)),0)</f>
        <v>0</v>
      </c>
      <c r="N101" s="10">
        <f>IFERROR(INDEX('TRANS EMP EXTRACT - COST CENTRE'!$A$1:$Z$455,MATCH('Summary - Monthly'!$A101,'TRANS EMP EXTRACT - COST CENTRE'!$A:$A,0),MATCH('Summary - Monthly'!N$3,'TRANS EMP EXTRACT - COST CENTRE'!$2:$2,0)),0)</f>
        <v>0</v>
      </c>
      <c r="O101" s="10">
        <f>IFERROR(INDEX('TRANS EMP EXTRACT - COST CENTRE'!$A$1:$Z$455,MATCH('Summary - Monthly'!$A101,'TRANS EMP EXTRACT - COST CENTRE'!$A:$A,0),MATCH('Summary - Monthly'!O$3,'TRANS EMP EXTRACT - COST CENTRE'!$2:$2,0)),0)</f>
        <v>0</v>
      </c>
      <c r="P101" s="10">
        <f>IFERROR(INDEX('TRANS EMP EXTRACT - COST CENTRE'!$A$1:$Z$455,MATCH('Summary - Monthly'!$A101,'TRANS EMP EXTRACT - COST CENTRE'!$A:$A,0),MATCH('Summary - Monthly'!P$3,'TRANS EMP EXTRACT - COST CENTRE'!$2:$2,0)),0)</f>
        <v>0</v>
      </c>
      <c r="Q101" s="10">
        <f>IFERROR(INDEX('TRANS EMP EXTRACT - COST CENTRE'!$A$1:$Z$455,MATCH('Summary - Monthly'!$A101,'TRANS EMP EXTRACT - COST CENTRE'!$A:$A,0),MATCH('Summary - Monthly'!Q$3,'TRANS EMP EXTRACT - COST CENTRE'!$2:$2,0)),0)</f>
        <v>0.76659999999999995</v>
      </c>
      <c r="R101" s="10">
        <f>IFERROR(INDEX('TRANS EMP EXTRACT - COST CENTRE'!$A$1:$Z$455,MATCH('Summary - Monthly'!$A101,'TRANS EMP EXTRACT - COST CENTRE'!$A:$A,0),MATCH('Summary - Monthly'!R$3,'TRANS EMP EXTRACT - COST CENTRE'!$2:$2,0)),0)</f>
        <v>0</v>
      </c>
      <c r="S101" s="10">
        <f>IFERROR(INDEX('TRANS EMP EXTRACT - COST CENTRE'!$A$1:$Z$455,MATCH('Summary - Monthly'!$A101,'TRANS EMP EXTRACT - COST CENTRE'!$A:$A,0),MATCH('Summary - Monthly'!S$3,'TRANS EMP EXTRACT - COST CENTRE'!$2:$2,0)),0)</f>
        <v>0</v>
      </c>
      <c r="T101" s="8">
        <f>IFERROR(INDEX('TRANS EMP EXTRACT - COST CENTRE'!$A$1:$Z$455,MATCH('Summary - Monthly'!$A101,'TRANS EMP EXTRACT - COST CENTRE'!$A:$A,0),MATCH('Summary - Monthly'!T$3,'TRANS EMP EXTRACT - COST CENTRE'!$2:$2,0)),0)</f>
        <v>0</v>
      </c>
      <c r="U101" s="13">
        <f>IFERROR(INDEX('TRANS EMP EXTRACT - COST CENTRE'!$A$1:$Z$455,MATCH('Summary - Monthly'!$A101,'TRANS EMP EXTRACT - COST CENTRE'!$A:$A,0),MATCH('Summary - Monthly'!U$3,'TRANS EMP EXTRACT - COST CENTRE'!$2:$2,0)),0)</f>
        <v>0</v>
      </c>
      <c r="V101" s="13">
        <f>IFERROR(INDEX('TRANS EMP EXTRACT - COST CENTRE'!$A$1:$Z$455,MATCH('Summary - Monthly'!$A101,'TRANS EMP EXTRACT - COST CENTRE'!$A:$A,0),MATCH('Summary - Monthly'!V$3,'TRANS EMP EXTRACT - COST CENTRE'!$2:$2,0)),0)</f>
        <v>0</v>
      </c>
      <c r="W101" s="13">
        <f>IFERROR(INDEX('TRANS EMP EXTRACT - COST CENTRE'!$A$1:$Z$455,MATCH('Summary - Monthly'!$A101,'TRANS EMP EXTRACT - COST CENTRE'!$A:$A,0),MATCH('Summary - Monthly'!W$3,'TRANS EMP EXTRACT - COST CENTRE'!$2:$2,0)),0)</f>
        <v>0</v>
      </c>
      <c r="X101" s="13">
        <f>IFERROR(INDEX('TRANS EMP EXTRACT - COST CENTRE'!$A$1:$Z$455,MATCH('Summary - Monthly'!$A101,'TRANS EMP EXTRACT - COST CENTRE'!$A:$A,0),MATCH('Summary - Monthly'!X$3,'TRANS EMP EXTRACT - COST CENTRE'!$2:$2,0)),0)</f>
        <v>0</v>
      </c>
      <c r="Y101" s="13">
        <f>IFERROR(INDEX('TRANS EMP EXTRACT - COST CENTRE'!$A$1:$Z$455,MATCH('Summary - Monthly'!$A101,'TRANS EMP EXTRACT - COST CENTRE'!$A:$A,0),MATCH('Summary - Monthly'!Y$3,'TRANS EMP EXTRACT - COST CENTRE'!$2:$2,0)),0)</f>
        <v>0</v>
      </c>
      <c r="Z101" s="10">
        <f>IFERROR(INDEX('TRANS EMP EXTRACT - COST CENTRE'!$A$1:$Z$455,MATCH('Summary - Monthly'!$A101,'TRANS EMP EXTRACT - COST CENTRE'!$A:$A,0),MATCH('Summary - Monthly'!Z$3,'TRANS EMP EXTRACT - COST CENTRE'!$2:$2,0)),0)</f>
        <v>0</v>
      </c>
      <c r="AA101" s="10">
        <f>IFERROR(INDEX('TRANS EMP EXTRACT - COST CENTRE'!$A$1:$Z$455,MATCH('Summary - Monthly'!$A101,'TRANS EMP EXTRACT - COST CENTRE'!$A:$A,0),MATCH('Summary - Monthly'!AA$3,'TRANS EMP EXTRACT - COST CENTRE'!$2:$2,0)),0)</f>
        <v>0</v>
      </c>
      <c r="AB101" s="10">
        <f>IFERROR(INDEX('TRANS EMP EXTRACT - COST CENTRE'!$A$1:$Z$455,MATCH('Summary - Monthly'!$A101,'TRANS EMP EXTRACT - COST CENTRE'!$A:$A,0),MATCH('Summary - Monthly'!AB$3,'TRANS EMP EXTRACT - COST CENTRE'!$2:$2,0)),0)</f>
        <v>0</v>
      </c>
      <c r="AC101" s="8">
        <f>IFERROR(INDEX('TRANS EMP EXTRACT - COST CENTRE'!$A$1:$Z$455,MATCH('Summary - Monthly'!$A101,'TRANS EMP EXTRACT - COST CENTRE'!$A:$A,0),MATCH('Summary - Monthly'!AC$3,'TRANS EMP EXTRACT - COST CENTRE'!$2:$2,0)),0)</f>
        <v>0</v>
      </c>
      <c r="AD101" s="13">
        <f>IFERROR(INDEX('TRANS EMP EXTRACT - COST CENTRE'!$A$1:$Z$455,MATCH('Summary - Monthly'!$A101,'TRANS EMP EXTRACT - COST CENTRE'!$A:$A,0),MATCH('Summary - Monthly'!AD$3,'TRANS EMP EXTRACT - COST CENTRE'!$2:$2,0)),0)</f>
        <v>0</v>
      </c>
      <c r="AE101" s="13">
        <f>IFERROR(INDEX('TRANS EMP EXTRACT - COST CENTRE'!$A$1:$Z$455,MATCH('Summary - Monthly'!$A101,'TRANS EMP EXTRACT - COST CENTRE'!$A:$A,0),MATCH('Summary - Monthly'!AE$3,'TRANS EMP EXTRACT - COST CENTRE'!$2:$2,0)),0)</f>
        <v>0</v>
      </c>
      <c r="AF101" s="13">
        <f>IFERROR(INDEX('TRANS EMP EXTRACT - COST CENTRE'!$A$1:$Z$455,MATCH('Summary - Monthly'!$A101,'TRANS EMP EXTRACT - COST CENTRE'!$A:$A,0),MATCH('Summary - Monthly'!AF$3,'TRANS EMP EXTRACT - COST CENTRE'!$2:$2,0)),0)</f>
        <v>0</v>
      </c>
      <c r="AG101" s="10">
        <f>IFERROR(INDEX('TRANS EMP EXTRACT - COST CENTRE'!$A$1:$Z$455,MATCH('Summary - Monthly'!$A101,'TRANS EMP EXTRACT - COST CENTRE'!$A:$A,0),MATCH('Summary - Monthly'!AG$3,'TRANS EMP EXTRACT - COST CENTRE'!$2:$2,0)),0)</f>
        <v>0</v>
      </c>
      <c r="AH101" s="10">
        <f>IFERROR(INDEX('TRANS EMP EXTRACT - COST CENTRE'!$A$1:$Z$455,MATCH('Summary - Monthly'!$A101,'TRANS EMP EXTRACT - COST CENTRE'!$A:$A,0),MATCH('Summary - Monthly'!AH$3,'TRANS EMP EXTRACT - COST CENTRE'!$2:$2,0)),0)</f>
        <v>0</v>
      </c>
      <c r="AI101" s="10">
        <f>IFERROR(INDEX('TRANS EMP EXTRACT - COST CENTRE'!$A$1:$Z$455,MATCH('Summary - Monthly'!$A101,'TRANS EMP EXTRACT - COST CENTRE'!$A:$A,0),MATCH('Summary - Monthly'!AI$3,'TRANS EMP EXTRACT - COST CENTRE'!$2:$2,0)),0)</f>
        <v>0</v>
      </c>
      <c r="AJ101" s="10">
        <f>IFERROR(INDEX('TRANS EMP EXTRACT - COST CENTRE'!$A$1:$Z$455,MATCH('Summary - Monthly'!$A101,'TRANS EMP EXTRACT - COST CENTRE'!$A:$A,0),MATCH('Summary - Monthly'!AJ$3,'TRANS EMP EXTRACT - COST CENTRE'!$2:$2,0)),0)</f>
        <v>0</v>
      </c>
      <c r="AK101" s="10">
        <f>IFERROR(INDEX('TRANS EMP EXTRACT - COST CENTRE'!$A$1:$Z$455,MATCH('Summary - Monthly'!$A101,'TRANS EMP EXTRACT - COST CENTRE'!$A:$A,0),MATCH('Summary - Monthly'!AK$3,'TRANS EMP EXTRACT - COST CENTRE'!$2:$2,0)),0)</f>
        <v>0</v>
      </c>
      <c r="AL101" s="10">
        <f>IFERROR(INDEX('TRANS EMP EXTRACT - COST CENTRE'!$A$1:$Z$455,MATCH('Summary - Monthly'!$A101,'TRANS EMP EXTRACT - COST CENTRE'!$A:$A,0),MATCH('Summary - Monthly'!AL$3,'TRANS EMP EXTRACT - COST CENTRE'!$2:$2,0)),0)</f>
        <v>0</v>
      </c>
      <c r="AM101" s="10">
        <f t="shared" si="20"/>
        <v>150.0334</v>
      </c>
      <c r="AN101" s="14">
        <f t="shared" si="13"/>
        <v>5.043421052631579E-3</v>
      </c>
      <c r="AO101" s="18">
        <f t="shared" ref="AO101:AO132" si="23">AM101/$AP$2</f>
        <v>0.98706184210526315</v>
      </c>
      <c r="AP101" s="18">
        <f t="shared" si="19"/>
        <v>0.98706184210526315</v>
      </c>
      <c r="AQ101" s="10" t="str">
        <f>IFERROR(VLOOKUP(B101,Departments!A:C,3,FALSE),"")</f>
        <v>Microbiology</v>
      </c>
      <c r="AR101" s="10" t="str">
        <f>IFERROR(VLOOKUP(B101,Departments!A:B,2,FALSE),"")</f>
        <v>Bris Micro</v>
      </c>
      <c r="AS101" s="10">
        <f t="shared" si="21"/>
        <v>0</v>
      </c>
      <c r="AT101" s="10">
        <f t="shared" si="22"/>
        <v>0</v>
      </c>
      <c r="AU101" s="10" t="str">
        <f>_xlfn.IFNA(VLOOKUP(B101,Departments!A:D,4,FALSE),"")</f>
        <v>Brisbane Micro</v>
      </c>
    </row>
    <row r="102" spans="1:47" ht="14.45" customHeight="1">
      <c r="A102" s="11" t="str">
        <f t="shared" si="16"/>
        <v>1202102118960</v>
      </c>
      <c r="B102" s="11">
        <f>'TRANS EMP EXTRACT - COST CENTRE'!B101</f>
        <v>12021021</v>
      </c>
      <c r="C102" s="10" t="str">
        <f>IFERROR(VLOOKUP(E102,'TRANS EMP EXTRACT - EMP CATEGOR'!A:B,2,FALSE),"")</f>
        <v>PT</v>
      </c>
      <c r="D102" s="10" t="str">
        <f>IFERROR(VLOOKUP(E102,'TRANS EMP EXTRACT - EMP CATEGOR'!A:C,3,FALSE),"")</f>
        <v>Parttime</v>
      </c>
      <c r="E102" s="11">
        <f>'TRANS EMP EXTRACT - COST CENTRE'!D101</f>
        <v>18960</v>
      </c>
      <c r="F102" s="10" t="str">
        <f>IFERROR(VLOOKUP(E102,'TRANS EMP EXTRACT - COST CENTRE'!D:E,2,FALSE),"")</f>
        <v>RANGARAJ  USHA MRS</v>
      </c>
      <c r="G102" s="12">
        <f>IFERROR(INDEX('TRANS EMP EXTRACT - COST CENTRE'!$A$1:$Z$455,MATCH('Summary - Monthly'!$A102,'TRANS EMP EXTRACT - COST CENTRE'!$A:$A,0),MATCH('Summary - Monthly'!G$3,'TRANS EMP EXTRACT - COST CENTRE'!$2:$2,0)),"")</f>
        <v>44411</v>
      </c>
      <c r="H102" s="10" t="str">
        <f>IFERROR(INDEX('TRANS EMP EXTRACT - COST CENTRE'!$B$1:$Z$455,MATCH('Summary - Monthly'!$E102,'TRANS EMP EXTRACT - COST CENTRE'!$D:$D,0),MATCH('Summary - Monthly'!H$3,'TRANS EMP EXTRACT - COST CENTRE'!$2:$2,0)),"")</f>
        <v>RT</v>
      </c>
      <c r="I102" s="12" t="str">
        <f>IFERROR(INDEX('TRANS EMP EXTRACT - EMP CATEGOR'!$B$1:$AF$421,MATCH('Summary - Monthly'!$E102,'TRANS EMP EXTRACT - EMP CATEGOR'!$D:$D,0),MATCH('Summary - Monthly'!H$3,'TRANS EMP EXTRACT - EMP CATEGOR'!$2:$2,0)),"")</f>
        <v>RT</v>
      </c>
      <c r="J102" s="41">
        <f t="shared" ca="1" si="12"/>
        <v>28.072199999999999</v>
      </c>
      <c r="K102" s="41">
        <f t="shared" ca="1" si="17"/>
        <v>63.544400000000003</v>
      </c>
      <c r="L102" s="10">
        <f>IFERROR(INDEX('TRANS EMP EXTRACT - COST CENTRE'!$A$1:$Z$455,MATCH('Summary - Monthly'!$A102,'TRANS EMP EXTRACT - COST CENTRE'!$A:$A,0),MATCH('Summary - Monthly'!L$3,'TRANS EMP EXTRACT - COST CENTRE'!$2:$2,0)),"")</f>
        <v>77.333399999999997</v>
      </c>
      <c r="M102" s="10">
        <f>IFERROR(INDEX('TRANS EMP EXTRACT - COST CENTRE'!$A$1:$Z$455,MATCH('Summary - Monthly'!$A102,'TRANS EMP EXTRACT - COST CENTRE'!$A:$A,0),MATCH('Summary - Monthly'!M$3,'TRANS EMP EXTRACT - COST CENTRE'!$2:$2,0)),0)</f>
        <v>0</v>
      </c>
      <c r="N102" s="10">
        <f>IFERROR(INDEX('TRANS EMP EXTRACT - COST CENTRE'!$A$1:$Z$455,MATCH('Summary - Monthly'!$A102,'TRANS EMP EXTRACT - COST CENTRE'!$A:$A,0),MATCH('Summary - Monthly'!N$3,'TRANS EMP EXTRACT - COST CENTRE'!$2:$2,0)),0)</f>
        <v>0</v>
      </c>
      <c r="O102" s="10">
        <f>IFERROR(INDEX('TRANS EMP EXTRACT - COST CENTRE'!$A$1:$Z$455,MATCH('Summary - Monthly'!$A102,'TRANS EMP EXTRACT - COST CENTRE'!$A:$A,0),MATCH('Summary - Monthly'!O$3,'TRANS EMP EXTRACT - COST CENTRE'!$2:$2,0)),0)</f>
        <v>0</v>
      </c>
      <c r="P102" s="10">
        <f>IFERROR(INDEX('TRANS EMP EXTRACT - COST CENTRE'!$A$1:$Z$455,MATCH('Summary - Monthly'!$A102,'TRANS EMP EXTRACT - COST CENTRE'!$A:$A,0),MATCH('Summary - Monthly'!P$3,'TRANS EMP EXTRACT - COST CENTRE'!$2:$2,0)),0)</f>
        <v>0</v>
      </c>
      <c r="Q102" s="10">
        <f>IFERROR(INDEX('TRANS EMP EXTRACT - COST CENTRE'!$A$1:$Z$455,MATCH('Summary - Monthly'!$A102,'TRANS EMP EXTRACT - COST CENTRE'!$A:$A,0),MATCH('Summary - Monthly'!Q$3,'TRANS EMP EXTRACT - COST CENTRE'!$2:$2,0)),0)</f>
        <v>4.2333999999999996</v>
      </c>
      <c r="R102" s="10">
        <f>IFERROR(INDEX('TRANS EMP EXTRACT - COST CENTRE'!$A$1:$Z$455,MATCH('Summary - Monthly'!$A102,'TRANS EMP EXTRACT - COST CENTRE'!$A:$A,0),MATCH('Summary - Monthly'!R$3,'TRANS EMP EXTRACT - COST CENTRE'!$2:$2,0)),0)</f>
        <v>0</v>
      </c>
      <c r="S102" s="10">
        <f>IFERROR(INDEX('TRANS EMP EXTRACT - COST CENTRE'!$A$1:$Z$455,MATCH('Summary - Monthly'!$A102,'TRANS EMP EXTRACT - COST CENTRE'!$A:$A,0),MATCH('Summary - Monthly'!S$3,'TRANS EMP EXTRACT - COST CENTRE'!$2:$2,0)),0)</f>
        <v>0</v>
      </c>
      <c r="T102" s="8">
        <f>IFERROR(INDEX('TRANS EMP EXTRACT - COST CENTRE'!$A$1:$Z$455,MATCH('Summary - Monthly'!$A102,'TRANS EMP EXTRACT - COST CENTRE'!$A:$A,0),MATCH('Summary - Monthly'!T$3,'TRANS EMP EXTRACT - COST CENTRE'!$2:$2,0)),0)</f>
        <v>0</v>
      </c>
      <c r="U102" s="13">
        <f>IFERROR(INDEX('TRANS EMP EXTRACT - COST CENTRE'!$A$1:$Z$455,MATCH('Summary - Monthly'!$A102,'TRANS EMP EXTRACT - COST CENTRE'!$A:$A,0),MATCH('Summary - Monthly'!U$3,'TRANS EMP EXTRACT - COST CENTRE'!$2:$2,0)),0)</f>
        <v>15.2</v>
      </c>
      <c r="V102" s="13">
        <f>IFERROR(INDEX('TRANS EMP EXTRACT - COST CENTRE'!$A$1:$Z$455,MATCH('Summary - Monthly'!$A102,'TRANS EMP EXTRACT - COST CENTRE'!$A:$A,0),MATCH('Summary - Monthly'!V$3,'TRANS EMP EXTRACT - COST CENTRE'!$2:$2,0)),0)</f>
        <v>0</v>
      </c>
      <c r="W102" s="13">
        <f>IFERROR(INDEX('TRANS EMP EXTRACT - COST CENTRE'!$A$1:$Z$455,MATCH('Summary - Monthly'!$A102,'TRANS EMP EXTRACT - COST CENTRE'!$A:$A,0),MATCH('Summary - Monthly'!W$3,'TRANS EMP EXTRACT - COST CENTRE'!$2:$2,0)),0)</f>
        <v>0</v>
      </c>
      <c r="X102" s="13">
        <f>IFERROR(INDEX('TRANS EMP EXTRACT - COST CENTRE'!$A$1:$Z$455,MATCH('Summary - Monthly'!$A102,'TRANS EMP EXTRACT - COST CENTRE'!$A:$A,0),MATCH('Summary - Monthly'!X$3,'TRANS EMP EXTRACT - COST CENTRE'!$2:$2,0)),0)</f>
        <v>0</v>
      </c>
      <c r="Y102" s="13">
        <f>IFERROR(INDEX('TRANS EMP EXTRACT - COST CENTRE'!$A$1:$Z$455,MATCH('Summary - Monthly'!$A102,'TRANS EMP EXTRACT - COST CENTRE'!$A:$A,0),MATCH('Summary - Monthly'!Y$3,'TRANS EMP EXTRACT - COST CENTRE'!$2:$2,0)),0)</f>
        <v>0</v>
      </c>
      <c r="Z102" s="10">
        <f>IFERROR(INDEX('TRANS EMP EXTRACT - COST CENTRE'!$A$1:$Z$455,MATCH('Summary - Monthly'!$A102,'TRANS EMP EXTRACT - COST CENTRE'!$A:$A,0),MATCH('Summary - Monthly'!Z$3,'TRANS EMP EXTRACT - COST CENTRE'!$2:$2,0)),0)</f>
        <v>0</v>
      </c>
      <c r="AA102" s="10">
        <f>IFERROR(INDEX('TRANS EMP EXTRACT - COST CENTRE'!$A$1:$Z$455,MATCH('Summary - Monthly'!$A102,'TRANS EMP EXTRACT - COST CENTRE'!$A:$A,0),MATCH('Summary - Monthly'!AA$3,'TRANS EMP EXTRACT - COST CENTRE'!$2:$2,0)),0)</f>
        <v>0</v>
      </c>
      <c r="AB102" s="10">
        <f>IFERROR(INDEX('TRANS EMP EXTRACT - COST CENTRE'!$A$1:$Z$455,MATCH('Summary - Monthly'!$A102,'TRANS EMP EXTRACT - COST CENTRE'!$A:$A,0),MATCH('Summary - Monthly'!AB$3,'TRANS EMP EXTRACT - COST CENTRE'!$2:$2,0)),0)</f>
        <v>0</v>
      </c>
      <c r="AC102" s="8">
        <f>IFERROR(INDEX('TRANS EMP EXTRACT - COST CENTRE'!$A$1:$Z$455,MATCH('Summary - Monthly'!$A102,'TRANS EMP EXTRACT - COST CENTRE'!$A:$A,0),MATCH('Summary - Monthly'!AC$3,'TRANS EMP EXTRACT - COST CENTRE'!$2:$2,0)),0)</f>
        <v>0</v>
      </c>
      <c r="AD102" s="13">
        <f>IFERROR(INDEX('TRANS EMP EXTRACT - COST CENTRE'!$A$1:$Z$455,MATCH('Summary - Monthly'!$A102,'TRANS EMP EXTRACT - COST CENTRE'!$A:$A,0),MATCH('Summary - Monthly'!AD$3,'TRANS EMP EXTRACT - COST CENTRE'!$2:$2,0)),0)</f>
        <v>0</v>
      </c>
      <c r="AE102" s="13">
        <f>IFERROR(INDEX('TRANS EMP EXTRACT - COST CENTRE'!$A$1:$Z$455,MATCH('Summary - Monthly'!$A102,'TRANS EMP EXTRACT - COST CENTRE'!$A:$A,0),MATCH('Summary - Monthly'!AE$3,'TRANS EMP EXTRACT - COST CENTRE'!$2:$2,0)),0)</f>
        <v>0</v>
      </c>
      <c r="AF102" s="13">
        <f>IFERROR(INDEX('TRANS EMP EXTRACT - COST CENTRE'!$A$1:$Z$455,MATCH('Summary - Monthly'!$A102,'TRANS EMP EXTRACT - COST CENTRE'!$A:$A,0),MATCH('Summary - Monthly'!AF$3,'TRANS EMP EXTRACT - COST CENTRE'!$2:$2,0)),0)</f>
        <v>0</v>
      </c>
      <c r="AG102" s="10">
        <f>IFERROR(INDEX('TRANS EMP EXTRACT - COST CENTRE'!$A$1:$Z$455,MATCH('Summary - Monthly'!$A102,'TRANS EMP EXTRACT - COST CENTRE'!$A:$A,0),MATCH('Summary - Monthly'!AG$3,'TRANS EMP EXTRACT - COST CENTRE'!$2:$2,0)),0)</f>
        <v>0</v>
      </c>
      <c r="AH102" s="10">
        <f>IFERROR(INDEX('TRANS EMP EXTRACT - COST CENTRE'!$A$1:$Z$455,MATCH('Summary - Monthly'!$A102,'TRANS EMP EXTRACT - COST CENTRE'!$A:$A,0),MATCH('Summary - Monthly'!AH$3,'TRANS EMP EXTRACT - COST CENTRE'!$2:$2,0)),0)</f>
        <v>0</v>
      </c>
      <c r="AI102" s="10">
        <f>IFERROR(INDEX('TRANS EMP EXTRACT - COST CENTRE'!$A$1:$Z$455,MATCH('Summary - Monthly'!$A102,'TRANS EMP EXTRACT - COST CENTRE'!$A:$A,0),MATCH('Summary - Monthly'!AI$3,'TRANS EMP EXTRACT - COST CENTRE'!$2:$2,0)),0)</f>
        <v>0</v>
      </c>
      <c r="AJ102" s="10">
        <f>IFERROR(INDEX('TRANS EMP EXTRACT - COST CENTRE'!$A$1:$Z$455,MATCH('Summary - Monthly'!$A102,'TRANS EMP EXTRACT - COST CENTRE'!$A:$A,0),MATCH('Summary - Monthly'!AJ$3,'TRANS EMP EXTRACT - COST CENTRE'!$2:$2,0)),0)</f>
        <v>0</v>
      </c>
      <c r="AK102" s="10">
        <f>IFERROR(INDEX('TRANS EMP EXTRACT - COST CENTRE'!$A$1:$Z$455,MATCH('Summary - Monthly'!$A102,'TRANS EMP EXTRACT - COST CENTRE'!$A:$A,0),MATCH('Summary - Monthly'!AK$3,'TRANS EMP EXTRACT - COST CENTRE'!$2:$2,0)),0)</f>
        <v>0</v>
      </c>
      <c r="AL102" s="10">
        <f>IFERROR(INDEX('TRANS EMP EXTRACT - COST CENTRE'!$A$1:$Z$455,MATCH('Summary - Monthly'!$A102,'TRANS EMP EXTRACT - COST CENTRE'!$A:$A,0),MATCH('Summary - Monthly'!AL$3,'TRANS EMP EXTRACT - COST CENTRE'!$2:$2,0)),0)</f>
        <v>0</v>
      </c>
      <c r="AM102" s="10">
        <f t="shared" si="20"/>
        <v>96.766800000000003</v>
      </c>
      <c r="AN102" s="14">
        <f t="shared" si="13"/>
        <v>2.7851315789473682E-2</v>
      </c>
      <c r="AO102" s="18">
        <f t="shared" si="23"/>
        <v>0.63662368421052629</v>
      </c>
      <c r="AP102" s="18">
        <f t="shared" si="19"/>
        <v>0.53662368421052631</v>
      </c>
      <c r="AQ102" s="10" t="str">
        <f>IFERROR(VLOOKUP(B102,Departments!A:C,3,FALSE),"")</f>
        <v>Chemistry</v>
      </c>
      <c r="AR102" s="10" t="str">
        <f>IFERROR(VLOOKUP(B102,Departments!A:B,2,FALSE),"")</f>
        <v>Sydney Chem</v>
      </c>
      <c r="AS102" s="10">
        <f t="shared" si="21"/>
        <v>0</v>
      </c>
      <c r="AT102" s="10">
        <f t="shared" si="22"/>
        <v>15.2</v>
      </c>
      <c r="AU102" s="10" t="str">
        <f>_xlfn.IFNA(VLOOKUP(B102,Departments!A:D,4,FALSE),"")</f>
        <v>Sydney Chem</v>
      </c>
    </row>
    <row r="103" spans="1:47" ht="14.45" customHeight="1">
      <c r="A103" s="11" t="str">
        <f t="shared" si="16"/>
        <v>12030611134</v>
      </c>
      <c r="B103" s="11">
        <f>'TRANS EMP EXTRACT - COST CENTRE'!B102</f>
        <v>12030611</v>
      </c>
      <c r="C103" s="10" t="str">
        <f>IFERROR(VLOOKUP(E103,'TRANS EMP EXTRACT - EMP CATEGOR'!A:B,2,FALSE),"")</f>
        <v>PT</v>
      </c>
      <c r="D103" s="10" t="str">
        <f>IFERROR(VLOOKUP(E103,'TRANS EMP EXTRACT - EMP CATEGOR'!A:C,3,FALSE),"")</f>
        <v>Parttime</v>
      </c>
      <c r="E103" s="11">
        <f>'TRANS EMP EXTRACT - COST CENTRE'!D102</f>
        <v>134</v>
      </c>
      <c r="F103" s="10" t="str">
        <f>IFERROR(VLOOKUP(E103,'TRANS EMP EXTRACT - COST CENTRE'!D:E,2,FALSE),"")</f>
        <v>RATTLE  ROSE MRS</v>
      </c>
      <c r="G103" s="12">
        <f>IFERROR(INDEX('TRANS EMP EXTRACT - COST CENTRE'!$A$1:$Z$455,MATCH('Summary - Monthly'!$A103,'TRANS EMP EXTRACT - COST CENTRE'!$A:$A,0),MATCH('Summary - Monthly'!G$3,'TRANS EMP EXTRACT - COST CENTRE'!$2:$2,0)),"")</f>
        <v>38800</v>
      </c>
      <c r="H103" s="10" t="str">
        <f>IFERROR(INDEX('TRANS EMP EXTRACT - COST CENTRE'!$B$1:$Z$455,MATCH('Summary - Monthly'!$E103,'TRANS EMP EXTRACT - COST CENTRE'!$D:$D,0),MATCH('Summary - Monthly'!H$3,'TRANS EMP EXTRACT - COST CENTRE'!$2:$2,0)),"")</f>
        <v>RT</v>
      </c>
      <c r="I103" s="12" t="str">
        <f>IFERROR(INDEX('TRANS EMP EXTRACT - EMP CATEGOR'!$B$1:$AF$421,MATCH('Summary - Monthly'!$E103,'TRANS EMP EXTRACT - EMP CATEGOR'!$D:$D,0),MATCH('Summary - Monthly'!H$3,'TRANS EMP EXTRACT - EMP CATEGOR'!$2:$2,0)),"")</f>
        <v>RT</v>
      </c>
      <c r="J103" s="41">
        <f t="shared" ca="1" si="12"/>
        <v>118.2406</v>
      </c>
      <c r="K103" s="41">
        <f t="shared" ca="1" si="17"/>
        <v>110.88639999999999</v>
      </c>
      <c r="L103" s="10">
        <f>IFERROR(INDEX('TRANS EMP EXTRACT - COST CENTRE'!$A$1:$Z$455,MATCH('Summary - Monthly'!$A103,'TRANS EMP EXTRACT - COST CENTRE'!$A:$A,0),MATCH('Summary - Monthly'!L$3,'TRANS EMP EXTRACT - COST CENTRE'!$2:$2,0)),"")</f>
        <v>80</v>
      </c>
      <c r="M103" s="10">
        <f>IFERROR(INDEX('TRANS EMP EXTRACT - COST CENTRE'!$A$1:$Z$455,MATCH('Summary - Monthly'!$A103,'TRANS EMP EXTRACT - COST CENTRE'!$A:$A,0),MATCH('Summary - Monthly'!M$3,'TRANS EMP EXTRACT - COST CENTRE'!$2:$2,0)),0)</f>
        <v>0</v>
      </c>
      <c r="N103" s="10">
        <f>IFERROR(INDEX('TRANS EMP EXTRACT - COST CENTRE'!$A$1:$Z$455,MATCH('Summary - Monthly'!$A103,'TRANS EMP EXTRACT - COST CENTRE'!$A:$A,0),MATCH('Summary - Monthly'!N$3,'TRANS EMP EXTRACT - COST CENTRE'!$2:$2,0)),0)</f>
        <v>0</v>
      </c>
      <c r="O103" s="10">
        <f>IFERROR(INDEX('TRANS EMP EXTRACT - COST CENTRE'!$A$1:$Z$455,MATCH('Summary - Monthly'!$A103,'TRANS EMP EXTRACT - COST CENTRE'!$A:$A,0),MATCH('Summary - Monthly'!O$3,'TRANS EMP EXTRACT - COST CENTRE'!$2:$2,0)),0)</f>
        <v>0</v>
      </c>
      <c r="P103" s="10">
        <f>IFERROR(INDEX('TRANS EMP EXTRACT - COST CENTRE'!$A$1:$Z$455,MATCH('Summary - Monthly'!$A103,'TRANS EMP EXTRACT - COST CENTRE'!$A:$A,0),MATCH('Summary - Monthly'!P$3,'TRANS EMP EXTRACT - COST CENTRE'!$2:$2,0)),0)</f>
        <v>0</v>
      </c>
      <c r="Q103" s="10">
        <f>IFERROR(INDEX('TRANS EMP EXTRACT - COST CENTRE'!$A$1:$Z$455,MATCH('Summary - Monthly'!$A103,'TRANS EMP EXTRACT - COST CENTRE'!$A:$A,0),MATCH('Summary - Monthly'!Q$3,'TRANS EMP EXTRACT - COST CENTRE'!$2:$2,0)),0)</f>
        <v>26.133199999999999</v>
      </c>
      <c r="R103" s="10">
        <f>IFERROR(INDEX('TRANS EMP EXTRACT - COST CENTRE'!$A$1:$Z$455,MATCH('Summary - Monthly'!$A103,'TRANS EMP EXTRACT - COST CENTRE'!$A:$A,0),MATCH('Summary - Monthly'!R$3,'TRANS EMP EXTRACT - COST CENTRE'!$2:$2,0)),0)</f>
        <v>7.3</v>
      </c>
      <c r="S103" s="10">
        <f>IFERROR(INDEX('TRANS EMP EXTRACT - COST CENTRE'!$A$1:$Z$455,MATCH('Summary - Monthly'!$A103,'TRANS EMP EXTRACT - COST CENTRE'!$A:$A,0),MATCH('Summary - Monthly'!S$3,'TRANS EMP EXTRACT - COST CENTRE'!$2:$2,0)),0)</f>
        <v>0</v>
      </c>
      <c r="T103" s="8">
        <f>IFERROR(INDEX('TRANS EMP EXTRACT - COST CENTRE'!$A$1:$Z$455,MATCH('Summary - Monthly'!$A103,'TRANS EMP EXTRACT - COST CENTRE'!$A:$A,0),MATCH('Summary - Monthly'!T$3,'TRANS EMP EXTRACT - COST CENTRE'!$2:$2,0)),0)</f>
        <v>0</v>
      </c>
      <c r="U103" s="13">
        <f>IFERROR(INDEX('TRANS EMP EXTRACT - COST CENTRE'!$A$1:$Z$455,MATCH('Summary - Monthly'!$A103,'TRANS EMP EXTRACT - COST CENTRE'!$A:$A,0),MATCH('Summary - Monthly'!U$3,'TRANS EMP EXTRACT - COST CENTRE'!$2:$2,0)),0)</f>
        <v>0</v>
      </c>
      <c r="V103" s="13">
        <f>IFERROR(INDEX('TRANS EMP EXTRACT - COST CENTRE'!$A$1:$Z$455,MATCH('Summary - Monthly'!$A103,'TRANS EMP EXTRACT - COST CENTRE'!$A:$A,0),MATCH('Summary - Monthly'!V$3,'TRANS EMP EXTRACT - COST CENTRE'!$2:$2,0)),0)</f>
        <v>0</v>
      </c>
      <c r="W103" s="13">
        <f>IFERROR(INDEX('TRANS EMP EXTRACT - COST CENTRE'!$A$1:$Z$455,MATCH('Summary - Monthly'!$A103,'TRANS EMP EXTRACT - COST CENTRE'!$A:$A,0),MATCH('Summary - Monthly'!W$3,'TRANS EMP EXTRACT - COST CENTRE'!$2:$2,0)),0)</f>
        <v>0</v>
      </c>
      <c r="X103" s="13">
        <f>IFERROR(INDEX('TRANS EMP EXTRACT - COST CENTRE'!$A$1:$Z$455,MATCH('Summary - Monthly'!$A103,'TRANS EMP EXTRACT - COST CENTRE'!$A:$A,0),MATCH('Summary - Monthly'!X$3,'TRANS EMP EXTRACT - COST CENTRE'!$2:$2,0)),0)</f>
        <v>0</v>
      </c>
      <c r="Y103" s="13">
        <f>IFERROR(INDEX('TRANS EMP EXTRACT - COST CENTRE'!$A$1:$Z$455,MATCH('Summary - Monthly'!$A103,'TRANS EMP EXTRACT - COST CENTRE'!$A:$A,0),MATCH('Summary - Monthly'!Y$3,'TRANS EMP EXTRACT - COST CENTRE'!$2:$2,0)),0)</f>
        <v>0</v>
      </c>
      <c r="Z103" s="10">
        <f>IFERROR(INDEX('TRANS EMP EXTRACT - COST CENTRE'!$A$1:$Z$455,MATCH('Summary - Monthly'!$A103,'TRANS EMP EXTRACT - COST CENTRE'!$A:$A,0),MATCH('Summary - Monthly'!Z$3,'TRANS EMP EXTRACT - COST CENTRE'!$2:$2,0)),0)</f>
        <v>0</v>
      </c>
      <c r="AA103" s="10">
        <f>IFERROR(INDEX('TRANS EMP EXTRACT - COST CENTRE'!$A$1:$Z$455,MATCH('Summary - Monthly'!$A103,'TRANS EMP EXTRACT - COST CENTRE'!$A:$A,0),MATCH('Summary - Monthly'!AA$3,'TRANS EMP EXTRACT - COST CENTRE'!$2:$2,0)),0)</f>
        <v>0</v>
      </c>
      <c r="AB103" s="10">
        <f>IFERROR(INDEX('TRANS EMP EXTRACT - COST CENTRE'!$A$1:$Z$455,MATCH('Summary - Monthly'!$A103,'TRANS EMP EXTRACT - COST CENTRE'!$A:$A,0),MATCH('Summary - Monthly'!AB$3,'TRANS EMP EXTRACT - COST CENTRE'!$2:$2,0)),0)</f>
        <v>0</v>
      </c>
      <c r="AC103" s="8">
        <f>IFERROR(INDEX('TRANS EMP EXTRACT - COST CENTRE'!$A$1:$Z$455,MATCH('Summary - Monthly'!$A103,'TRANS EMP EXTRACT - COST CENTRE'!$A:$A,0),MATCH('Summary - Monthly'!AC$3,'TRANS EMP EXTRACT - COST CENTRE'!$2:$2,0)),0)</f>
        <v>0</v>
      </c>
      <c r="AD103" s="13">
        <f>IFERROR(INDEX('TRANS EMP EXTRACT - COST CENTRE'!$A$1:$Z$455,MATCH('Summary - Monthly'!$A103,'TRANS EMP EXTRACT - COST CENTRE'!$A:$A,0),MATCH('Summary - Monthly'!AD$3,'TRANS EMP EXTRACT - COST CENTRE'!$2:$2,0)),0)</f>
        <v>0</v>
      </c>
      <c r="AE103" s="13">
        <f>IFERROR(INDEX('TRANS EMP EXTRACT - COST CENTRE'!$A$1:$Z$455,MATCH('Summary - Monthly'!$A103,'TRANS EMP EXTRACT - COST CENTRE'!$A:$A,0),MATCH('Summary - Monthly'!AE$3,'TRANS EMP EXTRACT - COST CENTRE'!$2:$2,0)),0)</f>
        <v>0</v>
      </c>
      <c r="AF103" s="13">
        <f>IFERROR(INDEX('TRANS EMP EXTRACT - COST CENTRE'!$A$1:$Z$455,MATCH('Summary - Monthly'!$A103,'TRANS EMP EXTRACT - COST CENTRE'!$A:$A,0),MATCH('Summary - Monthly'!AF$3,'TRANS EMP EXTRACT - COST CENTRE'!$2:$2,0)),0)</f>
        <v>0</v>
      </c>
      <c r="AG103" s="10">
        <f>IFERROR(INDEX('TRANS EMP EXTRACT - COST CENTRE'!$A$1:$Z$455,MATCH('Summary - Monthly'!$A103,'TRANS EMP EXTRACT - COST CENTRE'!$A:$A,0),MATCH('Summary - Monthly'!AG$3,'TRANS EMP EXTRACT - COST CENTRE'!$2:$2,0)),0)</f>
        <v>0</v>
      </c>
      <c r="AH103" s="10">
        <f>IFERROR(INDEX('TRANS EMP EXTRACT - COST CENTRE'!$A$1:$Z$455,MATCH('Summary - Monthly'!$A103,'TRANS EMP EXTRACT - COST CENTRE'!$A:$A,0),MATCH('Summary - Monthly'!AH$3,'TRANS EMP EXTRACT - COST CENTRE'!$2:$2,0)),0)</f>
        <v>0</v>
      </c>
      <c r="AI103" s="10">
        <f>IFERROR(INDEX('TRANS EMP EXTRACT - COST CENTRE'!$A$1:$Z$455,MATCH('Summary - Monthly'!$A103,'TRANS EMP EXTRACT - COST CENTRE'!$A:$A,0),MATCH('Summary - Monthly'!AI$3,'TRANS EMP EXTRACT - COST CENTRE'!$2:$2,0)),0)</f>
        <v>0</v>
      </c>
      <c r="AJ103" s="10">
        <f>IFERROR(INDEX('TRANS EMP EXTRACT - COST CENTRE'!$A$1:$Z$455,MATCH('Summary - Monthly'!$A103,'TRANS EMP EXTRACT - COST CENTRE'!$A:$A,0),MATCH('Summary - Monthly'!AJ$3,'TRANS EMP EXTRACT - COST CENTRE'!$2:$2,0)),0)</f>
        <v>0</v>
      </c>
      <c r="AK103" s="10">
        <f>IFERROR(INDEX('TRANS EMP EXTRACT - COST CENTRE'!$A$1:$Z$455,MATCH('Summary - Monthly'!$A103,'TRANS EMP EXTRACT - COST CENTRE'!$A:$A,0),MATCH('Summary - Monthly'!AK$3,'TRANS EMP EXTRACT - COST CENTRE'!$2:$2,0)),0)</f>
        <v>0</v>
      </c>
      <c r="AL103" s="10">
        <f>IFERROR(INDEX('TRANS EMP EXTRACT - COST CENTRE'!$A$1:$Z$455,MATCH('Summary - Monthly'!$A103,'TRANS EMP EXTRACT - COST CENTRE'!$A:$A,0),MATCH('Summary - Monthly'!AL$3,'TRANS EMP EXTRACT - COST CENTRE'!$2:$2,0)),0)</f>
        <v>0</v>
      </c>
      <c r="AM103" s="10">
        <f t="shared" si="20"/>
        <v>113.4332</v>
      </c>
      <c r="AN103" s="14">
        <f t="shared" si="13"/>
        <v>0.21995526315789474</v>
      </c>
      <c r="AO103" s="18">
        <f t="shared" si="23"/>
        <v>0.74627105263157889</v>
      </c>
      <c r="AP103" s="18">
        <f t="shared" si="19"/>
        <v>0.74627105263157889</v>
      </c>
      <c r="AQ103" s="10" t="str">
        <f>IFERROR(VLOOKUP(B103,Departments!A:C,3,FALSE),"")</f>
        <v>Microbiology</v>
      </c>
      <c r="AR103" s="10" t="str">
        <f>IFERROR(VLOOKUP(B103,Departments!A:B,2,FALSE),"")</f>
        <v>Melb Micro</v>
      </c>
      <c r="AS103" s="10">
        <f t="shared" si="21"/>
        <v>0</v>
      </c>
      <c r="AT103" s="10">
        <f t="shared" si="22"/>
        <v>0</v>
      </c>
      <c r="AU103" s="10" t="str">
        <f>_xlfn.IFNA(VLOOKUP(B103,Departments!A:D,4,FALSE),"")</f>
        <v>Melbourne Micro</v>
      </c>
    </row>
    <row r="104" spans="1:47" ht="14.45" customHeight="1">
      <c r="A104" s="11" t="str">
        <f t="shared" si="16"/>
        <v>1203301119029</v>
      </c>
      <c r="B104" s="11">
        <f>'TRANS EMP EXTRACT - COST CENTRE'!B103</f>
        <v>12033011</v>
      </c>
      <c r="C104" s="10" t="str">
        <f>IFERROR(VLOOKUP(E104,'TRANS EMP EXTRACT - EMP CATEGOR'!A:B,2,FALSE),"")</f>
        <v>FT</v>
      </c>
      <c r="D104" s="10" t="str">
        <f>IFERROR(VLOOKUP(E104,'TRANS EMP EXTRACT - EMP CATEGOR'!A:C,3,FALSE),"")</f>
        <v>Fulltime</v>
      </c>
      <c r="E104" s="11">
        <f>'TRANS EMP EXTRACT - COST CENTRE'!D103</f>
        <v>19029</v>
      </c>
      <c r="F104" s="10" t="str">
        <f>IFERROR(VLOOKUP(E104,'TRANS EMP EXTRACT - COST CENTRE'!D:E,2,FALSE),"")</f>
        <v>RAVI  SOORYA NARAYANAN MR</v>
      </c>
      <c r="G104" s="12">
        <f>IFERROR(INDEX('TRANS EMP EXTRACT - COST CENTRE'!$A$1:$Z$455,MATCH('Summary - Monthly'!$A104,'TRANS EMP EXTRACT - COST CENTRE'!$A:$A,0),MATCH('Summary - Monthly'!G$3,'TRANS EMP EXTRACT - COST CENTRE'!$2:$2,0)),"")</f>
        <v>44789</v>
      </c>
      <c r="H104" s="10" t="str">
        <f>IFERROR(INDEX('TRANS EMP EXTRACT - COST CENTRE'!$B$1:$Z$455,MATCH('Summary - Monthly'!$E104,'TRANS EMP EXTRACT - COST CENTRE'!$D:$D,0),MATCH('Summary - Monthly'!H$3,'TRANS EMP EXTRACT - COST CENTRE'!$2:$2,0)),"")</f>
        <v>RT</v>
      </c>
      <c r="I104" s="12" t="str">
        <f>IFERROR(INDEX('TRANS EMP EXTRACT - EMP CATEGOR'!$B$1:$AF$421,MATCH('Summary - Monthly'!$E104,'TRANS EMP EXTRACT - EMP CATEGOR'!$D:$D,0),MATCH('Summary - Monthly'!H$3,'TRANS EMP EXTRACT - EMP CATEGOR'!$2:$2,0)),"")</f>
        <v>RT</v>
      </c>
      <c r="J104" s="41">
        <f t="shared" ca="1" si="12"/>
        <v>11.2438</v>
      </c>
      <c r="K104" s="41">
        <f t="shared" ca="1" si="17"/>
        <v>83.287700000000001</v>
      </c>
      <c r="L104" s="10">
        <f>IFERROR(INDEX('TRANS EMP EXTRACT - COST CENTRE'!$A$1:$Z$455,MATCH('Summary - Monthly'!$A104,'TRANS EMP EXTRACT - COST CENTRE'!$A:$A,0),MATCH('Summary - Monthly'!L$3,'TRANS EMP EXTRACT - COST CENTRE'!$2:$2,0)),"")</f>
        <v>113.8167</v>
      </c>
      <c r="M104" s="10">
        <f>IFERROR(INDEX('TRANS EMP EXTRACT - COST CENTRE'!$A$1:$Z$455,MATCH('Summary - Monthly'!$A104,'TRANS EMP EXTRACT - COST CENTRE'!$A:$A,0),MATCH('Summary - Monthly'!M$3,'TRANS EMP EXTRACT - COST CENTRE'!$2:$2,0)),0)</f>
        <v>0</v>
      </c>
      <c r="N104" s="10">
        <f>IFERROR(INDEX('TRANS EMP EXTRACT - COST CENTRE'!$A$1:$Z$455,MATCH('Summary - Monthly'!$A104,'TRANS EMP EXTRACT - COST CENTRE'!$A:$A,0),MATCH('Summary - Monthly'!N$3,'TRANS EMP EXTRACT - COST CENTRE'!$2:$2,0)),0)</f>
        <v>0</v>
      </c>
      <c r="O104" s="10">
        <f>IFERROR(INDEX('TRANS EMP EXTRACT - COST CENTRE'!$A$1:$Z$455,MATCH('Summary - Monthly'!$A104,'TRANS EMP EXTRACT - COST CENTRE'!$A:$A,0),MATCH('Summary - Monthly'!O$3,'TRANS EMP EXTRACT - COST CENTRE'!$2:$2,0)),0)</f>
        <v>30.2667</v>
      </c>
      <c r="P104" s="10">
        <f>IFERROR(INDEX('TRANS EMP EXTRACT - COST CENTRE'!$A$1:$Z$455,MATCH('Summary - Monthly'!$A104,'TRANS EMP EXTRACT - COST CENTRE'!$A:$A,0),MATCH('Summary - Monthly'!P$3,'TRANS EMP EXTRACT - COST CENTRE'!$2:$2,0)),0)</f>
        <v>0</v>
      </c>
      <c r="Q104" s="10">
        <f>IFERROR(INDEX('TRANS EMP EXTRACT - COST CENTRE'!$A$1:$Z$455,MATCH('Summary - Monthly'!$A104,'TRANS EMP EXTRACT - COST CENTRE'!$A:$A,0),MATCH('Summary - Monthly'!Q$3,'TRANS EMP EXTRACT - COST CENTRE'!$2:$2,0)),0)</f>
        <v>17.166699999999999</v>
      </c>
      <c r="R104" s="10">
        <f>IFERROR(INDEX('TRANS EMP EXTRACT - COST CENTRE'!$A$1:$Z$455,MATCH('Summary - Monthly'!$A104,'TRANS EMP EXTRACT - COST CENTRE'!$A:$A,0),MATCH('Summary - Monthly'!R$3,'TRANS EMP EXTRACT - COST CENTRE'!$2:$2,0)),0)</f>
        <v>1.1833</v>
      </c>
      <c r="S104" s="10">
        <f>IFERROR(INDEX('TRANS EMP EXTRACT - COST CENTRE'!$A$1:$Z$455,MATCH('Summary - Monthly'!$A104,'TRANS EMP EXTRACT - COST CENTRE'!$A:$A,0),MATCH('Summary - Monthly'!S$3,'TRANS EMP EXTRACT - COST CENTRE'!$2:$2,0)),0)</f>
        <v>0</v>
      </c>
      <c r="T104" s="8">
        <f>IFERROR(INDEX('TRANS EMP EXTRACT - COST CENTRE'!$A$1:$Z$455,MATCH('Summary - Monthly'!$A104,'TRANS EMP EXTRACT - COST CENTRE'!$A:$A,0),MATCH('Summary - Monthly'!T$3,'TRANS EMP EXTRACT - COST CENTRE'!$2:$2,0)),0)</f>
        <v>0</v>
      </c>
      <c r="U104" s="13">
        <f>IFERROR(INDEX('TRANS EMP EXTRACT - COST CENTRE'!$A$1:$Z$455,MATCH('Summary - Monthly'!$A104,'TRANS EMP EXTRACT - COST CENTRE'!$A:$A,0),MATCH('Summary - Monthly'!U$3,'TRANS EMP EXTRACT - COST CENTRE'!$2:$2,0)),0)</f>
        <v>0</v>
      </c>
      <c r="V104" s="13">
        <f>IFERROR(INDEX('TRANS EMP EXTRACT - COST CENTRE'!$A$1:$Z$455,MATCH('Summary - Monthly'!$A104,'TRANS EMP EXTRACT - COST CENTRE'!$A:$A,0),MATCH('Summary - Monthly'!V$3,'TRANS EMP EXTRACT - COST CENTRE'!$2:$2,0)),0)</f>
        <v>7.6</v>
      </c>
      <c r="W104" s="13">
        <f>IFERROR(INDEX('TRANS EMP EXTRACT - COST CENTRE'!$A$1:$Z$455,MATCH('Summary - Monthly'!$A104,'TRANS EMP EXTRACT - COST CENTRE'!$A:$A,0),MATCH('Summary - Monthly'!W$3,'TRANS EMP EXTRACT - COST CENTRE'!$2:$2,0)),0)</f>
        <v>0</v>
      </c>
      <c r="X104" s="13">
        <f>IFERROR(INDEX('TRANS EMP EXTRACT - COST CENTRE'!$A$1:$Z$455,MATCH('Summary - Monthly'!$A104,'TRANS EMP EXTRACT - COST CENTRE'!$A:$A,0),MATCH('Summary - Monthly'!X$3,'TRANS EMP EXTRACT - COST CENTRE'!$2:$2,0)),0)</f>
        <v>0</v>
      </c>
      <c r="Y104" s="13">
        <f>IFERROR(INDEX('TRANS EMP EXTRACT - COST CENTRE'!$A$1:$Z$455,MATCH('Summary - Monthly'!$A104,'TRANS EMP EXTRACT - COST CENTRE'!$A:$A,0),MATCH('Summary - Monthly'!Y$3,'TRANS EMP EXTRACT - COST CENTRE'!$2:$2,0)),0)</f>
        <v>0</v>
      </c>
      <c r="Z104" s="10">
        <f>IFERROR(INDEX('TRANS EMP EXTRACT - COST CENTRE'!$A$1:$Z$455,MATCH('Summary - Monthly'!$A104,'TRANS EMP EXTRACT - COST CENTRE'!$A:$A,0),MATCH('Summary - Monthly'!Z$3,'TRANS EMP EXTRACT - COST CENTRE'!$2:$2,0)),0)</f>
        <v>0</v>
      </c>
      <c r="AA104" s="10">
        <f>IFERROR(INDEX('TRANS EMP EXTRACT - COST CENTRE'!$A$1:$Z$455,MATCH('Summary - Monthly'!$A104,'TRANS EMP EXTRACT - COST CENTRE'!$A:$A,0),MATCH('Summary - Monthly'!AA$3,'TRANS EMP EXTRACT - COST CENTRE'!$2:$2,0)),0)</f>
        <v>0</v>
      </c>
      <c r="AB104" s="10">
        <f>IFERROR(INDEX('TRANS EMP EXTRACT - COST CENTRE'!$A$1:$Z$455,MATCH('Summary - Monthly'!$A104,'TRANS EMP EXTRACT - COST CENTRE'!$A:$A,0),MATCH('Summary - Monthly'!AB$3,'TRANS EMP EXTRACT - COST CENTRE'!$2:$2,0)),0)</f>
        <v>0</v>
      </c>
      <c r="AC104" s="8">
        <f>IFERROR(INDEX('TRANS EMP EXTRACT - COST CENTRE'!$A$1:$Z$455,MATCH('Summary - Monthly'!$A104,'TRANS EMP EXTRACT - COST CENTRE'!$A:$A,0),MATCH('Summary - Monthly'!AC$3,'TRANS EMP EXTRACT - COST CENTRE'!$2:$2,0)),0)</f>
        <v>0</v>
      </c>
      <c r="AD104" s="13">
        <f>IFERROR(INDEX('TRANS EMP EXTRACT - COST CENTRE'!$A$1:$Z$455,MATCH('Summary - Monthly'!$A104,'TRANS EMP EXTRACT - COST CENTRE'!$A:$A,0),MATCH('Summary - Monthly'!AD$3,'TRANS EMP EXTRACT - COST CENTRE'!$2:$2,0)),0)</f>
        <v>0</v>
      </c>
      <c r="AE104" s="13">
        <f>IFERROR(INDEX('TRANS EMP EXTRACT - COST CENTRE'!$A$1:$Z$455,MATCH('Summary - Monthly'!$A104,'TRANS EMP EXTRACT - COST CENTRE'!$A:$A,0),MATCH('Summary - Monthly'!AE$3,'TRANS EMP EXTRACT - COST CENTRE'!$2:$2,0)),0)</f>
        <v>0</v>
      </c>
      <c r="AF104" s="13">
        <f>IFERROR(INDEX('TRANS EMP EXTRACT - COST CENTRE'!$A$1:$Z$455,MATCH('Summary - Monthly'!$A104,'TRANS EMP EXTRACT - COST CENTRE'!$A:$A,0),MATCH('Summary - Monthly'!AF$3,'TRANS EMP EXTRACT - COST CENTRE'!$2:$2,0)),0)</f>
        <v>0</v>
      </c>
      <c r="AG104" s="10">
        <f>IFERROR(INDEX('TRANS EMP EXTRACT - COST CENTRE'!$A$1:$Z$455,MATCH('Summary - Monthly'!$A104,'TRANS EMP EXTRACT - COST CENTRE'!$A:$A,0),MATCH('Summary - Monthly'!AG$3,'TRANS EMP EXTRACT - COST CENTRE'!$2:$2,0)),0)</f>
        <v>0</v>
      </c>
      <c r="AH104" s="10">
        <f>IFERROR(INDEX('TRANS EMP EXTRACT - COST CENTRE'!$A$1:$Z$455,MATCH('Summary - Monthly'!$A104,'TRANS EMP EXTRACT - COST CENTRE'!$A:$A,0),MATCH('Summary - Monthly'!AH$3,'TRANS EMP EXTRACT - COST CENTRE'!$2:$2,0)),0)</f>
        <v>0</v>
      </c>
      <c r="AI104" s="10">
        <f>IFERROR(INDEX('TRANS EMP EXTRACT - COST CENTRE'!$A$1:$Z$455,MATCH('Summary - Monthly'!$A104,'TRANS EMP EXTRACT - COST CENTRE'!$A:$A,0),MATCH('Summary - Monthly'!AI$3,'TRANS EMP EXTRACT - COST CENTRE'!$2:$2,0)),0)</f>
        <v>0</v>
      </c>
      <c r="AJ104" s="10">
        <f>IFERROR(INDEX('TRANS EMP EXTRACT - COST CENTRE'!$A$1:$Z$455,MATCH('Summary - Monthly'!$A104,'TRANS EMP EXTRACT - COST CENTRE'!$A:$A,0),MATCH('Summary - Monthly'!AJ$3,'TRANS EMP EXTRACT - COST CENTRE'!$2:$2,0)),0)</f>
        <v>0</v>
      </c>
      <c r="AK104" s="10">
        <f>IFERROR(INDEX('TRANS EMP EXTRACT - COST CENTRE'!$A$1:$Z$455,MATCH('Summary - Monthly'!$A104,'TRANS EMP EXTRACT - COST CENTRE'!$A:$A,0),MATCH('Summary - Monthly'!AK$3,'TRANS EMP EXTRACT - COST CENTRE'!$2:$2,0)),0)</f>
        <v>0</v>
      </c>
      <c r="AL104" s="10">
        <f>IFERROR(INDEX('TRANS EMP EXTRACT - COST CENTRE'!$A$1:$Z$455,MATCH('Summary - Monthly'!$A104,'TRANS EMP EXTRACT - COST CENTRE'!$A:$A,0),MATCH('Summary - Monthly'!AL$3,'TRANS EMP EXTRACT - COST CENTRE'!$2:$2,0)),0)</f>
        <v>0</v>
      </c>
      <c r="AM104" s="10">
        <f t="shared" si="20"/>
        <v>170.03339999999997</v>
      </c>
      <c r="AN104" s="14">
        <f t="shared" si="13"/>
        <v>0.1207236842105263</v>
      </c>
      <c r="AO104" s="18">
        <f t="shared" si="23"/>
        <v>1.1186407894736841</v>
      </c>
      <c r="AP104" s="18">
        <f t="shared" si="19"/>
        <v>1.068640789473684</v>
      </c>
      <c r="AQ104" s="10" t="str">
        <f>IFERROR(VLOOKUP(B104,Departments!A:C,3,FALSE),"")</f>
        <v>Microbiology</v>
      </c>
      <c r="AR104" s="10" t="str">
        <f>IFERROR(VLOOKUP(B104,Departments!A:B,2,FALSE),"")</f>
        <v>Melb Micro</v>
      </c>
      <c r="AS104" s="10">
        <f t="shared" si="21"/>
        <v>7.6</v>
      </c>
      <c r="AT104" s="10">
        <f t="shared" si="22"/>
        <v>7.6</v>
      </c>
      <c r="AU104" s="10" t="str">
        <f>_xlfn.IFNA(VLOOKUP(B104,Departments!A:D,4,FALSE),"")</f>
        <v>Melbourne Micro</v>
      </c>
    </row>
    <row r="105" spans="1:47" ht="14.45" customHeight="1">
      <c r="A105" s="11" t="str">
        <f t="shared" si="16"/>
        <v>1204301118858</v>
      </c>
      <c r="B105" s="11">
        <f>'TRANS EMP EXTRACT - COST CENTRE'!B104</f>
        <v>12043011</v>
      </c>
      <c r="C105" s="10" t="str">
        <f>IFERROR(VLOOKUP(E105,'TRANS EMP EXTRACT - EMP CATEGOR'!A:B,2,FALSE),"")</f>
        <v>PT</v>
      </c>
      <c r="D105" s="10" t="str">
        <f>IFERROR(VLOOKUP(E105,'TRANS EMP EXTRACT - EMP CATEGOR'!A:C,3,FALSE),"")</f>
        <v>Parttime</v>
      </c>
      <c r="E105" s="11">
        <f>'TRANS EMP EXTRACT - COST CENTRE'!D104</f>
        <v>18858</v>
      </c>
      <c r="F105" s="10" t="str">
        <f>IFERROR(VLOOKUP(E105,'TRANS EMP EXTRACT - COST CENTRE'!D:E,2,FALSE),"")</f>
        <v>RECHE SOLER  YAIZA MISS</v>
      </c>
      <c r="G105" s="12">
        <f>IFERROR(INDEX('TRANS EMP EXTRACT - COST CENTRE'!$A$1:$Z$455,MATCH('Summary - Monthly'!$A105,'TRANS EMP EXTRACT - COST CENTRE'!$A:$A,0),MATCH('Summary - Monthly'!G$3,'TRANS EMP EXTRACT - COST CENTRE'!$2:$2,0)),"")</f>
        <v>43482</v>
      </c>
      <c r="H105" s="10" t="str">
        <f>IFERROR(INDEX('TRANS EMP EXTRACT - COST CENTRE'!$B$1:$Z$455,MATCH('Summary - Monthly'!$E105,'TRANS EMP EXTRACT - COST CENTRE'!$D:$D,0),MATCH('Summary - Monthly'!H$3,'TRANS EMP EXTRACT - COST CENTRE'!$2:$2,0)),"")</f>
        <v>RT</v>
      </c>
      <c r="I105" s="12" t="str">
        <f>IFERROR(INDEX('TRANS EMP EXTRACT - EMP CATEGOR'!$B$1:$AF$421,MATCH('Summary - Monthly'!$E105,'TRANS EMP EXTRACT - EMP CATEGOR'!$D:$D,0),MATCH('Summary - Monthly'!H$3,'TRANS EMP EXTRACT - EMP CATEGOR'!$2:$2,0)),"")</f>
        <v>RT</v>
      </c>
      <c r="J105" s="41">
        <f t="shared" ca="1" si="12"/>
        <v>42.351100000000002</v>
      </c>
      <c r="K105" s="41">
        <f t="shared" ca="1" si="17"/>
        <v>115.1007</v>
      </c>
      <c r="L105" s="10">
        <f>IFERROR(INDEX('TRANS EMP EXTRACT - COST CENTRE'!$A$1:$Z$455,MATCH('Summary - Monthly'!$A105,'TRANS EMP EXTRACT - COST CENTRE'!$A:$A,0),MATCH('Summary - Monthly'!L$3,'TRANS EMP EXTRACT - COST CENTRE'!$2:$2,0)),"")</f>
        <v>0</v>
      </c>
      <c r="M105" s="10">
        <f>IFERROR(INDEX('TRANS EMP EXTRACT - COST CENTRE'!$A$1:$Z$455,MATCH('Summary - Monthly'!$A105,'TRANS EMP EXTRACT - COST CENTRE'!$A:$A,0),MATCH('Summary - Monthly'!M$3,'TRANS EMP EXTRACT - COST CENTRE'!$2:$2,0)),0)</f>
        <v>0</v>
      </c>
      <c r="N105" s="10">
        <f>IFERROR(INDEX('TRANS EMP EXTRACT - COST CENTRE'!$A$1:$Z$455,MATCH('Summary - Monthly'!$A105,'TRANS EMP EXTRACT - COST CENTRE'!$A:$A,0),MATCH('Summary - Monthly'!N$3,'TRANS EMP EXTRACT - COST CENTRE'!$2:$2,0)),0)</f>
        <v>0</v>
      </c>
      <c r="O105" s="10">
        <f>IFERROR(INDEX('TRANS EMP EXTRACT - COST CENTRE'!$A$1:$Z$455,MATCH('Summary - Monthly'!$A105,'TRANS EMP EXTRACT - COST CENTRE'!$A:$A,0),MATCH('Summary - Monthly'!O$3,'TRANS EMP EXTRACT - COST CENTRE'!$2:$2,0)),0)</f>
        <v>0</v>
      </c>
      <c r="P105" s="10">
        <f>IFERROR(INDEX('TRANS EMP EXTRACT - COST CENTRE'!$A$1:$Z$455,MATCH('Summary - Monthly'!$A105,'TRANS EMP EXTRACT - COST CENTRE'!$A:$A,0),MATCH('Summary - Monthly'!P$3,'TRANS EMP EXTRACT - COST CENTRE'!$2:$2,0)),0)</f>
        <v>0</v>
      </c>
      <c r="Q105" s="10">
        <f>IFERROR(INDEX('TRANS EMP EXTRACT - COST CENTRE'!$A$1:$Z$455,MATCH('Summary - Monthly'!$A105,'TRANS EMP EXTRACT - COST CENTRE'!$A:$A,0),MATCH('Summary - Monthly'!Q$3,'TRANS EMP EXTRACT - COST CENTRE'!$2:$2,0)),0)</f>
        <v>0</v>
      </c>
      <c r="R105" s="10">
        <f>IFERROR(INDEX('TRANS EMP EXTRACT - COST CENTRE'!$A$1:$Z$455,MATCH('Summary - Monthly'!$A105,'TRANS EMP EXTRACT - COST CENTRE'!$A:$A,0),MATCH('Summary - Monthly'!R$3,'TRANS EMP EXTRACT - COST CENTRE'!$2:$2,0)),0)</f>
        <v>0</v>
      </c>
      <c r="S105" s="10">
        <f>IFERROR(INDEX('TRANS EMP EXTRACT - COST CENTRE'!$A$1:$Z$455,MATCH('Summary - Monthly'!$A105,'TRANS EMP EXTRACT - COST CENTRE'!$A:$A,0),MATCH('Summary - Monthly'!S$3,'TRANS EMP EXTRACT - COST CENTRE'!$2:$2,0)),0)</f>
        <v>0</v>
      </c>
      <c r="T105" s="8">
        <f>IFERROR(INDEX('TRANS EMP EXTRACT - COST CENTRE'!$A$1:$Z$455,MATCH('Summary - Monthly'!$A105,'TRANS EMP EXTRACT - COST CENTRE'!$A:$A,0),MATCH('Summary - Monthly'!T$3,'TRANS EMP EXTRACT - COST CENTRE'!$2:$2,0)),0)</f>
        <v>0</v>
      </c>
      <c r="U105" s="13">
        <f>IFERROR(INDEX('TRANS EMP EXTRACT - COST CENTRE'!$A$1:$Z$455,MATCH('Summary - Monthly'!$A105,'TRANS EMP EXTRACT - COST CENTRE'!$A:$A,0),MATCH('Summary - Monthly'!U$3,'TRANS EMP EXTRACT - COST CENTRE'!$2:$2,0)),0)</f>
        <v>0</v>
      </c>
      <c r="V105" s="13">
        <f>IFERROR(INDEX('TRANS EMP EXTRACT - COST CENTRE'!$A$1:$Z$455,MATCH('Summary - Monthly'!$A105,'TRANS EMP EXTRACT - COST CENTRE'!$A:$A,0),MATCH('Summary - Monthly'!V$3,'TRANS EMP EXTRACT - COST CENTRE'!$2:$2,0)),0)</f>
        <v>0</v>
      </c>
      <c r="W105" s="13">
        <f>IFERROR(INDEX('TRANS EMP EXTRACT - COST CENTRE'!$A$1:$Z$455,MATCH('Summary - Monthly'!$A105,'TRANS EMP EXTRACT - COST CENTRE'!$A:$A,0),MATCH('Summary - Monthly'!W$3,'TRANS EMP EXTRACT - COST CENTRE'!$2:$2,0)),0)</f>
        <v>0</v>
      </c>
      <c r="X105" s="13">
        <f>IFERROR(INDEX('TRANS EMP EXTRACT - COST CENTRE'!$A$1:$Z$455,MATCH('Summary - Monthly'!$A105,'TRANS EMP EXTRACT - COST CENTRE'!$A:$A,0),MATCH('Summary - Monthly'!X$3,'TRANS EMP EXTRACT - COST CENTRE'!$2:$2,0)),0)</f>
        <v>0</v>
      </c>
      <c r="Y105" s="13">
        <f>IFERROR(INDEX('TRANS EMP EXTRACT - COST CENTRE'!$A$1:$Z$455,MATCH('Summary - Monthly'!$A105,'TRANS EMP EXTRACT - COST CENTRE'!$A:$A,0),MATCH('Summary - Monthly'!Y$3,'TRANS EMP EXTRACT - COST CENTRE'!$2:$2,0)),0)</f>
        <v>0</v>
      </c>
      <c r="Z105" s="10">
        <f>IFERROR(INDEX('TRANS EMP EXTRACT - COST CENTRE'!$A$1:$Z$455,MATCH('Summary - Monthly'!$A105,'TRANS EMP EXTRACT - COST CENTRE'!$A:$A,0),MATCH('Summary - Monthly'!Z$3,'TRANS EMP EXTRACT - COST CENTRE'!$2:$2,0)),0)</f>
        <v>0</v>
      </c>
      <c r="AA105" s="10">
        <f>IFERROR(INDEX('TRANS EMP EXTRACT - COST CENTRE'!$A$1:$Z$455,MATCH('Summary - Monthly'!$A105,'TRANS EMP EXTRACT - COST CENTRE'!$A:$A,0),MATCH('Summary - Monthly'!AA$3,'TRANS EMP EXTRACT - COST CENTRE'!$2:$2,0)),0)</f>
        <v>0</v>
      </c>
      <c r="AB105" s="10">
        <f>IFERROR(INDEX('TRANS EMP EXTRACT - COST CENTRE'!$A$1:$Z$455,MATCH('Summary - Monthly'!$A105,'TRANS EMP EXTRACT - COST CENTRE'!$A:$A,0),MATCH('Summary - Monthly'!AB$3,'TRANS EMP EXTRACT - COST CENTRE'!$2:$2,0)),0)</f>
        <v>91.2</v>
      </c>
      <c r="AC105" s="8">
        <f>IFERROR(INDEX('TRANS EMP EXTRACT - COST CENTRE'!$A$1:$Z$455,MATCH('Summary - Monthly'!$A105,'TRANS EMP EXTRACT - COST CENTRE'!$A:$A,0),MATCH('Summary - Monthly'!AC$3,'TRANS EMP EXTRACT - COST CENTRE'!$2:$2,0)),0)</f>
        <v>0</v>
      </c>
      <c r="AD105" s="13">
        <f>IFERROR(INDEX('TRANS EMP EXTRACT - COST CENTRE'!$A$1:$Z$455,MATCH('Summary - Monthly'!$A105,'TRANS EMP EXTRACT - COST CENTRE'!$A:$A,0),MATCH('Summary - Monthly'!AD$3,'TRANS EMP EXTRACT - COST CENTRE'!$2:$2,0)),0)</f>
        <v>0</v>
      </c>
      <c r="AE105" s="13">
        <f>IFERROR(INDEX('TRANS EMP EXTRACT - COST CENTRE'!$A$1:$Z$455,MATCH('Summary - Monthly'!$A105,'TRANS EMP EXTRACT - COST CENTRE'!$A:$A,0),MATCH('Summary - Monthly'!AE$3,'TRANS EMP EXTRACT - COST CENTRE'!$2:$2,0)),0)</f>
        <v>0</v>
      </c>
      <c r="AF105" s="13">
        <f>IFERROR(INDEX('TRANS EMP EXTRACT - COST CENTRE'!$A$1:$Z$455,MATCH('Summary - Monthly'!$A105,'TRANS EMP EXTRACT - COST CENTRE'!$A:$A,0),MATCH('Summary - Monthly'!AF$3,'TRANS EMP EXTRACT - COST CENTRE'!$2:$2,0)),0)</f>
        <v>0</v>
      </c>
      <c r="AG105" s="10">
        <f>IFERROR(INDEX('TRANS EMP EXTRACT - COST CENTRE'!$A$1:$Z$455,MATCH('Summary - Monthly'!$A105,'TRANS EMP EXTRACT - COST CENTRE'!$A:$A,0),MATCH('Summary - Monthly'!AG$3,'TRANS EMP EXTRACT - COST CENTRE'!$2:$2,0)),0)</f>
        <v>0</v>
      </c>
      <c r="AH105" s="10">
        <f>IFERROR(INDEX('TRANS EMP EXTRACT - COST CENTRE'!$A$1:$Z$455,MATCH('Summary - Monthly'!$A105,'TRANS EMP EXTRACT - COST CENTRE'!$A:$A,0),MATCH('Summary - Monthly'!AH$3,'TRANS EMP EXTRACT - COST CENTRE'!$2:$2,0)),0)</f>
        <v>0</v>
      </c>
      <c r="AI105" s="10">
        <f>IFERROR(INDEX('TRANS EMP EXTRACT - COST CENTRE'!$A$1:$Z$455,MATCH('Summary - Monthly'!$A105,'TRANS EMP EXTRACT - COST CENTRE'!$A:$A,0),MATCH('Summary - Monthly'!AI$3,'TRANS EMP EXTRACT - COST CENTRE'!$2:$2,0)),0)</f>
        <v>0</v>
      </c>
      <c r="AJ105" s="10">
        <f>IFERROR(INDEX('TRANS EMP EXTRACT - COST CENTRE'!$A$1:$Z$455,MATCH('Summary - Monthly'!$A105,'TRANS EMP EXTRACT - COST CENTRE'!$A:$A,0),MATCH('Summary - Monthly'!AJ$3,'TRANS EMP EXTRACT - COST CENTRE'!$2:$2,0)),0)</f>
        <v>0</v>
      </c>
      <c r="AK105" s="10">
        <f>IFERROR(INDEX('TRANS EMP EXTRACT - COST CENTRE'!$A$1:$Z$455,MATCH('Summary - Monthly'!$A105,'TRANS EMP EXTRACT - COST CENTRE'!$A:$A,0),MATCH('Summary - Monthly'!AK$3,'TRANS EMP EXTRACT - COST CENTRE'!$2:$2,0)),0)</f>
        <v>0</v>
      </c>
      <c r="AL105" s="10">
        <f>IFERROR(INDEX('TRANS EMP EXTRACT - COST CENTRE'!$A$1:$Z$455,MATCH('Summary - Monthly'!$A105,'TRANS EMP EXTRACT - COST CENTRE'!$A:$A,0),MATCH('Summary - Monthly'!AL$3,'TRANS EMP EXTRACT - COST CENTRE'!$2:$2,0)),0)</f>
        <v>0</v>
      </c>
      <c r="AM105" s="10">
        <f t="shared" si="20"/>
        <v>0</v>
      </c>
      <c r="AN105" s="14">
        <f t="shared" si="13"/>
        <v>0</v>
      </c>
      <c r="AO105" s="18">
        <f t="shared" si="23"/>
        <v>0</v>
      </c>
      <c r="AP105" s="18">
        <f t="shared" si="19"/>
        <v>0</v>
      </c>
      <c r="AQ105" s="10" t="str">
        <f>IFERROR(VLOOKUP(B105,Departments!A:C,3,FALSE),"")</f>
        <v>Microbiology</v>
      </c>
      <c r="AR105" s="10" t="str">
        <f>IFERROR(VLOOKUP(B105,Departments!A:B,2,FALSE),"")</f>
        <v>Bris Micro</v>
      </c>
      <c r="AS105" s="10">
        <f t="shared" si="21"/>
        <v>0</v>
      </c>
      <c r="AT105" s="10">
        <f t="shared" si="22"/>
        <v>91.2</v>
      </c>
      <c r="AU105" s="10" t="str">
        <f>_xlfn.IFNA(VLOOKUP(B105,Departments!A:D,4,FALSE),"")</f>
        <v>Brisbane Micro</v>
      </c>
    </row>
    <row r="106" spans="1:47" ht="14.45" customHeight="1">
      <c r="A106" s="11" t="str">
        <f t="shared" si="16"/>
        <v>1202102118687</v>
      </c>
      <c r="B106" s="11">
        <f>'TRANS EMP EXTRACT - COST CENTRE'!B105</f>
        <v>12021021</v>
      </c>
      <c r="C106" s="10" t="str">
        <f>IFERROR(VLOOKUP(E106,'TRANS EMP EXTRACT - EMP CATEGOR'!A:B,2,FALSE),"")</f>
        <v>FT</v>
      </c>
      <c r="D106" s="10" t="str">
        <f>IFERROR(VLOOKUP(E106,'TRANS EMP EXTRACT - EMP CATEGOR'!A:C,3,FALSE),"")</f>
        <v>Fulltime</v>
      </c>
      <c r="E106" s="11">
        <f>'TRANS EMP EXTRACT - COST CENTRE'!D105</f>
        <v>18687</v>
      </c>
      <c r="F106" s="10" t="str">
        <f>IFERROR(VLOOKUP(E106,'TRANS EMP EXTRACT - COST CENTRE'!D:E,2,FALSE),"")</f>
        <v>RESUS  ZARA MISS</v>
      </c>
      <c r="G106" s="12">
        <f>IFERROR(INDEX('TRANS EMP EXTRACT - COST CENTRE'!$A$1:$Z$455,MATCH('Summary - Monthly'!$A106,'TRANS EMP EXTRACT - COST CENTRE'!$A:$A,0),MATCH('Summary - Monthly'!G$3,'TRANS EMP EXTRACT - COST CENTRE'!$2:$2,0)),"")</f>
        <v>42219</v>
      </c>
      <c r="H106" s="10" t="str">
        <f>IFERROR(INDEX('TRANS EMP EXTRACT - COST CENTRE'!$B$1:$Z$455,MATCH('Summary - Monthly'!$E106,'TRANS EMP EXTRACT - COST CENTRE'!$D:$D,0),MATCH('Summary - Monthly'!H$3,'TRANS EMP EXTRACT - COST CENTRE'!$2:$2,0)),"")</f>
        <v>RT</v>
      </c>
      <c r="I106" s="12" t="str">
        <f>IFERROR(INDEX('TRANS EMP EXTRACT - EMP CATEGOR'!$B$1:$AF$421,MATCH('Summary - Monthly'!$E106,'TRANS EMP EXTRACT - EMP CATEGOR'!$D:$D,0),MATCH('Summary - Monthly'!H$3,'TRANS EMP EXTRACT - EMP CATEGOR'!$2:$2,0)),"")</f>
        <v>RT</v>
      </c>
      <c r="J106" s="41">
        <f t="shared" ca="1" si="12"/>
        <v>359.04989999999998</v>
      </c>
      <c r="K106" s="41">
        <f t="shared" ca="1" si="17"/>
        <v>202.70070000000001</v>
      </c>
      <c r="L106" s="10">
        <f>IFERROR(INDEX('TRANS EMP EXTRACT - COST CENTRE'!$A$1:$Z$455,MATCH('Summary - Monthly'!$A106,'TRANS EMP EXTRACT - COST CENTRE'!$A:$A,0),MATCH('Summary - Monthly'!L$3,'TRANS EMP EXTRACT - COST CENTRE'!$2:$2,0)),"")</f>
        <v>152</v>
      </c>
      <c r="M106" s="10">
        <f>IFERROR(INDEX('TRANS EMP EXTRACT - COST CENTRE'!$A$1:$Z$455,MATCH('Summary - Monthly'!$A106,'TRANS EMP EXTRACT - COST CENTRE'!$A:$A,0),MATCH('Summary - Monthly'!M$3,'TRANS EMP EXTRACT - COST CENTRE'!$2:$2,0)),0)</f>
        <v>0</v>
      </c>
      <c r="N106" s="10">
        <f>IFERROR(INDEX('TRANS EMP EXTRACT - COST CENTRE'!$A$1:$Z$455,MATCH('Summary - Monthly'!$A106,'TRANS EMP EXTRACT - COST CENTRE'!$A:$A,0),MATCH('Summary - Monthly'!N$3,'TRANS EMP EXTRACT - COST CENTRE'!$2:$2,0)),0)</f>
        <v>0</v>
      </c>
      <c r="O106" s="10">
        <f>IFERROR(INDEX('TRANS EMP EXTRACT - COST CENTRE'!$A$1:$Z$455,MATCH('Summary - Monthly'!$A106,'TRANS EMP EXTRACT - COST CENTRE'!$A:$A,0),MATCH('Summary - Monthly'!O$3,'TRANS EMP EXTRACT - COST CENTRE'!$2:$2,0)),0)</f>
        <v>0</v>
      </c>
      <c r="P106" s="10">
        <f>IFERROR(INDEX('TRANS EMP EXTRACT - COST CENTRE'!$A$1:$Z$455,MATCH('Summary - Monthly'!$A106,'TRANS EMP EXTRACT - COST CENTRE'!$A:$A,0),MATCH('Summary - Monthly'!P$3,'TRANS EMP EXTRACT - COST CENTRE'!$2:$2,0)),0)</f>
        <v>0</v>
      </c>
      <c r="Q106" s="10">
        <f>IFERROR(INDEX('TRANS EMP EXTRACT - COST CENTRE'!$A$1:$Z$455,MATCH('Summary - Monthly'!$A106,'TRANS EMP EXTRACT - COST CENTRE'!$A:$A,0),MATCH('Summary - Monthly'!Q$3,'TRANS EMP EXTRACT - COST CENTRE'!$2:$2,0)),0)</f>
        <v>18.933199999999999</v>
      </c>
      <c r="R106" s="10">
        <f>IFERROR(INDEX('TRANS EMP EXTRACT - COST CENTRE'!$A$1:$Z$455,MATCH('Summary - Monthly'!$A106,'TRANS EMP EXTRACT - COST CENTRE'!$A:$A,0),MATCH('Summary - Monthly'!R$3,'TRANS EMP EXTRACT - COST CENTRE'!$2:$2,0)),0)</f>
        <v>0</v>
      </c>
      <c r="S106" s="10">
        <f>IFERROR(INDEX('TRANS EMP EXTRACT - COST CENTRE'!$A$1:$Z$455,MATCH('Summary - Monthly'!$A106,'TRANS EMP EXTRACT - COST CENTRE'!$A:$A,0),MATCH('Summary - Monthly'!S$3,'TRANS EMP EXTRACT - COST CENTRE'!$2:$2,0)),0)</f>
        <v>0</v>
      </c>
      <c r="T106" s="8">
        <f>IFERROR(INDEX('TRANS EMP EXTRACT - COST CENTRE'!$A$1:$Z$455,MATCH('Summary - Monthly'!$A106,'TRANS EMP EXTRACT - COST CENTRE'!$A:$A,0),MATCH('Summary - Monthly'!T$3,'TRANS EMP EXTRACT - COST CENTRE'!$2:$2,0)),0)</f>
        <v>0</v>
      </c>
      <c r="U106" s="13">
        <f>IFERROR(INDEX('TRANS EMP EXTRACT - COST CENTRE'!$A$1:$Z$455,MATCH('Summary - Monthly'!$A106,'TRANS EMP EXTRACT - COST CENTRE'!$A:$A,0),MATCH('Summary - Monthly'!U$3,'TRANS EMP EXTRACT - COST CENTRE'!$2:$2,0)),0)</f>
        <v>0</v>
      </c>
      <c r="V106" s="13">
        <f>IFERROR(INDEX('TRANS EMP EXTRACT - COST CENTRE'!$A$1:$Z$455,MATCH('Summary - Monthly'!$A106,'TRANS EMP EXTRACT - COST CENTRE'!$A:$A,0),MATCH('Summary - Monthly'!V$3,'TRANS EMP EXTRACT - COST CENTRE'!$2:$2,0)),0)</f>
        <v>0</v>
      </c>
      <c r="W106" s="13">
        <f>IFERROR(INDEX('TRANS EMP EXTRACT - COST CENTRE'!$A$1:$Z$455,MATCH('Summary - Monthly'!$A106,'TRANS EMP EXTRACT - COST CENTRE'!$A:$A,0),MATCH('Summary - Monthly'!W$3,'TRANS EMP EXTRACT - COST CENTRE'!$2:$2,0)),0)</f>
        <v>0</v>
      </c>
      <c r="X106" s="13">
        <f>IFERROR(INDEX('TRANS EMP EXTRACT - COST CENTRE'!$A$1:$Z$455,MATCH('Summary - Monthly'!$A106,'TRANS EMP EXTRACT - COST CENTRE'!$A:$A,0),MATCH('Summary - Monthly'!X$3,'TRANS EMP EXTRACT - COST CENTRE'!$2:$2,0)),0)</f>
        <v>0</v>
      </c>
      <c r="Y106" s="13">
        <f>IFERROR(INDEX('TRANS EMP EXTRACT - COST CENTRE'!$A$1:$Z$455,MATCH('Summary - Monthly'!$A106,'TRANS EMP EXTRACT - COST CENTRE'!$A:$A,0),MATCH('Summary - Monthly'!Y$3,'TRANS EMP EXTRACT - COST CENTRE'!$2:$2,0)),0)</f>
        <v>0</v>
      </c>
      <c r="Z106" s="10">
        <f>IFERROR(INDEX('TRANS EMP EXTRACT - COST CENTRE'!$A$1:$Z$455,MATCH('Summary - Monthly'!$A106,'TRANS EMP EXTRACT - COST CENTRE'!$A:$A,0),MATCH('Summary - Monthly'!Z$3,'TRANS EMP EXTRACT - COST CENTRE'!$2:$2,0)),0)</f>
        <v>0</v>
      </c>
      <c r="AA106" s="10">
        <f>IFERROR(INDEX('TRANS EMP EXTRACT - COST CENTRE'!$A$1:$Z$455,MATCH('Summary - Monthly'!$A106,'TRANS EMP EXTRACT - COST CENTRE'!$A:$A,0),MATCH('Summary - Monthly'!AA$3,'TRANS EMP EXTRACT - COST CENTRE'!$2:$2,0)),0)</f>
        <v>0</v>
      </c>
      <c r="AB106" s="10">
        <f>IFERROR(INDEX('TRANS EMP EXTRACT - COST CENTRE'!$A$1:$Z$455,MATCH('Summary - Monthly'!$A106,'TRANS EMP EXTRACT - COST CENTRE'!$A:$A,0),MATCH('Summary - Monthly'!AB$3,'TRANS EMP EXTRACT - COST CENTRE'!$2:$2,0)),0)</f>
        <v>0</v>
      </c>
      <c r="AC106" s="8">
        <f>IFERROR(INDEX('TRANS EMP EXTRACT - COST CENTRE'!$A$1:$Z$455,MATCH('Summary - Monthly'!$A106,'TRANS EMP EXTRACT - COST CENTRE'!$A:$A,0),MATCH('Summary - Monthly'!AC$3,'TRANS EMP EXTRACT - COST CENTRE'!$2:$2,0)),0)</f>
        <v>0</v>
      </c>
      <c r="AD106" s="13">
        <f>IFERROR(INDEX('TRANS EMP EXTRACT - COST CENTRE'!$A$1:$Z$455,MATCH('Summary - Monthly'!$A106,'TRANS EMP EXTRACT - COST CENTRE'!$A:$A,0),MATCH('Summary - Monthly'!AD$3,'TRANS EMP EXTRACT - COST CENTRE'!$2:$2,0)),0)</f>
        <v>0</v>
      </c>
      <c r="AE106" s="13">
        <f>IFERROR(INDEX('TRANS EMP EXTRACT - COST CENTRE'!$A$1:$Z$455,MATCH('Summary - Monthly'!$A106,'TRANS EMP EXTRACT - COST CENTRE'!$A:$A,0),MATCH('Summary - Monthly'!AE$3,'TRANS EMP EXTRACT - COST CENTRE'!$2:$2,0)),0)</f>
        <v>0</v>
      </c>
      <c r="AF106" s="13">
        <f>IFERROR(INDEX('TRANS EMP EXTRACT - COST CENTRE'!$A$1:$Z$455,MATCH('Summary - Monthly'!$A106,'TRANS EMP EXTRACT - COST CENTRE'!$A:$A,0),MATCH('Summary - Monthly'!AF$3,'TRANS EMP EXTRACT - COST CENTRE'!$2:$2,0)),0)</f>
        <v>0</v>
      </c>
      <c r="AG106" s="10">
        <f>IFERROR(INDEX('TRANS EMP EXTRACT - COST CENTRE'!$A$1:$Z$455,MATCH('Summary - Monthly'!$A106,'TRANS EMP EXTRACT - COST CENTRE'!$A:$A,0),MATCH('Summary - Monthly'!AG$3,'TRANS EMP EXTRACT - COST CENTRE'!$2:$2,0)),0)</f>
        <v>0</v>
      </c>
      <c r="AH106" s="10">
        <f>IFERROR(INDEX('TRANS EMP EXTRACT - COST CENTRE'!$A$1:$Z$455,MATCH('Summary - Monthly'!$A106,'TRANS EMP EXTRACT - COST CENTRE'!$A:$A,0),MATCH('Summary - Monthly'!AH$3,'TRANS EMP EXTRACT - COST CENTRE'!$2:$2,0)),0)</f>
        <v>0</v>
      </c>
      <c r="AI106" s="10">
        <f>IFERROR(INDEX('TRANS EMP EXTRACT - COST CENTRE'!$A$1:$Z$455,MATCH('Summary - Monthly'!$A106,'TRANS EMP EXTRACT - COST CENTRE'!$A:$A,0),MATCH('Summary - Monthly'!AI$3,'TRANS EMP EXTRACT - COST CENTRE'!$2:$2,0)),0)</f>
        <v>0</v>
      </c>
      <c r="AJ106" s="10">
        <f>IFERROR(INDEX('TRANS EMP EXTRACT - COST CENTRE'!$A$1:$Z$455,MATCH('Summary - Monthly'!$A106,'TRANS EMP EXTRACT - COST CENTRE'!$A:$A,0),MATCH('Summary - Monthly'!AJ$3,'TRANS EMP EXTRACT - COST CENTRE'!$2:$2,0)),0)</f>
        <v>0</v>
      </c>
      <c r="AK106" s="10">
        <f>IFERROR(INDEX('TRANS EMP EXTRACT - COST CENTRE'!$A$1:$Z$455,MATCH('Summary - Monthly'!$A106,'TRANS EMP EXTRACT - COST CENTRE'!$A:$A,0),MATCH('Summary - Monthly'!AK$3,'TRANS EMP EXTRACT - COST CENTRE'!$2:$2,0)),0)</f>
        <v>0</v>
      </c>
      <c r="AL106" s="10">
        <f>IFERROR(INDEX('TRANS EMP EXTRACT - COST CENTRE'!$A$1:$Z$455,MATCH('Summary - Monthly'!$A106,'TRANS EMP EXTRACT - COST CENTRE'!$A:$A,0),MATCH('Summary - Monthly'!AL$3,'TRANS EMP EXTRACT - COST CENTRE'!$2:$2,0)),0)</f>
        <v>0</v>
      </c>
      <c r="AM106" s="10">
        <f t="shared" si="20"/>
        <v>170.9332</v>
      </c>
      <c r="AN106" s="14">
        <f t="shared" si="13"/>
        <v>0.12456052631578947</v>
      </c>
      <c r="AO106" s="18">
        <f t="shared" si="23"/>
        <v>1.1245605263157894</v>
      </c>
      <c r="AP106" s="18">
        <f t="shared" si="19"/>
        <v>1.1245605263157894</v>
      </c>
      <c r="AQ106" s="10" t="str">
        <f>IFERROR(VLOOKUP(B106,Departments!A:C,3,FALSE),"")</f>
        <v>Chemistry</v>
      </c>
      <c r="AR106" s="10" t="str">
        <f>IFERROR(VLOOKUP(B106,Departments!A:B,2,FALSE),"")</f>
        <v>Sydney Chem</v>
      </c>
      <c r="AS106" s="10">
        <f t="shared" si="21"/>
        <v>0</v>
      </c>
      <c r="AT106" s="10">
        <f t="shared" si="22"/>
        <v>0</v>
      </c>
      <c r="AU106" s="10" t="str">
        <f>_xlfn.IFNA(VLOOKUP(B106,Departments!A:D,4,FALSE),"")</f>
        <v>Sydney Chem</v>
      </c>
    </row>
    <row r="107" spans="1:47" ht="14.45" customHeight="1">
      <c r="A107" s="11" t="str">
        <f t="shared" si="16"/>
        <v>1206080018561</v>
      </c>
      <c r="B107" s="11">
        <f>'TRANS EMP EXTRACT - COST CENTRE'!B106</f>
        <v>12060800</v>
      </c>
      <c r="C107" s="10" t="str">
        <f>IFERROR(VLOOKUP(E107,'TRANS EMP EXTRACT - EMP CATEGOR'!A:B,2,FALSE),"")</f>
        <v>FT</v>
      </c>
      <c r="D107" s="10" t="str">
        <f>IFERROR(VLOOKUP(E107,'TRANS EMP EXTRACT - EMP CATEGOR'!A:C,3,FALSE),"")</f>
        <v>Fulltime</v>
      </c>
      <c r="E107" s="11">
        <f>'TRANS EMP EXTRACT - COST CENTRE'!D106</f>
        <v>18561</v>
      </c>
      <c r="F107" s="10" t="str">
        <f>IFERROR(VLOOKUP(E107,'TRANS EMP EXTRACT - COST CENTRE'!D:E,2,FALSE),"")</f>
        <v>ROY  JISHA MRS</v>
      </c>
      <c r="G107" s="12">
        <f>IFERROR(INDEX('TRANS EMP EXTRACT - COST CENTRE'!$A$1:$Z$455,MATCH('Summary - Monthly'!$A107,'TRANS EMP EXTRACT - COST CENTRE'!$A:$A,0),MATCH('Summary - Monthly'!G$3,'TRANS EMP EXTRACT - COST CENTRE'!$2:$2,0)),"")</f>
        <v>41192</v>
      </c>
      <c r="H107" s="10" t="str">
        <f>IFERROR(INDEX('TRANS EMP EXTRACT - COST CENTRE'!$B$1:$Z$455,MATCH('Summary - Monthly'!$E107,'TRANS EMP EXTRACT - COST CENTRE'!$D:$D,0),MATCH('Summary - Monthly'!H$3,'TRANS EMP EXTRACT - COST CENTRE'!$2:$2,0)),"")</f>
        <v>RT</v>
      </c>
      <c r="I107" s="12" t="str">
        <f>IFERROR(INDEX('TRANS EMP EXTRACT - EMP CATEGOR'!$B$1:$AF$421,MATCH('Summary - Monthly'!$E107,'TRANS EMP EXTRACT - EMP CATEGOR'!$D:$D,0),MATCH('Summary - Monthly'!H$3,'TRANS EMP EXTRACT - EMP CATEGOR'!$2:$2,0)),"")</f>
        <v>RT</v>
      </c>
      <c r="J107" s="41">
        <f t="shared" ca="1" si="12"/>
        <v>17.3796</v>
      </c>
      <c r="K107" s="41">
        <f t="shared" ca="1" si="17"/>
        <v>65</v>
      </c>
      <c r="L107" s="10">
        <f>IFERROR(INDEX('TRANS EMP EXTRACT - COST CENTRE'!$A$1:$Z$455,MATCH('Summary - Monthly'!$A107,'TRANS EMP EXTRACT - COST CENTRE'!$A:$A,0),MATCH('Summary - Monthly'!L$3,'TRANS EMP EXTRACT - COST CENTRE'!$2:$2,0)),"")</f>
        <v>141.23339999999999</v>
      </c>
      <c r="M107" s="10">
        <f>IFERROR(INDEX('TRANS EMP EXTRACT - COST CENTRE'!$A$1:$Z$455,MATCH('Summary - Monthly'!$A107,'TRANS EMP EXTRACT - COST CENTRE'!$A:$A,0),MATCH('Summary - Monthly'!M$3,'TRANS EMP EXTRACT - COST CENTRE'!$2:$2,0)),0)</f>
        <v>0</v>
      </c>
      <c r="N107" s="10">
        <f>IFERROR(INDEX('TRANS EMP EXTRACT - COST CENTRE'!$A$1:$Z$455,MATCH('Summary - Monthly'!$A107,'TRANS EMP EXTRACT - COST CENTRE'!$A:$A,0),MATCH('Summary - Monthly'!N$3,'TRANS EMP EXTRACT - COST CENTRE'!$2:$2,0)),0)</f>
        <v>0</v>
      </c>
      <c r="O107" s="10">
        <f>IFERROR(INDEX('TRANS EMP EXTRACT - COST CENTRE'!$A$1:$Z$455,MATCH('Summary - Monthly'!$A107,'TRANS EMP EXTRACT - COST CENTRE'!$A:$A,0),MATCH('Summary - Monthly'!O$3,'TRANS EMP EXTRACT - COST CENTRE'!$2:$2,0)),0)</f>
        <v>0</v>
      </c>
      <c r="P107" s="10">
        <f>IFERROR(INDEX('TRANS EMP EXTRACT - COST CENTRE'!$A$1:$Z$455,MATCH('Summary - Monthly'!$A107,'TRANS EMP EXTRACT - COST CENTRE'!$A:$A,0),MATCH('Summary - Monthly'!P$3,'TRANS EMP EXTRACT - COST CENTRE'!$2:$2,0)),0)</f>
        <v>0</v>
      </c>
      <c r="Q107" s="10">
        <f>IFERROR(INDEX('TRANS EMP EXTRACT - COST CENTRE'!$A$1:$Z$455,MATCH('Summary - Monthly'!$A107,'TRANS EMP EXTRACT - COST CENTRE'!$A:$A,0),MATCH('Summary - Monthly'!Q$3,'TRANS EMP EXTRACT - COST CENTRE'!$2:$2,0)),0)</f>
        <v>5.6334999999999997</v>
      </c>
      <c r="R107" s="10">
        <f>IFERROR(INDEX('TRANS EMP EXTRACT - COST CENTRE'!$A$1:$Z$455,MATCH('Summary - Monthly'!$A107,'TRANS EMP EXTRACT - COST CENTRE'!$A:$A,0),MATCH('Summary - Monthly'!R$3,'TRANS EMP EXTRACT - COST CENTRE'!$2:$2,0)),0)</f>
        <v>0</v>
      </c>
      <c r="S107" s="10">
        <f>IFERROR(INDEX('TRANS EMP EXTRACT - COST CENTRE'!$A$1:$Z$455,MATCH('Summary - Monthly'!$A107,'TRANS EMP EXTRACT - COST CENTRE'!$A:$A,0),MATCH('Summary - Monthly'!S$3,'TRANS EMP EXTRACT - COST CENTRE'!$2:$2,0)),0)</f>
        <v>0</v>
      </c>
      <c r="T107" s="8">
        <f>IFERROR(INDEX('TRANS EMP EXTRACT - COST CENTRE'!$A$1:$Z$455,MATCH('Summary - Monthly'!$A107,'TRANS EMP EXTRACT - COST CENTRE'!$A:$A,0),MATCH('Summary - Monthly'!T$3,'TRANS EMP EXTRACT - COST CENTRE'!$2:$2,0)),0)</f>
        <v>0</v>
      </c>
      <c r="U107" s="13">
        <f>IFERROR(INDEX('TRANS EMP EXTRACT - COST CENTRE'!$A$1:$Z$455,MATCH('Summary - Monthly'!$A107,'TRANS EMP EXTRACT - COST CENTRE'!$A:$A,0),MATCH('Summary - Monthly'!U$3,'TRANS EMP EXTRACT - COST CENTRE'!$2:$2,0)),0)</f>
        <v>0</v>
      </c>
      <c r="V107" s="13">
        <f>IFERROR(INDEX('TRANS EMP EXTRACT - COST CENTRE'!$A$1:$Z$455,MATCH('Summary - Monthly'!$A107,'TRANS EMP EXTRACT - COST CENTRE'!$A:$A,0),MATCH('Summary - Monthly'!V$3,'TRANS EMP EXTRACT - COST CENTRE'!$2:$2,0)),0)</f>
        <v>10.6</v>
      </c>
      <c r="W107" s="13">
        <f>IFERROR(INDEX('TRANS EMP EXTRACT - COST CENTRE'!$A$1:$Z$455,MATCH('Summary - Monthly'!$A107,'TRANS EMP EXTRACT - COST CENTRE'!$A:$A,0),MATCH('Summary - Monthly'!W$3,'TRANS EMP EXTRACT - COST CENTRE'!$2:$2,0)),0)</f>
        <v>0</v>
      </c>
      <c r="X107" s="13">
        <f>IFERROR(INDEX('TRANS EMP EXTRACT - COST CENTRE'!$A$1:$Z$455,MATCH('Summary - Monthly'!$A107,'TRANS EMP EXTRACT - COST CENTRE'!$A:$A,0),MATCH('Summary - Monthly'!X$3,'TRANS EMP EXTRACT - COST CENTRE'!$2:$2,0)),0)</f>
        <v>0</v>
      </c>
      <c r="Y107" s="13">
        <f>IFERROR(INDEX('TRANS EMP EXTRACT - COST CENTRE'!$A$1:$Z$455,MATCH('Summary - Monthly'!$A107,'TRANS EMP EXTRACT - COST CENTRE'!$A:$A,0),MATCH('Summary - Monthly'!Y$3,'TRANS EMP EXTRACT - COST CENTRE'!$2:$2,0)),0)</f>
        <v>0</v>
      </c>
      <c r="Z107" s="10">
        <f>IFERROR(INDEX('TRANS EMP EXTRACT - COST CENTRE'!$A$1:$Z$455,MATCH('Summary - Monthly'!$A107,'TRANS EMP EXTRACT - COST CENTRE'!$A:$A,0),MATCH('Summary - Monthly'!Z$3,'TRANS EMP EXTRACT - COST CENTRE'!$2:$2,0)),0)</f>
        <v>0</v>
      </c>
      <c r="AA107" s="10">
        <f>IFERROR(INDEX('TRANS EMP EXTRACT - COST CENTRE'!$A$1:$Z$455,MATCH('Summary - Monthly'!$A107,'TRANS EMP EXTRACT - COST CENTRE'!$A:$A,0),MATCH('Summary - Monthly'!AA$3,'TRANS EMP EXTRACT - COST CENTRE'!$2:$2,0)),0)</f>
        <v>0</v>
      </c>
      <c r="AB107" s="10">
        <f>IFERROR(INDEX('TRANS EMP EXTRACT - COST CENTRE'!$A$1:$Z$455,MATCH('Summary - Monthly'!$A107,'TRANS EMP EXTRACT - COST CENTRE'!$A:$A,0),MATCH('Summary - Monthly'!AB$3,'TRANS EMP EXTRACT - COST CENTRE'!$2:$2,0)),0)</f>
        <v>0</v>
      </c>
      <c r="AC107" s="8">
        <f>IFERROR(INDEX('TRANS EMP EXTRACT - COST CENTRE'!$A$1:$Z$455,MATCH('Summary - Monthly'!$A107,'TRANS EMP EXTRACT - COST CENTRE'!$A:$A,0),MATCH('Summary - Monthly'!AC$3,'TRANS EMP EXTRACT - COST CENTRE'!$2:$2,0)),0)</f>
        <v>0</v>
      </c>
      <c r="AD107" s="13">
        <f>IFERROR(INDEX('TRANS EMP EXTRACT - COST CENTRE'!$A$1:$Z$455,MATCH('Summary - Monthly'!$A107,'TRANS EMP EXTRACT - COST CENTRE'!$A:$A,0),MATCH('Summary - Monthly'!AD$3,'TRANS EMP EXTRACT - COST CENTRE'!$2:$2,0)),0)</f>
        <v>0</v>
      </c>
      <c r="AE107" s="13">
        <f>IFERROR(INDEX('TRANS EMP EXTRACT - COST CENTRE'!$A$1:$Z$455,MATCH('Summary - Monthly'!$A107,'TRANS EMP EXTRACT - COST CENTRE'!$A:$A,0),MATCH('Summary - Monthly'!AE$3,'TRANS EMP EXTRACT - COST CENTRE'!$2:$2,0)),0)</f>
        <v>0</v>
      </c>
      <c r="AF107" s="13">
        <f>IFERROR(INDEX('TRANS EMP EXTRACT - COST CENTRE'!$A$1:$Z$455,MATCH('Summary - Monthly'!$A107,'TRANS EMP EXTRACT - COST CENTRE'!$A:$A,0),MATCH('Summary - Monthly'!AF$3,'TRANS EMP EXTRACT - COST CENTRE'!$2:$2,0)),0)</f>
        <v>0</v>
      </c>
      <c r="AG107" s="10">
        <f>IFERROR(INDEX('TRANS EMP EXTRACT - COST CENTRE'!$A$1:$Z$455,MATCH('Summary - Monthly'!$A107,'TRANS EMP EXTRACT - COST CENTRE'!$A:$A,0),MATCH('Summary - Monthly'!AG$3,'TRANS EMP EXTRACT - COST CENTRE'!$2:$2,0)),0)</f>
        <v>0</v>
      </c>
      <c r="AH107" s="10">
        <f>IFERROR(INDEX('TRANS EMP EXTRACT - COST CENTRE'!$A$1:$Z$455,MATCH('Summary - Monthly'!$A107,'TRANS EMP EXTRACT - COST CENTRE'!$A:$A,0),MATCH('Summary - Monthly'!AH$3,'TRANS EMP EXTRACT - COST CENTRE'!$2:$2,0)),0)</f>
        <v>0</v>
      </c>
      <c r="AI107" s="10">
        <f>IFERROR(INDEX('TRANS EMP EXTRACT - COST CENTRE'!$A$1:$Z$455,MATCH('Summary - Monthly'!$A107,'TRANS EMP EXTRACT - COST CENTRE'!$A:$A,0),MATCH('Summary - Monthly'!AI$3,'TRANS EMP EXTRACT - COST CENTRE'!$2:$2,0)),0)</f>
        <v>0</v>
      </c>
      <c r="AJ107" s="10">
        <f>IFERROR(INDEX('TRANS EMP EXTRACT - COST CENTRE'!$A$1:$Z$455,MATCH('Summary - Monthly'!$A107,'TRANS EMP EXTRACT - COST CENTRE'!$A:$A,0),MATCH('Summary - Monthly'!AJ$3,'TRANS EMP EXTRACT - COST CENTRE'!$2:$2,0)),0)</f>
        <v>0</v>
      </c>
      <c r="AK107" s="10">
        <f>IFERROR(INDEX('TRANS EMP EXTRACT - COST CENTRE'!$A$1:$Z$455,MATCH('Summary - Monthly'!$A107,'TRANS EMP EXTRACT - COST CENTRE'!$A:$A,0),MATCH('Summary - Monthly'!AK$3,'TRANS EMP EXTRACT - COST CENTRE'!$2:$2,0)),0)</f>
        <v>0</v>
      </c>
      <c r="AL107" s="10">
        <f>IFERROR(INDEX('TRANS EMP EXTRACT - COST CENTRE'!$A$1:$Z$455,MATCH('Summary - Monthly'!$A107,'TRANS EMP EXTRACT - COST CENTRE'!$A:$A,0),MATCH('Summary - Monthly'!AL$3,'TRANS EMP EXTRACT - COST CENTRE'!$2:$2,0)),0)</f>
        <v>0</v>
      </c>
      <c r="AM107" s="10">
        <f t="shared" si="20"/>
        <v>157.46689999999998</v>
      </c>
      <c r="AN107" s="14">
        <f t="shared" si="13"/>
        <v>3.7062499999999998E-2</v>
      </c>
      <c r="AO107" s="18">
        <f t="shared" si="23"/>
        <v>1.0359664473684209</v>
      </c>
      <c r="AP107" s="18">
        <f t="shared" si="19"/>
        <v>0.96622960526315782</v>
      </c>
      <c r="AQ107" s="10" t="str">
        <f>IFERROR(VLOOKUP(B107,Departments!A:C,3,FALSE),"")</f>
        <v>Microbiology</v>
      </c>
      <c r="AR107" s="10" t="str">
        <f>IFERROR(VLOOKUP(B107,Departments!A:B,2,FALSE),"")</f>
        <v>PERTH Sample Registration</v>
      </c>
      <c r="AS107" s="10">
        <f t="shared" si="21"/>
        <v>10.6</v>
      </c>
      <c r="AT107" s="10">
        <f t="shared" si="22"/>
        <v>10.6</v>
      </c>
      <c r="AU107" s="10" t="str">
        <f>_xlfn.IFNA(VLOOKUP(B107,Departments!A:D,4,FALSE),"")</f>
        <v>Perth Micro</v>
      </c>
    </row>
    <row r="108" spans="1:47" ht="14.45" customHeight="1">
      <c r="A108" s="11" t="str">
        <f t="shared" si="16"/>
        <v>1203301119030</v>
      </c>
      <c r="B108" s="11">
        <f>'TRANS EMP EXTRACT - COST CENTRE'!B107</f>
        <v>12033011</v>
      </c>
      <c r="C108" s="10" t="str">
        <f>IFERROR(VLOOKUP(E108,'TRANS EMP EXTRACT - EMP CATEGOR'!A:B,2,FALSE),"")</f>
        <v>CAS</v>
      </c>
      <c r="D108" s="10" t="str">
        <f>IFERROR(VLOOKUP(E108,'TRANS EMP EXTRACT - EMP CATEGOR'!A:C,3,FALSE),"")</f>
        <v>Casual RL</v>
      </c>
      <c r="E108" s="11">
        <f>'TRANS EMP EXTRACT - COST CENTRE'!D107</f>
        <v>19030</v>
      </c>
      <c r="F108" s="10" t="str">
        <f>IFERROR(VLOOKUP(E108,'TRANS EMP EXTRACT - COST CENTRE'!D:E,2,FALSE),"")</f>
        <v>RUSSELL  ADAM MR</v>
      </c>
      <c r="G108" s="12">
        <f>IFERROR(INDEX('TRANS EMP EXTRACT - COST CENTRE'!$A$1:$Z$455,MATCH('Summary - Monthly'!$A108,'TRANS EMP EXTRACT - COST CENTRE'!$A:$A,0),MATCH('Summary - Monthly'!G$3,'TRANS EMP EXTRACT - COST CENTRE'!$2:$2,0)),"")</f>
        <v>44785</v>
      </c>
      <c r="H108" s="10" t="str">
        <f>IFERROR(INDEX('TRANS EMP EXTRACT - COST CENTRE'!$B$1:$Z$455,MATCH('Summary - Monthly'!$E108,'TRANS EMP EXTRACT - COST CENTRE'!$D:$D,0),MATCH('Summary - Monthly'!H$3,'TRANS EMP EXTRACT - COST CENTRE'!$2:$2,0)),"")</f>
        <v>FN</v>
      </c>
      <c r="I108" s="12" t="str">
        <f>IFERROR(INDEX('TRANS EMP EXTRACT - EMP CATEGOR'!$B$1:$AF$421,MATCH('Summary - Monthly'!$E108,'TRANS EMP EXTRACT - EMP CATEGOR'!$D:$D,0),MATCH('Summary - Monthly'!H$3,'TRANS EMP EXTRACT - EMP CATEGOR'!$2:$2,0)),"")</f>
        <v>FN</v>
      </c>
      <c r="J108" s="41">
        <f t="shared" ca="1" si="12"/>
        <v>0</v>
      </c>
      <c r="K108" s="41">
        <f t="shared" ca="1" si="17"/>
        <v>0</v>
      </c>
      <c r="L108" s="10">
        <f>IFERROR(INDEX('TRANS EMP EXTRACT - COST CENTRE'!$A$1:$Z$455,MATCH('Summary - Monthly'!$A108,'TRANS EMP EXTRACT - COST CENTRE'!$A:$A,0),MATCH('Summary - Monthly'!L$3,'TRANS EMP EXTRACT - COST CENTRE'!$2:$2,0)),"")</f>
        <v>0</v>
      </c>
      <c r="M108" s="10">
        <f>IFERROR(INDEX('TRANS EMP EXTRACT - COST CENTRE'!$A$1:$Z$455,MATCH('Summary - Monthly'!$A108,'TRANS EMP EXTRACT - COST CENTRE'!$A:$A,0),MATCH('Summary - Monthly'!M$3,'TRANS EMP EXTRACT - COST CENTRE'!$2:$2,0)),0)</f>
        <v>0</v>
      </c>
      <c r="N108" s="10">
        <f>IFERROR(INDEX('TRANS EMP EXTRACT - COST CENTRE'!$A$1:$Z$455,MATCH('Summary - Monthly'!$A108,'TRANS EMP EXTRACT - COST CENTRE'!$A:$A,0),MATCH('Summary - Monthly'!N$3,'TRANS EMP EXTRACT - COST CENTRE'!$2:$2,0)),0)</f>
        <v>138.3665</v>
      </c>
      <c r="O108" s="10">
        <f>IFERROR(INDEX('TRANS EMP EXTRACT - COST CENTRE'!$A$1:$Z$455,MATCH('Summary - Monthly'!$A108,'TRANS EMP EXTRACT - COST CENTRE'!$A:$A,0),MATCH('Summary - Monthly'!O$3,'TRANS EMP EXTRACT - COST CENTRE'!$2:$2,0)),0)</f>
        <v>0</v>
      </c>
      <c r="P108" s="10">
        <f>IFERROR(INDEX('TRANS EMP EXTRACT - COST CENTRE'!$A$1:$Z$455,MATCH('Summary - Monthly'!$A108,'TRANS EMP EXTRACT - COST CENTRE'!$A:$A,0),MATCH('Summary - Monthly'!P$3,'TRANS EMP EXTRACT - COST CENTRE'!$2:$2,0)),0)</f>
        <v>0</v>
      </c>
      <c r="Q108" s="10">
        <f>IFERROR(INDEX('TRANS EMP EXTRACT - COST CENTRE'!$A$1:$Z$455,MATCH('Summary - Monthly'!$A108,'TRANS EMP EXTRACT - COST CENTRE'!$A:$A,0),MATCH('Summary - Monthly'!Q$3,'TRANS EMP EXTRACT - COST CENTRE'!$2:$2,0)),0)</f>
        <v>0</v>
      </c>
      <c r="R108" s="10">
        <f>IFERROR(INDEX('TRANS EMP EXTRACT - COST CENTRE'!$A$1:$Z$455,MATCH('Summary - Monthly'!$A108,'TRANS EMP EXTRACT - COST CENTRE'!$A:$A,0),MATCH('Summary - Monthly'!R$3,'TRANS EMP EXTRACT - COST CENTRE'!$2:$2,0)),0)</f>
        <v>0</v>
      </c>
      <c r="S108" s="10">
        <f>IFERROR(INDEX('TRANS EMP EXTRACT - COST CENTRE'!$A$1:$Z$455,MATCH('Summary - Monthly'!$A108,'TRANS EMP EXTRACT - COST CENTRE'!$A:$A,0),MATCH('Summary - Monthly'!S$3,'TRANS EMP EXTRACT - COST CENTRE'!$2:$2,0)),0)</f>
        <v>0</v>
      </c>
      <c r="T108" s="8">
        <f>IFERROR(INDEX('TRANS EMP EXTRACT - COST CENTRE'!$A$1:$Z$455,MATCH('Summary - Monthly'!$A108,'TRANS EMP EXTRACT - COST CENTRE'!$A:$A,0),MATCH('Summary - Monthly'!T$3,'TRANS EMP EXTRACT - COST CENTRE'!$2:$2,0)),0)</f>
        <v>0</v>
      </c>
      <c r="U108" s="13">
        <f>IFERROR(INDEX('TRANS EMP EXTRACT - COST CENTRE'!$A$1:$Z$455,MATCH('Summary - Monthly'!$A108,'TRANS EMP EXTRACT - COST CENTRE'!$A:$A,0),MATCH('Summary - Monthly'!U$3,'TRANS EMP EXTRACT - COST CENTRE'!$2:$2,0)),0)</f>
        <v>0</v>
      </c>
      <c r="V108" s="13">
        <f>IFERROR(INDEX('TRANS EMP EXTRACT - COST CENTRE'!$A$1:$Z$455,MATCH('Summary - Monthly'!$A108,'TRANS EMP EXTRACT - COST CENTRE'!$A:$A,0),MATCH('Summary - Monthly'!V$3,'TRANS EMP EXTRACT - COST CENTRE'!$2:$2,0)),0)</f>
        <v>0</v>
      </c>
      <c r="W108" s="13">
        <f>IFERROR(INDEX('TRANS EMP EXTRACT - COST CENTRE'!$A$1:$Z$455,MATCH('Summary - Monthly'!$A108,'TRANS EMP EXTRACT - COST CENTRE'!$A:$A,0),MATCH('Summary - Monthly'!W$3,'TRANS EMP EXTRACT - COST CENTRE'!$2:$2,0)),0)</f>
        <v>0</v>
      </c>
      <c r="X108" s="13">
        <f>IFERROR(INDEX('TRANS EMP EXTRACT - COST CENTRE'!$A$1:$Z$455,MATCH('Summary - Monthly'!$A108,'TRANS EMP EXTRACT - COST CENTRE'!$A:$A,0),MATCH('Summary - Monthly'!X$3,'TRANS EMP EXTRACT - COST CENTRE'!$2:$2,0)),0)</f>
        <v>0</v>
      </c>
      <c r="Y108" s="13">
        <f>IFERROR(INDEX('TRANS EMP EXTRACT - COST CENTRE'!$A$1:$Z$455,MATCH('Summary - Monthly'!$A108,'TRANS EMP EXTRACT - COST CENTRE'!$A:$A,0),MATCH('Summary - Monthly'!Y$3,'TRANS EMP EXTRACT - COST CENTRE'!$2:$2,0)),0)</f>
        <v>0</v>
      </c>
      <c r="Z108" s="10">
        <f>IFERROR(INDEX('TRANS EMP EXTRACT - COST CENTRE'!$A$1:$Z$455,MATCH('Summary - Monthly'!$A108,'TRANS EMP EXTRACT - COST CENTRE'!$A:$A,0),MATCH('Summary - Monthly'!Z$3,'TRANS EMP EXTRACT - COST CENTRE'!$2:$2,0)),0)</f>
        <v>0</v>
      </c>
      <c r="AA108" s="10">
        <f>IFERROR(INDEX('TRANS EMP EXTRACT - COST CENTRE'!$A$1:$Z$455,MATCH('Summary - Monthly'!$A108,'TRANS EMP EXTRACT - COST CENTRE'!$A:$A,0),MATCH('Summary - Monthly'!AA$3,'TRANS EMP EXTRACT - COST CENTRE'!$2:$2,0)),0)</f>
        <v>0</v>
      </c>
      <c r="AB108" s="10">
        <f>IFERROR(INDEX('TRANS EMP EXTRACT - COST CENTRE'!$A$1:$Z$455,MATCH('Summary - Monthly'!$A108,'TRANS EMP EXTRACT - COST CENTRE'!$A:$A,0),MATCH('Summary - Monthly'!AB$3,'TRANS EMP EXTRACT - COST CENTRE'!$2:$2,0)),0)</f>
        <v>0</v>
      </c>
      <c r="AC108" s="8">
        <f>IFERROR(INDEX('TRANS EMP EXTRACT - COST CENTRE'!$A$1:$Z$455,MATCH('Summary - Monthly'!$A108,'TRANS EMP EXTRACT - COST CENTRE'!$A:$A,0),MATCH('Summary - Monthly'!AC$3,'TRANS EMP EXTRACT - COST CENTRE'!$2:$2,0)),0)</f>
        <v>0</v>
      </c>
      <c r="AD108" s="13">
        <f>IFERROR(INDEX('TRANS EMP EXTRACT - COST CENTRE'!$A$1:$Z$455,MATCH('Summary - Monthly'!$A108,'TRANS EMP EXTRACT - COST CENTRE'!$A:$A,0),MATCH('Summary - Monthly'!AD$3,'TRANS EMP EXTRACT - COST CENTRE'!$2:$2,0)),0)</f>
        <v>0</v>
      </c>
      <c r="AE108" s="13">
        <f>IFERROR(INDEX('TRANS EMP EXTRACT - COST CENTRE'!$A$1:$Z$455,MATCH('Summary - Monthly'!$A108,'TRANS EMP EXTRACT - COST CENTRE'!$A:$A,0),MATCH('Summary - Monthly'!AE$3,'TRANS EMP EXTRACT - COST CENTRE'!$2:$2,0)),0)</f>
        <v>0</v>
      </c>
      <c r="AF108" s="13">
        <f>IFERROR(INDEX('TRANS EMP EXTRACT - COST CENTRE'!$A$1:$Z$455,MATCH('Summary - Monthly'!$A108,'TRANS EMP EXTRACT - COST CENTRE'!$A:$A,0),MATCH('Summary - Monthly'!AF$3,'TRANS EMP EXTRACT - COST CENTRE'!$2:$2,0)),0)</f>
        <v>0</v>
      </c>
      <c r="AG108" s="10">
        <f>IFERROR(INDEX('TRANS EMP EXTRACT - COST CENTRE'!$A$1:$Z$455,MATCH('Summary - Monthly'!$A108,'TRANS EMP EXTRACT - COST CENTRE'!$A:$A,0),MATCH('Summary - Monthly'!AG$3,'TRANS EMP EXTRACT - COST CENTRE'!$2:$2,0)),0)</f>
        <v>0</v>
      </c>
      <c r="AH108" s="10">
        <f>IFERROR(INDEX('TRANS EMP EXTRACT - COST CENTRE'!$A$1:$Z$455,MATCH('Summary - Monthly'!$A108,'TRANS EMP EXTRACT - COST CENTRE'!$A:$A,0),MATCH('Summary - Monthly'!AH$3,'TRANS EMP EXTRACT - COST CENTRE'!$2:$2,0)),0)</f>
        <v>0</v>
      </c>
      <c r="AI108" s="10">
        <f>IFERROR(INDEX('TRANS EMP EXTRACT - COST CENTRE'!$A$1:$Z$455,MATCH('Summary - Monthly'!$A108,'TRANS EMP EXTRACT - COST CENTRE'!$A:$A,0),MATCH('Summary - Monthly'!AI$3,'TRANS EMP EXTRACT - COST CENTRE'!$2:$2,0)),0)</f>
        <v>0</v>
      </c>
      <c r="AJ108" s="10">
        <f>IFERROR(INDEX('TRANS EMP EXTRACT - COST CENTRE'!$A$1:$Z$455,MATCH('Summary - Monthly'!$A108,'TRANS EMP EXTRACT - COST CENTRE'!$A:$A,0),MATCH('Summary - Monthly'!AJ$3,'TRANS EMP EXTRACT - COST CENTRE'!$2:$2,0)),0)</f>
        <v>0</v>
      </c>
      <c r="AK108" s="10">
        <f>IFERROR(INDEX('TRANS EMP EXTRACT - COST CENTRE'!$A$1:$Z$455,MATCH('Summary - Monthly'!$A108,'TRANS EMP EXTRACT - COST CENTRE'!$A:$A,0),MATCH('Summary - Monthly'!AK$3,'TRANS EMP EXTRACT - COST CENTRE'!$2:$2,0)),0)</f>
        <v>0</v>
      </c>
      <c r="AL108" s="10">
        <f>IFERROR(INDEX('TRANS EMP EXTRACT - COST CENTRE'!$A$1:$Z$455,MATCH('Summary - Monthly'!$A108,'TRANS EMP EXTRACT - COST CENTRE'!$A:$A,0),MATCH('Summary - Monthly'!AL$3,'TRANS EMP EXTRACT - COST CENTRE'!$2:$2,0)),0)</f>
        <v>0</v>
      </c>
      <c r="AM108" s="10">
        <f t="shared" si="20"/>
        <v>138.3665</v>
      </c>
      <c r="AN108" s="14">
        <f t="shared" si="13"/>
        <v>0</v>
      </c>
      <c r="AO108" s="18">
        <f t="shared" si="23"/>
        <v>0.91030592105263164</v>
      </c>
      <c r="AP108" s="18">
        <f t="shared" si="19"/>
        <v>0.91030592105263164</v>
      </c>
      <c r="AQ108" s="10" t="str">
        <f>IFERROR(VLOOKUP(B108,Departments!A:C,3,FALSE),"")</f>
        <v>Microbiology</v>
      </c>
      <c r="AR108" s="10" t="str">
        <f>IFERROR(VLOOKUP(B108,Departments!A:B,2,FALSE),"")</f>
        <v>Melb Micro</v>
      </c>
      <c r="AS108" s="10">
        <f t="shared" si="21"/>
        <v>0</v>
      </c>
      <c r="AT108" s="10">
        <f t="shared" si="22"/>
        <v>0</v>
      </c>
      <c r="AU108" s="10" t="str">
        <f>_xlfn.IFNA(VLOOKUP(B108,Departments!A:D,4,FALSE),"")</f>
        <v>Melbourne Micro</v>
      </c>
    </row>
    <row r="109" spans="1:47" ht="14.45" customHeight="1">
      <c r="A109" s="11" t="str">
        <f t="shared" si="16"/>
        <v>12022511141</v>
      </c>
      <c r="B109" s="11">
        <f>'TRANS EMP EXTRACT - COST CENTRE'!B108</f>
        <v>12022511</v>
      </c>
      <c r="C109" s="10" t="str">
        <f>IFERROR(VLOOKUP(E109,'TRANS EMP EXTRACT - EMP CATEGOR'!A:B,2,FALSE),"")</f>
        <v>PT</v>
      </c>
      <c r="D109" s="10" t="str">
        <f>IFERROR(VLOOKUP(E109,'TRANS EMP EXTRACT - EMP CATEGOR'!A:C,3,FALSE),"")</f>
        <v>Parttime</v>
      </c>
      <c r="E109" s="11">
        <f>'TRANS EMP EXTRACT - COST CENTRE'!D108</f>
        <v>141</v>
      </c>
      <c r="F109" s="10" t="str">
        <f>IFERROR(VLOOKUP(E109,'TRANS EMP EXTRACT - COST CENTRE'!D:E,2,FALSE),"")</f>
        <v>SAAD  KAREN MS</v>
      </c>
      <c r="G109" s="12">
        <f>IFERROR(INDEX('TRANS EMP EXTRACT - COST CENTRE'!$A$1:$Z$455,MATCH('Summary - Monthly'!$A109,'TRANS EMP EXTRACT - COST CENTRE'!$A:$A,0),MATCH('Summary - Monthly'!G$3,'TRANS EMP EXTRACT - COST CENTRE'!$2:$2,0)),"")</f>
        <v>33644</v>
      </c>
      <c r="H109" s="10" t="str">
        <f>IFERROR(INDEX('TRANS EMP EXTRACT - COST CENTRE'!$B$1:$Z$455,MATCH('Summary - Monthly'!$E109,'TRANS EMP EXTRACT - COST CENTRE'!$D:$D,0),MATCH('Summary - Monthly'!H$3,'TRANS EMP EXTRACT - COST CENTRE'!$2:$2,0)),"")</f>
        <v>RT</v>
      </c>
      <c r="I109" s="12" t="str">
        <f>IFERROR(INDEX('TRANS EMP EXTRACT - EMP CATEGOR'!$B$1:$AF$421,MATCH('Summary - Monthly'!$E109,'TRANS EMP EXTRACT - EMP CATEGOR'!$D:$D,0),MATCH('Summary - Monthly'!H$3,'TRANS EMP EXTRACT - EMP CATEGOR'!$2:$2,0)),"")</f>
        <v>RT</v>
      </c>
      <c r="J109" s="41">
        <f t="shared" ca="1" si="12"/>
        <v>92.653400000000005</v>
      </c>
      <c r="K109" s="41">
        <f t="shared" ca="1" si="17"/>
        <v>168.81899999999999</v>
      </c>
      <c r="L109" s="10">
        <f>IFERROR(INDEX('TRANS EMP EXTRACT - COST CENTRE'!$A$1:$Z$455,MATCH('Summary - Monthly'!$A109,'TRANS EMP EXTRACT - COST CENTRE'!$A:$A,0),MATCH('Summary - Monthly'!L$3,'TRANS EMP EXTRACT - COST CENTRE'!$2:$2,0)),"")</f>
        <v>68.400000000000006</v>
      </c>
      <c r="M109" s="10">
        <f>IFERROR(INDEX('TRANS EMP EXTRACT - COST CENTRE'!$A$1:$Z$455,MATCH('Summary - Monthly'!$A109,'TRANS EMP EXTRACT - COST CENTRE'!$A:$A,0),MATCH('Summary - Monthly'!M$3,'TRANS EMP EXTRACT - COST CENTRE'!$2:$2,0)),0)</f>
        <v>0</v>
      </c>
      <c r="N109" s="10">
        <f>IFERROR(INDEX('TRANS EMP EXTRACT - COST CENTRE'!$A$1:$Z$455,MATCH('Summary - Monthly'!$A109,'TRANS EMP EXTRACT - COST CENTRE'!$A:$A,0),MATCH('Summary - Monthly'!N$3,'TRANS EMP EXTRACT - COST CENTRE'!$2:$2,0)),0)</f>
        <v>0</v>
      </c>
      <c r="O109" s="10">
        <f>IFERROR(INDEX('TRANS EMP EXTRACT - COST CENTRE'!$A$1:$Z$455,MATCH('Summary - Monthly'!$A109,'TRANS EMP EXTRACT - COST CENTRE'!$A:$A,0),MATCH('Summary - Monthly'!O$3,'TRANS EMP EXTRACT - COST CENTRE'!$2:$2,0)),0)</f>
        <v>0</v>
      </c>
      <c r="P109" s="10">
        <f>IFERROR(INDEX('TRANS EMP EXTRACT - COST CENTRE'!$A$1:$Z$455,MATCH('Summary - Monthly'!$A109,'TRANS EMP EXTRACT - COST CENTRE'!$A:$A,0),MATCH('Summary - Monthly'!P$3,'TRANS EMP EXTRACT - COST CENTRE'!$2:$2,0)),0)</f>
        <v>0</v>
      </c>
      <c r="Q109" s="10">
        <f>IFERROR(INDEX('TRANS EMP EXTRACT - COST CENTRE'!$A$1:$Z$455,MATCH('Summary - Monthly'!$A109,'TRANS EMP EXTRACT - COST CENTRE'!$A:$A,0),MATCH('Summary - Monthly'!Q$3,'TRANS EMP EXTRACT - COST CENTRE'!$2:$2,0)),0)</f>
        <v>1.5</v>
      </c>
      <c r="R109" s="10">
        <f>IFERROR(INDEX('TRANS EMP EXTRACT - COST CENTRE'!$A$1:$Z$455,MATCH('Summary - Monthly'!$A109,'TRANS EMP EXTRACT - COST CENTRE'!$A:$A,0),MATCH('Summary - Monthly'!R$3,'TRANS EMP EXTRACT - COST CENTRE'!$2:$2,0)),0)</f>
        <v>0</v>
      </c>
      <c r="S109" s="10">
        <f>IFERROR(INDEX('TRANS EMP EXTRACT - COST CENTRE'!$A$1:$Z$455,MATCH('Summary - Monthly'!$A109,'TRANS EMP EXTRACT - COST CENTRE'!$A:$A,0),MATCH('Summary - Monthly'!S$3,'TRANS EMP EXTRACT - COST CENTRE'!$2:$2,0)),0)</f>
        <v>0</v>
      </c>
      <c r="T109" s="8">
        <f>IFERROR(INDEX('TRANS EMP EXTRACT - COST CENTRE'!$A$1:$Z$455,MATCH('Summary - Monthly'!$A109,'TRANS EMP EXTRACT - COST CENTRE'!$A:$A,0),MATCH('Summary - Monthly'!T$3,'TRANS EMP EXTRACT - COST CENTRE'!$2:$2,0)),0)</f>
        <v>0</v>
      </c>
      <c r="U109" s="13">
        <f>IFERROR(INDEX('TRANS EMP EXTRACT - COST CENTRE'!$A$1:$Z$455,MATCH('Summary - Monthly'!$A109,'TRANS EMP EXTRACT - COST CENTRE'!$A:$A,0),MATCH('Summary - Monthly'!U$3,'TRANS EMP EXTRACT - COST CENTRE'!$2:$2,0)),0)</f>
        <v>22.8</v>
      </c>
      <c r="V109" s="13">
        <f>IFERROR(INDEX('TRANS EMP EXTRACT - COST CENTRE'!$A$1:$Z$455,MATCH('Summary - Monthly'!$A109,'TRANS EMP EXTRACT - COST CENTRE'!$A:$A,0),MATCH('Summary - Monthly'!V$3,'TRANS EMP EXTRACT - COST CENTRE'!$2:$2,0)),0)</f>
        <v>0</v>
      </c>
      <c r="W109" s="13">
        <f>IFERROR(INDEX('TRANS EMP EXTRACT - COST CENTRE'!$A$1:$Z$455,MATCH('Summary - Monthly'!$A109,'TRANS EMP EXTRACT - COST CENTRE'!$A:$A,0),MATCH('Summary - Monthly'!W$3,'TRANS EMP EXTRACT - COST CENTRE'!$2:$2,0)),0)</f>
        <v>0</v>
      </c>
      <c r="X109" s="13">
        <f>IFERROR(INDEX('TRANS EMP EXTRACT - COST CENTRE'!$A$1:$Z$455,MATCH('Summary - Monthly'!$A109,'TRANS EMP EXTRACT - COST CENTRE'!$A:$A,0),MATCH('Summary - Monthly'!X$3,'TRANS EMP EXTRACT - COST CENTRE'!$2:$2,0)),0)</f>
        <v>0</v>
      </c>
      <c r="Y109" s="13">
        <f>IFERROR(INDEX('TRANS EMP EXTRACT - COST CENTRE'!$A$1:$Z$455,MATCH('Summary - Monthly'!$A109,'TRANS EMP EXTRACT - COST CENTRE'!$A:$A,0),MATCH('Summary - Monthly'!Y$3,'TRANS EMP EXTRACT - COST CENTRE'!$2:$2,0)),0)</f>
        <v>0</v>
      </c>
      <c r="Z109" s="10">
        <f>IFERROR(INDEX('TRANS EMP EXTRACT - COST CENTRE'!$A$1:$Z$455,MATCH('Summary - Monthly'!$A109,'TRANS EMP EXTRACT - COST CENTRE'!$A:$A,0),MATCH('Summary - Monthly'!Z$3,'TRANS EMP EXTRACT - COST CENTRE'!$2:$2,0)),0)</f>
        <v>0</v>
      </c>
      <c r="AA109" s="10">
        <f>IFERROR(INDEX('TRANS EMP EXTRACT - COST CENTRE'!$A$1:$Z$455,MATCH('Summary - Monthly'!$A109,'TRANS EMP EXTRACT - COST CENTRE'!$A:$A,0),MATCH('Summary - Monthly'!AA$3,'TRANS EMP EXTRACT - COST CENTRE'!$2:$2,0)),0)</f>
        <v>0</v>
      </c>
      <c r="AB109" s="10">
        <f>IFERROR(INDEX('TRANS EMP EXTRACT - COST CENTRE'!$A$1:$Z$455,MATCH('Summary - Monthly'!$A109,'TRANS EMP EXTRACT - COST CENTRE'!$A:$A,0),MATCH('Summary - Monthly'!AB$3,'TRANS EMP EXTRACT - COST CENTRE'!$2:$2,0)),0)</f>
        <v>0</v>
      </c>
      <c r="AC109" s="8">
        <f>IFERROR(INDEX('TRANS EMP EXTRACT - COST CENTRE'!$A$1:$Z$455,MATCH('Summary - Monthly'!$A109,'TRANS EMP EXTRACT - COST CENTRE'!$A:$A,0),MATCH('Summary - Monthly'!AC$3,'TRANS EMP EXTRACT - COST CENTRE'!$2:$2,0)),0)</f>
        <v>0</v>
      </c>
      <c r="AD109" s="13">
        <f>IFERROR(INDEX('TRANS EMP EXTRACT - COST CENTRE'!$A$1:$Z$455,MATCH('Summary - Monthly'!$A109,'TRANS EMP EXTRACT - COST CENTRE'!$A:$A,0),MATCH('Summary - Monthly'!AD$3,'TRANS EMP EXTRACT - COST CENTRE'!$2:$2,0)),0)</f>
        <v>0</v>
      </c>
      <c r="AE109" s="13">
        <f>IFERROR(INDEX('TRANS EMP EXTRACT - COST CENTRE'!$A$1:$Z$455,MATCH('Summary - Monthly'!$A109,'TRANS EMP EXTRACT - COST CENTRE'!$A:$A,0),MATCH('Summary - Monthly'!AE$3,'TRANS EMP EXTRACT - COST CENTRE'!$2:$2,0)),0)</f>
        <v>0</v>
      </c>
      <c r="AF109" s="13">
        <f>IFERROR(INDEX('TRANS EMP EXTRACT - COST CENTRE'!$A$1:$Z$455,MATCH('Summary - Monthly'!$A109,'TRANS EMP EXTRACT - COST CENTRE'!$A:$A,0),MATCH('Summary - Monthly'!AF$3,'TRANS EMP EXTRACT - COST CENTRE'!$2:$2,0)),0)</f>
        <v>0</v>
      </c>
      <c r="AG109" s="10">
        <f>IFERROR(INDEX('TRANS EMP EXTRACT - COST CENTRE'!$A$1:$Z$455,MATCH('Summary - Monthly'!$A109,'TRANS EMP EXTRACT - COST CENTRE'!$A:$A,0),MATCH('Summary - Monthly'!AG$3,'TRANS EMP EXTRACT - COST CENTRE'!$2:$2,0)),0)</f>
        <v>0</v>
      </c>
      <c r="AH109" s="10">
        <f>IFERROR(INDEX('TRANS EMP EXTRACT - COST CENTRE'!$A$1:$Z$455,MATCH('Summary - Monthly'!$A109,'TRANS EMP EXTRACT - COST CENTRE'!$A:$A,0),MATCH('Summary - Monthly'!AH$3,'TRANS EMP EXTRACT - COST CENTRE'!$2:$2,0)),0)</f>
        <v>0</v>
      </c>
      <c r="AI109" s="10">
        <f>IFERROR(INDEX('TRANS EMP EXTRACT - COST CENTRE'!$A$1:$Z$455,MATCH('Summary - Monthly'!$A109,'TRANS EMP EXTRACT - COST CENTRE'!$A:$A,0),MATCH('Summary - Monthly'!AI$3,'TRANS EMP EXTRACT - COST CENTRE'!$2:$2,0)),0)</f>
        <v>0</v>
      </c>
      <c r="AJ109" s="10">
        <f>IFERROR(INDEX('TRANS EMP EXTRACT - COST CENTRE'!$A$1:$Z$455,MATCH('Summary - Monthly'!$A109,'TRANS EMP EXTRACT - COST CENTRE'!$A:$A,0),MATCH('Summary - Monthly'!AJ$3,'TRANS EMP EXTRACT - COST CENTRE'!$2:$2,0)),0)</f>
        <v>0</v>
      </c>
      <c r="AK109" s="10">
        <f>IFERROR(INDEX('TRANS EMP EXTRACT - COST CENTRE'!$A$1:$Z$455,MATCH('Summary - Monthly'!$A109,'TRANS EMP EXTRACT - COST CENTRE'!$A:$A,0),MATCH('Summary - Monthly'!AK$3,'TRANS EMP EXTRACT - COST CENTRE'!$2:$2,0)),0)</f>
        <v>0</v>
      </c>
      <c r="AL109" s="10">
        <f>IFERROR(INDEX('TRANS EMP EXTRACT - COST CENTRE'!$A$1:$Z$455,MATCH('Summary - Monthly'!$A109,'TRANS EMP EXTRACT - COST CENTRE'!$A:$A,0),MATCH('Summary - Monthly'!AL$3,'TRANS EMP EXTRACT - COST CENTRE'!$2:$2,0)),0)</f>
        <v>0</v>
      </c>
      <c r="AM109" s="10">
        <f t="shared" si="20"/>
        <v>92.7</v>
      </c>
      <c r="AN109" s="14">
        <f t="shared" si="13"/>
        <v>9.8684210526315784E-3</v>
      </c>
      <c r="AO109" s="18">
        <f t="shared" si="23"/>
        <v>0.60986842105263162</v>
      </c>
      <c r="AP109" s="18">
        <f t="shared" si="19"/>
        <v>0.45986842105263159</v>
      </c>
      <c r="AQ109" s="10" t="str">
        <f>IFERROR(VLOOKUP(B109,Departments!A:C,3,FALSE),"")</f>
        <v>Microbiology</v>
      </c>
      <c r="AR109" s="10" t="str">
        <f>IFERROR(VLOOKUP(B109,Departments!A:B,2,FALSE),"")</f>
        <v>Sydney Micro</v>
      </c>
      <c r="AS109" s="10">
        <f t="shared" si="21"/>
        <v>0</v>
      </c>
      <c r="AT109" s="10">
        <f t="shared" si="22"/>
        <v>22.8</v>
      </c>
      <c r="AU109" s="10" t="str">
        <f>_xlfn.IFNA(VLOOKUP(B109,Departments!A:D,4,FALSE),"")</f>
        <v>Sydney Micro</v>
      </c>
    </row>
    <row r="110" spans="1:47" ht="14.45" customHeight="1">
      <c r="A110" s="11" t="str">
        <f t="shared" si="16"/>
        <v>1202301119042</v>
      </c>
      <c r="B110" s="11">
        <f>'TRANS EMP EXTRACT - COST CENTRE'!B109</f>
        <v>12023011</v>
      </c>
      <c r="C110" s="10" t="str">
        <f>IFERROR(VLOOKUP(E110,'TRANS EMP EXTRACT - EMP CATEGOR'!A:B,2,FALSE),"")</f>
        <v>FT</v>
      </c>
      <c r="D110" s="10" t="str">
        <f>IFERROR(VLOOKUP(E110,'TRANS EMP EXTRACT - EMP CATEGOR'!A:C,3,FALSE),"")</f>
        <v>Fulltime</v>
      </c>
      <c r="E110" s="11">
        <f>'TRANS EMP EXTRACT - COST CENTRE'!D109</f>
        <v>19042</v>
      </c>
      <c r="F110" s="10" t="str">
        <f>IFERROR(VLOOKUP(E110,'TRANS EMP EXTRACT - COST CENTRE'!D:E,2,FALSE),"")</f>
        <v>SAHIR  KORISH MR</v>
      </c>
      <c r="G110" s="12">
        <f>IFERROR(INDEX('TRANS EMP EXTRACT - COST CENTRE'!$A$1:$Z$455,MATCH('Summary - Monthly'!$A110,'TRANS EMP EXTRACT - COST CENTRE'!$A:$A,0),MATCH('Summary - Monthly'!G$3,'TRANS EMP EXTRACT - COST CENTRE'!$2:$2,0)),"")</f>
        <v>44887</v>
      </c>
      <c r="H110" s="10" t="str">
        <f>IFERROR(INDEX('TRANS EMP EXTRACT - COST CENTRE'!$B$1:$Z$455,MATCH('Summary - Monthly'!$E110,'TRANS EMP EXTRACT - COST CENTRE'!$D:$D,0),MATCH('Summary - Monthly'!H$3,'TRANS EMP EXTRACT - COST CENTRE'!$2:$2,0)),"")</f>
        <v>RT</v>
      </c>
      <c r="I110" s="12" t="str">
        <f>IFERROR(INDEX('TRANS EMP EXTRACT - EMP CATEGOR'!$B$1:$AF$421,MATCH('Summary - Monthly'!$E110,'TRANS EMP EXTRACT - EMP CATEGOR'!$D:$D,0),MATCH('Summary - Monthly'!H$3,'TRANS EMP EXTRACT - EMP CATEGOR'!$2:$2,0)),"")</f>
        <v>RT</v>
      </c>
      <c r="J110" s="41">
        <f t="shared" ca="1" si="12"/>
        <v>13.638400000000001</v>
      </c>
      <c r="K110" s="41">
        <f t="shared" ca="1" si="17"/>
        <v>34.8767</v>
      </c>
      <c r="L110" s="10">
        <f>IFERROR(INDEX('TRANS EMP EXTRACT - COST CENTRE'!$A$1:$Z$455,MATCH('Summary - Monthly'!$A110,'TRANS EMP EXTRACT - COST CENTRE'!$A:$A,0),MATCH('Summary - Monthly'!L$3,'TRANS EMP EXTRACT - COST CENTRE'!$2:$2,0)),"")</f>
        <v>121.6</v>
      </c>
      <c r="M110" s="10">
        <f>IFERROR(INDEX('TRANS EMP EXTRACT - COST CENTRE'!$A$1:$Z$455,MATCH('Summary - Monthly'!$A110,'TRANS EMP EXTRACT - COST CENTRE'!$A:$A,0),MATCH('Summary - Monthly'!M$3,'TRANS EMP EXTRACT - COST CENTRE'!$2:$2,0)),0)</f>
        <v>0</v>
      </c>
      <c r="N110" s="10">
        <f>IFERROR(INDEX('TRANS EMP EXTRACT - COST CENTRE'!$A$1:$Z$455,MATCH('Summary - Monthly'!$A110,'TRANS EMP EXTRACT - COST CENTRE'!$A:$A,0),MATCH('Summary - Monthly'!N$3,'TRANS EMP EXTRACT - COST CENTRE'!$2:$2,0)),0)</f>
        <v>0</v>
      </c>
      <c r="O110" s="10">
        <f>IFERROR(INDEX('TRANS EMP EXTRACT - COST CENTRE'!$A$1:$Z$455,MATCH('Summary - Monthly'!$A110,'TRANS EMP EXTRACT - COST CENTRE'!$A:$A,0),MATCH('Summary - Monthly'!O$3,'TRANS EMP EXTRACT - COST CENTRE'!$2:$2,0)),0)</f>
        <v>30.4</v>
      </c>
      <c r="P110" s="10">
        <f>IFERROR(INDEX('TRANS EMP EXTRACT - COST CENTRE'!$A$1:$Z$455,MATCH('Summary - Monthly'!$A110,'TRANS EMP EXTRACT - COST CENTRE'!$A:$A,0),MATCH('Summary - Monthly'!P$3,'TRANS EMP EXTRACT - COST CENTRE'!$2:$2,0)),0)</f>
        <v>0</v>
      </c>
      <c r="Q110" s="10">
        <f>IFERROR(INDEX('TRANS EMP EXTRACT - COST CENTRE'!$A$1:$Z$455,MATCH('Summary - Monthly'!$A110,'TRANS EMP EXTRACT - COST CENTRE'!$A:$A,0),MATCH('Summary - Monthly'!Q$3,'TRANS EMP EXTRACT - COST CENTRE'!$2:$2,0)),0)</f>
        <v>4</v>
      </c>
      <c r="R110" s="10">
        <f>IFERROR(INDEX('TRANS EMP EXTRACT - COST CENTRE'!$A$1:$Z$455,MATCH('Summary - Monthly'!$A110,'TRANS EMP EXTRACT - COST CENTRE'!$A:$A,0),MATCH('Summary - Monthly'!R$3,'TRANS EMP EXTRACT - COST CENTRE'!$2:$2,0)),0)</f>
        <v>0</v>
      </c>
      <c r="S110" s="10">
        <f>IFERROR(INDEX('TRANS EMP EXTRACT - COST CENTRE'!$A$1:$Z$455,MATCH('Summary - Monthly'!$A110,'TRANS EMP EXTRACT - COST CENTRE'!$A:$A,0),MATCH('Summary - Monthly'!S$3,'TRANS EMP EXTRACT - COST CENTRE'!$2:$2,0)),0)</f>
        <v>0</v>
      </c>
      <c r="T110" s="8">
        <f>IFERROR(INDEX('TRANS EMP EXTRACT - COST CENTRE'!$A$1:$Z$455,MATCH('Summary - Monthly'!$A110,'TRANS EMP EXTRACT - COST CENTRE'!$A:$A,0),MATCH('Summary - Monthly'!T$3,'TRANS EMP EXTRACT - COST CENTRE'!$2:$2,0)),0)</f>
        <v>0</v>
      </c>
      <c r="U110" s="13">
        <f>IFERROR(INDEX('TRANS EMP EXTRACT - COST CENTRE'!$A$1:$Z$455,MATCH('Summary - Monthly'!$A110,'TRANS EMP EXTRACT - COST CENTRE'!$A:$A,0),MATCH('Summary - Monthly'!U$3,'TRANS EMP EXTRACT - COST CENTRE'!$2:$2,0)),0)</f>
        <v>0</v>
      </c>
      <c r="V110" s="13">
        <f>IFERROR(INDEX('TRANS EMP EXTRACT - COST CENTRE'!$A$1:$Z$455,MATCH('Summary - Monthly'!$A110,'TRANS EMP EXTRACT - COST CENTRE'!$A:$A,0),MATCH('Summary - Monthly'!V$3,'TRANS EMP EXTRACT - COST CENTRE'!$2:$2,0)),0)</f>
        <v>0</v>
      </c>
      <c r="W110" s="13">
        <f>IFERROR(INDEX('TRANS EMP EXTRACT - COST CENTRE'!$A$1:$Z$455,MATCH('Summary - Monthly'!$A110,'TRANS EMP EXTRACT - COST CENTRE'!$A:$A,0),MATCH('Summary - Monthly'!W$3,'TRANS EMP EXTRACT - COST CENTRE'!$2:$2,0)),0)</f>
        <v>0</v>
      </c>
      <c r="X110" s="13">
        <f>IFERROR(INDEX('TRANS EMP EXTRACT - COST CENTRE'!$A$1:$Z$455,MATCH('Summary - Monthly'!$A110,'TRANS EMP EXTRACT - COST CENTRE'!$A:$A,0),MATCH('Summary - Monthly'!X$3,'TRANS EMP EXTRACT - COST CENTRE'!$2:$2,0)),0)</f>
        <v>0</v>
      </c>
      <c r="Y110" s="13">
        <f>IFERROR(INDEX('TRANS EMP EXTRACT - COST CENTRE'!$A$1:$Z$455,MATCH('Summary - Monthly'!$A110,'TRANS EMP EXTRACT - COST CENTRE'!$A:$A,0),MATCH('Summary - Monthly'!Y$3,'TRANS EMP EXTRACT - COST CENTRE'!$2:$2,0)),0)</f>
        <v>0</v>
      </c>
      <c r="Z110" s="10">
        <f>IFERROR(INDEX('TRANS EMP EXTRACT - COST CENTRE'!$A$1:$Z$455,MATCH('Summary - Monthly'!$A110,'TRANS EMP EXTRACT - COST CENTRE'!$A:$A,0),MATCH('Summary - Monthly'!Z$3,'TRANS EMP EXTRACT - COST CENTRE'!$2:$2,0)),0)</f>
        <v>0</v>
      </c>
      <c r="AA110" s="10">
        <f>IFERROR(INDEX('TRANS EMP EXTRACT - COST CENTRE'!$A$1:$Z$455,MATCH('Summary - Monthly'!$A110,'TRANS EMP EXTRACT - COST CENTRE'!$A:$A,0),MATCH('Summary - Monthly'!AA$3,'TRANS EMP EXTRACT - COST CENTRE'!$2:$2,0)),0)</f>
        <v>0</v>
      </c>
      <c r="AB110" s="10">
        <f>IFERROR(INDEX('TRANS EMP EXTRACT - COST CENTRE'!$A$1:$Z$455,MATCH('Summary - Monthly'!$A110,'TRANS EMP EXTRACT - COST CENTRE'!$A:$A,0),MATCH('Summary - Monthly'!AB$3,'TRANS EMP EXTRACT - COST CENTRE'!$2:$2,0)),0)</f>
        <v>0</v>
      </c>
      <c r="AC110" s="8">
        <f>IFERROR(INDEX('TRANS EMP EXTRACT - COST CENTRE'!$A$1:$Z$455,MATCH('Summary - Monthly'!$A110,'TRANS EMP EXTRACT - COST CENTRE'!$A:$A,0),MATCH('Summary - Monthly'!AC$3,'TRANS EMP EXTRACT - COST CENTRE'!$2:$2,0)),0)</f>
        <v>0</v>
      </c>
      <c r="AD110" s="13">
        <f>IFERROR(INDEX('TRANS EMP EXTRACT - COST CENTRE'!$A$1:$Z$455,MATCH('Summary - Monthly'!$A110,'TRANS EMP EXTRACT - COST CENTRE'!$A:$A,0),MATCH('Summary - Monthly'!AD$3,'TRANS EMP EXTRACT - COST CENTRE'!$2:$2,0)),0)</f>
        <v>0</v>
      </c>
      <c r="AE110" s="13">
        <f>IFERROR(INDEX('TRANS EMP EXTRACT - COST CENTRE'!$A$1:$Z$455,MATCH('Summary - Monthly'!$A110,'TRANS EMP EXTRACT - COST CENTRE'!$A:$A,0),MATCH('Summary - Monthly'!AE$3,'TRANS EMP EXTRACT - COST CENTRE'!$2:$2,0)),0)</f>
        <v>0</v>
      </c>
      <c r="AF110" s="13">
        <f>IFERROR(INDEX('TRANS EMP EXTRACT - COST CENTRE'!$A$1:$Z$455,MATCH('Summary - Monthly'!$A110,'TRANS EMP EXTRACT - COST CENTRE'!$A:$A,0),MATCH('Summary - Monthly'!AF$3,'TRANS EMP EXTRACT - COST CENTRE'!$2:$2,0)),0)</f>
        <v>0</v>
      </c>
      <c r="AG110" s="10">
        <f>IFERROR(INDEX('TRANS EMP EXTRACT - COST CENTRE'!$A$1:$Z$455,MATCH('Summary - Monthly'!$A110,'TRANS EMP EXTRACT - COST CENTRE'!$A:$A,0),MATCH('Summary - Monthly'!AG$3,'TRANS EMP EXTRACT - COST CENTRE'!$2:$2,0)),0)</f>
        <v>0</v>
      </c>
      <c r="AH110" s="10">
        <f>IFERROR(INDEX('TRANS EMP EXTRACT - COST CENTRE'!$A$1:$Z$455,MATCH('Summary - Monthly'!$A110,'TRANS EMP EXTRACT - COST CENTRE'!$A:$A,0),MATCH('Summary - Monthly'!AH$3,'TRANS EMP EXTRACT - COST CENTRE'!$2:$2,0)),0)</f>
        <v>0</v>
      </c>
      <c r="AI110" s="10">
        <f>IFERROR(INDEX('TRANS EMP EXTRACT - COST CENTRE'!$A$1:$Z$455,MATCH('Summary - Monthly'!$A110,'TRANS EMP EXTRACT - COST CENTRE'!$A:$A,0),MATCH('Summary - Monthly'!AI$3,'TRANS EMP EXTRACT - COST CENTRE'!$2:$2,0)),0)</f>
        <v>0</v>
      </c>
      <c r="AJ110" s="10">
        <f>IFERROR(INDEX('TRANS EMP EXTRACT - COST CENTRE'!$A$1:$Z$455,MATCH('Summary - Monthly'!$A110,'TRANS EMP EXTRACT - COST CENTRE'!$A:$A,0),MATCH('Summary - Monthly'!AJ$3,'TRANS EMP EXTRACT - COST CENTRE'!$2:$2,0)),0)</f>
        <v>0</v>
      </c>
      <c r="AK110" s="10">
        <f>IFERROR(INDEX('TRANS EMP EXTRACT - COST CENTRE'!$A$1:$Z$455,MATCH('Summary - Monthly'!$A110,'TRANS EMP EXTRACT - COST CENTRE'!$A:$A,0),MATCH('Summary - Monthly'!AK$3,'TRANS EMP EXTRACT - COST CENTRE'!$2:$2,0)),0)</f>
        <v>0</v>
      </c>
      <c r="AL110" s="10">
        <f>IFERROR(INDEX('TRANS EMP EXTRACT - COST CENTRE'!$A$1:$Z$455,MATCH('Summary - Monthly'!$A110,'TRANS EMP EXTRACT - COST CENTRE'!$A:$A,0),MATCH('Summary - Monthly'!AL$3,'TRANS EMP EXTRACT - COST CENTRE'!$2:$2,0)),0)</f>
        <v>0</v>
      </c>
      <c r="AM110" s="10">
        <f t="shared" si="20"/>
        <v>156</v>
      </c>
      <c r="AN110" s="14">
        <f t="shared" si="13"/>
        <v>2.6315789473684209E-2</v>
      </c>
      <c r="AO110" s="18">
        <f t="shared" si="23"/>
        <v>1.0263157894736843</v>
      </c>
      <c r="AP110" s="18">
        <f t="shared" si="19"/>
        <v>1.0263157894736843</v>
      </c>
      <c r="AQ110" s="10" t="str">
        <f>IFERROR(VLOOKUP(B110,Departments!A:C,3,FALSE),"")</f>
        <v>Microbiology</v>
      </c>
      <c r="AR110" s="10" t="str">
        <f>IFERROR(VLOOKUP(B110,Departments!A:B,2,FALSE),"")</f>
        <v>Sydney Micro</v>
      </c>
      <c r="AS110" s="10">
        <f t="shared" si="21"/>
        <v>0</v>
      </c>
      <c r="AT110" s="10">
        <f t="shared" si="22"/>
        <v>0</v>
      </c>
      <c r="AU110" s="10" t="str">
        <f>_xlfn.IFNA(VLOOKUP(B110,Departments!A:D,4,FALSE),"")</f>
        <v>Sydney Micro</v>
      </c>
    </row>
    <row r="111" spans="1:47" ht="14.45" customHeight="1">
      <c r="A111" s="11" t="str">
        <f t="shared" si="16"/>
        <v>1204301118924</v>
      </c>
      <c r="B111" s="11">
        <f>'TRANS EMP EXTRACT - COST CENTRE'!B110</f>
        <v>12043011</v>
      </c>
      <c r="C111" s="10" t="str">
        <f>IFERROR(VLOOKUP(E111,'TRANS EMP EXTRACT - EMP CATEGOR'!A:B,2,FALSE),"")</f>
        <v>PT</v>
      </c>
      <c r="D111" s="10" t="str">
        <f>IFERROR(VLOOKUP(E111,'TRANS EMP EXTRACT - EMP CATEGOR'!A:C,3,FALSE),"")</f>
        <v>Parttime</v>
      </c>
      <c r="E111" s="11">
        <f>'TRANS EMP EXTRACT - COST CENTRE'!D110</f>
        <v>18924</v>
      </c>
      <c r="F111" s="10" t="str">
        <f>IFERROR(VLOOKUP(E111,'TRANS EMP EXTRACT - COST CENTRE'!D:E,2,FALSE),"")</f>
        <v>SAMANTHIPUDI VASUDEVAN  KOKILA MRS</v>
      </c>
      <c r="G111" s="12">
        <f>IFERROR(INDEX('TRANS EMP EXTRACT - COST CENTRE'!$A$1:$Z$455,MATCH('Summary - Monthly'!$A111,'TRANS EMP EXTRACT - COST CENTRE'!$A:$A,0),MATCH('Summary - Monthly'!G$3,'TRANS EMP EXTRACT - COST CENTRE'!$2:$2,0)),"")</f>
        <v>44102</v>
      </c>
      <c r="H111" s="10" t="str">
        <f>IFERROR(INDEX('TRANS EMP EXTRACT - COST CENTRE'!$B$1:$Z$455,MATCH('Summary - Monthly'!$E111,'TRANS EMP EXTRACT - COST CENTRE'!$D:$D,0),MATCH('Summary - Monthly'!H$3,'TRANS EMP EXTRACT - COST CENTRE'!$2:$2,0)),"")</f>
        <v>RT</v>
      </c>
      <c r="I111" s="12" t="str">
        <f>IFERROR(INDEX('TRANS EMP EXTRACT - EMP CATEGOR'!$B$1:$AF$421,MATCH('Summary - Monthly'!$E111,'TRANS EMP EXTRACT - EMP CATEGOR'!$D:$D,0),MATCH('Summary - Monthly'!H$3,'TRANS EMP EXTRACT - EMP CATEGOR'!$2:$2,0)),"")</f>
        <v>RT</v>
      </c>
      <c r="J111" s="41">
        <f t="shared" ca="1" si="12"/>
        <v>3.8942000000000001</v>
      </c>
      <c r="K111" s="41">
        <f t="shared" ca="1" si="17"/>
        <v>45.5884</v>
      </c>
      <c r="L111" s="10">
        <f>IFERROR(INDEX('TRANS EMP EXTRACT - COST CENTRE'!$A$1:$Z$455,MATCH('Summary - Monthly'!$A111,'TRANS EMP EXTRACT - COST CENTRE'!$A:$A,0),MATCH('Summary - Monthly'!L$3,'TRANS EMP EXTRACT - COST CENTRE'!$2:$2,0)),"")</f>
        <v>85</v>
      </c>
      <c r="M111" s="10">
        <f>IFERROR(INDEX('TRANS EMP EXTRACT - COST CENTRE'!$A$1:$Z$455,MATCH('Summary - Monthly'!$A111,'TRANS EMP EXTRACT - COST CENTRE'!$A:$A,0),MATCH('Summary - Monthly'!M$3,'TRANS EMP EXTRACT - COST CENTRE'!$2:$2,0)),0)</f>
        <v>0</v>
      </c>
      <c r="N111" s="10">
        <f>IFERROR(INDEX('TRANS EMP EXTRACT - COST CENTRE'!$A$1:$Z$455,MATCH('Summary - Monthly'!$A111,'TRANS EMP EXTRACT - COST CENTRE'!$A:$A,0),MATCH('Summary - Monthly'!N$3,'TRANS EMP EXTRACT - COST CENTRE'!$2:$2,0)),0)</f>
        <v>0</v>
      </c>
      <c r="O111" s="10">
        <f>IFERROR(INDEX('TRANS EMP EXTRACT - COST CENTRE'!$A$1:$Z$455,MATCH('Summary - Monthly'!$A111,'TRANS EMP EXTRACT - COST CENTRE'!$A:$A,0),MATCH('Summary - Monthly'!O$3,'TRANS EMP EXTRACT - COST CENTRE'!$2:$2,0)),0)</f>
        <v>0</v>
      </c>
      <c r="P111" s="10">
        <f>IFERROR(INDEX('TRANS EMP EXTRACT - COST CENTRE'!$A$1:$Z$455,MATCH('Summary - Monthly'!$A111,'TRANS EMP EXTRACT - COST CENTRE'!$A:$A,0),MATCH('Summary - Monthly'!P$3,'TRANS EMP EXTRACT - COST CENTRE'!$2:$2,0)),0)</f>
        <v>0</v>
      </c>
      <c r="Q111" s="10">
        <f>IFERROR(INDEX('TRANS EMP EXTRACT - COST CENTRE'!$A$1:$Z$455,MATCH('Summary - Monthly'!$A111,'TRANS EMP EXTRACT - COST CENTRE'!$A:$A,0),MATCH('Summary - Monthly'!Q$3,'TRANS EMP EXTRACT - COST CENTRE'!$2:$2,0)),0)</f>
        <v>2.4498000000000002</v>
      </c>
      <c r="R111" s="10">
        <f>IFERROR(INDEX('TRANS EMP EXTRACT - COST CENTRE'!$A$1:$Z$455,MATCH('Summary - Monthly'!$A111,'TRANS EMP EXTRACT - COST CENTRE'!$A:$A,0),MATCH('Summary - Monthly'!R$3,'TRANS EMP EXTRACT - COST CENTRE'!$2:$2,0)),0)</f>
        <v>0</v>
      </c>
      <c r="S111" s="10">
        <f>IFERROR(INDEX('TRANS EMP EXTRACT - COST CENTRE'!$A$1:$Z$455,MATCH('Summary - Monthly'!$A111,'TRANS EMP EXTRACT - COST CENTRE'!$A:$A,0),MATCH('Summary - Monthly'!S$3,'TRANS EMP EXTRACT - COST CENTRE'!$2:$2,0)),0)</f>
        <v>0</v>
      </c>
      <c r="T111" s="8">
        <f>IFERROR(INDEX('TRANS EMP EXTRACT - COST CENTRE'!$A$1:$Z$455,MATCH('Summary - Monthly'!$A111,'TRANS EMP EXTRACT - COST CENTRE'!$A:$A,0),MATCH('Summary - Monthly'!T$3,'TRANS EMP EXTRACT - COST CENTRE'!$2:$2,0)),0)</f>
        <v>0</v>
      </c>
      <c r="U111" s="13">
        <f>IFERROR(INDEX('TRANS EMP EXTRACT - COST CENTRE'!$A$1:$Z$455,MATCH('Summary - Monthly'!$A111,'TRANS EMP EXTRACT - COST CENTRE'!$A:$A,0),MATCH('Summary - Monthly'!U$3,'TRANS EMP EXTRACT - COST CENTRE'!$2:$2,0)),0)</f>
        <v>0</v>
      </c>
      <c r="V111" s="13">
        <f>IFERROR(INDEX('TRANS EMP EXTRACT - COST CENTRE'!$A$1:$Z$455,MATCH('Summary - Monthly'!$A111,'TRANS EMP EXTRACT - COST CENTRE'!$A:$A,0),MATCH('Summary - Monthly'!V$3,'TRANS EMP EXTRACT - COST CENTRE'!$2:$2,0)),0)</f>
        <v>10</v>
      </c>
      <c r="W111" s="13">
        <f>IFERROR(INDEX('TRANS EMP EXTRACT - COST CENTRE'!$A$1:$Z$455,MATCH('Summary - Monthly'!$A111,'TRANS EMP EXTRACT - COST CENTRE'!$A:$A,0),MATCH('Summary - Monthly'!W$3,'TRANS EMP EXTRACT - COST CENTRE'!$2:$2,0)),0)</f>
        <v>0</v>
      </c>
      <c r="X111" s="13">
        <f>IFERROR(INDEX('TRANS EMP EXTRACT - COST CENTRE'!$A$1:$Z$455,MATCH('Summary - Monthly'!$A111,'TRANS EMP EXTRACT - COST CENTRE'!$A:$A,0),MATCH('Summary - Monthly'!X$3,'TRANS EMP EXTRACT - COST CENTRE'!$2:$2,0)),0)</f>
        <v>0</v>
      </c>
      <c r="Y111" s="13">
        <f>IFERROR(INDEX('TRANS EMP EXTRACT - COST CENTRE'!$A$1:$Z$455,MATCH('Summary - Monthly'!$A111,'TRANS EMP EXTRACT - COST CENTRE'!$A:$A,0),MATCH('Summary - Monthly'!Y$3,'TRANS EMP EXTRACT - COST CENTRE'!$2:$2,0)),0)</f>
        <v>0</v>
      </c>
      <c r="Z111" s="10">
        <f>IFERROR(INDEX('TRANS EMP EXTRACT - COST CENTRE'!$A$1:$Z$455,MATCH('Summary - Monthly'!$A111,'TRANS EMP EXTRACT - COST CENTRE'!$A:$A,0),MATCH('Summary - Monthly'!Z$3,'TRANS EMP EXTRACT - COST CENTRE'!$2:$2,0)),0)</f>
        <v>5</v>
      </c>
      <c r="AA111" s="10">
        <f>IFERROR(INDEX('TRANS EMP EXTRACT - COST CENTRE'!$A$1:$Z$455,MATCH('Summary - Monthly'!$A111,'TRANS EMP EXTRACT - COST CENTRE'!$A:$A,0),MATCH('Summary - Monthly'!AA$3,'TRANS EMP EXTRACT - COST CENTRE'!$2:$2,0)),0)</f>
        <v>0</v>
      </c>
      <c r="AB111" s="10">
        <f>IFERROR(INDEX('TRANS EMP EXTRACT - COST CENTRE'!$A$1:$Z$455,MATCH('Summary - Monthly'!$A111,'TRANS EMP EXTRACT - COST CENTRE'!$A:$A,0),MATCH('Summary - Monthly'!AB$3,'TRANS EMP EXTRACT - COST CENTRE'!$2:$2,0)),0)</f>
        <v>0</v>
      </c>
      <c r="AC111" s="8">
        <f>IFERROR(INDEX('TRANS EMP EXTRACT - COST CENTRE'!$A$1:$Z$455,MATCH('Summary - Monthly'!$A111,'TRANS EMP EXTRACT - COST CENTRE'!$A:$A,0),MATCH('Summary - Monthly'!AC$3,'TRANS EMP EXTRACT - COST CENTRE'!$2:$2,0)),0)</f>
        <v>0</v>
      </c>
      <c r="AD111" s="13">
        <f>IFERROR(INDEX('TRANS EMP EXTRACT - COST CENTRE'!$A$1:$Z$455,MATCH('Summary - Monthly'!$A111,'TRANS EMP EXTRACT - COST CENTRE'!$A:$A,0),MATCH('Summary - Monthly'!AD$3,'TRANS EMP EXTRACT - COST CENTRE'!$2:$2,0)),0)</f>
        <v>0</v>
      </c>
      <c r="AE111" s="13">
        <f>IFERROR(INDEX('TRANS EMP EXTRACT - COST CENTRE'!$A$1:$Z$455,MATCH('Summary - Monthly'!$A111,'TRANS EMP EXTRACT - COST CENTRE'!$A:$A,0),MATCH('Summary - Monthly'!AE$3,'TRANS EMP EXTRACT - COST CENTRE'!$2:$2,0)),0)</f>
        <v>0</v>
      </c>
      <c r="AF111" s="13">
        <f>IFERROR(INDEX('TRANS EMP EXTRACT - COST CENTRE'!$A$1:$Z$455,MATCH('Summary - Monthly'!$A111,'TRANS EMP EXTRACT - COST CENTRE'!$A:$A,0),MATCH('Summary - Monthly'!AF$3,'TRANS EMP EXTRACT - COST CENTRE'!$2:$2,0)),0)</f>
        <v>0</v>
      </c>
      <c r="AG111" s="10">
        <f>IFERROR(INDEX('TRANS EMP EXTRACT - COST CENTRE'!$A$1:$Z$455,MATCH('Summary - Monthly'!$A111,'TRANS EMP EXTRACT - COST CENTRE'!$A:$A,0),MATCH('Summary - Monthly'!AG$3,'TRANS EMP EXTRACT - COST CENTRE'!$2:$2,0)),0)</f>
        <v>0</v>
      </c>
      <c r="AH111" s="10">
        <f>IFERROR(INDEX('TRANS EMP EXTRACT - COST CENTRE'!$A$1:$Z$455,MATCH('Summary - Monthly'!$A111,'TRANS EMP EXTRACT - COST CENTRE'!$A:$A,0),MATCH('Summary - Monthly'!AH$3,'TRANS EMP EXTRACT - COST CENTRE'!$2:$2,0)),0)</f>
        <v>0</v>
      </c>
      <c r="AI111" s="10">
        <f>IFERROR(INDEX('TRANS EMP EXTRACT - COST CENTRE'!$A$1:$Z$455,MATCH('Summary - Monthly'!$A111,'TRANS EMP EXTRACT - COST CENTRE'!$A:$A,0),MATCH('Summary - Monthly'!AI$3,'TRANS EMP EXTRACT - COST CENTRE'!$2:$2,0)),0)</f>
        <v>0</v>
      </c>
      <c r="AJ111" s="10">
        <f>IFERROR(INDEX('TRANS EMP EXTRACT - COST CENTRE'!$A$1:$Z$455,MATCH('Summary - Monthly'!$A111,'TRANS EMP EXTRACT - COST CENTRE'!$A:$A,0),MATCH('Summary - Monthly'!AJ$3,'TRANS EMP EXTRACT - COST CENTRE'!$2:$2,0)),0)</f>
        <v>0</v>
      </c>
      <c r="AK111" s="10">
        <f>IFERROR(INDEX('TRANS EMP EXTRACT - COST CENTRE'!$A$1:$Z$455,MATCH('Summary - Monthly'!$A111,'TRANS EMP EXTRACT - COST CENTRE'!$A:$A,0),MATCH('Summary - Monthly'!AK$3,'TRANS EMP EXTRACT - COST CENTRE'!$2:$2,0)),0)</f>
        <v>0</v>
      </c>
      <c r="AL111" s="10">
        <f>IFERROR(INDEX('TRANS EMP EXTRACT - COST CENTRE'!$A$1:$Z$455,MATCH('Summary - Monthly'!$A111,'TRANS EMP EXTRACT - COST CENTRE'!$A:$A,0),MATCH('Summary - Monthly'!AL$3,'TRANS EMP EXTRACT - COST CENTRE'!$2:$2,0)),0)</f>
        <v>0</v>
      </c>
      <c r="AM111" s="10">
        <f t="shared" si="20"/>
        <v>97.449799999999996</v>
      </c>
      <c r="AN111" s="14">
        <f t="shared" si="13"/>
        <v>1.6117105263157894E-2</v>
      </c>
      <c r="AO111" s="18">
        <f t="shared" si="23"/>
        <v>0.6411171052631579</v>
      </c>
      <c r="AP111" s="18">
        <f t="shared" si="19"/>
        <v>0.5753276315789474</v>
      </c>
      <c r="AQ111" s="10" t="str">
        <f>IFERROR(VLOOKUP(B111,Departments!A:C,3,FALSE),"")</f>
        <v>Microbiology</v>
      </c>
      <c r="AR111" s="10" t="str">
        <f>IFERROR(VLOOKUP(B111,Departments!A:B,2,FALSE),"")</f>
        <v>Bris Micro</v>
      </c>
      <c r="AS111" s="10">
        <f t="shared" si="21"/>
        <v>15</v>
      </c>
      <c r="AT111" s="10">
        <f t="shared" si="22"/>
        <v>15</v>
      </c>
      <c r="AU111" s="10" t="str">
        <f>_xlfn.IFNA(VLOOKUP(B111,Departments!A:D,4,FALSE),"")</f>
        <v>Brisbane Micro</v>
      </c>
    </row>
    <row r="112" spans="1:47" ht="14.45" customHeight="1">
      <c r="A112" s="11" t="str">
        <f t="shared" si="16"/>
        <v>1202050018893</v>
      </c>
      <c r="B112" s="11">
        <f>'TRANS EMP EXTRACT - COST CENTRE'!B111</f>
        <v>12020500</v>
      </c>
      <c r="C112" s="10" t="str">
        <f>IFERROR(VLOOKUP(E112,'TRANS EMP EXTRACT - EMP CATEGOR'!A:B,2,FALSE),"")</f>
        <v>PT</v>
      </c>
      <c r="D112" s="10" t="str">
        <f>IFERROR(VLOOKUP(E112,'TRANS EMP EXTRACT - EMP CATEGOR'!A:C,3,FALSE),"")</f>
        <v>Parttime</v>
      </c>
      <c r="E112" s="11">
        <f>'TRANS EMP EXTRACT - COST CENTRE'!D111</f>
        <v>18893</v>
      </c>
      <c r="F112" s="10" t="str">
        <f>IFERROR(VLOOKUP(E112,'TRANS EMP EXTRACT - COST CENTRE'!D:E,2,FALSE),"")</f>
        <v>SANOBER  FAHMI MS</v>
      </c>
      <c r="G112" s="12">
        <f>IFERROR(INDEX('TRANS EMP EXTRACT - COST CENTRE'!$A$1:$Z$455,MATCH('Summary - Monthly'!$A112,'TRANS EMP EXTRACT - COST CENTRE'!$A:$A,0),MATCH('Summary - Monthly'!G$3,'TRANS EMP EXTRACT - COST CENTRE'!$2:$2,0)),"")</f>
        <v>43773</v>
      </c>
      <c r="H112" s="10" t="str">
        <f>IFERROR(INDEX('TRANS EMP EXTRACT - COST CENTRE'!$B$1:$Z$455,MATCH('Summary - Monthly'!$E112,'TRANS EMP EXTRACT - COST CENTRE'!$D:$D,0),MATCH('Summary - Monthly'!H$3,'TRANS EMP EXTRACT - COST CENTRE'!$2:$2,0)),"")</f>
        <v>FN</v>
      </c>
      <c r="I112" s="12" t="str">
        <f>IFERROR(INDEX('TRANS EMP EXTRACT - EMP CATEGOR'!$B$1:$AF$421,MATCH('Summary - Monthly'!$E112,'TRANS EMP EXTRACT - EMP CATEGOR'!$D:$D,0),MATCH('Summary - Monthly'!H$3,'TRANS EMP EXTRACT - EMP CATEGOR'!$2:$2,0)),"")</f>
        <v>FN</v>
      </c>
      <c r="J112" s="41">
        <f t="shared" ca="1" si="12"/>
        <v>18.269600000000001</v>
      </c>
      <c r="K112" s="41">
        <f t="shared" ca="1" si="17"/>
        <v>19.9392</v>
      </c>
      <c r="L112" s="10">
        <f>IFERROR(INDEX('TRANS EMP EXTRACT - COST CENTRE'!$A$1:$Z$455,MATCH('Summary - Monthly'!$A112,'TRANS EMP EXTRACT - COST CENTRE'!$A:$A,0),MATCH('Summary - Monthly'!L$3,'TRANS EMP EXTRACT - COST CENTRE'!$2:$2,0)),"")</f>
        <v>91.2</v>
      </c>
      <c r="M112" s="10">
        <f>IFERROR(INDEX('TRANS EMP EXTRACT - COST CENTRE'!$A$1:$Z$455,MATCH('Summary - Monthly'!$A112,'TRANS EMP EXTRACT - COST CENTRE'!$A:$A,0),MATCH('Summary - Monthly'!M$3,'TRANS EMP EXTRACT - COST CENTRE'!$2:$2,0)),0)</f>
        <v>0</v>
      </c>
      <c r="N112" s="10">
        <f>IFERROR(INDEX('TRANS EMP EXTRACT - COST CENTRE'!$A$1:$Z$455,MATCH('Summary - Monthly'!$A112,'TRANS EMP EXTRACT - COST CENTRE'!$A:$A,0),MATCH('Summary - Monthly'!N$3,'TRANS EMP EXTRACT - COST CENTRE'!$2:$2,0)),0)</f>
        <v>0</v>
      </c>
      <c r="O112" s="10">
        <f>IFERROR(INDEX('TRANS EMP EXTRACT - COST CENTRE'!$A$1:$Z$455,MATCH('Summary - Monthly'!$A112,'TRANS EMP EXTRACT - COST CENTRE'!$A:$A,0),MATCH('Summary - Monthly'!O$3,'TRANS EMP EXTRACT - COST CENTRE'!$2:$2,0)),0)</f>
        <v>0</v>
      </c>
      <c r="P112" s="10">
        <f>IFERROR(INDEX('TRANS EMP EXTRACT - COST CENTRE'!$A$1:$Z$455,MATCH('Summary - Monthly'!$A112,'TRANS EMP EXTRACT - COST CENTRE'!$A:$A,0),MATCH('Summary - Monthly'!P$3,'TRANS EMP EXTRACT - COST CENTRE'!$2:$2,0)),0)</f>
        <v>0</v>
      </c>
      <c r="Q112" s="10">
        <f>IFERROR(INDEX('TRANS EMP EXTRACT - COST CENTRE'!$A$1:$Z$455,MATCH('Summary - Monthly'!$A112,'TRANS EMP EXTRACT - COST CENTRE'!$A:$A,0),MATCH('Summary - Monthly'!Q$3,'TRANS EMP EXTRACT - COST CENTRE'!$2:$2,0)),0)</f>
        <v>0</v>
      </c>
      <c r="R112" s="10">
        <f>IFERROR(INDEX('TRANS EMP EXTRACT - COST CENTRE'!$A$1:$Z$455,MATCH('Summary - Monthly'!$A112,'TRANS EMP EXTRACT - COST CENTRE'!$A:$A,0),MATCH('Summary - Monthly'!R$3,'TRANS EMP EXTRACT - COST CENTRE'!$2:$2,0)),0)</f>
        <v>0</v>
      </c>
      <c r="S112" s="10">
        <f>IFERROR(INDEX('TRANS EMP EXTRACT - COST CENTRE'!$A$1:$Z$455,MATCH('Summary - Monthly'!$A112,'TRANS EMP EXTRACT - COST CENTRE'!$A:$A,0),MATCH('Summary - Monthly'!S$3,'TRANS EMP EXTRACT - COST CENTRE'!$2:$2,0)),0)</f>
        <v>0</v>
      </c>
      <c r="T112" s="8">
        <f>IFERROR(INDEX('TRANS EMP EXTRACT - COST CENTRE'!$A$1:$Z$455,MATCH('Summary - Monthly'!$A112,'TRANS EMP EXTRACT - COST CENTRE'!$A:$A,0),MATCH('Summary - Monthly'!T$3,'TRANS EMP EXTRACT - COST CENTRE'!$2:$2,0)),0)</f>
        <v>0</v>
      </c>
      <c r="U112" s="13">
        <f>IFERROR(INDEX('TRANS EMP EXTRACT - COST CENTRE'!$A$1:$Z$455,MATCH('Summary - Monthly'!$A112,'TRANS EMP EXTRACT - COST CENTRE'!$A:$A,0),MATCH('Summary - Monthly'!U$3,'TRANS EMP EXTRACT - COST CENTRE'!$2:$2,0)),0)</f>
        <v>0</v>
      </c>
      <c r="V112" s="13">
        <f>IFERROR(INDEX('TRANS EMP EXTRACT - COST CENTRE'!$A$1:$Z$455,MATCH('Summary - Monthly'!$A112,'TRANS EMP EXTRACT - COST CENTRE'!$A:$A,0),MATCH('Summary - Monthly'!V$3,'TRANS EMP EXTRACT - COST CENTRE'!$2:$2,0)),0)</f>
        <v>0</v>
      </c>
      <c r="W112" s="13">
        <f>IFERROR(INDEX('TRANS EMP EXTRACT - COST CENTRE'!$A$1:$Z$455,MATCH('Summary - Monthly'!$A112,'TRANS EMP EXTRACT - COST CENTRE'!$A:$A,0),MATCH('Summary - Monthly'!W$3,'TRANS EMP EXTRACT - COST CENTRE'!$2:$2,0)),0)</f>
        <v>0</v>
      </c>
      <c r="X112" s="13">
        <f>IFERROR(INDEX('TRANS EMP EXTRACT - COST CENTRE'!$A$1:$Z$455,MATCH('Summary - Monthly'!$A112,'TRANS EMP EXTRACT - COST CENTRE'!$A:$A,0),MATCH('Summary - Monthly'!X$3,'TRANS EMP EXTRACT - COST CENTRE'!$2:$2,0)),0)</f>
        <v>0</v>
      </c>
      <c r="Y112" s="13">
        <f>IFERROR(INDEX('TRANS EMP EXTRACT - COST CENTRE'!$A$1:$Z$455,MATCH('Summary - Monthly'!$A112,'TRANS EMP EXTRACT - COST CENTRE'!$A:$A,0),MATCH('Summary - Monthly'!Y$3,'TRANS EMP EXTRACT - COST CENTRE'!$2:$2,0)),0)</f>
        <v>0</v>
      </c>
      <c r="Z112" s="10">
        <f>IFERROR(INDEX('TRANS EMP EXTRACT - COST CENTRE'!$A$1:$Z$455,MATCH('Summary - Monthly'!$A112,'TRANS EMP EXTRACT - COST CENTRE'!$A:$A,0),MATCH('Summary - Monthly'!Z$3,'TRANS EMP EXTRACT - COST CENTRE'!$2:$2,0)),0)</f>
        <v>0</v>
      </c>
      <c r="AA112" s="10">
        <f>IFERROR(INDEX('TRANS EMP EXTRACT - COST CENTRE'!$A$1:$Z$455,MATCH('Summary - Monthly'!$A112,'TRANS EMP EXTRACT - COST CENTRE'!$A:$A,0),MATCH('Summary - Monthly'!AA$3,'TRANS EMP EXTRACT - COST CENTRE'!$2:$2,0)),0)</f>
        <v>0</v>
      </c>
      <c r="AB112" s="10">
        <f>IFERROR(INDEX('TRANS EMP EXTRACT - COST CENTRE'!$A$1:$Z$455,MATCH('Summary - Monthly'!$A112,'TRANS EMP EXTRACT - COST CENTRE'!$A:$A,0),MATCH('Summary - Monthly'!AB$3,'TRANS EMP EXTRACT - COST CENTRE'!$2:$2,0)),0)</f>
        <v>0</v>
      </c>
      <c r="AC112" s="8">
        <f>IFERROR(INDEX('TRANS EMP EXTRACT - COST CENTRE'!$A$1:$Z$455,MATCH('Summary - Monthly'!$A112,'TRANS EMP EXTRACT - COST CENTRE'!$A:$A,0),MATCH('Summary - Monthly'!AC$3,'TRANS EMP EXTRACT - COST CENTRE'!$2:$2,0)),0)</f>
        <v>0</v>
      </c>
      <c r="AD112" s="13">
        <f>IFERROR(INDEX('TRANS EMP EXTRACT - COST CENTRE'!$A$1:$Z$455,MATCH('Summary - Monthly'!$A112,'TRANS EMP EXTRACT - COST CENTRE'!$A:$A,0),MATCH('Summary - Monthly'!AD$3,'TRANS EMP EXTRACT - COST CENTRE'!$2:$2,0)),0)</f>
        <v>0</v>
      </c>
      <c r="AE112" s="13">
        <f>IFERROR(INDEX('TRANS EMP EXTRACT - COST CENTRE'!$A$1:$Z$455,MATCH('Summary - Monthly'!$A112,'TRANS EMP EXTRACT - COST CENTRE'!$A:$A,0),MATCH('Summary - Monthly'!AE$3,'TRANS EMP EXTRACT - COST CENTRE'!$2:$2,0)),0)</f>
        <v>0</v>
      </c>
      <c r="AF112" s="13">
        <f>IFERROR(INDEX('TRANS EMP EXTRACT - COST CENTRE'!$A$1:$Z$455,MATCH('Summary - Monthly'!$A112,'TRANS EMP EXTRACT - COST CENTRE'!$A:$A,0),MATCH('Summary - Monthly'!AF$3,'TRANS EMP EXTRACT - COST CENTRE'!$2:$2,0)),0)</f>
        <v>0</v>
      </c>
      <c r="AG112" s="10">
        <f>IFERROR(INDEX('TRANS EMP EXTRACT - COST CENTRE'!$A$1:$Z$455,MATCH('Summary - Monthly'!$A112,'TRANS EMP EXTRACT - COST CENTRE'!$A:$A,0),MATCH('Summary - Monthly'!AG$3,'TRANS EMP EXTRACT - COST CENTRE'!$2:$2,0)),0)</f>
        <v>0</v>
      </c>
      <c r="AH112" s="10">
        <f>IFERROR(INDEX('TRANS EMP EXTRACT - COST CENTRE'!$A$1:$Z$455,MATCH('Summary - Monthly'!$A112,'TRANS EMP EXTRACT - COST CENTRE'!$A:$A,0),MATCH('Summary - Monthly'!AH$3,'TRANS EMP EXTRACT - COST CENTRE'!$2:$2,0)),0)</f>
        <v>0</v>
      </c>
      <c r="AI112" s="10">
        <f>IFERROR(INDEX('TRANS EMP EXTRACT - COST CENTRE'!$A$1:$Z$455,MATCH('Summary - Monthly'!$A112,'TRANS EMP EXTRACT - COST CENTRE'!$A:$A,0),MATCH('Summary - Monthly'!AI$3,'TRANS EMP EXTRACT - COST CENTRE'!$2:$2,0)),0)</f>
        <v>0</v>
      </c>
      <c r="AJ112" s="10">
        <f>IFERROR(INDEX('TRANS EMP EXTRACT - COST CENTRE'!$A$1:$Z$455,MATCH('Summary - Monthly'!$A112,'TRANS EMP EXTRACT - COST CENTRE'!$A:$A,0),MATCH('Summary - Monthly'!AJ$3,'TRANS EMP EXTRACT - COST CENTRE'!$2:$2,0)),0)</f>
        <v>0</v>
      </c>
      <c r="AK112" s="10">
        <f>IFERROR(INDEX('TRANS EMP EXTRACT - COST CENTRE'!$A$1:$Z$455,MATCH('Summary - Monthly'!$A112,'TRANS EMP EXTRACT - COST CENTRE'!$A:$A,0),MATCH('Summary - Monthly'!AK$3,'TRANS EMP EXTRACT - COST CENTRE'!$2:$2,0)),0)</f>
        <v>0</v>
      </c>
      <c r="AL112" s="10">
        <f>IFERROR(INDEX('TRANS EMP EXTRACT - COST CENTRE'!$A$1:$Z$455,MATCH('Summary - Monthly'!$A112,'TRANS EMP EXTRACT - COST CENTRE'!$A:$A,0),MATCH('Summary - Monthly'!AL$3,'TRANS EMP EXTRACT - COST CENTRE'!$2:$2,0)),0)</f>
        <v>0</v>
      </c>
      <c r="AM112" s="10">
        <f t="shared" si="20"/>
        <v>91.2</v>
      </c>
      <c r="AN112" s="14">
        <f t="shared" si="13"/>
        <v>0</v>
      </c>
      <c r="AO112" s="18">
        <f t="shared" si="23"/>
        <v>0.6</v>
      </c>
      <c r="AP112" s="18">
        <f t="shared" si="19"/>
        <v>0.6</v>
      </c>
      <c r="AQ112" s="10" t="str">
        <f>IFERROR(VLOOKUP(B112,Departments!A:C,3,FALSE),"")</f>
        <v>Lab Admin</v>
      </c>
      <c r="AR112" s="10" t="str">
        <f>IFERROR(VLOOKUP(B112,Departments!A:B,2,FALSE),"")</f>
        <v>Sydney Lab Admin</v>
      </c>
      <c r="AS112" s="10">
        <f t="shared" si="21"/>
        <v>0</v>
      </c>
      <c r="AT112" s="10">
        <f t="shared" si="22"/>
        <v>0</v>
      </c>
      <c r="AU112" s="10" t="str">
        <f>_xlfn.IFNA(VLOOKUP(B112,Departments!A:D,4,FALSE),"")</f>
        <v>Sydney Lab Admin</v>
      </c>
    </row>
    <row r="113" spans="1:47" ht="14.45" customHeight="1">
      <c r="A113" s="11" t="str">
        <f t="shared" si="16"/>
        <v>12022511145</v>
      </c>
      <c r="B113" s="11">
        <f>'TRANS EMP EXTRACT - COST CENTRE'!B112</f>
        <v>12022511</v>
      </c>
      <c r="C113" s="10" t="str">
        <f>IFERROR(VLOOKUP(E113,'TRANS EMP EXTRACT - EMP CATEGOR'!A:B,2,FALSE),"")</f>
        <v>FT</v>
      </c>
      <c r="D113" s="10" t="str">
        <f>IFERROR(VLOOKUP(E113,'TRANS EMP EXTRACT - EMP CATEGOR'!A:C,3,FALSE),"")</f>
        <v>Fulltime</v>
      </c>
      <c r="E113" s="11">
        <f>'TRANS EMP EXTRACT - COST CENTRE'!D112</f>
        <v>145</v>
      </c>
      <c r="F113" s="10" t="str">
        <f>IFERROR(VLOOKUP(E113,'TRANS EMP EXTRACT - COST CENTRE'!D:E,2,FALSE),"")</f>
        <v>SCHOLZ  ERAN MR</v>
      </c>
      <c r="G113" s="12">
        <f>IFERROR(INDEX('TRANS EMP EXTRACT - COST CENTRE'!$A$1:$Z$455,MATCH('Summary - Monthly'!$A113,'TRANS EMP EXTRACT - COST CENTRE'!$A:$A,0),MATCH('Summary - Monthly'!G$3,'TRANS EMP EXTRACT - COST CENTRE'!$2:$2,0)),"")</f>
        <v>38460</v>
      </c>
      <c r="H113" s="10" t="str">
        <f>IFERROR(INDEX('TRANS EMP EXTRACT - COST CENTRE'!$B$1:$Z$455,MATCH('Summary - Monthly'!$E113,'TRANS EMP EXTRACT - COST CENTRE'!$D:$D,0),MATCH('Summary - Monthly'!H$3,'TRANS EMP EXTRACT - COST CENTRE'!$2:$2,0)),"")</f>
        <v>RT</v>
      </c>
      <c r="I113" s="12" t="str">
        <f>IFERROR(INDEX('TRANS EMP EXTRACT - EMP CATEGOR'!$B$1:$AF$421,MATCH('Summary - Monthly'!$E113,'TRANS EMP EXTRACT - EMP CATEGOR'!$D:$D,0),MATCH('Summary - Monthly'!H$3,'TRANS EMP EXTRACT - EMP CATEGOR'!$2:$2,0)),"")</f>
        <v>RT</v>
      </c>
      <c r="J113" s="41">
        <f t="shared" ca="1" si="12"/>
        <v>17.129200000000001</v>
      </c>
      <c r="K113" s="41">
        <f t="shared" ca="1" si="17"/>
        <v>290.69959999999998</v>
      </c>
      <c r="L113" s="10">
        <f>IFERROR(INDEX('TRANS EMP EXTRACT - COST CENTRE'!$A$1:$Z$455,MATCH('Summary - Monthly'!$A113,'TRANS EMP EXTRACT - COST CENTRE'!$A:$A,0),MATCH('Summary - Monthly'!L$3,'TRANS EMP EXTRACT - COST CENTRE'!$2:$2,0)),"")</f>
        <v>152</v>
      </c>
      <c r="M113" s="10">
        <f>IFERROR(INDEX('TRANS EMP EXTRACT - COST CENTRE'!$A$1:$Z$455,MATCH('Summary - Monthly'!$A113,'TRANS EMP EXTRACT - COST CENTRE'!$A:$A,0),MATCH('Summary - Monthly'!M$3,'TRANS EMP EXTRACT - COST CENTRE'!$2:$2,0)),0)</f>
        <v>0</v>
      </c>
      <c r="N113" s="10">
        <f>IFERROR(INDEX('TRANS EMP EXTRACT - COST CENTRE'!$A$1:$Z$455,MATCH('Summary - Monthly'!$A113,'TRANS EMP EXTRACT - COST CENTRE'!$A:$A,0),MATCH('Summary - Monthly'!N$3,'TRANS EMP EXTRACT - COST CENTRE'!$2:$2,0)),0)</f>
        <v>0</v>
      </c>
      <c r="O113" s="10">
        <f>IFERROR(INDEX('TRANS EMP EXTRACT - COST CENTRE'!$A$1:$Z$455,MATCH('Summary - Monthly'!$A113,'TRANS EMP EXTRACT - COST CENTRE'!$A:$A,0),MATCH('Summary - Monthly'!O$3,'TRANS EMP EXTRACT - COST CENTRE'!$2:$2,0)),0)</f>
        <v>0</v>
      </c>
      <c r="P113" s="10">
        <f>IFERROR(INDEX('TRANS EMP EXTRACT - COST CENTRE'!$A$1:$Z$455,MATCH('Summary - Monthly'!$A113,'TRANS EMP EXTRACT - COST CENTRE'!$A:$A,0),MATCH('Summary - Monthly'!P$3,'TRANS EMP EXTRACT - COST CENTRE'!$2:$2,0)),0)</f>
        <v>0</v>
      </c>
      <c r="Q113" s="10">
        <f>IFERROR(INDEX('TRANS EMP EXTRACT - COST CENTRE'!$A$1:$Z$455,MATCH('Summary - Monthly'!$A113,'TRANS EMP EXTRACT - COST CENTRE'!$A:$A,0),MATCH('Summary - Monthly'!Q$3,'TRANS EMP EXTRACT - COST CENTRE'!$2:$2,0)),0)</f>
        <v>2</v>
      </c>
      <c r="R113" s="10">
        <f>IFERROR(INDEX('TRANS EMP EXTRACT - COST CENTRE'!$A$1:$Z$455,MATCH('Summary - Monthly'!$A113,'TRANS EMP EXTRACT - COST CENTRE'!$A:$A,0),MATCH('Summary - Monthly'!R$3,'TRANS EMP EXTRACT - COST CENTRE'!$2:$2,0)),0)</f>
        <v>0</v>
      </c>
      <c r="S113" s="10">
        <f>IFERROR(INDEX('TRANS EMP EXTRACT - COST CENTRE'!$A$1:$Z$455,MATCH('Summary - Monthly'!$A113,'TRANS EMP EXTRACT - COST CENTRE'!$A:$A,0),MATCH('Summary - Monthly'!S$3,'TRANS EMP EXTRACT - COST CENTRE'!$2:$2,0)),0)</f>
        <v>0</v>
      </c>
      <c r="T113" s="8">
        <f>IFERROR(INDEX('TRANS EMP EXTRACT - COST CENTRE'!$A$1:$Z$455,MATCH('Summary - Monthly'!$A113,'TRANS EMP EXTRACT - COST CENTRE'!$A:$A,0),MATCH('Summary - Monthly'!T$3,'TRANS EMP EXTRACT - COST CENTRE'!$2:$2,0)),0)</f>
        <v>0</v>
      </c>
      <c r="U113" s="13">
        <f>IFERROR(INDEX('TRANS EMP EXTRACT - COST CENTRE'!$A$1:$Z$455,MATCH('Summary - Monthly'!$A113,'TRANS EMP EXTRACT - COST CENTRE'!$A:$A,0),MATCH('Summary - Monthly'!U$3,'TRANS EMP EXTRACT - COST CENTRE'!$2:$2,0)),0)</f>
        <v>0</v>
      </c>
      <c r="V113" s="13">
        <f>IFERROR(INDEX('TRANS EMP EXTRACT - COST CENTRE'!$A$1:$Z$455,MATCH('Summary - Monthly'!$A113,'TRANS EMP EXTRACT - COST CENTRE'!$A:$A,0),MATCH('Summary - Monthly'!V$3,'TRANS EMP EXTRACT - COST CENTRE'!$2:$2,0)),0)</f>
        <v>0</v>
      </c>
      <c r="W113" s="13">
        <f>IFERROR(INDEX('TRANS EMP EXTRACT - COST CENTRE'!$A$1:$Z$455,MATCH('Summary - Monthly'!$A113,'TRANS EMP EXTRACT - COST CENTRE'!$A:$A,0),MATCH('Summary - Monthly'!W$3,'TRANS EMP EXTRACT - COST CENTRE'!$2:$2,0)),0)</f>
        <v>0</v>
      </c>
      <c r="X113" s="13">
        <f>IFERROR(INDEX('TRANS EMP EXTRACT - COST CENTRE'!$A$1:$Z$455,MATCH('Summary - Monthly'!$A113,'TRANS EMP EXTRACT - COST CENTRE'!$A:$A,0),MATCH('Summary - Monthly'!X$3,'TRANS EMP EXTRACT - COST CENTRE'!$2:$2,0)),0)</f>
        <v>0</v>
      </c>
      <c r="Y113" s="13">
        <f>IFERROR(INDEX('TRANS EMP EXTRACT - COST CENTRE'!$A$1:$Z$455,MATCH('Summary - Monthly'!$A113,'TRANS EMP EXTRACT - COST CENTRE'!$A:$A,0),MATCH('Summary - Monthly'!Y$3,'TRANS EMP EXTRACT - COST CENTRE'!$2:$2,0)),0)</f>
        <v>0</v>
      </c>
      <c r="Z113" s="10">
        <f>IFERROR(INDEX('TRANS EMP EXTRACT - COST CENTRE'!$A$1:$Z$455,MATCH('Summary - Monthly'!$A113,'TRANS EMP EXTRACT - COST CENTRE'!$A:$A,0),MATCH('Summary - Monthly'!Z$3,'TRANS EMP EXTRACT - COST CENTRE'!$2:$2,0)),0)</f>
        <v>0</v>
      </c>
      <c r="AA113" s="10">
        <f>IFERROR(INDEX('TRANS EMP EXTRACT - COST CENTRE'!$A$1:$Z$455,MATCH('Summary - Monthly'!$A113,'TRANS EMP EXTRACT - COST CENTRE'!$A:$A,0),MATCH('Summary - Monthly'!AA$3,'TRANS EMP EXTRACT - COST CENTRE'!$2:$2,0)),0)</f>
        <v>0</v>
      </c>
      <c r="AB113" s="10">
        <f>IFERROR(INDEX('TRANS EMP EXTRACT - COST CENTRE'!$A$1:$Z$455,MATCH('Summary - Monthly'!$A113,'TRANS EMP EXTRACT - COST CENTRE'!$A:$A,0),MATCH('Summary - Monthly'!AB$3,'TRANS EMP EXTRACT - COST CENTRE'!$2:$2,0)),0)</f>
        <v>0</v>
      </c>
      <c r="AC113" s="8">
        <f>IFERROR(INDEX('TRANS EMP EXTRACT - COST CENTRE'!$A$1:$Z$455,MATCH('Summary - Monthly'!$A113,'TRANS EMP EXTRACT - COST CENTRE'!$A:$A,0),MATCH('Summary - Monthly'!AC$3,'TRANS EMP EXTRACT - COST CENTRE'!$2:$2,0)),0)</f>
        <v>0</v>
      </c>
      <c r="AD113" s="13">
        <f>IFERROR(INDEX('TRANS EMP EXTRACT - COST CENTRE'!$A$1:$Z$455,MATCH('Summary - Monthly'!$A113,'TRANS EMP EXTRACT - COST CENTRE'!$A:$A,0),MATCH('Summary - Monthly'!AD$3,'TRANS EMP EXTRACT - COST CENTRE'!$2:$2,0)),0)</f>
        <v>0</v>
      </c>
      <c r="AE113" s="13">
        <f>IFERROR(INDEX('TRANS EMP EXTRACT - COST CENTRE'!$A$1:$Z$455,MATCH('Summary - Monthly'!$A113,'TRANS EMP EXTRACT - COST CENTRE'!$A:$A,0),MATCH('Summary - Monthly'!AE$3,'TRANS EMP EXTRACT - COST CENTRE'!$2:$2,0)),0)</f>
        <v>0</v>
      </c>
      <c r="AF113" s="13">
        <f>IFERROR(INDEX('TRANS EMP EXTRACT - COST CENTRE'!$A$1:$Z$455,MATCH('Summary - Monthly'!$A113,'TRANS EMP EXTRACT - COST CENTRE'!$A:$A,0),MATCH('Summary - Monthly'!AF$3,'TRANS EMP EXTRACT - COST CENTRE'!$2:$2,0)),0)</f>
        <v>0</v>
      </c>
      <c r="AG113" s="10">
        <f>IFERROR(INDEX('TRANS EMP EXTRACT - COST CENTRE'!$A$1:$Z$455,MATCH('Summary - Monthly'!$A113,'TRANS EMP EXTRACT - COST CENTRE'!$A:$A,0),MATCH('Summary - Monthly'!AG$3,'TRANS EMP EXTRACT - COST CENTRE'!$2:$2,0)),0)</f>
        <v>0</v>
      </c>
      <c r="AH113" s="10">
        <f>IFERROR(INDEX('TRANS EMP EXTRACT - COST CENTRE'!$A$1:$Z$455,MATCH('Summary - Monthly'!$A113,'TRANS EMP EXTRACT - COST CENTRE'!$A:$A,0),MATCH('Summary - Monthly'!AH$3,'TRANS EMP EXTRACT - COST CENTRE'!$2:$2,0)),0)</f>
        <v>0</v>
      </c>
      <c r="AI113" s="10">
        <f>IFERROR(INDEX('TRANS EMP EXTRACT - COST CENTRE'!$A$1:$Z$455,MATCH('Summary - Monthly'!$A113,'TRANS EMP EXTRACT - COST CENTRE'!$A:$A,0),MATCH('Summary - Monthly'!AI$3,'TRANS EMP EXTRACT - COST CENTRE'!$2:$2,0)),0)</f>
        <v>0</v>
      </c>
      <c r="AJ113" s="10">
        <f>IFERROR(INDEX('TRANS EMP EXTRACT - COST CENTRE'!$A$1:$Z$455,MATCH('Summary - Monthly'!$A113,'TRANS EMP EXTRACT - COST CENTRE'!$A:$A,0),MATCH('Summary - Monthly'!AJ$3,'TRANS EMP EXTRACT - COST CENTRE'!$2:$2,0)),0)</f>
        <v>0</v>
      </c>
      <c r="AK113" s="10">
        <f>IFERROR(INDEX('TRANS EMP EXTRACT - COST CENTRE'!$A$1:$Z$455,MATCH('Summary - Monthly'!$A113,'TRANS EMP EXTRACT - COST CENTRE'!$A:$A,0),MATCH('Summary - Monthly'!AK$3,'TRANS EMP EXTRACT - COST CENTRE'!$2:$2,0)),0)</f>
        <v>0</v>
      </c>
      <c r="AL113" s="10">
        <f>IFERROR(INDEX('TRANS EMP EXTRACT - COST CENTRE'!$A$1:$Z$455,MATCH('Summary - Monthly'!$A113,'TRANS EMP EXTRACT - COST CENTRE'!$A:$A,0),MATCH('Summary - Monthly'!AL$3,'TRANS EMP EXTRACT - COST CENTRE'!$2:$2,0)),0)</f>
        <v>0</v>
      </c>
      <c r="AM113" s="10">
        <f t="shared" si="20"/>
        <v>154</v>
      </c>
      <c r="AN113" s="14">
        <f t="shared" si="13"/>
        <v>1.3157894736842105E-2</v>
      </c>
      <c r="AO113" s="18">
        <f t="shared" si="23"/>
        <v>1.013157894736842</v>
      </c>
      <c r="AP113" s="18">
        <f t="shared" si="19"/>
        <v>1.013157894736842</v>
      </c>
      <c r="AQ113" s="10" t="str">
        <f>IFERROR(VLOOKUP(B113,Departments!A:C,3,FALSE),"")</f>
        <v>Microbiology</v>
      </c>
      <c r="AR113" s="10" t="str">
        <f>IFERROR(VLOOKUP(B113,Departments!A:B,2,FALSE),"")</f>
        <v>Sydney Micro</v>
      </c>
      <c r="AS113" s="10">
        <f t="shared" si="21"/>
        <v>0</v>
      </c>
      <c r="AT113" s="10">
        <f t="shared" si="22"/>
        <v>0</v>
      </c>
      <c r="AU113" s="10" t="str">
        <f>_xlfn.IFNA(VLOOKUP(B113,Departments!A:D,4,FALSE),"")</f>
        <v>Sydney Micro</v>
      </c>
    </row>
    <row r="114" spans="1:47" ht="14.45" customHeight="1">
      <c r="A114" s="11" t="str">
        <f t="shared" si="16"/>
        <v>1201325018920</v>
      </c>
      <c r="B114" s="11">
        <f>'TRANS EMP EXTRACT - COST CENTRE'!B113</f>
        <v>12013250</v>
      </c>
      <c r="C114" s="10" t="str">
        <f>IFERROR(VLOOKUP(E114,'TRANS EMP EXTRACT - EMP CATEGOR'!A:B,2,FALSE),"")</f>
        <v>FT</v>
      </c>
      <c r="D114" s="10" t="str">
        <f>IFERROR(VLOOKUP(E114,'TRANS EMP EXTRACT - EMP CATEGOR'!A:C,3,FALSE),"")</f>
        <v>Fulltime</v>
      </c>
      <c r="E114" s="11">
        <f>'TRANS EMP EXTRACT - COST CENTRE'!D113</f>
        <v>18920</v>
      </c>
      <c r="F114" s="10" t="str">
        <f>IFERROR(VLOOKUP(E114,'TRANS EMP EXTRACT - COST CENTRE'!D:E,2,FALSE),"")</f>
        <v>SCHWANKE  ANNMARIE MRS</v>
      </c>
      <c r="G114" s="12">
        <f>IFERROR(INDEX('TRANS EMP EXTRACT - COST CENTRE'!$A$1:$Z$455,MATCH('Summary - Monthly'!$A114,'TRANS EMP EXTRACT - COST CENTRE'!$A:$A,0),MATCH('Summary - Monthly'!G$3,'TRANS EMP EXTRACT - COST CENTRE'!$2:$2,0)),"")</f>
        <v>44063</v>
      </c>
      <c r="H114" s="10" t="str">
        <f>IFERROR(INDEX('TRANS EMP EXTRACT - COST CENTRE'!$B$1:$Z$455,MATCH('Summary - Monthly'!$E114,'TRANS EMP EXTRACT - COST CENTRE'!$D:$D,0),MATCH('Summary - Monthly'!H$3,'TRANS EMP EXTRACT - COST CENTRE'!$2:$2,0)),"")</f>
        <v>FN</v>
      </c>
      <c r="I114" s="12" t="str">
        <f>IFERROR(INDEX('TRANS EMP EXTRACT - EMP CATEGOR'!$B$1:$AF$421,MATCH('Summary - Monthly'!$E114,'TRANS EMP EXTRACT - EMP CATEGOR'!$D:$D,0),MATCH('Summary - Monthly'!H$3,'TRANS EMP EXTRACT - EMP CATEGOR'!$2:$2,0)),"")</f>
        <v>FN</v>
      </c>
      <c r="J114" s="41">
        <f t="shared" ca="1" si="12"/>
        <v>79.143299999999996</v>
      </c>
      <c r="K114" s="41">
        <f t="shared" ca="1" si="17"/>
        <v>70.686599999999999</v>
      </c>
      <c r="L114" s="10">
        <f>IFERROR(INDEX('TRANS EMP EXTRACT - COST CENTRE'!$A$1:$Z$455,MATCH('Summary - Monthly'!$A114,'TRANS EMP EXTRACT - COST CENTRE'!$A:$A,0),MATCH('Summary - Monthly'!L$3,'TRANS EMP EXTRACT - COST CENTRE'!$2:$2,0)),"")</f>
        <v>152</v>
      </c>
      <c r="M114" s="10">
        <f>IFERROR(INDEX('TRANS EMP EXTRACT - COST CENTRE'!$A$1:$Z$455,MATCH('Summary - Monthly'!$A114,'TRANS EMP EXTRACT - COST CENTRE'!$A:$A,0),MATCH('Summary - Monthly'!M$3,'TRANS EMP EXTRACT - COST CENTRE'!$2:$2,0)),0)</f>
        <v>0</v>
      </c>
      <c r="N114" s="10">
        <f>IFERROR(INDEX('TRANS EMP EXTRACT - COST CENTRE'!$A$1:$Z$455,MATCH('Summary - Monthly'!$A114,'TRANS EMP EXTRACT - COST CENTRE'!$A:$A,0),MATCH('Summary - Monthly'!N$3,'TRANS EMP EXTRACT - COST CENTRE'!$2:$2,0)),0)</f>
        <v>0</v>
      </c>
      <c r="O114" s="10">
        <f>IFERROR(INDEX('TRANS EMP EXTRACT - COST CENTRE'!$A$1:$Z$455,MATCH('Summary - Monthly'!$A114,'TRANS EMP EXTRACT - COST CENTRE'!$A:$A,0),MATCH('Summary - Monthly'!O$3,'TRANS EMP EXTRACT - COST CENTRE'!$2:$2,0)),0)</f>
        <v>0</v>
      </c>
      <c r="P114" s="10">
        <f>IFERROR(INDEX('TRANS EMP EXTRACT - COST CENTRE'!$A$1:$Z$455,MATCH('Summary - Monthly'!$A114,'TRANS EMP EXTRACT - COST CENTRE'!$A:$A,0),MATCH('Summary - Monthly'!P$3,'TRANS EMP EXTRACT - COST CENTRE'!$2:$2,0)),0)</f>
        <v>0</v>
      </c>
      <c r="Q114" s="10">
        <f>IFERROR(INDEX('TRANS EMP EXTRACT - COST CENTRE'!$A$1:$Z$455,MATCH('Summary - Monthly'!$A114,'TRANS EMP EXTRACT - COST CENTRE'!$A:$A,0),MATCH('Summary - Monthly'!Q$3,'TRANS EMP EXTRACT - COST CENTRE'!$2:$2,0)),0)</f>
        <v>0</v>
      </c>
      <c r="R114" s="10">
        <f>IFERROR(INDEX('TRANS EMP EXTRACT - COST CENTRE'!$A$1:$Z$455,MATCH('Summary - Monthly'!$A114,'TRANS EMP EXTRACT - COST CENTRE'!$A:$A,0),MATCH('Summary - Monthly'!R$3,'TRANS EMP EXTRACT - COST CENTRE'!$2:$2,0)),0)</f>
        <v>0</v>
      </c>
      <c r="S114" s="10">
        <f>IFERROR(INDEX('TRANS EMP EXTRACT - COST CENTRE'!$A$1:$Z$455,MATCH('Summary - Monthly'!$A114,'TRANS EMP EXTRACT - COST CENTRE'!$A:$A,0),MATCH('Summary - Monthly'!S$3,'TRANS EMP EXTRACT - COST CENTRE'!$2:$2,0)),0)</f>
        <v>0</v>
      </c>
      <c r="T114" s="8">
        <f>IFERROR(INDEX('TRANS EMP EXTRACT - COST CENTRE'!$A$1:$Z$455,MATCH('Summary - Monthly'!$A114,'TRANS EMP EXTRACT - COST CENTRE'!$A:$A,0),MATCH('Summary - Monthly'!T$3,'TRANS EMP EXTRACT - COST CENTRE'!$2:$2,0)),0)</f>
        <v>0</v>
      </c>
      <c r="U114" s="13">
        <f>IFERROR(INDEX('TRANS EMP EXTRACT - COST CENTRE'!$A$1:$Z$455,MATCH('Summary - Monthly'!$A114,'TRANS EMP EXTRACT - COST CENTRE'!$A:$A,0),MATCH('Summary - Monthly'!U$3,'TRANS EMP EXTRACT - COST CENTRE'!$2:$2,0)),0)</f>
        <v>0</v>
      </c>
      <c r="V114" s="13">
        <f>IFERROR(INDEX('TRANS EMP EXTRACT - COST CENTRE'!$A$1:$Z$455,MATCH('Summary - Monthly'!$A114,'TRANS EMP EXTRACT - COST CENTRE'!$A:$A,0),MATCH('Summary - Monthly'!V$3,'TRANS EMP EXTRACT - COST CENTRE'!$2:$2,0)),0)</f>
        <v>0</v>
      </c>
      <c r="W114" s="13">
        <f>IFERROR(INDEX('TRANS EMP EXTRACT - COST CENTRE'!$A$1:$Z$455,MATCH('Summary - Monthly'!$A114,'TRANS EMP EXTRACT - COST CENTRE'!$A:$A,0),MATCH('Summary - Monthly'!W$3,'TRANS EMP EXTRACT - COST CENTRE'!$2:$2,0)),0)</f>
        <v>0</v>
      </c>
      <c r="X114" s="13">
        <f>IFERROR(INDEX('TRANS EMP EXTRACT - COST CENTRE'!$A$1:$Z$455,MATCH('Summary - Monthly'!$A114,'TRANS EMP EXTRACT - COST CENTRE'!$A:$A,0),MATCH('Summary - Monthly'!X$3,'TRANS EMP EXTRACT - COST CENTRE'!$2:$2,0)),0)</f>
        <v>0</v>
      </c>
      <c r="Y114" s="13">
        <f>IFERROR(INDEX('TRANS EMP EXTRACT - COST CENTRE'!$A$1:$Z$455,MATCH('Summary - Monthly'!$A114,'TRANS EMP EXTRACT - COST CENTRE'!$A:$A,0),MATCH('Summary - Monthly'!Y$3,'TRANS EMP EXTRACT - COST CENTRE'!$2:$2,0)),0)</f>
        <v>0</v>
      </c>
      <c r="Z114" s="10">
        <f>IFERROR(INDEX('TRANS EMP EXTRACT - COST CENTRE'!$A$1:$Z$455,MATCH('Summary - Monthly'!$A114,'TRANS EMP EXTRACT - COST CENTRE'!$A:$A,0),MATCH('Summary - Monthly'!Z$3,'TRANS EMP EXTRACT - COST CENTRE'!$2:$2,0)),0)</f>
        <v>0</v>
      </c>
      <c r="AA114" s="10">
        <f>IFERROR(INDEX('TRANS EMP EXTRACT - COST CENTRE'!$A$1:$Z$455,MATCH('Summary - Monthly'!$A114,'TRANS EMP EXTRACT - COST CENTRE'!$A:$A,0),MATCH('Summary - Monthly'!AA$3,'TRANS EMP EXTRACT - COST CENTRE'!$2:$2,0)),0)</f>
        <v>0</v>
      </c>
      <c r="AB114" s="10">
        <f>IFERROR(INDEX('TRANS EMP EXTRACT - COST CENTRE'!$A$1:$Z$455,MATCH('Summary - Monthly'!$A114,'TRANS EMP EXTRACT - COST CENTRE'!$A:$A,0),MATCH('Summary - Monthly'!AB$3,'TRANS EMP EXTRACT - COST CENTRE'!$2:$2,0)),0)</f>
        <v>0</v>
      </c>
      <c r="AC114" s="8">
        <f>IFERROR(INDEX('TRANS EMP EXTRACT - COST CENTRE'!$A$1:$Z$455,MATCH('Summary - Monthly'!$A114,'TRANS EMP EXTRACT - COST CENTRE'!$A:$A,0),MATCH('Summary - Monthly'!AC$3,'TRANS EMP EXTRACT - COST CENTRE'!$2:$2,0)),0)</f>
        <v>0</v>
      </c>
      <c r="AD114" s="13">
        <f>IFERROR(INDEX('TRANS EMP EXTRACT - COST CENTRE'!$A$1:$Z$455,MATCH('Summary - Monthly'!$A114,'TRANS EMP EXTRACT - COST CENTRE'!$A:$A,0),MATCH('Summary - Monthly'!AD$3,'TRANS EMP EXTRACT - COST CENTRE'!$2:$2,0)),0)</f>
        <v>0</v>
      </c>
      <c r="AE114" s="13">
        <f>IFERROR(INDEX('TRANS EMP EXTRACT - COST CENTRE'!$A$1:$Z$455,MATCH('Summary - Monthly'!$A114,'TRANS EMP EXTRACT - COST CENTRE'!$A:$A,0),MATCH('Summary - Monthly'!AE$3,'TRANS EMP EXTRACT - COST CENTRE'!$2:$2,0)),0)</f>
        <v>0</v>
      </c>
      <c r="AF114" s="13">
        <f>IFERROR(INDEX('TRANS EMP EXTRACT - COST CENTRE'!$A$1:$Z$455,MATCH('Summary - Monthly'!$A114,'TRANS EMP EXTRACT - COST CENTRE'!$A:$A,0),MATCH('Summary - Monthly'!AF$3,'TRANS EMP EXTRACT - COST CENTRE'!$2:$2,0)),0)</f>
        <v>0</v>
      </c>
      <c r="AG114" s="10">
        <f>IFERROR(INDEX('TRANS EMP EXTRACT - COST CENTRE'!$A$1:$Z$455,MATCH('Summary - Monthly'!$A114,'TRANS EMP EXTRACT - COST CENTRE'!$A:$A,0),MATCH('Summary - Monthly'!AG$3,'TRANS EMP EXTRACT - COST CENTRE'!$2:$2,0)),0)</f>
        <v>0</v>
      </c>
      <c r="AH114" s="10">
        <f>IFERROR(INDEX('TRANS EMP EXTRACT - COST CENTRE'!$A$1:$Z$455,MATCH('Summary - Monthly'!$A114,'TRANS EMP EXTRACT - COST CENTRE'!$A:$A,0),MATCH('Summary - Monthly'!AH$3,'TRANS EMP EXTRACT - COST CENTRE'!$2:$2,0)),0)</f>
        <v>0</v>
      </c>
      <c r="AI114" s="10">
        <f>IFERROR(INDEX('TRANS EMP EXTRACT - COST CENTRE'!$A$1:$Z$455,MATCH('Summary - Monthly'!$A114,'TRANS EMP EXTRACT - COST CENTRE'!$A:$A,0),MATCH('Summary - Monthly'!AI$3,'TRANS EMP EXTRACT - COST CENTRE'!$2:$2,0)),0)</f>
        <v>0</v>
      </c>
      <c r="AJ114" s="10">
        <f>IFERROR(INDEX('TRANS EMP EXTRACT - COST CENTRE'!$A$1:$Z$455,MATCH('Summary - Monthly'!$A114,'TRANS EMP EXTRACT - COST CENTRE'!$A:$A,0),MATCH('Summary - Monthly'!AJ$3,'TRANS EMP EXTRACT - COST CENTRE'!$2:$2,0)),0)</f>
        <v>0</v>
      </c>
      <c r="AK114" s="10">
        <f>IFERROR(INDEX('TRANS EMP EXTRACT - COST CENTRE'!$A$1:$Z$455,MATCH('Summary - Monthly'!$A114,'TRANS EMP EXTRACT - COST CENTRE'!$A:$A,0),MATCH('Summary - Monthly'!AK$3,'TRANS EMP EXTRACT - COST CENTRE'!$2:$2,0)),0)</f>
        <v>0</v>
      </c>
      <c r="AL114" s="10">
        <f>IFERROR(INDEX('TRANS EMP EXTRACT - COST CENTRE'!$A$1:$Z$455,MATCH('Summary - Monthly'!$A114,'TRANS EMP EXTRACT - COST CENTRE'!$A:$A,0),MATCH('Summary - Monthly'!AL$3,'TRANS EMP EXTRACT - COST CENTRE'!$2:$2,0)),0)</f>
        <v>0</v>
      </c>
      <c r="AM114" s="10">
        <f t="shared" si="20"/>
        <v>152</v>
      </c>
      <c r="AN114" s="14">
        <f t="shared" si="13"/>
        <v>0</v>
      </c>
      <c r="AO114" s="18">
        <f t="shared" si="23"/>
        <v>1</v>
      </c>
      <c r="AP114" s="18">
        <f t="shared" si="19"/>
        <v>1</v>
      </c>
      <c r="AQ114" s="10" t="str">
        <f>IFERROR(VLOOKUP(B114,Departments!A:C,3,FALSE),"")</f>
        <v>Senior Audit</v>
      </c>
      <c r="AR114" s="10" t="str">
        <f>IFERROR(VLOOKUP(B114,Departments!A:B,2,FALSE),"")</f>
        <v>Senior Audit</v>
      </c>
      <c r="AS114" s="10">
        <f t="shared" si="21"/>
        <v>0</v>
      </c>
      <c r="AT114" s="10">
        <f t="shared" si="22"/>
        <v>0</v>
      </c>
      <c r="AU114" s="10" t="str">
        <f>_xlfn.IFNA(VLOOKUP(B114,Departments!A:D,4,FALSE),"")</f>
        <v>Senior Audit</v>
      </c>
    </row>
    <row r="115" spans="1:47" ht="14.45" customHeight="1">
      <c r="A115" s="11" t="str">
        <f t="shared" si="16"/>
        <v>1206061118898</v>
      </c>
      <c r="B115" s="11">
        <f>'TRANS EMP EXTRACT - COST CENTRE'!B114</f>
        <v>12060611</v>
      </c>
      <c r="C115" s="10" t="str">
        <f>IFERROR(VLOOKUP(E115,'TRANS EMP EXTRACT - EMP CATEGOR'!A:B,2,FALSE),"")</f>
        <v>TP</v>
      </c>
      <c r="D115" s="10" t="str">
        <f>IFERROR(VLOOKUP(E115,'TRANS EMP EXTRACT - EMP CATEGOR'!A:C,3,FALSE),"")</f>
        <v>Temporary Parttime</v>
      </c>
      <c r="E115" s="11">
        <f>'TRANS EMP EXTRACT - COST CENTRE'!D114</f>
        <v>18898</v>
      </c>
      <c r="F115" s="10" t="str">
        <f>IFERROR(VLOOKUP(E115,'TRANS EMP EXTRACT - COST CENTRE'!D:E,2,FALSE),"")</f>
        <v>SEAL  MIHIKA MS</v>
      </c>
      <c r="G115" s="12">
        <f>IFERROR(INDEX('TRANS EMP EXTRACT - COST CENTRE'!$A$1:$Z$455,MATCH('Summary - Monthly'!$A115,'TRANS EMP EXTRACT - COST CENTRE'!$A:$A,0),MATCH('Summary - Monthly'!G$3,'TRANS EMP EXTRACT - COST CENTRE'!$2:$2,0)),"")</f>
        <v>43864</v>
      </c>
      <c r="H115" s="10" t="str">
        <f>IFERROR(INDEX('TRANS EMP EXTRACT - COST CENTRE'!$B$1:$Z$455,MATCH('Summary - Monthly'!$E115,'TRANS EMP EXTRACT - COST CENTRE'!$D:$D,0),MATCH('Summary - Monthly'!H$3,'TRANS EMP EXTRACT - COST CENTRE'!$2:$2,0)),"")</f>
        <v>RT</v>
      </c>
      <c r="I115" s="12" t="str">
        <f>IFERROR(INDEX('TRANS EMP EXTRACT - EMP CATEGOR'!$B$1:$AF$421,MATCH('Summary - Monthly'!$E115,'TRANS EMP EXTRACT - EMP CATEGOR'!$D:$D,0),MATCH('Summary - Monthly'!H$3,'TRANS EMP EXTRACT - EMP CATEGOR'!$2:$2,0)),"")</f>
        <v>RT</v>
      </c>
      <c r="J115" s="41">
        <f t="shared" ca="1" si="12"/>
        <v>19.148299999999999</v>
      </c>
      <c r="K115" s="41">
        <f t="shared" ca="1" si="17"/>
        <v>23.663399999999999</v>
      </c>
      <c r="L115" s="10">
        <f>IFERROR(INDEX('TRANS EMP EXTRACT - COST CENTRE'!$A$1:$Z$455,MATCH('Summary - Monthly'!$A115,'TRANS EMP EXTRACT - COST CENTRE'!$A:$A,0),MATCH('Summary - Monthly'!L$3,'TRANS EMP EXTRACT - COST CENTRE'!$2:$2,0)),"")</f>
        <v>106.66670000000001</v>
      </c>
      <c r="M115" s="10">
        <f>IFERROR(INDEX('TRANS EMP EXTRACT - COST CENTRE'!$A$1:$Z$455,MATCH('Summary - Monthly'!$A115,'TRANS EMP EXTRACT - COST CENTRE'!$A:$A,0),MATCH('Summary - Monthly'!M$3,'TRANS EMP EXTRACT - COST CENTRE'!$2:$2,0)),0)</f>
        <v>0</v>
      </c>
      <c r="N115" s="10">
        <f>IFERROR(INDEX('TRANS EMP EXTRACT - COST CENTRE'!$A$1:$Z$455,MATCH('Summary - Monthly'!$A115,'TRANS EMP EXTRACT - COST CENTRE'!$A:$A,0),MATCH('Summary - Monthly'!N$3,'TRANS EMP EXTRACT - COST CENTRE'!$2:$2,0)),0)</f>
        <v>0</v>
      </c>
      <c r="O115" s="10">
        <f>IFERROR(INDEX('TRANS EMP EXTRACT - COST CENTRE'!$A$1:$Z$455,MATCH('Summary - Monthly'!$A115,'TRANS EMP EXTRACT - COST CENTRE'!$A:$A,0),MATCH('Summary - Monthly'!O$3,'TRANS EMP EXTRACT - COST CENTRE'!$2:$2,0)),0)</f>
        <v>0</v>
      </c>
      <c r="P115" s="10">
        <f>IFERROR(INDEX('TRANS EMP EXTRACT - COST CENTRE'!$A$1:$Z$455,MATCH('Summary - Monthly'!$A115,'TRANS EMP EXTRACT - COST CENTRE'!$A:$A,0),MATCH('Summary - Monthly'!P$3,'TRANS EMP EXTRACT - COST CENTRE'!$2:$2,0)),0)</f>
        <v>0</v>
      </c>
      <c r="Q115" s="10">
        <f>IFERROR(INDEX('TRANS EMP EXTRACT - COST CENTRE'!$A$1:$Z$455,MATCH('Summary - Monthly'!$A115,'TRANS EMP EXTRACT - COST CENTRE'!$A:$A,0),MATCH('Summary - Monthly'!Q$3,'TRANS EMP EXTRACT - COST CENTRE'!$2:$2,0)),0)</f>
        <v>11.200100000000001</v>
      </c>
      <c r="R115" s="10">
        <f>IFERROR(INDEX('TRANS EMP EXTRACT - COST CENTRE'!$A$1:$Z$455,MATCH('Summary - Monthly'!$A115,'TRANS EMP EXTRACT - COST CENTRE'!$A:$A,0),MATCH('Summary - Monthly'!R$3,'TRANS EMP EXTRACT - COST CENTRE'!$2:$2,0)),0)</f>
        <v>5.5667</v>
      </c>
      <c r="S115" s="10">
        <f>IFERROR(INDEX('TRANS EMP EXTRACT - COST CENTRE'!$A$1:$Z$455,MATCH('Summary - Monthly'!$A115,'TRANS EMP EXTRACT - COST CENTRE'!$A:$A,0),MATCH('Summary - Monthly'!S$3,'TRANS EMP EXTRACT - COST CENTRE'!$2:$2,0)),0)</f>
        <v>0</v>
      </c>
      <c r="T115" s="8">
        <f>IFERROR(INDEX('TRANS EMP EXTRACT - COST CENTRE'!$A$1:$Z$455,MATCH('Summary - Monthly'!$A115,'TRANS EMP EXTRACT - COST CENTRE'!$A:$A,0),MATCH('Summary - Monthly'!T$3,'TRANS EMP EXTRACT - COST CENTRE'!$2:$2,0)),0)</f>
        <v>0</v>
      </c>
      <c r="U115" s="13">
        <f>IFERROR(INDEX('TRANS EMP EXTRACT - COST CENTRE'!$A$1:$Z$455,MATCH('Summary - Monthly'!$A115,'TRANS EMP EXTRACT - COST CENTRE'!$A:$A,0),MATCH('Summary - Monthly'!U$3,'TRANS EMP EXTRACT - COST CENTRE'!$2:$2,0)),0)</f>
        <v>30.8</v>
      </c>
      <c r="V115" s="13">
        <f>IFERROR(INDEX('TRANS EMP EXTRACT - COST CENTRE'!$A$1:$Z$455,MATCH('Summary - Monthly'!$A115,'TRANS EMP EXTRACT - COST CENTRE'!$A:$A,0),MATCH('Summary - Monthly'!V$3,'TRANS EMP EXTRACT - COST CENTRE'!$2:$2,0)),0)</f>
        <v>0</v>
      </c>
      <c r="W115" s="13">
        <f>IFERROR(INDEX('TRANS EMP EXTRACT - COST CENTRE'!$A$1:$Z$455,MATCH('Summary - Monthly'!$A115,'TRANS EMP EXTRACT - COST CENTRE'!$A:$A,0),MATCH('Summary - Monthly'!W$3,'TRANS EMP EXTRACT - COST CENTRE'!$2:$2,0)),0)</f>
        <v>0</v>
      </c>
      <c r="X115" s="13">
        <f>IFERROR(INDEX('TRANS EMP EXTRACT - COST CENTRE'!$A$1:$Z$455,MATCH('Summary - Monthly'!$A115,'TRANS EMP EXTRACT - COST CENTRE'!$A:$A,0),MATCH('Summary - Monthly'!X$3,'TRANS EMP EXTRACT - COST CENTRE'!$2:$2,0)),0)</f>
        <v>0</v>
      </c>
      <c r="Y115" s="13">
        <f>IFERROR(INDEX('TRANS EMP EXTRACT - COST CENTRE'!$A$1:$Z$455,MATCH('Summary - Monthly'!$A115,'TRANS EMP EXTRACT - COST CENTRE'!$A:$A,0),MATCH('Summary - Monthly'!Y$3,'TRANS EMP EXTRACT - COST CENTRE'!$2:$2,0)),0)</f>
        <v>0</v>
      </c>
      <c r="Z115" s="10">
        <f>IFERROR(INDEX('TRANS EMP EXTRACT - COST CENTRE'!$A$1:$Z$455,MATCH('Summary - Monthly'!$A115,'TRANS EMP EXTRACT - COST CENTRE'!$A:$A,0),MATCH('Summary - Monthly'!Z$3,'TRANS EMP EXTRACT - COST CENTRE'!$2:$2,0)),0)</f>
        <v>0</v>
      </c>
      <c r="AA115" s="10">
        <f>IFERROR(INDEX('TRANS EMP EXTRACT - COST CENTRE'!$A$1:$Z$455,MATCH('Summary - Monthly'!$A115,'TRANS EMP EXTRACT - COST CENTRE'!$A:$A,0),MATCH('Summary - Monthly'!AA$3,'TRANS EMP EXTRACT - COST CENTRE'!$2:$2,0)),0)</f>
        <v>0</v>
      </c>
      <c r="AB115" s="10">
        <f>IFERROR(INDEX('TRANS EMP EXTRACT - COST CENTRE'!$A$1:$Z$455,MATCH('Summary - Monthly'!$A115,'TRANS EMP EXTRACT - COST CENTRE'!$A:$A,0),MATCH('Summary - Monthly'!AB$3,'TRANS EMP EXTRACT - COST CENTRE'!$2:$2,0)),0)</f>
        <v>0</v>
      </c>
      <c r="AC115" s="8">
        <f>IFERROR(INDEX('TRANS EMP EXTRACT - COST CENTRE'!$A$1:$Z$455,MATCH('Summary - Monthly'!$A115,'TRANS EMP EXTRACT - COST CENTRE'!$A:$A,0),MATCH('Summary - Monthly'!AC$3,'TRANS EMP EXTRACT - COST CENTRE'!$2:$2,0)),0)</f>
        <v>0</v>
      </c>
      <c r="AD115" s="13">
        <f>IFERROR(INDEX('TRANS EMP EXTRACT - COST CENTRE'!$A$1:$Z$455,MATCH('Summary - Monthly'!$A115,'TRANS EMP EXTRACT - COST CENTRE'!$A:$A,0),MATCH('Summary - Monthly'!AD$3,'TRANS EMP EXTRACT - COST CENTRE'!$2:$2,0)),0)</f>
        <v>0</v>
      </c>
      <c r="AE115" s="13">
        <f>IFERROR(INDEX('TRANS EMP EXTRACT - COST CENTRE'!$A$1:$Z$455,MATCH('Summary - Monthly'!$A115,'TRANS EMP EXTRACT - COST CENTRE'!$A:$A,0),MATCH('Summary - Monthly'!AE$3,'TRANS EMP EXTRACT - COST CENTRE'!$2:$2,0)),0)</f>
        <v>0</v>
      </c>
      <c r="AF115" s="13">
        <f>IFERROR(INDEX('TRANS EMP EXTRACT - COST CENTRE'!$A$1:$Z$455,MATCH('Summary - Monthly'!$A115,'TRANS EMP EXTRACT - COST CENTRE'!$A:$A,0),MATCH('Summary - Monthly'!AF$3,'TRANS EMP EXTRACT - COST CENTRE'!$2:$2,0)),0)</f>
        <v>0</v>
      </c>
      <c r="AG115" s="10">
        <f>IFERROR(INDEX('TRANS EMP EXTRACT - COST CENTRE'!$A$1:$Z$455,MATCH('Summary - Monthly'!$A115,'TRANS EMP EXTRACT - COST CENTRE'!$A:$A,0),MATCH('Summary - Monthly'!AG$3,'TRANS EMP EXTRACT - COST CENTRE'!$2:$2,0)),0)</f>
        <v>0</v>
      </c>
      <c r="AH115" s="10">
        <f>IFERROR(INDEX('TRANS EMP EXTRACT - COST CENTRE'!$A$1:$Z$455,MATCH('Summary - Monthly'!$A115,'TRANS EMP EXTRACT - COST CENTRE'!$A:$A,0),MATCH('Summary - Monthly'!AH$3,'TRANS EMP EXTRACT - COST CENTRE'!$2:$2,0)),0)</f>
        <v>0</v>
      </c>
      <c r="AI115" s="10">
        <f>IFERROR(INDEX('TRANS EMP EXTRACT - COST CENTRE'!$A$1:$Z$455,MATCH('Summary - Monthly'!$A115,'TRANS EMP EXTRACT - COST CENTRE'!$A:$A,0),MATCH('Summary - Monthly'!AI$3,'TRANS EMP EXTRACT - COST CENTRE'!$2:$2,0)),0)</f>
        <v>0</v>
      </c>
      <c r="AJ115" s="10">
        <f>IFERROR(INDEX('TRANS EMP EXTRACT - COST CENTRE'!$A$1:$Z$455,MATCH('Summary - Monthly'!$A115,'TRANS EMP EXTRACT - COST CENTRE'!$A:$A,0),MATCH('Summary - Monthly'!AJ$3,'TRANS EMP EXTRACT - COST CENTRE'!$2:$2,0)),0)</f>
        <v>0</v>
      </c>
      <c r="AK115" s="10">
        <f>IFERROR(INDEX('TRANS EMP EXTRACT - COST CENTRE'!$A$1:$Z$455,MATCH('Summary - Monthly'!$A115,'TRANS EMP EXTRACT - COST CENTRE'!$A:$A,0),MATCH('Summary - Monthly'!AK$3,'TRANS EMP EXTRACT - COST CENTRE'!$2:$2,0)),0)</f>
        <v>0</v>
      </c>
      <c r="AL115" s="10">
        <f>IFERROR(INDEX('TRANS EMP EXTRACT - COST CENTRE'!$A$1:$Z$455,MATCH('Summary - Monthly'!$A115,'TRANS EMP EXTRACT - COST CENTRE'!$A:$A,0),MATCH('Summary - Monthly'!AL$3,'TRANS EMP EXTRACT - COST CENTRE'!$2:$2,0)),0)</f>
        <v>0</v>
      </c>
      <c r="AM115" s="10">
        <f t="shared" si="20"/>
        <v>154.23350000000002</v>
      </c>
      <c r="AN115" s="14">
        <f t="shared" si="13"/>
        <v>0.1103078947368421</v>
      </c>
      <c r="AO115" s="18">
        <f t="shared" si="23"/>
        <v>1.0146940789473686</v>
      </c>
      <c r="AP115" s="18">
        <f t="shared" si="19"/>
        <v>0.81206250000000013</v>
      </c>
      <c r="AQ115" s="10" t="str">
        <f>IFERROR(VLOOKUP(B115,Departments!A:C,3,FALSE),"")</f>
        <v>Microbiology</v>
      </c>
      <c r="AR115" s="10" t="str">
        <f>IFERROR(VLOOKUP(B115,Departments!A:B,2,FALSE),"")</f>
        <v>Perth Micro</v>
      </c>
      <c r="AS115" s="10">
        <f t="shared" si="21"/>
        <v>0</v>
      </c>
      <c r="AT115" s="10">
        <f t="shared" si="22"/>
        <v>30.8</v>
      </c>
      <c r="AU115" s="10" t="str">
        <f>_xlfn.IFNA(VLOOKUP(B115,Departments!A:D,4,FALSE),"")</f>
        <v>Perth Micro</v>
      </c>
    </row>
    <row r="116" spans="1:47" ht="14.45" customHeight="1">
      <c r="A116" s="11" t="str">
        <f t="shared" si="16"/>
        <v>1202061118831</v>
      </c>
      <c r="B116" s="11">
        <f>'TRANS EMP EXTRACT - COST CENTRE'!B115</f>
        <v>12020611</v>
      </c>
      <c r="C116" s="10" t="str">
        <f>IFERROR(VLOOKUP(E116,'TRANS EMP EXTRACT - EMP CATEGOR'!A:B,2,FALSE),"")</f>
        <v>PT</v>
      </c>
      <c r="D116" s="10" t="str">
        <f>IFERROR(VLOOKUP(E116,'TRANS EMP EXTRACT - EMP CATEGOR'!A:C,3,FALSE),"")</f>
        <v>Parttime</v>
      </c>
      <c r="E116" s="11">
        <f>'TRANS EMP EXTRACT - COST CENTRE'!D115</f>
        <v>18831</v>
      </c>
      <c r="F116" s="10" t="str">
        <f>IFERROR(VLOOKUP(E116,'TRANS EMP EXTRACT - COST CENTRE'!D:E,2,FALSE),"")</f>
        <v>SENTHURAN  SUGANIYA MRS</v>
      </c>
      <c r="G116" s="12">
        <f>IFERROR(INDEX('TRANS EMP EXTRACT - COST CENTRE'!$A$1:$Z$455,MATCH('Summary - Monthly'!$A116,'TRANS EMP EXTRACT - COST CENTRE'!$A:$A,0),MATCH('Summary - Monthly'!G$3,'TRANS EMP EXTRACT - COST CENTRE'!$2:$2,0)),"")</f>
        <v>43265</v>
      </c>
      <c r="H116" s="10" t="str">
        <f>IFERROR(INDEX('TRANS EMP EXTRACT - COST CENTRE'!$B$1:$Z$455,MATCH('Summary - Monthly'!$E116,'TRANS EMP EXTRACT - COST CENTRE'!$D:$D,0),MATCH('Summary - Monthly'!H$3,'TRANS EMP EXTRACT - COST CENTRE'!$2:$2,0)),"")</f>
        <v>RT</v>
      </c>
      <c r="I116" s="12" t="str">
        <f>IFERROR(INDEX('TRANS EMP EXTRACT - EMP CATEGOR'!$B$1:$AF$421,MATCH('Summary - Monthly'!$E116,'TRANS EMP EXTRACT - EMP CATEGOR'!$D:$D,0),MATCH('Summary - Monthly'!H$3,'TRANS EMP EXTRACT - EMP CATEGOR'!$2:$2,0)),"")</f>
        <v>RT</v>
      </c>
      <c r="J116" s="41">
        <f t="shared" ca="1" si="12"/>
        <v>11.6393</v>
      </c>
      <c r="K116" s="41">
        <f t="shared" ca="1" si="17"/>
        <v>15.4322</v>
      </c>
      <c r="L116" s="10">
        <f>IFERROR(INDEX('TRANS EMP EXTRACT - COST CENTRE'!$A$1:$Z$455,MATCH('Summary - Monthly'!$A116,'TRANS EMP EXTRACT - COST CENTRE'!$A:$A,0),MATCH('Summary - Monthly'!L$3,'TRANS EMP EXTRACT - COST CENTRE'!$2:$2,0)),"")</f>
        <v>22.8</v>
      </c>
      <c r="M116" s="10">
        <f>IFERROR(INDEX('TRANS EMP EXTRACT - COST CENTRE'!$A$1:$Z$455,MATCH('Summary - Monthly'!$A116,'TRANS EMP EXTRACT - COST CENTRE'!$A:$A,0),MATCH('Summary - Monthly'!M$3,'TRANS EMP EXTRACT - COST CENTRE'!$2:$2,0)),0)</f>
        <v>0</v>
      </c>
      <c r="N116" s="10">
        <f>IFERROR(INDEX('TRANS EMP EXTRACT - COST CENTRE'!$A$1:$Z$455,MATCH('Summary - Monthly'!$A116,'TRANS EMP EXTRACT - COST CENTRE'!$A:$A,0),MATCH('Summary - Monthly'!N$3,'TRANS EMP EXTRACT - COST CENTRE'!$2:$2,0)),0)</f>
        <v>0</v>
      </c>
      <c r="O116" s="10">
        <f>IFERROR(INDEX('TRANS EMP EXTRACT - COST CENTRE'!$A$1:$Z$455,MATCH('Summary - Monthly'!$A116,'TRANS EMP EXTRACT - COST CENTRE'!$A:$A,0),MATCH('Summary - Monthly'!O$3,'TRANS EMP EXTRACT - COST CENTRE'!$2:$2,0)),0)</f>
        <v>0</v>
      </c>
      <c r="P116" s="10">
        <f>IFERROR(INDEX('TRANS EMP EXTRACT - COST CENTRE'!$A$1:$Z$455,MATCH('Summary - Monthly'!$A116,'TRANS EMP EXTRACT - COST CENTRE'!$A:$A,0),MATCH('Summary - Monthly'!P$3,'TRANS EMP EXTRACT - COST CENTRE'!$2:$2,0)),0)</f>
        <v>30.4</v>
      </c>
      <c r="Q116" s="10">
        <f>IFERROR(INDEX('TRANS EMP EXTRACT - COST CENTRE'!$A$1:$Z$455,MATCH('Summary - Monthly'!$A116,'TRANS EMP EXTRACT - COST CENTRE'!$A:$A,0),MATCH('Summary - Monthly'!Q$3,'TRANS EMP EXTRACT - COST CENTRE'!$2:$2,0)),0)</f>
        <v>3</v>
      </c>
      <c r="R116" s="10">
        <f>IFERROR(INDEX('TRANS EMP EXTRACT - COST CENTRE'!$A$1:$Z$455,MATCH('Summary - Monthly'!$A116,'TRANS EMP EXTRACT - COST CENTRE'!$A:$A,0),MATCH('Summary - Monthly'!R$3,'TRANS EMP EXTRACT - COST CENTRE'!$2:$2,0)),0)</f>
        <v>4.5999999999999996</v>
      </c>
      <c r="S116" s="10">
        <f>IFERROR(INDEX('TRANS EMP EXTRACT - COST CENTRE'!$A$1:$Z$455,MATCH('Summary - Monthly'!$A116,'TRANS EMP EXTRACT - COST CENTRE'!$A:$A,0),MATCH('Summary - Monthly'!S$3,'TRANS EMP EXTRACT - COST CENTRE'!$2:$2,0)),0)</f>
        <v>0</v>
      </c>
      <c r="T116" s="8">
        <f>IFERROR(INDEX('TRANS EMP EXTRACT - COST CENTRE'!$A$1:$Z$455,MATCH('Summary - Monthly'!$A116,'TRANS EMP EXTRACT - COST CENTRE'!$A:$A,0),MATCH('Summary - Monthly'!T$3,'TRANS EMP EXTRACT - COST CENTRE'!$2:$2,0)),0)</f>
        <v>0</v>
      </c>
      <c r="U116" s="13">
        <f>IFERROR(INDEX('TRANS EMP EXTRACT - COST CENTRE'!$A$1:$Z$455,MATCH('Summary - Monthly'!$A116,'TRANS EMP EXTRACT - COST CENTRE'!$A:$A,0),MATCH('Summary - Monthly'!U$3,'TRANS EMP EXTRACT - COST CENTRE'!$2:$2,0)),0)</f>
        <v>0</v>
      </c>
      <c r="V116" s="13">
        <f>IFERROR(INDEX('TRANS EMP EXTRACT - COST CENTRE'!$A$1:$Z$455,MATCH('Summary - Monthly'!$A116,'TRANS EMP EXTRACT - COST CENTRE'!$A:$A,0),MATCH('Summary - Monthly'!V$3,'TRANS EMP EXTRACT - COST CENTRE'!$2:$2,0)),0)</f>
        <v>0</v>
      </c>
      <c r="W116" s="13">
        <f>IFERROR(INDEX('TRANS EMP EXTRACT - COST CENTRE'!$A$1:$Z$455,MATCH('Summary - Monthly'!$A116,'TRANS EMP EXTRACT - COST CENTRE'!$A:$A,0),MATCH('Summary - Monthly'!W$3,'TRANS EMP EXTRACT - COST CENTRE'!$2:$2,0)),0)</f>
        <v>0</v>
      </c>
      <c r="X116" s="13">
        <f>IFERROR(INDEX('TRANS EMP EXTRACT - COST CENTRE'!$A$1:$Z$455,MATCH('Summary - Monthly'!$A116,'TRANS EMP EXTRACT - COST CENTRE'!$A:$A,0),MATCH('Summary - Monthly'!X$3,'TRANS EMP EXTRACT - COST CENTRE'!$2:$2,0)),0)</f>
        <v>0</v>
      </c>
      <c r="Y116" s="13">
        <f>IFERROR(INDEX('TRANS EMP EXTRACT - COST CENTRE'!$A$1:$Z$455,MATCH('Summary - Monthly'!$A116,'TRANS EMP EXTRACT - COST CENTRE'!$A:$A,0),MATCH('Summary - Monthly'!Y$3,'TRANS EMP EXTRACT - COST CENTRE'!$2:$2,0)),0)</f>
        <v>0</v>
      </c>
      <c r="Z116" s="10">
        <f>IFERROR(INDEX('TRANS EMP EXTRACT - COST CENTRE'!$A$1:$Z$455,MATCH('Summary - Monthly'!$A116,'TRANS EMP EXTRACT - COST CENTRE'!$A:$A,0),MATCH('Summary - Monthly'!Z$3,'TRANS EMP EXTRACT - COST CENTRE'!$2:$2,0)),0)</f>
        <v>0</v>
      </c>
      <c r="AA116" s="10">
        <f>IFERROR(INDEX('TRANS EMP EXTRACT - COST CENTRE'!$A$1:$Z$455,MATCH('Summary - Monthly'!$A116,'TRANS EMP EXTRACT - COST CENTRE'!$A:$A,0),MATCH('Summary - Monthly'!AA$3,'TRANS EMP EXTRACT - COST CENTRE'!$2:$2,0)),0)</f>
        <v>0</v>
      </c>
      <c r="AB116" s="10">
        <f>IFERROR(INDEX('TRANS EMP EXTRACT - COST CENTRE'!$A$1:$Z$455,MATCH('Summary - Monthly'!$A116,'TRANS EMP EXTRACT - COST CENTRE'!$A:$A,0),MATCH('Summary - Monthly'!AB$3,'TRANS EMP EXTRACT - COST CENTRE'!$2:$2,0)),0)</f>
        <v>0</v>
      </c>
      <c r="AC116" s="8">
        <f>IFERROR(INDEX('TRANS EMP EXTRACT - COST CENTRE'!$A$1:$Z$455,MATCH('Summary - Monthly'!$A116,'TRANS EMP EXTRACT - COST CENTRE'!$A:$A,0),MATCH('Summary - Monthly'!AC$3,'TRANS EMP EXTRACT - COST CENTRE'!$2:$2,0)),0)</f>
        <v>0</v>
      </c>
      <c r="AD116" s="13">
        <f>IFERROR(INDEX('TRANS EMP EXTRACT - COST CENTRE'!$A$1:$Z$455,MATCH('Summary - Monthly'!$A116,'TRANS EMP EXTRACT - COST CENTRE'!$A:$A,0),MATCH('Summary - Monthly'!AD$3,'TRANS EMP EXTRACT - COST CENTRE'!$2:$2,0)),0)</f>
        <v>0</v>
      </c>
      <c r="AE116" s="13">
        <f>IFERROR(INDEX('TRANS EMP EXTRACT - COST CENTRE'!$A$1:$Z$455,MATCH('Summary - Monthly'!$A116,'TRANS EMP EXTRACT - COST CENTRE'!$A:$A,0),MATCH('Summary - Monthly'!AE$3,'TRANS EMP EXTRACT - COST CENTRE'!$2:$2,0)),0)</f>
        <v>0</v>
      </c>
      <c r="AF116" s="13">
        <f>IFERROR(INDEX('TRANS EMP EXTRACT - COST CENTRE'!$A$1:$Z$455,MATCH('Summary - Monthly'!$A116,'TRANS EMP EXTRACT - COST CENTRE'!$A:$A,0),MATCH('Summary - Monthly'!AF$3,'TRANS EMP EXTRACT - COST CENTRE'!$2:$2,0)),0)</f>
        <v>0</v>
      </c>
      <c r="AG116" s="10">
        <f>IFERROR(INDEX('TRANS EMP EXTRACT - COST CENTRE'!$A$1:$Z$455,MATCH('Summary - Monthly'!$A116,'TRANS EMP EXTRACT - COST CENTRE'!$A:$A,0),MATCH('Summary - Monthly'!AG$3,'TRANS EMP EXTRACT - COST CENTRE'!$2:$2,0)),0)</f>
        <v>0</v>
      </c>
      <c r="AH116" s="10">
        <f>IFERROR(INDEX('TRANS EMP EXTRACT - COST CENTRE'!$A$1:$Z$455,MATCH('Summary - Monthly'!$A116,'TRANS EMP EXTRACT - COST CENTRE'!$A:$A,0),MATCH('Summary - Monthly'!AH$3,'TRANS EMP EXTRACT - COST CENTRE'!$2:$2,0)),0)</f>
        <v>0</v>
      </c>
      <c r="AI116" s="10">
        <f>IFERROR(INDEX('TRANS EMP EXTRACT - COST CENTRE'!$A$1:$Z$455,MATCH('Summary - Monthly'!$A116,'TRANS EMP EXTRACT - COST CENTRE'!$A:$A,0),MATCH('Summary - Monthly'!AI$3,'TRANS EMP EXTRACT - COST CENTRE'!$2:$2,0)),0)</f>
        <v>0</v>
      </c>
      <c r="AJ116" s="10">
        <f>IFERROR(INDEX('TRANS EMP EXTRACT - COST CENTRE'!$A$1:$Z$455,MATCH('Summary - Monthly'!$A116,'TRANS EMP EXTRACT - COST CENTRE'!$A:$A,0),MATCH('Summary - Monthly'!AJ$3,'TRANS EMP EXTRACT - COST CENTRE'!$2:$2,0)),0)</f>
        <v>0</v>
      </c>
      <c r="AK116" s="10">
        <f>IFERROR(INDEX('TRANS EMP EXTRACT - COST CENTRE'!$A$1:$Z$455,MATCH('Summary - Monthly'!$A116,'TRANS EMP EXTRACT - COST CENTRE'!$A:$A,0),MATCH('Summary - Monthly'!AK$3,'TRANS EMP EXTRACT - COST CENTRE'!$2:$2,0)),0)</f>
        <v>0</v>
      </c>
      <c r="AL116" s="10">
        <f>IFERROR(INDEX('TRANS EMP EXTRACT - COST CENTRE'!$A$1:$Z$455,MATCH('Summary - Monthly'!$A116,'TRANS EMP EXTRACT - COST CENTRE'!$A:$A,0),MATCH('Summary - Monthly'!AL$3,'TRANS EMP EXTRACT - COST CENTRE'!$2:$2,0)),0)</f>
        <v>0</v>
      </c>
      <c r="AM116" s="10">
        <f t="shared" si="20"/>
        <v>60.800000000000004</v>
      </c>
      <c r="AN116" s="14">
        <f t="shared" si="13"/>
        <v>4.9999999999999996E-2</v>
      </c>
      <c r="AO116" s="18">
        <f t="shared" si="23"/>
        <v>0.4</v>
      </c>
      <c r="AP116" s="18">
        <f t="shared" si="19"/>
        <v>0.4</v>
      </c>
      <c r="AQ116" s="10" t="str">
        <f>IFERROR(VLOOKUP(B116,Departments!A:C,3,FALSE),"")</f>
        <v>Microbiology</v>
      </c>
      <c r="AR116" s="10" t="str">
        <f>IFERROR(VLOOKUP(B116,Departments!A:B,2,FALSE),"")</f>
        <v>Sydney Micro</v>
      </c>
      <c r="AS116" s="10">
        <f t="shared" si="21"/>
        <v>0</v>
      </c>
      <c r="AT116" s="10">
        <f t="shared" si="22"/>
        <v>0</v>
      </c>
      <c r="AU116" s="10" t="str">
        <f>_xlfn.IFNA(VLOOKUP(B116,Departments!A:D,4,FALSE),"")</f>
        <v>Sydney Micro</v>
      </c>
    </row>
    <row r="117" spans="1:47" ht="14.45" customHeight="1">
      <c r="A117" s="11" t="str">
        <f t="shared" si="16"/>
        <v>1201050019054</v>
      </c>
      <c r="B117" s="11">
        <f>'TRANS EMP EXTRACT - COST CENTRE'!B116</f>
        <v>12010500</v>
      </c>
      <c r="C117" s="10" t="str">
        <f>IFERROR(VLOOKUP(E117,'TRANS EMP EXTRACT - EMP CATEGOR'!A:B,2,FALSE),"")</f>
        <v>FT</v>
      </c>
      <c r="D117" s="10" t="str">
        <f>IFERROR(VLOOKUP(E117,'TRANS EMP EXTRACT - EMP CATEGOR'!A:C,3,FALSE),"")</f>
        <v>Fulltime</v>
      </c>
      <c r="E117" s="11">
        <f>'TRANS EMP EXTRACT - COST CENTRE'!D116</f>
        <v>19054</v>
      </c>
      <c r="F117" s="10" t="str">
        <f>IFERROR(VLOOKUP(E117,'TRANS EMP EXTRACT - COST CENTRE'!D:E,2,FALSE),"")</f>
        <v>SHEN  SHENDY MS</v>
      </c>
      <c r="G117" s="12">
        <f>IFERROR(INDEX('TRANS EMP EXTRACT - COST CENTRE'!$A$1:$Z$455,MATCH('Summary - Monthly'!$A117,'TRANS EMP EXTRACT - COST CENTRE'!$A:$A,0),MATCH('Summary - Monthly'!G$3,'TRANS EMP EXTRACT - COST CENTRE'!$2:$2,0)),"")</f>
        <v>44949</v>
      </c>
      <c r="H117" s="10" t="str">
        <f>IFERROR(INDEX('TRANS EMP EXTRACT - COST CENTRE'!$B$1:$Z$455,MATCH('Summary - Monthly'!$E117,'TRANS EMP EXTRACT - COST CENTRE'!$D:$D,0),MATCH('Summary - Monthly'!H$3,'TRANS EMP EXTRACT - COST CENTRE'!$2:$2,0)),"")</f>
        <v>RT</v>
      </c>
      <c r="I117" s="12" t="str">
        <f>IFERROR(INDEX('TRANS EMP EXTRACT - EMP CATEGOR'!$B$1:$AF$421,MATCH('Summary - Monthly'!$E117,'TRANS EMP EXTRACT - EMP CATEGOR'!$D:$D,0),MATCH('Summary - Monthly'!H$3,'TRANS EMP EXTRACT - EMP CATEGOR'!$2:$2,0)),"")</f>
        <v>RT</v>
      </c>
      <c r="J117" s="41">
        <f t="shared" ca="1" si="12"/>
        <v>8.3287999999999993</v>
      </c>
      <c r="K117" s="41">
        <f t="shared" ca="1" si="17"/>
        <v>16.657499999999999</v>
      </c>
      <c r="L117" s="10">
        <f>IFERROR(INDEX('TRANS EMP EXTRACT - COST CENTRE'!$A$1:$Z$455,MATCH('Summary - Monthly'!$A117,'TRANS EMP EXTRACT - COST CENTRE'!$A:$A,0),MATCH('Summary - Monthly'!L$3,'TRANS EMP EXTRACT - COST CENTRE'!$2:$2,0)),"")</f>
        <v>152</v>
      </c>
      <c r="M117" s="10">
        <f>IFERROR(INDEX('TRANS EMP EXTRACT - COST CENTRE'!$A$1:$Z$455,MATCH('Summary - Monthly'!$A117,'TRANS EMP EXTRACT - COST CENTRE'!$A:$A,0),MATCH('Summary - Monthly'!M$3,'TRANS EMP EXTRACT - COST CENTRE'!$2:$2,0)),0)</f>
        <v>0</v>
      </c>
      <c r="N117" s="10">
        <f>IFERROR(INDEX('TRANS EMP EXTRACT - COST CENTRE'!$A$1:$Z$455,MATCH('Summary - Monthly'!$A117,'TRANS EMP EXTRACT - COST CENTRE'!$A:$A,0),MATCH('Summary - Monthly'!N$3,'TRANS EMP EXTRACT - COST CENTRE'!$2:$2,0)),0)</f>
        <v>0</v>
      </c>
      <c r="O117" s="10">
        <f>IFERROR(INDEX('TRANS EMP EXTRACT - COST CENTRE'!$A$1:$Z$455,MATCH('Summary - Monthly'!$A117,'TRANS EMP EXTRACT - COST CENTRE'!$A:$A,0),MATCH('Summary - Monthly'!O$3,'TRANS EMP EXTRACT - COST CENTRE'!$2:$2,0)),0)</f>
        <v>0</v>
      </c>
      <c r="P117" s="10">
        <f>IFERROR(INDEX('TRANS EMP EXTRACT - COST CENTRE'!$A$1:$Z$455,MATCH('Summary - Monthly'!$A117,'TRANS EMP EXTRACT - COST CENTRE'!$A:$A,0),MATCH('Summary - Monthly'!P$3,'TRANS EMP EXTRACT - COST CENTRE'!$2:$2,0)),0)</f>
        <v>0</v>
      </c>
      <c r="Q117" s="10">
        <f>IFERROR(INDEX('TRANS EMP EXTRACT - COST CENTRE'!$A$1:$Z$455,MATCH('Summary - Monthly'!$A117,'TRANS EMP EXTRACT - COST CENTRE'!$A:$A,0),MATCH('Summary - Monthly'!Q$3,'TRANS EMP EXTRACT - COST CENTRE'!$2:$2,0)),0)</f>
        <v>0</v>
      </c>
      <c r="R117" s="10">
        <f>IFERROR(INDEX('TRANS EMP EXTRACT - COST CENTRE'!$A$1:$Z$455,MATCH('Summary - Monthly'!$A117,'TRANS EMP EXTRACT - COST CENTRE'!$A:$A,0),MATCH('Summary - Monthly'!R$3,'TRANS EMP EXTRACT - COST CENTRE'!$2:$2,0)),0)</f>
        <v>0</v>
      </c>
      <c r="S117" s="10">
        <f>IFERROR(INDEX('TRANS EMP EXTRACT - COST CENTRE'!$A$1:$Z$455,MATCH('Summary - Monthly'!$A117,'TRANS EMP EXTRACT - COST CENTRE'!$A:$A,0),MATCH('Summary - Monthly'!S$3,'TRANS EMP EXTRACT - COST CENTRE'!$2:$2,0)),0)</f>
        <v>0</v>
      </c>
      <c r="T117" s="8">
        <f>IFERROR(INDEX('TRANS EMP EXTRACT - COST CENTRE'!$A$1:$Z$455,MATCH('Summary - Monthly'!$A117,'TRANS EMP EXTRACT - COST CENTRE'!$A:$A,0),MATCH('Summary - Monthly'!T$3,'TRANS EMP EXTRACT - COST CENTRE'!$2:$2,0)),0)</f>
        <v>0</v>
      </c>
      <c r="U117" s="13">
        <f>IFERROR(INDEX('TRANS EMP EXTRACT - COST CENTRE'!$A$1:$Z$455,MATCH('Summary - Monthly'!$A117,'TRANS EMP EXTRACT - COST CENTRE'!$A:$A,0),MATCH('Summary - Monthly'!U$3,'TRANS EMP EXTRACT - COST CENTRE'!$2:$2,0)),0)</f>
        <v>0</v>
      </c>
      <c r="V117" s="13">
        <f>IFERROR(INDEX('TRANS EMP EXTRACT - COST CENTRE'!$A$1:$Z$455,MATCH('Summary - Monthly'!$A117,'TRANS EMP EXTRACT - COST CENTRE'!$A:$A,0),MATCH('Summary - Monthly'!V$3,'TRANS EMP EXTRACT - COST CENTRE'!$2:$2,0)),0)</f>
        <v>0</v>
      </c>
      <c r="W117" s="13">
        <f>IFERROR(INDEX('TRANS EMP EXTRACT - COST CENTRE'!$A$1:$Z$455,MATCH('Summary - Monthly'!$A117,'TRANS EMP EXTRACT - COST CENTRE'!$A:$A,0),MATCH('Summary - Monthly'!W$3,'TRANS EMP EXTRACT - COST CENTRE'!$2:$2,0)),0)</f>
        <v>0</v>
      </c>
      <c r="X117" s="13">
        <f>IFERROR(INDEX('TRANS EMP EXTRACT - COST CENTRE'!$A$1:$Z$455,MATCH('Summary - Monthly'!$A117,'TRANS EMP EXTRACT - COST CENTRE'!$A:$A,0),MATCH('Summary - Monthly'!X$3,'TRANS EMP EXTRACT - COST CENTRE'!$2:$2,0)),0)</f>
        <v>0</v>
      </c>
      <c r="Y117" s="13">
        <f>IFERROR(INDEX('TRANS EMP EXTRACT - COST CENTRE'!$A$1:$Z$455,MATCH('Summary - Monthly'!$A117,'TRANS EMP EXTRACT - COST CENTRE'!$A:$A,0),MATCH('Summary - Monthly'!Y$3,'TRANS EMP EXTRACT - COST CENTRE'!$2:$2,0)),0)</f>
        <v>0</v>
      </c>
      <c r="Z117" s="10">
        <f>IFERROR(INDEX('TRANS EMP EXTRACT - COST CENTRE'!$A$1:$Z$455,MATCH('Summary - Monthly'!$A117,'TRANS EMP EXTRACT - COST CENTRE'!$A:$A,0),MATCH('Summary - Monthly'!Z$3,'TRANS EMP EXTRACT - COST CENTRE'!$2:$2,0)),0)</f>
        <v>0</v>
      </c>
      <c r="AA117" s="10">
        <f>IFERROR(INDEX('TRANS EMP EXTRACT - COST CENTRE'!$A$1:$Z$455,MATCH('Summary - Monthly'!$A117,'TRANS EMP EXTRACT - COST CENTRE'!$A:$A,0),MATCH('Summary - Monthly'!AA$3,'TRANS EMP EXTRACT - COST CENTRE'!$2:$2,0)),0)</f>
        <v>0</v>
      </c>
      <c r="AB117" s="10">
        <f>IFERROR(INDEX('TRANS EMP EXTRACT - COST CENTRE'!$A$1:$Z$455,MATCH('Summary - Monthly'!$A117,'TRANS EMP EXTRACT - COST CENTRE'!$A:$A,0),MATCH('Summary - Monthly'!AB$3,'TRANS EMP EXTRACT - COST CENTRE'!$2:$2,0)),0)</f>
        <v>0</v>
      </c>
      <c r="AC117" s="8">
        <f>IFERROR(INDEX('TRANS EMP EXTRACT - COST CENTRE'!$A$1:$Z$455,MATCH('Summary - Monthly'!$A117,'TRANS EMP EXTRACT - COST CENTRE'!$A:$A,0),MATCH('Summary - Monthly'!AC$3,'TRANS EMP EXTRACT - COST CENTRE'!$2:$2,0)),0)</f>
        <v>0</v>
      </c>
      <c r="AD117" s="13">
        <f>IFERROR(INDEX('TRANS EMP EXTRACT - COST CENTRE'!$A$1:$Z$455,MATCH('Summary - Monthly'!$A117,'TRANS EMP EXTRACT - COST CENTRE'!$A:$A,0),MATCH('Summary - Monthly'!AD$3,'TRANS EMP EXTRACT - COST CENTRE'!$2:$2,0)),0)</f>
        <v>0</v>
      </c>
      <c r="AE117" s="13">
        <f>IFERROR(INDEX('TRANS EMP EXTRACT - COST CENTRE'!$A$1:$Z$455,MATCH('Summary - Monthly'!$A117,'TRANS EMP EXTRACT - COST CENTRE'!$A:$A,0),MATCH('Summary - Monthly'!AE$3,'TRANS EMP EXTRACT - COST CENTRE'!$2:$2,0)),0)</f>
        <v>0</v>
      </c>
      <c r="AF117" s="13">
        <f>IFERROR(INDEX('TRANS EMP EXTRACT - COST CENTRE'!$A$1:$Z$455,MATCH('Summary - Monthly'!$A117,'TRANS EMP EXTRACT - COST CENTRE'!$A:$A,0),MATCH('Summary - Monthly'!AF$3,'TRANS EMP EXTRACT - COST CENTRE'!$2:$2,0)),0)</f>
        <v>0</v>
      </c>
      <c r="AG117" s="10">
        <f>IFERROR(INDEX('TRANS EMP EXTRACT - COST CENTRE'!$A$1:$Z$455,MATCH('Summary - Monthly'!$A117,'TRANS EMP EXTRACT - COST CENTRE'!$A:$A,0),MATCH('Summary - Monthly'!AG$3,'TRANS EMP EXTRACT - COST CENTRE'!$2:$2,0)),0)</f>
        <v>0</v>
      </c>
      <c r="AH117" s="10">
        <f>IFERROR(INDEX('TRANS EMP EXTRACT - COST CENTRE'!$A$1:$Z$455,MATCH('Summary - Monthly'!$A117,'TRANS EMP EXTRACT - COST CENTRE'!$A:$A,0),MATCH('Summary - Monthly'!AH$3,'TRANS EMP EXTRACT - COST CENTRE'!$2:$2,0)),0)</f>
        <v>0</v>
      </c>
      <c r="AI117" s="10">
        <f>IFERROR(INDEX('TRANS EMP EXTRACT - COST CENTRE'!$A$1:$Z$455,MATCH('Summary - Monthly'!$A117,'TRANS EMP EXTRACT - COST CENTRE'!$A:$A,0),MATCH('Summary - Monthly'!AI$3,'TRANS EMP EXTRACT - COST CENTRE'!$2:$2,0)),0)</f>
        <v>0</v>
      </c>
      <c r="AJ117" s="10">
        <f>IFERROR(INDEX('TRANS EMP EXTRACT - COST CENTRE'!$A$1:$Z$455,MATCH('Summary - Monthly'!$A117,'TRANS EMP EXTRACT - COST CENTRE'!$A:$A,0),MATCH('Summary - Monthly'!AJ$3,'TRANS EMP EXTRACT - COST CENTRE'!$2:$2,0)),0)</f>
        <v>0</v>
      </c>
      <c r="AK117" s="10">
        <f>IFERROR(INDEX('TRANS EMP EXTRACT - COST CENTRE'!$A$1:$Z$455,MATCH('Summary - Monthly'!$A117,'TRANS EMP EXTRACT - COST CENTRE'!$A:$A,0),MATCH('Summary - Monthly'!AK$3,'TRANS EMP EXTRACT - COST CENTRE'!$2:$2,0)),0)</f>
        <v>0</v>
      </c>
      <c r="AL117" s="10">
        <f>IFERROR(INDEX('TRANS EMP EXTRACT - COST CENTRE'!$A$1:$Z$455,MATCH('Summary - Monthly'!$A117,'TRANS EMP EXTRACT - COST CENTRE'!$A:$A,0),MATCH('Summary - Monthly'!AL$3,'TRANS EMP EXTRACT - COST CENTRE'!$2:$2,0)),0)</f>
        <v>0</v>
      </c>
      <c r="AM117" s="10">
        <f t="shared" si="20"/>
        <v>152</v>
      </c>
      <c r="AN117" s="14">
        <f t="shared" si="13"/>
        <v>0</v>
      </c>
      <c r="AO117" s="18">
        <f t="shared" si="23"/>
        <v>1</v>
      </c>
      <c r="AP117" s="18">
        <f t="shared" si="19"/>
        <v>1</v>
      </c>
      <c r="AQ117" s="10" t="str">
        <f>IFERROR(VLOOKUP(B117,Departments!A:C,3,FALSE),"")</f>
        <v>Lab Admin</v>
      </c>
      <c r="AR117" s="10" t="str">
        <f>IFERROR(VLOOKUP(B117,Departments!A:B,2,FALSE),"")</f>
        <v>Central Lab Admin</v>
      </c>
      <c r="AS117" s="10">
        <f t="shared" si="21"/>
        <v>0</v>
      </c>
      <c r="AT117" s="10">
        <f t="shared" si="22"/>
        <v>0</v>
      </c>
      <c r="AU117" s="10" t="str">
        <f>_xlfn.IFNA(VLOOKUP(B117,Departments!A:D,4,FALSE),"")</f>
        <v>Central Lab Admin</v>
      </c>
    </row>
    <row r="118" spans="1:47" ht="14.45" customHeight="1">
      <c r="A118" s="11" t="str">
        <f t="shared" si="16"/>
        <v>1203301119017</v>
      </c>
      <c r="B118" s="11">
        <f>'TRANS EMP EXTRACT - COST CENTRE'!B117</f>
        <v>12033011</v>
      </c>
      <c r="C118" s="10" t="str">
        <f>IFERROR(VLOOKUP(E118,'TRANS EMP EXTRACT - EMP CATEGOR'!A:B,2,FALSE),"")</f>
        <v>TF</v>
      </c>
      <c r="D118" s="10" t="str">
        <f>IFERROR(VLOOKUP(E118,'TRANS EMP EXTRACT - EMP CATEGOR'!A:C,3,FALSE),"")</f>
        <v>Temporary Fulltime</v>
      </c>
      <c r="E118" s="11">
        <f>'TRANS EMP EXTRACT - COST CENTRE'!D117</f>
        <v>19017</v>
      </c>
      <c r="F118" s="10" t="str">
        <f>IFERROR(VLOOKUP(E118,'TRANS EMP EXTRACT - COST CENTRE'!D:E,2,FALSE),"")</f>
        <v>SINGH  NAMARTA MISS</v>
      </c>
      <c r="G118" s="12">
        <f>IFERROR(INDEX('TRANS EMP EXTRACT - COST CENTRE'!$A$1:$Z$455,MATCH('Summary - Monthly'!$A118,'TRANS EMP EXTRACT - COST CENTRE'!$A:$A,0),MATCH('Summary - Monthly'!G$3,'TRANS EMP EXTRACT - COST CENTRE'!$2:$2,0)),"")</f>
        <v>44732</v>
      </c>
      <c r="H118" s="10" t="str">
        <f>IFERROR(INDEX('TRANS EMP EXTRACT - COST CENTRE'!$B$1:$Z$455,MATCH('Summary - Monthly'!$E118,'TRANS EMP EXTRACT - COST CENTRE'!$D:$D,0),MATCH('Summary - Monthly'!H$3,'TRANS EMP EXTRACT - COST CENTRE'!$2:$2,0)),"")</f>
        <v>RT</v>
      </c>
      <c r="I118" s="12" t="str">
        <f>IFERROR(INDEX('TRANS EMP EXTRACT - EMP CATEGOR'!$B$1:$AF$421,MATCH('Summary - Monthly'!$E118,'TRANS EMP EXTRACT - EMP CATEGOR'!$D:$D,0),MATCH('Summary - Monthly'!H$3,'TRANS EMP EXTRACT - EMP CATEGOR'!$2:$2,0)),"")</f>
        <v>RT</v>
      </c>
      <c r="J118" s="41">
        <f t="shared" ca="1" si="12"/>
        <v>18.6356</v>
      </c>
      <c r="K118" s="41">
        <f t="shared" ca="1" si="17"/>
        <v>67.671199999999999</v>
      </c>
      <c r="L118" s="10">
        <f>IFERROR(INDEX('TRANS EMP EXTRACT - COST CENTRE'!$A$1:$Z$455,MATCH('Summary - Monthly'!$A118,'TRANS EMP EXTRACT - COST CENTRE'!$A:$A,0),MATCH('Summary - Monthly'!L$3,'TRANS EMP EXTRACT - COST CENTRE'!$2:$2,0)),"")</f>
        <v>121.6</v>
      </c>
      <c r="M118" s="10">
        <f>IFERROR(INDEX('TRANS EMP EXTRACT - COST CENTRE'!$A$1:$Z$455,MATCH('Summary - Monthly'!$A118,'TRANS EMP EXTRACT - COST CENTRE'!$A:$A,0),MATCH('Summary - Monthly'!M$3,'TRANS EMP EXTRACT - COST CENTRE'!$2:$2,0)),0)</f>
        <v>0</v>
      </c>
      <c r="N118" s="10">
        <f>IFERROR(INDEX('TRANS EMP EXTRACT - COST CENTRE'!$A$1:$Z$455,MATCH('Summary - Monthly'!$A118,'TRANS EMP EXTRACT - COST CENTRE'!$A:$A,0),MATCH('Summary - Monthly'!N$3,'TRANS EMP EXTRACT - COST CENTRE'!$2:$2,0)),0)</f>
        <v>0</v>
      </c>
      <c r="O118" s="10">
        <f>IFERROR(INDEX('TRANS EMP EXTRACT - COST CENTRE'!$A$1:$Z$455,MATCH('Summary - Monthly'!$A118,'TRANS EMP EXTRACT - COST CENTRE'!$A:$A,0),MATCH('Summary - Monthly'!O$3,'TRANS EMP EXTRACT - COST CENTRE'!$2:$2,0)),0)</f>
        <v>30.4</v>
      </c>
      <c r="P118" s="10">
        <f>IFERROR(INDEX('TRANS EMP EXTRACT - COST CENTRE'!$A$1:$Z$455,MATCH('Summary - Monthly'!$A118,'TRANS EMP EXTRACT - COST CENTRE'!$A:$A,0),MATCH('Summary - Monthly'!P$3,'TRANS EMP EXTRACT - COST CENTRE'!$2:$2,0)),0)</f>
        <v>0</v>
      </c>
      <c r="Q118" s="10">
        <f>IFERROR(INDEX('TRANS EMP EXTRACT - COST CENTRE'!$A$1:$Z$455,MATCH('Summary - Monthly'!$A118,'TRANS EMP EXTRACT - COST CENTRE'!$A:$A,0),MATCH('Summary - Monthly'!Q$3,'TRANS EMP EXTRACT - COST CENTRE'!$2:$2,0)),0)</f>
        <v>24.4498</v>
      </c>
      <c r="R118" s="10">
        <f>IFERROR(INDEX('TRANS EMP EXTRACT - COST CENTRE'!$A$1:$Z$455,MATCH('Summary - Monthly'!$A118,'TRANS EMP EXTRACT - COST CENTRE'!$A:$A,0),MATCH('Summary - Monthly'!R$3,'TRANS EMP EXTRACT - COST CENTRE'!$2:$2,0)),0)</f>
        <v>8.15</v>
      </c>
      <c r="S118" s="10">
        <f>IFERROR(INDEX('TRANS EMP EXTRACT - COST CENTRE'!$A$1:$Z$455,MATCH('Summary - Monthly'!$A118,'TRANS EMP EXTRACT - COST CENTRE'!$A:$A,0),MATCH('Summary - Monthly'!S$3,'TRANS EMP EXTRACT - COST CENTRE'!$2:$2,0)),0)</f>
        <v>0</v>
      </c>
      <c r="T118" s="8">
        <f>IFERROR(INDEX('TRANS EMP EXTRACT - COST CENTRE'!$A$1:$Z$455,MATCH('Summary - Monthly'!$A118,'TRANS EMP EXTRACT - COST CENTRE'!$A:$A,0),MATCH('Summary - Monthly'!T$3,'TRANS EMP EXTRACT - COST CENTRE'!$2:$2,0)),0)</f>
        <v>0</v>
      </c>
      <c r="U118" s="13">
        <f>IFERROR(INDEX('TRANS EMP EXTRACT - COST CENTRE'!$A$1:$Z$455,MATCH('Summary - Monthly'!$A118,'TRANS EMP EXTRACT - COST CENTRE'!$A:$A,0),MATCH('Summary - Monthly'!U$3,'TRANS EMP EXTRACT - COST CENTRE'!$2:$2,0)),0)</f>
        <v>0</v>
      </c>
      <c r="V118" s="13">
        <f>IFERROR(INDEX('TRANS EMP EXTRACT - COST CENTRE'!$A$1:$Z$455,MATCH('Summary - Monthly'!$A118,'TRANS EMP EXTRACT - COST CENTRE'!$A:$A,0),MATCH('Summary - Monthly'!V$3,'TRANS EMP EXTRACT - COST CENTRE'!$2:$2,0)),0)</f>
        <v>0</v>
      </c>
      <c r="W118" s="13">
        <f>IFERROR(INDEX('TRANS EMP EXTRACT - COST CENTRE'!$A$1:$Z$455,MATCH('Summary - Monthly'!$A118,'TRANS EMP EXTRACT - COST CENTRE'!$A:$A,0),MATCH('Summary - Monthly'!W$3,'TRANS EMP EXTRACT - COST CENTRE'!$2:$2,0)),0)</f>
        <v>0</v>
      </c>
      <c r="X118" s="13">
        <f>IFERROR(INDEX('TRANS EMP EXTRACT - COST CENTRE'!$A$1:$Z$455,MATCH('Summary - Monthly'!$A118,'TRANS EMP EXTRACT - COST CENTRE'!$A:$A,0),MATCH('Summary - Monthly'!X$3,'TRANS EMP EXTRACT - COST CENTRE'!$2:$2,0)),0)</f>
        <v>0</v>
      </c>
      <c r="Y118" s="13">
        <f>IFERROR(INDEX('TRANS EMP EXTRACT - COST CENTRE'!$A$1:$Z$455,MATCH('Summary - Monthly'!$A118,'TRANS EMP EXTRACT - COST CENTRE'!$A:$A,0),MATCH('Summary - Monthly'!Y$3,'TRANS EMP EXTRACT - COST CENTRE'!$2:$2,0)),0)</f>
        <v>0</v>
      </c>
      <c r="Z118" s="10">
        <f>IFERROR(INDEX('TRANS EMP EXTRACT - COST CENTRE'!$A$1:$Z$455,MATCH('Summary - Monthly'!$A118,'TRANS EMP EXTRACT - COST CENTRE'!$A:$A,0),MATCH('Summary - Monthly'!Z$3,'TRANS EMP EXTRACT - COST CENTRE'!$2:$2,0)),0)</f>
        <v>0</v>
      </c>
      <c r="AA118" s="10">
        <f>IFERROR(INDEX('TRANS EMP EXTRACT - COST CENTRE'!$A$1:$Z$455,MATCH('Summary - Monthly'!$A118,'TRANS EMP EXTRACT - COST CENTRE'!$A:$A,0),MATCH('Summary - Monthly'!AA$3,'TRANS EMP EXTRACT - COST CENTRE'!$2:$2,0)),0)</f>
        <v>0</v>
      </c>
      <c r="AB118" s="10">
        <f>IFERROR(INDEX('TRANS EMP EXTRACT - COST CENTRE'!$A$1:$Z$455,MATCH('Summary - Monthly'!$A118,'TRANS EMP EXTRACT - COST CENTRE'!$A:$A,0),MATCH('Summary - Monthly'!AB$3,'TRANS EMP EXTRACT - COST CENTRE'!$2:$2,0)),0)</f>
        <v>0</v>
      </c>
      <c r="AC118" s="8">
        <f>IFERROR(INDEX('TRANS EMP EXTRACT - COST CENTRE'!$A$1:$Z$455,MATCH('Summary - Monthly'!$A118,'TRANS EMP EXTRACT - COST CENTRE'!$A:$A,0),MATCH('Summary - Monthly'!AC$3,'TRANS EMP EXTRACT - COST CENTRE'!$2:$2,0)),0)</f>
        <v>0</v>
      </c>
      <c r="AD118" s="13">
        <f>IFERROR(INDEX('TRANS EMP EXTRACT - COST CENTRE'!$A$1:$Z$455,MATCH('Summary - Monthly'!$A118,'TRANS EMP EXTRACT - COST CENTRE'!$A:$A,0),MATCH('Summary - Monthly'!AD$3,'TRANS EMP EXTRACT - COST CENTRE'!$2:$2,0)),0)</f>
        <v>0</v>
      </c>
      <c r="AE118" s="13">
        <f>IFERROR(INDEX('TRANS EMP EXTRACT - COST CENTRE'!$A$1:$Z$455,MATCH('Summary - Monthly'!$A118,'TRANS EMP EXTRACT - COST CENTRE'!$A:$A,0),MATCH('Summary - Monthly'!AE$3,'TRANS EMP EXTRACT - COST CENTRE'!$2:$2,0)),0)</f>
        <v>0</v>
      </c>
      <c r="AF118" s="13">
        <f>IFERROR(INDEX('TRANS EMP EXTRACT - COST CENTRE'!$A$1:$Z$455,MATCH('Summary - Monthly'!$A118,'TRANS EMP EXTRACT - COST CENTRE'!$A:$A,0),MATCH('Summary - Monthly'!AF$3,'TRANS EMP EXTRACT - COST CENTRE'!$2:$2,0)),0)</f>
        <v>0</v>
      </c>
      <c r="AG118" s="10">
        <f>IFERROR(INDEX('TRANS EMP EXTRACT - COST CENTRE'!$A$1:$Z$455,MATCH('Summary - Monthly'!$A118,'TRANS EMP EXTRACT - COST CENTRE'!$A:$A,0),MATCH('Summary - Monthly'!AG$3,'TRANS EMP EXTRACT - COST CENTRE'!$2:$2,0)),0)</f>
        <v>0</v>
      </c>
      <c r="AH118" s="10">
        <f>IFERROR(INDEX('TRANS EMP EXTRACT - COST CENTRE'!$A$1:$Z$455,MATCH('Summary - Monthly'!$A118,'TRANS EMP EXTRACT - COST CENTRE'!$A:$A,0),MATCH('Summary - Monthly'!AH$3,'TRANS EMP EXTRACT - COST CENTRE'!$2:$2,0)),0)</f>
        <v>0</v>
      </c>
      <c r="AI118" s="10">
        <f>IFERROR(INDEX('TRANS EMP EXTRACT - COST CENTRE'!$A$1:$Z$455,MATCH('Summary - Monthly'!$A118,'TRANS EMP EXTRACT - COST CENTRE'!$A:$A,0),MATCH('Summary - Monthly'!AI$3,'TRANS EMP EXTRACT - COST CENTRE'!$2:$2,0)),0)</f>
        <v>0</v>
      </c>
      <c r="AJ118" s="10">
        <f>IFERROR(INDEX('TRANS EMP EXTRACT - COST CENTRE'!$A$1:$Z$455,MATCH('Summary - Monthly'!$A118,'TRANS EMP EXTRACT - COST CENTRE'!$A:$A,0),MATCH('Summary - Monthly'!AJ$3,'TRANS EMP EXTRACT - COST CENTRE'!$2:$2,0)),0)</f>
        <v>0</v>
      </c>
      <c r="AK118" s="10">
        <f>IFERROR(INDEX('TRANS EMP EXTRACT - COST CENTRE'!$A$1:$Z$455,MATCH('Summary - Monthly'!$A118,'TRANS EMP EXTRACT - COST CENTRE'!$A:$A,0),MATCH('Summary - Monthly'!AK$3,'TRANS EMP EXTRACT - COST CENTRE'!$2:$2,0)),0)</f>
        <v>0</v>
      </c>
      <c r="AL118" s="10">
        <f>IFERROR(INDEX('TRANS EMP EXTRACT - COST CENTRE'!$A$1:$Z$455,MATCH('Summary - Monthly'!$A118,'TRANS EMP EXTRACT - COST CENTRE'!$A:$A,0),MATCH('Summary - Monthly'!AL$3,'TRANS EMP EXTRACT - COST CENTRE'!$2:$2,0)),0)</f>
        <v>0</v>
      </c>
      <c r="AM118" s="10">
        <f t="shared" si="20"/>
        <v>184.59980000000002</v>
      </c>
      <c r="AN118" s="14">
        <f t="shared" si="13"/>
        <v>0.21447236842105263</v>
      </c>
      <c r="AO118" s="18">
        <f t="shared" si="23"/>
        <v>1.2144723684210528</v>
      </c>
      <c r="AP118" s="18">
        <f t="shared" si="19"/>
        <v>1.2144723684210528</v>
      </c>
      <c r="AQ118" s="10" t="str">
        <f>IFERROR(VLOOKUP(B118,Departments!A:C,3,FALSE),"")</f>
        <v>Microbiology</v>
      </c>
      <c r="AR118" s="10" t="str">
        <f>IFERROR(VLOOKUP(B118,Departments!A:B,2,FALSE),"")</f>
        <v>Melb Micro</v>
      </c>
      <c r="AS118" s="10">
        <f t="shared" si="21"/>
        <v>0</v>
      </c>
      <c r="AT118" s="10">
        <f t="shared" si="22"/>
        <v>0</v>
      </c>
      <c r="AU118" s="10" t="str">
        <f>_xlfn.IFNA(VLOOKUP(B118,Departments!A:D,4,FALSE),"")</f>
        <v>Melbourne Micro</v>
      </c>
    </row>
    <row r="119" spans="1:47" ht="14.45" customHeight="1">
      <c r="A119" s="11" t="str">
        <f t="shared" si="16"/>
        <v>1203301119011</v>
      </c>
      <c r="B119" s="11">
        <f>'TRANS EMP EXTRACT - COST CENTRE'!B118</f>
        <v>12033011</v>
      </c>
      <c r="C119" s="10" t="str">
        <f>IFERROR(VLOOKUP(E119,'TRANS EMP EXTRACT - EMP CATEGOR'!A:B,2,FALSE),"")</f>
        <v>FT</v>
      </c>
      <c r="D119" s="10" t="str">
        <f>IFERROR(VLOOKUP(E119,'TRANS EMP EXTRACT - EMP CATEGOR'!A:C,3,FALSE),"")</f>
        <v>Fulltime</v>
      </c>
      <c r="E119" s="11">
        <f>'TRANS EMP EXTRACT - COST CENTRE'!D118</f>
        <v>19011</v>
      </c>
      <c r="F119" s="10" t="str">
        <f>IFERROR(VLOOKUP(E119,'TRANS EMP EXTRACT - COST CENTRE'!D:E,2,FALSE),"")</f>
        <v>SIVARAJ  DURGA MRS</v>
      </c>
      <c r="G119" s="12">
        <f>IFERROR(INDEX('TRANS EMP EXTRACT - COST CENTRE'!$A$1:$Z$455,MATCH('Summary - Monthly'!$A119,'TRANS EMP EXTRACT - COST CENTRE'!$A:$A,0),MATCH('Summary - Monthly'!G$3,'TRANS EMP EXTRACT - COST CENTRE'!$2:$2,0)),"")</f>
        <v>44704</v>
      </c>
      <c r="H119" s="10" t="str">
        <f>IFERROR(INDEX('TRANS EMP EXTRACT - COST CENTRE'!$B$1:$Z$455,MATCH('Summary - Monthly'!$E119,'TRANS EMP EXTRACT - COST CENTRE'!$D:$D,0),MATCH('Summary - Monthly'!H$3,'TRANS EMP EXTRACT - COST CENTRE'!$2:$2,0)),"")</f>
        <v>RT</v>
      </c>
      <c r="I119" s="12" t="str">
        <f>IFERROR(INDEX('TRANS EMP EXTRACT - EMP CATEGOR'!$B$1:$AF$421,MATCH('Summary - Monthly'!$E119,'TRANS EMP EXTRACT - EMP CATEGOR'!$D:$D,0),MATCH('Summary - Monthly'!H$3,'TRANS EMP EXTRACT - EMP CATEGOR'!$2:$2,0)),"")</f>
        <v>RT</v>
      </c>
      <c r="J119" s="41">
        <f t="shared" ca="1" si="12"/>
        <v>4.9139999999999997</v>
      </c>
      <c r="K119" s="41">
        <f t="shared" ca="1" si="17"/>
        <v>47.8279</v>
      </c>
      <c r="L119" s="10">
        <f>IFERROR(INDEX('TRANS EMP EXTRACT - COST CENTRE'!$A$1:$Z$455,MATCH('Summary - Monthly'!$A119,'TRANS EMP EXTRACT - COST CENTRE'!$A:$A,0),MATCH('Summary - Monthly'!L$3,'TRANS EMP EXTRACT - COST CENTRE'!$2:$2,0)),"")</f>
        <v>121.6</v>
      </c>
      <c r="M119" s="10">
        <f>IFERROR(INDEX('TRANS EMP EXTRACT - COST CENTRE'!$A$1:$Z$455,MATCH('Summary - Monthly'!$A119,'TRANS EMP EXTRACT - COST CENTRE'!$A:$A,0),MATCH('Summary - Monthly'!M$3,'TRANS EMP EXTRACT - COST CENTRE'!$2:$2,0)),0)</f>
        <v>0</v>
      </c>
      <c r="N119" s="10">
        <f>IFERROR(INDEX('TRANS EMP EXTRACT - COST CENTRE'!$A$1:$Z$455,MATCH('Summary - Monthly'!$A119,'TRANS EMP EXTRACT - COST CENTRE'!$A:$A,0),MATCH('Summary - Monthly'!N$3,'TRANS EMP EXTRACT - COST CENTRE'!$2:$2,0)),0)</f>
        <v>0</v>
      </c>
      <c r="O119" s="10">
        <f>IFERROR(INDEX('TRANS EMP EXTRACT - COST CENTRE'!$A$1:$Z$455,MATCH('Summary - Monthly'!$A119,'TRANS EMP EXTRACT - COST CENTRE'!$A:$A,0),MATCH('Summary - Monthly'!O$3,'TRANS EMP EXTRACT - COST CENTRE'!$2:$2,0)),0)</f>
        <v>0</v>
      </c>
      <c r="P119" s="10">
        <f>IFERROR(INDEX('TRANS EMP EXTRACT - COST CENTRE'!$A$1:$Z$455,MATCH('Summary - Monthly'!$A119,'TRANS EMP EXTRACT - COST CENTRE'!$A:$A,0),MATCH('Summary - Monthly'!P$3,'TRANS EMP EXTRACT - COST CENTRE'!$2:$2,0)),0)</f>
        <v>0</v>
      </c>
      <c r="Q119" s="10">
        <f>IFERROR(INDEX('TRANS EMP EXTRACT - COST CENTRE'!$A$1:$Z$455,MATCH('Summary - Monthly'!$A119,'TRANS EMP EXTRACT - COST CENTRE'!$A:$A,0),MATCH('Summary - Monthly'!Q$3,'TRANS EMP EXTRACT - COST CENTRE'!$2:$2,0)),0)</f>
        <v>9.3500999999999994</v>
      </c>
      <c r="R119" s="10">
        <f>IFERROR(INDEX('TRANS EMP EXTRACT - COST CENTRE'!$A$1:$Z$455,MATCH('Summary - Monthly'!$A119,'TRANS EMP EXTRACT - COST CENTRE'!$A:$A,0),MATCH('Summary - Monthly'!R$3,'TRANS EMP EXTRACT - COST CENTRE'!$2:$2,0)),0)</f>
        <v>0</v>
      </c>
      <c r="S119" s="10">
        <f>IFERROR(INDEX('TRANS EMP EXTRACT - COST CENTRE'!$A$1:$Z$455,MATCH('Summary - Monthly'!$A119,'TRANS EMP EXTRACT - COST CENTRE'!$A:$A,0),MATCH('Summary - Monthly'!S$3,'TRANS EMP EXTRACT - COST CENTRE'!$2:$2,0)),0)</f>
        <v>0</v>
      </c>
      <c r="T119" s="8">
        <f>IFERROR(INDEX('TRANS EMP EXTRACT - COST CENTRE'!$A$1:$Z$455,MATCH('Summary - Monthly'!$A119,'TRANS EMP EXTRACT - COST CENTRE'!$A:$A,0),MATCH('Summary - Monthly'!T$3,'TRANS EMP EXTRACT - COST CENTRE'!$2:$2,0)),0)</f>
        <v>0</v>
      </c>
      <c r="U119" s="13">
        <f>IFERROR(INDEX('TRANS EMP EXTRACT - COST CENTRE'!$A$1:$Z$455,MATCH('Summary - Monthly'!$A119,'TRANS EMP EXTRACT - COST CENTRE'!$A:$A,0),MATCH('Summary - Monthly'!U$3,'TRANS EMP EXTRACT - COST CENTRE'!$2:$2,0)),0)</f>
        <v>15.2</v>
      </c>
      <c r="V119" s="13">
        <f>IFERROR(INDEX('TRANS EMP EXTRACT - COST CENTRE'!$A$1:$Z$455,MATCH('Summary - Monthly'!$A119,'TRANS EMP EXTRACT - COST CENTRE'!$A:$A,0),MATCH('Summary - Monthly'!V$3,'TRANS EMP EXTRACT - COST CENTRE'!$2:$2,0)),0)</f>
        <v>15.2</v>
      </c>
      <c r="W119" s="13">
        <f>IFERROR(INDEX('TRANS EMP EXTRACT - COST CENTRE'!$A$1:$Z$455,MATCH('Summary - Monthly'!$A119,'TRANS EMP EXTRACT - COST CENTRE'!$A:$A,0),MATCH('Summary - Monthly'!W$3,'TRANS EMP EXTRACT - COST CENTRE'!$2:$2,0)),0)</f>
        <v>0</v>
      </c>
      <c r="X119" s="13">
        <f>IFERROR(INDEX('TRANS EMP EXTRACT - COST CENTRE'!$A$1:$Z$455,MATCH('Summary - Monthly'!$A119,'TRANS EMP EXTRACT - COST CENTRE'!$A:$A,0),MATCH('Summary - Monthly'!X$3,'TRANS EMP EXTRACT - COST CENTRE'!$2:$2,0)),0)</f>
        <v>0</v>
      </c>
      <c r="Y119" s="13">
        <f>IFERROR(INDEX('TRANS EMP EXTRACT - COST CENTRE'!$A$1:$Z$455,MATCH('Summary - Monthly'!$A119,'TRANS EMP EXTRACT - COST CENTRE'!$A:$A,0),MATCH('Summary - Monthly'!Y$3,'TRANS EMP EXTRACT - COST CENTRE'!$2:$2,0)),0)</f>
        <v>0</v>
      </c>
      <c r="Z119" s="10">
        <f>IFERROR(INDEX('TRANS EMP EXTRACT - COST CENTRE'!$A$1:$Z$455,MATCH('Summary - Monthly'!$A119,'TRANS EMP EXTRACT - COST CENTRE'!$A:$A,0),MATCH('Summary - Monthly'!Z$3,'TRANS EMP EXTRACT - COST CENTRE'!$2:$2,0)),0)</f>
        <v>0</v>
      </c>
      <c r="AA119" s="10">
        <f>IFERROR(INDEX('TRANS EMP EXTRACT - COST CENTRE'!$A$1:$Z$455,MATCH('Summary - Monthly'!$A119,'TRANS EMP EXTRACT - COST CENTRE'!$A:$A,0),MATCH('Summary - Monthly'!AA$3,'TRANS EMP EXTRACT - COST CENTRE'!$2:$2,0)),0)</f>
        <v>0</v>
      </c>
      <c r="AB119" s="10">
        <f>IFERROR(INDEX('TRANS EMP EXTRACT - COST CENTRE'!$A$1:$Z$455,MATCH('Summary - Monthly'!$A119,'TRANS EMP EXTRACT - COST CENTRE'!$A:$A,0),MATCH('Summary - Monthly'!AB$3,'TRANS EMP EXTRACT - COST CENTRE'!$2:$2,0)),0)</f>
        <v>0</v>
      </c>
      <c r="AC119" s="8">
        <f>IFERROR(INDEX('TRANS EMP EXTRACT - COST CENTRE'!$A$1:$Z$455,MATCH('Summary - Monthly'!$A119,'TRANS EMP EXTRACT - COST CENTRE'!$A:$A,0),MATCH('Summary - Monthly'!AC$3,'TRANS EMP EXTRACT - COST CENTRE'!$2:$2,0)),0)</f>
        <v>0</v>
      </c>
      <c r="AD119" s="13">
        <f>IFERROR(INDEX('TRANS EMP EXTRACT - COST CENTRE'!$A$1:$Z$455,MATCH('Summary - Monthly'!$A119,'TRANS EMP EXTRACT - COST CENTRE'!$A:$A,0),MATCH('Summary - Monthly'!AD$3,'TRANS EMP EXTRACT - COST CENTRE'!$2:$2,0)),0)</f>
        <v>0</v>
      </c>
      <c r="AE119" s="13">
        <f>IFERROR(INDEX('TRANS EMP EXTRACT - COST CENTRE'!$A$1:$Z$455,MATCH('Summary - Monthly'!$A119,'TRANS EMP EXTRACT - COST CENTRE'!$A:$A,0),MATCH('Summary - Monthly'!AE$3,'TRANS EMP EXTRACT - COST CENTRE'!$2:$2,0)),0)</f>
        <v>0</v>
      </c>
      <c r="AF119" s="13">
        <f>IFERROR(INDEX('TRANS EMP EXTRACT - COST CENTRE'!$A$1:$Z$455,MATCH('Summary - Monthly'!$A119,'TRANS EMP EXTRACT - COST CENTRE'!$A:$A,0),MATCH('Summary - Monthly'!AF$3,'TRANS EMP EXTRACT - COST CENTRE'!$2:$2,0)),0)</f>
        <v>0</v>
      </c>
      <c r="AG119" s="10">
        <f>IFERROR(INDEX('TRANS EMP EXTRACT - COST CENTRE'!$A$1:$Z$455,MATCH('Summary - Monthly'!$A119,'TRANS EMP EXTRACT - COST CENTRE'!$A:$A,0),MATCH('Summary - Monthly'!AG$3,'TRANS EMP EXTRACT - COST CENTRE'!$2:$2,0)),0)</f>
        <v>0</v>
      </c>
      <c r="AH119" s="10">
        <f>IFERROR(INDEX('TRANS EMP EXTRACT - COST CENTRE'!$A$1:$Z$455,MATCH('Summary - Monthly'!$A119,'TRANS EMP EXTRACT - COST CENTRE'!$A:$A,0),MATCH('Summary - Monthly'!AH$3,'TRANS EMP EXTRACT - COST CENTRE'!$2:$2,0)),0)</f>
        <v>0</v>
      </c>
      <c r="AI119" s="10">
        <f>IFERROR(INDEX('TRANS EMP EXTRACT - COST CENTRE'!$A$1:$Z$455,MATCH('Summary - Monthly'!$A119,'TRANS EMP EXTRACT - COST CENTRE'!$A:$A,0),MATCH('Summary - Monthly'!AI$3,'TRANS EMP EXTRACT - COST CENTRE'!$2:$2,0)),0)</f>
        <v>0</v>
      </c>
      <c r="AJ119" s="10">
        <f>IFERROR(INDEX('TRANS EMP EXTRACT - COST CENTRE'!$A$1:$Z$455,MATCH('Summary - Monthly'!$A119,'TRANS EMP EXTRACT - COST CENTRE'!$A:$A,0),MATCH('Summary - Monthly'!AJ$3,'TRANS EMP EXTRACT - COST CENTRE'!$2:$2,0)),0)</f>
        <v>0</v>
      </c>
      <c r="AK119" s="10">
        <f>IFERROR(INDEX('TRANS EMP EXTRACT - COST CENTRE'!$A$1:$Z$455,MATCH('Summary - Monthly'!$A119,'TRANS EMP EXTRACT - COST CENTRE'!$A:$A,0),MATCH('Summary - Monthly'!AK$3,'TRANS EMP EXTRACT - COST CENTRE'!$2:$2,0)),0)</f>
        <v>0</v>
      </c>
      <c r="AL119" s="10">
        <f>IFERROR(INDEX('TRANS EMP EXTRACT - COST CENTRE'!$A$1:$Z$455,MATCH('Summary - Monthly'!$A119,'TRANS EMP EXTRACT - COST CENTRE'!$A:$A,0),MATCH('Summary - Monthly'!AL$3,'TRANS EMP EXTRACT - COST CENTRE'!$2:$2,0)),0)</f>
        <v>0</v>
      </c>
      <c r="AM119" s="10">
        <f t="shared" si="20"/>
        <v>161.35009999999997</v>
      </c>
      <c r="AN119" s="14">
        <f t="shared" si="13"/>
        <v>6.151381578947368E-2</v>
      </c>
      <c r="AO119" s="18">
        <f t="shared" si="23"/>
        <v>1.0615138157894735</v>
      </c>
      <c r="AP119" s="18">
        <f t="shared" si="19"/>
        <v>0.86151381578947339</v>
      </c>
      <c r="AQ119" s="10" t="str">
        <f>IFERROR(VLOOKUP(B119,Departments!A:C,3,FALSE),"")</f>
        <v>Microbiology</v>
      </c>
      <c r="AR119" s="10" t="str">
        <f>IFERROR(VLOOKUP(B119,Departments!A:B,2,FALSE),"")</f>
        <v>Melb Micro</v>
      </c>
      <c r="AS119" s="10">
        <f t="shared" si="21"/>
        <v>15.2</v>
      </c>
      <c r="AT119" s="10">
        <f t="shared" si="22"/>
        <v>30.4</v>
      </c>
      <c r="AU119" s="10" t="str">
        <f>_xlfn.IFNA(VLOOKUP(B119,Departments!A:D,4,FALSE),"")</f>
        <v>Melbourne Micro</v>
      </c>
    </row>
    <row r="120" spans="1:47" ht="14.45" customHeight="1">
      <c r="A120" s="11" t="str">
        <f t="shared" si="16"/>
        <v>1203061118797</v>
      </c>
      <c r="B120" s="11">
        <f>'TRANS EMP EXTRACT - COST CENTRE'!B119</f>
        <v>12030611</v>
      </c>
      <c r="C120" s="10" t="str">
        <f>IFERROR(VLOOKUP(E120,'TRANS EMP EXTRACT - EMP CATEGOR'!A:B,2,FALSE),"")</f>
        <v>FT</v>
      </c>
      <c r="D120" s="10" t="str">
        <f>IFERROR(VLOOKUP(E120,'TRANS EMP EXTRACT - EMP CATEGOR'!A:C,3,FALSE),"")</f>
        <v>Fulltime</v>
      </c>
      <c r="E120" s="11">
        <f>'TRANS EMP EXTRACT - COST CENTRE'!D119</f>
        <v>18797</v>
      </c>
      <c r="F120" s="10" t="str">
        <f>IFERROR(VLOOKUP(E120,'TRANS EMP EXTRACT - COST CENTRE'!D:E,2,FALSE),"")</f>
        <v>SIVARAMAN  POORANI MS</v>
      </c>
      <c r="G120" s="12">
        <f>IFERROR(INDEX('TRANS EMP EXTRACT - COST CENTRE'!$A$1:$Z$455,MATCH('Summary - Monthly'!$A120,'TRANS EMP EXTRACT - COST CENTRE'!$A:$A,0),MATCH('Summary - Monthly'!G$3,'TRANS EMP EXTRACT - COST CENTRE'!$2:$2,0)),"")</f>
        <v>43047</v>
      </c>
      <c r="H120" s="10" t="str">
        <f>IFERROR(INDEX('TRANS EMP EXTRACT - COST CENTRE'!$B$1:$Z$455,MATCH('Summary - Monthly'!$E120,'TRANS EMP EXTRACT - COST CENTRE'!$D:$D,0),MATCH('Summary - Monthly'!H$3,'TRANS EMP EXTRACT - COST CENTRE'!$2:$2,0)),"")</f>
        <v>RT</v>
      </c>
      <c r="I120" s="12" t="str">
        <f>IFERROR(INDEX('TRANS EMP EXTRACT - EMP CATEGOR'!$B$1:$AF$421,MATCH('Summary - Monthly'!$E120,'TRANS EMP EXTRACT - EMP CATEGOR'!$D:$D,0),MATCH('Summary - Monthly'!H$3,'TRANS EMP EXTRACT - EMP CATEGOR'!$2:$2,0)),"")</f>
        <v>RT</v>
      </c>
      <c r="J120" s="41">
        <f t="shared" ca="1" si="12"/>
        <v>44.113500000000002</v>
      </c>
      <c r="K120" s="41">
        <f t="shared" ca="1" si="17"/>
        <v>95.082300000000004</v>
      </c>
      <c r="L120" s="10">
        <f>IFERROR(INDEX('TRANS EMP EXTRACT - COST CENTRE'!$A$1:$Z$455,MATCH('Summary - Monthly'!$A120,'TRANS EMP EXTRACT - COST CENTRE'!$A:$A,0),MATCH('Summary - Monthly'!L$3,'TRANS EMP EXTRACT - COST CENTRE'!$2:$2,0)),"")</f>
        <v>106.13330000000001</v>
      </c>
      <c r="M120" s="10">
        <f>IFERROR(INDEX('TRANS EMP EXTRACT - COST CENTRE'!$A$1:$Z$455,MATCH('Summary - Monthly'!$A120,'TRANS EMP EXTRACT - COST CENTRE'!$A:$A,0),MATCH('Summary - Monthly'!M$3,'TRANS EMP EXTRACT - COST CENTRE'!$2:$2,0)),0)</f>
        <v>0</v>
      </c>
      <c r="N120" s="10">
        <f>IFERROR(INDEX('TRANS EMP EXTRACT - COST CENTRE'!$A$1:$Z$455,MATCH('Summary - Monthly'!$A120,'TRANS EMP EXTRACT - COST CENTRE'!$A:$A,0),MATCH('Summary - Monthly'!N$3,'TRANS EMP EXTRACT - COST CENTRE'!$2:$2,0)),0)</f>
        <v>0</v>
      </c>
      <c r="O120" s="10">
        <f>IFERROR(INDEX('TRANS EMP EXTRACT - COST CENTRE'!$A$1:$Z$455,MATCH('Summary - Monthly'!$A120,'TRANS EMP EXTRACT - COST CENTRE'!$A:$A,0),MATCH('Summary - Monthly'!O$3,'TRANS EMP EXTRACT - COST CENTRE'!$2:$2,0)),0)</f>
        <v>30.4</v>
      </c>
      <c r="P120" s="10">
        <f>IFERROR(INDEX('TRANS EMP EXTRACT - COST CENTRE'!$A$1:$Z$455,MATCH('Summary - Monthly'!$A120,'TRANS EMP EXTRACT - COST CENTRE'!$A:$A,0),MATCH('Summary - Monthly'!P$3,'TRANS EMP EXTRACT - COST CENTRE'!$2:$2,0)),0)</f>
        <v>0</v>
      </c>
      <c r="Q120" s="10">
        <f>IFERROR(INDEX('TRANS EMP EXTRACT - COST CENTRE'!$A$1:$Z$455,MATCH('Summary - Monthly'!$A120,'TRANS EMP EXTRACT - COST CENTRE'!$A:$A,0),MATCH('Summary - Monthly'!Q$3,'TRANS EMP EXTRACT - COST CENTRE'!$2:$2,0)),0)</f>
        <v>21.916699999999999</v>
      </c>
      <c r="R120" s="10">
        <f>IFERROR(INDEX('TRANS EMP EXTRACT - COST CENTRE'!$A$1:$Z$455,MATCH('Summary - Monthly'!$A120,'TRANS EMP EXTRACT - COST CENTRE'!$A:$A,0),MATCH('Summary - Monthly'!R$3,'TRANS EMP EXTRACT - COST CENTRE'!$2:$2,0)),0)</f>
        <v>1.7834000000000001</v>
      </c>
      <c r="S120" s="10">
        <f>IFERROR(INDEX('TRANS EMP EXTRACT - COST CENTRE'!$A$1:$Z$455,MATCH('Summary - Monthly'!$A120,'TRANS EMP EXTRACT - COST CENTRE'!$A:$A,0),MATCH('Summary - Monthly'!S$3,'TRANS EMP EXTRACT - COST CENTRE'!$2:$2,0)),0)</f>
        <v>0</v>
      </c>
      <c r="T120" s="8">
        <f>IFERROR(INDEX('TRANS EMP EXTRACT - COST CENTRE'!$A$1:$Z$455,MATCH('Summary - Monthly'!$A120,'TRANS EMP EXTRACT - COST CENTRE'!$A:$A,0),MATCH('Summary - Monthly'!T$3,'TRANS EMP EXTRACT - COST CENTRE'!$2:$2,0)),0)</f>
        <v>0</v>
      </c>
      <c r="U120" s="13">
        <f>IFERROR(INDEX('TRANS EMP EXTRACT - COST CENTRE'!$A$1:$Z$455,MATCH('Summary - Monthly'!$A120,'TRANS EMP EXTRACT - COST CENTRE'!$A:$A,0),MATCH('Summary - Monthly'!U$3,'TRANS EMP EXTRACT - COST CENTRE'!$2:$2,0)),0)</f>
        <v>7.6</v>
      </c>
      <c r="V120" s="13">
        <f>IFERROR(INDEX('TRANS EMP EXTRACT - COST CENTRE'!$A$1:$Z$455,MATCH('Summary - Monthly'!$A120,'TRANS EMP EXTRACT - COST CENTRE'!$A:$A,0),MATCH('Summary - Monthly'!V$3,'TRANS EMP EXTRACT - COST CENTRE'!$2:$2,0)),0)</f>
        <v>7.6</v>
      </c>
      <c r="W120" s="13">
        <f>IFERROR(INDEX('TRANS EMP EXTRACT - COST CENTRE'!$A$1:$Z$455,MATCH('Summary - Monthly'!$A120,'TRANS EMP EXTRACT - COST CENTRE'!$A:$A,0),MATCH('Summary - Monthly'!W$3,'TRANS EMP EXTRACT - COST CENTRE'!$2:$2,0)),0)</f>
        <v>0</v>
      </c>
      <c r="X120" s="13">
        <f>IFERROR(INDEX('TRANS EMP EXTRACT - COST CENTRE'!$A$1:$Z$455,MATCH('Summary - Monthly'!$A120,'TRANS EMP EXTRACT - COST CENTRE'!$A:$A,0),MATCH('Summary - Monthly'!X$3,'TRANS EMP EXTRACT - COST CENTRE'!$2:$2,0)),0)</f>
        <v>0</v>
      </c>
      <c r="Y120" s="13">
        <f>IFERROR(INDEX('TRANS EMP EXTRACT - COST CENTRE'!$A$1:$Z$455,MATCH('Summary - Monthly'!$A120,'TRANS EMP EXTRACT - COST CENTRE'!$A:$A,0),MATCH('Summary - Monthly'!Y$3,'TRANS EMP EXTRACT - COST CENTRE'!$2:$2,0)),0)</f>
        <v>0</v>
      </c>
      <c r="Z120" s="10">
        <f>IFERROR(INDEX('TRANS EMP EXTRACT - COST CENTRE'!$A$1:$Z$455,MATCH('Summary - Monthly'!$A120,'TRANS EMP EXTRACT - COST CENTRE'!$A:$A,0),MATCH('Summary - Monthly'!Z$3,'TRANS EMP EXTRACT - COST CENTRE'!$2:$2,0)),0)</f>
        <v>0</v>
      </c>
      <c r="AA120" s="10">
        <f>IFERROR(INDEX('TRANS EMP EXTRACT - COST CENTRE'!$A$1:$Z$455,MATCH('Summary - Monthly'!$A120,'TRANS EMP EXTRACT - COST CENTRE'!$A:$A,0),MATCH('Summary - Monthly'!AA$3,'TRANS EMP EXTRACT - COST CENTRE'!$2:$2,0)),0)</f>
        <v>0</v>
      </c>
      <c r="AB120" s="10">
        <f>IFERROR(INDEX('TRANS EMP EXTRACT - COST CENTRE'!$A$1:$Z$455,MATCH('Summary - Monthly'!$A120,'TRANS EMP EXTRACT - COST CENTRE'!$A:$A,0),MATCH('Summary - Monthly'!AB$3,'TRANS EMP EXTRACT - COST CENTRE'!$2:$2,0)),0)</f>
        <v>0</v>
      </c>
      <c r="AC120" s="8">
        <f>IFERROR(INDEX('TRANS EMP EXTRACT - COST CENTRE'!$A$1:$Z$455,MATCH('Summary - Monthly'!$A120,'TRANS EMP EXTRACT - COST CENTRE'!$A:$A,0),MATCH('Summary - Monthly'!AC$3,'TRANS EMP EXTRACT - COST CENTRE'!$2:$2,0)),0)</f>
        <v>0</v>
      </c>
      <c r="AD120" s="13">
        <f>IFERROR(INDEX('TRANS EMP EXTRACT - COST CENTRE'!$A$1:$Z$455,MATCH('Summary - Monthly'!$A120,'TRANS EMP EXTRACT - COST CENTRE'!$A:$A,0),MATCH('Summary - Monthly'!AD$3,'TRANS EMP EXTRACT - COST CENTRE'!$2:$2,0)),0)</f>
        <v>0</v>
      </c>
      <c r="AE120" s="13">
        <f>IFERROR(INDEX('TRANS EMP EXTRACT - COST CENTRE'!$A$1:$Z$455,MATCH('Summary - Monthly'!$A120,'TRANS EMP EXTRACT - COST CENTRE'!$A:$A,0),MATCH('Summary - Monthly'!AE$3,'TRANS EMP EXTRACT - COST CENTRE'!$2:$2,0)),0)</f>
        <v>0</v>
      </c>
      <c r="AF120" s="13">
        <f>IFERROR(INDEX('TRANS EMP EXTRACT - COST CENTRE'!$A$1:$Z$455,MATCH('Summary - Monthly'!$A120,'TRANS EMP EXTRACT - COST CENTRE'!$A:$A,0),MATCH('Summary - Monthly'!AF$3,'TRANS EMP EXTRACT - COST CENTRE'!$2:$2,0)),0)</f>
        <v>0</v>
      </c>
      <c r="AG120" s="10">
        <f>IFERROR(INDEX('TRANS EMP EXTRACT - COST CENTRE'!$A$1:$Z$455,MATCH('Summary - Monthly'!$A120,'TRANS EMP EXTRACT - COST CENTRE'!$A:$A,0),MATCH('Summary - Monthly'!AG$3,'TRANS EMP EXTRACT - COST CENTRE'!$2:$2,0)),0)</f>
        <v>0</v>
      </c>
      <c r="AH120" s="10">
        <f>IFERROR(INDEX('TRANS EMP EXTRACT - COST CENTRE'!$A$1:$Z$455,MATCH('Summary - Monthly'!$A120,'TRANS EMP EXTRACT - COST CENTRE'!$A:$A,0),MATCH('Summary - Monthly'!AH$3,'TRANS EMP EXTRACT - COST CENTRE'!$2:$2,0)),0)</f>
        <v>0</v>
      </c>
      <c r="AI120" s="10">
        <f>IFERROR(INDEX('TRANS EMP EXTRACT - COST CENTRE'!$A$1:$Z$455,MATCH('Summary - Monthly'!$A120,'TRANS EMP EXTRACT - COST CENTRE'!$A:$A,0),MATCH('Summary - Monthly'!AI$3,'TRANS EMP EXTRACT - COST CENTRE'!$2:$2,0)),0)</f>
        <v>0</v>
      </c>
      <c r="AJ120" s="10">
        <f>IFERROR(INDEX('TRANS EMP EXTRACT - COST CENTRE'!$A$1:$Z$455,MATCH('Summary - Monthly'!$A120,'TRANS EMP EXTRACT - COST CENTRE'!$A:$A,0),MATCH('Summary - Monthly'!AJ$3,'TRANS EMP EXTRACT - COST CENTRE'!$2:$2,0)),0)</f>
        <v>0</v>
      </c>
      <c r="AK120" s="10">
        <f>IFERROR(INDEX('TRANS EMP EXTRACT - COST CENTRE'!$A$1:$Z$455,MATCH('Summary - Monthly'!$A120,'TRANS EMP EXTRACT - COST CENTRE'!$A:$A,0),MATCH('Summary - Monthly'!AK$3,'TRANS EMP EXTRACT - COST CENTRE'!$2:$2,0)),0)</f>
        <v>0</v>
      </c>
      <c r="AL120" s="10">
        <f>IFERROR(INDEX('TRANS EMP EXTRACT - COST CENTRE'!$A$1:$Z$455,MATCH('Summary - Monthly'!$A120,'TRANS EMP EXTRACT - COST CENTRE'!$A:$A,0),MATCH('Summary - Monthly'!AL$3,'TRANS EMP EXTRACT - COST CENTRE'!$2:$2,0)),0)</f>
        <v>0</v>
      </c>
      <c r="AM120" s="10">
        <f t="shared" si="20"/>
        <v>175.43339999999998</v>
      </c>
      <c r="AN120" s="14">
        <f t="shared" si="13"/>
        <v>0.15592171052631579</v>
      </c>
      <c r="AO120" s="18">
        <f t="shared" si="23"/>
        <v>1.1541671052631577</v>
      </c>
      <c r="AP120" s="18">
        <f t="shared" si="19"/>
        <v>1.0541671052631578</v>
      </c>
      <c r="AQ120" s="10" t="str">
        <f>IFERROR(VLOOKUP(B120,Departments!A:C,3,FALSE),"")</f>
        <v>Microbiology</v>
      </c>
      <c r="AR120" s="10" t="str">
        <f>IFERROR(VLOOKUP(B120,Departments!A:B,2,FALSE),"")</f>
        <v>Melb Micro</v>
      </c>
      <c r="AS120" s="10">
        <f t="shared" si="21"/>
        <v>7.6</v>
      </c>
      <c r="AT120" s="10">
        <f t="shared" si="22"/>
        <v>15.2</v>
      </c>
      <c r="AU120" s="10" t="str">
        <f>_xlfn.IFNA(VLOOKUP(B120,Departments!A:D,4,FALSE),"")</f>
        <v>Melbourne Micro</v>
      </c>
    </row>
    <row r="121" spans="1:47" ht="14.45" customHeight="1">
      <c r="A121" s="11" t="str">
        <f t="shared" si="16"/>
        <v>12010700152</v>
      </c>
      <c r="B121" s="11">
        <f>'TRANS EMP EXTRACT - COST CENTRE'!B120</f>
        <v>12010700</v>
      </c>
      <c r="C121" s="10" t="str">
        <f>IFERROR(VLOOKUP(E121,'TRANS EMP EXTRACT - EMP CATEGOR'!A:B,2,FALSE),"")</f>
        <v>FT</v>
      </c>
      <c r="D121" s="10" t="str">
        <f>IFERROR(VLOOKUP(E121,'TRANS EMP EXTRACT - EMP CATEGOR'!A:C,3,FALSE),"")</f>
        <v>Fulltime</v>
      </c>
      <c r="E121" s="11">
        <f>'TRANS EMP EXTRACT - COST CENTRE'!D120</f>
        <v>152</v>
      </c>
      <c r="F121" s="10" t="str">
        <f>IFERROR(VLOOKUP(E121,'TRANS EMP EXTRACT - COST CENTRE'!D:E,2,FALSE),"")</f>
        <v>SKIPPER  MELINDA MS</v>
      </c>
      <c r="G121" s="12">
        <f>IFERROR(INDEX('TRANS EMP EXTRACT - COST CENTRE'!$A$1:$Z$455,MATCH('Summary - Monthly'!$A121,'TRANS EMP EXTRACT - COST CENTRE'!$A:$A,0),MATCH('Summary - Monthly'!G$3,'TRANS EMP EXTRACT - COST CENTRE'!$2:$2,0)),"")</f>
        <v>33331</v>
      </c>
      <c r="H121" s="10" t="str">
        <f>IFERROR(INDEX('TRANS EMP EXTRACT - COST CENTRE'!$B$1:$Z$455,MATCH('Summary - Monthly'!$E121,'TRANS EMP EXTRACT - COST CENTRE'!$D:$D,0),MATCH('Summary - Monthly'!H$3,'TRANS EMP EXTRACT - COST CENTRE'!$2:$2,0)),"")</f>
        <v>FN</v>
      </c>
      <c r="I121" s="12" t="str">
        <f>IFERROR(INDEX('TRANS EMP EXTRACT - EMP CATEGOR'!$B$1:$AF$421,MATCH('Summary - Monthly'!$E121,'TRANS EMP EXTRACT - EMP CATEGOR'!$D:$D,0),MATCH('Summary - Monthly'!H$3,'TRANS EMP EXTRACT - EMP CATEGOR'!$2:$2,0)),"")</f>
        <v>FN</v>
      </c>
      <c r="J121" s="41">
        <f t="shared" ca="1" si="12"/>
        <v>669.66240000000005</v>
      </c>
      <c r="K121" s="41">
        <f t="shared" ca="1" si="17"/>
        <v>72.596199999999996</v>
      </c>
      <c r="L121" s="10">
        <f>IFERROR(INDEX('TRANS EMP EXTRACT - COST CENTRE'!$A$1:$Z$455,MATCH('Summary - Monthly'!$A121,'TRANS EMP EXTRACT - COST CENTRE'!$A:$A,0),MATCH('Summary - Monthly'!L$3,'TRANS EMP EXTRACT - COST CENTRE'!$2:$2,0)),"")</f>
        <v>152</v>
      </c>
      <c r="M121" s="10">
        <f>IFERROR(INDEX('TRANS EMP EXTRACT - COST CENTRE'!$A$1:$Z$455,MATCH('Summary - Monthly'!$A121,'TRANS EMP EXTRACT - COST CENTRE'!$A:$A,0),MATCH('Summary - Monthly'!M$3,'TRANS EMP EXTRACT - COST CENTRE'!$2:$2,0)),0)</f>
        <v>0</v>
      </c>
      <c r="N121" s="10">
        <f>IFERROR(INDEX('TRANS EMP EXTRACT - COST CENTRE'!$A$1:$Z$455,MATCH('Summary - Monthly'!$A121,'TRANS EMP EXTRACT - COST CENTRE'!$A:$A,0),MATCH('Summary - Monthly'!N$3,'TRANS EMP EXTRACT - COST CENTRE'!$2:$2,0)),0)</f>
        <v>0</v>
      </c>
      <c r="O121" s="10">
        <f>IFERROR(INDEX('TRANS EMP EXTRACT - COST CENTRE'!$A$1:$Z$455,MATCH('Summary - Monthly'!$A121,'TRANS EMP EXTRACT - COST CENTRE'!$A:$A,0),MATCH('Summary - Monthly'!O$3,'TRANS EMP EXTRACT - COST CENTRE'!$2:$2,0)),0)</f>
        <v>0</v>
      </c>
      <c r="P121" s="10">
        <f>IFERROR(INDEX('TRANS EMP EXTRACT - COST CENTRE'!$A$1:$Z$455,MATCH('Summary - Monthly'!$A121,'TRANS EMP EXTRACT - COST CENTRE'!$A:$A,0),MATCH('Summary - Monthly'!P$3,'TRANS EMP EXTRACT - COST CENTRE'!$2:$2,0)),0)</f>
        <v>0</v>
      </c>
      <c r="Q121" s="10">
        <f>IFERROR(INDEX('TRANS EMP EXTRACT - COST CENTRE'!$A$1:$Z$455,MATCH('Summary - Monthly'!$A121,'TRANS EMP EXTRACT - COST CENTRE'!$A:$A,0),MATCH('Summary - Monthly'!Q$3,'TRANS EMP EXTRACT - COST CENTRE'!$2:$2,0)),0)</f>
        <v>0</v>
      </c>
      <c r="R121" s="10">
        <f>IFERROR(INDEX('TRANS EMP EXTRACT - COST CENTRE'!$A$1:$Z$455,MATCH('Summary - Monthly'!$A121,'TRANS EMP EXTRACT - COST CENTRE'!$A:$A,0),MATCH('Summary - Monthly'!R$3,'TRANS EMP EXTRACT - COST CENTRE'!$2:$2,0)),0)</f>
        <v>0</v>
      </c>
      <c r="S121" s="10">
        <f>IFERROR(INDEX('TRANS EMP EXTRACT - COST CENTRE'!$A$1:$Z$455,MATCH('Summary - Monthly'!$A121,'TRANS EMP EXTRACT - COST CENTRE'!$A:$A,0),MATCH('Summary - Monthly'!S$3,'TRANS EMP EXTRACT - COST CENTRE'!$2:$2,0)),0)</f>
        <v>0</v>
      </c>
      <c r="T121" s="8">
        <f>IFERROR(INDEX('TRANS EMP EXTRACT - COST CENTRE'!$A$1:$Z$455,MATCH('Summary - Monthly'!$A121,'TRANS EMP EXTRACT - COST CENTRE'!$A:$A,0),MATCH('Summary - Monthly'!T$3,'TRANS EMP EXTRACT - COST CENTRE'!$2:$2,0)),0)</f>
        <v>0</v>
      </c>
      <c r="U121" s="13">
        <f>IFERROR(INDEX('TRANS EMP EXTRACT - COST CENTRE'!$A$1:$Z$455,MATCH('Summary - Monthly'!$A121,'TRANS EMP EXTRACT - COST CENTRE'!$A:$A,0),MATCH('Summary - Monthly'!U$3,'TRANS EMP EXTRACT - COST CENTRE'!$2:$2,0)),0)</f>
        <v>0</v>
      </c>
      <c r="V121" s="13">
        <f>IFERROR(INDEX('TRANS EMP EXTRACT - COST CENTRE'!$A$1:$Z$455,MATCH('Summary - Monthly'!$A121,'TRANS EMP EXTRACT - COST CENTRE'!$A:$A,0),MATCH('Summary - Monthly'!V$3,'TRANS EMP EXTRACT - COST CENTRE'!$2:$2,0)),0)</f>
        <v>0</v>
      </c>
      <c r="W121" s="13">
        <f>IFERROR(INDEX('TRANS EMP EXTRACT - COST CENTRE'!$A$1:$Z$455,MATCH('Summary - Monthly'!$A121,'TRANS EMP EXTRACT - COST CENTRE'!$A:$A,0),MATCH('Summary - Monthly'!W$3,'TRANS EMP EXTRACT - COST CENTRE'!$2:$2,0)),0)</f>
        <v>0</v>
      </c>
      <c r="X121" s="13">
        <f>IFERROR(INDEX('TRANS EMP EXTRACT - COST CENTRE'!$A$1:$Z$455,MATCH('Summary - Monthly'!$A121,'TRANS EMP EXTRACT - COST CENTRE'!$A:$A,0),MATCH('Summary - Monthly'!X$3,'TRANS EMP EXTRACT - COST CENTRE'!$2:$2,0)),0)</f>
        <v>0</v>
      </c>
      <c r="Y121" s="13">
        <f>IFERROR(INDEX('TRANS EMP EXTRACT - COST CENTRE'!$A$1:$Z$455,MATCH('Summary - Monthly'!$A121,'TRANS EMP EXTRACT - COST CENTRE'!$A:$A,0),MATCH('Summary - Monthly'!Y$3,'TRANS EMP EXTRACT - COST CENTRE'!$2:$2,0)),0)</f>
        <v>0</v>
      </c>
      <c r="Z121" s="10">
        <f>IFERROR(INDEX('TRANS EMP EXTRACT - COST CENTRE'!$A$1:$Z$455,MATCH('Summary - Monthly'!$A121,'TRANS EMP EXTRACT - COST CENTRE'!$A:$A,0),MATCH('Summary - Monthly'!Z$3,'TRANS EMP EXTRACT - COST CENTRE'!$2:$2,0)),0)</f>
        <v>0</v>
      </c>
      <c r="AA121" s="10">
        <f>IFERROR(INDEX('TRANS EMP EXTRACT - COST CENTRE'!$A$1:$Z$455,MATCH('Summary - Monthly'!$A121,'TRANS EMP EXTRACT - COST CENTRE'!$A:$A,0),MATCH('Summary - Monthly'!AA$3,'TRANS EMP EXTRACT - COST CENTRE'!$2:$2,0)),0)</f>
        <v>0</v>
      </c>
      <c r="AB121" s="10">
        <f>IFERROR(INDEX('TRANS EMP EXTRACT - COST CENTRE'!$A$1:$Z$455,MATCH('Summary - Monthly'!$A121,'TRANS EMP EXTRACT - COST CENTRE'!$A:$A,0),MATCH('Summary - Monthly'!AB$3,'TRANS EMP EXTRACT - COST CENTRE'!$2:$2,0)),0)</f>
        <v>0</v>
      </c>
      <c r="AC121" s="8">
        <f>IFERROR(INDEX('TRANS EMP EXTRACT - COST CENTRE'!$A$1:$Z$455,MATCH('Summary - Monthly'!$A121,'TRANS EMP EXTRACT - COST CENTRE'!$A:$A,0),MATCH('Summary - Monthly'!AC$3,'TRANS EMP EXTRACT - COST CENTRE'!$2:$2,0)),0)</f>
        <v>0</v>
      </c>
      <c r="AD121" s="13">
        <f>IFERROR(INDEX('TRANS EMP EXTRACT - COST CENTRE'!$A$1:$Z$455,MATCH('Summary - Monthly'!$A121,'TRANS EMP EXTRACT - COST CENTRE'!$A:$A,0),MATCH('Summary - Monthly'!AD$3,'TRANS EMP EXTRACT - COST CENTRE'!$2:$2,0)),0)</f>
        <v>0</v>
      </c>
      <c r="AE121" s="13">
        <f>IFERROR(INDEX('TRANS EMP EXTRACT - COST CENTRE'!$A$1:$Z$455,MATCH('Summary - Monthly'!$A121,'TRANS EMP EXTRACT - COST CENTRE'!$A:$A,0),MATCH('Summary - Monthly'!AE$3,'TRANS EMP EXTRACT - COST CENTRE'!$2:$2,0)),0)</f>
        <v>0</v>
      </c>
      <c r="AF121" s="13">
        <f>IFERROR(INDEX('TRANS EMP EXTRACT - COST CENTRE'!$A$1:$Z$455,MATCH('Summary - Monthly'!$A121,'TRANS EMP EXTRACT - COST CENTRE'!$A:$A,0),MATCH('Summary - Monthly'!AF$3,'TRANS EMP EXTRACT - COST CENTRE'!$2:$2,0)),0)</f>
        <v>0</v>
      </c>
      <c r="AG121" s="10">
        <f>IFERROR(INDEX('TRANS EMP EXTRACT - COST CENTRE'!$A$1:$Z$455,MATCH('Summary - Monthly'!$A121,'TRANS EMP EXTRACT - COST CENTRE'!$A:$A,0),MATCH('Summary - Monthly'!AG$3,'TRANS EMP EXTRACT - COST CENTRE'!$2:$2,0)),0)</f>
        <v>0</v>
      </c>
      <c r="AH121" s="10">
        <f>IFERROR(INDEX('TRANS EMP EXTRACT - COST CENTRE'!$A$1:$Z$455,MATCH('Summary - Monthly'!$A121,'TRANS EMP EXTRACT - COST CENTRE'!$A:$A,0),MATCH('Summary - Monthly'!AH$3,'TRANS EMP EXTRACT - COST CENTRE'!$2:$2,0)),0)</f>
        <v>0</v>
      </c>
      <c r="AI121" s="10">
        <f>IFERROR(INDEX('TRANS EMP EXTRACT - COST CENTRE'!$A$1:$Z$455,MATCH('Summary - Monthly'!$A121,'TRANS EMP EXTRACT - COST CENTRE'!$A:$A,0),MATCH('Summary - Monthly'!AI$3,'TRANS EMP EXTRACT - COST CENTRE'!$2:$2,0)),0)</f>
        <v>0</v>
      </c>
      <c r="AJ121" s="10">
        <f>IFERROR(INDEX('TRANS EMP EXTRACT - COST CENTRE'!$A$1:$Z$455,MATCH('Summary - Monthly'!$A121,'TRANS EMP EXTRACT - COST CENTRE'!$A:$A,0),MATCH('Summary - Monthly'!AJ$3,'TRANS EMP EXTRACT - COST CENTRE'!$2:$2,0)),0)</f>
        <v>0</v>
      </c>
      <c r="AK121" s="10">
        <f>IFERROR(INDEX('TRANS EMP EXTRACT - COST CENTRE'!$A$1:$Z$455,MATCH('Summary - Monthly'!$A121,'TRANS EMP EXTRACT - COST CENTRE'!$A:$A,0),MATCH('Summary - Monthly'!AK$3,'TRANS EMP EXTRACT - COST CENTRE'!$2:$2,0)),0)</f>
        <v>0</v>
      </c>
      <c r="AL121" s="10">
        <f>IFERROR(INDEX('TRANS EMP EXTRACT - COST CENTRE'!$A$1:$Z$455,MATCH('Summary - Monthly'!$A121,'TRANS EMP EXTRACT - COST CENTRE'!$A:$A,0),MATCH('Summary - Monthly'!AL$3,'TRANS EMP EXTRACT - COST CENTRE'!$2:$2,0)),0)</f>
        <v>0</v>
      </c>
      <c r="AM121" s="10">
        <f t="shared" si="20"/>
        <v>152</v>
      </c>
      <c r="AN121" s="14">
        <f t="shared" si="13"/>
        <v>0</v>
      </c>
      <c r="AO121" s="18">
        <f t="shared" si="23"/>
        <v>1</v>
      </c>
      <c r="AP121" s="18">
        <f t="shared" si="19"/>
        <v>1</v>
      </c>
      <c r="AQ121" s="10" t="str">
        <f>IFERROR(VLOOKUP(B121,Departments!A:C,3,FALSE),"")</f>
        <v>Quality</v>
      </c>
      <c r="AR121" s="10" t="str">
        <f>IFERROR(VLOOKUP(B121,Departments!A:B,2,FALSE),"")</f>
        <v>Quality</v>
      </c>
      <c r="AS121" s="10">
        <f t="shared" si="21"/>
        <v>0</v>
      </c>
      <c r="AT121" s="10">
        <f t="shared" si="22"/>
        <v>0</v>
      </c>
      <c r="AU121" s="10" t="str">
        <f>_xlfn.IFNA(VLOOKUP(B121,Departments!A:D,4,FALSE),"")</f>
        <v>Quality</v>
      </c>
    </row>
    <row r="122" spans="1:47" ht="14.45" customHeight="1">
      <c r="A122" s="11" t="str">
        <f t="shared" si="16"/>
        <v>1203071118793</v>
      </c>
      <c r="B122" s="11">
        <f>'TRANS EMP EXTRACT - COST CENTRE'!B121</f>
        <v>12030711</v>
      </c>
      <c r="C122" s="10" t="str">
        <f>IFERROR(VLOOKUP(E122,'TRANS EMP EXTRACT - EMP CATEGOR'!A:B,2,FALSE),"")</f>
        <v>CAS</v>
      </c>
      <c r="D122" s="10" t="str">
        <f>IFERROR(VLOOKUP(E122,'TRANS EMP EXTRACT - EMP CATEGOR'!A:C,3,FALSE),"")</f>
        <v>Casual RL</v>
      </c>
      <c r="E122" s="11">
        <f>'TRANS EMP EXTRACT - COST CENTRE'!D121</f>
        <v>18793</v>
      </c>
      <c r="F122" s="10" t="str">
        <f>IFERROR(VLOOKUP(E122,'TRANS EMP EXTRACT - COST CENTRE'!D:E,2,FALSE),"")</f>
        <v>SMITH  KAREN MRS</v>
      </c>
      <c r="G122" s="12">
        <f>IFERROR(INDEX('TRANS EMP EXTRACT - COST CENTRE'!$A$1:$Z$455,MATCH('Summary - Monthly'!$A122,'TRANS EMP EXTRACT - COST CENTRE'!$A:$A,0),MATCH('Summary - Monthly'!G$3,'TRANS EMP EXTRACT - COST CENTRE'!$2:$2,0)),"")</f>
        <v>43015</v>
      </c>
      <c r="H122" s="10" t="str">
        <f>IFERROR(INDEX('TRANS EMP EXTRACT - COST CENTRE'!$B$1:$Z$455,MATCH('Summary - Monthly'!$E122,'TRANS EMP EXTRACT - COST CENTRE'!$D:$D,0),MATCH('Summary - Monthly'!H$3,'TRANS EMP EXTRACT - COST CENTRE'!$2:$2,0)),"")</f>
        <v>RT</v>
      </c>
      <c r="I122" s="12" t="str">
        <f>IFERROR(INDEX('TRANS EMP EXTRACT - EMP CATEGOR'!$B$1:$AF$421,MATCH('Summary - Monthly'!$E122,'TRANS EMP EXTRACT - EMP CATEGOR'!$D:$D,0),MATCH('Summary - Monthly'!H$3,'TRANS EMP EXTRACT - EMP CATEGOR'!$2:$2,0)),"")</f>
        <v>RT</v>
      </c>
      <c r="J122" s="41">
        <f t="shared" ca="1" si="12"/>
        <v>0</v>
      </c>
      <c r="K122" s="41">
        <f t="shared" ca="1" si="17"/>
        <v>0</v>
      </c>
      <c r="L122" s="10">
        <f>IFERROR(INDEX('TRANS EMP EXTRACT - COST CENTRE'!$A$1:$Z$455,MATCH('Summary - Monthly'!$A122,'TRANS EMP EXTRACT - COST CENTRE'!$A:$A,0),MATCH('Summary - Monthly'!L$3,'TRANS EMP EXTRACT - COST CENTRE'!$2:$2,0)),"")</f>
        <v>0</v>
      </c>
      <c r="M122" s="10">
        <f>IFERROR(INDEX('TRANS EMP EXTRACT - COST CENTRE'!$A$1:$Z$455,MATCH('Summary - Monthly'!$A122,'TRANS EMP EXTRACT - COST CENTRE'!$A:$A,0),MATCH('Summary - Monthly'!M$3,'TRANS EMP EXTRACT - COST CENTRE'!$2:$2,0)),0)</f>
        <v>0</v>
      </c>
      <c r="N122" s="10">
        <f>IFERROR(INDEX('TRANS EMP EXTRACT - COST CENTRE'!$A$1:$Z$455,MATCH('Summary - Monthly'!$A122,'TRANS EMP EXTRACT - COST CENTRE'!$A:$A,0),MATCH('Summary - Monthly'!N$3,'TRANS EMP EXTRACT - COST CENTRE'!$2:$2,0)),0)</f>
        <v>0</v>
      </c>
      <c r="O122" s="10">
        <f>IFERROR(INDEX('TRANS EMP EXTRACT - COST CENTRE'!$A$1:$Z$455,MATCH('Summary - Monthly'!$A122,'TRANS EMP EXTRACT - COST CENTRE'!$A:$A,0),MATCH('Summary - Monthly'!O$3,'TRANS EMP EXTRACT - COST CENTRE'!$2:$2,0)),0)</f>
        <v>0</v>
      </c>
      <c r="P122" s="10">
        <f>IFERROR(INDEX('TRANS EMP EXTRACT - COST CENTRE'!$A$1:$Z$455,MATCH('Summary - Monthly'!$A122,'TRANS EMP EXTRACT - COST CENTRE'!$A:$A,0),MATCH('Summary - Monthly'!P$3,'TRANS EMP EXTRACT - COST CENTRE'!$2:$2,0)),0)</f>
        <v>24.633299999999998</v>
      </c>
      <c r="Q122" s="10">
        <f>IFERROR(INDEX('TRANS EMP EXTRACT - COST CENTRE'!$A$1:$Z$455,MATCH('Summary - Monthly'!$A122,'TRANS EMP EXTRACT - COST CENTRE'!$A:$A,0),MATCH('Summary - Monthly'!Q$3,'TRANS EMP EXTRACT - COST CENTRE'!$2:$2,0)),0)</f>
        <v>0</v>
      </c>
      <c r="R122" s="10">
        <f>IFERROR(INDEX('TRANS EMP EXTRACT - COST CENTRE'!$A$1:$Z$455,MATCH('Summary - Monthly'!$A122,'TRANS EMP EXTRACT - COST CENTRE'!$A:$A,0),MATCH('Summary - Monthly'!R$3,'TRANS EMP EXTRACT - COST CENTRE'!$2:$2,0)),0)</f>
        <v>0</v>
      </c>
      <c r="S122" s="10">
        <f>IFERROR(INDEX('TRANS EMP EXTRACT - COST CENTRE'!$A$1:$Z$455,MATCH('Summary - Monthly'!$A122,'TRANS EMP EXTRACT - COST CENTRE'!$A:$A,0),MATCH('Summary - Monthly'!S$3,'TRANS EMP EXTRACT - COST CENTRE'!$2:$2,0)),0)</f>
        <v>0</v>
      </c>
      <c r="T122" s="8">
        <f>IFERROR(INDEX('TRANS EMP EXTRACT - COST CENTRE'!$A$1:$Z$455,MATCH('Summary - Monthly'!$A122,'TRANS EMP EXTRACT - COST CENTRE'!$A:$A,0),MATCH('Summary - Monthly'!T$3,'TRANS EMP EXTRACT - COST CENTRE'!$2:$2,0)),0)</f>
        <v>0</v>
      </c>
      <c r="U122" s="13">
        <f>IFERROR(INDEX('TRANS EMP EXTRACT - COST CENTRE'!$A$1:$Z$455,MATCH('Summary - Monthly'!$A122,'TRANS EMP EXTRACT - COST CENTRE'!$A:$A,0),MATCH('Summary - Monthly'!U$3,'TRANS EMP EXTRACT - COST CENTRE'!$2:$2,0)),0)</f>
        <v>0</v>
      </c>
      <c r="V122" s="13">
        <f>IFERROR(INDEX('TRANS EMP EXTRACT - COST CENTRE'!$A$1:$Z$455,MATCH('Summary - Monthly'!$A122,'TRANS EMP EXTRACT - COST CENTRE'!$A:$A,0),MATCH('Summary - Monthly'!V$3,'TRANS EMP EXTRACT - COST CENTRE'!$2:$2,0)),0)</f>
        <v>0</v>
      </c>
      <c r="W122" s="13">
        <f>IFERROR(INDEX('TRANS EMP EXTRACT - COST CENTRE'!$A$1:$Z$455,MATCH('Summary - Monthly'!$A122,'TRANS EMP EXTRACT - COST CENTRE'!$A:$A,0),MATCH('Summary - Monthly'!W$3,'TRANS EMP EXTRACT - COST CENTRE'!$2:$2,0)),0)</f>
        <v>0</v>
      </c>
      <c r="X122" s="13">
        <f>IFERROR(INDEX('TRANS EMP EXTRACT - COST CENTRE'!$A$1:$Z$455,MATCH('Summary - Monthly'!$A122,'TRANS EMP EXTRACT - COST CENTRE'!$A:$A,0),MATCH('Summary - Monthly'!X$3,'TRANS EMP EXTRACT - COST CENTRE'!$2:$2,0)),0)</f>
        <v>0</v>
      </c>
      <c r="Y122" s="13">
        <f>IFERROR(INDEX('TRANS EMP EXTRACT - COST CENTRE'!$A$1:$Z$455,MATCH('Summary - Monthly'!$A122,'TRANS EMP EXTRACT - COST CENTRE'!$A:$A,0),MATCH('Summary - Monthly'!Y$3,'TRANS EMP EXTRACT - COST CENTRE'!$2:$2,0)),0)</f>
        <v>0</v>
      </c>
      <c r="Z122" s="10">
        <f>IFERROR(INDEX('TRANS EMP EXTRACT - COST CENTRE'!$A$1:$Z$455,MATCH('Summary - Monthly'!$A122,'TRANS EMP EXTRACT - COST CENTRE'!$A:$A,0),MATCH('Summary - Monthly'!Z$3,'TRANS EMP EXTRACT - COST CENTRE'!$2:$2,0)),0)</f>
        <v>0</v>
      </c>
      <c r="AA122" s="10">
        <f>IFERROR(INDEX('TRANS EMP EXTRACT - COST CENTRE'!$A$1:$Z$455,MATCH('Summary - Monthly'!$A122,'TRANS EMP EXTRACT - COST CENTRE'!$A:$A,0),MATCH('Summary - Monthly'!AA$3,'TRANS EMP EXTRACT - COST CENTRE'!$2:$2,0)),0)</f>
        <v>0</v>
      </c>
      <c r="AB122" s="10">
        <f>IFERROR(INDEX('TRANS EMP EXTRACT - COST CENTRE'!$A$1:$Z$455,MATCH('Summary - Monthly'!$A122,'TRANS EMP EXTRACT - COST CENTRE'!$A:$A,0),MATCH('Summary - Monthly'!AB$3,'TRANS EMP EXTRACT - COST CENTRE'!$2:$2,0)),0)</f>
        <v>0</v>
      </c>
      <c r="AC122" s="8">
        <f>IFERROR(INDEX('TRANS EMP EXTRACT - COST CENTRE'!$A$1:$Z$455,MATCH('Summary - Monthly'!$A122,'TRANS EMP EXTRACT - COST CENTRE'!$A:$A,0),MATCH('Summary - Monthly'!AC$3,'TRANS EMP EXTRACT - COST CENTRE'!$2:$2,0)),0)</f>
        <v>0</v>
      </c>
      <c r="AD122" s="13">
        <f>IFERROR(INDEX('TRANS EMP EXTRACT - COST CENTRE'!$A$1:$Z$455,MATCH('Summary - Monthly'!$A122,'TRANS EMP EXTRACT - COST CENTRE'!$A:$A,0),MATCH('Summary - Monthly'!AD$3,'TRANS EMP EXTRACT - COST CENTRE'!$2:$2,0)),0)</f>
        <v>0</v>
      </c>
      <c r="AE122" s="13">
        <f>IFERROR(INDEX('TRANS EMP EXTRACT - COST CENTRE'!$A$1:$Z$455,MATCH('Summary - Monthly'!$A122,'TRANS EMP EXTRACT - COST CENTRE'!$A:$A,0),MATCH('Summary - Monthly'!AE$3,'TRANS EMP EXTRACT - COST CENTRE'!$2:$2,0)),0)</f>
        <v>0</v>
      </c>
      <c r="AF122" s="13">
        <f>IFERROR(INDEX('TRANS EMP EXTRACT - COST CENTRE'!$A$1:$Z$455,MATCH('Summary - Monthly'!$A122,'TRANS EMP EXTRACT - COST CENTRE'!$A:$A,0),MATCH('Summary - Monthly'!AF$3,'TRANS EMP EXTRACT - COST CENTRE'!$2:$2,0)),0)</f>
        <v>0</v>
      </c>
      <c r="AG122" s="10">
        <f>IFERROR(INDEX('TRANS EMP EXTRACT - COST CENTRE'!$A$1:$Z$455,MATCH('Summary - Monthly'!$A122,'TRANS EMP EXTRACT - COST CENTRE'!$A:$A,0),MATCH('Summary - Monthly'!AG$3,'TRANS EMP EXTRACT - COST CENTRE'!$2:$2,0)),0)</f>
        <v>0</v>
      </c>
      <c r="AH122" s="10">
        <f>IFERROR(INDEX('TRANS EMP EXTRACT - COST CENTRE'!$A$1:$Z$455,MATCH('Summary - Monthly'!$A122,'TRANS EMP EXTRACT - COST CENTRE'!$A:$A,0),MATCH('Summary - Monthly'!AH$3,'TRANS EMP EXTRACT - COST CENTRE'!$2:$2,0)),0)</f>
        <v>0</v>
      </c>
      <c r="AI122" s="10">
        <f>IFERROR(INDEX('TRANS EMP EXTRACT - COST CENTRE'!$A$1:$Z$455,MATCH('Summary - Monthly'!$A122,'TRANS EMP EXTRACT - COST CENTRE'!$A:$A,0),MATCH('Summary - Monthly'!AI$3,'TRANS EMP EXTRACT - COST CENTRE'!$2:$2,0)),0)</f>
        <v>0</v>
      </c>
      <c r="AJ122" s="10">
        <f>IFERROR(INDEX('TRANS EMP EXTRACT - COST CENTRE'!$A$1:$Z$455,MATCH('Summary - Monthly'!$A122,'TRANS EMP EXTRACT - COST CENTRE'!$A:$A,0),MATCH('Summary - Monthly'!AJ$3,'TRANS EMP EXTRACT - COST CENTRE'!$2:$2,0)),0)</f>
        <v>0</v>
      </c>
      <c r="AK122" s="10">
        <f>IFERROR(INDEX('TRANS EMP EXTRACT - COST CENTRE'!$A$1:$Z$455,MATCH('Summary - Monthly'!$A122,'TRANS EMP EXTRACT - COST CENTRE'!$A:$A,0),MATCH('Summary - Monthly'!AK$3,'TRANS EMP EXTRACT - COST CENTRE'!$2:$2,0)),0)</f>
        <v>0</v>
      </c>
      <c r="AL122" s="10">
        <f>IFERROR(INDEX('TRANS EMP EXTRACT - COST CENTRE'!$A$1:$Z$455,MATCH('Summary - Monthly'!$A122,'TRANS EMP EXTRACT - COST CENTRE'!$A:$A,0),MATCH('Summary - Monthly'!AL$3,'TRANS EMP EXTRACT - COST CENTRE'!$2:$2,0)),0)</f>
        <v>0</v>
      </c>
      <c r="AM122" s="10">
        <f t="shared" si="20"/>
        <v>24.633299999999998</v>
      </c>
      <c r="AN122" s="14">
        <f t="shared" si="13"/>
        <v>0</v>
      </c>
      <c r="AO122" s="18">
        <f t="shared" si="23"/>
        <v>0.16206118421052632</v>
      </c>
      <c r="AP122" s="18">
        <f t="shared" si="19"/>
        <v>0.16206118421052632</v>
      </c>
      <c r="AQ122" s="10" t="str">
        <f>IFERROR(VLOOKUP(B122,Departments!A:C,3,FALSE),"")</f>
        <v>Microbiology</v>
      </c>
      <c r="AR122" s="10" t="str">
        <f>IFERROR(VLOOKUP(B122,Departments!A:B,2,FALSE),"")</f>
        <v>Melb Micro</v>
      </c>
      <c r="AS122" s="10">
        <f t="shared" si="21"/>
        <v>0</v>
      </c>
      <c r="AT122" s="10">
        <f t="shared" si="22"/>
        <v>0</v>
      </c>
      <c r="AU122" s="10" t="str">
        <f>_xlfn.IFNA(VLOOKUP(B122,Departments!A:D,4,FALSE),"")</f>
        <v>Melbourne Micro</v>
      </c>
    </row>
    <row r="123" spans="1:47" ht="14.45" customHeight="1">
      <c r="A123" s="11" t="str">
        <f t="shared" si="16"/>
        <v>1202102118781</v>
      </c>
      <c r="B123" s="11">
        <f>'TRANS EMP EXTRACT - COST CENTRE'!B122</f>
        <v>12021021</v>
      </c>
      <c r="C123" s="10" t="str">
        <f>IFERROR(VLOOKUP(E123,'TRANS EMP EXTRACT - EMP CATEGOR'!A:B,2,FALSE),"")</f>
        <v>FT</v>
      </c>
      <c r="D123" s="10" t="str">
        <f>IFERROR(VLOOKUP(E123,'TRANS EMP EXTRACT - EMP CATEGOR'!A:C,3,FALSE),"")</f>
        <v>Fulltime</v>
      </c>
      <c r="E123" s="11">
        <f>'TRANS EMP EXTRACT - COST CENTRE'!D122</f>
        <v>18781</v>
      </c>
      <c r="F123" s="10" t="str">
        <f>IFERROR(VLOOKUP(E123,'TRANS EMP EXTRACT - COST CENTRE'!D:E,2,FALSE),"")</f>
        <v>SOHNY  THALITHA MRS</v>
      </c>
      <c r="G123" s="12">
        <f>IFERROR(INDEX('TRANS EMP EXTRACT - COST CENTRE'!$A$1:$Z$455,MATCH('Summary - Monthly'!$A123,'TRANS EMP EXTRACT - COST CENTRE'!$A:$A,0),MATCH('Summary - Monthly'!G$3,'TRANS EMP EXTRACT - COST CENTRE'!$2:$2,0)),"")</f>
        <v>42891</v>
      </c>
      <c r="H123" s="10" t="str">
        <f>IFERROR(INDEX('TRANS EMP EXTRACT - COST CENTRE'!$B$1:$Z$455,MATCH('Summary - Monthly'!$E123,'TRANS EMP EXTRACT - COST CENTRE'!$D:$D,0),MATCH('Summary - Monthly'!H$3,'TRANS EMP EXTRACT - COST CENTRE'!$2:$2,0)),"")</f>
        <v>RT</v>
      </c>
      <c r="I123" s="12" t="str">
        <f>IFERROR(INDEX('TRANS EMP EXTRACT - EMP CATEGOR'!$B$1:$AF$421,MATCH('Summary - Monthly'!$E123,'TRANS EMP EXTRACT - EMP CATEGOR'!$D:$D,0),MATCH('Summary - Monthly'!H$3,'TRANS EMP EXTRACT - EMP CATEGOR'!$2:$2,0)),"")</f>
        <v>RT</v>
      </c>
      <c r="J123" s="41">
        <f t="shared" ca="1" si="12"/>
        <v>1.7850999999999999</v>
      </c>
      <c r="K123" s="41">
        <f t="shared" ca="1" si="17"/>
        <v>181.67080000000001</v>
      </c>
      <c r="L123" s="10">
        <f>IFERROR(INDEX('TRANS EMP EXTRACT - COST CENTRE'!$A$1:$Z$455,MATCH('Summary - Monthly'!$A123,'TRANS EMP EXTRACT - COST CENTRE'!$A:$A,0),MATCH('Summary - Monthly'!L$3,'TRANS EMP EXTRACT - COST CENTRE'!$2:$2,0)),"")</f>
        <v>0</v>
      </c>
      <c r="M123" s="10">
        <f>IFERROR(INDEX('TRANS EMP EXTRACT - COST CENTRE'!$A$1:$Z$455,MATCH('Summary - Monthly'!$A123,'TRANS EMP EXTRACT - COST CENTRE'!$A:$A,0),MATCH('Summary - Monthly'!M$3,'TRANS EMP EXTRACT - COST CENTRE'!$2:$2,0)),0)</f>
        <v>0</v>
      </c>
      <c r="N123" s="10">
        <f>IFERROR(INDEX('TRANS EMP EXTRACT - COST CENTRE'!$A$1:$Z$455,MATCH('Summary - Monthly'!$A123,'TRANS EMP EXTRACT - COST CENTRE'!$A:$A,0),MATCH('Summary - Monthly'!N$3,'TRANS EMP EXTRACT - COST CENTRE'!$2:$2,0)),0)</f>
        <v>0</v>
      </c>
      <c r="O123" s="10">
        <f>IFERROR(INDEX('TRANS EMP EXTRACT - COST CENTRE'!$A$1:$Z$455,MATCH('Summary - Monthly'!$A123,'TRANS EMP EXTRACT - COST CENTRE'!$A:$A,0),MATCH('Summary - Monthly'!O$3,'TRANS EMP EXTRACT - COST CENTRE'!$2:$2,0)),0)</f>
        <v>0</v>
      </c>
      <c r="P123" s="10">
        <f>IFERROR(INDEX('TRANS EMP EXTRACT - COST CENTRE'!$A$1:$Z$455,MATCH('Summary - Monthly'!$A123,'TRANS EMP EXTRACT - COST CENTRE'!$A:$A,0),MATCH('Summary - Monthly'!P$3,'TRANS EMP EXTRACT - COST CENTRE'!$2:$2,0)),0)</f>
        <v>0</v>
      </c>
      <c r="Q123" s="10">
        <f>IFERROR(INDEX('TRANS EMP EXTRACT - COST CENTRE'!$A$1:$Z$455,MATCH('Summary - Monthly'!$A123,'TRANS EMP EXTRACT - COST CENTRE'!$A:$A,0),MATCH('Summary - Monthly'!Q$3,'TRANS EMP EXTRACT - COST CENTRE'!$2:$2,0)),0)</f>
        <v>0</v>
      </c>
      <c r="R123" s="10">
        <f>IFERROR(INDEX('TRANS EMP EXTRACT - COST CENTRE'!$A$1:$Z$455,MATCH('Summary - Monthly'!$A123,'TRANS EMP EXTRACT - COST CENTRE'!$A:$A,0),MATCH('Summary - Monthly'!R$3,'TRANS EMP EXTRACT - COST CENTRE'!$2:$2,0)),0)</f>
        <v>0</v>
      </c>
      <c r="S123" s="10">
        <f>IFERROR(INDEX('TRANS EMP EXTRACT - COST CENTRE'!$A$1:$Z$455,MATCH('Summary - Monthly'!$A123,'TRANS EMP EXTRACT - COST CENTRE'!$A:$A,0),MATCH('Summary - Monthly'!S$3,'TRANS EMP EXTRACT - COST CENTRE'!$2:$2,0)),0)</f>
        <v>0</v>
      </c>
      <c r="T123" s="8">
        <f>IFERROR(INDEX('TRANS EMP EXTRACT - COST CENTRE'!$A$1:$Z$455,MATCH('Summary - Monthly'!$A123,'TRANS EMP EXTRACT - COST CENTRE'!$A:$A,0),MATCH('Summary - Monthly'!T$3,'TRANS EMP EXTRACT - COST CENTRE'!$2:$2,0)),0)</f>
        <v>0</v>
      </c>
      <c r="U123" s="13">
        <f>IFERROR(INDEX('TRANS EMP EXTRACT - COST CENTRE'!$A$1:$Z$455,MATCH('Summary - Monthly'!$A123,'TRANS EMP EXTRACT - COST CENTRE'!$A:$A,0),MATCH('Summary - Monthly'!U$3,'TRANS EMP EXTRACT - COST CENTRE'!$2:$2,0)),0)</f>
        <v>22.8</v>
      </c>
      <c r="V123" s="13">
        <f>IFERROR(INDEX('TRANS EMP EXTRACT - COST CENTRE'!$A$1:$Z$455,MATCH('Summary - Monthly'!$A123,'TRANS EMP EXTRACT - COST CENTRE'!$A:$A,0),MATCH('Summary - Monthly'!V$3,'TRANS EMP EXTRACT - COST CENTRE'!$2:$2,0)),0)</f>
        <v>129.19999999999999</v>
      </c>
      <c r="W123" s="13">
        <f>IFERROR(INDEX('TRANS EMP EXTRACT - COST CENTRE'!$A$1:$Z$455,MATCH('Summary - Monthly'!$A123,'TRANS EMP EXTRACT - COST CENTRE'!$A:$A,0),MATCH('Summary - Monthly'!W$3,'TRANS EMP EXTRACT - COST CENTRE'!$2:$2,0)),0)</f>
        <v>0</v>
      </c>
      <c r="X123" s="13">
        <f>IFERROR(INDEX('TRANS EMP EXTRACT - COST CENTRE'!$A$1:$Z$455,MATCH('Summary - Monthly'!$A123,'TRANS EMP EXTRACT - COST CENTRE'!$A:$A,0),MATCH('Summary - Monthly'!X$3,'TRANS EMP EXTRACT - COST CENTRE'!$2:$2,0)),0)</f>
        <v>0</v>
      </c>
      <c r="Y123" s="13">
        <f>IFERROR(INDEX('TRANS EMP EXTRACT - COST CENTRE'!$A$1:$Z$455,MATCH('Summary - Monthly'!$A123,'TRANS EMP EXTRACT - COST CENTRE'!$A:$A,0),MATCH('Summary - Monthly'!Y$3,'TRANS EMP EXTRACT - COST CENTRE'!$2:$2,0)),0)</f>
        <v>0</v>
      </c>
      <c r="Z123" s="10">
        <f>IFERROR(INDEX('TRANS EMP EXTRACT - COST CENTRE'!$A$1:$Z$455,MATCH('Summary - Monthly'!$A123,'TRANS EMP EXTRACT - COST CENTRE'!$A:$A,0),MATCH('Summary - Monthly'!Z$3,'TRANS EMP EXTRACT - COST CENTRE'!$2:$2,0)),0)</f>
        <v>0</v>
      </c>
      <c r="AA123" s="10">
        <f>IFERROR(INDEX('TRANS EMP EXTRACT - COST CENTRE'!$A$1:$Z$455,MATCH('Summary - Monthly'!$A123,'TRANS EMP EXTRACT - COST CENTRE'!$A:$A,0),MATCH('Summary - Monthly'!AA$3,'TRANS EMP EXTRACT - COST CENTRE'!$2:$2,0)),0)</f>
        <v>0</v>
      </c>
      <c r="AB123" s="10">
        <f>IFERROR(INDEX('TRANS EMP EXTRACT - COST CENTRE'!$A$1:$Z$455,MATCH('Summary - Monthly'!$A123,'TRANS EMP EXTRACT - COST CENTRE'!$A:$A,0),MATCH('Summary - Monthly'!AB$3,'TRANS EMP EXTRACT - COST CENTRE'!$2:$2,0)),0)</f>
        <v>0</v>
      </c>
      <c r="AC123" s="8">
        <f>IFERROR(INDEX('TRANS EMP EXTRACT - COST CENTRE'!$A$1:$Z$455,MATCH('Summary - Monthly'!$A123,'TRANS EMP EXTRACT - COST CENTRE'!$A:$A,0),MATCH('Summary - Monthly'!AC$3,'TRANS EMP EXTRACT - COST CENTRE'!$2:$2,0)),0)</f>
        <v>0</v>
      </c>
      <c r="AD123" s="13">
        <f>IFERROR(INDEX('TRANS EMP EXTRACT - COST CENTRE'!$A$1:$Z$455,MATCH('Summary - Monthly'!$A123,'TRANS EMP EXTRACT - COST CENTRE'!$A:$A,0),MATCH('Summary - Monthly'!AD$3,'TRANS EMP EXTRACT - COST CENTRE'!$2:$2,0)),0)</f>
        <v>0</v>
      </c>
      <c r="AE123" s="13">
        <f>IFERROR(INDEX('TRANS EMP EXTRACT - COST CENTRE'!$A$1:$Z$455,MATCH('Summary - Monthly'!$A123,'TRANS EMP EXTRACT - COST CENTRE'!$A:$A,0),MATCH('Summary - Monthly'!AE$3,'TRANS EMP EXTRACT - COST CENTRE'!$2:$2,0)),0)</f>
        <v>0</v>
      </c>
      <c r="AF123" s="13">
        <f>IFERROR(INDEX('TRANS EMP EXTRACT - COST CENTRE'!$A$1:$Z$455,MATCH('Summary - Monthly'!$A123,'TRANS EMP EXTRACT - COST CENTRE'!$A:$A,0),MATCH('Summary - Monthly'!AF$3,'TRANS EMP EXTRACT - COST CENTRE'!$2:$2,0)),0)</f>
        <v>0</v>
      </c>
      <c r="AG123" s="10">
        <f>IFERROR(INDEX('TRANS EMP EXTRACT - COST CENTRE'!$A$1:$Z$455,MATCH('Summary - Monthly'!$A123,'TRANS EMP EXTRACT - COST CENTRE'!$A:$A,0),MATCH('Summary - Monthly'!AG$3,'TRANS EMP EXTRACT - COST CENTRE'!$2:$2,0)),0)</f>
        <v>0</v>
      </c>
      <c r="AH123" s="10">
        <f>IFERROR(INDEX('TRANS EMP EXTRACT - COST CENTRE'!$A$1:$Z$455,MATCH('Summary - Monthly'!$A123,'TRANS EMP EXTRACT - COST CENTRE'!$A:$A,0),MATCH('Summary - Monthly'!AH$3,'TRANS EMP EXTRACT - COST CENTRE'!$2:$2,0)),0)</f>
        <v>0</v>
      </c>
      <c r="AI123" s="10">
        <f>IFERROR(INDEX('TRANS EMP EXTRACT - COST CENTRE'!$A$1:$Z$455,MATCH('Summary - Monthly'!$A123,'TRANS EMP EXTRACT - COST CENTRE'!$A:$A,0),MATCH('Summary - Monthly'!AI$3,'TRANS EMP EXTRACT - COST CENTRE'!$2:$2,0)),0)</f>
        <v>0</v>
      </c>
      <c r="AJ123" s="10">
        <f>IFERROR(INDEX('TRANS EMP EXTRACT - COST CENTRE'!$A$1:$Z$455,MATCH('Summary - Monthly'!$A123,'TRANS EMP EXTRACT - COST CENTRE'!$A:$A,0),MATCH('Summary - Monthly'!AJ$3,'TRANS EMP EXTRACT - COST CENTRE'!$2:$2,0)),0)</f>
        <v>0</v>
      </c>
      <c r="AK123" s="10">
        <f>IFERROR(INDEX('TRANS EMP EXTRACT - COST CENTRE'!$A$1:$Z$455,MATCH('Summary - Monthly'!$A123,'TRANS EMP EXTRACT - COST CENTRE'!$A:$A,0),MATCH('Summary - Monthly'!AK$3,'TRANS EMP EXTRACT - COST CENTRE'!$2:$2,0)),0)</f>
        <v>0</v>
      </c>
      <c r="AL123" s="10">
        <f>IFERROR(INDEX('TRANS EMP EXTRACT - COST CENTRE'!$A$1:$Z$455,MATCH('Summary - Monthly'!$A123,'TRANS EMP EXTRACT - COST CENTRE'!$A:$A,0),MATCH('Summary - Monthly'!AL$3,'TRANS EMP EXTRACT - COST CENTRE'!$2:$2,0)),0)</f>
        <v>0</v>
      </c>
      <c r="AM123" s="10">
        <f t="shared" si="20"/>
        <v>152</v>
      </c>
      <c r="AN123" s="14">
        <f t="shared" si="13"/>
        <v>0</v>
      </c>
      <c r="AO123" s="18">
        <f t="shared" si="23"/>
        <v>1</v>
      </c>
      <c r="AP123" s="18">
        <f t="shared" si="19"/>
        <v>0</v>
      </c>
      <c r="AQ123" s="10" t="str">
        <f>IFERROR(VLOOKUP(B123,Departments!A:C,3,FALSE),"")</f>
        <v>Chemistry</v>
      </c>
      <c r="AR123" s="10" t="str">
        <f>IFERROR(VLOOKUP(B123,Departments!A:B,2,FALSE),"")</f>
        <v>Sydney Chem</v>
      </c>
      <c r="AS123" s="10">
        <f t="shared" si="21"/>
        <v>129.19999999999999</v>
      </c>
      <c r="AT123" s="10">
        <f t="shared" si="22"/>
        <v>152</v>
      </c>
      <c r="AU123" s="10" t="str">
        <f>_xlfn.IFNA(VLOOKUP(B123,Departments!A:D,4,FALSE),"")</f>
        <v>Sydney Chem</v>
      </c>
    </row>
    <row r="124" spans="1:47" ht="14.45" customHeight="1">
      <c r="A124" s="11" t="str">
        <f t="shared" si="16"/>
        <v>1203061118918</v>
      </c>
      <c r="B124" s="11">
        <f>'TRANS EMP EXTRACT - COST CENTRE'!B123</f>
        <v>12030611</v>
      </c>
      <c r="C124" s="10" t="str">
        <f>IFERROR(VLOOKUP(E124,'TRANS EMP EXTRACT - EMP CATEGOR'!A:B,2,FALSE),"")</f>
        <v>FT</v>
      </c>
      <c r="D124" s="10" t="str">
        <f>IFERROR(VLOOKUP(E124,'TRANS EMP EXTRACT - EMP CATEGOR'!A:C,3,FALSE),"")</f>
        <v>Fulltime</v>
      </c>
      <c r="E124" s="11">
        <f>'TRANS EMP EXTRACT - COST CENTRE'!D123</f>
        <v>18918</v>
      </c>
      <c r="F124" s="10" t="str">
        <f>IFERROR(VLOOKUP(E124,'TRANS EMP EXTRACT - COST CENTRE'!D:E,2,FALSE),"")</f>
        <v>SOLEIMANI  MARYAM MS</v>
      </c>
      <c r="G124" s="12">
        <f>IFERROR(INDEX('TRANS EMP EXTRACT - COST CENTRE'!$A$1:$Z$455,MATCH('Summary - Monthly'!$A124,'TRANS EMP EXTRACT - COST CENTRE'!$A:$A,0),MATCH('Summary - Monthly'!G$3,'TRANS EMP EXTRACT - COST CENTRE'!$2:$2,0)),"")</f>
        <v>44004</v>
      </c>
      <c r="H124" s="10" t="str">
        <f>IFERROR(INDEX('TRANS EMP EXTRACT - COST CENTRE'!$B$1:$Z$455,MATCH('Summary - Monthly'!$E124,'TRANS EMP EXTRACT - COST CENTRE'!$D:$D,0),MATCH('Summary - Monthly'!H$3,'TRANS EMP EXTRACT - COST CENTRE'!$2:$2,0)),"")</f>
        <v>RT</v>
      </c>
      <c r="I124" s="12" t="str">
        <f>IFERROR(INDEX('TRANS EMP EXTRACT - EMP CATEGOR'!$B$1:$AF$421,MATCH('Summary - Monthly'!$E124,'TRANS EMP EXTRACT - EMP CATEGOR'!$D:$D,0),MATCH('Summary - Monthly'!H$3,'TRANS EMP EXTRACT - EMP CATEGOR'!$2:$2,0)),"")</f>
        <v>RT</v>
      </c>
      <c r="J124" s="41">
        <f t="shared" ca="1" si="12"/>
        <v>10.335900000000001</v>
      </c>
      <c r="K124" s="41">
        <f t="shared" ca="1" si="17"/>
        <v>337.54180000000002</v>
      </c>
      <c r="L124" s="10">
        <f>IFERROR(INDEX('TRANS EMP EXTRACT - COST CENTRE'!$A$1:$Z$455,MATCH('Summary - Monthly'!$A124,'TRANS EMP EXTRACT - COST CENTRE'!$A:$A,0),MATCH('Summary - Monthly'!L$3,'TRANS EMP EXTRACT - COST CENTRE'!$2:$2,0)),"")</f>
        <v>151.91669999999999</v>
      </c>
      <c r="M124" s="10">
        <f>IFERROR(INDEX('TRANS EMP EXTRACT - COST CENTRE'!$A$1:$Z$455,MATCH('Summary - Monthly'!$A124,'TRANS EMP EXTRACT - COST CENTRE'!$A:$A,0),MATCH('Summary - Monthly'!M$3,'TRANS EMP EXTRACT - COST CENTRE'!$2:$2,0)),0)</f>
        <v>0</v>
      </c>
      <c r="N124" s="10">
        <f>IFERROR(INDEX('TRANS EMP EXTRACT - COST CENTRE'!$A$1:$Z$455,MATCH('Summary - Monthly'!$A124,'TRANS EMP EXTRACT - COST CENTRE'!$A:$A,0),MATCH('Summary - Monthly'!N$3,'TRANS EMP EXTRACT - COST CENTRE'!$2:$2,0)),0)</f>
        <v>0</v>
      </c>
      <c r="O124" s="10">
        <f>IFERROR(INDEX('TRANS EMP EXTRACT - COST CENTRE'!$A$1:$Z$455,MATCH('Summary - Monthly'!$A124,'TRANS EMP EXTRACT - COST CENTRE'!$A:$A,0),MATCH('Summary - Monthly'!O$3,'TRANS EMP EXTRACT - COST CENTRE'!$2:$2,0)),0)</f>
        <v>0</v>
      </c>
      <c r="P124" s="10">
        <f>IFERROR(INDEX('TRANS EMP EXTRACT - COST CENTRE'!$A$1:$Z$455,MATCH('Summary - Monthly'!$A124,'TRANS EMP EXTRACT - COST CENTRE'!$A:$A,0),MATCH('Summary - Monthly'!P$3,'TRANS EMP EXTRACT - COST CENTRE'!$2:$2,0)),0)</f>
        <v>0</v>
      </c>
      <c r="Q124" s="10">
        <f>IFERROR(INDEX('TRANS EMP EXTRACT - COST CENTRE'!$A$1:$Z$455,MATCH('Summary - Monthly'!$A124,'TRANS EMP EXTRACT - COST CENTRE'!$A:$A,0),MATCH('Summary - Monthly'!Q$3,'TRANS EMP EXTRACT - COST CENTRE'!$2:$2,0)),0)</f>
        <v>19.683199999999999</v>
      </c>
      <c r="R124" s="10">
        <f>IFERROR(INDEX('TRANS EMP EXTRACT - COST CENTRE'!$A$1:$Z$455,MATCH('Summary - Monthly'!$A124,'TRANS EMP EXTRACT - COST CENTRE'!$A:$A,0),MATCH('Summary - Monthly'!R$3,'TRANS EMP EXTRACT - COST CENTRE'!$2:$2,0)),0)</f>
        <v>1.6833</v>
      </c>
      <c r="S124" s="10">
        <f>IFERROR(INDEX('TRANS EMP EXTRACT - COST CENTRE'!$A$1:$Z$455,MATCH('Summary - Monthly'!$A124,'TRANS EMP EXTRACT - COST CENTRE'!$A:$A,0),MATCH('Summary - Monthly'!S$3,'TRANS EMP EXTRACT - COST CENTRE'!$2:$2,0)),0)</f>
        <v>0</v>
      </c>
      <c r="T124" s="8">
        <f>IFERROR(INDEX('TRANS EMP EXTRACT - COST CENTRE'!$A$1:$Z$455,MATCH('Summary - Monthly'!$A124,'TRANS EMP EXTRACT - COST CENTRE'!$A:$A,0),MATCH('Summary - Monthly'!T$3,'TRANS EMP EXTRACT - COST CENTRE'!$2:$2,0)),0)</f>
        <v>0</v>
      </c>
      <c r="U124" s="13">
        <f>IFERROR(INDEX('TRANS EMP EXTRACT - COST CENTRE'!$A$1:$Z$455,MATCH('Summary - Monthly'!$A124,'TRANS EMP EXTRACT - COST CENTRE'!$A:$A,0),MATCH('Summary - Monthly'!U$3,'TRANS EMP EXTRACT - COST CENTRE'!$2:$2,0)),0)</f>
        <v>0</v>
      </c>
      <c r="V124" s="13">
        <f>IFERROR(INDEX('TRANS EMP EXTRACT - COST CENTRE'!$A$1:$Z$455,MATCH('Summary - Monthly'!$A124,'TRANS EMP EXTRACT - COST CENTRE'!$A:$A,0),MATCH('Summary - Monthly'!V$3,'TRANS EMP EXTRACT - COST CENTRE'!$2:$2,0)),0)</f>
        <v>0</v>
      </c>
      <c r="W124" s="13">
        <f>IFERROR(INDEX('TRANS EMP EXTRACT - COST CENTRE'!$A$1:$Z$455,MATCH('Summary - Monthly'!$A124,'TRANS EMP EXTRACT - COST CENTRE'!$A:$A,0),MATCH('Summary - Monthly'!W$3,'TRANS EMP EXTRACT - COST CENTRE'!$2:$2,0)),0)</f>
        <v>0</v>
      </c>
      <c r="X124" s="13">
        <f>IFERROR(INDEX('TRANS EMP EXTRACT - COST CENTRE'!$A$1:$Z$455,MATCH('Summary - Monthly'!$A124,'TRANS EMP EXTRACT - COST CENTRE'!$A:$A,0),MATCH('Summary - Monthly'!X$3,'TRANS EMP EXTRACT - COST CENTRE'!$2:$2,0)),0)</f>
        <v>0</v>
      </c>
      <c r="Y124" s="13">
        <f>IFERROR(INDEX('TRANS EMP EXTRACT - COST CENTRE'!$A$1:$Z$455,MATCH('Summary - Monthly'!$A124,'TRANS EMP EXTRACT - COST CENTRE'!$A:$A,0),MATCH('Summary - Monthly'!Y$3,'TRANS EMP EXTRACT - COST CENTRE'!$2:$2,0)),0)</f>
        <v>0</v>
      </c>
      <c r="Z124" s="10">
        <f>IFERROR(INDEX('TRANS EMP EXTRACT - COST CENTRE'!$A$1:$Z$455,MATCH('Summary - Monthly'!$A124,'TRANS EMP EXTRACT - COST CENTRE'!$A:$A,0),MATCH('Summary - Monthly'!Z$3,'TRANS EMP EXTRACT - COST CENTRE'!$2:$2,0)),0)</f>
        <v>0</v>
      </c>
      <c r="AA124" s="10">
        <f>IFERROR(INDEX('TRANS EMP EXTRACT - COST CENTRE'!$A$1:$Z$455,MATCH('Summary - Monthly'!$A124,'TRANS EMP EXTRACT - COST CENTRE'!$A:$A,0),MATCH('Summary - Monthly'!AA$3,'TRANS EMP EXTRACT - COST CENTRE'!$2:$2,0)),0)</f>
        <v>0</v>
      </c>
      <c r="AB124" s="10">
        <f>IFERROR(INDEX('TRANS EMP EXTRACT - COST CENTRE'!$A$1:$Z$455,MATCH('Summary - Monthly'!$A124,'TRANS EMP EXTRACT - COST CENTRE'!$A:$A,0),MATCH('Summary - Monthly'!AB$3,'TRANS EMP EXTRACT - COST CENTRE'!$2:$2,0)),0)</f>
        <v>0</v>
      </c>
      <c r="AC124" s="8">
        <f>IFERROR(INDEX('TRANS EMP EXTRACT - COST CENTRE'!$A$1:$Z$455,MATCH('Summary - Monthly'!$A124,'TRANS EMP EXTRACT - COST CENTRE'!$A:$A,0),MATCH('Summary - Monthly'!AC$3,'TRANS EMP EXTRACT - COST CENTRE'!$2:$2,0)),0)</f>
        <v>0</v>
      </c>
      <c r="AD124" s="13">
        <f>IFERROR(INDEX('TRANS EMP EXTRACT - COST CENTRE'!$A$1:$Z$455,MATCH('Summary - Monthly'!$A124,'TRANS EMP EXTRACT - COST CENTRE'!$A:$A,0),MATCH('Summary - Monthly'!AD$3,'TRANS EMP EXTRACT - COST CENTRE'!$2:$2,0)),0)</f>
        <v>0</v>
      </c>
      <c r="AE124" s="13">
        <f>IFERROR(INDEX('TRANS EMP EXTRACT - COST CENTRE'!$A$1:$Z$455,MATCH('Summary - Monthly'!$A124,'TRANS EMP EXTRACT - COST CENTRE'!$A:$A,0),MATCH('Summary - Monthly'!AE$3,'TRANS EMP EXTRACT - COST CENTRE'!$2:$2,0)),0)</f>
        <v>0</v>
      </c>
      <c r="AF124" s="13">
        <f>IFERROR(INDEX('TRANS EMP EXTRACT - COST CENTRE'!$A$1:$Z$455,MATCH('Summary - Monthly'!$A124,'TRANS EMP EXTRACT - COST CENTRE'!$A:$A,0),MATCH('Summary - Monthly'!AF$3,'TRANS EMP EXTRACT - COST CENTRE'!$2:$2,0)),0)</f>
        <v>0</v>
      </c>
      <c r="AG124" s="10">
        <f>IFERROR(INDEX('TRANS EMP EXTRACT - COST CENTRE'!$A$1:$Z$455,MATCH('Summary - Monthly'!$A124,'TRANS EMP EXTRACT - COST CENTRE'!$A:$A,0),MATCH('Summary - Monthly'!AG$3,'TRANS EMP EXTRACT - COST CENTRE'!$2:$2,0)),0)</f>
        <v>0</v>
      </c>
      <c r="AH124" s="10">
        <f>IFERROR(INDEX('TRANS EMP EXTRACT - COST CENTRE'!$A$1:$Z$455,MATCH('Summary - Monthly'!$A124,'TRANS EMP EXTRACT - COST CENTRE'!$A:$A,0),MATCH('Summary - Monthly'!AH$3,'TRANS EMP EXTRACT - COST CENTRE'!$2:$2,0)),0)</f>
        <v>0</v>
      </c>
      <c r="AI124" s="10">
        <f>IFERROR(INDEX('TRANS EMP EXTRACT - COST CENTRE'!$A$1:$Z$455,MATCH('Summary - Monthly'!$A124,'TRANS EMP EXTRACT - COST CENTRE'!$A:$A,0),MATCH('Summary - Monthly'!AI$3,'TRANS EMP EXTRACT - COST CENTRE'!$2:$2,0)),0)</f>
        <v>0</v>
      </c>
      <c r="AJ124" s="10">
        <f>IFERROR(INDEX('TRANS EMP EXTRACT - COST CENTRE'!$A$1:$Z$455,MATCH('Summary - Monthly'!$A124,'TRANS EMP EXTRACT - COST CENTRE'!$A:$A,0),MATCH('Summary - Monthly'!AJ$3,'TRANS EMP EXTRACT - COST CENTRE'!$2:$2,0)),0)</f>
        <v>0</v>
      </c>
      <c r="AK124" s="10">
        <f>IFERROR(INDEX('TRANS EMP EXTRACT - COST CENTRE'!$A$1:$Z$455,MATCH('Summary - Monthly'!$A124,'TRANS EMP EXTRACT - COST CENTRE'!$A:$A,0),MATCH('Summary - Monthly'!AK$3,'TRANS EMP EXTRACT - COST CENTRE'!$2:$2,0)),0)</f>
        <v>0</v>
      </c>
      <c r="AL124" s="10">
        <f>IFERROR(INDEX('TRANS EMP EXTRACT - COST CENTRE'!$A$1:$Z$455,MATCH('Summary - Monthly'!$A124,'TRANS EMP EXTRACT - COST CENTRE'!$A:$A,0),MATCH('Summary - Monthly'!AL$3,'TRANS EMP EXTRACT - COST CENTRE'!$2:$2,0)),0)</f>
        <v>0</v>
      </c>
      <c r="AM124" s="10">
        <f t="shared" si="20"/>
        <v>173.28319999999999</v>
      </c>
      <c r="AN124" s="14">
        <f t="shared" si="13"/>
        <v>0.14056907894736842</v>
      </c>
      <c r="AO124" s="18">
        <f t="shared" si="23"/>
        <v>1.1400210526315788</v>
      </c>
      <c r="AP124" s="18">
        <f t="shared" si="19"/>
        <v>1.1400210526315788</v>
      </c>
      <c r="AQ124" s="10" t="str">
        <f>IFERROR(VLOOKUP(B124,Departments!A:C,3,FALSE),"")</f>
        <v>Microbiology</v>
      </c>
      <c r="AR124" s="10" t="str">
        <f>IFERROR(VLOOKUP(B124,Departments!A:B,2,FALSE),"")</f>
        <v>Melb Micro</v>
      </c>
      <c r="AS124" s="10">
        <f t="shared" si="21"/>
        <v>0</v>
      </c>
      <c r="AT124" s="10">
        <f t="shared" si="22"/>
        <v>0</v>
      </c>
      <c r="AU124" s="10" t="str">
        <f>_xlfn.IFNA(VLOOKUP(B124,Departments!A:D,4,FALSE),"")</f>
        <v>Melbourne Micro</v>
      </c>
    </row>
    <row r="125" spans="1:47" ht="14.45" customHeight="1">
      <c r="A125" s="11" t="str">
        <f t="shared" si="16"/>
        <v>12010700266</v>
      </c>
      <c r="B125" s="11">
        <f>'TRANS EMP EXTRACT - COST CENTRE'!B124</f>
        <v>12010700</v>
      </c>
      <c r="C125" s="10" t="str">
        <f>IFERROR(VLOOKUP(E125,'TRANS EMP EXTRACT - EMP CATEGOR'!A:B,2,FALSE),"")</f>
        <v>FT</v>
      </c>
      <c r="D125" s="10" t="str">
        <f>IFERROR(VLOOKUP(E125,'TRANS EMP EXTRACT - EMP CATEGOR'!A:C,3,FALSE),"")</f>
        <v>Fulltime</v>
      </c>
      <c r="E125" s="11">
        <f>'TRANS EMP EXTRACT - COST CENTRE'!D124</f>
        <v>266</v>
      </c>
      <c r="F125" s="10" t="str">
        <f>IFERROR(VLOOKUP(E125,'TRANS EMP EXTRACT - COST CENTRE'!D:E,2,FALSE),"")</f>
        <v>STAMATOVA  ZORICA MRS</v>
      </c>
      <c r="G125" s="12">
        <f>IFERROR(INDEX('TRANS EMP EXTRACT - COST CENTRE'!$A$1:$Z$455,MATCH('Summary - Monthly'!$A125,'TRANS EMP EXTRACT - COST CENTRE'!$A:$A,0),MATCH('Summary - Monthly'!G$3,'TRANS EMP EXTRACT - COST CENTRE'!$2:$2,0)),"")</f>
        <v>39468</v>
      </c>
      <c r="H125" s="10" t="str">
        <f>IFERROR(INDEX('TRANS EMP EXTRACT - COST CENTRE'!$B$1:$Z$455,MATCH('Summary - Monthly'!$E125,'TRANS EMP EXTRACT - COST CENTRE'!$D:$D,0),MATCH('Summary - Monthly'!H$3,'TRANS EMP EXTRACT - COST CENTRE'!$2:$2,0)),"")</f>
        <v>FN</v>
      </c>
      <c r="I125" s="12" t="str">
        <f>IFERROR(INDEX('TRANS EMP EXTRACT - EMP CATEGOR'!$B$1:$AF$421,MATCH('Summary - Monthly'!$E125,'TRANS EMP EXTRACT - EMP CATEGOR'!$D:$D,0),MATCH('Summary - Monthly'!H$3,'TRANS EMP EXTRACT - EMP CATEGOR'!$2:$2,0)),"")</f>
        <v>FN</v>
      </c>
      <c r="J125" s="41">
        <f t="shared" ca="1" si="12"/>
        <v>285.1927</v>
      </c>
      <c r="K125" s="41">
        <f t="shared" ca="1" si="17"/>
        <v>243.47730000000001</v>
      </c>
      <c r="L125" s="10">
        <f>IFERROR(INDEX('TRANS EMP EXTRACT - COST CENTRE'!$A$1:$Z$455,MATCH('Summary - Monthly'!$A125,'TRANS EMP EXTRACT - COST CENTRE'!$A:$A,0),MATCH('Summary - Monthly'!L$3,'TRANS EMP EXTRACT - COST CENTRE'!$2:$2,0)),"")</f>
        <v>152</v>
      </c>
      <c r="M125" s="10">
        <f>IFERROR(INDEX('TRANS EMP EXTRACT - COST CENTRE'!$A$1:$Z$455,MATCH('Summary - Monthly'!$A125,'TRANS EMP EXTRACT - COST CENTRE'!$A:$A,0),MATCH('Summary - Monthly'!M$3,'TRANS EMP EXTRACT - COST CENTRE'!$2:$2,0)),0)</f>
        <v>0</v>
      </c>
      <c r="N125" s="10">
        <f>IFERROR(INDEX('TRANS EMP EXTRACT - COST CENTRE'!$A$1:$Z$455,MATCH('Summary - Monthly'!$A125,'TRANS EMP EXTRACT - COST CENTRE'!$A:$A,0),MATCH('Summary - Monthly'!N$3,'TRANS EMP EXTRACT - COST CENTRE'!$2:$2,0)),0)</f>
        <v>0</v>
      </c>
      <c r="O125" s="10">
        <f>IFERROR(INDEX('TRANS EMP EXTRACT - COST CENTRE'!$A$1:$Z$455,MATCH('Summary - Monthly'!$A125,'TRANS EMP EXTRACT - COST CENTRE'!$A:$A,0),MATCH('Summary - Monthly'!O$3,'TRANS EMP EXTRACT - COST CENTRE'!$2:$2,0)),0)</f>
        <v>0</v>
      </c>
      <c r="P125" s="10">
        <f>IFERROR(INDEX('TRANS EMP EXTRACT - COST CENTRE'!$A$1:$Z$455,MATCH('Summary - Monthly'!$A125,'TRANS EMP EXTRACT - COST CENTRE'!$A:$A,0),MATCH('Summary - Monthly'!P$3,'TRANS EMP EXTRACT - COST CENTRE'!$2:$2,0)),0)</f>
        <v>0</v>
      </c>
      <c r="Q125" s="10">
        <f>IFERROR(INDEX('TRANS EMP EXTRACT - COST CENTRE'!$A$1:$Z$455,MATCH('Summary - Monthly'!$A125,'TRANS EMP EXTRACT - COST CENTRE'!$A:$A,0),MATCH('Summary - Monthly'!Q$3,'TRANS EMP EXTRACT - COST CENTRE'!$2:$2,0)),0)</f>
        <v>0</v>
      </c>
      <c r="R125" s="10">
        <f>IFERROR(INDEX('TRANS EMP EXTRACT - COST CENTRE'!$A$1:$Z$455,MATCH('Summary - Monthly'!$A125,'TRANS EMP EXTRACT - COST CENTRE'!$A:$A,0),MATCH('Summary - Monthly'!R$3,'TRANS EMP EXTRACT - COST CENTRE'!$2:$2,0)),0)</f>
        <v>0</v>
      </c>
      <c r="S125" s="10">
        <f>IFERROR(INDEX('TRANS EMP EXTRACT - COST CENTRE'!$A$1:$Z$455,MATCH('Summary - Monthly'!$A125,'TRANS EMP EXTRACT - COST CENTRE'!$A:$A,0),MATCH('Summary - Monthly'!S$3,'TRANS EMP EXTRACT - COST CENTRE'!$2:$2,0)),0)</f>
        <v>0</v>
      </c>
      <c r="T125" s="8">
        <f>IFERROR(INDEX('TRANS EMP EXTRACT - COST CENTRE'!$A$1:$Z$455,MATCH('Summary - Monthly'!$A125,'TRANS EMP EXTRACT - COST CENTRE'!$A:$A,0),MATCH('Summary - Monthly'!T$3,'TRANS EMP EXTRACT - COST CENTRE'!$2:$2,0)),0)</f>
        <v>0</v>
      </c>
      <c r="U125" s="13">
        <f>IFERROR(INDEX('TRANS EMP EXTRACT - COST CENTRE'!$A$1:$Z$455,MATCH('Summary - Monthly'!$A125,'TRANS EMP EXTRACT - COST CENTRE'!$A:$A,0),MATCH('Summary - Monthly'!U$3,'TRANS EMP EXTRACT - COST CENTRE'!$2:$2,0)),0)</f>
        <v>0</v>
      </c>
      <c r="V125" s="13">
        <f>IFERROR(INDEX('TRANS EMP EXTRACT - COST CENTRE'!$A$1:$Z$455,MATCH('Summary - Monthly'!$A125,'TRANS EMP EXTRACT - COST CENTRE'!$A:$A,0),MATCH('Summary - Monthly'!V$3,'TRANS EMP EXTRACT - COST CENTRE'!$2:$2,0)),0)</f>
        <v>0</v>
      </c>
      <c r="W125" s="13">
        <f>IFERROR(INDEX('TRANS EMP EXTRACT - COST CENTRE'!$A$1:$Z$455,MATCH('Summary - Monthly'!$A125,'TRANS EMP EXTRACT - COST CENTRE'!$A:$A,0),MATCH('Summary - Monthly'!W$3,'TRANS EMP EXTRACT - COST CENTRE'!$2:$2,0)),0)</f>
        <v>0</v>
      </c>
      <c r="X125" s="13">
        <f>IFERROR(INDEX('TRANS EMP EXTRACT - COST CENTRE'!$A$1:$Z$455,MATCH('Summary - Monthly'!$A125,'TRANS EMP EXTRACT - COST CENTRE'!$A:$A,0),MATCH('Summary - Monthly'!X$3,'TRANS EMP EXTRACT - COST CENTRE'!$2:$2,0)),0)</f>
        <v>0</v>
      </c>
      <c r="Y125" s="13">
        <f>IFERROR(INDEX('TRANS EMP EXTRACT - COST CENTRE'!$A$1:$Z$455,MATCH('Summary - Monthly'!$A125,'TRANS EMP EXTRACT - COST CENTRE'!$A:$A,0),MATCH('Summary - Monthly'!Y$3,'TRANS EMP EXTRACT - COST CENTRE'!$2:$2,0)),0)</f>
        <v>0</v>
      </c>
      <c r="Z125" s="10">
        <f>IFERROR(INDEX('TRANS EMP EXTRACT - COST CENTRE'!$A$1:$Z$455,MATCH('Summary - Monthly'!$A125,'TRANS EMP EXTRACT - COST CENTRE'!$A:$A,0),MATCH('Summary - Monthly'!Z$3,'TRANS EMP EXTRACT - COST CENTRE'!$2:$2,0)),0)</f>
        <v>0</v>
      </c>
      <c r="AA125" s="10">
        <f>IFERROR(INDEX('TRANS EMP EXTRACT - COST CENTRE'!$A$1:$Z$455,MATCH('Summary - Monthly'!$A125,'TRANS EMP EXTRACT - COST CENTRE'!$A:$A,0),MATCH('Summary - Monthly'!AA$3,'TRANS EMP EXTRACT - COST CENTRE'!$2:$2,0)),0)</f>
        <v>0</v>
      </c>
      <c r="AB125" s="10">
        <f>IFERROR(INDEX('TRANS EMP EXTRACT - COST CENTRE'!$A$1:$Z$455,MATCH('Summary - Monthly'!$A125,'TRANS EMP EXTRACT - COST CENTRE'!$A:$A,0),MATCH('Summary - Monthly'!AB$3,'TRANS EMP EXTRACT - COST CENTRE'!$2:$2,0)),0)</f>
        <v>0</v>
      </c>
      <c r="AC125" s="8">
        <f>IFERROR(INDEX('TRANS EMP EXTRACT - COST CENTRE'!$A$1:$Z$455,MATCH('Summary - Monthly'!$A125,'TRANS EMP EXTRACT - COST CENTRE'!$A:$A,0),MATCH('Summary - Monthly'!AC$3,'TRANS EMP EXTRACT - COST CENTRE'!$2:$2,0)),0)</f>
        <v>0</v>
      </c>
      <c r="AD125" s="13">
        <f>IFERROR(INDEX('TRANS EMP EXTRACT - COST CENTRE'!$A$1:$Z$455,MATCH('Summary - Monthly'!$A125,'TRANS EMP EXTRACT - COST CENTRE'!$A:$A,0),MATCH('Summary - Monthly'!AD$3,'TRANS EMP EXTRACT - COST CENTRE'!$2:$2,0)),0)</f>
        <v>0</v>
      </c>
      <c r="AE125" s="13">
        <f>IFERROR(INDEX('TRANS EMP EXTRACT - COST CENTRE'!$A$1:$Z$455,MATCH('Summary - Monthly'!$A125,'TRANS EMP EXTRACT - COST CENTRE'!$A:$A,0),MATCH('Summary - Monthly'!AE$3,'TRANS EMP EXTRACT - COST CENTRE'!$2:$2,0)),0)</f>
        <v>0</v>
      </c>
      <c r="AF125" s="13">
        <f>IFERROR(INDEX('TRANS EMP EXTRACT - COST CENTRE'!$A$1:$Z$455,MATCH('Summary - Monthly'!$A125,'TRANS EMP EXTRACT - COST CENTRE'!$A:$A,0),MATCH('Summary - Monthly'!AF$3,'TRANS EMP EXTRACT - COST CENTRE'!$2:$2,0)),0)</f>
        <v>0</v>
      </c>
      <c r="AG125" s="10">
        <f>IFERROR(INDEX('TRANS EMP EXTRACT - COST CENTRE'!$A$1:$Z$455,MATCH('Summary - Monthly'!$A125,'TRANS EMP EXTRACT - COST CENTRE'!$A:$A,0),MATCH('Summary - Monthly'!AG$3,'TRANS EMP EXTRACT - COST CENTRE'!$2:$2,0)),0)</f>
        <v>0</v>
      </c>
      <c r="AH125" s="10">
        <f>IFERROR(INDEX('TRANS EMP EXTRACT - COST CENTRE'!$A$1:$Z$455,MATCH('Summary - Monthly'!$A125,'TRANS EMP EXTRACT - COST CENTRE'!$A:$A,0),MATCH('Summary - Monthly'!AH$3,'TRANS EMP EXTRACT - COST CENTRE'!$2:$2,0)),0)</f>
        <v>0</v>
      </c>
      <c r="AI125" s="10">
        <f>IFERROR(INDEX('TRANS EMP EXTRACT - COST CENTRE'!$A$1:$Z$455,MATCH('Summary - Monthly'!$A125,'TRANS EMP EXTRACT - COST CENTRE'!$A:$A,0),MATCH('Summary - Monthly'!AI$3,'TRANS EMP EXTRACT - COST CENTRE'!$2:$2,0)),0)</f>
        <v>0</v>
      </c>
      <c r="AJ125" s="10">
        <f>IFERROR(INDEX('TRANS EMP EXTRACT - COST CENTRE'!$A$1:$Z$455,MATCH('Summary - Monthly'!$A125,'TRANS EMP EXTRACT - COST CENTRE'!$A:$A,0),MATCH('Summary - Monthly'!AJ$3,'TRANS EMP EXTRACT - COST CENTRE'!$2:$2,0)),0)</f>
        <v>0</v>
      </c>
      <c r="AK125" s="10">
        <f>IFERROR(INDEX('TRANS EMP EXTRACT - COST CENTRE'!$A$1:$Z$455,MATCH('Summary - Monthly'!$A125,'TRANS EMP EXTRACT - COST CENTRE'!$A:$A,0),MATCH('Summary - Monthly'!AK$3,'TRANS EMP EXTRACT - COST CENTRE'!$2:$2,0)),0)</f>
        <v>0</v>
      </c>
      <c r="AL125" s="10">
        <f>IFERROR(INDEX('TRANS EMP EXTRACT - COST CENTRE'!$A$1:$Z$455,MATCH('Summary - Monthly'!$A125,'TRANS EMP EXTRACT - COST CENTRE'!$A:$A,0),MATCH('Summary - Monthly'!AL$3,'TRANS EMP EXTRACT - COST CENTRE'!$2:$2,0)),0)</f>
        <v>0</v>
      </c>
      <c r="AM125" s="10">
        <f t="shared" si="20"/>
        <v>152</v>
      </c>
      <c r="AN125" s="14">
        <f t="shared" si="13"/>
        <v>0</v>
      </c>
      <c r="AO125" s="18">
        <f t="shared" si="23"/>
        <v>1</v>
      </c>
      <c r="AP125" s="18">
        <f t="shared" si="19"/>
        <v>1</v>
      </c>
      <c r="AQ125" s="10" t="str">
        <f>IFERROR(VLOOKUP(B125,Departments!A:C,3,FALSE),"")</f>
        <v>Quality</v>
      </c>
      <c r="AR125" s="10" t="str">
        <f>IFERROR(VLOOKUP(B125,Departments!A:B,2,FALSE),"")</f>
        <v>Quality</v>
      </c>
      <c r="AS125" s="10">
        <f t="shared" si="21"/>
        <v>0</v>
      </c>
      <c r="AT125" s="10">
        <f t="shared" si="22"/>
        <v>0</v>
      </c>
      <c r="AU125" s="10" t="str">
        <f>_xlfn.IFNA(VLOOKUP(B125,Departments!A:D,4,FALSE),"")</f>
        <v>Quality</v>
      </c>
    </row>
    <row r="126" spans="1:47" ht="14.45" customHeight="1">
      <c r="A126" s="11" t="str">
        <f t="shared" si="16"/>
        <v>1203251118736</v>
      </c>
      <c r="B126" s="11">
        <f>'TRANS EMP EXTRACT - COST CENTRE'!B125</f>
        <v>12032511</v>
      </c>
      <c r="C126" s="10" t="str">
        <f>IFERROR(VLOOKUP(E126,'TRANS EMP EXTRACT - EMP CATEGOR'!A:B,2,FALSE),"")</f>
        <v>FT</v>
      </c>
      <c r="D126" s="10" t="str">
        <f>IFERROR(VLOOKUP(E126,'TRANS EMP EXTRACT - EMP CATEGOR'!A:C,3,FALSE),"")</f>
        <v>Fulltime</v>
      </c>
      <c r="E126" s="11">
        <f>'TRANS EMP EXTRACT - COST CENTRE'!D125</f>
        <v>18736</v>
      </c>
      <c r="F126" s="10" t="str">
        <f>IFERROR(VLOOKUP(E126,'TRANS EMP EXTRACT - COST CENTRE'!D:E,2,FALSE),"")</f>
        <v>STANICA  ANDREEA MRS</v>
      </c>
      <c r="G126" s="12">
        <f>IFERROR(INDEX('TRANS EMP EXTRACT - COST CENTRE'!$A$1:$Z$455,MATCH('Summary - Monthly'!$A126,'TRANS EMP EXTRACT - COST CENTRE'!$A:$A,0),MATCH('Summary - Monthly'!G$3,'TRANS EMP EXTRACT - COST CENTRE'!$2:$2,0)),"")</f>
        <v>42618</v>
      </c>
      <c r="H126" s="10" t="str">
        <f>IFERROR(INDEX('TRANS EMP EXTRACT - COST CENTRE'!$B$1:$Z$455,MATCH('Summary - Monthly'!$E126,'TRANS EMP EXTRACT - COST CENTRE'!$D:$D,0),MATCH('Summary - Monthly'!H$3,'TRANS EMP EXTRACT - COST CENTRE'!$2:$2,0)),"")</f>
        <v>RT</v>
      </c>
      <c r="I126" s="12" t="str">
        <f>IFERROR(INDEX('TRANS EMP EXTRACT - EMP CATEGOR'!$B$1:$AF$421,MATCH('Summary - Monthly'!$E126,'TRANS EMP EXTRACT - EMP CATEGOR'!$D:$D,0),MATCH('Summary - Monthly'!H$3,'TRANS EMP EXTRACT - EMP CATEGOR'!$2:$2,0)),"")</f>
        <v>RT</v>
      </c>
      <c r="J126" s="41">
        <f t="shared" ca="1" si="12"/>
        <v>22.125499999999999</v>
      </c>
      <c r="K126" s="41">
        <f t="shared" ca="1" si="17"/>
        <v>44.975200000000001</v>
      </c>
      <c r="L126" s="10">
        <f>IFERROR(INDEX('TRANS EMP EXTRACT - COST CENTRE'!$A$1:$Z$455,MATCH('Summary - Monthly'!$A126,'TRANS EMP EXTRACT - COST CENTRE'!$A:$A,0),MATCH('Summary - Monthly'!L$3,'TRANS EMP EXTRACT - COST CENTRE'!$2:$2,0)),"")</f>
        <v>53.2</v>
      </c>
      <c r="M126" s="10">
        <f>IFERROR(INDEX('TRANS EMP EXTRACT - COST CENTRE'!$A$1:$Z$455,MATCH('Summary - Monthly'!$A126,'TRANS EMP EXTRACT - COST CENTRE'!$A:$A,0),MATCH('Summary - Monthly'!M$3,'TRANS EMP EXTRACT - COST CENTRE'!$2:$2,0)),0)</f>
        <v>0</v>
      </c>
      <c r="N126" s="10">
        <f>IFERROR(INDEX('TRANS EMP EXTRACT - COST CENTRE'!$A$1:$Z$455,MATCH('Summary - Monthly'!$A126,'TRANS EMP EXTRACT - COST CENTRE'!$A:$A,0),MATCH('Summary - Monthly'!N$3,'TRANS EMP EXTRACT - COST CENTRE'!$2:$2,0)),0)</f>
        <v>0</v>
      </c>
      <c r="O126" s="10">
        <f>IFERROR(INDEX('TRANS EMP EXTRACT - COST CENTRE'!$A$1:$Z$455,MATCH('Summary - Monthly'!$A126,'TRANS EMP EXTRACT - COST CENTRE'!$A:$A,0),MATCH('Summary - Monthly'!O$3,'TRANS EMP EXTRACT - COST CENTRE'!$2:$2,0)),0)</f>
        <v>0</v>
      </c>
      <c r="P126" s="10">
        <f>IFERROR(INDEX('TRANS EMP EXTRACT - COST CENTRE'!$A$1:$Z$455,MATCH('Summary - Monthly'!$A126,'TRANS EMP EXTRACT - COST CENTRE'!$A:$A,0),MATCH('Summary - Monthly'!P$3,'TRANS EMP EXTRACT - COST CENTRE'!$2:$2,0)),0)</f>
        <v>0</v>
      </c>
      <c r="Q126" s="10">
        <f>IFERROR(INDEX('TRANS EMP EXTRACT - COST CENTRE'!$A$1:$Z$455,MATCH('Summary - Monthly'!$A126,'TRANS EMP EXTRACT - COST CENTRE'!$A:$A,0),MATCH('Summary - Monthly'!Q$3,'TRANS EMP EXTRACT - COST CENTRE'!$2:$2,0)),0)</f>
        <v>14</v>
      </c>
      <c r="R126" s="10">
        <f>IFERROR(INDEX('TRANS EMP EXTRACT - COST CENTRE'!$A$1:$Z$455,MATCH('Summary - Monthly'!$A126,'TRANS EMP EXTRACT - COST CENTRE'!$A:$A,0),MATCH('Summary - Monthly'!R$3,'TRANS EMP EXTRACT - COST CENTRE'!$2:$2,0)),0)</f>
        <v>9.6997999999999998</v>
      </c>
      <c r="S126" s="10">
        <f>IFERROR(INDEX('TRANS EMP EXTRACT - COST CENTRE'!$A$1:$Z$455,MATCH('Summary - Monthly'!$A126,'TRANS EMP EXTRACT - COST CENTRE'!$A:$A,0),MATCH('Summary - Monthly'!S$3,'TRANS EMP EXTRACT - COST CENTRE'!$2:$2,0)),0)</f>
        <v>0</v>
      </c>
      <c r="T126" s="8">
        <f>IFERROR(INDEX('TRANS EMP EXTRACT - COST CENTRE'!$A$1:$Z$455,MATCH('Summary - Monthly'!$A126,'TRANS EMP EXTRACT - COST CENTRE'!$A:$A,0),MATCH('Summary - Monthly'!T$3,'TRANS EMP EXTRACT - COST CENTRE'!$2:$2,0)),0)</f>
        <v>0</v>
      </c>
      <c r="U126" s="13">
        <f>IFERROR(INDEX('TRANS EMP EXTRACT - COST CENTRE'!$A$1:$Z$455,MATCH('Summary - Monthly'!$A126,'TRANS EMP EXTRACT - COST CENTRE'!$A:$A,0),MATCH('Summary - Monthly'!U$3,'TRANS EMP EXTRACT - COST CENTRE'!$2:$2,0)),0)</f>
        <v>98.8</v>
      </c>
      <c r="V126" s="13">
        <f>IFERROR(INDEX('TRANS EMP EXTRACT - COST CENTRE'!$A$1:$Z$455,MATCH('Summary - Monthly'!$A126,'TRANS EMP EXTRACT - COST CENTRE'!$A:$A,0),MATCH('Summary - Monthly'!V$3,'TRANS EMP EXTRACT - COST CENTRE'!$2:$2,0)),0)</f>
        <v>0</v>
      </c>
      <c r="W126" s="13">
        <f>IFERROR(INDEX('TRANS EMP EXTRACT - COST CENTRE'!$A$1:$Z$455,MATCH('Summary - Monthly'!$A126,'TRANS EMP EXTRACT - COST CENTRE'!$A:$A,0),MATCH('Summary - Monthly'!W$3,'TRANS EMP EXTRACT - COST CENTRE'!$2:$2,0)),0)</f>
        <v>0</v>
      </c>
      <c r="X126" s="13">
        <f>IFERROR(INDEX('TRANS EMP EXTRACT - COST CENTRE'!$A$1:$Z$455,MATCH('Summary - Monthly'!$A126,'TRANS EMP EXTRACT - COST CENTRE'!$A:$A,0),MATCH('Summary - Monthly'!X$3,'TRANS EMP EXTRACT - COST CENTRE'!$2:$2,0)),0)</f>
        <v>0</v>
      </c>
      <c r="Y126" s="13">
        <f>IFERROR(INDEX('TRANS EMP EXTRACT - COST CENTRE'!$A$1:$Z$455,MATCH('Summary - Monthly'!$A126,'TRANS EMP EXTRACT - COST CENTRE'!$A:$A,0),MATCH('Summary - Monthly'!Y$3,'TRANS EMP EXTRACT - COST CENTRE'!$2:$2,0)),0)</f>
        <v>0</v>
      </c>
      <c r="Z126" s="10">
        <f>IFERROR(INDEX('TRANS EMP EXTRACT - COST CENTRE'!$A$1:$Z$455,MATCH('Summary - Monthly'!$A126,'TRANS EMP EXTRACT - COST CENTRE'!$A:$A,0),MATCH('Summary - Monthly'!Z$3,'TRANS EMP EXTRACT - COST CENTRE'!$2:$2,0)),0)</f>
        <v>0</v>
      </c>
      <c r="AA126" s="10">
        <f>IFERROR(INDEX('TRANS EMP EXTRACT - COST CENTRE'!$A$1:$Z$455,MATCH('Summary - Monthly'!$A126,'TRANS EMP EXTRACT - COST CENTRE'!$A:$A,0),MATCH('Summary - Monthly'!AA$3,'TRANS EMP EXTRACT - COST CENTRE'!$2:$2,0)),0)</f>
        <v>0</v>
      </c>
      <c r="AB126" s="10">
        <f>IFERROR(INDEX('TRANS EMP EXTRACT - COST CENTRE'!$A$1:$Z$455,MATCH('Summary - Monthly'!$A126,'TRANS EMP EXTRACT - COST CENTRE'!$A:$A,0),MATCH('Summary - Monthly'!AB$3,'TRANS EMP EXTRACT - COST CENTRE'!$2:$2,0)),0)</f>
        <v>0</v>
      </c>
      <c r="AC126" s="8">
        <f>IFERROR(INDEX('TRANS EMP EXTRACT - COST CENTRE'!$A$1:$Z$455,MATCH('Summary - Monthly'!$A126,'TRANS EMP EXTRACT - COST CENTRE'!$A:$A,0),MATCH('Summary - Monthly'!AC$3,'TRANS EMP EXTRACT - COST CENTRE'!$2:$2,0)),0)</f>
        <v>0</v>
      </c>
      <c r="AD126" s="13">
        <f>IFERROR(INDEX('TRANS EMP EXTRACT - COST CENTRE'!$A$1:$Z$455,MATCH('Summary - Monthly'!$A126,'TRANS EMP EXTRACT - COST CENTRE'!$A:$A,0),MATCH('Summary - Monthly'!AD$3,'TRANS EMP EXTRACT - COST CENTRE'!$2:$2,0)),0)</f>
        <v>0</v>
      </c>
      <c r="AE126" s="13">
        <f>IFERROR(INDEX('TRANS EMP EXTRACT - COST CENTRE'!$A$1:$Z$455,MATCH('Summary - Monthly'!$A126,'TRANS EMP EXTRACT - COST CENTRE'!$A:$A,0),MATCH('Summary - Monthly'!AE$3,'TRANS EMP EXTRACT - COST CENTRE'!$2:$2,0)),0)</f>
        <v>0</v>
      </c>
      <c r="AF126" s="13">
        <f>IFERROR(INDEX('TRANS EMP EXTRACT - COST CENTRE'!$A$1:$Z$455,MATCH('Summary - Monthly'!$A126,'TRANS EMP EXTRACT - COST CENTRE'!$A:$A,0),MATCH('Summary - Monthly'!AF$3,'TRANS EMP EXTRACT - COST CENTRE'!$2:$2,0)),0)</f>
        <v>0</v>
      </c>
      <c r="AG126" s="10">
        <f>IFERROR(INDEX('TRANS EMP EXTRACT - COST CENTRE'!$A$1:$Z$455,MATCH('Summary - Monthly'!$A126,'TRANS EMP EXTRACT - COST CENTRE'!$A:$A,0),MATCH('Summary - Monthly'!AG$3,'TRANS EMP EXTRACT - COST CENTRE'!$2:$2,0)),0)</f>
        <v>0</v>
      </c>
      <c r="AH126" s="10">
        <f>IFERROR(INDEX('TRANS EMP EXTRACT - COST CENTRE'!$A$1:$Z$455,MATCH('Summary - Monthly'!$A126,'TRANS EMP EXTRACT - COST CENTRE'!$A:$A,0),MATCH('Summary - Monthly'!AH$3,'TRANS EMP EXTRACT - COST CENTRE'!$2:$2,0)),0)</f>
        <v>0</v>
      </c>
      <c r="AI126" s="10">
        <f>IFERROR(INDEX('TRANS EMP EXTRACT - COST CENTRE'!$A$1:$Z$455,MATCH('Summary - Monthly'!$A126,'TRANS EMP EXTRACT - COST CENTRE'!$A:$A,0),MATCH('Summary - Monthly'!AI$3,'TRANS EMP EXTRACT - COST CENTRE'!$2:$2,0)),0)</f>
        <v>0</v>
      </c>
      <c r="AJ126" s="10">
        <f>IFERROR(INDEX('TRANS EMP EXTRACT - COST CENTRE'!$A$1:$Z$455,MATCH('Summary - Monthly'!$A126,'TRANS EMP EXTRACT - COST CENTRE'!$A:$A,0),MATCH('Summary - Monthly'!AJ$3,'TRANS EMP EXTRACT - COST CENTRE'!$2:$2,0)),0)</f>
        <v>0</v>
      </c>
      <c r="AK126" s="10">
        <f>IFERROR(INDEX('TRANS EMP EXTRACT - COST CENTRE'!$A$1:$Z$455,MATCH('Summary - Monthly'!$A126,'TRANS EMP EXTRACT - COST CENTRE'!$A:$A,0),MATCH('Summary - Monthly'!AK$3,'TRANS EMP EXTRACT - COST CENTRE'!$2:$2,0)),0)</f>
        <v>0</v>
      </c>
      <c r="AL126" s="10">
        <f>IFERROR(INDEX('TRANS EMP EXTRACT - COST CENTRE'!$A$1:$Z$455,MATCH('Summary - Monthly'!$A126,'TRANS EMP EXTRACT - COST CENTRE'!$A:$A,0),MATCH('Summary - Monthly'!AL$3,'TRANS EMP EXTRACT - COST CENTRE'!$2:$2,0)),0)</f>
        <v>0</v>
      </c>
      <c r="AM126" s="10">
        <f t="shared" si="20"/>
        <v>175.69979999999998</v>
      </c>
      <c r="AN126" s="14">
        <f t="shared" si="13"/>
        <v>0.15591973684210525</v>
      </c>
      <c r="AO126" s="18">
        <f t="shared" si="23"/>
        <v>1.1559197368421052</v>
      </c>
      <c r="AP126" s="18">
        <f t="shared" si="19"/>
        <v>0.50591973684210512</v>
      </c>
      <c r="AQ126" s="10" t="str">
        <f>IFERROR(VLOOKUP(B126,Departments!A:C,3,FALSE),"")</f>
        <v>Microbiology</v>
      </c>
      <c r="AR126" s="10" t="str">
        <f>IFERROR(VLOOKUP(B126,Departments!A:B,2,FALSE),"")</f>
        <v>Melb Micro</v>
      </c>
      <c r="AS126" s="10">
        <f t="shared" si="21"/>
        <v>0</v>
      </c>
      <c r="AT126" s="10">
        <f t="shared" si="22"/>
        <v>98.8</v>
      </c>
      <c r="AU126" s="10" t="str">
        <f>_xlfn.IFNA(VLOOKUP(B126,Departments!A:D,4,FALSE),"")</f>
        <v>Melbourne Micro</v>
      </c>
    </row>
    <row r="127" spans="1:47" ht="14.45" customHeight="1">
      <c r="A127" s="11" t="str">
        <f t="shared" si="16"/>
        <v>12062511156</v>
      </c>
      <c r="B127" s="11">
        <f>'TRANS EMP EXTRACT - COST CENTRE'!B126</f>
        <v>12062511</v>
      </c>
      <c r="C127" s="10" t="str">
        <f>IFERROR(VLOOKUP(E127,'TRANS EMP EXTRACT - EMP CATEGOR'!A:B,2,FALSE),"")</f>
        <v>PT</v>
      </c>
      <c r="D127" s="10" t="str">
        <f>IFERROR(VLOOKUP(E127,'TRANS EMP EXTRACT - EMP CATEGOR'!A:C,3,FALSE),"")</f>
        <v>Parttime</v>
      </c>
      <c r="E127" s="11">
        <f>'TRANS EMP EXTRACT - COST CENTRE'!D126</f>
        <v>156</v>
      </c>
      <c r="F127" s="10" t="str">
        <f>IFERROR(VLOOKUP(E127,'TRANS EMP EXTRACT - COST CENTRE'!D:E,2,FALSE),"")</f>
        <v>STILLITANO  SUE MRS</v>
      </c>
      <c r="G127" s="12">
        <f>IFERROR(INDEX('TRANS EMP EXTRACT - COST CENTRE'!$A$1:$Z$455,MATCH('Summary - Monthly'!$A127,'TRANS EMP EXTRACT - COST CENTRE'!$A:$A,0),MATCH('Summary - Monthly'!G$3,'TRANS EMP EXTRACT - COST CENTRE'!$2:$2,0)),"")</f>
        <v>35648</v>
      </c>
      <c r="H127" s="10" t="str">
        <f>IFERROR(INDEX('TRANS EMP EXTRACT - COST CENTRE'!$B$1:$Z$455,MATCH('Summary - Monthly'!$E127,'TRANS EMP EXTRACT - COST CENTRE'!$D:$D,0),MATCH('Summary - Monthly'!H$3,'TRANS EMP EXTRACT - COST CENTRE'!$2:$2,0)),"")</f>
        <v>RT</v>
      </c>
      <c r="I127" s="12" t="str">
        <f>IFERROR(INDEX('TRANS EMP EXTRACT - EMP CATEGOR'!$B$1:$AF$421,MATCH('Summary - Monthly'!$E127,'TRANS EMP EXTRACT - EMP CATEGOR'!$D:$D,0),MATCH('Summary - Monthly'!H$3,'TRANS EMP EXTRACT - EMP CATEGOR'!$2:$2,0)),"")</f>
        <v>RT</v>
      </c>
      <c r="J127" s="41">
        <f t="shared" ca="1" si="12"/>
        <v>137.63759999999999</v>
      </c>
      <c r="K127" s="41">
        <f t="shared" ca="1" si="17"/>
        <v>33.578200000000002</v>
      </c>
      <c r="L127" s="10">
        <f>IFERROR(INDEX('TRANS EMP EXTRACT - COST CENTRE'!$A$1:$Z$455,MATCH('Summary - Monthly'!$A127,'TRANS EMP EXTRACT - COST CENTRE'!$A:$A,0),MATCH('Summary - Monthly'!L$3,'TRANS EMP EXTRACT - COST CENTRE'!$2:$2,0)),"")</f>
        <v>32</v>
      </c>
      <c r="M127" s="10">
        <f>IFERROR(INDEX('TRANS EMP EXTRACT - COST CENTRE'!$A$1:$Z$455,MATCH('Summary - Monthly'!$A127,'TRANS EMP EXTRACT - COST CENTRE'!$A:$A,0),MATCH('Summary - Monthly'!M$3,'TRANS EMP EXTRACT - COST CENTRE'!$2:$2,0)),0)</f>
        <v>0</v>
      </c>
      <c r="N127" s="10">
        <f>IFERROR(INDEX('TRANS EMP EXTRACT - COST CENTRE'!$A$1:$Z$455,MATCH('Summary - Monthly'!$A127,'TRANS EMP EXTRACT - COST CENTRE'!$A:$A,0),MATCH('Summary - Monthly'!N$3,'TRANS EMP EXTRACT - COST CENTRE'!$2:$2,0)),0)</f>
        <v>0</v>
      </c>
      <c r="O127" s="10">
        <f>IFERROR(INDEX('TRANS EMP EXTRACT - COST CENTRE'!$A$1:$Z$455,MATCH('Summary - Monthly'!$A127,'TRANS EMP EXTRACT - COST CENTRE'!$A:$A,0),MATCH('Summary - Monthly'!O$3,'TRANS EMP EXTRACT - COST CENTRE'!$2:$2,0)),0)</f>
        <v>0</v>
      </c>
      <c r="P127" s="10">
        <f>IFERROR(INDEX('TRANS EMP EXTRACT - COST CENTRE'!$A$1:$Z$455,MATCH('Summary - Monthly'!$A127,'TRANS EMP EXTRACT - COST CENTRE'!$A:$A,0),MATCH('Summary - Monthly'!P$3,'TRANS EMP EXTRACT - COST CENTRE'!$2:$2,0)),0)</f>
        <v>0</v>
      </c>
      <c r="Q127" s="10">
        <f>IFERROR(INDEX('TRANS EMP EXTRACT - COST CENTRE'!$A$1:$Z$455,MATCH('Summary - Monthly'!$A127,'TRANS EMP EXTRACT - COST CENTRE'!$A:$A,0),MATCH('Summary - Monthly'!Q$3,'TRANS EMP EXTRACT - COST CENTRE'!$2:$2,0)),0)</f>
        <v>0.69989999999999997</v>
      </c>
      <c r="R127" s="10">
        <f>IFERROR(INDEX('TRANS EMP EXTRACT - COST CENTRE'!$A$1:$Z$455,MATCH('Summary - Monthly'!$A127,'TRANS EMP EXTRACT - COST CENTRE'!$A:$A,0),MATCH('Summary - Monthly'!R$3,'TRANS EMP EXTRACT - COST CENTRE'!$2:$2,0)),0)</f>
        <v>0</v>
      </c>
      <c r="S127" s="10">
        <f>IFERROR(INDEX('TRANS EMP EXTRACT - COST CENTRE'!$A$1:$Z$455,MATCH('Summary - Monthly'!$A127,'TRANS EMP EXTRACT - COST CENTRE'!$A:$A,0),MATCH('Summary - Monthly'!S$3,'TRANS EMP EXTRACT - COST CENTRE'!$2:$2,0)),0)</f>
        <v>0</v>
      </c>
      <c r="T127" s="8">
        <f>IFERROR(INDEX('TRANS EMP EXTRACT - COST CENTRE'!$A$1:$Z$455,MATCH('Summary - Monthly'!$A127,'TRANS EMP EXTRACT - COST CENTRE'!$A:$A,0),MATCH('Summary - Monthly'!T$3,'TRANS EMP EXTRACT - COST CENTRE'!$2:$2,0)),0)</f>
        <v>0</v>
      </c>
      <c r="U127" s="13">
        <f>IFERROR(INDEX('TRANS EMP EXTRACT - COST CENTRE'!$A$1:$Z$455,MATCH('Summary - Monthly'!$A127,'TRANS EMP EXTRACT - COST CENTRE'!$A:$A,0),MATCH('Summary - Monthly'!U$3,'TRANS EMP EXTRACT - COST CENTRE'!$2:$2,0)),0)</f>
        <v>16</v>
      </c>
      <c r="V127" s="13">
        <f>IFERROR(INDEX('TRANS EMP EXTRACT - COST CENTRE'!$A$1:$Z$455,MATCH('Summary - Monthly'!$A127,'TRANS EMP EXTRACT - COST CENTRE'!$A:$A,0),MATCH('Summary - Monthly'!V$3,'TRANS EMP EXTRACT - COST CENTRE'!$2:$2,0)),0)</f>
        <v>0</v>
      </c>
      <c r="W127" s="13">
        <f>IFERROR(INDEX('TRANS EMP EXTRACT - COST CENTRE'!$A$1:$Z$455,MATCH('Summary - Monthly'!$A127,'TRANS EMP EXTRACT - COST CENTRE'!$A:$A,0),MATCH('Summary - Monthly'!W$3,'TRANS EMP EXTRACT - COST CENTRE'!$2:$2,0)),0)</f>
        <v>0</v>
      </c>
      <c r="X127" s="13">
        <f>IFERROR(INDEX('TRANS EMP EXTRACT - COST CENTRE'!$A$1:$Z$455,MATCH('Summary - Monthly'!$A127,'TRANS EMP EXTRACT - COST CENTRE'!$A:$A,0),MATCH('Summary - Monthly'!X$3,'TRANS EMP EXTRACT - COST CENTRE'!$2:$2,0)),0)</f>
        <v>0</v>
      </c>
      <c r="Y127" s="13">
        <f>IFERROR(INDEX('TRANS EMP EXTRACT - COST CENTRE'!$A$1:$Z$455,MATCH('Summary - Monthly'!$A127,'TRANS EMP EXTRACT - COST CENTRE'!$A:$A,0),MATCH('Summary - Monthly'!Y$3,'TRANS EMP EXTRACT - COST CENTRE'!$2:$2,0)),0)</f>
        <v>0</v>
      </c>
      <c r="Z127" s="10">
        <f>IFERROR(INDEX('TRANS EMP EXTRACT - COST CENTRE'!$A$1:$Z$455,MATCH('Summary - Monthly'!$A127,'TRANS EMP EXTRACT - COST CENTRE'!$A:$A,0),MATCH('Summary - Monthly'!Z$3,'TRANS EMP EXTRACT - COST CENTRE'!$2:$2,0)),0)</f>
        <v>0</v>
      </c>
      <c r="AA127" s="10">
        <f>IFERROR(INDEX('TRANS EMP EXTRACT - COST CENTRE'!$A$1:$Z$455,MATCH('Summary - Monthly'!$A127,'TRANS EMP EXTRACT - COST CENTRE'!$A:$A,0),MATCH('Summary - Monthly'!AA$3,'TRANS EMP EXTRACT - COST CENTRE'!$2:$2,0)),0)</f>
        <v>0</v>
      </c>
      <c r="AB127" s="10">
        <f>IFERROR(INDEX('TRANS EMP EXTRACT - COST CENTRE'!$A$1:$Z$455,MATCH('Summary - Monthly'!$A127,'TRANS EMP EXTRACT - COST CENTRE'!$A:$A,0),MATCH('Summary - Monthly'!AB$3,'TRANS EMP EXTRACT - COST CENTRE'!$2:$2,0)),0)</f>
        <v>0</v>
      </c>
      <c r="AC127" s="8">
        <f>IFERROR(INDEX('TRANS EMP EXTRACT - COST CENTRE'!$A$1:$Z$455,MATCH('Summary - Monthly'!$A127,'TRANS EMP EXTRACT - COST CENTRE'!$A:$A,0),MATCH('Summary - Monthly'!AC$3,'TRANS EMP EXTRACT - COST CENTRE'!$2:$2,0)),0)</f>
        <v>0</v>
      </c>
      <c r="AD127" s="13">
        <f>IFERROR(INDEX('TRANS EMP EXTRACT - COST CENTRE'!$A$1:$Z$455,MATCH('Summary - Monthly'!$A127,'TRANS EMP EXTRACT - COST CENTRE'!$A:$A,0),MATCH('Summary - Monthly'!AD$3,'TRANS EMP EXTRACT - COST CENTRE'!$2:$2,0)),0)</f>
        <v>0</v>
      </c>
      <c r="AE127" s="13">
        <f>IFERROR(INDEX('TRANS EMP EXTRACT - COST CENTRE'!$A$1:$Z$455,MATCH('Summary - Monthly'!$A127,'TRANS EMP EXTRACT - COST CENTRE'!$A:$A,0),MATCH('Summary - Monthly'!AE$3,'TRANS EMP EXTRACT - COST CENTRE'!$2:$2,0)),0)</f>
        <v>0</v>
      </c>
      <c r="AF127" s="13">
        <f>IFERROR(INDEX('TRANS EMP EXTRACT - COST CENTRE'!$A$1:$Z$455,MATCH('Summary - Monthly'!$A127,'TRANS EMP EXTRACT - COST CENTRE'!$A:$A,0),MATCH('Summary - Monthly'!AF$3,'TRANS EMP EXTRACT - COST CENTRE'!$2:$2,0)),0)</f>
        <v>0</v>
      </c>
      <c r="AG127" s="10">
        <f>IFERROR(INDEX('TRANS EMP EXTRACT - COST CENTRE'!$A$1:$Z$455,MATCH('Summary - Monthly'!$A127,'TRANS EMP EXTRACT - COST CENTRE'!$A:$A,0),MATCH('Summary - Monthly'!AG$3,'TRANS EMP EXTRACT - COST CENTRE'!$2:$2,0)),0)</f>
        <v>0</v>
      </c>
      <c r="AH127" s="10">
        <f>IFERROR(INDEX('TRANS EMP EXTRACT - COST CENTRE'!$A$1:$Z$455,MATCH('Summary - Monthly'!$A127,'TRANS EMP EXTRACT - COST CENTRE'!$A:$A,0),MATCH('Summary - Monthly'!AH$3,'TRANS EMP EXTRACT - COST CENTRE'!$2:$2,0)),0)</f>
        <v>0</v>
      </c>
      <c r="AI127" s="10">
        <f>IFERROR(INDEX('TRANS EMP EXTRACT - COST CENTRE'!$A$1:$Z$455,MATCH('Summary - Monthly'!$A127,'TRANS EMP EXTRACT - COST CENTRE'!$A:$A,0),MATCH('Summary - Monthly'!AI$3,'TRANS EMP EXTRACT - COST CENTRE'!$2:$2,0)),0)</f>
        <v>0</v>
      </c>
      <c r="AJ127" s="10">
        <f>IFERROR(INDEX('TRANS EMP EXTRACT - COST CENTRE'!$A$1:$Z$455,MATCH('Summary - Monthly'!$A127,'TRANS EMP EXTRACT - COST CENTRE'!$A:$A,0),MATCH('Summary - Monthly'!AJ$3,'TRANS EMP EXTRACT - COST CENTRE'!$2:$2,0)),0)</f>
        <v>0</v>
      </c>
      <c r="AK127" s="10">
        <f>IFERROR(INDEX('TRANS EMP EXTRACT - COST CENTRE'!$A$1:$Z$455,MATCH('Summary - Monthly'!$A127,'TRANS EMP EXTRACT - COST CENTRE'!$A:$A,0),MATCH('Summary - Monthly'!AK$3,'TRANS EMP EXTRACT - COST CENTRE'!$2:$2,0)),0)</f>
        <v>0</v>
      </c>
      <c r="AL127" s="10">
        <f>IFERROR(INDEX('TRANS EMP EXTRACT - COST CENTRE'!$A$1:$Z$455,MATCH('Summary - Monthly'!$A127,'TRANS EMP EXTRACT - COST CENTRE'!$A:$A,0),MATCH('Summary - Monthly'!AL$3,'TRANS EMP EXTRACT - COST CENTRE'!$2:$2,0)),0)</f>
        <v>0</v>
      </c>
      <c r="AM127" s="10">
        <f t="shared" si="20"/>
        <v>48.6999</v>
      </c>
      <c r="AN127" s="14">
        <f t="shared" si="13"/>
        <v>4.6046052631578942E-3</v>
      </c>
      <c r="AO127" s="18">
        <f t="shared" si="23"/>
        <v>0.32039407894736843</v>
      </c>
      <c r="AP127" s="18">
        <f t="shared" si="19"/>
        <v>0.21513092105263157</v>
      </c>
      <c r="AQ127" s="10" t="str">
        <f>IFERROR(VLOOKUP(B127,Departments!A:C,3,FALSE),"")</f>
        <v>Microbiology</v>
      </c>
      <c r="AR127" s="10" t="str">
        <f>IFERROR(VLOOKUP(B127,Departments!A:B,2,FALSE),"")</f>
        <v>Perth Micro</v>
      </c>
      <c r="AS127" s="10">
        <f t="shared" si="21"/>
        <v>0</v>
      </c>
      <c r="AT127" s="10">
        <f t="shared" si="22"/>
        <v>16</v>
      </c>
      <c r="AU127" s="10" t="str">
        <f>_xlfn.IFNA(VLOOKUP(B127,Departments!A:D,4,FALSE),"")</f>
        <v>Perth Micro</v>
      </c>
    </row>
    <row r="128" spans="1:47" ht="14.45" customHeight="1">
      <c r="A128" s="11" t="str">
        <f t="shared" si="16"/>
        <v>1203301119058</v>
      </c>
      <c r="B128" s="11">
        <f>'TRANS EMP EXTRACT - COST CENTRE'!B127</f>
        <v>12033011</v>
      </c>
      <c r="C128" s="10" t="str">
        <f>IFERROR(VLOOKUP(E128,'TRANS EMP EXTRACT - EMP CATEGOR'!A:B,2,FALSE),"")</f>
        <v>TF</v>
      </c>
      <c r="D128" s="10" t="str">
        <f>IFERROR(VLOOKUP(E128,'TRANS EMP EXTRACT - EMP CATEGOR'!A:C,3,FALSE),"")</f>
        <v>Temporary Fulltime</v>
      </c>
      <c r="E128" s="11">
        <f>'TRANS EMP EXTRACT - COST CENTRE'!D127</f>
        <v>19058</v>
      </c>
      <c r="F128" s="10" t="str">
        <f>IFERROR(VLOOKUP(E128,'TRANS EMP EXTRACT - COST CENTRE'!D:E,2,FALSE),"")</f>
        <v>SUBRAMANYA  AKSHATHA MISS</v>
      </c>
      <c r="G128" s="12">
        <f>IFERROR(INDEX('TRANS EMP EXTRACT - COST CENTRE'!$A$1:$Z$455,MATCH('Summary - Monthly'!$A128,'TRANS EMP EXTRACT - COST CENTRE'!$A:$A,0),MATCH('Summary - Monthly'!G$3,'TRANS EMP EXTRACT - COST CENTRE'!$2:$2,0)),"")</f>
        <v>44971</v>
      </c>
      <c r="H128" s="10" t="str">
        <f>IFERROR(INDEX('TRANS EMP EXTRACT - COST CENTRE'!$B$1:$Z$455,MATCH('Summary - Monthly'!$E128,'TRANS EMP EXTRACT - COST CENTRE'!$D:$D,0),MATCH('Summary - Monthly'!H$3,'TRANS EMP EXTRACT - COST CENTRE'!$2:$2,0)),"")</f>
        <v>RT</v>
      </c>
      <c r="I128" s="12" t="str">
        <f>IFERROR(INDEX('TRANS EMP EXTRACT - EMP CATEGOR'!$B$1:$AF$421,MATCH('Summary - Monthly'!$E128,'TRANS EMP EXTRACT - EMP CATEGOR'!$D:$D,0),MATCH('Summary - Monthly'!H$3,'TRANS EMP EXTRACT - EMP CATEGOR'!$2:$2,0)),"")</f>
        <v>RT</v>
      </c>
      <c r="J128" s="41">
        <f t="shared" ca="1" si="12"/>
        <v>3.7479</v>
      </c>
      <c r="K128" s="41">
        <f t="shared" ca="1" si="17"/>
        <v>7.4958999999999998</v>
      </c>
      <c r="L128" s="10">
        <f>IFERROR(INDEX('TRANS EMP EXTRACT - COST CENTRE'!$A$1:$Z$455,MATCH('Summary - Monthly'!$A128,'TRANS EMP EXTRACT - COST CENTRE'!$A:$A,0),MATCH('Summary - Monthly'!L$3,'TRANS EMP EXTRACT - COST CENTRE'!$2:$2,0)),"")</f>
        <v>68.900000000000006</v>
      </c>
      <c r="M128" s="10">
        <f>IFERROR(INDEX('TRANS EMP EXTRACT - COST CENTRE'!$A$1:$Z$455,MATCH('Summary - Monthly'!$A128,'TRANS EMP EXTRACT - COST CENTRE'!$A:$A,0),MATCH('Summary - Monthly'!M$3,'TRANS EMP EXTRACT - COST CENTRE'!$2:$2,0)),0)</f>
        <v>0</v>
      </c>
      <c r="N128" s="10">
        <f>IFERROR(INDEX('TRANS EMP EXTRACT - COST CENTRE'!$A$1:$Z$455,MATCH('Summary - Monthly'!$A128,'TRANS EMP EXTRACT - COST CENTRE'!$A:$A,0),MATCH('Summary - Monthly'!N$3,'TRANS EMP EXTRACT - COST CENTRE'!$2:$2,0)),0)</f>
        <v>0</v>
      </c>
      <c r="O128" s="10">
        <f>IFERROR(INDEX('TRANS EMP EXTRACT - COST CENTRE'!$A$1:$Z$455,MATCH('Summary - Monthly'!$A128,'TRANS EMP EXTRACT - COST CENTRE'!$A:$A,0),MATCH('Summary - Monthly'!O$3,'TRANS EMP EXTRACT - COST CENTRE'!$2:$2,0)),0)</f>
        <v>15</v>
      </c>
      <c r="P128" s="10">
        <f>IFERROR(INDEX('TRANS EMP EXTRACT - COST CENTRE'!$A$1:$Z$455,MATCH('Summary - Monthly'!$A128,'TRANS EMP EXTRACT - COST CENTRE'!$A:$A,0),MATCH('Summary - Monthly'!P$3,'TRANS EMP EXTRACT - COST CENTRE'!$2:$2,0)),0)</f>
        <v>0</v>
      </c>
      <c r="Q128" s="10">
        <f>IFERROR(INDEX('TRANS EMP EXTRACT - COST CENTRE'!$A$1:$Z$455,MATCH('Summary - Monthly'!$A128,'TRANS EMP EXTRACT - COST CENTRE'!$A:$A,0),MATCH('Summary - Monthly'!Q$3,'TRANS EMP EXTRACT - COST CENTRE'!$2:$2,0)),0)</f>
        <v>11.8</v>
      </c>
      <c r="R128" s="10">
        <f>IFERROR(INDEX('TRANS EMP EXTRACT - COST CENTRE'!$A$1:$Z$455,MATCH('Summary - Monthly'!$A128,'TRANS EMP EXTRACT - COST CENTRE'!$A:$A,0),MATCH('Summary - Monthly'!R$3,'TRANS EMP EXTRACT - COST CENTRE'!$2:$2,0)),0)</f>
        <v>6.0667</v>
      </c>
      <c r="S128" s="10">
        <f>IFERROR(INDEX('TRANS EMP EXTRACT - COST CENTRE'!$A$1:$Z$455,MATCH('Summary - Monthly'!$A128,'TRANS EMP EXTRACT - COST CENTRE'!$A:$A,0),MATCH('Summary - Monthly'!S$3,'TRANS EMP EXTRACT - COST CENTRE'!$2:$2,0)),0)</f>
        <v>0</v>
      </c>
      <c r="T128" s="8">
        <f>IFERROR(INDEX('TRANS EMP EXTRACT - COST CENTRE'!$A$1:$Z$455,MATCH('Summary - Monthly'!$A128,'TRANS EMP EXTRACT - COST CENTRE'!$A:$A,0),MATCH('Summary - Monthly'!T$3,'TRANS EMP EXTRACT - COST CENTRE'!$2:$2,0)),0)</f>
        <v>0</v>
      </c>
      <c r="U128" s="13">
        <f>IFERROR(INDEX('TRANS EMP EXTRACT - COST CENTRE'!$A$1:$Z$455,MATCH('Summary - Monthly'!$A128,'TRANS EMP EXTRACT - COST CENTRE'!$A:$A,0),MATCH('Summary - Monthly'!U$3,'TRANS EMP EXTRACT - COST CENTRE'!$2:$2,0)),0)</f>
        <v>0</v>
      </c>
      <c r="V128" s="13">
        <f>IFERROR(INDEX('TRANS EMP EXTRACT - COST CENTRE'!$A$1:$Z$455,MATCH('Summary - Monthly'!$A128,'TRANS EMP EXTRACT - COST CENTRE'!$A:$A,0),MATCH('Summary - Monthly'!V$3,'TRANS EMP EXTRACT - COST CENTRE'!$2:$2,0)),0)</f>
        <v>0</v>
      </c>
      <c r="W128" s="13">
        <f>IFERROR(INDEX('TRANS EMP EXTRACT - COST CENTRE'!$A$1:$Z$455,MATCH('Summary - Monthly'!$A128,'TRANS EMP EXTRACT - COST CENTRE'!$A:$A,0),MATCH('Summary - Monthly'!W$3,'TRANS EMP EXTRACT - COST CENTRE'!$2:$2,0)),0)</f>
        <v>0</v>
      </c>
      <c r="X128" s="13">
        <f>IFERROR(INDEX('TRANS EMP EXTRACT - COST CENTRE'!$A$1:$Z$455,MATCH('Summary - Monthly'!$A128,'TRANS EMP EXTRACT - COST CENTRE'!$A:$A,0),MATCH('Summary - Monthly'!X$3,'TRANS EMP EXTRACT - COST CENTRE'!$2:$2,0)),0)</f>
        <v>0</v>
      </c>
      <c r="Y128" s="13">
        <f>IFERROR(INDEX('TRANS EMP EXTRACT - COST CENTRE'!$A$1:$Z$455,MATCH('Summary - Monthly'!$A128,'TRANS EMP EXTRACT - COST CENTRE'!$A:$A,0),MATCH('Summary - Monthly'!Y$3,'TRANS EMP EXTRACT - COST CENTRE'!$2:$2,0)),0)</f>
        <v>0</v>
      </c>
      <c r="Z128" s="10">
        <f>IFERROR(INDEX('TRANS EMP EXTRACT - COST CENTRE'!$A$1:$Z$455,MATCH('Summary - Monthly'!$A128,'TRANS EMP EXTRACT - COST CENTRE'!$A:$A,0),MATCH('Summary - Monthly'!Z$3,'TRANS EMP EXTRACT - COST CENTRE'!$2:$2,0)),0)</f>
        <v>0</v>
      </c>
      <c r="AA128" s="10">
        <f>IFERROR(INDEX('TRANS EMP EXTRACT - COST CENTRE'!$A$1:$Z$455,MATCH('Summary - Monthly'!$A128,'TRANS EMP EXTRACT - COST CENTRE'!$A:$A,0),MATCH('Summary - Monthly'!AA$3,'TRANS EMP EXTRACT - COST CENTRE'!$2:$2,0)),0)</f>
        <v>0</v>
      </c>
      <c r="AB128" s="10">
        <f>IFERROR(INDEX('TRANS EMP EXTRACT - COST CENTRE'!$A$1:$Z$455,MATCH('Summary - Monthly'!$A128,'TRANS EMP EXTRACT - COST CENTRE'!$A:$A,0),MATCH('Summary - Monthly'!AB$3,'TRANS EMP EXTRACT - COST CENTRE'!$2:$2,0)),0)</f>
        <v>0</v>
      </c>
      <c r="AC128" s="8">
        <f>IFERROR(INDEX('TRANS EMP EXTRACT - COST CENTRE'!$A$1:$Z$455,MATCH('Summary - Monthly'!$A128,'TRANS EMP EXTRACT - COST CENTRE'!$A:$A,0),MATCH('Summary - Monthly'!AC$3,'TRANS EMP EXTRACT - COST CENTRE'!$2:$2,0)),0)</f>
        <v>0</v>
      </c>
      <c r="AD128" s="13">
        <f>IFERROR(INDEX('TRANS EMP EXTRACT - COST CENTRE'!$A$1:$Z$455,MATCH('Summary - Monthly'!$A128,'TRANS EMP EXTRACT - COST CENTRE'!$A:$A,0),MATCH('Summary - Monthly'!AD$3,'TRANS EMP EXTRACT - COST CENTRE'!$2:$2,0)),0)</f>
        <v>0</v>
      </c>
      <c r="AE128" s="13">
        <f>IFERROR(INDEX('TRANS EMP EXTRACT - COST CENTRE'!$A$1:$Z$455,MATCH('Summary - Monthly'!$A128,'TRANS EMP EXTRACT - COST CENTRE'!$A:$A,0),MATCH('Summary - Monthly'!AE$3,'TRANS EMP EXTRACT - COST CENTRE'!$2:$2,0)),0)</f>
        <v>0</v>
      </c>
      <c r="AF128" s="13">
        <f>IFERROR(INDEX('TRANS EMP EXTRACT - COST CENTRE'!$A$1:$Z$455,MATCH('Summary - Monthly'!$A128,'TRANS EMP EXTRACT - COST CENTRE'!$A:$A,0),MATCH('Summary - Monthly'!AF$3,'TRANS EMP EXTRACT - COST CENTRE'!$2:$2,0)),0)</f>
        <v>0</v>
      </c>
      <c r="AG128" s="10">
        <f>IFERROR(INDEX('TRANS EMP EXTRACT - COST CENTRE'!$A$1:$Z$455,MATCH('Summary - Monthly'!$A128,'TRANS EMP EXTRACT - COST CENTRE'!$A:$A,0),MATCH('Summary - Monthly'!AG$3,'TRANS EMP EXTRACT - COST CENTRE'!$2:$2,0)),0)</f>
        <v>0</v>
      </c>
      <c r="AH128" s="10">
        <f>IFERROR(INDEX('TRANS EMP EXTRACT - COST CENTRE'!$A$1:$Z$455,MATCH('Summary - Monthly'!$A128,'TRANS EMP EXTRACT - COST CENTRE'!$A:$A,0),MATCH('Summary - Monthly'!AH$3,'TRANS EMP EXTRACT - COST CENTRE'!$2:$2,0)),0)</f>
        <v>0</v>
      </c>
      <c r="AI128" s="10">
        <f>IFERROR(INDEX('TRANS EMP EXTRACT - COST CENTRE'!$A$1:$Z$455,MATCH('Summary - Monthly'!$A128,'TRANS EMP EXTRACT - COST CENTRE'!$A:$A,0),MATCH('Summary - Monthly'!AI$3,'TRANS EMP EXTRACT - COST CENTRE'!$2:$2,0)),0)</f>
        <v>0</v>
      </c>
      <c r="AJ128" s="10">
        <f>IFERROR(INDEX('TRANS EMP EXTRACT - COST CENTRE'!$A$1:$Z$455,MATCH('Summary - Monthly'!$A128,'TRANS EMP EXTRACT - COST CENTRE'!$A:$A,0),MATCH('Summary - Monthly'!AJ$3,'TRANS EMP EXTRACT - COST CENTRE'!$2:$2,0)),0)</f>
        <v>0</v>
      </c>
      <c r="AK128" s="10">
        <f>IFERROR(INDEX('TRANS EMP EXTRACT - COST CENTRE'!$A$1:$Z$455,MATCH('Summary - Monthly'!$A128,'TRANS EMP EXTRACT - COST CENTRE'!$A:$A,0),MATCH('Summary - Monthly'!AK$3,'TRANS EMP EXTRACT - COST CENTRE'!$2:$2,0)),0)</f>
        <v>0</v>
      </c>
      <c r="AL128" s="10">
        <f>IFERROR(INDEX('TRANS EMP EXTRACT - COST CENTRE'!$A$1:$Z$455,MATCH('Summary - Monthly'!$A128,'TRANS EMP EXTRACT - COST CENTRE'!$A:$A,0),MATCH('Summary - Monthly'!AL$3,'TRANS EMP EXTRACT - COST CENTRE'!$2:$2,0)),0)</f>
        <v>0</v>
      </c>
      <c r="AM128" s="10">
        <f t="shared" si="20"/>
        <v>101.7667</v>
      </c>
      <c r="AN128" s="14">
        <f t="shared" si="13"/>
        <v>0.11754407894736843</v>
      </c>
      <c r="AO128" s="18">
        <f t="shared" si="23"/>
        <v>0.66951776315789469</v>
      </c>
      <c r="AP128" s="18">
        <f t="shared" si="19"/>
        <v>0.66951776315789469</v>
      </c>
      <c r="AQ128" s="10" t="str">
        <f>IFERROR(VLOOKUP(B128,Departments!A:C,3,FALSE),"")</f>
        <v>Microbiology</v>
      </c>
      <c r="AR128" s="10" t="str">
        <f>IFERROR(VLOOKUP(B128,Departments!A:B,2,FALSE),"")</f>
        <v>Melb Micro</v>
      </c>
      <c r="AS128" s="10">
        <f t="shared" si="21"/>
        <v>0</v>
      </c>
      <c r="AT128" s="10">
        <f t="shared" si="22"/>
        <v>0</v>
      </c>
      <c r="AU128" s="10" t="str">
        <f>_xlfn.IFNA(VLOOKUP(B128,Departments!A:D,4,FALSE),"")</f>
        <v>Melbourne Micro</v>
      </c>
    </row>
    <row r="129" spans="1:47" ht="14.45" customHeight="1">
      <c r="A129" s="11" t="str">
        <f t="shared" si="16"/>
        <v>1203301118607</v>
      </c>
      <c r="B129" s="11">
        <f>'TRANS EMP EXTRACT - COST CENTRE'!B128</f>
        <v>12033011</v>
      </c>
      <c r="C129" s="10" t="str">
        <f>IFERROR(VLOOKUP(E129,'TRANS EMP EXTRACT - EMP CATEGOR'!A:B,2,FALSE),"")</f>
        <v>PT</v>
      </c>
      <c r="D129" s="10" t="str">
        <f>IFERROR(VLOOKUP(E129,'TRANS EMP EXTRACT - EMP CATEGOR'!A:C,3,FALSE),"")</f>
        <v>Parttime</v>
      </c>
      <c r="E129" s="11">
        <f>'TRANS EMP EXTRACT - COST CENTRE'!D128</f>
        <v>18607</v>
      </c>
      <c r="F129" s="10" t="str">
        <f>IFERROR(VLOOKUP(E129,'TRANS EMP EXTRACT - COST CENTRE'!D:E,2,FALSE),"")</f>
        <v>SUNDARA RAJAN  KALAI SELVI MRS</v>
      </c>
      <c r="G129" s="12">
        <f>IFERROR(INDEX('TRANS EMP EXTRACT - COST CENTRE'!$A$1:$Z$455,MATCH('Summary - Monthly'!$A129,'TRANS EMP EXTRACT - COST CENTRE'!$A:$A,0),MATCH('Summary - Monthly'!G$3,'TRANS EMP EXTRACT - COST CENTRE'!$2:$2,0)),"")</f>
        <v>41612</v>
      </c>
      <c r="H129" s="10" t="str">
        <f>IFERROR(INDEX('TRANS EMP EXTRACT - COST CENTRE'!$B$1:$Z$455,MATCH('Summary - Monthly'!$E129,'TRANS EMP EXTRACT - COST CENTRE'!$D:$D,0),MATCH('Summary - Monthly'!H$3,'TRANS EMP EXTRACT - COST CENTRE'!$2:$2,0)),"")</f>
        <v>RT</v>
      </c>
      <c r="I129" s="12" t="str">
        <f>IFERROR(INDEX('TRANS EMP EXTRACT - EMP CATEGOR'!$B$1:$AF$421,MATCH('Summary - Monthly'!$E129,'TRANS EMP EXTRACT - EMP CATEGOR'!$D:$D,0),MATCH('Summary - Monthly'!H$3,'TRANS EMP EXTRACT - EMP CATEGOR'!$2:$2,0)),"")</f>
        <v>RT</v>
      </c>
      <c r="J129" s="41">
        <f t="shared" ca="1" si="12"/>
        <v>14.9579</v>
      </c>
      <c r="K129" s="41">
        <f t="shared" ca="1" si="17"/>
        <v>33.137</v>
      </c>
      <c r="L129" s="10">
        <f>IFERROR(INDEX('TRANS EMP EXTRACT - COST CENTRE'!$A$1:$Z$455,MATCH('Summary - Monthly'!$A129,'TRANS EMP EXTRACT - COST CENTRE'!$A:$A,0),MATCH('Summary - Monthly'!L$3,'TRANS EMP EXTRACT - COST CENTRE'!$2:$2,0)),"")</f>
        <v>90.933300000000003</v>
      </c>
      <c r="M129" s="10">
        <f>IFERROR(INDEX('TRANS EMP EXTRACT - COST CENTRE'!$A$1:$Z$455,MATCH('Summary - Monthly'!$A129,'TRANS EMP EXTRACT - COST CENTRE'!$A:$A,0),MATCH('Summary - Monthly'!M$3,'TRANS EMP EXTRACT - COST CENTRE'!$2:$2,0)),0)</f>
        <v>0</v>
      </c>
      <c r="N129" s="10">
        <f>IFERROR(INDEX('TRANS EMP EXTRACT - COST CENTRE'!$A$1:$Z$455,MATCH('Summary - Monthly'!$A129,'TRANS EMP EXTRACT - COST CENTRE'!$A:$A,0),MATCH('Summary - Monthly'!N$3,'TRANS EMP EXTRACT - COST CENTRE'!$2:$2,0)),0)</f>
        <v>0</v>
      </c>
      <c r="O129" s="10">
        <f>IFERROR(INDEX('TRANS EMP EXTRACT - COST CENTRE'!$A$1:$Z$455,MATCH('Summary - Monthly'!$A129,'TRANS EMP EXTRACT - COST CENTRE'!$A:$A,0),MATCH('Summary - Monthly'!O$3,'TRANS EMP EXTRACT - COST CENTRE'!$2:$2,0)),0)</f>
        <v>0</v>
      </c>
      <c r="P129" s="10">
        <f>IFERROR(INDEX('TRANS EMP EXTRACT - COST CENTRE'!$A$1:$Z$455,MATCH('Summary - Monthly'!$A129,'TRANS EMP EXTRACT - COST CENTRE'!$A:$A,0),MATCH('Summary - Monthly'!P$3,'TRANS EMP EXTRACT - COST CENTRE'!$2:$2,0)),0)</f>
        <v>0</v>
      </c>
      <c r="Q129" s="10">
        <f>IFERROR(INDEX('TRANS EMP EXTRACT - COST CENTRE'!$A$1:$Z$455,MATCH('Summary - Monthly'!$A129,'TRANS EMP EXTRACT - COST CENTRE'!$A:$A,0),MATCH('Summary - Monthly'!Q$3,'TRANS EMP EXTRACT - COST CENTRE'!$2:$2,0)),0)</f>
        <v>9.5832999999999995</v>
      </c>
      <c r="R129" s="10">
        <f>IFERROR(INDEX('TRANS EMP EXTRACT - COST CENTRE'!$A$1:$Z$455,MATCH('Summary - Monthly'!$A129,'TRANS EMP EXTRACT - COST CENTRE'!$A:$A,0),MATCH('Summary - Monthly'!R$3,'TRANS EMP EXTRACT - COST CENTRE'!$2:$2,0)),0)</f>
        <v>4.45</v>
      </c>
      <c r="S129" s="10">
        <f>IFERROR(INDEX('TRANS EMP EXTRACT - COST CENTRE'!$A$1:$Z$455,MATCH('Summary - Monthly'!$A129,'TRANS EMP EXTRACT - COST CENTRE'!$A:$A,0),MATCH('Summary - Monthly'!S$3,'TRANS EMP EXTRACT - COST CENTRE'!$2:$2,0)),0)</f>
        <v>0</v>
      </c>
      <c r="T129" s="8">
        <f>IFERROR(INDEX('TRANS EMP EXTRACT - COST CENTRE'!$A$1:$Z$455,MATCH('Summary - Monthly'!$A129,'TRANS EMP EXTRACT - COST CENTRE'!$A:$A,0),MATCH('Summary - Monthly'!T$3,'TRANS EMP EXTRACT - COST CENTRE'!$2:$2,0)),0)</f>
        <v>0</v>
      </c>
      <c r="U129" s="13">
        <f>IFERROR(INDEX('TRANS EMP EXTRACT - COST CENTRE'!$A$1:$Z$455,MATCH('Summary - Monthly'!$A129,'TRANS EMP EXTRACT - COST CENTRE'!$A:$A,0),MATCH('Summary - Monthly'!U$3,'TRANS EMP EXTRACT - COST CENTRE'!$2:$2,0)),0)</f>
        <v>0</v>
      </c>
      <c r="V129" s="13">
        <f>IFERROR(INDEX('TRANS EMP EXTRACT - COST CENTRE'!$A$1:$Z$455,MATCH('Summary - Monthly'!$A129,'TRANS EMP EXTRACT - COST CENTRE'!$A:$A,0),MATCH('Summary - Monthly'!V$3,'TRANS EMP EXTRACT - COST CENTRE'!$2:$2,0)),0)</f>
        <v>0</v>
      </c>
      <c r="W129" s="13">
        <f>IFERROR(INDEX('TRANS EMP EXTRACT - COST CENTRE'!$A$1:$Z$455,MATCH('Summary - Monthly'!$A129,'TRANS EMP EXTRACT - COST CENTRE'!$A:$A,0),MATCH('Summary - Monthly'!W$3,'TRANS EMP EXTRACT - COST CENTRE'!$2:$2,0)),0)</f>
        <v>0</v>
      </c>
      <c r="X129" s="13">
        <f>IFERROR(INDEX('TRANS EMP EXTRACT - COST CENTRE'!$A$1:$Z$455,MATCH('Summary - Monthly'!$A129,'TRANS EMP EXTRACT - COST CENTRE'!$A:$A,0),MATCH('Summary - Monthly'!X$3,'TRANS EMP EXTRACT - COST CENTRE'!$2:$2,0)),0)</f>
        <v>0</v>
      </c>
      <c r="Y129" s="13">
        <f>IFERROR(INDEX('TRANS EMP EXTRACT - COST CENTRE'!$A$1:$Z$455,MATCH('Summary - Monthly'!$A129,'TRANS EMP EXTRACT - COST CENTRE'!$A:$A,0),MATCH('Summary - Monthly'!Y$3,'TRANS EMP EXTRACT - COST CENTRE'!$2:$2,0)),0)</f>
        <v>0</v>
      </c>
      <c r="Z129" s="10">
        <f>IFERROR(INDEX('TRANS EMP EXTRACT - COST CENTRE'!$A$1:$Z$455,MATCH('Summary - Monthly'!$A129,'TRANS EMP EXTRACT - COST CENTRE'!$A:$A,0),MATCH('Summary - Monthly'!Z$3,'TRANS EMP EXTRACT - COST CENTRE'!$2:$2,0)),0)</f>
        <v>0</v>
      </c>
      <c r="AA129" s="10">
        <f>IFERROR(INDEX('TRANS EMP EXTRACT - COST CENTRE'!$A$1:$Z$455,MATCH('Summary - Monthly'!$A129,'TRANS EMP EXTRACT - COST CENTRE'!$A:$A,0),MATCH('Summary - Monthly'!AA$3,'TRANS EMP EXTRACT - COST CENTRE'!$2:$2,0)),0)</f>
        <v>0</v>
      </c>
      <c r="AB129" s="10">
        <f>IFERROR(INDEX('TRANS EMP EXTRACT - COST CENTRE'!$A$1:$Z$455,MATCH('Summary - Monthly'!$A129,'TRANS EMP EXTRACT - COST CENTRE'!$A:$A,0),MATCH('Summary - Monthly'!AB$3,'TRANS EMP EXTRACT - COST CENTRE'!$2:$2,0)),0)</f>
        <v>0</v>
      </c>
      <c r="AC129" s="8">
        <f>IFERROR(INDEX('TRANS EMP EXTRACT - COST CENTRE'!$A$1:$Z$455,MATCH('Summary - Monthly'!$A129,'TRANS EMP EXTRACT - COST CENTRE'!$A:$A,0),MATCH('Summary - Monthly'!AC$3,'TRANS EMP EXTRACT - COST CENTRE'!$2:$2,0)),0)</f>
        <v>0</v>
      </c>
      <c r="AD129" s="13">
        <f>IFERROR(INDEX('TRANS EMP EXTRACT - COST CENTRE'!$A$1:$Z$455,MATCH('Summary - Monthly'!$A129,'TRANS EMP EXTRACT - COST CENTRE'!$A:$A,0),MATCH('Summary - Monthly'!AD$3,'TRANS EMP EXTRACT - COST CENTRE'!$2:$2,0)),0)</f>
        <v>0</v>
      </c>
      <c r="AE129" s="13">
        <f>IFERROR(INDEX('TRANS EMP EXTRACT - COST CENTRE'!$A$1:$Z$455,MATCH('Summary - Monthly'!$A129,'TRANS EMP EXTRACT - COST CENTRE'!$A:$A,0),MATCH('Summary - Monthly'!AE$3,'TRANS EMP EXTRACT - COST CENTRE'!$2:$2,0)),0)</f>
        <v>0</v>
      </c>
      <c r="AF129" s="13">
        <f>IFERROR(INDEX('TRANS EMP EXTRACT - COST CENTRE'!$A$1:$Z$455,MATCH('Summary - Monthly'!$A129,'TRANS EMP EXTRACT - COST CENTRE'!$A:$A,0),MATCH('Summary - Monthly'!AF$3,'TRANS EMP EXTRACT - COST CENTRE'!$2:$2,0)),0)</f>
        <v>0</v>
      </c>
      <c r="AG129" s="10">
        <f>IFERROR(INDEX('TRANS EMP EXTRACT - COST CENTRE'!$A$1:$Z$455,MATCH('Summary - Monthly'!$A129,'TRANS EMP EXTRACT - COST CENTRE'!$A:$A,0),MATCH('Summary - Monthly'!AG$3,'TRANS EMP EXTRACT - COST CENTRE'!$2:$2,0)),0)</f>
        <v>0</v>
      </c>
      <c r="AH129" s="10">
        <f>IFERROR(INDEX('TRANS EMP EXTRACT - COST CENTRE'!$A$1:$Z$455,MATCH('Summary - Monthly'!$A129,'TRANS EMP EXTRACT - COST CENTRE'!$A:$A,0),MATCH('Summary - Monthly'!AH$3,'TRANS EMP EXTRACT - COST CENTRE'!$2:$2,0)),0)</f>
        <v>0</v>
      </c>
      <c r="AI129" s="10">
        <f>IFERROR(INDEX('TRANS EMP EXTRACT - COST CENTRE'!$A$1:$Z$455,MATCH('Summary - Monthly'!$A129,'TRANS EMP EXTRACT - COST CENTRE'!$A:$A,0),MATCH('Summary - Monthly'!AI$3,'TRANS EMP EXTRACT - COST CENTRE'!$2:$2,0)),0)</f>
        <v>0</v>
      </c>
      <c r="AJ129" s="10">
        <f>IFERROR(INDEX('TRANS EMP EXTRACT - COST CENTRE'!$A$1:$Z$455,MATCH('Summary - Monthly'!$A129,'TRANS EMP EXTRACT - COST CENTRE'!$A:$A,0),MATCH('Summary - Monthly'!AJ$3,'TRANS EMP EXTRACT - COST CENTRE'!$2:$2,0)),0)</f>
        <v>0</v>
      </c>
      <c r="AK129" s="10">
        <f>IFERROR(INDEX('TRANS EMP EXTRACT - COST CENTRE'!$A$1:$Z$455,MATCH('Summary - Monthly'!$A129,'TRANS EMP EXTRACT - COST CENTRE'!$A:$A,0),MATCH('Summary - Monthly'!AK$3,'TRANS EMP EXTRACT - COST CENTRE'!$2:$2,0)),0)</f>
        <v>0</v>
      </c>
      <c r="AL129" s="10">
        <f>IFERROR(INDEX('TRANS EMP EXTRACT - COST CENTRE'!$A$1:$Z$455,MATCH('Summary - Monthly'!$A129,'TRANS EMP EXTRACT - COST CENTRE'!$A:$A,0),MATCH('Summary - Monthly'!AL$3,'TRANS EMP EXTRACT - COST CENTRE'!$2:$2,0)),0)</f>
        <v>0</v>
      </c>
      <c r="AM129" s="10">
        <f t="shared" si="20"/>
        <v>104.9666</v>
      </c>
      <c r="AN129" s="14">
        <f t="shared" si="13"/>
        <v>9.2324342105263163E-2</v>
      </c>
      <c r="AO129" s="18">
        <f t="shared" si="23"/>
        <v>0.69056973684210521</v>
      </c>
      <c r="AP129" s="18">
        <f t="shared" si="19"/>
        <v>0.69056973684210521</v>
      </c>
      <c r="AQ129" s="10" t="str">
        <f>IFERROR(VLOOKUP(B129,Departments!A:C,3,FALSE),"")</f>
        <v>Microbiology</v>
      </c>
      <c r="AR129" s="10" t="str">
        <f>IFERROR(VLOOKUP(B129,Departments!A:B,2,FALSE),"")</f>
        <v>Melb Micro</v>
      </c>
      <c r="AS129" s="10">
        <f t="shared" si="21"/>
        <v>0</v>
      </c>
      <c r="AT129" s="10">
        <f t="shared" si="22"/>
        <v>0</v>
      </c>
      <c r="AU129" s="10" t="str">
        <f>_xlfn.IFNA(VLOOKUP(B129,Departments!A:D,4,FALSE),"")</f>
        <v>Melbourne Micro</v>
      </c>
    </row>
    <row r="130" spans="1:47" ht="14.45" customHeight="1">
      <c r="A130" s="11" t="str">
        <f t="shared" si="16"/>
        <v>1206061118895</v>
      </c>
      <c r="B130" s="11">
        <f>'TRANS EMP EXTRACT - COST CENTRE'!B129</f>
        <v>12060611</v>
      </c>
      <c r="C130" s="10" t="str">
        <f>IFERROR(VLOOKUP(E130,'TRANS EMP EXTRACT - EMP CATEGOR'!A:B,2,FALSE),"")</f>
        <v>PT</v>
      </c>
      <c r="D130" s="10" t="str">
        <f>IFERROR(VLOOKUP(E130,'TRANS EMP EXTRACT - EMP CATEGOR'!A:C,3,FALSE),"")</f>
        <v>Parttime</v>
      </c>
      <c r="E130" s="11">
        <f>'TRANS EMP EXTRACT - COST CENTRE'!D129</f>
        <v>18895</v>
      </c>
      <c r="F130" s="10" t="str">
        <f>IFERROR(VLOOKUP(E130,'TRANS EMP EXTRACT - COST CENTRE'!D:E,2,FALSE),"")</f>
        <v>SURYAVANSHI  SNEHAL HEMANT MRS</v>
      </c>
      <c r="G130" s="12">
        <f>IFERROR(INDEX('TRANS EMP EXTRACT - COST CENTRE'!$A$1:$Z$455,MATCH('Summary - Monthly'!$A130,'TRANS EMP EXTRACT - COST CENTRE'!$A:$A,0),MATCH('Summary - Monthly'!G$3,'TRANS EMP EXTRACT - COST CENTRE'!$2:$2,0)),"")</f>
        <v>43791</v>
      </c>
      <c r="H130" s="10" t="str">
        <f>IFERROR(INDEX('TRANS EMP EXTRACT - COST CENTRE'!$B$1:$Z$455,MATCH('Summary - Monthly'!$E130,'TRANS EMP EXTRACT - COST CENTRE'!$D:$D,0),MATCH('Summary - Monthly'!H$3,'TRANS EMP EXTRACT - COST CENTRE'!$2:$2,0)),"")</f>
        <v>RT</v>
      </c>
      <c r="I130" s="12" t="str">
        <f>IFERROR(INDEX('TRANS EMP EXTRACT - EMP CATEGOR'!$B$1:$AF$421,MATCH('Summary - Monthly'!$E130,'TRANS EMP EXTRACT - EMP CATEGOR'!$D:$D,0),MATCH('Summary - Monthly'!H$3,'TRANS EMP EXTRACT - EMP CATEGOR'!$2:$2,0)),"")</f>
        <v>RT</v>
      </c>
      <c r="J130" s="41">
        <f t="shared" ca="1" si="12"/>
        <v>15.814399999999999</v>
      </c>
      <c r="K130" s="41">
        <f t="shared" ca="1" si="17"/>
        <v>8.1044</v>
      </c>
      <c r="L130" s="10">
        <f>IFERROR(INDEX('TRANS EMP EXTRACT - COST CENTRE'!$A$1:$Z$455,MATCH('Summary - Monthly'!$A130,'TRANS EMP EXTRACT - COST CENTRE'!$A:$A,0),MATCH('Summary - Monthly'!L$3,'TRANS EMP EXTRACT - COST CENTRE'!$2:$2,0)),"")</f>
        <v>113.9833</v>
      </c>
      <c r="M130" s="10">
        <f>IFERROR(INDEX('TRANS EMP EXTRACT - COST CENTRE'!$A$1:$Z$455,MATCH('Summary - Monthly'!$A130,'TRANS EMP EXTRACT - COST CENTRE'!$A:$A,0),MATCH('Summary - Monthly'!M$3,'TRANS EMP EXTRACT - COST CENTRE'!$2:$2,0)),0)</f>
        <v>0</v>
      </c>
      <c r="N130" s="10">
        <f>IFERROR(INDEX('TRANS EMP EXTRACT - COST CENTRE'!$A$1:$Z$455,MATCH('Summary - Monthly'!$A130,'TRANS EMP EXTRACT - COST CENTRE'!$A:$A,0),MATCH('Summary - Monthly'!N$3,'TRANS EMP EXTRACT - COST CENTRE'!$2:$2,0)),0)</f>
        <v>0</v>
      </c>
      <c r="O130" s="10">
        <f>IFERROR(INDEX('TRANS EMP EXTRACT - COST CENTRE'!$A$1:$Z$455,MATCH('Summary - Monthly'!$A130,'TRANS EMP EXTRACT - COST CENTRE'!$A:$A,0),MATCH('Summary - Monthly'!O$3,'TRANS EMP EXTRACT - COST CENTRE'!$2:$2,0)),0)</f>
        <v>0</v>
      </c>
      <c r="P130" s="10">
        <f>IFERROR(INDEX('TRANS EMP EXTRACT - COST CENTRE'!$A$1:$Z$455,MATCH('Summary - Monthly'!$A130,'TRANS EMP EXTRACT - COST CENTRE'!$A:$A,0),MATCH('Summary - Monthly'!P$3,'TRANS EMP EXTRACT - COST CENTRE'!$2:$2,0)),0)</f>
        <v>0</v>
      </c>
      <c r="Q130" s="10">
        <f>IFERROR(INDEX('TRANS EMP EXTRACT - COST CENTRE'!$A$1:$Z$455,MATCH('Summary - Monthly'!$A130,'TRANS EMP EXTRACT - COST CENTRE'!$A:$A,0),MATCH('Summary - Monthly'!Q$3,'TRANS EMP EXTRACT - COST CENTRE'!$2:$2,0)),0)</f>
        <v>20.416799999999999</v>
      </c>
      <c r="R130" s="10">
        <f>IFERROR(INDEX('TRANS EMP EXTRACT - COST CENTRE'!$A$1:$Z$455,MATCH('Summary - Monthly'!$A130,'TRANS EMP EXTRACT - COST CENTRE'!$A:$A,0),MATCH('Summary - Monthly'!R$3,'TRANS EMP EXTRACT - COST CENTRE'!$2:$2,0)),0)</f>
        <v>12.566700000000001</v>
      </c>
      <c r="S130" s="10">
        <f>IFERROR(INDEX('TRANS EMP EXTRACT - COST CENTRE'!$A$1:$Z$455,MATCH('Summary - Monthly'!$A130,'TRANS EMP EXTRACT - COST CENTRE'!$A:$A,0),MATCH('Summary - Monthly'!S$3,'TRANS EMP EXTRACT - COST CENTRE'!$2:$2,0)),0)</f>
        <v>0</v>
      </c>
      <c r="T130" s="8">
        <f>IFERROR(INDEX('TRANS EMP EXTRACT - COST CENTRE'!$A$1:$Z$455,MATCH('Summary - Monthly'!$A130,'TRANS EMP EXTRACT - COST CENTRE'!$A:$A,0),MATCH('Summary - Monthly'!T$3,'TRANS EMP EXTRACT - COST CENTRE'!$2:$2,0)),0)</f>
        <v>0</v>
      </c>
      <c r="U130" s="13">
        <f>IFERROR(INDEX('TRANS EMP EXTRACT - COST CENTRE'!$A$1:$Z$455,MATCH('Summary - Monthly'!$A130,'TRANS EMP EXTRACT - COST CENTRE'!$A:$A,0),MATCH('Summary - Monthly'!U$3,'TRANS EMP EXTRACT - COST CENTRE'!$2:$2,0)),0)</f>
        <v>0</v>
      </c>
      <c r="V130" s="13">
        <f>IFERROR(INDEX('TRANS EMP EXTRACT - COST CENTRE'!$A$1:$Z$455,MATCH('Summary - Monthly'!$A130,'TRANS EMP EXTRACT - COST CENTRE'!$A:$A,0),MATCH('Summary - Monthly'!V$3,'TRANS EMP EXTRACT - COST CENTRE'!$2:$2,0)),0)</f>
        <v>0</v>
      </c>
      <c r="W130" s="13">
        <f>IFERROR(INDEX('TRANS EMP EXTRACT - COST CENTRE'!$A$1:$Z$455,MATCH('Summary - Monthly'!$A130,'TRANS EMP EXTRACT - COST CENTRE'!$A:$A,0),MATCH('Summary - Monthly'!W$3,'TRANS EMP EXTRACT - COST CENTRE'!$2:$2,0)),0)</f>
        <v>0</v>
      </c>
      <c r="X130" s="13">
        <f>IFERROR(INDEX('TRANS EMP EXTRACT - COST CENTRE'!$A$1:$Z$455,MATCH('Summary - Monthly'!$A130,'TRANS EMP EXTRACT - COST CENTRE'!$A:$A,0),MATCH('Summary - Monthly'!X$3,'TRANS EMP EXTRACT - COST CENTRE'!$2:$2,0)),0)</f>
        <v>0</v>
      </c>
      <c r="Y130" s="13">
        <f>IFERROR(INDEX('TRANS EMP EXTRACT - COST CENTRE'!$A$1:$Z$455,MATCH('Summary - Monthly'!$A130,'TRANS EMP EXTRACT - COST CENTRE'!$A:$A,0),MATCH('Summary - Monthly'!Y$3,'TRANS EMP EXTRACT - COST CENTRE'!$2:$2,0)),0)</f>
        <v>0</v>
      </c>
      <c r="Z130" s="10">
        <f>IFERROR(INDEX('TRANS EMP EXTRACT - COST CENTRE'!$A$1:$Z$455,MATCH('Summary - Monthly'!$A130,'TRANS EMP EXTRACT - COST CENTRE'!$A:$A,0),MATCH('Summary - Monthly'!Z$3,'TRANS EMP EXTRACT - COST CENTRE'!$2:$2,0)),0)</f>
        <v>7.6</v>
      </c>
      <c r="AA130" s="10">
        <f>IFERROR(INDEX('TRANS EMP EXTRACT - COST CENTRE'!$A$1:$Z$455,MATCH('Summary - Monthly'!$A130,'TRANS EMP EXTRACT - COST CENTRE'!$A:$A,0),MATCH('Summary - Monthly'!AA$3,'TRANS EMP EXTRACT - COST CENTRE'!$2:$2,0)),0)</f>
        <v>0</v>
      </c>
      <c r="AB130" s="10">
        <f>IFERROR(INDEX('TRANS EMP EXTRACT - COST CENTRE'!$A$1:$Z$455,MATCH('Summary - Monthly'!$A130,'TRANS EMP EXTRACT - COST CENTRE'!$A:$A,0),MATCH('Summary - Monthly'!AB$3,'TRANS EMP EXTRACT - COST CENTRE'!$2:$2,0)),0)</f>
        <v>0</v>
      </c>
      <c r="AC130" s="8">
        <f>IFERROR(INDEX('TRANS EMP EXTRACT - COST CENTRE'!$A$1:$Z$455,MATCH('Summary - Monthly'!$A130,'TRANS EMP EXTRACT - COST CENTRE'!$A:$A,0),MATCH('Summary - Monthly'!AC$3,'TRANS EMP EXTRACT - COST CENTRE'!$2:$2,0)),0)</f>
        <v>0</v>
      </c>
      <c r="AD130" s="13">
        <f>IFERROR(INDEX('TRANS EMP EXTRACT - COST CENTRE'!$A$1:$Z$455,MATCH('Summary - Monthly'!$A130,'TRANS EMP EXTRACT - COST CENTRE'!$A:$A,0),MATCH('Summary - Monthly'!AD$3,'TRANS EMP EXTRACT - COST CENTRE'!$2:$2,0)),0)</f>
        <v>0</v>
      </c>
      <c r="AE130" s="13">
        <f>IFERROR(INDEX('TRANS EMP EXTRACT - COST CENTRE'!$A$1:$Z$455,MATCH('Summary - Monthly'!$A130,'TRANS EMP EXTRACT - COST CENTRE'!$A:$A,0),MATCH('Summary - Monthly'!AE$3,'TRANS EMP EXTRACT - COST CENTRE'!$2:$2,0)),0)</f>
        <v>0</v>
      </c>
      <c r="AF130" s="13">
        <f>IFERROR(INDEX('TRANS EMP EXTRACT - COST CENTRE'!$A$1:$Z$455,MATCH('Summary - Monthly'!$A130,'TRANS EMP EXTRACT - COST CENTRE'!$A:$A,0),MATCH('Summary - Monthly'!AF$3,'TRANS EMP EXTRACT - COST CENTRE'!$2:$2,0)),0)</f>
        <v>0</v>
      </c>
      <c r="AG130" s="10">
        <f>IFERROR(INDEX('TRANS EMP EXTRACT - COST CENTRE'!$A$1:$Z$455,MATCH('Summary - Monthly'!$A130,'TRANS EMP EXTRACT - COST CENTRE'!$A:$A,0),MATCH('Summary - Monthly'!AG$3,'TRANS EMP EXTRACT - COST CENTRE'!$2:$2,0)),0)</f>
        <v>0</v>
      </c>
      <c r="AH130" s="10">
        <f>IFERROR(INDEX('TRANS EMP EXTRACT - COST CENTRE'!$A$1:$Z$455,MATCH('Summary - Monthly'!$A130,'TRANS EMP EXTRACT - COST CENTRE'!$A:$A,0),MATCH('Summary - Monthly'!AH$3,'TRANS EMP EXTRACT - COST CENTRE'!$2:$2,0)),0)</f>
        <v>0</v>
      </c>
      <c r="AI130" s="10">
        <f>IFERROR(INDEX('TRANS EMP EXTRACT - COST CENTRE'!$A$1:$Z$455,MATCH('Summary - Monthly'!$A130,'TRANS EMP EXTRACT - COST CENTRE'!$A:$A,0),MATCH('Summary - Monthly'!AI$3,'TRANS EMP EXTRACT - COST CENTRE'!$2:$2,0)),0)</f>
        <v>0</v>
      </c>
      <c r="AJ130" s="10">
        <f>IFERROR(INDEX('TRANS EMP EXTRACT - COST CENTRE'!$A$1:$Z$455,MATCH('Summary - Monthly'!$A130,'TRANS EMP EXTRACT - COST CENTRE'!$A:$A,0),MATCH('Summary - Monthly'!AJ$3,'TRANS EMP EXTRACT - COST CENTRE'!$2:$2,0)),0)</f>
        <v>0</v>
      </c>
      <c r="AK130" s="10">
        <f>IFERROR(INDEX('TRANS EMP EXTRACT - COST CENTRE'!$A$1:$Z$455,MATCH('Summary - Monthly'!$A130,'TRANS EMP EXTRACT - COST CENTRE'!$A:$A,0),MATCH('Summary - Monthly'!AK$3,'TRANS EMP EXTRACT - COST CENTRE'!$2:$2,0)),0)</f>
        <v>0</v>
      </c>
      <c r="AL130" s="10">
        <f>IFERROR(INDEX('TRANS EMP EXTRACT - COST CENTRE'!$A$1:$Z$455,MATCH('Summary - Monthly'!$A130,'TRANS EMP EXTRACT - COST CENTRE'!$A:$A,0),MATCH('Summary - Monthly'!AL$3,'TRANS EMP EXTRACT - COST CENTRE'!$2:$2,0)),0)</f>
        <v>0</v>
      </c>
      <c r="AM130" s="10">
        <f t="shared" si="20"/>
        <v>146.96680000000001</v>
      </c>
      <c r="AN130" s="14">
        <f t="shared" si="13"/>
        <v>0.21699671052631578</v>
      </c>
      <c r="AO130" s="18">
        <f t="shared" si="23"/>
        <v>0.96688684210526321</v>
      </c>
      <c r="AP130" s="18">
        <f t="shared" si="19"/>
        <v>0.96688684210526321</v>
      </c>
      <c r="AQ130" s="10" t="str">
        <f>IFERROR(VLOOKUP(B130,Departments!A:C,3,FALSE),"")</f>
        <v>Microbiology</v>
      </c>
      <c r="AR130" s="10" t="str">
        <f>IFERROR(VLOOKUP(B130,Departments!A:B,2,FALSE),"")</f>
        <v>Perth Micro</v>
      </c>
      <c r="AS130" s="10">
        <f t="shared" si="21"/>
        <v>7.6</v>
      </c>
      <c r="AT130" s="10">
        <f t="shared" si="22"/>
        <v>7.6</v>
      </c>
      <c r="AU130" s="10" t="str">
        <f>_xlfn.IFNA(VLOOKUP(B130,Departments!A:D,4,FALSE),"")</f>
        <v>Perth Micro</v>
      </c>
    </row>
    <row r="131" spans="1:47" ht="14.45" customHeight="1">
      <c r="A131" s="11" t="str">
        <f t="shared" si="16"/>
        <v>1202809944705</v>
      </c>
      <c r="B131" s="11">
        <f>'TRANS EMP EXTRACT - COST CENTRE'!B130</f>
        <v>12028099</v>
      </c>
      <c r="C131" s="10" t="str">
        <f>IFERROR(VLOOKUP(E131,'TRANS EMP EXTRACT - EMP CATEGOR'!A:B,2,FALSE),"")</f>
        <v>FT</v>
      </c>
      <c r="D131" s="10" t="str">
        <f>IFERROR(VLOOKUP(E131,'TRANS EMP EXTRACT - EMP CATEGOR'!A:C,3,FALSE),"")</f>
        <v>Fulltime</v>
      </c>
      <c r="E131" s="11">
        <f>'TRANS EMP EXTRACT - COST CENTRE'!D130</f>
        <v>44705</v>
      </c>
      <c r="F131" s="10" t="str">
        <f>IFERROR(VLOOKUP(E131,'TRANS EMP EXTRACT - COST CENTRE'!D:E,2,FALSE),"")</f>
        <v>THEW  BENJAMIN MR</v>
      </c>
      <c r="G131" s="12">
        <f>IFERROR(INDEX('TRANS EMP EXTRACT - COST CENTRE'!$A$1:$Z$455,MATCH('Summary - Monthly'!$A131,'TRANS EMP EXTRACT - COST CENTRE'!$A:$A,0),MATCH('Summary - Monthly'!G$3,'TRANS EMP EXTRACT - COST CENTRE'!$2:$2,0)),"")</f>
        <v>43710</v>
      </c>
      <c r="H131" s="10" t="str">
        <f>IFERROR(INDEX('TRANS EMP EXTRACT - COST CENTRE'!$B$1:$Z$455,MATCH('Summary - Monthly'!$E131,'TRANS EMP EXTRACT - COST CENTRE'!$D:$D,0),MATCH('Summary - Monthly'!H$3,'TRANS EMP EXTRACT - COST CENTRE'!$2:$2,0)),"")</f>
        <v>RT</v>
      </c>
      <c r="I131" s="12" t="str">
        <f>IFERROR(INDEX('TRANS EMP EXTRACT - EMP CATEGOR'!$B$1:$AF$421,MATCH('Summary - Monthly'!$E131,'TRANS EMP EXTRACT - EMP CATEGOR'!$D:$D,0),MATCH('Summary - Monthly'!H$3,'TRANS EMP EXTRACT - EMP CATEGOR'!$2:$2,0)),"")</f>
        <v>RT</v>
      </c>
      <c r="J131" s="41">
        <f t="shared" ca="1" si="12"/>
        <v>174.61179999999999</v>
      </c>
      <c r="K131" s="41">
        <f t="shared" ca="1" si="17"/>
        <v>109.6236</v>
      </c>
      <c r="L131" s="10">
        <f>IFERROR(INDEX('TRANS EMP EXTRACT - COST CENTRE'!$A$1:$Z$455,MATCH('Summary - Monthly'!$A131,'TRANS EMP EXTRACT - COST CENTRE'!$A:$A,0),MATCH('Summary - Monthly'!L$3,'TRANS EMP EXTRACT - COST CENTRE'!$2:$2,0)),"")</f>
        <v>152</v>
      </c>
      <c r="M131" s="10">
        <f>IFERROR(INDEX('TRANS EMP EXTRACT - COST CENTRE'!$A$1:$Z$455,MATCH('Summary - Monthly'!$A131,'TRANS EMP EXTRACT - COST CENTRE'!$A:$A,0),MATCH('Summary - Monthly'!M$3,'TRANS EMP EXTRACT - COST CENTRE'!$2:$2,0)),0)</f>
        <v>0</v>
      </c>
      <c r="N131" s="10">
        <f>IFERROR(INDEX('TRANS EMP EXTRACT - COST CENTRE'!$A$1:$Z$455,MATCH('Summary - Monthly'!$A131,'TRANS EMP EXTRACT - COST CENTRE'!$A:$A,0),MATCH('Summary - Monthly'!N$3,'TRANS EMP EXTRACT - COST CENTRE'!$2:$2,0)),0)</f>
        <v>0</v>
      </c>
      <c r="O131" s="10">
        <f>IFERROR(INDEX('TRANS EMP EXTRACT - COST CENTRE'!$A$1:$Z$455,MATCH('Summary - Monthly'!$A131,'TRANS EMP EXTRACT - COST CENTRE'!$A:$A,0),MATCH('Summary - Monthly'!O$3,'TRANS EMP EXTRACT - COST CENTRE'!$2:$2,0)),0)</f>
        <v>0</v>
      </c>
      <c r="P131" s="10">
        <f>IFERROR(INDEX('TRANS EMP EXTRACT - COST CENTRE'!$A$1:$Z$455,MATCH('Summary - Monthly'!$A131,'TRANS EMP EXTRACT - COST CENTRE'!$A:$A,0),MATCH('Summary - Monthly'!P$3,'TRANS EMP EXTRACT - COST CENTRE'!$2:$2,0)),0)</f>
        <v>0</v>
      </c>
      <c r="Q131" s="10">
        <f>IFERROR(INDEX('TRANS EMP EXTRACT - COST CENTRE'!$A$1:$Z$455,MATCH('Summary - Monthly'!$A131,'TRANS EMP EXTRACT - COST CENTRE'!$A:$A,0),MATCH('Summary - Monthly'!Q$3,'TRANS EMP EXTRACT - COST CENTRE'!$2:$2,0)),0)</f>
        <v>0</v>
      </c>
      <c r="R131" s="10">
        <f>IFERROR(INDEX('TRANS EMP EXTRACT - COST CENTRE'!$A$1:$Z$455,MATCH('Summary - Monthly'!$A131,'TRANS EMP EXTRACT - COST CENTRE'!$A:$A,0),MATCH('Summary - Monthly'!R$3,'TRANS EMP EXTRACT - COST CENTRE'!$2:$2,0)),0)</f>
        <v>0</v>
      </c>
      <c r="S131" s="10">
        <f>IFERROR(INDEX('TRANS EMP EXTRACT - COST CENTRE'!$A$1:$Z$455,MATCH('Summary - Monthly'!$A131,'TRANS EMP EXTRACT - COST CENTRE'!$A:$A,0),MATCH('Summary - Monthly'!S$3,'TRANS EMP EXTRACT - COST CENTRE'!$2:$2,0)),0)</f>
        <v>0</v>
      </c>
      <c r="T131" s="8">
        <f>IFERROR(INDEX('TRANS EMP EXTRACT - COST CENTRE'!$A$1:$Z$455,MATCH('Summary - Monthly'!$A131,'TRANS EMP EXTRACT - COST CENTRE'!$A:$A,0),MATCH('Summary - Monthly'!T$3,'TRANS EMP EXTRACT - COST CENTRE'!$2:$2,0)),0)</f>
        <v>0</v>
      </c>
      <c r="U131" s="13">
        <f>IFERROR(INDEX('TRANS EMP EXTRACT - COST CENTRE'!$A$1:$Z$455,MATCH('Summary - Monthly'!$A131,'TRANS EMP EXTRACT - COST CENTRE'!$A:$A,0),MATCH('Summary - Monthly'!U$3,'TRANS EMP EXTRACT - COST CENTRE'!$2:$2,0)),0)</f>
        <v>0</v>
      </c>
      <c r="V131" s="13">
        <f>IFERROR(INDEX('TRANS EMP EXTRACT - COST CENTRE'!$A$1:$Z$455,MATCH('Summary - Monthly'!$A131,'TRANS EMP EXTRACT - COST CENTRE'!$A:$A,0),MATCH('Summary - Monthly'!V$3,'TRANS EMP EXTRACT - COST CENTRE'!$2:$2,0)),0)</f>
        <v>0</v>
      </c>
      <c r="W131" s="13">
        <f>IFERROR(INDEX('TRANS EMP EXTRACT - COST CENTRE'!$A$1:$Z$455,MATCH('Summary - Monthly'!$A131,'TRANS EMP EXTRACT - COST CENTRE'!$A:$A,0),MATCH('Summary - Monthly'!W$3,'TRANS EMP EXTRACT - COST CENTRE'!$2:$2,0)),0)</f>
        <v>0</v>
      </c>
      <c r="X131" s="13">
        <f>IFERROR(INDEX('TRANS EMP EXTRACT - COST CENTRE'!$A$1:$Z$455,MATCH('Summary - Monthly'!$A131,'TRANS EMP EXTRACT - COST CENTRE'!$A:$A,0),MATCH('Summary - Monthly'!X$3,'TRANS EMP EXTRACT - COST CENTRE'!$2:$2,0)),0)</f>
        <v>0</v>
      </c>
      <c r="Y131" s="13">
        <f>IFERROR(INDEX('TRANS EMP EXTRACT - COST CENTRE'!$A$1:$Z$455,MATCH('Summary - Monthly'!$A131,'TRANS EMP EXTRACT - COST CENTRE'!$A:$A,0),MATCH('Summary - Monthly'!Y$3,'TRANS EMP EXTRACT - COST CENTRE'!$2:$2,0)),0)</f>
        <v>0</v>
      </c>
      <c r="Z131" s="10">
        <f>IFERROR(INDEX('TRANS EMP EXTRACT - COST CENTRE'!$A$1:$Z$455,MATCH('Summary - Monthly'!$A131,'TRANS EMP EXTRACT - COST CENTRE'!$A:$A,0),MATCH('Summary - Monthly'!Z$3,'TRANS EMP EXTRACT - COST CENTRE'!$2:$2,0)),0)</f>
        <v>0</v>
      </c>
      <c r="AA131" s="10">
        <f>IFERROR(INDEX('TRANS EMP EXTRACT - COST CENTRE'!$A$1:$Z$455,MATCH('Summary - Monthly'!$A131,'TRANS EMP EXTRACT - COST CENTRE'!$A:$A,0),MATCH('Summary - Monthly'!AA$3,'TRANS EMP EXTRACT - COST CENTRE'!$2:$2,0)),0)</f>
        <v>0</v>
      </c>
      <c r="AB131" s="10">
        <f>IFERROR(INDEX('TRANS EMP EXTRACT - COST CENTRE'!$A$1:$Z$455,MATCH('Summary - Monthly'!$A131,'TRANS EMP EXTRACT - COST CENTRE'!$A:$A,0),MATCH('Summary - Monthly'!AB$3,'TRANS EMP EXTRACT - COST CENTRE'!$2:$2,0)),0)</f>
        <v>0</v>
      </c>
      <c r="AC131" s="8">
        <f>IFERROR(INDEX('TRANS EMP EXTRACT - COST CENTRE'!$A$1:$Z$455,MATCH('Summary - Monthly'!$A131,'TRANS EMP EXTRACT - COST CENTRE'!$A:$A,0),MATCH('Summary - Monthly'!AC$3,'TRANS EMP EXTRACT - COST CENTRE'!$2:$2,0)),0)</f>
        <v>0</v>
      </c>
      <c r="AD131" s="13">
        <f>IFERROR(INDEX('TRANS EMP EXTRACT - COST CENTRE'!$A$1:$Z$455,MATCH('Summary - Monthly'!$A131,'TRANS EMP EXTRACT - COST CENTRE'!$A:$A,0),MATCH('Summary - Monthly'!AD$3,'TRANS EMP EXTRACT - COST CENTRE'!$2:$2,0)),0)</f>
        <v>0</v>
      </c>
      <c r="AE131" s="13">
        <f>IFERROR(INDEX('TRANS EMP EXTRACT - COST CENTRE'!$A$1:$Z$455,MATCH('Summary - Monthly'!$A131,'TRANS EMP EXTRACT - COST CENTRE'!$A:$A,0),MATCH('Summary - Monthly'!AE$3,'TRANS EMP EXTRACT - COST CENTRE'!$2:$2,0)),0)</f>
        <v>0</v>
      </c>
      <c r="AF131" s="13">
        <f>IFERROR(INDEX('TRANS EMP EXTRACT - COST CENTRE'!$A$1:$Z$455,MATCH('Summary - Monthly'!$A131,'TRANS EMP EXTRACT - COST CENTRE'!$A:$A,0),MATCH('Summary - Monthly'!AF$3,'TRANS EMP EXTRACT - COST CENTRE'!$2:$2,0)),0)</f>
        <v>0</v>
      </c>
      <c r="AG131" s="10">
        <f>IFERROR(INDEX('TRANS EMP EXTRACT - COST CENTRE'!$A$1:$Z$455,MATCH('Summary - Monthly'!$A131,'TRANS EMP EXTRACT - COST CENTRE'!$A:$A,0),MATCH('Summary - Monthly'!AG$3,'TRANS EMP EXTRACT - COST CENTRE'!$2:$2,0)),0)</f>
        <v>0</v>
      </c>
      <c r="AH131" s="10">
        <f>IFERROR(INDEX('TRANS EMP EXTRACT - COST CENTRE'!$A$1:$Z$455,MATCH('Summary - Monthly'!$A131,'TRANS EMP EXTRACT - COST CENTRE'!$A:$A,0),MATCH('Summary - Monthly'!AH$3,'TRANS EMP EXTRACT - COST CENTRE'!$2:$2,0)),0)</f>
        <v>0</v>
      </c>
      <c r="AI131" s="10">
        <f>IFERROR(INDEX('TRANS EMP EXTRACT - COST CENTRE'!$A$1:$Z$455,MATCH('Summary - Monthly'!$A131,'TRANS EMP EXTRACT - COST CENTRE'!$A:$A,0),MATCH('Summary - Monthly'!AI$3,'TRANS EMP EXTRACT - COST CENTRE'!$2:$2,0)),0)</f>
        <v>0</v>
      </c>
      <c r="AJ131" s="10">
        <f>IFERROR(INDEX('TRANS EMP EXTRACT - COST CENTRE'!$A$1:$Z$455,MATCH('Summary - Monthly'!$A131,'TRANS EMP EXTRACT - COST CENTRE'!$A:$A,0),MATCH('Summary - Monthly'!AJ$3,'TRANS EMP EXTRACT - COST CENTRE'!$2:$2,0)),0)</f>
        <v>0</v>
      </c>
      <c r="AK131" s="10">
        <f>IFERROR(INDEX('TRANS EMP EXTRACT - COST CENTRE'!$A$1:$Z$455,MATCH('Summary - Monthly'!$A131,'TRANS EMP EXTRACT - COST CENTRE'!$A:$A,0),MATCH('Summary - Monthly'!AK$3,'TRANS EMP EXTRACT - COST CENTRE'!$2:$2,0)),0)</f>
        <v>0</v>
      </c>
      <c r="AL131" s="10">
        <f>IFERROR(INDEX('TRANS EMP EXTRACT - COST CENTRE'!$A$1:$Z$455,MATCH('Summary - Monthly'!$A131,'TRANS EMP EXTRACT - COST CENTRE'!$A:$A,0),MATCH('Summary - Monthly'!AL$3,'TRANS EMP EXTRACT - COST CENTRE'!$2:$2,0)),0)</f>
        <v>0</v>
      </c>
      <c r="AM131" s="10">
        <f t="shared" si="20"/>
        <v>152</v>
      </c>
      <c r="AN131" s="14">
        <f t="shared" si="13"/>
        <v>0</v>
      </c>
      <c r="AO131" s="18">
        <f t="shared" si="23"/>
        <v>1</v>
      </c>
      <c r="AP131" s="18">
        <f t="shared" si="19"/>
        <v>1</v>
      </c>
      <c r="AQ131" s="10" t="str">
        <f>IFERROR(VLOOKUP(B131,Departments!A:C,3,FALSE),"")</f>
        <v>Sales &amp; Marketing</v>
      </c>
      <c r="AR131" s="10" t="str">
        <f>IFERROR(VLOOKUP(B131,Departments!A:B,2,FALSE),"")</f>
        <v>Sydney Sales</v>
      </c>
      <c r="AS131" s="10">
        <f t="shared" si="21"/>
        <v>0</v>
      </c>
      <c r="AT131" s="10">
        <f t="shared" si="22"/>
        <v>0</v>
      </c>
      <c r="AU131" s="10" t="str">
        <f>_xlfn.IFNA(VLOOKUP(B131,Departments!A:D,4,FALSE),"")</f>
        <v>S&amp;M</v>
      </c>
    </row>
    <row r="132" spans="1:47" ht="14.45" customHeight="1">
      <c r="A132" s="11" t="str">
        <f t="shared" ref="A132:A195" si="24">B132&amp;E132</f>
        <v>1203301119048</v>
      </c>
      <c r="B132" s="11">
        <f>'TRANS EMP EXTRACT - COST CENTRE'!B131</f>
        <v>12033011</v>
      </c>
      <c r="C132" s="10" t="str">
        <f>IFERROR(VLOOKUP(E132,'TRANS EMP EXTRACT - EMP CATEGOR'!A:B,2,FALSE),"")</f>
        <v>FT</v>
      </c>
      <c r="D132" s="10" t="str">
        <f>IFERROR(VLOOKUP(E132,'TRANS EMP EXTRACT - EMP CATEGOR'!A:C,3,FALSE),"")</f>
        <v>Fulltime</v>
      </c>
      <c r="E132" s="11">
        <f>'TRANS EMP EXTRACT - COST CENTRE'!D131</f>
        <v>19048</v>
      </c>
      <c r="F132" s="10" t="str">
        <f>IFERROR(VLOOKUP(E132,'TRANS EMP EXTRACT - COST CENTRE'!D:E,2,FALSE),"")</f>
        <v>TRAN  KIM LUAN MR</v>
      </c>
      <c r="G132" s="12">
        <f>IFERROR(INDEX('TRANS EMP EXTRACT - COST CENTRE'!$A$1:$Z$455,MATCH('Summary - Monthly'!$A132,'TRANS EMP EXTRACT - COST CENTRE'!$A:$A,0),MATCH('Summary - Monthly'!G$3,'TRANS EMP EXTRACT - COST CENTRE'!$2:$2,0)),"")</f>
        <v>44902</v>
      </c>
      <c r="H132" s="10" t="str">
        <f>IFERROR(INDEX('TRANS EMP EXTRACT - COST CENTRE'!$B$1:$Z$455,MATCH('Summary - Monthly'!$E132,'TRANS EMP EXTRACT - COST CENTRE'!$D:$D,0),MATCH('Summary - Monthly'!H$3,'TRANS EMP EXTRACT - COST CENTRE'!$2:$2,0)),"")</f>
        <v>RT</v>
      </c>
      <c r="I132" s="12" t="str">
        <f>IFERROR(INDEX('TRANS EMP EXTRACT - EMP CATEGOR'!$B$1:$AF$421,MATCH('Summary - Monthly'!$E132,'TRANS EMP EXTRACT - EMP CATEGOR'!$D:$D,0),MATCH('Summary - Monthly'!H$3,'TRANS EMP EXTRACT - EMP CATEGOR'!$2:$2,0)),"")</f>
        <v>RT</v>
      </c>
      <c r="J132" s="41">
        <f t="shared" ref="J132:J195" ca="1" si="25">getSLBalance(E132)</f>
        <v>10.5151</v>
      </c>
      <c r="K132" s="41">
        <f t="shared" ca="1" si="17"/>
        <v>36.2301</v>
      </c>
      <c r="L132" s="10">
        <f>IFERROR(INDEX('TRANS EMP EXTRACT - COST CENTRE'!$A$1:$Z$455,MATCH('Summary - Monthly'!$A132,'TRANS EMP EXTRACT - COST CENTRE'!$A:$A,0),MATCH('Summary - Monthly'!L$3,'TRANS EMP EXTRACT - COST CENTRE'!$2:$2,0)),"")</f>
        <v>146.33330000000001</v>
      </c>
      <c r="M132" s="10">
        <f>IFERROR(INDEX('TRANS EMP EXTRACT - COST CENTRE'!$A$1:$Z$455,MATCH('Summary - Monthly'!$A132,'TRANS EMP EXTRACT - COST CENTRE'!$A:$A,0),MATCH('Summary - Monthly'!M$3,'TRANS EMP EXTRACT - COST CENTRE'!$2:$2,0)),0)</f>
        <v>0</v>
      </c>
      <c r="N132" s="10">
        <f>IFERROR(INDEX('TRANS EMP EXTRACT - COST CENTRE'!$A$1:$Z$455,MATCH('Summary - Monthly'!$A132,'TRANS EMP EXTRACT - COST CENTRE'!$A:$A,0),MATCH('Summary - Monthly'!N$3,'TRANS EMP EXTRACT - COST CENTRE'!$2:$2,0)),0)</f>
        <v>0</v>
      </c>
      <c r="O132" s="10">
        <f>IFERROR(INDEX('TRANS EMP EXTRACT - COST CENTRE'!$A$1:$Z$455,MATCH('Summary - Monthly'!$A132,'TRANS EMP EXTRACT - COST CENTRE'!$A:$A,0),MATCH('Summary - Monthly'!O$3,'TRANS EMP EXTRACT - COST CENTRE'!$2:$2,0)),0)</f>
        <v>0</v>
      </c>
      <c r="P132" s="10">
        <f>IFERROR(INDEX('TRANS EMP EXTRACT - COST CENTRE'!$A$1:$Z$455,MATCH('Summary - Monthly'!$A132,'TRANS EMP EXTRACT - COST CENTRE'!$A:$A,0),MATCH('Summary - Monthly'!P$3,'TRANS EMP EXTRACT - COST CENTRE'!$2:$2,0)),0)</f>
        <v>0</v>
      </c>
      <c r="Q132" s="10">
        <f>IFERROR(INDEX('TRANS EMP EXTRACT - COST CENTRE'!$A$1:$Z$455,MATCH('Summary - Monthly'!$A132,'TRANS EMP EXTRACT - COST CENTRE'!$A:$A,0),MATCH('Summary - Monthly'!Q$3,'TRANS EMP EXTRACT - COST CENTRE'!$2:$2,0)),0)</f>
        <v>25.533200000000001</v>
      </c>
      <c r="R132" s="10">
        <f>IFERROR(INDEX('TRANS EMP EXTRACT - COST CENTRE'!$A$1:$Z$455,MATCH('Summary - Monthly'!$A132,'TRANS EMP EXTRACT - COST CENTRE'!$A:$A,0),MATCH('Summary - Monthly'!R$3,'TRANS EMP EXTRACT - COST CENTRE'!$2:$2,0)),0)</f>
        <v>3.9499</v>
      </c>
      <c r="S132" s="10">
        <f>IFERROR(INDEX('TRANS EMP EXTRACT - COST CENTRE'!$A$1:$Z$455,MATCH('Summary - Monthly'!$A132,'TRANS EMP EXTRACT - COST CENTRE'!$A:$A,0),MATCH('Summary - Monthly'!S$3,'TRANS EMP EXTRACT - COST CENTRE'!$2:$2,0)),0)</f>
        <v>0</v>
      </c>
      <c r="T132" s="8">
        <f>IFERROR(INDEX('TRANS EMP EXTRACT - COST CENTRE'!$A$1:$Z$455,MATCH('Summary - Monthly'!$A132,'TRANS EMP EXTRACT - COST CENTRE'!$A:$A,0),MATCH('Summary - Monthly'!T$3,'TRANS EMP EXTRACT - COST CENTRE'!$2:$2,0)),0)</f>
        <v>0</v>
      </c>
      <c r="U132" s="13">
        <f>IFERROR(INDEX('TRANS EMP EXTRACT - COST CENTRE'!$A$1:$Z$455,MATCH('Summary - Monthly'!$A132,'TRANS EMP EXTRACT - COST CENTRE'!$A:$A,0),MATCH('Summary - Monthly'!U$3,'TRANS EMP EXTRACT - COST CENTRE'!$2:$2,0)),0)</f>
        <v>0</v>
      </c>
      <c r="V132" s="13">
        <f>IFERROR(INDEX('TRANS EMP EXTRACT - COST CENTRE'!$A$1:$Z$455,MATCH('Summary - Monthly'!$A132,'TRANS EMP EXTRACT - COST CENTRE'!$A:$A,0),MATCH('Summary - Monthly'!V$3,'TRANS EMP EXTRACT - COST CENTRE'!$2:$2,0)),0)</f>
        <v>0</v>
      </c>
      <c r="W132" s="13">
        <f>IFERROR(INDEX('TRANS EMP EXTRACT - COST CENTRE'!$A$1:$Z$455,MATCH('Summary - Monthly'!$A132,'TRANS EMP EXTRACT - COST CENTRE'!$A:$A,0),MATCH('Summary - Monthly'!W$3,'TRANS EMP EXTRACT - COST CENTRE'!$2:$2,0)),0)</f>
        <v>0</v>
      </c>
      <c r="X132" s="13">
        <f>IFERROR(INDEX('TRANS EMP EXTRACT - COST CENTRE'!$A$1:$Z$455,MATCH('Summary - Monthly'!$A132,'TRANS EMP EXTRACT - COST CENTRE'!$A:$A,0),MATCH('Summary - Monthly'!X$3,'TRANS EMP EXTRACT - COST CENTRE'!$2:$2,0)),0)</f>
        <v>0</v>
      </c>
      <c r="Y132" s="13">
        <f>IFERROR(INDEX('TRANS EMP EXTRACT - COST CENTRE'!$A$1:$Z$455,MATCH('Summary - Monthly'!$A132,'TRANS EMP EXTRACT - COST CENTRE'!$A:$A,0),MATCH('Summary - Monthly'!Y$3,'TRANS EMP EXTRACT - COST CENTRE'!$2:$2,0)),0)</f>
        <v>0</v>
      </c>
      <c r="Z132" s="10">
        <f>IFERROR(INDEX('TRANS EMP EXTRACT - COST CENTRE'!$A$1:$Z$455,MATCH('Summary - Monthly'!$A132,'TRANS EMP EXTRACT - COST CENTRE'!$A:$A,0),MATCH('Summary - Monthly'!Z$3,'TRANS EMP EXTRACT - COST CENTRE'!$2:$2,0)),0)</f>
        <v>0</v>
      </c>
      <c r="AA132" s="10">
        <f>IFERROR(INDEX('TRANS EMP EXTRACT - COST CENTRE'!$A$1:$Z$455,MATCH('Summary - Monthly'!$A132,'TRANS EMP EXTRACT - COST CENTRE'!$A:$A,0),MATCH('Summary - Monthly'!AA$3,'TRANS EMP EXTRACT - COST CENTRE'!$2:$2,0)),0)</f>
        <v>0</v>
      </c>
      <c r="AB132" s="10">
        <f>IFERROR(INDEX('TRANS EMP EXTRACT - COST CENTRE'!$A$1:$Z$455,MATCH('Summary - Monthly'!$A132,'TRANS EMP EXTRACT - COST CENTRE'!$A:$A,0),MATCH('Summary - Monthly'!AB$3,'TRANS EMP EXTRACT - COST CENTRE'!$2:$2,0)),0)</f>
        <v>0</v>
      </c>
      <c r="AC132" s="8">
        <f>IFERROR(INDEX('TRANS EMP EXTRACT - COST CENTRE'!$A$1:$Z$455,MATCH('Summary - Monthly'!$A132,'TRANS EMP EXTRACT - COST CENTRE'!$A:$A,0),MATCH('Summary - Monthly'!AC$3,'TRANS EMP EXTRACT - COST CENTRE'!$2:$2,0)),0)</f>
        <v>0</v>
      </c>
      <c r="AD132" s="13">
        <f>IFERROR(INDEX('TRANS EMP EXTRACT - COST CENTRE'!$A$1:$Z$455,MATCH('Summary - Monthly'!$A132,'TRANS EMP EXTRACT - COST CENTRE'!$A:$A,0),MATCH('Summary - Monthly'!AD$3,'TRANS EMP EXTRACT - COST CENTRE'!$2:$2,0)),0)</f>
        <v>0</v>
      </c>
      <c r="AE132" s="13">
        <f>IFERROR(INDEX('TRANS EMP EXTRACT - COST CENTRE'!$A$1:$Z$455,MATCH('Summary - Monthly'!$A132,'TRANS EMP EXTRACT - COST CENTRE'!$A:$A,0),MATCH('Summary - Monthly'!AE$3,'TRANS EMP EXTRACT - COST CENTRE'!$2:$2,0)),0)</f>
        <v>0</v>
      </c>
      <c r="AF132" s="13">
        <f>IFERROR(INDEX('TRANS EMP EXTRACT - COST CENTRE'!$A$1:$Z$455,MATCH('Summary - Monthly'!$A132,'TRANS EMP EXTRACT - COST CENTRE'!$A:$A,0),MATCH('Summary - Monthly'!AF$3,'TRANS EMP EXTRACT - COST CENTRE'!$2:$2,0)),0)</f>
        <v>0</v>
      </c>
      <c r="AG132" s="10">
        <f>IFERROR(INDEX('TRANS EMP EXTRACT - COST CENTRE'!$A$1:$Z$455,MATCH('Summary - Monthly'!$A132,'TRANS EMP EXTRACT - COST CENTRE'!$A:$A,0),MATCH('Summary - Monthly'!AG$3,'TRANS EMP EXTRACT - COST CENTRE'!$2:$2,0)),0)</f>
        <v>0</v>
      </c>
      <c r="AH132" s="10">
        <f>IFERROR(INDEX('TRANS EMP EXTRACT - COST CENTRE'!$A$1:$Z$455,MATCH('Summary - Monthly'!$A132,'TRANS EMP EXTRACT - COST CENTRE'!$A:$A,0),MATCH('Summary - Monthly'!AH$3,'TRANS EMP EXTRACT - COST CENTRE'!$2:$2,0)),0)</f>
        <v>0</v>
      </c>
      <c r="AI132" s="10">
        <f>IFERROR(INDEX('TRANS EMP EXTRACT - COST CENTRE'!$A$1:$Z$455,MATCH('Summary - Monthly'!$A132,'TRANS EMP EXTRACT - COST CENTRE'!$A:$A,0),MATCH('Summary - Monthly'!AI$3,'TRANS EMP EXTRACT - COST CENTRE'!$2:$2,0)),0)</f>
        <v>0</v>
      </c>
      <c r="AJ132" s="10">
        <f>IFERROR(INDEX('TRANS EMP EXTRACT - COST CENTRE'!$A$1:$Z$455,MATCH('Summary - Monthly'!$A132,'TRANS EMP EXTRACT - COST CENTRE'!$A:$A,0),MATCH('Summary - Monthly'!AJ$3,'TRANS EMP EXTRACT - COST CENTRE'!$2:$2,0)),0)</f>
        <v>0</v>
      </c>
      <c r="AK132" s="10">
        <f>IFERROR(INDEX('TRANS EMP EXTRACT - COST CENTRE'!$A$1:$Z$455,MATCH('Summary - Monthly'!$A132,'TRANS EMP EXTRACT - COST CENTRE'!$A:$A,0),MATCH('Summary - Monthly'!AK$3,'TRANS EMP EXTRACT - COST CENTRE'!$2:$2,0)),0)</f>
        <v>0</v>
      </c>
      <c r="AL132" s="10">
        <f>IFERROR(INDEX('TRANS EMP EXTRACT - COST CENTRE'!$A$1:$Z$455,MATCH('Summary - Monthly'!$A132,'TRANS EMP EXTRACT - COST CENTRE'!$A:$A,0),MATCH('Summary - Monthly'!AL$3,'TRANS EMP EXTRACT - COST CENTRE'!$2:$2,0)),0)</f>
        <v>0</v>
      </c>
      <c r="AM132" s="10">
        <f t="shared" si="20"/>
        <v>175.81640000000002</v>
      </c>
      <c r="AN132" s="14">
        <f t="shared" ref="AN132:AN195" si="26">SUM(Q132:S132)/$AP$2</f>
        <v>0.19396776315789474</v>
      </c>
      <c r="AO132" s="18">
        <f t="shared" si="23"/>
        <v>1.1566868421052632</v>
      </c>
      <c r="AP132" s="18">
        <f t="shared" si="19"/>
        <v>1.1566868421052632</v>
      </c>
      <c r="AQ132" s="10" t="str">
        <f>IFERROR(VLOOKUP(B132,Departments!A:C,3,FALSE),"")</f>
        <v>Microbiology</v>
      </c>
      <c r="AR132" s="10" t="str">
        <f>IFERROR(VLOOKUP(B132,Departments!A:B,2,FALSE),"")</f>
        <v>Melb Micro</v>
      </c>
      <c r="AS132" s="10">
        <f t="shared" ref="AS132:AS195" si="27">V132+Y132+Z132+AA132+AD132</f>
        <v>0</v>
      </c>
      <c r="AT132" s="10">
        <f t="shared" ref="AT132:AT195" si="28">U132+V132+W132+X132+Y132+Z132+AA132+AB132+AC132+AD132+AE132+AF132</f>
        <v>0</v>
      </c>
      <c r="AU132" s="10" t="str">
        <f>_xlfn.IFNA(VLOOKUP(B132,Departments!A:D,4,FALSE),"")</f>
        <v>Melbourne Micro</v>
      </c>
    </row>
    <row r="133" spans="1:47" ht="14.45" customHeight="1">
      <c r="A133" s="11" t="str">
        <f t="shared" si="24"/>
        <v>12030500302</v>
      </c>
      <c r="B133" s="11">
        <f>'TRANS EMP EXTRACT - COST CENTRE'!B132</f>
        <v>12030500</v>
      </c>
      <c r="C133" s="10" t="str">
        <f>IFERROR(VLOOKUP(E133,'TRANS EMP EXTRACT - EMP CATEGOR'!A:B,2,FALSE),"")</f>
        <v>FT</v>
      </c>
      <c r="D133" s="10" t="str">
        <f>IFERROR(VLOOKUP(E133,'TRANS EMP EXTRACT - EMP CATEGOR'!A:C,3,FALSE),"")</f>
        <v>Fulltime</v>
      </c>
      <c r="E133" s="11">
        <f>'TRANS EMP EXTRACT - COST CENTRE'!D132</f>
        <v>302</v>
      </c>
      <c r="F133" s="10" t="str">
        <f>IFERROR(VLOOKUP(E133,'TRANS EMP EXTRACT - COST CENTRE'!D:E,2,FALSE),"")</f>
        <v>TRIFON  MARIA MS</v>
      </c>
      <c r="G133" s="12">
        <f>IFERROR(INDEX('TRANS EMP EXTRACT - COST CENTRE'!$A$1:$Z$455,MATCH('Summary - Monthly'!$A133,'TRANS EMP EXTRACT - COST CENTRE'!$A:$A,0),MATCH('Summary - Monthly'!G$3,'TRANS EMP EXTRACT - COST CENTRE'!$2:$2,0)),"")</f>
        <v>39694</v>
      </c>
      <c r="H133" s="10" t="str">
        <f>IFERROR(INDEX('TRANS EMP EXTRACT - COST CENTRE'!$B$1:$Z$455,MATCH('Summary - Monthly'!$E133,'TRANS EMP EXTRACT - COST CENTRE'!$D:$D,0),MATCH('Summary - Monthly'!H$3,'TRANS EMP EXTRACT - COST CENTRE'!$2:$2,0)),"")</f>
        <v>RT</v>
      </c>
      <c r="I133" s="12" t="str">
        <f>IFERROR(INDEX('TRANS EMP EXTRACT - EMP CATEGOR'!$B$1:$AF$421,MATCH('Summary - Monthly'!$E133,'TRANS EMP EXTRACT - EMP CATEGOR'!$D:$D,0),MATCH('Summary - Monthly'!H$3,'TRANS EMP EXTRACT - EMP CATEGOR'!$2:$2,0)),"")</f>
        <v>RT</v>
      </c>
      <c r="J133" s="41">
        <f t="shared" ca="1" si="25"/>
        <v>122.0329</v>
      </c>
      <c r="K133" s="41">
        <f t="shared" ref="K133:K196" ca="1" si="29">getALBalance(E133)</f>
        <v>153.70650000000001</v>
      </c>
      <c r="L133" s="10">
        <f>IFERROR(INDEX('TRANS EMP EXTRACT - COST CENTRE'!$A$1:$Z$455,MATCH('Summary - Monthly'!$A133,'TRANS EMP EXTRACT - COST CENTRE'!$A:$A,0),MATCH('Summary - Monthly'!L$3,'TRANS EMP EXTRACT - COST CENTRE'!$2:$2,0)),"")</f>
        <v>0</v>
      </c>
      <c r="M133" s="10">
        <f>IFERROR(INDEX('TRANS EMP EXTRACT - COST CENTRE'!$A$1:$Z$455,MATCH('Summary - Monthly'!$A133,'TRANS EMP EXTRACT - COST CENTRE'!$A:$A,0),MATCH('Summary - Monthly'!M$3,'TRANS EMP EXTRACT - COST CENTRE'!$2:$2,0)),0)</f>
        <v>0</v>
      </c>
      <c r="N133" s="10">
        <f>IFERROR(INDEX('TRANS EMP EXTRACT - COST CENTRE'!$A$1:$Z$455,MATCH('Summary - Monthly'!$A133,'TRANS EMP EXTRACT - COST CENTRE'!$A:$A,0),MATCH('Summary - Monthly'!N$3,'TRANS EMP EXTRACT - COST CENTRE'!$2:$2,0)),0)</f>
        <v>0</v>
      </c>
      <c r="O133" s="10">
        <f>IFERROR(INDEX('TRANS EMP EXTRACT - COST CENTRE'!$A$1:$Z$455,MATCH('Summary - Monthly'!$A133,'TRANS EMP EXTRACT - COST CENTRE'!$A:$A,0),MATCH('Summary - Monthly'!O$3,'TRANS EMP EXTRACT - COST CENTRE'!$2:$2,0)),0)</f>
        <v>0</v>
      </c>
      <c r="P133" s="10">
        <f>IFERROR(INDEX('TRANS EMP EXTRACT - COST CENTRE'!$A$1:$Z$455,MATCH('Summary - Monthly'!$A133,'TRANS EMP EXTRACT - COST CENTRE'!$A:$A,0),MATCH('Summary - Monthly'!P$3,'TRANS EMP EXTRACT - COST CENTRE'!$2:$2,0)),0)</f>
        <v>0</v>
      </c>
      <c r="Q133" s="10">
        <f>IFERROR(INDEX('TRANS EMP EXTRACT - COST CENTRE'!$A$1:$Z$455,MATCH('Summary - Monthly'!$A133,'TRANS EMP EXTRACT - COST CENTRE'!$A:$A,0),MATCH('Summary - Monthly'!Q$3,'TRANS EMP EXTRACT - COST CENTRE'!$2:$2,0)),0)</f>
        <v>0</v>
      </c>
      <c r="R133" s="10">
        <f>IFERROR(INDEX('TRANS EMP EXTRACT - COST CENTRE'!$A$1:$Z$455,MATCH('Summary - Monthly'!$A133,'TRANS EMP EXTRACT - COST CENTRE'!$A:$A,0),MATCH('Summary - Monthly'!R$3,'TRANS EMP EXTRACT - COST CENTRE'!$2:$2,0)),0)</f>
        <v>0</v>
      </c>
      <c r="S133" s="10">
        <f>IFERROR(INDEX('TRANS EMP EXTRACT - COST CENTRE'!$A$1:$Z$455,MATCH('Summary - Monthly'!$A133,'TRANS EMP EXTRACT - COST CENTRE'!$A:$A,0),MATCH('Summary - Monthly'!S$3,'TRANS EMP EXTRACT - COST CENTRE'!$2:$2,0)),0)</f>
        <v>0</v>
      </c>
      <c r="T133" s="8">
        <f>IFERROR(INDEX('TRANS EMP EXTRACT - COST CENTRE'!$A$1:$Z$455,MATCH('Summary - Monthly'!$A133,'TRANS EMP EXTRACT - COST CENTRE'!$A:$A,0),MATCH('Summary - Monthly'!T$3,'TRANS EMP EXTRACT - COST CENTRE'!$2:$2,0)),0)</f>
        <v>0</v>
      </c>
      <c r="U133" s="13">
        <f>IFERROR(INDEX('TRANS EMP EXTRACT - COST CENTRE'!$A$1:$Z$455,MATCH('Summary - Monthly'!$A133,'TRANS EMP EXTRACT - COST CENTRE'!$A:$A,0),MATCH('Summary - Monthly'!U$3,'TRANS EMP EXTRACT - COST CENTRE'!$2:$2,0)),0)</f>
        <v>0</v>
      </c>
      <c r="V133" s="13">
        <f>IFERROR(INDEX('TRANS EMP EXTRACT - COST CENTRE'!$A$1:$Z$455,MATCH('Summary - Monthly'!$A133,'TRANS EMP EXTRACT - COST CENTRE'!$A:$A,0),MATCH('Summary - Monthly'!V$3,'TRANS EMP EXTRACT - COST CENTRE'!$2:$2,0)),0)</f>
        <v>0</v>
      </c>
      <c r="W133" s="13">
        <f>IFERROR(INDEX('TRANS EMP EXTRACT - COST CENTRE'!$A$1:$Z$455,MATCH('Summary - Monthly'!$A133,'TRANS EMP EXTRACT - COST CENTRE'!$A:$A,0),MATCH('Summary - Monthly'!W$3,'TRANS EMP EXTRACT - COST CENTRE'!$2:$2,0)),0)</f>
        <v>0</v>
      </c>
      <c r="X133" s="13">
        <f>IFERROR(INDEX('TRANS EMP EXTRACT - COST CENTRE'!$A$1:$Z$455,MATCH('Summary - Monthly'!$A133,'TRANS EMP EXTRACT - COST CENTRE'!$A:$A,0),MATCH('Summary - Monthly'!X$3,'TRANS EMP EXTRACT - COST CENTRE'!$2:$2,0)),0)</f>
        <v>0</v>
      </c>
      <c r="Y133" s="13">
        <f>IFERROR(INDEX('TRANS EMP EXTRACT - COST CENTRE'!$A$1:$Z$455,MATCH('Summary - Monthly'!$A133,'TRANS EMP EXTRACT - COST CENTRE'!$A:$A,0),MATCH('Summary - Monthly'!Y$3,'TRANS EMP EXTRACT - COST CENTRE'!$2:$2,0)),0)</f>
        <v>0</v>
      </c>
      <c r="Z133" s="10">
        <f>IFERROR(INDEX('TRANS EMP EXTRACT - COST CENTRE'!$A$1:$Z$455,MATCH('Summary - Monthly'!$A133,'TRANS EMP EXTRACT - COST CENTRE'!$A:$A,0),MATCH('Summary - Monthly'!Z$3,'TRANS EMP EXTRACT - COST CENTRE'!$2:$2,0)),0)</f>
        <v>0</v>
      </c>
      <c r="AA133" s="10">
        <f>IFERROR(INDEX('TRANS EMP EXTRACT - COST CENTRE'!$A$1:$Z$455,MATCH('Summary - Monthly'!$A133,'TRANS EMP EXTRACT - COST CENTRE'!$A:$A,0),MATCH('Summary - Monthly'!AA$3,'TRANS EMP EXTRACT - COST CENTRE'!$2:$2,0)),0)</f>
        <v>0</v>
      </c>
      <c r="AB133" s="10">
        <f>IFERROR(INDEX('TRANS EMP EXTRACT - COST CENTRE'!$A$1:$Z$455,MATCH('Summary - Monthly'!$A133,'TRANS EMP EXTRACT - COST CENTRE'!$A:$A,0),MATCH('Summary - Monthly'!AB$3,'TRANS EMP EXTRACT - COST CENTRE'!$2:$2,0)),0)</f>
        <v>152</v>
      </c>
      <c r="AC133" s="8">
        <f>IFERROR(INDEX('TRANS EMP EXTRACT - COST CENTRE'!$A$1:$Z$455,MATCH('Summary - Monthly'!$A133,'TRANS EMP EXTRACT - COST CENTRE'!$A:$A,0),MATCH('Summary - Monthly'!AC$3,'TRANS EMP EXTRACT - COST CENTRE'!$2:$2,0)),0)</f>
        <v>0</v>
      </c>
      <c r="AD133" s="13">
        <f>IFERROR(INDEX('TRANS EMP EXTRACT - COST CENTRE'!$A$1:$Z$455,MATCH('Summary - Monthly'!$A133,'TRANS EMP EXTRACT - COST CENTRE'!$A:$A,0),MATCH('Summary - Monthly'!AD$3,'TRANS EMP EXTRACT - COST CENTRE'!$2:$2,0)),0)</f>
        <v>0</v>
      </c>
      <c r="AE133" s="13">
        <f>IFERROR(INDEX('TRANS EMP EXTRACT - COST CENTRE'!$A$1:$Z$455,MATCH('Summary - Monthly'!$A133,'TRANS EMP EXTRACT - COST CENTRE'!$A:$A,0),MATCH('Summary - Monthly'!AE$3,'TRANS EMP EXTRACT - COST CENTRE'!$2:$2,0)),0)</f>
        <v>0</v>
      </c>
      <c r="AF133" s="13">
        <f>IFERROR(INDEX('TRANS EMP EXTRACT - COST CENTRE'!$A$1:$Z$455,MATCH('Summary - Monthly'!$A133,'TRANS EMP EXTRACT - COST CENTRE'!$A:$A,0),MATCH('Summary - Monthly'!AF$3,'TRANS EMP EXTRACT - COST CENTRE'!$2:$2,0)),0)</f>
        <v>0</v>
      </c>
      <c r="AG133" s="10">
        <f>IFERROR(INDEX('TRANS EMP EXTRACT - COST CENTRE'!$A$1:$Z$455,MATCH('Summary - Monthly'!$A133,'TRANS EMP EXTRACT - COST CENTRE'!$A:$A,0),MATCH('Summary - Monthly'!AG$3,'TRANS EMP EXTRACT - COST CENTRE'!$2:$2,0)),0)</f>
        <v>0</v>
      </c>
      <c r="AH133" s="10">
        <f>IFERROR(INDEX('TRANS EMP EXTRACT - COST CENTRE'!$A$1:$Z$455,MATCH('Summary - Monthly'!$A133,'TRANS EMP EXTRACT - COST CENTRE'!$A:$A,0),MATCH('Summary - Monthly'!AH$3,'TRANS EMP EXTRACT - COST CENTRE'!$2:$2,0)),0)</f>
        <v>0</v>
      </c>
      <c r="AI133" s="10">
        <f>IFERROR(INDEX('TRANS EMP EXTRACT - COST CENTRE'!$A$1:$Z$455,MATCH('Summary - Monthly'!$A133,'TRANS EMP EXTRACT - COST CENTRE'!$A:$A,0),MATCH('Summary - Monthly'!AI$3,'TRANS EMP EXTRACT - COST CENTRE'!$2:$2,0)),0)</f>
        <v>0</v>
      </c>
      <c r="AJ133" s="10">
        <f>IFERROR(INDEX('TRANS EMP EXTRACT - COST CENTRE'!$A$1:$Z$455,MATCH('Summary - Monthly'!$A133,'TRANS EMP EXTRACT - COST CENTRE'!$A:$A,0),MATCH('Summary - Monthly'!AJ$3,'TRANS EMP EXTRACT - COST CENTRE'!$2:$2,0)),0)</f>
        <v>0</v>
      </c>
      <c r="AK133" s="10">
        <f>IFERROR(INDEX('TRANS EMP EXTRACT - COST CENTRE'!$A$1:$Z$455,MATCH('Summary - Monthly'!$A133,'TRANS EMP EXTRACT - COST CENTRE'!$A:$A,0),MATCH('Summary - Monthly'!AK$3,'TRANS EMP EXTRACT - COST CENTRE'!$2:$2,0)),0)</f>
        <v>0</v>
      </c>
      <c r="AL133" s="10">
        <f>IFERROR(INDEX('TRANS EMP EXTRACT - COST CENTRE'!$A$1:$Z$455,MATCH('Summary - Monthly'!$A133,'TRANS EMP EXTRACT - COST CENTRE'!$A:$A,0),MATCH('Summary - Monthly'!AL$3,'TRANS EMP EXTRACT - COST CENTRE'!$2:$2,0)),0)</f>
        <v>0</v>
      </c>
      <c r="AM133" s="10">
        <f t="shared" si="20"/>
        <v>0</v>
      </c>
      <c r="AN133" s="14">
        <f t="shared" si="26"/>
        <v>0</v>
      </c>
      <c r="AO133" s="18">
        <f t="shared" ref="AO133:AO196" si="30">AM133/$AP$2</f>
        <v>0</v>
      </c>
      <c r="AP133" s="18">
        <f t="shared" ref="AP133:AP196" si="31">(AM133-SUM(U133:Y133)-SUM(AD133:AF133))/$AP$2</f>
        <v>0</v>
      </c>
      <c r="AQ133" s="10" t="str">
        <f>IFERROR(VLOOKUP(B133,Departments!A:C,3,FALSE),"")</f>
        <v>Lab Admin</v>
      </c>
      <c r="AR133" s="10" t="str">
        <f>IFERROR(VLOOKUP(B133,Departments!A:B,2,FALSE),"")</f>
        <v>Melb Lab Admin</v>
      </c>
      <c r="AS133" s="10">
        <f t="shared" si="27"/>
        <v>0</v>
      </c>
      <c r="AT133" s="10">
        <f t="shared" si="28"/>
        <v>152</v>
      </c>
      <c r="AU133" s="10" t="str">
        <f>_xlfn.IFNA(VLOOKUP(B133,Departments!A:D,4,FALSE),"")</f>
        <v>Melbourne Lab Admin</v>
      </c>
    </row>
    <row r="134" spans="1:47" ht="14.45" customHeight="1">
      <c r="A134" s="11" t="str">
        <f t="shared" si="24"/>
        <v>1203301119012</v>
      </c>
      <c r="B134" s="11">
        <f>'TRANS EMP EXTRACT - COST CENTRE'!B133</f>
        <v>12033011</v>
      </c>
      <c r="C134" s="10" t="str">
        <f>IFERROR(VLOOKUP(E134,'TRANS EMP EXTRACT - EMP CATEGOR'!A:B,2,FALSE),"")</f>
        <v>TF</v>
      </c>
      <c r="D134" s="10" t="str">
        <f>IFERROR(VLOOKUP(E134,'TRANS EMP EXTRACT - EMP CATEGOR'!A:C,3,FALSE),"")</f>
        <v>Temporary Fulltime</v>
      </c>
      <c r="E134" s="11">
        <f>'TRANS EMP EXTRACT - COST CENTRE'!D133</f>
        <v>19012</v>
      </c>
      <c r="F134" s="10" t="str">
        <f>IFERROR(VLOOKUP(E134,'TRANS EMP EXTRACT - COST CENTRE'!D:E,2,FALSE),"")</f>
        <v>TRIVEDI  ARTI MRS</v>
      </c>
      <c r="G134" s="12">
        <f>IFERROR(INDEX('TRANS EMP EXTRACT - COST CENTRE'!$A$1:$Z$455,MATCH('Summary - Monthly'!$A134,'TRANS EMP EXTRACT - COST CENTRE'!$A:$A,0),MATCH('Summary - Monthly'!G$3,'TRANS EMP EXTRACT - COST CENTRE'!$2:$2,0)),"")</f>
        <v>44704</v>
      </c>
      <c r="H134" s="10" t="str">
        <f>IFERROR(INDEX('TRANS EMP EXTRACT - COST CENTRE'!$B$1:$Z$455,MATCH('Summary - Monthly'!$E134,'TRANS EMP EXTRACT - COST CENTRE'!$D:$D,0),MATCH('Summary - Monthly'!H$3,'TRANS EMP EXTRACT - COST CENTRE'!$2:$2,0)),"")</f>
        <v>RT</v>
      </c>
      <c r="I134" s="12" t="str">
        <f>IFERROR(INDEX('TRANS EMP EXTRACT - EMP CATEGOR'!$B$1:$AF$421,MATCH('Summary - Monthly'!$E134,'TRANS EMP EXTRACT - EMP CATEGOR'!$D:$D,0),MATCH('Summary - Monthly'!H$3,'TRANS EMP EXTRACT - EMP CATEGOR'!$2:$2,0)),"")</f>
        <v>RT</v>
      </c>
      <c r="J134" s="41">
        <f t="shared" ca="1" si="25"/>
        <v>9.9945000000000004</v>
      </c>
      <c r="K134" s="41">
        <f t="shared" ca="1" si="29"/>
        <v>73.188999999999993</v>
      </c>
      <c r="L134" s="10">
        <f>IFERROR(INDEX('TRANS EMP EXTRACT - COST CENTRE'!$A$1:$Z$455,MATCH('Summary - Monthly'!$A134,'TRANS EMP EXTRACT - COST CENTRE'!$A:$A,0),MATCH('Summary - Monthly'!L$3,'TRANS EMP EXTRACT - COST CENTRE'!$2:$2,0)),"")</f>
        <v>121.4333</v>
      </c>
      <c r="M134" s="10">
        <f>IFERROR(INDEX('TRANS EMP EXTRACT - COST CENTRE'!$A$1:$Z$455,MATCH('Summary - Monthly'!$A134,'TRANS EMP EXTRACT - COST CENTRE'!$A:$A,0),MATCH('Summary - Monthly'!M$3,'TRANS EMP EXTRACT - COST CENTRE'!$2:$2,0)),0)</f>
        <v>0</v>
      </c>
      <c r="N134" s="10">
        <f>IFERROR(INDEX('TRANS EMP EXTRACT - COST CENTRE'!$A$1:$Z$455,MATCH('Summary - Monthly'!$A134,'TRANS EMP EXTRACT - COST CENTRE'!$A:$A,0),MATCH('Summary - Monthly'!N$3,'TRANS EMP EXTRACT - COST CENTRE'!$2:$2,0)),0)</f>
        <v>0</v>
      </c>
      <c r="O134" s="10">
        <f>IFERROR(INDEX('TRANS EMP EXTRACT - COST CENTRE'!$A$1:$Z$455,MATCH('Summary - Monthly'!$A134,'TRANS EMP EXTRACT - COST CENTRE'!$A:$A,0),MATCH('Summary - Monthly'!O$3,'TRANS EMP EXTRACT - COST CENTRE'!$2:$2,0)),0)</f>
        <v>30.4</v>
      </c>
      <c r="P134" s="10">
        <f>IFERROR(INDEX('TRANS EMP EXTRACT - COST CENTRE'!$A$1:$Z$455,MATCH('Summary - Monthly'!$A134,'TRANS EMP EXTRACT - COST CENTRE'!$A:$A,0),MATCH('Summary - Monthly'!P$3,'TRANS EMP EXTRACT - COST CENTRE'!$2:$2,0)),0)</f>
        <v>0</v>
      </c>
      <c r="Q134" s="10">
        <f>IFERROR(INDEX('TRANS EMP EXTRACT - COST CENTRE'!$A$1:$Z$455,MATCH('Summary - Monthly'!$A134,'TRANS EMP EXTRACT - COST CENTRE'!$A:$A,0),MATCH('Summary - Monthly'!Q$3,'TRANS EMP EXTRACT - COST CENTRE'!$2:$2,0)),0)</f>
        <v>17.4833</v>
      </c>
      <c r="R134" s="10">
        <f>IFERROR(INDEX('TRANS EMP EXTRACT - COST CENTRE'!$A$1:$Z$455,MATCH('Summary - Monthly'!$A134,'TRANS EMP EXTRACT - COST CENTRE'!$A:$A,0),MATCH('Summary - Monthly'!R$3,'TRANS EMP EXTRACT - COST CENTRE'!$2:$2,0)),0)</f>
        <v>1.5833999999999999</v>
      </c>
      <c r="S134" s="10">
        <f>IFERROR(INDEX('TRANS EMP EXTRACT - COST CENTRE'!$A$1:$Z$455,MATCH('Summary - Monthly'!$A134,'TRANS EMP EXTRACT - COST CENTRE'!$A:$A,0),MATCH('Summary - Monthly'!S$3,'TRANS EMP EXTRACT - COST CENTRE'!$2:$2,0)),0)</f>
        <v>0</v>
      </c>
      <c r="T134" s="8">
        <f>IFERROR(INDEX('TRANS EMP EXTRACT - COST CENTRE'!$A$1:$Z$455,MATCH('Summary - Monthly'!$A134,'TRANS EMP EXTRACT - COST CENTRE'!$A:$A,0),MATCH('Summary - Monthly'!T$3,'TRANS EMP EXTRACT - COST CENTRE'!$2:$2,0)),0)</f>
        <v>0</v>
      </c>
      <c r="U134" s="13">
        <f>IFERROR(INDEX('TRANS EMP EXTRACT - COST CENTRE'!$A$1:$Z$455,MATCH('Summary - Monthly'!$A134,'TRANS EMP EXTRACT - COST CENTRE'!$A:$A,0),MATCH('Summary - Monthly'!U$3,'TRANS EMP EXTRACT - COST CENTRE'!$2:$2,0)),0)</f>
        <v>0</v>
      </c>
      <c r="V134" s="13">
        <f>IFERROR(INDEX('TRANS EMP EXTRACT - COST CENTRE'!$A$1:$Z$455,MATCH('Summary - Monthly'!$A134,'TRANS EMP EXTRACT - COST CENTRE'!$A:$A,0),MATCH('Summary - Monthly'!V$3,'TRANS EMP EXTRACT - COST CENTRE'!$2:$2,0)),0)</f>
        <v>0</v>
      </c>
      <c r="W134" s="13">
        <f>IFERROR(INDEX('TRANS EMP EXTRACT - COST CENTRE'!$A$1:$Z$455,MATCH('Summary - Monthly'!$A134,'TRANS EMP EXTRACT - COST CENTRE'!$A:$A,0),MATCH('Summary - Monthly'!W$3,'TRANS EMP EXTRACT - COST CENTRE'!$2:$2,0)),0)</f>
        <v>0</v>
      </c>
      <c r="X134" s="13">
        <f>IFERROR(INDEX('TRANS EMP EXTRACT - COST CENTRE'!$A$1:$Z$455,MATCH('Summary - Monthly'!$A134,'TRANS EMP EXTRACT - COST CENTRE'!$A:$A,0),MATCH('Summary - Monthly'!X$3,'TRANS EMP EXTRACT - COST CENTRE'!$2:$2,0)),0)</f>
        <v>0</v>
      </c>
      <c r="Y134" s="13">
        <f>IFERROR(INDEX('TRANS EMP EXTRACT - COST CENTRE'!$A$1:$Z$455,MATCH('Summary - Monthly'!$A134,'TRANS EMP EXTRACT - COST CENTRE'!$A:$A,0),MATCH('Summary - Monthly'!Y$3,'TRANS EMP EXTRACT - COST CENTRE'!$2:$2,0)),0)</f>
        <v>0</v>
      </c>
      <c r="Z134" s="10">
        <f>IFERROR(INDEX('TRANS EMP EXTRACT - COST CENTRE'!$A$1:$Z$455,MATCH('Summary - Monthly'!$A134,'TRANS EMP EXTRACT - COST CENTRE'!$A:$A,0),MATCH('Summary - Monthly'!Z$3,'TRANS EMP EXTRACT - COST CENTRE'!$2:$2,0)),0)</f>
        <v>0</v>
      </c>
      <c r="AA134" s="10">
        <f>IFERROR(INDEX('TRANS EMP EXTRACT - COST CENTRE'!$A$1:$Z$455,MATCH('Summary - Monthly'!$A134,'TRANS EMP EXTRACT - COST CENTRE'!$A:$A,0),MATCH('Summary - Monthly'!AA$3,'TRANS EMP EXTRACT - COST CENTRE'!$2:$2,0)),0)</f>
        <v>0</v>
      </c>
      <c r="AB134" s="10">
        <f>IFERROR(INDEX('TRANS EMP EXTRACT - COST CENTRE'!$A$1:$Z$455,MATCH('Summary - Monthly'!$A134,'TRANS EMP EXTRACT - COST CENTRE'!$A:$A,0),MATCH('Summary - Monthly'!AB$3,'TRANS EMP EXTRACT - COST CENTRE'!$2:$2,0)),0)</f>
        <v>0</v>
      </c>
      <c r="AC134" s="8">
        <f>IFERROR(INDEX('TRANS EMP EXTRACT - COST CENTRE'!$A$1:$Z$455,MATCH('Summary - Monthly'!$A134,'TRANS EMP EXTRACT - COST CENTRE'!$A:$A,0),MATCH('Summary - Monthly'!AC$3,'TRANS EMP EXTRACT - COST CENTRE'!$2:$2,0)),0)</f>
        <v>0</v>
      </c>
      <c r="AD134" s="13">
        <f>IFERROR(INDEX('TRANS EMP EXTRACT - COST CENTRE'!$A$1:$Z$455,MATCH('Summary - Monthly'!$A134,'TRANS EMP EXTRACT - COST CENTRE'!$A:$A,0),MATCH('Summary - Monthly'!AD$3,'TRANS EMP EXTRACT - COST CENTRE'!$2:$2,0)),0)</f>
        <v>0</v>
      </c>
      <c r="AE134" s="13">
        <f>IFERROR(INDEX('TRANS EMP EXTRACT - COST CENTRE'!$A$1:$Z$455,MATCH('Summary - Monthly'!$A134,'TRANS EMP EXTRACT - COST CENTRE'!$A:$A,0),MATCH('Summary - Monthly'!AE$3,'TRANS EMP EXTRACT - COST CENTRE'!$2:$2,0)),0)</f>
        <v>0</v>
      </c>
      <c r="AF134" s="13">
        <f>IFERROR(INDEX('TRANS EMP EXTRACT - COST CENTRE'!$A$1:$Z$455,MATCH('Summary - Monthly'!$A134,'TRANS EMP EXTRACT - COST CENTRE'!$A:$A,0),MATCH('Summary - Monthly'!AF$3,'TRANS EMP EXTRACT - COST CENTRE'!$2:$2,0)),0)</f>
        <v>0</v>
      </c>
      <c r="AG134" s="10">
        <f>IFERROR(INDEX('TRANS EMP EXTRACT - COST CENTRE'!$A$1:$Z$455,MATCH('Summary - Monthly'!$A134,'TRANS EMP EXTRACT - COST CENTRE'!$A:$A,0),MATCH('Summary - Monthly'!AG$3,'TRANS EMP EXTRACT - COST CENTRE'!$2:$2,0)),0)</f>
        <v>0</v>
      </c>
      <c r="AH134" s="10">
        <f>IFERROR(INDEX('TRANS EMP EXTRACT - COST CENTRE'!$A$1:$Z$455,MATCH('Summary - Monthly'!$A134,'TRANS EMP EXTRACT - COST CENTRE'!$A:$A,0),MATCH('Summary - Monthly'!AH$3,'TRANS EMP EXTRACT - COST CENTRE'!$2:$2,0)),0)</f>
        <v>0</v>
      </c>
      <c r="AI134" s="10">
        <f>IFERROR(INDEX('TRANS EMP EXTRACT - COST CENTRE'!$A$1:$Z$455,MATCH('Summary - Monthly'!$A134,'TRANS EMP EXTRACT - COST CENTRE'!$A:$A,0),MATCH('Summary - Monthly'!AI$3,'TRANS EMP EXTRACT - COST CENTRE'!$2:$2,0)),0)</f>
        <v>0</v>
      </c>
      <c r="AJ134" s="10">
        <f>IFERROR(INDEX('TRANS EMP EXTRACT - COST CENTRE'!$A$1:$Z$455,MATCH('Summary - Monthly'!$A134,'TRANS EMP EXTRACT - COST CENTRE'!$A:$A,0),MATCH('Summary - Monthly'!AJ$3,'TRANS EMP EXTRACT - COST CENTRE'!$2:$2,0)),0)</f>
        <v>0</v>
      </c>
      <c r="AK134" s="10">
        <f>IFERROR(INDEX('TRANS EMP EXTRACT - COST CENTRE'!$A$1:$Z$455,MATCH('Summary - Monthly'!$A134,'TRANS EMP EXTRACT - COST CENTRE'!$A:$A,0),MATCH('Summary - Monthly'!AK$3,'TRANS EMP EXTRACT - COST CENTRE'!$2:$2,0)),0)</f>
        <v>0</v>
      </c>
      <c r="AL134" s="10">
        <f>IFERROR(INDEX('TRANS EMP EXTRACT - COST CENTRE'!$A$1:$Z$455,MATCH('Summary - Monthly'!$A134,'TRANS EMP EXTRACT - COST CENTRE'!$A:$A,0),MATCH('Summary - Monthly'!AL$3,'TRANS EMP EXTRACT - COST CENTRE'!$2:$2,0)),0)</f>
        <v>0</v>
      </c>
      <c r="AM134" s="10">
        <f t="shared" si="20"/>
        <v>170.9</v>
      </c>
      <c r="AN134" s="14">
        <f t="shared" si="26"/>
        <v>0.12543881578947369</v>
      </c>
      <c r="AO134" s="18">
        <f t="shared" si="30"/>
        <v>1.1243421052631579</v>
      </c>
      <c r="AP134" s="18">
        <f t="shared" si="31"/>
        <v>1.1243421052631579</v>
      </c>
      <c r="AQ134" s="10" t="str">
        <f>IFERROR(VLOOKUP(B134,Departments!A:C,3,FALSE),"")</f>
        <v>Microbiology</v>
      </c>
      <c r="AR134" s="10" t="str">
        <f>IFERROR(VLOOKUP(B134,Departments!A:B,2,FALSE),"")</f>
        <v>Melb Micro</v>
      </c>
      <c r="AS134" s="10">
        <f t="shared" si="27"/>
        <v>0</v>
      </c>
      <c r="AT134" s="10">
        <f t="shared" si="28"/>
        <v>0</v>
      </c>
      <c r="AU134" s="10" t="str">
        <f>_xlfn.IFNA(VLOOKUP(B134,Departments!A:D,4,FALSE),"")</f>
        <v>Melbourne Micro</v>
      </c>
    </row>
    <row r="135" spans="1:47" ht="14.45" customHeight="1">
      <c r="A135" s="11" t="str">
        <f t="shared" si="24"/>
        <v>1202301119006</v>
      </c>
      <c r="B135" s="11">
        <f>'TRANS EMP EXTRACT - COST CENTRE'!B134</f>
        <v>12023011</v>
      </c>
      <c r="C135" s="10" t="str">
        <f>IFERROR(VLOOKUP(E135,'TRANS EMP EXTRACT - EMP CATEGOR'!A:B,2,FALSE),"")</f>
        <v>FT</v>
      </c>
      <c r="D135" s="10" t="str">
        <f>IFERROR(VLOOKUP(E135,'TRANS EMP EXTRACT - EMP CATEGOR'!A:C,3,FALSE),"")</f>
        <v>Fulltime</v>
      </c>
      <c r="E135" s="11">
        <f>'TRANS EMP EXTRACT - COST CENTRE'!D134</f>
        <v>19006</v>
      </c>
      <c r="F135" s="10" t="str">
        <f>IFERROR(VLOOKUP(E135,'TRANS EMP EXTRACT - COST CENTRE'!D:E,2,FALSE),"")</f>
        <v>TRUONG  DAVID MR</v>
      </c>
      <c r="G135" s="12">
        <f>IFERROR(INDEX('TRANS EMP EXTRACT - COST CENTRE'!$A$1:$Z$455,MATCH('Summary - Monthly'!$A135,'TRANS EMP EXTRACT - COST CENTRE'!$A:$A,0),MATCH('Summary - Monthly'!G$3,'TRANS EMP EXTRACT - COST CENTRE'!$2:$2,0)),"")</f>
        <v>44697</v>
      </c>
      <c r="H135" s="10" t="str">
        <f>IFERROR(INDEX('TRANS EMP EXTRACT - COST CENTRE'!$B$1:$Z$455,MATCH('Summary - Monthly'!$E135,'TRANS EMP EXTRACT - COST CENTRE'!$D:$D,0),MATCH('Summary - Monthly'!H$3,'TRANS EMP EXTRACT - COST CENTRE'!$2:$2,0)),"")</f>
        <v>RT</v>
      </c>
      <c r="I135" s="12" t="str">
        <f>IFERROR(INDEX('TRANS EMP EXTRACT - EMP CATEGOR'!$B$1:$AF$421,MATCH('Summary - Monthly'!$E135,'TRANS EMP EXTRACT - EMP CATEGOR'!$D:$D,0),MATCH('Summary - Monthly'!H$3,'TRANS EMP EXTRACT - EMP CATEGOR'!$2:$2,0)),"")</f>
        <v>RT</v>
      </c>
      <c r="J135" s="41">
        <f t="shared" ca="1" si="25"/>
        <v>22.8</v>
      </c>
      <c r="K135" s="41">
        <f t="shared" ca="1" si="29"/>
        <v>114</v>
      </c>
      <c r="L135" s="10">
        <f>IFERROR(INDEX('TRANS EMP EXTRACT - COST CENTRE'!$A$1:$Z$455,MATCH('Summary - Monthly'!$A135,'TRANS EMP EXTRACT - COST CENTRE'!$A:$A,0),MATCH('Summary - Monthly'!L$3,'TRANS EMP EXTRACT - COST CENTRE'!$2:$2,0)),"")</f>
        <v>144.4</v>
      </c>
      <c r="M135" s="10">
        <f>IFERROR(INDEX('TRANS EMP EXTRACT - COST CENTRE'!$A$1:$Z$455,MATCH('Summary - Monthly'!$A135,'TRANS EMP EXTRACT - COST CENTRE'!$A:$A,0),MATCH('Summary - Monthly'!M$3,'TRANS EMP EXTRACT - COST CENTRE'!$2:$2,0)),0)</f>
        <v>0</v>
      </c>
      <c r="N135" s="10">
        <f>IFERROR(INDEX('TRANS EMP EXTRACT - COST CENTRE'!$A$1:$Z$455,MATCH('Summary - Monthly'!$A135,'TRANS EMP EXTRACT - COST CENTRE'!$A:$A,0),MATCH('Summary - Monthly'!N$3,'TRANS EMP EXTRACT - COST CENTRE'!$2:$2,0)),0)</f>
        <v>0</v>
      </c>
      <c r="O135" s="10">
        <f>IFERROR(INDEX('TRANS EMP EXTRACT - COST CENTRE'!$A$1:$Z$455,MATCH('Summary - Monthly'!$A135,'TRANS EMP EXTRACT - COST CENTRE'!$A:$A,0),MATCH('Summary - Monthly'!O$3,'TRANS EMP EXTRACT - COST CENTRE'!$2:$2,0)),0)</f>
        <v>0</v>
      </c>
      <c r="P135" s="10">
        <f>IFERROR(INDEX('TRANS EMP EXTRACT - COST CENTRE'!$A$1:$Z$455,MATCH('Summary - Monthly'!$A135,'TRANS EMP EXTRACT - COST CENTRE'!$A:$A,0),MATCH('Summary - Monthly'!P$3,'TRANS EMP EXTRACT - COST CENTRE'!$2:$2,0)),0)</f>
        <v>0</v>
      </c>
      <c r="Q135" s="10">
        <f>IFERROR(INDEX('TRANS EMP EXTRACT - COST CENTRE'!$A$1:$Z$455,MATCH('Summary - Monthly'!$A135,'TRANS EMP EXTRACT - COST CENTRE'!$A:$A,0),MATCH('Summary - Monthly'!Q$3,'TRANS EMP EXTRACT - COST CENTRE'!$2:$2,0)),0)</f>
        <v>8.5</v>
      </c>
      <c r="R135" s="10">
        <f>IFERROR(INDEX('TRANS EMP EXTRACT - COST CENTRE'!$A$1:$Z$455,MATCH('Summary - Monthly'!$A135,'TRANS EMP EXTRACT - COST CENTRE'!$A:$A,0),MATCH('Summary - Monthly'!R$3,'TRANS EMP EXTRACT - COST CENTRE'!$2:$2,0)),0)</f>
        <v>0</v>
      </c>
      <c r="S135" s="10">
        <f>IFERROR(INDEX('TRANS EMP EXTRACT - COST CENTRE'!$A$1:$Z$455,MATCH('Summary - Monthly'!$A135,'TRANS EMP EXTRACT - COST CENTRE'!$A:$A,0),MATCH('Summary - Monthly'!S$3,'TRANS EMP EXTRACT - COST CENTRE'!$2:$2,0)),0)</f>
        <v>0</v>
      </c>
      <c r="T135" s="8">
        <f>IFERROR(INDEX('TRANS EMP EXTRACT - COST CENTRE'!$A$1:$Z$455,MATCH('Summary - Monthly'!$A135,'TRANS EMP EXTRACT - COST CENTRE'!$A:$A,0),MATCH('Summary - Monthly'!T$3,'TRANS EMP EXTRACT - COST CENTRE'!$2:$2,0)),0)</f>
        <v>0</v>
      </c>
      <c r="U135" s="13">
        <f>IFERROR(INDEX('TRANS EMP EXTRACT - COST CENTRE'!$A$1:$Z$455,MATCH('Summary - Monthly'!$A135,'TRANS EMP EXTRACT - COST CENTRE'!$A:$A,0),MATCH('Summary - Monthly'!U$3,'TRANS EMP EXTRACT - COST CENTRE'!$2:$2,0)),0)</f>
        <v>0</v>
      </c>
      <c r="V135" s="13">
        <f>IFERROR(INDEX('TRANS EMP EXTRACT - COST CENTRE'!$A$1:$Z$455,MATCH('Summary - Monthly'!$A135,'TRANS EMP EXTRACT - COST CENTRE'!$A:$A,0),MATCH('Summary - Monthly'!V$3,'TRANS EMP EXTRACT - COST CENTRE'!$2:$2,0)),0)</f>
        <v>7.6</v>
      </c>
      <c r="W135" s="13">
        <f>IFERROR(INDEX('TRANS EMP EXTRACT - COST CENTRE'!$A$1:$Z$455,MATCH('Summary - Monthly'!$A135,'TRANS EMP EXTRACT - COST CENTRE'!$A:$A,0),MATCH('Summary - Monthly'!W$3,'TRANS EMP EXTRACT - COST CENTRE'!$2:$2,0)),0)</f>
        <v>0</v>
      </c>
      <c r="X135" s="13">
        <f>IFERROR(INDEX('TRANS EMP EXTRACT - COST CENTRE'!$A$1:$Z$455,MATCH('Summary - Monthly'!$A135,'TRANS EMP EXTRACT - COST CENTRE'!$A:$A,0),MATCH('Summary - Monthly'!X$3,'TRANS EMP EXTRACT - COST CENTRE'!$2:$2,0)),0)</f>
        <v>0</v>
      </c>
      <c r="Y135" s="13">
        <f>IFERROR(INDEX('TRANS EMP EXTRACT - COST CENTRE'!$A$1:$Z$455,MATCH('Summary - Monthly'!$A135,'TRANS EMP EXTRACT - COST CENTRE'!$A:$A,0),MATCH('Summary - Monthly'!Y$3,'TRANS EMP EXTRACT - COST CENTRE'!$2:$2,0)),0)</f>
        <v>0</v>
      </c>
      <c r="Z135" s="10">
        <f>IFERROR(INDEX('TRANS EMP EXTRACT - COST CENTRE'!$A$1:$Z$455,MATCH('Summary - Monthly'!$A135,'TRANS EMP EXTRACT - COST CENTRE'!$A:$A,0),MATCH('Summary - Monthly'!Z$3,'TRANS EMP EXTRACT - COST CENTRE'!$2:$2,0)),0)</f>
        <v>0</v>
      </c>
      <c r="AA135" s="10">
        <f>IFERROR(INDEX('TRANS EMP EXTRACT - COST CENTRE'!$A$1:$Z$455,MATCH('Summary - Monthly'!$A135,'TRANS EMP EXTRACT - COST CENTRE'!$A:$A,0),MATCH('Summary - Monthly'!AA$3,'TRANS EMP EXTRACT - COST CENTRE'!$2:$2,0)),0)</f>
        <v>0</v>
      </c>
      <c r="AB135" s="10">
        <f>IFERROR(INDEX('TRANS EMP EXTRACT - COST CENTRE'!$A$1:$Z$455,MATCH('Summary - Monthly'!$A135,'TRANS EMP EXTRACT - COST CENTRE'!$A:$A,0),MATCH('Summary - Monthly'!AB$3,'TRANS EMP EXTRACT - COST CENTRE'!$2:$2,0)),0)</f>
        <v>0</v>
      </c>
      <c r="AC135" s="8">
        <f>IFERROR(INDEX('TRANS EMP EXTRACT - COST CENTRE'!$A$1:$Z$455,MATCH('Summary - Monthly'!$A135,'TRANS EMP EXTRACT - COST CENTRE'!$A:$A,0),MATCH('Summary - Monthly'!AC$3,'TRANS EMP EXTRACT - COST CENTRE'!$2:$2,0)),0)</f>
        <v>0</v>
      </c>
      <c r="AD135" s="13">
        <f>IFERROR(INDEX('TRANS EMP EXTRACT - COST CENTRE'!$A$1:$Z$455,MATCH('Summary - Monthly'!$A135,'TRANS EMP EXTRACT - COST CENTRE'!$A:$A,0),MATCH('Summary - Monthly'!AD$3,'TRANS EMP EXTRACT - COST CENTRE'!$2:$2,0)),0)</f>
        <v>0</v>
      </c>
      <c r="AE135" s="13">
        <f>IFERROR(INDEX('TRANS EMP EXTRACT - COST CENTRE'!$A$1:$Z$455,MATCH('Summary - Monthly'!$A135,'TRANS EMP EXTRACT - COST CENTRE'!$A:$A,0),MATCH('Summary - Monthly'!AE$3,'TRANS EMP EXTRACT - COST CENTRE'!$2:$2,0)),0)</f>
        <v>0</v>
      </c>
      <c r="AF135" s="13">
        <f>IFERROR(INDEX('TRANS EMP EXTRACT - COST CENTRE'!$A$1:$Z$455,MATCH('Summary - Monthly'!$A135,'TRANS EMP EXTRACT - COST CENTRE'!$A:$A,0),MATCH('Summary - Monthly'!AF$3,'TRANS EMP EXTRACT - COST CENTRE'!$2:$2,0)),0)</f>
        <v>0</v>
      </c>
      <c r="AG135" s="10">
        <f>IFERROR(INDEX('TRANS EMP EXTRACT - COST CENTRE'!$A$1:$Z$455,MATCH('Summary - Monthly'!$A135,'TRANS EMP EXTRACT - COST CENTRE'!$A:$A,0),MATCH('Summary - Monthly'!AG$3,'TRANS EMP EXTRACT - COST CENTRE'!$2:$2,0)),0)</f>
        <v>0</v>
      </c>
      <c r="AH135" s="10">
        <f>IFERROR(INDEX('TRANS EMP EXTRACT - COST CENTRE'!$A$1:$Z$455,MATCH('Summary - Monthly'!$A135,'TRANS EMP EXTRACT - COST CENTRE'!$A:$A,0),MATCH('Summary - Monthly'!AH$3,'TRANS EMP EXTRACT - COST CENTRE'!$2:$2,0)),0)</f>
        <v>0</v>
      </c>
      <c r="AI135" s="10">
        <f>IFERROR(INDEX('TRANS EMP EXTRACT - COST CENTRE'!$A$1:$Z$455,MATCH('Summary - Monthly'!$A135,'TRANS EMP EXTRACT - COST CENTRE'!$A:$A,0),MATCH('Summary - Monthly'!AI$3,'TRANS EMP EXTRACT - COST CENTRE'!$2:$2,0)),0)</f>
        <v>0</v>
      </c>
      <c r="AJ135" s="10">
        <f>IFERROR(INDEX('TRANS EMP EXTRACT - COST CENTRE'!$A$1:$Z$455,MATCH('Summary - Monthly'!$A135,'TRANS EMP EXTRACT - COST CENTRE'!$A:$A,0),MATCH('Summary - Monthly'!AJ$3,'TRANS EMP EXTRACT - COST CENTRE'!$2:$2,0)),0)</f>
        <v>0</v>
      </c>
      <c r="AK135" s="10">
        <f>IFERROR(INDEX('TRANS EMP EXTRACT - COST CENTRE'!$A$1:$Z$455,MATCH('Summary - Monthly'!$A135,'TRANS EMP EXTRACT - COST CENTRE'!$A:$A,0),MATCH('Summary - Monthly'!AK$3,'TRANS EMP EXTRACT - COST CENTRE'!$2:$2,0)),0)</f>
        <v>0</v>
      </c>
      <c r="AL135" s="10">
        <f>IFERROR(INDEX('TRANS EMP EXTRACT - COST CENTRE'!$A$1:$Z$455,MATCH('Summary - Monthly'!$A135,'TRANS EMP EXTRACT - COST CENTRE'!$A:$A,0),MATCH('Summary - Monthly'!AL$3,'TRANS EMP EXTRACT - COST CENTRE'!$2:$2,0)),0)</f>
        <v>0</v>
      </c>
      <c r="AM135" s="10">
        <f t="shared" si="20"/>
        <v>160.5</v>
      </c>
      <c r="AN135" s="14">
        <f t="shared" si="26"/>
        <v>5.5921052631578948E-2</v>
      </c>
      <c r="AO135" s="18">
        <f t="shared" si="30"/>
        <v>1.055921052631579</v>
      </c>
      <c r="AP135" s="18">
        <f t="shared" si="31"/>
        <v>1.0059210526315789</v>
      </c>
      <c r="AQ135" s="10" t="str">
        <f>IFERROR(VLOOKUP(B135,Departments!A:C,3,FALSE),"")</f>
        <v>Microbiology</v>
      </c>
      <c r="AR135" s="10" t="str">
        <f>IFERROR(VLOOKUP(B135,Departments!A:B,2,FALSE),"")</f>
        <v>Sydney Micro</v>
      </c>
      <c r="AS135" s="10">
        <f t="shared" si="27"/>
        <v>7.6</v>
      </c>
      <c r="AT135" s="10">
        <f t="shared" si="28"/>
        <v>7.6</v>
      </c>
      <c r="AU135" s="10" t="str">
        <f>_xlfn.IFNA(VLOOKUP(B135,Departments!A:D,4,FALSE),"")</f>
        <v>Sydney Micro</v>
      </c>
    </row>
    <row r="136" spans="1:47" ht="14.45" customHeight="1">
      <c r="A136" s="11" t="str">
        <f t="shared" si="24"/>
        <v>1202080019052</v>
      </c>
      <c r="B136" s="11">
        <f>'TRANS EMP EXTRACT - COST CENTRE'!B135</f>
        <v>12020800</v>
      </c>
      <c r="C136" s="10" t="str">
        <f>IFERROR(VLOOKUP(E136,'TRANS EMP EXTRACT - EMP CATEGOR'!A:B,2,FALSE),"")</f>
        <v>FT</v>
      </c>
      <c r="D136" s="10" t="str">
        <f>IFERROR(VLOOKUP(E136,'TRANS EMP EXTRACT - EMP CATEGOR'!A:C,3,FALSE),"")</f>
        <v>Fulltime</v>
      </c>
      <c r="E136" s="11">
        <f>'TRANS EMP EXTRACT - COST CENTRE'!D135</f>
        <v>19052</v>
      </c>
      <c r="F136" s="10" t="str">
        <f>IFERROR(VLOOKUP(E136,'TRANS EMP EXTRACT - COST CENTRE'!D:E,2,FALSE),"")</f>
        <v>TRUONG  RICHARD MR</v>
      </c>
      <c r="G136" s="12">
        <f>IFERROR(INDEX('TRANS EMP EXTRACT - COST CENTRE'!$A$1:$Z$455,MATCH('Summary - Monthly'!$A136,'TRANS EMP EXTRACT - COST CENTRE'!$A:$A,0),MATCH('Summary - Monthly'!G$3,'TRANS EMP EXTRACT - COST CENTRE'!$2:$2,0)),"")</f>
        <v>44931</v>
      </c>
      <c r="H136" s="10" t="str">
        <f>IFERROR(INDEX('TRANS EMP EXTRACT - COST CENTRE'!$B$1:$Z$455,MATCH('Summary - Monthly'!$E136,'TRANS EMP EXTRACT - COST CENTRE'!$D:$D,0),MATCH('Summary - Monthly'!H$3,'TRANS EMP EXTRACT - COST CENTRE'!$2:$2,0)),"")</f>
        <v>RT</v>
      </c>
      <c r="I136" s="12" t="str">
        <f>IFERROR(INDEX('TRANS EMP EXTRACT - EMP CATEGOR'!$B$1:$AF$421,MATCH('Summary - Monthly'!$E136,'TRANS EMP EXTRACT - EMP CATEGOR'!$D:$D,0),MATCH('Summary - Monthly'!H$3,'TRANS EMP EXTRACT - EMP CATEGOR'!$2:$2,0)),"")</f>
        <v>RT</v>
      </c>
      <c r="J136" s="41">
        <f t="shared" ca="1" si="25"/>
        <v>12.076700000000001</v>
      </c>
      <c r="K136" s="41">
        <f t="shared" ca="1" si="29"/>
        <v>24.153400000000001</v>
      </c>
      <c r="L136" s="10">
        <f>IFERROR(INDEX('TRANS EMP EXTRACT - COST CENTRE'!$A$1:$Z$455,MATCH('Summary - Monthly'!$A136,'TRANS EMP EXTRACT - COST CENTRE'!$A:$A,0),MATCH('Summary - Monthly'!L$3,'TRANS EMP EXTRACT - COST CENTRE'!$2:$2,0)),"")</f>
        <v>152</v>
      </c>
      <c r="M136" s="10">
        <f>IFERROR(INDEX('TRANS EMP EXTRACT - COST CENTRE'!$A$1:$Z$455,MATCH('Summary - Monthly'!$A136,'TRANS EMP EXTRACT - COST CENTRE'!$A:$A,0),MATCH('Summary - Monthly'!M$3,'TRANS EMP EXTRACT - COST CENTRE'!$2:$2,0)),0)</f>
        <v>0</v>
      </c>
      <c r="N136" s="10">
        <f>IFERROR(INDEX('TRANS EMP EXTRACT - COST CENTRE'!$A$1:$Z$455,MATCH('Summary - Monthly'!$A136,'TRANS EMP EXTRACT - COST CENTRE'!$A:$A,0),MATCH('Summary - Monthly'!N$3,'TRANS EMP EXTRACT - COST CENTRE'!$2:$2,0)),0)</f>
        <v>0</v>
      </c>
      <c r="O136" s="10">
        <f>IFERROR(INDEX('TRANS EMP EXTRACT - COST CENTRE'!$A$1:$Z$455,MATCH('Summary - Monthly'!$A136,'TRANS EMP EXTRACT - COST CENTRE'!$A:$A,0),MATCH('Summary - Monthly'!O$3,'TRANS EMP EXTRACT - COST CENTRE'!$2:$2,0)),0)</f>
        <v>0</v>
      </c>
      <c r="P136" s="10">
        <f>IFERROR(INDEX('TRANS EMP EXTRACT - COST CENTRE'!$A$1:$Z$455,MATCH('Summary - Monthly'!$A136,'TRANS EMP EXTRACT - COST CENTRE'!$A:$A,0),MATCH('Summary - Monthly'!P$3,'TRANS EMP EXTRACT - COST CENTRE'!$2:$2,0)),0)</f>
        <v>0</v>
      </c>
      <c r="Q136" s="10">
        <f>IFERROR(INDEX('TRANS EMP EXTRACT - COST CENTRE'!$A$1:$Z$455,MATCH('Summary - Monthly'!$A136,'TRANS EMP EXTRACT - COST CENTRE'!$A:$A,0),MATCH('Summary - Monthly'!Q$3,'TRANS EMP EXTRACT - COST CENTRE'!$2:$2,0)),0)</f>
        <v>1</v>
      </c>
      <c r="R136" s="10">
        <f>IFERROR(INDEX('TRANS EMP EXTRACT - COST CENTRE'!$A$1:$Z$455,MATCH('Summary - Monthly'!$A136,'TRANS EMP EXTRACT - COST CENTRE'!$A:$A,0),MATCH('Summary - Monthly'!R$3,'TRANS EMP EXTRACT - COST CENTRE'!$2:$2,0)),0)</f>
        <v>0</v>
      </c>
      <c r="S136" s="10">
        <f>IFERROR(INDEX('TRANS EMP EXTRACT - COST CENTRE'!$A$1:$Z$455,MATCH('Summary - Monthly'!$A136,'TRANS EMP EXTRACT - COST CENTRE'!$A:$A,0),MATCH('Summary - Monthly'!S$3,'TRANS EMP EXTRACT - COST CENTRE'!$2:$2,0)),0)</f>
        <v>0</v>
      </c>
      <c r="T136" s="8">
        <f>IFERROR(INDEX('TRANS EMP EXTRACT - COST CENTRE'!$A$1:$Z$455,MATCH('Summary - Monthly'!$A136,'TRANS EMP EXTRACT - COST CENTRE'!$A:$A,0),MATCH('Summary - Monthly'!T$3,'TRANS EMP EXTRACT - COST CENTRE'!$2:$2,0)),0)</f>
        <v>0</v>
      </c>
      <c r="U136" s="13">
        <f>IFERROR(INDEX('TRANS EMP EXTRACT - COST CENTRE'!$A$1:$Z$455,MATCH('Summary - Monthly'!$A136,'TRANS EMP EXTRACT - COST CENTRE'!$A:$A,0),MATCH('Summary - Monthly'!U$3,'TRANS EMP EXTRACT - COST CENTRE'!$2:$2,0)),0)</f>
        <v>0</v>
      </c>
      <c r="V136" s="13">
        <f>IFERROR(INDEX('TRANS EMP EXTRACT - COST CENTRE'!$A$1:$Z$455,MATCH('Summary - Monthly'!$A136,'TRANS EMP EXTRACT - COST CENTRE'!$A:$A,0),MATCH('Summary - Monthly'!V$3,'TRANS EMP EXTRACT - COST CENTRE'!$2:$2,0)),0)</f>
        <v>0</v>
      </c>
      <c r="W136" s="13">
        <f>IFERROR(INDEX('TRANS EMP EXTRACT - COST CENTRE'!$A$1:$Z$455,MATCH('Summary - Monthly'!$A136,'TRANS EMP EXTRACT - COST CENTRE'!$A:$A,0),MATCH('Summary - Monthly'!W$3,'TRANS EMP EXTRACT - COST CENTRE'!$2:$2,0)),0)</f>
        <v>0</v>
      </c>
      <c r="X136" s="13">
        <f>IFERROR(INDEX('TRANS EMP EXTRACT - COST CENTRE'!$A$1:$Z$455,MATCH('Summary - Monthly'!$A136,'TRANS EMP EXTRACT - COST CENTRE'!$A:$A,0),MATCH('Summary - Monthly'!X$3,'TRANS EMP EXTRACT - COST CENTRE'!$2:$2,0)),0)</f>
        <v>0</v>
      </c>
      <c r="Y136" s="13">
        <f>IFERROR(INDEX('TRANS EMP EXTRACT - COST CENTRE'!$A$1:$Z$455,MATCH('Summary - Monthly'!$A136,'TRANS EMP EXTRACT - COST CENTRE'!$A:$A,0),MATCH('Summary - Monthly'!Y$3,'TRANS EMP EXTRACT - COST CENTRE'!$2:$2,0)),0)</f>
        <v>0</v>
      </c>
      <c r="Z136" s="10">
        <f>IFERROR(INDEX('TRANS EMP EXTRACT - COST CENTRE'!$A$1:$Z$455,MATCH('Summary - Monthly'!$A136,'TRANS EMP EXTRACT - COST CENTRE'!$A:$A,0),MATCH('Summary - Monthly'!Z$3,'TRANS EMP EXTRACT - COST CENTRE'!$2:$2,0)),0)</f>
        <v>0</v>
      </c>
      <c r="AA136" s="10">
        <f>IFERROR(INDEX('TRANS EMP EXTRACT - COST CENTRE'!$A$1:$Z$455,MATCH('Summary - Monthly'!$A136,'TRANS EMP EXTRACT - COST CENTRE'!$A:$A,0),MATCH('Summary - Monthly'!AA$3,'TRANS EMP EXTRACT - COST CENTRE'!$2:$2,0)),0)</f>
        <v>0</v>
      </c>
      <c r="AB136" s="10">
        <f>IFERROR(INDEX('TRANS EMP EXTRACT - COST CENTRE'!$A$1:$Z$455,MATCH('Summary - Monthly'!$A136,'TRANS EMP EXTRACT - COST CENTRE'!$A:$A,0),MATCH('Summary - Monthly'!AB$3,'TRANS EMP EXTRACT - COST CENTRE'!$2:$2,0)),0)</f>
        <v>0</v>
      </c>
      <c r="AC136" s="8">
        <f>IFERROR(INDEX('TRANS EMP EXTRACT - COST CENTRE'!$A$1:$Z$455,MATCH('Summary - Monthly'!$A136,'TRANS EMP EXTRACT - COST CENTRE'!$A:$A,0),MATCH('Summary - Monthly'!AC$3,'TRANS EMP EXTRACT - COST CENTRE'!$2:$2,0)),0)</f>
        <v>0</v>
      </c>
      <c r="AD136" s="13">
        <f>IFERROR(INDEX('TRANS EMP EXTRACT - COST CENTRE'!$A$1:$Z$455,MATCH('Summary - Monthly'!$A136,'TRANS EMP EXTRACT - COST CENTRE'!$A:$A,0),MATCH('Summary - Monthly'!AD$3,'TRANS EMP EXTRACT - COST CENTRE'!$2:$2,0)),0)</f>
        <v>0</v>
      </c>
      <c r="AE136" s="13">
        <f>IFERROR(INDEX('TRANS EMP EXTRACT - COST CENTRE'!$A$1:$Z$455,MATCH('Summary - Monthly'!$A136,'TRANS EMP EXTRACT - COST CENTRE'!$A:$A,0),MATCH('Summary - Monthly'!AE$3,'TRANS EMP EXTRACT - COST CENTRE'!$2:$2,0)),0)</f>
        <v>0</v>
      </c>
      <c r="AF136" s="13">
        <f>IFERROR(INDEX('TRANS EMP EXTRACT - COST CENTRE'!$A$1:$Z$455,MATCH('Summary - Monthly'!$A136,'TRANS EMP EXTRACT - COST CENTRE'!$A:$A,0),MATCH('Summary - Monthly'!AF$3,'TRANS EMP EXTRACT - COST CENTRE'!$2:$2,0)),0)</f>
        <v>0</v>
      </c>
      <c r="AG136" s="10">
        <f>IFERROR(INDEX('TRANS EMP EXTRACT - COST CENTRE'!$A$1:$Z$455,MATCH('Summary - Monthly'!$A136,'TRANS EMP EXTRACT - COST CENTRE'!$A:$A,0),MATCH('Summary - Monthly'!AG$3,'TRANS EMP EXTRACT - COST CENTRE'!$2:$2,0)),0)</f>
        <v>0</v>
      </c>
      <c r="AH136" s="10">
        <f>IFERROR(INDEX('TRANS EMP EXTRACT - COST CENTRE'!$A$1:$Z$455,MATCH('Summary - Monthly'!$A136,'TRANS EMP EXTRACT - COST CENTRE'!$A:$A,0),MATCH('Summary - Monthly'!AH$3,'TRANS EMP EXTRACT - COST CENTRE'!$2:$2,0)),0)</f>
        <v>0</v>
      </c>
      <c r="AI136" s="10">
        <f>IFERROR(INDEX('TRANS EMP EXTRACT - COST CENTRE'!$A$1:$Z$455,MATCH('Summary - Monthly'!$A136,'TRANS EMP EXTRACT - COST CENTRE'!$A:$A,0),MATCH('Summary - Monthly'!AI$3,'TRANS EMP EXTRACT - COST CENTRE'!$2:$2,0)),0)</f>
        <v>0</v>
      </c>
      <c r="AJ136" s="10">
        <f>IFERROR(INDEX('TRANS EMP EXTRACT - COST CENTRE'!$A$1:$Z$455,MATCH('Summary - Monthly'!$A136,'TRANS EMP EXTRACT - COST CENTRE'!$A:$A,0),MATCH('Summary - Monthly'!AJ$3,'TRANS EMP EXTRACT - COST CENTRE'!$2:$2,0)),0)</f>
        <v>0</v>
      </c>
      <c r="AK136" s="10">
        <f>IFERROR(INDEX('TRANS EMP EXTRACT - COST CENTRE'!$A$1:$Z$455,MATCH('Summary - Monthly'!$A136,'TRANS EMP EXTRACT - COST CENTRE'!$A:$A,0),MATCH('Summary - Monthly'!AK$3,'TRANS EMP EXTRACT - COST CENTRE'!$2:$2,0)),0)</f>
        <v>0</v>
      </c>
      <c r="AL136" s="10">
        <f>IFERROR(INDEX('TRANS EMP EXTRACT - COST CENTRE'!$A$1:$Z$455,MATCH('Summary - Monthly'!$A136,'TRANS EMP EXTRACT - COST CENTRE'!$A:$A,0),MATCH('Summary - Monthly'!AL$3,'TRANS EMP EXTRACT - COST CENTRE'!$2:$2,0)),0)</f>
        <v>0</v>
      </c>
      <c r="AM136" s="10">
        <f t="shared" si="20"/>
        <v>153</v>
      </c>
      <c r="AN136" s="14">
        <f t="shared" si="26"/>
        <v>6.5789473684210523E-3</v>
      </c>
      <c r="AO136" s="18">
        <f t="shared" si="30"/>
        <v>1.006578947368421</v>
      </c>
      <c r="AP136" s="18">
        <f t="shared" si="31"/>
        <v>1.006578947368421</v>
      </c>
      <c r="AQ136" s="10" t="str">
        <f>IFERROR(VLOOKUP(B136,Departments!A:C,3,FALSE),"")</f>
        <v>Microbiology</v>
      </c>
      <c r="AR136" s="10" t="str">
        <f>IFERROR(VLOOKUP(B136,Departments!A:B,2,FALSE),"")</f>
        <v>Sydney Sample Registration</v>
      </c>
      <c r="AS136" s="10">
        <f t="shared" si="27"/>
        <v>0</v>
      </c>
      <c r="AT136" s="10">
        <f t="shared" si="28"/>
        <v>0</v>
      </c>
      <c r="AU136" s="10" t="str">
        <f>_xlfn.IFNA(VLOOKUP(B136,Departments!A:D,4,FALSE),"")</f>
        <v>Sydney Micro</v>
      </c>
    </row>
    <row r="137" spans="1:47" ht="14.45" customHeight="1">
      <c r="A137" s="11" t="str">
        <f t="shared" si="24"/>
        <v>1204080018904</v>
      </c>
      <c r="B137" s="11">
        <f>'TRANS EMP EXTRACT - COST CENTRE'!B136</f>
        <v>12040800</v>
      </c>
      <c r="C137" s="10" t="str">
        <f>IFERROR(VLOOKUP(E137,'TRANS EMP EXTRACT - EMP CATEGOR'!A:B,2,FALSE),"")</f>
        <v>FT</v>
      </c>
      <c r="D137" s="10" t="str">
        <f>IFERROR(VLOOKUP(E137,'TRANS EMP EXTRACT - EMP CATEGOR'!A:C,3,FALSE),"")</f>
        <v>Fulltime</v>
      </c>
      <c r="E137" s="11">
        <f>'TRANS EMP EXTRACT - COST CENTRE'!D136</f>
        <v>18904</v>
      </c>
      <c r="F137" s="10" t="str">
        <f>IFERROR(VLOOKUP(E137,'TRANS EMP EXTRACT - COST CENTRE'!D:E,2,FALSE),"")</f>
        <v>TSELEKIDIS  SIA MS</v>
      </c>
      <c r="G137" s="12">
        <f>IFERROR(INDEX('TRANS EMP EXTRACT - COST CENTRE'!$A$1:$Z$455,MATCH('Summary - Monthly'!$A137,'TRANS EMP EXTRACT - COST CENTRE'!$A:$A,0),MATCH('Summary - Monthly'!G$3,'TRANS EMP EXTRACT - COST CENTRE'!$2:$2,0)),"")</f>
        <v>43899</v>
      </c>
      <c r="H137" s="10" t="str">
        <f>IFERROR(INDEX('TRANS EMP EXTRACT - COST CENTRE'!$B$1:$Z$455,MATCH('Summary - Monthly'!$E137,'TRANS EMP EXTRACT - COST CENTRE'!$D:$D,0),MATCH('Summary - Monthly'!H$3,'TRANS EMP EXTRACT - COST CENTRE'!$2:$2,0)),"")</f>
        <v>RT</v>
      </c>
      <c r="I137" s="12" t="str">
        <f>IFERROR(INDEX('TRANS EMP EXTRACT - EMP CATEGOR'!$B$1:$AF$421,MATCH('Summary - Monthly'!$E137,'TRANS EMP EXTRACT - EMP CATEGOR'!$D:$D,0),MATCH('Summary - Monthly'!H$3,'TRANS EMP EXTRACT - EMP CATEGOR'!$2:$2,0)),"")</f>
        <v>RT</v>
      </c>
      <c r="J137" s="41">
        <f t="shared" ca="1" si="25"/>
        <v>40.924300000000002</v>
      </c>
      <c r="K137" s="41">
        <f t="shared" ca="1" si="29"/>
        <v>157.3486</v>
      </c>
      <c r="L137" s="10">
        <f>IFERROR(INDEX('TRANS EMP EXTRACT - COST CENTRE'!$A$1:$Z$455,MATCH('Summary - Monthly'!$A137,'TRANS EMP EXTRACT - COST CENTRE'!$A:$A,0),MATCH('Summary - Monthly'!L$3,'TRANS EMP EXTRACT - COST CENTRE'!$2:$2,0)),"")</f>
        <v>143.91669999999999</v>
      </c>
      <c r="M137" s="10">
        <f>IFERROR(INDEX('TRANS EMP EXTRACT - COST CENTRE'!$A$1:$Z$455,MATCH('Summary - Monthly'!$A137,'TRANS EMP EXTRACT - COST CENTRE'!$A:$A,0),MATCH('Summary - Monthly'!M$3,'TRANS EMP EXTRACT - COST CENTRE'!$2:$2,0)),0)</f>
        <v>0</v>
      </c>
      <c r="N137" s="10">
        <f>IFERROR(INDEX('TRANS EMP EXTRACT - COST CENTRE'!$A$1:$Z$455,MATCH('Summary - Monthly'!$A137,'TRANS EMP EXTRACT - COST CENTRE'!$A:$A,0),MATCH('Summary - Monthly'!N$3,'TRANS EMP EXTRACT - COST CENTRE'!$2:$2,0)),0)</f>
        <v>0</v>
      </c>
      <c r="O137" s="10">
        <f>IFERROR(INDEX('TRANS EMP EXTRACT - COST CENTRE'!$A$1:$Z$455,MATCH('Summary - Monthly'!$A137,'TRANS EMP EXTRACT - COST CENTRE'!$A:$A,0),MATCH('Summary - Monthly'!O$3,'TRANS EMP EXTRACT - COST CENTRE'!$2:$2,0)),0)</f>
        <v>0</v>
      </c>
      <c r="P137" s="10">
        <f>IFERROR(INDEX('TRANS EMP EXTRACT - COST CENTRE'!$A$1:$Z$455,MATCH('Summary - Monthly'!$A137,'TRANS EMP EXTRACT - COST CENTRE'!$A:$A,0),MATCH('Summary - Monthly'!P$3,'TRANS EMP EXTRACT - COST CENTRE'!$2:$2,0)),0)</f>
        <v>0</v>
      </c>
      <c r="Q137" s="10">
        <f>IFERROR(INDEX('TRANS EMP EXTRACT - COST CENTRE'!$A$1:$Z$455,MATCH('Summary - Monthly'!$A137,'TRANS EMP EXTRACT - COST CENTRE'!$A:$A,0),MATCH('Summary - Monthly'!Q$3,'TRANS EMP EXTRACT - COST CENTRE'!$2:$2,0)),0)</f>
        <v>7.1166</v>
      </c>
      <c r="R137" s="10">
        <f>IFERROR(INDEX('TRANS EMP EXTRACT - COST CENTRE'!$A$1:$Z$455,MATCH('Summary - Monthly'!$A137,'TRANS EMP EXTRACT - COST CENTRE'!$A:$A,0),MATCH('Summary - Monthly'!R$3,'TRANS EMP EXTRACT - COST CENTRE'!$2:$2,0)),0)</f>
        <v>0</v>
      </c>
      <c r="S137" s="10">
        <f>IFERROR(INDEX('TRANS EMP EXTRACT - COST CENTRE'!$A$1:$Z$455,MATCH('Summary - Monthly'!$A137,'TRANS EMP EXTRACT - COST CENTRE'!$A:$A,0),MATCH('Summary - Monthly'!S$3,'TRANS EMP EXTRACT - COST CENTRE'!$2:$2,0)),0)</f>
        <v>0</v>
      </c>
      <c r="T137" s="8">
        <f>IFERROR(INDEX('TRANS EMP EXTRACT - COST CENTRE'!$A$1:$Z$455,MATCH('Summary - Monthly'!$A137,'TRANS EMP EXTRACT - COST CENTRE'!$A:$A,0),MATCH('Summary - Monthly'!T$3,'TRANS EMP EXTRACT - COST CENTRE'!$2:$2,0)),0)</f>
        <v>0</v>
      </c>
      <c r="U137" s="13">
        <f>IFERROR(INDEX('TRANS EMP EXTRACT - COST CENTRE'!$A$1:$Z$455,MATCH('Summary - Monthly'!$A137,'TRANS EMP EXTRACT - COST CENTRE'!$A:$A,0),MATCH('Summary - Monthly'!U$3,'TRANS EMP EXTRACT - COST CENTRE'!$2:$2,0)),0)</f>
        <v>0</v>
      </c>
      <c r="V137" s="13">
        <f>IFERROR(INDEX('TRANS EMP EXTRACT - COST CENTRE'!$A$1:$Z$455,MATCH('Summary - Monthly'!$A137,'TRANS EMP EXTRACT - COST CENTRE'!$A:$A,0),MATCH('Summary - Monthly'!V$3,'TRANS EMP EXTRACT - COST CENTRE'!$2:$2,0)),0)</f>
        <v>7.6</v>
      </c>
      <c r="W137" s="13">
        <f>IFERROR(INDEX('TRANS EMP EXTRACT - COST CENTRE'!$A$1:$Z$455,MATCH('Summary - Monthly'!$A137,'TRANS EMP EXTRACT - COST CENTRE'!$A:$A,0),MATCH('Summary - Monthly'!W$3,'TRANS EMP EXTRACT - COST CENTRE'!$2:$2,0)),0)</f>
        <v>0</v>
      </c>
      <c r="X137" s="13">
        <f>IFERROR(INDEX('TRANS EMP EXTRACT - COST CENTRE'!$A$1:$Z$455,MATCH('Summary - Monthly'!$A137,'TRANS EMP EXTRACT - COST CENTRE'!$A:$A,0),MATCH('Summary - Monthly'!X$3,'TRANS EMP EXTRACT - COST CENTRE'!$2:$2,0)),0)</f>
        <v>0</v>
      </c>
      <c r="Y137" s="13">
        <f>IFERROR(INDEX('TRANS EMP EXTRACT - COST CENTRE'!$A$1:$Z$455,MATCH('Summary - Monthly'!$A137,'TRANS EMP EXTRACT - COST CENTRE'!$A:$A,0),MATCH('Summary - Monthly'!Y$3,'TRANS EMP EXTRACT - COST CENTRE'!$2:$2,0)),0)</f>
        <v>0</v>
      </c>
      <c r="Z137" s="10">
        <f>IFERROR(INDEX('TRANS EMP EXTRACT - COST CENTRE'!$A$1:$Z$455,MATCH('Summary - Monthly'!$A137,'TRANS EMP EXTRACT - COST CENTRE'!$A:$A,0),MATCH('Summary - Monthly'!Z$3,'TRANS EMP EXTRACT - COST CENTRE'!$2:$2,0)),0)</f>
        <v>0</v>
      </c>
      <c r="AA137" s="10">
        <f>IFERROR(INDEX('TRANS EMP EXTRACT - COST CENTRE'!$A$1:$Z$455,MATCH('Summary - Monthly'!$A137,'TRANS EMP EXTRACT - COST CENTRE'!$A:$A,0),MATCH('Summary - Monthly'!AA$3,'TRANS EMP EXTRACT - COST CENTRE'!$2:$2,0)),0)</f>
        <v>0</v>
      </c>
      <c r="AB137" s="10">
        <f>IFERROR(INDEX('TRANS EMP EXTRACT - COST CENTRE'!$A$1:$Z$455,MATCH('Summary - Monthly'!$A137,'TRANS EMP EXTRACT - COST CENTRE'!$A:$A,0),MATCH('Summary - Monthly'!AB$3,'TRANS EMP EXTRACT - COST CENTRE'!$2:$2,0)),0)</f>
        <v>0</v>
      </c>
      <c r="AC137" s="8">
        <f>IFERROR(INDEX('TRANS EMP EXTRACT - COST CENTRE'!$A$1:$Z$455,MATCH('Summary - Monthly'!$A137,'TRANS EMP EXTRACT - COST CENTRE'!$A:$A,0),MATCH('Summary - Monthly'!AC$3,'TRANS EMP EXTRACT - COST CENTRE'!$2:$2,0)),0)</f>
        <v>0</v>
      </c>
      <c r="AD137" s="13">
        <f>IFERROR(INDEX('TRANS EMP EXTRACT - COST CENTRE'!$A$1:$Z$455,MATCH('Summary - Monthly'!$A137,'TRANS EMP EXTRACT - COST CENTRE'!$A:$A,0),MATCH('Summary - Monthly'!AD$3,'TRANS EMP EXTRACT - COST CENTRE'!$2:$2,0)),0)</f>
        <v>0</v>
      </c>
      <c r="AE137" s="13">
        <f>IFERROR(INDEX('TRANS EMP EXTRACT - COST CENTRE'!$A$1:$Z$455,MATCH('Summary - Monthly'!$A137,'TRANS EMP EXTRACT - COST CENTRE'!$A:$A,0),MATCH('Summary - Monthly'!AE$3,'TRANS EMP EXTRACT - COST CENTRE'!$2:$2,0)),0)</f>
        <v>0</v>
      </c>
      <c r="AF137" s="13">
        <f>IFERROR(INDEX('TRANS EMP EXTRACT - COST CENTRE'!$A$1:$Z$455,MATCH('Summary - Monthly'!$A137,'TRANS EMP EXTRACT - COST CENTRE'!$A:$A,0),MATCH('Summary - Monthly'!AF$3,'TRANS EMP EXTRACT - COST CENTRE'!$2:$2,0)),0)</f>
        <v>0</v>
      </c>
      <c r="AG137" s="10">
        <f>IFERROR(INDEX('TRANS EMP EXTRACT - COST CENTRE'!$A$1:$Z$455,MATCH('Summary - Monthly'!$A137,'TRANS EMP EXTRACT - COST CENTRE'!$A:$A,0),MATCH('Summary - Monthly'!AG$3,'TRANS EMP EXTRACT - COST CENTRE'!$2:$2,0)),0)</f>
        <v>0</v>
      </c>
      <c r="AH137" s="10">
        <f>IFERROR(INDEX('TRANS EMP EXTRACT - COST CENTRE'!$A$1:$Z$455,MATCH('Summary - Monthly'!$A137,'TRANS EMP EXTRACT - COST CENTRE'!$A:$A,0),MATCH('Summary - Monthly'!AH$3,'TRANS EMP EXTRACT - COST CENTRE'!$2:$2,0)),0)</f>
        <v>0</v>
      </c>
      <c r="AI137" s="10">
        <f>IFERROR(INDEX('TRANS EMP EXTRACT - COST CENTRE'!$A$1:$Z$455,MATCH('Summary - Monthly'!$A137,'TRANS EMP EXTRACT - COST CENTRE'!$A:$A,0),MATCH('Summary - Monthly'!AI$3,'TRANS EMP EXTRACT - COST CENTRE'!$2:$2,0)),0)</f>
        <v>0</v>
      </c>
      <c r="AJ137" s="10">
        <f>IFERROR(INDEX('TRANS EMP EXTRACT - COST CENTRE'!$A$1:$Z$455,MATCH('Summary - Monthly'!$A137,'TRANS EMP EXTRACT - COST CENTRE'!$A:$A,0),MATCH('Summary - Monthly'!AJ$3,'TRANS EMP EXTRACT - COST CENTRE'!$2:$2,0)),0)</f>
        <v>0</v>
      </c>
      <c r="AK137" s="10">
        <f>IFERROR(INDEX('TRANS EMP EXTRACT - COST CENTRE'!$A$1:$Z$455,MATCH('Summary - Monthly'!$A137,'TRANS EMP EXTRACT - COST CENTRE'!$A:$A,0),MATCH('Summary - Monthly'!AK$3,'TRANS EMP EXTRACT - COST CENTRE'!$2:$2,0)),0)</f>
        <v>0</v>
      </c>
      <c r="AL137" s="10">
        <f>IFERROR(INDEX('TRANS EMP EXTRACT - COST CENTRE'!$A$1:$Z$455,MATCH('Summary - Monthly'!$A137,'TRANS EMP EXTRACT - COST CENTRE'!$A:$A,0),MATCH('Summary - Monthly'!AL$3,'TRANS EMP EXTRACT - COST CENTRE'!$2:$2,0)),0)</f>
        <v>0</v>
      </c>
      <c r="AM137" s="10">
        <f t="shared" si="20"/>
        <v>158.63329999999999</v>
      </c>
      <c r="AN137" s="14">
        <f t="shared" si="26"/>
        <v>4.6819736842105261E-2</v>
      </c>
      <c r="AO137" s="18">
        <f t="shared" si="30"/>
        <v>1.0436401315789474</v>
      </c>
      <c r="AP137" s="18">
        <f t="shared" si="31"/>
        <v>0.99364013157894737</v>
      </c>
      <c r="AQ137" s="10" t="str">
        <f>IFERROR(VLOOKUP(B137,Departments!A:C,3,FALSE),"")</f>
        <v>Microbiology</v>
      </c>
      <c r="AR137" s="10" t="str">
        <f>IFERROR(VLOOKUP(B137,Departments!A:B,2,FALSE),"")</f>
        <v>BRI Sample Registration</v>
      </c>
      <c r="AS137" s="10">
        <f t="shared" si="27"/>
        <v>7.6</v>
      </c>
      <c r="AT137" s="10">
        <f t="shared" si="28"/>
        <v>7.6</v>
      </c>
      <c r="AU137" s="10" t="str">
        <f>_xlfn.IFNA(VLOOKUP(B137,Departments!A:D,4,FALSE),"")</f>
        <v>Brisbane Micro</v>
      </c>
    </row>
    <row r="138" spans="1:47" ht="14.45" customHeight="1">
      <c r="A138" s="11" t="str">
        <f t="shared" si="24"/>
        <v>1202102118892</v>
      </c>
      <c r="B138" s="11">
        <f>'TRANS EMP EXTRACT - COST CENTRE'!B137</f>
        <v>12021021</v>
      </c>
      <c r="C138" s="10" t="str">
        <f>IFERROR(VLOOKUP(E138,'TRANS EMP EXTRACT - EMP CATEGOR'!A:B,2,FALSE),"")</f>
        <v>PT</v>
      </c>
      <c r="D138" s="10" t="str">
        <f>IFERROR(VLOOKUP(E138,'TRANS EMP EXTRACT - EMP CATEGOR'!A:C,3,FALSE),"")</f>
        <v>Parttime</v>
      </c>
      <c r="E138" s="11">
        <f>'TRANS EMP EXTRACT - COST CENTRE'!D137</f>
        <v>18892</v>
      </c>
      <c r="F138" s="10" t="str">
        <f>IFERROR(VLOOKUP(E138,'TRANS EMP EXTRACT - COST CENTRE'!D:E,2,FALSE),"")</f>
        <v>TUIMASEVE  AMENAH MRS</v>
      </c>
      <c r="G138" s="12">
        <f>IFERROR(INDEX('TRANS EMP EXTRACT - COST CENTRE'!$A$1:$Z$455,MATCH('Summary - Monthly'!$A138,'TRANS EMP EXTRACT - COST CENTRE'!$A:$A,0),MATCH('Summary - Monthly'!G$3,'TRANS EMP EXTRACT - COST CENTRE'!$2:$2,0)),"")</f>
        <v>43759</v>
      </c>
      <c r="H138" s="10" t="str">
        <f>IFERROR(INDEX('TRANS EMP EXTRACT - COST CENTRE'!$B$1:$Z$455,MATCH('Summary - Monthly'!$E138,'TRANS EMP EXTRACT - COST CENTRE'!$D:$D,0),MATCH('Summary - Monthly'!H$3,'TRANS EMP EXTRACT - COST CENTRE'!$2:$2,0)),"")</f>
        <v>RT</v>
      </c>
      <c r="I138" s="12" t="str">
        <f>IFERROR(INDEX('TRANS EMP EXTRACT - EMP CATEGOR'!$B$1:$AF$421,MATCH('Summary - Monthly'!$E138,'TRANS EMP EXTRACT - EMP CATEGOR'!$D:$D,0),MATCH('Summary - Monthly'!H$3,'TRANS EMP EXTRACT - EMP CATEGOR'!$2:$2,0)),"")</f>
        <v>RT</v>
      </c>
      <c r="J138" s="41">
        <f t="shared" ca="1" si="25"/>
        <v>14.2042</v>
      </c>
      <c r="K138" s="41">
        <f t="shared" ca="1" si="29"/>
        <v>73.708799999999997</v>
      </c>
      <c r="L138" s="10">
        <f>IFERROR(INDEX('TRANS EMP EXTRACT - COST CENTRE'!$A$1:$Z$455,MATCH('Summary - Monthly'!$A138,'TRANS EMP EXTRACT - COST CENTRE'!$A:$A,0),MATCH('Summary - Monthly'!L$3,'TRANS EMP EXTRACT - COST CENTRE'!$2:$2,0)),"")</f>
        <v>137.91669999999999</v>
      </c>
      <c r="M138" s="10">
        <f>IFERROR(INDEX('TRANS EMP EXTRACT - COST CENTRE'!$A$1:$Z$455,MATCH('Summary - Monthly'!$A138,'TRANS EMP EXTRACT - COST CENTRE'!$A:$A,0),MATCH('Summary - Monthly'!M$3,'TRANS EMP EXTRACT - COST CENTRE'!$2:$2,0)),0)</f>
        <v>0</v>
      </c>
      <c r="N138" s="10">
        <f>IFERROR(INDEX('TRANS EMP EXTRACT - COST CENTRE'!$A$1:$Z$455,MATCH('Summary - Monthly'!$A138,'TRANS EMP EXTRACT - COST CENTRE'!$A:$A,0),MATCH('Summary - Monthly'!N$3,'TRANS EMP EXTRACT - COST CENTRE'!$2:$2,0)),0)</f>
        <v>0</v>
      </c>
      <c r="O138" s="10">
        <f>IFERROR(INDEX('TRANS EMP EXTRACT - COST CENTRE'!$A$1:$Z$455,MATCH('Summary - Monthly'!$A138,'TRANS EMP EXTRACT - COST CENTRE'!$A:$A,0),MATCH('Summary - Monthly'!O$3,'TRANS EMP EXTRACT - COST CENTRE'!$2:$2,0)),0)</f>
        <v>0</v>
      </c>
      <c r="P138" s="10">
        <f>IFERROR(INDEX('TRANS EMP EXTRACT - COST CENTRE'!$A$1:$Z$455,MATCH('Summary - Monthly'!$A138,'TRANS EMP EXTRACT - COST CENTRE'!$A:$A,0),MATCH('Summary - Monthly'!P$3,'TRANS EMP EXTRACT - COST CENTRE'!$2:$2,0)),0)</f>
        <v>0</v>
      </c>
      <c r="Q138" s="10">
        <f>IFERROR(INDEX('TRANS EMP EXTRACT - COST CENTRE'!$A$1:$Z$455,MATCH('Summary - Monthly'!$A138,'TRANS EMP EXTRACT - COST CENTRE'!$A:$A,0),MATCH('Summary - Monthly'!Q$3,'TRANS EMP EXTRACT - COST CENTRE'!$2:$2,0)),0)</f>
        <v>1.1833</v>
      </c>
      <c r="R138" s="10">
        <f>IFERROR(INDEX('TRANS EMP EXTRACT - COST CENTRE'!$A$1:$Z$455,MATCH('Summary - Monthly'!$A138,'TRANS EMP EXTRACT - COST CENTRE'!$A:$A,0),MATCH('Summary - Monthly'!R$3,'TRANS EMP EXTRACT - COST CENTRE'!$2:$2,0)),0)</f>
        <v>0</v>
      </c>
      <c r="S138" s="10">
        <f>IFERROR(INDEX('TRANS EMP EXTRACT - COST CENTRE'!$A$1:$Z$455,MATCH('Summary - Monthly'!$A138,'TRANS EMP EXTRACT - COST CENTRE'!$A:$A,0),MATCH('Summary - Monthly'!S$3,'TRANS EMP EXTRACT - COST CENTRE'!$2:$2,0)),0)</f>
        <v>0</v>
      </c>
      <c r="T138" s="8">
        <f>IFERROR(INDEX('TRANS EMP EXTRACT - COST CENTRE'!$A$1:$Z$455,MATCH('Summary - Monthly'!$A138,'TRANS EMP EXTRACT - COST CENTRE'!$A:$A,0),MATCH('Summary - Monthly'!T$3,'TRANS EMP EXTRACT - COST CENTRE'!$2:$2,0)),0)</f>
        <v>0</v>
      </c>
      <c r="U138" s="13">
        <f>IFERROR(INDEX('TRANS EMP EXTRACT - COST CENTRE'!$A$1:$Z$455,MATCH('Summary - Monthly'!$A138,'TRANS EMP EXTRACT - COST CENTRE'!$A:$A,0),MATCH('Summary - Monthly'!U$3,'TRANS EMP EXTRACT - COST CENTRE'!$2:$2,0)),0)</f>
        <v>0</v>
      </c>
      <c r="V138" s="13">
        <f>IFERROR(INDEX('TRANS EMP EXTRACT - COST CENTRE'!$A$1:$Z$455,MATCH('Summary - Monthly'!$A138,'TRANS EMP EXTRACT - COST CENTRE'!$A:$A,0),MATCH('Summary - Monthly'!V$3,'TRANS EMP EXTRACT - COST CENTRE'!$2:$2,0)),0)</f>
        <v>6</v>
      </c>
      <c r="W138" s="13">
        <f>IFERROR(INDEX('TRANS EMP EXTRACT - COST CENTRE'!$A$1:$Z$455,MATCH('Summary - Monthly'!$A138,'TRANS EMP EXTRACT - COST CENTRE'!$A:$A,0),MATCH('Summary - Monthly'!W$3,'TRANS EMP EXTRACT - COST CENTRE'!$2:$2,0)),0)</f>
        <v>0</v>
      </c>
      <c r="X138" s="13">
        <f>IFERROR(INDEX('TRANS EMP EXTRACT - COST CENTRE'!$A$1:$Z$455,MATCH('Summary - Monthly'!$A138,'TRANS EMP EXTRACT - COST CENTRE'!$A:$A,0),MATCH('Summary - Monthly'!X$3,'TRANS EMP EXTRACT - COST CENTRE'!$2:$2,0)),0)</f>
        <v>0</v>
      </c>
      <c r="Y138" s="13">
        <f>IFERROR(INDEX('TRANS EMP EXTRACT - COST CENTRE'!$A$1:$Z$455,MATCH('Summary - Monthly'!$A138,'TRANS EMP EXTRACT - COST CENTRE'!$A:$A,0),MATCH('Summary - Monthly'!Y$3,'TRANS EMP EXTRACT - COST CENTRE'!$2:$2,0)),0)</f>
        <v>6</v>
      </c>
      <c r="Z138" s="10">
        <f>IFERROR(INDEX('TRANS EMP EXTRACT - COST CENTRE'!$A$1:$Z$455,MATCH('Summary - Monthly'!$A138,'TRANS EMP EXTRACT - COST CENTRE'!$A:$A,0),MATCH('Summary - Monthly'!Z$3,'TRANS EMP EXTRACT - COST CENTRE'!$2:$2,0)),0)</f>
        <v>0</v>
      </c>
      <c r="AA138" s="10">
        <f>IFERROR(INDEX('TRANS EMP EXTRACT - COST CENTRE'!$A$1:$Z$455,MATCH('Summary - Monthly'!$A138,'TRANS EMP EXTRACT - COST CENTRE'!$A:$A,0),MATCH('Summary - Monthly'!AA$3,'TRANS EMP EXTRACT - COST CENTRE'!$2:$2,0)),0)</f>
        <v>0</v>
      </c>
      <c r="AB138" s="10">
        <f>IFERROR(INDEX('TRANS EMP EXTRACT - COST CENTRE'!$A$1:$Z$455,MATCH('Summary - Monthly'!$A138,'TRANS EMP EXTRACT - COST CENTRE'!$A:$A,0),MATCH('Summary - Monthly'!AB$3,'TRANS EMP EXTRACT - COST CENTRE'!$2:$2,0)),0)</f>
        <v>0</v>
      </c>
      <c r="AC138" s="8">
        <f>IFERROR(INDEX('TRANS EMP EXTRACT - COST CENTRE'!$A$1:$Z$455,MATCH('Summary - Monthly'!$A138,'TRANS EMP EXTRACT - COST CENTRE'!$A:$A,0),MATCH('Summary - Monthly'!AC$3,'TRANS EMP EXTRACT - COST CENTRE'!$2:$2,0)),0)</f>
        <v>0</v>
      </c>
      <c r="AD138" s="13">
        <f>IFERROR(INDEX('TRANS EMP EXTRACT - COST CENTRE'!$A$1:$Z$455,MATCH('Summary - Monthly'!$A138,'TRANS EMP EXTRACT - COST CENTRE'!$A:$A,0),MATCH('Summary - Monthly'!AD$3,'TRANS EMP EXTRACT - COST CENTRE'!$2:$2,0)),0)</f>
        <v>0</v>
      </c>
      <c r="AE138" s="13">
        <f>IFERROR(INDEX('TRANS EMP EXTRACT - COST CENTRE'!$A$1:$Z$455,MATCH('Summary - Monthly'!$A138,'TRANS EMP EXTRACT - COST CENTRE'!$A:$A,0),MATCH('Summary - Monthly'!AE$3,'TRANS EMP EXTRACT - COST CENTRE'!$2:$2,0)),0)</f>
        <v>0</v>
      </c>
      <c r="AF138" s="13">
        <f>IFERROR(INDEX('TRANS EMP EXTRACT - COST CENTRE'!$A$1:$Z$455,MATCH('Summary - Monthly'!$A138,'TRANS EMP EXTRACT - COST CENTRE'!$A:$A,0),MATCH('Summary - Monthly'!AF$3,'TRANS EMP EXTRACT - COST CENTRE'!$2:$2,0)),0)</f>
        <v>0</v>
      </c>
      <c r="AG138" s="10">
        <f>IFERROR(INDEX('TRANS EMP EXTRACT - COST CENTRE'!$A$1:$Z$455,MATCH('Summary - Monthly'!$A138,'TRANS EMP EXTRACT - COST CENTRE'!$A:$A,0),MATCH('Summary - Monthly'!AG$3,'TRANS EMP EXTRACT - COST CENTRE'!$2:$2,0)),0)</f>
        <v>0</v>
      </c>
      <c r="AH138" s="10">
        <f>IFERROR(INDEX('TRANS EMP EXTRACT - COST CENTRE'!$A$1:$Z$455,MATCH('Summary - Monthly'!$A138,'TRANS EMP EXTRACT - COST CENTRE'!$A:$A,0),MATCH('Summary - Monthly'!AH$3,'TRANS EMP EXTRACT - COST CENTRE'!$2:$2,0)),0)</f>
        <v>0</v>
      </c>
      <c r="AI138" s="10">
        <f>IFERROR(INDEX('TRANS EMP EXTRACT - COST CENTRE'!$A$1:$Z$455,MATCH('Summary - Monthly'!$A138,'TRANS EMP EXTRACT - COST CENTRE'!$A:$A,0),MATCH('Summary - Monthly'!AI$3,'TRANS EMP EXTRACT - COST CENTRE'!$2:$2,0)),0)</f>
        <v>0</v>
      </c>
      <c r="AJ138" s="10">
        <f>IFERROR(INDEX('TRANS EMP EXTRACT - COST CENTRE'!$A$1:$Z$455,MATCH('Summary - Monthly'!$A138,'TRANS EMP EXTRACT - COST CENTRE'!$A:$A,0),MATCH('Summary - Monthly'!AJ$3,'TRANS EMP EXTRACT - COST CENTRE'!$2:$2,0)),0)</f>
        <v>0</v>
      </c>
      <c r="AK138" s="10">
        <f>IFERROR(INDEX('TRANS EMP EXTRACT - COST CENTRE'!$A$1:$Z$455,MATCH('Summary - Monthly'!$A138,'TRANS EMP EXTRACT - COST CENTRE'!$A:$A,0),MATCH('Summary - Monthly'!AK$3,'TRANS EMP EXTRACT - COST CENTRE'!$2:$2,0)),0)</f>
        <v>0</v>
      </c>
      <c r="AL138" s="10">
        <f>IFERROR(INDEX('TRANS EMP EXTRACT - COST CENTRE'!$A$1:$Z$455,MATCH('Summary - Monthly'!$A138,'TRANS EMP EXTRACT - COST CENTRE'!$A:$A,0),MATCH('Summary - Monthly'!AL$3,'TRANS EMP EXTRACT - COST CENTRE'!$2:$2,0)),0)</f>
        <v>0</v>
      </c>
      <c r="AM138" s="10">
        <f t="shared" si="20"/>
        <v>151.1</v>
      </c>
      <c r="AN138" s="14">
        <f t="shared" si="26"/>
        <v>7.7848684210526315E-3</v>
      </c>
      <c r="AO138" s="18">
        <f t="shared" si="30"/>
        <v>0.99407894736842106</v>
      </c>
      <c r="AP138" s="18">
        <f t="shared" si="31"/>
        <v>0.91513157894736841</v>
      </c>
      <c r="AQ138" s="10" t="str">
        <f>IFERROR(VLOOKUP(B138,Departments!A:C,3,FALSE),"")</f>
        <v>Chemistry</v>
      </c>
      <c r="AR138" s="10" t="str">
        <f>IFERROR(VLOOKUP(B138,Departments!A:B,2,FALSE),"")</f>
        <v>Sydney Chem</v>
      </c>
      <c r="AS138" s="10">
        <f t="shared" si="27"/>
        <v>12</v>
      </c>
      <c r="AT138" s="10">
        <f t="shared" si="28"/>
        <v>12</v>
      </c>
      <c r="AU138" s="10" t="str">
        <f>_xlfn.IFNA(VLOOKUP(B138,Departments!A:D,4,FALSE),"")</f>
        <v>Sydney Chem</v>
      </c>
    </row>
    <row r="139" spans="1:47" ht="14.45" customHeight="1">
      <c r="A139" s="11" t="str">
        <f t="shared" si="24"/>
        <v>1203301119009</v>
      </c>
      <c r="B139" s="11">
        <f>'TRANS EMP EXTRACT - COST CENTRE'!B138</f>
        <v>12033011</v>
      </c>
      <c r="C139" s="10" t="str">
        <f>IFERROR(VLOOKUP(E139,'TRANS EMP EXTRACT - EMP CATEGOR'!A:B,2,FALSE),"")</f>
        <v>FT</v>
      </c>
      <c r="D139" s="10" t="str">
        <f>IFERROR(VLOOKUP(E139,'TRANS EMP EXTRACT - EMP CATEGOR'!A:C,3,FALSE),"")</f>
        <v>Fulltime</v>
      </c>
      <c r="E139" s="11">
        <f>'TRANS EMP EXTRACT - COST CENTRE'!D138</f>
        <v>19009</v>
      </c>
      <c r="F139" s="10" t="str">
        <f>IFERROR(VLOOKUP(E139,'TRANS EMP EXTRACT - COST CENTRE'!D:E,2,FALSE),"")</f>
        <v>VASHISHTH  DEEPIKA MS</v>
      </c>
      <c r="G139" s="12">
        <f>IFERROR(INDEX('TRANS EMP EXTRACT - COST CENTRE'!$A$1:$Z$455,MATCH('Summary - Monthly'!$A139,'TRANS EMP EXTRACT - COST CENTRE'!$A:$A,0),MATCH('Summary - Monthly'!G$3,'TRANS EMP EXTRACT - COST CENTRE'!$2:$2,0)),"")</f>
        <v>44704</v>
      </c>
      <c r="H139" s="10" t="str">
        <f>IFERROR(INDEX('TRANS EMP EXTRACT - COST CENTRE'!$B$1:$Z$455,MATCH('Summary - Monthly'!$E139,'TRANS EMP EXTRACT - COST CENTRE'!$D:$D,0),MATCH('Summary - Monthly'!H$3,'TRANS EMP EXTRACT - COST CENTRE'!$2:$2,0)),"")</f>
        <v>RT</v>
      </c>
      <c r="I139" s="12" t="str">
        <f>IFERROR(INDEX('TRANS EMP EXTRACT - EMP CATEGOR'!$B$1:$AF$421,MATCH('Summary - Monthly'!$E139,'TRANS EMP EXTRACT - EMP CATEGOR'!$D:$D,0),MATCH('Summary - Monthly'!H$3,'TRANS EMP EXTRACT - EMP CATEGOR'!$2:$2,0)),"")</f>
        <v>RT</v>
      </c>
      <c r="J139" s="41">
        <f t="shared" ca="1" si="25"/>
        <v>2.6425000000000001</v>
      </c>
      <c r="K139" s="41">
        <f t="shared" ca="1" si="29"/>
        <v>42.684899999999999</v>
      </c>
      <c r="L139" s="10">
        <f>IFERROR(INDEX('TRANS EMP EXTRACT - COST CENTRE'!$A$1:$Z$455,MATCH('Summary - Monthly'!$A139,'TRANS EMP EXTRACT - COST CENTRE'!$A:$A,0),MATCH('Summary - Monthly'!L$3,'TRANS EMP EXTRACT - COST CENTRE'!$2:$2,0)),"")</f>
        <v>114</v>
      </c>
      <c r="M139" s="10">
        <f>IFERROR(INDEX('TRANS EMP EXTRACT - COST CENTRE'!$A$1:$Z$455,MATCH('Summary - Monthly'!$A139,'TRANS EMP EXTRACT - COST CENTRE'!$A:$A,0),MATCH('Summary - Monthly'!M$3,'TRANS EMP EXTRACT - COST CENTRE'!$2:$2,0)),0)</f>
        <v>0</v>
      </c>
      <c r="N139" s="10">
        <f>IFERROR(INDEX('TRANS EMP EXTRACT - COST CENTRE'!$A$1:$Z$455,MATCH('Summary - Monthly'!$A139,'TRANS EMP EXTRACT - COST CENTRE'!$A:$A,0),MATCH('Summary - Monthly'!N$3,'TRANS EMP EXTRACT - COST CENTRE'!$2:$2,0)),0)</f>
        <v>0</v>
      </c>
      <c r="O139" s="10">
        <f>IFERROR(INDEX('TRANS EMP EXTRACT - COST CENTRE'!$A$1:$Z$455,MATCH('Summary - Monthly'!$A139,'TRANS EMP EXTRACT - COST CENTRE'!$A:$A,0),MATCH('Summary - Monthly'!O$3,'TRANS EMP EXTRACT - COST CENTRE'!$2:$2,0)),0)</f>
        <v>30.4</v>
      </c>
      <c r="P139" s="10">
        <f>IFERROR(INDEX('TRANS EMP EXTRACT - COST CENTRE'!$A$1:$Z$455,MATCH('Summary - Monthly'!$A139,'TRANS EMP EXTRACT - COST CENTRE'!$A:$A,0),MATCH('Summary - Monthly'!P$3,'TRANS EMP EXTRACT - COST CENTRE'!$2:$2,0)),0)</f>
        <v>0</v>
      </c>
      <c r="Q139" s="10">
        <f>IFERROR(INDEX('TRANS EMP EXTRACT - COST CENTRE'!$A$1:$Z$455,MATCH('Summary - Monthly'!$A139,'TRANS EMP EXTRACT - COST CENTRE'!$A:$A,0),MATCH('Summary - Monthly'!Q$3,'TRANS EMP EXTRACT - COST CENTRE'!$2:$2,0)),0)</f>
        <v>10.5831</v>
      </c>
      <c r="R139" s="10">
        <f>IFERROR(INDEX('TRANS EMP EXTRACT - COST CENTRE'!$A$1:$Z$455,MATCH('Summary - Monthly'!$A139,'TRANS EMP EXTRACT - COST CENTRE'!$A:$A,0),MATCH('Summary - Monthly'!R$3,'TRANS EMP EXTRACT - COST CENTRE'!$2:$2,0)),0)</f>
        <v>0</v>
      </c>
      <c r="S139" s="10">
        <f>IFERROR(INDEX('TRANS EMP EXTRACT - COST CENTRE'!$A$1:$Z$455,MATCH('Summary - Monthly'!$A139,'TRANS EMP EXTRACT - COST CENTRE'!$A:$A,0),MATCH('Summary - Monthly'!S$3,'TRANS EMP EXTRACT - COST CENTRE'!$2:$2,0)),0)</f>
        <v>0</v>
      </c>
      <c r="T139" s="8">
        <f>IFERROR(INDEX('TRANS EMP EXTRACT - COST CENTRE'!$A$1:$Z$455,MATCH('Summary - Monthly'!$A139,'TRANS EMP EXTRACT - COST CENTRE'!$A:$A,0),MATCH('Summary - Monthly'!T$3,'TRANS EMP EXTRACT - COST CENTRE'!$2:$2,0)),0)</f>
        <v>0</v>
      </c>
      <c r="U139" s="13">
        <f>IFERROR(INDEX('TRANS EMP EXTRACT - COST CENTRE'!$A$1:$Z$455,MATCH('Summary - Monthly'!$A139,'TRANS EMP EXTRACT - COST CENTRE'!$A:$A,0),MATCH('Summary - Monthly'!U$3,'TRANS EMP EXTRACT - COST CENTRE'!$2:$2,0)),0)</f>
        <v>0</v>
      </c>
      <c r="V139" s="13">
        <f>IFERROR(INDEX('TRANS EMP EXTRACT - COST CENTRE'!$A$1:$Z$455,MATCH('Summary - Monthly'!$A139,'TRANS EMP EXTRACT - COST CENTRE'!$A:$A,0),MATCH('Summary - Monthly'!V$3,'TRANS EMP EXTRACT - COST CENTRE'!$2:$2,0)),0)</f>
        <v>7.6</v>
      </c>
      <c r="W139" s="13">
        <f>IFERROR(INDEX('TRANS EMP EXTRACT - COST CENTRE'!$A$1:$Z$455,MATCH('Summary - Monthly'!$A139,'TRANS EMP EXTRACT - COST CENTRE'!$A:$A,0),MATCH('Summary - Monthly'!W$3,'TRANS EMP EXTRACT - COST CENTRE'!$2:$2,0)),0)</f>
        <v>0</v>
      </c>
      <c r="X139" s="13">
        <f>IFERROR(INDEX('TRANS EMP EXTRACT - COST CENTRE'!$A$1:$Z$455,MATCH('Summary - Monthly'!$A139,'TRANS EMP EXTRACT - COST CENTRE'!$A:$A,0),MATCH('Summary - Monthly'!X$3,'TRANS EMP EXTRACT - COST CENTRE'!$2:$2,0)),0)</f>
        <v>0</v>
      </c>
      <c r="Y139" s="13">
        <f>IFERROR(INDEX('TRANS EMP EXTRACT - COST CENTRE'!$A$1:$Z$455,MATCH('Summary - Monthly'!$A139,'TRANS EMP EXTRACT - COST CENTRE'!$A:$A,0),MATCH('Summary - Monthly'!Y$3,'TRANS EMP EXTRACT - COST CENTRE'!$2:$2,0)),0)</f>
        <v>0</v>
      </c>
      <c r="Z139" s="10">
        <f>IFERROR(INDEX('TRANS EMP EXTRACT - COST CENTRE'!$A$1:$Z$455,MATCH('Summary - Monthly'!$A139,'TRANS EMP EXTRACT - COST CENTRE'!$A:$A,0),MATCH('Summary - Monthly'!Z$3,'TRANS EMP EXTRACT - COST CENTRE'!$2:$2,0)),0)</f>
        <v>0</v>
      </c>
      <c r="AA139" s="10">
        <f>IFERROR(INDEX('TRANS EMP EXTRACT - COST CENTRE'!$A$1:$Z$455,MATCH('Summary - Monthly'!$A139,'TRANS EMP EXTRACT - COST CENTRE'!$A:$A,0),MATCH('Summary - Monthly'!AA$3,'TRANS EMP EXTRACT - COST CENTRE'!$2:$2,0)),0)</f>
        <v>0</v>
      </c>
      <c r="AB139" s="10">
        <f>IFERROR(INDEX('TRANS EMP EXTRACT - COST CENTRE'!$A$1:$Z$455,MATCH('Summary - Monthly'!$A139,'TRANS EMP EXTRACT - COST CENTRE'!$A:$A,0),MATCH('Summary - Monthly'!AB$3,'TRANS EMP EXTRACT - COST CENTRE'!$2:$2,0)),0)</f>
        <v>0</v>
      </c>
      <c r="AC139" s="8">
        <f>IFERROR(INDEX('TRANS EMP EXTRACT - COST CENTRE'!$A$1:$Z$455,MATCH('Summary - Monthly'!$A139,'TRANS EMP EXTRACT - COST CENTRE'!$A:$A,0),MATCH('Summary - Monthly'!AC$3,'TRANS EMP EXTRACT - COST CENTRE'!$2:$2,0)),0)</f>
        <v>0</v>
      </c>
      <c r="AD139" s="13">
        <f>IFERROR(INDEX('TRANS EMP EXTRACT - COST CENTRE'!$A$1:$Z$455,MATCH('Summary - Monthly'!$A139,'TRANS EMP EXTRACT - COST CENTRE'!$A:$A,0),MATCH('Summary - Monthly'!AD$3,'TRANS EMP EXTRACT - COST CENTRE'!$2:$2,0)),0)</f>
        <v>0</v>
      </c>
      <c r="AE139" s="13">
        <f>IFERROR(INDEX('TRANS EMP EXTRACT - COST CENTRE'!$A$1:$Z$455,MATCH('Summary - Monthly'!$A139,'TRANS EMP EXTRACT - COST CENTRE'!$A:$A,0),MATCH('Summary - Monthly'!AE$3,'TRANS EMP EXTRACT - COST CENTRE'!$2:$2,0)),0)</f>
        <v>0</v>
      </c>
      <c r="AF139" s="13">
        <f>IFERROR(INDEX('TRANS EMP EXTRACT - COST CENTRE'!$A$1:$Z$455,MATCH('Summary - Monthly'!$A139,'TRANS EMP EXTRACT - COST CENTRE'!$A:$A,0),MATCH('Summary - Monthly'!AF$3,'TRANS EMP EXTRACT - COST CENTRE'!$2:$2,0)),0)</f>
        <v>0</v>
      </c>
      <c r="AG139" s="10">
        <f>IFERROR(INDEX('TRANS EMP EXTRACT - COST CENTRE'!$A$1:$Z$455,MATCH('Summary - Monthly'!$A139,'TRANS EMP EXTRACT - COST CENTRE'!$A:$A,0),MATCH('Summary - Monthly'!AG$3,'TRANS EMP EXTRACT - COST CENTRE'!$2:$2,0)),0)</f>
        <v>0</v>
      </c>
      <c r="AH139" s="10">
        <f>IFERROR(INDEX('TRANS EMP EXTRACT - COST CENTRE'!$A$1:$Z$455,MATCH('Summary - Monthly'!$A139,'TRANS EMP EXTRACT - COST CENTRE'!$A:$A,0),MATCH('Summary - Monthly'!AH$3,'TRANS EMP EXTRACT - COST CENTRE'!$2:$2,0)),0)</f>
        <v>0</v>
      </c>
      <c r="AI139" s="10">
        <f>IFERROR(INDEX('TRANS EMP EXTRACT - COST CENTRE'!$A$1:$Z$455,MATCH('Summary - Monthly'!$A139,'TRANS EMP EXTRACT - COST CENTRE'!$A:$A,0),MATCH('Summary - Monthly'!AI$3,'TRANS EMP EXTRACT - COST CENTRE'!$2:$2,0)),0)</f>
        <v>0</v>
      </c>
      <c r="AJ139" s="10">
        <f>IFERROR(INDEX('TRANS EMP EXTRACT - COST CENTRE'!$A$1:$Z$455,MATCH('Summary - Monthly'!$A139,'TRANS EMP EXTRACT - COST CENTRE'!$A:$A,0),MATCH('Summary - Monthly'!AJ$3,'TRANS EMP EXTRACT - COST CENTRE'!$2:$2,0)),0)</f>
        <v>0</v>
      </c>
      <c r="AK139" s="10">
        <f>IFERROR(INDEX('TRANS EMP EXTRACT - COST CENTRE'!$A$1:$Z$455,MATCH('Summary - Monthly'!$A139,'TRANS EMP EXTRACT - COST CENTRE'!$A:$A,0),MATCH('Summary - Monthly'!AK$3,'TRANS EMP EXTRACT - COST CENTRE'!$2:$2,0)),0)</f>
        <v>0</v>
      </c>
      <c r="AL139" s="10">
        <f>IFERROR(INDEX('TRANS EMP EXTRACT - COST CENTRE'!$A$1:$Z$455,MATCH('Summary - Monthly'!$A139,'TRANS EMP EXTRACT - COST CENTRE'!$A:$A,0),MATCH('Summary - Monthly'!AL$3,'TRANS EMP EXTRACT - COST CENTRE'!$2:$2,0)),0)</f>
        <v>0</v>
      </c>
      <c r="AM139" s="10">
        <f t="shared" si="20"/>
        <v>162.5831</v>
      </c>
      <c r="AN139" s="14">
        <f t="shared" si="26"/>
        <v>6.9625657894736848E-2</v>
      </c>
      <c r="AO139" s="18">
        <f t="shared" si="30"/>
        <v>1.069625657894737</v>
      </c>
      <c r="AP139" s="18">
        <f t="shared" si="31"/>
        <v>1.0196256578947369</v>
      </c>
      <c r="AQ139" s="10" t="str">
        <f>IFERROR(VLOOKUP(B139,Departments!A:C,3,FALSE),"")</f>
        <v>Microbiology</v>
      </c>
      <c r="AR139" s="10" t="str">
        <f>IFERROR(VLOOKUP(B139,Departments!A:B,2,FALSE),"")</f>
        <v>Melb Micro</v>
      </c>
      <c r="AS139" s="10">
        <f t="shared" si="27"/>
        <v>7.6</v>
      </c>
      <c r="AT139" s="10">
        <f t="shared" si="28"/>
        <v>7.6</v>
      </c>
      <c r="AU139" s="10" t="str">
        <f>_xlfn.IFNA(VLOOKUP(B139,Departments!A:D,4,FALSE),"")</f>
        <v>Melbourne Micro</v>
      </c>
    </row>
    <row r="140" spans="1:47" ht="14.45" customHeight="1">
      <c r="A140" s="11" t="str">
        <f t="shared" si="24"/>
        <v>1203301119019</v>
      </c>
      <c r="B140" s="11">
        <f>'TRANS EMP EXTRACT - COST CENTRE'!B139</f>
        <v>12033011</v>
      </c>
      <c r="C140" s="10" t="str">
        <f>IFERROR(VLOOKUP(E140,'TRANS EMP EXTRACT - EMP CATEGOR'!A:B,2,FALSE),"")</f>
        <v>TF</v>
      </c>
      <c r="D140" s="10" t="str">
        <f>IFERROR(VLOOKUP(E140,'TRANS EMP EXTRACT - EMP CATEGOR'!A:C,3,FALSE),"")</f>
        <v>Temporary Fulltime</v>
      </c>
      <c r="E140" s="11">
        <f>'TRANS EMP EXTRACT - COST CENTRE'!D139</f>
        <v>19019</v>
      </c>
      <c r="F140" s="10" t="str">
        <f>IFERROR(VLOOKUP(E140,'TRANS EMP EXTRACT - COST CENTRE'!D:E,2,FALSE),"")</f>
        <v>VOHRA  ATEEV MR</v>
      </c>
      <c r="G140" s="12">
        <f>IFERROR(INDEX('TRANS EMP EXTRACT - COST CENTRE'!$A$1:$Z$455,MATCH('Summary - Monthly'!$A140,'TRANS EMP EXTRACT - COST CENTRE'!$A:$A,0),MATCH('Summary - Monthly'!G$3,'TRANS EMP EXTRACT - COST CENTRE'!$2:$2,0)),"")</f>
        <v>44734</v>
      </c>
      <c r="H140" s="10" t="str">
        <f>IFERROR(INDEX('TRANS EMP EXTRACT - COST CENTRE'!$B$1:$Z$455,MATCH('Summary - Monthly'!$E140,'TRANS EMP EXTRACT - COST CENTRE'!$D:$D,0),MATCH('Summary - Monthly'!H$3,'TRANS EMP EXTRACT - COST CENTRE'!$2:$2,0)),"")</f>
        <v>RT</v>
      </c>
      <c r="I140" s="12" t="str">
        <f>IFERROR(INDEX('TRANS EMP EXTRACT - EMP CATEGOR'!$B$1:$AF$421,MATCH('Summary - Monthly'!$E140,'TRANS EMP EXTRACT - EMP CATEGOR'!$D:$D,0),MATCH('Summary - Monthly'!H$3,'TRANS EMP EXTRACT - EMP CATEGOR'!$2:$2,0)),"")</f>
        <v>RT</v>
      </c>
      <c r="J140" s="41">
        <f t="shared" ca="1" si="25"/>
        <v>14.4175</v>
      </c>
      <c r="K140" s="41">
        <f t="shared" ca="1" si="29"/>
        <v>19.673400000000001</v>
      </c>
      <c r="L140" s="10">
        <f>IFERROR(INDEX('TRANS EMP EXTRACT - COST CENTRE'!$A$1:$Z$455,MATCH('Summary - Monthly'!$A140,'TRANS EMP EXTRACT - COST CENTRE'!$A:$A,0),MATCH('Summary - Monthly'!L$3,'TRANS EMP EXTRACT - COST CENTRE'!$2:$2,0)),"")</f>
        <v>114</v>
      </c>
      <c r="M140" s="10">
        <f>IFERROR(INDEX('TRANS EMP EXTRACT - COST CENTRE'!$A$1:$Z$455,MATCH('Summary - Monthly'!$A140,'TRANS EMP EXTRACT - COST CENTRE'!$A:$A,0),MATCH('Summary - Monthly'!M$3,'TRANS EMP EXTRACT - COST CENTRE'!$2:$2,0)),0)</f>
        <v>0</v>
      </c>
      <c r="N140" s="10">
        <f>IFERROR(INDEX('TRANS EMP EXTRACT - COST CENTRE'!$A$1:$Z$455,MATCH('Summary - Monthly'!$A140,'TRANS EMP EXTRACT - COST CENTRE'!$A:$A,0),MATCH('Summary - Monthly'!N$3,'TRANS EMP EXTRACT - COST CENTRE'!$2:$2,0)),0)</f>
        <v>0</v>
      </c>
      <c r="O140" s="10">
        <f>IFERROR(INDEX('TRANS EMP EXTRACT - COST CENTRE'!$A$1:$Z$455,MATCH('Summary - Monthly'!$A140,'TRANS EMP EXTRACT - COST CENTRE'!$A:$A,0),MATCH('Summary - Monthly'!O$3,'TRANS EMP EXTRACT - COST CENTRE'!$2:$2,0)),0)</f>
        <v>29.8</v>
      </c>
      <c r="P140" s="10">
        <f>IFERROR(INDEX('TRANS EMP EXTRACT - COST CENTRE'!$A$1:$Z$455,MATCH('Summary - Monthly'!$A140,'TRANS EMP EXTRACT - COST CENTRE'!$A:$A,0),MATCH('Summary - Monthly'!P$3,'TRANS EMP EXTRACT - COST CENTRE'!$2:$2,0)),0)</f>
        <v>0</v>
      </c>
      <c r="Q140" s="10">
        <f>IFERROR(INDEX('TRANS EMP EXTRACT - COST CENTRE'!$A$1:$Z$455,MATCH('Summary - Monthly'!$A140,'TRANS EMP EXTRACT - COST CENTRE'!$A:$A,0),MATCH('Summary - Monthly'!Q$3,'TRANS EMP EXTRACT - COST CENTRE'!$2:$2,0)),0)</f>
        <v>27.283300000000001</v>
      </c>
      <c r="R140" s="10">
        <f>IFERROR(INDEX('TRANS EMP EXTRACT - COST CENTRE'!$A$1:$Z$455,MATCH('Summary - Monthly'!$A140,'TRANS EMP EXTRACT - COST CENTRE'!$A:$A,0),MATCH('Summary - Monthly'!R$3,'TRANS EMP EXTRACT - COST CENTRE'!$2:$2,0)),0)</f>
        <v>5.7667999999999999</v>
      </c>
      <c r="S140" s="10">
        <f>IFERROR(INDEX('TRANS EMP EXTRACT - COST CENTRE'!$A$1:$Z$455,MATCH('Summary - Monthly'!$A140,'TRANS EMP EXTRACT - COST CENTRE'!$A:$A,0),MATCH('Summary - Monthly'!S$3,'TRANS EMP EXTRACT - COST CENTRE'!$2:$2,0)),0)</f>
        <v>0</v>
      </c>
      <c r="T140" s="8">
        <f>IFERROR(INDEX('TRANS EMP EXTRACT - COST CENTRE'!$A$1:$Z$455,MATCH('Summary - Monthly'!$A140,'TRANS EMP EXTRACT - COST CENTRE'!$A:$A,0),MATCH('Summary - Monthly'!T$3,'TRANS EMP EXTRACT - COST CENTRE'!$2:$2,0)),0)</f>
        <v>0</v>
      </c>
      <c r="U140" s="13">
        <f>IFERROR(INDEX('TRANS EMP EXTRACT - COST CENTRE'!$A$1:$Z$455,MATCH('Summary - Monthly'!$A140,'TRANS EMP EXTRACT - COST CENTRE'!$A:$A,0),MATCH('Summary - Monthly'!U$3,'TRANS EMP EXTRACT - COST CENTRE'!$2:$2,0)),0)</f>
        <v>7.6</v>
      </c>
      <c r="V140" s="13">
        <f>IFERROR(INDEX('TRANS EMP EXTRACT - COST CENTRE'!$A$1:$Z$455,MATCH('Summary - Monthly'!$A140,'TRANS EMP EXTRACT - COST CENTRE'!$A:$A,0),MATCH('Summary - Monthly'!V$3,'TRANS EMP EXTRACT - COST CENTRE'!$2:$2,0)),0)</f>
        <v>0</v>
      </c>
      <c r="W140" s="13">
        <f>IFERROR(INDEX('TRANS EMP EXTRACT - COST CENTRE'!$A$1:$Z$455,MATCH('Summary - Monthly'!$A140,'TRANS EMP EXTRACT - COST CENTRE'!$A:$A,0),MATCH('Summary - Monthly'!W$3,'TRANS EMP EXTRACT - COST CENTRE'!$2:$2,0)),0)</f>
        <v>0</v>
      </c>
      <c r="X140" s="13">
        <f>IFERROR(INDEX('TRANS EMP EXTRACT - COST CENTRE'!$A$1:$Z$455,MATCH('Summary - Monthly'!$A140,'TRANS EMP EXTRACT - COST CENTRE'!$A:$A,0),MATCH('Summary - Monthly'!X$3,'TRANS EMP EXTRACT - COST CENTRE'!$2:$2,0)),0)</f>
        <v>0</v>
      </c>
      <c r="Y140" s="13">
        <f>IFERROR(INDEX('TRANS EMP EXTRACT - COST CENTRE'!$A$1:$Z$455,MATCH('Summary - Monthly'!$A140,'TRANS EMP EXTRACT - COST CENTRE'!$A:$A,0),MATCH('Summary - Monthly'!Y$3,'TRANS EMP EXTRACT - COST CENTRE'!$2:$2,0)),0)</f>
        <v>0</v>
      </c>
      <c r="Z140" s="10">
        <f>IFERROR(INDEX('TRANS EMP EXTRACT - COST CENTRE'!$A$1:$Z$455,MATCH('Summary - Monthly'!$A140,'TRANS EMP EXTRACT - COST CENTRE'!$A:$A,0),MATCH('Summary - Monthly'!Z$3,'TRANS EMP EXTRACT - COST CENTRE'!$2:$2,0)),0)</f>
        <v>0</v>
      </c>
      <c r="AA140" s="10">
        <f>IFERROR(INDEX('TRANS EMP EXTRACT - COST CENTRE'!$A$1:$Z$455,MATCH('Summary - Monthly'!$A140,'TRANS EMP EXTRACT - COST CENTRE'!$A:$A,0),MATCH('Summary - Monthly'!AA$3,'TRANS EMP EXTRACT - COST CENTRE'!$2:$2,0)),0)</f>
        <v>0</v>
      </c>
      <c r="AB140" s="10">
        <f>IFERROR(INDEX('TRANS EMP EXTRACT - COST CENTRE'!$A$1:$Z$455,MATCH('Summary - Monthly'!$A140,'TRANS EMP EXTRACT - COST CENTRE'!$A:$A,0),MATCH('Summary - Monthly'!AB$3,'TRANS EMP EXTRACT - COST CENTRE'!$2:$2,0)),0)</f>
        <v>0</v>
      </c>
      <c r="AC140" s="8">
        <f>IFERROR(INDEX('TRANS EMP EXTRACT - COST CENTRE'!$A$1:$Z$455,MATCH('Summary - Monthly'!$A140,'TRANS EMP EXTRACT - COST CENTRE'!$A:$A,0),MATCH('Summary - Monthly'!AC$3,'TRANS EMP EXTRACT - COST CENTRE'!$2:$2,0)),0)</f>
        <v>0</v>
      </c>
      <c r="AD140" s="13">
        <f>IFERROR(INDEX('TRANS EMP EXTRACT - COST CENTRE'!$A$1:$Z$455,MATCH('Summary - Monthly'!$A140,'TRANS EMP EXTRACT - COST CENTRE'!$A:$A,0),MATCH('Summary - Monthly'!AD$3,'TRANS EMP EXTRACT - COST CENTRE'!$2:$2,0)),0)</f>
        <v>0</v>
      </c>
      <c r="AE140" s="13">
        <f>IFERROR(INDEX('TRANS EMP EXTRACT - COST CENTRE'!$A$1:$Z$455,MATCH('Summary - Monthly'!$A140,'TRANS EMP EXTRACT - COST CENTRE'!$A:$A,0),MATCH('Summary - Monthly'!AE$3,'TRANS EMP EXTRACT - COST CENTRE'!$2:$2,0)),0)</f>
        <v>0</v>
      </c>
      <c r="AF140" s="13">
        <f>IFERROR(INDEX('TRANS EMP EXTRACT - COST CENTRE'!$A$1:$Z$455,MATCH('Summary - Monthly'!$A140,'TRANS EMP EXTRACT - COST CENTRE'!$A:$A,0),MATCH('Summary - Monthly'!AF$3,'TRANS EMP EXTRACT - COST CENTRE'!$2:$2,0)),0)</f>
        <v>0</v>
      </c>
      <c r="AG140" s="10">
        <f>IFERROR(INDEX('TRANS EMP EXTRACT - COST CENTRE'!$A$1:$Z$455,MATCH('Summary - Monthly'!$A140,'TRANS EMP EXTRACT - COST CENTRE'!$A:$A,0),MATCH('Summary - Monthly'!AG$3,'TRANS EMP EXTRACT - COST CENTRE'!$2:$2,0)),0)</f>
        <v>0</v>
      </c>
      <c r="AH140" s="10">
        <f>IFERROR(INDEX('TRANS EMP EXTRACT - COST CENTRE'!$A$1:$Z$455,MATCH('Summary - Monthly'!$A140,'TRANS EMP EXTRACT - COST CENTRE'!$A:$A,0),MATCH('Summary - Monthly'!AH$3,'TRANS EMP EXTRACT - COST CENTRE'!$2:$2,0)),0)</f>
        <v>0</v>
      </c>
      <c r="AI140" s="10">
        <f>IFERROR(INDEX('TRANS EMP EXTRACT - COST CENTRE'!$A$1:$Z$455,MATCH('Summary - Monthly'!$A140,'TRANS EMP EXTRACT - COST CENTRE'!$A:$A,0),MATCH('Summary - Monthly'!AI$3,'TRANS EMP EXTRACT - COST CENTRE'!$2:$2,0)),0)</f>
        <v>0</v>
      </c>
      <c r="AJ140" s="10">
        <f>IFERROR(INDEX('TRANS EMP EXTRACT - COST CENTRE'!$A$1:$Z$455,MATCH('Summary - Monthly'!$A140,'TRANS EMP EXTRACT - COST CENTRE'!$A:$A,0),MATCH('Summary - Monthly'!AJ$3,'TRANS EMP EXTRACT - COST CENTRE'!$2:$2,0)),0)</f>
        <v>0</v>
      </c>
      <c r="AK140" s="10">
        <f>IFERROR(INDEX('TRANS EMP EXTRACT - COST CENTRE'!$A$1:$Z$455,MATCH('Summary - Monthly'!$A140,'TRANS EMP EXTRACT - COST CENTRE'!$A:$A,0),MATCH('Summary - Monthly'!AK$3,'TRANS EMP EXTRACT - COST CENTRE'!$2:$2,0)),0)</f>
        <v>0</v>
      </c>
      <c r="AL140" s="10">
        <f>IFERROR(INDEX('TRANS EMP EXTRACT - COST CENTRE'!$A$1:$Z$455,MATCH('Summary - Monthly'!$A140,'TRANS EMP EXTRACT - COST CENTRE'!$A:$A,0),MATCH('Summary - Monthly'!AL$3,'TRANS EMP EXTRACT - COST CENTRE'!$2:$2,0)),0)</f>
        <v>0</v>
      </c>
      <c r="AM140" s="10">
        <f t="shared" si="20"/>
        <v>184.45009999999999</v>
      </c>
      <c r="AN140" s="14">
        <f t="shared" si="26"/>
        <v>0.21743486842105264</v>
      </c>
      <c r="AO140" s="18">
        <f t="shared" si="30"/>
        <v>1.2134875000000001</v>
      </c>
      <c r="AP140" s="18">
        <f t="shared" si="31"/>
        <v>1.1634875</v>
      </c>
      <c r="AQ140" s="10" t="str">
        <f>IFERROR(VLOOKUP(B140,Departments!A:C,3,FALSE),"")</f>
        <v>Microbiology</v>
      </c>
      <c r="AR140" s="10" t="str">
        <f>IFERROR(VLOOKUP(B140,Departments!A:B,2,FALSE),"")</f>
        <v>Melb Micro</v>
      </c>
      <c r="AS140" s="10">
        <f t="shared" si="27"/>
        <v>0</v>
      </c>
      <c r="AT140" s="10">
        <f t="shared" si="28"/>
        <v>7.6</v>
      </c>
      <c r="AU140" s="10" t="str">
        <f>_xlfn.IFNA(VLOOKUP(B140,Departments!A:D,4,FALSE),"")</f>
        <v>Melbourne Micro</v>
      </c>
    </row>
    <row r="141" spans="1:47" ht="14.45" customHeight="1">
      <c r="A141" s="11" t="str">
        <f t="shared" si="24"/>
        <v>1201325018946</v>
      </c>
      <c r="B141" s="11">
        <f>'TRANS EMP EXTRACT - COST CENTRE'!B140</f>
        <v>12013250</v>
      </c>
      <c r="C141" s="10" t="str">
        <f>IFERROR(VLOOKUP(E141,'TRANS EMP EXTRACT - EMP CATEGOR'!A:B,2,FALSE),"")</f>
        <v>FT</v>
      </c>
      <c r="D141" s="10" t="str">
        <f>IFERROR(VLOOKUP(E141,'TRANS EMP EXTRACT - EMP CATEGOR'!A:C,3,FALSE),"")</f>
        <v>Fulltime</v>
      </c>
      <c r="E141" s="11">
        <f>'TRANS EMP EXTRACT - COST CENTRE'!D140</f>
        <v>18946</v>
      </c>
      <c r="F141" s="10" t="str">
        <f>IFERROR(VLOOKUP(E141,'TRANS EMP EXTRACT - COST CENTRE'!D:E,2,FALSE),"")</f>
        <v>WHITE  TERESA MS</v>
      </c>
      <c r="G141" s="12">
        <f>IFERROR(INDEX('TRANS EMP EXTRACT - COST CENTRE'!$A$1:$Z$455,MATCH('Summary - Monthly'!$A141,'TRANS EMP EXTRACT - COST CENTRE'!$A:$A,0),MATCH('Summary - Monthly'!G$3,'TRANS EMP EXTRACT - COST CENTRE'!$2:$2,0)),"")</f>
        <v>44277</v>
      </c>
      <c r="H141" s="10" t="str">
        <f>IFERROR(INDEX('TRANS EMP EXTRACT - COST CENTRE'!$B$1:$Z$455,MATCH('Summary - Monthly'!$E141,'TRANS EMP EXTRACT - COST CENTRE'!$D:$D,0),MATCH('Summary - Monthly'!H$3,'TRANS EMP EXTRACT - COST CENTRE'!$2:$2,0)),"")</f>
        <v>FN</v>
      </c>
      <c r="I141" s="12" t="str">
        <f>IFERROR(INDEX('TRANS EMP EXTRACT - EMP CATEGOR'!$B$1:$AF$421,MATCH('Summary - Monthly'!$E141,'TRANS EMP EXTRACT - EMP CATEGOR'!$D:$D,0),MATCH('Summary - Monthly'!H$3,'TRANS EMP EXTRACT - EMP CATEGOR'!$2:$2,0)),"")</f>
        <v>FN</v>
      </c>
      <c r="J141" s="41">
        <f t="shared" ca="1" si="25"/>
        <v>41.921399999999998</v>
      </c>
      <c r="K141" s="41">
        <f t="shared" ca="1" si="29"/>
        <v>67.442599999999999</v>
      </c>
      <c r="L141" s="10">
        <f>IFERROR(INDEX('TRANS EMP EXTRACT - COST CENTRE'!$A$1:$Z$455,MATCH('Summary - Monthly'!$A141,'TRANS EMP EXTRACT - COST CENTRE'!$A:$A,0),MATCH('Summary - Monthly'!L$3,'TRANS EMP EXTRACT - COST CENTRE'!$2:$2,0)),"")</f>
        <v>152</v>
      </c>
      <c r="M141" s="10">
        <f>IFERROR(INDEX('TRANS EMP EXTRACT - COST CENTRE'!$A$1:$Z$455,MATCH('Summary - Monthly'!$A141,'TRANS EMP EXTRACT - COST CENTRE'!$A:$A,0),MATCH('Summary - Monthly'!M$3,'TRANS EMP EXTRACT - COST CENTRE'!$2:$2,0)),0)</f>
        <v>0</v>
      </c>
      <c r="N141" s="10">
        <f>IFERROR(INDEX('TRANS EMP EXTRACT - COST CENTRE'!$A$1:$Z$455,MATCH('Summary - Monthly'!$A141,'TRANS EMP EXTRACT - COST CENTRE'!$A:$A,0),MATCH('Summary - Monthly'!N$3,'TRANS EMP EXTRACT - COST CENTRE'!$2:$2,0)),0)</f>
        <v>0</v>
      </c>
      <c r="O141" s="10">
        <f>IFERROR(INDEX('TRANS EMP EXTRACT - COST CENTRE'!$A$1:$Z$455,MATCH('Summary - Monthly'!$A141,'TRANS EMP EXTRACT - COST CENTRE'!$A:$A,0),MATCH('Summary - Monthly'!O$3,'TRANS EMP EXTRACT - COST CENTRE'!$2:$2,0)),0)</f>
        <v>0</v>
      </c>
      <c r="P141" s="10">
        <f>IFERROR(INDEX('TRANS EMP EXTRACT - COST CENTRE'!$A$1:$Z$455,MATCH('Summary - Monthly'!$A141,'TRANS EMP EXTRACT - COST CENTRE'!$A:$A,0),MATCH('Summary - Monthly'!P$3,'TRANS EMP EXTRACT - COST CENTRE'!$2:$2,0)),0)</f>
        <v>0</v>
      </c>
      <c r="Q141" s="10">
        <f>IFERROR(INDEX('TRANS EMP EXTRACT - COST CENTRE'!$A$1:$Z$455,MATCH('Summary - Monthly'!$A141,'TRANS EMP EXTRACT - COST CENTRE'!$A:$A,0),MATCH('Summary - Monthly'!Q$3,'TRANS EMP EXTRACT - COST CENTRE'!$2:$2,0)),0)</f>
        <v>0</v>
      </c>
      <c r="R141" s="10">
        <f>IFERROR(INDEX('TRANS EMP EXTRACT - COST CENTRE'!$A$1:$Z$455,MATCH('Summary - Monthly'!$A141,'TRANS EMP EXTRACT - COST CENTRE'!$A:$A,0),MATCH('Summary - Monthly'!R$3,'TRANS EMP EXTRACT - COST CENTRE'!$2:$2,0)),0)</f>
        <v>0</v>
      </c>
      <c r="S141" s="10">
        <f>IFERROR(INDEX('TRANS EMP EXTRACT - COST CENTRE'!$A$1:$Z$455,MATCH('Summary - Monthly'!$A141,'TRANS EMP EXTRACT - COST CENTRE'!$A:$A,0),MATCH('Summary - Monthly'!S$3,'TRANS EMP EXTRACT - COST CENTRE'!$2:$2,0)),0)</f>
        <v>0</v>
      </c>
      <c r="T141" s="8">
        <f>IFERROR(INDEX('TRANS EMP EXTRACT - COST CENTRE'!$A$1:$Z$455,MATCH('Summary - Monthly'!$A141,'TRANS EMP EXTRACT - COST CENTRE'!$A:$A,0),MATCH('Summary - Monthly'!T$3,'TRANS EMP EXTRACT - COST CENTRE'!$2:$2,0)),0)</f>
        <v>0</v>
      </c>
      <c r="U141" s="13">
        <f>IFERROR(INDEX('TRANS EMP EXTRACT - COST CENTRE'!$A$1:$Z$455,MATCH('Summary - Monthly'!$A141,'TRANS EMP EXTRACT - COST CENTRE'!$A:$A,0),MATCH('Summary - Monthly'!U$3,'TRANS EMP EXTRACT - COST CENTRE'!$2:$2,0)),0)</f>
        <v>0</v>
      </c>
      <c r="V141" s="13">
        <f>IFERROR(INDEX('TRANS EMP EXTRACT - COST CENTRE'!$A$1:$Z$455,MATCH('Summary - Monthly'!$A141,'TRANS EMP EXTRACT - COST CENTRE'!$A:$A,0),MATCH('Summary - Monthly'!V$3,'TRANS EMP EXTRACT - COST CENTRE'!$2:$2,0)),0)</f>
        <v>0</v>
      </c>
      <c r="W141" s="13">
        <f>IFERROR(INDEX('TRANS EMP EXTRACT - COST CENTRE'!$A$1:$Z$455,MATCH('Summary - Monthly'!$A141,'TRANS EMP EXTRACT - COST CENTRE'!$A:$A,0),MATCH('Summary - Monthly'!W$3,'TRANS EMP EXTRACT - COST CENTRE'!$2:$2,0)),0)</f>
        <v>0</v>
      </c>
      <c r="X141" s="13">
        <f>IFERROR(INDEX('TRANS EMP EXTRACT - COST CENTRE'!$A$1:$Z$455,MATCH('Summary - Monthly'!$A141,'TRANS EMP EXTRACT - COST CENTRE'!$A:$A,0),MATCH('Summary - Monthly'!X$3,'TRANS EMP EXTRACT - COST CENTRE'!$2:$2,0)),0)</f>
        <v>0</v>
      </c>
      <c r="Y141" s="13">
        <f>IFERROR(INDEX('TRANS EMP EXTRACT - COST CENTRE'!$A$1:$Z$455,MATCH('Summary - Monthly'!$A141,'TRANS EMP EXTRACT - COST CENTRE'!$A:$A,0),MATCH('Summary - Monthly'!Y$3,'TRANS EMP EXTRACT - COST CENTRE'!$2:$2,0)),0)</f>
        <v>0</v>
      </c>
      <c r="Z141" s="10">
        <f>IFERROR(INDEX('TRANS EMP EXTRACT - COST CENTRE'!$A$1:$Z$455,MATCH('Summary - Monthly'!$A141,'TRANS EMP EXTRACT - COST CENTRE'!$A:$A,0),MATCH('Summary - Monthly'!Z$3,'TRANS EMP EXTRACT - COST CENTRE'!$2:$2,0)),0)</f>
        <v>0</v>
      </c>
      <c r="AA141" s="10">
        <f>IFERROR(INDEX('TRANS EMP EXTRACT - COST CENTRE'!$A$1:$Z$455,MATCH('Summary - Monthly'!$A141,'TRANS EMP EXTRACT - COST CENTRE'!$A:$A,0),MATCH('Summary - Monthly'!AA$3,'TRANS EMP EXTRACT - COST CENTRE'!$2:$2,0)),0)</f>
        <v>0</v>
      </c>
      <c r="AB141" s="10">
        <f>IFERROR(INDEX('TRANS EMP EXTRACT - COST CENTRE'!$A$1:$Z$455,MATCH('Summary - Monthly'!$A141,'TRANS EMP EXTRACT - COST CENTRE'!$A:$A,0),MATCH('Summary - Monthly'!AB$3,'TRANS EMP EXTRACT - COST CENTRE'!$2:$2,0)),0)</f>
        <v>0</v>
      </c>
      <c r="AC141" s="8">
        <f>IFERROR(INDEX('TRANS EMP EXTRACT - COST CENTRE'!$A$1:$Z$455,MATCH('Summary - Monthly'!$A141,'TRANS EMP EXTRACT - COST CENTRE'!$A:$A,0),MATCH('Summary - Monthly'!AC$3,'TRANS EMP EXTRACT - COST CENTRE'!$2:$2,0)),0)</f>
        <v>0</v>
      </c>
      <c r="AD141" s="13">
        <f>IFERROR(INDEX('TRANS EMP EXTRACT - COST CENTRE'!$A$1:$Z$455,MATCH('Summary - Monthly'!$A141,'TRANS EMP EXTRACT - COST CENTRE'!$A:$A,0),MATCH('Summary - Monthly'!AD$3,'TRANS EMP EXTRACT - COST CENTRE'!$2:$2,0)),0)</f>
        <v>0</v>
      </c>
      <c r="AE141" s="13">
        <f>IFERROR(INDEX('TRANS EMP EXTRACT - COST CENTRE'!$A$1:$Z$455,MATCH('Summary - Monthly'!$A141,'TRANS EMP EXTRACT - COST CENTRE'!$A:$A,0),MATCH('Summary - Monthly'!AE$3,'TRANS EMP EXTRACT - COST CENTRE'!$2:$2,0)),0)</f>
        <v>0</v>
      </c>
      <c r="AF141" s="13">
        <f>IFERROR(INDEX('TRANS EMP EXTRACT - COST CENTRE'!$A$1:$Z$455,MATCH('Summary - Monthly'!$A141,'TRANS EMP EXTRACT - COST CENTRE'!$A:$A,0),MATCH('Summary - Monthly'!AF$3,'TRANS EMP EXTRACT - COST CENTRE'!$2:$2,0)),0)</f>
        <v>0</v>
      </c>
      <c r="AG141" s="10">
        <f>IFERROR(INDEX('TRANS EMP EXTRACT - COST CENTRE'!$A$1:$Z$455,MATCH('Summary - Monthly'!$A141,'TRANS EMP EXTRACT - COST CENTRE'!$A:$A,0),MATCH('Summary - Monthly'!AG$3,'TRANS EMP EXTRACT - COST CENTRE'!$2:$2,0)),0)</f>
        <v>0</v>
      </c>
      <c r="AH141" s="10">
        <f>IFERROR(INDEX('TRANS EMP EXTRACT - COST CENTRE'!$A$1:$Z$455,MATCH('Summary - Monthly'!$A141,'TRANS EMP EXTRACT - COST CENTRE'!$A:$A,0),MATCH('Summary - Monthly'!AH$3,'TRANS EMP EXTRACT - COST CENTRE'!$2:$2,0)),0)</f>
        <v>0</v>
      </c>
      <c r="AI141" s="10">
        <f>IFERROR(INDEX('TRANS EMP EXTRACT - COST CENTRE'!$A$1:$Z$455,MATCH('Summary - Monthly'!$A141,'TRANS EMP EXTRACT - COST CENTRE'!$A:$A,0),MATCH('Summary - Monthly'!AI$3,'TRANS EMP EXTRACT - COST CENTRE'!$2:$2,0)),0)</f>
        <v>0</v>
      </c>
      <c r="AJ141" s="10">
        <f>IFERROR(INDEX('TRANS EMP EXTRACT - COST CENTRE'!$A$1:$Z$455,MATCH('Summary - Monthly'!$A141,'TRANS EMP EXTRACT - COST CENTRE'!$A:$A,0),MATCH('Summary - Monthly'!AJ$3,'TRANS EMP EXTRACT - COST CENTRE'!$2:$2,0)),0)</f>
        <v>0</v>
      </c>
      <c r="AK141" s="10">
        <f>IFERROR(INDEX('TRANS EMP EXTRACT - COST CENTRE'!$A$1:$Z$455,MATCH('Summary - Monthly'!$A141,'TRANS EMP EXTRACT - COST CENTRE'!$A:$A,0),MATCH('Summary - Monthly'!AK$3,'TRANS EMP EXTRACT - COST CENTRE'!$2:$2,0)),0)</f>
        <v>0</v>
      </c>
      <c r="AL141" s="10">
        <f>IFERROR(INDEX('TRANS EMP EXTRACT - COST CENTRE'!$A$1:$Z$455,MATCH('Summary - Monthly'!$A141,'TRANS EMP EXTRACT - COST CENTRE'!$A:$A,0),MATCH('Summary - Monthly'!AL$3,'TRANS EMP EXTRACT - COST CENTRE'!$2:$2,0)),0)</f>
        <v>0</v>
      </c>
      <c r="AM141" s="10">
        <f t="shared" si="20"/>
        <v>152</v>
      </c>
      <c r="AN141" s="14">
        <f t="shared" si="26"/>
        <v>0</v>
      </c>
      <c r="AO141" s="18">
        <f t="shared" si="30"/>
        <v>1</v>
      </c>
      <c r="AP141" s="18">
        <f t="shared" si="31"/>
        <v>1</v>
      </c>
      <c r="AQ141" s="10" t="str">
        <f>IFERROR(VLOOKUP(B141,Departments!A:C,3,FALSE),"")</f>
        <v>Senior Audit</v>
      </c>
      <c r="AR141" s="10" t="str">
        <f>IFERROR(VLOOKUP(B141,Departments!A:B,2,FALSE),"")</f>
        <v>Senior Audit</v>
      </c>
      <c r="AS141" s="10">
        <f t="shared" si="27"/>
        <v>0</v>
      </c>
      <c r="AT141" s="10">
        <f t="shared" si="28"/>
        <v>0</v>
      </c>
      <c r="AU141" s="10" t="str">
        <f>_xlfn.IFNA(VLOOKUP(B141,Departments!A:D,4,FALSE),"")</f>
        <v>Senior Audit</v>
      </c>
    </row>
    <row r="142" spans="1:47" ht="14.45" customHeight="1">
      <c r="A142" s="11" t="str">
        <f t="shared" si="24"/>
        <v>1206301119037</v>
      </c>
      <c r="B142" s="11">
        <f>'TRANS EMP EXTRACT - COST CENTRE'!B141</f>
        <v>12063011</v>
      </c>
      <c r="C142" s="10" t="str">
        <f>IFERROR(VLOOKUP(E142,'TRANS EMP EXTRACT - EMP CATEGOR'!A:B,2,FALSE),"")</f>
        <v>TP</v>
      </c>
      <c r="D142" s="10" t="str">
        <f>IFERROR(VLOOKUP(E142,'TRANS EMP EXTRACT - EMP CATEGOR'!A:C,3,FALSE),"")</f>
        <v>Temporary Parttime</v>
      </c>
      <c r="E142" s="11">
        <f>'TRANS EMP EXTRACT - COST CENTRE'!D141</f>
        <v>19037</v>
      </c>
      <c r="F142" s="10" t="str">
        <f>IFERROR(VLOOKUP(E142,'TRANS EMP EXTRACT - COST CENTRE'!D:E,2,FALSE),"")</f>
        <v>WIJESINGHE  PULASTHI MR</v>
      </c>
      <c r="G142" s="12">
        <f>IFERROR(INDEX('TRANS EMP EXTRACT - COST CENTRE'!$A$1:$Z$455,MATCH('Summary - Monthly'!$A142,'TRANS EMP EXTRACT - COST CENTRE'!$A:$A,0),MATCH('Summary - Monthly'!G$3,'TRANS EMP EXTRACT - COST CENTRE'!$2:$2,0)),"")</f>
        <v>44813</v>
      </c>
      <c r="H142" s="10" t="str">
        <f>IFERROR(INDEX('TRANS EMP EXTRACT - COST CENTRE'!$B$1:$Z$455,MATCH('Summary - Monthly'!$E142,'TRANS EMP EXTRACT - COST CENTRE'!$D:$D,0),MATCH('Summary - Monthly'!H$3,'TRANS EMP EXTRACT - COST CENTRE'!$2:$2,0)),"")</f>
        <v>RT</v>
      </c>
      <c r="I142" s="12" t="str">
        <f>IFERROR(INDEX('TRANS EMP EXTRACT - EMP CATEGOR'!$B$1:$AF$421,MATCH('Summary - Monthly'!$E142,'TRANS EMP EXTRACT - EMP CATEGOR'!$D:$D,0),MATCH('Summary - Monthly'!H$3,'TRANS EMP EXTRACT - EMP CATEGOR'!$2:$2,0)),"")</f>
        <v>RT</v>
      </c>
      <c r="J142" s="41">
        <f t="shared" ca="1" si="25"/>
        <v>24.4041</v>
      </c>
      <c r="K142" s="41">
        <f t="shared" ca="1" si="29"/>
        <v>25.8081</v>
      </c>
      <c r="L142" s="10">
        <f>IFERROR(INDEX('TRANS EMP EXTRACT - COST CENTRE'!$A$1:$Z$455,MATCH('Summary - Monthly'!$A142,'TRANS EMP EXTRACT - COST CENTRE'!$A:$A,0),MATCH('Summary - Monthly'!L$3,'TRANS EMP EXTRACT - COST CENTRE'!$2:$2,0)),"")</f>
        <v>64.716700000000003</v>
      </c>
      <c r="M142" s="10">
        <f>IFERROR(INDEX('TRANS EMP EXTRACT - COST CENTRE'!$A$1:$Z$455,MATCH('Summary - Monthly'!$A142,'TRANS EMP EXTRACT - COST CENTRE'!$A:$A,0),MATCH('Summary - Monthly'!M$3,'TRANS EMP EXTRACT - COST CENTRE'!$2:$2,0)),0)</f>
        <v>0</v>
      </c>
      <c r="N142" s="10">
        <f>IFERROR(INDEX('TRANS EMP EXTRACT - COST CENTRE'!$A$1:$Z$455,MATCH('Summary - Monthly'!$A142,'TRANS EMP EXTRACT - COST CENTRE'!$A:$A,0),MATCH('Summary - Monthly'!N$3,'TRANS EMP EXTRACT - COST CENTRE'!$2:$2,0)),0)</f>
        <v>0</v>
      </c>
      <c r="O142" s="10">
        <f>IFERROR(INDEX('TRANS EMP EXTRACT - COST CENTRE'!$A$1:$Z$455,MATCH('Summary - Monthly'!$A142,'TRANS EMP EXTRACT - COST CENTRE'!$A:$A,0),MATCH('Summary - Monthly'!O$3,'TRANS EMP EXTRACT - COST CENTRE'!$2:$2,0)),0)</f>
        <v>11.9</v>
      </c>
      <c r="P142" s="10">
        <f>IFERROR(INDEX('TRANS EMP EXTRACT - COST CENTRE'!$A$1:$Z$455,MATCH('Summary - Monthly'!$A142,'TRANS EMP EXTRACT - COST CENTRE'!$A:$A,0),MATCH('Summary - Monthly'!P$3,'TRANS EMP EXTRACT - COST CENTRE'!$2:$2,0)),0)</f>
        <v>0</v>
      </c>
      <c r="Q142" s="10">
        <f>IFERROR(INDEX('TRANS EMP EXTRACT - COST CENTRE'!$A$1:$Z$455,MATCH('Summary - Monthly'!$A142,'TRANS EMP EXTRACT - COST CENTRE'!$A:$A,0),MATCH('Summary - Monthly'!Q$3,'TRANS EMP EXTRACT - COST CENTRE'!$2:$2,0)),0)</f>
        <v>4.6166</v>
      </c>
      <c r="R142" s="10">
        <f>IFERROR(INDEX('TRANS EMP EXTRACT - COST CENTRE'!$A$1:$Z$455,MATCH('Summary - Monthly'!$A142,'TRANS EMP EXTRACT - COST CENTRE'!$A:$A,0),MATCH('Summary - Monthly'!R$3,'TRANS EMP EXTRACT - COST CENTRE'!$2:$2,0)),0)</f>
        <v>0</v>
      </c>
      <c r="S142" s="10">
        <f>IFERROR(INDEX('TRANS EMP EXTRACT - COST CENTRE'!$A$1:$Z$455,MATCH('Summary - Monthly'!$A142,'TRANS EMP EXTRACT - COST CENTRE'!$A:$A,0),MATCH('Summary - Monthly'!S$3,'TRANS EMP EXTRACT - COST CENTRE'!$2:$2,0)),0)</f>
        <v>0</v>
      </c>
      <c r="T142" s="8">
        <f>IFERROR(INDEX('TRANS EMP EXTRACT - COST CENTRE'!$A$1:$Z$455,MATCH('Summary - Monthly'!$A142,'TRANS EMP EXTRACT - COST CENTRE'!$A:$A,0),MATCH('Summary - Monthly'!T$3,'TRANS EMP EXTRACT - COST CENTRE'!$2:$2,0)),0)</f>
        <v>0</v>
      </c>
      <c r="U142" s="13">
        <f>IFERROR(INDEX('TRANS EMP EXTRACT - COST CENTRE'!$A$1:$Z$455,MATCH('Summary - Monthly'!$A142,'TRANS EMP EXTRACT - COST CENTRE'!$A:$A,0),MATCH('Summary - Monthly'!U$3,'TRANS EMP EXTRACT - COST CENTRE'!$2:$2,0)),0)</f>
        <v>0</v>
      </c>
      <c r="V142" s="13">
        <f>IFERROR(INDEX('TRANS EMP EXTRACT - COST CENTRE'!$A$1:$Z$455,MATCH('Summary - Monthly'!$A142,'TRANS EMP EXTRACT - COST CENTRE'!$A:$A,0),MATCH('Summary - Monthly'!V$3,'TRANS EMP EXTRACT - COST CENTRE'!$2:$2,0)),0)</f>
        <v>0</v>
      </c>
      <c r="W142" s="13">
        <f>IFERROR(INDEX('TRANS EMP EXTRACT - COST CENTRE'!$A$1:$Z$455,MATCH('Summary - Monthly'!$A142,'TRANS EMP EXTRACT - COST CENTRE'!$A:$A,0),MATCH('Summary - Monthly'!W$3,'TRANS EMP EXTRACT - COST CENTRE'!$2:$2,0)),0)</f>
        <v>0</v>
      </c>
      <c r="X142" s="13">
        <f>IFERROR(INDEX('TRANS EMP EXTRACT - COST CENTRE'!$A$1:$Z$455,MATCH('Summary - Monthly'!$A142,'TRANS EMP EXTRACT - COST CENTRE'!$A:$A,0),MATCH('Summary - Monthly'!X$3,'TRANS EMP EXTRACT - COST CENTRE'!$2:$2,0)),0)</f>
        <v>0</v>
      </c>
      <c r="Y142" s="13">
        <f>IFERROR(INDEX('TRANS EMP EXTRACT - COST CENTRE'!$A$1:$Z$455,MATCH('Summary - Monthly'!$A142,'TRANS EMP EXTRACT - COST CENTRE'!$A:$A,0),MATCH('Summary - Monthly'!Y$3,'TRANS EMP EXTRACT - COST CENTRE'!$2:$2,0)),0)</f>
        <v>0</v>
      </c>
      <c r="Z142" s="10">
        <f>IFERROR(INDEX('TRANS EMP EXTRACT - COST CENTRE'!$A$1:$Z$455,MATCH('Summary - Monthly'!$A142,'TRANS EMP EXTRACT - COST CENTRE'!$A:$A,0),MATCH('Summary - Monthly'!Z$3,'TRANS EMP EXTRACT - COST CENTRE'!$2:$2,0)),0)</f>
        <v>0</v>
      </c>
      <c r="AA142" s="10">
        <f>IFERROR(INDEX('TRANS EMP EXTRACT - COST CENTRE'!$A$1:$Z$455,MATCH('Summary - Monthly'!$A142,'TRANS EMP EXTRACT - COST CENTRE'!$A:$A,0),MATCH('Summary - Monthly'!AA$3,'TRANS EMP EXTRACT - COST CENTRE'!$2:$2,0)),0)</f>
        <v>0</v>
      </c>
      <c r="AB142" s="10">
        <f>IFERROR(INDEX('TRANS EMP EXTRACT - COST CENTRE'!$A$1:$Z$455,MATCH('Summary - Monthly'!$A142,'TRANS EMP EXTRACT - COST CENTRE'!$A:$A,0),MATCH('Summary - Monthly'!AB$3,'TRANS EMP EXTRACT - COST CENTRE'!$2:$2,0)),0)</f>
        <v>0</v>
      </c>
      <c r="AC142" s="8">
        <f>IFERROR(INDEX('TRANS EMP EXTRACT - COST CENTRE'!$A$1:$Z$455,MATCH('Summary - Monthly'!$A142,'TRANS EMP EXTRACT - COST CENTRE'!$A:$A,0),MATCH('Summary - Monthly'!AC$3,'TRANS EMP EXTRACT - COST CENTRE'!$2:$2,0)),0)</f>
        <v>0</v>
      </c>
      <c r="AD142" s="13">
        <f>IFERROR(INDEX('TRANS EMP EXTRACT - COST CENTRE'!$A$1:$Z$455,MATCH('Summary - Monthly'!$A142,'TRANS EMP EXTRACT - COST CENTRE'!$A:$A,0),MATCH('Summary - Monthly'!AD$3,'TRANS EMP EXTRACT - COST CENTRE'!$2:$2,0)),0)</f>
        <v>0</v>
      </c>
      <c r="AE142" s="13">
        <f>IFERROR(INDEX('TRANS EMP EXTRACT - COST CENTRE'!$A$1:$Z$455,MATCH('Summary - Monthly'!$A142,'TRANS EMP EXTRACT - COST CENTRE'!$A:$A,0),MATCH('Summary - Monthly'!AE$3,'TRANS EMP EXTRACT - COST CENTRE'!$2:$2,0)),0)</f>
        <v>0</v>
      </c>
      <c r="AF142" s="13">
        <f>IFERROR(INDEX('TRANS EMP EXTRACT - COST CENTRE'!$A$1:$Z$455,MATCH('Summary - Monthly'!$A142,'TRANS EMP EXTRACT - COST CENTRE'!$A:$A,0),MATCH('Summary - Monthly'!AF$3,'TRANS EMP EXTRACT - COST CENTRE'!$2:$2,0)),0)</f>
        <v>0</v>
      </c>
      <c r="AG142" s="10">
        <f>IFERROR(INDEX('TRANS EMP EXTRACT - COST CENTRE'!$A$1:$Z$455,MATCH('Summary - Monthly'!$A142,'TRANS EMP EXTRACT - COST CENTRE'!$A:$A,0),MATCH('Summary - Monthly'!AG$3,'TRANS EMP EXTRACT - COST CENTRE'!$2:$2,0)),0)</f>
        <v>0</v>
      </c>
      <c r="AH142" s="10">
        <f>IFERROR(INDEX('TRANS EMP EXTRACT - COST CENTRE'!$A$1:$Z$455,MATCH('Summary - Monthly'!$A142,'TRANS EMP EXTRACT - COST CENTRE'!$A:$A,0),MATCH('Summary - Monthly'!AH$3,'TRANS EMP EXTRACT - COST CENTRE'!$2:$2,0)),0)</f>
        <v>0</v>
      </c>
      <c r="AI142" s="10">
        <f>IFERROR(INDEX('TRANS EMP EXTRACT - COST CENTRE'!$A$1:$Z$455,MATCH('Summary - Monthly'!$A142,'TRANS EMP EXTRACT - COST CENTRE'!$A:$A,0),MATCH('Summary - Monthly'!AI$3,'TRANS EMP EXTRACT - COST CENTRE'!$2:$2,0)),0)</f>
        <v>0</v>
      </c>
      <c r="AJ142" s="10">
        <f>IFERROR(INDEX('TRANS EMP EXTRACT - COST CENTRE'!$A$1:$Z$455,MATCH('Summary - Monthly'!$A142,'TRANS EMP EXTRACT - COST CENTRE'!$A:$A,0),MATCH('Summary - Monthly'!AJ$3,'TRANS EMP EXTRACT - COST CENTRE'!$2:$2,0)),0)</f>
        <v>0</v>
      </c>
      <c r="AK142" s="10">
        <f>IFERROR(INDEX('TRANS EMP EXTRACT - COST CENTRE'!$A$1:$Z$455,MATCH('Summary - Monthly'!$A142,'TRANS EMP EXTRACT - COST CENTRE'!$A:$A,0),MATCH('Summary - Monthly'!AK$3,'TRANS EMP EXTRACT - COST CENTRE'!$2:$2,0)),0)</f>
        <v>0</v>
      </c>
      <c r="AL142" s="10">
        <f>IFERROR(INDEX('TRANS EMP EXTRACT - COST CENTRE'!$A$1:$Z$455,MATCH('Summary - Monthly'!$A142,'TRANS EMP EXTRACT - COST CENTRE'!$A:$A,0),MATCH('Summary - Monthly'!AL$3,'TRANS EMP EXTRACT - COST CENTRE'!$2:$2,0)),0)</f>
        <v>0</v>
      </c>
      <c r="AM142" s="10">
        <f t="shared" si="20"/>
        <v>81.233300000000014</v>
      </c>
      <c r="AN142" s="14">
        <f t="shared" si="26"/>
        <v>3.0372368421052631E-2</v>
      </c>
      <c r="AO142" s="18">
        <f t="shared" si="30"/>
        <v>0.53442960526315797</v>
      </c>
      <c r="AP142" s="18">
        <f t="shared" si="31"/>
        <v>0.53442960526315797</v>
      </c>
      <c r="AQ142" s="10" t="str">
        <f>IFERROR(VLOOKUP(B142,Departments!A:C,3,FALSE),"")</f>
        <v>Microbiology</v>
      </c>
      <c r="AR142" s="10" t="str">
        <f>IFERROR(VLOOKUP(B142,Departments!A:B,2,FALSE),"")</f>
        <v>Perth Micro</v>
      </c>
      <c r="AS142" s="10">
        <f t="shared" si="27"/>
        <v>0</v>
      </c>
      <c r="AT142" s="10">
        <f t="shared" si="28"/>
        <v>0</v>
      </c>
      <c r="AU142" s="10" t="str">
        <f>_xlfn.IFNA(VLOOKUP(B142,Departments!A:D,4,FALSE),"")</f>
        <v>Perth Micro</v>
      </c>
    </row>
    <row r="143" spans="1:47" ht="14.45" customHeight="1">
      <c r="A143" s="11" t="str">
        <f t="shared" si="24"/>
        <v>1202402118581</v>
      </c>
      <c r="B143" s="11">
        <f>'TRANS EMP EXTRACT - COST CENTRE'!B142</f>
        <v>12024021</v>
      </c>
      <c r="C143" s="10" t="str">
        <f>IFERROR(VLOOKUP(E143,'TRANS EMP EXTRACT - EMP CATEGOR'!A:B,2,FALSE),"")</f>
        <v>FT</v>
      </c>
      <c r="D143" s="10" t="str">
        <f>IFERROR(VLOOKUP(E143,'TRANS EMP EXTRACT - EMP CATEGOR'!A:C,3,FALSE),"")</f>
        <v>Fulltime</v>
      </c>
      <c r="E143" s="11">
        <f>'TRANS EMP EXTRACT - COST CENTRE'!D142</f>
        <v>18581</v>
      </c>
      <c r="F143" s="10" t="str">
        <f>IFERROR(VLOOKUP(E143,'TRANS EMP EXTRACT - COST CENTRE'!D:E,2,FALSE),"")</f>
        <v>WU  JUN MRS</v>
      </c>
      <c r="G143" s="12">
        <f>IFERROR(INDEX('TRANS EMP EXTRACT - COST CENTRE'!$A$1:$Z$455,MATCH('Summary - Monthly'!$A143,'TRANS EMP EXTRACT - COST CENTRE'!$A:$A,0),MATCH('Summary - Monthly'!G$3,'TRANS EMP EXTRACT - COST CENTRE'!$2:$2,0)),"")</f>
        <v>41366</v>
      </c>
      <c r="H143" s="10" t="str">
        <f>IFERROR(INDEX('TRANS EMP EXTRACT - COST CENTRE'!$B$1:$Z$455,MATCH('Summary - Monthly'!$E143,'TRANS EMP EXTRACT - COST CENTRE'!$D:$D,0),MATCH('Summary - Monthly'!H$3,'TRANS EMP EXTRACT - COST CENTRE'!$2:$2,0)),"")</f>
        <v>RT</v>
      </c>
      <c r="I143" s="12" t="str">
        <f>IFERROR(INDEX('TRANS EMP EXTRACT - EMP CATEGOR'!$B$1:$AF$421,MATCH('Summary - Monthly'!$E143,'TRANS EMP EXTRACT - EMP CATEGOR'!$D:$D,0),MATCH('Summary - Monthly'!H$3,'TRANS EMP EXTRACT - EMP CATEGOR'!$2:$2,0)),"")</f>
        <v>RT</v>
      </c>
      <c r="J143" s="41">
        <f t="shared" ca="1" si="25"/>
        <v>85.8874</v>
      </c>
      <c r="K143" s="41">
        <f t="shared" ca="1" si="29"/>
        <v>213.17259999999999</v>
      </c>
      <c r="L143" s="10">
        <f>IFERROR(INDEX('TRANS EMP EXTRACT - COST CENTRE'!$A$1:$Z$455,MATCH('Summary - Monthly'!$A143,'TRANS EMP EXTRACT - COST CENTRE'!$A:$A,0),MATCH('Summary - Monthly'!L$3,'TRANS EMP EXTRACT - COST CENTRE'!$2:$2,0)),"")</f>
        <v>121.6</v>
      </c>
      <c r="M143" s="10">
        <f>IFERROR(INDEX('TRANS EMP EXTRACT - COST CENTRE'!$A$1:$Z$455,MATCH('Summary - Monthly'!$A143,'TRANS EMP EXTRACT - COST CENTRE'!$A:$A,0),MATCH('Summary - Monthly'!M$3,'TRANS EMP EXTRACT - COST CENTRE'!$2:$2,0)),0)</f>
        <v>0</v>
      </c>
      <c r="N143" s="10">
        <f>IFERROR(INDEX('TRANS EMP EXTRACT - COST CENTRE'!$A$1:$Z$455,MATCH('Summary - Monthly'!$A143,'TRANS EMP EXTRACT - COST CENTRE'!$A:$A,0),MATCH('Summary - Monthly'!N$3,'TRANS EMP EXTRACT - COST CENTRE'!$2:$2,0)),0)</f>
        <v>0</v>
      </c>
      <c r="O143" s="10">
        <f>IFERROR(INDEX('TRANS EMP EXTRACT - COST CENTRE'!$A$1:$Z$455,MATCH('Summary - Monthly'!$A143,'TRANS EMP EXTRACT - COST CENTRE'!$A:$A,0),MATCH('Summary - Monthly'!O$3,'TRANS EMP EXTRACT - COST CENTRE'!$2:$2,0)),0)</f>
        <v>0</v>
      </c>
      <c r="P143" s="10">
        <f>IFERROR(INDEX('TRANS EMP EXTRACT - COST CENTRE'!$A$1:$Z$455,MATCH('Summary - Monthly'!$A143,'TRANS EMP EXTRACT - COST CENTRE'!$A:$A,0),MATCH('Summary - Monthly'!P$3,'TRANS EMP EXTRACT - COST CENTRE'!$2:$2,0)),0)</f>
        <v>0</v>
      </c>
      <c r="Q143" s="10">
        <f>IFERROR(INDEX('TRANS EMP EXTRACT - COST CENTRE'!$A$1:$Z$455,MATCH('Summary - Monthly'!$A143,'TRANS EMP EXTRACT - COST CENTRE'!$A:$A,0),MATCH('Summary - Monthly'!Q$3,'TRANS EMP EXTRACT - COST CENTRE'!$2:$2,0)),0)</f>
        <v>0</v>
      </c>
      <c r="R143" s="10">
        <f>IFERROR(INDEX('TRANS EMP EXTRACT - COST CENTRE'!$A$1:$Z$455,MATCH('Summary - Monthly'!$A143,'TRANS EMP EXTRACT - COST CENTRE'!$A:$A,0),MATCH('Summary - Monthly'!R$3,'TRANS EMP EXTRACT - COST CENTRE'!$2:$2,0)),0)</f>
        <v>0</v>
      </c>
      <c r="S143" s="10">
        <f>IFERROR(INDEX('TRANS EMP EXTRACT - COST CENTRE'!$A$1:$Z$455,MATCH('Summary - Monthly'!$A143,'TRANS EMP EXTRACT - COST CENTRE'!$A:$A,0),MATCH('Summary - Monthly'!S$3,'TRANS EMP EXTRACT - COST CENTRE'!$2:$2,0)),0)</f>
        <v>0</v>
      </c>
      <c r="T143" s="8">
        <f>IFERROR(INDEX('TRANS EMP EXTRACT - COST CENTRE'!$A$1:$Z$455,MATCH('Summary - Monthly'!$A143,'TRANS EMP EXTRACT - COST CENTRE'!$A:$A,0),MATCH('Summary - Monthly'!T$3,'TRANS EMP EXTRACT - COST CENTRE'!$2:$2,0)),0)</f>
        <v>0</v>
      </c>
      <c r="U143" s="13">
        <f>IFERROR(INDEX('TRANS EMP EXTRACT - COST CENTRE'!$A$1:$Z$455,MATCH('Summary - Monthly'!$A143,'TRANS EMP EXTRACT - COST CENTRE'!$A:$A,0),MATCH('Summary - Monthly'!U$3,'TRANS EMP EXTRACT - COST CENTRE'!$2:$2,0)),0)</f>
        <v>22.8</v>
      </c>
      <c r="V143" s="13">
        <f>IFERROR(INDEX('TRANS EMP EXTRACT - COST CENTRE'!$A$1:$Z$455,MATCH('Summary - Monthly'!$A143,'TRANS EMP EXTRACT - COST CENTRE'!$A:$A,0),MATCH('Summary - Monthly'!V$3,'TRANS EMP EXTRACT - COST CENTRE'!$2:$2,0)),0)</f>
        <v>7.6</v>
      </c>
      <c r="W143" s="13">
        <f>IFERROR(INDEX('TRANS EMP EXTRACT - COST CENTRE'!$A$1:$Z$455,MATCH('Summary - Monthly'!$A143,'TRANS EMP EXTRACT - COST CENTRE'!$A:$A,0),MATCH('Summary - Monthly'!W$3,'TRANS EMP EXTRACT - COST CENTRE'!$2:$2,0)),0)</f>
        <v>0</v>
      </c>
      <c r="X143" s="13">
        <f>IFERROR(INDEX('TRANS EMP EXTRACT - COST CENTRE'!$A$1:$Z$455,MATCH('Summary - Monthly'!$A143,'TRANS EMP EXTRACT - COST CENTRE'!$A:$A,0),MATCH('Summary - Monthly'!X$3,'TRANS EMP EXTRACT - COST CENTRE'!$2:$2,0)),0)</f>
        <v>0</v>
      </c>
      <c r="Y143" s="13">
        <f>IFERROR(INDEX('TRANS EMP EXTRACT - COST CENTRE'!$A$1:$Z$455,MATCH('Summary - Monthly'!$A143,'TRANS EMP EXTRACT - COST CENTRE'!$A:$A,0),MATCH('Summary - Monthly'!Y$3,'TRANS EMP EXTRACT - COST CENTRE'!$2:$2,0)),0)</f>
        <v>0</v>
      </c>
      <c r="Z143" s="10">
        <f>IFERROR(INDEX('TRANS EMP EXTRACT - COST CENTRE'!$A$1:$Z$455,MATCH('Summary - Monthly'!$A143,'TRANS EMP EXTRACT - COST CENTRE'!$A:$A,0),MATCH('Summary - Monthly'!Z$3,'TRANS EMP EXTRACT - COST CENTRE'!$2:$2,0)),0)</f>
        <v>0</v>
      </c>
      <c r="AA143" s="10">
        <f>IFERROR(INDEX('TRANS EMP EXTRACT - COST CENTRE'!$A$1:$Z$455,MATCH('Summary - Monthly'!$A143,'TRANS EMP EXTRACT - COST CENTRE'!$A:$A,0),MATCH('Summary - Monthly'!AA$3,'TRANS EMP EXTRACT - COST CENTRE'!$2:$2,0)),0)</f>
        <v>0</v>
      </c>
      <c r="AB143" s="10">
        <f>IFERROR(INDEX('TRANS EMP EXTRACT - COST CENTRE'!$A$1:$Z$455,MATCH('Summary - Monthly'!$A143,'TRANS EMP EXTRACT - COST CENTRE'!$A:$A,0),MATCH('Summary - Monthly'!AB$3,'TRANS EMP EXTRACT - COST CENTRE'!$2:$2,0)),0)</f>
        <v>0</v>
      </c>
      <c r="AC143" s="8">
        <f>IFERROR(INDEX('TRANS EMP EXTRACT - COST CENTRE'!$A$1:$Z$455,MATCH('Summary - Monthly'!$A143,'TRANS EMP EXTRACT - COST CENTRE'!$A:$A,0),MATCH('Summary - Monthly'!AC$3,'TRANS EMP EXTRACT - COST CENTRE'!$2:$2,0)),0)</f>
        <v>0</v>
      </c>
      <c r="AD143" s="13">
        <f>IFERROR(INDEX('TRANS EMP EXTRACT - COST CENTRE'!$A$1:$Z$455,MATCH('Summary - Monthly'!$A143,'TRANS EMP EXTRACT - COST CENTRE'!$A:$A,0),MATCH('Summary - Monthly'!AD$3,'TRANS EMP EXTRACT - COST CENTRE'!$2:$2,0)),0)</f>
        <v>0</v>
      </c>
      <c r="AE143" s="13">
        <f>IFERROR(INDEX('TRANS EMP EXTRACT - COST CENTRE'!$A$1:$Z$455,MATCH('Summary - Monthly'!$A143,'TRANS EMP EXTRACT - COST CENTRE'!$A:$A,0),MATCH('Summary - Monthly'!AE$3,'TRANS EMP EXTRACT - COST CENTRE'!$2:$2,0)),0)</f>
        <v>0</v>
      </c>
      <c r="AF143" s="13">
        <f>IFERROR(INDEX('TRANS EMP EXTRACT - COST CENTRE'!$A$1:$Z$455,MATCH('Summary - Monthly'!$A143,'TRANS EMP EXTRACT - COST CENTRE'!$A:$A,0),MATCH('Summary - Monthly'!AF$3,'TRANS EMP EXTRACT - COST CENTRE'!$2:$2,0)),0)</f>
        <v>0</v>
      </c>
      <c r="AG143" s="10">
        <f>IFERROR(INDEX('TRANS EMP EXTRACT - COST CENTRE'!$A$1:$Z$455,MATCH('Summary - Monthly'!$A143,'TRANS EMP EXTRACT - COST CENTRE'!$A:$A,0),MATCH('Summary - Monthly'!AG$3,'TRANS EMP EXTRACT - COST CENTRE'!$2:$2,0)),0)</f>
        <v>0</v>
      </c>
      <c r="AH143" s="10">
        <f>IFERROR(INDEX('TRANS EMP EXTRACT - COST CENTRE'!$A$1:$Z$455,MATCH('Summary - Monthly'!$A143,'TRANS EMP EXTRACT - COST CENTRE'!$A:$A,0),MATCH('Summary - Monthly'!AH$3,'TRANS EMP EXTRACT - COST CENTRE'!$2:$2,0)),0)</f>
        <v>0</v>
      </c>
      <c r="AI143" s="10">
        <f>IFERROR(INDEX('TRANS EMP EXTRACT - COST CENTRE'!$A$1:$Z$455,MATCH('Summary - Monthly'!$A143,'TRANS EMP EXTRACT - COST CENTRE'!$A:$A,0),MATCH('Summary - Monthly'!AI$3,'TRANS EMP EXTRACT - COST CENTRE'!$2:$2,0)),0)</f>
        <v>0</v>
      </c>
      <c r="AJ143" s="10">
        <f>IFERROR(INDEX('TRANS EMP EXTRACT - COST CENTRE'!$A$1:$Z$455,MATCH('Summary - Monthly'!$A143,'TRANS EMP EXTRACT - COST CENTRE'!$A:$A,0),MATCH('Summary - Monthly'!AJ$3,'TRANS EMP EXTRACT - COST CENTRE'!$2:$2,0)),0)</f>
        <v>0</v>
      </c>
      <c r="AK143" s="10">
        <f>IFERROR(INDEX('TRANS EMP EXTRACT - COST CENTRE'!$A$1:$Z$455,MATCH('Summary - Monthly'!$A143,'TRANS EMP EXTRACT - COST CENTRE'!$A:$A,0),MATCH('Summary - Monthly'!AK$3,'TRANS EMP EXTRACT - COST CENTRE'!$2:$2,0)),0)</f>
        <v>0</v>
      </c>
      <c r="AL143" s="10">
        <f>IFERROR(INDEX('TRANS EMP EXTRACT - COST CENTRE'!$A$1:$Z$455,MATCH('Summary - Monthly'!$A143,'TRANS EMP EXTRACT - COST CENTRE'!$A:$A,0),MATCH('Summary - Monthly'!AL$3,'TRANS EMP EXTRACT - COST CENTRE'!$2:$2,0)),0)</f>
        <v>0</v>
      </c>
      <c r="AM143" s="10">
        <f t="shared" si="20"/>
        <v>152</v>
      </c>
      <c r="AN143" s="14">
        <f t="shared" si="26"/>
        <v>0</v>
      </c>
      <c r="AO143" s="18">
        <f t="shared" si="30"/>
        <v>1</v>
      </c>
      <c r="AP143" s="18">
        <f t="shared" si="31"/>
        <v>0.79999999999999993</v>
      </c>
      <c r="AQ143" s="10" t="str">
        <f>IFERROR(VLOOKUP(B143,Departments!A:C,3,FALSE),"")</f>
        <v>R&amp;D</v>
      </c>
      <c r="AR143" s="10" t="str">
        <f>IFERROR(VLOOKUP(B143,Departments!A:B,2,FALSE),"")</f>
        <v>R&amp;D</v>
      </c>
      <c r="AS143" s="10">
        <f t="shared" si="27"/>
        <v>7.6</v>
      </c>
      <c r="AT143" s="10">
        <f t="shared" si="28"/>
        <v>30.4</v>
      </c>
      <c r="AU143" s="10" t="str">
        <f>_xlfn.IFNA(VLOOKUP(B143,Departments!A:D,4,FALSE),"")</f>
        <v>R&amp;D</v>
      </c>
    </row>
    <row r="144" spans="1:47" ht="14.45" customHeight="1">
      <c r="A144" s="11" t="str">
        <f t="shared" si="24"/>
        <v>1202102118911</v>
      </c>
      <c r="B144" s="11">
        <f>'TRANS EMP EXTRACT - COST CENTRE'!B143</f>
        <v>12021021</v>
      </c>
      <c r="C144" s="10" t="str">
        <f>IFERROR(VLOOKUP(E144,'TRANS EMP EXTRACT - EMP CATEGOR'!A:B,2,FALSE),"")</f>
        <v>FT</v>
      </c>
      <c r="D144" s="10" t="str">
        <f>IFERROR(VLOOKUP(E144,'TRANS EMP EXTRACT - EMP CATEGOR'!A:C,3,FALSE),"")</f>
        <v>Fulltime</v>
      </c>
      <c r="E144" s="11">
        <f>'TRANS EMP EXTRACT - COST CENTRE'!D143</f>
        <v>18911</v>
      </c>
      <c r="F144" s="10" t="str">
        <f>IFERROR(VLOOKUP(E144,'TRANS EMP EXTRACT - COST CENTRE'!D:E,2,FALSE),"")</f>
        <v>XYLOPORTA  MARIA MRS</v>
      </c>
      <c r="G144" s="12">
        <f>IFERROR(INDEX('TRANS EMP EXTRACT - COST CENTRE'!$A$1:$Z$455,MATCH('Summary - Monthly'!$A144,'TRANS EMP EXTRACT - COST CENTRE'!$A:$A,0),MATCH('Summary - Monthly'!G$3,'TRANS EMP EXTRACT - COST CENTRE'!$2:$2,0)),"")</f>
        <v>43930</v>
      </c>
      <c r="H144" s="10" t="str">
        <f>IFERROR(INDEX('TRANS EMP EXTRACT - COST CENTRE'!$B$1:$Z$455,MATCH('Summary - Monthly'!$E144,'TRANS EMP EXTRACT - COST CENTRE'!$D:$D,0),MATCH('Summary - Monthly'!H$3,'TRANS EMP EXTRACT - COST CENTRE'!$2:$2,0)),"")</f>
        <v>RT</v>
      </c>
      <c r="I144" s="12" t="str">
        <f>IFERROR(INDEX('TRANS EMP EXTRACT - EMP CATEGOR'!$B$1:$AF$421,MATCH('Summary - Monthly'!$E144,'TRANS EMP EXTRACT - EMP CATEGOR'!$D:$D,0),MATCH('Summary - Monthly'!H$3,'TRANS EMP EXTRACT - EMP CATEGOR'!$2:$2,0)),"")</f>
        <v>RT</v>
      </c>
      <c r="J144" s="41">
        <f t="shared" ca="1" si="25"/>
        <v>154.57259999999999</v>
      </c>
      <c r="K144" s="41">
        <f t="shared" ca="1" si="29"/>
        <v>144.34520000000001</v>
      </c>
      <c r="L144" s="10">
        <f>IFERROR(INDEX('TRANS EMP EXTRACT - COST CENTRE'!$A$1:$Z$455,MATCH('Summary - Monthly'!$A144,'TRANS EMP EXTRACT - COST CENTRE'!$A:$A,0),MATCH('Summary - Monthly'!L$3,'TRANS EMP EXTRACT - COST CENTRE'!$2:$2,0)),"")</f>
        <v>135.16669999999999</v>
      </c>
      <c r="M144" s="10">
        <f>IFERROR(INDEX('TRANS EMP EXTRACT - COST CENTRE'!$A$1:$Z$455,MATCH('Summary - Monthly'!$A144,'TRANS EMP EXTRACT - COST CENTRE'!$A:$A,0),MATCH('Summary - Monthly'!M$3,'TRANS EMP EXTRACT - COST CENTRE'!$2:$2,0)),0)</f>
        <v>0</v>
      </c>
      <c r="N144" s="10">
        <f>IFERROR(INDEX('TRANS EMP EXTRACT - COST CENTRE'!$A$1:$Z$455,MATCH('Summary - Monthly'!$A144,'TRANS EMP EXTRACT - COST CENTRE'!$A:$A,0),MATCH('Summary - Monthly'!N$3,'TRANS EMP EXTRACT - COST CENTRE'!$2:$2,0)),0)</f>
        <v>0</v>
      </c>
      <c r="O144" s="10">
        <f>IFERROR(INDEX('TRANS EMP EXTRACT - COST CENTRE'!$A$1:$Z$455,MATCH('Summary - Monthly'!$A144,'TRANS EMP EXTRACT - COST CENTRE'!$A:$A,0),MATCH('Summary - Monthly'!O$3,'TRANS EMP EXTRACT - COST CENTRE'!$2:$2,0)),0)</f>
        <v>0</v>
      </c>
      <c r="P144" s="10">
        <f>IFERROR(INDEX('TRANS EMP EXTRACT - COST CENTRE'!$A$1:$Z$455,MATCH('Summary - Monthly'!$A144,'TRANS EMP EXTRACT - COST CENTRE'!$A:$A,0),MATCH('Summary - Monthly'!P$3,'TRANS EMP EXTRACT - COST CENTRE'!$2:$2,0)),0)</f>
        <v>0</v>
      </c>
      <c r="Q144" s="10">
        <f>IFERROR(INDEX('TRANS EMP EXTRACT - COST CENTRE'!$A$1:$Z$455,MATCH('Summary - Monthly'!$A144,'TRANS EMP EXTRACT - COST CENTRE'!$A:$A,0),MATCH('Summary - Monthly'!Q$3,'TRANS EMP EXTRACT - COST CENTRE'!$2:$2,0)),0)</f>
        <v>18.116599999999998</v>
      </c>
      <c r="R144" s="10">
        <f>IFERROR(INDEX('TRANS EMP EXTRACT - COST CENTRE'!$A$1:$Z$455,MATCH('Summary - Monthly'!$A144,'TRANS EMP EXTRACT - COST CENTRE'!$A:$A,0),MATCH('Summary - Monthly'!R$3,'TRANS EMP EXTRACT - COST CENTRE'!$2:$2,0)),0)</f>
        <v>0.05</v>
      </c>
      <c r="S144" s="10">
        <f>IFERROR(INDEX('TRANS EMP EXTRACT - COST CENTRE'!$A$1:$Z$455,MATCH('Summary - Monthly'!$A144,'TRANS EMP EXTRACT - COST CENTRE'!$A:$A,0),MATCH('Summary - Monthly'!S$3,'TRANS EMP EXTRACT - COST CENTRE'!$2:$2,0)),0)</f>
        <v>0</v>
      </c>
      <c r="T144" s="8">
        <f>IFERROR(INDEX('TRANS EMP EXTRACT - COST CENTRE'!$A$1:$Z$455,MATCH('Summary - Monthly'!$A144,'TRANS EMP EXTRACT - COST CENTRE'!$A:$A,0),MATCH('Summary - Monthly'!T$3,'TRANS EMP EXTRACT - COST CENTRE'!$2:$2,0)),0)</f>
        <v>0</v>
      </c>
      <c r="U144" s="13">
        <f>IFERROR(INDEX('TRANS EMP EXTRACT - COST CENTRE'!$A$1:$Z$455,MATCH('Summary - Monthly'!$A144,'TRANS EMP EXTRACT - COST CENTRE'!$A:$A,0),MATCH('Summary - Monthly'!U$3,'TRANS EMP EXTRACT - COST CENTRE'!$2:$2,0)),0)</f>
        <v>15.2</v>
      </c>
      <c r="V144" s="13">
        <f>IFERROR(INDEX('TRANS EMP EXTRACT - COST CENTRE'!$A$1:$Z$455,MATCH('Summary - Monthly'!$A144,'TRANS EMP EXTRACT - COST CENTRE'!$A:$A,0),MATCH('Summary - Monthly'!V$3,'TRANS EMP EXTRACT - COST CENTRE'!$2:$2,0)),0)</f>
        <v>0</v>
      </c>
      <c r="W144" s="13">
        <f>IFERROR(INDEX('TRANS EMP EXTRACT - COST CENTRE'!$A$1:$Z$455,MATCH('Summary - Monthly'!$A144,'TRANS EMP EXTRACT - COST CENTRE'!$A:$A,0),MATCH('Summary - Monthly'!W$3,'TRANS EMP EXTRACT - COST CENTRE'!$2:$2,0)),0)</f>
        <v>0</v>
      </c>
      <c r="X144" s="13">
        <f>IFERROR(INDEX('TRANS EMP EXTRACT - COST CENTRE'!$A$1:$Z$455,MATCH('Summary - Monthly'!$A144,'TRANS EMP EXTRACT - COST CENTRE'!$A:$A,0),MATCH('Summary - Monthly'!X$3,'TRANS EMP EXTRACT - COST CENTRE'!$2:$2,0)),0)</f>
        <v>0</v>
      </c>
      <c r="Y144" s="13">
        <f>IFERROR(INDEX('TRANS EMP EXTRACT - COST CENTRE'!$A$1:$Z$455,MATCH('Summary - Monthly'!$A144,'TRANS EMP EXTRACT - COST CENTRE'!$A:$A,0),MATCH('Summary - Monthly'!Y$3,'TRANS EMP EXTRACT - COST CENTRE'!$2:$2,0)),0)</f>
        <v>0</v>
      </c>
      <c r="Z144" s="10">
        <f>IFERROR(INDEX('TRANS EMP EXTRACT - COST CENTRE'!$A$1:$Z$455,MATCH('Summary - Monthly'!$A144,'TRANS EMP EXTRACT - COST CENTRE'!$A:$A,0),MATCH('Summary - Monthly'!Z$3,'TRANS EMP EXTRACT - COST CENTRE'!$2:$2,0)),0)</f>
        <v>0</v>
      </c>
      <c r="AA144" s="10">
        <f>IFERROR(INDEX('TRANS EMP EXTRACT - COST CENTRE'!$A$1:$Z$455,MATCH('Summary - Monthly'!$A144,'TRANS EMP EXTRACT - COST CENTRE'!$A:$A,0),MATCH('Summary - Monthly'!AA$3,'TRANS EMP EXTRACT - COST CENTRE'!$2:$2,0)),0)</f>
        <v>0</v>
      </c>
      <c r="AB144" s="10">
        <f>IFERROR(INDEX('TRANS EMP EXTRACT - COST CENTRE'!$A$1:$Z$455,MATCH('Summary - Monthly'!$A144,'TRANS EMP EXTRACT - COST CENTRE'!$A:$A,0),MATCH('Summary - Monthly'!AB$3,'TRANS EMP EXTRACT - COST CENTRE'!$2:$2,0)),0)</f>
        <v>0</v>
      </c>
      <c r="AC144" s="8">
        <f>IFERROR(INDEX('TRANS EMP EXTRACT - COST CENTRE'!$A$1:$Z$455,MATCH('Summary - Monthly'!$A144,'TRANS EMP EXTRACT - COST CENTRE'!$A:$A,0),MATCH('Summary - Monthly'!AC$3,'TRANS EMP EXTRACT - COST CENTRE'!$2:$2,0)),0)</f>
        <v>0</v>
      </c>
      <c r="AD144" s="13">
        <f>IFERROR(INDEX('TRANS EMP EXTRACT - COST CENTRE'!$A$1:$Z$455,MATCH('Summary - Monthly'!$A144,'TRANS EMP EXTRACT - COST CENTRE'!$A:$A,0),MATCH('Summary - Monthly'!AD$3,'TRANS EMP EXTRACT - COST CENTRE'!$2:$2,0)),0)</f>
        <v>0</v>
      </c>
      <c r="AE144" s="13">
        <f>IFERROR(INDEX('TRANS EMP EXTRACT - COST CENTRE'!$A$1:$Z$455,MATCH('Summary - Monthly'!$A144,'TRANS EMP EXTRACT - COST CENTRE'!$A:$A,0),MATCH('Summary - Monthly'!AE$3,'TRANS EMP EXTRACT - COST CENTRE'!$2:$2,0)),0)</f>
        <v>0</v>
      </c>
      <c r="AF144" s="13">
        <f>IFERROR(INDEX('TRANS EMP EXTRACT - COST CENTRE'!$A$1:$Z$455,MATCH('Summary - Monthly'!$A144,'TRANS EMP EXTRACT - COST CENTRE'!$A:$A,0),MATCH('Summary - Monthly'!AF$3,'TRANS EMP EXTRACT - COST CENTRE'!$2:$2,0)),0)</f>
        <v>0</v>
      </c>
      <c r="AG144" s="10">
        <f>IFERROR(INDEX('TRANS EMP EXTRACT - COST CENTRE'!$A$1:$Z$455,MATCH('Summary - Monthly'!$A144,'TRANS EMP EXTRACT - COST CENTRE'!$A:$A,0),MATCH('Summary - Monthly'!AG$3,'TRANS EMP EXTRACT - COST CENTRE'!$2:$2,0)),0)</f>
        <v>0</v>
      </c>
      <c r="AH144" s="10">
        <f>IFERROR(INDEX('TRANS EMP EXTRACT - COST CENTRE'!$A$1:$Z$455,MATCH('Summary - Monthly'!$A144,'TRANS EMP EXTRACT - COST CENTRE'!$A:$A,0),MATCH('Summary - Monthly'!AH$3,'TRANS EMP EXTRACT - COST CENTRE'!$2:$2,0)),0)</f>
        <v>0</v>
      </c>
      <c r="AI144" s="10">
        <f>IFERROR(INDEX('TRANS EMP EXTRACT - COST CENTRE'!$A$1:$Z$455,MATCH('Summary - Monthly'!$A144,'TRANS EMP EXTRACT - COST CENTRE'!$A:$A,0),MATCH('Summary - Monthly'!AI$3,'TRANS EMP EXTRACT - COST CENTRE'!$2:$2,0)),0)</f>
        <v>0</v>
      </c>
      <c r="AJ144" s="10">
        <f>IFERROR(INDEX('TRANS EMP EXTRACT - COST CENTRE'!$A$1:$Z$455,MATCH('Summary - Monthly'!$A144,'TRANS EMP EXTRACT - COST CENTRE'!$A:$A,0),MATCH('Summary - Monthly'!AJ$3,'TRANS EMP EXTRACT - COST CENTRE'!$2:$2,0)),0)</f>
        <v>0</v>
      </c>
      <c r="AK144" s="10">
        <f>IFERROR(INDEX('TRANS EMP EXTRACT - COST CENTRE'!$A$1:$Z$455,MATCH('Summary - Monthly'!$A144,'TRANS EMP EXTRACT - COST CENTRE'!$A:$A,0),MATCH('Summary - Monthly'!AK$3,'TRANS EMP EXTRACT - COST CENTRE'!$2:$2,0)),0)</f>
        <v>0</v>
      </c>
      <c r="AL144" s="10">
        <f>IFERROR(INDEX('TRANS EMP EXTRACT - COST CENTRE'!$A$1:$Z$455,MATCH('Summary - Monthly'!$A144,'TRANS EMP EXTRACT - COST CENTRE'!$A:$A,0),MATCH('Summary - Monthly'!AL$3,'TRANS EMP EXTRACT - COST CENTRE'!$2:$2,0)),0)</f>
        <v>0</v>
      </c>
      <c r="AM144" s="10">
        <f t="shared" si="20"/>
        <v>168.5333</v>
      </c>
      <c r="AN144" s="14">
        <f t="shared" si="26"/>
        <v>0.11951710526315788</v>
      </c>
      <c r="AO144" s="18">
        <f t="shared" si="30"/>
        <v>1.1087717105263157</v>
      </c>
      <c r="AP144" s="18">
        <f t="shared" si="31"/>
        <v>1.0087717105263159</v>
      </c>
      <c r="AQ144" s="10" t="str">
        <f>IFERROR(VLOOKUP(B144,Departments!A:C,3,FALSE),"")</f>
        <v>Chemistry</v>
      </c>
      <c r="AR144" s="10" t="str">
        <f>IFERROR(VLOOKUP(B144,Departments!A:B,2,FALSE),"")</f>
        <v>Sydney Chem</v>
      </c>
      <c r="AS144" s="10">
        <f t="shared" si="27"/>
        <v>0</v>
      </c>
      <c r="AT144" s="10">
        <f t="shared" si="28"/>
        <v>15.2</v>
      </c>
      <c r="AU144" s="10" t="str">
        <f>_xlfn.IFNA(VLOOKUP(B144,Departments!A:D,4,FALSE),"")</f>
        <v>Sydney Chem</v>
      </c>
    </row>
    <row r="145" spans="1:47" ht="14.45" customHeight="1">
      <c r="A145" s="11" t="str">
        <f t="shared" si="24"/>
        <v>1203301118983</v>
      </c>
      <c r="B145" s="11">
        <f>'TRANS EMP EXTRACT - COST CENTRE'!B144</f>
        <v>12033011</v>
      </c>
      <c r="C145" s="10" t="str">
        <f>IFERROR(VLOOKUP(E145,'TRANS EMP EXTRACT - EMP CATEGOR'!A:B,2,FALSE),"")</f>
        <v>FT</v>
      </c>
      <c r="D145" s="10" t="str">
        <f>IFERROR(VLOOKUP(E145,'TRANS EMP EXTRACT - EMP CATEGOR'!A:C,3,FALSE),"")</f>
        <v>Fulltime</v>
      </c>
      <c r="E145" s="11">
        <f>'TRANS EMP EXTRACT - COST CENTRE'!D144</f>
        <v>18983</v>
      </c>
      <c r="F145" s="10" t="str">
        <f>IFERROR(VLOOKUP(E145,'TRANS EMP EXTRACT - COST CENTRE'!D:E,2,FALSE),"")</f>
        <v>YADAGIRI  SIRI MS</v>
      </c>
      <c r="G145" s="12">
        <f>IFERROR(INDEX('TRANS EMP EXTRACT - COST CENTRE'!$A$1:$Z$455,MATCH('Summary - Monthly'!$A145,'TRANS EMP EXTRACT - COST CENTRE'!$A:$A,0),MATCH('Summary - Monthly'!G$3,'TRANS EMP EXTRACT - COST CENTRE'!$2:$2,0)),"")</f>
        <v>44526</v>
      </c>
      <c r="H145" s="10" t="str">
        <f>IFERROR(INDEX('TRANS EMP EXTRACT - COST CENTRE'!$B$1:$Z$455,MATCH('Summary - Monthly'!$E145,'TRANS EMP EXTRACT - COST CENTRE'!$D:$D,0),MATCH('Summary - Monthly'!H$3,'TRANS EMP EXTRACT - COST CENTRE'!$2:$2,0)),"")</f>
        <v>FN</v>
      </c>
      <c r="I145" s="12" t="str">
        <f>IFERROR(INDEX('TRANS EMP EXTRACT - EMP CATEGOR'!$B$1:$AF$421,MATCH('Summary - Monthly'!$E145,'TRANS EMP EXTRACT - EMP CATEGOR'!$D:$D,0),MATCH('Summary - Monthly'!H$3,'TRANS EMP EXTRACT - EMP CATEGOR'!$2:$2,0)),"")</f>
        <v>FN</v>
      </c>
      <c r="J145" s="41">
        <f t="shared" ca="1" si="25"/>
        <v>16.137</v>
      </c>
      <c r="K145" s="41">
        <f t="shared" ca="1" si="29"/>
        <v>55.073999999999998</v>
      </c>
      <c r="L145" s="10">
        <f>IFERROR(INDEX('TRANS EMP EXTRACT - COST CENTRE'!$A$1:$Z$455,MATCH('Summary - Monthly'!$A145,'TRANS EMP EXTRACT - COST CENTRE'!$A:$A,0),MATCH('Summary - Monthly'!L$3,'TRANS EMP EXTRACT - COST CENTRE'!$2:$2,0)),"")</f>
        <v>121.6</v>
      </c>
      <c r="M145" s="10">
        <f>IFERROR(INDEX('TRANS EMP EXTRACT - COST CENTRE'!$A$1:$Z$455,MATCH('Summary - Monthly'!$A145,'TRANS EMP EXTRACT - COST CENTRE'!$A:$A,0),MATCH('Summary - Monthly'!M$3,'TRANS EMP EXTRACT - COST CENTRE'!$2:$2,0)),0)</f>
        <v>0</v>
      </c>
      <c r="N145" s="10">
        <f>IFERROR(INDEX('TRANS EMP EXTRACT - COST CENTRE'!$A$1:$Z$455,MATCH('Summary - Monthly'!$A145,'TRANS EMP EXTRACT - COST CENTRE'!$A:$A,0),MATCH('Summary - Monthly'!N$3,'TRANS EMP EXTRACT - COST CENTRE'!$2:$2,0)),0)</f>
        <v>0</v>
      </c>
      <c r="O145" s="10">
        <f>IFERROR(INDEX('TRANS EMP EXTRACT - COST CENTRE'!$A$1:$Z$455,MATCH('Summary - Monthly'!$A145,'TRANS EMP EXTRACT - COST CENTRE'!$A:$A,0),MATCH('Summary - Monthly'!O$3,'TRANS EMP EXTRACT - COST CENTRE'!$2:$2,0)),0)</f>
        <v>30.1</v>
      </c>
      <c r="P145" s="10">
        <f>IFERROR(INDEX('TRANS EMP EXTRACT - COST CENTRE'!$A$1:$Z$455,MATCH('Summary - Monthly'!$A145,'TRANS EMP EXTRACT - COST CENTRE'!$A:$A,0),MATCH('Summary - Monthly'!P$3,'TRANS EMP EXTRACT - COST CENTRE'!$2:$2,0)),0)</f>
        <v>0</v>
      </c>
      <c r="Q145" s="10">
        <f>IFERROR(INDEX('TRANS EMP EXTRACT - COST CENTRE'!$A$1:$Z$455,MATCH('Summary - Monthly'!$A145,'TRANS EMP EXTRACT - COST CENTRE'!$A:$A,0),MATCH('Summary - Monthly'!Q$3,'TRANS EMP EXTRACT - COST CENTRE'!$2:$2,0)),0)</f>
        <v>24.833300000000001</v>
      </c>
      <c r="R145" s="10">
        <f>IFERROR(INDEX('TRANS EMP EXTRACT - COST CENTRE'!$A$1:$Z$455,MATCH('Summary - Monthly'!$A145,'TRANS EMP EXTRACT - COST CENTRE'!$A:$A,0),MATCH('Summary - Monthly'!R$3,'TRANS EMP EXTRACT - COST CENTRE'!$2:$2,0)),0)</f>
        <v>2.3666</v>
      </c>
      <c r="S145" s="10">
        <f>IFERROR(INDEX('TRANS EMP EXTRACT - COST CENTRE'!$A$1:$Z$455,MATCH('Summary - Monthly'!$A145,'TRANS EMP EXTRACT - COST CENTRE'!$A:$A,0),MATCH('Summary - Monthly'!S$3,'TRANS EMP EXTRACT - COST CENTRE'!$2:$2,0)),0)</f>
        <v>0</v>
      </c>
      <c r="T145" s="8">
        <f>IFERROR(INDEX('TRANS EMP EXTRACT - COST CENTRE'!$A$1:$Z$455,MATCH('Summary - Monthly'!$A145,'TRANS EMP EXTRACT - COST CENTRE'!$A:$A,0),MATCH('Summary - Monthly'!T$3,'TRANS EMP EXTRACT - COST CENTRE'!$2:$2,0)),0)</f>
        <v>0</v>
      </c>
      <c r="U145" s="13">
        <f>IFERROR(INDEX('TRANS EMP EXTRACT - COST CENTRE'!$A$1:$Z$455,MATCH('Summary - Monthly'!$A145,'TRANS EMP EXTRACT - COST CENTRE'!$A:$A,0),MATCH('Summary - Monthly'!U$3,'TRANS EMP EXTRACT - COST CENTRE'!$2:$2,0)),0)</f>
        <v>0</v>
      </c>
      <c r="V145" s="13">
        <f>IFERROR(INDEX('TRANS EMP EXTRACT - COST CENTRE'!$A$1:$Z$455,MATCH('Summary - Monthly'!$A145,'TRANS EMP EXTRACT - COST CENTRE'!$A:$A,0),MATCH('Summary - Monthly'!V$3,'TRANS EMP EXTRACT - COST CENTRE'!$2:$2,0)),0)</f>
        <v>0</v>
      </c>
      <c r="W145" s="13">
        <f>IFERROR(INDEX('TRANS EMP EXTRACT - COST CENTRE'!$A$1:$Z$455,MATCH('Summary - Monthly'!$A145,'TRANS EMP EXTRACT - COST CENTRE'!$A:$A,0),MATCH('Summary - Monthly'!W$3,'TRANS EMP EXTRACT - COST CENTRE'!$2:$2,0)),0)</f>
        <v>0</v>
      </c>
      <c r="X145" s="13">
        <f>IFERROR(INDEX('TRANS EMP EXTRACT - COST CENTRE'!$A$1:$Z$455,MATCH('Summary - Monthly'!$A145,'TRANS EMP EXTRACT - COST CENTRE'!$A:$A,0),MATCH('Summary - Monthly'!X$3,'TRANS EMP EXTRACT - COST CENTRE'!$2:$2,0)),0)</f>
        <v>0</v>
      </c>
      <c r="Y145" s="13">
        <f>IFERROR(INDEX('TRANS EMP EXTRACT - COST CENTRE'!$A$1:$Z$455,MATCH('Summary - Monthly'!$A145,'TRANS EMP EXTRACT - COST CENTRE'!$A:$A,0),MATCH('Summary - Monthly'!Y$3,'TRANS EMP EXTRACT - COST CENTRE'!$2:$2,0)),0)</f>
        <v>0</v>
      </c>
      <c r="Z145" s="10">
        <f>IFERROR(INDEX('TRANS EMP EXTRACT - COST CENTRE'!$A$1:$Z$455,MATCH('Summary - Monthly'!$A145,'TRANS EMP EXTRACT - COST CENTRE'!$A:$A,0),MATCH('Summary - Monthly'!Z$3,'TRANS EMP EXTRACT - COST CENTRE'!$2:$2,0)),0)</f>
        <v>0</v>
      </c>
      <c r="AA145" s="10">
        <f>IFERROR(INDEX('TRANS EMP EXTRACT - COST CENTRE'!$A$1:$Z$455,MATCH('Summary - Monthly'!$A145,'TRANS EMP EXTRACT - COST CENTRE'!$A:$A,0),MATCH('Summary - Monthly'!AA$3,'TRANS EMP EXTRACT - COST CENTRE'!$2:$2,0)),0)</f>
        <v>0</v>
      </c>
      <c r="AB145" s="10">
        <f>IFERROR(INDEX('TRANS EMP EXTRACT - COST CENTRE'!$A$1:$Z$455,MATCH('Summary - Monthly'!$A145,'TRANS EMP EXTRACT - COST CENTRE'!$A:$A,0),MATCH('Summary - Monthly'!AB$3,'TRANS EMP EXTRACT - COST CENTRE'!$2:$2,0)),0)</f>
        <v>0</v>
      </c>
      <c r="AC145" s="8">
        <f>IFERROR(INDEX('TRANS EMP EXTRACT - COST CENTRE'!$A$1:$Z$455,MATCH('Summary - Monthly'!$A145,'TRANS EMP EXTRACT - COST CENTRE'!$A:$A,0),MATCH('Summary - Monthly'!AC$3,'TRANS EMP EXTRACT - COST CENTRE'!$2:$2,0)),0)</f>
        <v>0</v>
      </c>
      <c r="AD145" s="13">
        <f>IFERROR(INDEX('TRANS EMP EXTRACT - COST CENTRE'!$A$1:$Z$455,MATCH('Summary - Monthly'!$A145,'TRANS EMP EXTRACT - COST CENTRE'!$A:$A,0),MATCH('Summary - Monthly'!AD$3,'TRANS EMP EXTRACT - COST CENTRE'!$2:$2,0)),0)</f>
        <v>0</v>
      </c>
      <c r="AE145" s="13">
        <f>IFERROR(INDEX('TRANS EMP EXTRACT - COST CENTRE'!$A$1:$Z$455,MATCH('Summary - Monthly'!$A145,'TRANS EMP EXTRACT - COST CENTRE'!$A:$A,0),MATCH('Summary - Monthly'!AE$3,'TRANS EMP EXTRACT - COST CENTRE'!$2:$2,0)),0)</f>
        <v>0</v>
      </c>
      <c r="AF145" s="13">
        <f>IFERROR(INDEX('TRANS EMP EXTRACT - COST CENTRE'!$A$1:$Z$455,MATCH('Summary - Monthly'!$A145,'TRANS EMP EXTRACT - COST CENTRE'!$A:$A,0),MATCH('Summary - Monthly'!AF$3,'TRANS EMP EXTRACT - COST CENTRE'!$2:$2,0)),0)</f>
        <v>0</v>
      </c>
      <c r="AG145" s="10">
        <f>IFERROR(INDEX('TRANS EMP EXTRACT - COST CENTRE'!$A$1:$Z$455,MATCH('Summary - Monthly'!$A145,'TRANS EMP EXTRACT - COST CENTRE'!$A:$A,0),MATCH('Summary - Monthly'!AG$3,'TRANS EMP EXTRACT - COST CENTRE'!$2:$2,0)),0)</f>
        <v>0</v>
      </c>
      <c r="AH145" s="10">
        <f>IFERROR(INDEX('TRANS EMP EXTRACT - COST CENTRE'!$A$1:$Z$455,MATCH('Summary - Monthly'!$A145,'TRANS EMP EXTRACT - COST CENTRE'!$A:$A,0),MATCH('Summary - Monthly'!AH$3,'TRANS EMP EXTRACT - COST CENTRE'!$2:$2,0)),0)</f>
        <v>0</v>
      </c>
      <c r="AI145" s="10">
        <f>IFERROR(INDEX('TRANS EMP EXTRACT - COST CENTRE'!$A$1:$Z$455,MATCH('Summary - Monthly'!$A145,'TRANS EMP EXTRACT - COST CENTRE'!$A:$A,0),MATCH('Summary - Monthly'!AI$3,'TRANS EMP EXTRACT - COST CENTRE'!$2:$2,0)),0)</f>
        <v>0</v>
      </c>
      <c r="AJ145" s="10">
        <f>IFERROR(INDEX('TRANS EMP EXTRACT - COST CENTRE'!$A$1:$Z$455,MATCH('Summary - Monthly'!$A145,'TRANS EMP EXTRACT - COST CENTRE'!$A:$A,0),MATCH('Summary - Monthly'!AJ$3,'TRANS EMP EXTRACT - COST CENTRE'!$2:$2,0)),0)</f>
        <v>0</v>
      </c>
      <c r="AK145" s="10">
        <f>IFERROR(INDEX('TRANS EMP EXTRACT - COST CENTRE'!$A$1:$Z$455,MATCH('Summary - Monthly'!$A145,'TRANS EMP EXTRACT - COST CENTRE'!$A:$A,0),MATCH('Summary - Monthly'!AK$3,'TRANS EMP EXTRACT - COST CENTRE'!$2:$2,0)),0)</f>
        <v>0</v>
      </c>
      <c r="AL145" s="10">
        <f>IFERROR(INDEX('TRANS EMP EXTRACT - COST CENTRE'!$A$1:$Z$455,MATCH('Summary - Monthly'!$A145,'TRANS EMP EXTRACT - COST CENTRE'!$A:$A,0),MATCH('Summary - Monthly'!AL$3,'TRANS EMP EXTRACT - COST CENTRE'!$2:$2,0)),0)</f>
        <v>0</v>
      </c>
      <c r="AM145" s="10">
        <f t="shared" ref="AM145:AM208" si="32">SUM(L145:Y145)+SUM(AD145:AF145)-T145</f>
        <v>178.8999</v>
      </c>
      <c r="AN145" s="14">
        <f t="shared" si="26"/>
        <v>0.17894671052631578</v>
      </c>
      <c r="AO145" s="18">
        <f t="shared" si="30"/>
        <v>1.1769730263157896</v>
      </c>
      <c r="AP145" s="18">
        <f t="shared" si="31"/>
        <v>1.1769730263157896</v>
      </c>
      <c r="AQ145" s="10" t="str">
        <f>IFERROR(VLOOKUP(B145,Departments!A:C,3,FALSE),"")</f>
        <v>Microbiology</v>
      </c>
      <c r="AR145" s="10" t="str">
        <f>IFERROR(VLOOKUP(B145,Departments!A:B,2,FALSE),"")</f>
        <v>Melb Micro</v>
      </c>
      <c r="AS145" s="10">
        <f t="shared" si="27"/>
        <v>0</v>
      </c>
      <c r="AT145" s="10">
        <f t="shared" si="28"/>
        <v>0</v>
      </c>
      <c r="AU145" s="10" t="str">
        <f>_xlfn.IFNA(VLOOKUP(B145,Departments!A:D,4,FALSE),"")</f>
        <v>Melbourne Micro</v>
      </c>
    </row>
    <row r="146" spans="1:47" ht="14.45" customHeight="1">
      <c r="A146" s="11" t="str">
        <f t="shared" si="24"/>
        <v>1202301119007</v>
      </c>
      <c r="B146" s="11">
        <f>'TRANS EMP EXTRACT - COST CENTRE'!B145</f>
        <v>12023011</v>
      </c>
      <c r="C146" s="10" t="str">
        <f>IFERROR(VLOOKUP(E146,'TRANS EMP EXTRACT - EMP CATEGOR'!A:B,2,FALSE),"")</f>
        <v>TF</v>
      </c>
      <c r="D146" s="10" t="str">
        <f>IFERROR(VLOOKUP(E146,'TRANS EMP EXTRACT - EMP CATEGOR'!A:C,3,FALSE),"")</f>
        <v>Temporary Fulltime</v>
      </c>
      <c r="E146" s="11">
        <f>'TRANS EMP EXTRACT - COST CENTRE'!D145</f>
        <v>19007</v>
      </c>
      <c r="F146" s="10" t="str">
        <f>IFERROR(VLOOKUP(E146,'TRANS EMP EXTRACT - COST CENTRE'!D:E,2,FALSE),"")</f>
        <v>YASEEN  MISBAH MRS</v>
      </c>
      <c r="G146" s="12">
        <f>IFERROR(INDEX('TRANS EMP EXTRACT - COST CENTRE'!$A$1:$Z$455,MATCH('Summary - Monthly'!$A146,'TRANS EMP EXTRACT - COST CENTRE'!$A:$A,0),MATCH('Summary - Monthly'!G$3,'TRANS EMP EXTRACT - COST CENTRE'!$2:$2,0)),"")</f>
        <v>44705</v>
      </c>
      <c r="H146" s="10" t="str">
        <f>IFERROR(INDEX('TRANS EMP EXTRACT - COST CENTRE'!$B$1:$Z$455,MATCH('Summary - Monthly'!$E146,'TRANS EMP EXTRACT - COST CENTRE'!$D:$D,0),MATCH('Summary - Monthly'!H$3,'TRANS EMP EXTRACT - COST CENTRE'!$2:$2,0)),"")</f>
        <v>RT</v>
      </c>
      <c r="I146" s="12" t="str">
        <f>IFERROR(INDEX('TRANS EMP EXTRACT - EMP CATEGOR'!$B$1:$AF$421,MATCH('Summary - Monthly'!$E146,'TRANS EMP EXTRACT - EMP CATEGOR'!$D:$D,0),MATCH('Summary - Monthly'!H$3,'TRANS EMP EXTRACT - EMP CATEGOR'!$2:$2,0)),"")</f>
        <v>RT</v>
      </c>
      <c r="J146" s="41">
        <f t="shared" ca="1" si="25"/>
        <v>39.3035</v>
      </c>
      <c r="K146" s="41">
        <f t="shared" ca="1" si="29"/>
        <v>34.607100000000003</v>
      </c>
      <c r="L146" s="10">
        <f>IFERROR(INDEX('TRANS EMP EXTRACT - COST CENTRE'!$A$1:$Z$455,MATCH('Summary - Monthly'!$A146,'TRANS EMP EXTRACT - COST CENTRE'!$A:$A,0),MATCH('Summary - Monthly'!L$3,'TRANS EMP EXTRACT - COST CENTRE'!$2:$2,0)),"")</f>
        <v>105.4</v>
      </c>
      <c r="M146" s="10">
        <f>IFERROR(INDEX('TRANS EMP EXTRACT - COST CENTRE'!$A$1:$Z$455,MATCH('Summary - Monthly'!$A146,'TRANS EMP EXTRACT - COST CENTRE'!$A:$A,0),MATCH('Summary - Monthly'!M$3,'TRANS EMP EXTRACT - COST CENTRE'!$2:$2,0)),0)</f>
        <v>0</v>
      </c>
      <c r="N146" s="10">
        <f>IFERROR(INDEX('TRANS EMP EXTRACT - COST CENTRE'!$A$1:$Z$455,MATCH('Summary - Monthly'!$A146,'TRANS EMP EXTRACT - COST CENTRE'!$A:$A,0),MATCH('Summary - Monthly'!N$3,'TRANS EMP EXTRACT - COST CENTRE'!$2:$2,0)),0)</f>
        <v>0</v>
      </c>
      <c r="O146" s="10">
        <f>IFERROR(INDEX('TRANS EMP EXTRACT - COST CENTRE'!$A$1:$Z$455,MATCH('Summary - Monthly'!$A146,'TRANS EMP EXTRACT - COST CENTRE'!$A:$A,0),MATCH('Summary - Monthly'!O$3,'TRANS EMP EXTRACT - COST CENTRE'!$2:$2,0)),0)</f>
        <v>30.4</v>
      </c>
      <c r="P146" s="10">
        <f>IFERROR(INDEX('TRANS EMP EXTRACT - COST CENTRE'!$A$1:$Z$455,MATCH('Summary - Monthly'!$A146,'TRANS EMP EXTRACT - COST CENTRE'!$A:$A,0),MATCH('Summary - Monthly'!P$3,'TRANS EMP EXTRACT - COST CENTRE'!$2:$2,0)),0)</f>
        <v>0</v>
      </c>
      <c r="Q146" s="10">
        <f>IFERROR(INDEX('TRANS EMP EXTRACT - COST CENTRE'!$A$1:$Z$455,MATCH('Summary - Monthly'!$A146,'TRANS EMP EXTRACT - COST CENTRE'!$A:$A,0),MATCH('Summary - Monthly'!Q$3,'TRANS EMP EXTRACT - COST CENTRE'!$2:$2,0)),0)</f>
        <v>0</v>
      </c>
      <c r="R146" s="10">
        <f>IFERROR(INDEX('TRANS EMP EXTRACT - COST CENTRE'!$A$1:$Z$455,MATCH('Summary - Monthly'!$A146,'TRANS EMP EXTRACT - COST CENTRE'!$A:$A,0),MATCH('Summary - Monthly'!R$3,'TRANS EMP EXTRACT - COST CENTRE'!$2:$2,0)),0)</f>
        <v>0</v>
      </c>
      <c r="S146" s="10">
        <f>IFERROR(INDEX('TRANS EMP EXTRACT - COST CENTRE'!$A$1:$Z$455,MATCH('Summary - Monthly'!$A146,'TRANS EMP EXTRACT - COST CENTRE'!$A:$A,0),MATCH('Summary - Monthly'!S$3,'TRANS EMP EXTRACT - COST CENTRE'!$2:$2,0)),0)</f>
        <v>0</v>
      </c>
      <c r="T146" s="8">
        <f>IFERROR(INDEX('TRANS EMP EXTRACT - COST CENTRE'!$A$1:$Z$455,MATCH('Summary - Monthly'!$A146,'TRANS EMP EXTRACT - COST CENTRE'!$A:$A,0),MATCH('Summary - Monthly'!T$3,'TRANS EMP EXTRACT - COST CENTRE'!$2:$2,0)),0)</f>
        <v>0</v>
      </c>
      <c r="U146" s="13">
        <f>IFERROR(INDEX('TRANS EMP EXTRACT - COST CENTRE'!$A$1:$Z$455,MATCH('Summary - Monthly'!$A146,'TRANS EMP EXTRACT - COST CENTRE'!$A:$A,0),MATCH('Summary - Monthly'!U$3,'TRANS EMP EXTRACT - COST CENTRE'!$2:$2,0)),0)</f>
        <v>16.2</v>
      </c>
      <c r="V146" s="13">
        <f>IFERROR(INDEX('TRANS EMP EXTRACT - COST CENTRE'!$A$1:$Z$455,MATCH('Summary - Monthly'!$A146,'TRANS EMP EXTRACT - COST CENTRE'!$A:$A,0),MATCH('Summary - Monthly'!V$3,'TRANS EMP EXTRACT - COST CENTRE'!$2:$2,0)),0)</f>
        <v>0</v>
      </c>
      <c r="W146" s="13">
        <f>IFERROR(INDEX('TRANS EMP EXTRACT - COST CENTRE'!$A$1:$Z$455,MATCH('Summary - Monthly'!$A146,'TRANS EMP EXTRACT - COST CENTRE'!$A:$A,0),MATCH('Summary - Monthly'!W$3,'TRANS EMP EXTRACT - COST CENTRE'!$2:$2,0)),0)</f>
        <v>0</v>
      </c>
      <c r="X146" s="13">
        <f>IFERROR(INDEX('TRANS EMP EXTRACT - COST CENTRE'!$A$1:$Z$455,MATCH('Summary - Monthly'!$A146,'TRANS EMP EXTRACT - COST CENTRE'!$A:$A,0),MATCH('Summary - Monthly'!X$3,'TRANS EMP EXTRACT - COST CENTRE'!$2:$2,0)),0)</f>
        <v>0</v>
      </c>
      <c r="Y146" s="13">
        <f>IFERROR(INDEX('TRANS EMP EXTRACT - COST CENTRE'!$A$1:$Z$455,MATCH('Summary - Monthly'!$A146,'TRANS EMP EXTRACT - COST CENTRE'!$A:$A,0),MATCH('Summary - Monthly'!Y$3,'TRANS EMP EXTRACT - COST CENTRE'!$2:$2,0)),0)</f>
        <v>0</v>
      </c>
      <c r="Z146" s="10">
        <f>IFERROR(INDEX('TRANS EMP EXTRACT - COST CENTRE'!$A$1:$Z$455,MATCH('Summary - Monthly'!$A146,'TRANS EMP EXTRACT - COST CENTRE'!$A:$A,0),MATCH('Summary - Monthly'!Z$3,'TRANS EMP EXTRACT - COST CENTRE'!$2:$2,0)),0)</f>
        <v>0</v>
      </c>
      <c r="AA146" s="10">
        <f>IFERROR(INDEX('TRANS EMP EXTRACT - COST CENTRE'!$A$1:$Z$455,MATCH('Summary - Monthly'!$A146,'TRANS EMP EXTRACT - COST CENTRE'!$A:$A,0),MATCH('Summary - Monthly'!AA$3,'TRANS EMP EXTRACT - COST CENTRE'!$2:$2,0)),0)</f>
        <v>0</v>
      </c>
      <c r="AB146" s="10">
        <f>IFERROR(INDEX('TRANS EMP EXTRACT - COST CENTRE'!$A$1:$Z$455,MATCH('Summary - Monthly'!$A146,'TRANS EMP EXTRACT - COST CENTRE'!$A:$A,0),MATCH('Summary - Monthly'!AB$3,'TRANS EMP EXTRACT - COST CENTRE'!$2:$2,0)),0)</f>
        <v>0</v>
      </c>
      <c r="AC146" s="8">
        <f>IFERROR(INDEX('TRANS EMP EXTRACT - COST CENTRE'!$A$1:$Z$455,MATCH('Summary - Monthly'!$A146,'TRANS EMP EXTRACT - COST CENTRE'!$A:$A,0),MATCH('Summary - Monthly'!AC$3,'TRANS EMP EXTRACT - COST CENTRE'!$2:$2,0)),0)</f>
        <v>0</v>
      </c>
      <c r="AD146" s="13">
        <f>IFERROR(INDEX('TRANS EMP EXTRACT - COST CENTRE'!$A$1:$Z$455,MATCH('Summary - Monthly'!$A146,'TRANS EMP EXTRACT - COST CENTRE'!$A:$A,0),MATCH('Summary - Monthly'!AD$3,'TRANS EMP EXTRACT - COST CENTRE'!$2:$2,0)),0)</f>
        <v>0</v>
      </c>
      <c r="AE146" s="13">
        <f>IFERROR(INDEX('TRANS EMP EXTRACT - COST CENTRE'!$A$1:$Z$455,MATCH('Summary - Monthly'!$A146,'TRANS EMP EXTRACT - COST CENTRE'!$A:$A,0),MATCH('Summary - Monthly'!AE$3,'TRANS EMP EXTRACT - COST CENTRE'!$2:$2,0)),0)</f>
        <v>0</v>
      </c>
      <c r="AF146" s="13">
        <f>IFERROR(INDEX('TRANS EMP EXTRACT - COST CENTRE'!$A$1:$Z$455,MATCH('Summary - Monthly'!$A146,'TRANS EMP EXTRACT - COST CENTRE'!$A:$A,0),MATCH('Summary - Monthly'!AF$3,'TRANS EMP EXTRACT - COST CENTRE'!$2:$2,0)),0)</f>
        <v>0</v>
      </c>
      <c r="AG146" s="10">
        <f>IFERROR(INDEX('TRANS EMP EXTRACT - COST CENTRE'!$A$1:$Z$455,MATCH('Summary - Monthly'!$A146,'TRANS EMP EXTRACT - COST CENTRE'!$A:$A,0),MATCH('Summary - Monthly'!AG$3,'TRANS EMP EXTRACT - COST CENTRE'!$2:$2,0)),0)</f>
        <v>0</v>
      </c>
      <c r="AH146" s="10">
        <f>IFERROR(INDEX('TRANS EMP EXTRACT - COST CENTRE'!$A$1:$Z$455,MATCH('Summary - Monthly'!$A146,'TRANS EMP EXTRACT - COST CENTRE'!$A:$A,0),MATCH('Summary - Monthly'!AH$3,'TRANS EMP EXTRACT - COST CENTRE'!$2:$2,0)),0)</f>
        <v>0</v>
      </c>
      <c r="AI146" s="10">
        <f>IFERROR(INDEX('TRANS EMP EXTRACT - COST CENTRE'!$A$1:$Z$455,MATCH('Summary - Monthly'!$A146,'TRANS EMP EXTRACT - COST CENTRE'!$A:$A,0),MATCH('Summary - Monthly'!AI$3,'TRANS EMP EXTRACT - COST CENTRE'!$2:$2,0)),0)</f>
        <v>0</v>
      </c>
      <c r="AJ146" s="10">
        <f>IFERROR(INDEX('TRANS EMP EXTRACT - COST CENTRE'!$A$1:$Z$455,MATCH('Summary - Monthly'!$A146,'TRANS EMP EXTRACT - COST CENTRE'!$A:$A,0),MATCH('Summary - Monthly'!AJ$3,'TRANS EMP EXTRACT - COST CENTRE'!$2:$2,0)),0)</f>
        <v>0</v>
      </c>
      <c r="AK146" s="10">
        <f>IFERROR(INDEX('TRANS EMP EXTRACT - COST CENTRE'!$A$1:$Z$455,MATCH('Summary - Monthly'!$A146,'TRANS EMP EXTRACT - COST CENTRE'!$A:$A,0),MATCH('Summary - Monthly'!AK$3,'TRANS EMP EXTRACT - COST CENTRE'!$2:$2,0)),0)</f>
        <v>0</v>
      </c>
      <c r="AL146" s="10">
        <f>IFERROR(INDEX('TRANS EMP EXTRACT - COST CENTRE'!$A$1:$Z$455,MATCH('Summary - Monthly'!$A146,'TRANS EMP EXTRACT - COST CENTRE'!$A:$A,0),MATCH('Summary - Monthly'!AL$3,'TRANS EMP EXTRACT - COST CENTRE'!$2:$2,0)),0)</f>
        <v>0</v>
      </c>
      <c r="AM146" s="10">
        <f t="shared" si="32"/>
        <v>152</v>
      </c>
      <c r="AN146" s="14">
        <f t="shared" si="26"/>
        <v>0</v>
      </c>
      <c r="AO146" s="18">
        <f t="shared" si="30"/>
        <v>1</v>
      </c>
      <c r="AP146" s="18">
        <f t="shared" si="31"/>
        <v>0.893421052631579</v>
      </c>
      <c r="AQ146" s="10" t="str">
        <f>IFERROR(VLOOKUP(B146,Departments!A:C,3,FALSE),"")</f>
        <v>Microbiology</v>
      </c>
      <c r="AR146" s="10" t="str">
        <f>IFERROR(VLOOKUP(B146,Departments!A:B,2,FALSE),"")</f>
        <v>Sydney Micro</v>
      </c>
      <c r="AS146" s="10">
        <f t="shared" si="27"/>
        <v>0</v>
      </c>
      <c r="AT146" s="10">
        <f t="shared" si="28"/>
        <v>16.2</v>
      </c>
      <c r="AU146" s="10" t="str">
        <f>_xlfn.IFNA(VLOOKUP(B146,Departments!A:D,4,FALSE),"")</f>
        <v>Sydney Micro</v>
      </c>
    </row>
    <row r="147" spans="1:47" ht="14.45" customHeight="1">
      <c r="A147" s="11" t="str">
        <f t="shared" si="24"/>
        <v>1202061118903</v>
      </c>
      <c r="B147" s="11">
        <f>'TRANS EMP EXTRACT - COST CENTRE'!B146</f>
        <v>12020611</v>
      </c>
      <c r="C147" s="10" t="str">
        <f>IFERROR(VLOOKUP(E147,'TRANS EMP EXTRACT - EMP CATEGOR'!A:B,2,FALSE),"")</f>
        <v>FT</v>
      </c>
      <c r="D147" s="10" t="str">
        <f>IFERROR(VLOOKUP(E147,'TRANS EMP EXTRACT - EMP CATEGOR'!A:C,3,FALSE),"")</f>
        <v>Fulltime</v>
      </c>
      <c r="E147" s="11">
        <f>'TRANS EMP EXTRACT - COST CENTRE'!D146</f>
        <v>18903</v>
      </c>
      <c r="F147" s="10" t="str">
        <f>IFERROR(VLOOKUP(E147,'TRANS EMP EXTRACT - COST CENTRE'!D:E,2,FALSE),"")</f>
        <v>YU  SHAN MISS</v>
      </c>
      <c r="G147" s="12">
        <f>IFERROR(INDEX('TRANS EMP EXTRACT - COST CENTRE'!$A$1:$Z$455,MATCH('Summary - Monthly'!$A147,'TRANS EMP EXTRACT - COST CENTRE'!$A:$A,0),MATCH('Summary - Monthly'!G$3,'TRANS EMP EXTRACT - COST CENTRE'!$2:$2,0)),"")</f>
        <v>43894</v>
      </c>
      <c r="H147" s="10" t="str">
        <f>IFERROR(INDEX('TRANS EMP EXTRACT - COST CENTRE'!$B$1:$Z$455,MATCH('Summary - Monthly'!$E147,'TRANS EMP EXTRACT - COST CENTRE'!$D:$D,0),MATCH('Summary - Monthly'!H$3,'TRANS EMP EXTRACT - COST CENTRE'!$2:$2,0)),"")</f>
        <v>RT</v>
      </c>
      <c r="I147" s="12" t="str">
        <f>IFERROR(INDEX('TRANS EMP EXTRACT - EMP CATEGOR'!$B$1:$AF$421,MATCH('Summary - Monthly'!$E147,'TRANS EMP EXTRACT - EMP CATEGOR'!$D:$D,0),MATCH('Summary - Monthly'!H$3,'TRANS EMP EXTRACT - EMP CATEGOR'!$2:$2,0)),"")</f>
        <v>RT</v>
      </c>
      <c r="J147" s="41">
        <f t="shared" ca="1" si="25"/>
        <v>111.6</v>
      </c>
      <c r="K147" s="41">
        <f t="shared" ca="1" si="29"/>
        <v>248.3</v>
      </c>
      <c r="L147" s="10">
        <f>IFERROR(INDEX('TRANS EMP EXTRACT - COST CENTRE'!$A$1:$Z$455,MATCH('Summary - Monthly'!$A147,'TRANS EMP EXTRACT - COST CENTRE'!$A:$A,0),MATCH('Summary - Monthly'!L$3,'TRANS EMP EXTRACT - COST CENTRE'!$2:$2,0)),"")</f>
        <v>121.6</v>
      </c>
      <c r="M147" s="10">
        <f>IFERROR(INDEX('TRANS EMP EXTRACT - COST CENTRE'!$A$1:$Z$455,MATCH('Summary - Monthly'!$A147,'TRANS EMP EXTRACT - COST CENTRE'!$A:$A,0),MATCH('Summary - Monthly'!M$3,'TRANS EMP EXTRACT - COST CENTRE'!$2:$2,0)),0)</f>
        <v>0</v>
      </c>
      <c r="N147" s="10">
        <f>IFERROR(INDEX('TRANS EMP EXTRACT - COST CENTRE'!$A$1:$Z$455,MATCH('Summary - Monthly'!$A147,'TRANS EMP EXTRACT - COST CENTRE'!$A:$A,0),MATCH('Summary - Monthly'!N$3,'TRANS EMP EXTRACT - COST CENTRE'!$2:$2,0)),0)</f>
        <v>0</v>
      </c>
      <c r="O147" s="10">
        <f>IFERROR(INDEX('TRANS EMP EXTRACT - COST CENTRE'!$A$1:$Z$455,MATCH('Summary - Monthly'!$A147,'TRANS EMP EXTRACT - COST CENTRE'!$A:$A,0),MATCH('Summary - Monthly'!O$3,'TRANS EMP EXTRACT - COST CENTRE'!$2:$2,0)),0)</f>
        <v>30.4</v>
      </c>
      <c r="P147" s="10">
        <f>IFERROR(INDEX('TRANS EMP EXTRACT - COST CENTRE'!$A$1:$Z$455,MATCH('Summary - Monthly'!$A147,'TRANS EMP EXTRACT - COST CENTRE'!$A:$A,0),MATCH('Summary - Monthly'!P$3,'TRANS EMP EXTRACT - COST CENTRE'!$2:$2,0)),0)</f>
        <v>0</v>
      </c>
      <c r="Q147" s="10">
        <f>IFERROR(INDEX('TRANS EMP EXTRACT - COST CENTRE'!$A$1:$Z$455,MATCH('Summary - Monthly'!$A147,'TRANS EMP EXTRACT - COST CENTRE'!$A:$A,0),MATCH('Summary - Monthly'!Q$3,'TRANS EMP EXTRACT - COST CENTRE'!$2:$2,0)),0)</f>
        <v>6</v>
      </c>
      <c r="R147" s="10">
        <f>IFERROR(INDEX('TRANS EMP EXTRACT - COST CENTRE'!$A$1:$Z$455,MATCH('Summary - Monthly'!$A147,'TRANS EMP EXTRACT - COST CENTRE'!$A:$A,0),MATCH('Summary - Monthly'!R$3,'TRANS EMP EXTRACT - COST CENTRE'!$2:$2,0)),0)</f>
        <v>0</v>
      </c>
      <c r="S147" s="10">
        <f>IFERROR(INDEX('TRANS EMP EXTRACT - COST CENTRE'!$A$1:$Z$455,MATCH('Summary - Monthly'!$A147,'TRANS EMP EXTRACT - COST CENTRE'!$A:$A,0),MATCH('Summary - Monthly'!S$3,'TRANS EMP EXTRACT - COST CENTRE'!$2:$2,0)),0)</f>
        <v>0</v>
      </c>
      <c r="T147" s="8">
        <f>IFERROR(INDEX('TRANS EMP EXTRACT - COST CENTRE'!$A$1:$Z$455,MATCH('Summary - Monthly'!$A147,'TRANS EMP EXTRACT - COST CENTRE'!$A:$A,0),MATCH('Summary - Monthly'!T$3,'TRANS EMP EXTRACT - COST CENTRE'!$2:$2,0)),0)</f>
        <v>0</v>
      </c>
      <c r="U147" s="13">
        <f>IFERROR(INDEX('TRANS EMP EXTRACT - COST CENTRE'!$A$1:$Z$455,MATCH('Summary - Monthly'!$A147,'TRANS EMP EXTRACT - COST CENTRE'!$A:$A,0),MATCH('Summary - Monthly'!U$3,'TRANS EMP EXTRACT - COST CENTRE'!$2:$2,0)),0)</f>
        <v>0</v>
      </c>
      <c r="V147" s="13">
        <f>IFERROR(INDEX('TRANS EMP EXTRACT - COST CENTRE'!$A$1:$Z$455,MATCH('Summary - Monthly'!$A147,'TRANS EMP EXTRACT - COST CENTRE'!$A:$A,0),MATCH('Summary - Monthly'!V$3,'TRANS EMP EXTRACT - COST CENTRE'!$2:$2,0)),0)</f>
        <v>0</v>
      </c>
      <c r="W147" s="13">
        <f>IFERROR(INDEX('TRANS EMP EXTRACT - COST CENTRE'!$A$1:$Z$455,MATCH('Summary - Monthly'!$A147,'TRANS EMP EXTRACT - COST CENTRE'!$A:$A,0),MATCH('Summary - Monthly'!W$3,'TRANS EMP EXTRACT - COST CENTRE'!$2:$2,0)),0)</f>
        <v>0</v>
      </c>
      <c r="X147" s="13">
        <f>IFERROR(INDEX('TRANS EMP EXTRACT - COST CENTRE'!$A$1:$Z$455,MATCH('Summary - Monthly'!$A147,'TRANS EMP EXTRACT - COST CENTRE'!$A:$A,0),MATCH('Summary - Monthly'!X$3,'TRANS EMP EXTRACT - COST CENTRE'!$2:$2,0)),0)</f>
        <v>0</v>
      </c>
      <c r="Y147" s="13">
        <f>IFERROR(INDEX('TRANS EMP EXTRACT - COST CENTRE'!$A$1:$Z$455,MATCH('Summary - Monthly'!$A147,'TRANS EMP EXTRACT - COST CENTRE'!$A:$A,0),MATCH('Summary - Monthly'!Y$3,'TRANS EMP EXTRACT - COST CENTRE'!$2:$2,0)),0)</f>
        <v>0</v>
      </c>
      <c r="Z147" s="10">
        <f>IFERROR(INDEX('TRANS EMP EXTRACT - COST CENTRE'!$A$1:$Z$455,MATCH('Summary - Monthly'!$A147,'TRANS EMP EXTRACT - COST CENTRE'!$A:$A,0),MATCH('Summary - Monthly'!Z$3,'TRANS EMP EXTRACT - COST CENTRE'!$2:$2,0)),0)</f>
        <v>0</v>
      </c>
      <c r="AA147" s="10">
        <f>IFERROR(INDEX('TRANS EMP EXTRACT - COST CENTRE'!$A$1:$Z$455,MATCH('Summary - Monthly'!$A147,'TRANS EMP EXTRACT - COST CENTRE'!$A:$A,0),MATCH('Summary - Monthly'!AA$3,'TRANS EMP EXTRACT - COST CENTRE'!$2:$2,0)),0)</f>
        <v>0</v>
      </c>
      <c r="AB147" s="10">
        <f>IFERROR(INDEX('TRANS EMP EXTRACT - COST CENTRE'!$A$1:$Z$455,MATCH('Summary - Monthly'!$A147,'TRANS EMP EXTRACT - COST CENTRE'!$A:$A,0),MATCH('Summary - Monthly'!AB$3,'TRANS EMP EXTRACT - COST CENTRE'!$2:$2,0)),0)</f>
        <v>0</v>
      </c>
      <c r="AC147" s="8">
        <f>IFERROR(INDEX('TRANS EMP EXTRACT - COST CENTRE'!$A$1:$Z$455,MATCH('Summary - Monthly'!$A147,'TRANS EMP EXTRACT - COST CENTRE'!$A:$A,0),MATCH('Summary - Monthly'!AC$3,'TRANS EMP EXTRACT - COST CENTRE'!$2:$2,0)),0)</f>
        <v>0</v>
      </c>
      <c r="AD147" s="13">
        <f>IFERROR(INDEX('TRANS EMP EXTRACT - COST CENTRE'!$A$1:$Z$455,MATCH('Summary - Monthly'!$A147,'TRANS EMP EXTRACT - COST CENTRE'!$A:$A,0),MATCH('Summary - Monthly'!AD$3,'TRANS EMP EXTRACT - COST CENTRE'!$2:$2,0)),0)</f>
        <v>0</v>
      </c>
      <c r="AE147" s="13">
        <f>IFERROR(INDEX('TRANS EMP EXTRACT - COST CENTRE'!$A$1:$Z$455,MATCH('Summary - Monthly'!$A147,'TRANS EMP EXTRACT - COST CENTRE'!$A:$A,0),MATCH('Summary - Monthly'!AE$3,'TRANS EMP EXTRACT - COST CENTRE'!$2:$2,0)),0)</f>
        <v>0</v>
      </c>
      <c r="AF147" s="13">
        <f>IFERROR(INDEX('TRANS EMP EXTRACT - COST CENTRE'!$A$1:$Z$455,MATCH('Summary - Monthly'!$A147,'TRANS EMP EXTRACT - COST CENTRE'!$A:$A,0),MATCH('Summary - Monthly'!AF$3,'TRANS EMP EXTRACT - COST CENTRE'!$2:$2,0)),0)</f>
        <v>0</v>
      </c>
      <c r="AG147" s="10">
        <f>IFERROR(INDEX('TRANS EMP EXTRACT - COST CENTRE'!$A$1:$Z$455,MATCH('Summary - Monthly'!$A147,'TRANS EMP EXTRACT - COST CENTRE'!$A:$A,0),MATCH('Summary - Monthly'!AG$3,'TRANS EMP EXTRACT - COST CENTRE'!$2:$2,0)),0)</f>
        <v>0</v>
      </c>
      <c r="AH147" s="10">
        <f>IFERROR(INDEX('TRANS EMP EXTRACT - COST CENTRE'!$A$1:$Z$455,MATCH('Summary - Monthly'!$A147,'TRANS EMP EXTRACT - COST CENTRE'!$A:$A,0),MATCH('Summary - Monthly'!AH$3,'TRANS EMP EXTRACT - COST CENTRE'!$2:$2,0)),0)</f>
        <v>0</v>
      </c>
      <c r="AI147" s="10">
        <f>IFERROR(INDEX('TRANS EMP EXTRACT - COST CENTRE'!$A$1:$Z$455,MATCH('Summary - Monthly'!$A147,'TRANS EMP EXTRACT - COST CENTRE'!$A:$A,0),MATCH('Summary - Monthly'!AI$3,'TRANS EMP EXTRACT - COST CENTRE'!$2:$2,0)),0)</f>
        <v>0</v>
      </c>
      <c r="AJ147" s="10">
        <f>IFERROR(INDEX('TRANS EMP EXTRACT - COST CENTRE'!$A$1:$Z$455,MATCH('Summary - Monthly'!$A147,'TRANS EMP EXTRACT - COST CENTRE'!$A:$A,0),MATCH('Summary - Monthly'!AJ$3,'TRANS EMP EXTRACT - COST CENTRE'!$2:$2,0)),0)</f>
        <v>0</v>
      </c>
      <c r="AK147" s="10">
        <f>IFERROR(INDEX('TRANS EMP EXTRACT - COST CENTRE'!$A$1:$Z$455,MATCH('Summary - Monthly'!$A147,'TRANS EMP EXTRACT - COST CENTRE'!$A:$A,0),MATCH('Summary - Monthly'!AK$3,'TRANS EMP EXTRACT - COST CENTRE'!$2:$2,0)),0)</f>
        <v>0</v>
      </c>
      <c r="AL147" s="10">
        <f>IFERROR(INDEX('TRANS EMP EXTRACT - COST CENTRE'!$A$1:$Z$455,MATCH('Summary - Monthly'!$A147,'TRANS EMP EXTRACT - COST CENTRE'!$A:$A,0),MATCH('Summary - Monthly'!AL$3,'TRANS EMP EXTRACT - COST CENTRE'!$2:$2,0)),0)</f>
        <v>0</v>
      </c>
      <c r="AM147" s="10">
        <f t="shared" si="32"/>
        <v>158</v>
      </c>
      <c r="AN147" s="14">
        <f t="shared" si="26"/>
        <v>3.9473684210526314E-2</v>
      </c>
      <c r="AO147" s="18">
        <f t="shared" si="30"/>
        <v>1.0394736842105263</v>
      </c>
      <c r="AP147" s="18">
        <f t="shared" si="31"/>
        <v>1.0394736842105263</v>
      </c>
      <c r="AQ147" s="10" t="str">
        <f>IFERROR(VLOOKUP(B147,Departments!A:C,3,FALSE),"")</f>
        <v>Microbiology</v>
      </c>
      <c r="AR147" s="10" t="str">
        <f>IFERROR(VLOOKUP(B147,Departments!A:B,2,FALSE),"")</f>
        <v>Sydney Micro</v>
      </c>
      <c r="AS147" s="10">
        <f t="shared" si="27"/>
        <v>0</v>
      </c>
      <c r="AT147" s="10">
        <f t="shared" si="28"/>
        <v>0</v>
      </c>
      <c r="AU147" s="10" t="str">
        <f>_xlfn.IFNA(VLOOKUP(B147,Departments!A:D,4,FALSE),"")</f>
        <v>Sydney Micro</v>
      </c>
    </row>
    <row r="148" spans="1:47" ht="14.45" customHeight="1">
      <c r="A148" s="11" t="str">
        <f t="shared" si="24"/>
        <v>1202061118957</v>
      </c>
      <c r="B148" s="11">
        <f>'TRANS EMP EXTRACT - COST CENTRE'!B147</f>
        <v>12020611</v>
      </c>
      <c r="C148" s="10" t="str">
        <f>IFERROR(VLOOKUP(E148,'TRANS EMP EXTRACT - EMP CATEGOR'!A:B,2,FALSE),"")</f>
        <v>FT</v>
      </c>
      <c r="D148" s="10" t="str">
        <f>IFERROR(VLOOKUP(E148,'TRANS EMP EXTRACT - EMP CATEGOR'!A:C,3,FALSE),"")</f>
        <v>Fulltime</v>
      </c>
      <c r="E148" s="11">
        <f>'TRANS EMP EXTRACT - COST CENTRE'!D147</f>
        <v>18957</v>
      </c>
      <c r="F148" s="10" t="str">
        <f>IFERROR(VLOOKUP(E148,'TRANS EMP EXTRACT - COST CENTRE'!D:E,2,FALSE),"")</f>
        <v>ZHAO  ZHENJUN MR</v>
      </c>
      <c r="G148" s="12">
        <f>IFERROR(INDEX('TRANS EMP EXTRACT - COST CENTRE'!$A$1:$Z$455,MATCH('Summary - Monthly'!$A148,'TRANS EMP EXTRACT - COST CENTRE'!$A:$A,0),MATCH('Summary - Monthly'!G$3,'TRANS EMP EXTRACT - COST CENTRE'!$2:$2,0)),"")</f>
        <v>44397</v>
      </c>
      <c r="H148" s="10" t="str">
        <f>IFERROR(INDEX('TRANS EMP EXTRACT - COST CENTRE'!$B$1:$Z$455,MATCH('Summary - Monthly'!$E148,'TRANS EMP EXTRACT - COST CENTRE'!$D:$D,0),MATCH('Summary - Monthly'!H$3,'TRANS EMP EXTRACT - COST CENTRE'!$2:$2,0)),"")</f>
        <v>RT</v>
      </c>
      <c r="I148" s="12" t="str">
        <f>IFERROR(INDEX('TRANS EMP EXTRACT - EMP CATEGOR'!$B$1:$AF$421,MATCH('Summary - Monthly'!$E148,'TRANS EMP EXTRACT - EMP CATEGOR'!$D:$D,0),MATCH('Summary - Monthly'!H$3,'TRANS EMP EXTRACT - EMP CATEGOR'!$2:$2,0)),"")</f>
        <v>RT</v>
      </c>
      <c r="J148" s="41">
        <f t="shared" ca="1" si="25"/>
        <v>44.765799999999999</v>
      </c>
      <c r="K148" s="41">
        <f t="shared" ca="1" si="29"/>
        <v>107.7315</v>
      </c>
      <c r="L148" s="10">
        <f>IFERROR(INDEX('TRANS EMP EXTRACT - COST CENTRE'!$A$1:$Z$455,MATCH('Summary - Monthly'!$A148,'TRANS EMP EXTRACT - COST CENTRE'!$A:$A,0),MATCH('Summary - Monthly'!L$3,'TRANS EMP EXTRACT - COST CENTRE'!$2:$2,0)),"")</f>
        <v>121.6</v>
      </c>
      <c r="M148" s="10">
        <f>IFERROR(INDEX('TRANS EMP EXTRACT - COST CENTRE'!$A$1:$Z$455,MATCH('Summary - Monthly'!$A148,'TRANS EMP EXTRACT - COST CENTRE'!$A:$A,0),MATCH('Summary - Monthly'!M$3,'TRANS EMP EXTRACT - COST CENTRE'!$2:$2,0)),0)</f>
        <v>0</v>
      </c>
      <c r="N148" s="10">
        <f>IFERROR(INDEX('TRANS EMP EXTRACT - COST CENTRE'!$A$1:$Z$455,MATCH('Summary - Monthly'!$A148,'TRANS EMP EXTRACT - COST CENTRE'!$A:$A,0),MATCH('Summary - Monthly'!N$3,'TRANS EMP EXTRACT - COST CENTRE'!$2:$2,0)),0)</f>
        <v>0</v>
      </c>
      <c r="O148" s="10">
        <f>IFERROR(INDEX('TRANS EMP EXTRACT - COST CENTRE'!$A$1:$Z$455,MATCH('Summary - Monthly'!$A148,'TRANS EMP EXTRACT - COST CENTRE'!$A:$A,0),MATCH('Summary - Monthly'!O$3,'TRANS EMP EXTRACT - COST CENTRE'!$2:$2,0)),0)</f>
        <v>0</v>
      </c>
      <c r="P148" s="10">
        <f>IFERROR(INDEX('TRANS EMP EXTRACT - COST CENTRE'!$A$1:$Z$455,MATCH('Summary - Monthly'!$A148,'TRANS EMP EXTRACT - COST CENTRE'!$A:$A,0),MATCH('Summary - Monthly'!P$3,'TRANS EMP EXTRACT - COST CENTRE'!$2:$2,0)),0)</f>
        <v>0</v>
      </c>
      <c r="Q148" s="10">
        <f>IFERROR(INDEX('TRANS EMP EXTRACT - COST CENTRE'!$A$1:$Z$455,MATCH('Summary - Monthly'!$A148,'TRANS EMP EXTRACT - COST CENTRE'!$A:$A,0),MATCH('Summary - Monthly'!Q$3,'TRANS EMP EXTRACT - COST CENTRE'!$2:$2,0)),0)</f>
        <v>3</v>
      </c>
      <c r="R148" s="10">
        <f>IFERROR(INDEX('TRANS EMP EXTRACT - COST CENTRE'!$A$1:$Z$455,MATCH('Summary - Monthly'!$A148,'TRANS EMP EXTRACT - COST CENTRE'!$A:$A,0),MATCH('Summary - Monthly'!R$3,'TRANS EMP EXTRACT - COST CENTRE'!$2:$2,0)),0)</f>
        <v>0</v>
      </c>
      <c r="S148" s="10">
        <f>IFERROR(INDEX('TRANS EMP EXTRACT - COST CENTRE'!$A$1:$Z$455,MATCH('Summary - Monthly'!$A148,'TRANS EMP EXTRACT - COST CENTRE'!$A:$A,0),MATCH('Summary - Monthly'!S$3,'TRANS EMP EXTRACT - COST CENTRE'!$2:$2,0)),0)</f>
        <v>0</v>
      </c>
      <c r="T148" s="8">
        <f>IFERROR(INDEX('TRANS EMP EXTRACT - COST CENTRE'!$A$1:$Z$455,MATCH('Summary - Monthly'!$A148,'TRANS EMP EXTRACT - COST CENTRE'!$A:$A,0),MATCH('Summary - Monthly'!T$3,'TRANS EMP EXTRACT - COST CENTRE'!$2:$2,0)),0)</f>
        <v>0</v>
      </c>
      <c r="U148" s="13">
        <f>IFERROR(INDEX('TRANS EMP EXTRACT - COST CENTRE'!$A$1:$Z$455,MATCH('Summary - Monthly'!$A148,'TRANS EMP EXTRACT - COST CENTRE'!$A:$A,0),MATCH('Summary - Monthly'!U$3,'TRANS EMP EXTRACT - COST CENTRE'!$2:$2,0)),0)</f>
        <v>22.8</v>
      </c>
      <c r="V148" s="13">
        <f>IFERROR(INDEX('TRANS EMP EXTRACT - COST CENTRE'!$A$1:$Z$455,MATCH('Summary - Monthly'!$A148,'TRANS EMP EXTRACT - COST CENTRE'!$A:$A,0),MATCH('Summary - Monthly'!V$3,'TRANS EMP EXTRACT - COST CENTRE'!$2:$2,0)),0)</f>
        <v>7.6</v>
      </c>
      <c r="W148" s="13">
        <f>IFERROR(INDEX('TRANS EMP EXTRACT - COST CENTRE'!$A$1:$Z$455,MATCH('Summary - Monthly'!$A148,'TRANS EMP EXTRACT - COST CENTRE'!$A:$A,0),MATCH('Summary - Monthly'!W$3,'TRANS EMP EXTRACT - COST CENTRE'!$2:$2,0)),0)</f>
        <v>0</v>
      </c>
      <c r="X148" s="13">
        <f>IFERROR(INDEX('TRANS EMP EXTRACT - COST CENTRE'!$A$1:$Z$455,MATCH('Summary - Monthly'!$A148,'TRANS EMP EXTRACT - COST CENTRE'!$A:$A,0),MATCH('Summary - Monthly'!X$3,'TRANS EMP EXTRACT - COST CENTRE'!$2:$2,0)),0)</f>
        <v>0</v>
      </c>
      <c r="Y148" s="13">
        <f>IFERROR(INDEX('TRANS EMP EXTRACT - COST CENTRE'!$A$1:$Z$455,MATCH('Summary - Monthly'!$A148,'TRANS EMP EXTRACT - COST CENTRE'!$A:$A,0),MATCH('Summary - Monthly'!Y$3,'TRANS EMP EXTRACT - COST CENTRE'!$2:$2,0)),0)</f>
        <v>0</v>
      </c>
      <c r="Z148" s="10">
        <f>IFERROR(INDEX('TRANS EMP EXTRACT - COST CENTRE'!$A$1:$Z$455,MATCH('Summary - Monthly'!$A148,'TRANS EMP EXTRACT - COST CENTRE'!$A:$A,0),MATCH('Summary - Monthly'!Z$3,'TRANS EMP EXTRACT - COST CENTRE'!$2:$2,0)),0)</f>
        <v>0</v>
      </c>
      <c r="AA148" s="10">
        <f>IFERROR(INDEX('TRANS EMP EXTRACT - COST CENTRE'!$A$1:$Z$455,MATCH('Summary - Monthly'!$A148,'TRANS EMP EXTRACT - COST CENTRE'!$A:$A,0),MATCH('Summary - Monthly'!AA$3,'TRANS EMP EXTRACT - COST CENTRE'!$2:$2,0)),0)</f>
        <v>0</v>
      </c>
      <c r="AB148" s="10">
        <f>IFERROR(INDEX('TRANS EMP EXTRACT - COST CENTRE'!$A$1:$Z$455,MATCH('Summary - Monthly'!$A148,'TRANS EMP EXTRACT - COST CENTRE'!$A:$A,0),MATCH('Summary - Monthly'!AB$3,'TRANS EMP EXTRACT - COST CENTRE'!$2:$2,0)),0)</f>
        <v>0</v>
      </c>
      <c r="AC148" s="8">
        <f>IFERROR(INDEX('TRANS EMP EXTRACT - COST CENTRE'!$A$1:$Z$455,MATCH('Summary - Monthly'!$A148,'TRANS EMP EXTRACT - COST CENTRE'!$A:$A,0),MATCH('Summary - Monthly'!AC$3,'TRANS EMP EXTRACT - COST CENTRE'!$2:$2,0)),0)</f>
        <v>0</v>
      </c>
      <c r="AD148" s="13">
        <f>IFERROR(INDEX('TRANS EMP EXTRACT - COST CENTRE'!$A$1:$Z$455,MATCH('Summary - Monthly'!$A148,'TRANS EMP EXTRACT - COST CENTRE'!$A:$A,0),MATCH('Summary - Monthly'!AD$3,'TRANS EMP EXTRACT - COST CENTRE'!$2:$2,0)),0)</f>
        <v>0</v>
      </c>
      <c r="AE148" s="13">
        <f>IFERROR(INDEX('TRANS EMP EXTRACT - COST CENTRE'!$A$1:$Z$455,MATCH('Summary - Monthly'!$A148,'TRANS EMP EXTRACT - COST CENTRE'!$A:$A,0),MATCH('Summary - Monthly'!AE$3,'TRANS EMP EXTRACT - COST CENTRE'!$2:$2,0)),0)</f>
        <v>0</v>
      </c>
      <c r="AF148" s="13">
        <f>IFERROR(INDEX('TRANS EMP EXTRACT - COST CENTRE'!$A$1:$Z$455,MATCH('Summary - Monthly'!$A148,'TRANS EMP EXTRACT - COST CENTRE'!$A:$A,0),MATCH('Summary - Monthly'!AF$3,'TRANS EMP EXTRACT - COST CENTRE'!$2:$2,0)),0)</f>
        <v>0</v>
      </c>
      <c r="AG148" s="10">
        <f>IFERROR(INDEX('TRANS EMP EXTRACT - COST CENTRE'!$A$1:$Z$455,MATCH('Summary - Monthly'!$A148,'TRANS EMP EXTRACT - COST CENTRE'!$A:$A,0),MATCH('Summary - Monthly'!AG$3,'TRANS EMP EXTRACT - COST CENTRE'!$2:$2,0)),0)</f>
        <v>0</v>
      </c>
      <c r="AH148" s="10">
        <f>IFERROR(INDEX('TRANS EMP EXTRACT - COST CENTRE'!$A$1:$Z$455,MATCH('Summary - Monthly'!$A148,'TRANS EMP EXTRACT - COST CENTRE'!$A:$A,0),MATCH('Summary - Monthly'!AH$3,'TRANS EMP EXTRACT - COST CENTRE'!$2:$2,0)),0)</f>
        <v>0</v>
      </c>
      <c r="AI148" s="10">
        <f>IFERROR(INDEX('TRANS EMP EXTRACT - COST CENTRE'!$A$1:$Z$455,MATCH('Summary - Monthly'!$A148,'TRANS EMP EXTRACT - COST CENTRE'!$A:$A,0),MATCH('Summary - Monthly'!AI$3,'TRANS EMP EXTRACT - COST CENTRE'!$2:$2,0)),0)</f>
        <v>0</v>
      </c>
      <c r="AJ148" s="10">
        <f>IFERROR(INDEX('TRANS EMP EXTRACT - COST CENTRE'!$A$1:$Z$455,MATCH('Summary - Monthly'!$A148,'TRANS EMP EXTRACT - COST CENTRE'!$A:$A,0),MATCH('Summary - Monthly'!AJ$3,'TRANS EMP EXTRACT - COST CENTRE'!$2:$2,0)),0)</f>
        <v>0</v>
      </c>
      <c r="AK148" s="10">
        <f>IFERROR(INDEX('TRANS EMP EXTRACT - COST CENTRE'!$A$1:$Z$455,MATCH('Summary - Monthly'!$A148,'TRANS EMP EXTRACT - COST CENTRE'!$A:$A,0),MATCH('Summary - Monthly'!AK$3,'TRANS EMP EXTRACT - COST CENTRE'!$2:$2,0)),0)</f>
        <v>0</v>
      </c>
      <c r="AL148" s="10">
        <f>IFERROR(INDEX('TRANS EMP EXTRACT - COST CENTRE'!$A$1:$Z$455,MATCH('Summary - Monthly'!$A148,'TRANS EMP EXTRACT - COST CENTRE'!$A:$A,0),MATCH('Summary - Monthly'!AL$3,'TRANS EMP EXTRACT - COST CENTRE'!$2:$2,0)),0)</f>
        <v>0</v>
      </c>
      <c r="AM148" s="10">
        <f t="shared" si="32"/>
        <v>155</v>
      </c>
      <c r="AN148" s="14">
        <f t="shared" si="26"/>
        <v>1.9736842105263157E-2</v>
      </c>
      <c r="AO148" s="18">
        <f t="shared" si="30"/>
        <v>1.0197368421052631</v>
      </c>
      <c r="AP148" s="18">
        <f t="shared" si="31"/>
        <v>0.8197368421052631</v>
      </c>
      <c r="AQ148" s="10" t="str">
        <f>IFERROR(VLOOKUP(B148,Departments!A:C,3,FALSE),"")</f>
        <v>Microbiology</v>
      </c>
      <c r="AR148" s="10" t="str">
        <f>IFERROR(VLOOKUP(B148,Departments!A:B,2,FALSE),"")</f>
        <v>Sydney Micro</v>
      </c>
      <c r="AS148" s="10">
        <f t="shared" si="27"/>
        <v>7.6</v>
      </c>
      <c r="AT148" s="10">
        <f t="shared" si="28"/>
        <v>30.4</v>
      </c>
      <c r="AU148" s="10" t="str">
        <f>_xlfn.IFNA(VLOOKUP(B148,Departments!A:D,4,FALSE),"")</f>
        <v>Sydney Micro</v>
      </c>
    </row>
    <row r="149" spans="1:47" ht="14.45" customHeight="1">
      <c r="A149" s="11" t="str">
        <f t="shared" si="24"/>
        <v>Report Total:0</v>
      </c>
      <c r="B149" s="11" t="str">
        <f>'TRANS EMP EXTRACT - COST CENTRE'!B148</f>
        <v>Report Total:</v>
      </c>
      <c r="C149" s="10" t="str">
        <f>IFERROR(VLOOKUP(E149,'TRANS EMP EXTRACT - EMP CATEGOR'!A:B,2,FALSE),"")</f>
        <v/>
      </c>
      <c r="D149" s="10" t="str">
        <f>IFERROR(VLOOKUP(E149,'TRANS EMP EXTRACT - EMP CATEGOR'!A:C,3,FALSE),"")</f>
        <v/>
      </c>
      <c r="E149" s="11">
        <f>'TRANS EMP EXTRACT - COST CENTRE'!D148</f>
        <v>0</v>
      </c>
      <c r="F149" s="10" t="str">
        <f>IFERROR(VLOOKUP(E149,'TRANS EMP EXTRACT - COST CENTRE'!D:E,2,FALSE),"")</f>
        <v/>
      </c>
      <c r="G149" s="12" t="str">
        <f>IFERROR(INDEX('TRANS EMP EXTRACT - COST CENTRE'!$A$1:$Z$455,MATCH('Summary - Monthly'!$A149,'TRANS EMP EXTRACT - COST CENTRE'!$A:$A,0),MATCH('Summary - Monthly'!G$3,'TRANS EMP EXTRACT - COST CENTRE'!$2:$2,0)),"")</f>
        <v/>
      </c>
      <c r="H149" s="10" t="str">
        <f>IFERROR(INDEX('TRANS EMP EXTRACT - COST CENTRE'!$B$1:$Z$455,MATCH('Summary - Monthly'!$E149,'TRANS EMP EXTRACT - COST CENTRE'!$D:$D,0),MATCH('Summary - Monthly'!H$3,'TRANS EMP EXTRACT - COST CENTRE'!$2:$2,0)),"")</f>
        <v/>
      </c>
      <c r="I149" s="12" t="str">
        <f>IFERROR(INDEX('TRANS EMP EXTRACT - EMP CATEGOR'!$B$1:$AF$421,MATCH('Summary - Monthly'!$E149,'TRANS EMP EXTRACT - EMP CATEGOR'!$D:$D,0),MATCH('Summary - Monthly'!H$3,'TRANS EMP EXTRACT - EMP CATEGOR'!$2:$2,0)),"")</f>
        <v/>
      </c>
      <c r="J149" s="41">
        <f t="shared" ca="1" si="25"/>
        <v>0</v>
      </c>
      <c r="K149" s="41">
        <f t="shared" ca="1" si="29"/>
        <v>0</v>
      </c>
      <c r="L149" s="10" t="str">
        <f>IFERROR(INDEX('TRANS EMP EXTRACT - COST CENTRE'!$A$1:$Z$455,MATCH('Summary - Monthly'!$A149,'TRANS EMP EXTRACT - COST CENTRE'!$A:$A,0),MATCH('Summary - Monthly'!L$3,'TRANS EMP EXTRACT - COST CENTRE'!$2:$2,0)),"")</f>
        <v/>
      </c>
      <c r="M149" s="10">
        <f>IFERROR(INDEX('TRANS EMP EXTRACT - COST CENTRE'!$A$1:$Z$455,MATCH('Summary - Monthly'!$A149,'TRANS EMP EXTRACT - COST CENTRE'!$A:$A,0),MATCH('Summary - Monthly'!M$3,'TRANS EMP EXTRACT - COST CENTRE'!$2:$2,0)),0)</f>
        <v>0</v>
      </c>
      <c r="N149" s="10">
        <f>IFERROR(INDEX('TRANS EMP EXTRACT - COST CENTRE'!$A$1:$Z$455,MATCH('Summary - Monthly'!$A149,'TRANS EMP EXTRACT - COST CENTRE'!$A:$A,0),MATCH('Summary - Monthly'!N$3,'TRANS EMP EXTRACT - COST CENTRE'!$2:$2,0)),0)</f>
        <v>0</v>
      </c>
      <c r="O149" s="10">
        <f>IFERROR(INDEX('TRANS EMP EXTRACT - COST CENTRE'!$A$1:$Z$455,MATCH('Summary - Monthly'!$A149,'TRANS EMP EXTRACT - COST CENTRE'!$A:$A,0),MATCH('Summary - Monthly'!O$3,'TRANS EMP EXTRACT - COST CENTRE'!$2:$2,0)),0)</f>
        <v>0</v>
      </c>
      <c r="P149" s="10">
        <f>IFERROR(INDEX('TRANS EMP EXTRACT - COST CENTRE'!$A$1:$Z$455,MATCH('Summary - Monthly'!$A149,'TRANS EMP EXTRACT - COST CENTRE'!$A:$A,0),MATCH('Summary - Monthly'!P$3,'TRANS EMP EXTRACT - COST CENTRE'!$2:$2,0)),0)</f>
        <v>0</v>
      </c>
      <c r="Q149" s="10">
        <f>IFERROR(INDEX('TRANS EMP EXTRACT - COST CENTRE'!$A$1:$Z$455,MATCH('Summary - Monthly'!$A149,'TRANS EMP EXTRACT - COST CENTRE'!$A:$A,0),MATCH('Summary - Monthly'!Q$3,'TRANS EMP EXTRACT - COST CENTRE'!$2:$2,0)),0)</f>
        <v>0</v>
      </c>
      <c r="R149" s="10">
        <f>IFERROR(INDEX('TRANS EMP EXTRACT - COST CENTRE'!$A$1:$Z$455,MATCH('Summary - Monthly'!$A149,'TRANS EMP EXTRACT - COST CENTRE'!$A:$A,0),MATCH('Summary - Monthly'!R$3,'TRANS EMP EXTRACT - COST CENTRE'!$2:$2,0)),0)</f>
        <v>0</v>
      </c>
      <c r="S149" s="10">
        <f>IFERROR(INDEX('TRANS EMP EXTRACT - COST CENTRE'!$A$1:$Z$455,MATCH('Summary - Monthly'!$A149,'TRANS EMP EXTRACT - COST CENTRE'!$A:$A,0),MATCH('Summary - Monthly'!S$3,'TRANS EMP EXTRACT - COST CENTRE'!$2:$2,0)),0)</f>
        <v>0</v>
      </c>
      <c r="T149" s="8">
        <f>IFERROR(INDEX('TRANS EMP EXTRACT - COST CENTRE'!$A$1:$Z$455,MATCH('Summary - Monthly'!$A149,'TRANS EMP EXTRACT - COST CENTRE'!$A:$A,0),MATCH('Summary - Monthly'!T$3,'TRANS EMP EXTRACT - COST CENTRE'!$2:$2,0)),0)</f>
        <v>0</v>
      </c>
      <c r="U149" s="13">
        <f>IFERROR(INDEX('TRANS EMP EXTRACT - COST CENTRE'!$A$1:$Z$455,MATCH('Summary - Monthly'!$A149,'TRANS EMP EXTRACT - COST CENTRE'!$A:$A,0),MATCH('Summary - Monthly'!U$3,'TRANS EMP EXTRACT - COST CENTRE'!$2:$2,0)),0)</f>
        <v>0</v>
      </c>
      <c r="V149" s="13">
        <f>IFERROR(INDEX('TRANS EMP EXTRACT - COST CENTRE'!$A$1:$Z$455,MATCH('Summary - Monthly'!$A149,'TRANS EMP EXTRACT - COST CENTRE'!$A:$A,0),MATCH('Summary - Monthly'!V$3,'TRANS EMP EXTRACT - COST CENTRE'!$2:$2,0)),0)</f>
        <v>0</v>
      </c>
      <c r="W149" s="13">
        <f>IFERROR(INDEX('TRANS EMP EXTRACT - COST CENTRE'!$A$1:$Z$455,MATCH('Summary - Monthly'!$A149,'TRANS EMP EXTRACT - COST CENTRE'!$A:$A,0),MATCH('Summary - Monthly'!W$3,'TRANS EMP EXTRACT - COST CENTRE'!$2:$2,0)),0)</f>
        <v>0</v>
      </c>
      <c r="X149" s="13">
        <f>IFERROR(INDEX('TRANS EMP EXTRACT - COST CENTRE'!$A$1:$Z$455,MATCH('Summary - Monthly'!$A149,'TRANS EMP EXTRACT - COST CENTRE'!$A:$A,0),MATCH('Summary - Monthly'!X$3,'TRANS EMP EXTRACT - COST CENTRE'!$2:$2,0)),0)</f>
        <v>0</v>
      </c>
      <c r="Y149" s="13">
        <f>IFERROR(INDEX('TRANS EMP EXTRACT - COST CENTRE'!$A$1:$Z$455,MATCH('Summary - Monthly'!$A149,'TRANS EMP EXTRACT - COST CENTRE'!$A:$A,0),MATCH('Summary - Monthly'!Y$3,'TRANS EMP EXTRACT - COST CENTRE'!$2:$2,0)),0)</f>
        <v>0</v>
      </c>
      <c r="Z149" s="10">
        <f>IFERROR(INDEX('TRANS EMP EXTRACT - COST CENTRE'!$A$1:$Z$455,MATCH('Summary - Monthly'!$A149,'TRANS EMP EXTRACT - COST CENTRE'!$A:$A,0),MATCH('Summary - Monthly'!Z$3,'TRANS EMP EXTRACT - COST CENTRE'!$2:$2,0)),0)</f>
        <v>0</v>
      </c>
      <c r="AA149" s="10">
        <f>IFERROR(INDEX('TRANS EMP EXTRACT - COST CENTRE'!$A$1:$Z$455,MATCH('Summary - Monthly'!$A149,'TRANS EMP EXTRACT - COST CENTRE'!$A:$A,0),MATCH('Summary - Monthly'!AA$3,'TRANS EMP EXTRACT - COST CENTRE'!$2:$2,0)),0)</f>
        <v>0</v>
      </c>
      <c r="AB149" s="10">
        <f>IFERROR(INDEX('TRANS EMP EXTRACT - COST CENTRE'!$A$1:$Z$455,MATCH('Summary - Monthly'!$A149,'TRANS EMP EXTRACT - COST CENTRE'!$A:$A,0),MATCH('Summary - Monthly'!AB$3,'TRANS EMP EXTRACT - COST CENTRE'!$2:$2,0)),0)</f>
        <v>0</v>
      </c>
      <c r="AC149" s="8">
        <f>IFERROR(INDEX('TRANS EMP EXTRACT - COST CENTRE'!$A$1:$Z$455,MATCH('Summary - Monthly'!$A149,'TRANS EMP EXTRACT - COST CENTRE'!$A:$A,0),MATCH('Summary - Monthly'!AC$3,'TRANS EMP EXTRACT - COST CENTRE'!$2:$2,0)),0)</f>
        <v>0</v>
      </c>
      <c r="AD149" s="13">
        <f>IFERROR(INDEX('TRANS EMP EXTRACT - COST CENTRE'!$A$1:$Z$455,MATCH('Summary - Monthly'!$A149,'TRANS EMP EXTRACT - COST CENTRE'!$A:$A,0),MATCH('Summary - Monthly'!AD$3,'TRANS EMP EXTRACT - COST CENTRE'!$2:$2,0)),0)</f>
        <v>0</v>
      </c>
      <c r="AE149" s="13">
        <f>IFERROR(INDEX('TRANS EMP EXTRACT - COST CENTRE'!$A$1:$Z$455,MATCH('Summary - Monthly'!$A149,'TRANS EMP EXTRACT - COST CENTRE'!$A:$A,0),MATCH('Summary - Monthly'!AE$3,'TRANS EMP EXTRACT - COST CENTRE'!$2:$2,0)),0)</f>
        <v>0</v>
      </c>
      <c r="AF149" s="13">
        <f>IFERROR(INDEX('TRANS EMP EXTRACT - COST CENTRE'!$A$1:$Z$455,MATCH('Summary - Monthly'!$A149,'TRANS EMP EXTRACT - COST CENTRE'!$A:$A,0),MATCH('Summary - Monthly'!AF$3,'TRANS EMP EXTRACT - COST CENTRE'!$2:$2,0)),0)</f>
        <v>0</v>
      </c>
      <c r="AG149" s="10">
        <f>IFERROR(INDEX('TRANS EMP EXTRACT - COST CENTRE'!$A$1:$Z$455,MATCH('Summary - Monthly'!$A149,'TRANS EMP EXTRACT - COST CENTRE'!$A:$A,0),MATCH('Summary - Monthly'!AG$3,'TRANS EMP EXTRACT - COST CENTRE'!$2:$2,0)),0)</f>
        <v>0</v>
      </c>
      <c r="AH149" s="10">
        <f>IFERROR(INDEX('TRANS EMP EXTRACT - COST CENTRE'!$A$1:$Z$455,MATCH('Summary - Monthly'!$A149,'TRANS EMP EXTRACT - COST CENTRE'!$A:$A,0),MATCH('Summary - Monthly'!AH$3,'TRANS EMP EXTRACT - COST CENTRE'!$2:$2,0)),0)</f>
        <v>0</v>
      </c>
      <c r="AI149" s="10">
        <f>IFERROR(INDEX('TRANS EMP EXTRACT - COST CENTRE'!$A$1:$Z$455,MATCH('Summary - Monthly'!$A149,'TRANS EMP EXTRACT - COST CENTRE'!$A:$A,0),MATCH('Summary - Monthly'!AI$3,'TRANS EMP EXTRACT - COST CENTRE'!$2:$2,0)),0)</f>
        <v>0</v>
      </c>
      <c r="AJ149" s="10">
        <f>IFERROR(INDEX('TRANS EMP EXTRACT - COST CENTRE'!$A$1:$Z$455,MATCH('Summary - Monthly'!$A149,'TRANS EMP EXTRACT - COST CENTRE'!$A:$A,0),MATCH('Summary - Monthly'!AJ$3,'TRANS EMP EXTRACT - COST CENTRE'!$2:$2,0)),0)</f>
        <v>0</v>
      </c>
      <c r="AK149" s="10">
        <f>IFERROR(INDEX('TRANS EMP EXTRACT - COST CENTRE'!$A$1:$Z$455,MATCH('Summary - Monthly'!$A149,'TRANS EMP EXTRACT - COST CENTRE'!$A:$A,0),MATCH('Summary - Monthly'!AK$3,'TRANS EMP EXTRACT - COST CENTRE'!$2:$2,0)),0)</f>
        <v>0</v>
      </c>
      <c r="AL149" s="10">
        <f>IFERROR(INDEX('TRANS EMP EXTRACT - COST CENTRE'!$A$1:$Z$455,MATCH('Summary - Monthly'!$A149,'TRANS EMP EXTRACT - COST CENTRE'!$A:$A,0),MATCH('Summary - Monthly'!AL$3,'TRANS EMP EXTRACT - COST CENTRE'!$2:$2,0)),0)</f>
        <v>0</v>
      </c>
      <c r="AM149" s="10">
        <f t="shared" si="32"/>
        <v>0</v>
      </c>
      <c r="AN149" s="14">
        <f t="shared" si="26"/>
        <v>0</v>
      </c>
      <c r="AO149" s="18">
        <f t="shared" si="30"/>
        <v>0</v>
      </c>
      <c r="AP149" s="18">
        <f t="shared" si="31"/>
        <v>0</v>
      </c>
      <c r="AQ149" s="10" t="str">
        <f>IFERROR(VLOOKUP(B149,Departments!A:C,3,FALSE),"")</f>
        <v/>
      </c>
      <c r="AR149" s="10" t="str">
        <f>IFERROR(VLOOKUP(B149,Departments!A:B,2,FALSE),"")</f>
        <v/>
      </c>
      <c r="AS149" s="10">
        <f t="shared" si="27"/>
        <v>0</v>
      </c>
      <c r="AT149" s="10">
        <f t="shared" si="28"/>
        <v>0</v>
      </c>
      <c r="AU149" s="10" t="str">
        <f>_xlfn.IFNA(VLOOKUP(B149,Departments!A:D,4,FALSE),"")</f>
        <v/>
      </c>
    </row>
    <row r="150" spans="1:47" ht="14.45" customHeight="1">
      <c r="A150" s="11" t="str">
        <f t="shared" si="24"/>
        <v>00</v>
      </c>
      <c r="B150" s="11">
        <f>'TRANS EMP EXTRACT - COST CENTRE'!B149</f>
        <v>0</v>
      </c>
      <c r="C150" s="10" t="str">
        <f>IFERROR(VLOOKUP(E150,'TRANS EMP EXTRACT - EMP CATEGOR'!A:B,2,FALSE),"")</f>
        <v/>
      </c>
      <c r="D150" s="10" t="str">
        <f>IFERROR(VLOOKUP(E150,'TRANS EMP EXTRACT - EMP CATEGOR'!A:C,3,FALSE),"")</f>
        <v/>
      </c>
      <c r="E150" s="11">
        <f>'TRANS EMP EXTRACT - COST CENTRE'!D149</f>
        <v>0</v>
      </c>
      <c r="F150" s="10" t="str">
        <f>IFERROR(VLOOKUP(E150,'TRANS EMP EXTRACT - COST CENTRE'!D:E,2,FALSE),"")</f>
        <v/>
      </c>
      <c r="G150" s="12" t="str">
        <f>IFERROR(INDEX('TRANS EMP EXTRACT - COST CENTRE'!$A$1:$Z$455,MATCH('Summary - Monthly'!$A150,'TRANS EMP EXTRACT - COST CENTRE'!$A:$A,0),MATCH('Summary - Monthly'!G$3,'TRANS EMP EXTRACT - COST CENTRE'!$2:$2,0)),"")</f>
        <v/>
      </c>
      <c r="H150" s="10" t="str">
        <f>IFERROR(INDEX('TRANS EMP EXTRACT - COST CENTRE'!$B$1:$Z$455,MATCH('Summary - Monthly'!$E150,'TRANS EMP EXTRACT - COST CENTRE'!$D:$D,0),MATCH('Summary - Monthly'!H$3,'TRANS EMP EXTRACT - COST CENTRE'!$2:$2,0)),"")</f>
        <v/>
      </c>
      <c r="I150" s="12" t="str">
        <f>IFERROR(INDEX('TRANS EMP EXTRACT - EMP CATEGOR'!$B$1:$AF$421,MATCH('Summary - Monthly'!$E150,'TRANS EMP EXTRACT - EMP CATEGOR'!$D:$D,0),MATCH('Summary - Monthly'!H$3,'TRANS EMP EXTRACT - EMP CATEGOR'!$2:$2,0)),"")</f>
        <v/>
      </c>
      <c r="J150" s="41">
        <f t="shared" ca="1" si="25"/>
        <v>0</v>
      </c>
      <c r="K150" s="41">
        <f t="shared" ca="1" si="29"/>
        <v>0</v>
      </c>
      <c r="L150" s="10" t="str">
        <f>IFERROR(INDEX('TRANS EMP EXTRACT - COST CENTRE'!$A$1:$Z$455,MATCH('Summary - Monthly'!$A150,'TRANS EMP EXTRACT - COST CENTRE'!$A:$A,0),MATCH('Summary - Monthly'!L$3,'TRANS EMP EXTRACT - COST CENTRE'!$2:$2,0)),"")</f>
        <v/>
      </c>
      <c r="M150" s="10">
        <f>IFERROR(INDEX('TRANS EMP EXTRACT - COST CENTRE'!$A$1:$Z$455,MATCH('Summary - Monthly'!$A150,'TRANS EMP EXTRACT - COST CENTRE'!$A:$A,0),MATCH('Summary - Monthly'!M$3,'TRANS EMP EXTRACT - COST CENTRE'!$2:$2,0)),0)</f>
        <v>0</v>
      </c>
      <c r="N150" s="10">
        <f>IFERROR(INDEX('TRANS EMP EXTRACT - COST CENTRE'!$A$1:$Z$455,MATCH('Summary - Monthly'!$A150,'TRANS EMP EXTRACT - COST CENTRE'!$A:$A,0),MATCH('Summary - Monthly'!N$3,'TRANS EMP EXTRACT - COST CENTRE'!$2:$2,0)),0)</f>
        <v>0</v>
      </c>
      <c r="O150" s="10">
        <f>IFERROR(INDEX('TRANS EMP EXTRACT - COST CENTRE'!$A$1:$Z$455,MATCH('Summary - Monthly'!$A150,'TRANS EMP EXTRACT - COST CENTRE'!$A:$A,0),MATCH('Summary - Monthly'!O$3,'TRANS EMP EXTRACT - COST CENTRE'!$2:$2,0)),0)</f>
        <v>0</v>
      </c>
      <c r="P150" s="10">
        <f>IFERROR(INDEX('TRANS EMP EXTRACT - COST CENTRE'!$A$1:$Z$455,MATCH('Summary - Monthly'!$A150,'TRANS EMP EXTRACT - COST CENTRE'!$A:$A,0),MATCH('Summary - Monthly'!P$3,'TRANS EMP EXTRACT - COST CENTRE'!$2:$2,0)),0)</f>
        <v>0</v>
      </c>
      <c r="Q150" s="10">
        <f>IFERROR(INDEX('TRANS EMP EXTRACT - COST CENTRE'!$A$1:$Z$455,MATCH('Summary - Monthly'!$A150,'TRANS EMP EXTRACT - COST CENTRE'!$A:$A,0),MATCH('Summary - Monthly'!Q$3,'TRANS EMP EXTRACT - COST CENTRE'!$2:$2,0)),0)</f>
        <v>0</v>
      </c>
      <c r="R150" s="10">
        <f>IFERROR(INDEX('TRANS EMP EXTRACT - COST CENTRE'!$A$1:$Z$455,MATCH('Summary - Monthly'!$A150,'TRANS EMP EXTRACT - COST CENTRE'!$A:$A,0),MATCH('Summary - Monthly'!R$3,'TRANS EMP EXTRACT - COST CENTRE'!$2:$2,0)),0)</f>
        <v>0</v>
      </c>
      <c r="S150" s="10">
        <f>IFERROR(INDEX('TRANS EMP EXTRACT - COST CENTRE'!$A$1:$Z$455,MATCH('Summary - Monthly'!$A150,'TRANS EMP EXTRACT - COST CENTRE'!$A:$A,0),MATCH('Summary - Monthly'!S$3,'TRANS EMP EXTRACT - COST CENTRE'!$2:$2,0)),0)</f>
        <v>0</v>
      </c>
      <c r="T150" s="8">
        <f>IFERROR(INDEX('TRANS EMP EXTRACT - COST CENTRE'!$A$1:$Z$455,MATCH('Summary - Monthly'!$A150,'TRANS EMP EXTRACT - COST CENTRE'!$A:$A,0),MATCH('Summary - Monthly'!T$3,'TRANS EMP EXTRACT - COST CENTRE'!$2:$2,0)),0)</f>
        <v>0</v>
      </c>
      <c r="U150" s="13">
        <f>IFERROR(INDEX('TRANS EMP EXTRACT - COST CENTRE'!$A$1:$Z$455,MATCH('Summary - Monthly'!$A150,'TRANS EMP EXTRACT - COST CENTRE'!$A:$A,0),MATCH('Summary - Monthly'!U$3,'TRANS EMP EXTRACT - COST CENTRE'!$2:$2,0)),0)</f>
        <v>0</v>
      </c>
      <c r="V150" s="13">
        <f>IFERROR(INDEX('TRANS EMP EXTRACT - COST CENTRE'!$A$1:$Z$455,MATCH('Summary - Monthly'!$A150,'TRANS EMP EXTRACT - COST CENTRE'!$A:$A,0),MATCH('Summary - Monthly'!V$3,'TRANS EMP EXTRACT - COST CENTRE'!$2:$2,0)),0)</f>
        <v>0</v>
      </c>
      <c r="W150" s="13">
        <f>IFERROR(INDEX('TRANS EMP EXTRACT - COST CENTRE'!$A$1:$Z$455,MATCH('Summary - Monthly'!$A150,'TRANS EMP EXTRACT - COST CENTRE'!$A:$A,0),MATCH('Summary - Monthly'!W$3,'TRANS EMP EXTRACT - COST CENTRE'!$2:$2,0)),0)</f>
        <v>0</v>
      </c>
      <c r="X150" s="13">
        <f>IFERROR(INDEX('TRANS EMP EXTRACT - COST CENTRE'!$A$1:$Z$455,MATCH('Summary - Monthly'!$A150,'TRANS EMP EXTRACT - COST CENTRE'!$A:$A,0),MATCH('Summary - Monthly'!X$3,'TRANS EMP EXTRACT - COST CENTRE'!$2:$2,0)),0)</f>
        <v>0</v>
      </c>
      <c r="Y150" s="13">
        <f>IFERROR(INDEX('TRANS EMP EXTRACT - COST CENTRE'!$A$1:$Z$455,MATCH('Summary - Monthly'!$A150,'TRANS EMP EXTRACT - COST CENTRE'!$A:$A,0),MATCH('Summary - Monthly'!Y$3,'TRANS EMP EXTRACT - COST CENTRE'!$2:$2,0)),0)</f>
        <v>0</v>
      </c>
      <c r="Z150" s="10">
        <f>IFERROR(INDEX('TRANS EMP EXTRACT - COST CENTRE'!$A$1:$Z$455,MATCH('Summary - Monthly'!$A150,'TRANS EMP EXTRACT - COST CENTRE'!$A:$A,0),MATCH('Summary - Monthly'!Z$3,'TRANS EMP EXTRACT - COST CENTRE'!$2:$2,0)),0)</f>
        <v>0</v>
      </c>
      <c r="AA150" s="10">
        <f>IFERROR(INDEX('TRANS EMP EXTRACT - COST CENTRE'!$A$1:$Z$455,MATCH('Summary - Monthly'!$A150,'TRANS EMP EXTRACT - COST CENTRE'!$A:$A,0),MATCH('Summary - Monthly'!AA$3,'TRANS EMP EXTRACT - COST CENTRE'!$2:$2,0)),0)</f>
        <v>0</v>
      </c>
      <c r="AB150" s="10">
        <f>IFERROR(INDEX('TRANS EMP EXTRACT - COST CENTRE'!$A$1:$Z$455,MATCH('Summary - Monthly'!$A150,'TRANS EMP EXTRACT - COST CENTRE'!$A:$A,0),MATCH('Summary - Monthly'!AB$3,'TRANS EMP EXTRACT - COST CENTRE'!$2:$2,0)),0)</f>
        <v>0</v>
      </c>
      <c r="AC150" s="8">
        <f>IFERROR(INDEX('TRANS EMP EXTRACT - COST CENTRE'!$A$1:$Z$455,MATCH('Summary - Monthly'!$A150,'TRANS EMP EXTRACT - COST CENTRE'!$A:$A,0),MATCH('Summary - Monthly'!AC$3,'TRANS EMP EXTRACT - COST CENTRE'!$2:$2,0)),0)</f>
        <v>0</v>
      </c>
      <c r="AD150" s="13">
        <f>IFERROR(INDEX('TRANS EMP EXTRACT - COST CENTRE'!$A$1:$Z$455,MATCH('Summary - Monthly'!$A150,'TRANS EMP EXTRACT - COST CENTRE'!$A:$A,0),MATCH('Summary - Monthly'!AD$3,'TRANS EMP EXTRACT - COST CENTRE'!$2:$2,0)),0)</f>
        <v>0</v>
      </c>
      <c r="AE150" s="13">
        <f>IFERROR(INDEX('TRANS EMP EXTRACT - COST CENTRE'!$A$1:$Z$455,MATCH('Summary - Monthly'!$A150,'TRANS EMP EXTRACT - COST CENTRE'!$A:$A,0),MATCH('Summary - Monthly'!AE$3,'TRANS EMP EXTRACT - COST CENTRE'!$2:$2,0)),0)</f>
        <v>0</v>
      </c>
      <c r="AF150" s="13">
        <f>IFERROR(INDEX('TRANS EMP EXTRACT - COST CENTRE'!$A$1:$Z$455,MATCH('Summary - Monthly'!$A150,'TRANS EMP EXTRACT - COST CENTRE'!$A:$A,0),MATCH('Summary - Monthly'!AF$3,'TRANS EMP EXTRACT - COST CENTRE'!$2:$2,0)),0)</f>
        <v>0</v>
      </c>
      <c r="AG150" s="10">
        <f>IFERROR(INDEX('TRANS EMP EXTRACT - COST CENTRE'!$A$1:$Z$455,MATCH('Summary - Monthly'!$A150,'TRANS EMP EXTRACT - COST CENTRE'!$A:$A,0),MATCH('Summary - Monthly'!AG$3,'TRANS EMP EXTRACT - COST CENTRE'!$2:$2,0)),0)</f>
        <v>0</v>
      </c>
      <c r="AH150" s="10">
        <f>IFERROR(INDEX('TRANS EMP EXTRACT - COST CENTRE'!$A$1:$Z$455,MATCH('Summary - Monthly'!$A150,'TRANS EMP EXTRACT - COST CENTRE'!$A:$A,0),MATCH('Summary - Monthly'!AH$3,'TRANS EMP EXTRACT - COST CENTRE'!$2:$2,0)),0)</f>
        <v>0</v>
      </c>
      <c r="AI150" s="10">
        <f>IFERROR(INDEX('TRANS EMP EXTRACT - COST CENTRE'!$A$1:$Z$455,MATCH('Summary - Monthly'!$A150,'TRANS EMP EXTRACT - COST CENTRE'!$A:$A,0),MATCH('Summary - Monthly'!AI$3,'TRANS EMP EXTRACT - COST CENTRE'!$2:$2,0)),0)</f>
        <v>0</v>
      </c>
      <c r="AJ150" s="10">
        <f>IFERROR(INDEX('TRANS EMP EXTRACT - COST CENTRE'!$A$1:$Z$455,MATCH('Summary - Monthly'!$A150,'TRANS EMP EXTRACT - COST CENTRE'!$A:$A,0),MATCH('Summary - Monthly'!AJ$3,'TRANS EMP EXTRACT - COST CENTRE'!$2:$2,0)),0)</f>
        <v>0</v>
      </c>
      <c r="AK150" s="10">
        <f>IFERROR(INDEX('TRANS EMP EXTRACT - COST CENTRE'!$A$1:$Z$455,MATCH('Summary - Monthly'!$A150,'TRANS EMP EXTRACT - COST CENTRE'!$A:$A,0),MATCH('Summary - Monthly'!AK$3,'TRANS EMP EXTRACT - COST CENTRE'!$2:$2,0)),0)</f>
        <v>0</v>
      </c>
      <c r="AL150" s="10">
        <f>IFERROR(INDEX('TRANS EMP EXTRACT - COST CENTRE'!$A$1:$Z$455,MATCH('Summary - Monthly'!$A150,'TRANS EMP EXTRACT - COST CENTRE'!$A:$A,0),MATCH('Summary - Monthly'!AL$3,'TRANS EMP EXTRACT - COST CENTRE'!$2:$2,0)),0)</f>
        <v>0</v>
      </c>
      <c r="AM150" s="10">
        <f t="shared" si="32"/>
        <v>0</v>
      </c>
      <c r="AN150" s="14">
        <f t="shared" si="26"/>
        <v>0</v>
      </c>
      <c r="AO150" s="18">
        <f t="shared" si="30"/>
        <v>0</v>
      </c>
      <c r="AP150" s="18">
        <f t="shared" si="31"/>
        <v>0</v>
      </c>
      <c r="AQ150" s="10" t="str">
        <f>IFERROR(VLOOKUP(B150,Departments!A:C,3,FALSE),"")</f>
        <v/>
      </c>
      <c r="AR150" s="10" t="str">
        <f>IFERROR(VLOOKUP(B150,Departments!A:B,2,FALSE),"")</f>
        <v/>
      </c>
      <c r="AS150" s="10">
        <f t="shared" si="27"/>
        <v>0</v>
      </c>
      <c r="AT150" s="10">
        <f t="shared" si="28"/>
        <v>0</v>
      </c>
      <c r="AU150" s="10" t="str">
        <f>_xlfn.IFNA(VLOOKUP(B150,Departments!A:D,4,FALSE),"")</f>
        <v/>
      </c>
    </row>
    <row r="151" spans="1:47" ht="14.45" customHeight="1">
      <c r="A151" s="11" t="str">
        <f t="shared" si="24"/>
        <v>00</v>
      </c>
      <c r="B151" s="11">
        <f>'TRANS EMP EXTRACT - COST CENTRE'!B150</f>
        <v>0</v>
      </c>
      <c r="C151" s="10" t="str">
        <f>IFERROR(VLOOKUP(E151,'TRANS EMP EXTRACT - EMP CATEGOR'!A:B,2,FALSE),"")</f>
        <v/>
      </c>
      <c r="D151" s="10" t="str">
        <f>IFERROR(VLOOKUP(E151,'TRANS EMP EXTRACT - EMP CATEGOR'!A:C,3,FALSE),"")</f>
        <v/>
      </c>
      <c r="E151" s="11">
        <f>'TRANS EMP EXTRACT - COST CENTRE'!D150</f>
        <v>0</v>
      </c>
      <c r="F151" s="10" t="str">
        <f>IFERROR(VLOOKUP(E151,'TRANS EMP EXTRACT - COST CENTRE'!D:E,2,FALSE),"")</f>
        <v/>
      </c>
      <c r="G151" s="12" t="str">
        <f>IFERROR(INDEX('TRANS EMP EXTRACT - COST CENTRE'!$A$1:$Z$455,MATCH('Summary - Monthly'!$A151,'TRANS EMP EXTRACT - COST CENTRE'!$A:$A,0),MATCH('Summary - Monthly'!G$3,'TRANS EMP EXTRACT - COST CENTRE'!$2:$2,0)),"")</f>
        <v/>
      </c>
      <c r="H151" s="10" t="str">
        <f>IFERROR(INDEX('TRANS EMP EXTRACT - COST CENTRE'!$B$1:$Z$455,MATCH('Summary - Monthly'!$E151,'TRANS EMP EXTRACT - COST CENTRE'!$D:$D,0),MATCH('Summary - Monthly'!H$3,'TRANS EMP EXTRACT - COST CENTRE'!$2:$2,0)),"")</f>
        <v/>
      </c>
      <c r="I151" s="12" t="str">
        <f>IFERROR(INDEX('TRANS EMP EXTRACT - EMP CATEGOR'!$B$1:$AF$421,MATCH('Summary - Monthly'!$E151,'TRANS EMP EXTRACT - EMP CATEGOR'!$D:$D,0),MATCH('Summary - Monthly'!H$3,'TRANS EMP EXTRACT - EMP CATEGOR'!$2:$2,0)),"")</f>
        <v/>
      </c>
      <c r="J151" s="41">
        <f t="shared" ca="1" si="25"/>
        <v>0</v>
      </c>
      <c r="K151" s="41">
        <f t="shared" ca="1" si="29"/>
        <v>0</v>
      </c>
      <c r="L151" s="10" t="str">
        <f>IFERROR(INDEX('TRANS EMP EXTRACT - COST CENTRE'!$A$1:$Z$455,MATCH('Summary - Monthly'!$A151,'TRANS EMP EXTRACT - COST CENTRE'!$A:$A,0),MATCH('Summary - Monthly'!L$3,'TRANS EMP EXTRACT - COST CENTRE'!$2:$2,0)),"")</f>
        <v/>
      </c>
      <c r="M151" s="10">
        <f>IFERROR(INDEX('TRANS EMP EXTRACT - COST CENTRE'!$A$1:$Z$455,MATCH('Summary - Monthly'!$A151,'TRANS EMP EXTRACT - COST CENTRE'!$A:$A,0),MATCH('Summary - Monthly'!M$3,'TRANS EMP EXTRACT - COST CENTRE'!$2:$2,0)),0)</f>
        <v>0</v>
      </c>
      <c r="N151" s="10">
        <f>IFERROR(INDEX('TRANS EMP EXTRACT - COST CENTRE'!$A$1:$Z$455,MATCH('Summary - Monthly'!$A151,'TRANS EMP EXTRACT - COST CENTRE'!$A:$A,0),MATCH('Summary - Monthly'!N$3,'TRANS EMP EXTRACT - COST CENTRE'!$2:$2,0)),0)</f>
        <v>0</v>
      </c>
      <c r="O151" s="10">
        <f>IFERROR(INDEX('TRANS EMP EXTRACT - COST CENTRE'!$A$1:$Z$455,MATCH('Summary - Monthly'!$A151,'TRANS EMP EXTRACT - COST CENTRE'!$A:$A,0),MATCH('Summary - Monthly'!O$3,'TRANS EMP EXTRACT - COST CENTRE'!$2:$2,0)),0)</f>
        <v>0</v>
      </c>
      <c r="P151" s="10">
        <f>IFERROR(INDEX('TRANS EMP EXTRACT - COST CENTRE'!$A$1:$Z$455,MATCH('Summary - Monthly'!$A151,'TRANS EMP EXTRACT - COST CENTRE'!$A:$A,0),MATCH('Summary - Monthly'!P$3,'TRANS EMP EXTRACT - COST CENTRE'!$2:$2,0)),0)</f>
        <v>0</v>
      </c>
      <c r="Q151" s="10">
        <f>IFERROR(INDEX('TRANS EMP EXTRACT - COST CENTRE'!$A$1:$Z$455,MATCH('Summary - Monthly'!$A151,'TRANS EMP EXTRACT - COST CENTRE'!$A:$A,0),MATCH('Summary - Monthly'!Q$3,'TRANS EMP EXTRACT - COST CENTRE'!$2:$2,0)),0)</f>
        <v>0</v>
      </c>
      <c r="R151" s="10">
        <f>IFERROR(INDEX('TRANS EMP EXTRACT - COST CENTRE'!$A$1:$Z$455,MATCH('Summary - Monthly'!$A151,'TRANS EMP EXTRACT - COST CENTRE'!$A:$A,0),MATCH('Summary - Monthly'!R$3,'TRANS EMP EXTRACT - COST CENTRE'!$2:$2,0)),0)</f>
        <v>0</v>
      </c>
      <c r="S151" s="10">
        <f>IFERROR(INDEX('TRANS EMP EXTRACT - COST CENTRE'!$A$1:$Z$455,MATCH('Summary - Monthly'!$A151,'TRANS EMP EXTRACT - COST CENTRE'!$A:$A,0),MATCH('Summary - Monthly'!S$3,'TRANS EMP EXTRACT - COST CENTRE'!$2:$2,0)),0)</f>
        <v>0</v>
      </c>
      <c r="T151" s="8">
        <f>IFERROR(INDEX('TRANS EMP EXTRACT - COST CENTRE'!$A$1:$Z$455,MATCH('Summary - Monthly'!$A151,'TRANS EMP EXTRACT - COST CENTRE'!$A:$A,0),MATCH('Summary - Monthly'!T$3,'TRANS EMP EXTRACT - COST CENTRE'!$2:$2,0)),0)</f>
        <v>0</v>
      </c>
      <c r="U151" s="13">
        <f>IFERROR(INDEX('TRANS EMP EXTRACT - COST CENTRE'!$A$1:$Z$455,MATCH('Summary - Monthly'!$A151,'TRANS EMP EXTRACT - COST CENTRE'!$A:$A,0),MATCH('Summary - Monthly'!U$3,'TRANS EMP EXTRACT - COST CENTRE'!$2:$2,0)),0)</f>
        <v>0</v>
      </c>
      <c r="V151" s="13">
        <f>IFERROR(INDEX('TRANS EMP EXTRACT - COST CENTRE'!$A$1:$Z$455,MATCH('Summary - Monthly'!$A151,'TRANS EMP EXTRACT - COST CENTRE'!$A:$A,0),MATCH('Summary - Monthly'!V$3,'TRANS EMP EXTRACT - COST CENTRE'!$2:$2,0)),0)</f>
        <v>0</v>
      </c>
      <c r="W151" s="13">
        <f>IFERROR(INDEX('TRANS EMP EXTRACT - COST CENTRE'!$A$1:$Z$455,MATCH('Summary - Monthly'!$A151,'TRANS EMP EXTRACT - COST CENTRE'!$A:$A,0),MATCH('Summary - Monthly'!W$3,'TRANS EMP EXTRACT - COST CENTRE'!$2:$2,0)),0)</f>
        <v>0</v>
      </c>
      <c r="X151" s="13">
        <f>IFERROR(INDEX('TRANS EMP EXTRACT - COST CENTRE'!$A$1:$Z$455,MATCH('Summary - Monthly'!$A151,'TRANS EMP EXTRACT - COST CENTRE'!$A:$A,0),MATCH('Summary - Monthly'!X$3,'TRANS EMP EXTRACT - COST CENTRE'!$2:$2,0)),0)</f>
        <v>0</v>
      </c>
      <c r="Y151" s="13">
        <f>IFERROR(INDEX('TRANS EMP EXTRACT - COST CENTRE'!$A$1:$Z$455,MATCH('Summary - Monthly'!$A151,'TRANS EMP EXTRACT - COST CENTRE'!$A:$A,0),MATCH('Summary - Monthly'!Y$3,'TRANS EMP EXTRACT - COST CENTRE'!$2:$2,0)),0)</f>
        <v>0</v>
      </c>
      <c r="Z151" s="10">
        <f>IFERROR(INDEX('TRANS EMP EXTRACT - COST CENTRE'!$A$1:$Z$455,MATCH('Summary - Monthly'!$A151,'TRANS EMP EXTRACT - COST CENTRE'!$A:$A,0),MATCH('Summary - Monthly'!Z$3,'TRANS EMP EXTRACT - COST CENTRE'!$2:$2,0)),0)</f>
        <v>0</v>
      </c>
      <c r="AA151" s="10">
        <f>IFERROR(INDEX('TRANS EMP EXTRACT - COST CENTRE'!$A$1:$Z$455,MATCH('Summary - Monthly'!$A151,'TRANS EMP EXTRACT - COST CENTRE'!$A:$A,0),MATCH('Summary - Monthly'!AA$3,'TRANS EMP EXTRACT - COST CENTRE'!$2:$2,0)),0)</f>
        <v>0</v>
      </c>
      <c r="AB151" s="10">
        <f>IFERROR(INDEX('TRANS EMP EXTRACT - COST CENTRE'!$A$1:$Z$455,MATCH('Summary - Monthly'!$A151,'TRANS EMP EXTRACT - COST CENTRE'!$A:$A,0),MATCH('Summary - Monthly'!AB$3,'TRANS EMP EXTRACT - COST CENTRE'!$2:$2,0)),0)</f>
        <v>0</v>
      </c>
      <c r="AC151" s="8">
        <f>IFERROR(INDEX('TRANS EMP EXTRACT - COST CENTRE'!$A$1:$Z$455,MATCH('Summary - Monthly'!$A151,'TRANS EMP EXTRACT - COST CENTRE'!$A:$A,0),MATCH('Summary - Monthly'!AC$3,'TRANS EMP EXTRACT - COST CENTRE'!$2:$2,0)),0)</f>
        <v>0</v>
      </c>
      <c r="AD151" s="13">
        <f>IFERROR(INDEX('TRANS EMP EXTRACT - COST CENTRE'!$A$1:$Z$455,MATCH('Summary - Monthly'!$A151,'TRANS EMP EXTRACT - COST CENTRE'!$A:$A,0),MATCH('Summary - Monthly'!AD$3,'TRANS EMP EXTRACT - COST CENTRE'!$2:$2,0)),0)</f>
        <v>0</v>
      </c>
      <c r="AE151" s="13">
        <f>IFERROR(INDEX('TRANS EMP EXTRACT - COST CENTRE'!$A$1:$Z$455,MATCH('Summary - Monthly'!$A151,'TRANS EMP EXTRACT - COST CENTRE'!$A:$A,0),MATCH('Summary - Monthly'!AE$3,'TRANS EMP EXTRACT - COST CENTRE'!$2:$2,0)),0)</f>
        <v>0</v>
      </c>
      <c r="AF151" s="13">
        <f>IFERROR(INDEX('TRANS EMP EXTRACT - COST CENTRE'!$A$1:$Z$455,MATCH('Summary - Monthly'!$A151,'TRANS EMP EXTRACT - COST CENTRE'!$A:$A,0),MATCH('Summary - Monthly'!AF$3,'TRANS EMP EXTRACT - COST CENTRE'!$2:$2,0)),0)</f>
        <v>0</v>
      </c>
      <c r="AG151" s="10">
        <f>IFERROR(INDEX('TRANS EMP EXTRACT - COST CENTRE'!$A$1:$Z$455,MATCH('Summary - Monthly'!$A151,'TRANS EMP EXTRACT - COST CENTRE'!$A:$A,0),MATCH('Summary - Monthly'!AG$3,'TRANS EMP EXTRACT - COST CENTRE'!$2:$2,0)),0)</f>
        <v>0</v>
      </c>
      <c r="AH151" s="10">
        <f>IFERROR(INDEX('TRANS EMP EXTRACT - COST CENTRE'!$A$1:$Z$455,MATCH('Summary - Monthly'!$A151,'TRANS EMP EXTRACT - COST CENTRE'!$A:$A,0),MATCH('Summary - Monthly'!AH$3,'TRANS EMP EXTRACT - COST CENTRE'!$2:$2,0)),0)</f>
        <v>0</v>
      </c>
      <c r="AI151" s="10">
        <f>IFERROR(INDEX('TRANS EMP EXTRACT - COST CENTRE'!$A$1:$Z$455,MATCH('Summary - Monthly'!$A151,'TRANS EMP EXTRACT - COST CENTRE'!$A:$A,0),MATCH('Summary - Monthly'!AI$3,'TRANS EMP EXTRACT - COST CENTRE'!$2:$2,0)),0)</f>
        <v>0</v>
      </c>
      <c r="AJ151" s="10">
        <f>IFERROR(INDEX('TRANS EMP EXTRACT - COST CENTRE'!$A$1:$Z$455,MATCH('Summary - Monthly'!$A151,'TRANS EMP EXTRACT - COST CENTRE'!$A:$A,0),MATCH('Summary - Monthly'!AJ$3,'TRANS EMP EXTRACT - COST CENTRE'!$2:$2,0)),0)</f>
        <v>0</v>
      </c>
      <c r="AK151" s="10">
        <f>IFERROR(INDEX('TRANS EMP EXTRACT - COST CENTRE'!$A$1:$Z$455,MATCH('Summary - Monthly'!$A151,'TRANS EMP EXTRACT - COST CENTRE'!$A:$A,0),MATCH('Summary - Monthly'!AK$3,'TRANS EMP EXTRACT - COST CENTRE'!$2:$2,0)),0)</f>
        <v>0</v>
      </c>
      <c r="AL151" s="10">
        <f>IFERROR(INDEX('TRANS EMP EXTRACT - COST CENTRE'!$A$1:$Z$455,MATCH('Summary - Monthly'!$A151,'TRANS EMP EXTRACT - COST CENTRE'!$A:$A,0),MATCH('Summary - Monthly'!AL$3,'TRANS EMP EXTRACT - COST CENTRE'!$2:$2,0)),0)</f>
        <v>0</v>
      </c>
      <c r="AM151" s="10">
        <f t="shared" si="32"/>
        <v>0</v>
      </c>
      <c r="AN151" s="14">
        <f t="shared" si="26"/>
        <v>0</v>
      </c>
      <c r="AO151" s="18">
        <f t="shared" si="30"/>
        <v>0</v>
      </c>
      <c r="AP151" s="18">
        <f t="shared" si="31"/>
        <v>0</v>
      </c>
      <c r="AQ151" s="10" t="str">
        <f>IFERROR(VLOOKUP(B151,Departments!A:C,3,FALSE),"")</f>
        <v/>
      </c>
      <c r="AR151" s="10" t="str">
        <f>IFERROR(VLOOKUP(B151,Departments!A:B,2,FALSE),"")</f>
        <v/>
      </c>
      <c r="AS151" s="10">
        <f t="shared" si="27"/>
        <v>0</v>
      </c>
      <c r="AT151" s="10">
        <f t="shared" si="28"/>
        <v>0</v>
      </c>
      <c r="AU151" s="10" t="str">
        <f>_xlfn.IFNA(VLOOKUP(B151,Departments!A:D,4,FALSE),"")</f>
        <v/>
      </c>
    </row>
    <row r="152" spans="1:47" ht="14.45" customHeight="1">
      <c r="A152" s="11" t="str">
        <f t="shared" si="24"/>
        <v>00</v>
      </c>
      <c r="B152" s="11">
        <f>'TRANS EMP EXTRACT - COST CENTRE'!B151</f>
        <v>0</v>
      </c>
      <c r="C152" s="10" t="str">
        <f>IFERROR(VLOOKUP(E152,'TRANS EMP EXTRACT - EMP CATEGOR'!A:B,2,FALSE),"")</f>
        <v/>
      </c>
      <c r="D152" s="10" t="str">
        <f>IFERROR(VLOOKUP(E152,'TRANS EMP EXTRACT - EMP CATEGOR'!A:C,3,FALSE),"")</f>
        <v/>
      </c>
      <c r="E152" s="11">
        <f>'TRANS EMP EXTRACT - COST CENTRE'!D151</f>
        <v>0</v>
      </c>
      <c r="F152" s="10" t="str">
        <f>IFERROR(VLOOKUP(E152,'TRANS EMP EXTRACT - COST CENTRE'!D:E,2,FALSE),"")</f>
        <v/>
      </c>
      <c r="G152" s="12" t="str">
        <f>IFERROR(INDEX('TRANS EMP EXTRACT - COST CENTRE'!$A$1:$Z$455,MATCH('Summary - Monthly'!$A152,'TRANS EMP EXTRACT - COST CENTRE'!$A:$A,0),MATCH('Summary - Monthly'!G$3,'TRANS EMP EXTRACT - COST CENTRE'!$2:$2,0)),"")</f>
        <v/>
      </c>
      <c r="H152" s="10" t="str">
        <f>IFERROR(INDEX('TRANS EMP EXTRACT - COST CENTRE'!$B$1:$Z$455,MATCH('Summary - Monthly'!$E152,'TRANS EMP EXTRACT - COST CENTRE'!$D:$D,0),MATCH('Summary - Monthly'!H$3,'TRANS EMP EXTRACT - COST CENTRE'!$2:$2,0)),"")</f>
        <v/>
      </c>
      <c r="I152" s="12" t="str">
        <f>IFERROR(INDEX('TRANS EMP EXTRACT - EMP CATEGOR'!$B$1:$AF$421,MATCH('Summary - Monthly'!$E152,'TRANS EMP EXTRACT - EMP CATEGOR'!$D:$D,0),MATCH('Summary - Monthly'!H$3,'TRANS EMP EXTRACT - EMP CATEGOR'!$2:$2,0)),"")</f>
        <v/>
      </c>
      <c r="J152" s="41">
        <f t="shared" ca="1" si="25"/>
        <v>0</v>
      </c>
      <c r="K152" s="41">
        <f t="shared" ca="1" si="29"/>
        <v>0</v>
      </c>
      <c r="L152" s="10" t="str">
        <f>IFERROR(INDEX('TRANS EMP EXTRACT - COST CENTRE'!$A$1:$Z$455,MATCH('Summary - Monthly'!$A152,'TRANS EMP EXTRACT - COST CENTRE'!$A:$A,0),MATCH('Summary - Monthly'!L$3,'TRANS EMP EXTRACT - COST CENTRE'!$2:$2,0)),"")</f>
        <v/>
      </c>
      <c r="M152" s="10">
        <f>IFERROR(INDEX('TRANS EMP EXTRACT - COST CENTRE'!$A$1:$Z$455,MATCH('Summary - Monthly'!$A152,'TRANS EMP EXTRACT - COST CENTRE'!$A:$A,0),MATCH('Summary - Monthly'!M$3,'TRANS EMP EXTRACT - COST CENTRE'!$2:$2,0)),0)</f>
        <v>0</v>
      </c>
      <c r="N152" s="10">
        <f>IFERROR(INDEX('TRANS EMP EXTRACT - COST CENTRE'!$A$1:$Z$455,MATCH('Summary - Monthly'!$A152,'TRANS EMP EXTRACT - COST CENTRE'!$A:$A,0),MATCH('Summary - Monthly'!N$3,'TRANS EMP EXTRACT - COST CENTRE'!$2:$2,0)),0)</f>
        <v>0</v>
      </c>
      <c r="O152" s="10">
        <f>IFERROR(INDEX('TRANS EMP EXTRACT - COST CENTRE'!$A$1:$Z$455,MATCH('Summary - Monthly'!$A152,'TRANS EMP EXTRACT - COST CENTRE'!$A:$A,0),MATCH('Summary - Monthly'!O$3,'TRANS EMP EXTRACT - COST CENTRE'!$2:$2,0)),0)</f>
        <v>0</v>
      </c>
      <c r="P152" s="10">
        <f>IFERROR(INDEX('TRANS EMP EXTRACT - COST CENTRE'!$A$1:$Z$455,MATCH('Summary - Monthly'!$A152,'TRANS EMP EXTRACT - COST CENTRE'!$A:$A,0),MATCH('Summary - Monthly'!P$3,'TRANS EMP EXTRACT - COST CENTRE'!$2:$2,0)),0)</f>
        <v>0</v>
      </c>
      <c r="Q152" s="10">
        <f>IFERROR(INDEX('TRANS EMP EXTRACT - COST CENTRE'!$A$1:$Z$455,MATCH('Summary - Monthly'!$A152,'TRANS EMP EXTRACT - COST CENTRE'!$A:$A,0),MATCH('Summary - Monthly'!Q$3,'TRANS EMP EXTRACT - COST CENTRE'!$2:$2,0)),0)</f>
        <v>0</v>
      </c>
      <c r="R152" s="10">
        <f>IFERROR(INDEX('TRANS EMP EXTRACT - COST CENTRE'!$A$1:$Z$455,MATCH('Summary - Monthly'!$A152,'TRANS EMP EXTRACT - COST CENTRE'!$A:$A,0),MATCH('Summary - Monthly'!R$3,'TRANS EMP EXTRACT - COST CENTRE'!$2:$2,0)),0)</f>
        <v>0</v>
      </c>
      <c r="S152" s="10">
        <f>IFERROR(INDEX('TRANS EMP EXTRACT - COST CENTRE'!$A$1:$Z$455,MATCH('Summary - Monthly'!$A152,'TRANS EMP EXTRACT - COST CENTRE'!$A:$A,0),MATCH('Summary - Monthly'!S$3,'TRANS EMP EXTRACT - COST CENTRE'!$2:$2,0)),0)</f>
        <v>0</v>
      </c>
      <c r="T152" s="8">
        <f>IFERROR(INDEX('TRANS EMP EXTRACT - COST CENTRE'!$A$1:$Z$455,MATCH('Summary - Monthly'!$A152,'TRANS EMP EXTRACT - COST CENTRE'!$A:$A,0),MATCH('Summary - Monthly'!T$3,'TRANS EMP EXTRACT - COST CENTRE'!$2:$2,0)),0)</f>
        <v>0</v>
      </c>
      <c r="U152" s="13">
        <f>IFERROR(INDEX('TRANS EMP EXTRACT - COST CENTRE'!$A$1:$Z$455,MATCH('Summary - Monthly'!$A152,'TRANS EMP EXTRACT - COST CENTRE'!$A:$A,0),MATCH('Summary - Monthly'!U$3,'TRANS EMP EXTRACT - COST CENTRE'!$2:$2,0)),0)</f>
        <v>0</v>
      </c>
      <c r="V152" s="13">
        <f>IFERROR(INDEX('TRANS EMP EXTRACT - COST CENTRE'!$A$1:$Z$455,MATCH('Summary - Monthly'!$A152,'TRANS EMP EXTRACT - COST CENTRE'!$A:$A,0),MATCH('Summary - Monthly'!V$3,'TRANS EMP EXTRACT - COST CENTRE'!$2:$2,0)),0)</f>
        <v>0</v>
      </c>
      <c r="W152" s="13">
        <f>IFERROR(INDEX('TRANS EMP EXTRACT - COST CENTRE'!$A$1:$Z$455,MATCH('Summary - Monthly'!$A152,'TRANS EMP EXTRACT - COST CENTRE'!$A:$A,0),MATCH('Summary - Monthly'!W$3,'TRANS EMP EXTRACT - COST CENTRE'!$2:$2,0)),0)</f>
        <v>0</v>
      </c>
      <c r="X152" s="13">
        <f>IFERROR(INDEX('TRANS EMP EXTRACT - COST CENTRE'!$A$1:$Z$455,MATCH('Summary - Monthly'!$A152,'TRANS EMP EXTRACT - COST CENTRE'!$A:$A,0),MATCH('Summary - Monthly'!X$3,'TRANS EMP EXTRACT - COST CENTRE'!$2:$2,0)),0)</f>
        <v>0</v>
      </c>
      <c r="Y152" s="13">
        <f>IFERROR(INDEX('TRANS EMP EXTRACT - COST CENTRE'!$A$1:$Z$455,MATCH('Summary - Monthly'!$A152,'TRANS EMP EXTRACT - COST CENTRE'!$A:$A,0),MATCH('Summary - Monthly'!Y$3,'TRANS EMP EXTRACT - COST CENTRE'!$2:$2,0)),0)</f>
        <v>0</v>
      </c>
      <c r="Z152" s="10">
        <f>IFERROR(INDEX('TRANS EMP EXTRACT - COST CENTRE'!$A$1:$Z$455,MATCH('Summary - Monthly'!$A152,'TRANS EMP EXTRACT - COST CENTRE'!$A:$A,0),MATCH('Summary - Monthly'!Z$3,'TRANS EMP EXTRACT - COST CENTRE'!$2:$2,0)),0)</f>
        <v>0</v>
      </c>
      <c r="AA152" s="10">
        <f>IFERROR(INDEX('TRANS EMP EXTRACT - COST CENTRE'!$A$1:$Z$455,MATCH('Summary - Monthly'!$A152,'TRANS EMP EXTRACT - COST CENTRE'!$A:$A,0),MATCH('Summary - Monthly'!AA$3,'TRANS EMP EXTRACT - COST CENTRE'!$2:$2,0)),0)</f>
        <v>0</v>
      </c>
      <c r="AB152" s="10">
        <f>IFERROR(INDEX('TRANS EMP EXTRACT - COST CENTRE'!$A$1:$Z$455,MATCH('Summary - Monthly'!$A152,'TRANS EMP EXTRACT - COST CENTRE'!$A:$A,0),MATCH('Summary - Monthly'!AB$3,'TRANS EMP EXTRACT - COST CENTRE'!$2:$2,0)),0)</f>
        <v>0</v>
      </c>
      <c r="AC152" s="8">
        <f>IFERROR(INDEX('TRANS EMP EXTRACT - COST CENTRE'!$A$1:$Z$455,MATCH('Summary - Monthly'!$A152,'TRANS EMP EXTRACT - COST CENTRE'!$A:$A,0),MATCH('Summary - Monthly'!AC$3,'TRANS EMP EXTRACT - COST CENTRE'!$2:$2,0)),0)</f>
        <v>0</v>
      </c>
      <c r="AD152" s="13">
        <f>IFERROR(INDEX('TRANS EMP EXTRACT - COST CENTRE'!$A$1:$Z$455,MATCH('Summary - Monthly'!$A152,'TRANS EMP EXTRACT - COST CENTRE'!$A:$A,0),MATCH('Summary - Monthly'!AD$3,'TRANS EMP EXTRACT - COST CENTRE'!$2:$2,0)),0)</f>
        <v>0</v>
      </c>
      <c r="AE152" s="13">
        <f>IFERROR(INDEX('TRANS EMP EXTRACT - COST CENTRE'!$A$1:$Z$455,MATCH('Summary - Monthly'!$A152,'TRANS EMP EXTRACT - COST CENTRE'!$A:$A,0),MATCH('Summary - Monthly'!AE$3,'TRANS EMP EXTRACT - COST CENTRE'!$2:$2,0)),0)</f>
        <v>0</v>
      </c>
      <c r="AF152" s="13">
        <f>IFERROR(INDEX('TRANS EMP EXTRACT - COST CENTRE'!$A$1:$Z$455,MATCH('Summary - Monthly'!$A152,'TRANS EMP EXTRACT - COST CENTRE'!$A:$A,0),MATCH('Summary - Monthly'!AF$3,'TRANS EMP EXTRACT - COST CENTRE'!$2:$2,0)),0)</f>
        <v>0</v>
      </c>
      <c r="AG152" s="10">
        <f>IFERROR(INDEX('TRANS EMP EXTRACT - COST CENTRE'!$A$1:$Z$455,MATCH('Summary - Monthly'!$A152,'TRANS EMP EXTRACT - COST CENTRE'!$A:$A,0),MATCH('Summary - Monthly'!AG$3,'TRANS EMP EXTRACT - COST CENTRE'!$2:$2,0)),0)</f>
        <v>0</v>
      </c>
      <c r="AH152" s="10">
        <f>IFERROR(INDEX('TRANS EMP EXTRACT - COST CENTRE'!$A$1:$Z$455,MATCH('Summary - Monthly'!$A152,'TRANS EMP EXTRACT - COST CENTRE'!$A:$A,0),MATCH('Summary - Monthly'!AH$3,'TRANS EMP EXTRACT - COST CENTRE'!$2:$2,0)),0)</f>
        <v>0</v>
      </c>
      <c r="AI152" s="10">
        <f>IFERROR(INDEX('TRANS EMP EXTRACT - COST CENTRE'!$A$1:$Z$455,MATCH('Summary - Monthly'!$A152,'TRANS EMP EXTRACT - COST CENTRE'!$A:$A,0),MATCH('Summary - Monthly'!AI$3,'TRANS EMP EXTRACT - COST CENTRE'!$2:$2,0)),0)</f>
        <v>0</v>
      </c>
      <c r="AJ152" s="10">
        <f>IFERROR(INDEX('TRANS EMP EXTRACT - COST CENTRE'!$A$1:$Z$455,MATCH('Summary - Monthly'!$A152,'TRANS EMP EXTRACT - COST CENTRE'!$A:$A,0),MATCH('Summary - Monthly'!AJ$3,'TRANS EMP EXTRACT - COST CENTRE'!$2:$2,0)),0)</f>
        <v>0</v>
      </c>
      <c r="AK152" s="10">
        <f>IFERROR(INDEX('TRANS EMP EXTRACT - COST CENTRE'!$A$1:$Z$455,MATCH('Summary - Monthly'!$A152,'TRANS EMP EXTRACT - COST CENTRE'!$A:$A,0),MATCH('Summary - Monthly'!AK$3,'TRANS EMP EXTRACT - COST CENTRE'!$2:$2,0)),0)</f>
        <v>0</v>
      </c>
      <c r="AL152" s="10">
        <f>IFERROR(INDEX('TRANS EMP EXTRACT - COST CENTRE'!$A$1:$Z$455,MATCH('Summary - Monthly'!$A152,'TRANS EMP EXTRACT - COST CENTRE'!$A:$A,0),MATCH('Summary - Monthly'!AL$3,'TRANS EMP EXTRACT - COST CENTRE'!$2:$2,0)),0)</f>
        <v>0</v>
      </c>
      <c r="AM152" s="10">
        <f t="shared" si="32"/>
        <v>0</v>
      </c>
      <c r="AN152" s="14">
        <f t="shared" si="26"/>
        <v>0</v>
      </c>
      <c r="AO152" s="18">
        <f t="shared" si="30"/>
        <v>0</v>
      </c>
      <c r="AP152" s="18">
        <f t="shared" si="31"/>
        <v>0</v>
      </c>
      <c r="AQ152" s="10" t="str">
        <f>IFERROR(VLOOKUP(B152,Departments!A:C,3,FALSE),"")</f>
        <v/>
      </c>
      <c r="AR152" s="10" t="str">
        <f>IFERROR(VLOOKUP(B152,Departments!A:B,2,FALSE),"")</f>
        <v/>
      </c>
      <c r="AS152" s="10">
        <f t="shared" si="27"/>
        <v>0</v>
      </c>
      <c r="AT152" s="10">
        <f t="shared" si="28"/>
        <v>0</v>
      </c>
      <c r="AU152" s="10" t="str">
        <f>_xlfn.IFNA(VLOOKUP(B152,Departments!A:D,4,FALSE),"")</f>
        <v/>
      </c>
    </row>
    <row r="153" spans="1:47" ht="14.45" customHeight="1">
      <c r="A153" s="11" t="str">
        <f t="shared" si="24"/>
        <v>00</v>
      </c>
      <c r="B153" s="11">
        <f>'TRANS EMP EXTRACT - COST CENTRE'!B152</f>
        <v>0</v>
      </c>
      <c r="C153" s="10" t="str">
        <f>IFERROR(VLOOKUP(E153,'TRANS EMP EXTRACT - EMP CATEGOR'!A:B,2,FALSE),"")</f>
        <v/>
      </c>
      <c r="D153" s="10" t="str">
        <f>IFERROR(VLOOKUP(E153,'TRANS EMP EXTRACT - EMP CATEGOR'!A:C,3,FALSE),"")</f>
        <v/>
      </c>
      <c r="E153" s="11">
        <f>'TRANS EMP EXTRACT - COST CENTRE'!D152</f>
        <v>0</v>
      </c>
      <c r="F153" s="10" t="str">
        <f>IFERROR(VLOOKUP(E153,'TRANS EMP EXTRACT - COST CENTRE'!D:E,2,FALSE),"")</f>
        <v/>
      </c>
      <c r="G153" s="12" t="str">
        <f>IFERROR(INDEX('TRANS EMP EXTRACT - COST CENTRE'!$A$1:$Z$455,MATCH('Summary - Monthly'!$A153,'TRANS EMP EXTRACT - COST CENTRE'!$A:$A,0),MATCH('Summary - Monthly'!G$3,'TRANS EMP EXTRACT - COST CENTRE'!$2:$2,0)),"")</f>
        <v/>
      </c>
      <c r="H153" s="10" t="str">
        <f>IFERROR(INDEX('TRANS EMP EXTRACT - COST CENTRE'!$B$1:$Z$455,MATCH('Summary - Monthly'!$E153,'TRANS EMP EXTRACT - COST CENTRE'!$D:$D,0),MATCH('Summary - Monthly'!H$3,'TRANS EMP EXTRACT - COST CENTRE'!$2:$2,0)),"")</f>
        <v/>
      </c>
      <c r="I153" s="12" t="str">
        <f>IFERROR(INDEX('TRANS EMP EXTRACT - EMP CATEGOR'!$B$1:$AF$421,MATCH('Summary - Monthly'!$E153,'TRANS EMP EXTRACT - EMP CATEGOR'!$D:$D,0),MATCH('Summary - Monthly'!H$3,'TRANS EMP EXTRACT - EMP CATEGOR'!$2:$2,0)),"")</f>
        <v/>
      </c>
      <c r="J153" s="41">
        <f t="shared" ca="1" si="25"/>
        <v>0</v>
      </c>
      <c r="K153" s="41">
        <f t="shared" ca="1" si="29"/>
        <v>0</v>
      </c>
      <c r="L153" s="10" t="str">
        <f>IFERROR(INDEX('TRANS EMP EXTRACT - COST CENTRE'!$A$1:$Z$455,MATCH('Summary - Monthly'!$A153,'TRANS EMP EXTRACT - COST CENTRE'!$A:$A,0),MATCH('Summary - Monthly'!L$3,'TRANS EMP EXTRACT - COST CENTRE'!$2:$2,0)),"")</f>
        <v/>
      </c>
      <c r="M153" s="10">
        <f>IFERROR(INDEX('TRANS EMP EXTRACT - COST CENTRE'!$A$1:$Z$455,MATCH('Summary - Monthly'!$A153,'TRANS EMP EXTRACT - COST CENTRE'!$A:$A,0),MATCH('Summary - Monthly'!M$3,'TRANS EMP EXTRACT - COST CENTRE'!$2:$2,0)),0)</f>
        <v>0</v>
      </c>
      <c r="N153" s="10">
        <f>IFERROR(INDEX('TRANS EMP EXTRACT - COST CENTRE'!$A$1:$Z$455,MATCH('Summary - Monthly'!$A153,'TRANS EMP EXTRACT - COST CENTRE'!$A:$A,0),MATCH('Summary - Monthly'!N$3,'TRANS EMP EXTRACT - COST CENTRE'!$2:$2,0)),0)</f>
        <v>0</v>
      </c>
      <c r="O153" s="10">
        <f>IFERROR(INDEX('TRANS EMP EXTRACT - COST CENTRE'!$A$1:$Z$455,MATCH('Summary - Monthly'!$A153,'TRANS EMP EXTRACT - COST CENTRE'!$A:$A,0),MATCH('Summary - Monthly'!O$3,'TRANS EMP EXTRACT - COST CENTRE'!$2:$2,0)),0)</f>
        <v>0</v>
      </c>
      <c r="P153" s="10">
        <f>IFERROR(INDEX('TRANS EMP EXTRACT - COST CENTRE'!$A$1:$Z$455,MATCH('Summary - Monthly'!$A153,'TRANS EMP EXTRACT - COST CENTRE'!$A:$A,0),MATCH('Summary - Monthly'!P$3,'TRANS EMP EXTRACT - COST CENTRE'!$2:$2,0)),0)</f>
        <v>0</v>
      </c>
      <c r="Q153" s="10">
        <f>IFERROR(INDEX('TRANS EMP EXTRACT - COST CENTRE'!$A$1:$Z$455,MATCH('Summary - Monthly'!$A153,'TRANS EMP EXTRACT - COST CENTRE'!$A:$A,0),MATCH('Summary - Monthly'!Q$3,'TRANS EMP EXTRACT - COST CENTRE'!$2:$2,0)),0)</f>
        <v>0</v>
      </c>
      <c r="R153" s="10">
        <f>IFERROR(INDEX('TRANS EMP EXTRACT - COST CENTRE'!$A$1:$Z$455,MATCH('Summary - Monthly'!$A153,'TRANS EMP EXTRACT - COST CENTRE'!$A:$A,0),MATCH('Summary - Monthly'!R$3,'TRANS EMP EXTRACT - COST CENTRE'!$2:$2,0)),0)</f>
        <v>0</v>
      </c>
      <c r="S153" s="10">
        <f>IFERROR(INDEX('TRANS EMP EXTRACT - COST CENTRE'!$A$1:$Z$455,MATCH('Summary - Monthly'!$A153,'TRANS EMP EXTRACT - COST CENTRE'!$A:$A,0),MATCH('Summary - Monthly'!S$3,'TRANS EMP EXTRACT - COST CENTRE'!$2:$2,0)),0)</f>
        <v>0</v>
      </c>
      <c r="T153" s="8">
        <f>IFERROR(INDEX('TRANS EMP EXTRACT - COST CENTRE'!$A$1:$Z$455,MATCH('Summary - Monthly'!$A153,'TRANS EMP EXTRACT - COST CENTRE'!$A:$A,0),MATCH('Summary - Monthly'!T$3,'TRANS EMP EXTRACT - COST CENTRE'!$2:$2,0)),0)</f>
        <v>0</v>
      </c>
      <c r="U153" s="13">
        <f>IFERROR(INDEX('TRANS EMP EXTRACT - COST CENTRE'!$A$1:$Z$455,MATCH('Summary - Monthly'!$A153,'TRANS EMP EXTRACT - COST CENTRE'!$A:$A,0),MATCH('Summary - Monthly'!U$3,'TRANS EMP EXTRACT - COST CENTRE'!$2:$2,0)),0)</f>
        <v>0</v>
      </c>
      <c r="V153" s="13">
        <f>IFERROR(INDEX('TRANS EMP EXTRACT - COST CENTRE'!$A$1:$Z$455,MATCH('Summary - Monthly'!$A153,'TRANS EMP EXTRACT - COST CENTRE'!$A:$A,0),MATCH('Summary - Monthly'!V$3,'TRANS EMP EXTRACT - COST CENTRE'!$2:$2,0)),0)</f>
        <v>0</v>
      </c>
      <c r="W153" s="13">
        <f>IFERROR(INDEX('TRANS EMP EXTRACT - COST CENTRE'!$A$1:$Z$455,MATCH('Summary - Monthly'!$A153,'TRANS EMP EXTRACT - COST CENTRE'!$A:$A,0),MATCH('Summary - Monthly'!W$3,'TRANS EMP EXTRACT - COST CENTRE'!$2:$2,0)),0)</f>
        <v>0</v>
      </c>
      <c r="X153" s="13">
        <f>IFERROR(INDEX('TRANS EMP EXTRACT - COST CENTRE'!$A$1:$Z$455,MATCH('Summary - Monthly'!$A153,'TRANS EMP EXTRACT - COST CENTRE'!$A:$A,0),MATCH('Summary - Monthly'!X$3,'TRANS EMP EXTRACT - COST CENTRE'!$2:$2,0)),0)</f>
        <v>0</v>
      </c>
      <c r="Y153" s="13">
        <f>IFERROR(INDEX('TRANS EMP EXTRACT - COST CENTRE'!$A$1:$Z$455,MATCH('Summary - Monthly'!$A153,'TRANS EMP EXTRACT - COST CENTRE'!$A:$A,0),MATCH('Summary - Monthly'!Y$3,'TRANS EMP EXTRACT - COST CENTRE'!$2:$2,0)),0)</f>
        <v>0</v>
      </c>
      <c r="Z153" s="10">
        <f>IFERROR(INDEX('TRANS EMP EXTRACT - COST CENTRE'!$A$1:$Z$455,MATCH('Summary - Monthly'!$A153,'TRANS EMP EXTRACT - COST CENTRE'!$A:$A,0),MATCH('Summary - Monthly'!Z$3,'TRANS EMP EXTRACT - COST CENTRE'!$2:$2,0)),0)</f>
        <v>0</v>
      </c>
      <c r="AA153" s="10">
        <f>IFERROR(INDEX('TRANS EMP EXTRACT - COST CENTRE'!$A$1:$Z$455,MATCH('Summary - Monthly'!$A153,'TRANS EMP EXTRACT - COST CENTRE'!$A:$A,0),MATCH('Summary - Monthly'!AA$3,'TRANS EMP EXTRACT - COST CENTRE'!$2:$2,0)),0)</f>
        <v>0</v>
      </c>
      <c r="AB153" s="10">
        <f>IFERROR(INDEX('TRANS EMP EXTRACT - COST CENTRE'!$A$1:$Z$455,MATCH('Summary - Monthly'!$A153,'TRANS EMP EXTRACT - COST CENTRE'!$A:$A,0),MATCH('Summary - Monthly'!AB$3,'TRANS EMP EXTRACT - COST CENTRE'!$2:$2,0)),0)</f>
        <v>0</v>
      </c>
      <c r="AC153" s="8">
        <f>IFERROR(INDEX('TRANS EMP EXTRACT - COST CENTRE'!$A$1:$Z$455,MATCH('Summary - Monthly'!$A153,'TRANS EMP EXTRACT - COST CENTRE'!$A:$A,0),MATCH('Summary - Monthly'!AC$3,'TRANS EMP EXTRACT - COST CENTRE'!$2:$2,0)),0)</f>
        <v>0</v>
      </c>
      <c r="AD153" s="13">
        <f>IFERROR(INDEX('TRANS EMP EXTRACT - COST CENTRE'!$A$1:$Z$455,MATCH('Summary - Monthly'!$A153,'TRANS EMP EXTRACT - COST CENTRE'!$A:$A,0),MATCH('Summary - Monthly'!AD$3,'TRANS EMP EXTRACT - COST CENTRE'!$2:$2,0)),0)</f>
        <v>0</v>
      </c>
      <c r="AE153" s="13">
        <f>IFERROR(INDEX('TRANS EMP EXTRACT - COST CENTRE'!$A$1:$Z$455,MATCH('Summary - Monthly'!$A153,'TRANS EMP EXTRACT - COST CENTRE'!$A:$A,0),MATCH('Summary - Monthly'!AE$3,'TRANS EMP EXTRACT - COST CENTRE'!$2:$2,0)),0)</f>
        <v>0</v>
      </c>
      <c r="AF153" s="13">
        <f>IFERROR(INDEX('TRANS EMP EXTRACT - COST CENTRE'!$A$1:$Z$455,MATCH('Summary - Monthly'!$A153,'TRANS EMP EXTRACT - COST CENTRE'!$A:$A,0),MATCH('Summary - Monthly'!AF$3,'TRANS EMP EXTRACT - COST CENTRE'!$2:$2,0)),0)</f>
        <v>0</v>
      </c>
      <c r="AG153" s="10">
        <f>IFERROR(INDEX('TRANS EMP EXTRACT - COST CENTRE'!$A$1:$Z$455,MATCH('Summary - Monthly'!$A153,'TRANS EMP EXTRACT - COST CENTRE'!$A:$A,0),MATCH('Summary - Monthly'!AG$3,'TRANS EMP EXTRACT - COST CENTRE'!$2:$2,0)),0)</f>
        <v>0</v>
      </c>
      <c r="AH153" s="10">
        <f>IFERROR(INDEX('TRANS EMP EXTRACT - COST CENTRE'!$A$1:$Z$455,MATCH('Summary - Monthly'!$A153,'TRANS EMP EXTRACT - COST CENTRE'!$A:$A,0),MATCH('Summary - Monthly'!AH$3,'TRANS EMP EXTRACT - COST CENTRE'!$2:$2,0)),0)</f>
        <v>0</v>
      </c>
      <c r="AI153" s="10">
        <f>IFERROR(INDEX('TRANS EMP EXTRACT - COST CENTRE'!$A$1:$Z$455,MATCH('Summary - Monthly'!$A153,'TRANS EMP EXTRACT - COST CENTRE'!$A:$A,0),MATCH('Summary - Monthly'!AI$3,'TRANS EMP EXTRACT - COST CENTRE'!$2:$2,0)),0)</f>
        <v>0</v>
      </c>
      <c r="AJ153" s="10">
        <f>IFERROR(INDEX('TRANS EMP EXTRACT - COST CENTRE'!$A$1:$Z$455,MATCH('Summary - Monthly'!$A153,'TRANS EMP EXTRACT - COST CENTRE'!$A:$A,0),MATCH('Summary - Monthly'!AJ$3,'TRANS EMP EXTRACT - COST CENTRE'!$2:$2,0)),0)</f>
        <v>0</v>
      </c>
      <c r="AK153" s="10">
        <f>IFERROR(INDEX('TRANS EMP EXTRACT - COST CENTRE'!$A$1:$Z$455,MATCH('Summary - Monthly'!$A153,'TRANS EMP EXTRACT - COST CENTRE'!$A:$A,0),MATCH('Summary - Monthly'!AK$3,'TRANS EMP EXTRACT - COST CENTRE'!$2:$2,0)),0)</f>
        <v>0</v>
      </c>
      <c r="AL153" s="10">
        <f>IFERROR(INDEX('TRANS EMP EXTRACT - COST CENTRE'!$A$1:$Z$455,MATCH('Summary - Monthly'!$A153,'TRANS EMP EXTRACT - COST CENTRE'!$A:$A,0),MATCH('Summary - Monthly'!AL$3,'TRANS EMP EXTRACT - COST CENTRE'!$2:$2,0)),0)</f>
        <v>0</v>
      </c>
      <c r="AM153" s="10">
        <f t="shared" si="32"/>
        <v>0</v>
      </c>
      <c r="AN153" s="14">
        <f t="shared" si="26"/>
        <v>0</v>
      </c>
      <c r="AO153" s="18">
        <f t="shared" si="30"/>
        <v>0</v>
      </c>
      <c r="AP153" s="18">
        <f t="shared" si="31"/>
        <v>0</v>
      </c>
      <c r="AQ153" s="10" t="str">
        <f>IFERROR(VLOOKUP(B153,Departments!A:C,3,FALSE),"")</f>
        <v/>
      </c>
      <c r="AR153" s="10" t="str">
        <f>IFERROR(VLOOKUP(B153,Departments!A:B,2,FALSE),"")</f>
        <v/>
      </c>
      <c r="AS153" s="10">
        <f t="shared" si="27"/>
        <v>0</v>
      </c>
      <c r="AT153" s="10">
        <f t="shared" si="28"/>
        <v>0</v>
      </c>
      <c r="AU153" s="10" t="str">
        <f>_xlfn.IFNA(VLOOKUP(B153,Departments!A:D,4,FALSE),"")</f>
        <v/>
      </c>
    </row>
    <row r="154" spans="1:47" ht="14.45" customHeight="1">
      <c r="A154" s="11" t="str">
        <f t="shared" si="24"/>
        <v>00</v>
      </c>
      <c r="B154" s="11">
        <f>'TRANS EMP EXTRACT - COST CENTRE'!B153</f>
        <v>0</v>
      </c>
      <c r="C154" s="10" t="str">
        <f>IFERROR(VLOOKUP(E154,'TRANS EMP EXTRACT - EMP CATEGOR'!A:B,2,FALSE),"")</f>
        <v/>
      </c>
      <c r="D154" s="10" t="str">
        <f>IFERROR(VLOOKUP(E154,'TRANS EMP EXTRACT - EMP CATEGOR'!A:C,3,FALSE),"")</f>
        <v/>
      </c>
      <c r="E154" s="11">
        <f>'TRANS EMP EXTRACT - COST CENTRE'!D153</f>
        <v>0</v>
      </c>
      <c r="F154" s="10" t="str">
        <f>IFERROR(VLOOKUP(E154,'TRANS EMP EXTRACT - COST CENTRE'!D:E,2,FALSE),"")</f>
        <v/>
      </c>
      <c r="G154" s="12" t="str">
        <f>IFERROR(INDEX('TRANS EMP EXTRACT - COST CENTRE'!$A$1:$Z$455,MATCH('Summary - Monthly'!$A154,'TRANS EMP EXTRACT - COST CENTRE'!$A:$A,0),MATCH('Summary - Monthly'!G$3,'TRANS EMP EXTRACT - COST CENTRE'!$2:$2,0)),"")</f>
        <v/>
      </c>
      <c r="H154" s="10" t="str">
        <f>IFERROR(INDEX('TRANS EMP EXTRACT - COST CENTRE'!$B$1:$Z$455,MATCH('Summary - Monthly'!$E154,'TRANS EMP EXTRACT - COST CENTRE'!$D:$D,0),MATCH('Summary - Monthly'!H$3,'TRANS EMP EXTRACT - COST CENTRE'!$2:$2,0)),"")</f>
        <v/>
      </c>
      <c r="I154" s="12" t="str">
        <f>IFERROR(INDEX('TRANS EMP EXTRACT - EMP CATEGOR'!$B$1:$AF$421,MATCH('Summary - Monthly'!$E154,'TRANS EMP EXTRACT - EMP CATEGOR'!$D:$D,0),MATCH('Summary - Monthly'!H$3,'TRANS EMP EXTRACT - EMP CATEGOR'!$2:$2,0)),"")</f>
        <v/>
      </c>
      <c r="J154" s="41">
        <f t="shared" ca="1" si="25"/>
        <v>0</v>
      </c>
      <c r="K154" s="41">
        <f t="shared" ca="1" si="29"/>
        <v>0</v>
      </c>
      <c r="L154" s="10" t="str">
        <f>IFERROR(INDEX('TRANS EMP EXTRACT - COST CENTRE'!$A$1:$Z$455,MATCH('Summary - Monthly'!$A154,'TRANS EMP EXTRACT - COST CENTRE'!$A:$A,0),MATCH('Summary - Monthly'!L$3,'TRANS EMP EXTRACT - COST CENTRE'!$2:$2,0)),"")</f>
        <v/>
      </c>
      <c r="M154" s="10">
        <f>IFERROR(INDEX('TRANS EMP EXTRACT - COST CENTRE'!$A$1:$Z$455,MATCH('Summary - Monthly'!$A154,'TRANS EMP EXTRACT - COST CENTRE'!$A:$A,0),MATCH('Summary - Monthly'!M$3,'TRANS EMP EXTRACT - COST CENTRE'!$2:$2,0)),0)</f>
        <v>0</v>
      </c>
      <c r="N154" s="10">
        <f>IFERROR(INDEX('TRANS EMP EXTRACT - COST CENTRE'!$A$1:$Z$455,MATCH('Summary - Monthly'!$A154,'TRANS EMP EXTRACT - COST CENTRE'!$A:$A,0),MATCH('Summary - Monthly'!N$3,'TRANS EMP EXTRACT - COST CENTRE'!$2:$2,0)),0)</f>
        <v>0</v>
      </c>
      <c r="O154" s="10">
        <f>IFERROR(INDEX('TRANS EMP EXTRACT - COST CENTRE'!$A$1:$Z$455,MATCH('Summary - Monthly'!$A154,'TRANS EMP EXTRACT - COST CENTRE'!$A:$A,0),MATCH('Summary - Monthly'!O$3,'TRANS EMP EXTRACT - COST CENTRE'!$2:$2,0)),0)</f>
        <v>0</v>
      </c>
      <c r="P154" s="10">
        <f>IFERROR(INDEX('TRANS EMP EXTRACT - COST CENTRE'!$A$1:$Z$455,MATCH('Summary - Monthly'!$A154,'TRANS EMP EXTRACT - COST CENTRE'!$A:$A,0),MATCH('Summary - Monthly'!P$3,'TRANS EMP EXTRACT - COST CENTRE'!$2:$2,0)),0)</f>
        <v>0</v>
      </c>
      <c r="Q154" s="10">
        <f>IFERROR(INDEX('TRANS EMP EXTRACT - COST CENTRE'!$A$1:$Z$455,MATCH('Summary - Monthly'!$A154,'TRANS EMP EXTRACT - COST CENTRE'!$A:$A,0),MATCH('Summary - Monthly'!Q$3,'TRANS EMP EXTRACT - COST CENTRE'!$2:$2,0)),0)</f>
        <v>0</v>
      </c>
      <c r="R154" s="10">
        <f>IFERROR(INDEX('TRANS EMP EXTRACT - COST CENTRE'!$A$1:$Z$455,MATCH('Summary - Monthly'!$A154,'TRANS EMP EXTRACT - COST CENTRE'!$A:$A,0),MATCH('Summary - Monthly'!R$3,'TRANS EMP EXTRACT - COST CENTRE'!$2:$2,0)),0)</f>
        <v>0</v>
      </c>
      <c r="S154" s="10">
        <f>IFERROR(INDEX('TRANS EMP EXTRACT - COST CENTRE'!$A$1:$Z$455,MATCH('Summary - Monthly'!$A154,'TRANS EMP EXTRACT - COST CENTRE'!$A:$A,0),MATCH('Summary - Monthly'!S$3,'TRANS EMP EXTRACT - COST CENTRE'!$2:$2,0)),0)</f>
        <v>0</v>
      </c>
      <c r="T154" s="8">
        <f>IFERROR(INDEX('TRANS EMP EXTRACT - COST CENTRE'!$A$1:$Z$455,MATCH('Summary - Monthly'!$A154,'TRANS EMP EXTRACT - COST CENTRE'!$A:$A,0),MATCH('Summary - Monthly'!T$3,'TRANS EMP EXTRACT - COST CENTRE'!$2:$2,0)),0)</f>
        <v>0</v>
      </c>
      <c r="U154" s="13">
        <f>IFERROR(INDEX('TRANS EMP EXTRACT - COST CENTRE'!$A$1:$Z$455,MATCH('Summary - Monthly'!$A154,'TRANS EMP EXTRACT - COST CENTRE'!$A:$A,0),MATCH('Summary - Monthly'!U$3,'TRANS EMP EXTRACT - COST CENTRE'!$2:$2,0)),0)</f>
        <v>0</v>
      </c>
      <c r="V154" s="13">
        <f>IFERROR(INDEX('TRANS EMP EXTRACT - COST CENTRE'!$A$1:$Z$455,MATCH('Summary - Monthly'!$A154,'TRANS EMP EXTRACT - COST CENTRE'!$A:$A,0),MATCH('Summary - Monthly'!V$3,'TRANS EMP EXTRACT - COST CENTRE'!$2:$2,0)),0)</f>
        <v>0</v>
      </c>
      <c r="W154" s="13">
        <f>IFERROR(INDEX('TRANS EMP EXTRACT - COST CENTRE'!$A$1:$Z$455,MATCH('Summary - Monthly'!$A154,'TRANS EMP EXTRACT - COST CENTRE'!$A:$A,0),MATCH('Summary - Monthly'!W$3,'TRANS EMP EXTRACT - COST CENTRE'!$2:$2,0)),0)</f>
        <v>0</v>
      </c>
      <c r="X154" s="13">
        <f>IFERROR(INDEX('TRANS EMP EXTRACT - COST CENTRE'!$A$1:$Z$455,MATCH('Summary - Monthly'!$A154,'TRANS EMP EXTRACT - COST CENTRE'!$A:$A,0),MATCH('Summary - Monthly'!X$3,'TRANS EMP EXTRACT - COST CENTRE'!$2:$2,0)),0)</f>
        <v>0</v>
      </c>
      <c r="Y154" s="13">
        <f>IFERROR(INDEX('TRANS EMP EXTRACT - COST CENTRE'!$A$1:$Z$455,MATCH('Summary - Monthly'!$A154,'TRANS EMP EXTRACT - COST CENTRE'!$A:$A,0),MATCH('Summary - Monthly'!Y$3,'TRANS EMP EXTRACT - COST CENTRE'!$2:$2,0)),0)</f>
        <v>0</v>
      </c>
      <c r="Z154" s="10">
        <f>IFERROR(INDEX('TRANS EMP EXTRACT - COST CENTRE'!$A$1:$Z$455,MATCH('Summary - Monthly'!$A154,'TRANS EMP EXTRACT - COST CENTRE'!$A:$A,0),MATCH('Summary - Monthly'!Z$3,'TRANS EMP EXTRACT - COST CENTRE'!$2:$2,0)),0)</f>
        <v>0</v>
      </c>
      <c r="AA154" s="10">
        <f>IFERROR(INDEX('TRANS EMP EXTRACT - COST CENTRE'!$A$1:$Z$455,MATCH('Summary - Monthly'!$A154,'TRANS EMP EXTRACT - COST CENTRE'!$A:$A,0),MATCH('Summary - Monthly'!AA$3,'TRANS EMP EXTRACT - COST CENTRE'!$2:$2,0)),0)</f>
        <v>0</v>
      </c>
      <c r="AB154" s="10">
        <f>IFERROR(INDEX('TRANS EMP EXTRACT - COST CENTRE'!$A$1:$Z$455,MATCH('Summary - Monthly'!$A154,'TRANS EMP EXTRACT - COST CENTRE'!$A:$A,0),MATCH('Summary - Monthly'!AB$3,'TRANS EMP EXTRACT - COST CENTRE'!$2:$2,0)),0)</f>
        <v>0</v>
      </c>
      <c r="AC154" s="8">
        <f>IFERROR(INDEX('TRANS EMP EXTRACT - COST CENTRE'!$A$1:$Z$455,MATCH('Summary - Monthly'!$A154,'TRANS EMP EXTRACT - COST CENTRE'!$A:$A,0),MATCH('Summary - Monthly'!AC$3,'TRANS EMP EXTRACT - COST CENTRE'!$2:$2,0)),0)</f>
        <v>0</v>
      </c>
      <c r="AD154" s="13">
        <f>IFERROR(INDEX('TRANS EMP EXTRACT - COST CENTRE'!$A$1:$Z$455,MATCH('Summary - Monthly'!$A154,'TRANS EMP EXTRACT - COST CENTRE'!$A:$A,0),MATCH('Summary - Monthly'!AD$3,'TRANS EMP EXTRACT - COST CENTRE'!$2:$2,0)),0)</f>
        <v>0</v>
      </c>
      <c r="AE154" s="13">
        <f>IFERROR(INDEX('TRANS EMP EXTRACT - COST CENTRE'!$A$1:$Z$455,MATCH('Summary - Monthly'!$A154,'TRANS EMP EXTRACT - COST CENTRE'!$A:$A,0),MATCH('Summary - Monthly'!AE$3,'TRANS EMP EXTRACT - COST CENTRE'!$2:$2,0)),0)</f>
        <v>0</v>
      </c>
      <c r="AF154" s="13">
        <f>IFERROR(INDEX('TRANS EMP EXTRACT - COST CENTRE'!$A$1:$Z$455,MATCH('Summary - Monthly'!$A154,'TRANS EMP EXTRACT - COST CENTRE'!$A:$A,0),MATCH('Summary - Monthly'!AF$3,'TRANS EMP EXTRACT - COST CENTRE'!$2:$2,0)),0)</f>
        <v>0</v>
      </c>
      <c r="AG154" s="10">
        <f>IFERROR(INDEX('TRANS EMP EXTRACT - COST CENTRE'!$A$1:$Z$455,MATCH('Summary - Monthly'!$A154,'TRANS EMP EXTRACT - COST CENTRE'!$A:$A,0),MATCH('Summary - Monthly'!AG$3,'TRANS EMP EXTRACT - COST CENTRE'!$2:$2,0)),0)</f>
        <v>0</v>
      </c>
      <c r="AH154" s="10">
        <f>IFERROR(INDEX('TRANS EMP EXTRACT - COST CENTRE'!$A$1:$Z$455,MATCH('Summary - Monthly'!$A154,'TRANS EMP EXTRACT - COST CENTRE'!$A:$A,0),MATCH('Summary - Monthly'!AH$3,'TRANS EMP EXTRACT - COST CENTRE'!$2:$2,0)),0)</f>
        <v>0</v>
      </c>
      <c r="AI154" s="10">
        <f>IFERROR(INDEX('TRANS EMP EXTRACT - COST CENTRE'!$A$1:$Z$455,MATCH('Summary - Monthly'!$A154,'TRANS EMP EXTRACT - COST CENTRE'!$A:$A,0),MATCH('Summary - Monthly'!AI$3,'TRANS EMP EXTRACT - COST CENTRE'!$2:$2,0)),0)</f>
        <v>0</v>
      </c>
      <c r="AJ154" s="10">
        <f>IFERROR(INDEX('TRANS EMP EXTRACT - COST CENTRE'!$A$1:$Z$455,MATCH('Summary - Monthly'!$A154,'TRANS EMP EXTRACT - COST CENTRE'!$A:$A,0),MATCH('Summary - Monthly'!AJ$3,'TRANS EMP EXTRACT - COST CENTRE'!$2:$2,0)),0)</f>
        <v>0</v>
      </c>
      <c r="AK154" s="10">
        <f>IFERROR(INDEX('TRANS EMP EXTRACT - COST CENTRE'!$A$1:$Z$455,MATCH('Summary - Monthly'!$A154,'TRANS EMP EXTRACT - COST CENTRE'!$A:$A,0),MATCH('Summary - Monthly'!AK$3,'TRANS EMP EXTRACT - COST CENTRE'!$2:$2,0)),0)</f>
        <v>0</v>
      </c>
      <c r="AL154" s="10">
        <f>IFERROR(INDEX('TRANS EMP EXTRACT - COST CENTRE'!$A$1:$Z$455,MATCH('Summary - Monthly'!$A154,'TRANS EMP EXTRACT - COST CENTRE'!$A:$A,0),MATCH('Summary - Monthly'!AL$3,'TRANS EMP EXTRACT - COST CENTRE'!$2:$2,0)),0)</f>
        <v>0</v>
      </c>
      <c r="AM154" s="10">
        <f t="shared" si="32"/>
        <v>0</v>
      </c>
      <c r="AN154" s="14">
        <f t="shared" si="26"/>
        <v>0</v>
      </c>
      <c r="AO154" s="18">
        <f t="shared" si="30"/>
        <v>0</v>
      </c>
      <c r="AP154" s="18">
        <f t="shared" si="31"/>
        <v>0</v>
      </c>
      <c r="AQ154" s="10" t="str">
        <f>IFERROR(VLOOKUP(B154,Departments!A:C,3,FALSE),"")</f>
        <v/>
      </c>
      <c r="AR154" s="10" t="str">
        <f>IFERROR(VLOOKUP(B154,Departments!A:B,2,FALSE),"")</f>
        <v/>
      </c>
      <c r="AS154" s="10">
        <f t="shared" si="27"/>
        <v>0</v>
      </c>
      <c r="AT154" s="10">
        <f t="shared" si="28"/>
        <v>0</v>
      </c>
      <c r="AU154" s="10" t="str">
        <f>_xlfn.IFNA(VLOOKUP(B154,Departments!A:D,4,FALSE),"")</f>
        <v/>
      </c>
    </row>
    <row r="155" spans="1:47" ht="14.45" customHeight="1">
      <c r="A155" s="11" t="str">
        <f t="shared" si="24"/>
        <v>00</v>
      </c>
      <c r="B155" s="11">
        <f>'TRANS EMP EXTRACT - COST CENTRE'!B154</f>
        <v>0</v>
      </c>
      <c r="C155" s="10" t="str">
        <f>IFERROR(VLOOKUP(E155,'TRANS EMP EXTRACT - EMP CATEGOR'!A:B,2,FALSE),"")</f>
        <v/>
      </c>
      <c r="D155" s="10" t="str">
        <f>IFERROR(VLOOKUP(E155,'TRANS EMP EXTRACT - EMP CATEGOR'!A:C,3,FALSE),"")</f>
        <v/>
      </c>
      <c r="E155" s="11">
        <f>'TRANS EMP EXTRACT - COST CENTRE'!D154</f>
        <v>0</v>
      </c>
      <c r="F155" s="10" t="str">
        <f>IFERROR(VLOOKUP(E155,'TRANS EMP EXTRACT - COST CENTRE'!D:E,2,FALSE),"")</f>
        <v/>
      </c>
      <c r="G155" s="12" t="str">
        <f>IFERROR(INDEX('TRANS EMP EXTRACT - COST CENTRE'!$A$1:$Z$455,MATCH('Summary - Monthly'!$A155,'TRANS EMP EXTRACT - COST CENTRE'!$A:$A,0),MATCH('Summary - Monthly'!G$3,'TRANS EMP EXTRACT - COST CENTRE'!$2:$2,0)),"")</f>
        <v/>
      </c>
      <c r="H155" s="10" t="str">
        <f>IFERROR(INDEX('TRANS EMP EXTRACT - COST CENTRE'!$B$1:$Z$455,MATCH('Summary - Monthly'!$E155,'TRANS EMP EXTRACT - COST CENTRE'!$D:$D,0),MATCH('Summary - Monthly'!H$3,'TRANS EMP EXTRACT - COST CENTRE'!$2:$2,0)),"")</f>
        <v/>
      </c>
      <c r="I155" s="12" t="str">
        <f>IFERROR(INDEX('TRANS EMP EXTRACT - EMP CATEGOR'!$B$1:$AF$421,MATCH('Summary - Monthly'!$E155,'TRANS EMP EXTRACT - EMP CATEGOR'!$D:$D,0),MATCH('Summary - Monthly'!H$3,'TRANS EMP EXTRACT - EMP CATEGOR'!$2:$2,0)),"")</f>
        <v/>
      </c>
      <c r="J155" s="41">
        <f t="shared" ca="1" si="25"/>
        <v>0</v>
      </c>
      <c r="K155" s="41">
        <f t="shared" ca="1" si="29"/>
        <v>0</v>
      </c>
      <c r="L155" s="10" t="str">
        <f>IFERROR(INDEX('TRANS EMP EXTRACT - COST CENTRE'!$A$1:$Z$455,MATCH('Summary - Monthly'!$A155,'TRANS EMP EXTRACT - COST CENTRE'!$A:$A,0),MATCH('Summary - Monthly'!L$3,'TRANS EMP EXTRACT - COST CENTRE'!$2:$2,0)),"")</f>
        <v/>
      </c>
      <c r="M155" s="10">
        <f>IFERROR(INDEX('TRANS EMP EXTRACT - COST CENTRE'!$A$1:$Z$455,MATCH('Summary - Monthly'!$A155,'TRANS EMP EXTRACT - COST CENTRE'!$A:$A,0),MATCH('Summary - Monthly'!M$3,'TRANS EMP EXTRACT - COST CENTRE'!$2:$2,0)),0)</f>
        <v>0</v>
      </c>
      <c r="N155" s="10">
        <f>IFERROR(INDEX('TRANS EMP EXTRACT - COST CENTRE'!$A$1:$Z$455,MATCH('Summary - Monthly'!$A155,'TRANS EMP EXTRACT - COST CENTRE'!$A:$A,0),MATCH('Summary - Monthly'!N$3,'TRANS EMP EXTRACT - COST CENTRE'!$2:$2,0)),0)</f>
        <v>0</v>
      </c>
      <c r="O155" s="10">
        <f>IFERROR(INDEX('TRANS EMP EXTRACT - COST CENTRE'!$A$1:$Z$455,MATCH('Summary - Monthly'!$A155,'TRANS EMP EXTRACT - COST CENTRE'!$A:$A,0),MATCH('Summary - Monthly'!O$3,'TRANS EMP EXTRACT - COST CENTRE'!$2:$2,0)),0)</f>
        <v>0</v>
      </c>
      <c r="P155" s="10">
        <f>IFERROR(INDEX('TRANS EMP EXTRACT - COST CENTRE'!$A$1:$Z$455,MATCH('Summary - Monthly'!$A155,'TRANS EMP EXTRACT - COST CENTRE'!$A:$A,0),MATCH('Summary - Monthly'!P$3,'TRANS EMP EXTRACT - COST CENTRE'!$2:$2,0)),0)</f>
        <v>0</v>
      </c>
      <c r="Q155" s="10">
        <f>IFERROR(INDEX('TRANS EMP EXTRACT - COST CENTRE'!$A$1:$Z$455,MATCH('Summary - Monthly'!$A155,'TRANS EMP EXTRACT - COST CENTRE'!$A:$A,0),MATCH('Summary - Monthly'!Q$3,'TRANS EMP EXTRACT - COST CENTRE'!$2:$2,0)),0)</f>
        <v>0</v>
      </c>
      <c r="R155" s="10">
        <f>IFERROR(INDEX('TRANS EMP EXTRACT - COST CENTRE'!$A$1:$Z$455,MATCH('Summary - Monthly'!$A155,'TRANS EMP EXTRACT - COST CENTRE'!$A:$A,0),MATCH('Summary - Monthly'!R$3,'TRANS EMP EXTRACT - COST CENTRE'!$2:$2,0)),0)</f>
        <v>0</v>
      </c>
      <c r="S155" s="10">
        <f>IFERROR(INDEX('TRANS EMP EXTRACT - COST CENTRE'!$A$1:$Z$455,MATCH('Summary - Monthly'!$A155,'TRANS EMP EXTRACT - COST CENTRE'!$A:$A,0),MATCH('Summary - Monthly'!S$3,'TRANS EMP EXTRACT - COST CENTRE'!$2:$2,0)),0)</f>
        <v>0</v>
      </c>
      <c r="T155" s="8">
        <f>IFERROR(INDEX('TRANS EMP EXTRACT - COST CENTRE'!$A$1:$Z$455,MATCH('Summary - Monthly'!$A155,'TRANS EMP EXTRACT - COST CENTRE'!$A:$A,0),MATCH('Summary - Monthly'!T$3,'TRANS EMP EXTRACT - COST CENTRE'!$2:$2,0)),0)</f>
        <v>0</v>
      </c>
      <c r="U155" s="13">
        <f>IFERROR(INDEX('TRANS EMP EXTRACT - COST CENTRE'!$A$1:$Z$455,MATCH('Summary - Monthly'!$A155,'TRANS EMP EXTRACT - COST CENTRE'!$A:$A,0),MATCH('Summary - Monthly'!U$3,'TRANS EMP EXTRACT - COST CENTRE'!$2:$2,0)),0)</f>
        <v>0</v>
      </c>
      <c r="V155" s="13">
        <f>IFERROR(INDEX('TRANS EMP EXTRACT - COST CENTRE'!$A$1:$Z$455,MATCH('Summary - Monthly'!$A155,'TRANS EMP EXTRACT - COST CENTRE'!$A:$A,0),MATCH('Summary - Monthly'!V$3,'TRANS EMP EXTRACT - COST CENTRE'!$2:$2,0)),0)</f>
        <v>0</v>
      </c>
      <c r="W155" s="13">
        <f>IFERROR(INDEX('TRANS EMP EXTRACT - COST CENTRE'!$A$1:$Z$455,MATCH('Summary - Monthly'!$A155,'TRANS EMP EXTRACT - COST CENTRE'!$A:$A,0),MATCH('Summary - Monthly'!W$3,'TRANS EMP EXTRACT - COST CENTRE'!$2:$2,0)),0)</f>
        <v>0</v>
      </c>
      <c r="X155" s="13">
        <f>IFERROR(INDEX('TRANS EMP EXTRACT - COST CENTRE'!$A$1:$Z$455,MATCH('Summary - Monthly'!$A155,'TRANS EMP EXTRACT - COST CENTRE'!$A:$A,0),MATCH('Summary - Monthly'!X$3,'TRANS EMP EXTRACT - COST CENTRE'!$2:$2,0)),0)</f>
        <v>0</v>
      </c>
      <c r="Y155" s="13">
        <f>IFERROR(INDEX('TRANS EMP EXTRACT - COST CENTRE'!$A$1:$Z$455,MATCH('Summary - Monthly'!$A155,'TRANS EMP EXTRACT - COST CENTRE'!$A:$A,0),MATCH('Summary - Monthly'!Y$3,'TRANS EMP EXTRACT - COST CENTRE'!$2:$2,0)),0)</f>
        <v>0</v>
      </c>
      <c r="Z155" s="10">
        <f>IFERROR(INDEX('TRANS EMP EXTRACT - COST CENTRE'!$A$1:$Z$455,MATCH('Summary - Monthly'!$A155,'TRANS EMP EXTRACT - COST CENTRE'!$A:$A,0),MATCH('Summary - Monthly'!Z$3,'TRANS EMP EXTRACT - COST CENTRE'!$2:$2,0)),0)</f>
        <v>0</v>
      </c>
      <c r="AA155" s="10">
        <f>IFERROR(INDEX('TRANS EMP EXTRACT - COST CENTRE'!$A$1:$Z$455,MATCH('Summary - Monthly'!$A155,'TRANS EMP EXTRACT - COST CENTRE'!$A:$A,0),MATCH('Summary - Monthly'!AA$3,'TRANS EMP EXTRACT - COST CENTRE'!$2:$2,0)),0)</f>
        <v>0</v>
      </c>
      <c r="AB155" s="10">
        <f>IFERROR(INDEX('TRANS EMP EXTRACT - COST CENTRE'!$A$1:$Z$455,MATCH('Summary - Monthly'!$A155,'TRANS EMP EXTRACT - COST CENTRE'!$A:$A,0),MATCH('Summary - Monthly'!AB$3,'TRANS EMP EXTRACT - COST CENTRE'!$2:$2,0)),0)</f>
        <v>0</v>
      </c>
      <c r="AC155" s="8">
        <f>IFERROR(INDEX('TRANS EMP EXTRACT - COST CENTRE'!$A$1:$Z$455,MATCH('Summary - Monthly'!$A155,'TRANS EMP EXTRACT - COST CENTRE'!$A:$A,0),MATCH('Summary - Monthly'!AC$3,'TRANS EMP EXTRACT - COST CENTRE'!$2:$2,0)),0)</f>
        <v>0</v>
      </c>
      <c r="AD155" s="13">
        <f>IFERROR(INDEX('TRANS EMP EXTRACT - COST CENTRE'!$A$1:$Z$455,MATCH('Summary - Monthly'!$A155,'TRANS EMP EXTRACT - COST CENTRE'!$A:$A,0),MATCH('Summary - Monthly'!AD$3,'TRANS EMP EXTRACT - COST CENTRE'!$2:$2,0)),0)</f>
        <v>0</v>
      </c>
      <c r="AE155" s="13">
        <f>IFERROR(INDEX('TRANS EMP EXTRACT - COST CENTRE'!$A$1:$Z$455,MATCH('Summary - Monthly'!$A155,'TRANS EMP EXTRACT - COST CENTRE'!$A:$A,0),MATCH('Summary - Monthly'!AE$3,'TRANS EMP EXTRACT - COST CENTRE'!$2:$2,0)),0)</f>
        <v>0</v>
      </c>
      <c r="AF155" s="13">
        <f>IFERROR(INDEX('TRANS EMP EXTRACT - COST CENTRE'!$A$1:$Z$455,MATCH('Summary - Monthly'!$A155,'TRANS EMP EXTRACT - COST CENTRE'!$A:$A,0),MATCH('Summary - Monthly'!AF$3,'TRANS EMP EXTRACT - COST CENTRE'!$2:$2,0)),0)</f>
        <v>0</v>
      </c>
      <c r="AG155" s="10">
        <f>IFERROR(INDEX('TRANS EMP EXTRACT - COST CENTRE'!$A$1:$Z$455,MATCH('Summary - Monthly'!$A155,'TRANS EMP EXTRACT - COST CENTRE'!$A:$A,0),MATCH('Summary - Monthly'!AG$3,'TRANS EMP EXTRACT - COST CENTRE'!$2:$2,0)),0)</f>
        <v>0</v>
      </c>
      <c r="AH155" s="10">
        <f>IFERROR(INDEX('TRANS EMP EXTRACT - COST CENTRE'!$A$1:$Z$455,MATCH('Summary - Monthly'!$A155,'TRANS EMP EXTRACT - COST CENTRE'!$A:$A,0),MATCH('Summary - Monthly'!AH$3,'TRANS EMP EXTRACT - COST CENTRE'!$2:$2,0)),0)</f>
        <v>0</v>
      </c>
      <c r="AI155" s="10">
        <f>IFERROR(INDEX('TRANS EMP EXTRACT - COST CENTRE'!$A$1:$Z$455,MATCH('Summary - Monthly'!$A155,'TRANS EMP EXTRACT - COST CENTRE'!$A:$A,0),MATCH('Summary - Monthly'!AI$3,'TRANS EMP EXTRACT - COST CENTRE'!$2:$2,0)),0)</f>
        <v>0</v>
      </c>
      <c r="AJ155" s="10">
        <f>IFERROR(INDEX('TRANS EMP EXTRACT - COST CENTRE'!$A$1:$Z$455,MATCH('Summary - Monthly'!$A155,'TRANS EMP EXTRACT - COST CENTRE'!$A:$A,0),MATCH('Summary - Monthly'!AJ$3,'TRANS EMP EXTRACT - COST CENTRE'!$2:$2,0)),0)</f>
        <v>0</v>
      </c>
      <c r="AK155" s="10">
        <f>IFERROR(INDEX('TRANS EMP EXTRACT - COST CENTRE'!$A$1:$Z$455,MATCH('Summary - Monthly'!$A155,'TRANS EMP EXTRACT - COST CENTRE'!$A:$A,0),MATCH('Summary - Monthly'!AK$3,'TRANS EMP EXTRACT - COST CENTRE'!$2:$2,0)),0)</f>
        <v>0</v>
      </c>
      <c r="AL155" s="10">
        <f>IFERROR(INDEX('TRANS EMP EXTRACT - COST CENTRE'!$A$1:$Z$455,MATCH('Summary - Monthly'!$A155,'TRANS EMP EXTRACT - COST CENTRE'!$A:$A,0),MATCH('Summary - Monthly'!AL$3,'TRANS EMP EXTRACT - COST CENTRE'!$2:$2,0)),0)</f>
        <v>0</v>
      </c>
      <c r="AM155" s="10">
        <f t="shared" si="32"/>
        <v>0</v>
      </c>
      <c r="AN155" s="14">
        <f t="shared" si="26"/>
        <v>0</v>
      </c>
      <c r="AO155" s="18">
        <f t="shared" si="30"/>
        <v>0</v>
      </c>
      <c r="AP155" s="18">
        <f t="shared" si="31"/>
        <v>0</v>
      </c>
      <c r="AQ155" s="10" t="str">
        <f>IFERROR(VLOOKUP(B155,Departments!A:C,3,FALSE),"")</f>
        <v/>
      </c>
      <c r="AR155" s="10" t="str">
        <f>IFERROR(VLOOKUP(B155,Departments!A:B,2,FALSE),"")</f>
        <v/>
      </c>
      <c r="AS155" s="10">
        <f t="shared" si="27"/>
        <v>0</v>
      </c>
      <c r="AT155" s="10">
        <f t="shared" si="28"/>
        <v>0</v>
      </c>
      <c r="AU155" s="10" t="str">
        <f>_xlfn.IFNA(VLOOKUP(B155,Departments!A:D,4,FALSE),"")</f>
        <v/>
      </c>
    </row>
    <row r="156" spans="1:47" ht="14.45" customHeight="1">
      <c r="A156" s="11" t="str">
        <f t="shared" si="24"/>
        <v>00</v>
      </c>
      <c r="B156" s="11">
        <f>'TRANS EMP EXTRACT - COST CENTRE'!B155</f>
        <v>0</v>
      </c>
      <c r="C156" s="10" t="str">
        <f>IFERROR(VLOOKUP(E156,'TRANS EMP EXTRACT - EMP CATEGOR'!A:B,2,FALSE),"")</f>
        <v/>
      </c>
      <c r="D156" s="10" t="str">
        <f>IFERROR(VLOOKUP(E156,'TRANS EMP EXTRACT - EMP CATEGOR'!A:C,3,FALSE),"")</f>
        <v/>
      </c>
      <c r="E156" s="11">
        <f>'TRANS EMP EXTRACT - COST CENTRE'!D155</f>
        <v>0</v>
      </c>
      <c r="F156" s="10" t="str">
        <f>IFERROR(VLOOKUP(E156,'TRANS EMP EXTRACT - COST CENTRE'!D:E,2,FALSE),"")</f>
        <v/>
      </c>
      <c r="G156" s="12" t="str">
        <f>IFERROR(INDEX('TRANS EMP EXTRACT - COST CENTRE'!$A$1:$Z$455,MATCH('Summary - Monthly'!$A156,'TRANS EMP EXTRACT - COST CENTRE'!$A:$A,0),MATCH('Summary - Monthly'!G$3,'TRANS EMP EXTRACT - COST CENTRE'!$2:$2,0)),"")</f>
        <v/>
      </c>
      <c r="H156" s="10" t="str">
        <f>IFERROR(INDEX('TRANS EMP EXTRACT - COST CENTRE'!$B$1:$Z$455,MATCH('Summary - Monthly'!$E156,'TRANS EMP EXTRACT - COST CENTRE'!$D:$D,0),MATCH('Summary - Monthly'!H$3,'TRANS EMP EXTRACT - COST CENTRE'!$2:$2,0)),"")</f>
        <v/>
      </c>
      <c r="I156" s="12" t="str">
        <f>IFERROR(INDEX('TRANS EMP EXTRACT - EMP CATEGOR'!$B$1:$AF$421,MATCH('Summary - Monthly'!$E156,'TRANS EMP EXTRACT - EMP CATEGOR'!$D:$D,0),MATCH('Summary - Monthly'!H$3,'TRANS EMP EXTRACT - EMP CATEGOR'!$2:$2,0)),"")</f>
        <v/>
      </c>
      <c r="J156" s="41">
        <f t="shared" ca="1" si="25"/>
        <v>0</v>
      </c>
      <c r="K156" s="41">
        <f t="shared" ca="1" si="29"/>
        <v>0</v>
      </c>
      <c r="L156" s="10" t="str">
        <f>IFERROR(INDEX('TRANS EMP EXTRACT - COST CENTRE'!$A$1:$Z$455,MATCH('Summary - Monthly'!$A156,'TRANS EMP EXTRACT - COST CENTRE'!$A:$A,0),MATCH('Summary - Monthly'!L$3,'TRANS EMP EXTRACT - COST CENTRE'!$2:$2,0)),"")</f>
        <v/>
      </c>
      <c r="M156" s="10">
        <f>IFERROR(INDEX('TRANS EMP EXTRACT - COST CENTRE'!$A$1:$Z$455,MATCH('Summary - Monthly'!$A156,'TRANS EMP EXTRACT - COST CENTRE'!$A:$A,0),MATCH('Summary - Monthly'!M$3,'TRANS EMP EXTRACT - COST CENTRE'!$2:$2,0)),0)</f>
        <v>0</v>
      </c>
      <c r="N156" s="10">
        <f>IFERROR(INDEX('TRANS EMP EXTRACT - COST CENTRE'!$A$1:$Z$455,MATCH('Summary - Monthly'!$A156,'TRANS EMP EXTRACT - COST CENTRE'!$A:$A,0),MATCH('Summary - Monthly'!N$3,'TRANS EMP EXTRACT - COST CENTRE'!$2:$2,0)),0)</f>
        <v>0</v>
      </c>
      <c r="O156" s="10">
        <f>IFERROR(INDEX('TRANS EMP EXTRACT - COST CENTRE'!$A$1:$Z$455,MATCH('Summary - Monthly'!$A156,'TRANS EMP EXTRACT - COST CENTRE'!$A:$A,0),MATCH('Summary - Monthly'!O$3,'TRANS EMP EXTRACT - COST CENTRE'!$2:$2,0)),0)</f>
        <v>0</v>
      </c>
      <c r="P156" s="10">
        <f>IFERROR(INDEX('TRANS EMP EXTRACT - COST CENTRE'!$A$1:$Z$455,MATCH('Summary - Monthly'!$A156,'TRANS EMP EXTRACT - COST CENTRE'!$A:$A,0),MATCH('Summary - Monthly'!P$3,'TRANS EMP EXTRACT - COST CENTRE'!$2:$2,0)),0)</f>
        <v>0</v>
      </c>
      <c r="Q156" s="10">
        <f>IFERROR(INDEX('TRANS EMP EXTRACT - COST CENTRE'!$A$1:$Z$455,MATCH('Summary - Monthly'!$A156,'TRANS EMP EXTRACT - COST CENTRE'!$A:$A,0),MATCH('Summary - Monthly'!Q$3,'TRANS EMP EXTRACT - COST CENTRE'!$2:$2,0)),0)</f>
        <v>0</v>
      </c>
      <c r="R156" s="10">
        <f>IFERROR(INDEX('TRANS EMP EXTRACT - COST CENTRE'!$A$1:$Z$455,MATCH('Summary - Monthly'!$A156,'TRANS EMP EXTRACT - COST CENTRE'!$A:$A,0),MATCH('Summary - Monthly'!R$3,'TRANS EMP EXTRACT - COST CENTRE'!$2:$2,0)),0)</f>
        <v>0</v>
      </c>
      <c r="S156" s="10">
        <f>IFERROR(INDEX('TRANS EMP EXTRACT - COST CENTRE'!$A$1:$Z$455,MATCH('Summary - Monthly'!$A156,'TRANS EMP EXTRACT - COST CENTRE'!$A:$A,0),MATCH('Summary - Monthly'!S$3,'TRANS EMP EXTRACT - COST CENTRE'!$2:$2,0)),0)</f>
        <v>0</v>
      </c>
      <c r="T156" s="8">
        <f>IFERROR(INDEX('TRANS EMP EXTRACT - COST CENTRE'!$A$1:$Z$455,MATCH('Summary - Monthly'!$A156,'TRANS EMP EXTRACT - COST CENTRE'!$A:$A,0),MATCH('Summary - Monthly'!T$3,'TRANS EMP EXTRACT - COST CENTRE'!$2:$2,0)),0)</f>
        <v>0</v>
      </c>
      <c r="U156" s="13">
        <f>IFERROR(INDEX('TRANS EMP EXTRACT - COST CENTRE'!$A$1:$Z$455,MATCH('Summary - Monthly'!$A156,'TRANS EMP EXTRACT - COST CENTRE'!$A:$A,0),MATCH('Summary - Monthly'!U$3,'TRANS EMP EXTRACT - COST CENTRE'!$2:$2,0)),0)</f>
        <v>0</v>
      </c>
      <c r="V156" s="13">
        <f>IFERROR(INDEX('TRANS EMP EXTRACT - COST CENTRE'!$A$1:$Z$455,MATCH('Summary - Monthly'!$A156,'TRANS EMP EXTRACT - COST CENTRE'!$A:$A,0),MATCH('Summary - Monthly'!V$3,'TRANS EMP EXTRACT - COST CENTRE'!$2:$2,0)),0)</f>
        <v>0</v>
      </c>
      <c r="W156" s="13">
        <f>IFERROR(INDEX('TRANS EMP EXTRACT - COST CENTRE'!$A$1:$Z$455,MATCH('Summary - Monthly'!$A156,'TRANS EMP EXTRACT - COST CENTRE'!$A:$A,0),MATCH('Summary - Monthly'!W$3,'TRANS EMP EXTRACT - COST CENTRE'!$2:$2,0)),0)</f>
        <v>0</v>
      </c>
      <c r="X156" s="13">
        <f>IFERROR(INDEX('TRANS EMP EXTRACT - COST CENTRE'!$A$1:$Z$455,MATCH('Summary - Monthly'!$A156,'TRANS EMP EXTRACT - COST CENTRE'!$A:$A,0),MATCH('Summary - Monthly'!X$3,'TRANS EMP EXTRACT - COST CENTRE'!$2:$2,0)),0)</f>
        <v>0</v>
      </c>
      <c r="Y156" s="13">
        <f>IFERROR(INDEX('TRANS EMP EXTRACT - COST CENTRE'!$A$1:$Z$455,MATCH('Summary - Monthly'!$A156,'TRANS EMP EXTRACT - COST CENTRE'!$A:$A,0),MATCH('Summary - Monthly'!Y$3,'TRANS EMP EXTRACT - COST CENTRE'!$2:$2,0)),0)</f>
        <v>0</v>
      </c>
      <c r="Z156" s="10">
        <f>IFERROR(INDEX('TRANS EMP EXTRACT - COST CENTRE'!$A$1:$Z$455,MATCH('Summary - Monthly'!$A156,'TRANS EMP EXTRACT - COST CENTRE'!$A:$A,0),MATCH('Summary - Monthly'!Z$3,'TRANS EMP EXTRACT - COST CENTRE'!$2:$2,0)),0)</f>
        <v>0</v>
      </c>
      <c r="AA156" s="10">
        <f>IFERROR(INDEX('TRANS EMP EXTRACT - COST CENTRE'!$A$1:$Z$455,MATCH('Summary - Monthly'!$A156,'TRANS EMP EXTRACT - COST CENTRE'!$A:$A,0),MATCH('Summary - Monthly'!AA$3,'TRANS EMP EXTRACT - COST CENTRE'!$2:$2,0)),0)</f>
        <v>0</v>
      </c>
      <c r="AB156" s="10">
        <f>IFERROR(INDEX('TRANS EMP EXTRACT - COST CENTRE'!$A$1:$Z$455,MATCH('Summary - Monthly'!$A156,'TRANS EMP EXTRACT - COST CENTRE'!$A:$A,0),MATCH('Summary - Monthly'!AB$3,'TRANS EMP EXTRACT - COST CENTRE'!$2:$2,0)),0)</f>
        <v>0</v>
      </c>
      <c r="AC156" s="8">
        <f>IFERROR(INDEX('TRANS EMP EXTRACT - COST CENTRE'!$A$1:$Z$455,MATCH('Summary - Monthly'!$A156,'TRANS EMP EXTRACT - COST CENTRE'!$A:$A,0),MATCH('Summary - Monthly'!AC$3,'TRANS EMP EXTRACT - COST CENTRE'!$2:$2,0)),0)</f>
        <v>0</v>
      </c>
      <c r="AD156" s="13">
        <f>IFERROR(INDEX('TRANS EMP EXTRACT - COST CENTRE'!$A$1:$Z$455,MATCH('Summary - Monthly'!$A156,'TRANS EMP EXTRACT - COST CENTRE'!$A:$A,0),MATCH('Summary - Monthly'!AD$3,'TRANS EMP EXTRACT - COST CENTRE'!$2:$2,0)),0)</f>
        <v>0</v>
      </c>
      <c r="AE156" s="13">
        <f>IFERROR(INDEX('TRANS EMP EXTRACT - COST CENTRE'!$A$1:$Z$455,MATCH('Summary - Monthly'!$A156,'TRANS EMP EXTRACT - COST CENTRE'!$A:$A,0),MATCH('Summary - Monthly'!AE$3,'TRANS EMP EXTRACT - COST CENTRE'!$2:$2,0)),0)</f>
        <v>0</v>
      </c>
      <c r="AF156" s="13">
        <f>IFERROR(INDEX('TRANS EMP EXTRACT - COST CENTRE'!$A$1:$Z$455,MATCH('Summary - Monthly'!$A156,'TRANS EMP EXTRACT - COST CENTRE'!$A:$A,0),MATCH('Summary - Monthly'!AF$3,'TRANS EMP EXTRACT - COST CENTRE'!$2:$2,0)),0)</f>
        <v>0</v>
      </c>
      <c r="AG156" s="10">
        <f>IFERROR(INDEX('TRANS EMP EXTRACT - COST CENTRE'!$A$1:$Z$455,MATCH('Summary - Monthly'!$A156,'TRANS EMP EXTRACT - COST CENTRE'!$A:$A,0),MATCH('Summary - Monthly'!AG$3,'TRANS EMP EXTRACT - COST CENTRE'!$2:$2,0)),0)</f>
        <v>0</v>
      </c>
      <c r="AH156" s="10">
        <f>IFERROR(INDEX('TRANS EMP EXTRACT - COST CENTRE'!$A$1:$Z$455,MATCH('Summary - Monthly'!$A156,'TRANS EMP EXTRACT - COST CENTRE'!$A:$A,0),MATCH('Summary - Monthly'!AH$3,'TRANS EMP EXTRACT - COST CENTRE'!$2:$2,0)),0)</f>
        <v>0</v>
      </c>
      <c r="AI156" s="10">
        <f>IFERROR(INDEX('TRANS EMP EXTRACT - COST CENTRE'!$A$1:$Z$455,MATCH('Summary - Monthly'!$A156,'TRANS EMP EXTRACT - COST CENTRE'!$A:$A,0),MATCH('Summary - Monthly'!AI$3,'TRANS EMP EXTRACT - COST CENTRE'!$2:$2,0)),0)</f>
        <v>0</v>
      </c>
      <c r="AJ156" s="10">
        <f>IFERROR(INDEX('TRANS EMP EXTRACT - COST CENTRE'!$A$1:$Z$455,MATCH('Summary - Monthly'!$A156,'TRANS EMP EXTRACT - COST CENTRE'!$A:$A,0),MATCH('Summary - Monthly'!AJ$3,'TRANS EMP EXTRACT - COST CENTRE'!$2:$2,0)),0)</f>
        <v>0</v>
      </c>
      <c r="AK156" s="10">
        <f>IFERROR(INDEX('TRANS EMP EXTRACT - COST CENTRE'!$A$1:$Z$455,MATCH('Summary - Monthly'!$A156,'TRANS EMP EXTRACT - COST CENTRE'!$A:$A,0),MATCH('Summary - Monthly'!AK$3,'TRANS EMP EXTRACT - COST CENTRE'!$2:$2,0)),0)</f>
        <v>0</v>
      </c>
      <c r="AL156" s="10">
        <f>IFERROR(INDEX('TRANS EMP EXTRACT - COST CENTRE'!$A$1:$Z$455,MATCH('Summary - Monthly'!$A156,'TRANS EMP EXTRACT - COST CENTRE'!$A:$A,0),MATCH('Summary - Monthly'!AL$3,'TRANS EMP EXTRACT - COST CENTRE'!$2:$2,0)),0)</f>
        <v>0</v>
      </c>
      <c r="AM156" s="10">
        <f t="shared" si="32"/>
        <v>0</v>
      </c>
      <c r="AN156" s="14">
        <f t="shared" si="26"/>
        <v>0</v>
      </c>
      <c r="AO156" s="18">
        <f t="shared" si="30"/>
        <v>0</v>
      </c>
      <c r="AP156" s="18">
        <f t="shared" si="31"/>
        <v>0</v>
      </c>
      <c r="AQ156" s="10" t="str">
        <f>IFERROR(VLOOKUP(B156,Departments!A:C,3,FALSE),"")</f>
        <v/>
      </c>
      <c r="AR156" s="10" t="str">
        <f>IFERROR(VLOOKUP(B156,Departments!A:B,2,FALSE),"")</f>
        <v/>
      </c>
      <c r="AS156" s="10">
        <f t="shared" si="27"/>
        <v>0</v>
      </c>
      <c r="AT156" s="10">
        <f t="shared" si="28"/>
        <v>0</v>
      </c>
      <c r="AU156" s="10" t="str">
        <f>_xlfn.IFNA(VLOOKUP(B156,Departments!A:D,4,FALSE),"")</f>
        <v/>
      </c>
    </row>
    <row r="157" spans="1:47" ht="14.45" customHeight="1">
      <c r="A157" s="11" t="str">
        <f t="shared" si="24"/>
        <v>00</v>
      </c>
      <c r="B157" s="11">
        <f>'TRANS EMP EXTRACT - COST CENTRE'!B156</f>
        <v>0</v>
      </c>
      <c r="C157" s="10" t="str">
        <f>IFERROR(VLOOKUP(E157,'TRANS EMP EXTRACT - EMP CATEGOR'!A:B,2,FALSE),"")</f>
        <v/>
      </c>
      <c r="D157" s="10" t="str">
        <f>IFERROR(VLOOKUP(E157,'TRANS EMP EXTRACT - EMP CATEGOR'!A:C,3,FALSE),"")</f>
        <v/>
      </c>
      <c r="E157" s="11">
        <f>'TRANS EMP EXTRACT - COST CENTRE'!D156</f>
        <v>0</v>
      </c>
      <c r="F157" s="10" t="str">
        <f>IFERROR(VLOOKUP(E157,'TRANS EMP EXTRACT - COST CENTRE'!D:E,2,FALSE),"")</f>
        <v/>
      </c>
      <c r="G157" s="12" t="str">
        <f>IFERROR(INDEX('TRANS EMP EXTRACT - COST CENTRE'!$A$1:$Z$455,MATCH('Summary - Monthly'!$A157,'TRANS EMP EXTRACT - COST CENTRE'!$A:$A,0),MATCH('Summary - Monthly'!G$3,'TRANS EMP EXTRACT - COST CENTRE'!$2:$2,0)),"")</f>
        <v/>
      </c>
      <c r="H157" s="10" t="str">
        <f>IFERROR(INDEX('TRANS EMP EXTRACT - COST CENTRE'!$B$1:$Z$455,MATCH('Summary - Monthly'!$E157,'TRANS EMP EXTRACT - COST CENTRE'!$D:$D,0),MATCH('Summary - Monthly'!H$3,'TRANS EMP EXTRACT - COST CENTRE'!$2:$2,0)),"")</f>
        <v/>
      </c>
      <c r="I157" s="12" t="str">
        <f>IFERROR(INDEX('TRANS EMP EXTRACT - EMP CATEGOR'!$B$1:$AF$421,MATCH('Summary - Monthly'!$E157,'TRANS EMP EXTRACT - EMP CATEGOR'!$D:$D,0),MATCH('Summary - Monthly'!H$3,'TRANS EMP EXTRACT - EMP CATEGOR'!$2:$2,0)),"")</f>
        <v/>
      </c>
      <c r="J157" s="41">
        <f t="shared" ca="1" si="25"/>
        <v>0</v>
      </c>
      <c r="K157" s="41">
        <f t="shared" ca="1" si="29"/>
        <v>0</v>
      </c>
      <c r="L157" s="10" t="str">
        <f>IFERROR(INDEX('TRANS EMP EXTRACT - COST CENTRE'!$A$1:$Z$455,MATCH('Summary - Monthly'!$A157,'TRANS EMP EXTRACT - COST CENTRE'!$A:$A,0),MATCH('Summary - Monthly'!L$3,'TRANS EMP EXTRACT - COST CENTRE'!$2:$2,0)),"")</f>
        <v/>
      </c>
      <c r="M157" s="10">
        <f>IFERROR(INDEX('TRANS EMP EXTRACT - COST CENTRE'!$A$1:$Z$455,MATCH('Summary - Monthly'!$A157,'TRANS EMP EXTRACT - COST CENTRE'!$A:$A,0),MATCH('Summary - Monthly'!M$3,'TRANS EMP EXTRACT - COST CENTRE'!$2:$2,0)),0)</f>
        <v>0</v>
      </c>
      <c r="N157" s="10">
        <f>IFERROR(INDEX('TRANS EMP EXTRACT - COST CENTRE'!$A$1:$Z$455,MATCH('Summary - Monthly'!$A157,'TRANS EMP EXTRACT - COST CENTRE'!$A:$A,0),MATCH('Summary - Monthly'!N$3,'TRANS EMP EXTRACT - COST CENTRE'!$2:$2,0)),0)</f>
        <v>0</v>
      </c>
      <c r="O157" s="10">
        <f>IFERROR(INDEX('TRANS EMP EXTRACT - COST CENTRE'!$A$1:$Z$455,MATCH('Summary - Monthly'!$A157,'TRANS EMP EXTRACT - COST CENTRE'!$A:$A,0),MATCH('Summary - Monthly'!O$3,'TRANS EMP EXTRACT - COST CENTRE'!$2:$2,0)),0)</f>
        <v>0</v>
      </c>
      <c r="P157" s="10">
        <f>IFERROR(INDEX('TRANS EMP EXTRACT - COST CENTRE'!$A$1:$Z$455,MATCH('Summary - Monthly'!$A157,'TRANS EMP EXTRACT - COST CENTRE'!$A:$A,0),MATCH('Summary - Monthly'!P$3,'TRANS EMP EXTRACT - COST CENTRE'!$2:$2,0)),0)</f>
        <v>0</v>
      </c>
      <c r="Q157" s="10">
        <f>IFERROR(INDEX('TRANS EMP EXTRACT - COST CENTRE'!$A$1:$Z$455,MATCH('Summary - Monthly'!$A157,'TRANS EMP EXTRACT - COST CENTRE'!$A:$A,0),MATCH('Summary - Monthly'!Q$3,'TRANS EMP EXTRACT - COST CENTRE'!$2:$2,0)),0)</f>
        <v>0</v>
      </c>
      <c r="R157" s="10">
        <f>IFERROR(INDEX('TRANS EMP EXTRACT - COST CENTRE'!$A$1:$Z$455,MATCH('Summary - Monthly'!$A157,'TRANS EMP EXTRACT - COST CENTRE'!$A:$A,0),MATCH('Summary - Monthly'!R$3,'TRANS EMP EXTRACT - COST CENTRE'!$2:$2,0)),0)</f>
        <v>0</v>
      </c>
      <c r="S157" s="10">
        <f>IFERROR(INDEX('TRANS EMP EXTRACT - COST CENTRE'!$A$1:$Z$455,MATCH('Summary - Monthly'!$A157,'TRANS EMP EXTRACT - COST CENTRE'!$A:$A,0),MATCH('Summary - Monthly'!S$3,'TRANS EMP EXTRACT - COST CENTRE'!$2:$2,0)),0)</f>
        <v>0</v>
      </c>
      <c r="T157" s="8">
        <f>IFERROR(INDEX('TRANS EMP EXTRACT - COST CENTRE'!$A$1:$Z$455,MATCH('Summary - Monthly'!$A157,'TRANS EMP EXTRACT - COST CENTRE'!$A:$A,0),MATCH('Summary - Monthly'!T$3,'TRANS EMP EXTRACT - COST CENTRE'!$2:$2,0)),0)</f>
        <v>0</v>
      </c>
      <c r="U157" s="13">
        <f>IFERROR(INDEX('TRANS EMP EXTRACT - COST CENTRE'!$A$1:$Z$455,MATCH('Summary - Monthly'!$A157,'TRANS EMP EXTRACT - COST CENTRE'!$A:$A,0),MATCH('Summary - Monthly'!U$3,'TRANS EMP EXTRACT - COST CENTRE'!$2:$2,0)),0)</f>
        <v>0</v>
      </c>
      <c r="V157" s="13">
        <f>IFERROR(INDEX('TRANS EMP EXTRACT - COST CENTRE'!$A$1:$Z$455,MATCH('Summary - Monthly'!$A157,'TRANS EMP EXTRACT - COST CENTRE'!$A:$A,0),MATCH('Summary - Monthly'!V$3,'TRANS EMP EXTRACT - COST CENTRE'!$2:$2,0)),0)</f>
        <v>0</v>
      </c>
      <c r="W157" s="13">
        <f>IFERROR(INDEX('TRANS EMP EXTRACT - COST CENTRE'!$A$1:$Z$455,MATCH('Summary - Monthly'!$A157,'TRANS EMP EXTRACT - COST CENTRE'!$A:$A,0),MATCH('Summary - Monthly'!W$3,'TRANS EMP EXTRACT - COST CENTRE'!$2:$2,0)),0)</f>
        <v>0</v>
      </c>
      <c r="X157" s="13">
        <f>IFERROR(INDEX('TRANS EMP EXTRACT - COST CENTRE'!$A$1:$Z$455,MATCH('Summary - Monthly'!$A157,'TRANS EMP EXTRACT - COST CENTRE'!$A:$A,0),MATCH('Summary - Monthly'!X$3,'TRANS EMP EXTRACT - COST CENTRE'!$2:$2,0)),0)</f>
        <v>0</v>
      </c>
      <c r="Y157" s="13">
        <f>IFERROR(INDEX('TRANS EMP EXTRACT - COST CENTRE'!$A$1:$Z$455,MATCH('Summary - Monthly'!$A157,'TRANS EMP EXTRACT - COST CENTRE'!$A:$A,0),MATCH('Summary - Monthly'!Y$3,'TRANS EMP EXTRACT - COST CENTRE'!$2:$2,0)),0)</f>
        <v>0</v>
      </c>
      <c r="Z157" s="10">
        <f>IFERROR(INDEX('TRANS EMP EXTRACT - COST CENTRE'!$A$1:$Z$455,MATCH('Summary - Monthly'!$A157,'TRANS EMP EXTRACT - COST CENTRE'!$A:$A,0),MATCH('Summary - Monthly'!Z$3,'TRANS EMP EXTRACT - COST CENTRE'!$2:$2,0)),0)</f>
        <v>0</v>
      </c>
      <c r="AA157" s="10">
        <f>IFERROR(INDEX('TRANS EMP EXTRACT - COST CENTRE'!$A$1:$Z$455,MATCH('Summary - Monthly'!$A157,'TRANS EMP EXTRACT - COST CENTRE'!$A:$A,0),MATCH('Summary - Monthly'!AA$3,'TRANS EMP EXTRACT - COST CENTRE'!$2:$2,0)),0)</f>
        <v>0</v>
      </c>
      <c r="AB157" s="10">
        <f>IFERROR(INDEX('TRANS EMP EXTRACT - COST CENTRE'!$A$1:$Z$455,MATCH('Summary - Monthly'!$A157,'TRANS EMP EXTRACT - COST CENTRE'!$A:$A,0),MATCH('Summary - Monthly'!AB$3,'TRANS EMP EXTRACT - COST CENTRE'!$2:$2,0)),0)</f>
        <v>0</v>
      </c>
      <c r="AC157" s="8">
        <f>IFERROR(INDEX('TRANS EMP EXTRACT - COST CENTRE'!$A$1:$Z$455,MATCH('Summary - Monthly'!$A157,'TRANS EMP EXTRACT - COST CENTRE'!$A:$A,0),MATCH('Summary - Monthly'!AC$3,'TRANS EMP EXTRACT - COST CENTRE'!$2:$2,0)),0)</f>
        <v>0</v>
      </c>
      <c r="AD157" s="13">
        <f>IFERROR(INDEX('TRANS EMP EXTRACT - COST CENTRE'!$A$1:$Z$455,MATCH('Summary - Monthly'!$A157,'TRANS EMP EXTRACT - COST CENTRE'!$A:$A,0),MATCH('Summary - Monthly'!AD$3,'TRANS EMP EXTRACT - COST CENTRE'!$2:$2,0)),0)</f>
        <v>0</v>
      </c>
      <c r="AE157" s="13">
        <f>IFERROR(INDEX('TRANS EMP EXTRACT - COST CENTRE'!$A$1:$Z$455,MATCH('Summary - Monthly'!$A157,'TRANS EMP EXTRACT - COST CENTRE'!$A:$A,0),MATCH('Summary - Monthly'!AE$3,'TRANS EMP EXTRACT - COST CENTRE'!$2:$2,0)),0)</f>
        <v>0</v>
      </c>
      <c r="AF157" s="13">
        <f>IFERROR(INDEX('TRANS EMP EXTRACT - COST CENTRE'!$A$1:$Z$455,MATCH('Summary - Monthly'!$A157,'TRANS EMP EXTRACT - COST CENTRE'!$A:$A,0),MATCH('Summary - Monthly'!AF$3,'TRANS EMP EXTRACT - COST CENTRE'!$2:$2,0)),0)</f>
        <v>0</v>
      </c>
      <c r="AG157" s="10">
        <f>IFERROR(INDEX('TRANS EMP EXTRACT - COST CENTRE'!$A$1:$Z$455,MATCH('Summary - Monthly'!$A157,'TRANS EMP EXTRACT - COST CENTRE'!$A:$A,0),MATCH('Summary - Monthly'!AG$3,'TRANS EMP EXTRACT - COST CENTRE'!$2:$2,0)),0)</f>
        <v>0</v>
      </c>
      <c r="AH157" s="10">
        <f>IFERROR(INDEX('TRANS EMP EXTRACT - COST CENTRE'!$A$1:$Z$455,MATCH('Summary - Monthly'!$A157,'TRANS EMP EXTRACT - COST CENTRE'!$A:$A,0),MATCH('Summary - Monthly'!AH$3,'TRANS EMP EXTRACT - COST CENTRE'!$2:$2,0)),0)</f>
        <v>0</v>
      </c>
      <c r="AI157" s="10">
        <f>IFERROR(INDEX('TRANS EMP EXTRACT - COST CENTRE'!$A$1:$Z$455,MATCH('Summary - Monthly'!$A157,'TRANS EMP EXTRACT - COST CENTRE'!$A:$A,0),MATCH('Summary - Monthly'!AI$3,'TRANS EMP EXTRACT - COST CENTRE'!$2:$2,0)),0)</f>
        <v>0</v>
      </c>
      <c r="AJ157" s="10">
        <f>IFERROR(INDEX('TRANS EMP EXTRACT - COST CENTRE'!$A$1:$Z$455,MATCH('Summary - Monthly'!$A157,'TRANS EMP EXTRACT - COST CENTRE'!$A:$A,0),MATCH('Summary - Monthly'!AJ$3,'TRANS EMP EXTRACT - COST CENTRE'!$2:$2,0)),0)</f>
        <v>0</v>
      </c>
      <c r="AK157" s="10">
        <f>IFERROR(INDEX('TRANS EMP EXTRACT - COST CENTRE'!$A$1:$Z$455,MATCH('Summary - Monthly'!$A157,'TRANS EMP EXTRACT - COST CENTRE'!$A:$A,0),MATCH('Summary - Monthly'!AK$3,'TRANS EMP EXTRACT - COST CENTRE'!$2:$2,0)),0)</f>
        <v>0</v>
      </c>
      <c r="AL157" s="10">
        <f>IFERROR(INDEX('TRANS EMP EXTRACT - COST CENTRE'!$A$1:$Z$455,MATCH('Summary - Monthly'!$A157,'TRANS EMP EXTRACT - COST CENTRE'!$A:$A,0),MATCH('Summary - Monthly'!AL$3,'TRANS EMP EXTRACT - COST CENTRE'!$2:$2,0)),0)</f>
        <v>0</v>
      </c>
      <c r="AM157" s="10">
        <f t="shared" si="32"/>
        <v>0</v>
      </c>
      <c r="AN157" s="14">
        <f t="shared" si="26"/>
        <v>0</v>
      </c>
      <c r="AO157" s="18">
        <f t="shared" si="30"/>
        <v>0</v>
      </c>
      <c r="AP157" s="18">
        <f t="shared" si="31"/>
        <v>0</v>
      </c>
      <c r="AQ157" s="10" t="str">
        <f>IFERROR(VLOOKUP(B157,Departments!A:C,3,FALSE),"")</f>
        <v/>
      </c>
      <c r="AR157" s="10" t="str">
        <f>IFERROR(VLOOKUP(B157,Departments!A:B,2,FALSE),"")</f>
        <v/>
      </c>
      <c r="AS157" s="10">
        <f t="shared" si="27"/>
        <v>0</v>
      </c>
      <c r="AT157" s="10">
        <f t="shared" si="28"/>
        <v>0</v>
      </c>
      <c r="AU157" s="10" t="str">
        <f>_xlfn.IFNA(VLOOKUP(B157,Departments!A:D,4,FALSE),"")</f>
        <v/>
      </c>
    </row>
    <row r="158" spans="1:47" ht="14.45" customHeight="1">
      <c r="A158" s="11" t="str">
        <f t="shared" si="24"/>
        <v>00</v>
      </c>
      <c r="B158" s="11">
        <f>'TRANS EMP EXTRACT - COST CENTRE'!B157</f>
        <v>0</v>
      </c>
      <c r="C158" s="10" t="str">
        <f>IFERROR(VLOOKUP(E158,'TRANS EMP EXTRACT - EMP CATEGOR'!A:B,2,FALSE),"")</f>
        <v/>
      </c>
      <c r="D158" s="10" t="str">
        <f>IFERROR(VLOOKUP(E158,'TRANS EMP EXTRACT - EMP CATEGOR'!A:C,3,FALSE),"")</f>
        <v/>
      </c>
      <c r="E158" s="11">
        <f>'TRANS EMP EXTRACT - COST CENTRE'!D157</f>
        <v>0</v>
      </c>
      <c r="F158" s="10" t="str">
        <f>IFERROR(VLOOKUP(E158,'TRANS EMP EXTRACT - COST CENTRE'!D:E,2,FALSE),"")</f>
        <v/>
      </c>
      <c r="G158" s="12" t="str">
        <f>IFERROR(INDEX('TRANS EMP EXTRACT - COST CENTRE'!$A$1:$Z$455,MATCH('Summary - Monthly'!$A158,'TRANS EMP EXTRACT - COST CENTRE'!$A:$A,0),MATCH('Summary - Monthly'!G$3,'TRANS EMP EXTRACT - COST CENTRE'!$2:$2,0)),"")</f>
        <v/>
      </c>
      <c r="H158" s="10" t="str">
        <f>IFERROR(INDEX('TRANS EMP EXTRACT - COST CENTRE'!$B$1:$Z$455,MATCH('Summary - Monthly'!$E158,'TRANS EMP EXTRACT - COST CENTRE'!$D:$D,0),MATCH('Summary - Monthly'!H$3,'TRANS EMP EXTRACT - COST CENTRE'!$2:$2,0)),"")</f>
        <v/>
      </c>
      <c r="I158" s="12" t="str">
        <f>IFERROR(INDEX('TRANS EMP EXTRACT - EMP CATEGOR'!$B$1:$AF$421,MATCH('Summary - Monthly'!$E158,'TRANS EMP EXTRACT - EMP CATEGOR'!$D:$D,0),MATCH('Summary - Monthly'!H$3,'TRANS EMP EXTRACT - EMP CATEGOR'!$2:$2,0)),"")</f>
        <v/>
      </c>
      <c r="J158" s="41">
        <f t="shared" ca="1" si="25"/>
        <v>0</v>
      </c>
      <c r="K158" s="41">
        <f t="shared" ca="1" si="29"/>
        <v>0</v>
      </c>
      <c r="L158" s="10" t="str">
        <f>IFERROR(INDEX('TRANS EMP EXTRACT - COST CENTRE'!$A$1:$Z$455,MATCH('Summary - Monthly'!$A158,'TRANS EMP EXTRACT - COST CENTRE'!$A:$A,0),MATCH('Summary - Monthly'!L$3,'TRANS EMP EXTRACT - COST CENTRE'!$2:$2,0)),"")</f>
        <v/>
      </c>
      <c r="M158" s="10">
        <f>IFERROR(INDEX('TRANS EMP EXTRACT - COST CENTRE'!$A$1:$Z$455,MATCH('Summary - Monthly'!$A158,'TRANS EMP EXTRACT - COST CENTRE'!$A:$A,0),MATCH('Summary - Monthly'!M$3,'TRANS EMP EXTRACT - COST CENTRE'!$2:$2,0)),0)</f>
        <v>0</v>
      </c>
      <c r="N158" s="10">
        <f>IFERROR(INDEX('TRANS EMP EXTRACT - COST CENTRE'!$A$1:$Z$455,MATCH('Summary - Monthly'!$A158,'TRANS EMP EXTRACT - COST CENTRE'!$A:$A,0),MATCH('Summary - Monthly'!N$3,'TRANS EMP EXTRACT - COST CENTRE'!$2:$2,0)),0)</f>
        <v>0</v>
      </c>
      <c r="O158" s="10">
        <f>IFERROR(INDEX('TRANS EMP EXTRACT - COST CENTRE'!$A$1:$Z$455,MATCH('Summary - Monthly'!$A158,'TRANS EMP EXTRACT - COST CENTRE'!$A:$A,0),MATCH('Summary - Monthly'!O$3,'TRANS EMP EXTRACT - COST CENTRE'!$2:$2,0)),0)</f>
        <v>0</v>
      </c>
      <c r="P158" s="10">
        <f>IFERROR(INDEX('TRANS EMP EXTRACT - COST CENTRE'!$A$1:$Z$455,MATCH('Summary - Monthly'!$A158,'TRANS EMP EXTRACT - COST CENTRE'!$A:$A,0),MATCH('Summary - Monthly'!P$3,'TRANS EMP EXTRACT - COST CENTRE'!$2:$2,0)),0)</f>
        <v>0</v>
      </c>
      <c r="Q158" s="10">
        <f>IFERROR(INDEX('TRANS EMP EXTRACT - COST CENTRE'!$A$1:$Z$455,MATCH('Summary - Monthly'!$A158,'TRANS EMP EXTRACT - COST CENTRE'!$A:$A,0),MATCH('Summary - Monthly'!Q$3,'TRANS EMP EXTRACT - COST CENTRE'!$2:$2,0)),0)</f>
        <v>0</v>
      </c>
      <c r="R158" s="10">
        <f>IFERROR(INDEX('TRANS EMP EXTRACT - COST CENTRE'!$A$1:$Z$455,MATCH('Summary - Monthly'!$A158,'TRANS EMP EXTRACT - COST CENTRE'!$A:$A,0),MATCH('Summary - Monthly'!R$3,'TRANS EMP EXTRACT - COST CENTRE'!$2:$2,0)),0)</f>
        <v>0</v>
      </c>
      <c r="S158" s="10">
        <f>IFERROR(INDEX('TRANS EMP EXTRACT - COST CENTRE'!$A$1:$Z$455,MATCH('Summary - Monthly'!$A158,'TRANS EMP EXTRACT - COST CENTRE'!$A:$A,0),MATCH('Summary - Monthly'!S$3,'TRANS EMP EXTRACT - COST CENTRE'!$2:$2,0)),0)</f>
        <v>0</v>
      </c>
      <c r="T158" s="8">
        <f>IFERROR(INDEX('TRANS EMP EXTRACT - COST CENTRE'!$A$1:$Z$455,MATCH('Summary - Monthly'!$A158,'TRANS EMP EXTRACT - COST CENTRE'!$A:$A,0),MATCH('Summary - Monthly'!T$3,'TRANS EMP EXTRACT - COST CENTRE'!$2:$2,0)),0)</f>
        <v>0</v>
      </c>
      <c r="U158" s="13">
        <f>IFERROR(INDEX('TRANS EMP EXTRACT - COST CENTRE'!$A$1:$Z$455,MATCH('Summary - Monthly'!$A158,'TRANS EMP EXTRACT - COST CENTRE'!$A:$A,0),MATCH('Summary - Monthly'!U$3,'TRANS EMP EXTRACT - COST CENTRE'!$2:$2,0)),0)</f>
        <v>0</v>
      </c>
      <c r="V158" s="13">
        <f>IFERROR(INDEX('TRANS EMP EXTRACT - COST CENTRE'!$A$1:$Z$455,MATCH('Summary - Monthly'!$A158,'TRANS EMP EXTRACT - COST CENTRE'!$A:$A,0),MATCH('Summary - Monthly'!V$3,'TRANS EMP EXTRACT - COST CENTRE'!$2:$2,0)),0)</f>
        <v>0</v>
      </c>
      <c r="W158" s="13">
        <f>IFERROR(INDEX('TRANS EMP EXTRACT - COST CENTRE'!$A$1:$Z$455,MATCH('Summary - Monthly'!$A158,'TRANS EMP EXTRACT - COST CENTRE'!$A:$A,0),MATCH('Summary - Monthly'!W$3,'TRANS EMP EXTRACT - COST CENTRE'!$2:$2,0)),0)</f>
        <v>0</v>
      </c>
      <c r="X158" s="13">
        <f>IFERROR(INDEX('TRANS EMP EXTRACT - COST CENTRE'!$A$1:$Z$455,MATCH('Summary - Monthly'!$A158,'TRANS EMP EXTRACT - COST CENTRE'!$A:$A,0),MATCH('Summary - Monthly'!X$3,'TRANS EMP EXTRACT - COST CENTRE'!$2:$2,0)),0)</f>
        <v>0</v>
      </c>
      <c r="Y158" s="13">
        <f>IFERROR(INDEX('TRANS EMP EXTRACT - COST CENTRE'!$A$1:$Z$455,MATCH('Summary - Monthly'!$A158,'TRANS EMP EXTRACT - COST CENTRE'!$A:$A,0),MATCH('Summary - Monthly'!Y$3,'TRANS EMP EXTRACT - COST CENTRE'!$2:$2,0)),0)</f>
        <v>0</v>
      </c>
      <c r="Z158" s="10">
        <f>IFERROR(INDEX('TRANS EMP EXTRACT - COST CENTRE'!$A$1:$Z$455,MATCH('Summary - Monthly'!$A158,'TRANS EMP EXTRACT - COST CENTRE'!$A:$A,0),MATCH('Summary - Monthly'!Z$3,'TRANS EMP EXTRACT - COST CENTRE'!$2:$2,0)),0)</f>
        <v>0</v>
      </c>
      <c r="AA158" s="10">
        <f>IFERROR(INDEX('TRANS EMP EXTRACT - COST CENTRE'!$A$1:$Z$455,MATCH('Summary - Monthly'!$A158,'TRANS EMP EXTRACT - COST CENTRE'!$A:$A,0),MATCH('Summary - Monthly'!AA$3,'TRANS EMP EXTRACT - COST CENTRE'!$2:$2,0)),0)</f>
        <v>0</v>
      </c>
      <c r="AB158" s="10">
        <f>IFERROR(INDEX('TRANS EMP EXTRACT - COST CENTRE'!$A$1:$Z$455,MATCH('Summary - Monthly'!$A158,'TRANS EMP EXTRACT - COST CENTRE'!$A:$A,0),MATCH('Summary - Monthly'!AB$3,'TRANS EMP EXTRACT - COST CENTRE'!$2:$2,0)),0)</f>
        <v>0</v>
      </c>
      <c r="AC158" s="8">
        <f>IFERROR(INDEX('TRANS EMP EXTRACT - COST CENTRE'!$A$1:$Z$455,MATCH('Summary - Monthly'!$A158,'TRANS EMP EXTRACT - COST CENTRE'!$A:$A,0),MATCH('Summary - Monthly'!AC$3,'TRANS EMP EXTRACT - COST CENTRE'!$2:$2,0)),0)</f>
        <v>0</v>
      </c>
      <c r="AD158" s="13">
        <f>IFERROR(INDEX('TRANS EMP EXTRACT - COST CENTRE'!$A$1:$Z$455,MATCH('Summary - Monthly'!$A158,'TRANS EMP EXTRACT - COST CENTRE'!$A:$A,0),MATCH('Summary - Monthly'!AD$3,'TRANS EMP EXTRACT - COST CENTRE'!$2:$2,0)),0)</f>
        <v>0</v>
      </c>
      <c r="AE158" s="13">
        <f>IFERROR(INDEX('TRANS EMP EXTRACT - COST CENTRE'!$A$1:$Z$455,MATCH('Summary - Monthly'!$A158,'TRANS EMP EXTRACT - COST CENTRE'!$A:$A,0),MATCH('Summary - Monthly'!AE$3,'TRANS EMP EXTRACT - COST CENTRE'!$2:$2,0)),0)</f>
        <v>0</v>
      </c>
      <c r="AF158" s="13">
        <f>IFERROR(INDEX('TRANS EMP EXTRACT - COST CENTRE'!$A$1:$Z$455,MATCH('Summary - Monthly'!$A158,'TRANS EMP EXTRACT - COST CENTRE'!$A:$A,0),MATCH('Summary - Monthly'!AF$3,'TRANS EMP EXTRACT - COST CENTRE'!$2:$2,0)),0)</f>
        <v>0</v>
      </c>
      <c r="AG158" s="10">
        <f>IFERROR(INDEX('TRANS EMP EXTRACT - COST CENTRE'!$A$1:$Z$455,MATCH('Summary - Monthly'!$A158,'TRANS EMP EXTRACT - COST CENTRE'!$A:$A,0),MATCH('Summary - Monthly'!AG$3,'TRANS EMP EXTRACT - COST CENTRE'!$2:$2,0)),0)</f>
        <v>0</v>
      </c>
      <c r="AH158" s="10">
        <f>IFERROR(INDEX('TRANS EMP EXTRACT - COST CENTRE'!$A$1:$Z$455,MATCH('Summary - Monthly'!$A158,'TRANS EMP EXTRACT - COST CENTRE'!$A:$A,0),MATCH('Summary - Monthly'!AH$3,'TRANS EMP EXTRACT - COST CENTRE'!$2:$2,0)),0)</f>
        <v>0</v>
      </c>
      <c r="AI158" s="10">
        <f>IFERROR(INDEX('TRANS EMP EXTRACT - COST CENTRE'!$A$1:$Z$455,MATCH('Summary - Monthly'!$A158,'TRANS EMP EXTRACT - COST CENTRE'!$A:$A,0),MATCH('Summary - Monthly'!AI$3,'TRANS EMP EXTRACT - COST CENTRE'!$2:$2,0)),0)</f>
        <v>0</v>
      </c>
      <c r="AJ158" s="10">
        <f>IFERROR(INDEX('TRANS EMP EXTRACT - COST CENTRE'!$A$1:$Z$455,MATCH('Summary - Monthly'!$A158,'TRANS EMP EXTRACT - COST CENTRE'!$A:$A,0),MATCH('Summary - Monthly'!AJ$3,'TRANS EMP EXTRACT - COST CENTRE'!$2:$2,0)),0)</f>
        <v>0</v>
      </c>
      <c r="AK158" s="10">
        <f>IFERROR(INDEX('TRANS EMP EXTRACT - COST CENTRE'!$A$1:$Z$455,MATCH('Summary - Monthly'!$A158,'TRANS EMP EXTRACT - COST CENTRE'!$A:$A,0),MATCH('Summary - Monthly'!AK$3,'TRANS EMP EXTRACT - COST CENTRE'!$2:$2,0)),0)</f>
        <v>0</v>
      </c>
      <c r="AL158" s="10">
        <f>IFERROR(INDEX('TRANS EMP EXTRACT - COST CENTRE'!$A$1:$Z$455,MATCH('Summary - Monthly'!$A158,'TRANS EMP EXTRACT - COST CENTRE'!$A:$A,0),MATCH('Summary - Monthly'!AL$3,'TRANS EMP EXTRACT - COST CENTRE'!$2:$2,0)),0)</f>
        <v>0</v>
      </c>
      <c r="AM158" s="10">
        <f t="shared" si="32"/>
        <v>0</v>
      </c>
      <c r="AN158" s="14">
        <f t="shared" si="26"/>
        <v>0</v>
      </c>
      <c r="AO158" s="18">
        <f t="shared" si="30"/>
        <v>0</v>
      </c>
      <c r="AP158" s="18">
        <f t="shared" si="31"/>
        <v>0</v>
      </c>
      <c r="AQ158" s="10" t="str">
        <f>IFERROR(VLOOKUP(B158,Departments!A:C,3,FALSE),"")</f>
        <v/>
      </c>
      <c r="AR158" s="10" t="str">
        <f>IFERROR(VLOOKUP(B158,Departments!A:B,2,FALSE),"")</f>
        <v/>
      </c>
      <c r="AS158" s="10">
        <f t="shared" si="27"/>
        <v>0</v>
      </c>
      <c r="AT158" s="10">
        <f t="shared" si="28"/>
        <v>0</v>
      </c>
      <c r="AU158" s="10" t="str">
        <f>_xlfn.IFNA(VLOOKUP(B158,Departments!A:D,4,FALSE),"")</f>
        <v/>
      </c>
    </row>
    <row r="159" spans="1:47" ht="14.45" customHeight="1">
      <c r="A159" s="11" t="str">
        <f t="shared" si="24"/>
        <v>00</v>
      </c>
      <c r="B159" s="11">
        <f>'TRANS EMP EXTRACT - COST CENTRE'!B158</f>
        <v>0</v>
      </c>
      <c r="C159" s="10" t="str">
        <f>IFERROR(VLOOKUP(E159,'TRANS EMP EXTRACT - EMP CATEGOR'!A:B,2,FALSE),"")</f>
        <v/>
      </c>
      <c r="D159" s="10" t="str">
        <f>IFERROR(VLOOKUP(E159,'TRANS EMP EXTRACT - EMP CATEGOR'!A:C,3,FALSE),"")</f>
        <v/>
      </c>
      <c r="E159" s="11">
        <f>'TRANS EMP EXTRACT - COST CENTRE'!D158</f>
        <v>0</v>
      </c>
      <c r="F159" s="10" t="str">
        <f>IFERROR(VLOOKUP(E159,'TRANS EMP EXTRACT - COST CENTRE'!D:E,2,FALSE),"")</f>
        <v/>
      </c>
      <c r="G159" s="12" t="str">
        <f>IFERROR(INDEX('TRANS EMP EXTRACT - COST CENTRE'!$A$1:$Z$455,MATCH('Summary - Monthly'!$A159,'TRANS EMP EXTRACT - COST CENTRE'!$A:$A,0),MATCH('Summary - Monthly'!G$3,'TRANS EMP EXTRACT - COST CENTRE'!$2:$2,0)),"")</f>
        <v/>
      </c>
      <c r="H159" s="10" t="str">
        <f>IFERROR(INDEX('TRANS EMP EXTRACT - COST CENTRE'!$B$1:$Z$455,MATCH('Summary - Monthly'!$E159,'TRANS EMP EXTRACT - COST CENTRE'!$D:$D,0),MATCH('Summary - Monthly'!H$3,'TRANS EMP EXTRACT - COST CENTRE'!$2:$2,0)),"")</f>
        <v/>
      </c>
      <c r="I159" s="12" t="str">
        <f>IFERROR(INDEX('TRANS EMP EXTRACT - EMP CATEGOR'!$B$1:$AF$421,MATCH('Summary - Monthly'!$E159,'TRANS EMP EXTRACT - EMP CATEGOR'!$D:$D,0),MATCH('Summary - Monthly'!H$3,'TRANS EMP EXTRACT - EMP CATEGOR'!$2:$2,0)),"")</f>
        <v/>
      </c>
      <c r="J159" s="41">
        <f t="shared" ca="1" si="25"/>
        <v>0</v>
      </c>
      <c r="K159" s="41">
        <f t="shared" ca="1" si="29"/>
        <v>0</v>
      </c>
      <c r="L159" s="10" t="str">
        <f>IFERROR(INDEX('TRANS EMP EXTRACT - COST CENTRE'!$A$1:$Z$455,MATCH('Summary - Monthly'!$A159,'TRANS EMP EXTRACT - COST CENTRE'!$A:$A,0),MATCH('Summary - Monthly'!L$3,'TRANS EMP EXTRACT - COST CENTRE'!$2:$2,0)),"")</f>
        <v/>
      </c>
      <c r="M159" s="10">
        <f>IFERROR(INDEX('TRANS EMP EXTRACT - COST CENTRE'!$A$1:$Z$455,MATCH('Summary - Monthly'!$A159,'TRANS EMP EXTRACT - COST CENTRE'!$A:$A,0),MATCH('Summary - Monthly'!M$3,'TRANS EMP EXTRACT - COST CENTRE'!$2:$2,0)),0)</f>
        <v>0</v>
      </c>
      <c r="N159" s="10">
        <f>IFERROR(INDEX('TRANS EMP EXTRACT - COST CENTRE'!$A$1:$Z$455,MATCH('Summary - Monthly'!$A159,'TRANS EMP EXTRACT - COST CENTRE'!$A:$A,0),MATCH('Summary - Monthly'!N$3,'TRANS EMP EXTRACT - COST CENTRE'!$2:$2,0)),0)</f>
        <v>0</v>
      </c>
      <c r="O159" s="10">
        <f>IFERROR(INDEX('TRANS EMP EXTRACT - COST CENTRE'!$A$1:$Z$455,MATCH('Summary - Monthly'!$A159,'TRANS EMP EXTRACT - COST CENTRE'!$A:$A,0),MATCH('Summary - Monthly'!O$3,'TRANS EMP EXTRACT - COST CENTRE'!$2:$2,0)),0)</f>
        <v>0</v>
      </c>
      <c r="P159" s="10">
        <f>IFERROR(INDEX('TRANS EMP EXTRACT - COST CENTRE'!$A$1:$Z$455,MATCH('Summary - Monthly'!$A159,'TRANS EMP EXTRACT - COST CENTRE'!$A:$A,0),MATCH('Summary - Monthly'!P$3,'TRANS EMP EXTRACT - COST CENTRE'!$2:$2,0)),0)</f>
        <v>0</v>
      </c>
      <c r="Q159" s="10">
        <f>IFERROR(INDEX('TRANS EMP EXTRACT - COST CENTRE'!$A$1:$Z$455,MATCH('Summary - Monthly'!$A159,'TRANS EMP EXTRACT - COST CENTRE'!$A:$A,0),MATCH('Summary - Monthly'!Q$3,'TRANS EMP EXTRACT - COST CENTRE'!$2:$2,0)),0)</f>
        <v>0</v>
      </c>
      <c r="R159" s="10">
        <f>IFERROR(INDEX('TRANS EMP EXTRACT - COST CENTRE'!$A$1:$Z$455,MATCH('Summary - Monthly'!$A159,'TRANS EMP EXTRACT - COST CENTRE'!$A:$A,0),MATCH('Summary - Monthly'!R$3,'TRANS EMP EXTRACT - COST CENTRE'!$2:$2,0)),0)</f>
        <v>0</v>
      </c>
      <c r="S159" s="10">
        <f>IFERROR(INDEX('TRANS EMP EXTRACT - COST CENTRE'!$A$1:$Z$455,MATCH('Summary - Monthly'!$A159,'TRANS EMP EXTRACT - COST CENTRE'!$A:$A,0),MATCH('Summary - Monthly'!S$3,'TRANS EMP EXTRACT - COST CENTRE'!$2:$2,0)),0)</f>
        <v>0</v>
      </c>
      <c r="T159" s="8">
        <f>IFERROR(INDEX('TRANS EMP EXTRACT - COST CENTRE'!$A$1:$Z$455,MATCH('Summary - Monthly'!$A159,'TRANS EMP EXTRACT - COST CENTRE'!$A:$A,0),MATCH('Summary - Monthly'!T$3,'TRANS EMP EXTRACT - COST CENTRE'!$2:$2,0)),0)</f>
        <v>0</v>
      </c>
      <c r="U159" s="13">
        <f>IFERROR(INDEX('TRANS EMP EXTRACT - COST CENTRE'!$A$1:$Z$455,MATCH('Summary - Monthly'!$A159,'TRANS EMP EXTRACT - COST CENTRE'!$A:$A,0),MATCH('Summary - Monthly'!U$3,'TRANS EMP EXTRACT - COST CENTRE'!$2:$2,0)),0)</f>
        <v>0</v>
      </c>
      <c r="V159" s="13">
        <f>IFERROR(INDEX('TRANS EMP EXTRACT - COST CENTRE'!$A$1:$Z$455,MATCH('Summary - Monthly'!$A159,'TRANS EMP EXTRACT - COST CENTRE'!$A:$A,0),MATCH('Summary - Monthly'!V$3,'TRANS EMP EXTRACT - COST CENTRE'!$2:$2,0)),0)</f>
        <v>0</v>
      </c>
      <c r="W159" s="13">
        <f>IFERROR(INDEX('TRANS EMP EXTRACT - COST CENTRE'!$A$1:$Z$455,MATCH('Summary - Monthly'!$A159,'TRANS EMP EXTRACT - COST CENTRE'!$A:$A,0),MATCH('Summary - Monthly'!W$3,'TRANS EMP EXTRACT - COST CENTRE'!$2:$2,0)),0)</f>
        <v>0</v>
      </c>
      <c r="X159" s="13">
        <f>IFERROR(INDEX('TRANS EMP EXTRACT - COST CENTRE'!$A$1:$Z$455,MATCH('Summary - Monthly'!$A159,'TRANS EMP EXTRACT - COST CENTRE'!$A:$A,0),MATCH('Summary - Monthly'!X$3,'TRANS EMP EXTRACT - COST CENTRE'!$2:$2,0)),0)</f>
        <v>0</v>
      </c>
      <c r="Y159" s="13">
        <f>IFERROR(INDEX('TRANS EMP EXTRACT - COST CENTRE'!$A$1:$Z$455,MATCH('Summary - Monthly'!$A159,'TRANS EMP EXTRACT - COST CENTRE'!$A:$A,0),MATCH('Summary - Monthly'!Y$3,'TRANS EMP EXTRACT - COST CENTRE'!$2:$2,0)),0)</f>
        <v>0</v>
      </c>
      <c r="Z159" s="10">
        <f>IFERROR(INDEX('TRANS EMP EXTRACT - COST CENTRE'!$A$1:$Z$455,MATCH('Summary - Monthly'!$A159,'TRANS EMP EXTRACT - COST CENTRE'!$A:$A,0),MATCH('Summary - Monthly'!Z$3,'TRANS EMP EXTRACT - COST CENTRE'!$2:$2,0)),0)</f>
        <v>0</v>
      </c>
      <c r="AA159" s="10">
        <f>IFERROR(INDEX('TRANS EMP EXTRACT - COST CENTRE'!$A$1:$Z$455,MATCH('Summary - Monthly'!$A159,'TRANS EMP EXTRACT - COST CENTRE'!$A:$A,0),MATCH('Summary - Monthly'!AA$3,'TRANS EMP EXTRACT - COST CENTRE'!$2:$2,0)),0)</f>
        <v>0</v>
      </c>
      <c r="AB159" s="10">
        <f>IFERROR(INDEX('TRANS EMP EXTRACT - COST CENTRE'!$A$1:$Z$455,MATCH('Summary - Monthly'!$A159,'TRANS EMP EXTRACT - COST CENTRE'!$A:$A,0),MATCH('Summary - Monthly'!AB$3,'TRANS EMP EXTRACT - COST CENTRE'!$2:$2,0)),0)</f>
        <v>0</v>
      </c>
      <c r="AC159" s="8">
        <f>IFERROR(INDEX('TRANS EMP EXTRACT - COST CENTRE'!$A$1:$Z$455,MATCH('Summary - Monthly'!$A159,'TRANS EMP EXTRACT - COST CENTRE'!$A:$A,0),MATCH('Summary - Monthly'!AC$3,'TRANS EMP EXTRACT - COST CENTRE'!$2:$2,0)),0)</f>
        <v>0</v>
      </c>
      <c r="AD159" s="13">
        <f>IFERROR(INDEX('TRANS EMP EXTRACT - COST CENTRE'!$A$1:$Z$455,MATCH('Summary - Monthly'!$A159,'TRANS EMP EXTRACT - COST CENTRE'!$A:$A,0),MATCH('Summary - Monthly'!AD$3,'TRANS EMP EXTRACT - COST CENTRE'!$2:$2,0)),0)</f>
        <v>0</v>
      </c>
      <c r="AE159" s="13">
        <f>IFERROR(INDEX('TRANS EMP EXTRACT - COST CENTRE'!$A$1:$Z$455,MATCH('Summary - Monthly'!$A159,'TRANS EMP EXTRACT - COST CENTRE'!$A:$A,0),MATCH('Summary - Monthly'!AE$3,'TRANS EMP EXTRACT - COST CENTRE'!$2:$2,0)),0)</f>
        <v>0</v>
      </c>
      <c r="AF159" s="13">
        <f>IFERROR(INDEX('TRANS EMP EXTRACT - COST CENTRE'!$A$1:$Z$455,MATCH('Summary - Monthly'!$A159,'TRANS EMP EXTRACT - COST CENTRE'!$A:$A,0),MATCH('Summary - Monthly'!AF$3,'TRANS EMP EXTRACT - COST CENTRE'!$2:$2,0)),0)</f>
        <v>0</v>
      </c>
      <c r="AG159" s="10">
        <f>IFERROR(INDEX('TRANS EMP EXTRACT - COST CENTRE'!$A$1:$Z$455,MATCH('Summary - Monthly'!$A159,'TRANS EMP EXTRACT - COST CENTRE'!$A:$A,0),MATCH('Summary - Monthly'!AG$3,'TRANS EMP EXTRACT - COST CENTRE'!$2:$2,0)),0)</f>
        <v>0</v>
      </c>
      <c r="AH159" s="10">
        <f>IFERROR(INDEX('TRANS EMP EXTRACT - COST CENTRE'!$A$1:$Z$455,MATCH('Summary - Monthly'!$A159,'TRANS EMP EXTRACT - COST CENTRE'!$A:$A,0),MATCH('Summary - Monthly'!AH$3,'TRANS EMP EXTRACT - COST CENTRE'!$2:$2,0)),0)</f>
        <v>0</v>
      </c>
      <c r="AI159" s="10">
        <f>IFERROR(INDEX('TRANS EMP EXTRACT - COST CENTRE'!$A$1:$Z$455,MATCH('Summary - Monthly'!$A159,'TRANS EMP EXTRACT - COST CENTRE'!$A:$A,0),MATCH('Summary - Monthly'!AI$3,'TRANS EMP EXTRACT - COST CENTRE'!$2:$2,0)),0)</f>
        <v>0</v>
      </c>
      <c r="AJ159" s="10">
        <f>IFERROR(INDEX('TRANS EMP EXTRACT - COST CENTRE'!$A$1:$Z$455,MATCH('Summary - Monthly'!$A159,'TRANS EMP EXTRACT - COST CENTRE'!$A:$A,0),MATCH('Summary - Monthly'!AJ$3,'TRANS EMP EXTRACT - COST CENTRE'!$2:$2,0)),0)</f>
        <v>0</v>
      </c>
      <c r="AK159" s="10">
        <f>IFERROR(INDEX('TRANS EMP EXTRACT - COST CENTRE'!$A$1:$Z$455,MATCH('Summary - Monthly'!$A159,'TRANS EMP EXTRACT - COST CENTRE'!$A:$A,0),MATCH('Summary - Monthly'!AK$3,'TRANS EMP EXTRACT - COST CENTRE'!$2:$2,0)),0)</f>
        <v>0</v>
      </c>
      <c r="AL159" s="10">
        <f>IFERROR(INDEX('TRANS EMP EXTRACT - COST CENTRE'!$A$1:$Z$455,MATCH('Summary - Monthly'!$A159,'TRANS EMP EXTRACT - COST CENTRE'!$A:$A,0),MATCH('Summary - Monthly'!AL$3,'TRANS EMP EXTRACT - COST CENTRE'!$2:$2,0)),0)</f>
        <v>0</v>
      </c>
      <c r="AM159" s="10">
        <f t="shared" si="32"/>
        <v>0</v>
      </c>
      <c r="AN159" s="14">
        <f t="shared" si="26"/>
        <v>0</v>
      </c>
      <c r="AO159" s="18">
        <f t="shared" si="30"/>
        <v>0</v>
      </c>
      <c r="AP159" s="18">
        <f t="shared" si="31"/>
        <v>0</v>
      </c>
      <c r="AQ159" s="10" t="str">
        <f>IFERROR(VLOOKUP(B159,Departments!A:C,3,FALSE),"")</f>
        <v/>
      </c>
      <c r="AR159" s="10" t="str">
        <f>IFERROR(VLOOKUP(B159,Departments!A:B,2,FALSE),"")</f>
        <v/>
      </c>
      <c r="AS159" s="10">
        <f t="shared" si="27"/>
        <v>0</v>
      </c>
      <c r="AT159" s="10">
        <f t="shared" si="28"/>
        <v>0</v>
      </c>
      <c r="AU159" s="10" t="str">
        <f>_xlfn.IFNA(VLOOKUP(B159,Departments!A:D,4,FALSE),"")</f>
        <v/>
      </c>
    </row>
    <row r="160" spans="1:47" ht="14.45" customHeight="1">
      <c r="A160" s="11" t="str">
        <f t="shared" si="24"/>
        <v>00</v>
      </c>
      <c r="B160" s="11">
        <f>'TRANS EMP EXTRACT - COST CENTRE'!B159</f>
        <v>0</v>
      </c>
      <c r="C160" s="10" t="str">
        <f>IFERROR(VLOOKUP(E160,'TRANS EMP EXTRACT - EMP CATEGOR'!A:B,2,FALSE),"")</f>
        <v/>
      </c>
      <c r="D160" s="10" t="str">
        <f>IFERROR(VLOOKUP(E160,'TRANS EMP EXTRACT - EMP CATEGOR'!A:C,3,FALSE),"")</f>
        <v/>
      </c>
      <c r="E160" s="11">
        <f>'TRANS EMP EXTRACT - COST CENTRE'!D159</f>
        <v>0</v>
      </c>
      <c r="F160" s="10" t="str">
        <f>IFERROR(VLOOKUP(E160,'TRANS EMP EXTRACT - COST CENTRE'!D:E,2,FALSE),"")</f>
        <v/>
      </c>
      <c r="G160" s="12" t="str">
        <f>IFERROR(INDEX('TRANS EMP EXTRACT - COST CENTRE'!$A$1:$Z$455,MATCH('Summary - Monthly'!$A160,'TRANS EMP EXTRACT - COST CENTRE'!$A:$A,0),MATCH('Summary - Monthly'!G$3,'TRANS EMP EXTRACT - COST CENTRE'!$2:$2,0)),"")</f>
        <v/>
      </c>
      <c r="H160" s="10" t="str">
        <f>IFERROR(INDEX('TRANS EMP EXTRACT - COST CENTRE'!$B$1:$Z$455,MATCH('Summary - Monthly'!$E160,'TRANS EMP EXTRACT - COST CENTRE'!$D:$D,0),MATCH('Summary - Monthly'!H$3,'TRANS EMP EXTRACT - COST CENTRE'!$2:$2,0)),"")</f>
        <v/>
      </c>
      <c r="I160" s="12" t="str">
        <f>IFERROR(INDEX('TRANS EMP EXTRACT - EMP CATEGOR'!$B$1:$AF$421,MATCH('Summary - Monthly'!$E160,'TRANS EMP EXTRACT - EMP CATEGOR'!$D:$D,0),MATCH('Summary - Monthly'!H$3,'TRANS EMP EXTRACT - EMP CATEGOR'!$2:$2,0)),"")</f>
        <v/>
      </c>
      <c r="J160" s="41">
        <f t="shared" ca="1" si="25"/>
        <v>0</v>
      </c>
      <c r="K160" s="41">
        <f t="shared" ca="1" si="29"/>
        <v>0</v>
      </c>
      <c r="L160" s="10" t="str">
        <f>IFERROR(INDEX('TRANS EMP EXTRACT - COST CENTRE'!$A$1:$Z$455,MATCH('Summary - Monthly'!$A160,'TRANS EMP EXTRACT - COST CENTRE'!$A:$A,0),MATCH('Summary - Monthly'!L$3,'TRANS EMP EXTRACT - COST CENTRE'!$2:$2,0)),"")</f>
        <v/>
      </c>
      <c r="M160" s="10">
        <f>IFERROR(INDEX('TRANS EMP EXTRACT - COST CENTRE'!$A$1:$Z$455,MATCH('Summary - Monthly'!$A160,'TRANS EMP EXTRACT - COST CENTRE'!$A:$A,0),MATCH('Summary - Monthly'!M$3,'TRANS EMP EXTRACT - COST CENTRE'!$2:$2,0)),0)</f>
        <v>0</v>
      </c>
      <c r="N160" s="10">
        <f>IFERROR(INDEX('TRANS EMP EXTRACT - COST CENTRE'!$A$1:$Z$455,MATCH('Summary - Monthly'!$A160,'TRANS EMP EXTRACT - COST CENTRE'!$A:$A,0),MATCH('Summary - Monthly'!N$3,'TRANS EMP EXTRACT - COST CENTRE'!$2:$2,0)),0)</f>
        <v>0</v>
      </c>
      <c r="O160" s="10">
        <f>IFERROR(INDEX('TRANS EMP EXTRACT - COST CENTRE'!$A$1:$Z$455,MATCH('Summary - Monthly'!$A160,'TRANS EMP EXTRACT - COST CENTRE'!$A:$A,0),MATCH('Summary - Monthly'!O$3,'TRANS EMP EXTRACT - COST CENTRE'!$2:$2,0)),0)</f>
        <v>0</v>
      </c>
      <c r="P160" s="10">
        <f>IFERROR(INDEX('TRANS EMP EXTRACT - COST CENTRE'!$A$1:$Z$455,MATCH('Summary - Monthly'!$A160,'TRANS EMP EXTRACT - COST CENTRE'!$A:$A,0),MATCH('Summary - Monthly'!P$3,'TRANS EMP EXTRACT - COST CENTRE'!$2:$2,0)),0)</f>
        <v>0</v>
      </c>
      <c r="Q160" s="10">
        <f>IFERROR(INDEX('TRANS EMP EXTRACT - COST CENTRE'!$A$1:$Z$455,MATCH('Summary - Monthly'!$A160,'TRANS EMP EXTRACT - COST CENTRE'!$A:$A,0),MATCH('Summary - Monthly'!Q$3,'TRANS EMP EXTRACT - COST CENTRE'!$2:$2,0)),0)</f>
        <v>0</v>
      </c>
      <c r="R160" s="10">
        <f>IFERROR(INDEX('TRANS EMP EXTRACT - COST CENTRE'!$A$1:$Z$455,MATCH('Summary - Monthly'!$A160,'TRANS EMP EXTRACT - COST CENTRE'!$A:$A,0),MATCH('Summary - Monthly'!R$3,'TRANS EMP EXTRACT - COST CENTRE'!$2:$2,0)),0)</f>
        <v>0</v>
      </c>
      <c r="S160" s="10">
        <f>IFERROR(INDEX('TRANS EMP EXTRACT - COST CENTRE'!$A$1:$Z$455,MATCH('Summary - Monthly'!$A160,'TRANS EMP EXTRACT - COST CENTRE'!$A:$A,0),MATCH('Summary - Monthly'!S$3,'TRANS EMP EXTRACT - COST CENTRE'!$2:$2,0)),0)</f>
        <v>0</v>
      </c>
      <c r="T160" s="8">
        <f>IFERROR(INDEX('TRANS EMP EXTRACT - COST CENTRE'!$A$1:$Z$455,MATCH('Summary - Monthly'!$A160,'TRANS EMP EXTRACT - COST CENTRE'!$A:$A,0),MATCH('Summary - Monthly'!T$3,'TRANS EMP EXTRACT - COST CENTRE'!$2:$2,0)),0)</f>
        <v>0</v>
      </c>
      <c r="U160" s="13">
        <f>IFERROR(INDEX('TRANS EMP EXTRACT - COST CENTRE'!$A$1:$Z$455,MATCH('Summary - Monthly'!$A160,'TRANS EMP EXTRACT - COST CENTRE'!$A:$A,0),MATCH('Summary - Monthly'!U$3,'TRANS EMP EXTRACT - COST CENTRE'!$2:$2,0)),0)</f>
        <v>0</v>
      </c>
      <c r="V160" s="13">
        <f>IFERROR(INDEX('TRANS EMP EXTRACT - COST CENTRE'!$A$1:$Z$455,MATCH('Summary - Monthly'!$A160,'TRANS EMP EXTRACT - COST CENTRE'!$A:$A,0),MATCH('Summary - Monthly'!V$3,'TRANS EMP EXTRACT - COST CENTRE'!$2:$2,0)),0)</f>
        <v>0</v>
      </c>
      <c r="W160" s="13">
        <f>IFERROR(INDEX('TRANS EMP EXTRACT - COST CENTRE'!$A$1:$Z$455,MATCH('Summary - Monthly'!$A160,'TRANS EMP EXTRACT - COST CENTRE'!$A:$A,0),MATCH('Summary - Monthly'!W$3,'TRANS EMP EXTRACT - COST CENTRE'!$2:$2,0)),0)</f>
        <v>0</v>
      </c>
      <c r="X160" s="13">
        <f>IFERROR(INDEX('TRANS EMP EXTRACT - COST CENTRE'!$A$1:$Z$455,MATCH('Summary - Monthly'!$A160,'TRANS EMP EXTRACT - COST CENTRE'!$A:$A,0),MATCH('Summary - Monthly'!X$3,'TRANS EMP EXTRACT - COST CENTRE'!$2:$2,0)),0)</f>
        <v>0</v>
      </c>
      <c r="Y160" s="13">
        <f>IFERROR(INDEX('TRANS EMP EXTRACT - COST CENTRE'!$A$1:$Z$455,MATCH('Summary - Monthly'!$A160,'TRANS EMP EXTRACT - COST CENTRE'!$A:$A,0),MATCH('Summary - Monthly'!Y$3,'TRANS EMP EXTRACT - COST CENTRE'!$2:$2,0)),0)</f>
        <v>0</v>
      </c>
      <c r="Z160" s="10">
        <f>IFERROR(INDEX('TRANS EMP EXTRACT - COST CENTRE'!$A$1:$Z$455,MATCH('Summary - Monthly'!$A160,'TRANS EMP EXTRACT - COST CENTRE'!$A:$A,0),MATCH('Summary - Monthly'!Z$3,'TRANS EMP EXTRACT - COST CENTRE'!$2:$2,0)),0)</f>
        <v>0</v>
      </c>
      <c r="AA160" s="10">
        <f>IFERROR(INDEX('TRANS EMP EXTRACT - COST CENTRE'!$A$1:$Z$455,MATCH('Summary - Monthly'!$A160,'TRANS EMP EXTRACT - COST CENTRE'!$A:$A,0),MATCH('Summary - Monthly'!AA$3,'TRANS EMP EXTRACT - COST CENTRE'!$2:$2,0)),0)</f>
        <v>0</v>
      </c>
      <c r="AB160" s="10">
        <f>IFERROR(INDEX('TRANS EMP EXTRACT - COST CENTRE'!$A$1:$Z$455,MATCH('Summary - Monthly'!$A160,'TRANS EMP EXTRACT - COST CENTRE'!$A:$A,0),MATCH('Summary - Monthly'!AB$3,'TRANS EMP EXTRACT - COST CENTRE'!$2:$2,0)),0)</f>
        <v>0</v>
      </c>
      <c r="AC160" s="8">
        <f>IFERROR(INDEX('TRANS EMP EXTRACT - COST CENTRE'!$A$1:$Z$455,MATCH('Summary - Monthly'!$A160,'TRANS EMP EXTRACT - COST CENTRE'!$A:$A,0),MATCH('Summary - Monthly'!AC$3,'TRANS EMP EXTRACT - COST CENTRE'!$2:$2,0)),0)</f>
        <v>0</v>
      </c>
      <c r="AD160" s="13">
        <f>IFERROR(INDEX('TRANS EMP EXTRACT - COST CENTRE'!$A$1:$Z$455,MATCH('Summary - Monthly'!$A160,'TRANS EMP EXTRACT - COST CENTRE'!$A:$A,0),MATCH('Summary - Monthly'!AD$3,'TRANS EMP EXTRACT - COST CENTRE'!$2:$2,0)),0)</f>
        <v>0</v>
      </c>
      <c r="AE160" s="13">
        <f>IFERROR(INDEX('TRANS EMP EXTRACT - COST CENTRE'!$A$1:$Z$455,MATCH('Summary - Monthly'!$A160,'TRANS EMP EXTRACT - COST CENTRE'!$A:$A,0),MATCH('Summary - Monthly'!AE$3,'TRANS EMP EXTRACT - COST CENTRE'!$2:$2,0)),0)</f>
        <v>0</v>
      </c>
      <c r="AF160" s="13">
        <f>IFERROR(INDEX('TRANS EMP EXTRACT - COST CENTRE'!$A$1:$Z$455,MATCH('Summary - Monthly'!$A160,'TRANS EMP EXTRACT - COST CENTRE'!$A:$A,0),MATCH('Summary - Monthly'!AF$3,'TRANS EMP EXTRACT - COST CENTRE'!$2:$2,0)),0)</f>
        <v>0</v>
      </c>
      <c r="AG160" s="10">
        <f>IFERROR(INDEX('TRANS EMP EXTRACT - COST CENTRE'!$A$1:$Z$455,MATCH('Summary - Monthly'!$A160,'TRANS EMP EXTRACT - COST CENTRE'!$A:$A,0),MATCH('Summary - Monthly'!AG$3,'TRANS EMP EXTRACT - COST CENTRE'!$2:$2,0)),0)</f>
        <v>0</v>
      </c>
      <c r="AH160" s="10">
        <f>IFERROR(INDEX('TRANS EMP EXTRACT - COST CENTRE'!$A$1:$Z$455,MATCH('Summary - Monthly'!$A160,'TRANS EMP EXTRACT - COST CENTRE'!$A:$A,0),MATCH('Summary - Monthly'!AH$3,'TRANS EMP EXTRACT - COST CENTRE'!$2:$2,0)),0)</f>
        <v>0</v>
      </c>
      <c r="AI160" s="10">
        <f>IFERROR(INDEX('TRANS EMP EXTRACT - COST CENTRE'!$A$1:$Z$455,MATCH('Summary - Monthly'!$A160,'TRANS EMP EXTRACT - COST CENTRE'!$A:$A,0),MATCH('Summary - Monthly'!AI$3,'TRANS EMP EXTRACT - COST CENTRE'!$2:$2,0)),0)</f>
        <v>0</v>
      </c>
      <c r="AJ160" s="10">
        <f>IFERROR(INDEX('TRANS EMP EXTRACT - COST CENTRE'!$A$1:$Z$455,MATCH('Summary - Monthly'!$A160,'TRANS EMP EXTRACT - COST CENTRE'!$A:$A,0),MATCH('Summary - Monthly'!AJ$3,'TRANS EMP EXTRACT - COST CENTRE'!$2:$2,0)),0)</f>
        <v>0</v>
      </c>
      <c r="AK160" s="10">
        <f>IFERROR(INDEX('TRANS EMP EXTRACT - COST CENTRE'!$A$1:$Z$455,MATCH('Summary - Monthly'!$A160,'TRANS EMP EXTRACT - COST CENTRE'!$A:$A,0),MATCH('Summary - Monthly'!AK$3,'TRANS EMP EXTRACT - COST CENTRE'!$2:$2,0)),0)</f>
        <v>0</v>
      </c>
      <c r="AL160" s="10">
        <f>IFERROR(INDEX('TRANS EMP EXTRACT - COST CENTRE'!$A$1:$Z$455,MATCH('Summary - Monthly'!$A160,'TRANS EMP EXTRACT - COST CENTRE'!$A:$A,0),MATCH('Summary - Monthly'!AL$3,'TRANS EMP EXTRACT - COST CENTRE'!$2:$2,0)),0)</f>
        <v>0</v>
      </c>
      <c r="AM160" s="10">
        <f t="shared" si="32"/>
        <v>0</v>
      </c>
      <c r="AN160" s="14">
        <f t="shared" si="26"/>
        <v>0</v>
      </c>
      <c r="AO160" s="18">
        <f t="shared" ref="AO160" si="33">AM160/$AP$2</f>
        <v>0</v>
      </c>
      <c r="AP160" s="18">
        <f t="shared" si="31"/>
        <v>0</v>
      </c>
      <c r="AQ160" s="10" t="str">
        <f>IFERROR(VLOOKUP(B160,Departments!A:C,3,FALSE),"")</f>
        <v/>
      </c>
      <c r="AR160" s="10" t="str">
        <f>IFERROR(VLOOKUP(B160,Departments!A:B,2,FALSE),"")</f>
        <v/>
      </c>
      <c r="AS160" s="10">
        <f t="shared" si="27"/>
        <v>0</v>
      </c>
      <c r="AT160" s="10">
        <f t="shared" si="28"/>
        <v>0</v>
      </c>
      <c r="AU160" s="10" t="str">
        <f>_xlfn.IFNA(VLOOKUP(B160,Departments!A:D,4,FALSE),"")</f>
        <v/>
      </c>
    </row>
    <row r="161" spans="1:47" ht="14.45" customHeight="1">
      <c r="A161" s="11" t="str">
        <f t="shared" si="24"/>
        <v>00</v>
      </c>
      <c r="B161" s="11">
        <f>'TRANS EMP EXTRACT - COST CENTRE'!B160</f>
        <v>0</v>
      </c>
      <c r="C161" s="10" t="str">
        <f>IFERROR(VLOOKUP(E161,'TRANS EMP EXTRACT - EMP CATEGOR'!A:B,2,FALSE),"")</f>
        <v/>
      </c>
      <c r="D161" s="10" t="str">
        <f>IFERROR(VLOOKUP(E161,'TRANS EMP EXTRACT - EMP CATEGOR'!A:C,3,FALSE),"")</f>
        <v/>
      </c>
      <c r="E161" s="11">
        <f>'TRANS EMP EXTRACT - COST CENTRE'!D160</f>
        <v>0</v>
      </c>
      <c r="F161" s="10" t="str">
        <f>IFERROR(VLOOKUP(E161,'TRANS EMP EXTRACT - COST CENTRE'!D:E,2,FALSE),"")</f>
        <v/>
      </c>
      <c r="G161" s="12" t="str">
        <f>IFERROR(INDEX('TRANS EMP EXTRACT - COST CENTRE'!$A$1:$Z$455,MATCH('Summary - Monthly'!$A161,'TRANS EMP EXTRACT - COST CENTRE'!$A:$A,0),MATCH('Summary - Monthly'!G$3,'TRANS EMP EXTRACT - COST CENTRE'!$2:$2,0)),"")</f>
        <v/>
      </c>
      <c r="H161" s="10" t="str">
        <f>IFERROR(INDEX('TRANS EMP EXTRACT - COST CENTRE'!$B$1:$Z$455,MATCH('Summary - Monthly'!$E161,'TRANS EMP EXTRACT - COST CENTRE'!$D:$D,0),MATCH('Summary - Monthly'!H$3,'TRANS EMP EXTRACT - COST CENTRE'!$2:$2,0)),"")</f>
        <v/>
      </c>
      <c r="I161" s="12" t="str">
        <f>IFERROR(INDEX('TRANS EMP EXTRACT - EMP CATEGOR'!$B$1:$AF$421,MATCH('Summary - Monthly'!$E161,'TRANS EMP EXTRACT - EMP CATEGOR'!$D:$D,0),MATCH('Summary - Monthly'!H$3,'TRANS EMP EXTRACT - EMP CATEGOR'!$2:$2,0)),"")</f>
        <v/>
      </c>
      <c r="J161" s="41">
        <f t="shared" ca="1" si="25"/>
        <v>0</v>
      </c>
      <c r="K161" s="41">
        <f t="shared" ca="1" si="29"/>
        <v>0</v>
      </c>
      <c r="L161" s="10" t="str">
        <f>IFERROR(INDEX('TRANS EMP EXTRACT - COST CENTRE'!$A$1:$Z$455,MATCH('Summary - Monthly'!$A161,'TRANS EMP EXTRACT - COST CENTRE'!$A:$A,0),MATCH('Summary - Monthly'!L$3,'TRANS EMP EXTRACT - COST CENTRE'!$2:$2,0)),"")</f>
        <v/>
      </c>
      <c r="M161" s="10">
        <f>IFERROR(INDEX('TRANS EMP EXTRACT - COST CENTRE'!$A$1:$Z$455,MATCH('Summary - Monthly'!$A161,'TRANS EMP EXTRACT - COST CENTRE'!$A:$A,0),MATCH('Summary - Monthly'!M$3,'TRANS EMP EXTRACT - COST CENTRE'!$2:$2,0)),0)</f>
        <v>0</v>
      </c>
      <c r="N161" s="10">
        <f>IFERROR(INDEX('TRANS EMP EXTRACT - COST CENTRE'!$A$1:$Z$455,MATCH('Summary - Monthly'!$A161,'TRANS EMP EXTRACT - COST CENTRE'!$A:$A,0),MATCH('Summary - Monthly'!N$3,'TRANS EMP EXTRACT - COST CENTRE'!$2:$2,0)),0)</f>
        <v>0</v>
      </c>
      <c r="O161" s="10">
        <f>IFERROR(INDEX('TRANS EMP EXTRACT - COST CENTRE'!$A$1:$Z$455,MATCH('Summary - Monthly'!$A161,'TRANS EMP EXTRACT - COST CENTRE'!$A:$A,0),MATCH('Summary - Monthly'!O$3,'TRANS EMP EXTRACT - COST CENTRE'!$2:$2,0)),0)</f>
        <v>0</v>
      </c>
      <c r="P161" s="10">
        <f>IFERROR(INDEX('TRANS EMP EXTRACT - COST CENTRE'!$A$1:$Z$455,MATCH('Summary - Monthly'!$A161,'TRANS EMP EXTRACT - COST CENTRE'!$A:$A,0),MATCH('Summary - Monthly'!P$3,'TRANS EMP EXTRACT - COST CENTRE'!$2:$2,0)),0)</f>
        <v>0</v>
      </c>
      <c r="Q161" s="10">
        <f>IFERROR(INDEX('TRANS EMP EXTRACT - COST CENTRE'!$A$1:$Z$455,MATCH('Summary - Monthly'!$A161,'TRANS EMP EXTRACT - COST CENTRE'!$A:$A,0),MATCH('Summary - Monthly'!Q$3,'TRANS EMP EXTRACT - COST CENTRE'!$2:$2,0)),0)</f>
        <v>0</v>
      </c>
      <c r="R161" s="10">
        <f>IFERROR(INDEX('TRANS EMP EXTRACT - COST CENTRE'!$A$1:$Z$455,MATCH('Summary - Monthly'!$A161,'TRANS EMP EXTRACT - COST CENTRE'!$A:$A,0),MATCH('Summary - Monthly'!R$3,'TRANS EMP EXTRACT - COST CENTRE'!$2:$2,0)),0)</f>
        <v>0</v>
      </c>
      <c r="S161" s="10">
        <f>IFERROR(INDEX('TRANS EMP EXTRACT - COST CENTRE'!$A$1:$Z$455,MATCH('Summary - Monthly'!$A161,'TRANS EMP EXTRACT - COST CENTRE'!$A:$A,0),MATCH('Summary - Monthly'!S$3,'TRANS EMP EXTRACT - COST CENTRE'!$2:$2,0)),0)</f>
        <v>0</v>
      </c>
      <c r="T161" s="8">
        <f>IFERROR(INDEX('TRANS EMP EXTRACT - COST CENTRE'!$A$1:$Z$455,MATCH('Summary - Monthly'!$A161,'TRANS EMP EXTRACT - COST CENTRE'!$A:$A,0),MATCH('Summary - Monthly'!T$3,'TRANS EMP EXTRACT - COST CENTRE'!$2:$2,0)),0)</f>
        <v>0</v>
      </c>
      <c r="U161" s="13">
        <f>IFERROR(INDEX('TRANS EMP EXTRACT - COST CENTRE'!$A$1:$Z$455,MATCH('Summary - Monthly'!$A161,'TRANS EMP EXTRACT - COST CENTRE'!$A:$A,0),MATCH('Summary - Monthly'!U$3,'TRANS EMP EXTRACT - COST CENTRE'!$2:$2,0)),0)</f>
        <v>0</v>
      </c>
      <c r="V161" s="13">
        <f>IFERROR(INDEX('TRANS EMP EXTRACT - COST CENTRE'!$A$1:$Z$455,MATCH('Summary - Monthly'!$A161,'TRANS EMP EXTRACT - COST CENTRE'!$A:$A,0),MATCH('Summary - Monthly'!V$3,'TRANS EMP EXTRACT - COST CENTRE'!$2:$2,0)),0)</f>
        <v>0</v>
      </c>
      <c r="W161" s="13">
        <f>IFERROR(INDEX('TRANS EMP EXTRACT - COST CENTRE'!$A$1:$Z$455,MATCH('Summary - Monthly'!$A161,'TRANS EMP EXTRACT - COST CENTRE'!$A:$A,0),MATCH('Summary - Monthly'!W$3,'TRANS EMP EXTRACT - COST CENTRE'!$2:$2,0)),0)</f>
        <v>0</v>
      </c>
      <c r="X161" s="13">
        <f>IFERROR(INDEX('TRANS EMP EXTRACT - COST CENTRE'!$A$1:$Z$455,MATCH('Summary - Monthly'!$A161,'TRANS EMP EXTRACT - COST CENTRE'!$A:$A,0),MATCH('Summary - Monthly'!X$3,'TRANS EMP EXTRACT - COST CENTRE'!$2:$2,0)),0)</f>
        <v>0</v>
      </c>
      <c r="Y161" s="13">
        <f>IFERROR(INDEX('TRANS EMP EXTRACT - COST CENTRE'!$A$1:$Z$455,MATCH('Summary - Monthly'!$A161,'TRANS EMP EXTRACT - COST CENTRE'!$A:$A,0),MATCH('Summary - Monthly'!Y$3,'TRANS EMP EXTRACT - COST CENTRE'!$2:$2,0)),0)</f>
        <v>0</v>
      </c>
      <c r="Z161" s="10">
        <f>IFERROR(INDEX('TRANS EMP EXTRACT - COST CENTRE'!$A$1:$Z$455,MATCH('Summary - Monthly'!$A161,'TRANS EMP EXTRACT - COST CENTRE'!$A:$A,0),MATCH('Summary - Monthly'!Z$3,'TRANS EMP EXTRACT - COST CENTRE'!$2:$2,0)),0)</f>
        <v>0</v>
      </c>
      <c r="AA161" s="10">
        <f>IFERROR(INDEX('TRANS EMP EXTRACT - COST CENTRE'!$A$1:$Z$455,MATCH('Summary - Monthly'!$A161,'TRANS EMP EXTRACT - COST CENTRE'!$A:$A,0),MATCH('Summary - Monthly'!AA$3,'TRANS EMP EXTRACT - COST CENTRE'!$2:$2,0)),0)</f>
        <v>0</v>
      </c>
      <c r="AB161" s="10">
        <f>IFERROR(INDEX('TRANS EMP EXTRACT - COST CENTRE'!$A$1:$Z$455,MATCH('Summary - Monthly'!$A161,'TRANS EMP EXTRACT - COST CENTRE'!$A:$A,0),MATCH('Summary - Monthly'!AB$3,'TRANS EMP EXTRACT - COST CENTRE'!$2:$2,0)),0)</f>
        <v>0</v>
      </c>
      <c r="AC161" s="8">
        <f>IFERROR(INDEX('TRANS EMP EXTRACT - COST CENTRE'!$A$1:$Z$455,MATCH('Summary - Monthly'!$A161,'TRANS EMP EXTRACT - COST CENTRE'!$A:$A,0),MATCH('Summary - Monthly'!AC$3,'TRANS EMP EXTRACT - COST CENTRE'!$2:$2,0)),0)</f>
        <v>0</v>
      </c>
      <c r="AD161" s="13">
        <f>IFERROR(INDEX('TRANS EMP EXTRACT - COST CENTRE'!$A$1:$Z$455,MATCH('Summary - Monthly'!$A161,'TRANS EMP EXTRACT - COST CENTRE'!$A:$A,0),MATCH('Summary - Monthly'!AD$3,'TRANS EMP EXTRACT - COST CENTRE'!$2:$2,0)),0)</f>
        <v>0</v>
      </c>
      <c r="AE161" s="13">
        <f>IFERROR(INDEX('TRANS EMP EXTRACT - COST CENTRE'!$A$1:$Z$455,MATCH('Summary - Monthly'!$A161,'TRANS EMP EXTRACT - COST CENTRE'!$A:$A,0),MATCH('Summary - Monthly'!AE$3,'TRANS EMP EXTRACT - COST CENTRE'!$2:$2,0)),0)</f>
        <v>0</v>
      </c>
      <c r="AF161" s="13">
        <f>IFERROR(INDEX('TRANS EMP EXTRACT - COST CENTRE'!$A$1:$Z$455,MATCH('Summary - Monthly'!$A161,'TRANS EMP EXTRACT - COST CENTRE'!$A:$A,0),MATCH('Summary - Monthly'!AF$3,'TRANS EMP EXTRACT - COST CENTRE'!$2:$2,0)),0)</f>
        <v>0</v>
      </c>
      <c r="AG161" s="10">
        <f>IFERROR(INDEX('TRANS EMP EXTRACT - COST CENTRE'!$A$1:$Z$455,MATCH('Summary - Monthly'!$A161,'TRANS EMP EXTRACT - COST CENTRE'!$A:$A,0),MATCH('Summary - Monthly'!AG$3,'TRANS EMP EXTRACT - COST CENTRE'!$2:$2,0)),0)</f>
        <v>0</v>
      </c>
      <c r="AH161" s="10">
        <f>IFERROR(INDEX('TRANS EMP EXTRACT - COST CENTRE'!$A$1:$Z$455,MATCH('Summary - Monthly'!$A161,'TRANS EMP EXTRACT - COST CENTRE'!$A:$A,0),MATCH('Summary - Monthly'!AH$3,'TRANS EMP EXTRACT - COST CENTRE'!$2:$2,0)),0)</f>
        <v>0</v>
      </c>
      <c r="AI161" s="10">
        <f>IFERROR(INDEX('TRANS EMP EXTRACT - COST CENTRE'!$A$1:$Z$455,MATCH('Summary - Monthly'!$A161,'TRANS EMP EXTRACT - COST CENTRE'!$A:$A,0),MATCH('Summary - Monthly'!AI$3,'TRANS EMP EXTRACT - COST CENTRE'!$2:$2,0)),0)</f>
        <v>0</v>
      </c>
      <c r="AJ161" s="10">
        <f>IFERROR(INDEX('TRANS EMP EXTRACT - COST CENTRE'!$A$1:$Z$455,MATCH('Summary - Monthly'!$A161,'TRANS EMP EXTRACT - COST CENTRE'!$A:$A,0),MATCH('Summary - Monthly'!AJ$3,'TRANS EMP EXTRACT - COST CENTRE'!$2:$2,0)),0)</f>
        <v>0</v>
      </c>
      <c r="AK161" s="10">
        <f>IFERROR(INDEX('TRANS EMP EXTRACT - COST CENTRE'!$A$1:$Z$455,MATCH('Summary - Monthly'!$A161,'TRANS EMP EXTRACT - COST CENTRE'!$A:$A,0),MATCH('Summary - Monthly'!AK$3,'TRANS EMP EXTRACT - COST CENTRE'!$2:$2,0)),0)</f>
        <v>0</v>
      </c>
      <c r="AL161" s="10">
        <f>IFERROR(INDEX('TRANS EMP EXTRACT - COST CENTRE'!$A$1:$Z$455,MATCH('Summary - Monthly'!$A161,'TRANS EMP EXTRACT - COST CENTRE'!$A:$A,0),MATCH('Summary - Monthly'!AL$3,'TRANS EMP EXTRACT - COST CENTRE'!$2:$2,0)),0)</f>
        <v>0</v>
      </c>
      <c r="AM161" s="10">
        <f t="shared" si="32"/>
        <v>0</v>
      </c>
      <c r="AN161" s="14">
        <f t="shared" si="26"/>
        <v>0</v>
      </c>
      <c r="AO161" s="18">
        <f t="shared" si="30"/>
        <v>0</v>
      </c>
      <c r="AP161" s="18">
        <f t="shared" si="31"/>
        <v>0</v>
      </c>
      <c r="AQ161" s="10" t="str">
        <f>IFERROR(VLOOKUP(B161,Departments!A:C,3,FALSE),"")</f>
        <v/>
      </c>
      <c r="AR161" s="10" t="str">
        <f>IFERROR(VLOOKUP(B161,Departments!A:B,2,FALSE),"")</f>
        <v/>
      </c>
      <c r="AS161" s="10">
        <f t="shared" si="27"/>
        <v>0</v>
      </c>
      <c r="AT161" s="10">
        <f t="shared" si="28"/>
        <v>0</v>
      </c>
      <c r="AU161" s="10" t="str">
        <f>_xlfn.IFNA(VLOOKUP(B161,Departments!A:D,4,FALSE),"")</f>
        <v/>
      </c>
    </row>
    <row r="162" spans="1:47" ht="14.45" customHeight="1">
      <c r="A162" s="11" t="str">
        <f t="shared" si="24"/>
        <v>00</v>
      </c>
      <c r="B162" s="11">
        <f>'TRANS EMP EXTRACT - COST CENTRE'!B161</f>
        <v>0</v>
      </c>
      <c r="C162" s="10" t="str">
        <f>IFERROR(VLOOKUP(E162,'TRANS EMP EXTRACT - EMP CATEGOR'!A:B,2,FALSE),"")</f>
        <v/>
      </c>
      <c r="D162" s="10" t="str">
        <f>IFERROR(VLOOKUP(E162,'TRANS EMP EXTRACT - EMP CATEGOR'!A:C,3,FALSE),"")</f>
        <v/>
      </c>
      <c r="E162" s="11">
        <f>'TRANS EMP EXTRACT - COST CENTRE'!D161</f>
        <v>0</v>
      </c>
      <c r="F162" s="10" t="str">
        <f>IFERROR(VLOOKUP(E162,'TRANS EMP EXTRACT - COST CENTRE'!D:E,2,FALSE),"")</f>
        <v/>
      </c>
      <c r="G162" s="12" t="str">
        <f>IFERROR(INDEX('TRANS EMP EXTRACT - COST CENTRE'!$A$1:$Z$455,MATCH('Summary - Monthly'!$A162,'TRANS EMP EXTRACT - COST CENTRE'!$A:$A,0),MATCH('Summary - Monthly'!G$3,'TRANS EMP EXTRACT - COST CENTRE'!$2:$2,0)),"")</f>
        <v/>
      </c>
      <c r="H162" s="10" t="str">
        <f>IFERROR(INDEX('TRANS EMP EXTRACT - COST CENTRE'!$B$1:$Z$455,MATCH('Summary - Monthly'!$E162,'TRANS EMP EXTRACT - COST CENTRE'!$D:$D,0),MATCH('Summary - Monthly'!H$3,'TRANS EMP EXTRACT - COST CENTRE'!$2:$2,0)),"")</f>
        <v/>
      </c>
      <c r="I162" s="12" t="str">
        <f>IFERROR(INDEX('TRANS EMP EXTRACT - EMP CATEGOR'!$B$1:$AF$421,MATCH('Summary - Monthly'!$E162,'TRANS EMP EXTRACT - EMP CATEGOR'!$D:$D,0),MATCH('Summary - Monthly'!H$3,'TRANS EMP EXTRACT - EMP CATEGOR'!$2:$2,0)),"")</f>
        <v/>
      </c>
      <c r="J162" s="41">
        <f t="shared" ca="1" si="25"/>
        <v>0</v>
      </c>
      <c r="K162" s="41">
        <f t="shared" ca="1" si="29"/>
        <v>0</v>
      </c>
      <c r="L162" s="10" t="str">
        <f>IFERROR(INDEX('TRANS EMP EXTRACT - COST CENTRE'!$A$1:$Z$455,MATCH('Summary - Monthly'!$A162,'TRANS EMP EXTRACT - COST CENTRE'!$A:$A,0),MATCH('Summary - Monthly'!L$3,'TRANS EMP EXTRACT - COST CENTRE'!$2:$2,0)),"")</f>
        <v/>
      </c>
      <c r="M162" s="10">
        <f>IFERROR(INDEX('TRANS EMP EXTRACT - COST CENTRE'!$A$1:$Z$455,MATCH('Summary - Monthly'!$A162,'TRANS EMP EXTRACT - COST CENTRE'!$A:$A,0),MATCH('Summary - Monthly'!M$3,'TRANS EMP EXTRACT - COST CENTRE'!$2:$2,0)),0)</f>
        <v>0</v>
      </c>
      <c r="N162" s="10">
        <f>IFERROR(INDEX('TRANS EMP EXTRACT - COST CENTRE'!$A$1:$Z$455,MATCH('Summary - Monthly'!$A162,'TRANS EMP EXTRACT - COST CENTRE'!$A:$A,0),MATCH('Summary - Monthly'!N$3,'TRANS EMP EXTRACT - COST CENTRE'!$2:$2,0)),0)</f>
        <v>0</v>
      </c>
      <c r="O162" s="10">
        <f>IFERROR(INDEX('TRANS EMP EXTRACT - COST CENTRE'!$A$1:$Z$455,MATCH('Summary - Monthly'!$A162,'TRANS EMP EXTRACT - COST CENTRE'!$A:$A,0),MATCH('Summary - Monthly'!O$3,'TRANS EMP EXTRACT - COST CENTRE'!$2:$2,0)),0)</f>
        <v>0</v>
      </c>
      <c r="P162" s="10">
        <f>IFERROR(INDEX('TRANS EMP EXTRACT - COST CENTRE'!$A$1:$Z$455,MATCH('Summary - Monthly'!$A162,'TRANS EMP EXTRACT - COST CENTRE'!$A:$A,0),MATCH('Summary - Monthly'!P$3,'TRANS EMP EXTRACT - COST CENTRE'!$2:$2,0)),0)</f>
        <v>0</v>
      </c>
      <c r="Q162" s="10">
        <f>IFERROR(INDEX('TRANS EMP EXTRACT - COST CENTRE'!$A$1:$Z$455,MATCH('Summary - Monthly'!$A162,'TRANS EMP EXTRACT - COST CENTRE'!$A:$A,0),MATCH('Summary - Monthly'!Q$3,'TRANS EMP EXTRACT - COST CENTRE'!$2:$2,0)),0)</f>
        <v>0</v>
      </c>
      <c r="R162" s="10">
        <f>IFERROR(INDEX('TRANS EMP EXTRACT - COST CENTRE'!$A$1:$Z$455,MATCH('Summary - Monthly'!$A162,'TRANS EMP EXTRACT - COST CENTRE'!$A:$A,0),MATCH('Summary - Monthly'!R$3,'TRANS EMP EXTRACT - COST CENTRE'!$2:$2,0)),0)</f>
        <v>0</v>
      </c>
      <c r="S162" s="10">
        <f>IFERROR(INDEX('TRANS EMP EXTRACT - COST CENTRE'!$A$1:$Z$455,MATCH('Summary - Monthly'!$A162,'TRANS EMP EXTRACT - COST CENTRE'!$A:$A,0),MATCH('Summary - Monthly'!S$3,'TRANS EMP EXTRACT - COST CENTRE'!$2:$2,0)),0)</f>
        <v>0</v>
      </c>
      <c r="T162" s="8">
        <f>IFERROR(INDEX('TRANS EMP EXTRACT - COST CENTRE'!$A$1:$Z$455,MATCH('Summary - Monthly'!$A162,'TRANS EMP EXTRACT - COST CENTRE'!$A:$A,0),MATCH('Summary - Monthly'!T$3,'TRANS EMP EXTRACT - COST CENTRE'!$2:$2,0)),0)</f>
        <v>0</v>
      </c>
      <c r="U162" s="13">
        <f>IFERROR(INDEX('TRANS EMP EXTRACT - COST CENTRE'!$A$1:$Z$455,MATCH('Summary - Monthly'!$A162,'TRANS EMP EXTRACT - COST CENTRE'!$A:$A,0),MATCH('Summary - Monthly'!U$3,'TRANS EMP EXTRACT - COST CENTRE'!$2:$2,0)),0)</f>
        <v>0</v>
      </c>
      <c r="V162" s="13">
        <f>IFERROR(INDEX('TRANS EMP EXTRACT - COST CENTRE'!$A$1:$Z$455,MATCH('Summary - Monthly'!$A162,'TRANS EMP EXTRACT - COST CENTRE'!$A:$A,0),MATCH('Summary - Monthly'!V$3,'TRANS EMP EXTRACT - COST CENTRE'!$2:$2,0)),0)</f>
        <v>0</v>
      </c>
      <c r="W162" s="13">
        <f>IFERROR(INDEX('TRANS EMP EXTRACT - COST CENTRE'!$A$1:$Z$455,MATCH('Summary - Monthly'!$A162,'TRANS EMP EXTRACT - COST CENTRE'!$A:$A,0),MATCH('Summary - Monthly'!W$3,'TRANS EMP EXTRACT - COST CENTRE'!$2:$2,0)),0)</f>
        <v>0</v>
      </c>
      <c r="X162" s="13">
        <f>IFERROR(INDEX('TRANS EMP EXTRACT - COST CENTRE'!$A$1:$Z$455,MATCH('Summary - Monthly'!$A162,'TRANS EMP EXTRACT - COST CENTRE'!$A:$A,0),MATCH('Summary - Monthly'!X$3,'TRANS EMP EXTRACT - COST CENTRE'!$2:$2,0)),0)</f>
        <v>0</v>
      </c>
      <c r="Y162" s="13">
        <f>IFERROR(INDEX('TRANS EMP EXTRACT - COST CENTRE'!$A$1:$Z$455,MATCH('Summary - Monthly'!$A162,'TRANS EMP EXTRACT - COST CENTRE'!$A:$A,0),MATCH('Summary - Monthly'!Y$3,'TRANS EMP EXTRACT - COST CENTRE'!$2:$2,0)),0)</f>
        <v>0</v>
      </c>
      <c r="Z162" s="10">
        <f>IFERROR(INDEX('TRANS EMP EXTRACT - COST CENTRE'!$A$1:$Z$455,MATCH('Summary - Monthly'!$A162,'TRANS EMP EXTRACT - COST CENTRE'!$A:$A,0),MATCH('Summary - Monthly'!Z$3,'TRANS EMP EXTRACT - COST CENTRE'!$2:$2,0)),0)</f>
        <v>0</v>
      </c>
      <c r="AA162" s="10">
        <f>IFERROR(INDEX('TRANS EMP EXTRACT - COST CENTRE'!$A$1:$Z$455,MATCH('Summary - Monthly'!$A162,'TRANS EMP EXTRACT - COST CENTRE'!$A:$A,0),MATCH('Summary - Monthly'!AA$3,'TRANS EMP EXTRACT - COST CENTRE'!$2:$2,0)),0)</f>
        <v>0</v>
      </c>
      <c r="AB162" s="10">
        <f>IFERROR(INDEX('TRANS EMP EXTRACT - COST CENTRE'!$A$1:$Z$455,MATCH('Summary - Monthly'!$A162,'TRANS EMP EXTRACT - COST CENTRE'!$A:$A,0),MATCH('Summary - Monthly'!AB$3,'TRANS EMP EXTRACT - COST CENTRE'!$2:$2,0)),0)</f>
        <v>0</v>
      </c>
      <c r="AC162" s="8">
        <f>IFERROR(INDEX('TRANS EMP EXTRACT - COST CENTRE'!$A$1:$Z$455,MATCH('Summary - Monthly'!$A162,'TRANS EMP EXTRACT - COST CENTRE'!$A:$A,0),MATCH('Summary - Monthly'!AC$3,'TRANS EMP EXTRACT - COST CENTRE'!$2:$2,0)),0)</f>
        <v>0</v>
      </c>
      <c r="AD162" s="13">
        <f>IFERROR(INDEX('TRANS EMP EXTRACT - COST CENTRE'!$A$1:$Z$455,MATCH('Summary - Monthly'!$A162,'TRANS EMP EXTRACT - COST CENTRE'!$A:$A,0),MATCH('Summary - Monthly'!AD$3,'TRANS EMP EXTRACT - COST CENTRE'!$2:$2,0)),0)</f>
        <v>0</v>
      </c>
      <c r="AE162" s="13">
        <f>IFERROR(INDEX('TRANS EMP EXTRACT - COST CENTRE'!$A$1:$Z$455,MATCH('Summary - Monthly'!$A162,'TRANS EMP EXTRACT - COST CENTRE'!$A:$A,0),MATCH('Summary - Monthly'!AE$3,'TRANS EMP EXTRACT - COST CENTRE'!$2:$2,0)),0)</f>
        <v>0</v>
      </c>
      <c r="AF162" s="13">
        <f>IFERROR(INDEX('TRANS EMP EXTRACT - COST CENTRE'!$A$1:$Z$455,MATCH('Summary - Monthly'!$A162,'TRANS EMP EXTRACT - COST CENTRE'!$A:$A,0),MATCH('Summary - Monthly'!AF$3,'TRANS EMP EXTRACT - COST CENTRE'!$2:$2,0)),0)</f>
        <v>0</v>
      </c>
      <c r="AG162" s="10">
        <f>IFERROR(INDEX('TRANS EMP EXTRACT - COST CENTRE'!$A$1:$Z$455,MATCH('Summary - Monthly'!$A162,'TRANS EMP EXTRACT - COST CENTRE'!$A:$A,0),MATCH('Summary - Monthly'!AG$3,'TRANS EMP EXTRACT - COST CENTRE'!$2:$2,0)),0)</f>
        <v>0</v>
      </c>
      <c r="AH162" s="10">
        <f>IFERROR(INDEX('TRANS EMP EXTRACT - COST CENTRE'!$A$1:$Z$455,MATCH('Summary - Monthly'!$A162,'TRANS EMP EXTRACT - COST CENTRE'!$A:$A,0),MATCH('Summary - Monthly'!AH$3,'TRANS EMP EXTRACT - COST CENTRE'!$2:$2,0)),0)</f>
        <v>0</v>
      </c>
      <c r="AI162" s="10">
        <f>IFERROR(INDEX('TRANS EMP EXTRACT - COST CENTRE'!$A$1:$Z$455,MATCH('Summary - Monthly'!$A162,'TRANS EMP EXTRACT - COST CENTRE'!$A:$A,0),MATCH('Summary - Monthly'!AI$3,'TRANS EMP EXTRACT - COST CENTRE'!$2:$2,0)),0)</f>
        <v>0</v>
      </c>
      <c r="AJ162" s="10">
        <f>IFERROR(INDEX('TRANS EMP EXTRACT - COST CENTRE'!$A$1:$Z$455,MATCH('Summary - Monthly'!$A162,'TRANS EMP EXTRACT - COST CENTRE'!$A:$A,0),MATCH('Summary - Monthly'!AJ$3,'TRANS EMP EXTRACT - COST CENTRE'!$2:$2,0)),0)</f>
        <v>0</v>
      </c>
      <c r="AK162" s="10">
        <f>IFERROR(INDEX('TRANS EMP EXTRACT - COST CENTRE'!$A$1:$Z$455,MATCH('Summary - Monthly'!$A162,'TRANS EMP EXTRACT - COST CENTRE'!$A:$A,0),MATCH('Summary - Monthly'!AK$3,'TRANS EMP EXTRACT - COST CENTRE'!$2:$2,0)),0)</f>
        <v>0</v>
      </c>
      <c r="AL162" s="10">
        <f>IFERROR(INDEX('TRANS EMP EXTRACT - COST CENTRE'!$A$1:$Z$455,MATCH('Summary - Monthly'!$A162,'TRANS EMP EXTRACT - COST CENTRE'!$A:$A,0),MATCH('Summary - Monthly'!AL$3,'TRANS EMP EXTRACT - COST CENTRE'!$2:$2,0)),0)</f>
        <v>0</v>
      </c>
      <c r="AM162" s="10">
        <f t="shared" si="32"/>
        <v>0</v>
      </c>
      <c r="AN162" s="14">
        <f t="shared" si="26"/>
        <v>0</v>
      </c>
      <c r="AO162" s="18">
        <f t="shared" si="30"/>
        <v>0</v>
      </c>
      <c r="AP162" s="18">
        <f t="shared" si="31"/>
        <v>0</v>
      </c>
      <c r="AQ162" s="10" t="str">
        <f>IFERROR(VLOOKUP(B162,Departments!A:C,3,FALSE),"")</f>
        <v/>
      </c>
      <c r="AR162" s="10" t="str">
        <f>IFERROR(VLOOKUP(B162,Departments!A:B,2,FALSE),"")</f>
        <v/>
      </c>
      <c r="AS162" s="10">
        <f t="shared" si="27"/>
        <v>0</v>
      </c>
      <c r="AT162" s="10">
        <f t="shared" si="28"/>
        <v>0</v>
      </c>
      <c r="AU162" s="10" t="str">
        <f>_xlfn.IFNA(VLOOKUP(B162,Departments!A:D,4,FALSE),"")</f>
        <v/>
      </c>
    </row>
    <row r="163" spans="1:47" s="8" customFormat="1" ht="14.45" customHeight="1">
      <c r="A163" s="8" t="str">
        <f t="shared" si="24"/>
        <v>00</v>
      </c>
      <c r="B163" s="11">
        <f>'TRANS EMP EXTRACT - COST CENTRE'!B162</f>
        <v>0</v>
      </c>
      <c r="C163" s="8" t="str">
        <f>IFERROR(VLOOKUP(E163,'TRANS EMP EXTRACT - EMP CATEGOR'!A:B,2,FALSE),"")</f>
        <v/>
      </c>
      <c r="D163" s="8" t="str">
        <f>IFERROR(VLOOKUP(E163,'TRANS EMP EXTRACT - EMP CATEGOR'!A:C,3,FALSE),"")</f>
        <v/>
      </c>
      <c r="E163" s="11">
        <f>'TRANS EMP EXTRACT - COST CENTRE'!D162</f>
        <v>0</v>
      </c>
      <c r="F163" s="8" t="str">
        <f>IFERROR(VLOOKUP(E163,'TRANS EMP EXTRACT - COST CENTRE'!D:E,2,FALSE),"")</f>
        <v/>
      </c>
      <c r="G163" s="39" t="str">
        <f>IFERROR(INDEX('TRANS EMP EXTRACT - COST CENTRE'!$A$1:$Z$455,MATCH('Summary - Monthly'!$A163,'TRANS EMP EXTRACT - COST CENTRE'!$A:$A,0),MATCH('Summary - Monthly'!G$3,'TRANS EMP EXTRACT - COST CENTRE'!$2:$2,0)),"")</f>
        <v/>
      </c>
      <c r="H163" s="8" t="str">
        <f>IFERROR(INDEX('TRANS EMP EXTRACT - COST CENTRE'!$B$1:$Z$455,MATCH('Summary - Monthly'!$E163,'TRANS EMP EXTRACT - COST CENTRE'!$D:$D,0),MATCH('Summary - Monthly'!H$3,'TRANS EMP EXTRACT - COST CENTRE'!$2:$2,0)),"")</f>
        <v/>
      </c>
      <c r="I163" s="39" t="str">
        <f>IFERROR(INDEX('TRANS EMP EXTRACT - EMP CATEGOR'!$B$1:$AF$421,MATCH('Summary - Monthly'!$E163,'TRANS EMP EXTRACT - EMP CATEGOR'!$D:$D,0),MATCH('Summary - Monthly'!H$3,'TRANS EMP EXTRACT - EMP CATEGOR'!$2:$2,0)),"")</f>
        <v/>
      </c>
      <c r="J163" s="41">
        <f t="shared" ca="1" si="25"/>
        <v>0</v>
      </c>
      <c r="K163" s="41">
        <f t="shared" ca="1" si="29"/>
        <v>0</v>
      </c>
      <c r="L163" s="8" t="str">
        <f>IFERROR(INDEX('TRANS EMP EXTRACT - COST CENTRE'!$A$1:$Z$455,MATCH('Summary - Monthly'!$A163,'TRANS EMP EXTRACT - COST CENTRE'!$A:$A,0),MATCH('Summary - Monthly'!L$3,'TRANS EMP EXTRACT - COST CENTRE'!$2:$2,0)),"")</f>
        <v/>
      </c>
      <c r="M163" s="8">
        <f>IFERROR(INDEX('TRANS EMP EXTRACT - COST CENTRE'!$A$1:$Z$455,MATCH('Summary - Monthly'!$A163,'TRANS EMP EXTRACT - COST CENTRE'!$A:$A,0),MATCH('Summary - Monthly'!M$3,'TRANS EMP EXTRACT - COST CENTRE'!$2:$2,0)),0)</f>
        <v>0</v>
      </c>
      <c r="N163" s="8">
        <f>IFERROR(INDEX('TRANS EMP EXTRACT - COST CENTRE'!$A$1:$Z$455,MATCH('Summary - Monthly'!$A163,'TRANS EMP EXTRACT - COST CENTRE'!$A:$A,0),MATCH('Summary - Monthly'!N$3,'TRANS EMP EXTRACT - COST CENTRE'!$2:$2,0)),0)</f>
        <v>0</v>
      </c>
      <c r="O163" s="8">
        <f>IFERROR(INDEX('TRANS EMP EXTRACT - COST CENTRE'!$A$1:$Z$455,MATCH('Summary - Monthly'!$A163,'TRANS EMP EXTRACT - COST CENTRE'!$A:$A,0),MATCH('Summary - Monthly'!O$3,'TRANS EMP EXTRACT - COST CENTRE'!$2:$2,0)),0)</f>
        <v>0</v>
      </c>
      <c r="P163" s="8">
        <f>IFERROR(INDEX('TRANS EMP EXTRACT - COST CENTRE'!$A$1:$Z$455,MATCH('Summary - Monthly'!$A163,'TRANS EMP EXTRACT - COST CENTRE'!$A:$A,0),MATCH('Summary - Monthly'!P$3,'TRANS EMP EXTRACT - COST CENTRE'!$2:$2,0)),0)</f>
        <v>0</v>
      </c>
      <c r="Q163" s="8">
        <f>IFERROR(INDEX('TRANS EMP EXTRACT - COST CENTRE'!$A$1:$Z$455,MATCH('Summary - Monthly'!$A163,'TRANS EMP EXTRACT - COST CENTRE'!$A:$A,0),MATCH('Summary - Monthly'!Q$3,'TRANS EMP EXTRACT - COST CENTRE'!$2:$2,0)),0)</f>
        <v>0</v>
      </c>
      <c r="R163" s="8">
        <f>IFERROR(INDEX('TRANS EMP EXTRACT - COST CENTRE'!$A$1:$Z$455,MATCH('Summary - Monthly'!$A163,'TRANS EMP EXTRACT - COST CENTRE'!$A:$A,0),MATCH('Summary - Monthly'!R$3,'TRANS EMP EXTRACT - COST CENTRE'!$2:$2,0)),0)</f>
        <v>0</v>
      </c>
      <c r="S163" s="8">
        <f>IFERROR(INDEX('TRANS EMP EXTRACT - COST CENTRE'!$A$1:$Z$455,MATCH('Summary - Monthly'!$A163,'TRANS EMP EXTRACT - COST CENTRE'!$A:$A,0),MATCH('Summary - Monthly'!S$3,'TRANS EMP EXTRACT - COST CENTRE'!$2:$2,0)),0)</f>
        <v>0</v>
      </c>
      <c r="T163" s="8">
        <f>IFERROR(INDEX('TRANS EMP EXTRACT - COST CENTRE'!$A$1:$Z$455,MATCH('Summary - Monthly'!$A163,'TRANS EMP EXTRACT - COST CENTRE'!$A:$A,0),MATCH('Summary - Monthly'!T$3,'TRANS EMP EXTRACT - COST CENTRE'!$2:$2,0)),0)</f>
        <v>0</v>
      </c>
      <c r="U163" s="8">
        <f>IFERROR(INDEX('TRANS EMP EXTRACT - COST CENTRE'!$A$1:$Z$455,MATCH('Summary - Monthly'!$A163,'TRANS EMP EXTRACT - COST CENTRE'!$A:$A,0),MATCH('Summary - Monthly'!U$3,'TRANS EMP EXTRACT - COST CENTRE'!$2:$2,0)),0)</f>
        <v>0</v>
      </c>
      <c r="V163" s="8">
        <f>IFERROR(INDEX('TRANS EMP EXTRACT - COST CENTRE'!$A$1:$Z$455,MATCH('Summary - Monthly'!$A163,'TRANS EMP EXTRACT - COST CENTRE'!$A:$A,0),MATCH('Summary - Monthly'!V$3,'TRANS EMP EXTRACT - COST CENTRE'!$2:$2,0)),0)</f>
        <v>0</v>
      </c>
      <c r="W163" s="8">
        <f>IFERROR(INDEX('TRANS EMP EXTRACT - COST CENTRE'!$A$1:$Z$455,MATCH('Summary - Monthly'!$A163,'TRANS EMP EXTRACT - COST CENTRE'!$A:$A,0),MATCH('Summary - Monthly'!W$3,'TRANS EMP EXTRACT - COST CENTRE'!$2:$2,0)),0)</f>
        <v>0</v>
      </c>
      <c r="X163" s="8">
        <f>IFERROR(INDEX('TRANS EMP EXTRACT - COST CENTRE'!$A$1:$Z$455,MATCH('Summary - Monthly'!$A163,'TRANS EMP EXTRACT - COST CENTRE'!$A:$A,0),MATCH('Summary - Monthly'!X$3,'TRANS EMP EXTRACT - COST CENTRE'!$2:$2,0)),0)</f>
        <v>0</v>
      </c>
      <c r="Y163" s="8">
        <f>IFERROR(INDEX('TRANS EMP EXTRACT - COST CENTRE'!$A$1:$Z$455,MATCH('Summary - Monthly'!$A163,'TRANS EMP EXTRACT - COST CENTRE'!$A:$A,0),MATCH('Summary - Monthly'!Y$3,'TRANS EMP EXTRACT - COST CENTRE'!$2:$2,0)),0)</f>
        <v>0</v>
      </c>
      <c r="Z163" s="8">
        <f>IFERROR(INDEX('TRANS EMP EXTRACT - COST CENTRE'!$A$1:$Z$455,MATCH('Summary - Monthly'!$A163,'TRANS EMP EXTRACT - COST CENTRE'!$A:$A,0),MATCH('Summary - Monthly'!Z$3,'TRANS EMP EXTRACT - COST CENTRE'!$2:$2,0)),0)</f>
        <v>0</v>
      </c>
      <c r="AA163" s="8">
        <f>IFERROR(INDEX('TRANS EMP EXTRACT - COST CENTRE'!$A$1:$Z$455,MATCH('Summary - Monthly'!$A163,'TRANS EMP EXTRACT - COST CENTRE'!$A:$A,0),MATCH('Summary - Monthly'!AA$3,'TRANS EMP EXTRACT - COST CENTRE'!$2:$2,0)),0)</f>
        <v>0</v>
      </c>
      <c r="AB163" s="8">
        <f>IFERROR(INDEX('TRANS EMP EXTRACT - COST CENTRE'!$A$1:$Z$455,MATCH('Summary - Monthly'!$A163,'TRANS EMP EXTRACT - COST CENTRE'!$A:$A,0),MATCH('Summary - Monthly'!AB$3,'TRANS EMP EXTRACT - COST CENTRE'!$2:$2,0)),0)</f>
        <v>0</v>
      </c>
      <c r="AC163" s="8">
        <f>IFERROR(INDEX('TRANS EMP EXTRACT - COST CENTRE'!$A$1:$Z$455,MATCH('Summary - Monthly'!$A163,'TRANS EMP EXTRACT - COST CENTRE'!$A:$A,0),MATCH('Summary - Monthly'!AC$3,'TRANS EMP EXTRACT - COST CENTRE'!$2:$2,0)),0)</f>
        <v>0</v>
      </c>
      <c r="AD163" s="8">
        <f>IFERROR(INDEX('TRANS EMP EXTRACT - COST CENTRE'!$A$1:$Z$455,MATCH('Summary - Monthly'!$A163,'TRANS EMP EXTRACT - COST CENTRE'!$A:$A,0),MATCH('Summary - Monthly'!AD$3,'TRANS EMP EXTRACT - COST CENTRE'!$2:$2,0)),0)</f>
        <v>0</v>
      </c>
      <c r="AE163" s="8">
        <f>IFERROR(INDEX('TRANS EMP EXTRACT - COST CENTRE'!$A$1:$Z$455,MATCH('Summary - Monthly'!$A163,'TRANS EMP EXTRACT - COST CENTRE'!$A:$A,0),MATCH('Summary - Monthly'!AE$3,'TRANS EMP EXTRACT - COST CENTRE'!$2:$2,0)),0)</f>
        <v>0</v>
      </c>
      <c r="AF163" s="8">
        <f>IFERROR(INDEX('TRANS EMP EXTRACT - COST CENTRE'!$A$1:$Z$455,MATCH('Summary - Monthly'!$A163,'TRANS EMP EXTRACT - COST CENTRE'!$A:$A,0),MATCH('Summary - Monthly'!AF$3,'TRANS EMP EXTRACT - COST CENTRE'!$2:$2,0)),0)</f>
        <v>0</v>
      </c>
      <c r="AG163" s="8">
        <f>IFERROR(INDEX('TRANS EMP EXTRACT - COST CENTRE'!$A$1:$Z$455,MATCH('Summary - Monthly'!$A163,'TRANS EMP EXTRACT - COST CENTRE'!$A:$A,0),MATCH('Summary - Monthly'!AG$3,'TRANS EMP EXTRACT - COST CENTRE'!$2:$2,0)),0)</f>
        <v>0</v>
      </c>
      <c r="AH163" s="8">
        <f>IFERROR(INDEX('TRANS EMP EXTRACT - COST CENTRE'!$A$1:$Z$455,MATCH('Summary - Monthly'!$A163,'TRANS EMP EXTRACT - COST CENTRE'!$A:$A,0),MATCH('Summary - Monthly'!AH$3,'TRANS EMP EXTRACT - COST CENTRE'!$2:$2,0)),0)</f>
        <v>0</v>
      </c>
      <c r="AI163" s="8">
        <f>IFERROR(INDEX('TRANS EMP EXTRACT - COST CENTRE'!$A$1:$Z$455,MATCH('Summary - Monthly'!$A163,'TRANS EMP EXTRACT - COST CENTRE'!$A:$A,0),MATCH('Summary - Monthly'!AI$3,'TRANS EMP EXTRACT - COST CENTRE'!$2:$2,0)),0)</f>
        <v>0</v>
      </c>
      <c r="AJ163" s="8">
        <f>IFERROR(INDEX('TRANS EMP EXTRACT - COST CENTRE'!$A$1:$Z$455,MATCH('Summary - Monthly'!$A163,'TRANS EMP EXTRACT - COST CENTRE'!$A:$A,0),MATCH('Summary - Monthly'!AJ$3,'TRANS EMP EXTRACT - COST CENTRE'!$2:$2,0)),0)</f>
        <v>0</v>
      </c>
      <c r="AK163" s="8">
        <f>IFERROR(INDEX('TRANS EMP EXTRACT - COST CENTRE'!$A$1:$Z$455,MATCH('Summary - Monthly'!$A163,'TRANS EMP EXTRACT - COST CENTRE'!$A:$A,0),MATCH('Summary - Monthly'!AK$3,'TRANS EMP EXTRACT - COST CENTRE'!$2:$2,0)),0)</f>
        <v>0</v>
      </c>
      <c r="AL163" s="8">
        <f>IFERROR(INDEX('TRANS EMP EXTRACT - COST CENTRE'!$A$1:$Z$455,MATCH('Summary - Monthly'!$A163,'TRANS EMP EXTRACT - COST CENTRE'!$A:$A,0),MATCH('Summary - Monthly'!AL$3,'TRANS EMP EXTRACT - COST CENTRE'!$2:$2,0)),0)</f>
        <v>0</v>
      </c>
      <c r="AM163" s="8">
        <f t="shared" si="32"/>
        <v>0</v>
      </c>
      <c r="AN163" s="15">
        <f t="shared" si="26"/>
        <v>0</v>
      </c>
      <c r="AO163" s="40">
        <f t="shared" si="30"/>
        <v>0</v>
      </c>
      <c r="AP163" s="40">
        <f t="shared" si="31"/>
        <v>0</v>
      </c>
      <c r="AQ163" s="8" t="str">
        <f>IFERROR(VLOOKUP(B163,Departments!A:C,3,FALSE),"")</f>
        <v/>
      </c>
      <c r="AR163" s="8" t="str">
        <f>IFERROR(VLOOKUP(B163,Departments!A:B,2,FALSE),"")</f>
        <v/>
      </c>
      <c r="AS163" s="8">
        <f t="shared" si="27"/>
        <v>0</v>
      </c>
      <c r="AT163" s="8">
        <f t="shared" si="28"/>
        <v>0</v>
      </c>
      <c r="AU163" s="8" t="str">
        <f>_xlfn.IFNA(VLOOKUP(B163,Departments!A:D,4,FALSE),"")</f>
        <v/>
      </c>
    </row>
    <row r="164" spans="1:47" ht="14.45" customHeight="1">
      <c r="A164" s="11" t="str">
        <f t="shared" si="24"/>
        <v>00</v>
      </c>
      <c r="B164" s="11">
        <f>'TRANS EMP EXTRACT - COST CENTRE'!B163</f>
        <v>0</v>
      </c>
      <c r="C164" s="10" t="str">
        <f>IFERROR(VLOOKUP(E164,'TRANS EMP EXTRACT - EMP CATEGOR'!A:B,2,FALSE),"")</f>
        <v/>
      </c>
      <c r="D164" s="10" t="str">
        <f>IFERROR(VLOOKUP(E164,'TRANS EMP EXTRACT - EMP CATEGOR'!A:C,3,FALSE),"")</f>
        <v/>
      </c>
      <c r="E164" s="11">
        <f>'TRANS EMP EXTRACT - COST CENTRE'!D163</f>
        <v>0</v>
      </c>
      <c r="F164" s="10" t="str">
        <f>IFERROR(VLOOKUP(E164,'TRANS EMP EXTRACT - COST CENTRE'!D:E,2,FALSE),"")</f>
        <v/>
      </c>
      <c r="G164" s="12" t="str">
        <f>IFERROR(INDEX('TRANS EMP EXTRACT - COST CENTRE'!$A$1:$Z$455,MATCH('Summary - Monthly'!$A164,'TRANS EMP EXTRACT - COST CENTRE'!$A:$A,0),MATCH('Summary - Monthly'!G$3,'TRANS EMP EXTRACT - COST CENTRE'!$2:$2,0)),"")</f>
        <v/>
      </c>
      <c r="H164" s="10" t="str">
        <f>IFERROR(INDEX('TRANS EMP EXTRACT - COST CENTRE'!$B$1:$Z$455,MATCH('Summary - Monthly'!$E164,'TRANS EMP EXTRACT - COST CENTRE'!$D:$D,0),MATCH('Summary - Monthly'!H$3,'TRANS EMP EXTRACT - COST CENTRE'!$2:$2,0)),"")</f>
        <v/>
      </c>
      <c r="I164" s="12" t="str">
        <f>IFERROR(INDEX('TRANS EMP EXTRACT - EMP CATEGOR'!$B$1:$AF$421,MATCH('Summary - Monthly'!$E164,'TRANS EMP EXTRACT - EMP CATEGOR'!$D:$D,0),MATCH('Summary - Monthly'!H$3,'TRANS EMP EXTRACT - EMP CATEGOR'!$2:$2,0)),"")</f>
        <v/>
      </c>
      <c r="J164" s="41">
        <f t="shared" ca="1" si="25"/>
        <v>0</v>
      </c>
      <c r="K164" s="41">
        <f t="shared" ca="1" si="29"/>
        <v>0</v>
      </c>
      <c r="L164" s="10" t="str">
        <f>IFERROR(INDEX('TRANS EMP EXTRACT - COST CENTRE'!$A$1:$Z$455,MATCH('Summary - Monthly'!$A164,'TRANS EMP EXTRACT - COST CENTRE'!$A:$A,0),MATCH('Summary - Monthly'!L$3,'TRANS EMP EXTRACT - COST CENTRE'!$2:$2,0)),"")</f>
        <v/>
      </c>
      <c r="M164" s="10">
        <f>IFERROR(INDEX('TRANS EMP EXTRACT - COST CENTRE'!$A$1:$Z$455,MATCH('Summary - Monthly'!$A164,'TRANS EMP EXTRACT - COST CENTRE'!$A:$A,0),MATCH('Summary - Monthly'!M$3,'TRANS EMP EXTRACT - COST CENTRE'!$2:$2,0)),0)</f>
        <v>0</v>
      </c>
      <c r="N164" s="10">
        <f>IFERROR(INDEX('TRANS EMP EXTRACT - COST CENTRE'!$A$1:$Z$455,MATCH('Summary - Monthly'!$A164,'TRANS EMP EXTRACT - COST CENTRE'!$A:$A,0),MATCH('Summary - Monthly'!N$3,'TRANS EMP EXTRACT - COST CENTRE'!$2:$2,0)),0)</f>
        <v>0</v>
      </c>
      <c r="O164" s="10">
        <f>IFERROR(INDEX('TRANS EMP EXTRACT - COST CENTRE'!$A$1:$Z$455,MATCH('Summary - Monthly'!$A164,'TRANS EMP EXTRACT - COST CENTRE'!$A:$A,0),MATCH('Summary - Monthly'!O$3,'TRANS EMP EXTRACT - COST CENTRE'!$2:$2,0)),0)</f>
        <v>0</v>
      </c>
      <c r="P164" s="10">
        <f>IFERROR(INDEX('TRANS EMP EXTRACT - COST CENTRE'!$A$1:$Z$455,MATCH('Summary - Monthly'!$A164,'TRANS EMP EXTRACT - COST CENTRE'!$A:$A,0),MATCH('Summary - Monthly'!P$3,'TRANS EMP EXTRACT - COST CENTRE'!$2:$2,0)),0)</f>
        <v>0</v>
      </c>
      <c r="Q164" s="10">
        <f>IFERROR(INDEX('TRANS EMP EXTRACT - COST CENTRE'!$A$1:$Z$455,MATCH('Summary - Monthly'!$A164,'TRANS EMP EXTRACT - COST CENTRE'!$A:$A,0),MATCH('Summary - Monthly'!Q$3,'TRANS EMP EXTRACT - COST CENTRE'!$2:$2,0)),0)</f>
        <v>0</v>
      </c>
      <c r="R164" s="10">
        <f>IFERROR(INDEX('TRANS EMP EXTRACT - COST CENTRE'!$A$1:$Z$455,MATCH('Summary - Monthly'!$A164,'TRANS EMP EXTRACT - COST CENTRE'!$A:$A,0),MATCH('Summary - Monthly'!R$3,'TRANS EMP EXTRACT - COST CENTRE'!$2:$2,0)),0)</f>
        <v>0</v>
      </c>
      <c r="S164" s="10">
        <f>IFERROR(INDEX('TRANS EMP EXTRACT - COST CENTRE'!$A$1:$Z$455,MATCH('Summary - Monthly'!$A164,'TRANS EMP EXTRACT - COST CENTRE'!$A:$A,0),MATCH('Summary - Monthly'!S$3,'TRANS EMP EXTRACT - COST CENTRE'!$2:$2,0)),0)</f>
        <v>0</v>
      </c>
      <c r="T164" s="8">
        <f>IFERROR(INDEX('TRANS EMP EXTRACT - COST CENTRE'!$A$1:$Z$455,MATCH('Summary - Monthly'!$A164,'TRANS EMP EXTRACT - COST CENTRE'!$A:$A,0),MATCH('Summary - Monthly'!T$3,'TRANS EMP EXTRACT - COST CENTRE'!$2:$2,0)),0)</f>
        <v>0</v>
      </c>
      <c r="U164" s="13">
        <f>IFERROR(INDEX('TRANS EMP EXTRACT - COST CENTRE'!$A$1:$Z$455,MATCH('Summary - Monthly'!$A164,'TRANS EMP EXTRACT - COST CENTRE'!$A:$A,0),MATCH('Summary - Monthly'!U$3,'TRANS EMP EXTRACT - COST CENTRE'!$2:$2,0)),0)</f>
        <v>0</v>
      </c>
      <c r="V164" s="13">
        <f>IFERROR(INDEX('TRANS EMP EXTRACT - COST CENTRE'!$A$1:$Z$455,MATCH('Summary - Monthly'!$A164,'TRANS EMP EXTRACT - COST CENTRE'!$A:$A,0),MATCH('Summary - Monthly'!V$3,'TRANS EMP EXTRACT - COST CENTRE'!$2:$2,0)),0)</f>
        <v>0</v>
      </c>
      <c r="W164" s="13">
        <f>IFERROR(INDEX('TRANS EMP EXTRACT - COST CENTRE'!$A$1:$Z$455,MATCH('Summary - Monthly'!$A164,'TRANS EMP EXTRACT - COST CENTRE'!$A:$A,0),MATCH('Summary - Monthly'!W$3,'TRANS EMP EXTRACT - COST CENTRE'!$2:$2,0)),0)</f>
        <v>0</v>
      </c>
      <c r="X164" s="13">
        <f>IFERROR(INDEX('TRANS EMP EXTRACT - COST CENTRE'!$A$1:$Z$455,MATCH('Summary - Monthly'!$A164,'TRANS EMP EXTRACT - COST CENTRE'!$A:$A,0),MATCH('Summary - Monthly'!X$3,'TRANS EMP EXTRACT - COST CENTRE'!$2:$2,0)),0)</f>
        <v>0</v>
      </c>
      <c r="Y164" s="13">
        <f>IFERROR(INDEX('TRANS EMP EXTRACT - COST CENTRE'!$A$1:$Z$455,MATCH('Summary - Monthly'!$A164,'TRANS EMP EXTRACT - COST CENTRE'!$A:$A,0),MATCH('Summary - Monthly'!Y$3,'TRANS EMP EXTRACT - COST CENTRE'!$2:$2,0)),0)</f>
        <v>0</v>
      </c>
      <c r="Z164" s="10">
        <f>IFERROR(INDEX('TRANS EMP EXTRACT - COST CENTRE'!$A$1:$Z$455,MATCH('Summary - Monthly'!$A164,'TRANS EMP EXTRACT - COST CENTRE'!$A:$A,0),MATCH('Summary - Monthly'!Z$3,'TRANS EMP EXTRACT - COST CENTRE'!$2:$2,0)),0)</f>
        <v>0</v>
      </c>
      <c r="AA164" s="10">
        <f>IFERROR(INDEX('TRANS EMP EXTRACT - COST CENTRE'!$A$1:$Z$455,MATCH('Summary - Monthly'!$A164,'TRANS EMP EXTRACT - COST CENTRE'!$A:$A,0),MATCH('Summary - Monthly'!AA$3,'TRANS EMP EXTRACT - COST CENTRE'!$2:$2,0)),0)</f>
        <v>0</v>
      </c>
      <c r="AB164" s="10">
        <f>IFERROR(INDEX('TRANS EMP EXTRACT - COST CENTRE'!$A$1:$Z$455,MATCH('Summary - Monthly'!$A164,'TRANS EMP EXTRACT - COST CENTRE'!$A:$A,0),MATCH('Summary - Monthly'!AB$3,'TRANS EMP EXTRACT - COST CENTRE'!$2:$2,0)),0)</f>
        <v>0</v>
      </c>
      <c r="AC164" s="8">
        <f>IFERROR(INDEX('TRANS EMP EXTRACT - COST CENTRE'!$A$1:$Z$455,MATCH('Summary - Monthly'!$A164,'TRANS EMP EXTRACT - COST CENTRE'!$A:$A,0),MATCH('Summary - Monthly'!AC$3,'TRANS EMP EXTRACT - COST CENTRE'!$2:$2,0)),0)</f>
        <v>0</v>
      </c>
      <c r="AD164" s="13">
        <f>IFERROR(INDEX('TRANS EMP EXTRACT - COST CENTRE'!$A$1:$Z$455,MATCH('Summary - Monthly'!$A164,'TRANS EMP EXTRACT - COST CENTRE'!$A:$A,0),MATCH('Summary - Monthly'!AD$3,'TRANS EMP EXTRACT - COST CENTRE'!$2:$2,0)),0)</f>
        <v>0</v>
      </c>
      <c r="AE164" s="13">
        <f>IFERROR(INDEX('TRANS EMP EXTRACT - COST CENTRE'!$A$1:$Z$455,MATCH('Summary - Monthly'!$A164,'TRANS EMP EXTRACT - COST CENTRE'!$A:$A,0),MATCH('Summary - Monthly'!AE$3,'TRANS EMP EXTRACT - COST CENTRE'!$2:$2,0)),0)</f>
        <v>0</v>
      </c>
      <c r="AF164" s="13">
        <f>IFERROR(INDEX('TRANS EMP EXTRACT - COST CENTRE'!$A$1:$Z$455,MATCH('Summary - Monthly'!$A164,'TRANS EMP EXTRACT - COST CENTRE'!$A:$A,0),MATCH('Summary - Monthly'!AF$3,'TRANS EMP EXTRACT - COST CENTRE'!$2:$2,0)),0)</f>
        <v>0</v>
      </c>
      <c r="AG164" s="10">
        <f>IFERROR(INDEX('TRANS EMP EXTRACT - COST CENTRE'!$A$1:$Z$455,MATCH('Summary - Monthly'!$A164,'TRANS EMP EXTRACT - COST CENTRE'!$A:$A,0),MATCH('Summary - Monthly'!AG$3,'TRANS EMP EXTRACT - COST CENTRE'!$2:$2,0)),0)</f>
        <v>0</v>
      </c>
      <c r="AH164" s="10">
        <f>IFERROR(INDEX('TRANS EMP EXTRACT - COST CENTRE'!$A$1:$Z$455,MATCH('Summary - Monthly'!$A164,'TRANS EMP EXTRACT - COST CENTRE'!$A:$A,0),MATCH('Summary - Monthly'!AH$3,'TRANS EMP EXTRACT - COST CENTRE'!$2:$2,0)),0)</f>
        <v>0</v>
      </c>
      <c r="AI164" s="10">
        <f>IFERROR(INDEX('TRANS EMP EXTRACT - COST CENTRE'!$A$1:$Z$455,MATCH('Summary - Monthly'!$A164,'TRANS EMP EXTRACT - COST CENTRE'!$A:$A,0),MATCH('Summary - Monthly'!AI$3,'TRANS EMP EXTRACT - COST CENTRE'!$2:$2,0)),0)</f>
        <v>0</v>
      </c>
      <c r="AJ164" s="10">
        <f>IFERROR(INDEX('TRANS EMP EXTRACT - COST CENTRE'!$A$1:$Z$455,MATCH('Summary - Monthly'!$A164,'TRANS EMP EXTRACT - COST CENTRE'!$A:$A,0),MATCH('Summary - Monthly'!AJ$3,'TRANS EMP EXTRACT - COST CENTRE'!$2:$2,0)),0)</f>
        <v>0</v>
      </c>
      <c r="AK164" s="10">
        <f>IFERROR(INDEX('TRANS EMP EXTRACT - COST CENTRE'!$A$1:$Z$455,MATCH('Summary - Monthly'!$A164,'TRANS EMP EXTRACT - COST CENTRE'!$A:$A,0),MATCH('Summary - Monthly'!AK$3,'TRANS EMP EXTRACT - COST CENTRE'!$2:$2,0)),0)</f>
        <v>0</v>
      </c>
      <c r="AL164" s="10">
        <f>IFERROR(INDEX('TRANS EMP EXTRACT - COST CENTRE'!$A$1:$Z$455,MATCH('Summary - Monthly'!$A164,'TRANS EMP EXTRACT - COST CENTRE'!$A:$A,0),MATCH('Summary - Monthly'!AL$3,'TRANS EMP EXTRACT - COST CENTRE'!$2:$2,0)),0)</f>
        <v>0</v>
      </c>
      <c r="AM164" s="10">
        <f t="shared" si="32"/>
        <v>0</v>
      </c>
      <c r="AN164" s="14">
        <f t="shared" si="26"/>
        <v>0</v>
      </c>
      <c r="AO164" s="18">
        <f t="shared" si="30"/>
        <v>0</v>
      </c>
      <c r="AP164" s="18">
        <f t="shared" si="31"/>
        <v>0</v>
      </c>
      <c r="AQ164" s="10" t="str">
        <f>IFERROR(VLOOKUP(B164,Departments!A:C,3,FALSE),"")</f>
        <v/>
      </c>
      <c r="AR164" s="10" t="str">
        <f>IFERROR(VLOOKUP(B164,Departments!A:B,2,FALSE),"")</f>
        <v/>
      </c>
      <c r="AS164" s="10">
        <f t="shared" si="27"/>
        <v>0</v>
      </c>
      <c r="AT164" s="10">
        <f t="shared" si="28"/>
        <v>0</v>
      </c>
      <c r="AU164" s="10" t="str">
        <f>_xlfn.IFNA(VLOOKUP(B164,Departments!A:D,4,FALSE),"")</f>
        <v/>
      </c>
    </row>
    <row r="165" spans="1:47" ht="14.45" customHeight="1">
      <c r="A165" s="11" t="str">
        <f t="shared" si="24"/>
        <v>00</v>
      </c>
      <c r="B165" s="11">
        <f>'TRANS EMP EXTRACT - COST CENTRE'!B164</f>
        <v>0</v>
      </c>
      <c r="C165" s="10" t="str">
        <f>IFERROR(VLOOKUP(E165,'TRANS EMP EXTRACT - EMP CATEGOR'!A:B,2,FALSE),"")</f>
        <v/>
      </c>
      <c r="D165" s="10" t="str">
        <f>IFERROR(VLOOKUP(E165,'TRANS EMP EXTRACT - EMP CATEGOR'!A:C,3,FALSE),"")</f>
        <v/>
      </c>
      <c r="E165" s="11">
        <f>'TRANS EMP EXTRACT - COST CENTRE'!D164</f>
        <v>0</v>
      </c>
      <c r="F165" s="10" t="str">
        <f>IFERROR(VLOOKUP(E165,'TRANS EMP EXTRACT - COST CENTRE'!D:E,2,FALSE),"")</f>
        <v/>
      </c>
      <c r="G165" s="12" t="str">
        <f>IFERROR(INDEX('TRANS EMP EXTRACT - COST CENTRE'!$A$1:$Z$455,MATCH('Summary - Monthly'!$A165,'TRANS EMP EXTRACT - COST CENTRE'!$A:$A,0),MATCH('Summary - Monthly'!G$3,'TRANS EMP EXTRACT - COST CENTRE'!$2:$2,0)),"")</f>
        <v/>
      </c>
      <c r="H165" s="10" t="str">
        <f>IFERROR(INDEX('TRANS EMP EXTRACT - COST CENTRE'!$B$1:$Z$455,MATCH('Summary - Monthly'!$E165,'TRANS EMP EXTRACT - COST CENTRE'!$D:$D,0),MATCH('Summary - Monthly'!H$3,'TRANS EMP EXTRACT - COST CENTRE'!$2:$2,0)),"")</f>
        <v/>
      </c>
      <c r="I165" s="12" t="str">
        <f>IFERROR(INDEX('TRANS EMP EXTRACT - EMP CATEGOR'!$B$1:$AF$421,MATCH('Summary - Monthly'!$E165,'TRANS EMP EXTRACT - EMP CATEGOR'!$D:$D,0),MATCH('Summary - Monthly'!H$3,'TRANS EMP EXTRACT - EMP CATEGOR'!$2:$2,0)),"")</f>
        <v/>
      </c>
      <c r="J165" s="41">
        <f t="shared" ca="1" si="25"/>
        <v>0</v>
      </c>
      <c r="K165" s="41">
        <f t="shared" ca="1" si="29"/>
        <v>0</v>
      </c>
      <c r="L165" s="10" t="str">
        <f>IFERROR(INDEX('TRANS EMP EXTRACT - COST CENTRE'!$A$1:$Z$455,MATCH('Summary - Monthly'!$A165,'TRANS EMP EXTRACT - COST CENTRE'!$A:$A,0),MATCH('Summary - Monthly'!L$3,'TRANS EMP EXTRACT - COST CENTRE'!$2:$2,0)),"")</f>
        <v/>
      </c>
      <c r="M165" s="10">
        <f>IFERROR(INDEX('TRANS EMP EXTRACT - COST CENTRE'!$A$1:$Z$455,MATCH('Summary - Monthly'!$A165,'TRANS EMP EXTRACT - COST CENTRE'!$A:$A,0),MATCH('Summary - Monthly'!M$3,'TRANS EMP EXTRACT - COST CENTRE'!$2:$2,0)),0)</f>
        <v>0</v>
      </c>
      <c r="N165" s="10">
        <f>IFERROR(INDEX('TRANS EMP EXTRACT - COST CENTRE'!$A$1:$Z$455,MATCH('Summary - Monthly'!$A165,'TRANS EMP EXTRACT - COST CENTRE'!$A:$A,0),MATCH('Summary - Monthly'!N$3,'TRANS EMP EXTRACT - COST CENTRE'!$2:$2,0)),0)</f>
        <v>0</v>
      </c>
      <c r="O165" s="10">
        <f>IFERROR(INDEX('TRANS EMP EXTRACT - COST CENTRE'!$A$1:$Z$455,MATCH('Summary - Monthly'!$A165,'TRANS EMP EXTRACT - COST CENTRE'!$A:$A,0),MATCH('Summary - Monthly'!O$3,'TRANS EMP EXTRACT - COST CENTRE'!$2:$2,0)),0)</f>
        <v>0</v>
      </c>
      <c r="P165" s="10">
        <f>IFERROR(INDEX('TRANS EMP EXTRACT - COST CENTRE'!$A$1:$Z$455,MATCH('Summary - Monthly'!$A165,'TRANS EMP EXTRACT - COST CENTRE'!$A:$A,0),MATCH('Summary - Monthly'!P$3,'TRANS EMP EXTRACT - COST CENTRE'!$2:$2,0)),0)</f>
        <v>0</v>
      </c>
      <c r="Q165" s="10">
        <f>IFERROR(INDEX('TRANS EMP EXTRACT - COST CENTRE'!$A$1:$Z$455,MATCH('Summary - Monthly'!$A165,'TRANS EMP EXTRACT - COST CENTRE'!$A:$A,0),MATCH('Summary - Monthly'!Q$3,'TRANS EMP EXTRACT - COST CENTRE'!$2:$2,0)),0)</f>
        <v>0</v>
      </c>
      <c r="R165" s="10">
        <f>IFERROR(INDEX('TRANS EMP EXTRACT - COST CENTRE'!$A$1:$Z$455,MATCH('Summary - Monthly'!$A165,'TRANS EMP EXTRACT - COST CENTRE'!$A:$A,0),MATCH('Summary - Monthly'!R$3,'TRANS EMP EXTRACT - COST CENTRE'!$2:$2,0)),0)</f>
        <v>0</v>
      </c>
      <c r="S165" s="10">
        <f>IFERROR(INDEX('TRANS EMP EXTRACT - COST CENTRE'!$A$1:$Z$455,MATCH('Summary - Monthly'!$A165,'TRANS EMP EXTRACT - COST CENTRE'!$A:$A,0),MATCH('Summary - Monthly'!S$3,'TRANS EMP EXTRACT - COST CENTRE'!$2:$2,0)),0)</f>
        <v>0</v>
      </c>
      <c r="T165" s="8">
        <f>IFERROR(INDEX('TRANS EMP EXTRACT - COST CENTRE'!$A$1:$Z$455,MATCH('Summary - Monthly'!$A165,'TRANS EMP EXTRACT - COST CENTRE'!$A:$A,0),MATCH('Summary - Monthly'!T$3,'TRANS EMP EXTRACT - COST CENTRE'!$2:$2,0)),0)</f>
        <v>0</v>
      </c>
      <c r="U165" s="13">
        <f>IFERROR(INDEX('TRANS EMP EXTRACT - COST CENTRE'!$A$1:$Z$455,MATCH('Summary - Monthly'!$A165,'TRANS EMP EXTRACT - COST CENTRE'!$A:$A,0),MATCH('Summary - Monthly'!U$3,'TRANS EMP EXTRACT - COST CENTRE'!$2:$2,0)),0)</f>
        <v>0</v>
      </c>
      <c r="V165" s="13">
        <f>IFERROR(INDEX('TRANS EMP EXTRACT - COST CENTRE'!$A$1:$Z$455,MATCH('Summary - Monthly'!$A165,'TRANS EMP EXTRACT - COST CENTRE'!$A:$A,0),MATCH('Summary - Monthly'!V$3,'TRANS EMP EXTRACT - COST CENTRE'!$2:$2,0)),0)</f>
        <v>0</v>
      </c>
      <c r="W165" s="13">
        <f>IFERROR(INDEX('TRANS EMP EXTRACT - COST CENTRE'!$A$1:$Z$455,MATCH('Summary - Monthly'!$A165,'TRANS EMP EXTRACT - COST CENTRE'!$A:$A,0),MATCH('Summary - Monthly'!W$3,'TRANS EMP EXTRACT - COST CENTRE'!$2:$2,0)),0)</f>
        <v>0</v>
      </c>
      <c r="X165" s="13">
        <f>IFERROR(INDEX('TRANS EMP EXTRACT - COST CENTRE'!$A$1:$Z$455,MATCH('Summary - Monthly'!$A165,'TRANS EMP EXTRACT - COST CENTRE'!$A:$A,0),MATCH('Summary - Monthly'!X$3,'TRANS EMP EXTRACT - COST CENTRE'!$2:$2,0)),0)</f>
        <v>0</v>
      </c>
      <c r="Y165" s="13">
        <f>IFERROR(INDEX('TRANS EMP EXTRACT - COST CENTRE'!$A$1:$Z$455,MATCH('Summary - Monthly'!$A165,'TRANS EMP EXTRACT - COST CENTRE'!$A:$A,0),MATCH('Summary - Monthly'!Y$3,'TRANS EMP EXTRACT - COST CENTRE'!$2:$2,0)),0)</f>
        <v>0</v>
      </c>
      <c r="Z165" s="10">
        <f>IFERROR(INDEX('TRANS EMP EXTRACT - COST CENTRE'!$A$1:$Z$455,MATCH('Summary - Monthly'!$A165,'TRANS EMP EXTRACT - COST CENTRE'!$A:$A,0),MATCH('Summary - Monthly'!Z$3,'TRANS EMP EXTRACT - COST CENTRE'!$2:$2,0)),0)</f>
        <v>0</v>
      </c>
      <c r="AA165" s="10">
        <f>IFERROR(INDEX('TRANS EMP EXTRACT - COST CENTRE'!$A$1:$Z$455,MATCH('Summary - Monthly'!$A165,'TRANS EMP EXTRACT - COST CENTRE'!$A:$A,0),MATCH('Summary - Monthly'!AA$3,'TRANS EMP EXTRACT - COST CENTRE'!$2:$2,0)),0)</f>
        <v>0</v>
      </c>
      <c r="AB165" s="10">
        <f>IFERROR(INDEX('TRANS EMP EXTRACT - COST CENTRE'!$A$1:$Z$455,MATCH('Summary - Monthly'!$A165,'TRANS EMP EXTRACT - COST CENTRE'!$A:$A,0),MATCH('Summary - Monthly'!AB$3,'TRANS EMP EXTRACT - COST CENTRE'!$2:$2,0)),0)</f>
        <v>0</v>
      </c>
      <c r="AC165" s="8">
        <f>IFERROR(INDEX('TRANS EMP EXTRACT - COST CENTRE'!$A$1:$Z$455,MATCH('Summary - Monthly'!$A165,'TRANS EMP EXTRACT - COST CENTRE'!$A:$A,0),MATCH('Summary - Monthly'!AC$3,'TRANS EMP EXTRACT - COST CENTRE'!$2:$2,0)),0)</f>
        <v>0</v>
      </c>
      <c r="AD165" s="13">
        <f>IFERROR(INDEX('TRANS EMP EXTRACT - COST CENTRE'!$A$1:$Z$455,MATCH('Summary - Monthly'!$A165,'TRANS EMP EXTRACT - COST CENTRE'!$A:$A,0),MATCH('Summary - Monthly'!AD$3,'TRANS EMP EXTRACT - COST CENTRE'!$2:$2,0)),0)</f>
        <v>0</v>
      </c>
      <c r="AE165" s="13">
        <f>IFERROR(INDEX('TRANS EMP EXTRACT - COST CENTRE'!$A$1:$Z$455,MATCH('Summary - Monthly'!$A165,'TRANS EMP EXTRACT - COST CENTRE'!$A:$A,0),MATCH('Summary - Monthly'!AE$3,'TRANS EMP EXTRACT - COST CENTRE'!$2:$2,0)),0)</f>
        <v>0</v>
      </c>
      <c r="AF165" s="13">
        <f>IFERROR(INDEX('TRANS EMP EXTRACT - COST CENTRE'!$A$1:$Z$455,MATCH('Summary - Monthly'!$A165,'TRANS EMP EXTRACT - COST CENTRE'!$A:$A,0),MATCH('Summary - Monthly'!AF$3,'TRANS EMP EXTRACT - COST CENTRE'!$2:$2,0)),0)</f>
        <v>0</v>
      </c>
      <c r="AG165" s="10">
        <f>IFERROR(INDEX('TRANS EMP EXTRACT - COST CENTRE'!$A$1:$Z$455,MATCH('Summary - Monthly'!$A165,'TRANS EMP EXTRACT - COST CENTRE'!$A:$A,0),MATCH('Summary - Monthly'!AG$3,'TRANS EMP EXTRACT - COST CENTRE'!$2:$2,0)),0)</f>
        <v>0</v>
      </c>
      <c r="AH165" s="10">
        <f>IFERROR(INDEX('TRANS EMP EXTRACT - COST CENTRE'!$A$1:$Z$455,MATCH('Summary - Monthly'!$A165,'TRANS EMP EXTRACT - COST CENTRE'!$A:$A,0),MATCH('Summary - Monthly'!AH$3,'TRANS EMP EXTRACT - COST CENTRE'!$2:$2,0)),0)</f>
        <v>0</v>
      </c>
      <c r="AI165" s="10">
        <f>IFERROR(INDEX('TRANS EMP EXTRACT - COST CENTRE'!$A$1:$Z$455,MATCH('Summary - Monthly'!$A165,'TRANS EMP EXTRACT - COST CENTRE'!$A:$A,0),MATCH('Summary - Monthly'!AI$3,'TRANS EMP EXTRACT - COST CENTRE'!$2:$2,0)),0)</f>
        <v>0</v>
      </c>
      <c r="AJ165" s="10">
        <f>IFERROR(INDEX('TRANS EMP EXTRACT - COST CENTRE'!$A$1:$Z$455,MATCH('Summary - Monthly'!$A165,'TRANS EMP EXTRACT - COST CENTRE'!$A:$A,0),MATCH('Summary - Monthly'!AJ$3,'TRANS EMP EXTRACT - COST CENTRE'!$2:$2,0)),0)</f>
        <v>0</v>
      </c>
      <c r="AK165" s="10">
        <f>IFERROR(INDEX('TRANS EMP EXTRACT - COST CENTRE'!$A$1:$Z$455,MATCH('Summary - Monthly'!$A165,'TRANS EMP EXTRACT - COST CENTRE'!$A:$A,0),MATCH('Summary - Monthly'!AK$3,'TRANS EMP EXTRACT - COST CENTRE'!$2:$2,0)),0)</f>
        <v>0</v>
      </c>
      <c r="AL165" s="10">
        <f>IFERROR(INDEX('TRANS EMP EXTRACT - COST CENTRE'!$A$1:$Z$455,MATCH('Summary - Monthly'!$A165,'TRANS EMP EXTRACT - COST CENTRE'!$A:$A,0),MATCH('Summary - Monthly'!AL$3,'TRANS EMP EXTRACT - COST CENTRE'!$2:$2,0)),0)</f>
        <v>0</v>
      </c>
      <c r="AM165" s="10">
        <f t="shared" ref="AM165" si="34">SUM(L165:Y165)+SUM(AD165:AF165)-T165</f>
        <v>0</v>
      </c>
      <c r="AN165" s="14">
        <f t="shared" ref="AN165" si="35">SUM(Q165:S165)/$AP$2</f>
        <v>0</v>
      </c>
      <c r="AO165" s="18">
        <f t="shared" ref="AO165" si="36">AM165/$AP$2</f>
        <v>0</v>
      </c>
      <c r="AP165" s="18">
        <f t="shared" ref="AP165" si="37">(AM165-SUM(U165:Y165)-SUM(AD165:AF165))/$AP$2</f>
        <v>0</v>
      </c>
      <c r="AQ165" s="10" t="str">
        <f>IFERROR(VLOOKUP(B165,Departments!A:C,3,FALSE),"")</f>
        <v/>
      </c>
      <c r="AR165" s="10" t="str">
        <f>IFERROR(VLOOKUP(B165,Departments!A:B,2,FALSE),"")</f>
        <v/>
      </c>
      <c r="AS165" s="10">
        <f t="shared" ref="AS165" si="38">V165+Y165+Z165+AA165+AD165</f>
        <v>0</v>
      </c>
      <c r="AT165" s="10">
        <f t="shared" ref="AT165" si="39">U165+V165+W165+X165+Y165+Z165+AA165+AB165+AC165+AD165+AE165+AF165</f>
        <v>0</v>
      </c>
      <c r="AU165" s="10" t="str">
        <f>_xlfn.IFNA(VLOOKUP(B165,Departments!A:D,4,FALSE),"")</f>
        <v/>
      </c>
    </row>
    <row r="166" spans="1:47" ht="14.45" customHeight="1">
      <c r="A166" s="11" t="str">
        <f t="shared" si="24"/>
        <v>00</v>
      </c>
      <c r="B166" s="11">
        <f>'TRANS EMP EXTRACT - COST CENTRE'!B165</f>
        <v>0</v>
      </c>
      <c r="C166" s="10" t="str">
        <f>IFERROR(VLOOKUP(E166,'TRANS EMP EXTRACT - EMP CATEGOR'!A:B,2,FALSE),"")</f>
        <v/>
      </c>
      <c r="D166" s="10" t="str">
        <f>IFERROR(VLOOKUP(E166,'TRANS EMP EXTRACT - EMP CATEGOR'!A:C,3,FALSE),"")</f>
        <v/>
      </c>
      <c r="E166" s="11">
        <f>'TRANS EMP EXTRACT - COST CENTRE'!D165</f>
        <v>0</v>
      </c>
      <c r="F166" s="10" t="str">
        <f>IFERROR(VLOOKUP(E166,'TRANS EMP EXTRACT - COST CENTRE'!D:E,2,FALSE),"")</f>
        <v/>
      </c>
      <c r="G166" s="12" t="str">
        <f>IFERROR(INDEX('TRANS EMP EXTRACT - COST CENTRE'!$A$1:$Z$455,MATCH('Summary - Monthly'!$A166,'TRANS EMP EXTRACT - COST CENTRE'!$A:$A,0),MATCH('Summary - Monthly'!G$3,'TRANS EMP EXTRACT - COST CENTRE'!$2:$2,0)),"")</f>
        <v/>
      </c>
      <c r="H166" s="10" t="str">
        <f>IFERROR(INDEX('TRANS EMP EXTRACT - COST CENTRE'!$B$1:$Z$455,MATCH('Summary - Monthly'!$E166,'TRANS EMP EXTRACT - COST CENTRE'!$D:$D,0),MATCH('Summary - Monthly'!H$3,'TRANS EMP EXTRACT - COST CENTRE'!$2:$2,0)),"")</f>
        <v/>
      </c>
      <c r="I166" s="12" t="str">
        <f>IFERROR(INDEX('TRANS EMP EXTRACT - EMP CATEGOR'!$B$1:$AF$421,MATCH('Summary - Monthly'!$E166,'TRANS EMP EXTRACT - EMP CATEGOR'!$D:$D,0),MATCH('Summary - Monthly'!H$3,'TRANS EMP EXTRACT - EMP CATEGOR'!$2:$2,0)),"")</f>
        <v/>
      </c>
      <c r="J166" s="41">
        <f t="shared" ca="1" si="25"/>
        <v>0</v>
      </c>
      <c r="K166" s="41">
        <f t="shared" ca="1" si="29"/>
        <v>0</v>
      </c>
      <c r="L166" s="10" t="str">
        <f>IFERROR(INDEX('TRANS EMP EXTRACT - COST CENTRE'!$A$1:$Z$455,MATCH('Summary - Monthly'!$A166,'TRANS EMP EXTRACT - COST CENTRE'!$A:$A,0),MATCH('Summary - Monthly'!L$3,'TRANS EMP EXTRACT - COST CENTRE'!$2:$2,0)),"")</f>
        <v/>
      </c>
      <c r="M166" s="10">
        <f>IFERROR(INDEX('TRANS EMP EXTRACT - COST CENTRE'!$A$1:$Z$455,MATCH('Summary - Monthly'!$A166,'TRANS EMP EXTRACT - COST CENTRE'!$A:$A,0),MATCH('Summary - Monthly'!M$3,'TRANS EMP EXTRACT - COST CENTRE'!$2:$2,0)),0)</f>
        <v>0</v>
      </c>
      <c r="N166" s="10">
        <f>IFERROR(INDEX('TRANS EMP EXTRACT - COST CENTRE'!$A$1:$Z$455,MATCH('Summary - Monthly'!$A166,'TRANS EMP EXTRACT - COST CENTRE'!$A:$A,0),MATCH('Summary - Monthly'!N$3,'TRANS EMP EXTRACT - COST CENTRE'!$2:$2,0)),0)</f>
        <v>0</v>
      </c>
      <c r="O166" s="10">
        <f>IFERROR(INDEX('TRANS EMP EXTRACT - COST CENTRE'!$A$1:$Z$455,MATCH('Summary - Monthly'!$A166,'TRANS EMP EXTRACT - COST CENTRE'!$A:$A,0),MATCH('Summary - Monthly'!O$3,'TRANS EMP EXTRACT - COST CENTRE'!$2:$2,0)),0)</f>
        <v>0</v>
      </c>
      <c r="P166" s="10">
        <f>IFERROR(INDEX('TRANS EMP EXTRACT - COST CENTRE'!$A$1:$Z$455,MATCH('Summary - Monthly'!$A166,'TRANS EMP EXTRACT - COST CENTRE'!$A:$A,0),MATCH('Summary - Monthly'!P$3,'TRANS EMP EXTRACT - COST CENTRE'!$2:$2,0)),0)</f>
        <v>0</v>
      </c>
      <c r="Q166" s="10">
        <f>IFERROR(INDEX('TRANS EMP EXTRACT - COST CENTRE'!$A$1:$Z$455,MATCH('Summary - Monthly'!$A166,'TRANS EMP EXTRACT - COST CENTRE'!$A:$A,0),MATCH('Summary - Monthly'!Q$3,'TRANS EMP EXTRACT - COST CENTRE'!$2:$2,0)),0)</f>
        <v>0</v>
      </c>
      <c r="R166" s="10">
        <f>IFERROR(INDEX('TRANS EMP EXTRACT - COST CENTRE'!$A$1:$Z$455,MATCH('Summary - Monthly'!$A166,'TRANS EMP EXTRACT - COST CENTRE'!$A:$A,0),MATCH('Summary - Monthly'!R$3,'TRANS EMP EXTRACT - COST CENTRE'!$2:$2,0)),0)</f>
        <v>0</v>
      </c>
      <c r="S166" s="10">
        <f>IFERROR(INDEX('TRANS EMP EXTRACT - COST CENTRE'!$A$1:$Z$455,MATCH('Summary - Monthly'!$A166,'TRANS EMP EXTRACT - COST CENTRE'!$A:$A,0),MATCH('Summary - Monthly'!S$3,'TRANS EMP EXTRACT - COST CENTRE'!$2:$2,0)),0)</f>
        <v>0</v>
      </c>
      <c r="T166" s="8">
        <f>IFERROR(INDEX('TRANS EMP EXTRACT - COST CENTRE'!$A$1:$Z$455,MATCH('Summary - Monthly'!$A166,'TRANS EMP EXTRACT - COST CENTRE'!$A:$A,0),MATCH('Summary - Monthly'!T$3,'TRANS EMP EXTRACT - COST CENTRE'!$2:$2,0)),0)</f>
        <v>0</v>
      </c>
      <c r="U166" s="13">
        <f>IFERROR(INDEX('TRANS EMP EXTRACT - COST CENTRE'!$A$1:$Z$455,MATCH('Summary - Monthly'!$A166,'TRANS EMP EXTRACT - COST CENTRE'!$A:$A,0),MATCH('Summary - Monthly'!U$3,'TRANS EMP EXTRACT - COST CENTRE'!$2:$2,0)),0)</f>
        <v>0</v>
      </c>
      <c r="V166" s="13">
        <f>IFERROR(INDEX('TRANS EMP EXTRACT - COST CENTRE'!$A$1:$Z$455,MATCH('Summary - Monthly'!$A166,'TRANS EMP EXTRACT - COST CENTRE'!$A:$A,0),MATCH('Summary - Monthly'!V$3,'TRANS EMP EXTRACT - COST CENTRE'!$2:$2,0)),0)</f>
        <v>0</v>
      </c>
      <c r="W166" s="13">
        <f>IFERROR(INDEX('TRANS EMP EXTRACT - COST CENTRE'!$A$1:$Z$455,MATCH('Summary - Monthly'!$A166,'TRANS EMP EXTRACT - COST CENTRE'!$A:$A,0),MATCH('Summary - Monthly'!W$3,'TRANS EMP EXTRACT - COST CENTRE'!$2:$2,0)),0)</f>
        <v>0</v>
      </c>
      <c r="X166" s="13">
        <f>IFERROR(INDEX('TRANS EMP EXTRACT - COST CENTRE'!$A$1:$Z$455,MATCH('Summary - Monthly'!$A166,'TRANS EMP EXTRACT - COST CENTRE'!$A:$A,0),MATCH('Summary - Monthly'!X$3,'TRANS EMP EXTRACT - COST CENTRE'!$2:$2,0)),0)</f>
        <v>0</v>
      </c>
      <c r="Y166" s="13">
        <f>IFERROR(INDEX('TRANS EMP EXTRACT - COST CENTRE'!$A$1:$Z$455,MATCH('Summary - Monthly'!$A166,'TRANS EMP EXTRACT - COST CENTRE'!$A:$A,0),MATCH('Summary - Monthly'!Y$3,'TRANS EMP EXTRACT - COST CENTRE'!$2:$2,0)),0)</f>
        <v>0</v>
      </c>
      <c r="Z166" s="10">
        <f>IFERROR(INDEX('TRANS EMP EXTRACT - COST CENTRE'!$A$1:$Z$455,MATCH('Summary - Monthly'!$A166,'TRANS EMP EXTRACT - COST CENTRE'!$A:$A,0),MATCH('Summary - Monthly'!Z$3,'TRANS EMP EXTRACT - COST CENTRE'!$2:$2,0)),0)</f>
        <v>0</v>
      </c>
      <c r="AA166" s="10">
        <f>IFERROR(INDEX('TRANS EMP EXTRACT - COST CENTRE'!$A$1:$Z$455,MATCH('Summary - Monthly'!$A166,'TRANS EMP EXTRACT - COST CENTRE'!$A:$A,0),MATCH('Summary - Monthly'!AA$3,'TRANS EMP EXTRACT - COST CENTRE'!$2:$2,0)),0)</f>
        <v>0</v>
      </c>
      <c r="AB166" s="10">
        <f>IFERROR(INDEX('TRANS EMP EXTRACT - COST CENTRE'!$A$1:$Z$455,MATCH('Summary - Monthly'!$A166,'TRANS EMP EXTRACT - COST CENTRE'!$A:$A,0),MATCH('Summary - Monthly'!AB$3,'TRANS EMP EXTRACT - COST CENTRE'!$2:$2,0)),0)</f>
        <v>0</v>
      </c>
      <c r="AC166" s="8">
        <f>IFERROR(INDEX('TRANS EMP EXTRACT - COST CENTRE'!$A$1:$Z$455,MATCH('Summary - Monthly'!$A166,'TRANS EMP EXTRACT - COST CENTRE'!$A:$A,0),MATCH('Summary - Monthly'!AC$3,'TRANS EMP EXTRACT - COST CENTRE'!$2:$2,0)),0)</f>
        <v>0</v>
      </c>
      <c r="AD166" s="13">
        <f>IFERROR(INDEX('TRANS EMP EXTRACT - COST CENTRE'!$A$1:$Z$455,MATCH('Summary - Monthly'!$A166,'TRANS EMP EXTRACT - COST CENTRE'!$A:$A,0),MATCH('Summary - Monthly'!AD$3,'TRANS EMP EXTRACT - COST CENTRE'!$2:$2,0)),0)</f>
        <v>0</v>
      </c>
      <c r="AE166" s="13">
        <f>IFERROR(INDEX('TRANS EMP EXTRACT - COST CENTRE'!$A$1:$Z$455,MATCH('Summary - Monthly'!$A166,'TRANS EMP EXTRACT - COST CENTRE'!$A:$A,0),MATCH('Summary - Monthly'!AE$3,'TRANS EMP EXTRACT - COST CENTRE'!$2:$2,0)),0)</f>
        <v>0</v>
      </c>
      <c r="AF166" s="13">
        <f>IFERROR(INDEX('TRANS EMP EXTRACT - COST CENTRE'!$A$1:$Z$455,MATCH('Summary - Monthly'!$A166,'TRANS EMP EXTRACT - COST CENTRE'!$A:$A,0),MATCH('Summary - Monthly'!AF$3,'TRANS EMP EXTRACT - COST CENTRE'!$2:$2,0)),0)</f>
        <v>0</v>
      </c>
      <c r="AG166" s="10">
        <f>IFERROR(INDEX('TRANS EMP EXTRACT - COST CENTRE'!$A$1:$Z$455,MATCH('Summary - Monthly'!$A166,'TRANS EMP EXTRACT - COST CENTRE'!$A:$A,0),MATCH('Summary - Monthly'!AG$3,'TRANS EMP EXTRACT - COST CENTRE'!$2:$2,0)),0)</f>
        <v>0</v>
      </c>
      <c r="AH166" s="10">
        <f>IFERROR(INDEX('TRANS EMP EXTRACT - COST CENTRE'!$A$1:$Z$455,MATCH('Summary - Monthly'!$A166,'TRANS EMP EXTRACT - COST CENTRE'!$A:$A,0),MATCH('Summary - Monthly'!AH$3,'TRANS EMP EXTRACT - COST CENTRE'!$2:$2,0)),0)</f>
        <v>0</v>
      </c>
      <c r="AI166" s="10">
        <f>IFERROR(INDEX('TRANS EMP EXTRACT - COST CENTRE'!$A$1:$Z$455,MATCH('Summary - Monthly'!$A166,'TRANS EMP EXTRACT - COST CENTRE'!$A:$A,0),MATCH('Summary - Monthly'!AI$3,'TRANS EMP EXTRACT - COST CENTRE'!$2:$2,0)),0)</f>
        <v>0</v>
      </c>
      <c r="AJ166" s="10">
        <f>IFERROR(INDEX('TRANS EMP EXTRACT - COST CENTRE'!$A$1:$Z$455,MATCH('Summary - Monthly'!$A166,'TRANS EMP EXTRACT - COST CENTRE'!$A:$A,0),MATCH('Summary - Monthly'!AJ$3,'TRANS EMP EXTRACT - COST CENTRE'!$2:$2,0)),0)</f>
        <v>0</v>
      </c>
      <c r="AK166" s="10">
        <f>IFERROR(INDEX('TRANS EMP EXTRACT - COST CENTRE'!$A$1:$Z$455,MATCH('Summary - Monthly'!$A166,'TRANS EMP EXTRACT - COST CENTRE'!$A:$A,0),MATCH('Summary - Monthly'!AK$3,'TRANS EMP EXTRACT - COST CENTRE'!$2:$2,0)),0)</f>
        <v>0</v>
      </c>
      <c r="AL166" s="10">
        <f>IFERROR(INDEX('TRANS EMP EXTRACT - COST CENTRE'!$A$1:$Z$455,MATCH('Summary - Monthly'!$A166,'TRANS EMP EXTRACT - COST CENTRE'!$A:$A,0),MATCH('Summary - Monthly'!AL$3,'TRANS EMP EXTRACT - COST CENTRE'!$2:$2,0)),0)</f>
        <v>0</v>
      </c>
      <c r="AM166" s="10">
        <f t="shared" ref="AM166" si="40">SUM(L166:Y166)+SUM(AD166:AF166)-T166</f>
        <v>0</v>
      </c>
      <c r="AN166" s="14">
        <f t="shared" ref="AN166" si="41">SUM(Q166:S166)/$AP$2</f>
        <v>0</v>
      </c>
      <c r="AO166" s="18">
        <f t="shared" ref="AO166" si="42">AM166/$AP$2</f>
        <v>0</v>
      </c>
      <c r="AP166" s="18">
        <f t="shared" si="31"/>
        <v>0</v>
      </c>
      <c r="AQ166" s="10" t="str">
        <f>IFERROR(VLOOKUP(B166,Departments!A:C,3,FALSE),"")</f>
        <v/>
      </c>
      <c r="AR166" s="10" t="str">
        <f>IFERROR(VLOOKUP(B166,Departments!A:B,2,FALSE),"")</f>
        <v/>
      </c>
      <c r="AS166" s="10">
        <f t="shared" si="27"/>
        <v>0</v>
      </c>
      <c r="AT166" s="10">
        <f t="shared" si="28"/>
        <v>0</v>
      </c>
      <c r="AU166" s="10" t="str">
        <f>_xlfn.IFNA(VLOOKUP(B166,Departments!A:D,4,FALSE),"")</f>
        <v/>
      </c>
    </row>
    <row r="167" spans="1:47" ht="14.45" customHeight="1">
      <c r="A167" s="11" t="str">
        <f t="shared" si="24"/>
        <v>00</v>
      </c>
      <c r="B167" s="11">
        <f>'TRANS EMP EXTRACT - COST CENTRE'!B166</f>
        <v>0</v>
      </c>
      <c r="D167" s="10" t="str">
        <f>IFERROR(VLOOKUP(E167,'TRANS EMP EXTRACT - EMP CATEGOR'!A:C,3,FALSE),"")</f>
        <v/>
      </c>
      <c r="E167" s="11">
        <f>'TRANS EMP EXTRACT - COST CENTRE'!D166</f>
        <v>0</v>
      </c>
      <c r="F167" s="10" t="str">
        <f>IFERROR(VLOOKUP(E167,'TRANS EMP EXTRACT - COST CENTRE'!D:E,2,FALSE),"")</f>
        <v/>
      </c>
      <c r="G167" s="12" t="str">
        <f>IFERROR(INDEX('TRANS EMP EXTRACT - COST CENTRE'!$A$1:$Z$455,MATCH('Summary - Monthly'!$A167,'TRANS EMP EXTRACT - COST CENTRE'!$A:$A,0),MATCH('Summary - Monthly'!G$3,'TRANS EMP EXTRACT - COST CENTRE'!$2:$2,0)),"")</f>
        <v/>
      </c>
      <c r="H167" s="10"/>
      <c r="I167" s="12"/>
      <c r="J167" s="41">
        <f t="shared" ca="1" si="25"/>
        <v>0</v>
      </c>
      <c r="K167" s="41">
        <f t="shared" ca="1" si="29"/>
        <v>0</v>
      </c>
      <c r="AC167" s="8"/>
      <c r="AM167" s="10">
        <f t="shared" si="32"/>
        <v>0</v>
      </c>
      <c r="AN167" s="14">
        <f t="shared" si="26"/>
        <v>0</v>
      </c>
      <c r="AO167" s="18">
        <f t="shared" si="30"/>
        <v>0</v>
      </c>
      <c r="AP167" s="18">
        <f t="shared" si="31"/>
        <v>0</v>
      </c>
      <c r="AQ167" s="10" t="str">
        <f>IFERROR(VLOOKUP(B167,Departments!A:C,3,FALSE),"")</f>
        <v/>
      </c>
      <c r="AR167" s="10" t="str">
        <f>IFERROR(VLOOKUP(B167,Departments!A:B,2,FALSE),"")</f>
        <v/>
      </c>
      <c r="AS167" s="10">
        <f t="shared" si="27"/>
        <v>0</v>
      </c>
      <c r="AT167" s="10">
        <f t="shared" si="28"/>
        <v>0</v>
      </c>
      <c r="AU167" s="10" t="str">
        <f>_xlfn.IFNA(VLOOKUP(B167,Departments!A:D,4,FALSE),"")</f>
        <v/>
      </c>
    </row>
    <row r="168" spans="1:47" ht="14.45" customHeight="1">
      <c r="A168" s="11" t="str">
        <f t="shared" si="24"/>
        <v>00</v>
      </c>
      <c r="B168" s="11">
        <f>'TRANS EMP EXTRACT - COST CENTRE'!B167</f>
        <v>0</v>
      </c>
      <c r="E168" s="11">
        <f>'TRANS EMP EXTRACT - COST CENTRE'!D167</f>
        <v>0</v>
      </c>
      <c r="H168" s="10"/>
      <c r="I168" s="12"/>
      <c r="J168" s="41">
        <f t="shared" ca="1" si="25"/>
        <v>0</v>
      </c>
      <c r="K168" s="41">
        <f t="shared" ca="1" si="29"/>
        <v>0</v>
      </c>
      <c r="AC168" s="8"/>
      <c r="AM168" s="10">
        <f t="shared" si="32"/>
        <v>0</v>
      </c>
      <c r="AN168" s="14">
        <f t="shared" si="26"/>
        <v>0</v>
      </c>
      <c r="AO168" s="18">
        <f t="shared" si="30"/>
        <v>0</v>
      </c>
      <c r="AP168" s="18">
        <f t="shared" si="31"/>
        <v>0</v>
      </c>
      <c r="AQ168" s="10" t="str">
        <f>IFERROR(VLOOKUP(B168,Departments!A:C,3,FALSE),"")</f>
        <v/>
      </c>
      <c r="AR168" s="10" t="str">
        <f>IFERROR(VLOOKUP(B168,Departments!A:B,2,FALSE),"")</f>
        <v/>
      </c>
      <c r="AS168" s="10">
        <f t="shared" si="27"/>
        <v>0</v>
      </c>
      <c r="AT168" s="10">
        <f t="shared" si="28"/>
        <v>0</v>
      </c>
      <c r="AU168" s="10" t="str">
        <f>_xlfn.IFNA(VLOOKUP(B168,Departments!A:D,4,FALSE),"")</f>
        <v/>
      </c>
    </row>
    <row r="169" spans="1:47" ht="14.45" customHeight="1">
      <c r="A169" s="11" t="str">
        <f t="shared" si="24"/>
        <v>00</v>
      </c>
      <c r="B169" s="11">
        <f>'TRANS EMP EXTRACT - COST CENTRE'!B168</f>
        <v>0</v>
      </c>
      <c r="E169" s="11">
        <f>'TRANS EMP EXTRACT - COST CENTRE'!D168</f>
        <v>0</v>
      </c>
      <c r="H169" s="10"/>
      <c r="I169" s="12"/>
      <c r="J169" s="41">
        <f t="shared" ca="1" si="25"/>
        <v>0</v>
      </c>
      <c r="K169" s="41">
        <f t="shared" ca="1" si="29"/>
        <v>0</v>
      </c>
      <c r="AC169" s="8"/>
      <c r="AM169" s="10">
        <f t="shared" si="32"/>
        <v>0</v>
      </c>
      <c r="AN169" s="14">
        <f t="shared" si="26"/>
        <v>0</v>
      </c>
      <c r="AO169" s="18">
        <f t="shared" si="30"/>
        <v>0</v>
      </c>
      <c r="AP169" s="18">
        <f t="shared" si="31"/>
        <v>0</v>
      </c>
      <c r="AQ169" s="10" t="str">
        <f>IFERROR(VLOOKUP(B169,Departments!A:C,3,FALSE),"")</f>
        <v/>
      </c>
      <c r="AR169" s="10" t="str">
        <f>IFERROR(VLOOKUP(B169,Departments!A:B,2,FALSE),"")</f>
        <v/>
      </c>
      <c r="AS169" s="10">
        <f t="shared" si="27"/>
        <v>0</v>
      </c>
      <c r="AT169" s="10">
        <f t="shared" si="28"/>
        <v>0</v>
      </c>
      <c r="AU169" s="10" t="str">
        <f>_xlfn.IFNA(VLOOKUP(B169,Departments!A:D,4,FALSE),"")</f>
        <v/>
      </c>
    </row>
    <row r="170" spans="1:47" ht="14.45" customHeight="1">
      <c r="A170" s="11" t="str">
        <f t="shared" si="24"/>
        <v>00</v>
      </c>
      <c r="B170" s="11">
        <f>'TRANS EMP EXTRACT - COST CENTRE'!B169</f>
        <v>0</v>
      </c>
      <c r="E170" s="11">
        <f>'TRANS EMP EXTRACT - COST CENTRE'!D169</f>
        <v>0</v>
      </c>
      <c r="H170" s="10"/>
      <c r="I170" s="12"/>
      <c r="J170" s="41">
        <f t="shared" ca="1" si="25"/>
        <v>0</v>
      </c>
      <c r="K170" s="41">
        <f t="shared" ca="1" si="29"/>
        <v>0</v>
      </c>
      <c r="AC170" s="8"/>
      <c r="AM170" s="10">
        <f t="shared" si="32"/>
        <v>0</v>
      </c>
      <c r="AN170" s="14">
        <f t="shared" si="26"/>
        <v>0</v>
      </c>
      <c r="AO170" s="18">
        <f t="shared" si="30"/>
        <v>0</v>
      </c>
      <c r="AP170" s="18">
        <f t="shared" si="31"/>
        <v>0</v>
      </c>
      <c r="AQ170" s="10" t="str">
        <f>IFERROR(VLOOKUP(B170,Departments!A:C,3,FALSE),"")</f>
        <v/>
      </c>
      <c r="AR170" s="10" t="str">
        <f>IFERROR(VLOOKUP(B170,Departments!A:B,2,FALSE),"")</f>
        <v/>
      </c>
      <c r="AS170" s="10">
        <f t="shared" si="27"/>
        <v>0</v>
      </c>
      <c r="AT170" s="10">
        <f t="shared" si="28"/>
        <v>0</v>
      </c>
      <c r="AU170" s="10" t="str">
        <f>_xlfn.IFNA(VLOOKUP(B170,Departments!A:D,4,FALSE),"")</f>
        <v/>
      </c>
    </row>
    <row r="171" spans="1:47" ht="14.45" customHeight="1">
      <c r="A171" s="11" t="str">
        <f t="shared" si="24"/>
        <v>00</v>
      </c>
      <c r="B171" s="11">
        <f>'TRANS EMP EXTRACT - COST CENTRE'!B170</f>
        <v>0</v>
      </c>
      <c r="E171" s="11">
        <f>'TRANS EMP EXTRACT - COST CENTRE'!D170</f>
        <v>0</v>
      </c>
      <c r="H171" s="10"/>
      <c r="I171" s="12"/>
      <c r="J171" s="41">
        <f t="shared" ca="1" si="25"/>
        <v>0</v>
      </c>
      <c r="K171" s="41">
        <f t="shared" ca="1" si="29"/>
        <v>0</v>
      </c>
      <c r="AC171" s="8"/>
      <c r="AM171" s="10">
        <f t="shared" si="32"/>
        <v>0</v>
      </c>
      <c r="AN171" s="14">
        <f t="shared" si="26"/>
        <v>0</v>
      </c>
      <c r="AO171" s="18">
        <f t="shared" si="30"/>
        <v>0</v>
      </c>
      <c r="AP171" s="18">
        <f t="shared" si="31"/>
        <v>0</v>
      </c>
      <c r="AQ171" s="10" t="str">
        <f>IFERROR(VLOOKUP(B171,Departments!A:C,3,FALSE),"")</f>
        <v/>
      </c>
      <c r="AR171" s="10" t="str">
        <f>IFERROR(VLOOKUP(B171,Departments!A:B,2,FALSE),"")</f>
        <v/>
      </c>
      <c r="AS171" s="10">
        <f t="shared" si="27"/>
        <v>0</v>
      </c>
      <c r="AT171" s="10">
        <f t="shared" si="28"/>
        <v>0</v>
      </c>
      <c r="AU171" s="10" t="str">
        <f>_xlfn.IFNA(VLOOKUP(B171,Departments!A:D,4,FALSE),"")</f>
        <v/>
      </c>
    </row>
    <row r="172" spans="1:47" ht="14.45" customHeight="1">
      <c r="A172" s="11" t="str">
        <f t="shared" si="24"/>
        <v>00</v>
      </c>
      <c r="B172" s="11">
        <f>'TRANS EMP EXTRACT - COST CENTRE'!B171</f>
        <v>0</v>
      </c>
      <c r="E172" s="11">
        <f>'TRANS EMP EXTRACT - COST CENTRE'!D171</f>
        <v>0</v>
      </c>
      <c r="H172" s="10"/>
      <c r="I172" s="12"/>
      <c r="J172" s="41">
        <f t="shared" ca="1" si="25"/>
        <v>0</v>
      </c>
      <c r="K172" s="41">
        <f t="shared" ca="1" si="29"/>
        <v>0</v>
      </c>
      <c r="AC172" s="8"/>
      <c r="AM172" s="10">
        <f t="shared" si="32"/>
        <v>0</v>
      </c>
      <c r="AN172" s="14">
        <f t="shared" si="26"/>
        <v>0</v>
      </c>
      <c r="AO172" s="18">
        <f t="shared" si="30"/>
        <v>0</v>
      </c>
      <c r="AP172" s="18">
        <f t="shared" si="31"/>
        <v>0</v>
      </c>
      <c r="AQ172" s="10" t="str">
        <f>IFERROR(VLOOKUP(B172,Departments!A:C,3,FALSE),"")</f>
        <v/>
      </c>
      <c r="AR172" s="10" t="str">
        <f>IFERROR(VLOOKUP(B172,Departments!A:B,2,FALSE),"")</f>
        <v/>
      </c>
      <c r="AS172" s="10">
        <f t="shared" si="27"/>
        <v>0</v>
      </c>
      <c r="AT172" s="10">
        <f t="shared" si="28"/>
        <v>0</v>
      </c>
      <c r="AU172" s="10" t="str">
        <f>_xlfn.IFNA(VLOOKUP(B172,Departments!A:D,4,FALSE),"")</f>
        <v/>
      </c>
    </row>
    <row r="173" spans="1:47" ht="14.45" customHeight="1">
      <c r="A173" s="11" t="str">
        <f t="shared" si="24"/>
        <v>00</v>
      </c>
      <c r="B173" s="11">
        <f>'TRANS EMP EXTRACT - COST CENTRE'!B172</f>
        <v>0</v>
      </c>
      <c r="E173" s="11">
        <f>'TRANS EMP EXTRACT - COST CENTRE'!D172</f>
        <v>0</v>
      </c>
      <c r="H173" s="10"/>
      <c r="I173" s="12"/>
      <c r="J173" s="41">
        <f t="shared" ca="1" si="25"/>
        <v>0</v>
      </c>
      <c r="K173" s="41">
        <f t="shared" ca="1" si="29"/>
        <v>0</v>
      </c>
      <c r="AC173" s="8"/>
      <c r="AM173" s="10">
        <f t="shared" si="32"/>
        <v>0</v>
      </c>
      <c r="AN173" s="14">
        <f t="shared" si="26"/>
        <v>0</v>
      </c>
      <c r="AO173" s="18">
        <f t="shared" si="30"/>
        <v>0</v>
      </c>
      <c r="AP173" s="18">
        <f t="shared" si="31"/>
        <v>0</v>
      </c>
      <c r="AQ173" s="10" t="str">
        <f>IFERROR(VLOOKUP(B173,Departments!A:C,3,FALSE),"")</f>
        <v/>
      </c>
      <c r="AR173" s="10" t="str">
        <f>IFERROR(VLOOKUP(B173,Departments!A:B,2,FALSE),"")</f>
        <v/>
      </c>
      <c r="AS173" s="10">
        <f t="shared" si="27"/>
        <v>0</v>
      </c>
      <c r="AT173" s="10">
        <f t="shared" si="28"/>
        <v>0</v>
      </c>
      <c r="AU173" s="10" t="str">
        <f>_xlfn.IFNA(VLOOKUP(B173,Departments!A:D,4,FALSE),"")</f>
        <v/>
      </c>
    </row>
    <row r="174" spans="1:47" ht="14.45" customHeight="1">
      <c r="A174" s="11" t="str">
        <f t="shared" si="24"/>
        <v>00</v>
      </c>
      <c r="B174" s="11">
        <f>'TRANS EMP EXTRACT - COST CENTRE'!B173</f>
        <v>0</v>
      </c>
      <c r="E174" s="11">
        <f>'TRANS EMP EXTRACT - COST CENTRE'!D173</f>
        <v>0</v>
      </c>
      <c r="H174" s="10"/>
      <c r="I174" s="12"/>
      <c r="J174" s="41">
        <f t="shared" ca="1" si="25"/>
        <v>0</v>
      </c>
      <c r="K174" s="41">
        <f t="shared" ca="1" si="29"/>
        <v>0</v>
      </c>
      <c r="AC174" s="8"/>
      <c r="AM174" s="10">
        <f t="shared" si="32"/>
        <v>0</v>
      </c>
      <c r="AN174" s="14">
        <f t="shared" si="26"/>
        <v>0</v>
      </c>
      <c r="AO174" s="18">
        <f t="shared" si="30"/>
        <v>0</v>
      </c>
      <c r="AP174" s="18">
        <f t="shared" si="31"/>
        <v>0</v>
      </c>
      <c r="AQ174" s="10" t="str">
        <f>IFERROR(VLOOKUP(B174,Departments!A:C,3,FALSE),"")</f>
        <v/>
      </c>
      <c r="AR174" s="10" t="str">
        <f>IFERROR(VLOOKUP(B174,Departments!A:B,2,FALSE),"")</f>
        <v/>
      </c>
      <c r="AS174" s="10">
        <f t="shared" si="27"/>
        <v>0</v>
      </c>
      <c r="AT174" s="10">
        <f t="shared" si="28"/>
        <v>0</v>
      </c>
      <c r="AU174" s="10" t="str">
        <f>_xlfn.IFNA(VLOOKUP(B174,Departments!A:D,4,FALSE),"")</f>
        <v/>
      </c>
    </row>
    <row r="175" spans="1:47" ht="14.45" customHeight="1">
      <c r="A175" s="11" t="str">
        <f t="shared" si="24"/>
        <v>00</v>
      </c>
      <c r="B175" s="11">
        <f>'TRANS EMP EXTRACT - COST CENTRE'!B174</f>
        <v>0</v>
      </c>
      <c r="E175" s="11">
        <f>'TRANS EMP EXTRACT - COST CENTRE'!D174</f>
        <v>0</v>
      </c>
      <c r="H175" s="10"/>
      <c r="I175" s="12"/>
      <c r="J175" s="41">
        <f t="shared" ca="1" si="25"/>
        <v>0</v>
      </c>
      <c r="K175" s="41">
        <f t="shared" ca="1" si="29"/>
        <v>0</v>
      </c>
      <c r="AC175" s="8"/>
      <c r="AM175" s="10">
        <f t="shared" si="32"/>
        <v>0</v>
      </c>
      <c r="AN175" s="14">
        <f t="shared" si="26"/>
        <v>0</v>
      </c>
      <c r="AO175" s="18">
        <f t="shared" si="30"/>
        <v>0</v>
      </c>
      <c r="AP175" s="18">
        <f t="shared" si="31"/>
        <v>0</v>
      </c>
      <c r="AQ175" s="10" t="str">
        <f>IFERROR(VLOOKUP(B175,Departments!A:C,3,FALSE),"")</f>
        <v/>
      </c>
      <c r="AR175" s="10" t="str">
        <f>IFERROR(VLOOKUP(B175,Departments!A:B,2,FALSE),"")</f>
        <v/>
      </c>
      <c r="AS175" s="10">
        <f t="shared" si="27"/>
        <v>0</v>
      </c>
      <c r="AT175" s="10">
        <f t="shared" si="28"/>
        <v>0</v>
      </c>
      <c r="AU175" s="10" t="str">
        <f>_xlfn.IFNA(VLOOKUP(B175,Departments!A:D,4,FALSE),"")</f>
        <v/>
      </c>
    </row>
    <row r="176" spans="1:47" ht="14.45" customHeight="1">
      <c r="A176" s="11" t="str">
        <f t="shared" si="24"/>
        <v>00</v>
      </c>
      <c r="B176" s="11">
        <f>'TRANS EMP EXTRACT - COST CENTRE'!B175</f>
        <v>0</v>
      </c>
      <c r="E176" s="11">
        <f>'TRANS EMP EXTRACT - COST CENTRE'!D175</f>
        <v>0</v>
      </c>
      <c r="H176" s="10"/>
      <c r="I176" s="12"/>
      <c r="J176" s="41">
        <f t="shared" ca="1" si="25"/>
        <v>0</v>
      </c>
      <c r="K176" s="41">
        <f t="shared" ca="1" si="29"/>
        <v>0</v>
      </c>
      <c r="AC176" s="8"/>
      <c r="AM176" s="10">
        <f t="shared" si="32"/>
        <v>0</v>
      </c>
      <c r="AN176" s="14">
        <f t="shared" si="26"/>
        <v>0</v>
      </c>
      <c r="AO176" s="18">
        <f t="shared" si="30"/>
        <v>0</v>
      </c>
      <c r="AP176" s="18">
        <f t="shared" si="31"/>
        <v>0</v>
      </c>
      <c r="AQ176" s="10" t="str">
        <f>IFERROR(VLOOKUP(B176,Departments!A:C,3,FALSE),"")</f>
        <v/>
      </c>
      <c r="AR176" s="10" t="str">
        <f>IFERROR(VLOOKUP(B176,Departments!A:B,2,FALSE),"")</f>
        <v/>
      </c>
      <c r="AS176" s="10">
        <f t="shared" si="27"/>
        <v>0</v>
      </c>
      <c r="AT176" s="10">
        <f t="shared" si="28"/>
        <v>0</v>
      </c>
      <c r="AU176" s="10" t="str">
        <f>_xlfn.IFNA(VLOOKUP(B176,Departments!A:D,4,FALSE),"")</f>
        <v/>
      </c>
    </row>
    <row r="177" spans="1:47" ht="14.45" customHeight="1">
      <c r="A177" s="11" t="str">
        <f t="shared" si="24"/>
        <v>00</v>
      </c>
      <c r="B177" s="11">
        <f>'TRANS EMP EXTRACT - COST CENTRE'!B176</f>
        <v>0</v>
      </c>
      <c r="E177" s="11">
        <f>'TRANS EMP EXTRACT - COST CENTRE'!D176</f>
        <v>0</v>
      </c>
      <c r="H177" s="10"/>
      <c r="I177" s="12"/>
      <c r="J177" s="41">
        <f t="shared" ca="1" si="25"/>
        <v>0</v>
      </c>
      <c r="K177" s="41">
        <f t="shared" ca="1" si="29"/>
        <v>0</v>
      </c>
      <c r="AC177" s="8"/>
      <c r="AM177" s="10">
        <f t="shared" si="32"/>
        <v>0</v>
      </c>
      <c r="AN177" s="14">
        <f t="shared" si="26"/>
        <v>0</v>
      </c>
      <c r="AO177" s="18">
        <f t="shared" si="30"/>
        <v>0</v>
      </c>
      <c r="AP177" s="18">
        <f t="shared" si="31"/>
        <v>0</v>
      </c>
      <c r="AQ177" s="10" t="str">
        <f>IFERROR(VLOOKUP(B177,Departments!A:C,3,FALSE),"")</f>
        <v/>
      </c>
      <c r="AR177" s="10" t="str">
        <f>IFERROR(VLOOKUP(B177,Departments!A:B,2,FALSE),"")</f>
        <v/>
      </c>
      <c r="AS177" s="10">
        <f t="shared" si="27"/>
        <v>0</v>
      </c>
      <c r="AT177" s="10">
        <f t="shared" si="28"/>
        <v>0</v>
      </c>
      <c r="AU177" s="10" t="str">
        <f>_xlfn.IFNA(VLOOKUP(B177,Departments!A:D,4,FALSE),"")</f>
        <v/>
      </c>
    </row>
    <row r="178" spans="1:47" ht="14.45" customHeight="1">
      <c r="A178" s="11" t="str">
        <f t="shared" si="24"/>
        <v>00</v>
      </c>
      <c r="B178" s="11">
        <f>'TRANS EMP EXTRACT - COST CENTRE'!B177</f>
        <v>0</v>
      </c>
      <c r="E178" s="11">
        <f>'TRANS EMP EXTRACT - COST CENTRE'!D177</f>
        <v>0</v>
      </c>
      <c r="H178" s="10"/>
      <c r="I178" s="12"/>
      <c r="J178" s="41">
        <f t="shared" ca="1" si="25"/>
        <v>0</v>
      </c>
      <c r="K178" s="41">
        <f t="shared" ca="1" si="29"/>
        <v>0</v>
      </c>
      <c r="AC178" s="8"/>
      <c r="AM178" s="10">
        <f t="shared" si="32"/>
        <v>0</v>
      </c>
      <c r="AN178" s="14">
        <f t="shared" si="26"/>
        <v>0</v>
      </c>
      <c r="AO178" s="18">
        <f t="shared" si="30"/>
        <v>0</v>
      </c>
      <c r="AP178" s="18">
        <f t="shared" si="31"/>
        <v>0</v>
      </c>
      <c r="AQ178" s="10" t="str">
        <f>IFERROR(VLOOKUP(B178,Departments!A:C,3,FALSE),"")</f>
        <v/>
      </c>
      <c r="AR178" s="10" t="str">
        <f>IFERROR(VLOOKUP(B178,Departments!A:B,2,FALSE),"")</f>
        <v/>
      </c>
      <c r="AS178" s="10">
        <f t="shared" si="27"/>
        <v>0</v>
      </c>
      <c r="AT178" s="10">
        <f t="shared" si="28"/>
        <v>0</v>
      </c>
      <c r="AU178" s="10" t="str">
        <f>_xlfn.IFNA(VLOOKUP(B178,Departments!A:D,4,FALSE),"")</f>
        <v/>
      </c>
    </row>
    <row r="179" spans="1:47" ht="14.45" customHeight="1">
      <c r="A179" s="11" t="str">
        <f t="shared" si="24"/>
        <v>00</v>
      </c>
      <c r="B179" s="11">
        <f>'TRANS EMP EXTRACT - COST CENTRE'!B178</f>
        <v>0</v>
      </c>
      <c r="E179" s="11">
        <f>'TRANS EMP EXTRACT - COST CENTRE'!D178</f>
        <v>0</v>
      </c>
      <c r="H179" s="10"/>
      <c r="I179" s="12"/>
      <c r="J179" s="41">
        <f t="shared" ca="1" si="25"/>
        <v>0</v>
      </c>
      <c r="K179" s="41">
        <f t="shared" ca="1" si="29"/>
        <v>0</v>
      </c>
      <c r="AC179" s="8"/>
      <c r="AM179" s="10">
        <f t="shared" si="32"/>
        <v>0</v>
      </c>
      <c r="AN179" s="14">
        <f t="shared" si="26"/>
        <v>0</v>
      </c>
      <c r="AO179" s="18">
        <f t="shared" si="30"/>
        <v>0</v>
      </c>
      <c r="AP179" s="18">
        <f t="shared" si="31"/>
        <v>0</v>
      </c>
      <c r="AQ179" s="10" t="str">
        <f>IFERROR(VLOOKUP(B179,Departments!A:C,3,FALSE),"")</f>
        <v/>
      </c>
      <c r="AR179" s="10" t="str">
        <f>IFERROR(VLOOKUP(B179,Departments!A:B,2,FALSE),"")</f>
        <v/>
      </c>
      <c r="AS179" s="10">
        <f t="shared" si="27"/>
        <v>0</v>
      </c>
      <c r="AT179" s="10">
        <f t="shared" si="28"/>
        <v>0</v>
      </c>
      <c r="AU179" s="10" t="str">
        <f>_xlfn.IFNA(VLOOKUP(B179,Departments!A:D,4,FALSE),"")</f>
        <v/>
      </c>
    </row>
    <row r="180" spans="1:47" ht="14.45" customHeight="1">
      <c r="A180" s="11" t="str">
        <f t="shared" si="24"/>
        <v>00</v>
      </c>
      <c r="B180" s="11">
        <f>'TRANS EMP EXTRACT - COST CENTRE'!B179</f>
        <v>0</v>
      </c>
      <c r="E180" s="11">
        <f>'TRANS EMP EXTRACT - COST CENTRE'!D179</f>
        <v>0</v>
      </c>
      <c r="H180" s="10"/>
      <c r="I180" s="12"/>
      <c r="J180" s="41">
        <f t="shared" ca="1" si="25"/>
        <v>0</v>
      </c>
      <c r="K180" s="41">
        <f t="shared" ca="1" si="29"/>
        <v>0</v>
      </c>
      <c r="AC180" s="8"/>
      <c r="AM180" s="10">
        <f t="shared" si="32"/>
        <v>0</v>
      </c>
      <c r="AN180" s="14">
        <f t="shared" si="26"/>
        <v>0</v>
      </c>
      <c r="AO180" s="18">
        <f t="shared" si="30"/>
        <v>0</v>
      </c>
      <c r="AP180" s="18">
        <f t="shared" si="31"/>
        <v>0</v>
      </c>
      <c r="AQ180" s="10" t="str">
        <f>IFERROR(VLOOKUP(B180,Departments!A:C,3,FALSE),"")</f>
        <v/>
      </c>
      <c r="AR180" s="10" t="str">
        <f>IFERROR(VLOOKUP(B180,Departments!A:B,2,FALSE),"")</f>
        <v/>
      </c>
      <c r="AS180" s="10">
        <f t="shared" si="27"/>
        <v>0</v>
      </c>
      <c r="AT180" s="10">
        <f t="shared" si="28"/>
        <v>0</v>
      </c>
      <c r="AU180" s="10" t="str">
        <f>_xlfn.IFNA(VLOOKUP(B180,Departments!A:D,4,FALSE),"")</f>
        <v/>
      </c>
    </row>
    <row r="181" spans="1:47" ht="14.45" customHeight="1">
      <c r="A181" s="11" t="str">
        <f t="shared" si="24"/>
        <v>00</v>
      </c>
      <c r="B181" s="11">
        <f>'TRANS EMP EXTRACT - COST CENTRE'!B180</f>
        <v>0</v>
      </c>
      <c r="E181" s="11">
        <f>'TRANS EMP EXTRACT - COST CENTRE'!D180</f>
        <v>0</v>
      </c>
      <c r="H181" s="10"/>
      <c r="I181" s="12"/>
      <c r="J181" s="41">
        <f t="shared" ca="1" si="25"/>
        <v>0</v>
      </c>
      <c r="K181" s="41">
        <f t="shared" ca="1" si="29"/>
        <v>0</v>
      </c>
      <c r="AC181" s="8"/>
      <c r="AM181" s="10">
        <f t="shared" si="32"/>
        <v>0</v>
      </c>
      <c r="AN181" s="14">
        <f t="shared" si="26"/>
        <v>0</v>
      </c>
      <c r="AO181" s="18">
        <f t="shared" si="30"/>
        <v>0</v>
      </c>
      <c r="AP181" s="18">
        <f t="shared" si="31"/>
        <v>0</v>
      </c>
      <c r="AQ181" s="10" t="str">
        <f>IFERROR(VLOOKUP(B181,Departments!A:C,3,FALSE),"")</f>
        <v/>
      </c>
      <c r="AR181" s="10" t="str">
        <f>IFERROR(VLOOKUP(B181,Departments!A:B,2,FALSE),"")</f>
        <v/>
      </c>
      <c r="AS181" s="10">
        <f t="shared" si="27"/>
        <v>0</v>
      </c>
      <c r="AT181" s="10">
        <f t="shared" si="28"/>
        <v>0</v>
      </c>
      <c r="AU181" s="10" t="str">
        <f>_xlfn.IFNA(VLOOKUP(B181,Departments!A:D,4,FALSE),"")</f>
        <v/>
      </c>
    </row>
    <row r="182" spans="1:47" ht="14.45" customHeight="1">
      <c r="A182" s="11" t="str">
        <f t="shared" si="24"/>
        <v>00</v>
      </c>
      <c r="B182" s="11">
        <f>'TRANS EMP EXTRACT - COST CENTRE'!B181</f>
        <v>0</v>
      </c>
      <c r="E182" s="11">
        <f>'TRANS EMP EXTRACT - COST CENTRE'!D181</f>
        <v>0</v>
      </c>
      <c r="H182" s="10"/>
      <c r="I182" s="12"/>
      <c r="J182" s="41">
        <f t="shared" ca="1" si="25"/>
        <v>0</v>
      </c>
      <c r="K182" s="41">
        <f t="shared" ca="1" si="29"/>
        <v>0</v>
      </c>
      <c r="AC182" s="8"/>
      <c r="AM182" s="10">
        <f t="shared" si="32"/>
        <v>0</v>
      </c>
      <c r="AN182" s="14">
        <f t="shared" si="26"/>
        <v>0</v>
      </c>
      <c r="AO182" s="18">
        <f t="shared" si="30"/>
        <v>0</v>
      </c>
      <c r="AP182" s="18">
        <f t="shared" si="31"/>
        <v>0</v>
      </c>
      <c r="AQ182" s="10" t="str">
        <f>IFERROR(VLOOKUP(B182,Departments!A:C,3,FALSE),"")</f>
        <v/>
      </c>
      <c r="AR182" s="10" t="str">
        <f>IFERROR(VLOOKUP(B182,Departments!A:B,2,FALSE),"")</f>
        <v/>
      </c>
      <c r="AS182" s="10">
        <f t="shared" si="27"/>
        <v>0</v>
      </c>
      <c r="AT182" s="10">
        <f t="shared" si="28"/>
        <v>0</v>
      </c>
      <c r="AU182" s="10" t="str">
        <f>_xlfn.IFNA(VLOOKUP(B182,Departments!A:D,4,FALSE),"")</f>
        <v/>
      </c>
    </row>
    <row r="183" spans="1:47" ht="14.45" customHeight="1">
      <c r="A183" s="11" t="str">
        <f t="shared" si="24"/>
        <v>00</v>
      </c>
      <c r="B183" s="11">
        <f>'TRANS EMP EXTRACT - COST CENTRE'!B182</f>
        <v>0</v>
      </c>
      <c r="E183" s="11">
        <f>'TRANS EMP EXTRACT - COST CENTRE'!D182</f>
        <v>0</v>
      </c>
      <c r="H183" s="10"/>
      <c r="I183" s="12"/>
      <c r="J183" s="41">
        <f t="shared" ca="1" si="25"/>
        <v>0</v>
      </c>
      <c r="K183" s="41">
        <f t="shared" ca="1" si="29"/>
        <v>0</v>
      </c>
      <c r="AC183" s="8"/>
      <c r="AM183" s="10">
        <f t="shared" si="32"/>
        <v>0</v>
      </c>
      <c r="AN183" s="14">
        <f t="shared" si="26"/>
        <v>0</v>
      </c>
      <c r="AO183" s="18">
        <f t="shared" si="30"/>
        <v>0</v>
      </c>
      <c r="AP183" s="18">
        <f t="shared" si="31"/>
        <v>0</v>
      </c>
      <c r="AQ183" s="10" t="str">
        <f>IFERROR(VLOOKUP(B183,Departments!A:C,3,FALSE),"")</f>
        <v/>
      </c>
      <c r="AR183" s="10" t="str">
        <f>IFERROR(VLOOKUP(B183,Departments!A:B,2,FALSE),"")</f>
        <v/>
      </c>
      <c r="AS183" s="10">
        <f t="shared" si="27"/>
        <v>0</v>
      </c>
      <c r="AT183" s="10">
        <f t="shared" si="28"/>
        <v>0</v>
      </c>
      <c r="AU183" s="10" t="str">
        <f>_xlfn.IFNA(VLOOKUP(B183,Departments!A:D,4,FALSE),"")</f>
        <v/>
      </c>
    </row>
    <row r="184" spans="1:47" ht="14.45" customHeight="1">
      <c r="A184" s="11" t="str">
        <f t="shared" si="24"/>
        <v>00</v>
      </c>
      <c r="B184" s="11">
        <f>'TRANS EMP EXTRACT - COST CENTRE'!B183</f>
        <v>0</v>
      </c>
      <c r="E184" s="11">
        <f>'TRANS EMP EXTRACT - COST CENTRE'!D183</f>
        <v>0</v>
      </c>
      <c r="H184" s="10"/>
      <c r="I184" s="12"/>
      <c r="J184" s="41">
        <f t="shared" ca="1" si="25"/>
        <v>0</v>
      </c>
      <c r="K184" s="41">
        <f t="shared" ca="1" si="29"/>
        <v>0</v>
      </c>
      <c r="AC184" s="8"/>
      <c r="AM184" s="10">
        <f t="shared" si="32"/>
        <v>0</v>
      </c>
      <c r="AN184" s="14">
        <f t="shared" si="26"/>
        <v>0</v>
      </c>
      <c r="AO184" s="18">
        <f t="shared" si="30"/>
        <v>0</v>
      </c>
      <c r="AP184" s="18">
        <f t="shared" si="31"/>
        <v>0</v>
      </c>
      <c r="AQ184" s="10" t="str">
        <f>IFERROR(VLOOKUP(B184,Departments!A:C,3,FALSE),"")</f>
        <v/>
      </c>
      <c r="AR184" s="10" t="str">
        <f>IFERROR(VLOOKUP(B184,Departments!A:B,2,FALSE),"")</f>
        <v/>
      </c>
      <c r="AS184" s="10">
        <f t="shared" si="27"/>
        <v>0</v>
      </c>
      <c r="AT184" s="10">
        <f t="shared" si="28"/>
        <v>0</v>
      </c>
      <c r="AU184" s="10" t="str">
        <f>_xlfn.IFNA(VLOOKUP(B184,Departments!A:D,4,FALSE),"")</f>
        <v/>
      </c>
    </row>
    <row r="185" spans="1:47" ht="14.45" customHeight="1">
      <c r="A185" s="11" t="str">
        <f t="shared" si="24"/>
        <v>00</v>
      </c>
      <c r="B185" s="11">
        <f>'TRANS EMP EXTRACT - COST CENTRE'!B184</f>
        <v>0</v>
      </c>
      <c r="E185" s="11">
        <f>'TRANS EMP EXTRACT - COST CENTRE'!D184</f>
        <v>0</v>
      </c>
      <c r="H185" s="10"/>
      <c r="I185" s="12"/>
      <c r="J185" s="41">
        <f t="shared" ca="1" si="25"/>
        <v>0</v>
      </c>
      <c r="K185" s="41">
        <f t="shared" ca="1" si="29"/>
        <v>0</v>
      </c>
      <c r="AC185" s="8"/>
      <c r="AM185" s="10">
        <f t="shared" si="32"/>
        <v>0</v>
      </c>
      <c r="AN185" s="14">
        <f t="shared" si="26"/>
        <v>0</v>
      </c>
      <c r="AO185" s="18">
        <f t="shared" si="30"/>
        <v>0</v>
      </c>
      <c r="AP185" s="18">
        <f t="shared" si="31"/>
        <v>0</v>
      </c>
      <c r="AQ185" s="10" t="str">
        <f>IFERROR(VLOOKUP(B185,Departments!A:C,3,FALSE),"")</f>
        <v/>
      </c>
      <c r="AR185" s="10" t="str">
        <f>IFERROR(VLOOKUP(B185,Departments!A:B,2,FALSE),"")</f>
        <v/>
      </c>
      <c r="AS185" s="10">
        <f t="shared" si="27"/>
        <v>0</v>
      </c>
      <c r="AT185" s="10">
        <f t="shared" si="28"/>
        <v>0</v>
      </c>
      <c r="AU185" s="10" t="str">
        <f>_xlfn.IFNA(VLOOKUP(B185,Departments!A:D,4,FALSE),"")</f>
        <v/>
      </c>
    </row>
    <row r="186" spans="1:47" ht="14.45" customHeight="1">
      <c r="A186" s="11" t="str">
        <f t="shared" si="24"/>
        <v>00</v>
      </c>
      <c r="B186" s="11">
        <f>'TRANS EMP EXTRACT - COST CENTRE'!B185</f>
        <v>0</v>
      </c>
      <c r="E186" s="11">
        <f>'TRANS EMP EXTRACT - COST CENTRE'!D185</f>
        <v>0</v>
      </c>
      <c r="H186" s="10"/>
      <c r="I186" s="12"/>
      <c r="J186" s="41">
        <f t="shared" ca="1" si="25"/>
        <v>0</v>
      </c>
      <c r="K186" s="41">
        <f t="shared" ca="1" si="29"/>
        <v>0</v>
      </c>
      <c r="AC186" s="8"/>
      <c r="AM186" s="10">
        <f t="shared" si="32"/>
        <v>0</v>
      </c>
      <c r="AN186" s="14">
        <f t="shared" si="26"/>
        <v>0</v>
      </c>
      <c r="AO186" s="18">
        <f t="shared" si="30"/>
        <v>0</v>
      </c>
      <c r="AP186" s="18">
        <f t="shared" si="31"/>
        <v>0</v>
      </c>
      <c r="AQ186" s="10" t="str">
        <f>IFERROR(VLOOKUP(B186,Departments!A:C,3,FALSE),"")</f>
        <v/>
      </c>
      <c r="AR186" s="10" t="str">
        <f>IFERROR(VLOOKUP(B186,Departments!A:B,2,FALSE),"")</f>
        <v/>
      </c>
      <c r="AS186" s="10">
        <f t="shared" si="27"/>
        <v>0</v>
      </c>
      <c r="AT186" s="10">
        <f t="shared" si="28"/>
        <v>0</v>
      </c>
      <c r="AU186" s="10" t="str">
        <f>_xlfn.IFNA(VLOOKUP(B186,Departments!A:D,4,FALSE),"")</f>
        <v/>
      </c>
    </row>
    <row r="187" spans="1:47" ht="14.45" customHeight="1">
      <c r="A187" s="11" t="str">
        <f t="shared" si="24"/>
        <v>00</v>
      </c>
      <c r="B187" s="11">
        <f>'TRANS EMP EXTRACT - COST CENTRE'!B186</f>
        <v>0</v>
      </c>
      <c r="E187" s="11">
        <f>'TRANS EMP EXTRACT - COST CENTRE'!D186</f>
        <v>0</v>
      </c>
      <c r="H187" s="10"/>
      <c r="I187" s="12"/>
      <c r="J187" s="41">
        <f t="shared" ca="1" si="25"/>
        <v>0</v>
      </c>
      <c r="K187" s="41">
        <f t="shared" ca="1" si="29"/>
        <v>0</v>
      </c>
      <c r="AC187" s="8"/>
      <c r="AM187" s="10">
        <f t="shared" si="32"/>
        <v>0</v>
      </c>
      <c r="AN187" s="14">
        <f t="shared" si="26"/>
        <v>0</v>
      </c>
      <c r="AO187" s="18">
        <f t="shared" si="30"/>
        <v>0</v>
      </c>
      <c r="AP187" s="18">
        <f t="shared" si="31"/>
        <v>0</v>
      </c>
      <c r="AQ187" s="10" t="str">
        <f>IFERROR(VLOOKUP(B187,Departments!A:C,3,FALSE),"")</f>
        <v/>
      </c>
      <c r="AR187" s="10" t="str">
        <f>IFERROR(VLOOKUP(B187,Departments!A:B,2,FALSE),"")</f>
        <v/>
      </c>
      <c r="AS187" s="10">
        <f t="shared" si="27"/>
        <v>0</v>
      </c>
      <c r="AT187" s="10">
        <f t="shared" si="28"/>
        <v>0</v>
      </c>
      <c r="AU187" s="10" t="str">
        <f>_xlfn.IFNA(VLOOKUP(B187,Departments!A:D,4,FALSE),"")</f>
        <v/>
      </c>
    </row>
    <row r="188" spans="1:47" ht="14.45" customHeight="1">
      <c r="A188" s="11" t="str">
        <f t="shared" si="24"/>
        <v>00</v>
      </c>
      <c r="B188" s="11">
        <f>'TRANS EMP EXTRACT - COST CENTRE'!B187</f>
        <v>0</v>
      </c>
      <c r="E188" s="11">
        <f>'TRANS EMP EXTRACT - COST CENTRE'!D187</f>
        <v>0</v>
      </c>
      <c r="H188" s="10"/>
      <c r="I188" s="12"/>
      <c r="J188" s="41">
        <f t="shared" ca="1" si="25"/>
        <v>0</v>
      </c>
      <c r="K188" s="41">
        <f t="shared" ca="1" si="29"/>
        <v>0</v>
      </c>
      <c r="AC188" s="8"/>
      <c r="AM188" s="10">
        <f t="shared" si="32"/>
        <v>0</v>
      </c>
      <c r="AN188" s="14">
        <f t="shared" si="26"/>
        <v>0</v>
      </c>
      <c r="AO188" s="18">
        <f t="shared" si="30"/>
        <v>0</v>
      </c>
      <c r="AP188" s="18">
        <f t="shared" si="31"/>
        <v>0</v>
      </c>
      <c r="AQ188" s="10" t="str">
        <f>IFERROR(VLOOKUP(B188,Departments!A:C,3,FALSE),"")</f>
        <v/>
      </c>
      <c r="AR188" s="10" t="str">
        <f>IFERROR(VLOOKUP(B188,Departments!A:B,2,FALSE),"")</f>
        <v/>
      </c>
      <c r="AS188" s="10">
        <f t="shared" si="27"/>
        <v>0</v>
      </c>
      <c r="AT188" s="10">
        <f t="shared" si="28"/>
        <v>0</v>
      </c>
      <c r="AU188" s="10" t="str">
        <f>_xlfn.IFNA(VLOOKUP(B188,Departments!A:D,4,FALSE),"")</f>
        <v/>
      </c>
    </row>
    <row r="189" spans="1:47" ht="14.45" customHeight="1">
      <c r="A189" s="11" t="str">
        <f t="shared" si="24"/>
        <v>00</v>
      </c>
      <c r="B189" s="11">
        <f>'TRANS EMP EXTRACT - COST CENTRE'!B188</f>
        <v>0</v>
      </c>
      <c r="E189" s="11">
        <f>'TRANS EMP EXTRACT - COST CENTRE'!D188</f>
        <v>0</v>
      </c>
      <c r="H189" s="10"/>
      <c r="I189" s="12"/>
      <c r="J189" s="41">
        <f t="shared" ca="1" si="25"/>
        <v>0</v>
      </c>
      <c r="K189" s="41">
        <f t="shared" ca="1" si="29"/>
        <v>0</v>
      </c>
      <c r="AC189" s="8"/>
      <c r="AM189" s="10">
        <f t="shared" si="32"/>
        <v>0</v>
      </c>
      <c r="AN189" s="14">
        <f t="shared" si="26"/>
        <v>0</v>
      </c>
      <c r="AO189" s="18">
        <f t="shared" si="30"/>
        <v>0</v>
      </c>
      <c r="AP189" s="18">
        <f t="shared" si="31"/>
        <v>0</v>
      </c>
      <c r="AQ189" s="10" t="str">
        <f>IFERROR(VLOOKUP(B189,Departments!A:C,3,FALSE),"")</f>
        <v/>
      </c>
      <c r="AR189" s="10" t="str">
        <f>IFERROR(VLOOKUP(B189,Departments!A:B,2,FALSE),"")</f>
        <v/>
      </c>
      <c r="AS189" s="10">
        <f t="shared" si="27"/>
        <v>0</v>
      </c>
      <c r="AT189" s="10">
        <f t="shared" si="28"/>
        <v>0</v>
      </c>
      <c r="AU189" s="10" t="str">
        <f>_xlfn.IFNA(VLOOKUP(B189,Departments!A:D,4,FALSE),"")</f>
        <v/>
      </c>
    </row>
    <row r="190" spans="1:47" ht="14.45" customHeight="1">
      <c r="A190" s="11" t="str">
        <f t="shared" si="24"/>
        <v>00</v>
      </c>
      <c r="B190" s="11">
        <f>'TRANS EMP EXTRACT - COST CENTRE'!B189</f>
        <v>0</v>
      </c>
      <c r="E190" s="11">
        <f>'TRANS EMP EXTRACT - COST CENTRE'!D189</f>
        <v>0</v>
      </c>
      <c r="H190" s="10"/>
      <c r="I190" s="12"/>
      <c r="J190" s="41">
        <f t="shared" ca="1" si="25"/>
        <v>0</v>
      </c>
      <c r="K190" s="41">
        <f t="shared" ca="1" si="29"/>
        <v>0</v>
      </c>
      <c r="AC190" s="8"/>
      <c r="AM190" s="10">
        <f t="shared" si="32"/>
        <v>0</v>
      </c>
      <c r="AN190" s="14">
        <f t="shared" si="26"/>
        <v>0</v>
      </c>
      <c r="AO190" s="18">
        <f t="shared" si="30"/>
        <v>0</v>
      </c>
      <c r="AP190" s="18">
        <f t="shared" si="31"/>
        <v>0</v>
      </c>
      <c r="AQ190" s="10" t="str">
        <f>IFERROR(VLOOKUP(B190,Departments!A:C,3,FALSE),"")</f>
        <v/>
      </c>
      <c r="AR190" s="10" t="str">
        <f>IFERROR(VLOOKUP(B190,Departments!A:B,2,FALSE),"")</f>
        <v/>
      </c>
      <c r="AS190" s="10">
        <f t="shared" si="27"/>
        <v>0</v>
      </c>
      <c r="AT190" s="10">
        <f t="shared" si="28"/>
        <v>0</v>
      </c>
      <c r="AU190" s="10" t="str">
        <f>_xlfn.IFNA(VLOOKUP(B190,Departments!A:D,4,FALSE),"")</f>
        <v/>
      </c>
    </row>
    <row r="191" spans="1:47" ht="14.45" customHeight="1">
      <c r="A191" s="11" t="str">
        <f t="shared" si="24"/>
        <v>00</v>
      </c>
      <c r="B191" s="11">
        <f>'TRANS EMP EXTRACT - COST CENTRE'!B190</f>
        <v>0</v>
      </c>
      <c r="E191" s="11">
        <f>'TRANS EMP EXTRACT - COST CENTRE'!D190</f>
        <v>0</v>
      </c>
      <c r="H191" s="10"/>
      <c r="I191" s="12"/>
      <c r="J191" s="41">
        <f t="shared" ca="1" si="25"/>
        <v>0</v>
      </c>
      <c r="K191" s="41">
        <f t="shared" ca="1" si="29"/>
        <v>0</v>
      </c>
      <c r="AC191" s="8"/>
      <c r="AM191" s="10">
        <f t="shared" si="32"/>
        <v>0</v>
      </c>
      <c r="AN191" s="14">
        <f t="shared" si="26"/>
        <v>0</v>
      </c>
      <c r="AO191" s="18">
        <f t="shared" si="30"/>
        <v>0</v>
      </c>
      <c r="AP191" s="18">
        <f t="shared" si="31"/>
        <v>0</v>
      </c>
      <c r="AQ191" s="10" t="str">
        <f>IFERROR(VLOOKUP(B191,Departments!A:C,3,FALSE),"")</f>
        <v/>
      </c>
      <c r="AR191" s="10" t="str">
        <f>IFERROR(VLOOKUP(B191,Departments!A:B,2,FALSE),"")</f>
        <v/>
      </c>
      <c r="AS191" s="10">
        <f t="shared" si="27"/>
        <v>0</v>
      </c>
      <c r="AT191" s="10">
        <f t="shared" si="28"/>
        <v>0</v>
      </c>
      <c r="AU191" s="10" t="str">
        <f>_xlfn.IFNA(VLOOKUP(B191,Departments!A:D,4,FALSE),"")</f>
        <v/>
      </c>
    </row>
    <row r="192" spans="1:47" ht="14.45" customHeight="1">
      <c r="A192" s="11" t="str">
        <f t="shared" si="24"/>
        <v>00</v>
      </c>
      <c r="B192" s="11">
        <f>'TRANS EMP EXTRACT - COST CENTRE'!B191</f>
        <v>0</v>
      </c>
      <c r="E192" s="11">
        <f>'TRANS EMP EXTRACT - COST CENTRE'!D191</f>
        <v>0</v>
      </c>
      <c r="H192" s="10"/>
      <c r="I192" s="12"/>
      <c r="J192" s="41">
        <f t="shared" ca="1" si="25"/>
        <v>0</v>
      </c>
      <c r="K192" s="41">
        <f t="shared" ca="1" si="29"/>
        <v>0</v>
      </c>
      <c r="AC192" s="8"/>
      <c r="AM192" s="10">
        <f t="shared" si="32"/>
        <v>0</v>
      </c>
      <c r="AN192" s="14">
        <f t="shared" si="26"/>
        <v>0</v>
      </c>
      <c r="AO192" s="18">
        <f t="shared" si="30"/>
        <v>0</v>
      </c>
      <c r="AP192" s="18">
        <f t="shared" si="31"/>
        <v>0</v>
      </c>
      <c r="AQ192" s="10" t="str">
        <f>IFERROR(VLOOKUP(B192,Departments!A:C,3,FALSE),"")</f>
        <v/>
      </c>
      <c r="AR192" s="10" t="str">
        <f>IFERROR(VLOOKUP(B192,Departments!A:B,2,FALSE),"")</f>
        <v/>
      </c>
      <c r="AS192" s="10">
        <f t="shared" si="27"/>
        <v>0</v>
      </c>
      <c r="AT192" s="10">
        <f t="shared" si="28"/>
        <v>0</v>
      </c>
      <c r="AU192" s="10" t="str">
        <f>_xlfn.IFNA(VLOOKUP(B192,Departments!A:D,4,FALSE),"")</f>
        <v/>
      </c>
    </row>
    <row r="193" spans="1:47" ht="14.45" customHeight="1">
      <c r="A193" s="11" t="str">
        <f t="shared" si="24"/>
        <v>00</v>
      </c>
      <c r="B193" s="11">
        <f>'TRANS EMP EXTRACT - COST CENTRE'!B192</f>
        <v>0</v>
      </c>
      <c r="E193" s="11">
        <f>'TRANS EMP EXTRACT - COST CENTRE'!D192</f>
        <v>0</v>
      </c>
      <c r="H193" s="10"/>
      <c r="I193" s="12"/>
      <c r="J193" s="41">
        <f t="shared" ca="1" si="25"/>
        <v>0</v>
      </c>
      <c r="K193" s="41">
        <f t="shared" ca="1" si="29"/>
        <v>0</v>
      </c>
      <c r="AC193" s="8"/>
      <c r="AM193" s="10">
        <f t="shared" si="32"/>
        <v>0</v>
      </c>
      <c r="AN193" s="14">
        <f t="shared" si="26"/>
        <v>0</v>
      </c>
      <c r="AO193" s="18">
        <f t="shared" si="30"/>
        <v>0</v>
      </c>
      <c r="AP193" s="18">
        <f t="shared" si="31"/>
        <v>0</v>
      </c>
      <c r="AQ193" s="10" t="str">
        <f>IFERROR(VLOOKUP(B193,Departments!A:C,3,FALSE),"")</f>
        <v/>
      </c>
      <c r="AR193" s="10" t="str">
        <f>IFERROR(VLOOKUP(B193,Departments!A:B,2,FALSE),"")</f>
        <v/>
      </c>
      <c r="AS193" s="10">
        <f t="shared" si="27"/>
        <v>0</v>
      </c>
      <c r="AT193" s="10">
        <f t="shared" si="28"/>
        <v>0</v>
      </c>
      <c r="AU193" s="10" t="str">
        <f>_xlfn.IFNA(VLOOKUP(B193,Departments!A:D,4,FALSE),"")</f>
        <v/>
      </c>
    </row>
    <row r="194" spans="1:47" ht="14.45" customHeight="1">
      <c r="A194" s="11" t="str">
        <f t="shared" si="24"/>
        <v>00</v>
      </c>
      <c r="B194" s="11">
        <f>'TRANS EMP EXTRACT - COST CENTRE'!B193</f>
        <v>0</v>
      </c>
      <c r="E194" s="11">
        <f>'TRANS EMP EXTRACT - COST CENTRE'!D193</f>
        <v>0</v>
      </c>
      <c r="H194" s="10"/>
      <c r="I194" s="12"/>
      <c r="J194" s="41">
        <f t="shared" ca="1" si="25"/>
        <v>0</v>
      </c>
      <c r="K194" s="41">
        <f t="shared" ca="1" si="29"/>
        <v>0</v>
      </c>
      <c r="AC194" s="8"/>
      <c r="AM194" s="10">
        <f t="shared" si="32"/>
        <v>0</v>
      </c>
      <c r="AN194" s="14">
        <f t="shared" si="26"/>
        <v>0</v>
      </c>
      <c r="AO194" s="18">
        <f t="shared" si="30"/>
        <v>0</v>
      </c>
      <c r="AP194" s="18">
        <f t="shared" si="31"/>
        <v>0</v>
      </c>
      <c r="AQ194" s="10" t="str">
        <f>IFERROR(VLOOKUP(B194,Departments!A:C,3,FALSE),"")</f>
        <v/>
      </c>
      <c r="AR194" s="10" t="str">
        <f>IFERROR(VLOOKUP(B194,Departments!A:B,2,FALSE),"")</f>
        <v/>
      </c>
      <c r="AS194" s="10">
        <f t="shared" si="27"/>
        <v>0</v>
      </c>
      <c r="AT194" s="10">
        <f t="shared" si="28"/>
        <v>0</v>
      </c>
      <c r="AU194" s="10" t="str">
        <f>_xlfn.IFNA(VLOOKUP(B194,Departments!A:D,4,FALSE),"")</f>
        <v/>
      </c>
    </row>
    <row r="195" spans="1:47" ht="14.45" customHeight="1">
      <c r="A195" s="11" t="str">
        <f t="shared" si="24"/>
        <v>00</v>
      </c>
      <c r="B195" s="11">
        <f>'TRANS EMP EXTRACT - COST CENTRE'!B194</f>
        <v>0</v>
      </c>
      <c r="E195" s="11">
        <f>'TRANS EMP EXTRACT - COST CENTRE'!D194</f>
        <v>0</v>
      </c>
      <c r="H195" s="10"/>
      <c r="I195" s="12"/>
      <c r="J195" s="41">
        <f t="shared" ca="1" si="25"/>
        <v>0</v>
      </c>
      <c r="K195" s="41">
        <f t="shared" ca="1" si="29"/>
        <v>0</v>
      </c>
      <c r="AC195" s="8"/>
      <c r="AM195" s="10">
        <f t="shared" si="32"/>
        <v>0</v>
      </c>
      <c r="AN195" s="14">
        <f t="shared" si="26"/>
        <v>0</v>
      </c>
      <c r="AO195" s="18">
        <f t="shared" si="30"/>
        <v>0</v>
      </c>
      <c r="AP195" s="18">
        <f t="shared" si="31"/>
        <v>0</v>
      </c>
      <c r="AQ195" s="10" t="str">
        <f>IFERROR(VLOOKUP(B195,Departments!A:C,3,FALSE),"")</f>
        <v/>
      </c>
      <c r="AR195" s="10" t="str">
        <f>IFERROR(VLOOKUP(B195,Departments!A:B,2,FALSE),"")</f>
        <v/>
      </c>
      <c r="AS195" s="10">
        <f t="shared" si="27"/>
        <v>0</v>
      </c>
      <c r="AT195" s="10">
        <f t="shared" si="28"/>
        <v>0</v>
      </c>
      <c r="AU195" s="10" t="str">
        <f>_xlfn.IFNA(VLOOKUP(B195,Departments!A:D,4,FALSE),"")</f>
        <v/>
      </c>
    </row>
    <row r="196" spans="1:47" ht="14.45" customHeight="1">
      <c r="A196" s="11" t="str">
        <f t="shared" ref="A196:A259" si="43">B196&amp;E196</f>
        <v>00</v>
      </c>
      <c r="B196" s="11">
        <f>'TRANS EMP EXTRACT - COST CENTRE'!B195</f>
        <v>0</v>
      </c>
      <c r="E196" s="11">
        <f>'TRANS EMP EXTRACT - COST CENTRE'!D195</f>
        <v>0</v>
      </c>
      <c r="H196" s="10"/>
      <c r="I196" s="12"/>
      <c r="J196" s="41">
        <f t="shared" ref="J196:J259" ca="1" si="44">getSLBalance(E196)</f>
        <v>0</v>
      </c>
      <c r="K196" s="41">
        <f t="shared" ca="1" si="29"/>
        <v>0</v>
      </c>
      <c r="AC196" s="8"/>
      <c r="AM196" s="10">
        <f t="shared" si="32"/>
        <v>0</v>
      </c>
      <c r="AN196" s="14">
        <f t="shared" ref="AN196:AN259" si="45">SUM(Q196:S196)/$AP$2</f>
        <v>0</v>
      </c>
      <c r="AO196" s="18">
        <f t="shared" si="30"/>
        <v>0</v>
      </c>
      <c r="AP196" s="18">
        <f t="shared" si="31"/>
        <v>0</v>
      </c>
      <c r="AQ196" s="10" t="str">
        <f>IFERROR(VLOOKUP(B196,Departments!A:C,3,FALSE),"")</f>
        <v/>
      </c>
      <c r="AR196" s="10" t="str">
        <f>IFERROR(VLOOKUP(B196,Departments!A:B,2,FALSE),"")</f>
        <v/>
      </c>
      <c r="AS196" s="10">
        <f t="shared" ref="AS196:AS259" si="46">V196+Y196+Z196+AA196+AD196</f>
        <v>0</v>
      </c>
      <c r="AT196" s="10">
        <f t="shared" ref="AT196:AT259" si="47">U196+V196+W196+X196+Y196+Z196+AA196+AB196+AC196+AD196+AE196+AF196</f>
        <v>0</v>
      </c>
      <c r="AU196" s="10" t="str">
        <f>_xlfn.IFNA(VLOOKUP(B196,Departments!A:D,4,FALSE),"")</f>
        <v/>
      </c>
    </row>
    <row r="197" spans="1:47" ht="14.45" customHeight="1">
      <c r="A197" s="11" t="str">
        <f t="shared" si="43"/>
        <v>00</v>
      </c>
      <c r="B197" s="11">
        <f>'TRANS EMP EXTRACT - COST CENTRE'!B196</f>
        <v>0</v>
      </c>
      <c r="E197" s="11">
        <f>'TRANS EMP EXTRACT - COST CENTRE'!D196</f>
        <v>0</v>
      </c>
      <c r="H197" s="10"/>
      <c r="I197" s="12"/>
      <c r="J197" s="41">
        <f t="shared" ca="1" si="44"/>
        <v>0</v>
      </c>
      <c r="K197" s="41">
        <f t="shared" ref="K197:K260" ca="1" si="48">getALBalance(E197)</f>
        <v>0</v>
      </c>
      <c r="AC197" s="8"/>
      <c r="AM197" s="10">
        <f t="shared" si="32"/>
        <v>0</v>
      </c>
      <c r="AN197" s="14">
        <f t="shared" si="45"/>
        <v>0</v>
      </c>
      <c r="AO197" s="18">
        <f t="shared" ref="AO197:AO260" si="49">AM197/$AP$2</f>
        <v>0</v>
      </c>
      <c r="AP197" s="18">
        <f t="shared" ref="AP197:AP260" si="50">(AM197-SUM(U197:Y197)-SUM(AD197:AF197))/$AP$2</f>
        <v>0</v>
      </c>
      <c r="AQ197" s="10" t="str">
        <f>IFERROR(VLOOKUP(B197,Departments!A:C,3,FALSE),"")</f>
        <v/>
      </c>
      <c r="AR197" s="10" t="str">
        <f>IFERROR(VLOOKUP(B197,Departments!A:B,2,FALSE),"")</f>
        <v/>
      </c>
      <c r="AS197" s="10">
        <f t="shared" si="46"/>
        <v>0</v>
      </c>
      <c r="AT197" s="10">
        <f t="shared" si="47"/>
        <v>0</v>
      </c>
      <c r="AU197" s="10" t="str">
        <f>_xlfn.IFNA(VLOOKUP(B197,Departments!A:D,4,FALSE),"")</f>
        <v/>
      </c>
    </row>
    <row r="198" spans="1:47" ht="14.45" customHeight="1">
      <c r="A198" s="11" t="str">
        <f t="shared" si="43"/>
        <v>00</v>
      </c>
      <c r="B198" s="11">
        <f>'TRANS EMP EXTRACT - COST CENTRE'!B197</f>
        <v>0</v>
      </c>
      <c r="E198" s="11">
        <f>'TRANS EMP EXTRACT - COST CENTRE'!D197</f>
        <v>0</v>
      </c>
      <c r="H198" s="10"/>
      <c r="I198" s="12"/>
      <c r="J198" s="41">
        <f t="shared" ca="1" si="44"/>
        <v>0</v>
      </c>
      <c r="K198" s="41">
        <f t="shared" ca="1" si="48"/>
        <v>0</v>
      </c>
      <c r="AC198" s="8"/>
      <c r="AM198" s="10">
        <f t="shared" si="32"/>
        <v>0</v>
      </c>
      <c r="AN198" s="14">
        <f t="shared" si="45"/>
        <v>0</v>
      </c>
      <c r="AO198" s="18">
        <f t="shared" si="49"/>
        <v>0</v>
      </c>
      <c r="AP198" s="18">
        <f t="shared" si="50"/>
        <v>0</v>
      </c>
      <c r="AQ198" s="10" t="str">
        <f>IFERROR(VLOOKUP(B198,Departments!A:C,3,FALSE),"")</f>
        <v/>
      </c>
      <c r="AR198" s="10" t="str">
        <f>IFERROR(VLOOKUP(B198,Departments!A:B,2,FALSE),"")</f>
        <v/>
      </c>
      <c r="AS198" s="10">
        <f t="shared" si="46"/>
        <v>0</v>
      </c>
      <c r="AT198" s="10">
        <f t="shared" si="47"/>
        <v>0</v>
      </c>
      <c r="AU198" s="10" t="str">
        <f>_xlfn.IFNA(VLOOKUP(B198,Departments!A:D,4,FALSE),"")</f>
        <v/>
      </c>
    </row>
    <row r="199" spans="1:47" ht="14.45" customHeight="1">
      <c r="A199" s="11" t="str">
        <f t="shared" si="43"/>
        <v>00</v>
      </c>
      <c r="B199" s="11">
        <f>'TRANS EMP EXTRACT - COST CENTRE'!B198</f>
        <v>0</v>
      </c>
      <c r="E199" s="11">
        <f>'TRANS EMP EXTRACT - COST CENTRE'!D198</f>
        <v>0</v>
      </c>
      <c r="H199" s="10"/>
      <c r="I199" s="12"/>
      <c r="J199" s="41">
        <f t="shared" ca="1" si="44"/>
        <v>0</v>
      </c>
      <c r="K199" s="41">
        <f t="shared" ca="1" si="48"/>
        <v>0</v>
      </c>
      <c r="AC199" s="8"/>
      <c r="AM199" s="10">
        <f t="shared" si="32"/>
        <v>0</v>
      </c>
      <c r="AN199" s="14">
        <f t="shared" si="45"/>
        <v>0</v>
      </c>
      <c r="AO199" s="18">
        <f t="shared" si="49"/>
        <v>0</v>
      </c>
      <c r="AP199" s="18">
        <f t="shared" si="50"/>
        <v>0</v>
      </c>
      <c r="AQ199" s="10" t="str">
        <f>IFERROR(VLOOKUP(B199,Departments!A:C,3,FALSE),"")</f>
        <v/>
      </c>
      <c r="AR199" s="10" t="str">
        <f>IFERROR(VLOOKUP(B199,Departments!A:B,2,FALSE),"")</f>
        <v/>
      </c>
      <c r="AS199" s="10">
        <f t="shared" si="46"/>
        <v>0</v>
      </c>
      <c r="AT199" s="10">
        <f t="shared" si="47"/>
        <v>0</v>
      </c>
      <c r="AU199" s="10" t="str">
        <f>_xlfn.IFNA(VLOOKUP(B199,Departments!A:D,4,FALSE),"")</f>
        <v/>
      </c>
    </row>
    <row r="200" spans="1:47" ht="14.45" customHeight="1">
      <c r="A200" s="11" t="str">
        <f t="shared" si="43"/>
        <v>00</v>
      </c>
      <c r="B200" s="11">
        <f>'TRANS EMP EXTRACT - COST CENTRE'!B199</f>
        <v>0</v>
      </c>
      <c r="E200" s="11">
        <f>'TRANS EMP EXTRACT - COST CENTRE'!D199</f>
        <v>0</v>
      </c>
      <c r="H200" s="10"/>
      <c r="I200" s="12"/>
      <c r="J200" s="41">
        <f t="shared" ca="1" si="44"/>
        <v>0</v>
      </c>
      <c r="K200" s="41">
        <f t="shared" ca="1" si="48"/>
        <v>0</v>
      </c>
      <c r="AC200" s="8"/>
      <c r="AM200" s="10">
        <f t="shared" si="32"/>
        <v>0</v>
      </c>
      <c r="AN200" s="14">
        <f t="shared" si="45"/>
        <v>0</v>
      </c>
      <c r="AO200" s="18">
        <f t="shared" si="49"/>
        <v>0</v>
      </c>
      <c r="AP200" s="18">
        <f t="shared" si="50"/>
        <v>0</v>
      </c>
      <c r="AQ200" s="10" t="str">
        <f>IFERROR(VLOOKUP(B200,Departments!A:C,3,FALSE),"")</f>
        <v/>
      </c>
      <c r="AR200" s="10" t="str">
        <f>IFERROR(VLOOKUP(B200,Departments!A:B,2,FALSE),"")</f>
        <v/>
      </c>
      <c r="AS200" s="10">
        <f t="shared" si="46"/>
        <v>0</v>
      </c>
      <c r="AT200" s="10">
        <f t="shared" si="47"/>
        <v>0</v>
      </c>
      <c r="AU200" s="10" t="str">
        <f>_xlfn.IFNA(VLOOKUP(B200,Departments!A:D,4,FALSE),"")</f>
        <v/>
      </c>
    </row>
    <row r="201" spans="1:47" ht="14.45" customHeight="1">
      <c r="A201" s="11" t="str">
        <f t="shared" si="43"/>
        <v>00</v>
      </c>
      <c r="B201" s="11">
        <f>'TRANS EMP EXTRACT - COST CENTRE'!B200</f>
        <v>0</v>
      </c>
      <c r="D201" s="10" t="str">
        <f>IFERROR(VLOOKUP(E201,'TRANS EMP EXTRACT - EMP CATEGOR'!A:C,3,FALSE),"")</f>
        <v/>
      </c>
      <c r="E201" s="11">
        <f>'TRANS EMP EXTRACT - COST CENTRE'!D200</f>
        <v>0</v>
      </c>
      <c r="F201" s="10" t="str">
        <f>IFERROR(VLOOKUP(E201,'TRANS EMP EXTRACT - COST CENTRE'!D:E,2,FALSE),"")</f>
        <v/>
      </c>
      <c r="G201" s="12" t="str">
        <f>IFERROR(INDEX('TRANS EMP EXTRACT - COST CENTRE'!$A$1:$Z$455,MATCH('Summary - Monthly'!$A201,'TRANS EMP EXTRACT - COST CENTRE'!$A:$A,0),MATCH('Summary - Monthly'!G$3,'TRANS EMP EXTRACT - COST CENTRE'!$2:$2,0)),"")</f>
        <v/>
      </c>
      <c r="H201" s="10"/>
      <c r="I201" s="12"/>
      <c r="J201" s="41">
        <f t="shared" ca="1" si="44"/>
        <v>0</v>
      </c>
      <c r="K201" s="41">
        <f t="shared" ca="1" si="48"/>
        <v>0</v>
      </c>
      <c r="AC201" s="8"/>
      <c r="AM201" s="10">
        <f t="shared" si="32"/>
        <v>0</v>
      </c>
      <c r="AN201" s="14">
        <f t="shared" si="45"/>
        <v>0</v>
      </c>
      <c r="AO201" s="18">
        <f t="shared" si="49"/>
        <v>0</v>
      </c>
      <c r="AP201" s="18">
        <f t="shared" si="50"/>
        <v>0</v>
      </c>
      <c r="AQ201" s="10" t="str">
        <f>IFERROR(VLOOKUP(B201,Departments!A:C,3,FALSE),"")</f>
        <v/>
      </c>
      <c r="AR201" s="10" t="str">
        <f>IFERROR(VLOOKUP(B201,Departments!A:B,2,FALSE),"")</f>
        <v/>
      </c>
      <c r="AS201" s="10">
        <f t="shared" si="46"/>
        <v>0</v>
      </c>
      <c r="AT201" s="10">
        <f t="shared" si="47"/>
        <v>0</v>
      </c>
      <c r="AU201" s="10" t="str">
        <f>_xlfn.IFNA(VLOOKUP(B201,Departments!A:D,4,FALSE),"")</f>
        <v/>
      </c>
    </row>
    <row r="202" spans="1:47" ht="14.45" customHeight="1">
      <c r="A202" s="11" t="str">
        <f t="shared" si="43"/>
        <v>00</v>
      </c>
      <c r="B202" s="11">
        <f>'TRANS EMP EXTRACT - COST CENTRE'!B201</f>
        <v>0</v>
      </c>
      <c r="D202" s="10" t="str">
        <f>IFERROR(VLOOKUP(E202,'TRANS EMP EXTRACT - EMP CATEGOR'!A:C,3,FALSE),"")</f>
        <v/>
      </c>
      <c r="E202" s="11">
        <f>'TRANS EMP EXTRACT - COST CENTRE'!D201</f>
        <v>0</v>
      </c>
      <c r="F202" s="10" t="str">
        <f>IFERROR(VLOOKUP(E202,'TRANS EMP EXTRACT - COST CENTRE'!D:E,2,FALSE),"")</f>
        <v/>
      </c>
      <c r="G202" s="12" t="str">
        <f>IFERROR(INDEX('TRANS EMP EXTRACT - COST CENTRE'!$A$1:$Z$455,MATCH('Summary - Monthly'!$A202,'TRANS EMP EXTRACT - COST CENTRE'!$A:$A,0),MATCH('Summary - Monthly'!G$3,'TRANS EMP EXTRACT - COST CENTRE'!$2:$2,0)),"")</f>
        <v/>
      </c>
      <c r="H202" s="10"/>
      <c r="I202" s="12"/>
      <c r="J202" s="41">
        <f t="shared" ca="1" si="44"/>
        <v>0</v>
      </c>
      <c r="K202" s="41">
        <f t="shared" ca="1" si="48"/>
        <v>0</v>
      </c>
      <c r="AC202" s="8"/>
      <c r="AM202" s="10">
        <f t="shared" si="32"/>
        <v>0</v>
      </c>
      <c r="AN202" s="14">
        <f t="shared" si="45"/>
        <v>0</v>
      </c>
      <c r="AO202" s="18">
        <f t="shared" si="49"/>
        <v>0</v>
      </c>
      <c r="AP202" s="18">
        <f t="shared" si="50"/>
        <v>0</v>
      </c>
      <c r="AQ202" s="10" t="str">
        <f>IFERROR(VLOOKUP(B202,Departments!A:C,3,FALSE),"")</f>
        <v/>
      </c>
      <c r="AR202" s="10" t="str">
        <f>IFERROR(VLOOKUP(B202,Departments!A:B,2,FALSE),"")</f>
        <v/>
      </c>
      <c r="AS202" s="10">
        <f t="shared" si="46"/>
        <v>0</v>
      </c>
      <c r="AT202" s="10">
        <f t="shared" si="47"/>
        <v>0</v>
      </c>
      <c r="AU202" s="10" t="str">
        <f>_xlfn.IFNA(VLOOKUP(B202,Departments!A:D,4,FALSE),"")</f>
        <v/>
      </c>
    </row>
    <row r="203" spans="1:47" ht="14.45" customHeight="1">
      <c r="A203" s="11" t="str">
        <f t="shared" si="43"/>
        <v>00</v>
      </c>
      <c r="B203" s="11">
        <f>'TRANS EMP EXTRACT - COST CENTRE'!B202</f>
        <v>0</v>
      </c>
      <c r="D203" s="10" t="str">
        <f>IFERROR(VLOOKUP(E203,'TRANS EMP EXTRACT - EMP CATEGOR'!A:C,3,FALSE),"")</f>
        <v/>
      </c>
      <c r="E203" s="11">
        <f>'TRANS EMP EXTRACT - COST CENTRE'!D202</f>
        <v>0</v>
      </c>
      <c r="F203" s="10" t="str">
        <f>IFERROR(VLOOKUP(E203,'TRANS EMP EXTRACT - COST CENTRE'!D:E,2,FALSE),"")</f>
        <v/>
      </c>
      <c r="G203" s="12" t="str">
        <f>IFERROR(INDEX('TRANS EMP EXTRACT - COST CENTRE'!$A$1:$Z$455,MATCH('Summary - Monthly'!$A203,'TRANS EMP EXTRACT - COST CENTRE'!$A:$A,0),MATCH('Summary - Monthly'!G$3,'TRANS EMP EXTRACT - COST CENTRE'!$2:$2,0)),"")</f>
        <v/>
      </c>
      <c r="H203" s="10"/>
      <c r="I203" s="12"/>
      <c r="J203" s="41">
        <f t="shared" ca="1" si="44"/>
        <v>0</v>
      </c>
      <c r="K203" s="41">
        <f t="shared" ca="1" si="48"/>
        <v>0</v>
      </c>
      <c r="AC203" s="8"/>
      <c r="AM203" s="10">
        <f t="shared" si="32"/>
        <v>0</v>
      </c>
      <c r="AN203" s="14">
        <f t="shared" si="45"/>
        <v>0</v>
      </c>
      <c r="AO203" s="18">
        <f t="shared" si="49"/>
        <v>0</v>
      </c>
      <c r="AP203" s="18">
        <f t="shared" si="50"/>
        <v>0</v>
      </c>
      <c r="AQ203" s="10" t="str">
        <f>IFERROR(VLOOKUP(B203,Departments!A:C,3,FALSE),"")</f>
        <v/>
      </c>
      <c r="AR203" s="10" t="str">
        <f>IFERROR(VLOOKUP(B203,Departments!A:B,2,FALSE),"")</f>
        <v/>
      </c>
      <c r="AS203" s="10">
        <f t="shared" si="46"/>
        <v>0</v>
      </c>
      <c r="AT203" s="10">
        <f t="shared" si="47"/>
        <v>0</v>
      </c>
      <c r="AU203" s="10" t="str">
        <f>_xlfn.IFNA(VLOOKUP(B203,Departments!A:D,4,FALSE),"")</f>
        <v/>
      </c>
    </row>
    <row r="204" spans="1:47" ht="14.45" customHeight="1">
      <c r="A204" s="11" t="str">
        <f t="shared" si="43"/>
        <v>00</v>
      </c>
      <c r="B204" s="11">
        <f>'TRANS EMP EXTRACT - COST CENTRE'!B203</f>
        <v>0</v>
      </c>
      <c r="D204" s="10" t="str">
        <f>IFERROR(VLOOKUP(E204,'TRANS EMP EXTRACT - EMP CATEGOR'!A:C,3,FALSE),"")</f>
        <v/>
      </c>
      <c r="E204" s="11">
        <f>'TRANS EMP EXTRACT - COST CENTRE'!D203</f>
        <v>0</v>
      </c>
      <c r="F204" s="10" t="str">
        <f>IFERROR(VLOOKUP(E204,'TRANS EMP EXTRACT - COST CENTRE'!D:E,2,FALSE),"")</f>
        <v/>
      </c>
      <c r="G204" s="12" t="str">
        <f>IFERROR(INDEX('TRANS EMP EXTRACT - COST CENTRE'!$A$1:$Z$455,MATCH('Summary - Monthly'!$A204,'TRANS EMP EXTRACT - COST CENTRE'!$A:$A,0),MATCH('Summary - Monthly'!G$3,'TRANS EMP EXTRACT - COST CENTRE'!$2:$2,0)),"")</f>
        <v/>
      </c>
      <c r="H204" s="10"/>
      <c r="I204" s="12"/>
      <c r="J204" s="41">
        <f t="shared" ca="1" si="44"/>
        <v>0</v>
      </c>
      <c r="K204" s="41">
        <f t="shared" ca="1" si="48"/>
        <v>0</v>
      </c>
      <c r="AC204" s="8"/>
      <c r="AM204" s="10">
        <f t="shared" si="32"/>
        <v>0</v>
      </c>
      <c r="AN204" s="14">
        <f t="shared" si="45"/>
        <v>0</v>
      </c>
      <c r="AO204" s="18">
        <f t="shared" si="49"/>
        <v>0</v>
      </c>
      <c r="AP204" s="18">
        <f t="shared" si="50"/>
        <v>0</v>
      </c>
      <c r="AQ204" s="10" t="str">
        <f>IFERROR(VLOOKUP(B204,Departments!A:C,3,FALSE),"")</f>
        <v/>
      </c>
      <c r="AR204" s="10" t="str">
        <f>IFERROR(VLOOKUP(B204,Departments!A:B,2,FALSE),"")</f>
        <v/>
      </c>
      <c r="AS204" s="10">
        <f t="shared" si="46"/>
        <v>0</v>
      </c>
      <c r="AT204" s="10">
        <f t="shared" si="47"/>
        <v>0</v>
      </c>
      <c r="AU204" s="10" t="str">
        <f>_xlfn.IFNA(VLOOKUP(B204,Departments!A:D,4,FALSE),"")</f>
        <v/>
      </c>
    </row>
    <row r="205" spans="1:47" ht="14.45" customHeight="1">
      <c r="A205" s="11" t="str">
        <f t="shared" si="43"/>
        <v>00</v>
      </c>
      <c r="B205" s="11">
        <f>'TRANS EMP EXTRACT - COST CENTRE'!B204</f>
        <v>0</v>
      </c>
      <c r="D205" s="10" t="str">
        <f>IFERROR(VLOOKUP(E205,'TRANS EMP EXTRACT - EMP CATEGOR'!A:C,3,FALSE),"")</f>
        <v/>
      </c>
      <c r="E205" s="11">
        <f>'TRANS EMP EXTRACT - COST CENTRE'!D204</f>
        <v>0</v>
      </c>
      <c r="F205" s="10" t="str">
        <f>IFERROR(VLOOKUP(E205,'TRANS EMP EXTRACT - COST CENTRE'!D:E,2,FALSE),"")</f>
        <v/>
      </c>
      <c r="G205" s="12" t="str">
        <f>IFERROR(INDEX('TRANS EMP EXTRACT - COST CENTRE'!$A$1:$Z$455,MATCH('Summary - Monthly'!$A205,'TRANS EMP EXTRACT - COST CENTRE'!$A:$A,0),MATCH('Summary - Monthly'!G$3,'TRANS EMP EXTRACT - COST CENTRE'!$2:$2,0)),"")</f>
        <v/>
      </c>
      <c r="H205" s="10"/>
      <c r="I205" s="12"/>
      <c r="J205" s="41">
        <f t="shared" ca="1" si="44"/>
        <v>0</v>
      </c>
      <c r="K205" s="41">
        <f t="shared" ca="1" si="48"/>
        <v>0</v>
      </c>
      <c r="AC205" s="8"/>
      <c r="AM205" s="10">
        <f t="shared" si="32"/>
        <v>0</v>
      </c>
      <c r="AN205" s="14">
        <f t="shared" si="45"/>
        <v>0</v>
      </c>
      <c r="AO205" s="18">
        <f t="shared" si="49"/>
        <v>0</v>
      </c>
      <c r="AP205" s="18">
        <f t="shared" si="50"/>
        <v>0</v>
      </c>
      <c r="AQ205" s="10" t="str">
        <f>IFERROR(VLOOKUP(B205,Departments!A:C,3,FALSE),"")</f>
        <v/>
      </c>
      <c r="AR205" s="10" t="str">
        <f>IFERROR(VLOOKUP(B205,Departments!A:B,2,FALSE),"")</f>
        <v/>
      </c>
      <c r="AS205" s="10">
        <f t="shared" si="46"/>
        <v>0</v>
      </c>
      <c r="AT205" s="10">
        <f t="shared" si="47"/>
        <v>0</v>
      </c>
      <c r="AU205" s="10" t="str">
        <f>_xlfn.IFNA(VLOOKUP(B205,Departments!A:D,4,FALSE),"")</f>
        <v/>
      </c>
    </row>
    <row r="206" spans="1:47" ht="14.45" customHeight="1">
      <c r="A206" s="11" t="str">
        <f t="shared" si="43"/>
        <v>00</v>
      </c>
      <c r="B206" s="11">
        <f>'TRANS EMP EXTRACT - COST CENTRE'!B205</f>
        <v>0</v>
      </c>
      <c r="D206" s="10" t="str">
        <f>IFERROR(VLOOKUP(E206,'TRANS EMP EXTRACT - EMP CATEGOR'!A:C,3,FALSE),"")</f>
        <v/>
      </c>
      <c r="E206" s="11">
        <f>'TRANS EMP EXTRACT - COST CENTRE'!D205</f>
        <v>0</v>
      </c>
      <c r="F206" s="10" t="str">
        <f>IFERROR(VLOOKUP(E206,'TRANS EMP EXTRACT - COST CENTRE'!D:E,2,FALSE),"")</f>
        <v/>
      </c>
      <c r="G206" s="12" t="str">
        <f>IFERROR(INDEX('TRANS EMP EXTRACT - COST CENTRE'!$A$1:$Z$455,MATCH('Summary - Monthly'!$A206,'TRANS EMP EXTRACT - COST CENTRE'!$A:$A,0),MATCH('Summary - Monthly'!G$3,'TRANS EMP EXTRACT - COST CENTRE'!$2:$2,0)),"")</f>
        <v/>
      </c>
      <c r="H206" s="10"/>
      <c r="I206" s="12"/>
      <c r="J206" s="41">
        <f t="shared" ca="1" si="44"/>
        <v>0</v>
      </c>
      <c r="K206" s="41">
        <f t="shared" ca="1" si="48"/>
        <v>0</v>
      </c>
      <c r="AC206" s="8"/>
      <c r="AM206" s="10">
        <f t="shared" si="32"/>
        <v>0</v>
      </c>
      <c r="AN206" s="14">
        <f t="shared" si="45"/>
        <v>0</v>
      </c>
      <c r="AO206" s="18">
        <f t="shared" si="49"/>
        <v>0</v>
      </c>
      <c r="AP206" s="18">
        <f t="shared" si="50"/>
        <v>0</v>
      </c>
      <c r="AQ206" s="10" t="str">
        <f>IFERROR(VLOOKUP(B206,Departments!A:C,3,FALSE),"")</f>
        <v/>
      </c>
      <c r="AR206" s="10" t="str">
        <f>IFERROR(VLOOKUP(B206,Departments!A:B,2,FALSE),"")</f>
        <v/>
      </c>
      <c r="AS206" s="10">
        <f t="shared" si="46"/>
        <v>0</v>
      </c>
      <c r="AT206" s="10">
        <f t="shared" si="47"/>
        <v>0</v>
      </c>
      <c r="AU206" s="10" t="str">
        <f>_xlfn.IFNA(VLOOKUP(B206,Departments!A:D,4,FALSE),"")</f>
        <v/>
      </c>
    </row>
    <row r="207" spans="1:47" ht="14.45" customHeight="1">
      <c r="A207" s="11" t="str">
        <f t="shared" si="43"/>
        <v>00</v>
      </c>
      <c r="B207" s="11">
        <f>'TRANS EMP EXTRACT - COST CENTRE'!B206</f>
        <v>0</v>
      </c>
      <c r="D207" s="10" t="str">
        <f>IFERROR(VLOOKUP(E207,'TRANS EMP EXTRACT - EMP CATEGOR'!A:C,3,FALSE),"")</f>
        <v/>
      </c>
      <c r="E207" s="11">
        <f>'TRANS EMP EXTRACT - COST CENTRE'!D206</f>
        <v>0</v>
      </c>
      <c r="F207" s="10" t="str">
        <f>IFERROR(VLOOKUP(E207,'TRANS EMP EXTRACT - COST CENTRE'!D:E,2,FALSE),"")</f>
        <v/>
      </c>
      <c r="G207" s="12" t="str">
        <f>IFERROR(INDEX('TRANS EMP EXTRACT - COST CENTRE'!$A$1:$Z$455,MATCH('Summary - Monthly'!$A207,'TRANS EMP EXTRACT - COST CENTRE'!$A:$A,0),MATCH('Summary - Monthly'!G$3,'TRANS EMP EXTRACT - COST CENTRE'!$2:$2,0)),"")</f>
        <v/>
      </c>
      <c r="H207" s="10"/>
      <c r="I207" s="12"/>
      <c r="J207" s="41">
        <f t="shared" ca="1" si="44"/>
        <v>0</v>
      </c>
      <c r="K207" s="41">
        <f t="shared" ca="1" si="48"/>
        <v>0</v>
      </c>
      <c r="AC207" s="8"/>
      <c r="AM207" s="10">
        <f t="shared" si="32"/>
        <v>0</v>
      </c>
      <c r="AN207" s="14">
        <f t="shared" si="45"/>
        <v>0</v>
      </c>
      <c r="AO207" s="18">
        <f t="shared" si="49"/>
        <v>0</v>
      </c>
      <c r="AP207" s="18">
        <f t="shared" si="50"/>
        <v>0</v>
      </c>
      <c r="AQ207" s="10" t="str">
        <f>IFERROR(VLOOKUP(B207,Departments!A:C,3,FALSE),"")</f>
        <v/>
      </c>
      <c r="AR207" s="10" t="str">
        <f>IFERROR(VLOOKUP(B207,Departments!A:B,2,FALSE),"")</f>
        <v/>
      </c>
      <c r="AS207" s="10">
        <f t="shared" si="46"/>
        <v>0</v>
      </c>
      <c r="AT207" s="10">
        <f t="shared" si="47"/>
        <v>0</v>
      </c>
      <c r="AU207" s="10" t="str">
        <f>_xlfn.IFNA(VLOOKUP(B207,Departments!A:D,4,FALSE),"")</f>
        <v/>
      </c>
    </row>
    <row r="208" spans="1:47" ht="14.45" customHeight="1">
      <c r="A208" s="11" t="str">
        <f t="shared" si="43"/>
        <v>00</v>
      </c>
      <c r="B208" s="11">
        <f>'TRANS EMP EXTRACT - COST CENTRE'!B207</f>
        <v>0</v>
      </c>
      <c r="D208" s="10" t="str">
        <f>IFERROR(VLOOKUP(E208,'TRANS EMP EXTRACT - EMP CATEGOR'!A:C,3,FALSE),"")</f>
        <v/>
      </c>
      <c r="E208" s="11">
        <f>'TRANS EMP EXTRACT - COST CENTRE'!D207</f>
        <v>0</v>
      </c>
      <c r="F208" s="10" t="str">
        <f>IFERROR(VLOOKUP(E208,'TRANS EMP EXTRACT - COST CENTRE'!D:E,2,FALSE),"")</f>
        <v/>
      </c>
      <c r="G208" s="12" t="str">
        <f>IFERROR(INDEX('TRANS EMP EXTRACT - COST CENTRE'!$A$1:$Z$455,MATCH('Summary - Monthly'!$A208,'TRANS EMP EXTRACT - COST CENTRE'!$A:$A,0),MATCH('Summary - Monthly'!G$3,'TRANS EMP EXTRACT - COST CENTRE'!$2:$2,0)),"")</f>
        <v/>
      </c>
      <c r="H208" s="10"/>
      <c r="I208" s="12"/>
      <c r="J208" s="41">
        <f t="shared" ca="1" si="44"/>
        <v>0</v>
      </c>
      <c r="K208" s="41">
        <f t="shared" ca="1" si="48"/>
        <v>0</v>
      </c>
      <c r="AC208" s="8"/>
      <c r="AM208" s="10">
        <f t="shared" si="32"/>
        <v>0</v>
      </c>
      <c r="AN208" s="14">
        <f t="shared" si="45"/>
        <v>0</v>
      </c>
      <c r="AO208" s="18">
        <f t="shared" si="49"/>
        <v>0</v>
      </c>
      <c r="AP208" s="18">
        <f t="shared" si="50"/>
        <v>0</v>
      </c>
      <c r="AQ208" s="10" t="str">
        <f>IFERROR(VLOOKUP(B208,Departments!A:C,3,FALSE),"")</f>
        <v/>
      </c>
      <c r="AR208" s="10" t="str">
        <f>IFERROR(VLOOKUP(B208,Departments!A:B,2,FALSE),"")</f>
        <v/>
      </c>
      <c r="AS208" s="10">
        <f t="shared" si="46"/>
        <v>0</v>
      </c>
      <c r="AT208" s="10">
        <f t="shared" si="47"/>
        <v>0</v>
      </c>
      <c r="AU208" s="10" t="str">
        <f>_xlfn.IFNA(VLOOKUP(B208,Departments!A:D,4,FALSE),"")</f>
        <v/>
      </c>
    </row>
    <row r="209" spans="1:47" ht="14.45" customHeight="1">
      <c r="A209" s="11" t="str">
        <f t="shared" si="43"/>
        <v>00</v>
      </c>
      <c r="B209" s="11">
        <f>'TRANS EMP EXTRACT - COST CENTRE'!B208</f>
        <v>0</v>
      </c>
      <c r="D209" s="10" t="str">
        <f>IFERROR(VLOOKUP(E209,'TRANS EMP EXTRACT - EMP CATEGOR'!A:C,3,FALSE),"")</f>
        <v/>
      </c>
      <c r="E209" s="11">
        <f>'TRANS EMP EXTRACT - COST CENTRE'!D208</f>
        <v>0</v>
      </c>
      <c r="F209" s="10" t="str">
        <f>IFERROR(VLOOKUP(E209,'TRANS EMP EXTRACT - COST CENTRE'!D:E,2,FALSE),"")</f>
        <v/>
      </c>
      <c r="G209" s="12" t="str">
        <f>IFERROR(INDEX('TRANS EMP EXTRACT - COST CENTRE'!$A$1:$Z$455,MATCH('Summary - Monthly'!$A209,'TRANS EMP EXTRACT - COST CENTRE'!$A:$A,0),MATCH('Summary - Monthly'!G$3,'TRANS EMP EXTRACT - COST CENTRE'!$2:$2,0)),"")</f>
        <v/>
      </c>
      <c r="H209" s="10"/>
      <c r="I209" s="12"/>
      <c r="J209" s="41">
        <f t="shared" ca="1" si="44"/>
        <v>0</v>
      </c>
      <c r="K209" s="41">
        <f t="shared" ca="1" si="48"/>
        <v>0</v>
      </c>
      <c r="AC209" s="8"/>
      <c r="AM209" s="10">
        <f t="shared" ref="AM209:AM266" si="51">SUM(L209:Y209)+SUM(AD209:AF209)-T209</f>
        <v>0</v>
      </c>
      <c r="AN209" s="14">
        <f t="shared" si="45"/>
        <v>0</v>
      </c>
      <c r="AO209" s="18">
        <f t="shared" si="49"/>
        <v>0</v>
      </c>
      <c r="AP209" s="18">
        <f t="shared" si="50"/>
        <v>0</v>
      </c>
      <c r="AQ209" s="10" t="str">
        <f>IFERROR(VLOOKUP(B209,Departments!A:C,3,FALSE),"")</f>
        <v/>
      </c>
      <c r="AR209" s="10" t="str">
        <f>IFERROR(VLOOKUP(B209,Departments!A:B,2,FALSE),"")</f>
        <v/>
      </c>
      <c r="AS209" s="10">
        <f t="shared" si="46"/>
        <v>0</v>
      </c>
      <c r="AT209" s="10">
        <f t="shared" si="47"/>
        <v>0</v>
      </c>
      <c r="AU209" s="10" t="str">
        <f>_xlfn.IFNA(VLOOKUP(B209,Departments!A:D,4,FALSE),"")</f>
        <v/>
      </c>
    </row>
    <row r="210" spans="1:47" ht="14.45" customHeight="1">
      <c r="A210" s="11" t="str">
        <f t="shared" si="43"/>
        <v>00</v>
      </c>
      <c r="B210" s="11">
        <f>'TRANS EMP EXTRACT - COST CENTRE'!B209</f>
        <v>0</v>
      </c>
      <c r="D210" s="10" t="str">
        <f>IFERROR(VLOOKUP(E210,'TRANS EMP EXTRACT - EMP CATEGOR'!A:C,3,FALSE),"")</f>
        <v/>
      </c>
      <c r="E210" s="11">
        <f>'TRANS EMP EXTRACT - COST CENTRE'!D209</f>
        <v>0</v>
      </c>
      <c r="F210" s="10" t="str">
        <f>IFERROR(VLOOKUP(E210,'TRANS EMP EXTRACT - COST CENTRE'!D:E,2,FALSE),"")</f>
        <v/>
      </c>
      <c r="G210" s="12" t="str">
        <f>IFERROR(INDEX('TRANS EMP EXTRACT - COST CENTRE'!$A$1:$Z$455,MATCH('Summary - Monthly'!$A210,'TRANS EMP EXTRACT - COST CENTRE'!$A:$A,0),MATCH('Summary - Monthly'!G$3,'TRANS EMP EXTRACT - COST CENTRE'!$2:$2,0)),"")</f>
        <v/>
      </c>
      <c r="H210" s="10"/>
      <c r="I210" s="12"/>
      <c r="J210" s="41">
        <f t="shared" ca="1" si="44"/>
        <v>0</v>
      </c>
      <c r="K210" s="41">
        <f t="shared" ca="1" si="48"/>
        <v>0</v>
      </c>
      <c r="AC210" s="8"/>
      <c r="AM210" s="10">
        <f t="shared" si="51"/>
        <v>0</v>
      </c>
      <c r="AN210" s="14">
        <f t="shared" si="45"/>
        <v>0</v>
      </c>
      <c r="AO210" s="18">
        <f t="shared" si="49"/>
        <v>0</v>
      </c>
      <c r="AP210" s="18">
        <f t="shared" si="50"/>
        <v>0</v>
      </c>
      <c r="AQ210" s="10" t="str">
        <f>IFERROR(VLOOKUP(B210,Departments!A:C,3,FALSE),"")</f>
        <v/>
      </c>
      <c r="AR210" s="10" t="str">
        <f>IFERROR(VLOOKUP(B210,Departments!A:B,2,FALSE),"")</f>
        <v/>
      </c>
      <c r="AS210" s="10">
        <f t="shared" si="46"/>
        <v>0</v>
      </c>
      <c r="AT210" s="10">
        <f t="shared" si="47"/>
        <v>0</v>
      </c>
      <c r="AU210" s="10" t="str">
        <f>_xlfn.IFNA(VLOOKUP(B210,Departments!A:D,4,FALSE),"")</f>
        <v/>
      </c>
    </row>
    <row r="211" spans="1:47" ht="14.45" customHeight="1">
      <c r="A211" s="11" t="str">
        <f t="shared" si="43"/>
        <v>00</v>
      </c>
      <c r="B211" s="11">
        <f>'TRANS EMP EXTRACT - COST CENTRE'!B210</f>
        <v>0</v>
      </c>
      <c r="D211" s="10" t="str">
        <f>IFERROR(VLOOKUP(E211,'TRANS EMP EXTRACT - EMP CATEGOR'!A:C,3,FALSE),"")</f>
        <v/>
      </c>
      <c r="E211" s="11">
        <f>'TRANS EMP EXTRACT - COST CENTRE'!D210</f>
        <v>0</v>
      </c>
      <c r="F211" s="10" t="str">
        <f>IFERROR(VLOOKUP(E211,'TRANS EMP EXTRACT - COST CENTRE'!D:E,2,FALSE),"")</f>
        <v/>
      </c>
      <c r="G211" s="12" t="str">
        <f>IFERROR(INDEX('TRANS EMP EXTRACT - COST CENTRE'!$A$1:$Z$455,MATCH('Summary - Monthly'!$A211,'TRANS EMP EXTRACT - COST CENTRE'!$A:$A,0),MATCH('Summary - Monthly'!G$3,'TRANS EMP EXTRACT - COST CENTRE'!$2:$2,0)),"")</f>
        <v/>
      </c>
      <c r="H211" s="10"/>
      <c r="I211" s="12"/>
      <c r="J211" s="41">
        <f t="shared" ca="1" si="44"/>
        <v>0</v>
      </c>
      <c r="K211" s="41">
        <f t="shared" ca="1" si="48"/>
        <v>0</v>
      </c>
      <c r="AC211" s="8"/>
      <c r="AM211" s="10">
        <f t="shared" si="51"/>
        <v>0</v>
      </c>
      <c r="AN211" s="14">
        <f t="shared" si="45"/>
        <v>0</v>
      </c>
      <c r="AO211" s="18">
        <f t="shared" si="49"/>
        <v>0</v>
      </c>
      <c r="AP211" s="18">
        <f t="shared" si="50"/>
        <v>0</v>
      </c>
      <c r="AQ211" s="10" t="str">
        <f>IFERROR(VLOOKUP(B211,Departments!A:C,3,FALSE),"")</f>
        <v/>
      </c>
      <c r="AR211" s="10" t="str">
        <f>IFERROR(VLOOKUP(B211,Departments!A:B,2,FALSE),"")</f>
        <v/>
      </c>
      <c r="AS211" s="10">
        <f t="shared" si="46"/>
        <v>0</v>
      </c>
      <c r="AT211" s="10">
        <f t="shared" si="47"/>
        <v>0</v>
      </c>
      <c r="AU211" s="10" t="str">
        <f>_xlfn.IFNA(VLOOKUP(B211,Departments!A:D,4,FALSE),"")</f>
        <v/>
      </c>
    </row>
    <row r="212" spans="1:47" ht="14.45" customHeight="1">
      <c r="A212" s="11" t="str">
        <f t="shared" si="43"/>
        <v>00</v>
      </c>
      <c r="B212" s="11">
        <f>'TRANS EMP EXTRACT - COST CENTRE'!B211</f>
        <v>0</v>
      </c>
      <c r="D212" s="10" t="str">
        <f>IFERROR(VLOOKUP(E212,'TRANS EMP EXTRACT - EMP CATEGOR'!A:C,3,FALSE),"")</f>
        <v/>
      </c>
      <c r="E212" s="11">
        <f>'TRANS EMP EXTRACT - COST CENTRE'!D211</f>
        <v>0</v>
      </c>
      <c r="F212" s="10" t="str">
        <f>IFERROR(VLOOKUP(E212,'TRANS EMP EXTRACT - COST CENTRE'!D:E,2,FALSE),"")</f>
        <v/>
      </c>
      <c r="G212" s="12" t="str">
        <f>IFERROR(INDEX('TRANS EMP EXTRACT - COST CENTRE'!$A$1:$Z$455,MATCH('Summary - Monthly'!$A212,'TRANS EMP EXTRACT - COST CENTRE'!$A:$A,0),MATCH('Summary - Monthly'!G$3,'TRANS EMP EXTRACT - COST CENTRE'!$2:$2,0)),"")</f>
        <v/>
      </c>
      <c r="H212" s="10"/>
      <c r="I212" s="12"/>
      <c r="J212" s="41">
        <f t="shared" ca="1" si="44"/>
        <v>0</v>
      </c>
      <c r="K212" s="41">
        <f t="shared" ca="1" si="48"/>
        <v>0</v>
      </c>
      <c r="AC212" s="8"/>
      <c r="AM212" s="10">
        <f t="shared" si="51"/>
        <v>0</v>
      </c>
      <c r="AN212" s="14">
        <f t="shared" si="45"/>
        <v>0</v>
      </c>
      <c r="AO212" s="18">
        <f t="shared" si="49"/>
        <v>0</v>
      </c>
      <c r="AP212" s="18">
        <f t="shared" si="50"/>
        <v>0</v>
      </c>
      <c r="AQ212" s="10" t="str">
        <f>IFERROR(VLOOKUP(B212,Departments!A:C,3,FALSE),"")</f>
        <v/>
      </c>
      <c r="AR212" s="10" t="str">
        <f>IFERROR(VLOOKUP(B212,Departments!A:B,2,FALSE),"")</f>
        <v/>
      </c>
      <c r="AS212" s="10">
        <f t="shared" si="46"/>
        <v>0</v>
      </c>
      <c r="AT212" s="10">
        <f t="shared" si="47"/>
        <v>0</v>
      </c>
      <c r="AU212" s="10" t="str">
        <f>_xlfn.IFNA(VLOOKUP(B212,Departments!A:D,4,FALSE),"")</f>
        <v/>
      </c>
    </row>
    <row r="213" spans="1:47" ht="14.45" customHeight="1">
      <c r="A213" s="11" t="str">
        <f t="shared" si="43"/>
        <v>00</v>
      </c>
      <c r="B213" s="11">
        <f>'TRANS EMP EXTRACT - COST CENTRE'!B212</f>
        <v>0</v>
      </c>
      <c r="D213" s="10" t="str">
        <f>IFERROR(VLOOKUP(E213,'TRANS EMP EXTRACT - EMP CATEGOR'!A:C,3,FALSE),"")</f>
        <v/>
      </c>
      <c r="E213" s="11">
        <f>'TRANS EMP EXTRACT - COST CENTRE'!D212</f>
        <v>0</v>
      </c>
      <c r="F213" s="10" t="str">
        <f>IFERROR(VLOOKUP(E213,'TRANS EMP EXTRACT - COST CENTRE'!D:E,2,FALSE),"")</f>
        <v/>
      </c>
      <c r="G213" s="12" t="str">
        <f>IFERROR(INDEX('TRANS EMP EXTRACT - COST CENTRE'!$A$1:$Z$455,MATCH('Summary - Monthly'!$A213,'TRANS EMP EXTRACT - COST CENTRE'!$A:$A,0),MATCH('Summary - Monthly'!G$3,'TRANS EMP EXTRACT - COST CENTRE'!$2:$2,0)),"")</f>
        <v/>
      </c>
      <c r="H213" s="10"/>
      <c r="I213" s="12"/>
      <c r="J213" s="41">
        <f t="shared" ca="1" si="44"/>
        <v>0</v>
      </c>
      <c r="K213" s="41">
        <f t="shared" ca="1" si="48"/>
        <v>0</v>
      </c>
      <c r="AC213" s="8"/>
      <c r="AM213" s="10">
        <f t="shared" si="51"/>
        <v>0</v>
      </c>
      <c r="AN213" s="14">
        <f t="shared" si="45"/>
        <v>0</v>
      </c>
      <c r="AO213" s="18">
        <f t="shared" si="49"/>
        <v>0</v>
      </c>
      <c r="AP213" s="18">
        <f t="shared" si="50"/>
        <v>0</v>
      </c>
      <c r="AQ213" s="10" t="str">
        <f>IFERROR(VLOOKUP(B213,Departments!A:C,3,FALSE),"")</f>
        <v/>
      </c>
      <c r="AR213" s="10" t="str">
        <f>IFERROR(VLOOKUP(B213,Departments!A:B,2,FALSE),"")</f>
        <v/>
      </c>
      <c r="AS213" s="10">
        <f t="shared" si="46"/>
        <v>0</v>
      </c>
      <c r="AT213" s="10">
        <f t="shared" si="47"/>
        <v>0</v>
      </c>
      <c r="AU213" s="10" t="str">
        <f>_xlfn.IFNA(VLOOKUP(B213,Departments!A:D,4,FALSE),"")</f>
        <v/>
      </c>
    </row>
    <row r="214" spans="1:47" ht="14.45" customHeight="1">
      <c r="A214" s="11" t="str">
        <f t="shared" si="43"/>
        <v>00</v>
      </c>
      <c r="B214" s="11">
        <f>'TRANS EMP EXTRACT - COST CENTRE'!B213</f>
        <v>0</v>
      </c>
      <c r="D214" s="10" t="str">
        <f>IFERROR(VLOOKUP(E214,'TRANS EMP EXTRACT - EMP CATEGOR'!A:C,3,FALSE),"")</f>
        <v/>
      </c>
      <c r="E214" s="11">
        <f>'TRANS EMP EXTRACT - COST CENTRE'!D213</f>
        <v>0</v>
      </c>
      <c r="F214" s="10" t="str">
        <f>IFERROR(VLOOKUP(E214,'TRANS EMP EXTRACT - COST CENTRE'!D:E,2,FALSE),"")</f>
        <v/>
      </c>
      <c r="G214" s="12" t="str">
        <f>IFERROR(INDEX('TRANS EMP EXTRACT - COST CENTRE'!$A$1:$Z$455,MATCH('Summary - Monthly'!$A214,'TRANS EMP EXTRACT - COST CENTRE'!$A:$A,0),MATCH('Summary - Monthly'!G$3,'TRANS EMP EXTRACT - COST CENTRE'!$2:$2,0)),"")</f>
        <v/>
      </c>
      <c r="H214" s="10"/>
      <c r="I214" s="12"/>
      <c r="J214" s="41">
        <f t="shared" ca="1" si="44"/>
        <v>0</v>
      </c>
      <c r="K214" s="41">
        <f t="shared" ca="1" si="48"/>
        <v>0</v>
      </c>
      <c r="AC214" s="8"/>
      <c r="AM214" s="10">
        <f t="shared" si="51"/>
        <v>0</v>
      </c>
      <c r="AN214" s="14">
        <f t="shared" si="45"/>
        <v>0</v>
      </c>
      <c r="AO214" s="18">
        <f t="shared" si="49"/>
        <v>0</v>
      </c>
      <c r="AP214" s="18">
        <f t="shared" si="50"/>
        <v>0</v>
      </c>
      <c r="AQ214" s="10" t="str">
        <f>IFERROR(VLOOKUP(B214,Departments!A:C,3,FALSE),"")</f>
        <v/>
      </c>
      <c r="AR214" s="10" t="str">
        <f>IFERROR(VLOOKUP(B214,Departments!A:B,2,FALSE),"")</f>
        <v/>
      </c>
      <c r="AS214" s="10">
        <f t="shared" si="46"/>
        <v>0</v>
      </c>
      <c r="AT214" s="10">
        <f t="shared" si="47"/>
        <v>0</v>
      </c>
      <c r="AU214" s="10" t="str">
        <f>_xlfn.IFNA(VLOOKUP(B214,Departments!A:D,4,FALSE),"")</f>
        <v/>
      </c>
    </row>
    <row r="215" spans="1:47" ht="14.45" customHeight="1">
      <c r="A215" s="11" t="str">
        <f t="shared" si="43"/>
        <v>00</v>
      </c>
      <c r="B215" s="11">
        <f>'TRANS EMP EXTRACT - COST CENTRE'!B214</f>
        <v>0</v>
      </c>
      <c r="D215" s="10" t="str">
        <f>IFERROR(VLOOKUP(E215,'TRANS EMP EXTRACT - EMP CATEGOR'!A:C,3,FALSE),"")</f>
        <v/>
      </c>
      <c r="E215" s="11">
        <f>'TRANS EMP EXTRACT - COST CENTRE'!D214</f>
        <v>0</v>
      </c>
      <c r="F215" s="10" t="str">
        <f>IFERROR(VLOOKUP(E215,'TRANS EMP EXTRACT - COST CENTRE'!D:E,2,FALSE),"")</f>
        <v/>
      </c>
      <c r="G215" s="12" t="str">
        <f>IFERROR(INDEX('TRANS EMP EXTRACT - COST CENTRE'!$A$1:$Z$455,MATCH('Summary - Monthly'!$A215,'TRANS EMP EXTRACT - COST CENTRE'!$A:$A,0),MATCH('Summary - Monthly'!G$3,'TRANS EMP EXTRACT - COST CENTRE'!$2:$2,0)),"")</f>
        <v/>
      </c>
      <c r="H215" s="10"/>
      <c r="I215" s="12"/>
      <c r="J215" s="41">
        <f t="shared" ca="1" si="44"/>
        <v>0</v>
      </c>
      <c r="K215" s="41">
        <f t="shared" ca="1" si="48"/>
        <v>0</v>
      </c>
      <c r="AC215" s="8"/>
      <c r="AM215" s="10">
        <f t="shared" si="51"/>
        <v>0</v>
      </c>
      <c r="AN215" s="14">
        <f t="shared" si="45"/>
        <v>0</v>
      </c>
      <c r="AO215" s="18">
        <f t="shared" si="49"/>
        <v>0</v>
      </c>
      <c r="AP215" s="18">
        <f t="shared" si="50"/>
        <v>0</v>
      </c>
      <c r="AQ215" s="10" t="str">
        <f>IFERROR(VLOOKUP(B215,Departments!A:C,3,FALSE),"")</f>
        <v/>
      </c>
      <c r="AR215" s="10" t="str">
        <f>IFERROR(VLOOKUP(B215,Departments!A:B,2,FALSE),"")</f>
        <v/>
      </c>
      <c r="AS215" s="10">
        <f t="shared" si="46"/>
        <v>0</v>
      </c>
      <c r="AT215" s="10">
        <f t="shared" si="47"/>
        <v>0</v>
      </c>
      <c r="AU215" s="10" t="str">
        <f>_xlfn.IFNA(VLOOKUP(B215,Departments!A:D,4,FALSE),"")</f>
        <v/>
      </c>
    </row>
    <row r="216" spans="1:47" ht="14.45" customHeight="1">
      <c r="A216" s="11" t="str">
        <f t="shared" si="43"/>
        <v>00</v>
      </c>
      <c r="B216" s="11">
        <f>'TRANS EMP EXTRACT - COST CENTRE'!B215</f>
        <v>0</v>
      </c>
      <c r="D216" s="10" t="str">
        <f>IFERROR(VLOOKUP(E216,'TRANS EMP EXTRACT - EMP CATEGOR'!A:C,3,FALSE),"")</f>
        <v/>
      </c>
      <c r="E216" s="11">
        <f>'TRANS EMP EXTRACT - COST CENTRE'!D215</f>
        <v>0</v>
      </c>
      <c r="F216" s="10" t="str">
        <f>IFERROR(VLOOKUP(E216,'TRANS EMP EXTRACT - COST CENTRE'!D:E,2,FALSE),"")</f>
        <v/>
      </c>
      <c r="G216" s="12" t="str">
        <f>IFERROR(INDEX('TRANS EMP EXTRACT - COST CENTRE'!$A$1:$Z$455,MATCH('Summary - Monthly'!$A216,'TRANS EMP EXTRACT - COST CENTRE'!$A:$A,0),MATCH('Summary - Monthly'!G$3,'TRANS EMP EXTRACT - COST CENTRE'!$2:$2,0)),"")</f>
        <v/>
      </c>
      <c r="H216" s="10"/>
      <c r="I216" s="12"/>
      <c r="J216" s="41">
        <f t="shared" ca="1" si="44"/>
        <v>0</v>
      </c>
      <c r="K216" s="41">
        <f t="shared" ca="1" si="48"/>
        <v>0</v>
      </c>
      <c r="AC216" s="8"/>
      <c r="AM216" s="10">
        <f t="shared" si="51"/>
        <v>0</v>
      </c>
      <c r="AN216" s="14">
        <f t="shared" si="45"/>
        <v>0</v>
      </c>
      <c r="AO216" s="18">
        <f t="shared" si="49"/>
        <v>0</v>
      </c>
      <c r="AP216" s="18">
        <f t="shared" si="50"/>
        <v>0</v>
      </c>
      <c r="AQ216" s="10" t="str">
        <f>IFERROR(VLOOKUP(B216,Departments!A:C,3,FALSE),"")</f>
        <v/>
      </c>
      <c r="AR216" s="10" t="str">
        <f>IFERROR(VLOOKUP(B216,Departments!A:B,2,FALSE),"")</f>
        <v/>
      </c>
      <c r="AS216" s="10">
        <f t="shared" si="46"/>
        <v>0</v>
      </c>
      <c r="AT216" s="10">
        <f t="shared" si="47"/>
        <v>0</v>
      </c>
      <c r="AU216" s="10" t="str">
        <f>_xlfn.IFNA(VLOOKUP(B216,Departments!A:D,4,FALSE),"")</f>
        <v/>
      </c>
    </row>
    <row r="217" spans="1:47" ht="14.45" customHeight="1">
      <c r="A217" s="11" t="str">
        <f t="shared" si="43"/>
        <v>00</v>
      </c>
      <c r="B217" s="11">
        <f>'TRANS EMP EXTRACT - COST CENTRE'!B216</f>
        <v>0</v>
      </c>
      <c r="D217" s="10" t="str">
        <f>IFERROR(VLOOKUP(E217,'TRANS EMP EXTRACT - EMP CATEGOR'!A:C,3,FALSE),"")</f>
        <v/>
      </c>
      <c r="E217" s="11">
        <f>'TRANS EMP EXTRACT - COST CENTRE'!D216</f>
        <v>0</v>
      </c>
      <c r="F217" s="10" t="str">
        <f>IFERROR(VLOOKUP(E217,'TRANS EMP EXTRACT - COST CENTRE'!D:E,2,FALSE),"")</f>
        <v/>
      </c>
      <c r="G217" s="12" t="str">
        <f>IFERROR(INDEX('TRANS EMP EXTRACT - COST CENTRE'!$A$1:$Z$455,MATCH('Summary - Monthly'!$A217,'TRANS EMP EXTRACT - COST CENTRE'!$A:$A,0),MATCH('Summary - Monthly'!G$3,'TRANS EMP EXTRACT - COST CENTRE'!$2:$2,0)),"")</f>
        <v/>
      </c>
      <c r="H217" s="10"/>
      <c r="I217" s="12"/>
      <c r="J217" s="41">
        <f t="shared" ca="1" si="44"/>
        <v>0</v>
      </c>
      <c r="K217" s="41">
        <f t="shared" ca="1" si="48"/>
        <v>0</v>
      </c>
      <c r="AC217" s="8"/>
      <c r="AM217" s="10">
        <f t="shared" si="51"/>
        <v>0</v>
      </c>
      <c r="AN217" s="14">
        <f t="shared" si="45"/>
        <v>0</v>
      </c>
      <c r="AO217" s="18">
        <f t="shared" si="49"/>
        <v>0</v>
      </c>
      <c r="AP217" s="18">
        <f t="shared" si="50"/>
        <v>0</v>
      </c>
      <c r="AQ217" s="10" t="str">
        <f>IFERROR(VLOOKUP(B217,Departments!A:C,3,FALSE),"")</f>
        <v/>
      </c>
      <c r="AR217" s="10" t="str">
        <f>IFERROR(VLOOKUP(B217,Departments!A:B,2,FALSE),"")</f>
        <v/>
      </c>
      <c r="AS217" s="10">
        <f t="shared" si="46"/>
        <v>0</v>
      </c>
      <c r="AT217" s="10">
        <f t="shared" si="47"/>
        <v>0</v>
      </c>
      <c r="AU217" s="10" t="str">
        <f>_xlfn.IFNA(VLOOKUP(B217,Departments!A:D,4,FALSE),"")</f>
        <v/>
      </c>
    </row>
    <row r="218" spans="1:47" ht="14.45" customHeight="1">
      <c r="A218" s="11" t="str">
        <f t="shared" si="43"/>
        <v>00</v>
      </c>
      <c r="B218" s="11">
        <f>'TRANS EMP EXTRACT - COST CENTRE'!B217</f>
        <v>0</v>
      </c>
      <c r="D218" s="10" t="str">
        <f>IFERROR(VLOOKUP(E218,'TRANS EMP EXTRACT - EMP CATEGOR'!A:C,3,FALSE),"")</f>
        <v/>
      </c>
      <c r="E218" s="11">
        <f>'TRANS EMP EXTRACT - COST CENTRE'!D217</f>
        <v>0</v>
      </c>
      <c r="F218" s="10" t="str">
        <f>IFERROR(VLOOKUP(E218,'TRANS EMP EXTRACT - COST CENTRE'!D:E,2,FALSE),"")</f>
        <v/>
      </c>
      <c r="G218" s="12" t="str">
        <f>IFERROR(INDEX('TRANS EMP EXTRACT - COST CENTRE'!$A$1:$Z$455,MATCH('Summary - Monthly'!$A218,'TRANS EMP EXTRACT - COST CENTRE'!$A:$A,0),MATCH('Summary - Monthly'!G$3,'TRANS EMP EXTRACT - COST CENTRE'!$2:$2,0)),"")</f>
        <v/>
      </c>
      <c r="H218" s="10"/>
      <c r="I218" s="12"/>
      <c r="J218" s="41">
        <f t="shared" ca="1" si="44"/>
        <v>0</v>
      </c>
      <c r="K218" s="41">
        <f t="shared" ca="1" si="48"/>
        <v>0</v>
      </c>
      <c r="AC218" s="8"/>
      <c r="AM218" s="10">
        <f t="shared" si="51"/>
        <v>0</v>
      </c>
      <c r="AN218" s="14">
        <f t="shared" si="45"/>
        <v>0</v>
      </c>
      <c r="AO218" s="18">
        <f t="shared" si="49"/>
        <v>0</v>
      </c>
      <c r="AP218" s="18">
        <f t="shared" si="50"/>
        <v>0</v>
      </c>
      <c r="AQ218" s="10" t="str">
        <f>IFERROR(VLOOKUP(B218,Departments!A:C,3,FALSE),"")</f>
        <v/>
      </c>
      <c r="AR218" s="10" t="str">
        <f>IFERROR(VLOOKUP(B218,Departments!A:B,2,FALSE),"")</f>
        <v/>
      </c>
      <c r="AS218" s="10">
        <f t="shared" si="46"/>
        <v>0</v>
      </c>
      <c r="AT218" s="10">
        <f t="shared" si="47"/>
        <v>0</v>
      </c>
      <c r="AU218" s="10" t="str">
        <f>_xlfn.IFNA(VLOOKUP(B218,Departments!A:D,4,FALSE),"")</f>
        <v/>
      </c>
    </row>
    <row r="219" spans="1:47" ht="14.45" customHeight="1">
      <c r="A219" s="11" t="str">
        <f t="shared" si="43"/>
        <v>00</v>
      </c>
      <c r="B219" s="11">
        <f>'TRANS EMP EXTRACT - COST CENTRE'!B218</f>
        <v>0</v>
      </c>
      <c r="D219" s="10" t="str">
        <f>IFERROR(VLOOKUP(E219,'TRANS EMP EXTRACT - EMP CATEGOR'!A:C,3,FALSE),"")</f>
        <v/>
      </c>
      <c r="E219" s="11">
        <f>'TRANS EMP EXTRACT - COST CENTRE'!D218</f>
        <v>0</v>
      </c>
      <c r="F219" s="10" t="str">
        <f>IFERROR(VLOOKUP(E219,'TRANS EMP EXTRACT - COST CENTRE'!D:E,2,FALSE),"")</f>
        <v/>
      </c>
      <c r="G219" s="12" t="str">
        <f>IFERROR(INDEX('TRANS EMP EXTRACT - COST CENTRE'!$A$1:$Z$455,MATCH('Summary - Monthly'!$A219,'TRANS EMP EXTRACT - COST CENTRE'!$A:$A,0),MATCH('Summary - Monthly'!G$3,'TRANS EMP EXTRACT - COST CENTRE'!$2:$2,0)),"")</f>
        <v/>
      </c>
      <c r="H219" s="10"/>
      <c r="I219" s="12"/>
      <c r="J219" s="41">
        <f t="shared" ca="1" si="44"/>
        <v>0</v>
      </c>
      <c r="K219" s="41">
        <f t="shared" ca="1" si="48"/>
        <v>0</v>
      </c>
      <c r="AC219" s="8"/>
      <c r="AM219" s="10">
        <f t="shared" si="51"/>
        <v>0</v>
      </c>
      <c r="AN219" s="14">
        <f t="shared" si="45"/>
        <v>0</v>
      </c>
      <c r="AO219" s="18">
        <f t="shared" si="49"/>
        <v>0</v>
      </c>
      <c r="AP219" s="18">
        <f t="shared" si="50"/>
        <v>0</v>
      </c>
      <c r="AQ219" s="10" t="str">
        <f>IFERROR(VLOOKUP(B219,Departments!A:C,3,FALSE),"")</f>
        <v/>
      </c>
      <c r="AR219" s="10" t="str">
        <f>IFERROR(VLOOKUP(B219,Departments!A:B,2,FALSE),"")</f>
        <v/>
      </c>
      <c r="AS219" s="10">
        <f t="shared" si="46"/>
        <v>0</v>
      </c>
      <c r="AT219" s="10">
        <f t="shared" si="47"/>
        <v>0</v>
      </c>
      <c r="AU219" s="10" t="str">
        <f>_xlfn.IFNA(VLOOKUP(B219,Departments!A:D,4,FALSE),"")</f>
        <v/>
      </c>
    </row>
    <row r="220" spans="1:47" ht="14.45" customHeight="1">
      <c r="A220" s="11" t="str">
        <f t="shared" si="43"/>
        <v>00</v>
      </c>
      <c r="B220" s="11">
        <f>'TRANS EMP EXTRACT - COST CENTRE'!B219</f>
        <v>0</v>
      </c>
      <c r="D220" s="10" t="str">
        <f>IFERROR(VLOOKUP(E220,'TRANS EMP EXTRACT - EMP CATEGOR'!A:C,3,FALSE),"")</f>
        <v/>
      </c>
      <c r="E220" s="11">
        <f>'TRANS EMP EXTRACT - COST CENTRE'!D219</f>
        <v>0</v>
      </c>
      <c r="F220" s="10" t="str">
        <f>IFERROR(VLOOKUP(E220,'TRANS EMP EXTRACT - COST CENTRE'!D:E,2,FALSE),"")</f>
        <v/>
      </c>
      <c r="G220" s="12" t="str">
        <f>IFERROR(INDEX('TRANS EMP EXTRACT - COST CENTRE'!$A$1:$Z$455,MATCH('Summary - Monthly'!$A220,'TRANS EMP EXTRACT - COST CENTRE'!$A:$A,0),MATCH('Summary - Monthly'!G$3,'TRANS EMP EXTRACT - COST CENTRE'!$2:$2,0)),"")</f>
        <v/>
      </c>
      <c r="H220" s="10"/>
      <c r="I220" s="12"/>
      <c r="J220" s="41">
        <f t="shared" ca="1" si="44"/>
        <v>0</v>
      </c>
      <c r="K220" s="41">
        <f t="shared" ca="1" si="48"/>
        <v>0</v>
      </c>
      <c r="AC220" s="8"/>
      <c r="AM220" s="10">
        <f t="shared" si="51"/>
        <v>0</v>
      </c>
      <c r="AN220" s="14">
        <f t="shared" si="45"/>
        <v>0</v>
      </c>
      <c r="AO220" s="18">
        <f t="shared" si="49"/>
        <v>0</v>
      </c>
      <c r="AP220" s="18">
        <f t="shared" si="50"/>
        <v>0</v>
      </c>
      <c r="AQ220" s="10" t="str">
        <f>IFERROR(VLOOKUP(B220,Departments!A:C,3,FALSE),"")</f>
        <v/>
      </c>
      <c r="AR220" s="10" t="str">
        <f>IFERROR(VLOOKUP(B220,Departments!A:B,2,FALSE),"")</f>
        <v/>
      </c>
      <c r="AS220" s="10">
        <f t="shared" si="46"/>
        <v>0</v>
      </c>
      <c r="AT220" s="10">
        <f t="shared" si="47"/>
        <v>0</v>
      </c>
      <c r="AU220" s="10" t="str">
        <f>_xlfn.IFNA(VLOOKUP(B220,Departments!A:D,4,FALSE),"")</f>
        <v/>
      </c>
    </row>
    <row r="221" spans="1:47" ht="14.45" customHeight="1">
      <c r="A221" s="11" t="str">
        <f t="shared" si="43"/>
        <v>00</v>
      </c>
      <c r="B221" s="11">
        <f>'TRANS EMP EXTRACT - COST CENTRE'!B220</f>
        <v>0</v>
      </c>
      <c r="D221" s="10" t="str">
        <f>IFERROR(VLOOKUP(E221,'TRANS EMP EXTRACT - EMP CATEGOR'!A:C,3,FALSE),"")</f>
        <v/>
      </c>
      <c r="E221" s="11">
        <f>'TRANS EMP EXTRACT - COST CENTRE'!D220</f>
        <v>0</v>
      </c>
      <c r="F221" s="10" t="str">
        <f>IFERROR(VLOOKUP(E221,'TRANS EMP EXTRACT - COST CENTRE'!D:E,2,FALSE),"")</f>
        <v/>
      </c>
      <c r="G221" s="12" t="str">
        <f>IFERROR(INDEX('TRANS EMP EXTRACT - COST CENTRE'!$A$1:$Z$455,MATCH('Summary - Monthly'!$A221,'TRANS EMP EXTRACT - COST CENTRE'!$A:$A,0),MATCH('Summary - Monthly'!G$3,'TRANS EMP EXTRACT - COST CENTRE'!$2:$2,0)),"")</f>
        <v/>
      </c>
      <c r="H221" s="10"/>
      <c r="I221" s="12"/>
      <c r="J221" s="41">
        <f t="shared" ca="1" si="44"/>
        <v>0</v>
      </c>
      <c r="K221" s="41">
        <f t="shared" ca="1" si="48"/>
        <v>0</v>
      </c>
      <c r="AC221" s="8"/>
      <c r="AM221" s="10">
        <f t="shared" si="51"/>
        <v>0</v>
      </c>
      <c r="AN221" s="14">
        <f t="shared" si="45"/>
        <v>0</v>
      </c>
      <c r="AO221" s="18">
        <f t="shared" si="49"/>
        <v>0</v>
      </c>
      <c r="AP221" s="18">
        <f t="shared" si="50"/>
        <v>0</v>
      </c>
      <c r="AQ221" s="10" t="str">
        <f>IFERROR(VLOOKUP(B221,Departments!A:C,3,FALSE),"")</f>
        <v/>
      </c>
      <c r="AR221" s="10" t="str">
        <f>IFERROR(VLOOKUP(B221,Departments!A:B,2,FALSE),"")</f>
        <v/>
      </c>
      <c r="AS221" s="10">
        <f t="shared" si="46"/>
        <v>0</v>
      </c>
      <c r="AT221" s="10">
        <f t="shared" si="47"/>
        <v>0</v>
      </c>
      <c r="AU221" s="10" t="str">
        <f>_xlfn.IFNA(VLOOKUP(B221,Departments!A:D,4,FALSE),"")</f>
        <v/>
      </c>
    </row>
    <row r="222" spans="1:47" ht="14.45" customHeight="1">
      <c r="A222" s="11" t="str">
        <f t="shared" si="43"/>
        <v>00</v>
      </c>
      <c r="B222" s="11">
        <f>'TRANS EMP EXTRACT - COST CENTRE'!B221</f>
        <v>0</v>
      </c>
      <c r="D222" s="10" t="str">
        <f>IFERROR(VLOOKUP(E222,'TRANS EMP EXTRACT - EMP CATEGOR'!A:C,3,FALSE),"")</f>
        <v/>
      </c>
      <c r="E222" s="11">
        <f>'TRANS EMP EXTRACT - COST CENTRE'!D221</f>
        <v>0</v>
      </c>
      <c r="F222" s="10" t="str">
        <f>IFERROR(VLOOKUP(E222,'TRANS EMP EXTRACT - COST CENTRE'!D:E,2,FALSE),"")</f>
        <v/>
      </c>
      <c r="G222" s="12" t="str">
        <f>IFERROR(INDEX('TRANS EMP EXTRACT - COST CENTRE'!$A$1:$Z$455,MATCH('Summary - Monthly'!$A222,'TRANS EMP EXTRACT - COST CENTRE'!$A:$A,0),MATCH('Summary - Monthly'!G$3,'TRANS EMP EXTRACT - COST CENTRE'!$2:$2,0)),"")</f>
        <v/>
      </c>
      <c r="H222" s="10"/>
      <c r="I222" s="12"/>
      <c r="J222" s="41">
        <f t="shared" ca="1" si="44"/>
        <v>0</v>
      </c>
      <c r="K222" s="41">
        <f t="shared" ca="1" si="48"/>
        <v>0</v>
      </c>
      <c r="AC222" s="8"/>
      <c r="AM222" s="10">
        <f t="shared" si="51"/>
        <v>0</v>
      </c>
      <c r="AN222" s="14">
        <f t="shared" si="45"/>
        <v>0</v>
      </c>
      <c r="AO222" s="18">
        <f t="shared" si="49"/>
        <v>0</v>
      </c>
      <c r="AP222" s="18">
        <f t="shared" si="50"/>
        <v>0</v>
      </c>
      <c r="AQ222" s="10" t="str">
        <f>IFERROR(VLOOKUP(B222,Departments!A:C,3,FALSE),"")</f>
        <v/>
      </c>
      <c r="AR222" s="10" t="str">
        <f>IFERROR(VLOOKUP(B222,Departments!A:B,2,FALSE),"")</f>
        <v/>
      </c>
      <c r="AS222" s="10">
        <f t="shared" si="46"/>
        <v>0</v>
      </c>
      <c r="AT222" s="10">
        <f t="shared" si="47"/>
        <v>0</v>
      </c>
      <c r="AU222" s="10" t="str">
        <f>_xlfn.IFNA(VLOOKUP(B222,Departments!A:D,4,FALSE),"")</f>
        <v/>
      </c>
    </row>
    <row r="223" spans="1:47" ht="14.45" customHeight="1">
      <c r="A223" s="11" t="str">
        <f t="shared" si="43"/>
        <v>00</v>
      </c>
      <c r="B223" s="11">
        <f>'TRANS EMP EXTRACT - COST CENTRE'!B222</f>
        <v>0</v>
      </c>
      <c r="D223" s="10" t="str">
        <f>IFERROR(VLOOKUP(E223,'TRANS EMP EXTRACT - EMP CATEGOR'!A:C,3,FALSE),"")</f>
        <v/>
      </c>
      <c r="E223" s="11">
        <f>'TRANS EMP EXTRACT - COST CENTRE'!D222</f>
        <v>0</v>
      </c>
      <c r="F223" s="10" t="str">
        <f>IFERROR(VLOOKUP(E223,'TRANS EMP EXTRACT - COST CENTRE'!D:E,2,FALSE),"")</f>
        <v/>
      </c>
      <c r="G223" s="12" t="str">
        <f>IFERROR(INDEX('TRANS EMP EXTRACT - COST CENTRE'!$A$1:$Z$455,MATCH('Summary - Monthly'!$A223,'TRANS EMP EXTRACT - COST CENTRE'!$A:$A,0),MATCH('Summary - Monthly'!G$3,'TRANS EMP EXTRACT - COST CENTRE'!$2:$2,0)),"")</f>
        <v/>
      </c>
      <c r="H223" s="10"/>
      <c r="I223" s="12"/>
      <c r="J223" s="41">
        <f t="shared" ca="1" si="44"/>
        <v>0</v>
      </c>
      <c r="K223" s="41">
        <f t="shared" ca="1" si="48"/>
        <v>0</v>
      </c>
      <c r="AC223" s="8"/>
      <c r="AM223" s="10">
        <f t="shared" si="51"/>
        <v>0</v>
      </c>
      <c r="AN223" s="14">
        <f t="shared" si="45"/>
        <v>0</v>
      </c>
      <c r="AO223" s="18">
        <f t="shared" si="49"/>
        <v>0</v>
      </c>
      <c r="AP223" s="18">
        <f t="shared" si="50"/>
        <v>0</v>
      </c>
      <c r="AQ223" s="10" t="str">
        <f>IFERROR(VLOOKUP(B223,Departments!A:C,3,FALSE),"")</f>
        <v/>
      </c>
      <c r="AR223" s="10" t="str">
        <f>IFERROR(VLOOKUP(B223,Departments!A:B,2,FALSE),"")</f>
        <v/>
      </c>
      <c r="AS223" s="10">
        <f t="shared" si="46"/>
        <v>0</v>
      </c>
      <c r="AT223" s="10">
        <f t="shared" si="47"/>
        <v>0</v>
      </c>
      <c r="AU223" s="10" t="str">
        <f>_xlfn.IFNA(VLOOKUP(B223,Departments!A:D,4,FALSE),"")</f>
        <v/>
      </c>
    </row>
    <row r="224" spans="1:47" ht="14.45" customHeight="1">
      <c r="A224" s="11" t="str">
        <f t="shared" si="43"/>
        <v>00</v>
      </c>
      <c r="B224" s="11">
        <f>'TRANS EMP EXTRACT - COST CENTRE'!B223</f>
        <v>0</v>
      </c>
      <c r="D224" s="10" t="str">
        <f>IFERROR(VLOOKUP(E224,'TRANS EMP EXTRACT - EMP CATEGOR'!A:C,3,FALSE),"")</f>
        <v/>
      </c>
      <c r="E224" s="11">
        <f>'TRANS EMP EXTRACT - COST CENTRE'!D223</f>
        <v>0</v>
      </c>
      <c r="F224" s="10" t="str">
        <f>IFERROR(VLOOKUP(E224,'TRANS EMP EXTRACT - COST CENTRE'!D:E,2,FALSE),"")</f>
        <v/>
      </c>
      <c r="G224" s="12" t="str">
        <f>IFERROR(INDEX('TRANS EMP EXTRACT - COST CENTRE'!$A$1:$Z$455,MATCH('Summary - Monthly'!$A224,'TRANS EMP EXTRACT - COST CENTRE'!$A:$A,0),MATCH('Summary - Monthly'!G$3,'TRANS EMP EXTRACT - COST CENTRE'!$2:$2,0)),"")</f>
        <v/>
      </c>
      <c r="H224" s="10"/>
      <c r="I224" s="12"/>
      <c r="J224" s="41">
        <f t="shared" ca="1" si="44"/>
        <v>0</v>
      </c>
      <c r="K224" s="41">
        <f t="shared" ca="1" si="48"/>
        <v>0</v>
      </c>
      <c r="AC224" s="8"/>
      <c r="AM224" s="10">
        <f t="shared" si="51"/>
        <v>0</v>
      </c>
      <c r="AN224" s="14">
        <f t="shared" si="45"/>
        <v>0</v>
      </c>
      <c r="AO224" s="18">
        <f t="shared" si="49"/>
        <v>0</v>
      </c>
      <c r="AP224" s="18">
        <f t="shared" si="50"/>
        <v>0</v>
      </c>
      <c r="AQ224" s="10" t="str">
        <f>IFERROR(VLOOKUP(B224,Departments!A:C,3,FALSE),"")</f>
        <v/>
      </c>
      <c r="AR224" s="10" t="str">
        <f>IFERROR(VLOOKUP(B224,Departments!A:B,2,FALSE),"")</f>
        <v/>
      </c>
      <c r="AS224" s="10">
        <f t="shared" si="46"/>
        <v>0</v>
      </c>
      <c r="AT224" s="10">
        <f t="shared" si="47"/>
        <v>0</v>
      </c>
      <c r="AU224" s="10" t="str">
        <f>_xlfn.IFNA(VLOOKUP(B224,Departments!A:D,4,FALSE),"")</f>
        <v/>
      </c>
    </row>
    <row r="225" spans="1:47" ht="14.45" customHeight="1">
      <c r="A225" s="11" t="str">
        <f t="shared" si="43"/>
        <v>00</v>
      </c>
      <c r="B225" s="11">
        <f>'TRANS EMP EXTRACT - COST CENTRE'!B224</f>
        <v>0</v>
      </c>
      <c r="D225" s="10" t="str">
        <f>IFERROR(VLOOKUP(E225,'TRANS EMP EXTRACT - EMP CATEGOR'!A:C,3,FALSE),"")</f>
        <v/>
      </c>
      <c r="E225" s="11">
        <f>'TRANS EMP EXTRACT - COST CENTRE'!D224</f>
        <v>0</v>
      </c>
      <c r="F225" s="10" t="str">
        <f>IFERROR(VLOOKUP(E225,'TRANS EMP EXTRACT - COST CENTRE'!D:E,2,FALSE),"")</f>
        <v/>
      </c>
      <c r="G225" s="12" t="str">
        <f>IFERROR(INDEX('TRANS EMP EXTRACT - COST CENTRE'!$A$1:$Z$455,MATCH('Summary - Monthly'!$A225,'TRANS EMP EXTRACT - COST CENTRE'!$A:$A,0),MATCH('Summary - Monthly'!G$3,'TRANS EMP EXTRACT - COST CENTRE'!$2:$2,0)),"")</f>
        <v/>
      </c>
      <c r="H225" s="10"/>
      <c r="I225" s="12"/>
      <c r="J225" s="41">
        <f t="shared" ca="1" si="44"/>
        <v>0</v>
      </c>
      <c r="K225" s="41">
        <f t="shared" ca="1" si="48"/>
        <v>0</v>
      </c>
      <c r="AC225" s="8"/>
      <c r="AM225" s="10">
        <f t="shared" si="51"/>
        <v>0</v>
      </c>
      <c r="AN225" s="14">
        <f t="shared" si="45"/>
        <v>0</v>
      </c>
      <c r="AO225" s="18">
        <f t="shared" si="49"/>
        <v>0</v>
      </c>
      <c r="AP225" s="18">
        <f t="shared" si="50"/>
        <v>0</v>
      </c>
      <c r="AQ225" s="10" t="str">
        <f>IFERROR(VLOOKUP(B225,Departments!A:C,3,FALSE),"")</f>
        <v/>
      </c>
      <c r="AR225" s="10" t="str">
        <f>IFERROR(VLOOKUP(B225,Departments!A:B,2,FALSE),"")</f>
        <v/>
      </c>
      <c r="AS225" s="10">
        <f t="shared" si="46"/>
        <v>0</v>
      </c>
      <c r="AT225" s="10">
        <f t="shared" si="47"/>
        <v>0</v>
      </c>
      <c r="AU225" s="10" t="str">
        <f>_xlfn.IFNA(VLOOKUP(B225,Departments!A:D,4,FALSE),"")</f>
        <v/>
      </c>
    </row>
    <row r="226" spans="1:47" ht="14.45" customHeight="1">
      <c r="A226" s="11" t="str">
        <f t="shared" si="43"/>
        <v>00</v>
      </c>
      <c r="B226" s="11">
        <f>'TRANS EMP EXTRACT - COST CENTRE'!B225</f>
        <v>0</v>
      </c>
      <c r="D226" s="10" t="str">
        <f>IFERROR(VLOOKUP(E226,'TRANS EMP EXTRACT - EMP CATEGOR'!A:C,3,FALSE),"")</f>
        <v/>
      </c>
      <c r="E226" s="11">
        <f>'TRANS EMP EXTRACT - COST CENTRE'!D225</f>
        <v>0</v>
      </c>
      <c r="F226" s="10" t="str">
        <f>IFERROR(VLOOKUP(E226,'TRANS EMP EXTRACT - COST CENTRE'!D:E,2,FALSE),"")</f>
        <v/>
      </c>
      <c r="G226" s="12" t="str">
        <f>IFERROR(INDEX('TRANS EMP EXTRACT - COST CENTRE'!$A$1:$Z$455,MATCH('Summary - Monthly'!$A226,'TRANS EMP EXTRACT - COST CENTRE'!$A:$A,0),MATCH('Summary - Monthly'!G$3,'TRANS EMP EXTRACT - COST CENTRE'!$2:$2,0)),"")</f>
        <v/>
      </c>
      <c r="H226" s="10"/>
      <c r="I226" s="12"/>
      <c r="J226" s="41">
        <f t="shared" ca="1" si="44"/>
        <v>0</v>
      </c>
      <c r="K226" s="41">
        <f t="shared" ca="1" si="48"/>
        <v>0</v>
      </c>
      <c r="AC226" s="8"/>
      <c r="AM226" s="10">
        <f t="shared" si="51"/>
        <v>0</v>
      </c>
      <c r="AN226" s="14">
        <f t="shared" si="45"/>
        <v>0</v>
      </c>
      <c r="AO226" s="18">
        <f t="shared" si="49"/>
        <v>0</v>
      </c>
      <c r="AP226" s="18">
        <f t="shared" si="50"/>
        <v>0</v>
      </c>
      <c r="AQ226" s="10" t="str">
        <f>IFERROR(VLOOKUP(B226,Departments!A:C,3,FALSE),"")</f>
        <v/>
      </c>
      <c r="AR226" s="10" t="str">
        <f>IFERROR(VLOOKUP(B226,Departments!A:B,2,FALSE),"")</f>
        <v/>
      </c>
      <c r="AS226" s="10">
        <f t="shared" si="46"/>
        <v>0</v>
      </c>
      <c r="AT226" s="10">
        <f t="shared" si="47"/>
        <v>0</v>
      </c>
      <c r="AU226" s="10" t="str">
        <f>_xlfn.IFNA(VLOOKUP(B226,Departments!A:D,4,FALSE),"")</f>
        <v/>
      </c>
    </row>
    <row r="227" spans="1:47" ht="14.45" customHeight="1">
      <c r="A227" s="11" t="str">
        <f t="shared" si="43"/>
        <v>00</v>
      </c>
      <c r="B227" s="11">
        <f>'TRANS EMP EXTRACT - COST CENTRE'!B226</f>
        <v>0</v>
      </c>
      <c r="D227" s="10" t="str">
        <f>IFERROR(VLOOKUP(E227,'TRANS EMP EXTRACT - EMP CATEGOR'!A:C,3,FALSE),"")</f>
        <v/>
      </c>
      <c r="E227" s="11">
        <f>'TRANS EMP EXTRACT - COST CENTRE'!D226</f>
        <v>0</v>
      </c>
      <c r="F227" s="10" t="str">
        <f>IFERROR(VLOOKUP(E227,'TRANS EMP EXTRACT - COST CENTRE'!D:E,2,FALSE),"")</f>
        <v/>
      </c>
      <c r="G227" s="12" t="str">
        <f>IFERROR(INDEX('TRANS EMP EXTRACT - COST CENTRE'!$A$1:$Z$455,MATCH('Summary - Monthly'!$A227,'TRANS EMP EXTRACT - COST CENTRE'!$A:$A,0),MATCH('Summary - Monthly'!G$3,'TRANS EMP EXTRACT - COST CENTRE'!$2:$2,0)),"")</f>
        <v/>
      </c>
      <c r="H227" s="10"/>
      <c r="I227" s="12"/>
      <c r="J227" s="41">
        <f t="shared" ca="1" si="44"/>
        <v>0</v>
      </c>
      <c r="K227" s="41">
        <f t="shared" ca="1" si="48"/>
        <v>0</v>
      </c>
      <c r="AC227" s="8"/>
      <c r="AM227" s="10">
        <f t="shared" si="51"/>
        <v>0</v>
      </c>
      <c r="AN227" s="14">
        <f t="shared" si="45"/>
        <v>0</v>
      </c>
      <c r="AO227" s="18">
        <f t="shared" si="49"/>
        <v>0</v>
      </c>
      <c r="AP227" s="18">
        <f t="shared" si="50"/>
        <v>0</v>
      </c>
      <c r="AQ227" s="10" t="str">
        <f>IFERROR(VLOOKUP(B227,Departments!A:C,3,FALSE),"")</f>
        <v/>
      </c>
      <c r="AR227" s="10" t="str">
        <f>IFERROR(VLOOKUP(B227,Departments!A:B,2,FALSE),"")</f>
        <v/>
      </c>
      <c r="AS227" s="10">
        <f t="shared" si="46"/>
        <v>0</v>
      </c>
      <c r="AT227" s="10">
        <f t="shared" si="47"/>
        <v>0</v>
      </c>
      <c r="AU227" s="10" t="str">
        <f>_xlfn.IFNA(VLOOKUP(B227,Departments!A:D,4,FALSE),"")</f>
        <v/>
      </c>
    </row>
    <row r="228" spans="1:47" ht="14.45" customHeight="1">
      <c r="A228" s="11" t="str">
        <f t="shared" si="43"/>
        <v>00</v>
      </c>
      <c r="B228" s="11">
        <f>'TRANS EMP EXTRACT - COST CENTRE'!B227</f>
        <v>0</v>
      </c>
      <c r="D228" s="10" t="str">
        <f>IFERROR(VLOOKUP(E228,'TRANS EMP EXTRACT - EMP CATEGOR'!A:C,3,FALSE),"")</f>
        <v/>
      </c>
      <c r="E228" s="11">
        <f>'TRANS EMP EXTRACT - COST CENTRE'!D227</f>
        <v>0</v>
      </c>
      <c r="F228" s="10" t="str">
        <f>IFERROR(VLOOKUP(E228,'TRANS EMP EXTRACT - COST CENTRE'!D:E,2,FALSE),"")</f>
        <v/>
      </c>
      <c r="G228" s="12" t="str">
        <f>IFERROR(INDEX('TRANS EMP EXTRACT - COST CENTRE'!$A$1:$Z$455,MATCH('Summary - Monthly'!$A228,'TRANS EMP EXTRACT - COST CENTRE'!$A:$A,0),MATCH('Summary - Monthly'!G$3,'TRANS EMP EXTRACT - COST CENTRE'!$2:$2,0)),"")</f>
        <v/>
      </c>
      <c r="H228" s="10"/>
      <c r="I228" s="12"/>
      <c r="J228" s="41">
        <f t="shared" ca="1" si="44"/>
        <v>0</v>
      </c>
      <c r="K228" s="41">
        <f t="shared" ca="1" si="48"/>
        <v>0</v>
      </c>
      <c r="AC228" s="8"/>
      <c r="AM228" s="10">
        <f t="shared" si="51"/>
        <v>0</v>
      </c>
      <c r="AN228" s="14">
        <f t="shared" si="45"/>
        <v>0</v>
      </c>
      <c r="AO228" s="18">
        <f t="shared" si="49"/>
        <v>0</v>
      </c>
      <c r="AP228" s="18">
        <f t="shared" si="50"/>
        <v>0</v>
      </c>
      <c r="AQ228" s="10" t="str">
        <f>IFERROR(VLOOKUP(B228,Departments!A:C,3,FALSE),"")</f>
        <v/>
      </c>
      <c r="AR228" s="10" t="str">
        <f>IFERROR(VLOOKUP(B228,Departments!A:B,2,FALSE),"")</f>
        <v/>
      </c>
      <c r="AS228" s="10">
        <f t="shared" si="46"/>
        <v>0</v>
      </c>
      <c r="AT228" s="10">
        <f t="shared" si="47"/>
        <v>0</v>
      </c>
      <c r="AU228" s="10" t="str">
        <f>_xlfn.IFNA(VLOOKUP(B228,Departments!A:D,4,FALSE),"")</f>
        <v/>
      </c>
    </row>
    <row r="229" spans="1:47" ht="14.45" customHeight="1">
      <c r="A229" s="11" t="str">
        <f t="shared" si="43"/>
        <v>00</v>
      </c>
      <c r="B229" s="11">
        <f>'TRANS EMP EXTRACT - COST CENTRE'!B228</f>
        <v>0</v>
      </c>
      <c r="D229" s="10" t="str">
        <f>IFERROR(VLOOKUP(E229,'TRANS EMP EXTRACT - EMP CATEGOR'!A:C,3,FALSE),"")</f>
        <v/>
      </c>
      <c r="E229" s="11">
        <f>'TRANS EMP EXTRACT - COST CENTRE'!D228</f>
        <v>0</v>
      </c>
      <c r="F229" s="10" t="str">
        <f>IFERROR(VLOOKUP(E229,'TRANS EMP EXTRACT - COST CENTRE'!D:E,2,FALSE),"")</f>
        <v/>
      </c>
      <c r="G229" s="12" t="str">
        <f>IFERROR(INDEX('TRANS EMP EXTRACT - COST CENTRE'!$A$1:$Z$455,MATCH('Summary - Monthly'!$A229,'TRANS EMP EXTRACT - COST CENTRE'!$A:$A,0),MATCH('Summary - Monthly'!G$3,'TRANS EMP EXTRACT - COST CENTRE'!$2:$2,0)),"")</f>
        <v/>
      </c>
      <c r="H229" s="10"/>
      <c r="I229" s="12"/>
      <c r="J229" s="41">
        <f t="shared" ca="1" si="44"/>
        <v>0</v>
      </c>
      <c r="K229" s="41">
        <f t="shared" ca="1" si="48"/>
        <v>0</v>
      </c>
      <c r="AC229" s="8"/>
      <c r="AM229" s="10">
        <f t="shared" si="51"/>
        <v>0</v>
      </c>
      <c r="AN229" s="14">
        <f t="shared" si="45"/>
        <v>0</v>
      </c>
      <c r="AO229" s="18">
        <f t="shared" si="49"/>
        <v>0</v>
      </c>
      <c r="AP229" s="18">
        <f t="shared" si="50"/>
        <v>0</v>
      </c>
      <c r="AQ229" s="10" t="str">
        <f>IFERROR(VLOOKUP(B229,Departments!A:C,3,FALSE),"")</f>
        <v/>
      </c>
      <c r="AR229" s="10" t="str">
        <f>IFERROR(VLOOKUP(B229,Departments!A:B,2,FALSE),"")</f>
        <v/>
      </c>
      <c r="AS229" s="10">
        <f t="shared" si="46"/>
        <v>0</v>
      </c>
      <c r="AT229" s="10">
        <f t="shared" si="47"/>
        <v>0</v>
      </c>
      <c r="AU229" s="10" t="str">
        <f>_xlfn.IFNA(VLOOKUP(B229,Departments!A:D,4,FALSE),"")</f>
        <v/>
      </c>
    </row>
    <row r="230" spans="1:47" ht="14.45" customHeight="1">
      <c r="A230" s="11" t="str">
        <f t="shared" si="43"/>
        <v>00</v>
      </c>
      <c r="B230" s="11">
        <f>'TRANS EMP EXTRACT - COST CENTRE'!B229</f>
        <v>0</v>
      </c>
      <c r="D230" s="10" t="str">
        <f>IFERROR(VLOOKUP(E230,'TRANS EMP EXTRACT - EMP CATEGOR'!A:C,3,FALSE),"")</f>
        <v/>
      </c>
      <c r="E230" s="11">
        <f>'TRANS EMP EXTRACT - COST CENTRE'!D229</f>
        <v>0</v>
      </c>
      <c r="F230" s="10" t="str">
        <f>IFERROR(VLOOKUP(E230,'TRANS EMP EXTRACT - COST CENTRE'!D:E,2,FALSE),"")</f>
        <v/>
      </c>
      <c r="G230" s="12" t="str">
        <f>IFERROR(INDEX('TRANS EMP EXTRACT - COST CENTRE'!$A$1:$Z$455,MATCH('Summary - Monthly'!$A230,'TRANS EMP EXTRACT - COST CENTRE'!$A:$A,0),MATCH('Summary - Monthly'!G$3,'TRANS EMP EXTRACT - COST CENTRE'!$2:$2,0)),"")</f>
        <v/>
      </c>
      <c r="H230" s="10"/>
      <c r="I230" s="12"/>
      <c r="J230" s="41">
        <f t="shared" ca="1" si="44"/>
        <v>0</v>
      </c>
      <c r="K230" s="41">
        <f t="shared" ca="1" si="48"/>
        <v>0</v>
      </c>
      <c r="AC230" s="8"/>
      <c r="AM230" s="10">
        <f t="shared" si="51"/>
        <v>0</v>
      </c>
      <c r="AN230" s="14">
        <f t="shared" si="45"/>
        <v>0</v>
      </c>
      <c r="AO230" s="18">
        <f t="shared" si="49"/>
        <v>0</v>
      </c>
      <c r="AP230" s="18">
        <f t="shared" si="50"/>
        <v>0</v>
      </c>
      <c r="AQ230" s="10" t="str">
        <f>IFERROR(VLOOKUP(B230,Departments!A:C,3,FALSE),"")</f>
        <v/>
      </c>
      <c r="AR230" s="10" t="str">
        <f>IFERROR(VLOOKUP(B230,Departments!A:B,2,FALSE),"")</f>
        <v/>
      </c>
      <c r="AS230" s="10">
        <f t="shared" si="46"/>
        <v>0</v>
      </c>
      <c r="AT230" s="10">
        <f t="shared" si="47"/>
        <v>0</v>
      </c>
      <c r="AU230" s="10" t="str">
        <f>_xlfn.IFNA(VLOOKUP(B230,Departments!A:D,4,FALSE),"")</f>
        <v/>
      </c>
    </row>
    <row r="231" spans="1:47" ht="14.45" customHeight="1">
      <c r="A231" s="11" t="str">
        <f t="shared" si="43"/>
        <v>00</v>
      </c>
      <c r="B231" s="11">
        <f>'TRANS EMP EXTRACT - COST CENTRE'!B230</f>
        <v>0</v>
      </c>
      <c r="D231" s="10" t="str">
        <f>IFERROR(VLOOKUP(E231,'TRANS EMP EXTRACT - EMP CATEGOR'!A:C,3,FALSE),"")</f>
        <v/>
      </c>
      <c r="E231" s="11">
        <f>'TRANS EMP EXTRACT - COST CENTRE'!D230</f>
        <v>0</v>
      </c>
      <c r="F231" s="10" t="str">
        <f>IFERROR(VLOOKUP(E231,'TRANS EMP EXTRACT - COST CENTRE'!D:E,2,FALSE),"")</f>
        <v/>
      </c>
      <c r="G231" s="12" t="str">
        <f>IFERROR(INDEX('TRANS EMP EXTRACT - COST CENTRE'!$A$1:$Z$455,MATCH('Summary - Monthly'!$A231,'TRANS EMP EXTRACT - COST CENTRE'!$A:$A,0),MATCH('Summary - Monthly'!G$3,'TRANS EMP EXTRACT - COST CENTRE'!$2:$2,0)),"")</f>
        <v/>
      </c>
      <c r="H231" s="10"/>
      <c r="I231" s="12"/>
      <c r="J231" s="41">
        <f t="shared" ca="1" si="44"/>
        <v>0</v>
      </c>
      <c r="K231" s="41">
        <f t="shared" ca="1" si="48"/>
        <v>0</v>
      </c>
      <c r="AC231" s="8"/>
      <c r="AM231" s="10">
        <f t="shared" si="51"/>
        <v>0</v>
      </c>
      <c r="AN231" s="14">
        <f t="shared" si="45"/>
        <v>0</v>
      </c>
      <c r="AO231" s="18">
        <f t="shared" si="49"/>
        <v>0</v>
      </c>
      <c r="AP231" s="18">
        <f t="shared" si="50"/>
        <v>0</v>
      </c>
      <c r="AQ231" s="10" t="str">
        <f>IFERROR(VLOOKUP(B231,Departments!A:C,3,FALSE),"")</f>
        <v/>
      </c>
      <c r="AR231" s="10" t="str">
        <f>IFERROR(VLOOKUP(B231,Departments!A:B,2,FALSE),"")</f>
        <v/>
      </c>
      <c r="AS231" s="10">
        <f t="shared" si="46"/>
        <v>0</v>
      </c>
      <c r="AT231" s="10">
        <f t="shared" si="47"/>
        <v>0</v>
      </c>
      <c r="AU231" s="10" t="str">
        <f>_xlfn.IFNA(VLOOKUP(B231,Departments!A:D,4,FALSE),"")</f>
        <v/>
      </c>
    </row>
    <row r="232" spans="1:47" ht="14.45" customHeight="1">
      <c r="A232" s="11" t="str">
        <f t="shared" si="43"/>
        <v>00</v>
      </c>
      <c r="B232" s="11">
        <f>'TRANS EMP EXTRACT - COST CENTRE'!B231</f>
        <v>0</v>
      </c>
      <c r="D232" s="10" t="str">
        <f>IFERROR(VLOOKUP(E232,'TRANS EMP EXTRACT - EMP CATEGOR'!A:C,3,FALSE),"")</f>
        <v/>
      </c>
      <c r="E232" s="11">
        <f>'TRANS EMP EXTRACT - COST CENTRE'!D231</f>
        <v>0</v>
      </c>
      <c r="F232" s="10" t="str">
        <f>IFERROR(VLOOKUP(E232,'TRANS EMP EXTRACT - COST CENTRE'!D:E,2,FALSE),"")</f>
        <v/>
      </c>
      <c r="G232" s="12" t="str">
        <f>IFERROR(INDEX('TRANS EMP EXTRACT - COST CENTRE'!$A$1:$Z$455,MATCH('Summary - Monthly'!$A232,'TRANS EMP EXTRACT - COST CENTRE'!$A:$A,0),MATCH('Summary - Monthly'!G$3,'TRANS EMP EXTRACT - COST CENTRE'!$2:$2,0)),"")</f>
        <v/>
      </c>
      <c r="H232" s="10"/>
      <c r="I232" s="12"/>
      <c r="J232" s="41">
        <f t="shared" ca="1" si="44"/>
        <v>0</v>
      </c>
      <c r="K232" s="41">
        <f t="shared" ca="1" si="48"/>
        <v>0</v>
      </c>
      <c r="AC232" s="8"/>
      <c r="AM232" s="10">
        <f t="shared" si="51"/>
        <v>0</v>
      </c>
      <c r="AN232" s="14">
        <f t="shared" si="45"/>
        <v>0</v>
      </c>
      <c r="AO232" s="18">
        <f t="shared" si="49"/>
        <v>0</v>
      </c>
      <c r="AP232" s="18">
        <f t="shared" si="50"/>
        <v>0</v>
      </c>
      <c r="AQ232" s="10" t="str">
        <f>IFERROR(VLOOKUP(B232,Departments!A:C,3,FALSE),"")</f>
        <v/>
      </c>
      <c r="AR232" s="10" t="str">
        <f>IFERROR(VLOOKUP(B232,Departments!A:B,2,FALSE),"")</f>
        <v/>
      </c>
      <c r="AS232" s="10">
        <f t="shared" si="46"/>
        <v>0</v>
      </c>
      <c r="AT232" s="10">
        <f t="shared" si="47"/>
        <v>0</v>
      </c>
      <c r="AU232" s="10" t="str">
        <f>_xlfn.IFNA(VLOOKUP(B232,Departments!A:D,4,FALSE),"")</f>
        <v/>
      </c>
    </row>
    <row r="233" spans="1:47" ht="14.45" customHeight="1">
      <c r="A233" s="11" t="str">
        <f t="shared" si="43"/>
        <v>00</v>
      </c>
      <c r="B233" s="11">
        <f>'TRANS EMP EXTRACT - COST CENTRE'!B232</f>
        <v>0</v>
      </c>
      <c r="D233" s="10" t="str">
        <f>IFERROR(VLOOKUP(E233,'TRANS EMP EXTRACT - EMP CATEGOR'!A:C,3,FALSE),"")</f>
        <v/>
      </c>
      <c r="E233" s="11">
        <f>'TRANS EMP EXTRACT - COST CENTRE'!D232</f>
        <v>0</v>
      </c>
      <c r="F233" s="10" t="str">
        <f>IFERROR(VLOOKUP(E233,'TRANS EMP EXTRACT - COST CENTRE'!D:E,2,FALSE),"")</f>
        <v/>
      </c>
      <c r="G233" s="12" t="str">
        <f>IFERROR(INDEX('TRANS EMP EXTRACT - COST CENTRE'!$A$1:$Z$455,MATCH('Summary - Monthly'!$A233,'TRANS EMP EXTRACT - COST CENTRE'!$A:$A,0),MATCH('Summary - Monthly'!G$3,'TRANS EMP EXTRACT - COST CENTRE'!$2:$2,0)),"")</f>
        <v/>
      </c>
      <c r="H233" s="10"/>
      <c r="I233" s="12"/>
      <c r="J233" s="41">
        <f t="shared" ca="1" si="44"/>
        <v>0</v>
      </c>
      <c r="K233" s="41">
        <f t="shared" ca="1" si="48"/>
        <v>0</v>
      </c>
      <c r="AC233" s="8"/>
      <c r="AM233" s="10">
        <f t="shared" si="51"/>
        <v>0</v>
      </c>
      <c r="AN233" s="14">
        <f t="shared" si="45"/>
        <v>0</v>
      </c>
      <c r="AO233" s="18">
        <f t="shared" si="49"/>
        <v>0</v>
      </c>
      <c r="AP233" s="18">
        <f t="shared" si="50"/>
        <v>0</v>
      </c>
      <c r="AQ233" s="10" t="str">
        <f>IFERROR(VLOOKUP(B233,Departments!A:C,3,FALSE),"")</f>
        <v/>
      </c>
      <c r="AR233" s="10" t="str">
        <f>IFERROR(VLOOKUP(B233,Departments!A:B,2,FALSE),"")</f>
        <v/>
      </c>
      <c r="AS233" s="10">
        <f t="shared" si="46"/>
        <v>0</v>
      </c>
      <c r="AT233" s="10">
        <f t="shared" si="47"/>
        <v>0</v>
      </c>
      <c r="AU233" s="10" t="str">
        <f>_xlfn.IFNA(VLOOKUP(B233,Departments!A:D,4,FALSE),"")</f>
        <v/>
      </c>
    </row>
    <row r="234" spans="1:47" ht="14.45" customHeight="1">
      <c r="A234" s="11" t="str">
        <f t="shared" si="43"/>
        <v>00</v>
      </c>
      <c r="B234" s="11">
        <f>'TRANS EMP EXTRACT - COST CENTRE'!B233</f>
        <v>0</v>
      </c>
      <c r="D234" s="10" t="str">
        <f>IFERROR(VLOOKUP(E234,'TRANS EMP EXTRACT - EMP CATEGOR'!A:C,3,FALSE),"")</f>
        <v/>
      </c>
      <c r="E234" s="11">
        <f>'TRANS EMP EXTRACT - COST CENTRE'!D233</f>
        <v>0</v>
      </c>
      <c r="F234" s="10" t="str">
        <f>IFERROR(VLOOKUP(E234,'TRANS EMP EXTRACT - COST CENTRE'!D:E,2,FALSE),"")</f>
        <v/>
      </c>
      <c r="G234" s="12" t="str">
        <f>IFERROR(INDEX('TRANS EMP EXTRACT - COST CENTRE'!$A$1:$Z$455,MATCH('Summary - Monthly'!$A234,'TRANS EMP EXTRACT - COST CENTRE'!$A:$A,0),MATCH('Summary - Monthly'!G$3,'TRANS EMP EXTRACT - COST CENTRE'!$2:$2,0)),"")</f>
        <v/>
      </c>
      <c r="H234" s="10"/>
      <c r="I234" s="12"/>
      <c r="J234" s="41">
        <f t="shared" ca="1" si="44"/>
        <v>0</v>
      </c>
      <c r="K234" s="41">
        <f t="shared" ca="1" si="48"/>
        <v>0</v>
      </c>
      <c r="AC234" s="8"/>
      <c r="AM234" s="10">
        <f t="shared" si="51"/>
        <v>0</v>
      </c>
      <c r="AN234" s="14">
        <f t="shared" si="45"/>
        <v>0</v>
      </c>
      <c r="AO234" s="18">
        <f t="shared" si="49"/>
        <v>0</v>
      </c>
      <c r="AP234" s="18">
        <f t="shared" si="50"/>
        <v>0</v>
      </c>
      <c r="AQ234" s="10" t="str">
        <f>IFERROR(VLOOKUP(B234,Departments!A:C,3,FALSE),"")</f>
        <v/>
      </c>
      <c r="AR234" s="10" t="str">
        <f>IFERROR(VLOOKUP(B234,Departments!A:B,2,FALSE),"")</f>
        <v/>
      </c>
      <c r="AS234" s="10">
        <f t="shared" si="46"/>
        <v>0</v>
      </c>
      <c r="AT234" s="10">
        <f t="shared" si="47"/>
        <v>0</v>
      </c>
      <c r="AU234" s="10" t="str">
        <f>_xlfn.IFNA(VLOOKUP(B234,Departments!A:D,4,FALSE),"")</f>
        <v/>
      </c>
    </row>
    <row r="235" spans="1:47" ht="14.45" customHeight="1">
      <c r="A235" s="11" t="str">
        <f t="shared" si="43"/>
        <v>00</v>
      </c>
      <c r="B235" s="11">
        <f>'TRANS EMP EXTRACT - COST CENTRE'!B234</f>
        <v>0</v>
      </c>
      <c r="D235" s="10" t="str">
        <f>IFERROR(VLOOKUP(E235,'TRANS EMP EXTRACT - EMP CATEGOR'!A:C,3,FALSE),"")</f>
        <v/>
      </c>
      <c r="E235" s="11">
        <f>'TRANS EMP EXTRACT - COST CENTRE'!D234</f>
        <v>0</v>
      </c>
      <c r="F235" s="10" t="str">
        <f>IFERROR(VLOOKUP(E235,'TRANS EMP EXTRACT - COST CENTRE'!D:E,2,FALSE),"")</f>
        <v/>
      </c>
      <c r="G235" s="12" t="str">
        <f>IFERROR(INDEX('TRANS EMP EXTRACT - COST CENTRE'!$A$1:$Z$455,MATCH('Summary - Monthly'!$A235,'TRANS EMP EXTRACT - COST CENTRE'!$A:$A,0),MATCH('Summary - Monthly'!G$3,'TRANS EMP EXTRACT - COST CENTRE'!$2:$2,0)),"")</f>
        <v/>
      </c>
      <c r="H235" s="10"/>
      <c r="I235" s="12"/>
      <c r="J235" s="41">
        <f t="shared" ca="1" si="44"/>
        <v>0</v>
      </c>
      <c r="K235" s="41">
        <f t="shared" ca="1" si="48"/>
        <v>0</v>
      </c>
      <c r="AC235" s="8"/>
      <c r="AM235" s="10">
        <f t="shared" si="51"/>
        <v>0</v>
      </c>
      <c r="AN235" s="14">
        <f t="shared" si="45"/>
        <v>0</v>
      </c>
      <c r="AO235" s="18">
        <f t="shared" si="49"/>
        <v>0</v>
      </c>
      <c r="AP235" s="18">
        <f t="shared" si="50"/>
        <v>0</v>
      </c>
      <c r="AQ235" s="10" t="str">
        <f>IFERROR(VLOOKUP(B235,Departments!A:C,3,FALSE),"")</f>
        <v/>
      </c>
      <c r="AR235" s="10" t="str">
        <f>IFERROR(VLOOKUP(B235,Departments!A:B,2,FALSE),"")</f>
        <v/>
      </c>
      <c r="AS235" s="10">
        <f t="shared" si="46"/>
        <v>0</v>
      </c>
      <c r="AT235" s="10">
        <f t="shared" si="47"/>
        <v>0</v>
      </c>
      <c r="AU235" s="10" t="str">
        <f>_xlfn.IFNA(VLOOKUP(B235,Departments!A:D,4,FALSE),"")</f>
        <v/>
      </c>
    </row>
    <row r="236" spans="1:47" ht="14.45" customHeight="1">
      <c r="A236" s="11" t="str">
        <f t="shared" si="43"/>
        <v>00</v>
      </c>
      <c r="B236" s="11">
        <f>'TRANS EMP EXTRACT - COST CENTRE'!B235</f>
        <v>0</v>
      </c>
      <c r="D236" s="10" t="str">
        <f>IFERROR(VLOOKUP(E236,'TRANS EMP EXTRACT - EMP CATEGOR'!A:C,3,FALSE),"")</f>
        <v/>
      </c>
      <c r="E236" s="11">
        <f>'TRANS EMP EXTRACT - COST CENTRE'!D235</f>
        <v>0</v>
      </c>
      <c r="F236" s="10" t="str">
        <f>IFERROR(VLOOKUP(E236,'TRANS EMP EXTRACT - COST CENTRE'!D:E,2,FALSE),"")</f>
        <v/>
      </c>
      <c r="G236" s="12" t="str">
        <f>IFERROR(INDEX('TRANS EMP EXTRACT - COST CENTRE'!$A$1:$Z$455,MATCH('Summary - Monthly'!$A236,'TRANS EMP EXTRACT - COST CENTRE'!$A:$A,0),MATCH('Summary - Monthly'!G$3,'TRANS EMP EXTRACT - COST CENTRE'!$2:$2,0)),"")</f>
        <v/>
      </c>
      <c r="H236" s="10"/>
      <c r="I236" s="12"/>
      <c r="J236" s="41">
        <f t="shared" ca="1" si="44"/>
        <v>0</v>
      </c>
      <c r="K236" s="41">
        <f t="shared" ca="1" si="48"/>
        <v>0</v>
      </c>
      <c r="AC236" s="8"/>
      <c r="AM236" s="10">
        <f t="shared" si="51"/>
        <v>0</v>
      </c>
      <c r="AN236" s="14">
        <f t="shared" si="45"/>
        <v>0</v>
      </c>
      <c r="AO236" s="18">
        <f t="shared" si="49"/>
        <v>0</v>
      </c>
      <c r="AP236" s="18">
        <f t="shared" si="50"/>
        <v>0</v>
      </c>
      <c r="AQ236" s="10" t="str">
        <f>IFERROR(VLOOKUP(B236,Departments!A:C,3,FALSE),"")</f>
        <v/>
      </c>
      <c r="AR236" s="10" t="str">
        <f>IFERROR(VLOOKUP(B236,Departments!A:B,2,FALSE),"")</f>
        <v/>
      </c>
      <c r="AS236" s="10">
        <f t="shared" si="46"/>
        <v>0</v>
      </c>
      <c r="AT236" s="10">
        <f t="shared" si="47"/>
        <v>0</v>
      </c>
      <c r="AU236" s="10" t="str">
        <f>_xlfn.IFNA(VLOOKUP(B236,Departments!A:D,4,FALSE),"")</f>
        <v/>
      </c>
    </row>
    <row r="237" spans="1:47" ht="14.45" customHeight="1">
      <c r="A237" s="11" t="str">
        <f t="shared" si="43"/>
        <v>00</v>
      </c>
      <c r="B237" s="11">
        <f>'TRANS EMP EXTRACT - COST CENTRE'!B236</f>
        <v>0</v>
      </c>
      <c r="D237" s="10" t="str">
        <f>IFERROR(VLOOKUP(E237,'TRANS EMP EXTRACT - EMP CATEGOR'!A:C,3,FALSE),"")</f>
        <v/>
      </c>
      <c r="E237" s="11">
        <f>'TRANS EMP EXTRACT - COST CENTRE'!D236</f>
        <v>0</v>
      </c>
      <c r="F237" s="10" t="str">
        <f>IFERROR(VLOOKUP(E237,'TRANS EMP EXTRACT - COST CENTRE'!D:E,2,FALSE),"")</f>
        <v/>
      </c>
      <c r="G237" s="12" t="str">
        <f>IFERROR(INDEX('TRANS EMP EXTRACT - COST CENTRE'!$A$1:$Z$455,MATCH('Summary - Monthly'!$A237,'TRANS EMP EXTRACT - COST CENTRE'!$A:$A,0),MATCH('Summary - Monthly'!G$3,'TRANS EMP EXTRACT - COST CENTRE'!$2:$2,0)),"")</f>
        <v/>
      </c>
      <c r="H237" s="10"/>
      <c r="I237" s="12"/>
      <c r="J237" s="41">
        <f t="shared" ca="1" si="44"/>
        <v>0</v>
      </c>
      <c r="K237" s="41">
        <f t="shared" ca="1" si="48"/>
        <v>0</v>
      </c>
      <c r="AC237" s="8"/>
      <c r="AM237" s="10">
        <f t="shared" si="51"/>
        <v>0</v>
      </c>
      <c r="AN237" s="14">
        <f t="shared" si="45"/>
        <v>0</v>
      </c>
      <c r="AO237" s="18">
        <f t="shared" si="49"/>
        <v>0</v>
      </c>
      <c r="AP237" s="18">
        <f t="shared" si="50"/>
        <v>0</v>
      </c>
      <c r="AQ237" s="10" t="str">
        <f>IFERROR(VLOOKUP(B237,Departments!A:C,3,FALSE),"")</f>
        <v/>
      </c>
      <c r="AR237" s="10" t="str">
        <f>IFERROR(VLOOKUP(B237,Departments!A:B,2,FALSE),"")</f>
        <v/>
      </c>
      <c r="AS237" s="10">
        <f t="shared" si="46"/>
        <v>0</v>
      </c>
      <c r="AT237" s="10">
        <f t="shared" si="47"/>
        <v>0</v>
      </c>
      <c r="AU237" s="10" t="str">
        <f>_xlfn.IFNA(VLOOKUP(B237,Departments!A:D,4,FALSE),"")</f>
        <v/>
      </c>
    </row>
    <row r="238" spans="1:47" ht="14.45" customHeight="1">
      <c r="A238" s="11" t="str">
        <f t="shared" si="43"/>
        <v>00</v>
      </c>
      <c r="B238" s="11">
        <f>'TRANS EMP EXTRACT - COST CENTRE'!B237</f>
        <v>0</v>
      </c>
      <c r="D238" s="10" t="str">
        <f>IFERROR(VLOOKUP(E238,'TRANS EMP EXTRACT - EMP CATEGOR'!A:C,3,FALSE),"")</f>
        <v/>
      </c>
      <c r="E238" s="11">
        <f>'TRANS EMP EXTRACT - COST CENTRE'!D237</f>
        <v>0</v>
      </c>
      <c r="F238" s="10" t="str">
        <f>IFERROR(VLOOKUP(E238,'TRANS EMP EXTRACT - COST CENTRE'!D:E,2,FALSE),"")</f>
        <v/>
      </c>
      <c r="G238" s="12" t="str">
        <f>IFERROR(INDEX('TRANS EMP EXTRACT - COST CENTRE'!$A$1:$Z$455,MATCH('Summary - Monthly'!$A238,'TRANS EMP EXTRACT - COST CENTRE'!$A:$A,0),MATCH('Summary - Monthly'!G$3,'TRANS EMP EXTRACT - COST CENTRE'!$2:$2,0)),"")</f>
        <v/>
      </c>
      <c r="H238" s="10"/>
      <c r="I238" s="12"/>
      <c r="J238" s="41">
        <f t="shared" ca="1" si="44"/>
        <v>0</v>
      </c>
      <c r="K238" s="41">
        <f t="shared" ca="1" si="48"/>
        <v>0</v>
      </c>
      <c r="AC238" s="8"/>
      <c r="AM238" s="10">
        <f t="shared" si="51"/>
        <v>0</v>
      </c>
      <c r="AN238" s="14">
        <f t="shared" si="45"/>
        <v>0</v>
      </c>
      <c r="AO238" s="18">
        <f t="shared" si="49"/>
        <v>0</v>
      </c>
      <c r="AP238" s="18">
        <f t="shared" si="50"/>
        <v>0</v>
      </c>
      <c r="AQ238" s="10" t="str">
        <f>IFERROR(VLOOKUP(B238,Departments!A:C,3,FALSE),"")</f>
        <v/>
      </c>
      <c r="AR238" s="10" t="str">
        <f>IFERROR(VLOOKUP(B238,Departments!A:B,2,FALSE),"")</f>
        <v/>
      </c>
      <c r="AS238" s="10">
        <f t="shared" si="46"/>
        <v>0</v>
      </c>
      <c r="AT238" s="10">
        <f t="shared" si="47"/>
        <v>0</v>
      </c>
      <c r="AU238" s="10" t="str">
        <f>_xlfn.IFNA(VLOOKUP(B238,Departments!A:D,4,FALSE),"")</f>
        <v/>
      </c>
    </row>
    <row r="239" spans="1:47" ht="14.45" customHeight="1">
      <c r="A239" s="11" t="str">
        <f t="shared" si="43"/>
        <v>00</v>
      </c>
      <c r="B239" s="11">
        <f>'TRANS EMP EXTRACT - COST CENTRE'!B238</f>
        <v>0</v>
      </c>
      <c r="D239" s="10" t="str">
        <f>IFERROR(VLOOKUP(E239,'TRANS EMP EXTRACT - EMP CATEGOR'!A:C,3,FALSE),"")</f>
        <v/>
      </c>
      <c r="E239" s="11">
        <f>'TRANS EMP EXTRACT - COST CENTRE'!D238</f>
        <v>0</v>
      </c>
      <c r="F239" s="10" t="str">
        <f>IFERROR(VLOOKUP(E239,'TRANS EMP EXTRACT - COST CENTRE'!D:E,2,FALSE),"")</f>
        <v/>
      </c>
      <c r="G239" s="12" t="str">
        <f>IFERROR(INDEX('TRANS EMP EXTRACT - COST CENTRE'!$A$1:$Z$455,MATCH('Summary - Monthly'!$A239,'TRANS EMP EXTRACT - COST CENTRE'!$A:$A,0),MATCH('Summary - Monthly'!G$3,'TRANS EMP EXTRACT - COST CENTRE'!$2:$2,0)),"")</f>
        <v/>
      </c>
      <c r="H239" s="10"/>
      <c r="I239" s="12"/>
      <c r="J239" s="41">
        <f t="shared" ca="1" si="44"/>
        <v>0</v>
      </c>
      <c r="K239" s="41">
        <f t="shared" ca="1" si="48"/>
        <v>0</v>
      </c>
      <c r="AC239" s="8"/>
      <c r="AM239" s="10">
        <f t="shared" si="51"/>
        <v>0</v>
      </c>
      <c r="AN239" s="14">
        <f t="shared" si="45"/>
        <v>0</v>
      </c>
      <c r="AO239" s="18">
        <f t="shared" si="49"/>
        <v>0</v>
      </c>
      <c r="AP239" s="18">
        <f t="shared" si="50"/>
        <v>0</v>
      </c>
      <c r="AQ239" s="10" t="str">
        <f>IFERROR(VLOOKUP(B239,Departments!A:C,3,FALSE),"")</f>
        <v/>
      </c>
      <c r="AR239" s="10" t="str">
        <f>IFERROR(VLOOKUP(B239,Departments!A:B,2,FALSE),"")</f>
        <v/>
      </c>
      <c r="AS239" s="10">
        <f t="shared" si="46"/>
        <v>0</v>
      </c>
      <c r="AT239" s="10">
        <f t="shared" si="47"/>
        <v>0</v>
      </c>
      <c r="AU239" s="10" t="str">
        <f>_xlfn.IFNA(VLOOKUP(B239,Departments!A:D,4,FALSE),"")</f>
        <v/>
      </c>
    </row>
    <row r="240" spans="1:47" ht="14.45" customHeight="1">
      <c r="A240" s="11" t="str">
        <f t="shared" si="43"/>
        <v>00</v>
      </c>
      <c r="B240" s="11">
        <f>'TRANS EMP EXTRACT - COST CENTRE'!B239</f>
        <v>0</v>
      </c>
      <c r="D240" s="10" t="str">
        <f>IFERROR(VLOOKUP(E240,'TRANS EMP EXTRACT - EMP CATEGOR'!A:C,3,FALSE),"")</f>
        <v/>
      </c>
      <c r="E240" s="11">
        <f>'TRANS EMP EXTRACT - COST CENTRE'!D239</f>
        <v>0</v>
      </c>
      <c r="F240" s="10" t="str">
        <f>IFERROR(VLOOKUP(E240,'TRANS EMP EXTRACT - COST CENTRE'!D:E,2,FALSE),"")</f>
        <v/>
      </c>
      <c r="G240" s="12" t="str">
        <f>IFERROR(INDEX('TRANS EMP EXTRACT - COST CENTRE'!$A$1:$Z$455,MATCH('Summary - Monthly'!$A240,'TRANS EMP EXTRACT - COST CENTRE'!$A:$A,0),MATCH('Summary - Monthly'!G$3,'TRANS EMP EXTRACT - COST CENTRE'!$2:$2,0)),"")</f>
        <v/>
      </c>
      <c r="H240" s="10"/>
      <c r="I240" s="12"/>
      <c r="J240" s="41">
        <f t="shared" ca="1" si="44"/>
        <v>0</v>
      </c>
      <c r="K240" s="41">
        <f t="shared" ca="1" si="48"/>
        <v>0</v>
      </c>
      <c r="AC240" s="8"/>
      <c r="AM240" s="10">
        <f t="shared" si="51"/>
        <v>0</v>
      </c>
      <c r="AN240" s="14">
        <f t="shared" si="45"/>
        <v>0</v>
      </c>
      <c r="AO240" s="18">
        <f t="shared" si="49"/>
        <v>0</v>
      </c>
      <c r="AP240" s="18">
        <f t="shared" si="50"/>
        <v>0</v>
      </c>
      <c r="AQ240" s="10" t="str">
        <f>IFERROR(VLOOKUP(B240,Departments!A:C,3,FALSE),"")</f>
        <v/>
      </c>
      <c r="AR240" s="10" t="str">
        <f>IFERROR(VLOOKUP(B240,Departments!A:B,2,FALSE),"")</f>
        <v/>
      </c>
      <c r="AS240" s="10">
        <f t="shared" si="46"/>
        <v>0</v>
      </c>
      <c r="AT240" s="10">
        <f t="shared" si="47"/>
        <v>0</v>
      </c>
      <c r="AU240" s="10" t="str">
        <f>_xlfn.IFNA(VLOOKUP(B240,Departments!A:D,4,FALSE),"")</f>
        <v/>
      </c>
    </row>
    <row r="241" spans="1:47" ht="14.45" customHeight="1">
      <c r="A241" s="11" t="str">
        <f t="shared" si="43"/>
        <v>00</v>
      </c>
      <c r="B241" s="11">
        <f>'TRANS EMP EXTRACT - COST CENTRE'!B240</f>
        <v>0</v>
      </c>
      <c r="D241" s="10" t="str">
        <f>IFERROR(VLOOKUP(E241,'TRANS EMP EXTRACT - EMP CATEGOR'!A:C,3,FALSE),"")</f>
        <v/>
      </c>
      <c r="E241" s="11">
        <f>'TRANS EMP EXTRACT - COST CENTRE'!D240</f>
        <v>0</v>
      </c>
      <c r="F241" s="10" t="str">
        <f>IFERROR(VLOOKUP(E241,'TRANS EMP EXTRACT - COST CENTRE'!D:E,2,FALSE),"")</f>
        <v/>
      </c>
      <c r="G241" s="12" t="str">
        <f>IFERROR(INDEX('TRANS EMP EXTRACT - COST CENTRE'!$A$1:$Z$455,MATCH('Summary - Monthly'!$A241,'TRANS EMP EXTRACT - COST CENTRE'!$A:$A,0),MATCH('Summary - Monthly'!G$3,'TRANS EMP EXTRACT - COST CENTRE'!$2:$2,0)),"")</f>
        <v/>
      </c>
      <c r="H241" s="10"/>
      <c r="I241" s="12"/>
      <c r="J241" s="41">
        <f t="shared" ca="1" si="44"/>
        <v>0</v>
      </c>
      <c r="K241" s="41">
        <f t="shared" ca="1" si="48"/>
        <v>0</v>
      </c>
      <c r="AC241" s="8"/>
      <c r="AM241" s="10">
        <f t="shared" si="51"/>
        <v>0</v>
      </c>
      <c r="AN241" s="14">
        <f t="shared" si="45"/>
        <v>0</v>
      </c>
      <c r="AO241" s="18">
        <f t="shared" si="49"/>
        <v>0</v>
      </c>
      <c r="AP241" s="18">
        <f t="shared" si="50"/>
        <v>0</v>
      </c>
      <c r="AQ241" s="10" t="str">
        <f>IFERROR(VLOOKUP(B241,Departments!A:C,3,FALSE),"")</f>
        <v/>
      </c>
      <c r="AR241" s="10" t="str">
        <f>IFERROR(VLOOKUP(B241,Departments!A:B,2,FALSE),"")</f>
        <v/>
      </c>
      <c r="AS241" s="10">
        <f t="shared" si="46"/>
        <v>0</v>
      </c>
      <c r="AT241" s="10">
        <f t="shared" si="47"/>
        <v>0</v>
      </c>
      <c r="AU241" s="10" t="str">
        <f>_xlfn.IFNA(VLOOKUP(B241,Departments!A:D,4,FALSE),"")</f>
        <v/>
      </c>
    </row>
    <row r="242" spans="1:47" ht="14.45" customHeight="1">
      <c r="A242" s="11" t="str">
        <f t="shared" si="43"/>
        <v>00</v>
      </c>
      <c r="B242" s="11">
        <f>'TRANS EMP EXTRACT - COST CENTRE'!B241</f>
        <v>0</v>
      </c>
      <c r="D242" s="10" t="str">
        <f>IFERROR(VLOOKUP(E242,'TRANS EMP EXTRACT - EMP CATEGOR'!A:C,3,FALSE),"")</f>
        <v/>
      </c>
      <c r="E242" s="11">
        <f>'TRANS EMP EXTRACT - COST CENTRE'!D241</f>
        <v>0</v>
      </c>
      <c r="F242" s="10" t="str">
        <f>IFERROR(VLOOKUP(E242,'TRANS EMP EXTRACT - COST CENTRE'!D:E,2,FALSE),"")</f>
        <v/>
      </c>
      <c r="G242" s="12" t="str">
        <f>IFERROR(INDEX('TRANS EMP EXTRACT - COST CENTRE'!$A$1:$Z$455,MATCH('Summary - Monthly'!$A242,'TRANS EMP EXTRACT - COST CENTRE'!$A:$A,0),MATCH('Summary - Monthly'!G$3,'TRANS EMP EXTRACT - COST CENTRE'!$2:$2,0)),"")</f>
        <v/>
      </c>
      <c r="H242" s="10"/>
      <c r="I242" s="12"/>
      <c r="J242" s="41">
        <f t="shared" ca="1" si="44"/>
        <v>0</v>
      </c>
      <c r="K242" s="41">
        <f t="shared" ca="1" si="48"/>
        <v>0</v>
      </c>
      <c r="AC242" s="8"/>
      <c r="AM242" s="10">
        <f t="shared" si="51"/>
        <v>0</v>
      </c>
      <c r="AN242" s="14">
        <f t="shared" si="45"/>
        <v>0</v>
      </c>
      <c r="AO242" s="18">
        <f t="shared" si="49"/>
        <v>0</v>
      </c>
      <c r="AP242" s="18">
        <f t="shared" si="50"/>
        <v>0</v>
      </c>
      <c r="AQ242" s="10" t="str">
        <f>IFERROR(VLOOKUP(B242,Departments!A:C,3,FALSE),"")</f>
        <v/>
      </c>
      <c r="AR242" s="10" t="str">
        <f>IFERROR(VLOOKUP(B242,Departments!A:B,2,FALSE),"")</f>
        <v/>
      </c>
      <c r="AS242" s="10">
        <f t="shared" si="46"/>
        <v>0</v>
      </c>
      <c r="AT242" s="10">
        <f t="shared" si="47"/>
        <v>0</v>
      </c>
      <c r="AU242" s="10" t="str">
        <f>_xlfn.IFNA(VLOOKUP(B242,Departments!A:D,4,FALSE),"")</f>
        <v/>
      </c>
    </row>
    <row r="243" spans="1:47" ht="14.45" customHeight="1">
      <c r="A243" s="11" t="str">
        <f t="shared" si="43"/>
        <v>00</v>
      </c>
      <c r="B243" s="11">
        <f>'TRANS EMP EXTRACT - COST CENTRE'!B242</f>
        <v>0</v>
      </c>
      <c r="D243" s="10" t="str">
        <f>IFERROR(VLOOKUP(E243,'TRANS EMP EXTRACT - EMP CATEGOR'!A:C,3,FALSE),"")</f>
        <v/>
      </c>
      <c r="E243" s="11">
        <f>'TRANS EMP EXTRACT - COST CENTRE'!D242</f>
        <v>0</v>
      </c>
      <c r="F243" s="10" t="str">
        <f>IFERROR(VLOOKUP(E243,'TRANS EMP EXTRACT - COST CENTRE'!D:E,2,FALSE),"")</f>
        <v/>
      </c>
      <c r="G243" s="12" t="str">
        <f>IFERROR(INDEX('TRANS EMP EXTRACT - COST CENTRE'!$A$1:$Z$455,MATCH('Summary - Monthly'!$A243,'TRANS EMP EXTRACT - COST CENTRE'!$A:$A,0),MATCH('Summary - Monthly'!G$3,'TRANS EMP EXTRACT - COST CENTRE'!$2:$2,0)),"")</f>
        <v/>
      </c>
      <c r="H243" s="10"/>
      <c r="I243" s="12"/>
      <c r="J243" s="41">
        <f t="shared" ca="1" si="44"/>
        <v>0</v>
      </c>
      <c r="K243" s="41">
        <f t="shared" ca="1" si="48"/>
        <v>0</v>
      </c>
      <c r="AC243" s="8"/>
      <c r="AM243" s="10">
        <f t="shared" si="51"/>
        <v>0</v>
      </c>
      <c r="AN243" s="14">
        <f t="shared" si="45"/>
        <v>0</v>
      </c>
      <c r="AO243" s="18">
        <f t="shared" si="49"/>
        <v>0</v>
      </c>
      <c r="AP243" s="18">
        <f t="shared" si="50"/>
        <v>0</v>
      </c>
      <c r="AQ243" s="10" t="str">
        <f>IFERROR(VLOOKUP(B243,Departments!A:C,3,FALSE),"")</f>
        <v/>
      </c>
      <c r="AR243" s="10" t="str">
        <f>IFERROR(VLOOKUP(B243,Departments!A:B,2,FALSE),"")</f>
        <v/>
      </c>
      <c r="AS243" s="10">
        <f t="shared" si="46"/>
        <v>0</v>
      </c>
      <c r="AT243" s="10">
        <f t="shared" si="47"/>
        <v>0</v>
      </c>
      <c r="AU243" s="10" t="str">
        <f>_xlfn.IFNA(VLOOKUP(B243,Departments!A:D,4,FALSE),"")</f>
        <v/>
      </c>
    </row>
    <row r="244" spans="1:47" ht="14.45" customHeight="1">
      <c r="A244" s="11" t="str">
        <f t="shared" si="43"/>
        <v>00</v>
      </c>
      <c r="B244" s="11">
        <f>'TRANS EMP EXTRACT - COST CENTRE'!B243</f>
        <v>0</v>
      </c>
      <c r="D244" s="10" t="str">
        <f>IFERROR(VLOOKUP(E244,'TRANS EMP EXTRACT - EMP CATEGOR'!A:C,3,FALSE),"")</f>
        <v/>
      </c>
      <c r="E244" s="11">
        <f>'TRANS EMP EXTRACT - COST CENTRE'!D243</f>
        <v>0</v>
      </c>
      <c r="F244" s="10" t="str">
        <f>IFERROR(VLOOKUP(E244,'TRANS EMP EXTRACT - COST CENTRE'!D:E,2,FALSE),"")</f>
        <v/>
      </c>
      <c r="G244" s="12" t="str">
        <f>IFERROR(INDEX('TRANS EMP EXTRACT - COST CENTRE'!$A$1:$Z$455,MATCH('Summary - Monthly'!$A244,'TRANS EMP EXTRACT - COST CENTRE'!$A:$A,0),MATCH('Summary - Monthly'!G$3,'TRANS EMP EXTRACT - COST CENTRE'!$2:$2,0)),"")</f>
        <v/>
      </c>
      <c r="H244" s="10"/>
      <c r="I244" s="12"/>
      <c r="J244" s="41">
        <f t="shared" ca="1" si="44"/>
        <v>0</v>
      </c>
      <c r="K244" s="41">
        <f t="shared" ca="1" si="48"/>
        <v>0</v>
      </c>
      <c r="AC244" s="8"/>
      <c r="AM244" s="10">
        <f t="shared" si="51"/>
        <v>0</v>
      </c>
      <c r="AN244" s="14">
        <f t="shared" si="45"/>
        <v>0</v>
      </c>
      <c r="AO244" s="18">
        <f t="shared" si="49"/>
        <v>0</v>
      </c>
      <c r="AP244" s="18">
        <f t="shared" si="50"/>
        <v>0</v>
      </c>
      <c r="AQ244" s="10" t="str">
        <f>IFERROR(VLOOKUP(B244,Departments!A:C,3,FALSE),"")</f>
        <v/>
      </c>
      <c r="AR244" s="10" t="str">
        <f>IFERROR(VLOOKUP(B244,Departments!A:B,2,FALSE),"")</f>
        <v/>
      </c>
      <c r="AS244" s="10">
        <f t="shared" si="46"/>
        <v>0</v>
      </c>
      <c r="AT244" s="10">
        <f t="shared" si="47"/>
        <v>0</v>
      </c>
      <c r="AU244" s="10" t="str">
        <f>_xlfn.IFNA(VLOOKUP(B244,Departments!A:D,4,FALSE),"")</f>
        <v/>
      </c>
    </row>
    <row r="245" spans="1:47" ht="14.45" customHeight="1">
      <c r="A245" s="11" t="str">
        <f t="shared" si="43"/>
        <v>00</v>
      </c>
      <c r="B245" s="11">
        <f>'TRANS EMP EXTRACT - COST CENTRE'!B244</f>
        <v>0</v>
      </c>
      <c r="D245" s="10" t="str">
        <f>IFERROR(VLOOKUP(E245,'TRANS EMP EXTRACT - EMP CATEGOR'!A:C,3,FALSE),"")</f>
        <v/>
      </c>
      <c r="E245" s="11">
        <f>'TRANS EMP EXTRACT - COST CENTRE'!D244</f>
        <v>0</v>
      </c>
      <c r="F245" s="10" t="str">
        <f>IFERROR(VLOOKUP(E245,'TRANS EMP EXTRACT - COST CENTRE'!D:E,2,FALSE),"")</f>
        <v/>
      </c>
      <c r="G245" s="12" t="str">
        <f>IFERROR(INDEX('TRANS EMP EXTRACT - COST CENTRE'!$A$1:$Z$455,MATCH('Summary - Monthly'!$A245,'TRANS EMP EXTRACT - COST CENTRE'!$A:$A,0),MATCH('Summary - Monthly'!G$3,'TRANS EMP EXTRACT - COST CENTRE'!$2:$2,0)),"")</f>
        <v/>
      </c>
      <c r="H245" s="10"/>
      <c r="I245" s="12"/>
      <c r="J245" s="41">
        <f t="shared" ca="1" si="44"/>
        <v>0</v>
      </c>
      <c r="K245" s="41">
        <f t="shared" ca="1" si="48"/>
        <v>0</v>
      </c>
      <c r="AC245" s="8"/>
      <c r="AM245" s="10">
        <f t="shared" si="51"/>
        <v>0</v>
      </c>
      <c r="AN245" s="14">
        <f t="shared" si="45"/>
        <v>0</v>
      </c>
      <c r="AO245" s="18">
        <f t="shared" si="49"/>
        <v>0</v>
      </c>
      <c r="AP245" s="18">
        <f t="shared" si="50"/>
        <v>0</v>
      </c>
      <c r="AQ245" s="10" t="str">
        <f>IFERROR(VLOOKUP(B245,Departments!A:C,3,FALSE),"")</f>
        <v/>
      </c>
      <c r="AR245" s="10" t="str">
        <f>IFERROR(VLOOKUP(B245,Departments!A:B,2,FALSE),"")</f>
        <v/>
      </c>
      <c r="AS245" s="10">
        <f t="shared" si="46"/>
        <v>0</v>
      </c>
      <c r="AT245" s="10">
        <f t="shared" si="47"/>
        <v>0</v>
      </c>
      <c r="AU245" s="10" t="str">
        <f>_xlfn.IFNA(VLOOKUP(B245,Departments!A:D,4,FALSE),"")</f>
        <v/>
      </c>
    </row>
    <row r="246" spans="1:47" ht="14.45" customHeight="1">
      <c r="A246" s="11" t="str">
        <f t="shared" si="43"/>
        <v>00</v>
      </c>
      <c r="B246" s="11">
        <f>'TRANS EMP EXTRACT - COST CENTRE'!B245</f>
        <v>0</v>
      </c>
      <c r="D246" s="10" t="str">
        <f>IFERROR(VLOOKUP(E246,'TRANS EMP EXTRACT - EMP CATEGOR'!A:C,3,FALSE),"")</f>
        <v/>
      </c>
      <c r="E246" s="11">
        <f>'TRANS EMP EXTRACT - COST CENTRE'!D245</f>
        <v>0</v>
      </c>
      <c r="F246" s="10" t="str">
        <f>IFERROR(VLOOKUP(E246,'TRANS EMP EXTRACT - COST CENTRE'!D:E,2,FALSE),"")</f>
        <v/>
      </c>
      <c r="G246" s="12" t="str">
        <f>IFERROR(INDEX('TRANS EMP EXTRACT - COST CENTRE'!$A$1:$Z$455,MATCH('Summary - Monthly'!$A246,'TRANS EMP EXTRACT - COST CENTRE'!$A:$A,0),MATCH('Summary - Monthly'!G$3,'TRANS EMP EXTRACT - COST CENTRE'!$2:$2,0)),"")</f>
        <v/>
      </c>
      <c r="H246" s="10"/>
      <c r="I246" s="12"/>
      <c r="J246" s="41">
        <f t="shared" ca="1" si="44"/>
        <v>0</v>
      </c>
      <c r="K246" s="41">
        <f t="shared" ca="1" si="48"/>
        <v>0</v>
      </c>
      <c r="AC246" s="8"/>
      <c r="AM246" s="10">
        <f t="shared" si="51"/>
        <v>0</v>
      </c>
      <c r="AN246" s="14">
        <f t="shared" si="45"/>
        <v>0</v>
      </c>
      <c r="AO246" s="18">
        <f t="shared" si="49"/>
        <v>0</v>
      </c>
      <c r="AP246" s="18">
        <f t="shared" si="50"/>
        <v>0</v>
      </c>
      <c r="AQ246" s="10" t="str">
        <f>IFERROR(VLOOKUP(B246,Departments!A:C,3,FALSE),"")</f>
        <v/>
      </c>
      <c r="AR246" s="10" t="str">
        <f>IFERROR(VLOOKUP(B246,Departments!A:B,2,FALSE),"")</f>
        <v/>
      </c>
      <c r="AS246" s="10">
        <f t="shared" si="46"/>
        <v>0</v>
      </c>
      <c r="AT246" s="10">
        <f t="shared" si="47"/>
        <v>0</v>
      </c>
      <c r="AU246" s="10" t="str">
        <f>_xlfn.IFNA(VLOOKUP(B246,Departments!A:D,4,FALSE),"")</f>
        <v/>
      </c>
    </row>
    <row r="247" spans="1:47" ht="14.45" customHeight="1">
      <c r="A247" s="11" t="str">
        <f t="shared" si="43"/>
        <v>00</v>
      </c>
      <c r="B247" s="11">
        <f>'TRANS EMP EXTRACT - COST CENTRE'!B246</f>
        <v>0</v>
      </c>
      <c r="D247" s="10" t="str">
        <f>IFERROR(VLOOKUP(E247,'TRANS EMP EXTRACT - EMP CATEGOR'!A:C,3,FALSE),"")</f>
        <v/>
      </c>
      <c r="E247" s="11">
        <f>'TRANS EMP EXTRACT - COST CENTRE'!D246</f>
        <v>0</v>
      </c>
      <c r="F247" s="10" t="str">
        <f>IFERROR(VLOOKUP(E247,'TRANS EMP EXTRACT - COST CENTRE'!D:E,2,FALSE),"")</f>
        <v/>
      </c>
      <c r="G247" s="12" t="str">
        <f>IFERROR(INDEX('TRANS EMP EXTRACT - COST CENTRE'!$A$1:$Z$455,MATCH('Summary - Monthly'!$A247,'TRANS EMP EXTRACT - COST CENTRE'!$A:$A,0),MATCH('Summary - Monthly'!G$3,'TRANS EMP EXTRACT - COST CENTRE'!$2:$2,0)),"")</f>
        <v/>
      </c>
      <c r="H247" s="10"/>
      <c r="I247" s="12"/>
      <c r="J247" s="41">
        <f t="shared" ca="1" si="44"/>
        <v>0</v>
      </c>
      <c r="K247" s="41">
        <f t="shared" ca="1" si="48"/>
        <v>0</v>
      </c>
      <c r="AC247" s="8"/>
      <c r="AM247" s="10">
        <f t="shared" si="51"/>
        <v>0</v>
      </c>
      <c r="AN247" s="14">
        <f t="shared" si="45"/>
        <v>0</v>
      </c>
      <c r="AO247" s="18">
        <f t="shared" si="49"/>
        <v>0</v>
      </c>
      <c r="AP247" s="18">
        <f t="shared" si="50"/>
        <v>0</v>
      </c>
      <c r="AQ247" s="10" t="str">
        <f>IFERROR(VLOOKUP(B247,Departments!A:C,3,FALSE),"")</f>
        <v/>
      </c>
      <c r="AR247" s="10" t="str">
        <f>IFERROR(VLOOKUP(B247,Departments!A:B,2,FALSE),"")</f>
        <v/>
      </c>
      <c r="AS247" s="10">
        <f t="shared" si="46"/>
        <v>0</v>
      </c>
      <c r="AT247" s="10">
        <f t="shared" si="47"/>
        <v>0</v>
      </c>
      <c r="AU247" s="10" t="str">
        <f>_xlfn.IFNA(VLOOKUP(B247,Departments!A:D,4,FALSE),"")</f>
        <v/>
      </c>
    </row>
    <row r="248" spans="1:47" ht="14.45" customHeight="1">
      <c r="A248" s="11" t="str">
        <f t="shared" si="43"/>
        <v>00</v>
      </c>
      <c r="B248" s="11">
        <f>'TRANS EMP EXTRACT - COST CENTRE'!B247</f>
        <v>0</v>
      </c>
      <c r="D248" s="10" t="str">
        <f>IFERROR(VLOOKUP(E248,'TRANS EMP EXTRACT - EMP CATEGOR'!A:C,3,FALSE),"")</f>
        <v/>
      </c>
      <c r="E248" s="11">
        <f>'TRANS EMP EXTRACT - COST CENTRE'!D247</f>
        <v>0</v>
      </c>
      <c r="F248" s="10" t="str">
        <f>IFERROR(VLOOKUP(E248,'TRANS EMP EXTRACT - COST CENTRE'!D:E,2,FALSE),"")</f>
        <v/>
      </c>
      <c r="G248" s="12" t="str">
        <f>IFERROR(INDEX('TRANS EMP EXTRACT - COST CENTRE'!$A$1:$Z$455,MATCH('Summary - Monthly'!$A248,'TRANS EMP EXTRACT - COST CENTRE'!$A:$A,0),MATCH('Summary - Monthly'!G$3,'TRANS EMP EXTRACT - COST CENTRE'!$2:$2,0)),"")</f>
        <v/>
      </c>
      <c r="H248" s="10"/>
      <c r="I248" s="12"/>
      <c r="J248" s="41">
        <f t="shared" ca="1" si="44"/>
        <v>0</v>
      </c>
      <c r="K248" s="41">
        <f t="shared" ca="1" si="48"/>
        <v>0</v>
      </c>
      <c r="AC248" s="8"/>
      <c r="AM248" s="10">
        <f t="shared" si="51"/>
        <v>0</v>
      </c>
      <c r="AN248" s="14">
        <f t="shared" si="45"/>
        <v>0</v>
      </c>
      <c r="AO248" s="18">
        <f t="shared" si="49"/>
        <v>0</v>
      </c>
      <c r="AP248" s="18">
        <f t="shared" si="50"/>
        <v>0</v>
      </c>
      <c r="AQ248" s="10" t="str">
        <f>IFERROR(VLOOKUP(B248,Departments!A:C,3,FALSE),"")</f>
        <v/>
      </c>
      <c r="AR248" s="10" t="str">
        <f>IFERROR(VLOOKUP(B248,Departments!A:B,2,FALSE),"")</f>
        <v/>
      </c>
      <c r="AS248" s="10">
        <f t="shared" si="46"/>
        <v>0</v>
      </c>
      <c r="AT248" s="10">
        <f t="shared" si="47"/>
        <v>0</v>
      </c>
      <c r="AU248" s="10" t="str">
        <f>_xlfn.IFNA(VLOOKUP(B248,Departments!A:D,4,FALSE),"")</f>
        <v/>
      </c>
    </row>
    <row r="249" spans="1:47" ht="14.45" customHeight="1">
      <c r="A249" s="11" t="str">
        <f t="shared" si="43"/>
        <v>00</v>
      </c>
      <c r="B249" s="11">
        <f>'TRANS EMP EXTRACT - COST CENTRE'!B248</f>
        <v>0</v>
      </c>
      <c r="D249" s="10" t="str">
        <f>IFERROR(VLOOKUP(E249,'TRANS EMP EXTRACT - EMP CATEGOR'!A:C,3,FALSE),"")</f>
        <v/>
      </c>
      <c r="E249" s="11">
        <f>'TRANS EMP EXTRACT - COST CENTRE'!D248</f>
        <v>0</v>
      </c>
      <c r="F249" s="10" t="str">
        <f>IFERROR(VLOOKUP(E249,'TRANS EMP EXTRACT - COST CENTRE'!D:E,2,FALSE),"")</f>
        <v/>
      </c>
      <c r="G249" s="12" t="str">
        <f>IFERROR(INDEX('TRANS EMP EXTRACT - COST CENTRE'!$A$1:$Z$455,MATCH('Summary - Monthly'!$A249,'TRANS EMP EXTRACT - COST CENTRE'!$A:$A,0),MATCH('Summary - Monthly'!G$3,'TRANS EMP EXTRACT - COST CENTRE'!$2:$2,0)),"")</f>
        <v/>
      </c>
      <c r="H249" s="10"/>
      <c r="I249" s="12"/>
      <c r="J249" s="41">
        <f t="shared" ca="1" si="44"/>
        <v>0</v>
      </c>
      <c r="K249" s="41">
        <f t="shared" ca="1" si="48"/>
        <v>0</v>
      </c>
      <c r="AC249" s="8"/>
      <c r="AM249" s="10">
        <f t="shared" si="51"/>
        <v>0</v>
      </c>
      <c r="AN249" s="14">
        <f t="shared" si="45"/>
        <v>0</v>
      </c>
      <c r="AO249" s="18">
        <f t="shared" si="49"/>
        <v>0</v>
      </c>
      <c r="AP249" s="18">
        <f t="shared" si="50"/>
        <v>0</v>
      </c>
      <c r="AQ249" s="10" t="str">
        <f>IFERROR(VLOOKUP(B249,Departments!A:C,3,FALSE),"")</f>
        <v/>
      </c>
      <c r="AR249" s="10" t="str">
        <f>IFERROR(VLOOKUP(B249,Departments!A:B,2,FALSE),"")</f>
        <v/>
      </c>
      <c r="AS249" s="10">
        <f t="shared" si="46"/>
        <v>0</v>
      </c>
      <c r="AT249" s="10">
        <f t="shared" si="47"/>
        <v>0</v>
      </c>
      <c r="AU249" s="10" t="str">
        <f>_xlfn.IFNA(VLOOKUP(B249,Departments!A:D,4,FALSE),"")</f>
        <v/>
      </c>
    </row>
    <row r="250" spans="1:47" ht="14.45" customHeight="1">
      <c r="A250" s="11" t="str">
        <f t="shared" si="43"/>
        <v>00</v>
      </c>
      <c r="B250" s="11">
        <f>'TRANS EMP EXTRACT - COST CENTRE'!B249</f>
        <v>0</v>
      </c>
      <c r="D250" s="10" t="str">
        <f>IFERROR(VLOOKUP(E250,'TRANS EMP EXTRACT - EMP CATEGOR'!A:C,3,FALSE),"")</f>
        <v/>
      </c>
      <c r="E250" s="11">
        <f>'TRANS EMP EXTRACT - COST CENTRE'!D249</f>
        <v>0</v>
      </c>
      <c r="F250" s="10" t="str">
        <f>IFERROR(VLOOKUP(E250,'TRANS EMP EXTRACT - COST CENTRE'!D:E,2,FALSE),"")</f>
        <v/>
      </c>
      <c r="G250" s="12" t="str">
        <f>IFERROR(INDEX('TRANS EMP EXTRACT - COST CENTRE'!$A$1:$Z$455,MATCH('Summary - Monthly'!$A250,'TRANS EMP EXTRACT - COST CENTRE'!$A:$A,0),MATCH('Summary - Monthly'!G$3,'TRANS EMP EXTRACT - COST CENTRE'!$2:$2,0)),"")</f>
        <v/>
      </c>
      <c r="H250" s="10"/>
      <c r="I250" s="12"/>
      <c r="J250" s="41">
        <f t="shared" ca="1" si="44"/>
        <v>0</v>
      </c>
      <c r="K250" s="41">
        <f t="shared" ca="1" si="48"/>
        <v>0</v>
      </c>
      <c r="AC250" s="8"/>
      <c r="AM250" s="10">
        <f t="shared" si="51"/>
        <v>0</v>
      </c>
      <c r="AN250" s="14">
        <f t="shared" si="45"/>
        <v>0</v>
      </c>
      <c r="AO250" s="18">
        <f t="shared" si="49"/>
        <v>0</v>
      </c>
      <c r="AP250" s="18">
        <f t="shared" si="50"/>
        <v>0</v>
      </c>
      <c r="AQ250" s="10" t="str">
        <f>IFERROR(VLOOKUP(B250,Departments!A:C,3,FALSE),"")</f>
        <v/>
      </c>
      <c r="AR250" s="10" t="str">
        <f>IFERROR(VLOOKUP(B250,Departments!A:B,2,FALSE),"")</f>
        <v/>
      </c>
      <c r="AS250" s="10">
        <f t="shared" si="46"/>
        <v>0</v>
      </c>
      <c r="AT250" s="10">
        <f t="shared" si="47"/>
        <v>0</v>
      </c>
      <c r="AU250" s="10" t="str">
        <f>_xlfn.IFNA(VLOOKUP(B250,Departments!A:D,4,FALSE),"")</f>
        <v/>
      </c>
    </row>
    <row r="251" spans="1:47" ht="14.45" customHeight="1">
      <c r="A251" s="11" t="str">
        <f t="shared" si="43"/>
        <v>00</v>
      </c>
      <c r="B251" s="11">
        <f>'TRANS EMP EXTRACT - COST CENTRE'!B250</f>
        <v>0</v>
      </c>
      <c r="D251" s="10" t="str">
        <f>IFERROR(VLOOKUP(E251,'TRANS EMP EXTRACT - EMP CATEGOR'!A:C,3,FALSE),"")</f>
        <v/>
      </c>
      <c r="E251" s="11">
        <f>'TRANS EMP EXTRACT - COST CENTRE'!D250</f>
        <v>0</v>
      </c>
      <c r="F251" s="10" t="str">
        <f>IFERROR(VLOOKUP(E251,'TRANS EMP EXTRACT - COST CENTRE'!D:E,2,FALSE),"")</f>
        <v/>
      </c>
      <c r="G251" s="12" t="str">
        <f>IFERROR(INDEX('TRANS EMP EXTRACT - COST CENTRE'!$A$1:$Z$455,MATCH('Summary - Monthly'!$A251,'TRANS EMP EXTRACT - COST CENTRE'!$A:$A,0),MATCH('Summary - Monthly'!G$3,'TRANS EMP EXTRACT - COST CENTRE'!$2:$2,0)),"")</f>
        <v/>
      </c>
      <c r="H251" s="10"/>
      <c r="I251" s="12"/>
      <c r="J251" s="41">
        <f t="shared" ca="1" si="44"/>
        <v>0</v>
      </c>
      <c r="K251" s="41">
        <f t="shared" ca="1" si="48"/>
        <v>0</v>
      </c>
      <c r="AC251" s="8"/>
      <c r="AM251" s="10">
        <f t="shared" si="51"/>
        <v>0</v>
      </c>
      <c r="AN251" s="14">
        <f t="shared" si="45"/>
        <v>0</v>
      </c>
      <c r="AO251" s="18">
        <f t="shared" si="49"/>
        <v>0</v>
      </c>
      <c r="AP251" s="18">
        <f t="shared" si="50"/>
        <v>0</v>
      </c>
      <c r="AQ251" s="10" t="str">
        <f>IFERROR(VLOOKUP(B251,Departments!A:C,3,FALSE),"")</f>
        <v/>
      </c>
      <c r="AR251" s="10" t="str">
        <f>IFERROR(VLOOKUP(B251,Departments!A:B,2,FALSE),"")</f>
        <v/>
      </c>
      <c r="AS251" s="10">
        <f t="shared" si="46"/>
        <v>0</v>
      </c>
      <c r="AT251" s="10">
        <f t="shared" si="47"/>
        <v>0</v>
      </c>
      <c r="AU251" s="10" t="str">
        <f>_xlfn.IFNA(VLOOKUP(B251,Departments!A:D,4,FALSE),"")</f>
        <v/>
      </c>
    </row>
    <row r="252" spans="1:47" ht="14.45" customHeight="1">
      <c r="A252" s="11" t="str">
        <f t="shared" si="43"/>
        <v>00</v>
      </c>
      <c r="B252" s="11">
        <f>'TRANS EMP EXTRACT - COST CENTRE'!B251</f>
        <v>0</v>
      </c>
      <c r="D252" s="10" t="str">
        <f>IFERROR(VLOOKUP(E252,'TRANS EMP EXTRACT - EMP CATEGOR'!A:C,3,FALSE),"")</f>
        <v/>
      </c>
      <c r="E252" s="11">
        <f>'TRANS EMP EXTRACT - COST CENTRE'!D251</f>
        <v>0</v>
      </c>
      <c r="F252" s="10" t="str">
        <f>IFERROR(VLOOKUP(E252,'TRANS EMP EXTRACT - COST CENTRE'!D:E,2,FALSE),"")</f>
        <v/>
      </c>
      <c r="G252" s="12" t="str">
        <f>IFERROR(INDEX('TRANS EMP EXTRACT - COST CENTRE'!$A$1:$Z$455,MATCH('Summary - Monthly'!$A252,'TRANS EMP EXTRACT - COST CENTRE'!$A:$A,0),MATCH('Summary - Monthly'!G$3,'TRANS EMP EXTRACT - COST CENTRE'!$2:$2,0)),"")</f>
        <v/>
      </c>
      <c r="H252" s="10"/>
      <c r="I252" s="12"/>
      <c r="J252" s="41">
        <f t="shared" ca="1" si="44"/>
        <v>0</v>
      </c>
      <c r="K252" s="41">
        <f t="shared" ca="1" si="48"/>
        <v>0</v>
      </c>
      <c r="AC252" s="8"/>
      <c r="AM252" s="10">
        <f t="shared" si="51"/>
        <v>0</v>
      </c>
      <c r="AN252" s="14">
        <f t="shared" si="45"/>
        <v>0</v>
      </c>
      <c r="AO252" s="18">
        <f t="shared" si="49"/>
        <v>0</v>
      </c>
      <c r="AP252" s="18">
        <f t="shared" si="50"/>
        <v>0</v>
      </c>
      <c r="AQ252" s="10" t="str">
        <f>IFERROR(VLOOKUP(B252,Departments!A:C,3,FALSE),"")</f>
        <v/>
      </c>
      <c r="AR252" s="10" t="str">
        <f>IFERROR(VLOOKUP(B252,Departments!A:B,2,FALSE),"")</f>
        <v/>
      </c>
      <c r="AS252" s="10">
        <f t="shared" si="46"/>
        <v>0</v>
      </c>
      <c r="AT252" s="10">
        <f t="shared" si="47"/>
        <v>0</v>
      </c>
      <c r="AU252" s="10" t="str">
        <f>_xlfn.IFNA(VLOOKUP(B252,Departments!A:D,4,FALSE),"")</f>
        <v/>
      </c>
    </row>
    <row r="253" spans="1:47" ht="14.45" customHeight="1">
      <c r="A253" s="11" t="str">
        <f t="shared" si="43"/>
        <v>00</v>
      </c>
      <c r="B253" s="11">
        <f>'TRANS EMP EXTRACT - COST CENTRE'!B252</f>
        <v>0</v>
      </c>
      <c r="D253" s="10" t="str">
        <f>IFERROR(VLOOKUP(E253,'TRANS EMP EXTRACT - EMP CATEGOR'!A:C,3,FALSE),"")</f>
        <v/>
      </c>
      <c r="E253" s="11">
        <f>'TRANS EMP EXTRACT - COST CENTRE'!D252</f>
        <v>0</v>
      </c>
      <c r="F253" s="10" t="str">
        <f>IFERROR(VLOOKUP(E253,'TRANS EMP EXTRACT - COST CENTRE'!D:E,2,FALSE),"")</f>
        <v/>
      </c>
      <c r="G253" s="12" t="str">
        <f>IFERROR(INDEX('TRANS EMP EXTRACT - COST CENTRE'!$A$1:$Z$455,MATCH('Summary - Monthly'!$A253,'TRANS EMP EXTRACT - COST CENTRE'!$A:$A,0),MATCH('Summary - Monthly'!G$3,'TRANS EMP EXTRACT - COST CENTRE'!$2:$2,0)),"")</f>
        <v/>
      </c>
      <c r="H253" s="10"/>
      <c r="I253" s="12"/>
      <c r="J253" s="41">
        <f t="shared" ca="1" si="44"/>
        <v>0</v>
      </c>
      <c r="K253" s="41">
        <f t="shared" ca="1" si="48"/>
        <v>0</v>
      </c>
      <c r="AC253" s="8"/>
      <c r="AM253" s="10">
        <f t="shared" si="51"/>
        <v>0</v>
      </c>
      <c r="AN253" s="14">
        <f t="shared" si="45"/>
        <v>0</v>
      </c>
      <c r="AO253" s="18">
        <f t="shared" si="49"/>
        <v>0</v>
      </c>
      <c r="AP253" s="18">
        <f t="shared" si="50"/>
        <v>0</v>
      </c>
      <c r="AQ253" s="10" t="str">
        <f>IFERROR(VLOOKUP(B253,Departments!A:C,3,FALSE),"")</f>
        <v/>
      </c>
      <c r="AR253" s="10" t="str">
        <f>IFERROR(VLOOKUP(B253,Departments!A:B,2,FALSE),"")</f>
        <v/>
      </c>
      <c r="AS253" s="10">
        <f t="shared" si="46"/>
        <v>0</v>
      </c>
      <c r="AT253" s="10">
        <f t="shared" si="47"/>
        <v>0</v>
      </c>
      <c r="AU253" s="10" t="str">
        <f>_xlfn.IFNA(VLOOKUP(B253,Departments!A:D,4,FALSE),"")</f>
        <v/>
      </c>
    </row>
    <row r="254" spans="1:47" ht="14.45" customHeight="1">
      <c r="A254" s="11" t="str">
        <f t="shared" si="43"/>
        <v>00</v>
      </c>
      <c r="B254" s="11">
        <f>'TRANS EMP EXTRACT - COST CENTRE'!B253</f>
        <v>0</v>
      </c>
      <c r="D254" s="10" t="str">
        <f>IFERROR(VLOOKUP(E254,'TRANS EMP EXTRACT - EMP CATEGOR'!A:C,3,FALSE),"")</f>
        <v/>
      </c>
      <c r="E254" s="11">
        <f>'TRANS EMP EXTRACT - COST CENTRE'!D253</f>
        <v>0</v>
      </c>
      <c r="F254" s="10" t="str">
        <f>IFERROR(VLOOKUP(E254,'TRANS EMP EXTRACT - COST CENTRE'!D:E,2,FALSE),"")</f>
        <v/>
      </c>
      <c r="G254" s="12" t="str">
        <f>IFERROR(INDEX('TRANS EMP EXTRACT - COST CENTRE'!$A$1:$Z$455,MATCH('Summary - Monthly'!$A254,'TRANS EMP EXTRACT - COST CENTRE'!$A:$A,0),MATCH('Summary - Monthly'!G$3,'TRANS EMP EXTRACT - COST CENTRE'!$2:$2,0)),"")</f>
        <v/>
      </c>
      <c r="H254" s="10"/>
      <c r="I254" s="12"/>
      <c r="J254" s="41">
        <f t="shared" ca="1" si="44"/>
        <v>0</v>
      </c>
      <c r="K254" s="41">
        <f t="shared" ca="1" si="48"/>
        <v>0</v>
      </c>
      <c r="AC254" s="8"/>
      <c r="AM254" s="10">
        <f t="shared" si="51"/>
        <v>0</v>
      </c>
      <c r="AN254" s="14">
        <f t="shared" si="45"/>
        <v>0</v>
      </c>
      <c r="AO254" s="18">
        <f t="shared" si="49"/>
        <v>0</v>
      </c>
      <c r="AP254" s="18">
        <f t="shared" si="50"/>
        <v>0</v>
      </c>
      <c r="AQ254" s="10" t="str">
        <f>IFERROR(VLOOKUP(B254,Departments!A:C,3,FALSE),"")</f>
        <v/>
      </c>
      <c r="AR254" s="10" t="str">
        <f>IFERROR(VLOOKUP(B254,Departments!A:B,2,FALSE),"")</f>
        <v/>
      </c>
      <c r="AS254" s="10">
        <f t="shared" si="46"/>
        <v>0</v>
      </c>
      <c r="AT254" s="10">
        <f t="shared" si="47"/>
        <v>0</v>
      </c>
      <c r="AU254" s="10" t="str">
        <f>_xlfn.IFNA(VLOOKUP(B254,Departments!A:D,4,FALSE),"")</f>
        <v/>
      </c>
    </row>
    <row r="255" spans="1:47" ht="14.45" customHeight="1">
      <c r="A255" s="11" t="str">
        <f t="shared" si="43"/>
        <v>00</v>
      </c>
      <c r="B255" s="11">
        <f>'TRANS EMP EXTRACT - COST CENTRE'!B254</f>
        <v>0</v>
      </c>
      <c r="D255" s="10" t="str">
        <f>IFERROR(VLOOKUP(E255,'TRANS EMP EXTRACT - EMP CATEGOR'!A:C,3,FALSE),"")</f>
        <v/>
      </c>
      <c r="E255" s="11">
        <f>'TRANS EMP EXTRACT - COST CENTRE'!D254</f>
        <v>0</v>
      </c>
      <c r="F255" s="10" t="str">
        <f>IFERROR(VLOOKUP(E255,'TRANS EMP EXTRACT - COST CENTRE'!D:E,2,FALSE),"")</f>
        <v/>
      </c>
      <c r="G255" s="12" t="str">
        <f>IFERROR(INDEX('TRANS EMP EXTRACT - COST CENTRE'!$A$1:$Z$455,MATCH('Summary - Monthly'!$A255,'TRANS EMP EXTRACT - COST CENTRE'!$A:$A,0),MATCH('Summary - Monthly'!G$3,'TRANS EMP EXTRACT - COST CENTRE'!$2:$2,0)),"")</f>
        <v/>
      </c>
      <c r="H255" s="10"/>
      <c r="I255" s="12"/>
      <c r="J255" s="41">
        <f t="shared" ca="1" si="44"/>
        <v>0</v>
      </c>
      <c r="K255" s="41">
        <f t="shared" ca="1" si="48"/>
        <v>0</v>
      </c>
      <c r="AC255" s="8"/>
      <c r="AM255" s="10">
        <f t="shared" si="51"/>
        <v>0</v>
      </c>
      <c r="AN255" s="14">
        <f t="shared" si="45"/>
        <v>0</v>
      </c>
      <c r="AO255" s="18">
        <f t="shared" si="49"/>
        <v>0</v>
      </c>
      <c r="AP255" s="18">
        <f t="shared" si="50"/>
        <v>0</v>
      </c>
      <c r="AQ255" s="10" t="str">
        <f>IFERROR(VLOOKUP(B255,Departments!A:C,3,FALSE),"")</f>
        <v/>
      </c>
      <c r="AR255" s="10" t="str">
        <f>IFERROR(VLOOKUP(B255,Departments!A:B,2,FALSE),"")</f>
        <v/>
      </c>
      <c r="AS255" s="10">
        <f t="shared" si="46"/>
        <v>0</v>
      </c>
      <c r="AT255" s="10">
        <f t="shared" si="47"/>
        <v>0</v>
      </c>
      <c r="AU255" s="10" t="str">
        <f>_xlfn.IFNA(VLOOKUP(B255,Departments!A:D,4,FALSE),"")</f>
        <v/>
      </c>
    </row>
    <row r="256" spans="1:47" ht="14.45" customHeight="1">
      <c r="A256" s="11" t="str">
        <f t="shared" si="43"/>
        <v>00</v>
      </c>
      <c r="B256" s="11">
        <f>'TRANS EMP EXTRACT - COST CENTRE'!B255</f>
        <v>0</v>
      </c>
      <c r="D256" s="10" t="str">
        <f>IFERROR(VLOOKUP(E256,'TRANS EMP EXTRACT - EMP CATEGOR'!A:C,3,FALSE),"")</f>
        <v/>
      </c>
      <c r="E256" s="11">
        <f>'TRANS EMP EXTRACT - COST CENTRE'!D255</f>
        <v>0</v>
      </c>
      <c r="F256" s="10" t="str">
        <f>IFERROR(VLOOKUP(E256,'TRANS EMP EXTRACT - COST CENTRE'!D:E,2,FALSE),"")</f>
        <v/>
      </c>
      <c r="G256" s="12" t="str">
        <f>IFERROR(INDEX('TRANS EMP EXTRACT - COST CENTRE'!$A$1:$Z$455,MATCH('Summary - Monthly'!$A256,'TRANS EMP EXTRACT - COST CENTRE'!$A:$A,0),MATCH('Summary - Monthly'!G$3,'TRANS EMP EXTRACT - COST CENTRE'!$2:$2,0)),"")</f>
        <v/>
      </c>
      <c r="H256" s="10"/>
      <c r="I256" s="12"/>
      <c r="J256" s="41">
        <f t="shared" ca="1" si="44"/>
        <v>0</v>
      </c>
      <c r="K256" s="41">
        <f t="shared" ca="1" si="48"/>
        <v>0</v>
      </c>
      <c r="AC256" s="8"/>
      <c r="AM256" s="10">
        <f t="shared" si="51"/>
        <v>0</v>
      </c>
      <c r="AN256" s="14">
        <f t="shared" si="45"/>
        <v>0</v>
      </c>
      <c r="AO256" s="18">
        <f t="shared" si="49"/>
        <v>0</v>
      </c>
      <c r="AP256" s="18">
        <f t="shared" si="50"/>
        <v>0</v>
      </c>
      <c r="AQ256" s="10" t="str">
        <f>IFERROR(VLOOKUP(B256,Departments!A:C,3,FALSE),"")</f>
        <v/>
      </c>
      <c r="AR256" s="10" t="str">
        <f>IFERROR(VLOOKUP(B256,Departments!A:B,2,FALSE),"")</f>
        <v/>
      </c>
      <c r="AS256" s="10">
        <f t="shared" si="46"/>
        <v>0</v>
      </c>
      <c r="AT256" s="10">
        <f t="shared" si="47"/>
        <v>0</v>
      </c>
      <c r="AU256" s="10" t="str">
        <f>_xlfn.IFNA(VLOOKUP(B256,Departments!A:D,4,FALSE),"")</f>
        <v/>
      </c>
    </row>
    <row r="257" spans="1:47" ht="14.45" customHeight="1">
      <c r="A257" s="11" t="str">
        <f t="shared" si="43"/>
        <v>00</v>
      </c>
      <c r="B257" s="11">
        <f>'TRANS EMP EXTRACT - COST CENTRE'!B256</f>
        <v>0</v>
      </c>
      <c r="D257" s="10" t="str">
        <f>IFERROR(VLOOKUP(E257,'TRANS EMP EXTRACT - EMP CATEGOR'!A:C,3,FALSE),"")</f>
        <v/>
      </c>
      <c r="E257" s="11">
        <f>'TRANS EMP EXTRACT - COST CENTRE'!D256</f>
        <v>0</v>
      </c>
      <c r="F257" s="10" t="str">
        <f>IFERROR(VLOOKUP(E257,'TRANS EMP EXTRACT - COST CENTRE'!D:E,2,FALSE),"")</f>
        <v/>
      </c>
      <c r="G257" s="12" t="str">
        <f>IFERROR(INDEX('TRANS EMP EXTRACT - COST CENTRE'!$A$1:$Z$455,MATCH('Summary - Monthly'!$A257,'TRANS EMP EXTRACT - COST CENTRE'!$A:$A,0),MATCH('Summary - Monthly'!G$3,'TRANS EMP EXTRACT - COST CENTRE'!$2:$2,0)),"")</f>
        <v/>
      </c>
      <c r="H257" s="10"/>
      <c r="I257" s="12"/>
      <c r="J257" s="41">
        <f t="shared" ca="1" si="44"/>
        <v>0</v>
      </c>
      <c r="K257" s="41">
        <f t="shared" ca="1" si="48"/>
        <v>0</v>
      </c>
      <c r="AC257" s="8"/>
      <c r="AM257" s="10">
        <f t="shared" si="51"/>
        <v>0</v>
      </c>
      <c r="AN257" s="14">
        <f t="shared" si="45"/>
        <v>0</v>
      </c>
      <c r="AO257" s="18">
        <f t="shared" si="49"/>
        <v>0</v>
      </c>
      <c r="AP257" s="18">
        <f t="shared" si="50"/>
        <v>0</v>
      </c>
      <c r="AQ257" s="10" t="str">
        <f>IFERROR(VLOOKUP(B257,Departments!A:C,3,FALSE),"")</f>
        <v/>
      </c>
      <c r="AR257" s="10" t="str">
        <f>IFERROR(VLOOKUP(B257,Departments!A:B,2,FALSE),"")</f>
        <v/>
      </c>
      <c r="AS257" s="10">
        <f t="shared" si="46"/>
        <v>0</v>
      </c>
      <c r="AT257" s="10">
        <f t="shared" si="47"/>
        <v>0</v>
      </c>
      <c r="AU257" s="10" t="str">
        <f>_xlfn.IFNA(VLOOKUP(B257,Departments!A:D,4,FALSE),"")</f>
        <v/>
      </c>
    </row>
    <row r="258" spans="1:47" ht="14.45" customHeight="1">
      <c r="A258" s="11" t="str">
        <f t="shared" si="43"/>
        <v>00</v>
      </c>
      <c r="B258" s="11">
        <f>'TRANS EMP EXTRACT - COST CENTRE'!B257</f>
        <v>0</v>
      </c>
      <c r="D258" s="10" t="str">
        <f>IFERROR(VLOOKUP(E258,'TRANS EMP EXTRACT - EMP CATEGOR'!A:C,3,FALSE),"")</f>
        <v/>
      </c>
      <c r="E258" s="11">
        <f>'TRANS EMP EXTRACT - COST CENTRE'!D257</f>
        <v>0</v>
      </c>
      <c r="F258" s="10" t="str">
        <f>IFERROR(VLOOKUP(E258,'TRANS EMP EXTRACT - COST CENTRE'!D:E,2,FALSE),"")</f>
        <v/>
      </c>
      <c r="G258" s="12" t="str">
        <f>IFERROR(INDEX('TRANS EMP EXTRACT - COST CENTRE'!$A$1:$Z$455,MATCH('Summary - Monthly'!$A258,'TRANS EMP EXTRACT - COST CENTRE'!$A:$A,0),MATCH('Summary - Monthly'!G$3,'TRANS EMP EXTRACT - COST CENTRE'!$2:$2,0)),"")</f>
        <v/>
      </c>
      <c r="H258" s="10"/>
      <c r="I258" s="12"/>
      <c r="J258" s="41">
        <f t="shared" ca="1" si="44"/>
        <v>0</v>
      </c>
      <c r="K258" s="41">
        <f t="shared" ca="1" si="48"/>
        <v>0</v>
      </c>
      <c r="AC258" s="8"/>
      <c r="AM258" s="10">
        <f t="shared" si="51"/>
        <v>0</v>
      </c>
      <c r="AN258" s="14">
        <f t="shared" si="45"/>
        <v>0</v>
      </c>
      <c r="AO258" s="18">
        <f t="shared" si="49"/>
        <v>0</v>
      </c>
      <c r="AP258" s="18">
        <f t="shared" si="50"/>
        <v>0</v>
      </c>
      <c r="AQ258" s="10" t="str">
        <f>IFERROR(VLOOKUP(B258,Departments!A:C,3,FALSE),"")</f>
        <v/>
      </c>
      <c r="AR258" s="10" t="str">
        <f>IFERROR(VLOOKUP(B258,Departments!A:B,2,FALSE),"")</f>
        <v/>
      </c>
      <c r="AS258" s="10">
        <f t="shared" si="46"/>
        <v>0</v>
      </c>
      <c r="AT258" s="10">
        <f t="shared" si="47"/>
        <v>0</v>
      </c>
      <c r="AU258" s="10" t="str">
        <f>_xlfn.IFNA(VLOOKUP(B258,Departments!A:D,4,FALSE),"")</f>
        <v/>
      </c>
    </row>
    <row r="259" spans="1:47" ht="14.45" customHeight="1">
      <c r="A259" s="11" t="str">
        <f t="shared" si="43"/>
        <v>00</v>
      </c>
      <c r="B259" s="11">
        <f>'TRANS EMP EXTRACT - COST CENTRE'!B258</f>
        <v>0</v>
      </c>
      <c r="D259" s="10" t="str">
        <f>IFERROR(VLOOKUP(E259,'TRANS EMP EXTRACT - EMP CATEGOR'!A:C,3,FALSE),"")</f>
        <v/>
      </c>
      <c r="E259" s="11">
        <f>'TRANS EMP EXTRACT - COST CENTRE'!D258</f>
        <v>0</v>
      </c>
      <c r="F259" s="10" t="str">
        <f>IFERROR(VLOOKUP(E259,'TRANS EMP EXTRACT - COST CENTRE'!D:E,2,FALSE),"")</f>
        <v/>
      </c>
      <c r="G259" s="12" t="str">
        <f>IFERROR(INDEX('TRANS EMP EXTRACT - COST CENTRE'!$A$1:$Z$455,MATCH('Summary - Monthly'!$A259,'TRANS EMP EXTRACT - COST CENTRE'!$A:$A,0),MATCH('Summary - Monthly'!G$3,'TRANS EMP EXTRACT - COST CENTRE'!$2:$2,0)),"")</f>
        <v/>
      </c>
      <c r="H259" s="10"/>
      <c r="I259" s="12"/>
      <c r="J259" s="41">
        <f t="shared" ca="1" si="44"/>
        <v>0</v>
      </c>
      <c r="K259" s="41">
        <f t="shared" ca="1" si="48"/>
        <v>0</v>
      </c>
      <c r="AC259" s="8"/>
      <c r="AM259" s="10">
        <f t="shared" si="51"/>
        <v>0</v>
      </c>
      <c r="AN259" s="14">
        <f t="shared" si="45"/>
        <v>0</v>
      </c>
      <c r="AO259" s="18">
        <f t="shared" si="49"/>
        <v>0</v>
      </c>
      <c r="AP259" s="18">
        <f t="shared" si="50"/>
        <v>0</v>
      </c>
      <c r="AQ259" s="10" t="str">
        <f>IFERROR(VLOOKUP(B259,Departments!A:C,3,FALSE),"")</f>
        <v/>
      </c>
      <c r="AR259" s="10" t="str">
        <f>IFERROR(VLOOKUP(B259,Departments!A:B,2,FALSE),"")</f>
        <v/>
      </c>
      <c r="AS259" s="10">
        <f t="shared" si="46"/>
        <v>0</v>
      </c>
      <c r="AT259" s="10">
        <f t="shared" si="47"/>
        <v>0</v>
      </c>
      <c r="AU259" s="10" t="str">
        <f>_xlfn.IFNA(VLOOKUP(B259,Departments!A:D,4,FALSE),"")</f>
        <v/>
      </c>
    </row>
    <row r="260" spans="1:47" ht="14.45" customHeight="1">
      <c r="A260" s="11" t="str">
        <f t="shared" ref="A260:A269" si="52">B260&amp;E260</f>
        <v>00</v>
      </c>
      <c r="B260" s="11">
        <f>'TRANS EMP EXTRACT - COST CENTRE'!B259</f>
        <v>0</v>
      </c>
      <c r="D260" s="10" t="str">
        <f>IFERROR(VLOOKUP(E260,'TRANS EMP EXTRACT - EMP CATEGOR'!A:C,3,FALSE),"")</f>
        <v/>
      </c>
      <c r="E260" s="11">
        <f>'TRANS EMP EXTRACT - COST CENTRE'!D259</f>
        <v>0</v>
      </c>
      <c r="F260" s="10" t="str">
        <f>IFERROR(VLOOKUP(E260,'TRANS EMP EXTRACT - COST CENTRE'!D:E,2,FALSE),"")</f>
        <v/>
      </c>
      <c r="G260" s="12" t="str">
        <f>IFERROR(INDEX('TRANS EMP EXTRACT - COST CENTRE'!$A$1:$Z$455,MATCH('Summary - Monthly'!$A260,'TRANS EMP EXTRACT - COST CENTRE'!$A:$A,0),MATCH('Summary - Monthly'!G$3,'TRANS EMP EXTRACT - COST CENTRE'!$2:$2,0)),"")</f>
        <v/>
      </c>
      <c r="H260" s="10"/>
      <c r="I260" s="12"/>
      <c r="J260" s="41">
        <f t="shared" ref="J260:J269" ca="1" si="53">getSLBalance(E260)</f>
        <v>0</v>
      </c>
      <c r="K260" s="41">
        <f t="shared" ca="1" si="48"/>
        <v>0</v>
      </c>
      <c r="AC260" s="8"/>
      <c r="AM260" s="10">
        <f t="shared" si="51"/>
        <v>0</v>
      </c>
      <c r="AN260" s="14">
        <f t="shared" ref="AN260:AN269" si="54">SUM(Q260:S260)/$AP$2</f>
        <v>0</v>
      </c>
      <c r="AO260" s="18">
        <f t="shared" si="49"/>
        <v>0</v>
      </c>
      <c r="AP260" s="18">
        <f t="shared" si="50"/>
        <v>0</v>
      </c>
      <c r="AQ260" s="10" t="str">
        <f>IFERROR(VLOOKUP(B260,Departments!A:C,3,FALSE),"")</f>
        <v/>
      </c>
      <c r="AR260" s="10" t="str">
        <f>IFERROR(VLOOKUP(B260,Departments!A:B,2,FALSE),"")</f>
        <v/>
      </c>
      <c r="AS260" s="10">
        <f t="shared" ref="AS260:AS266" si="55">V260+Y260+Z260+AA260+AD260</f>
        <v>0</v>
      </c>
      <c r="AT260" s="10">
        <f t="shared" ref="AT260:AT266" si="56">U260+V260+W260+X260+Y260+Z260+AA260+AB260+AC260+AD260+AE260+AF260</f>
        <v>0</v>
      </c>
      <c r="AU260" s="10" t="str">
        <f>_xlfn.IFNA(VLOOKUP(B260,Departments!A:D,4,FALSE),"")</f>
        <v/>
      </c>
    </row>
    <row r="261" spans="1:47" ht="14.45" customHeight="1">
      <c r="A261" s="11" t="str">
        <f t="shared" si="52"/>
        <v>00</v>
      </c>
      <c r="B261" s="11">
        <f>'TRANS EMP EXTRACT - COST CENTRE'!B260</f>
        <v>0</v>
      </c>
      <c r="D261" s="10" t="str">
        <f>IFERROR(VLOOKUP(E261,'TRANS EMP EXTRACT - EMP CATEGOR'!A:C,3,FALSE),"")</f>
        <v/>
      </c>
      <c r="E261" s="11">
        <f>'TRANS EMP EXTRACT - COST CENTRE'!D260</f>
        <v>0</v>
      </c>
      <c r="F261" s="10" t="str">
        <f>IFERROR(VLOOKUP(E261,'TRANS EMP EXTRACT - COST CENTRE'!D:E,2,FALSE),"")</f>
        <v/>
      </c>
      <c r="G261" s="12" t="str">
        <f>IFERROR(INDEX('TRANS EMP EXTRACT - COST CENTRE'!$A$1:$Z$455,MATCH('Summary - Monthly'!$A261,'TRANS EMP EXTRACT - COST CENTRE'!$A:$A,0),MATCH('Summary - Monthly'!G$3,'TRANS EMP EXTRACT - COST CENTRE'!$2:$2,0)),"")</f>
        <v/>
      </c>
      <c r="H261" s="10"/>
      <c r="I261" s="12"/>
      <c r="J261" s="41">
        <f t="shared" ca="1" si="53"/>
        <v>0</v>
      </c>
      <c r="K261" s="41">
        <f t="shared" ref="K261:K269" ca="1" si="57">getALBalance(E261)</f>
        <v>0</v>
      </c>
      <c r="AC261" s="8"/>
      <c r="AM261" s="10">
        <f t="shared" si="51"/>
        <v>0</v>
      </c>
      <c r="AN261" s="14">
        <f t="shared" si="54"/>
        <v>0</v>
      </c>
      <c r="AO261" s="18">
        <f t="shared" ref="AO261:AO266" si="58">AM261/$AP$2</f>
        <v>0</v>
      </c>
      <c r="AP261" s="18">
        <f t="shared" ref="AP261:AP266" si="59">(AM261-SUM(U261:Y261)-SUM(AD261:AF261))/$AP$2</f>
        <v>0</v>
      </c>
      <c r="AQ261" s="10" t="str">
        <f>IFERROR(VLOOKUP(B261,Departments!A:C,3,FALSE),"")</f>
        <v/>
      </c>
      <c r="AR261" s="10" t="str">
        <f>IFERROR(VLOOKUP(B261,Departments!A:B,2,FALSE),"")</f>
        <v/>
      </c>
      <c r="AS261" s="10">
        <f t="shared" si="55"/>
        <v>0</v>
      </c>
      <c r="AT261" s="10">
        <f t="shared" si="56"/>
        <v>0</v>
      </c>
      <c r="AU261" s="10" t="str">
        <f>_xlfn.IFNA(VLOOKUP(B261,Departments!A:D,4,FALSE),"")</f>
        <v/>
      </c>
    </row>
    <row r="262" spans="1:47" ht="14.45" customHeight="1">
      <c r="A262" s="11" t="str">
        <f t="shared" si="52"/>
        <v>00</v>
      </c>
      <c r="B262" s="11">
        <f>'TRANS EMP EXTRACT - COST CENTRE'!B261</f>
        <v>0</v>
      </c>
      <c r="D262" s="10" t="str">
        <f>IFERROR(VLOOKUP(E262,'TRANS EMP EXTRACT - EMP CATEGOR'!A:C,3,FALSE),"")</f>
        <v/>
      </c>
      <c r="E262" s="11">
        <f>'TRANS EMP EXTRACT - COST CENTRE'!D261</f>
        <v>0</v>
      </c>
      <c r="F262" s="10" t="str">
        <f>IFERROR(VLOOKUP(E262,'TRANS EMP EXTRACT - COST CENTRE'!D:E,2,FALSE),"")</f>
        <v/>
      </c>
      <c r="G262" s="12" t="str">
        <f>IFERROR(INDEX('TRANS EMP EXTRACT - COST CENTRE'!$A$1:$Z$455,MATCH('Summary - Monthly'!$A262,'TRANS EMP EXTRACT - COST CENTRE'!$A:$A,0),MATCH('Summary - Monthly'!G$3,'TRANS EMP EXTRACT - COST CENTRE'!$2:$2,0)),"")</f>
        <v/>
      </c>
      <c r="H262" s="10"/>
      <c r="I262" s="12"/>
      <c r="J262" s="41">
        <f t="shared" ca="1" si="53"/>
        <v>0</v>
      </c>
      <c r="K262" s="41">
        <f t="shared" ca="1" si="57"/>
        <v>0</v>
      </c>
      <c r="AC262" s="8"/>
      <c r="AM262" s="10">
        <f t="shared" si="51"/>
        <v>0</v>
      </c>
      <c r="AN262" s="14">
        <f t="shared" si="54"/>
        <v>0</v>
      </c>
      <c r="AO262" s="18">
        <f t="shared" si="58"/>
        <v>0</v>
      </c>
      <c r="AP262" s="18">
        <f t="shared" si="59"/>
        <v>0</v>
      </c>
      <c r="AQ262" s="10" t="str">
        <f>IFERROR(VLOOKUP(B262,Departments!A:C,3,FALSE),"")</f>
        <v/>
      </c>
      <c r="AR262" s="10" t="str">
        <f>IFERROR(VLOOKUP(B262,Departments!A:B,2,FALSE),"")</f>
        <v/>
      </c>
      <c r="AS262" s="10">
        <f t="shared" si="55"/>
        <v>0</v>
      </c>
      <c r="AT262" s="10">
        <f t="shared" si="56"/>
        <v>0</v>
      </c>
      <c r="AU262" s="10" t="str">
        <f>_xlfn.IFNA(VLOOKUP(B262,Departments!A:D,4,FALSE),"")</f>
        <v/>
      </c>
    </row>
    <row r="263" spans="1:47" ht="14.45" customHeight="1">
      <c r="A263" s="11" t="str">
        <f t="shared" si="52"/>
        <v>00</v>
      </c>
      <c r="B263" s="11">
        <f>'TRANS EMP EXTRACT - COST CENTRE'!B262</f>
        <v>0</v>
      </c>
      <c r="D263" s="10" t="str">
        <f>IFERROR(VLOOKUP(E263,'TRANS EMP EXTRACT - EMP CATEGOR'!A:C,3,FALSE),"")</f>
        <v/>
      </c>
      <c r="E263" s="11">
        <f>'TRANS EMP EXTRACT - COST CENTRE'!D262</f>
        <v>0</v>
      </c>
      <c r="F263" s="10" t="str">
        <f>IFERROR(VLOOKUP(E263,'TRANS EMP EXTRACT - COST CENTRE'!D:E,2,FALSE),"")</f>
        <v/>
      </c>
      <c r="G263" s="12" t="str">
        <f>IFERROR(INDEX('TRANS EMP EXTRACT - COST CENTRE'!$A$1:$Z$455,MATCH('Summary - Monthly'!$A263,'TRANS EMP EXTRACT - COST CENTRE'!$A:$A,0),MATCH('Summary - Monthly'!G$3,'TRANS EMP EXTRACT - COST CENTRE'!$2:$2,0)),"")</f>
        <v/>
      </c>
      <c r="H263" s="10"/>
      <c r="I263" s="12"/>
      <c r="J263" s="41">
        <f t="shared" ca="1" si="53"/>
        <v>0</v>
      </c>
      <c r="K263" s="41">
        <f t="shared" ca="1" si="57"/>
        <v>0</v>
      </c>
      <c r="AC263" s="8"/>
      <c r="AM263" s="10">
        <f t="shared" si="51"/>
        <v>0</v>
      </c>
      <c r="AN263" s="14">
        <f t="shared" si="54"/>
        <v>0</v>
      </c>
      <c r="AO263" s="18">
        <f t="shared" si="58"/>
        <v>0</v>
      </c>
      <c r="AP263" s="18">
        <f t="shared" si="59"/>
        <v>0</v>
      </c>
      <c r="AQ263" s="10" t="str">
        <f>IFERROR(VLOOKUP(B263,Departments!A:C,3,FALSE),"")</f>
        <v/>
      </c>
      <c r="AR263" s="10" t="str">
        <f>IFERROR(VLOOKUP(B263,Departments!A:B,2,FALSE),"")</f>
        <v/>
      </c>
      <c r="AS263" s="10">
        <f t="shared" si="55"/>
        <v>0</v>
      </c>
      <c r="AT263" s="10">
        <f t="shared" si="56"/>
        <v>0</v>
      </c>
      <c r="AU263" s="10" t="str">
        <f>_xlfn.IFNA(VLOOKUP(B263,Departments!A:D,4,FALSE),"")</f>
        <v/>
      </c>
    </row>
    <row r="264" spans="1:47" ht="14.45" customHeight="1">
      <c r="A264" s="11" t="str">
        <f t="shared" si="52"/>
        <v>00</v>
      </c>
      <c r="B264" s="11">
        <f>'TRANS EMP EXTRACT - COST CENTRE'!B263</f>
        <v>0</v>
      </c>
      <c r="D264" s="10" t="str">
        <f>IFERROR(VLOOKUP(E264,'TRANS EMP EXTRACT - EMP CATEGOR'!A:C,3,FALSE),"")</f>
        <v/>
      </c>
      <c r="E264" s="11">
        <f>'TRANS EMP EXTRACT - COST CENTRE'!D263</f>
        <v>0</v>
      </c>
      <c r="F264" s="10" t="str">
        <f>IFERROR(VLOOKUP(E264,'TRANS EMP EXTRACT - COST CENTRE'!D:E,2,FALSE),"")</f>
        <v/>
      </c>
      <c r="G264" s="12" t="str">
        <f>IFERROR(INDEX('TRANS EMP EXTRACT - COST CENTRE'!$A$1:$Z$455,MATCH('Summary - Monthly'!$A264,'TRANS EMP EXTRACT - COST CENTRE'!$A:$A,0),MATCH('Summary - Monthly'!G$3,'TRANS EMP EXTRACT - COST CENTRE'!$2:$2,0)),"")</f>
        <v/>
      </c>
      <c r="H264" s="10"/>
      <c r="I264" s="12"/>
      <c r="J264" s="41">
        <f t="shared" ca="1" si="53"/>
        <v>0</v>
      </c>
      <c r="K264" s="41">
        <f t="shared" ca="1" si="57"/>
        <v>0</v>
      </c>
      <c r="AC264" s="8"/>
      <c r="AM264" s="10">
        <f t="shared" si="51"/>
        <v>0</v>
      </c>
      <c r="AN264" s="14">
        <f t="shared" si="54"/>
        <v>0</v>
      </c>
      <c r="AO264" s="18">
        <f t="shared" si="58"/>
        <v>0</v>
      </c>
      <c r="AP264" s="18">
        <f t="shared" si="59"/>
        <v>0</v>
      </c>
      <c r="AQ264" s="10" t="str">
        <f>IFERROR(VLOOKUP(B264,Departments!A:C,3,FALSE),"")</f>
        <v/>
      </c>
      <c r="AR264" s="10" t="str">
        <f>IFERROR(VLOOKUP(B264,Departments!A:B,2,FALSE),"")</f>
        <v/>
      </c>
      <c r="AS264" s="10">
        <f t="shared" si="55"/>
        <v>0</v>
      </c>
      <c r="AT264" s="10">
        <f t="shared" si="56"/>
        <v>0</v>
      </c>
      <c r="AU264" s="10" t="str">
        <f>_xlfn.IFNA(VLOOKUP(B264,Departments!A:D,4,FALSE),"")</f>
        <v/>
      </c>
    </row>
    <row r="265" spans="1:47" ht="14.45" customHeight="1">
      <c r="A265" s="11" t="str">
        <f t="shared" si="52"/>
        <v>00</v>
      </c>
      <c r="B265" s="11">
        <f>'TRANS EMP EXTRACT - COST CENTRE'!B264</f>
        <v>0</v>
      </c>
      <c r="D265" s="10" t="str">
        <f>IFERROR(VLOOKUP(E265,'TRANS EMP EXTRACT - EMP CATEGOR'!A:C,3,FALSE),"")</f>
        <v/>
      </c>
      <c r="E265" s="11">
        <f>'TRANS EMP EXTRACT - COST CENTRE'!D264</f>
        <v>0</v>
      </c>
      <c r="F265" s="10" t="str">
        <f>IFERROR(VLOOKUP(E265,'TRANS EMP EXTRACT - COST CENTRE'!D:E,2,FALSE),"")</f>
        <v/>
      </c>
      <c r="G265" s="12" t="str">
        <f>IFERROR(INDEX('TRANS EMP EXTRACT - COST CENTRE'!$A$1:$Z$455,MATCH('Summary - Monthly'!$A265,'TRANS EMP EXTRACT - COST CENTRE'!$A:$A,0),MATCH('Summary - Monthly'!G$3,'TRANS EMP EXTRACT - COST CENTRE'!$2:$2,0)),"")</f>
        <v/>
      </c>
      <c r="H265" s="10"/>
      <c r="I265" s="12"/>
      <c r="J265" s="41">
        <f t="shared" ca="1" si="53"/>
        <v>0</v>
      </c>
      <c r="K265" s="41">
        <f t="shared" ca="1" si="57"/>
        <v>0</v>
      </c>
      <c r="AC265" s="8"/>
      <c r="AM265" s="10">
        <f t="shared" si="51"/>
        <v>0</v>
      </c>
      <c r="AN265" s="14">
        <f t="shared" si="54"/>
        <v>0</v>
      </c>
      <c r="AO265" s="18">
        <f t="shared" si="58"/>
        <v>0</v>
      </c>
      <c r="AP265" s="18">
        <f t="shared" si="59"/>
        <v>0</v>
      </c>
      <c r="AQ265" s="10" t="str">
        <f>IFERROR(VLOOKUP(B265,Departments!A:C,3,FALSE),"")</f>
        <v/>
      </c>
      <c r="AR265" s="10" t="str">
        <f>IFERROR(VLOOKUP(B265,Departments!A:B,2,FALSE),"")</f>
        <v/>
      </c>
      <c r="AS265" s="10">
        <f t="shared" si="55"/>
        <v>0</v>
      </c>
      <c r="AT265" s="10">
        <f t="shared" si="56"/>
        <v>0</v>
      </c>
      <c r="AU265" s="10" t="str">
        <f>_xlfn.IFNA(VLOOKUP(B265,Departments!A:D,4,FALSE),"")</f>
        <v/>
      </c>
    </row>
    <row r="266" spans="1:47" ht="14.45" customHeight="1">
      <c r="A266" s="11" t="str">
        <f t="shared" si="52"/>
        <v>00</v>
      </c>
      <c r="B266" s="11">
        <f>'TRANS EMP EXTRACT - COST CENTRE'!B265</f>
        <v>0</v>
      </c>
      <c r="D266" s="10" t="str">
        <f>IFERROR(VLOOKUP(E266,'TRANS EMP EXTRACT - EMP CATEGOR'!A:C,3,FALSE),"")</f>
        <v/>
      </c>
      <c r="E266" s="11">
        <f>'TRANS EMP EXTRACT - COST CENTRE'!D265</f>
        <v>0</v>
      </c>
      <c r="F266" s="10" t="str">
        <f>IFERROR(VLOOKUP(E266,'TRANS EMP EXTRACT - COST CENTRE'!D:E,2,FALSE),"")</f>
        <v/>
      </c>
      <c r="G266" s="12" t="str">
        <f>IFERROR(INDEX('TRANS EMP EXTRACT - COST CENTRE'!$A$1:$Z$455,MATCH('Summary - Monthly'!$A266,'TRANS EMP EXTRACT - COST CENTRE'!$A:$A,0),MATCH('Summary - Monthly'!G$3,'TRANS EMP EXTRACT - COST CENTRE'!$2:$2,0)),"")</f>
        <v/>
      </c>
      <c r="H266" s="10"/>
      <c r="I266" s="12"/>
      <c r="J266" s="41">
        <f t="shared" ca="1" si="53"/>
        <v>0</v>
      </c>
      <c r="K266" s="41">
        <f t="shared" ca="1" si="57"/>
        <v>0</v>
      </c>
      <c r="AC266" s="8"/>
      <c r="AM266" s="10">
        <f t="shared" si="51"/>
        <v>0</v>
      </c>
      <c r="AN266" s="14">
        <f t="shared" si="54"/>
        <v>0</v>
      </c>
      <c r="AO266" s="18">
        <f t="shared" si="58"/>
        <v>0</v>
      </c>
      <c r="AP266" s="18">
        <f t="shared" si="59"/>
        <v>0</v>
      </c>
      <c r="AQ266" s="10" t="str">
        <f>IFERROR(VLOOKUP(B266,Departments!A:C,3,FALSE),"")</f>
        <v/>
      </c>
      <c r="AR266" s="10" t="str">
        <f>IFERROR(VLOOKUP(B266,Departments!A:B,2,FALSE),"")</f>
        <v/>
      </c>
      <c r="AS266" s="10">
        <f t="shared" si="55"/>
        <v>0</v>
      </c>
      <c r="AT266" s="10">
        <f t="shared" si="56"/>
        <v>0</v>
      </c>
      <c r="AU266" s="10" t="str">
        <f>_xlfn.IFNA(VLOOKUP(B266,Departments!A:D,4,FALSE),"")</f>
        <v/>
      </c>
    </row>
    <row r="267" spans="1:47">
      <c r="A267" s="11" t="str">
        <f t="shared" si="52"/>
        <v>00</v>
      </c>
      <c r="B267" s="11">
        <f>'TRANS EMP EXTRACT - COST CENTRE'!B266</f>
        <v>0</v>
      </c>
      <c r="D267" s="10" t="str">
        <f>IFERROR(VLOOKUP(E267,'TRANS EMP EXTRACT - EMP CATEGOR'!A:C,3,FALSE),"")</f>
        <v/>
      </c>
      <c r="E267" s="11">
        <f>'TRANS EMP EXTRACT - COST CENTRE'!D266</f>
        <v>0</v>
      </c>
      <c r="F267" s="10" t="str">
        <f>IFERROR(VLOOKUP(E267,'TRANS EMP EXTRACT - COST CENTRE'!D:E,2,FALSE),"")</f>
        <v/>
      </c>
      <c r="G267" s="12" t="str">
        <f>IFERROR(INDEX('TRANS EMP EXTRACT - COST CENTRE'!$A$1:$Z$455,MATCH('Summary - Monthly'!$A267,'TRANS EMP EXTRACT - COST CENTRE'!$A:$A,0),MATCH('Summary - Monthly'!G$3,'TRANS EMP EXTRACT - COST CENTRE'!$2:$2,0)),"")</f>
        <v/>
      </c>
      <c r="J267" s="41">
        <f t="shared" ca="1" si="53"/>
        <v>0</v>
      </c>
      <c r="K267" s="41">
        <f t="shared" ca="1" si="57"/>
        <v>0</v>
      </c>
      <c r="U267" s="16"/>
      <c r="V267" s="16"/>
      <c r="W267" s="16"/>
      <c r="X267" s="16"/>
      <c r="Y267" s="16"/>
      <c r="AD267" s="13">
        <f>IFERROR(INDEX('TRANS EMP EXTRACT - COST CENTRE'!$A$1:$Z$455,MATCH('Summary - Monthly'!$A267,'TRANS EMP EXTRACT - COST CENTRE'!$A:$A,0),MATCH('Summary - Monthly'!AD$3,'TRANS EMP EXTRACT - COST CENTRE'!$2:$2,0)),0)</f>
        <v>0</v>
      </c>
      <c r="AE267" s="14">
        <f t="shared" ref="AE267:AF267" si="60">SUM(AE4:AE266)</f>
        <v>0</v>
      </c>
      <c r="AF267" s="14">
        <f t="shared" si="60"/>
        <v>0</v>
      </c>
      <c r="AM267" s="14">
        <f>SUM(AM4:AM266)</f>
        <v>19365.949299999993</v>
      </c>
      <c r="AN267" s="14">
        <f t="shared" si="54"/>
        <v>0</v>
      </c>
      <c r="AO267" s="14">
        <f>SUM(AO4:AO266)</f>
        <v>127.40756118421056</v>
      </c>
      <c r="AP267" s="14">
        <f>SUM(AP4:AP266)</f>
        <v>116.22137697368419</v>
      </c>
      <c r="AQ267" s="10" t="str">
        <f>IFERROR(VLOOKUP(B267,Departments!A:C,3,FALSE),"")</f>
        <v/>
      </c>
      <c r="AR267" s="10" t="str">
        <f>IFERROR(VLOOKUP(B267,Departments!A:B,2,FALSE),"")</f>
        <v/>
      </c>
      <c r="AS267" s="10">
        <f t="shared" ref="AS267:AS269" si="61">V267+Y267+Z267+AA267+AD267</f>
        <v>0</v>
      </c>
      <c r="AT267" s="10">
        <f t="shared" ref="AT267:AT269" si="62">U267+V267+W267+X267+Y267+Z267+AA267+AB267+AC267+AD267+AE267+AF267</f>
        <v>0</v>
      </c>
      <c r="AU267" s="10" t="str">
        <f>_xlfn.IFNA(VLOOKUP(B267,Departments!A:D,4,FALSE),"")</f>
        <v/>
      </c>
    </row>
    <row r="268" spans="1:47">
      <c r="A268" s="11" t="str">
        <f t="shared" si="52"/>
        <v>00</v>
      </c>
      <c r="B268" s="11">
        <f>'TRANS EMP EXTRACT - COST CENTRE'!B267</f>
        <v>0</v>
      </c>
      <c r="D268" s="10" t="str">
        <f>IFERROR(VLOOKUP(E268,'TRANS EMP EXTRACT - EMP CATEGOR'!A:C,3,FALSE),"")</f>
        <v/>
      </c>
      <c r="E268" s="11">
        <f>'TRANS EMP EXTRACT - COST CENTRE'!D267</f>
        <v>0</v>
      </c>
      <c r="F268" s="10" t="str">
        <f>IFERROR(VLOOKUP(E268,'TRANS EMP EXTRACT - COST CENTRE'!D:E,2,FALSE),"")</f>
        <v/>
      </c>
      <c r="G268" s="12" t="str">
        <f>IFERROR(INDEX('TRANS EMP EXTRACT - COST CENTRE'!$A$1:$Z$455,MATCH('Summary - Monthly'!$A268,'TRANS EMP EXTRACT - COST CENTRE'!$A:$A,0),MATCH('Summary - Monthly'!G$3,'TRANS EMP EXTRACT - COST CENTRE'!$2:$2,0)),"")</f>
        <v/>
      </c>
      <c r="J268" s="41">
        <f t="shared" ca="1" si="53"/>
        <v>0</v>
      </c>
      <c r="K268" s="41">
        <f t="shared" ca="1" si="57"/>
        <v>0</v>
      </c>
      <c r="AM268" s="19">
        <f>+AM267-19886</f>
        <v>-520.05070000000705</v>
      </c>
      <c r="AN268" s="14">
        <f t="shared" si="54"/>
        <v>0</v>
      </c>
      <c r="AO268" s="10">
        <f>+AM267/152</f>
        <v>127.40756118421048</v>
      </c>
      <c r="AP268" s="14">
        <f>+AP267*152</f>
        <v>17665.649299999997</v>
      </c>
      <c r="AQ268" s="10" t="str">
        <f>IFERROR(VLOOKUP(B268,Departments!A:C,3,FALSE),"")</f>
        <v/>
      </c>
      <c r="AR268" s="10" t="str">
        <f>IFERROR(VLOOKUP(B268,Departments!A:B,2,FALSE),"")</f>
        <v/>
      </c>
      <c r="AS268" s="10">
        <f t="shared" si="61"/>
        <v>0</v>
      </c>
      <c r="AT268" s="10">
        <f t="shared" si="62"/>
        <v>0</v>
      </c>
      <c r="AU268" s="10" t="str">
        <f>_xlfn.IFNA(VLOOKUP(B268,Departments!A:D,4,FALSE),"")</f>
        <v/>
      </c>
    </row>
    <row r="269" spans="1:47">
      <c r="A269" s="11" t="str">
        <f t="shared" si="52"/>
        <v>00</v>
      </c>
      <c r="B269" s="11">
        <f>'TRANS EMP EXTRACT - COST CENTRE'!B268</f>
        <v>0</v>
      </c>
      <c r="D269" s="10" t="str">
        <f>IFERROR(VLOOKUP(E269,'TRANS EMP EXTRACT - EMP CATEGOR'!A:C,3,FALSE),"")</f>
        <v/>
      </c>
      <c r="E269" s="11">
        <f>'TRANS EMP EXTRACT - COST CENTRE'!D268</f>
        <v>0</v>
      </c>
      <c r="F269" s="10" t="str">
        <f>IFERROR(VLOOKUP(E269,'TRANS EMP EXTRACT - COST CENTRE'!D:E,2,FALSE),"")</f>
        <v/>
      </c>
      <c r="G269" s="12" t="str">
        <f>IFERROR(INDEX('TRANS EMP EXTRACT - COST CENTRE'!$A$1:$Z$455,MATCH('Summary - Monthly'!$A269,'TRANS EMP EXTRACT - COST CENTRE'!$A:$A,0),MATCH('Summary - Monthly'!G$3,'TRANS EMP EXTRACT - COST CENTRE'!$2:$2,0)),"")</f>
        <v/>
      </c>
      <c r="J269" s="41">
        <f t="shared" ca="1" si="53"/>
        <v>0</v>
      </c>
      <c r="K269" s="41">
        <f t="shared" ca="1" si="57"/>
        <v>0</v>
      </c>
      <c r="AM269" s="10">
        <f>+AM268/152</f>
        <v>-3.4213861842105726</v>
      </c>
      <c r="AN269" s="14">
        <f t="shared" si="54"/>
        <v>0</v>
      </c>
      <c r="AP269" s="10" t="e">
        <f>+AP268/'[1]Summary - Monthly'!$AM$268</f>
        <v>#DIV/0!</v>
      </c>
      <c r="AQ269" s="10" t="str">
        <f>IFERROR(VLOOKUP(B269,Departments!A:C,3,FALSE),"")</f>
        <v/>
      </c>
      <c r="AR269" s="10" t="str">
        <f>IFERROR(VLOOKUP(B269,Departments!A:B,2,FALSE),"")</f>
        <v/>
      </c>
      <c r="AS269" s="10">
        <f t="shared" si="61"/>
        <v>0</v>
      </c>
      <c r="AT269" s="10">
        <f t="shared" si="62"/>
        <v>0</v>
      </c>
      <c r="AU269" s="10" t="str">
        <f>_xlfn.IFNA(VLOOKUP(B269,Departments!A:D,4,FALSE),"")</f>
        <v/>
      </c>
    </row>
  </sheetData>
  <autoFilter ref="A3:AU269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FTEReportAllStates">
                <anchor>
                  <from>
                    <xdr:col>4</xdr:col>
                    <xdr:colOff>323850</xdr:colOff>
                    <xdr:row>0</xdr:row>
                    <xdr:rowOff>28575</xdr:rowOff>
                  </from>
                  <to>
                    <xdr:col>5</xdr:col>
                    <xdr:colOff>2162175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BG283"/>
  <sheetViews>
    <sheetView topLeftCell="A126" zoomScale="90" zoomScaleNormal="90" workbookViewId="0">
      <selection activeCell="B149" sqref="B149:AF157"/>
    </sheetView>
  </sheetViews>
  <sheetFormatPr defaultColWidth="9.140625" defaultRowHeight="15"/>
  <cols>
    <col min="1" max="1" width="14.140625" style="4" customWidth="1"/>
    <col min="2" max="2" width="20.140625" customWidth="1"/>
    <col min="3" max="3" width="31.85546875" customWidth="1"/>
    <col min="4" max="4" width="8.7109375"/>
    <col min="5" max="5" width="36.5703125" customWidth="1"/>
    <col min="6" max="6" width="12.42578125" customWidth="1"/>
    <col min="7" max="8" width="8.7109375"/>
    <col min="9" max="9" width="11.7109375"/>
    <col min="10" max="10" width="21.85546875" style="7" customWidth="1"/>
    <col min="11" max="12" width="9.5703125"/>
    <col min="13" max="13" width="19.85546875" customWidth="1"/>
    <col min="14" max="14" width="9.5703125"/>
    <col min="15" max="15" width="10.5703125"/>
    <col min="16" max="16" width="9.5703125"/>
    <col min="17" max="22" width="8.7109375"/>
    <col min="23" max="25" width="9.5703125"/>
  </cols>
  <sheetData>
    <row r="1" spans="1:59" s="1" customFormat="1">
      <c r="A1" s="5"/>
      <c r="B1" t="s">
        <v>235</v>
      </c>
      <c r="C1" t="s">
        <v>543</v>
      </c>
      <c r="D1" t="s">
        <v>544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</row>
    <row r="2" spans="1:59" s="1" customFormat="1">
      <c r="A2" s="5"/>
      <c r="B2" t="s">
        <v>9</v>
      </c>
      <c r="C2" t="s">
        <v>236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26</v>
      </c>
      <c r="P2" t="s">
        <v>27</v>
      </c>
      <c r="Q2" t="s">
        <v>30</v>
      </c>
      <c r="R2" t="s">
        <v>31</v>
      </c>
      <c r="S2" t="s">
        <v>32</v>
      </c>
      <c r="T2" t="s">
        <v>33</v>
      </c>
      <c r="U2" t="s">
        <v>537</v>
      </c>
      <c r="V2" t="s">
        <v>538</v>
      </c>
      <c r="W2" t="s">
        <v>42</v>
      </c>
      <c r="X2" t="s">
        <v>39</v>
      </c>
      <c r="Y2" t="s">
        <v>40</v>
      </c>
      <c r="Z2"/>
      <c r="AA2"/>
      <c r="AB2"/>
      <c r="AC2" t="s">
        <v>39</v>
      </c>
      <c r="AD2" t="s">
        <v>40</v>
      </c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</row>
    <row r="3" spans="1:59" s="1" customFormat="1">
      <c r="A3" s="4" t="str">
        <f t="shared" ref="A3:A34" si="0">B3&amp;D3</f>
        <v>1202301118999</v>
      </c>
      <c r="B3">
        <v>12023011</v>
      </c>
      <c r="C3" t="s">
        <v>237</v>
      </c>
      <c r="D3">
        <v>18999</v>
      </c>
      <c r="E3" t="s">
        <v>219</v>
      </c>
      <c r="F3" s="6">
        <v>44663</v>
      </c>
      <c r="G3"/>
      <c r="H3" t="s">
        <v>54</v>
      </c>
      <c r="I3">
        <v>91.2</v>
      </c>
      <c r="J3"/>
      <c r="K3">
        <v>30.4</v>
      </c>
      <c r="L3"/>
      <c r="M3">
        <v>2</v>
      </c>
      <c r="N3"/>
      <c r="O3">
        <v>30.4</v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</row>
    <row r="4" spans="1:59" s="1" customFormat="1">
      <c r="A4" s="4" t="str">
        <f t="shared" si="0"/>
        <v>1202102119033</v>
      </c>
      <c r="B4">
        <v>12021021</v>
      </c>
      <c r="C4" t="s">
        <v>239</v>
      </c>
      <c r="D4">
        <v>19033</v>
      </c>
      <c r="E4" t="s">
        <v>200</v>
      </c>
      <c r="F4" s="6">
        <v>44802</v>
      </c>
      <c r="G4"/>
      <c r="H4" t="s">
        <v>54</v>
      </c>
      <c r="I4">
        <v>145.35</v>
      </c>
      <c r="J4"/>
      <c r="K4"/>
      <c r="L4"/>
      <c r="M4">
        <v>14.3835</v>
      </c>
      <c r="N4"/>
      <c r="O4"/>
      <c r="P4">
        <v>6.6</v>
      </c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</row>
    <row r="5" spans="1:59">
      <c r="A5" s="4" t="str">
        <f t="shared" si="0"/>
        <v>1202301118962</v>
      </c>
      <c r="B5">
        <v>12023011</v>
      </c>
      <c r="C5" t="s">
        <v>237</v>
      </c>
      <c r="D5">
        <v>18962</v>
      </c>
      <c r="E5" t="s">
        <v>215</v>
      </c>
      <c r="F5" s="6">
        <v>44424</v>
      </c>
      <c r="H5" t="s">
        <v>72</v>
      </c>
      <c r="I5">
        <v>152</v>
      </c>
      <c r="J5"/>
    </row>
    <row r="6" spans="1:59">
      <c r="A6" s="4" t="str">
        <f t="shared" si="0"/>
        <v>1203080018989</v>
      </c>
      <c r="B6">
        <v>12030800</v>
      </c>
      <c r="C6" t="s">
        <v>132</v>
      </c>
      <c r="D6">
        <v>18989</v>
      </c>
      <c r="E6" t="s">
        <v>230</v>
      </c>
      <c r="F6" s="6">
        <v>44571</v>
      </c>
      <c r="H6" t="s">
        <v>54</v>
      </c>
      <c r="J6"/>
      <c r="O6">
        <v>76</v>
      </c>
    </row>
    <row r="7" spans="1:59">
      <c r="A7" s="4" t="str">
        <f t="shared" si="0"/>
        <v>1202071118954</v>
      </c>
      <c r="B7">
        <v>12020711</v>
      </c>
      <c r="C7" t="s">
        <v>240</v>
      </c>
      <c r="D7">
        <v>18954</v>
      </c>
      <c r="E7" t="s">
        <v>211</v>
      </c>
      <c r="F7" s="6">
        <v>44382</v>
      </c>
      <c r="H7" t="s">
        <v>72</v>
      </c>
      <c r="I7">
        <v>152</v>
      </c>
      <c r="J7"/>
    </row>
    <row r="8" spans="1:59">
      <c r="A8" s="4" t="str">
        <f t="shared" si="0"/>
        <v>1202061118866</v>
      </c>
      <c r="B8">
        <v>12020611</v>
      </c>
      <c r="C8" t="s">
        <v>241</v>
      </c>
      <c r="D8">
        <v>18866</v>
      </c>
      <c r="E8" t="s">
        <v>204</v>
      </c>
      <c r="F8" s="6">
        <v>43528</v>
      </c>
      <c r="H8" t="s">
        <v>54</v>
      </c>
      <c r="I8">
        <v>100.8</v>
      </c>
      <c r="J8"/>
      <c r="L8">
        <v>30.4</v>
      </c>
      <c r="O8">
        <v>15.2</v>
      </c>
      <c r="P8">
        <v>5.6</v>
      </c>
    </row>
    <row r="9" spans="1:59">
      <c r="A9" s="4" t="str">
        <f t="shared" si="0"/>
        <v>1202809918836</v>
      </c>
      <c r="B9">
        <v>12028099</v>
      </c>
      <c r="C9" t="s">
        <v>255</v>
      </c>
      <c r="D9">
        <v>18836</v>
      </c>
      <c r="E9" t="s">
        <v>202</v>
      </c>
      <c r="F9" s="6">
        <v>43353</v>
      </c>
      <c r="H9" t="s">
        <v>54</v>
      </c>
      <c r="I9">
        <v>152</v>
      </c>
      <c r="J9"/>
    </row>
    <row r="10" spans="1:59">
      <c r="A10" s="4" t="str">
        <f t="shared" si="0"/>
        <v>1202301119026</v>
      </c>
      <c r="B10">
        <v>12023011</v>
      </c>
      <c r="C10" t="s">
        <v>237</v>
      </c>
      <c r="D10">
        <v>19026</v>
      </c>
      <c r="E10" t="s">
        <v>222</v>
      </c>
      <c r="F10" s="6">
        <v>44774</v>
      </c>
      <c r="H10" t="s">
        <v>54</v>
      </c>
      <c r="I10">
        <v>91.2</v>
      </c>
      <c r="J10"/>
      <c r="M10">
        <v>2</v>
      </c>
    </row>
    <row r="11" spans="1:59">
      <c r="A11" s="4" t="str">
        <f t="shared" si="0"/>
        <v>1202301119046</v>
      </c>
      <c r="B11">
        <v>12023011</v>
      </c>
      <c r="C11" t="s">
        <v>237</v>
      </c>
      <c r="D11">
        <v>19046</v>
      </c>
      <c r="E11" t="s">
        <v>516</v>
      </c>
      <c r="F11" s="6">
        <v>44893</v>
      </c>
      <c r="H11" t="s">
        <v>54</v>
      </c>
      <c r="I11">
        <v>144.4</v>
      </c>
      <c r="J11"/>
      <c r="M11">
        <v>3</v>
      </c>
      <c r="P11">
        <v>7.6</v>
      </c>
    </row>
    <row r="12" spans="1:59">
      <c r="A12" s="4" t="str">
        <f t="shared" si="0"/>
        <v>1204809919031</v>
      </c>
      <c r="B12">
        <v>12048099</v>
      </c>
      <c r="C12" t="s">
        <v>245</v>
      </c>
      <c r="D12">
        <v>19031</v>
      </c>
      <c r="E12" t="s">
        <v>153</v>
      </c>
      <c r="F12" s="6">
        <v>44795</v>
      </c>
      <c r="H12" t="s">
        <v>72</v>
      </c>
      <c r="I12">
        <v>144.4</v>
      </c>
      <c r="J12"/>
      <c r="P12">
        <v>7.6</v>
      </c>
    </row>
    <row r="13" spans="1:59">
      <c r="A13" s="4" t="str">
        <f t="shared" si="0"/>
        <v>1202809919055</v>
      </c>
      <c r="B13">
        <v>12028099</v>
      </c>
      <c r="C13" t="s">
        <v>255</v>
      </c>
      <c r="D13">
        <v>19055</v>
      </c>
      <c r="E13" t="s">
        <v>531</v>
      </c>
      <c r="F13" s="6">
        <v>44942</v>
      </c>
      <c r="G13" s="6">
        <v>44981</v>
      </c>
      <c r="H13" t="s">
        <v>72</v>
      </c>
      <c r="I13">
        <v>136.80000000000001</v>
      </c>
      <c r="J13"/>
      <c r="X13">
        <v>16.657499999999999</v>
      </c>
      <c r="Y13">
        <v>16.657499999999999</v>
      </c>
    </row>
    <row r="14" spans="1:59">
      <c r="A14" s="4" t="str">
        <f t="shared" si="0"/>
        <v>1202102118733</v>
      </c>
      <c r="B14">
        <v>12021021</v>
      </c>
      <c r="C14" t="s">
        <v>239</v>
      </c>
      <c r="D14">
        <v>18733</v>
      </c>
      <c r="E14" t="s">
        <v>189</v>
      </c>
      <c r="F14" s="6">
        <v>42562</v>
      </c>
      <c r="H14" t="s">
        <v>54</v>
      </c>
      <c r="I14">
        <v>128.2833</v>
      </c>
      <c r="J14"/>
      <c r="M14">
        <v>6.4333999999999998</v>
      </c>
      <c r="O14">
        <v>7.6</v>
      </c>
      <c r="P14">
        <v>15.2</v>
      </c>
    </row>
    <row r="15" spans="1:59">
      <c r="A15" s="4" t="str">
        <f t="shared" si="0"/>
        <v>1202080019051</v>
      </c>
      <c r="B15">
        <v>12020800</v>
      </c>
      <c r="C15" t="s">
        <v>238</v>
      </c>
      <c r="D15">
        <v>19051</v>
      </c>
      <c r="E15" t="s">
        <v>532</v>
      </c>
      <c r="F15" s="6">
        <v>44909</v>
      </c>
      <c r="H15" t="s">
        <v>54</v>
      </c>
      <c r="I15">
        <v>76</v>
      </c>
      <c r="J15"/>
      <c r="K15">
        <v>30.4</v>
      </c>
      <c r="O15">
        <v>15.2</v>
      </c>
    </row>
    <row r="16" spans="1:59">
      <c r="A16" s="4" t="str">
        <f t="shared" si="0"/>
        <v>1203301118923</v>
      </c>
      <c r="B16">
        <v>12033011</v>
      </c>
      <c r="C16" t="s">
        <v>246</v>
      </c>
      <c r="D16">
        <v>18923</v>
      </c>
      <c r="E16" t="s">
        <v>77</v>
      </c>
      <c r="F16" s="6">
        <v>44092</v>
      </c>
      <c r="H16" t="s">
        <v>54</v>
      </c>
      <c r="I16">
        <v>129.19999999999999</v>
      </c>
      <c r="J16"/>
      <c r="M16">
        <v>5.0498000000000003</v>
      </c>
      <c r="O16">
        <v>22.8</v>
      </c>
    </row>
    <row r="17" spans="1:30">
      <c r="A17" s="4" t="str">
        <f t="shared" si="0"/>
        <v>1206061118634</v>
      </c>
      <c r="B17">
        <v>12060611</v>
      </c>
      <c r="C17" t="s">
        <v>247</v>
      </c>
      <c r="D17">
        <v>18634</v>
      </c>
      <c r="E17" t="s">
        <v>177</v>
      </c>
      <c r="F17" s="6">
        <v>41920</v>
      </c>
      <c r="H17" t="s">
        <v>54</v>
      </c>
      <c r="J17"/>
      <c r="O17">
        <v>46.8</v>
      </c>
      <c r="R17">
        <v>15.6</v>
      </c>
    </row>
    <row r="18" spans="1:30">
      <c r="A18" s="4" t="str">
        <f t="shared" si="0"/>
        <v>1202071118</v>
      </c>
      <c r="B18">
        <v>12020711</v>
      </c>
      <c r="C18" t="s">
        <v>240</v>
      </c>
      <c r="D18">
        <v>18</v>
      </c>
      <c r="E18" t="s">
        <v>213</v>
      </c>
      <c r="F18" s="6">
        <v>36557</v>
      </c>
      <c r="H18" t="s">
        <v>54</v>
      </c>
      <c r="I18">
        <v>66</v>
      </c>
      <c r="J18"/>
      <c r="M18">
        <v>4</v>
      </c>
    </row>
    <row r="19" spans="1:30">
      <c r="A19" s="4" t="str">
        <f t="shared" si="0"/>
        <v>1202061118589</v>
      </c>
      <c r="B19">
        <v>12020611</v>
      </c>
      <c r="C19" t="s">
        <v>241</v>
      </c>
      <c r="D19">
        <v>18589</v>
      </c>
      <c r="E19" t="s">
        <v>205</v>
      </c>
      <c r="F19" s="6">
        <v>41423</v>
      </c>
      <c r="H19" t="s">
        <v>54</v>
      </c>
      <c r="I19">
        <v>121.6</v>
      </c>
      <c r="J19"/>
      <c r="L19">
        <v>30.4</v>
      </c>
      <c r="N19">
        <v>0.5</v>
      </c>
    </row>
    <row r="20" spans="1:30">
      <c r="A20" s="4" t="str">
        <f t="shared" si="0"/>
        <v>1201325018987</v>
      </c>
      <c r="B20">
        <v>12013250</v>
      </c>
      <c r="C20" t="s">
        <v>249</v>
      </c>
      <c r="D20">
        <v>18987</v>
      </c>
      <c r="E20" t="s">
        <v>186</v>
      </c>
      <c r="F20" s="6">
        <v>44571</v>
      </c>
      <c r="H20" t="s">
        <v>72</v>
      </c>
      <c r="I20">
        <v>152</v>
      </c>
      <c r="J20"/>
      <c r="AC20">
        <v>0</v>
      </c>
      <c r="AD20">
        <v>39.145200000000003</v>
      </c>
    </row>
    <row r="21" spans="1:30">
      <c r="A21" s="4" t="str">
        <f t="shared" si="0"/>
        <v>1206301119043</v>
      </c>
      <c r="B21">
        <v>12063011</v>
      </c>
      <c r="C21" t="s">
        <v>293</v>
      </c>
      <c r="D21">
        <v>19043</v>
      </c>
      <c r="E21" t="s">
        <v>514</v>
      </c>
      <c r="F21" s="6">
        <v>44886</v>
      </c>
      <c r="H21" t="s">
        <v>54</v>
      </c>
      <c r="I21">
        <v>91.15</v>
      </c>
      <c r="J21"/>
      <c r="M21">
        <v>4.9500999999999999</v>
      </c>
      <c r="O21">
        <v>30.4</v>
      </c>
      <c r="R21">
        <v>30.4</v>
      </c>
    </row>
    <row r="22" spans="1:30">
      <c r="A22" s="4" t="str">
        <f t="shared" si="0"/>
        <v>1201919918741</v>
      </c>
      <c r="B22">
        <v>12019199</v>
      </c>
      <c r="C22" t="s">
        <v>250</v>
      </c>
      <c r="D22">
        <v>18741</v>
      </c>
      <c r="E22" t="s">
        <v>156</v>
      </c>
      <c r="F22" s="6">
        <v>42667</v>
      </c>
      <c r="H22" t="s">
        <v>72</v>
      </c>
      <c r="I22">
        <v>144.4</v>
      </c>
      <c r="J22"/>
      <c r="P22">
        <v>7.6</v>
      </c>
    </row>
    <row r="23" spans="1:30">
      <c r="A23" s="4" t="str">
        <f t="shared" si="0"/>
        <v>1202040018619</v>
      </c>
      <c r="B23">
        <v>12020400</v>
      </c>
      <c r="C23" t="s">
        <v>242</v>
      </c>
      <c r="D23">
        <v>18619</v>
      </c>
      <c r="E23" t="s">
        <v>203</v>
      </c>
      <c r="F23" s="6">
        <v>41715</v>
      </c>
      <c r="H23" t="s">
        <v>54</v>
      </c>
      <c r="I23">
        <v>144.4</v>
      </c>
      <c r="J23"/>
      <c r="P23">
        <v>7.6</v>
      </c>
    </row>
    <row r="24" spans="1:30">
      <c r="A24" s="4" t="str">
        <f t="shared" si="0"/>
        <v>1201859918862</v>
      </c>
      <c r="B24">
        <v>12018599</v>
      </c>
      <c r="C24" t="s">
        <v>251</v>
      </c>
      <c r="D24">
        <v>18862</v>
      </c>
      <c r="E24" t="s">
        <v>161</v>
      </c>
      <c r="F24" s="6">
        <v>43495</v>
      </c>
      <c r="H24" t="s">
        <v>54</v>
      </c>
      <c r="I24">
        <v>152</v>
      </c>
      <c r="J24"/>
    </row>
    <row r="25" spans="1:30">
      <c r="A25" s="4" t="str">
        <f t="shared" si="0"/>
        <v>1206080018953</v>
      </c>
      <c r="B25">
        <v>12060800</v>
      </c>
      <c r="C25" t="s">
        <v>130</v>
      </c>
      <c r="D25">
        <v>18953</v>
      </c>
      <c r="E25" t="s">
        <v>227</v>
      </c>
      <c r="F25" s="6">
        <v>44333</v>
      </c>
      <c r="H25" t="s">
        <v>54</v>
      </c>
      <c r="I25">
        <v>151.9666</v>
      </c>
      <c r="J25"/>
      <c r="M25">
        <v>4.75</v>
      </c>
    </row>
    <row r="26" spans="1:30">
      <c r="A26" s="4" t="str">
        <f t="shared" si="0"/>
        <v>1201919918550</v>
      </c>
      <c r="B26">
        <v>12019199</v>
      </c>
      <c r="C26" t="s">
        <v>250</v>
      </c>
      <c r="D26">
        <v>18550</v>
      </c>
      <c r="E26" t="s">
        <v>157</v>
      </c>
      <c r="F26" s="6">
        <v>41120</v>
      </c>
      <c r="H26" t="s">
        <v>72</v>
      </c>
      <c r="I26">
        <v>152</v>
      </c>
      <c r="J26"/>
      <c r="AC26">
        <v>55.802700000000002</v>
      </c>
      <c r="AD26">
        <v>55.802700000000002</v>
      </c>
    </row>
    <row r="27" spans="1:30">
      <c r="A27" s="4" t="str">
        <f t="shared" si="0"/>
        <v>1204301119039</v>
      </c>
      <c r="B27">
        <v>12043011</v>
      </c>
      <c r="C27" t="s">
        <v>253</v>
      </c>
      <c r="D27">
        <v>19039</v>
      </c>
      <c r="E27" t="s">
        <v>289</v>
      </c>
      <c r="F27" s="6">
        <v>44824</v>
      </c>
      <c r="H27" t="s">
        <v>54</v>
      </c>
      <c r="I27">
        <v>74.366600000000005</v>
      </c>
      <c r="J27"/>
      <c r="L27">
        <v>30.15</v>
      </c>
      <c r="M27">
        <v>0.35</v>
      </c>
      <c r="O27">
        <v>15.2</v>
      </c>
    </row>
    <row r="28" spans="1:30">
      <c r="A28" s="4" t="str">
        <f t="shared" si="0"/>
        <v>12013300220</v>
      </c>
      <c r="B28">
        <v>12013300</v>
      </c>
      <c r="C28" t="s">
        <v>244</v>
      </c>
      <c r="D28">
        <v>220</v>
      </c>
      <c r="E28" t="s">
        <v>163</v>
      </c>
      <c r="F28" s="6">
        <v>39251</v>
      </c>
      <c r="H28" t="s">
        <v>72</v>
      </c>
      <c r="I28">
        <v>152</v>
      </c>
      <c r="J28"/>
    </row>
    <row r="29" spans="1:30">
      <c r="A29" s="4" t="str">
        <f t="shared" si="0"/>
        <v>1206809918876</v>
      </c>
      <c r="B29">
        <v>12068099</v>
      </c>
      <c r="C29" t="s">
        <v>252</v>
      </c>
      <c r="D29">
        <v>18876</v>
      </c>
      <c r="E29" t="s">
        <v>104</v>
      </c>
      <c r="F29" s="6">
        <v>43584</v>
      </c>
      <c r="H29" t="s">
        <v>72</v>
      </c>
      <c r="I29">
        <v>144.4</v>
      </c>
      <c r="J29"/>
      <c r="O29">
        <v>7.6</v>
      </c>
    </row>
    <row r="30" spans="1:30">
      <c r="A30" s="4" t="str">
        <f t="shared" si="0"/>
        <v>1204301118942</v>
      </c>
      <c r="B30">
        <v>12043011</v>
      </c>
      <c r="C30" t="s">
        <v>253</v>
      </c>
      <c r="D30">
        <v>18942</v>
      </c>
      <c r="E30" t="s">
        <v>148</v>
      </c>
      <c r="F30" s="6">
        <v>44257</v>
      </c>
      <c r="H30" t="s">
        <v>54</v>
      </c>
      <c r="I30">
        <v>89.733400000000003</v>
      </c>
      <c r="J30"/>
      <c r="L30">
        <v>29.816700000000001</v>
      </c>
      <c r="M30">
        <v>0.18329999999999999</v>
      </c>
      <c r="O30">
        <v>9.1999999999999993</v>
      </c>
      <c r="P30">
        <v>21.2</v>
      </c>
    </row>
    <row r="31" spans="1:30">
      <c r="A31" s="4" t="str">
        <f t="shared" si="0"/>
        <v>1204251118650</v>
      </c>
      <c r="B31">
        <v>12042511</v>
      </c>
      <c r="C31" t="s">
        <v>254</v>
      </c>
      <c r="D31">
        <v>18650</v>
      </c>
      <c r="E31" t="s">
        <v>141</v>
      </c>
      <c r="F31" s="6">
        <v>39727</v>
      </c>
      <c r="H31" t="s">
        <v>54</v>
      </c>
      <c r="I31">
        <v>97.533299999999997</v>
      </c>
      <c r="J31"/>
      <c r="M31">
        <v>3.3300000000000003E-2</v>
      </c>
      <c r="O31">
        <v>15.2</v>
      </c>
      <c r="P31">
        <v>7.6</v>
      </c>
    </row>
    <row r="32" spans="1:30">
      <c r="A32" s="4" t="str">
        <f t="shared" si="0"/>
        <v>1201919919025</v>
      </c>
      <c r="B32">
        <v>12019199</v>
      </c>
      <c r="C32" t="s">
        <v>250</v>
      </c>
      <c r="D32">
        <v>19025</v>
      </c>
      <c r="E32" t="s">
        <v>160</v>
      </c>
      <c r="F32" s="6">
        <v>44767</v>
      </c>
      <c r="H32" t="s">
        <v>72</v>
      </c>
      <c r="I32">
        <v>139.80000000000001</v>
      </c>
      <c r="J32"/>
      <c r="P32">
        <v>12.2</v>
      </c>
    </row>
    <row r="33" spans="1:18">
      <c r="A33" s="4" t="str">
        <f t="shared" si="0"/>
        <v>1201330019056</v>
      </c>
      <c r="B33">
        <v>12013300</v>
      </c>
      <c r="C33" t="s">
        <v>244</v>
      </c>
      <c r="D33">
        <v>19056</v>
      </c>
      <c r="E33" t="s">
        <v>545</v>
      </c>
      <c r="F33" s="6">
        <v>44958</v>
      </c>
      <c r="H33" t="s">
        <v>72</v>
      </c>
      <c r="I33">
        <v>91.2</v>
      </c>
      <c r="J33"/>
    </row>
    <row r="34" spans="1:18">
      <c r="A34" s="4" t="str">
        <f t="shared" si="0"/>
        <v>1201919918853</v>
      </c>
      <c r="B34">
        <v>12019199</v>
      </c>
      <c r="C34" t="s">
        <v>250</v>
      </c>
      <c r="D34">
        <v>18853</v>
      </c>
      <c r="E34" t="s">
        <v>158</v>
      </c>
      <c r="F34" s="6">
        <v>43472</v>
      </c>
      <c r="H34" t="s">
        <v>72</v>
      </c>
      <c r="I34">
        <v>152</v>
      </c>
      <c r="J34"/>
    </row>
    <row r="35" spans="1:18">
      <c r="A35" s="4" t="str">
        <f t="shared" ref="A35:A66" si="1">B35&amp;D35</f>
        <v>1202301119032</v>
      </c>
      <c r="B35">
        <v>12023011</v>
      </c>
      <c r="C35" t="s">
        <v>237</v>
      </c>
      <c r="D35">
        <v>19032</v>
      </c>
      <c r="E35" t="s">
        <v>223</v>
      </c>
      <c r="F35" s="6">
        <v>44795</v>
      </c>
      <c r="H35" t="s">
        <v>54</v>
      </c>
      <c r="I35">
        <v>91.2</v>
      </c>
      <c r="J35"/>
      <c r="M35">
        <v>0.5</v>
      </c>
    </row>
    <row r="36" spans="1:18">
      <c r="A36" s="4" t="str">
        <f t="shared" si="1"/>
        <v>1201325018988</v>
      </c>
      <c r="B36">
        <v>12013250</v>
      </c>
      <c r="C36" t="s">
        <v>249</v>
      </c>
      <c r="D36">
        <v>18988</v>
      </c>
      <c r="E36" t="s">
        <v>187</v>
      </c>
      <c r="F36" s="6">
        <v>44565</v>
      </c>
      <c r="H36" t="s">
        <v>72</v>
      </c>
      <c r="I36">
        <v>152</v>
      </c>
      <c r="J36"/>
    </row>
    <row r="37" spans="1:18">
      <c r="A37" s="4" t="str">
        <f t="shared" si="1"/>
        <v>1201050018517</v>
      </c>
      <c r="B37">
        <v>12010500</v>
      </c>
      <c r="C37" t="s">
        <v>243</v>
      </c>
      <c r="D37">
        <v>18517</v>
      </c>
      <c r="E37" t="s">
        <v>154</v>
      </c>
      <c r="F37" s="6">
        <v>40927</v>
      </c>
      <c r="H37" t="s">
        <v>54</v>
      </c>
      <c r="I37">
        <v>152</v>
      </c>
      <c r="J37"/>
    </row>
    <row r="38" spans="1:18">
      <c r="A38" s="4" t="str">
        <f t="shared" si="1"/>
        <v>1206040018442</v>
      </c>
      <c r="B38">
        <v>12060400</v>
      </c>
      <c r="C38" t="s">
        <v>256</v>
      </c>
      <c r="D38">
        <v>18442</v>
      </c>
      <c r="E38" t="s">
        <v>172</v>
      </c>
      <c r="F38" s="6">
        <v>40266</v>
      </c>
      <c r="H38" t="s">
        <v>54</v>
      </c>
      <c r="I38">
        <v>76</v>
      </c>
      <c r="J38"/>
      <c r="O38">
        <v>76</v>
      </c>
    </row>
    <row r="39" spans="1:18">
      <c r="A39" s="4" t="str">
        <f t="shared" si="1"/>
        <v>1202071118631</v>
      </c>
      <c r="B39">
        <v>12020711</v>
      </c>
      <c r="C39" t="s">
        <v>240</v>
      </c>
      <c r="D39">
        <v>18631</v>
      </c>
      <c r="E39" t="s">
        <v>218</v>
      </c>
      <c r="F39" s="6">
        <v>41870</v>
      </c>
      <c r="H39" t="s">
        <v>54</v>
      </c>
      <c r="I39">
        <v>53.2</v>
      </c>
      <c r="J39"/>
      <c r="K39">
        <v>22.8</v>
      </c>
      <c r="M39">
        <v>0.5</v>
      </c>
      <c r="O39">
        <v>7.6</v>
      </c>
      <c r="P39">
        <v>7.6</v>
      </c>
    </row>
    <row r="40" spans="1:18">
      <c r="A40" s="4" t="str">
        <f t="shared" si="1"/>
        <v>1204301118990</v>
      </c>
      <c r="B40">
        <v>12043011</v>
      </c>
      <c r="C40" t="s">
        <v>253</v>
      </c>
      <c r="D40">
        <v>18990</v>
      </c>
      <c r="E40" t="s">
        <v>151</v>
      </c>
      <c r="F40" s="6">
        <v>44582</v>
      </c>
      <c r="H40" t="s">
        <v>54</v>
      </c>
      <c r="I40">
        <v>136.16659999999999</v>
      </c>
      <c r="J40"/>
      <c r="M40">
        <v>4.4165999999999999</v>
      </c>
      <c r="P40">
        <v>15.2</v>
      </c>
    </row>
    <row r="41" spans="1:18">
      <c r="A41" s="4" t="str">
        <f t="shared" si="1"/>
        <v>1201909918886</v>
      </c>
      <c r="B41">
        <v>12019099</v>
      </c>
      <c r="C41" t="s">
        <v>257</v>
      </c>
      <c r="D41">
        <v>18886</v>
      </c>
      <c r="E41" t="s">
        <v>164</v>
      </c>
      <c r="F41" s="6">
        <v>43620</v>
      </c>
      <c r="H41" t="s">
        <v>72</v>
      </c>
      <c r="I41">
        <v>152</v>
      </c>
      <c r="J41"/>
    </row>
    <row r="42" spans="1:18">
      <c r="A42" s="4" t="str">
        <f t="shared" si="1"/>
        <v>1204050018649</v>
      </c>
      <c r="B42">
        <v>12040500</v>
      </c>
      <c r="C42" t="s">
        <v>258</v>
      </c>
      <c r="D42">
        <v>18649</v>
      </c>
      <c r="E42" t="s">
        <v>97</v>
      </c>
      <c r="F42" s="6">
        <v>41801</v>
      </c>
      <c r="H42" t="s">
        <v>54</v>
      </c>
      <c r="I42">
        <v>152</v>
      </c>
      <c r="J42"/>
    </row>
    <row r="43" spans="1:18">
      <c r="A43" s="4" t="str">
        <f t="shared" si="1"/>
        <v>1204809918976</v>
      </c>
      <c r="B43">
        <v>12048099</v>
      </c>
      <c r="C43" t="s">
        <v>245</v>
      </c>
      <c r="D43">
        <v>18976</v>
      </c>
      <c r="E43" t="s">
        <v>100</v>
      </c>
      <c r="F43" s="6">
        <v>44501</v>
      </c>
      <c r="H43" t="s">
        <v>72</v>
      </c>
      <c r="I43">
        <v>152</v>
      </c>
      <c r="J43"/>
    </row>
    <row r="44" spans="1:18">
      <c r="A44" s="4" t="str">
        <f t="shared" si="1"/>
        <v>1206251118506</v>
      </c>
      <c r="B44">
        <v>12062511</v>
      </c>
      <c r="C44" t="s">
        <v>268</v>
      </c>
      <c r="D44">
        <v>18506</v>
      </c>
      <c r="E44" t="s">
        <v>290</v>
      </c>
      <c r="F44" s="6">
        <v>40800</v>
      </c>
      <c r="H44" t="s">
        <v>54</v>
      </c>
      <c r="I44">
        <v>48</v>
      </c>
      <c r="J44"/>
      <c r="M44">
        <v>1.9668000000000001</v>
      </c>
    </row>
    <row r="45" spans="1:18">
      <c r="A45" s="4" t="str">
        <f t="shared" si="1"/>
        <v>1202080019053</v>
      </c>
      <c r="B45">
        <v>12020800</v>
      </c>
      <c r="C45" t="s">
        <v>238</v>
      </c>
      <c r="D45">
        <v>19053</v>
      </c>
      <c r="E45" t="s">
        <v>533</v>
      </c>
      <c r="F45" s="6">
        <v>44930</v>
      </c>
      <c r="H45" t="s">
        <v>54</v>
      </c>
      <c r="I45">
        <v>76</v>
      </c>
      <c r="J45"/>
      <c r="M45">
        <v>1</v>
      </c>
      <c r="O45">
        <v>15.2</v>
      </c>
      <c r="P45">
        <v>7.6</v>
      </c>
      <c r="R45">
        <v>53.2</v>
      </c>
    </row>
    <row r="46" spans="1:18">
      <c r="A46" s="4" t="str">
        <f t="shared" si="1"/>
        <v>1201919919003</v>
      </c>
      <c r="B46">
        <v>12019199</v>
      </c>
      <c r="C46" t="s">
        <v>250</v>
      </c>
      <c r="D46">
        <v>19003</v>
      </c>
      <c r="E46" t="s">
        <v>534</v>
      </c>
      <c r="F46" s="6">
        <v>44670</v>
      </c>
      <c r="H46" t="s">
        <v>72</v>
      </c>
      <c r="I46">
        <v>136.80000000000001</v>
      </c>
      <c r="J46"/>
      <c r="O46">
        <v>7.6</v>
      </c>
      <c r="P46">
        <v>7.6</v>
      </c>
    </row>
    <row r="47" spans="1:18">
      <c r="A47" s="4" t="str">
        <f t="shared" si="1"/>
        <v>1202251118961</v>
      </c>
      <c r="B47">
        <v>12022511</v>
      </c>
      <c r="C47" t="s">
        <v>259</v>
      </c>
      <c r="D47">
        <v>18961</v>
      </c>
      <c r="E47" t="s">
        <v>214</v>
      </c>
      <c r="F47" s="6">
        <v>44412</v>
      </c>
      <c r="H47" t="s">
        <v>54</v>
      </c>
      <c r="I47">
        <v>152</v>
      </c>
      <c r="J47"/>
      <c r="M47">
        <v>4.5</v>
      </c>
    </row>
    <row r="48" spans="1:18">
      <c r="A48" s="4" t="str">
        <f t="shared" si="1"/>
        <v>1204301118917</v>
      </c>
      <c r="B48">
        <v>12043011</v>
      </c>
      <c r="C48" t="s">
        <v>253</v>
      </c>
      <c r="D48">
        <v>18917</v>
      </c>
      <c r="E48" t="s">
        <v>149</v>
      </c>
      <c r="F48" s="6">
        <v>44005</v>
      </c>
      <c r="H48" t="s">
        <v>54</v>
      </c>
      <c r="J48">
        <v>47.083300000000001</v>
      </c>
    </row>
    <row r="49" spans="1:31">
      <c r="A49" s="4" t="str">
        <f t="shared" si="1"/>
        <v>1202040019057</v>
      </c>
      <c r="B49">
        <v>12020400</v>
      </c>
      <c r="C49" t="s">
        <v>242</v>
      </c>
      <c r="D49">
        <v>19057</v>
      </c>
      <c r="E49" t="s">
        <v>546</v>
      </c>
      <c r="F49" s="6">
        <v>44970</v>
      </c>
      <c r="H49" t="s">
        <v>72</v>
      </c>
      <c r="I49">
        <v>91.2</v>
      </c>
      <c r="J49"/>
    </row>
    <row r="50" spans="1:31">
      <c r="A50" s="4" t="str">
        <f t="shared" si="1"/>
        <v>1202080019013</v>
      </c>
      <c r="B50">
        <v>12020800</v>
      </c>
      <c r="C50" t="s">
        <v>238</v>
      </c>
      <c r="D50">
        <v>19013</v>
      </c>
      <c r="E50" t="s">
        <v>225</v>
      </c>
      <c r="F50" s="6">
        <v>44732</v>
      </c>
      <c r="H50" t="s">
        <v>54</v>
      </c>
      <c r="I50">
        <v>152</v>
      </c>
      <c r="J50"/>
      <c r="M50">
        <v>14</v>
      </c>
    </row>
    <row r="51" spans="1:31">
      <c r="A51" s="4" t="str">
        <f t="shared" si="1"/>
        <v>1203050018841</v>
      </c>
      <c r="B51">
        <v>12030500</v>
      </c>
      <c r="C51" t="s">
        <v>260</v>
      </c>
      <c r="D51">
        <v>18841</v>
      </c>
      <c r="E51" t="s">
        <v>166</v>
      </c>
      <c r="F51" s="6">
        <v>43383</v>
      </c>
      <c r="H51" t="s">
        <v>54</v>
      </c>
      <c r="I51">
        <v>138.6</v>
      </c>
      <c r="J51"/>
      <c r="O51">
        <v>11.05</v>
      </c>
      <c r="Q51">
        <v>2.35</v>
      </c>
    </row>
    <row r="52" spans="1:31">
      <c r="A52" s="4" t="str">
        <f t="shared" si="1"/>
        <v>1201325018721</v>
      </c>
      <c r="B52">
        <v>12013250</v>
      </c>
      <c r="C52" t="s">
        <v>249</v>
      </c>
      <c r="D52">
        <v>18721</v>
      </c>
      <c r="E52" t="s">
        <v>183</v>
      </c>
      <c r="F52" s="6">
        <v>42415</v>
      </c>
      <c r="H52" t="s">
        <v>72</v>
      </c>
      <c r="I52">
        <v>22.8</v>
      </c>
      <c r="J52"/>
      <c r="O52">
        <v>129.19999999999999</v>
      </c>
    </row>
    <row r="53" spans="1:31">
      <c r="A53" s="4" t="str">
        <f t="shared" si="1"/>
        <v>1203301118679</v>
      </c>
      <c r="B53">
        <v>12033011</v>
      </c>
      <c r="C53" t="s">
        <v>246</v>
      </c>
      <c r="D53">
        <v>18679</v>
      </c>
      <c r="E53" t="s">
        <v>83</v>
      </c>
      <c r="F53" s="6">
        <v>42157</v>
      </c>
      <c r="H53" t="s">
        <v>54</v>
      </c>
      <c r="I53">
        <v>151.6</v>
      </c>
      <c r="J53"/>
      <c r="M53">
        <v>1.1000000000000001</v>
      </c>
      <c r="AC53">
        <v>16.657499999999999</v>
      </c>
      <c r="AD53">
        <v>16.657499999999999</v>
      </c>
    </row>
    <row r="54" spans="1:31">
      <c r="A54" s="4" t="str">
        <f t="shared" si="1"/>
        <v>1202301118974</v>
      </c>
      <c r="B54">
        <v>12023011</v>
      </c>
      <c r="C54" t="s">
        <v>237</v>
      </c>
      <c r="D54">
        <v>18974</v>
      </c>
      <c r="E54" t="s">
        <v>217</v>
      </c>
      <c r="F54" s="6">
        <v>44503</v>
      </c>
      <c r="H54" t="s">
        <v>54</v>
      </c>
      <c r="I54">
        <v>91.2</v>
      </c>
      <c r="J54"/>
      <c r="K54">
        <v>30.4</v>
      </c>
      <c r="L54">
        <v>30.4</v>
      </c>
      <c r="M54">
        <v>4.5</v>
      </c>
    </row>
    <row r="55" spans="1:31">
      <c r="A55" s="4" t="str">
        <f t="shared" si="1"/>
        <v>1203301119015</v>
      </c>
      <c r="B55">
        <v>12033011</v>
      </c>
      <c r="C55" t="s">
        <v>246</v>
      </c>
      <c r="D55">
        <v>19015</v>
      </c>
      <c r="E55" t="s">
        <v>58</v>
      </c>
      <c r="F55" s="6">
        <v>44721</v>
      </c>
      <c r="H55" t="s">
        <v>54</v>
      </c>
      <c r="I55">
        <v>15.1</v>
      </c>
      <c r="J55"/>
      <c r="K55">
        <v>7.5</v>
      </c>
      <c r="M55">
        <v>2</v>
      </c>
      <c r="N55">
        <v>0.86670000000000003</v>
      </c>
      <c r="O55">
        <v>76</v>
      </c>
    </row>
    <row r="56" spans="1:31">
      <c r="A56" s="4" t="str">
        <f t="shared" si="1"/>
        <v>1202102118659</v>
      </c>
      <c r="B56">
        <v>12021021</v>
      </c>
      <c r="C56" t="s">
        <v>239</v>
      </c>
      <c r="D56">
        <v>18659</v>
      </c>
      <c r="E56" t="s">
        <v>190</v>
      </c>
      <c r="F56" s="6">
        <v>42016</v>
      </c>
      <c r="H56" t="s">
        <v>54</v>
      </c>
      <c r="I56">
        <v>118.6</v>
      </c>
      <c r="J56"/>
      <c r="M56">
        <v>10.6501</v>
      </c>
      <c r="N56">
        <v>0.2167</v>
      </c>
      <c r="O56">
        <v>30.4</v>
      </c>
      <c r="P56">
        <v>3</v>
      </c>
    </row>
    <row r="57" spans="1:31">
      <c r="A57" s="4" t="str">
        <f t="shared" si="1"/>
        <v>1203301119049</v>
      </c>
      <c r="B57">
        <v>12033011</v>
      </c>
      <c r="C57" t="s">
        <v>246</v>
      </c>
      <c r="D57">
        <v>19049</v>
      </c>
      <c r="E57" t="s">
        <v>517</v>
      </c>
      <c r="F57" s="6">
        <v>44901</v>
      </c>
      <c r="H57" t="s">
        <v>54</v>
      </c>
      <c r="I57">
        <v>29.333300000000001</v>
      </c>
      <c r="J57"/>
      <c r="K57">
        <v>30.2333</v>
      </c>
      <c r="L57">
        <v>26.3</v>
      </c>
      <c r="M57">
        <v>16.600000000000001</v>
      </c>
      <c r="N57">
        <v>17.083400000000001</v>
      </c>
    </row>
    <row r="58" spans="1:31">
      <c r="A58" s="4" t="str">
        <f t="shared" si="1"/>
        <v>1204301118646</v>
      </c>
      <c r="B58">
        <v>12043011</v>
      </c>
      <c r="C58" t="s">
        <v>253</v>
      </c>
      <c r="D58">
        <v>18646</v>
      </c>
      <c r="E58" t="s">
        <v>142</v>
      </c>
      <c r="F58" s="6">
        <v>41701</v>
      </c>
      <c r="H58" t="s">
        <v>54</v>
      </c>
      <c r="I58">
        <v>50.333300000000001</v>
      </c>
      <c r="J58"/>
      <c r="K58">
        <v>30.166699999999999</v>
      </c>
      <c r="L58">
        <v>30.1</v>
      </c>
      <c r="M58">
        <v>5.9</v>
      </c>
      <c r="N58">
        <v>2.4998999999999998</v>
      </c>
    </row>
    <row r="59" spans="1:31" s="3" customFormat="1">
      <c r="A59" s="3" t="str">
        <f t="shared" si="1"/>
        <v>1202102118967</v>
      </c>
      <c r="B59">
        <v>12021021</v>
      </c>
      <c r="C59" t="s">
        <v>239</v>
      </c>
      <c r="D59">
        <v>18967</v>
      </c>
      <c r="E59" t="s">
        <v>198</v>
      </c>
      <c r="F59" s="6">
        <v>44431</v>
      </c>
      <c r="G59"/>
      <c r="H59" t="s">
        <v>54</v>
      </c>
      <c r="I59">
        <v>144.4</v>
      </c>
      <c r="J59"/>
      <c r="K59"/>
      <c r="L59"/>
      <c r="M59">
        <v>17.5</v>
      </c>
      <c r="N59"/>
      <c r="O59"/>
      <c r="P59">
        <v>7.6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1">
      <c r="A60" s="4" t="str">
        <f t="shared" si="1"/>
        <v>1202050019040</v>
      </c>
      <c r="B60">
        <v>12020500</v>
      </c>
      <c r="C60" t="s">
        <v>295</v>
      </c>
      <c r="D60">
        <v>19040</v>
      </c>
      <c r="E60" t="s">
        <v>296</v>
      </c>
      <c r="F60" s="6">
        <v>44858</v>
      </c>
      <c r="H60" t="s">
        <v>72</v>
      </c>
      <c r="I60">
        <v>80</v>
      </c>
      <c r="J60"/>
    </row>
    <row r="61" spans="1:31" s="3" customFormat="1">
      <c r="A61" s="3" t="str">
        <f t="shared" si="1"/>
        <v>1204301118703</v>
      </c>
      <c r="B61">
        <v>12043011</v>
      </c>
      <c r="C61" t="s">
        <v>253</v>
      </c>
      <c r="D61">
        <v>18703</v>
      </c>
      <c r="E61" t="s">
        <v>143</v>
      </c>
      <c r="F61" s="6">
        <v>42289</v>
      </c>
      <c r="G61"/>
      <c r="H61" t="s">
        <v>54</v>
      </c>
      <c r="I61">
        <v>143.3999</v>
      </c>
      <c r="J61"/>
      <c r="K61"/>
      <c r="L61"/>
      <c r="M61">
        <v>2.0167999999999999</v>
      </c>
      <c r="N61"/>
      <c r="O61"/>
      <c r="P61">
        <v>7.6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>
      <c r="A62" s="4" t="str">
        <f t="shared" si="1"/>
        <v>1202301118973</v>
      </c>
      <c r="B62">
        <v>12023011</v>
      </c>
      <c r="C62" t="s">
        <v>237</v>
      </c>
      <c r="D62">
        <v>18973</v>
      </c>
      <c r="E62" t="s">
        <v>216</v>
      </c>
      <c r="F62" s="6">
        <v>44468</v>
      </c>
      <c r="H62" t="s">
        <v>54</v>
      </c>
      <c r="I62">
        <v>83.6</v>
      </c>
      <c r="J62"/>
      <c r="O62">
        <v>7.6</v>
      </c>
    </row>
    <row r="63" spans="1:31">
      <c r="A63" s="4" t="str">
        <f t="shared" si="1"/>
        <v>1203301118932</v>
      </c>
      <c r="B63">
        <v>12033011</v>
      </c>
      <c r="C63" t="s">
        <v>246</v>
      </c>
      <c r="D63">
        <v>18932</v>
      </c>
      <c r="E63" t="s">
        <v>76</v>
      </c>
      <c r="F63" s="6">
        <v>44223</v>
      </c>
      <c r="H63" t="s">
        <v>54</v>
      </c>
      <c r="I63">
        <v>114</v>
      </c>
      <c r="J63"/>
      <c r="M63">
        <v>28.3001</v>
      </c>
      <c r="N63">
        <v>24.35</v>
      </c>
      <c r="O63">
        <v>22.8</v>
      </c>
      <c r="P63">
        <v>15.2</v>
      </c>
    </row>
    <row r="64" spans="1:31">
      <c r="A64" s="4" t="str">
        <f t="shared" si="1"/>
        <v>1201301219014</v>
      </c>
      <c r="B64">
        <v>12013012</v>
      </c>
      <c r="C64" t="s">
        <v>262</v>
      </c>
      <c r="D64">
        <v>19014</v>
      </c>
      <c r="E64" t="s">
        <v>88</v>
      </c>
      <c r="F64" s="6">
        <v>44727</v>
      </c>
      <c r="H64" t="s">
        <v>72</v>
      </c>
      <c r="I64">
        <v>136.80000000000001</v>
      </c>
      <c r="J64"/>
      <c r="O64">
        <v>7.6</v>
      </c>
      <c r="P64">
        <v>7.6</v>
      </c>
    </row>
    <row r="65" spans="1:25">
      <c r="A65" s="4" t="str">
        <f t="shared" si="1"/>
        <v>1204301118850</v>
      </c>
      <c r="B65">
        <v>12043011</v>
      </c>
      <c r="C65" t="s">
        <v>253</v>
      </c>
      <c r="D65">
        <v>18850</v>
      </c>
      <c r="E65" t="s">
        <v>144</v>
      </c>
      <c r="F65" s="6">
        <v>43467</v>
      </c>
      <c r="H65" t="s">
        <v>54</v>
      </c>
      <c r="I65">
        <v>121.5</v>
      </c>
      <c r="J65"/>
      <c r="K65">
        <v>30.4</v>
      </c>
      <c r="M65">
        <v>5.4169</v>
      </c>
    </row>
    <row r="66" spans="1:25">
      <c r="A66" s="4" t="str">
        <f t="shared" si="1"/>
        <v>1203301118829</v>
      </c>
      <c r="B66">
        <v>12033011</v>
      </c>
      <c r="C66" t="s">
        <v>246</v>
      </c>
      <c r="D66">
        <v>18829</v>
      </c>
      <c r="E66" t="s">
        <v>92</v>
      </c>
      <c r="F66" s="6">
        <v>43255</v>
      </c>
      <c r="H66" t="s">
        <v>54</v>
      </c>
      <c r="I66">
        <v>121.6</v>
      </c>
      <c r="J66"/>
      <c r="L66">
        <v>30.4</v>
      </c>
      <c r="M66">
        <v>32.616700000000002</v>
      </c>
      <c r="N66">
        <v>22.2834</v>
      </c>
    </row>
    <row r="67" spans="1:25">
      <c r="A67" s="4" t="str">
        <f t="shared" ref="A67:A98" si="2">B67&amp;D67</f>
        <v>1202301119035</v>
      </c>
      <c r="B67">
        <v>12023011</v>
      </c>
      <c r="C67" t="s">
        <v>237</v>
      </c>
      <c r="D67">
        <v>19035</v>
      </c>
      <c r="E67" t="s">
        <v>291</v>
      </c>
      <c r="F67" s="6">
        <v>44809</v>
      </c>
      <c r="H67" t="s">
        <v>54</v>
      </c>
      <c r="I67">
        <v>148.5</v>
      </c>
      <c r="J67"/>
      <c r="O67">
        <v>3.5</v>
      </c>
    </row>
    <row r="68" spans="1:25">
      <c r="A68" s="4" t="str">
        <f t="shared" si="2"/>
        <v>1203040019047</v>
      </c>
      <c r="B68">
        <v>12030400</v>
      </c>
      <c r="C68" t="s">
        <v>261</v>
      </c>
      <c r="D68">
        <v>19047</v>
      </c>
      <c r="E68" t="s">
        <v>518</v>
      </c>
      <c r="F68" s="6">
        <v>44907</v>
      </c>
      <c r="G68" s="6">
        <v>44959</v>
      </c>
      <c r="H68" t="s">
        <v>72</v>
      </c>
      <c r="I68">
        <v>15.2</v>
      </c>
      <c r="J68"/>
      <c r="X68">
        <v>20.317399999999999</v>
      </c>
      <c r="Y68">
        <v>20.317399999999999</v>
      </c>
    </row>
    <row r="69" spans="1:25">
      <c r="A69" s="4" t="str">
        <f t="shared" si="2"/>
        <v>1203061118979</v>
      </c>
      <c r="B69">
        <v>12030611</v>
      </c>
      <c r="C69" t="s">
        <v>248</v>
      </c>
      <c r="D69">
        <v>18979</v>
      </c>
      <c r="E69" t="s">
        <v>74</v>
      </c>
      <c r="F69" s="6">
        <v>44536</v>
      </c>
      <c r="H69" t="s">
        <v>54</v>
      </c>
      <c r="I69">
        <v>128.55000000000001</v>
      </c>
      <c r="J69"/>
      <c r="M69">
        <v>18.2834</v>
      </c>
      <c r="N69">
        <v>5.3666999999999998</v>
      </c>
      <c r="O69">
        <v>15.2</v>
      </c>
      <c r="P69">
        <v>7.6</v>
      </c>
    </row>
    <row r="70" spans="1:25">
      <c r="A70" s="4" t="str">
        <f t="shared" si="2"/>
        <v>1202061118891</v>
      </c>
      <c r="B70">
        <v>12020611</v>
      </c>
      <c r="C70" t="s">
        <v>241</v>
      </c>
      <c r="D70">
        <v>18891</v>
      </c>
      <c r="E70" t="s">
        <v>209</v>
      </c>
      <c r="F70" s="6">
        <v>43746</v>
      </c>
      <c r="H70" t="s">
        <v>72</v>
      </c>
      <c r="I70">
        <v>121.6</v>
      </c>
      <c r="J70"/>
      <c r="M70">
        <v>0.5</v>
      </c>
    </row>
    <row r="71" spans="1:25">
      <c r="A71" s="4" t="str">
        <f t="shared" si="2"/>
        <v>1204301119023</v>
      </c>
      <c r="B71">
        <v>12043011</v>
      </c>
      <c r="C71" t="s">
        <v>253</v>
      </c>
      <c r="D71">
        <v>19023</v>
      </c>
      <c r="E71" t="s">
        <v>152</v>
      </c>
      <c r="F71" s="6">
        <v>44748</v>
      </c>
      <c r="H71" t="s">
        <v>54</v>
      </c>
      <c r="J71">
        <v>50.916699999999999</v>
      </c>
    </row>
    <row r="72" spans="1:25">
      <c r="A72" s="4" t="str">
        <f t="shared" si="2"/>
        <v>1203040018805</v>
      </c>
      <c r="B72">
        <v>12030400</v>
      </c>
      <c r="C72" t="s">
        <v>261</v>
      </c>
      <c r="D72">
        <v>18805</v>
      </c>
      <c r="E72" t="s">
        <v>165</v>
      </c>
      <c r="F72" s="6">
        <v>43067</v>
      </c>
      <c r="H72" t="s">
        <v>54</v>
      </c>
      <c r="I72">
        <v>106.4</v>
      </c>
      <c r="J72"/>
      <c r="O72">
        <v>45.6</v>
      </c>
    </row>
    <row r="73" spans="1:25">
      <c r="A73" s="4" t="str">
        <f t="shared" si="2"/>
        <v>1201919918968</v>
      </c>
      <c r="B73">
        <v>12019199</v>
      </c>
      <c r="C73" t="s">
        <v>250</v>
      </c>
      <c r="D73">
        <v>18968</v>
      </c>
      <c r="E73" t="s">
        <v>159</v>
      </c>
      <c r="F73" s="6">
        <v>44440</v>
      </c>
      <c r="H73" t="s">
        <v>72</v>
      </c>
      <c r="I73">
        <v>151</v>
      </c>
      <c r="J73"/>
      <c r="O73">
        <v>1</v>
      </c>
    </row>
    <row r="74" spans="1:25">
      <c r="A74" s="4" t="str">
        <f t="shared" si="2"/>
        <v>1203061118887</v>
      </c>
      <c r="B74">
        <v>12030611</v>
      </c>
      <c r="C74" t="s">
        <v>248</v>
      </c>
      <c r="D74">
        <v>18887</v>
      </c>
      <c r="E74" t="s">
        <v>79</v>
      </c>
      <c r="F74" s="6">
        <v>43627</v>
      </c>
      <c r="H74" t="s">
        <v>54</v>
      </c>
      <c r="I74">
        <v>152</v>
      </c>
      <c r="J74"/>
      <c r="M74">
        <v>38.1</v>
      </c>
      <c r="N74">
        <v>11.183299999999999</v>
      </c>
    </row>
    <row r="75" spans="1:25">
      <c r="A75" s="4" t="str">
        <f t="shared" si="2"/>
        <v>12060611261</v>
      </c>
      <c r="B75">
        <v>12060611</v>
      </c>
      <c r="C75" t="s">
        <v>247</v>
      </c>
      <c r="D75">
        <v>261</v>
      </c>
      <c r="E75" t="s">
        <v>173</v>
      </c>
      <c r="F75" s="6">
        <v>39449</v>
      </c>
      <c r="H75" t="s">
        <v>54</v>
      </c>
      <c r="I75">
        <v>152</v>
      </c>
      <c r="J75"/>
    </row>
    <row r="76" spans="1:25">
      <c r="A76" s="4" t="str">
        <f t="shared" si="2"/>
        <v>1203301119050</v>
      </c>
      <c r="B76">
        <v>12033011</v>
      </c>
      <c r="C76" t="s">
        <v>246</v>
      </c>
      <c r="D76">
        <v>19050</v>
      </c>
      <c r="E76" t="s">
        <v>547</v>
      </c>
      <c r="F76" s="6">
        <v>44902</v>
      </c>
      <c r="H76" t="s">
        <v>72</v>
      </c>
      <c r="J76">
        <v>22.3</v>
      </c>
    </row>
    <row r="77" spans="1:25">
      <c r="A77" s="4" t="str">
        <f t="shared" si="2"/>
        <v>1204312318970</v>
      </c>
      <c r="B77">
        <v>12043123</v>
      </c>
      <c r="C77" t="s">
        <v>264</v>
      </c>
      <c r="D77">
        <v>18970</v>
      </c>
      <c r="E77" t="s">
        <v>85</v>
      </c>
      <c r="F77" s="6">
        <v>44452</v>
      </c>
      <c r="H77" t="s">
        <v>54</v>
      </c>
      <c r="I77">
        <v>75.599999999999994</v>
      </c>
      <c r="J77"/>
      <c r="K77">
        <v>30.25</v>
      </c>
      <c r="M77">
        <v>12.7666</v>
      </c>
      <c r="N77">
        <v>4.4667000000000003</v>
      </c>
      <c r="P77">
        <v>15.2</v>
      </c>
    </row>
    <row r="78" spans="1:25">
      <c r="A78" s="4" t="str">
        <f t="shared" si="2"/>
        <v>1206061118823</v>
      </c>
      <c r="B78">
        <v>12060611</v>
      </c>
      <c r="C78" t="s">
        <v>247</v>
      </c>
      <c r="D78">
        <v>18823</v>
      </c>
      <c r="E78" t="s">
        <v>174</v>
      </c>
      <c r="F78" s="6">
        <v>43222</v>
      </c>
      <c r="H78" t="s">
        <v>54</v>
      </c>
      <c r="I78">
        <v>76</v>
      </c>
      <c r="J78"/>
      <c r="L78">
        <v>15.1333</v>
      </c>
      <c r="M78">
        <v>5.2502000000000004</v>
      </c>
      <c r="N78">
        <v>1.0832999999999999</v>
      </c>
      <c r="O78">
        <v>53.2</v>
      </c>
      <c r="R78">
        <v>7.6</v>
      </c>
    </row>
    <row r="79" spans="1:25">
      <c r="A79" s="4" t="str">
        <f t="shared" si="2"/>
        <v>1204301118713</v>
      </c>
      <c r="B79">
        <v>12043011</v>
      </c>
      <c r="C79" t="s">
        <v>253</v>
      </c>
      <c r="D79">
        <v>18713</v>
      </c>
      <c r="E79" t="s">
        <v>145</v>
      </c>
      <c r="F79" s="6">
        <v>42352</v>
      </c>
      <c r="H79" t="s">
        <v>54</v>
      </c>
      <c r="I79">
        <v>152</v>
      </c>
      <c r="J79"/>
    </row>
    <row r="80" spans="1:25">
      <c r="A80" s="4" t="str">
        <f t="shared" si="2"/>
        <v>1204080018839</v>
      </c>
      <c r="B80">
        <v>12040800</v>
      </c>
      <c r="C80" t="s">
        <v>131</v>
      </c>
      <c r="D80">
        <v>18839</v>
      </c>
      <c r="E80" t="s">
        <v>228</v>
      </c>
      <c r="F80" s="6">
        <v>43376</v>
      </c>
      <c r="H80" t="s">
        <v>54</v>
      </c>
      <c r="I80">
        <v>90.05</v>
      </c>
      <c r="J80"/>
    </row>
    <row r="81" spans="1:30">
      <c r="A81" s="4" t="str">
        <f t="shared" si="2"/>
        <v>1203061118949</v>
      </c>
      <c r="B81">
        <v>12030611</v>
      </c>
      <c r="C81" t="s">
        <v>248</v>
      </c>
      <c r="D81">
        <v>18949</v>
      </c>
      <c r="E81" t="s">
        <v>75</v>
      </c>
      <c r="F81" s="6">
        <v>44291</v>
      </c>
      <c r="H81" t="s">
        <v>72</v>
      </c>
      <c r="I81">
        <v>121.6</v>
      </c>
      <c r="J81"/>
      <c r="M81">
        <v>31.9832</v>
      </c>
      <c r="N81">
        <v>27.283300000000001</v>
      </c>
    </row>
    <row r="82" spans="1:30">
      <c r="A82" s="4" t="str">
        <f t="shared" si="2"/>
        <v>1201809918716</v>
      </c>
      <c r="B82">
        <v>12018099</v>
      </c>
      <c r="C82" t="s">
        <v>265</v>
      </c>
      <c r="D82">
        <v>18716</v>
      </c>
      <c r="E82" t="s">
        <v>103</v>
      </c>
      <c r="F82" s="6">
        <v>42380</v>
      </c>
      <c r="H82" t="s">
        <v>72</v>
      </c>
      <c r="I82">
        <v>148.19999999999999</v>
      </c>
      <c r="J82"/>
      <c r="O82">
        <v>3.8</v>
      </c>
    </row>
    <row r="83" spans="1:30">
      <c r="A83" s="4" t="str">
        <f t="shared" si="2"/>
        <v>12040400115</v>
      </c>
      <c r="B83">
        <v>12040400</v>
      </c>
      <c r="C83" t="s">
        <v>266</v>
      </c>
      <c r="D83">
        <v>115</v>
      </c>
      <c r="E83" t="s">
        <v>140</v>
      </c>
      <c r="F83" s="6">
        <v>35578</v>
      </c>
      <c r="H83" t="s">
        <v>72</v>
      </c>
      <c r="I83">
        <v>152</v>
      </c>
      <c r="J83"/>
    </row>
    <row r="84" spans="1:30">
      <c r="A84" s="4" t="str">
        <f t="shared" si="2"/>
        <v>1203061118626</v>
      </c>
      <c r="B84">
        <v>12030611</v>
      </c>
      <c r="C84" t="s">
        <v>248</v>
      </c>
      <c r="D84">
        <v>18626</v>
      </c>
      <c r="E84" t="s">
        <v>84</v>
      </c>
      <c r="F84" s="6">
        <v>41828</v>
      </c>
      <c r="H84" t="s">
        <v>54</v>
      </c>
      <c r="I84">
        <v>152</v>
      </c>
      <c r="J84"/>
    </row>
    <row r="85" spans="1:30">
      <c r="A85" s="4" t="str">
        <f t="shared" si="2"/>
        <v>1203301119028</v>
      </c>
      <c r="B85">
        <v>12033011</v>
      </c>
      <c r="C85" t="s">
        <v>246</v>
      </c>
      <c r="D85">
        <v>19028</v>
      </c>
      <c r="E85" t="s">
        <v>169</v>
      </c>
      <c r="F85" s="6">
        <v>44788</v>
      </c>
      <c r="H85" t="s">
        <v>54</v>
      </c>
      <c r="I85">
        <v>144.1</v>
      </c>
      <c r="J85"/>
      <c r="M85">
        <v>22.633099999999999</v>
      </c>
      <c r="N85">
        <v>2.8834</v>
      </c>
      <c r="P85">
        <v>7.6</v>
      </c>
    </row>
    <row r="86" spans="1:30">
      <c r="A86" s="4" t="str">
        <f t="shared" si="2"/>
        <v>1201809918948</v>
      </c>
      <c r="B86">
        <v>12018099</v>
      </c>
      <c r="C86" t="s">
        <v>265</v>
      </c>
      <c r="D86">
        <v>18948</v>
      </c>
      <c r="E86" t="s">
        <v>101</v>
      </c>
      <c r="F86" s="6">
        <v>44279</v>
      </c>
      <c r="H86" t="s">
        <v>72</v>
      </c>
      <c r="I86">
        <v>117.6</v>
      </c>
      <c r="J86"/>
      <c r="O86">
        <v>15.2</v>
      </c>
      <c r="P86">
        <v>7.6</v>
      </c>
      <c r="S86">
        <v>11.6</v>
      </c>
    </row>
    <row r="87" spans="1:30">
      <c r="A87" s="4" t="str">
        <f t="shared" si="2"/>
        <v>1204050019020</v>
      </c>
      <c r="B87">
        <v>12040500</v>
      </c>
      <c r="C87" t="s">
        <v>258</v>
      </c>
      <c r="D87">
        <v>19020</v>
      </c>
      <c r="E87" t="s">
        <v>94</v>
      </c>
      <c r="F87" s="6">
        <v>44740</v>
      </c>
      <c r="H87" t="s">
        <v>72</v>
      </c>
      <c r="I87">
        <v>136.80000000000001</v>
      </c>
      <c r="J87"/>
    </row>
    <row r="88" spans="1:30">
      <c r="A88" s="4" t="str">
        <f t="shared" si="2"/>
        <v>1202301119045</v>
      </c>
      <c r="B88">
        <v>12023011</v>
      </c>
      <c r="C88" t="s">
        <v>237</v>
      </c>
      <c r="D88">
        <v>19045</v>
      </c>
      <c r="E88" t="s">
        <v>519</v>
      </c>
      <c r="F88" s="6">
        <v>44888</v>
      </c>
      <c r="H88" t="s">
        <v>54</v>
      </c>
      <c r="I88">
        <v>91.2</v>
      </c>
      <c r="J88"/>
      <c r="M88">
        <v>1</v>
      </c>
    </row>
    <row r="89" spans="1:30">
      <c r="A89" s="4" t="str">
        <f t="shared" si="2"/>
        <v>1201050018871</v>
      </c>
      <c r="B89">
        <v>12010500</v>
      </c>
      <c r="C89" t="s">
        <v>243</v>
      </c>
      <c r="D89">
        <v>18871</v>
      </c>
      <c r="E89" t="s">
        <v>155</v>
      </c>
      <c r="F89" s="6">
        <v>43550</v>
      </c>
      <c r="H89" t="s">
        <v>72</v>
      </c>
      <c r="I89">
        <v>152</v>
      </c>
      <c r="J89"/>
    </row>
    <row r="90" spans="1:30">
      <c r="A90" s="4" t="str">
        <f t="shared" si="2"/>
        <v>1202102118894</v>
      </c>
      <c r="B90">
        <v>12021021</v>
      </c>
      <c r="C90" t="s">
        <v>239</v>
      </c>
      <c r="D90">
        <v>18894</v>
      </c>
      <c r="E90" t="s">
        <v>195</v>
      </c>
      <c r="F90" s="6">
        <v>43774</v>
      </c>
      <c r="H90" t="s">
        <v>54</v>
      </c>
      <c r="I90">
        <v>61.633299999999998</v>
      </c>
      <c r="J90"/>
      <c r="K90">
        <v>0</v>
      </c>
      <c r="M90">
        <v>0.25</v>
      </c>
      <c r="N90">
        <v>0</v>
      </c>
    </row>
    <row r="91" spans="1:30">
      <c r="A91" s="4" t="str">
        <f t="shared" si="2"/>
        <v>1202102118559</v>
      </c>
      <c r="B91">
        <v>12021021</v>
      </c>
      <c r="C91" t="s">
        <v>239</v>
      </c>
      <c r="D91">
        <v>18559</v>
      </c>
      <c r="E91" t="s">
        <v>191</v>
      </c>
      <c r="F91" s="6">
        <v>41190</v>
      </c>
      <c r="H91" t="s">
        <v>54</v>
      </c>
      <c r="I91">
        <v>152</v>
      </c>
      <c r="J91"/>
    </row>
    <row r="92" spans="1:30">
      <c r="A92" s="4" t="str">
        <f t="shared" si="2"/>
        <v>1201859918969</v>
      </c>
      <c r="B92">
        <v>12018599</v>
      </c>
      <c r="C92" t="s">
        <v>251</v>
      </c>
      <c r="D92">
        <v>18969</v>
      </c>
      <c r="E92" t="s">
        <v>162</v>
      </c>
      <c r="F92" s="6">
        <v>44452</v>
      </c>
      <c r="H92" t="s">
        <v>72</v>
      </c>
      <c r="I92">
        <v>148</v>
      </c>
      <c r="J92"/>
      <c r="O92">
        <v>4</v>
      </c>
    </row>
    <row r="93" spans="1:30">
      <c r="A93" s="4" t="str">
        <f t="shared" si="2"/>
        <v>1206061118996</v>
      </c>
      <c r="B93">
        <v>12060611</v>
      </c>
      <c r="C93" t="s">
        <v>247</v>
      </c>
      <c r="D93">
        <v>18996</v>
      </c>
      <c r="E93" t="s">
        <v>180</v>
      </c>
      <c r="F93" s="6">
        <v>44621</v>
      </c>
      <c r="H93" t="s">
        <v>54</v>
      </c>
      <c r="I93">
        <v>77.133300000000006</v>
      </c>
      <c r="J93"/>
      <c r="K93">
        <v>20.9</v>
      </c>
      <c r="M93">
        <v>15.966699999999999</v>
      </c>
      <c r="N93">
        <v>0.21659999999999999</v>
      </c>
      <c r="R93">
        <v>15.6</v>
      </c>
      <c r="AC93">
        <v>14.0671</v>
      </c>
      <c r="AD93">
        <v>14.0671</v>
      </c>
    </row>
    <row r="94" spans="1:30">
      <c r="A94" s="4" t="str">
        <f t="shared" si="2"/>
        <v>1201325018995</v>
      </c>
      <c r="B94">
        <v>12013250</v>
      </c>
      <c r="C94" t="s">
        <v>249</v>
      </c>
      <c r="D94">
        <v>18995</v>
      </c>
      <c r="E94" t="s">
        <v>188</v>
      </c>
      <c r="F94" s="6">
        <v>44627</v>
      </c>
      <c r="G94" s="6">
        <v>44959</v>
      </c>
      <c r="H94" t="s">
        <v>72</v>
      </c>
      <c r="I94">
        <v>45.6</v>
      </c>
      <c r="J94"/>
      <c r="U94">
        <v>57.572600000000001</v>
      </c>
      <c r="V94">
        <v>55.073999999999998</v>
      </c>
      <c r="W94">
        <v>152</v>
      </c>
    </row>
    <row r="95" spans="1:30">
      <c r="A95" s="4" t="str">
        <f t="shared" si="2"/>
        <v>1202302119021</v>
      </c>
      <c r="B95">
        <v>12023021</v>
      </c>
      <c r="C95" t="s">
        <v>267</v>
      </c>
      <c r="D95">
        <v>19021</v>
      </c>
      <c r="E95" t="s">
        <v>199</v>
      </c>
      <c r="F95" s="6">
        <v>44736</v>
      </c>
      <c r="H95" t="s">
        <v>54</v>
      </c>
      <c r="I95">
        <v>143.86670000000001</v>
      </c>
      <c r="J95"/>
      <c r="M95">
        <v>3.75</v>
      </c>
      <c r="P95">
        <v>7.6</v>
      </c>
    </row>
    <row r="96" spans="1:30">
      <c r="A96" s="4" t="str">
        <f t="shared" si="2"/>
        <v>1206251118792</v>
      </c>
      <c r="B96">
        <v>12062511</v>
      </c>
      <c r="C96" t="s">
        <v>268</v>
      </c>
      <c r="D96">
        <v>18792</v>
      </c>
      <c r="E96" t="s">
        <v>175</v>
      </c>
      <c r="F96" s="6">
        <v>43004</v>
      </c>
      <c r="H96" t="s">
        <v>54</v>
      </c>
      <c r="I96">
        <v>144.2167</v>
      </c>
      <c r="J96"/>
      <c r="M96">
        <v>7.2666000000000004</v>
      </c>
      <c r="P96">
        <v>7.6</v>
      </c>
    </row>
    <row r="97" spans="1:20">
      <c r="A97" s="4" t="str">
        <f t="shared" si="2"/>
        <v>1202302119027</v>
      </c>
      <c r="B97">
        <v>12023021</v>
      </c>
      <c r="C97" t="s">
        <v>267</v>
      </c>
      <c r="D97">
        <v>19027</v>
      </c>
      <c r="E97" t="s">
        <v>201</v>
      </c>
      <c r="F97" s="6">
        <v>44776</v>
      </c>
      <c r="H97" t="s">
        <v>54</v>
      </c>
      <c r="I97">
        <v>7.6</v>
      </c>
      <c r="J97"/>
      <c r="R97">
        <v>38</v>
      </c>
    </row>
    <row r="98" spans="1:20">
      <c r="A98" s="4" t="str">
        <f t="shared" si="2"/>
        <v>1203301119008</v>
      </c>
      <c r="B98">
        <v>12033011</v>
      </c>
      <c r="C98" t="s">
        <v>246</v>
      </c>
      <c r="D98">
        <v>19008</v>
      </c>
      <c r="E98" t="s">
        <v>71</v>
      </c>
      <c r="F98" s="6">
        <v>44697</v>
      </c>
      <c r="H98" t="s">
        <v>54</v>
      </c>
      <c r="J98"/>
      <c r="K98">
        <v>22.8</v>
      </c>
      <c r="L98">
        <v>21.9833</v>
      </c>
      <c r="M98">
        <v>5.5667</v>
      </c>
      <c r="N98">
        <v>3.0667</v>
      </c>
    </row>
    <row r="99" spans="1:20">
      <c r="A99" s="4" t="str">
        <f t="shared" ref="A99:A132" si="3">B99&amp;D99</f>
        <v>1203061118827</v>
      </c>
      <c r="B99">
        <v>12030611</v>
      </c>
      <c r="C99" t="s">
        <v>248</v>
      </c>
      <c r="D99">
        <v>18827</v>
      </c>
      <c r="E99" t="s">
        <v>80</v>
      </c>
      <c r="F99" s="6">
        <v>43244</v>
      </c>
      <c r="H99" t="s">
        <v>54</v>
      </c>
      <c r="I99">
        <v>53.2</v>
      </c>
      <c r="J99"/>
      <c r="O99">
        <v>98.8</v>
      </c>
    </row>
    <row r="100" spans="1:20">
      <c r="A100" s="4" t="str">
        <f t="shared" si="3"/>
        <v>1204301118986</v>
      </c>
      <c r="B100">
        <v>12043011</v>
      </c>
      <c r="C100" t="s">
        <v>253</v>
      </c>
      <c r="D100">
        <v>18986</v>
      </c>
      <c r="E100" t="s">
        <v>150</v>
      </c>
      <c r="F100" s="6">
        <v>44544</v>
      </c>
      <c r="H100" t="s">
        <v>54</v>
      </c>
      <c r="I100">
        <v>149.26679999999999</v>
      </c>
      <c r="J100"/>
      <c r="M100">
        <v>0.76659999999999995</v>
      </c>
    </row>
    <row r="101" spans="1:20">
      <c r="A101" s="4" t="str">
        <f t="shared" si="3"/>
        <v>1202102118960</v>
      </c>
      <c r="B101">
        <v>12021021</v>
      </c>
      <c r="C101" t="s">
        <v>239</v>
      </c>
      <c r="D101">
        <v>18960</v>
      </c>
      <c r="E101" t="s">
        <v>197</v>
      </c>
      <c r="F101" s="6">
        <v>44411</v>
      </c>
      <c r="H101" t="s">
        <v>54</v>
      </c>
      <c r="I101">
        <v>77.333399999999997</v>
      </c>
      <c r="J101"/>
      <c r="M101">
        <v>4.2333999999999996</v>
      </c>
      <c r="O101">
        <v>15.2</v>
      </c>
    </row>
    <row r="102" spans="1:20">
      <c r="A102" s="4" t="str">
        <f t="shared" si="3"/>
        <v>12030611134</v>
      </c>
      <c r="B102">
        <v>12030611</v>
      </c>
      <c r="C102" t="s">
        <v>248</v>
      </c>
      <c r="D102">
        <v>134</v>
      </c>
      <c r="E102" t="s">
        <v>64</v>
      </c>
      <c r="F102" s="6">
        <v>38800</v>
      </c>
      <c r="H102" t="s">
        <v>54</v>
      </c>
      <c r="I102">
        <v>80</v>
      </c>
      <c r="J102"/>
      <c r="M102">
        <v>26.133199999999999</v>
      </c>
      <c r="N102">
        <v>7.3</v>
      </c>
    </row>
    <row r="103" spans="1:20">
      <c r="A103" s="4" t="str">
        <f t="shared" si="3"/>
        <v>1203301119029</v>
      </c>
      <c r="B103">
        <v>12033011</v>
      </c>
      <c r="C103" t="s">
        <v>246</v>
      </c>
      <c r="D103">
        <v>19029</v>
      </c>
      <c r="E103" t="s">
        <v>170</v>
      </c>
      <c r="F103" s="6">
        <v>44789</v>
      </c>
      <c r="H103" t="s">
        <v>54</v>
      </c>
      <c r="I103">
        <v>113.8167</v>
      </c>
      <c r="J103"/>
      <c r="K103">
        <v>30.2667</v>
      </c>
      <c r="M103">
        <v>17.166699999999999</v>
      </c>
      <c r="N103">
        <v>1.1833</v>
      </c>
      <c r="P103">
        <v>7.6</v>
      </c>
    </row>
    <row r="104" spans="1:20">
      <c r="A104" s="4" t="str">
        <f t="shared" si="3"/>
        <v>1204301118858</v>
      </c>
      <c r="B104">
        <v>12043011</v>
      </c>
      <c r="C104" t="s">
        <v>253</v>
      </c>
      <c r="D104">
        <v>18858</v>
      </c>
      <c r="E104" t="s">
        <v>146</v>
      </c>
      <c r="F104" s="6">
        <v>43482</v>
      </c>
      <c r="H104" t="s">
        <v>54</v>
      </c>
      <c r="J104"/>
      <c r="T104">
        <v>91.2</v>
      </c>
    </row>
    <row r="105" spans="1:20">
      <c r="A105" s="4" t="str">
        <f t="shared" si="3"/>
        <v>1202102118687</v>
      </c>
      <c r="B105">
        <v>12021021</v>
      </c>
      <c r="C105" t="s">
        <v>239</v>
      </c>
      <c r="D105">
        <v>18687</v>
      </c>
      <c r="E105" t="s">
        <v>192</v>
      </c>
      <c r="F105" s="6">
        <v>42219</v>
      </c>
      <c r="H105" t="s">
        <v>54</v>
      </c>
      <c r="I105">
        <v>152</v>
      </c>
      <c r="J105"/>
      <c r="M105">
        <v>18.933199999999999</v>
      </c>
    </row>
    <row r="106" spans="1:20">
      <c r="A106" s="4" t="str">
        <f t="shared" si="3"/>
        <v>1206080018561</v>
      </c>
      <c r="B106">
        <v>12060800</v>
      </c>
      <c r="C106" t="s">
        <v>130</v>
      </c>
      <c r="D106">
        <v>18561</v>
      </c>
      <c r="E106" t="s">
        <v>226</v>
      </c>
      <c r="F106" s="6">
        <v>41192</v>
      </c>
      <c r="H106" t="s">
        <v>54</v>
      </c>
      <c r="I106">
        <v>141.23339999999999</v>
      </c>
      <c r="J106"/>
      <c r="M106">
        <v>5.6334999999999997</v>
      </c>
      <c r="P106">
        <v>10.6</v>
      </c>
    </row>
    <row r="107" spans="1:20">
      <c r="A107" s="4" t="str">
        <f t="shared" si="3"/>
        <v>1203301119030</v>
      </c>
      <c r="B107">
        <v>12033011</v>
      </c>
      <c r="C107" t="s">
        <v>246</v>
      </c>
      <c r="D107">
        <v>19030</v>
      </c>
      <c r="E107" t="s">
        <v>171</v>
      </c>
      <c r="F107" s="6">
        <v>44785</v>
      </c>
      <c r="H107" t="s">
        <v>72</v>
      </c>
      <c r="J107">
        <v>138.3665</v>
      </c>
    </row>
    <row r="108" spans="1:20">
      <c r="A108" s="4" t="str">
        <f t="shared" si="3"/>
        <v>12022511141</v>
      </c>
      <c r="B108">
        <v>12022511</v>
      </c>
      <c r="C108" t="s">
        <v>259</v>
      </c>
      <c r="D108">
        <v>141</v>
      </c>
      <c r="E108" t="s">
        <v>206</v>
      </c>
      <c r="F108" s="6">
        <v>33644</v>
      </c>
      <c r="H108" t="s">
        <v>54</v>
      </c>
      <c r="I108">
        <v>68.400000000000006</v>
      </c>
      <c r="J108"/>
      <c r="M108">
        <v>1.5</v>
      </c>
      <c r="O108">
        <v>22.8</v>
      </c>
    </row>
    <row r="109" spans="1:20">
      <c r="A109" s="4" t="str">
        <f t="shared" si="3"/>
        <v>1202301119042</v>
      </c>
      <c r="B109">
        <v>12023011</v>
      </c>
      <c r="C109" t="s">
        <v>237</v>
      </c>
      <c r="D109">
        <v>19042</v>
      </c>
      <c r="E109" t="s">
        <v>515</v>
      </c>
      <c r="F109" s="6">
        <v>44887</v>
      </c>
      <c r="H109" t="s">
        <v>54</v>
      </c>
      <c r="I109">
        <v>121.6</v>
      </c>
      <c r="J109"/>
      <c r="K109">
        <v>30.4</v>
      </c>
      <c r="M109">
        <v>4</v>
      </c>
    </row>
    <row r="110" spans="1:20">
      <c r="A110" s="4" t="str">
        <f t="shared" si="3"/>
        <v>1204301118924</v>
      </c>
      <c r="B110">
        <v>12043011</v>
      </c>
      <c r="C110" t="s">
        <v>253</v>
      </c>
      <c r="D110">
        <v>18924</v>
      </c>
      <c r="E110" t="s">
        <v>147</v>
      </c>
      <c r="F110" s="6">
        <v>44102</v>
      </c>
      <c r="H110" t="s">
        <v>54</v>
      </c>
      <c r="I110">
        <v>85</v>
      </c>
      <c r="J110"/>
      <c r="M110">
        <v>2.4498000000000002</v>
      </c>
      <c r="P110">
        <v>10</v>
      </c>
      <c r="R110">
        <v>5</v>
      </c>
    </row>
    <row r="111" spans="1:20">
      <c r="A111" s="4" t="str">
        <f t="shared" si="3"/>
        <v>1202050018893</v>
      </c>
      <c r="B111">
        <v>12020500</v>
      </c>
      <c r="C111" t="s">
        <v>295</v>
      </c>
      <c r="D111">
        <v>18893</v>
      </c>
      <c r="E111" t="s">
        <v>292</v>
      </c>
      <c r="F111" s="6">
        <v>43773</v>
      </c>
      <c r="H111" t="s">
        <v>72</v>
      </c>
      <c r="I111">
        <v>91.2</v>
      </c>
      <c r="J111"/>
    </row>
    <row r="112" spans="1:20">
      <c r="A112" s="4" t="str">
        <f t="shared" si="3"/>
        <v>12022511145</v>
      </c>
      <c r="B112">
        <v>12022511</v>
      </c>
      <c r="C112" t="s">
        <v>259</v>
      </c>
      <c r="D112">
        <v>145</v>
      </c>
      <c r="E112" t="s">
        <v>207</v>
      </c>
      <c r="F112" s="6">
        <v>38460</v>
      </c>
      <c r="H112" t="s">
        <v>54</v>
      </c>
      <c r="I112">
        <v>152</v>
      </c>
      <c r="J112"/>
      <c r="M112">
        <v>2</v>
      </c>
    </row>
    <row r="113" spans="1:16">
      <c r="A113" s="4" t="str">
        <f t="shared" si="3"/>
        <v>1201325018920</v>
      </c>
      <c r="B113">
        <v>12013250</v>
      </c>
      <c r="C113" t="s">
        <v>249</v>
      </c>
      <c r="D113">
        <v>18920</v>
      </c>
      <c r="E113" t="s">
        <v>184</v>
      </c>
      <c r="F113" s="6">
        <v>44063</v>
      </c>
      <c r="H113" t="s">
        <v>72</v>
      </c>
      <c r="I113">
        <v>152</v>
      </c>
      <c r="J113"/>
    </row>
    <row r="114" spans="1:16">
      <c r="A114" s="4" t="str">
        <f t="shared" si="3"/>
        <v>1206061118898</v>
      </c>
      <c r="B114">
        <v>12060611</v>
      </c>
      <c r="C114" t="s">
        <v>247</v>
      </c>
      <c r="D114">
        <v>18898</v>
      </c>
      <c r="E114" t="s">
        <v>178</v>
      </c>
      <c r="F114" s="6">
        <v>43864</v>
      </c>
      <c r="H114" t="s">
        <v>54</v>
      </c>
      <c r="I114">
        <v>106.66670000000001</v>
      </c>
      <c r="J114"/>
      <c r="M114">
        <v>11.200100000000001</v>
      </c>
      <c r="N114">
        <v>5.5667</v>
      </c>
      <c r="O114">
        <v>30.8</v>
      </c>
    </row>
    <row r="115" spans="1:16">
      <c r="A115" s="4" t="str">
        <f t="shared" si="3"/>
        <v>1202061118831</v>
      </c>
      <c r="B115">
        <v>12020611</v>
      </c>
      <c r="C115" t="s">
        <v>241</v>
      </c>
      <c r="D115">
        <v>18831</v>
      </c>
      <c r="E115" t="s">
        <v>208</v>
      </c>
      <c r="F115" s="6">
        <v>43265</v>
      </c>
      <c r="H115" t="s">
        <v>54</v>
      </c>
      <c r="I115">
        <v>22.8</v>
      </c>
      <c r="J115"/>
      <c r="L115">
        <v>30.4</v>
      </c>
      <c r="M115">
        <v>3</v>
      </c>
      <c r="N115">
        <v>4.5999999999999996</v>
      </c>
    </row>
    <row r="116" spans="1:16">
      <c r="A116" s="4" t="str">
        <f t="shared" si="3"/>
        <v>1201050019054</v>
      </c>
      <c r="B116">
        <v>12010500</v>
      </c>
      <c r="C116" t="s">
        <v>243</v>
      </c>
      <c r="D116">
        <v>19054</v>
      </c>
      <c r="E116" t="s">
        <v>539</v>
      </c>
      <c r="F116" s="6">
        <v>44949</v>
      </c>
      <c r="H116" t="s">
        <v>54</v>
      </c>
      <c r="I116">
        <v>152</v>
      </c>
      <c r="J116"/>
    </row>
    <row r="117" spans="1:16">
      <c r="A117" s="4" t="str">
        <f t="shared" si="3"/>
        <v>1203301119017</v>
      </c>
      <c r="B117">
        <v>12033011</v>
      </c>
      <c r="C117" t="s">
        <v>246</v>
      </c>
      <c r="D117">
        <v>19017</v>
      </c>
      <c r="E117" t="s">
        <v>91</v>
      </c>
      <c r="F117" s="6">
        <v>44732</v>
      </c>
      <c r="H117" t="s">
        <v>54</v>
      </c>
      <c r="I117">
        <v>121.6</v>
      </c>
      <c r="J117"/>
      <c r="K117">
        <v>30.4</v>
      </c>
      <c r="M117">
        <v>24.4498</v>
      </c>
      <c r="N117">
        <v>8.15</v>
      </c>
    </row>
    <row r="118" spans="1:16">
      <c r="A118" s="4" t="str">
        <f t="shared" si="3"/>
        <v>1203301119011</v>
      </c>
      <c r="B118">
        <v>12033011</v>
      </c>
      <c r="C118" t="s">
        <v>246</v>
      </c>
      <c r="D118">
        <v>19011</v>
      </c>
      <c r="E118" t="s">
        <v>65</v>
      </c>
      <c r="F118" s="6">
        <v>44704</v>
      </c>
      <c r="H118" t="s">
        <v>54</v>
      </c>
      <c r="I118">
        <v>121.6</v>
      </c>
      <c r="J118"/>
      <c r="M118">
        <v>9.3500999999999994</v>
      </c>
      <c r="O118">
        <v>15.2</v>
      </c>
      <c r="P118">
        <v>15.2</v>
      </c>
    </row>
    <row r="119" spans="1:16">
      <c r="A119" s="4" t="str">
        <f t="shared" si="3"/>
        <v>1203061118797</v>
      </c>
      <c r="B119">
        <v>12030611</v>
      </c>
      <c r="C119" t="s">
        <v>248</v>
      </c>
      <c r="D119">
        <v>18797</v>
      </c>
      <c r="E119" t="s">
        <v>81</v>
      </c>
      <c r="F119" s="6">
        <v>43047</v>
      </c>
      <c r="H119" t="s">
        <v>54</v>
      </c>
      <c r="I119">
        <v>106.13330000000001</v>
      </c>
      <c r="J119"/>
      <c r="K119">
        <v>30.4</v>
      </c>
      <c r="M119">
        <v>21.916699999999999</v>
      </c>
      <c r="N119">
        <v>1.7834000000000001</v>
      </c>
      <c r="O119">
        <v>7.6</v>
      </c>
      <c r="P119">
        <v>7.6</v>
      </c>
    </row>
    <row r="120" spans="1:16">
      <c r="A120" s="4" t="str">
        <f t="shared" si="3"/>
        <v>12010700152</v>
      </c>
      <c r="B120">
        <v>12010700</v>
      </c>
      <c r="C120" t="s">
        <v>269</v>
      </c>
      <c r="D120">
        <v>152</v>
      </c>
      <c r="E120" t="s">
        <v>181</v>
      </c>
      <c r="F120" s="6">
        <v>33331</v>
      </c>
      <c r="H120" t="s">
        <v>72</v>
      </c>
      <c r="I120">
        <v>152</v>
      </c>
      <c r="J120"/>
    </row>
    <row r="121" spans="1:16">
      <c r="A121" s="4" t="str">
        <f t="shared" si="3"/>
        <v>1203071118793</v>
      </c>
      <c r="B121">
        <v>12030711</v>
      </c>
      <c r="C121" t="s">
        <v>550</v>
      </c>
      <c r="D121">
        <v>18793</v>
      </c>
      <c r="E121" t="s">
        <v>548</v>
      </c>
      <c r="F121" s="6">
        <v>43015</v>
      </c>
      <c r="H121" t="s">
        <v>54</v>
      </c>
      <c r="J121"/>
      <c r="L121">
        <v>24.633299999999998</v>
      </c>
    </row>
    <row r="122" spans="1:16">
      <c r="A122" s="4" t="str">
        <f t="shared" si="3"/>
        <v>1202102118781</v>
      </c>
      <c r="B122">
        <v>12021021</v>
      </c>
      <c r="C122" t="s">
        <v>239</v>
      </c>
      <c r="D122">
        <v>18781</v>
      </c>
      <c r="E122" t="s">
        <v>193</v>
      </c>
      <c r="F122" s="6">
        <v>42891</v>
      </c>
      <c r="H122" t="s">
        <v>54</v>
      </c>
      <c r="J122"/>
      <c r="O122">
        <v>22.8</v>
      </c>
      <c r="P122">
        <v>129.19999999999999</v>
      </c>
    </row>
    <row r="123" spans="1:16">
      <c r="A123" s="4" t="str">
        <f t="shared" si="3"/>
        <v>1203061118918</v>
      </c>
      <c r="B123">
        <v>12030611</v>
      </c>
      <c r="C123" t="s">
        <v>248</v>
      </c>
      <c r="D123">
        <v>18918</v>
      </c>
      <c r="E123" t="s">
        <v>78</v>
      </c>
      <c r="F123" s="6">
        <v>44004</v>
      </c>
      <c r="H123" t="s">
        <v>54</v>
      </c>
      <c r="I123">
        <v>151.91669999999999</v>
      </c>
      <c r="J123"/>
      <c r="M123">
        <v>19.683199999999999</v>
      </c>
      <c r="N123">
        <v>1.6833</v>
      </c>
    </row>
    <row r="124" spans="1:16">
      <c r="A124" s="4" t="str">
        <f t="shared" si="3"/>
        <v>12010700266</v>
      </c>
      <c r="B124">
        <v>12010700</v>
      </c>
      <c r="C124" t="s">
        <v>269</v>
      </c>
      <c r="D124">
        <v>266</v>
      </c>
      <c r="E124" t="s">
        <v>167</v>
      </c>
      <c r="F124" s="6">
        <v>39468</v>
      </c>
      <c r="H124" t="s">
        <v>72</v>
      </c>
      <c r="I124">
        <v>152</v>
      </c>
      <c r="J124"/>
    </row>
    <row r="125" spans="1:16">
      <c r="A125" s="4" t="str">
        <f t="shared" si="3"/>
        <v>1203251118736</v>
      </c>
      <c r="B125">
        <v>12032511</v>
      </c>
      <c r="C125" t="s">
        <v>263</v>
      </c>
      <c r="D125">
        <v>18736</v>
      </c>
      <c r="E125" t="s">
        <v>82</v>
      </c>
      <c r="F125" s="6">
        <v>42618</v>
      </c>
      <c r="H125" t="s">
        <v>54</v>
      </c>
      <c r="I125">
        <v>53.2</v>
      </c>
      <c r="J125"/>
      <c r="M125">
        <v>14</v>
      </c>
      <c r="N125">
        <v>9.6997999999999998</v>
      </c>
      <c r="O125">
        <v>98.8</v>
      </c>
    </row>
    <row r="126" spans="1:16">
      <c r="A126" s="4" t="str">
        <f t="shared" si="3"/>
        <v>12062511156</v>
      </c>
      <c r="B126">
        <v>12062511</v>
      </c>
      <c r="C126" t="s">
        <v>268</v>
      </c>
      <c r="D126">
        <v>156</v>
      </c>
      <c r="E126" t="s">
        <v>176</v>
      </c>
      <c r="F126" s="6">
        <v>35648</v>
      </c>
      <c r="H126" t="s">
        <v>54</v>
      </c>
      <c r="I126">
        <v>32</v>
      </c>
      <c r="J126"/>
      <c r="M126">
        <v>0.69989999999999997</v>
      </c>
      <c r="O126">
        <v>16</v>
      </c>
    </row>
    <row r="127" spans="1:16">
      <c r="A127" s="4" t="str">
        <f t="shared" si="3"/>
        <v>1203301119058</v>
      </c>
      <c r="B127">
        <v>12033011</v>
      </c>
      <c r="C127" t="s">
        <v>246</v>
      </c>
      <c r="D127">
        <v>19058</v>
      </c>
      <c r="E127" t="s">
        <v>549</v>
      </c>
      <c r="F127" s="6">
        <v>44971</v>
      </c>
      <c r="H127" t="s">
        <v>54</v>
      </c>
      <c r="I127">
        <v>68.900000000000006</v>
      </c>
      <c r="J127"/>
      <c r="K127">
        <v>15</v>
      </c>
      <c r="M127">
        <v>11.8</v>
      </c>
      <c r="N127">
        <v>6.0667</v>
      </c>
    </row>
    <row r="128" spans="1:16">
      <c r="A128" s="4" t="str">
        <f t="shared" si="3"/>
        <v>1203301118607</v>
      </c>
      <c r="B128">
        <v>12033011</v>
      </c>
      <c r="C128" t="s">
        <v>246</v>
      </c>
      <c r="D128">
        <v>18607</v>
      </c>
      <c r="E128" t="s">
        <v>93</v>
      </c>
      <c r="F128" s="6">
        <v>41612</v>
      </c>
      <c r="H128" t="s">
        <v>54</v>
      </c>
      <c r="I128">
        <v>90.933300000000003</v>
      </c>
      <c r="J128"/>
      <c r="M128">
        <v>9.5832999999999995</v>
      </c>
      <c r="N128">
        <v>4.45</v>
      </c>
    </row>
    <row r="129" spans="1:30">
      <c r="A129" s="4" t="str">
        <f t="shared" si="3"/>
        <v>1206061118895</v>
      </c>
      <c r="B129">
        <v>12060611</v>
      </c>
      <c r="C129" t="s">
        <v>247</v>
      </c>
      <c r="D129">
        <v>18895</v>
      </c>
      <c r="E129" t="s">
        <v>179</v>
      </c>
      <c r="F129" s="6">
        <v>43791</v>
      </c>
      <c r="H129" t="s">
        <v>54</v>
      </c>
      <c r="I129">
        <v>113.9833</v>
      </c>
      <c r="J129"/>
      <c r="M129">
        <v>20.416799999999999</v>
      </c>
      <c r="N129">
        <v>12.566700000000001</v>
      </c>
      <c r="R129">
        <v>7.6</v>
      </c>
    </row>
    <row r="130" spans="1:30">
      <c r="A130" s="4" t="str">
        <f t="shared" si="3"/>
        <v>1202809944705</v>
      </c>
      <c r="B130">
        <v>12028099</v>
      </c>
      <c r="C130" t="s">
        <v>255</v>
      </c>
      <c r="D130">
        <v>44705</v>
      </c>
      <c r="E130" t="s">
        <v>224</v>
      </c>
      <c r="F130" s="6">
        <v>43710</v>
      </c>
      <c r="H130" t="s">
        <v>54</v>
      </c>
      <c r="I130">
        <v>152</v>
      </c>
      <c r="J130"/>
    </row>
    <row r="131" spans="1:30">
      <c r="A131" s="4" t="str">
        <f t="shared" si="3"/>
        <v>1203301119048</v>
      </c>
      <c r="B131">
        <v>12033011</v>
      </c>
      <c r="C131" t="s">
        <v>246</v>
      </c>
      <c r="D131">
        <v>19048</v>
      </c>
      <c r="E131" t="s">
        <v>520</v>
      </c>
      <c r="F131" s="6">
        <v>44902</v>
      </c>
      <c r="H131" t="s">
        <v>54</v>
      </c>
      <c r="I131">
        <v>146.33330000000001</v>
      </c>
      <c r="J131"/>
      <c r="M131">
        <v>25.533200000000001</v>
      </c>
      <c r="N131">
        <v>3.9499</v>
      </c>
    </row>
    <row r="132" spans="1:30">
      <c r="A132" s="4" t="str">
        <f t="shared" si="3"/>
        <v>12030500302</v>
      </c>
      <c r="B132">
        <v>12030500</v>
      </c>
      <c r="C132" t="s">
        <v>260</v>
      </c>
      <c r="D132">
        <v>302</v>
      </c>
      <c r="E132" t="s">
        <v>168</v>
      </c>
      <c r="F132" s="6">
        <v>39694</v>
      </c>
      <c r="H132" t="s">
        <v>54</v>
      </c>
      <c r="J132"/>
      <c r="T132">
        <v>152</v>
      </c>
    </row>
    <row r="133" spans="1:30">
      <c r="A133" s="4" t="str">
        <f t="shared" ref="A133:A184" si="4">B133&amp;D133</f>
        <v>1203301119012</v>
      </c>
      <c r="B133">
        <v>12033011</v>
      </c>
      <c r="C133" t="s">
        <v>246</v>
      </c>
      <c r="D133">
        <v>19012</v>
      </c>
      <c r="E133" t="s">
        <v>61</v>
      </c>
      <c r="F133" s="6">
        <v>44704</v>
      </c>
      <c r="H133" t="s">
        <v>54</v>
      </c>
      <c r="I133">
        <v>121.4333</v>
      </c>
      <c r="J133"/>
      <c r="K133">
        <v>30.4</v>
      </c>
      <c r="M133">
        <v>17.4833</v>
      </c>
      <c r="N133">
        <v>1.5833999999999999</v>
      </c>
    </row>
    <row r="134" spans="1:30">
      <c r="A134" s="4" t="str">
        <f t="shared" si="4"/>
        <v>1202301119006</v>
      </c>
      <c r="B134">
        <v>12023011</v>
      </c>
      <c r="C134" t="s">
        <v>237</v>
      </c>
      <c r="D134">
        <v>19006</v>
      </c>
      <c r="E134" t="s">
        <v>220</v>
      </c>
      <c r="F134" s="6">
        <v>44697</v>
      </c>
      <c r="H134" t="s">
        <v>54</v>
      </c>
      <c r="I134">
        <v>144.4</v>
      </c>
      <c r="J134"/>
      <c r="M134">
        <v>8.5</v>
      </c>
      <c r="P134">
        <v>7.6</v>
      </c>
    </row>
    <row r="135" spans="1:30">
      <c r="A135" s="4" t="str">
        <f t="shared" si="4"/>
        <v>1202080019052</v>
      </c>
      <c r="B135">
        <v>12020800</v>
      </c>
      <c r="C135" t="s">
        <v>238</v>
      </c>
      <c r="D135">
        <v>19052</v>
      </c>
      <c r="E135" t="s">
        <v>535</v>
      </c>
      <c r="F135" s="6">
        <v>44931</v>
      </c>
      <c r="H135" t="s">
        <v>54</v>
      </c>
      <c r="I135">
        <v>152</v>
      </c>
      <c r="J135"/>
      <c r="M135">
        <v>1</v>
      </c>
    </row>
    <row r="136" spans="1:30">
      <c r="A136" s="4" t="str">
        <f t="shared" si="4"/>
        <v>1204080018904</v>
      </c>
      <c r="B136">
        <v>12040800</v>
      </c>
      <c r="C136" t="s">
        <v>131</v>
      </c>
      <c r="D136">
        <v>18904</v>
      </c>
      <c r="E136" t="s">
        <v>229</v>
      </c>
      <c r="F136" s="6">
        <v>43899</v>
      </c>
      <c r="H136" t="s">
        <v>54</v>
      </c>
      <c r="I136">
        <v>143.91669999999999</v>
      </c>
      <c r="J136"/>
      <c r="M136">
        <v>7.1166</v>
      </c>
      <c r="P136">
        <v>7.6</v>
      </c>
    </row>
    <row r="137" spans="1:30">
      <c r="A137" s="4" t="str">
        <f t="shared" si="4"/>
        <v>1202102118892</v>
      </c>
      <c r="B137">
        <v>12021021</v>
      </c>
      <c r="C137" t="s">
        <v>239</v>
      </c>
      <c r="D137">
        <v>18892</v>
      </c>
      <c r="E137" t="s">
        <v>194</v>
      </c>
      <c r="F137" s="6">
        <v>43759</v>
      </c>
      <c r="H137" t="s">
        <v>54</v>
      </c>
      <c r="I137">
        <v>137.91669999999999</v>
      </c>
      <c r="J137"/>
      <c r="M137">
        <v>1.1833</v>
      </c>
      <c r="P137">
        <v>6</v>
      </c>
      <c r="Q137">
        <v>6</v>
      </c>
    </row>
    <row r="138" spans="1:30">
      <c r="A138" s="4" t="str">
        <f t="shared" si="4"/>
        <v>1203301119009</v>
      </c>
      <c r="B138">
        <v>12033011</v>
      </c>
      <c r="C138" t="s">
        <v>246</v>
      </c>
      <c r="D138">
        <v>19009</v>
      </c>
      <c r="E138" t="s">
        <v>68</v>
      </c>
      <c r="F138" s="6">
        <v>44704</v>
      </c>
      <c r="H138" t="s">
        <v>54</v>
      </c>
      <c r="I138">
        <v>114</v>
      </c>
      <c r="J138"/>
      <c r="K138">
        <v>30.4</v>
      </c>
      <c r="M138">
        <v>10.5831</v>
      </c>
      <c r="P138">
        <v>7.6</v>
      </c>
    </row>
    <row r="139" spans="1:30">
      <c r="A139" s="4" t="str">
        <f t="shared" si="4"/>
        <v>1203301119019</v>
      </c>
      <c r="B139">
        <v>12033011</v>
      </c>
      <c r="C139" t="s">
        <v>246</v>
      </c>
      <c r="D139">
        <v>19019</v>
      </c>
      <c r="E139" t="s">
        <v>90</v>
      </c>
      <c r="F139" s="6">
        <v>44734</v>
      </c>
      <c r="H139" t="s">
        <v>54</v>
      </c>
      <c r="I139">
        <v>114</v>
      </c>
      <c r="J139"/>
      <c r="K139">
        <v>29.8</v>
      </c>
      <c r="M139">
        <v>27.283300000000001</v>
      </c>
      <c r="N139">
        <v>5.7667999999999999</v>
      </c>
      <c r="O139">
        <v>7.6</v>
      </c>
    </row>
    <row r="140" spans="1:30">
      <c r="A140" s="4" t="str">
        <f t="shared" si="4"/>
        <v>1201325018946</v>
      </c>
      <c r="B140">
        <v>12013250</v>
      </c>
      <c r="C140" t="s">
        <v>249</v>
      </c>
      <c r="D140">
        <v>18946</v>
      </c>
      <c r="E140" t="s">
        <v>185</v>
      </c>
      <c r="F140" s="6">
        <v>44277</v>
      </c>
      <c r="H140" t="s">
        <v>72</v>
      </c>
      <c r="I140">
        <v>152</v>
      </c>
      <c r="J140"/>
      <c r="AC140">
        <v>1.3895</v>
      </c>
      <c r="AD140">
        <v>3.3895</v>
      </c>
    </row>
    <row r="141" spans="1:30">
      <c r="A141" s="4" t="str">
        <f t="shared" si="4"/>
        <v>1206301119037</v>
      </c>
      <c r="B141">
        <v>12063011</v>
      </c>
      <c r="C141" t="s">
        <v>293</v>
      </c>
      <c r="D141">
        <v>19037</v>
      </c>
      <c r="E141" t="s">
        <v>294</v>
      </c>
      <c r="F141" s="6">
        <v>44813</v>
      </c>
      <c r="H141" t="s">
        <v>54</v>
      </c>
      <c r="I141">
        <v>64.716700000000003</v>
      </c>
      <c r="J141"/>
      <c r="K141">
        <v>11.9</v>
      </c>
      <c r="M141">
        <v>4.6166</v>
      </c>
    </row>
    <row r="142" spans="1:30">
      <c r="A142" s="4" t="str">
        <f t="shared" si="4"/>
        <v>1202402118581</v>
      </c>
      <c r="B142">
        <v>12024021</v>
      </c>
      <c r="C142" t="s">
        <v>270</v>
      </c>
      <c r="D142">
        <v>18581</v>
      </c>
      <c r="E142" t="s">
        <v>182</v>
      </c>
      <c r="F142" s="6">
        <v>41366</v>
      </c>
      <c r="H142" t="s">
        <v>54</v>
      </c>
      <c r="I142">
        <v>121.6</v>
      </c>
      <c r="J142"/>
      <c r="O142">
        <v>22.8</v>
      </c>
      <c r="P142">
        <v>7.6</v>
      </c>
    </row>
    <row r="143" spans="1:30">
      <c r="A143" s="4" t="str">
        <f t="shared" si="4"/>
        <v>1202102118911</v>
      </c>
      <c r="B143">
        <v>12021021</v>
      </c>
      <c r="C143" t="s">
        <v>239</v>
      </c>
      <c r="D143">
        <v>18911</v>
      </c>
      <c r="E143" t="s">
        <v>196</v>
      </c>
      <c r="F143" s="6">
        <v>43930</v>
      </c>
      <c r="H143" t="s">
        <v>54</v>
      </c>
      <c r="I143">
        <v>135.16669999999999</v>
      </c>
      <c r="J143"/>
      <c r="M143">
        <v>18.116599999999998</v>
      </c>
      <c r="N143">
        <v>0.05</v>
      </c>
      <c r="O143">
        <v>15.2</v>
      </c>
    </row>
    <row r="144" spans="1:30">
      <c r="A144" s="4" t="str">
        <f t="shared" si="4"/>
        <v>1203301118983</v>
      </c>
      <c r="B144">
        <v>12033011</v>
      </c>
      <c r="C144" t="s">
        <v>246</v>
      </c>
      <c r="D144">
        <v>18983</v>
      </c>
      <c r="E144" t="s">
        <v>73</v>
      </c>
      <c r="F144" s="6">
        <v>44526</v>
      </c>
      <c r="H144" t="s">
        <v>72</v>
      </c>
      <c r="I144">
        <v>121.6</v>
      </c>
      <c r="J144"/>
      <c r="K144">
        <v>30.1</v>
      </c>
      <c r="M144">
        <v>24.833300000000001</v>
      </c>
      <c r="N144">
        <v>2.3666</v>
      </c>
    </row>
    <row r="145" spans="1:25">
      <c r="A145" s="4" t="str">
        <f t="shared" si="4"/>
        <v>1202301119007</v>
      </c>
      <c r="B145">
        <v>12023011</v>
      </c>
      <c r="C145" t="s">
        <v>237</v>
      </c>
      <c r="D145">
        <v>19007</v>
      </c>
      <c r="E145" t="s">
        <v>221</v>
      </c>
      <c r="F145" s="6">
        <v>44705</v>
      </c>
      <c r="H145" t="s">
        <v>54</v>
      </c>
      <c r="I145">
        <v>105.4</v>
      </c>
      <c r="J145"/>
      <c r="K145">
        <v>30.4</v>
      </c>
      <c r="O145">
        <v>16.2</v>
      </c>
    </row>
    <row r="146" spans="1:25">
      <c r="A146" s="4" t="str">
        <f t="shared" si="4"/>
        <v>1202061118903</v>
      </c>
      <c r="B146">
        <v>12020611</v>
      </c>
      <c r="C146" t="s">
        <v>241</v>
      </c>
      <c r="D146">
        <v>18903</v>
      </c>
      <c r="E146" t="s">
        <v>210</v>
      </c>
      <c r="F146" s="6">
        <v>43894</v>
      </c>
      <c r="H146" t="s">
        <v>54</v>
      </c>
      <c r="I146">
        <v>121.6</v>
      </c>
      <c r="J146"/>
      <c r="K146">
        <v>30.4</v>
      </c>
      <c r="M146">
        <v>6</v>
      </c>
    </row>
    <row r="147" spans="1:25">
      <c r="A147" s="4" t="str">
        <f t="shared" si="4"/>
        <v>1202061118957</v>
      </c>
      <c r="B147">
        <v>12020611</v>
      </c>
      <c r="C147" t="s">
        <v>241</v>
      </c>
      <c r="D147">
        <v>18957</v>
      </c>
      <c r="E147" t="s">
        <v>212</v>
      </c>
      <c r="F147" s="6">
        <v>44397</v>
      </c>
      <c r="H147" t="s">
        <v>54</v>
      </c>
      <c r="I147">
        <v>121.6</v>
      </c>
      <c r="J147"/>
      <c r="M147">
        <v>3</v>
      </c>
      <c r="O147">
        <v>22.8</v>
      </c>
      <c r="P147">
        <v>7.6</v>
      </c>
    </row>
    <row r="148" spans="1:25">
      <c r="A148" s="4" t="str">
        <f t="shared" si="4"/>
        <v>Report Total:</v>
      </c>
      <c r="B148" t="s">
        <v>234</v>
      </c>
      <c r="I148">
        <v>15512.533299999999</v>
      </c>
      <c r="J148">
        <v>258.66649999999998</v>
      </c>
      <c r="K148">
        <v>616.11670000000004</v>
      </c>
      <c r="L148">
        <v>330.11660000000001</v>
      </c>
      <c r="M148">
        <v>748.09950000000003</v>
      </c>
      <c r="N148">
        <v>200.11670000000001</v>
      </c>
      <c r="O148">
        <v>1236.75</v>
      </c>
      <c r="P148">
        <v>455.2</v>
      </c>
      <c r="Q148">
        <v>8.35</v>
      </c>
      <c r="R148">
        <v>173</v>
      </c>
      <c r="S148">
        <v>11.6</v>
      </c>
      <c r="T148">
        <v>243.2</v>
      </c>
      <c r="U148">
        <v>57.572600000000001</v>
      </c>
      <c r="V148">
        <v>55.073999999999998</v>
      </c>
      <c r="W148">
        <v>152</v>
      </c>
      <c r="X148">
        <v>36.974899999999998</v>
      </c>
      <c r="Y148">
        <v>36.974899999999998</v>
      </c>
    </row>
    <row r="149" spans="1:25">
      <c r="A149" s="4" t="str">
        <f t="shared" si="4"/>
        <v/>
      </c>
      <c r="F149" s="6"/>
      <c r="J149"/>
    </row>
    <row r="150" spans="1:25">
      <c r="A150" s="4" t="str">
        <f t="shared" si="4"/>
        <v/>
      </c>
      <c r="F150" s="6"/>
      <c r="J150"/>
    </row>
    <row r="151" spans="1:25">
      <c r="A151" s="4" t="str">
        <f t="shared" si="4"/>
        <v/>
      </c>
      <c r="F151" s="6"/>
      <c r="J151"/>
    </row>
    <row r="152" spans="1:25">
      <c r="A152" s="4" t="str">
        <f t="shared" si="4"/>
        <v/>
      </c>
      <c r="J152"/>
    </row>
    <row r="153" spans="1:25">
      <c r="A153" s="4" t="str">
        <f t="shared" si="4"/>
        <v/>
      </c>
      <c r="F153" s="6"/>
      <c r="J153"/>
    </row>
    <row r="154" spans="1:25">
      <c r="A154" s="4" t="str">
        <f t="shared" si="4"/>
        <v/>
      </c>
      <c r="F154" s="6"/>
      <c r="J154"/>
    </row>
    <row r="155" spans="1:25">
      <c r="A155" s="4" t="str">
        <f t="shared" si="4"/>
        <v/>
      </c>
      <c r="J155"/>
      <c r="W155" s="37"/>
      <c r="X155" s="37"/>
      <c r="Y155" s="37"/>
    </row>
    <row r="156" spans="1:25">
      <c r="A156" s="4" t="str">
        <f t="shared" si="4"/>
        <v/>
      </c>
      <c r="B156" s="37"/>
      <c r="C156" s="37"/>
      <c r="D156" s="37"/>
      <c r="E156" s="37"/>
      <c r="F156" s="38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</row>
    <row r="157" spans="1:25">
      <c r="A157" s="4" t="str">
        <f t="shared" si="4"/>
        <v/>
      </c>
      <c r="B157" s="37"/>
      <c r="C157" s="37"/>
      <c r="D157" s="37"/>
      <c r="E157" s="37"/>
      <c r="F157" s="38"/>
      <c r="G157" s="38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</row>
    <row r="158" spans="1:25">
      <c r="A158" s="4" t="str">
        <f t="shared" si="4"/>
        <v/>
      </c>
      <c r="B158" s="37"/>
      <c r="C158" s="37"/>
      <c r="D158" s="37"/>
      <c r="E158" s="37"/>
      <c r="F158" s="38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</row>
    <row r="159" spans="1:25">
      <c r="A159" s="4" t="str">
        <f t="shared" si="4"/>
        <v/>
      </c>
      <c r="B159" s="37"/>
      <c r="C159" s="37"/>
      <c r="D159" s="37"/>
      <c r="E159" s="37"/>
      <c r="F159" s="38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</row>
    <row r="160" spans="1:25">
      <c r="A160" s="4" t="str">
        <f t="shared" si="4"/>
        <v/>
      </c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</row>
    <row r="161" spans="1:1">
      <c r="A161" s="4" t="str">
        <f t="shared" si="4"/>
        <v/>
      </c>
    </row>
    <row r="162" spans="1:1">
      <c r="A162" s="4" t="str">
        <f t="shared" si="4"/>
        <v/>
      </c>
    </row>
    <row r="163" spans="1:1">
      <c r="A163" s="4" t="str">
        <f t="shared" si="4"/>
        <v/>
      </c>
    </row>
    <row r="164" spans="1:1">
      <c r="A164" s="4" t="str">
        <f t="shared" si="4"/>
        <v/>
      </c>
    </row>
    <row r="165" spans="1:1">
      <c r="A165" s="4" t="str">
        <f t="shared" si="4"/>
        <v/>
      </c>
    </row>
    <row r="166" spans="1:1">
      <c r="A166" s="4" t="str">
        <f t="shared" si="4"/>
        <v/>
      </c>
    </row>
    <row r="167" spans="1:1">
      <c r="A167" s="4" t="str">
        <f t="shared" si="4"/>
        <v/>
      </c>
    </row>
    <row r="168" spans="1:1">
      <c r="A168" s="4" t="str">
        <f t="shared" si="4"/>
        <v/>
      </c>
    </row>
    <row r="169" spans="1:1">
      <c r="A169" s="4" t="str">
        <f t="shared" si="4"/>
        <v/>
      </c>
    </row>
    <row r="170" spans="1:1">
      <c r="A170" s="4" t="str">
        <f t="shared" si="4"/>
        <v/>
      </c>
    </row>
    <row r="171" spans="1:1">
      <c r="A171" s="4" t="str">
        <f t="shared" si="4"/>
        <v/>
      </c>
    </row>
    <row r="172" spans="1:1">
      <c r="A172" s="4" t="str">
        <f t="shared" si="4"/>
        <v/>
      </c>
    </row>
    <row r="173" spans="1:1">
      <c r="A173" s="4" t="str">
        <f t="shared" si="4"/>
        <v/>
      </c>
    </row>
    <row r="174" spans="1:1">
      <c r="A174" s="4" t="str">
        <f t="shared" si="4"/>
        <v/>
      </c>
    </row>
    <row r="175" spans="1:1">
      <c r="A175" s="4" t="str">
        <f t="shared" si="4"/>
        <v/>
      </c>
    </row>
    <row r="176" spans="1:1">
      <c r="A176" s="4" t="str">
        <f t="shared" si="4"/>
        <v/>
      </c>
    </row>
    <row r="177" spans="1:1">
      <c r="A177" s="4" t="str">
        <f t="shared" si="4"/>
        <v/>
      </c>
    </row>
    <row r="178" spans="1:1">
      <c r="A178" s="4" t="str">
        <f t="shared" si="4"/>
        <v/>
      </c>
    </row>
    <row r="179" spans="1:1">
      <c r="A179" s="4" t="str">
        <f t="shared" si="4"/>
        <v/>
      </c>
    </row>
    <row r="180" spans="1:1">
      <c r="A180" s="4" t="str">
        <f t="shared" si="4"/>
        <v/>
      </c>
    </row>
    <row r="181" spans="1:1">
      <c r="A181" s="4" t="str">
        <f t="shared" si="4"/>
        <v/>
      </c>
    </row>
    <row r="182" spans="1:1">
      <c r="A182" s="4" t="str">
        <f t="shared" si="4"/>
        <v/>
      </c>
    </row>
    <row r="183" spans="1:1">
      <c r="A183" s="4" t="str">
        <f t="shared" si="4"/>
        <v/>
      </c>
    </row>
    <row r="184" spans="1:1">
      <c r="A184" s="4" t="str">
        <f t="shared" si="4"/>
        <v/>
      </c>
    </row>
    <row r="185" spans="1:1">
      <c r="A185" s="4" t="str">
        <f t="shared" ref="A185:A248" si="5">B185&amp;D185</f>
        <v/>
      </c>
    </row>
    <row r="186" spans="1:1">
      <c r="A186" s="4" t="str">
        <f t="shared" si="5"/>
        <v/>
      </c>
    </row>
    <row r="187" spans="1:1">
      <c r="A187" s="4" t="str">
        <f t="shared" si="5"/>
        <v/>
      </c>
    </row>
    <row r="188" spans="1:1">
      <c r="A188" s="4" t="str">
        <f t="shared" si="5"/>
        <v/>
      </c>
    </row>
    <row r="189" spans="1:1">
      <c r="A189" s="4" t="str">
        <f t="shared" si="5"/>
        <v/>
      </c>
    </row>
    <row r="190" spans="1:1">
      <c r="A190" s="4" t="str">
        <f t="shared" si="5"/>
        <v/>
      </c>
    </row>
    <row r="191" spans="1:1">
      <c r="A191" s="4" t="str">
        <f t="shared" si="5"/>
        <v/>
      </c>
    </row>
    <row r="192" spans="1:1">
      <c r="A192" s="4" t="str">
        <f t="shared" si="5"/>
        <v/>
      </c>
    </row>
    <row r="193" spans="1:1">
      <c r="A193" s="4" t="str">
        <f t="shared" si="5"/>
        <v/>
      </c>
    </row>
    <row r="194" spans="1:1">
      <c r="A194" s="4" t="str">
        <f t="shared" si="5"/>
        <v/>
      </c>
    </row>
    <row r="195" spans="1:1">
      <c r="A195" s="4" t="str">
        <f t="shared" si="5"/>
        <v/>
      </c>
    </row>
    <row r="196" spans="1:1">
      <c r="A196" s="4" t="str">
        <f t="shared" si="5"/>
        <v/>
      </c>
    </row>
    <row r="197" spans="1:1">
      <c r="A197" s="4" t="str">
        <f t="shared" si="5"/>
        <v/>
      </c>
    </row>
    <row r="198" spans="1:1">
      <c r="A198" s="4" t="str">
        <f t="shared" si="5"/>
        <v/>
      </c>
    </row>
    <row r="199" spans="1:1">
      <c r="A199" s="4" t="str">
        <f t="shared" si="5"/>
        <v/>
      </c>
    </row>
    <row r="200" spans="1:1">
      <c r="A200" s="4" t="str">
        <f t="shared" si="5"/>
        <v/>
      </c>
    </row>
    <row r="201" spans="1:1">
      <c r="A201" s="4" t="str">
        <f t="shared" si="5"/>
        <v/>
      </c>
    </row>
    <row r="202" spans="1:1">
      <c r="A202" s="4" t="str">
        <f t="shared" si="5"/>
        <v/>
      </c>
    </row>
    <row r="203" spans="1:1">
      <c r="A203" s="4" t="str">
        <f t="shared" si="5"/>
        <v/>
      </c>
    </row>
    <row r="204" spans="1:1">
      <c r="A204" s="4" t="str">
        <f t="shared" si="5"/>
        <v/>
      </c>
    </row>
    <row r="205" spans="1:1">
      <c r="A205" s="4" t="str">
        <f t="shared" si="5"/>
        <v/>
      </c>
    </row>
    <row r="206" spans="1:1">
      <c r="A206" s="4" t="str">
        <f t="shared" si="5"/>
        <v/>
      </c>
    </row>
    <row r="207" spans="1:1">
      <c r="A207" s="4" t="str">
        <f t="shared" si="5"/>
        <v/>
      </c>
    </row>
    <row r="208" spans="1:1">
      <c r="A208" s="4" t="str">
        <f t="shared" si="5"/>
        <v/>
      </c>
    </row>
    <row r="209" spans="1:1">
      <c r="A209" s="4" t="str">
        <f t="shared" si="5"/>
        <v/>
      </c>
    </row>
    <row r="210" spans="1:1">
      <c r="A210" s="4" t="str">
        <f t="shared" si="5"/>
        <v/>
      </c>
    </row>
    <row r="211" spans="1:1">
      <c r="A211" s="4" t="str">
        <f t="shared" si="5"/>
        <v/>
      </c>
    </row>
    <row r="212" spans="1:1">
      <c r="A212" s="4" t="str">
        <f t="shared" si="5"/>
        <v/>
      </c>
    </row>
    <row r="213" spans="1:1">
      <c r="A213" s="4" t="str">
        <f t="shared" si="5"/>
        <v/>
      </c>
    </row>
    <row r="214" spans="1:1">
      <c r="A214" s="4" t="str">
        <f t="shared" si="5"/>
        <v/>
      </c>
    </row>
    <row r="215" spans="1:1">
      <c r="A215" s="4" t="str">
        <f t="shared" si="5"/>
        <v/>
      </c>
    </row>
    <row r="216" spans="1:1">
      <c r="A216" s="4" t="str">
        <f t="shared" si="5"/>
        <v/>
      </c>
    </row>
    <row r="217" spans="1:1">
      <c r="A217" s="4" t="str">
        <f t="shared" si="5"/>
        <v/>
      </c>
    </row>
    <row r="218" spans="1:1">
      <c r="A218" s="4" t="str">
        <f t="shared" si="5"/>
        <v/>
      </c>
    </row>
    <row r="219" spans="1:1">
      <c r="A219" s="4" t="str">
        <f t="shared" si="5"/>
        <v/>
      </c>
    </row>
    <row r="220" spans="1:1">
      <c r="A220" s="4" t="str">
        <f t="shared" si="5"/>
        <v/>
      </c>
    </row>
    <row r="221" spans="1:1">
      <c r="A221" s="4" t="str">
        <f t="shared" si="5"/>
        <v/>
      </c>
    </row>
    <row r="222" spans="1:1">
      <c r="A222" s="4" t="str">
        <f t="shared" si="5"/>
        <v/>
      </c>
    </row>
    <row r="223" spans="1:1">
      <c r="A223" s="4" t="str">
        <f t="shared" si="5"/>
        <v/>
      </c>
    </row>
    <row r="224" spans="1:1">
      <c r="A224" s="4" t="str">
        <f t="shared" si="5"/>
        <v/>
      </c>
    </row>
    <row r="225" spans="1:1">
      <c r="A225" s="4" t="str">
        <f t="shared" si="5"/>
        <v/>
      </c>
    </row>
    <row r="226" spans="1:1">
      <c r="A226" s="4" t="str">
        <f t="shared" si="5"/>
        <v/>
      </c>
    </row>
    <row r="227" spans="1:1">
      <c r="A227" s="4" t="str">
        <f t="shared" si="5"/>
        <v/>
      </c>
    </row>
    <row r="228" spans="1:1">
      <c r="A228" s="4" t="str">
        <f t="shared" si="5"/>
        <v/>
      </c>
    </row>
    <row r="229" spans="1:1">
      <c r="A229" s="4" t="str">
        <f t="shared" si="5"/>
        <v/>
      </c>
    </row>
    <row r="230" spans="1:1">
      <c r="A230" s="4" t="str">
        <f t="shared" si="5"/>
        <v/>
      </c>
    </row>
    <row r="231" spans="1:1">
      <c r="A231" s="4" t="str">
        <f t="shared" si="5"/>
        <v/>
      </c>
    </row>
    <row r="232" spans="1:1">
      <c r="A232" s="4" t="str">
        <f t="shared" si="5"/>
        <v/>
      </c>
    </row>
    <row r="233" spans="1:1">
      <c r="A233" s="4" t="str">
        <f t="shared" si="5"/>
        <v/>
      </c>
    </row>
    <row r="234" spans="1:1">
      <c r="A234" s="4" t="str">
        <f t="shared" si="5"/>
        <v/>
      </c>
    </row>
    <row r="235" spans="1:1">
      <c r="A235" s="4" t="str">
        <f t="shared" si="5"/>
        <v/>
      </c>
    </row>
    <row r="236" spans="1:1">
      <c r="A236" s="4" t="str">
        <f t="shared" si="5"/>
        <v/>
      </c>
    </row>
    <row r="237" spans="1:1">
      <c r="A237" s="4" t="str">
        <f t="shared" si="5"/>
        <v/>
      </c>
    </row>
    <row r="238" spans="1:1">
      <c r="A238" s="4" t="str">
        <f t="shared" si="5"/>
        <v/>
      </c>
    </row>
    <row r="239" spans="1:1">
      <c r="A239" s="4" t="str">
        <f t="shared" si="5"/>
        <v/>
      </c>
    </row>
    <row r="240" spans="1:1">
      <c r="A240" s="4" t="str">
        <f t="shared" si="5"/>
        <v/>
      </c>
    </row>
    <row r="241" spans="1:1">
      <c r="A241" s="4" t="str">
        <f t="shared" si="5"/>
        <v/>
      </c>
    </row>
    <row r="242" spans="1:1">
      <c r="A242" s="4" t="str">
        <f t="shared" si="5"/>
        <v/>
      </c>
    </row>
    <row r="243" spans="1:1">
      <c r="A243" s="4" t="str">
        <f t="shared" si="5"/>
        <v/>
      </c>
    </row>
    <row r="244" spans="1:1">
      <c r="A244" s="4" t="str">
        <f t="shared" si="5"/>
        <v/>
      </c>
    </row>
    <row r="245" spans="1:1">
      <c r="A245" s="4" t="str">
        <f t="shared" si="5"/>
        <v/>
      </c>
    </row>
    <row r="246" spans="1:1">
      <c r="A246" s="4" t="str">
        <f t="shared" si="5"/>
        <v/>
      </c>
    </row>
    <row r="247" spans="1:1">
      <c r="A247" s="4" t="str">
        <f t="shared" si="5"/>
        <v/>
      </c>
    </row>
    <row r="248" spans="1:1">
      <c r="A248" s="4" t="str">
        <f t="shared" si="5"/>
        <v/>
      </c>
    </row>
    <row r="249" spans="1:1">
      <c r="A249" s="4" t="str">
        <f t="shared" ref="A249:A283" si="6">B249&amp;D249</f>
        <v/>
      </c>
    </row>
    <row r="250" spans="1:1">
      <c r="A250" s="4" t="str">
        <f t="shared" si="6"/>
        <v/>
      </c>
    </row>
    <row r="251" spans="1:1">
      <c r="A251" s="4" t="str">
        <f t="shared" si="6"/>
        <v/>
      </c>
    </row>
    <row r="252" spans="1:1">
      <c r="A252" s="4" t="str">
        <f t="shared" si="6"/>
        <v/>
      </c>
    </row>
    <row r="253" spans="1:1">
      <c r="A253" s="4" t="str">
        <f t="shared" si="6"/>
        <v/>
      </c>
    </row>
    <row r="254" spans="1:1">
      <c r="A254" s="4" t="str">
        <f t="shared" si="6"/>
        <v/>
      </c>
    </row>
    <row r="255" spans="1:1">
      <c r="A255" s="4" t="str">
        <f t="shared" si="6"/>
        <v/>
      </c>
    </row>
    <row r="256" spans="1:1">
      <c r="A256" s="4" t="str">
        <f t="shared" si="6"/>
        <v/>
      </c>
    </row>
    <row r="257" spans="1:1">
      <c r="A257" s="4" t="str">
        <f t="shared" si="6"/>
        <v/>
      </c>
    </row>
    <row r="258" spans="1:1">
      <c r="A258" s="4" t="str">
        <f t="shared" si="6"/>
        <v/>
      </c>
    </row>
    <row r="259" spans="1:1">
      <c r="A259" s="4" t="str">
        <f t="shared" si="6"/>
        <v/>
      </c>
    </row>
    <row r="260" spans="1:1">
      <c r="A260" s="4" t="str">
        <f t="shared" si="6"/>
        <v/>
      </c>
    </row>
    <row r="261" spans="1:1">
      <c r="A261" s="4" t="str">
        <f t="shared" si="6"/>
        <v/>
      </c>
    </row>
    <row r="262" spans="1:1">
      <c r="A262" s="4" t="str">
        <f t="shared" si="6"/>
        <v/>
      </c>
    </row>
    <row r="263" spans="1:1">
      <c r="A263" s="4" t="str">
        <f t="shared" si="6"/>
        <v/>
      </c>
    </row>
    <row r="264" spans="1:1">
      <c r="A264" s="4" t="str">
        <f t="shared" si="6"/>
        <v/>
      </c>
    </row>
    <row r="265" spans="1:1">
      <c r="A265" s="4" t="str">
        <f t="shared" si="6"/>
        <v/>
      </c>
    </row>
    <row r="266" spans="1:1">
      <c r="A266" s="4" t="str">
        <f t="shared" si="6"/>
        <v/>
      </c>
    </row>
    <row r="267" spans="1:1">
      <c r="A267" s="4" t="str">
        <f t="shared" si="6"/>
        <v/>
      </c>
    </row>
    <row r="268" spans="1:1">
      <c r="A268" s="4" t="str">
        <f t="shared" si="6"/>
        <v/>
      </c>
    </row>
    <row r="269" spans="1:1">
      <c r="A269" s="4" t="str">
        <f t="shared" si="6"/>
        <v/>
      </c>
    </row>
    <row r="270" spans="1:1">
      <c r="A270" s="4" t="str">
        <f t="shared" si="6"/>
        <v/>
      </c>
    </row>
    <row r="271" spans="1:1">
      <c r="A271" s="4" t="str">
        <f t="shared" si="6"/>
        <v/>
      </c>
    </row>
    <row r="272" spans="1:1">
      <c r="A272" s="4" t="str">
        <f t="shared" si="6"/>
        <v/>
      </c>
    </row>
    <row r="273" spans="1:1">
      <c r="A273" s="4" t="str">
        <f t="shared" si="6"/>
        <v/>
      </c>
    </row>
    <row r="274" spans="1:1">
      <c r="A274" s="4" t="str">
        <f t="shared" si="6"/>
        <v/>
      </c>
    </row>
    <row r="275" spans="1:1">
      <c r="A275" s="4" t="str">
        <f t="shared" si="6"/>
        <v/>
      </c>
    </row>
    <row r="276" spans="1:1">
      <c r="A276" s="4" t="str">
        <f t="shared" si="6"/>
        <v/>
      </c>
    </row>
    <row r="277" spans="1:1">
      <c r="A277" s="4" t="str">
        <f t="shared" si="6"/>
        <v/>
      </c>
    </row>
    <row r="278" spans="1:1">
      <c r="A278" s="4" t="str">
        <f t="shared" si="6"/>
        <v/>
      </c>
    </row>
    <row r="279" spans="1:1">
      <c r="A279" s="4" t="str">
        <f t="shared" si="6"/>
        <v/>
      </c>
    </row>
    <row r="280" spans="1:1">
      <c r="A280" s="4" t="str">
        <f t="shared" si="6"/>
        <v/>
      </c>
    </row>
    <row r="281" spans="1:1">
      <c r="A281" s="4" t="str">
        <f t="shared" si="6"/>
        <v/>
      </c>
    </row>
    <row r="282" spans="1:1">
      <c r="A282" s="4" t="str">
        <f t="shared" si="6"/>
        <v/>
      </c>
    </row>
    <row r="283" spans="1:1">
      <c r="A283" s="4" t="str">
        <f t="shared" si="6"/>
        <v/>
      </c>
    </row>
  </sheetData>
  <autoFilter ref="A2:BG283">
    <sortState ref="A2:CB283">
      <sortCondition ref="C2:C159"/>
    </sortState>
  </autoFilter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AO330"/>
  <sheetViews>
    <sheetView topLeftCell="A126" workbookViewId="0">
      <selection activeCell="B149" sqref="B149:AI153"/>
    </sheetView>
  </sheetViews>
  <sheetFormatPr defaultColWidth="9.140625" defaultRowHeight="15"/>
  <cols>
    <col min="1" max="1" width="9.140625" style="4"/>
    <col min="2" max="2" width="8.7109375"/>
    <col min="3" max="3" width="17.7109375" customWidth="1"/>
    <col min="4" max="4" width="8.7109375"/>
    <col min="5" max="5" width="36.28515625" customWidth="1"/>
    <col min="6" max="6" width="12" customWidth="1"/>
    <col min="7" max="25" width="8.7109375"/>
  </cols>
  <sheetData>
    <row r="1" spans="1:41" s="1" customFormat="1">
      <c r="A1" s="5"/>
      <c r="B1" t="s">
        <v>235</v>
      </c>
      <c r="C1" t="s">
        <v>543</v>
      </c>
      <c r="D1" t="s">
        <v>544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</row>
    <row r="2" spans="1:41" s="1" customFormat="1">
      <c r="A2" s="5"/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19</v>
      </c>
      <c r="K2" t="s">
        <v>20</v>
      </c>
      <c r="L2" t="s">
        <v>21</v>
      </c>
      <c r="M2" t="s">
        <v>22</v>
      </c>
      <c r="N2" t="s">
        <v>23</v>
      </c>
      <c r="O2" t="s">
        <v>26</v>
      </c>
      <c r="P2" t="s">
        <v>27</v>
      </c>
      <c r="Q2" t="s">
        <v>30</v>
      </c>
      <c r="R2" t="s">
        <v>31</v>
      </c>
      <c r="S2" t="s">
        <v>32</v>
      </c>
      <c r="T2" t="s">
        <v>33</v>
      </c>
      <c r="U2" t="s">
        <v>537</v>
      </c>
      <c r="V2" t="s">
        <v>538</v>
      </c>
      <c r="W2" t="s">
        <v>42</v>
      </c>
      <c r="X2" t="s">
        <v>39</v>
      </c>
      <c r="Y2" t="s">
        <v>40</v>
      </c>
      <c r="Z2"/>
      <c r="AA2"/>
      <c r="AB2"/>
      <c r="AC2" t="s">
        <v>39</v>
      </c>
      <c r="AD2" t="s">
        <v>40</v>
      </c>
      <c r="AE2"/>
      <c r="AF2"/>
      <c r="AG2"/>
      <c r="AH2"/>
      <c r="AI2"/>
      <c r="AJ2"/>
      <c r="AK2"/>
      <c r="AL2"/>
      <c r="AM2"/>
      <c r="AN2"/>
      <c r="AO2"/>
    </row>
    <row r="3" spans="1:41">
      <c r="A3" s="4">
        <f>IF(D3&gt;0,D3,"")</f>
        <v>18999</v>
      </c>
      <c r="B3" t="s">
        <v>52</v>
      </c>
      <c r="C3" t="s">
        <v>53</v>
      </c>
      <c r="D3">
        <v>18999</v>
      </c>
      <c r="E3" t="s">
        <v>219</v>
      </c>
      <c r="F3" s="6">
        <v>44663</v>
      </c>
      <c r="H3" t="s">
        <v>54</v>
      </c>
      <c r="I3">
        <v>91.2</v>
      </c>
      <c r="K3">
        <v>30.4</v>
      </c>
      <c r="M3">
        <v>2</v>
      </c>
      <c r="O3">
        <v>30.4</v>
      </c>
    </row>
    <row r="4" spans="1:41">
      <c r="A4" s="4">
        <f t="shared" ref="A4:A67" si="0">IF(D4&gt;0,D4,"")</f>
        <v>19033</v>
      </c>
      <c r="B4" t="s">
        <v>52</v>
      </c>
      <c r="C4" t="s">
        <v>53</v>
      </c>
      <c r="D4">
        <v>19033</v>
      </c>
      <c r="E4" t="s">
        <v>200</v>
      </c>
      <c r="F4" s="6">
        <v>44802</v>
      </c>
      <c r="H4" t="s">
        <v>54</v>
      </c>
      <c r="I4">
        <v>145.35</v>
      </c>
      <c r="M4">
        <v>14.3835</v>
      </c>
      <c r="P4">
        <v>6.6</v>
      </c>
    </row>
    <row r="5" spans="1:41">
      <c r="A5" s="4">
        <f t="shared" si="0"/>
        <v>18962</v>
      </c>
      <c r="B5" t="s">
        <v>52</v>
      </c>
      <c r="C5" t="s">
        <v>53</v>
      </c>
      <c r="D5">
        <v>18962</v>
      </c>
      <c r="E5" t="s">
        <v>215</v>
      </c>
      <c r="F5" s="6">
        <v>44424</v>
      </c>
      <c r="H5" t="s">
        <v>72</v>
      </c>
      <c r="I5">
        <v>152</v>
      </c>
    </row>
    <row r="6" spans="1:41">
      <c r="A6" s="4">
        <f t="shared" si="0"/>
        <v>18989</v>
      </c>
      <c r="B6" t="s">
        <v>52</v>
      </c>
      <c r="C6" t="s">
        <v>53</v>
      </c>
      <c r="D6">
        <v>18989</v>
      </c>
      <c r="E6" t="s">
        <v>230</v>
      </c>
      <c r="F6" s="6">
        <v>44571</v>
      </c>
      <c r="H6" t="s">
        <v>54</v>
      </c>
      <c r="O6">
        <v>76</v>
      </c>
    </row>
    <row r="7" spans="1:41">
      <c r="A7" s="4">
        <f t="shared" si="0"/>
        <v>18954</v>
      </c>
      <c r="B7" t="s">
        <v>52</v>
      </c>
      <c r="C7" t="s">
        <v>53</v>
      </c>
      <c r="D7">
        <v>18954</v>
      </c>
      <c r="E7" t="s">
        <v>211</v>
      </c>
      <c r="F7" s="6">
        <v>44382</v>
      </c>
      <c r="H7" t="s">
        <v>72</v>
      </c>
      <c r="I7">
        <v>152</v>
      </c>
    </row>
    <row r="8" spans="1:41">
      <c r="A8" s="4">
        <f t="shared" si="0"/>
        <v>18866</v>
      </c>
      <c r="B8" t="s">
        <v>52</v>
      </c>
      <c r="C8" t="s">
        <v>53</v>
      </c>
      <c r="D8">
        <v>18866</v>
      </c>
      <c r="E8" t="s">
        <v>204</v>
      </c>
      <c r="F8" s="6">
        <v>43528</v>
      </c>
      <c r="H8" t="s">
        <v>54</v>
      </c>
      <c r="I8">
        <v>100.8</v>
      </c>
      <c r="L8">
        <v>30.4</v>
      </c>
      <c r="O8">
        <v>15.2</v>
      </c>
      <c r="P8">
        <v>5.6</v>
      </c>
    </row>
    <row r="9" spans="1:41">
      <c r="A9" s="4">
        <f t="shared" si="0"/>
        <v>18836</v>
      </c>
      <c r="B9" t="s">
        <v>52</v>
      </c>
      <c r="C9" t="s">
        <v>53</v>
      </c>
      <c r="D9">
        <v>18836</v>
      </c>
      <c r="E9" t="s">
        <v>202</v>
      </c>
      <c r="F9" s="6">
        <v>43353</v>
      </c>
      <c r="H9" t="s">
        <v>54</v>
      </c>
      <c r="I9">
        <v>152</v>
      </c>
    </row>
    <row r="10" spans="1:41">
      <c r="A10" s="4">
        <f t="shared" si="0"/>
        <v>19026</v>
      </c>
      <c r="B10" t="s">
        <v>62</v>
      </c>
      <c r="C10" t="s">
        <v>63</v>
      </c>
      <c r="D10">
        <v>19026</v>
      </c>
      <c r="E10" t="s">
        <v>222</v>
      </c>
      <c r="F10" s="6">
        <v>44774</v>
      </c>
      <c r="H10" t="s">
        <v>54</v>
      </c>
      <c r="I10">
        <v>91.2</v>
      </c>
      <c r="M10">
        <v>2</v>
      </c>
    </row>
    <row r="11" spans="1:41">
      <c r="A11" s="4">
        <f t="shared" si="0"/>
        <v>19046</v>
      </c>
      <c r="B11" t="s">
        <v>52</v>
      </c>
      <c r="C11" t="s">
        <v>53</v>
      </c>
      <c r="D11">
        <v>19046</v>
      </c>
      <c r="E11" t="s">
        <v>516</v>
      </c>
      <c r="F11" s="6">
        <v>44893</v>
      </c>
      <c r="H11" t="s">
        <v>54</v>
      </c>
      <c r="I11">
        <v>144.4</v>
      </c>
      <c r="M11">
        <v>3</v>
      </c>
      <c r="P11">
        <v>7.6</v>
      </c>
    </row>
    <row r="12" spans="1:41">
      <c r="A12" s="4">
        <f t="shared" si="0"/>
        <v>19031</v>
      </c>
      <c r="B12" t="s">
        <v>52</v>
      </c>
      <c r="C12" t="s">
        <v>53</v>
      </c>
      <c r="D12">
        <v>19031</v>
      </c>
      <c r="E12" t="s">
        <v>153</v>
      </c>
      <c r="F12" s="6">
        <v>44795</v>
      </c>
      <c r="H12" t="s">
        <v>72</v>
      </c>
      <c r="I12">
        <v>144.4</v>
      </c>
      <c r="P12">
        <v>7.6</v>
      </c>
    </row>
    <row r="13" spans="1:41">
      <c r="A13" s="4">
        <f t="shared" si="0"/>
        <v>19055</v>
      </c>
      <c r="B13" t="s">
        <v>52</v>
      </c>
      <c r="C13" t="s">
        <v>53</v>
      </c>
      <c r="D13">
        <v>19055</v>
      </c>
      <c r="E13" t="s">
        <v>531</v>
      </c>
      <c r="F13" s="6">
        <v>44942</v>
      </c>
      <c r="G13" s="6">
        <v>44981</v>
      </c>
      <c r="H13" t="s">
        <v>72</v>
      </c>
      <c r="I13">
        <v>136.80000000000001</v>
      </c>
      <c r="X13">
        <v>16.657499999999999</v>
      </c>
      <c r="Y13">
        <v>16.657499999999999</v>
      </c>
    </row>
    <row r="14" spans="1:41">
      <c r="A14" s="4">
        <f t="shared" si="0"/>
        <v>18733</v>
      </c>
      <c r="B14" t="s">
        <v>52</v>
      </c>
      <c r="C14" t="s">
        <v>53</v>
      </c>
      <c r="D14">
        <v>18733</v>
      </c>
      <c r="E14" t="s">
        <v>189</v>
      </c>
      <c r="F14" s="6">
        <v>42562</v>
      </c>
      <c r="H14" t="s">
        <v>54</v>
      </c>
      <c r="I14">
        <v>128.2833</v>
      </c>
      <c r="M14">
        <v>6.4333999999999998</v>
      </c>
      <c r="O14">
        <v>7.6</v>
      </c>
      <c r="P14">
        <v>15.2</v>
      </c>
    </row>
    <row r="15" spans="1:41">
      <c r="A15" s="4">
        <f t="shared" si="0"/>
        <v>19051</v>
      </c>
      <c r="B15" t="s">
        <v>52</v>
      </c>
      <c r="C15" t="s">
        <v>53</v>
      </c>
      <c r="D15">
        <v>19051</v>
      </c>
      <c r="E15" t="s">
        <v>532</v>
      </c>
      <c r="F15" s="6">
        <v>44909</v>
      </c>
      <c r="H15" t="s">
        <v>54</v>
      </c>
      <c r="I15">
        <v>76</v>
      </c>
      <c r="K15">
        <v>30.4</v>
      </c>
      <c r="O15">
        <v>15.2</v>
      </c>
    </row>
    <row r="16" spans="1:41">
      <c r="A16" s="4">
        <f t="shared" si="0"/>
        <v>18923</v>
      </c>
      <c r="B16" t="s">
        <v>52</v>
      </c>
      <c r="C16" t="s">
        <v>53</v>
      </c>
      <c r="D16">
        <v>18923</v>
      </c>
      <c r="E16" t="s">
        <v>77</v>
      </c>
      <c r="F16" s="6">
        <v>44092</v>
      </c>
      <c r="H16" t="s">
        <v>54</v>
      </c>
      <c r="I16">
        <v>129.19999999999999</v>
      </c>
      <c r="M16">
        <v>5.0498000000000003</v>
      </c>
      <c r="O16">
        <v>22.8</v>
      </c>
    </row>
    <row r="17" spans="1:30">
      <c r="A17" s="4">
        <f t="shared" si="0"/>
        <v>18634</v>
      </c>
      <c r="B17" t="s">
        <v>62</v>
      </c>
      <c r="C17" t="s">
        <v>63</v>
      </c>
      <c r="D17">
        <v>18634</v>
      </c>
      <c r="E17" t="s">
        <v>177</v>
      </c>
      <c r="F17" s="6">
        <v>41920</v>
      </c>
      <c r="H17" t="s">
        <v>54</v>
      </c>
      <c r="O17">
        <v>46.8</v>
      </c>
      <c r="R17">
        <v>15.6</v>
      </c>
    </row>
    <row r="18" spans="1:30">
      <c r="A18" s="4">
        <f t="shared" si="0"/>
        <v>18</v>
      </c>
      <c r="B18" t="s">
        <v>62</v>
      </c>
      <c r="C18" t="s">
        <v>63</v>
      </c>
      <c r="D18">
        <v>18</v>
      </c>
      <c r="E18" t="s">
        <v>213</v>
      </c>
      <c r="F18" s="6">
        <v>36557</v>
      </c>
      <c r="H18" t="s">
        <v>54</v>
      </c>
      <c r="I18">
        <v>66</v>
      </c>
      <c r="M18">
        <v>4</v>
      </c>
    </row>
    <row r="19" spans="1:30">
      <c r="A19" s="4">
        <f t="shared" si="0"/>
        <v>18589</v>
      </c>
      <c r="B19" t="s">
        <v>52</v>
      </c>
      <c r="C19" t="s">
        <v>53</v>
      </c>
      <c r="D19">
        <v>18589</v>
      </c>
      <c r="E19" t="s">
        <v>205</v>
      </c>
      <c r="F19" s="6">
        <v>41423</v>
      </c>
      <c r="H19" t="s">
        <v>54</v>
      </c>
      <c r="I19">
        <v>121.6</v>
      </c>
      <c r="L19">
        <v>30.4</v>
      </c>
      <c r="N19">
        <v>0.5</v>
      </c>
    </row>
    <row r="20" spans="1:30">
      <c r="A20" s="4">
        <f t="shared" si="0"/>
        <v>18987</v>
      </c>
      <c r="B20" t="s">
        <v>52</v>
      </c>
      <c r="C20" t="s">
        <v>53</v>
      </c>
      <c r="D20">
        <v>18987</v>
      </c>
      <c r="E20" t="s">
        <v>186</v>
      </c>
      <c r="F20" s="6">
        <v>44571</v>
      </c>
      <c r="H20" t="s">
        <v>72</v>
      </c>
      <c r="I20">
        <v>152</v>
      </c>
      <c r="AC20">
        <v>0</v>
      </c>
      <c r="AD20">
        <v>39.145200000000003</v>
      </c>
    </row>
    <row r="21" spans="1:30">
      <c r="A21" s="4">
        <f t="shared" si="0"/>
        <v>19043</v>
      </c>
      <c r="B21" t="s">
        <v>66</v>
      </c>
      <c r="C21" t="s">
        <v>67</v>
      </c>
      <c r="D21">
        <v>19043</v>
      </c>
      <c r="E21" t="s">
        <v>514</v>
      </c>
      <c r="F21" s="6">
        <v>44886</v>
      </c>
      <c r="H21" t="s">
        <v>54</v>
      </c>
      <c r="I21">
        <v>91.15</v>
      </c>
      <c r="M21">
        <v>4.9500999999999999</v>
      </c>
      <c r="O21">
        <v>30.4</v>
      </c>
      <c r="R21">
        <v>30.4</v>
      </c>
    </row>
    <row r="22" spans="1:30">
      <c r="A22" s="4">
        <f t="shared" si="0"/>
        <v>18741</v>
      </c>
      <c r="B22" t="s">
        <v>52</v>
      </c>
      <c r="C22" t="s">
        <v>53</v>
      </c>
      <c r="D22">
        <v>18741</v>
      </c>
      <c r="E22" t="s">
        <v>156</v>
      </c>
      <c r="F22" s="6">
        <v>42667</v>
      </c>
      <c r="H22" t="s">
        <v>72</v>
      </c>
      <c r="I22">
        <v>144.4</v>
      </c>
      <c r="P22">
        <v>7.6</v>
      </c>
    </row>
    <row r="23" spans="1:30">
      <c r="A23" s="4">
        <f t="shared" si="0"/>
        <v>18619</v>
      </c>
      <c r="B23" t="s">
        <v>52</v>
      </c>
      <c r="C23" t="s">
        <v>53</v>
      </c>
      <c r="D23">
        <v>18619</v>
      </c>
      <c r="E23" t="s">
        <v>203</v>
      </c>
      <c r="F23" s="6">
        <v>41715</v>
      </c>
      <c r="H23" t="s">
        <v>54</v>
      </c>
      <c r="I23">
        <v>144.4</v>
      </c>
      <c r="P23">
        <v>7.6</v>
      </c>
    </row>
    <row r="24" spans="1:30">
      <c r="A24" s="4">
        <f t="shared" si="0"/>
        <v>18862</v>
      </c>
      <c r="B24" t="s">
        <v>52</v>
      </c>
      <c r="C24" t="s">
        <v>53</v>
      </c>
      <c r="D24">
        <v>18862</v>
      </c>
      <c r="E24" t="s">
        <v>161</v>
      </c>
      <c r="F24" s="6">
        <v>43495</v>
      </c>
      <c r="H24" t="s">
        <v>54</v>
      </c>
      <c r="I24">
        <v>152</v>
      </c>
    </row>
    <row r="25" spans="1:30">
      <c r="A25" s="4">
        <f t="shared" si="0"/>
        <v>18953</v>
      </c>
      <c r="B25" t="s">
        <v>52</v>
      </c>
      <c r="C25" t="s">
        <v>53</v>
      </c>
      <c r="D25">
        <v>18953</v>
      </c>
      <c r="E25" t="s">
        <v>227</v>
      </c>
      <c r="F25" s="6">
        <v>44333</v>
      </c>
      <c r="H25" t="s">
        <v>54</v>
      </c>
      <c r="I25">
        <v>151.9666</v>
      </c>
      <c r="M25">
        <v>4.75</v>
      </c>
    </row>
    <row r="26" spans="1:30">
      <c r="A26" s="4">
        <f t="shared" si="0"/>
        <v>18550</v>
      </c>
      <c r="B26" t="s">
        <v>52</v>
      </c>
      <c r="C26" t="s">
        <v>53</v>
      </c>
      <c r="D26">
        <v>18550</v>
      </c>
      <c r="E26" t="s">
        <v>157</v>
      </c>
      <c r="F26" s="6">
        <v>41120</v>
      </c>
      <c r="H26" t="s">
        <v>72</v>
      </c>
      <c r="I26">
        <v>152</v>
      </c>
      <c r="AC26">
        <v>55.802700000000002</v>
      </c>
      <c r="AD26">
        <v>55.802700000000002</v>
      </c>
    </row>
    <row r="27" spans="1:30">
      <c r="A27" s="4">
        <f t="shared" si="0"/>
        <v>19039</v>
      </c>
      <c r="B27" t="s">
        <v>62</v>
      </c>
      <c r="C27" t="s">
        <v>63</v>
      </c>
      <c r="D27">
        <v>19039</v>
      </c>
      <c r="E27" t="s">
        <v>289</v>
      </c>
      <c r="F27" s="6">
        <v>44824</v>
      </c>
      <c r="H27" t="s">
        <v>54</v>
      </c>
      <c r="I27">
        <v>74.366600000000005</v>
      </c>
      <c r="L27">
        <v>30.15</v>
      </c>
      <c r="M27">
        <v>0.35</v>
      </c>
      <c r="O27">
        <v>15.2</v>
      </c>
    </row>
    <row r="28" spans="1:30">
      <c r="A28" s="4">
        <f t="shared" si="0"/>
        <v>220</v>
      </c>
      <c r="B28" t="s">
        <v>52</v>
      </c>
      <c r="C28" t="s">
        <v>53</v>
      </c>
      <c r="D28">
        <v>220</v>
      </c>
      <c r="E28" t="s">
        <v>163</v>
      </c>
      <c r="F28" s="6">
        <v>39251</v>
      </c>
      <c r="H28" t="s">
        <v>72</v>
      </c>
      <c r="I28">
        <v>152</v>
      </c>
    </row>
    <row r="29" spans="1:30">
      <c r="A29" s="4">
        <f t="shared" si="0"/>
        <v>18876</v>
      </c>
      <c r="B29" t="s">
        <v>52</v>
      </c>
      <c r="C29" t="s">
        <v>53</v>
      </c>
      <c r="D29">
        <v>18876</v>
      </c>
      <c r="E29" t="s">
        <v>104</v>
      </c>
      <c r="F29" s="6">
        <v>43584</v>
      </c>
      <c r="H29" t="s">
        <v>72</v>
      </c>
      <c r="I29">
        <v>144.4</v>
      </c>
      <c r="O29">
        <v>7.6</v>
      </c>
    </row>
    <row r="30" spans="1:30">
      <c r="A30" s="4">
        <f t="shared" si="0"/>
        <v>18942</v>
      </c>
      <c r="B30" t="s">
        <v>52</v>
      </c>
      <c r="C30" t="s">
        <v>53</v>
      </c>
      <c r="D30">
        <v>18942</v>
      </c>
      <c r="E30" t="s">
        <v>148</v>
      </c>
      <c r="F30" s="6">
        <v>44257</v>
      </c>
      <c r="H30" t="s">
        <v>54</v>
      </c>
      <c r="I30">
        <v>89.733400000000003</v>
      </c>
      <c r="L30">
        <v>29.816700000000001</v>
      </c>
      <c r="M30">
        <v>0.18329999999999999</v>
      </c>
      <c r="O30">
        <v>9.1999999999999993</v>
      </c>
      <c r="P30">
        <v>21.2</v>
      </c>
    </row>
    <row r="31" spans="1:30">
      <c r="A31" s="4">
        <f t="shared" si="0"/>
        <v>18650</v>
      </c>
      <c r="B31" t="s">
        <v>62</v>
      </c>
      <c r="C31" t="s">
        <v>63</v>
      </c>
      <c r="D31">
        <v>18650</v>
      </c>
      <c r="E31" t="s">
        <v>141</v>
      </c>
      <c r="F31" s="6">
        <v>39727</v>
      </c>
      <c r="H31" t="s">
        <v>54</v>
      </c>
      <c r="I31">
        <v>97.533299999999997</v>
      </c>
      <c r="M31">
        <v>3.3300000000000003E-2</v>
      </c>
      <c r="O31">
        <v>15.2</v>
      </c>
      <c r="P31">
        <v>7.6</v>
      </c>
    </row>
    <row r="32" spans="1:30">
      <c r="A32" s="4">
        <f t="shared" si="0"/>
        <v>19025</v>
      </c>
      <c r="B32" t="s">
        <v>52</v>
      </c>
      <c r="C32" t="s">
        <v>53</v>
      </c>
      <c r="D32">
        <v>19025</v>
      </c>
      <c r="E32" t="s">
        <v>160</v>
      </c>
      <c r="F32" s="6">
        <v>44767</v>
      </c>
      <c r="H32" t="s">
        <v>72</v>
      </c>
      <c r="I32">
        <v>139.80000000000001</v>
      </c>
      <c r="P32">
        <v>12.2</v>
      </c>
    </row>
    <row r="33" spans="1:18">
      <c r="A33" s="4">
        <f t="shared" si="0"/>
        <v>19056</v>
      </c>
      <c r="B33" t="s">
        <v>62</v>
      </c>
      <c r="C33" t="s">
        <v>63</v>
      </c>
      <c r="D33">
        <v>19056</v>
      </c>
      <c r="E33" t="s">
        <v>545</v>
      </c>
      <c r="F33" s="6">
        <v>44958</v>
      </c>
      <c r="H33" t="s">
        <v>72</v>
      </c>
      <c r="I33">
        <v>91.2</v>
      </c>
    </row>
    <row r="34" spans="1:18">
      <c r="A34" s="4">
        <f t="shared" si="0"/>
        <v>18853</v>
      </c>
      <c r="B34" t="s">
        <v>52</v>
      </c>
      <c r="C34" t="s">
        <v>53</v>
      </c>
      <c r="D34">
        <v>18853</v>
      </c>
      <c r="E34" t="s">
        <v>158</v>
      </c>
      <c r="F34" s="6">
        <v>43472</v>
      </c>
      <c r="H34" t="s">
        <v>72</v>
      </c>
      <c r="I34">
        <v>152</v>
      </c>
    </row>
    <row r="35" spans="1:18">
      <c r="A35" s="4">
        <f t="shared" si="0"/>
        <v>19032</v>
      </c>
      <c r="B35" t="s">
        <v>59</v>
      </c>
      <c r="C35" t="s">
        <v>60</v>
      </c>
      <c r="D35">
        <v>19032</v>
      </c>
      <c r="E35" t="s">
        <v>223</v>
      </c>
      <c r="F35" s="6">
        <v>44795</v>
      </c>
      <c r="H35" t="s">
        <v>54</v>
      </c>
      <c r="I35">
        <v>91.2</v>
      </c>
      <c r="M35">
        <v>0.5</v>
      </c>
    </row>
    <row r="36" spans="1:18">
      <c r="A36" s="4">
        <f t="shared" si="0"/>
        <v>18988</v>
      </c>
      <c r="B36" t="s">
        <v>52</v>
      </c>
      <c r="C36" t="s">
        <v>53</v>
      </c>
      <c r="D36">
        <v>18988</v>
      </c>
      <c r="E36" t="s">
        <v>187</v>
      </c>
      <c r="F36" s="6">
        <v>44565</v>
      </c>
      <c r="H36" t="s">
        <v>72</v>
      </c>
      <c r="I36">
        <v>152</v>
      </c>
    </row>
    <row r="37" spans="1:18">
      <c r="A37" s="4">
        <f t="shared" si="0"/>
        <v>18517</v>
      </c>
      <c r="B37" t="s">
        <v>52</v>
      </c>
      <c r="C37" t="s">
        <v>53</v>
      </c>
      <c r="D37">
        <v>18517</v>
      </c>
      <c r="E37" t="s">
        <v>154</v>
      </c>
      <c r="F37" s="6">
        <v>40927</v>
      </c>
      <c r="H37" t="s">
        <v>54</v>
      </c>
      <c r="I37">
        <v>152</v>
      </c>
    </row>
    <row r="38" spans="1:18">
      <c r="A38" s="4">
        <f t="shared" si="0"/>
        <v>18442</v>
      </c>
      <c r="B38" t="s">
        <v>52</v>
      </c>
      <c r="C38" t="s">
        <v>53</v>
      </c>
      <c r="D38">
        <v>18442</v>
      </c>
      <c r="E38" t="s">
        <v>172</v>
      </c>
      <c r="F38" s="6">
        <v>40266</v>
      </c>
      <c r="H38" t="s">
        <v>54</v>
      </c>
      <c r="I38">
        <v>76</v>
      </c>
      <c r="O38">
        <v>76</v>
      </c>
    </row>
    <row r="39" spans="1:18">
      <c r="A39" s="4">
        <f t="shared" si="0"/>
        <v>18631</v>
      </c>
      <c r="B39" t="s">
        <v>62</v>
      </c>
      <c r="C39" t="s">
        <v>63</v>
      </c>
      <c r="D39">
        <v>18631</v>
      </c>
      <c r="E39" t="s">
        <v>218</v>
      </c>
      <c r="F39" s="6">
        <v>41870</v>
      </c>
      <c r="H39" t="s">
        <v>54</v>
      </c>
      <c r="I39">
        <v>53.2</v>
      </c>
      <c r="K39">
        <v>22.8</v>
      </c>
      <c r="M39">
        <v>0.5</v>
      </c>
      <c r="O39">
        <v>7.6</v>
      </c>
      <c r="P39">
        <v>7.6</v>
      </c>
    </row>
    <row r="40" spans="1:18">
      <c r="A40" s="4">
        <f t="shared" si="0"/>
        <v>18990</v>
      </c>
      <c r="B40" t="s">
        <v>52</v>
      </c>
      <c r="C40" t="s">
        <v>53</v>
      </c>
      <c r="D40">
        <v>18990</v>
      </c>
      <c r="E40" t="s">
        <v>151</v>
      </c>
      <c r="F40" s="6">
        <v>44582</v>
      </c>
      <c r="H40" t="s">
        <v>54</v>
      </c>
      <c r="I40">
        <v>136.16659999999999</v>
      </c>
      <c r="M40">
        <v>4.4165999999999999</v>
      </c>
      <c r="P40">
        <v>15.2</v>
      </c>
    </row>
    <row r="41" spans="1:18">
      <c r="A41" s="4">
        <f t="shared" si="0"/>
        <v>18886</v>
      </c>
      <c r="B41" t="s">
        <v>52</v>
      </c>
      <c r="C41" t="s">
        <v>53</v>
      </c>
      <c r="D41">
        <v>18886</v>
      </c>
      <c r="E41" t="s">
        <v>164</v>
      </c>
      <c r="F41" s="6">
        <v>43620</v>
      </c>
      <c r="H41" t="s">
        <v>72</v>
      </c>
      <c r="I41">
        <v>152</v>
      </c>
    </row>
    <row r="42" spans="1:18">
      <c r="A42" s="4">
        <f t="shared" si="0"/>
        <v>18649</v>
      </c>
      <c r="B42" t="s">
        <v>52</v>
      </c>
      <c r="C42" t="s">
        <v>53</v>
      </c>
      <c r="D42">
        <v>18649</v>
      </c>
      <c r="E42" t="s">
        <v>97</v>
      </c>
      <c r="F42" s="6">
        <v>41801</v>
      </c>
      <c r="H42" t="s">
        <v>54</v>
      </c>
      <c r="I42">
        <v>152</v>
      </c>
    </row>
    <row r="43" spans="1:18">
      <c r="A43" s="4">
        <f t="shared" si="0"/>
        <v>18976</v>
      </c>
      <c r="B43" t="s">
        <v>52</v>
      </c>
      <c r="C43" t="s">
        <v>53</v>
      </c>
      <c r="D43">
        <v>18976</v>
      </c>
      <c r="E43" t="s">
        <v>100</v>
      </c>
      <c r="F43" s="6">
        <v>44501</v>
      </c>
      <c r="H43" t="s">
        <v>72</v>
      </c>
      <c r="I43">
        <v>152</v>
      </c>
    </row>
    <row r="44" spans="1:18">
      <c r="A44" s="4">
        <f t="shared" si="0"/>
        <v>18506</v>
      </c>
      <c r="B44" t="s">
        <v>59</v>
      </c>
      <c r="C44" t="s">
        <v>60</v>
      </c>
      <c r="D44">
        <v>18506</v>
      </c>
      <c r="E44" t="s">
        <v>290</v>
      </c>
      <c r="F44" s="6">
        <v>40800</v>
      </c>
      <c r="H44" t="s">
        <v>54</v>
      </c>
      <c r="I44">
        <v>48</v>
      </c>
      <c r="M44">
        <v>1.9668000000000001</v>
      </c>
    </row>
    <row r="45" spans="1:18">
      <c r="A45" s="4">
        <f t="shared" si="0"/>
        <v>19053</v>
      </c>
      <c r="B45" t="s">
        <v>52</v>
      </c>
      <c r="C45" t="s">
        <v>53</v>
      </c>
      <c r="D45">
        <v>19053</v>
      </c>
      <c r="E45" t="s">
        <v>533</v>
      </c>
      <c r="F45" s="6">
        <v>44930</v>
      </c>
      <c r="H45" t="s">
        <v>54</v>
      </c>
      <c r="I45">
        <v>76</v>
      </c>
      <c r="M45">
        <v>1</v>
      </c>
      <c r="O45">
        <v>15.2</v>
      </c>
      <c r="P45">
        <v>7.6</v>
      </c>
      <c r="R45">
        <v>53.2</v>
      </c>
    </row>
    <row r="46" spans="1:18">
      <c r="A46" s="4">
        <f t="shared" si="0"/>
        <v>19003</v>
      </c>
      <c r="B46" t="s">
        <v>52</v>
      </c>
      <c r="C46" t="s">
        <v>53</v>
      </c>
      <c r="D46">
        <v>19003</v>
      </c>
      <c r="E46" t="s">
        <v>534</v>
      </c>
      <c r="F46" s="6">
        <v>44670</v>
      </c>
      <c r="H46" t="s">
        <v>72</v>
      </c>
      <c r="I46">
        <v>136.80000000000001</v>
      </c>
      <c r="O46">
        <v>7.6</v>
      </c>
      <c r="P46">
        <v>7.6</v>
      </c>
    </row>
    <row r="47" spans="1:18">
      <c r="A47" s="4">
        <f t="shared" si="0"/>
        <v>18961</v>
      </c>
      <c r="B47" t="s">
        <v>52</v>
      </c>
      <c r="C47" t="s">
        <v>53</v>
      </c>
      <c r="D47">
        <v>18961</v>
      </c>
      <c r="E47" t="s">
        <v>214</v>
      </c>
      <c r="F47" s="6">
        <v>44412</v>
      </c>
      <c r="H47" t="s">
        <v>54</v>
      </c>
      <c r="I47">
        <v>152</v>
      </c>
      <c r="M47">
        <v>4.5</v>
      </c>
    </row>
    <row r="48" spans="1:18">
      <c r="A48" s="4">
        <f t="shared" si="0"/>
        <v>18917</v>
      </c>
      <c r="B48" t="s">
        <v>69</v>
      </c>
      <c r="C48" t="s">
        <v>70</v>
      </c>
      <c r="D48">
        <v>18917</v>
      </c>
      <c r="E48" t="s">
        <v>149</v>
      </c>
      <c r="F48" s="6">
        <v>44005</v>
      </c>
      <c r="H48" t="s">
        <v>54</v>
      </c>
      <c r="J48">
        <v>47.083300000000001</v>
      </c>
    </row>
    <row r="49" spans="1:41">
      <c r="A49" s="4">
        <f t="shared" si="0"/>
        <v>19057</v>
      </c>
      <c r="B49" t="s">
        <v>52</v>
      </c>
      <c r="C49" t="s">
        <v>53</v>
      </c>
      <c r="D49">
        <v>19057</v>
      </c>
      <c r="E49" t="s">
        <v>546</v>
      </c>
      <c r="F49" s="6">
        <v>44970</v>
      </c>
      <c r="H49" t="s">
        <v>72</v>
      </c>
      <c r="I49">
        <v>91.2</v>
      </c>
    </row>
    <row r="50" spans="1:41">
      <c r="A50" s="4">
        <f t="shared" si="0"/>
        <v>19013</v>
      </c>
      <c r="B50" t="s">
        <v>52</v>
      </c>
      <c r="C50" t="s">
        <v>53</v>
      </c>
      <c r="D50">
        <v>19013</v>
      </c>
      <c r="E50" t="s">
        <v>225</v>
      </c>
      <c r="F50" s="6">
        <v>44732</v>
      </c>
      <c r="H50" t="s">
        <v>54</v>
      </c>
      <c r="I50">
        <v>152</v>
      </c>
      <c r="M50">
        <v>14</v>
      </c>
    </row>
    <row r="51" spans="1:41">
      <c r="A51" s="4">
        <f t="shared" si="0"/>
        <v>18841</v>
      </c>
      <c r="B51" t="s">
        <v>52</v>
      </c>
      <c r="C51" t="s">
        <v>53</v>
      </c>
      <c r="D51">
        <v>18841</v>
      </c>
      <c r="E51" t="s">
        <v>166</v>
      </c>
      <c r="F51" s="6">
        <v>43383</v>
      </c>
      <c r="H51" t="s">
        <v>54</v>
      </c>
      <c r="I51">
        <v>138.6</v>
      </c>
      <c r="O51">
        <v>11.05</v>
      </c>
      <c r="Q51">
        <v>2.35</v>
      </c>
    </row>
    <row r="52" spans="1:41">
      <c r="A52" s="4">
        <f t="shared" si="0"/>
        <v>18721</v>
      </c>
      <c r="B52" t="s">
        <v>52</v>
      </c>
      <c r="C52" t="s">
        <v>53</v>
      </c>
      <c r="D52">
        <v>18721</v>
      </c>
      <c r="E52" t="s">
        <v>183</v>
      </c>
      <c r="F52" s="6">
        <v>42415</v>
      </c>
      <c r="H52" t="s">
        <v>72</v>
      </c>
      <c r="I52">
        <v>22.8</v>
      </c>
      <c r="O52">
        <v>129.19999999999999</v>
      </c>
    </row>
    <row r="53" spans="1:41">
      <c r="A53" s="4">
        <f t="shared" si="0"/>
        <v>18679</v>
      </c>
      <c r="B53" t="s">
        <v>52</v>
      </c>
      <c r="C53" t="s">
        <v>53</v>
      </c>
      <c r="D53">
        <v>18679</v>
      </c>
      <c r="E53" t="s">
        <v>83</v>
      </c>
      <c r="F53" s="6">
        <v>42157</v>
      </c>
      <c r="H53" t="s">
        <v>54</v>
      </c>
      <c r="I53">
        <v>151.6</v>
      </c>
      <c r="M53">
        <v>1.1000000000000001</v>
      </c>
      <c r="AC53">
        <v>16.657499999999999</v>
      </c>
      <c r="AD53">
        <v>16.657499999999999</v>
      </c>
    </row>
    <row r="54" spans="1:41">
      <c r="A54" s="4">
        <f t="shared" si="0"/>
        <v>18974</v>
      </c>
      <c r="B54" t="s">
        <v>52</v>
      </c>
      <c r="C54" t="s">
        <v>53</v>
      </c>
      <c r="D54">
        <v>18974</v>
      </c>
      <c r="E54" t="s">
        <v>217</v>
      </c>
      <c r="F54" s="6">
        <v>44503</v>
      </c>
      <c r="H54" t="s">
        <v>54</v>
      </c>
      <c r="I54">
        <v>91.2</v>
      </c>
      <c r="K54">
        <v>30.4</v>
      </c>
      <c r="L54">
        <v>30.4</v>
      </c>
      <c r="M54">
        <v>4.5</v>
      </c>
    </row>
    <row r="55" spans="1:41">
      <c r="A55" s="4">
        <f t="shared" si="0"/>
        <v>19015</v>
      </c>
      <c r="B55" t="s">
        <v>52</v>
      </c>
      <c r="C55" t="s">
        <v>53</v>
      </c>
      <c r="D55">
        <v>19015</v>
      </c>
      <c r="E55" t="s">
        <v>58</v>
      </c>
      <c r="F55" s="6">
        <v>44721</v>
      </c>
      <c r="H55" t="s">
        <v>54</v>
      </c>
      <c r="I55">
        <v>15.1</v>
      </c>
      <c r="K55">
        <v>7.5</v>
      </c>
      <c r="M55">
        <v>2</v>
      </c>
      <c r="N55">
        <v>0.86670000000000003</v>
      </c>
      <c r="O55">
        <v>76</v>
      </c>
    </row>
    <row r="56" spans="1:41">
      <c r="A56" s="4">
        <f t="shared" si="0"/>
        <v>18659</v>
      </c>
      <c r="B56" t="s">
        <v>52</v>
      </c>
      <c r="C56" t="s">
        <v>53</v>
      </c>
      <c r="D56">
        <v>18659</v>
      </c>
      <c r="E56" t="s">
        <v>190</v>
      </c>
      <c r="F56" s="6">
        <v>42016</v>
      </c>
      <c r="H56" t="s">
        <v>54</v>
      </c>
      <c r="I56">
        <v>118.6</v>
      </c>
      <c r="M56">
        <v>10.6501</v>
      </c>
      <c r="N56">
        <v>0.2167</v>
      </c>
      <c r="O56">
        <v>30.4</v>
      </c>
      <c r="P56">
        <v>3</v>
      </c>
    </row>
    <row r="57" spans="1:41">
      <c r="A57" s="4">
        <f t="shared" si="0"/>
        <v>19049</v>
      </c>
      <c r="B57" t="s">
        <v>52</v>
      </c>
      <c r="C57" t="s">
        <v>53</v>
      </c>
      <c r="D57">
        <v>19049</v>
      </c>
      <c r="E57" t="s">
        <v>517</v>
      </c>
      <c r="F57" s="6">
        <v>44901</v>
      </c>
      <c r="H57" t="s">
        <v>54</v>
      </c>
      <c r="I57">
        <v>29.333300000000001</v>
      </c>
      <c r="K57">
        <v>30.2333</v>
      </c>
      <c r="L57">
        <v>26.3</v>
      </c>
      <c r="M57">
        <v>16.600000000000001</v>
      </c>
      <c r="N57">
        <v>17.083400000000001</v>
      </c>
    </row>
    <row r="58" spans="1:41">
      <c r="A58" s="4">
        <f t="shared" si="0"/>
        <v>18646</v>
      </c>
      <c r="B58" t="s">
        <v>62</v>
      </c>
      <c r="C58" t="s">
        <v>63</v>
      </c>
      <c r="D58">
        <v>18646</v>
      </c>
      <c r="E58" t="s">
        <v>142</v>
      </c>
      <c r="F58" s="6">
        <v>41701</v>
      </c>
      <c r="H58" t="s">
        <v>54</v>
      </c>
      <c r="I58">
        <v>50.333300000000001</v>
      </c>
      <c r="K58">
        <v>30.166699999999999</v>
      </c>
      <c r="L58">
        <v>30.1</v>
      </c>
      <c r="M58">
        <v>5.9</v>
      </c>
      <c r="N58">
        <v>2.4998999999999998</v>
      </c>
    </row>
    <row r="59" spans="1:41" s="3" customFormat="1">
      <c r="A59" s="3">
        <f t="shared" si="0"/>
        <v>18967</v>
      </c>
      <c r="B59" t="s">
        <v>52</v>
      </c>
      <c r="C59" t="s">
        <v>53</v>
      </c>
      <c r="D59">
        <v>18967</v>
      </c>
      <c r="E59" t="s">
        <v>198</v>
      </c>
      <c r="F59" s="6">
        <v>44431</v>
      </c>
      <c r="G59"/>
      <c r="H59" t="s">
        <v>54</v>
      </c>
      <c r="I59">
        <v>144.4</v>
      </c>
      <c r="J59"/>
      <c r="K59"/>
      <c r="L59"/>
      <c r="M59">
        <v>17.5</v>
      </c>
      <c r="N59"/>
      <c r="O59"/>
      <c r="P59">
        <v>7.6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41">
      <c r="A60" s="4">
        <f t="shared" si="0"/>
        <v>19040</v>
      </c>
      <c r="B60" t="s">
        <v>59</v>
      </c>
      <c r="C60" t="s">
        <v>60</v>
      </c>
      <c r="D60">
        <v>19040</v>
      </c>
      <c r="E60" t="s">
        <v>296</v>
      </c>
      <c r="F60" s="6">
        <v>44858</v>
      </c>
      <c r="H60" t="s">
        <v>72</v>
      </c>
      <c r="I60">
        <v>80</v>
      </c>
    </row>
    <row r="61" spans="1:41" s="3" customFormat="1">
      <c r="A61" s="3">
        <f t="shared" si="0"/>
        <v>18703</v>
      </c>
      <c r="B61" t="s">
        <v>52</v>
      </c>
      <c r="C61" t="s">
        <v>53</v>
      </c>
      <c r="D61">
        <v>18703</v>
      </c>
      <c r="E61" t="s">
        <v>143</v>
      </c>
      <c r="F61" s="6">
        <v>42289</v>
      </c>
      <c r="G61"/>
      <c r="H61" t="s">
        <v>54</v>
      </c>
      <c r="I61">
        <v>143.3999</v>
      </c>
      <c r="J61"/>
      <c r="K61"/>
      <c r="L61"/>
      <c r="M61">
        <v>2.0167999999999999</v>
      </c>
      <c r="N61"/>
      <c r="O61"/>
      <c r="P61">
        <v>7.6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</row>
    <row r="62" spans="1:41">
      <c r="A62" s="4">
        <f t="shared" si="0"/>
        <v>18973</v>
      </c>
      <c r="B62" t="s">
        <v>62</v>
      </c>
      <c r="C62" t="s">
        <v>63</v>
      </c>
      <c r="D62">
        <v>18973</v>
      </c>
      <c r="E62" t="s">
        <v>216</v>
      </c>
      <c r="F62" s="6">
        <v>44468</v>
      </c>
      <c r="H62" t="s">
        <v>54</v>
      </c>
      <c r="I62">
        <v>83.6</v>
      </c>
      <c r="O62">
        <v>7.6</v>
      </c>
    </row>
    <row r="63" spans="1:41">
      <c r="A63" s="4">
        <f t="shared" si="0"/>
        <v>18932</v>
      </c>
      <c r="B63" t="s">
        <v>52</v>
      </c>
      <c r="C63" t="s">
        <v>53</v>
      </c>
      <c r="D63">
        <v>18932</v>
      </c>
      <c r="E63" t="s">
        <v>76</v>
      </c>
      <c r="F63" s="6">
        <v>44223</v>
      </c>
      <c r="H63" t="s">
        <v>54</v>
      </c>
      <c r="I63">
        <v>114</v>
      </c>
      <c r="M63">
        <v>28.3001</v>
      </c>
      <c r="N63">
        <v>24.35</v>
      </c>
      <c r="O63">
        <v>22.8</v>
      </c>
      <c r="P63">
        <v>15.2</v>
      </c>
    </row>
    <row r="64" spans="1:41">
      <c r="A64" s="4">
        <f t="shared" si="0"/>
        <v>19014</v>
      </c>
      <c r="B64" t="s">
        <v>52</v>
      </c>
      <c r="C64" t="s">
        <v>53</v>
      </c>
      <c r="D64">
        <v>19014</v>
      </c>
      <c r="E64" t="s">
        <v>88</v>
      </c>
      <c r="F64" s="6">
        <v>44727</v>
      </c>
      <c r="H64" t="s">
        <v>72</v>
      </c>
      <c r="I64">
        <v>136.80000000000001</v>
      </c>
      <c r="O64">
        <v>7.6</v>
      </c>
      <c r="P64">
        <v>7.6</v>
      </c>
    </row>
    <row r="65" spans="1:25">
      <c r="A65" s="4">
        <f t="shared" si="0"/>
        <v>18850</v>
      </c>
      <c r="B65" t="s">
        <v>52</v>
      </c>
      <c r="C65" t="s">
        <v>53</v>
      </c>
      <c r="D65">
        <v>18850</v>
      </c>
      <c r="E65" t="s">
        <v>144</v>
      </c>
      <c r="F65" s="6">
        <v>43467</v>
      </c>
      <c r="H65" t="s">
        <v>54</v>
      </c>
      <c r="I65">
        <v>121.5</v>
      </c>
      <c r="K65">
        <v>30.4</v>
      </c>
      <c r="M65">
        <v>5.4169</v>
      </c>
    </row>
    <row r="66" spans="1:25">
      <c r="A66" s="4">
        <f t="shared" si="0"/>
        <v>18829</v>
      </c>
      <c r="B66" t="s">
        <v>52</v>
      </c>
      <c r="C66" t="s">
        <v>53</v>
      </c>
      <c r="D66">
        <v>18829</v>
      </c>
      <c r="E66" t="s">
        <v>92</v>
      </c>
      <c r="F66" s="6">
        <v>43255</v>
      </c>
      <c r="H66" t="s">
        <v>54</v>
      </c>
      <c r="I66">
        <v>121.6</v>
      </c>
      <c r="L66">
        <v>30.4</v>
      </c>
      <c r="M66">
        <v>32.616700000000002</v>
      </c>
      <c r="N66">
        <v>22.2834</v>
      </c>
    </row>
    <row r="67" spans="1:25">
      <c r="A67" s="4">
        <f t="shared" si="0"/>
        <v>19035</v>
      </c>
      <c r="B67" t="s">
        <v>66</v>
      </c>
      <c r="C67" t="s">
        <v>67</v>
      </c>
      <c r="D67">
        <v>19035</v>
      </c>
      <c r="E67" t="s">
        <v>291</v>
      </c>
      <c r="F67" s="6">
        <v>44809</v>
      </c>
      <c r="H67" t="s">
        <v>54</v>
      </c>
      <c r="I67">
        <v>148.5</v>
      </c>
      <c r="O67">
        <v>3.5</v>
      </c>
    </row>
    <row r="68" spans="1:25">
      <c r="A68" s="4">
        <f t="shared" ref="A68:A131" si="1">IF(D68&gt;0,D68,"")</f>
        <v>19047</v>
      </c>
      <c r="B68" t="s">
        <v>52</v>
      </c>
      <c r="C68" t="s">
        <v>53</v>
      </c>
      <c r="D68">
        <v>19047</v>
      </c>
      <c r="E68" t="s">
        <v>518</v>
      </c>
      <c r="F68" s="6">
        <v>44907</v>
      </c>
      <c r="G68" s="6">
        <v>44959</v>
      </c>
      <c r="H68" t="s">
        <v>72</v>
      </c>
      <c r="I68">
        <v>15.2</v>
      </c>
      <c r="X68">
        <v>20.317399999999999</v>
      </c>
      <c r="Y68">
        <v>20.317399999999999</v>
      </c>
    </row>
    <row r="69" spans="1:25">
      <c r="A69" s="4">
        <f t="shared" si="1"/>
        <v>18979</v>
      </c>
      <c r="B69" t="s">
        <v>52</v>
      </c>
      <c r="C69" t="s">
        <v>53</v>
      </c>
      <c r="D69">
        <v>18979</v>
      </c>
      <c r="E69" t="s">
        <v>74</v>
      </c>
      <c r="F69" s="6">
        <v>44536</v>
      </c>
      <c r="H69" t="s">
        <v>54</v>
      </c>
      <c r="I69">
        <v>128.55000000000001</v>
      </c>
      <c r="M69">
        <v>18.2834</v>
      </c>
      <c r="N69">
        <v>5.3666999999999998</v>
      </c>
      <c r="O69">
        <v>15.2</v>
      </c>
      <c r="P69">
        <v>7.6</v>
      </c>
    </row>
    <row r="70" spans="1:25">
      <c r="A70" s="4">
        <f t="shared" si="1"/>
        <v>18891</v>
      </c>
      <c r="B70" t="s">
        <v>62</v>
      </c>
      <c r="C70" t="s">
        <v>63</v>
      </c>
      <c r="D70">
        <v>18891</v>
      </c>
      <c r="E70" t="s">
        <v>209</v>
      </c>
      <c r="F70" s="6">
        <v>43746</v>
      </c>
      <c r="H70" t="s">
        <v>72</v>
      </c>
      <c r="I70">
        <v>121.6</v>
      </c>
      <c r="M70">
        <v>0.5</v>
      </c>
    </row>
    <row r="71" spans="1:25">
      <c r="A71" s="4">
        <f t="shared" si="1"/>
        <v>19023</v>
      </c>
      <c r="B71" t="s">
        <v>69</v>
      </c>
      <c r="C71" t="s">
        <v>70</v>
      </c>
      <c r="D71">
        <v>19023</v>
      </c>
      <c r="E71" t="s">
        <v>152</v>
      </c>
      <c r="F71" s="6">
        <v>44748</v>
      </c>
      <c r="H71" t="s">
        <v>54</v>
      </c>
      <c r="J71">
        <v>50.916699999999999</v>
      </c>
    </row>
    <row r="72" spans="1:25">
      <c r="A72" s="4">
        <f t="shared" si="1"/>
        <v>18805</v>
      </c>
      <c r="B72" t="s">
        <v>52</v>
      </c>
      <c r="C72" t="s">
        <v>53</v>
      </c>
      <c r="D72">
        <v>18805</v>
      </c>
      <c r="E72" t="s">
        <v>165</v>
      </c>
      <c r="F72" s="6">
        <v>43067</v>
      </c>
      <c r="H72" t="s">
        <v>54</v>
      </c>
      <c r="I72">
        <v>106.4</v>
      </c>
      <c r="O72">
        <v>45.6</v>
      </c>
    </row>
    <row r="73" spans="1:25">
      <c r="A73" s="4">
        <f t="shared" si="1"/>
        <v>18968</v>
      </c>
      <c r="B73" t="s">
        <v>52</v>
      </c>
      <c r="C73" t="s">
        <v>53</v>
      </c>
      <c r="D73">
        <v>18968</v>
      </c>
      <c r="E73" t="s">
        <v>159</v>
      </c>
      <c r="F73" s="6">
        <v>44440</v>
      </c>
      <c r="H73" t="s">
        <v>72</v>
      </c>
      <c r="I73">
        <v>151</v>
      </c>
      <c r="O73">
        <v>1</v>
      </c>
    </row>
    <row r="74" spans="1:25">
      <c r="A74" s="4">
        <f t="shared" si="1"/>
        <v>18887</v>
      </c>
      <c r="B74" t="s">
        <v>52</v>
      </c>
      <c r="C74" t="s">
        <v>53</v>
      </c>
      <c r="D74">
        <v>18887</v>
      </c>
      <c r="E74" t="s">
        <v>79</v>
      </c>
      <c r="F74" s="6">
        <v>43627</v>
      </c>
      <c r="H74" t="s">
        <v>54</v>
      </c>
      <c r="I74">
        <v>152</v>
      </c>
      <c r="M74">
        <v>38.1</v>
      </c>
      <c r="N74">
        <v>11.183299999999999</v>
      </c>
    </row>
    <row r="75" spans="1:25">
      <c r="A75" s="4">
        <f t="shared" si="1"/>
        <v>261</v>
      </c>
      <c r="B75" t="s">
        <v>52</v>
      </c>
      <c r="C75" t="s">
        <v>53</v>
      </c>
      <c r="D75">
        <v>261</v>
      </c>
      <c r="E75" t="s">
        <v>173</v>
      </c>
      <c r="F75" s="6">
        <v>39449</v>
      </c>
      <c r="H75" t="s">
        <v>54</v>
      </c>
      <c r="I75">
        <v>152</v>
      </c>
    </row>
    <row r="76" spans="1:25">
      <c r="A76" s="4">
        <f t="shared" si="1"/>
        <v>19050</v>
      </c>
      <c r="B76" t="s">
        <v>69</v>
      </c>
      <c r="C76" t="s">
        <v>70</v>
      </c>
      <c r="D76">
        <v>19050</v>
      </c>
      <c r="E76" t="s">
        <v>547</v>
      </c>
      <c r="F76" s="6">
        <v>44902</v>
      </c>
      <c r="H76" t="s">
        <v>72</v>
      </c>
      <c r="J76">
        <v>22.3</v>
      </c>
    </row>
    <row r="77" spans="1:25">
      <c r="A77" s="4">
        <f t="shared" si="1"/>
        <v>18970</v>
      </c>
      <c r="B77" t="s">
        <v>62</v>
      </c>
      <c r="C77" t="s">
        <v>63</v>
      </c>
      <c r="D77">
        <v>18970</v>
      </c>
      <c r="E77" t="s">
        <v>85</v>
      </c>
      <c r="F77" s="6">
        <v>44452</v>
      </c>
      <c r="H77" t="s">
        <v>54</v>
      </c>
      <c r="I77">
        <v>75.599999999999994</v>
      </c>
      <c r="K77">
        <v>30.25</v>
      </c>
      <c r="M77">
        <v>12.7666</v>
      </c>
      <c r="N77">
        <v>4.4667000000000003</v>
      </c>
      <c r="P77">
        <v>15.2</v>
      </c>
    </row>
    <row r="78" spans="1:25">
      <c r="A78" s="4">
        <f t="shared" si="1"/>
        <v>18823</v>
      </c>
      <c r="B78" t="s">
        <v>52</v>
      </c>
      <c r="C78" t="s">
        <v>53</v>
      </c>
      <c r="D78">
        <v>18823</v>
      </c>
      <c r="E78" t="s">
        <v>174</v>
      </c>
      <c r="F78" s="6">
        <v>43222</v>
      </c>
      <c r="H78" t="s">
        <v>54</v>
      </c>
      <c r="I78">
        <v>76</v>
      </c>
      <c r="L78">
        <v>15.1333</v>
      </c>
      <c r="M78">
        <v>5.2502000000000004</v>
      </c>
      <c r="N78">
        <v>1.0832999999999999</v>
      </c>
      <c r="O78">
        <v>53.2</v>
      </c>
      <c r="R78">
        <v>7.6</v>
      </c>
    </row>
    <row r="79" spans="1:25">
      <c r="A79" s="4">
        <f t="shared" si="1"/>
        <v>18713</v>
      </c>
      <c r="B79" t="s">
        <v>52</v>
      </c>
      <c r="C79" t="s">
        <v>53</v>
      </c>
      <c r="D79">
        <v>18713</v>
      </c>
      <c r="E79" t="s">
        <v>145</v>
      </c>
      <c r="F79" s="6">
        <v>42352</v>
      </c>
      <c r="H79" t="s">
        <v>54</v>
      </c>
      <c r="I79">
        <v>152</v>
      </c>
    </row>
    <row r="80" spans="1:25">
      <c r="A80" s="4">
        <f t="shared" si="1"/>
        <v>18839</v>
      </c>
      <c r="B80" t="s">
        <v>62</v>
      </c>
      <c r="C80" t="s">
        <v>63</v>
      </c>
      <c r="D80">
        <v>18839</v>
      </c>
      <c r="E80" t="s">
        <v>228</v>
      </c>
      <c r="F80" s="6">
        <v>43376</v>
      </c>
      <c r="H80" t="s">
        <v>54</v>
      </c>
      <c r="I80">
        <v>90.05</v>
      </c>
    </row>
    <row r="81" spans="1:30">
      <c r="A81" s="4">
        <f t="shared" si="1"/>
        <v>18949</v>
      </c>
      <c r="B81" t="s">
        <v>52</v>
      </c>
      <c r="C81" t="s">
        <v>53</v>
      </c>
      <c r="D81">
        <v>18949</v>
      </c>
      <c r="E81" t="s">
        <v>75</v>
      </c>
      <c r="F81" s="6">
        <v>44291</v>
      </c>
      <c r="H81" t="s">
        <v>72</v>
      </c>
      <c r="I81">
        <v>121.6</v>
      </c>
      <c r="M81">
        <v>31.9832</v>
      </c>
      <c r="N81">
        <v>27.283300000000001</v>
      </c>
    </row>
    <row r="82" spans="1:30">
      <c r="A82" s="4">
        <f t="shared" si="1"/>
        <v>18716</v>
      </c>
      <c r="B82" t="s">
        <v>52</v>
      </c>
      <c r="C82" t="s">
        <v>53</v>
      </c>
      <c r="D82">
        <v>18716</v>
      </c>
      <c r="E82" t="s">
        <v>103</v>
      </c>
      <c r="F82" s="6">
        <v>42380</v>
      </c>
      <c r="H82" t="s">
        <v>72</v>
      </c>
      <c r="I82">
        <v>148.19999999999999</v>
      </c>
      <c r="O82">
        <v>3.8</v>
      </c>
    </row>
    <row r="83" spans="1:30">
      <c r="A83" s="4">
        <f t="shared" si="1"/>
        <v>115</v>
      </c>
      <c r="B83" t="s">
        <v>52</v>
      </c>
      <c r="C83" t="s">
        <v>53</v>
      </c>
      <c r="D83">
        <v>115</v>
      </c>
      <c r="E83" t="s">
        <v>140</v>
      </c>
      <c r="F83" s="6">
        <v>35578</v>
      </c>
      <c r="H83" t="s">
        <v>72</v>
      </c>
      <c r="I83">
        <v>152</v>
      </c>
    </row>
    <row r="84" spans="1:30">
      <c r="A84" s="4">
        <f t="shared" si="1"/>
        <v>18626</v>
      </c>
      <c r="B84" t="s">
        <v>52</v>
      </c>
      <c r="C84" t="s">
        <v>53</v>
      </c>
      <c r="D84">
        <v>18626</v>
      </c>
      <c r="E84" t="s">
        <v>84</v>
      </c>
      <c r="F84" s="6">
        <v>41828</v>
      </c>
      <c r="H84" t="s">
        <v>54</v>
      </c>
      <c r="I84">
        <v>152</v>
      </c>
    </row>
    <row r="85" spans="1:30">
      <c r="A85" s="4">
        <f t="shared" si="1"/>
        <v>19028</v>
      </c>
      <c r="B85" t="s">
        <v>66</v>
      </c>
      <c r="C85" t="s">
        <v>67</v>
      </c>
      <c r="D85">
        <v>19028</v>
      </c>
      <c r="E85" t="s">
        <v>169</v>
      </c>
      <c r="F85" s="6">
        <v>44788</v>
      </c>
      <c r="H85" t="s">
        <v>54</v>
      </c>
      <c r="I85">
        <v>144.1</v>
      </c>
      <c r="M85">
        <v>22.633099999999999</v>
      </c>
      <c r="N85">
        <v>2.8834</v>
      </c>
      <c r="P85">
        <v>7.6</v>
      </c>
    </row>
    <row r="86" spans="1:30">
      <c r="A86" s="4">
        <f t="shared" si="1"/>
        <v>18948</v>
      </c>
      <c r="B86" t="s">
        <v>52</v>
      </c>
      <c r="C86" t="s">
        <v>53</v>
      </c>
      <c r="D86">
        <v>18948</v>
      </c>
      <c r="E86" t="s">
        <v>101</v>
      </c>
      <c r="F86" s="6">
        <v>44279</v>
      </c>
      <c r="H86" t="s">
        <v>72</v>
      </c>
      <c r="I86">
        <v>117.6</v>
      </c>
      <c r="O86">
        <v>15.2</v>
      </c>
      <c r="P86">
        <v>7.6</v>
      </c>
      <c r="S86">
        <v>11.6</v>
      </c>
    </row>
    <row r="87" spans="1:30">
      <c r="A87" s="4">
        <f t="shared" si="1"/>
        <v>19020</v>
      </c>
      <c r="B87" t="s">
        <v>62</v>
      </c>
      <c r="C87" t="s">
        <v>63</v>
      </c>
      <c r="D87">
        <v>19020</v>
      </c>
      <c r="E87" t="s">
        <v>94</v>
      </c>
      <c r="F87" s="6">
        <v>44740</v>
      </c>
      <c r="H87" t="s">
        <v>72</v>
      </c>
      <c r="I87">
        <v>136.80000000000001</v>
      </c>
    </row>
    <row r="88" spans="1:30">
      <c r="A88" s="4">
        <f t="shared" si="1"/>
        <v>19045</v>
      </c>
      <c r="B88" t="s">
        <v>52</v>
      </c>
      <c r="C88" t="s">
        <v>53</v>
      </c>
      <c r="D88">
        <v>19045</v>
      </c>
      <c r="E88" t="s">
        <v>519</v>
      </c>
      <c r="F88" s="6">
        <v>44888</v>
      </c>
      <c r="H88" t="s">
        <v>54</v>
      </c>
      <c r="I88">
        <v>91.2</v>
      </c>
      <c r="M88">
        <v>1</v>
      </c>
    </row>
    <row r="89" spans="1:30">
      <c r="A89" s="4">
        <f t="shared" si="1"/>
        <v>18871</v>
      </c>
      <c r="B89" t="s">
        <v>52</v>
      </c>
      <c r="C89" t="s">
        <v>53</v>
      </c>
      <c r="D89">
        <v>18871</v>
      </c>
      <c r="E89" t="s">
        <v>155</v>
      </c>
      <c r="F89" s="6">
        <v>43550</v>
      </c>
      <c r="H89" t="s">
        <v>72</v>
      </c>
      <c r="I89">
        <v>152</v>
      </c>
    </row>
    <row r="90" spans="1:30">
      <c r="A90" s="4">
        <f t="shared" si="1"/>
        <v>18894</v>
      </c>
      <c r="B90" t="s">
        <v>59</v>
      </c>
      <c r="C90" t="s">
        <v>60</v>
      </c>
      <c r="D90">
        <v>18894</v>
      </c>
      <c r="E90" t="s">
        <v>195</v>
      </c>
      <c r="F90" s="6">
        <v>43774</v>
      </c>
      <c r="H90" t="s">
        <v>54</v>
      </c>
      <c r="I90">
        <v>61.633299999999998</v>
      </c>
      <c r="K90">
        <v>0</v>
      </c>
      <c r="M90">
        <v>0.25</v>
      </c>
      <c r="N90">
        <v>0</v>
      </c>
    </row>
    <row r="91" spans="1:30">
      <c r="A91" s="4">
        <f t="shared" si="1"/>
        <v>18559</v>
      </c>
      <c r="B91" t="s">
        <v>52</v>
      </c>
      <c r="C91" t="s">
        <v>53</v>
      </c>
      <c r="D91">
        <v>18559</v>
      </c>
      <c r="E91" t="s">
        <v>191</v>
      </c>
      <c r="F91" s="6">
        <v>41190</v>
      </c>
      <c r="H91" t="s">
        <v>54</v>
      </c>
      <c r="I91">
        <v>152</v>
      </c>
    </row>
    <row r="92" spans="1:30">
      <c r="A92" s="4">
        <f t="shared" si="1"/>
        <v>18969</v>
      </c>
      <c r="B92" t="s">
        <v>52</v>
      </c>
      <c r="C92" t="s">
        <v>53</v>
      </c>
      <c r="D92">
        <v>18969</v>
      </c>
      <c r="E92" t="s">
        <v>162</v>
      </c>
      <c r="F92" s="6">
        <v>44452</v>
      </c>
      <c r="H92" t="s">
        <v>72</v>
      </c>
      <c r="I92">
        <v>148</v>
      </c>
      <c r="O92">
        <v>4</v>
      </c>
    </row>
    <row r="93" spans="1:30">
      <c r="A93" s="4">
        <f t="shared" si="1"/>
        <v>18996</v>
      </c>
      <c r="B93" t="s">
        <v>59</v>
      </c>
      <c r="C93" t="s">
        <v>60</v>
      </c>
      <c r="D93">
        <v>18996</v>
      </c>
      <c r="E93" t="s">
        <v>180</v>
      </c>
      <c r="F93" s="6">
        <v>44621</v>
      </c>
      <c r="H93" t="s">
        <v>54</v>
      </c>
      <c r="I93">
        <v>77.133300000000006</v>
      </c>
      <c r="K93">
        <v>20.9</v>
      </c>
      <c r="M93">
        <v>15.966699999999999</v>
      </c>
      <c r="N93">
        <v>0.21659999999999999</v>
      </c>
      <c r="R93">
        <v>15.6</v>
      </c>
      <c r="AC93">
        <v>14.0671</v>
      </c>
      <c r="AD93">
        <v>14.0671</v>
      </c>
    </row>
    <row r="94" spans="1:30">
      <c r="A94" s="4">
        <f t="shared" si="1"/>
        <v>18995</v>
      </c>
      <c r="B94" t="s">
        <v>52</v>
      </c>
      <c r="C94" t="s">
        <v>53</v>
      </c>
      <c r="D94">
        <v>18995</v>
      </c>
      <c r="E94" t="s">
        <v>188</v>
      </c>
      <c r="F94" s="6">
        <v>44627</v>
      </c>
      <c r="G94" s="6">
        <v>44959</v>
      </c>
      <c r="H94" t="s">
        <v>72</v>
      </c>
      <c r="I94">
        <v>45.6</v>
      </c>
      <c r="U94">
        <v>57.572600000000001</v>
      </c>
      <c r="V94">
        <v>55.073999999999998</v>
      </c>
      <c r="W94">
        <v>152</v>
      </c>
    </row>
    <row r="95" spans="1:30">
      <c r="A95" s="4">
        <f t="shared" si="1"/>
        <v>19021</v>
      </c>
      <c r="B95" t="s">
        <v>52</v>
      </c>
      <c r="C95" t="s">
        <v>53</v>
      </c>
      <c r="D95">
        <v>19021</v>
      </c>
      <c r="E95" t="s">
        <v>199</v>
      </c>
      <c r="F95" s="6">
        <v>44736</v>
      </c>
      <c r="H95" t="s">
        <v>54</v>
      </c>
      <c r="I95">
        <v>143.86670000000001</v>
      </c>
      <c r="M95">
        <v>3.75</v>
      </c>
      <c r="P95">
        <v>7.6</v>
      </c>
    </row>
    <row r="96" spans="1:30">
      <c r="A96" s="4">
        <f t="shared" si="1"/>
        <v>18792</v>
      </c>
      <c r="B96" t="s">
        <v>52</v>
      </c>
      <c r="C96" t="s">
        <v>53</v>
      </c>
      <c r="D96">
        <v>18792</v>
      </c>
      <c r="E96" t="s">
        <v>175</v>
      </c>
      <c r="F96" s="6">
        <v>43004</v>
      </c>
      <c r="H96" t="s">
        <v>54</v>
      </c>
      <c r="I96">
        <v>144.2167</v>
      </c>
      <c r="M96">
        <v>7.2666000000000004</v>
      </c>
      <c r="P96">
        <v>7.6</v>
      </c>
    </row>
    <row r="97" spans="1:20">
      <c r="A97" s="4">
        <f t="shared" si="1"/>
        <v>19027</v>
      </c>
      <c r="B97" t="s">
        <v>52</v>
      </c>
      <c r="C97" t="s">
        <v>53</v>
      </c>
      <c r="D97">
        <v>19027</v>
      </c>
      <c r="E97" t="s">
        <v>201</v>
      </c>
      <c r="F97" s="6">
        <v>44776</v>
      </c>
      <c r="H97" t="s">
        <v>54</v>
      </c>
      <c r="I97">
        <v>7.6</v>
      </c>
      <c r="R97">
        <v>38</v>
      </c>
    </row>
    <row r="98" spans="1:20">
      <c r="A98" s="4">
        <f t="shared" si="1"/>
        <v>19008</v>
      </c>
      <c r="B98" t="s">
        <v>59</v>
      </c>
      <c r="C98" t="s">
        <v>60</v>
      </c>
      <c r="D98">
        <v>19008</v>
      </c>
      <c r="E98" t="s">
        <v>71</v>
      </c>
      <c r="F98" s="6">
        <v>44697</v>
      </c>
      <c r="H98" t="s">
        <v>54</v>
      </c>
      <c r="K98">
        <v>22.8</v>
      </c>
      <c r="L98">
        <v>21.9833</v>
      </c>
      <c r="M98">
        <v>5.5667</v>
      </c>
      <c r="N98">
        <v>3.0667</v>
      </c>
    </row>
    <row r="99" spans="1:20">
      <c r="A99" s="4">
        <f t="shared" si="1"/>
        <v>18827</v>
      </c>
      <c r="B99" t="s">
        <v>52</v>
      </c>
      <c r="C99" t="s">
        <v>53</v>
      </c>
      <c r="D99">
        <v>18827</v>
      </c>
      <c r="E99" t="s">
        <v>80</v>
      </c>
      <c r="F99" s="6">
        <v>43244</v>
      </c>
      <c r="H99" t="s">
        <v>54</v>
      </c>
      <c r="I99">
        <v>53.2</v>
      </c>
      <c r="O99">
        <v>98.8</v>
      </c>
    </row>
    <row r="100" spans="1:20">
      <c r="A100" s="4">
        <f t="shared" si="1"/>
        <v>18986</v>
      </c>
      <c r="B100" t="s">
        <v>52</v>
      </c>
      <c r="C100" t="s">
        <v>53</v>
      </c>
      <c r="D100">
        <v>18986</v>
      </c>
      <c r="E100" t="s">
        <v>150</v>
      </c>
      <c r="F100" s="6">
        <v>44544</v>
      </c>
      <c r="H100" t="s">
        <v>54</v>
      </c>
      <c r="I100">
        <v>149.26679999999999</v>
      </c>
      <c r="M100">
        <v>0.76659999999999995</v>
      </c>
    </row>
    <row r="101" spans="1:20">
      <c r="A101" s="4">
        <f t="shared" si="1"/>
        <v>18960</v>
      </c>
      <c r="B101" t="s">
        <v>62</v>
      </c>
      <c r="C101" t="s">
        <v>63</v>
      </c>
      <c r="D101">
        <v>18960</v>
      </c>
      <c r="E101" t="s">
        <v>197</v>
      </c>
      <c r="F101" s="6">
        <v>44411</v>
      </c>
      <c r="H101" t="s">
        <v>54</v>
      </c>
      <c r="I101">
        <v>77.333399999999997</v>
      </c>
      <c r="M101">
        <v>4.2333999999999996</v>
      </c>
      <c r="O101">
        <v>15.2</v>
      </c>
    </row>
    <row r="102" spans="1:20">
      <c r="A102" s="4">
        <f t="shared" si="1"/>
        <v>134</v>
      </c>
      <c r="B102" t="s">
        <v>62</v>
      </c>
      <c r="C102" t="s">
        <v>63</v>
      </c>
      <c r="D102">
        <v>134</v>
      </c>
      <c r="E102" t="s">
        <v>64</v>
      </c>
      <c r="F102" s="6">
        <v>38800</v>
      </c>
      <c r="H102" t="s">
        <v>54</v>
      </c>
      <c r="I102">
        <v>80</v>
      </c>
      <c r="M102">
        <v>26.133199999999999</v>
      </c>
      <c r="N102">
        <v>7.3</v>
      </c>
    </row>
    <row r="103" spans="1:20">
      <c r="A103" s="4">
        <f t="shared" si="1"/>
        <v>19029</v>
      </c>
      <c r="B103" t="s">
        <v>52</v>
      </c>
      <c r="C103" t="s">
        <v>53</v>
      </c>
      <c r="D103">
        <v>19029</v>
      </c>
      <c r="E103" t="s">
        <v>170</v>
      </c>
      <c r="F103" s="6">
        <v>44789</v>
      </c>
      <c r="H103" t="s">
        <v>54</v>
      </c>
      <c r="I103">
        <v>113.8167</v>
      </c>
      <c r="K103">
        <v>30.2667</v>
      </c>
      <c r="M103">
        <v>17.166699999999999</v>
      </c>
      <c r="N103">
        <v>1.1833</v>
      </c>
      <c r="P103">
        <v>7.6</v>
      </c>
    </row>
    <row r="104" spans="1:20">
      <c r="A104" s="4">
        <f t="shared" si="1"/>
        <v>18858</v>
      </c>
      <c r="B104" t="s">
        <v>62</v>
      </c>
      <c r="C104" t="s">
        <v>63</v>
      </c>
      <c r="D104">
        <v>18858</v>
      </c>
      <c r="E104" t="s">
        <v>146</v>
      </c>
      <c r="F104" s="6">
        <v>43482</v>
      </c>
      <c r="H104" t="s">
        <v>54</v>
      </c>
      <c r="T104">
        <v>91.2</v>
      </c>
    </row>
    <row r="105" spans="1:20">
      <c r="A105" s="4">
        <f t="shared" si="1"/>
        <v>18687</v>
      </c>
      <c r="B105" t="s">
        <v>52</v>
      </c>
      <c r="C105" t="s">
        <v>53</v>
      </c>
      <c r="D105">
        <v>18687</v>
      </c>
      <c r="E105" t="s">
        <v>192</v>
      </c>
      <c r="F105" s="6">
        <v>42219</v>
      </c>
      <c r="H105" t="s">
        <v>54</v>
      </c>
      <c r="I105">
        <v>152</v>
      </c>
      <c r="M105">
        <v>18.933199999999999</v>
      </c>
    </row>
    <row r="106" spans="1:20">
      <c r="A106" s="4">
        <f t="shared" si="1"/>
        <v>18561</v>
      </c>
      <c r="B106" t="s">
        <v>52</v>
      </c>
      <c r="C106" t="s">
        <v>53</v>
      </c>
      <c r="D106">
        <v>18561</v>
      </c>
      <c r="E106" t="s">
        <v>226</v>
      </c>
      <c r="F106" s="6">
        <v>41192</v>
      </c>
      <c r="H106" t="s">
        <v>54</v>
      </c>
      <c r="I106">
        <v>141.23339999999999</v>
      </c>
      <c r="M106">
        <v>5.6334999999999997</v>
      </c>
      <c r="P106">
        <v>10.6</v>
      </c>
    </row>
    <row r="107" spans="1:20">
      <c r="A107" s="4">
        <f t="shared" si="1"/>
        <v>19030</v>
      </c>
      <c r="B107" t="s">
        <v>69</v>
      </c>
      <c r="C107" t="s">
        <v>70</v>
      </c>
      <c r="D107">
        <v>19030</v>
      </c>
      <c r="E107" t="s">
        <v>171</v>
      </c>
      <c r="F107" s="6">
        <v>44785</v>
      </c>
      <c r="H107" t="s">
        <v>72</v>
      </c>
      <c r="J107">
        <v>138.3665</v>
      </c>
    </row>
    <row r="108" spans="1:20">
      <c r="A108" s="4">
        <f t="shared" si="1"/>
        <v>141</v>
      </c>
      <c r="B108" t="s">
        <v>62</v>
      </c>
      <c r="C108" t="s">
        <v>63</v>
      </c>
      <c r="D108">
        <v>141</v>
      </c>
      <c r="E108" t="s">
        <v>206</v>
      </c>
      <c r="F108" s="6">
        <v>33644</v>
      </c>
      <c r="H108" t="s">
        <v>54</v>
      </c>
      <c r="I108">
        <v>68.400000000000006</v>
      </c>
      <c r="M108">
        <v>1.5</v>
      </c>
      <c r="O108">
        <v>22.8</v>
      </c>
    </row>
    <row r="109" spans="1:20">
      <c r="A109" s="4">
        <f t="shared" si="1"/>
        <v>19042</v>
      </c>
      <c r="B109" t="s">
        <v>52</v>
      </c>
      <c r="C109" t="s">
        <v>53</v>
      </c>
      <c r="D109">
        <v>19042</v>
      </c>
      <c r="E109" t="s">
        <v>515</v>
      </c>
      <c r="F109" s="6">
        <v>44887</v>
      </c>
      <c r="H109" t="s">
        <v>54</v>
      </c>
      <c r="I109">
        <v>121.6</v>
      </c>
      <c r="K109">
        <v>30.4</v>
      </c>
      <c r="M109">
        <v>4</v>
      </c>
    </row>
    <row r="110" spans="1:20">
      <c r="A110" s="4">
        <f t="shared" si="1"/>
        <v>18924</v>
      </c>
      <c r="B110" t="s">
        <v>62</v>
      </c>
      <c r="C110" t="s">
        <v>63</v>
      </c>
      <c r="D110">
        <v>18924</v>
      </c>
      <c r="E110" t="s">
        <v>147</v>
      </c>
      <c r="F110" s="6">
        <v>44102</v>
      </c>
      <c r="H110" t="s">
        <v>54</v>
      </c>
      <c r="I110">
        <v>85</v>
      </c>
      <c r="M110">
        <v>2.4498000000000002</v>
      </c>
      <c r="P110">
        <v>10</v>
      </c>
      <c r="R110">
        <v>5</v>
      </c>
    </row>
    <row r="111" spans="1:20">
      <c r="A111" s="4">
        <f t="shared" si="1"/>
        <v>18893</v>
      </c>
      <c r="B111" t="s">
        <v>62</v>
      </c>
      <c r="C111" t="s">
        <v>63</v>
      </c>
      <c r="D111">
        <v>18893</v>
      </c>
      <c r="E111" t="s">
        <v>292</v>
      </c>
      <c r="F111" s="6">
        <v>43773</v>
      </c>
      <c r="H111" t="s">
        <v>72</v>
      </c>
      <c r="I111">
        <v>91.2</v>
      </c>
    </row>
    <row r="112" spans="1:20">
      <c r="A112" s="4">
        <f t="shared" si="1"/>
        <v>145</v>
      </c>
      <c r="B112" t="s">
        <v>52</v>
      </c>
      <c r="C112" t="s">
        <v>53</v>
      </c>
      <c r="D112">
        <v>145</v>
      </c>
      <c r="E112" t="s">
        <v>207</v>
      </c>
      <c r="F112" s="6">
        <v>38460</v>
      </c>
      <c r="H112" t="s">
        <v>54</v>
      </c>
      <c r="I112">
        <v>152</v>
      </c>
      <c r="M112">
        <v>2</v>
      </c>
    </row>
    <row r="113" spans="1:16">
      <c r="A113" s="4">
        <f t="shared" si="1"/>
        <v>18920</v>
      </c>
      <c r="B113" t="s">
        <v>52</v>
      </c>
      <c r="C113" t="s">
        <v>53</v>
      </c>
      <c r="D113">
        <v>18920</v>
      </c>
      <c r="E113" t="s">
        <v>184</v>
      </c>
      <c r="F113" s="6">
        <v>44063</v>
      </c>
      <c r="H113" t="s">
        <v>72</v>
      </c>
      <c r="I113">
        <v>152</v>
      </c>
    </row>
    <row r="114" spans="1:16">
      <c r="A114" s="4">
        <f t="shared" si="1"/>
        <v>18898</v>
      </c>
      <c r="B114" t="s">
        <v>59</v>
      </c>
      <c r="C114" t="s">
        <v>60</v>
      </c>
      <c r="D114">
        <v>18898</v>
      </c>
      <c r="E114" t="s">
        <v>178</v>
      </c>
      <c r="F114" s="6">
        <v>43864</v>
      </c>
      <c r="H114" t="s">
        <v>54</v>
      </c>
      <c r="I114">
        <v>106.66670000000001</v>
      </c>
      <c r="M114">
        <v>11.200100000000001</v>
      </c>
      <c r="N114">
        <v>5.5667</v>
      </c>
      <c r="O114">
        <v>30.8</v>
      </c>
    </row>
    <row r="115" spans="1:16">
      <c r="A115" s="4">
        <f t="shared" si="1"/>
        <v>18831</v>
      </c>
      <c r="B115" t="s">
        <v>62</v>
      </c>
      <c r="C115" t="s">
        <v>63</v>
      </c>
      <c r="D115">
        <v>18831</v>
      </c>
      <c r="E115" t="s">
        <v>208</v>
      </c>
      <c r="F115" s="6">
        <v>43265</v>
      </c>
      <c r="H115" t="s">
        <v>54</v>
      </c>
      <c r="I115">
        <v>22.8</v>
      </c>
      <c r="L115">
        <v>30.4</v>
      </c>
      <c r="M115">
        <v>3</v>
      </c>
      <c r="N115">
        <v>4.5999999999999996</v>
      </c>
    </row>
    <row r="116" spans="1:16">
      <c r="A116" s="4">
        <f t="shared" si="1"/>
        <v>19054</v>
      </c>
      <c r="B116" t="s">
        <v>52</v>
      </c>
      <c r="C116" t="s">
        <v>53</v>
      </c>
      <c r="D116">
        <v>19054</v>
      </c>
      <c r="E116" t="s">
        <v>539</v>
      </c>
      <c r="F116" s="6">
        <v>44949</v>
      </c>
      <c r="H116" t="s">
        <v>54</v>
      </c>
      <c r="I116">
        <v>152</v>
      </c>
    </row>
    <row r="117" spans="1:16">
      <c r="A117" s="4">
        <f t="shared" si="1"/>
        <v>19017</v>
      </c>
      <c r="B117" t="s">
        <v>66</v>
      </c>
      <c r="C117" t="s">
        <v>67</v>
      </c>
      <c r="D117">
        <v>19017</v>
      </c>
      <c r="E117" t="s">
        <v>91</v>
      </c>
      <c r="F117" s="6">
        <v>44732</v>
      </c>
      <c r="H117" t="s">
        <v>54</v>
      </c>
      <c r="I117">
        <v>121.6</v>
      </c>
      <c r="K117">
        <v>30.4</v>
      </c>
      <c r="M117">
        <v>24.4498</v>
      </c>
      <c r="N117">
        <v>8.15</v>
      </c>
    </row>
    <row r="118" spans="1:16">
      <c r="A118" s="4">
        <f t="shared" si="1"/>
        <v>19011</v>
      </c>
      <c r="B118" t="s">
        <v>52</v>
      </c>
      <c r="C118" t="s">
        <v>53</v>
      </c>
      <c r="D118">
        <v>19011</v>
      </c>
      <c r="E118" t="s">
        <v>65</v>
      </c>
      <c r="F118" s="6">
        <v>44704</v>
      </c>
      <c r="H118" t="s">
        <v>54</v>
      </c>
      <c r="I118">
        <v>121.6</v>
      </c>
      <c r="M118">
        <v>9.3500999999999994</v>
      </c>
      <c r="O118">
        <v>15.2</v>
      </c>
      <c r="P118">
        <v>15.2</v>
      </c>
    </row>
    <row r="119" spans="1:16">
      <c r="A119" s="4">
        <f t="shared" si="1"/>
        <v>18797</v>
      </c>
      <c r="B119" t="s">
        <v>52</v>
      </c>
      <c r="C119" t="s">
        <v>53</v>
      </c>
      <c r="D119">
        <v>18797</v>
      </c>
      <c r="E119" t="s">
        <v>81</v>
      </c>
      <c r="F119" s="6">
        <v>43047</v>
      </c>
      <c r="H119" t="s">
        <v>54</v>
      </c>
      <c r="I119">
        <v>106.13330000000001</v>
      </c>
      <c r="K119">
        <v>30.4</v>
      </c>
      <c r="M119">
        <v>21.916699999999999</v>
      </c>
      <c r="N119">
        <v>1.7834000000000001</v>
      </c>
      <c r="O119">
        <v>7.6</v>
      </c>
      <c r="P119">
        <v>7.6</v>
      </c>
    </row>
    <row r="120" spans="1:16">
      <c r="A120" s="4">
        <f t="shared" si="1"/>
        <v>152</v>
      </c>
      <c r="B120" t="s">
        <v>52</v>
      </c>
      <c r="C120" t="s">
        <v>53</v>
      </c>
      <c r="D120">
        <v>152</v>
      </c>
      <c r="E120" t="s">
        <v>181</v>
      </c>
      <c r="F120" s="6">
        <v>33331</v>
      </c>
      <c r="H120" t="s">
        <v>72</v>
      </c>
      <c r="I120">
        <v>152</v>
      </c>
    </row>
    <row r="121" spans="1:16">
      <c r="A121" s="4">
        <f t="shared" si="1"/>
        <v>18793</v>
      </c>
      <c r="B121" t="s">
        <v>69</v>
      </c>
      <c r="C121" t="s">
        <v>70</v>
      </c>
      <c r="D121">
        <v>18793</v>
      </c>
      <c r="E121" t="s">
        <v>548</v>
      </c>
      <c r="F121" s="6">
        <v>43015</v>
      </c>
      <c r="H121" t="s">
        <v>54</v>
      </c>
      <c r="L121">
        <v>24.633299999999998</v>
      </c>
    </row>
    <row r="122" spans="1:16">
      <c r="A122" s="4">
        <f t="shared" si="1"/>
        <v>18781</v>
      </c>
      <c r="B122" t="s">
        <v>52</v>
      </c>
      <c r="C122" t="s">
        <v>53</v>
      </c>
      <c r="D122">
        <v>18781</v>
      </c>
      <c r="E122" t="s">
        <v>193</v>
      </c>
      <c r="F122" s="6">
        <v>42891</v>
      </c>
      <c r="H122" t="s">
        <v>54</v>
      </c>
      <c r="O122">
        <v>22.8</v>
      </c>
      <c r="P122">
        <v>129.19999999999999</v>
      </c>
    </row>
    <row r="123" spans="1:16">
      <c r="A123" s="4">
        <f t="shared" si="1"/>
        <v>18918</v>
      </c>
      <c r="B123" t="s">
        <v>52</v>
      </c>
      <c r="C123" t="s">
        <v>53</v>
      </c>
      <c r="D123">
        <v>18918</v>
      </c>
      <c r="E123" t="s">
        <v>78</v>
      </c>
      <c r="F123" s="6">
        <v>44004</v>
      </c>
      <c r="H123" t="s">
        <v>54</v>
      </c>
      <c r="I123">
        <v>151.91669999999999</v>
      </c>
      <c r="M123">
        <v>19.683199999999999</v>
      </c>
      <c r="N123">
        <v>1.6833</v>
      </c>
    </row>
    <row r="124" spans="1:16">
      <c r="A124" s="4">
        <f t="shared" si="1"/>
        <v>266</v>
      </c>
      <c r="B124" t="s">
        <v>52</v>
      </c>
      <c r="C124" t="s">
        <v>53</v>
      </c>
      <c r="D124">
        <v>266</v>
      </c>
      <c r="E124" t="s">
        <v>167</v>
      </c>
      <c r="F124" s="6">
        <v>39468</v>
      </c>
      <c r="H124" t="s">
        <v>72</v>
      </c>
      <c r="I124">
        <v>152</v>
      </c>
    </row>
    <row r="125" spans="1:16">
      <c r="A125" s="4">
        <f t="shared" si="1"/>
        <v>18736</v>
      </c>
      <c r="B125" t="s">
        <v>52</v>
      </c>
      <c r="C125" t="s">
        <v>53</v>
      </c>
      <c r="D125">
        <v>18736</v>
      </c>
      <c r="E125" t="s">
        <v>82</v>
      </c>
      <c r="F125" s="6">
        <v>42618</v>
      </c>
      <c r="H125" t="s">
        <v>54</v>
      </c>
      <c r="I125">
        <v>53.2</v>
      </c>
      <c r="M125">
        <v>14</v>
      </c>
      <c r="N125">
        <v>9.6997999999999998</v>
      </c>
      <c r="O125">
        <v>98.8</v>
      </c>
    </row>
    <row r="126" spans="1:16">
      <c r="A126" s="4">
        <f t="shared" si="1"/>
        <v>156</v>
      </c>
      <c r="B126" t="s">
        <v>62</v>
      </c>
      <c r="C126" t="s">
        <v>63</v>
      </c>
      <c r="D126">
        <v>156</v>
      </c>
      <c r="E126" t="s">
        <v>176</v>
      </c>
      <c r="F126" s="6">
        <v>35648</v>
      </c>
      <c r="H126" t="s">
        <v>54</v>
      </c>
      <c r="I126">
        <v>32</v>
      </c>
      <c r="M126">
        <v>0.69989999999999997</v>
      </c>
      <c r="O126">
        <v>16</v>
      </c>
    </row>
    <row r="127" spans="1:16">
      <c r="A127" s="4">
        <f t="shared" si="1"/>
        <v>19058</v>
      </c>
      <c r="B127" t="s">
        <v>66</v>
      </c>
      <c r="C127" t="s">
        <v>67</v>
      </c>
      <c r="D127">
        <v>19058</v>
      </c>
      <c r="E127" t="s">
        <v>549</v>
      </c>
      <c r="F127" s="6">
        <v>44971</v>
      </c>
      <c r="H127" t="s">
        <v>54</v>
      </c>
      <c r="I127">
        <v>68.900000000000006</v>
      </c>
      <c r="K127">
        <v>15</v>
      </c>
      <c r="M127">
        <v>11.8</v>
      </c>
      <c r="N127">
        <v>6.0667</v>
      </c>
    </row>
    <row r="128" spans="1:16">
      <c r="A128" s="4">
        <f t="shared" si="1"/>
        <v>18607</v>
      </c>
      <c r="B128" t="s">
        <v>62</v>
      </c>
      <c r="C128" t="s">
        <v>63</v>
      </c>
      <c r="D128">
        <v>18607</v>
      </c>
      <c r="E128" t="s">
        <v>93</v>
      </c>
      <c r="F128" s="6">
        <v>41612</v>
      </c>
      <c r="H128" t="s">
        <v>54</v>
      </c>
      <c r="I128">
        <v>90.933300000000003</v>
      </c>
      <c r="M128">
        <v>9.5832999999999995</v>
      </c>
      <c r="N128">
        <v>4.45</v>
      </c>
    </row>
    <row r="129" spans="1:30">
      <c r="A129" s="4">
        <f t="shared" si="1"/>
        <v>18895</v>
      </c>
      <c r="B129" t="s">
        <v>62</v>
      </c>
      <c r="C129" t="s">
        <v>63</v>
      </c>
      <c r="D129">
        <v>18895</v>
      </c>
      <c r="E129" t="s">
        <v>179</v>
      </c>
      <c r="F129" s="6">
        <v>43791</v>
      </c>
      <c r="H129" t="s">
        <v>54</v>
      </c>
      <c r="I129">
        <v>113.9833</v>
      </c>
      <c r="M129">
        <v>20.416799999999999</v>
      </c>
      <c r="N129">
        <v>12.566700000000001</v>
      </c>
      <c r="R129">
        <v>7.6</v>
      </c>
    </row>
    <row r="130" spans="1:30">
      <c r="A130" s="4">
        <f t="shared" si="1"/>
        <v>44705</v>
      </c>
      <c r="B130" t="s">
        <v>52</v>
      </c>
      <c r="C130" t="s">
        <v>53</v>
      </c>
      <c r="D130">
        <v>44705</v>
      </c>
      <c r="E130" t="s">
        <v>224</v>
      </c>
      <c r="F130" s="6">
        <v>43710</v>
      </c>
      <c r="H130" t="s">
        <v>54</v>
      </c>
      <c r="I130">
        <v>152</v>
      </c>
    </row>
    <row r="131" spans="1:30">
      <c r="A131" s="4">
        <f t="shared" si="1"/>
        <v>19048</v>
      </c>
      <c r="B131" t="s">
        <v>52</v>
      </c>
      <c r="C131" t="s">
        <v>53</v>
      </c>
      <c r="D131">
        <v>19048</v>
      </c>
      <c r="E131" t="s">
        <v>520</v>
      </c>
      <c r="F131" s="6">
        <v>44902</v>
      </c>
      <c r="H131" t="s">
        <v>54</v>
      </c>
      <c r="I131">
        <v>146.33330000000001</v>
      </c>
      <c r="M131">
        <v>25.533200000000001</v>
      </c>
      <c r="N131">
        <v>3.9499</v>
      </c>
    </row>
    <row r="132" spans="1:30">
      <c r="A132" s="4">
        <f t="shared" ref="A132:A165" si="2">IF(D132&gt;0,D132,"")</f>
        <v>302</v>
      </c>
      <c r="B132" t="s">
        <v>52</v>
      </c>
      <c r="C132" t="s">
        <v>53</v>
      </c>
      <c r="D132">
        <v>302</v>
      </c>
      <c r="E132" t="s">
        <v>168</v>
      </c>
      <c r="F132" s="6">
        <v>39694</v>
      </c>
      <c r="H132" t="s">
        <v>54</v>
      </c>
      <c r="T132">
        <v>152</v>
      </c>
    </row>
    <row r="133" spans="1:30">
      <c r="A133" s="4">
        <f t="shared" si="2"/>
        <v>19012</v>
      </c>
      <c r="B133" t="s">
        <v>66</v>
      </c>
      <c r="C133" t="s">
        <v>67</v>
      </c>
      <c r="D133">
        <v>19012</v>
      </c>
      <c r="E133" t="s">
        <v>61</v>
      </c>
      <c r="F133" s="6">
        <v>44704</v>
      </c>
      <c r="H133" t="s">
        <v>54</v>
      </c>
      <c r="I133">
        <v>121.4333</v>
      </c>
      <c r="K133">
        <v>30.4</v>
      </c>
      <c r="M133">
        <v>17.4833</v>
      </c>
      <c r="N133">
        <v>1.5833999999999999</v>
      </c>
    </row>
    <row r="134" spans="1:30">
      <c r="A134" s="4">
        <f t="shared" si="2"/>
        <v>19006</v>
      </c>
      <c r="B134" t="s">
        <v>52</v>
      </c>
      <c r="C134" t="s">
        <v>53</v>
      </c>
      <c r="D134">
        <v>19006</v>
      </c>
      <c r="E134" t="s">
        <v>220</v>
      </c>
      <c r="F134" s="6">
        <v>44697</v>
      </c>
      <c r="H134" t="s">
        <v>54</v>
      </c>
      <c r="I134">
        <v>144.4</v>
      </c>
      <c r="M134">
        <v>8.5</v>
      </c>
      <c r="P134">
        <v>7.6</v>
      </c>
    </row>
    <row r="135" spans="1:30">
      <c r="A135" s="4">
        <f t="shared" si="2"/>
        <v>19052</v>
      </c>
      <c r="B135" t="s">
        <v>52</v>
      </c>
      <c r="C135" t="s">
        <v>53</v>
      </c>
      <c r="D135">
        <v>19052</v>
      </c>
      <c r="E135" t="s">
        <v>535</v>
      </c>
      <c r="F135" s="6">
        <v>44931</v>
      </c>
      <c r="H135" t="s">
        <v>54</v>
      </c>
      <c r="I135">
        <v>152</v>
      </c>
      <c r="M135">
        <v>1</v>
      </c>
    </row>
    <row r="136" spans="1:30">
      <c r="A136" s="4">
        <f t="shared" si="2"/>
        <v>18904</v>
      </c>
      <c r="B136" t="s">
        <v>52</v>
      </c>
      <c r="C136" t="s">
        <v>53</v>
      </c>
      <c r="D136">
        <v>18904</v>
      </c>
      <c r="E136" t="s">
        <v>229</v>
      </c>
      <c r="F136" s="6">
        <v>43899</v>
      </c>
      <c r="H136" t="s">
        <v>54</v>
      </c>
      <c r="I136">
        <v>143.91669999999999</v>
      </c>
      <c r="M136">
        <v>7.1166</v>
      </c>
      <c r="P136">
        <v>7.6</v>
      </c>
    </row>
    <row r="137" spans="1:30">
      <c r="A137" s="4">
        <f t="shared" si="2"/>
        <v>18892</v>
      </c>
      <c r="B137" t="s">
        <v>62</v>
      </c>
      <c r="C137" t="s">
        <v>63</v>
      </c>
      <c r="D137">
        <v>18892</v>
      </c>
      <c r="E137" t="s">
        <v>194</v>
      </c>
      <c r="F137" s="6">
        <v>43759</v>
      </c>
      <c r="H137" t="s">
        <v>54</v>
      </c>
      <c r="I137">
        <v>137.91669999999999</v>
      </c>
      <c r="M137">
        <v>1.1833</v>
      </c>
      <c r="P137">
        <v>6</v>
      </c>
      <c r="Q137">
        <v>6</v>
      </c>
    </row>
    <row r="138" spans="1:30">
      <c r="A138" s="4">
        <f t="shared" si="2"/>
        <v>19009</v>
      </c>
      <c r="B138" t="s">
        <v>52</v>
      </c>
      <c r="C138" t="s">
        <v>53</v>
      </c>
      <c r="D138">
        <v>19009</v>
      </c>
      <c r="E138" t="s">
        <v>68</v>
      </c>
      <c r="F138" s="6">
        <v>44704</v>
      </c>
      <c r="H138" t="s">
        <v>54</v>
      </c>
      <c r="I138">
        <v>114</v>
      </c>
      <c r="K138">
        <v>30.4</v>
      </c>
      <c r="M138">
        <v>10.5831</v>
      </c>
      <c r="P138">
        <v>7.6</v>
      </c>
    </row>
    <row r="139" spans="1:30">
      <c r="A139" s="4">
        <f t="shared" si="2"/>
        <v>19019</v>
      </c>
      <c r="B139" t="s">
        <v>66</v>
      </c>
      <c r="C139" t="s">
        <v>67</v>
      </c>
      <c r="D139">
        <v>19019</v>
      </c>
      <c r="E139" t="s">
        <v>90</v>
      </c>
      <c r="F139" s="6">
        <v>44734</v>
      </c>
      <c r="H139" t="s">
        <v>54</v>
      </c>
      <c r="I139">
        <v>114</v>
      </c>
      <c r="K139">
        <v>29.8</v>
      </c>
      <c r="M139">
        <v>27.283300000000001</v>
      </c>
      <c r="N139">
        <v>5.7667999999999999</v>
      </c>
      <c r="O139">
        <v>7.6</v>
      </c>
    </row>
    <row r="140" spans="1:30">
      <c r="A140" s="4">
        <f t="shared" si="2"/>
        <v>18946</v>
      </c>
      <c r="B140" t="s">
        <v>52</v>
      </c>
      <c r="C140" t="s">
        <v>53</v>
      </c>
      <c r="D140">
        <v>18946</v>
      </c>
      <c r="E140" t="s">
        <v>185</v>
      </c>
      <c r="F140" s="6">
        <v>44277</v>
      </c>
      <c r="H140" t="s">
        <v>72</v>
      </c>
      <c r="I140">
        <v>152</v>
      </c>
      <c r="AC140">
        <v>1.3895</v>
      </c>
      <c r="AD140">
        <v>3.3895</v>
      </c>
    </row>
    <row r="141" spans="1:30">
      <c r="A141" s="4">
        <f t="shared" si="2"/>
        <v>19037</v>
      </c>
      <c r="B141" t="s">
        <v>59</v>
      </c>
      <c r="C141" t="s">
        <v>60</v>
      </c>
      <c r="D141">
        <v>19037</v>
      </c>
      <c r="E141" t="s">
        <v>294</v>
      </c>
      <c r="F141" s="6">
        <v>44813</v>
      </c>
      <c r="H141" t="s">
        <v>54</v>
      </c>
      <c r="I141">
        <v>64.716700000000003</v>
      </c>
      <c r="K141">
        <v>11.9</v>
      </c>
      <c r="M141">
        <v>4.6166</v>
      </c>
    </row>
    <row r="142" spans="1:30">
      <c r="A142" s="4">
        <f t="shared" si="2"/>
        <v>18581</v>
      </c>
      <c r="B142" t="s">
        <v>52</v>
      </c>
      <c r="C142" t="s">
        <v>53</v>
      </c>
      <c r="D142">
        <v>18581</v>
      </c>
      <c r="E142" t="s">
        <v>182</v>
      </c>
      <c r="F142" s="6">
        <v>41366</v>
      </c>
      <c r="H142" t="s">
        <v>54</v>
      </c>
      <c r="I142">
        <v>121.6</v>
      </c>
      <c r="O142">
        <v>22.8</v>
      </c>
      <c r="P142">
        <v>7.6</v>
      </c>
    </row>
    <row r="143" spans="1:30">
      <c r="A143" s="4">
        <f t="shared" si="2"/>
        <v>18911</v>
      </c>
      <c r="B143" t="s">
        <v>52</v>
      </c>
      <c r="C143" t="s">
        <v>53</v>
      </c>
      <c r="D143">
        <v>18911</v>
      </c>
      <c r="E143" t="s">
        <v>196</v>
      </c>
      <c r="F143" s="6">
        <v>43930</v>
      </c>
      <c r="H143" t="s">
        <v>54</v>
      </c>
      <c r="I143">
        <v>135.16669999999999</v>
      </c>
      <c r="M143">
        <v>18.116599999999998</v>
      </c>
      <c r="N143">
        <v>0.05</v>
      </c>
      <c r="O143">
        <v>15.2</v>
      </c>
    </row>
    <row r="144" spans="1:30">
      <c r="A144" s="4">
        <f t="shared" si="2"/>
        <v>18983</v>
      </c>
      <c r="B144" t="s">
        <v>52</v>
      </c>
      <c r="C144" t="s">
        <v>53</v>
      </c>
      <c r="D144">
        <v>18983</v>
      </c>
      <c r="E144" t="s">
        <v>73</v>
      </c>
      <c r="F144" s="6">
        <v>44526</v>
      </c>
      <c r="H144" t="s">
        <v>72</v>
      </c>
      <c r="I144">
        <v>121.6</v>
      </c>
      <c r="K144">
        <v>30.1</v>
      </c>
      <c r="M144">
        <v>24.833300000000001</v>
      </c>
      <c r="N144">
        <v>2.3666</v>
      </c>
    </row>
    <row r="145" spans="1:25">
      <c r="A145" s="4">
        <f t="shared" si="2"/>
        <v>19007</v>
      </c>
      <c r="B145" t="s">
        <v>66</v>
      </c>
      <c r="C145" t="s">
        <v>67</v>
      </c>
      <c r="D145">
        <v>19007</v>
      </c>
      <c r="E145" t="s">
        <v>221</v>
      </c>
      <c r="F145" s="6">
        <v>44705</v>
      </c>
      <c r="H145" t="s">
        <v>54</v>
      </c>
      <c r="I145">
        <v>105.4</v>
      </c>
      <c r="K145">
        <v>30.4</v>
      </c>
      <c r="O145">
        <v>16.2</v>
      </c>
    </row>
    <row r="146" spans="1:25">
      <c r="A146" s="4">
        <f t="shared" si="2"/>
        <v>18903</v>
      </c>
      <c r="B146" t="s">
        <v>52</v>
      </c>
      <c r="C146" t="s">
        <v>53</v>
      </c>
      <c r="D146">
        <v>18903</v>
      </c>
      <c r="E146" t="s">
        <v>210</v>
      </c>
      <c r="F146" s="6">
        <v>43894</v>
      </c>
      <c r="H146" t="s">
        <v>54</v>
      </c>
      <c r="I146">
        <v>121.6</v>
      </c>
      <c r="K146">
        <v>30.4</v>
      </c>
      <c r="M146">
        <v>6</v>
      </c>
    </row>
    <row r="147" spans="1:25">
      <c r="A147" s="4">
        <f t="shared" si="2"/>
        <v>18957</v>
      </c>
      <c r="B147" t="s">
        <v>52</v>
      </c>
      <c r="C147" t="s">
        <v>53</v>
      </c>
      <c r="D147">
        <v>18957</v>
      </c>
      <c r="E147" t="s">
        <v>212</v>
      </c>
      <c r="F147" s="6">
        <v>44397</v>
      </c>
      <c r="H147" t="s">
        <v>54</v>
      </c>
      <c r="I147">
        <v>121.6</v>
      </c>
      <c r="M147">
        <v>3</v>
      </c>
      <c r="O147">
        <v>22.8</v>
      </c>
      <c r="P147">
        <v>7.6</v>
      </c>
    </row>
    <row r="148" spans="1:25">
      <c r="A148" s="4" t="str">
        <f t="shared" si="2"/>
        <v/>
      </c>
      <c r="B148" t="s">
        <v>234</v>
      </c>
      <c r="I148">
        <v>15512.533299999999</v>
      </c>
      <c r="J148">
        <v>258.66649999999998</v>
      </c>
      <c r="K148">
        <v>616.11670000000004</v>
      </c>
      <c r="L148">
        <v>330.11660000000001</v>
      </c>
      <c r="M148">
        <v>748.09950000000003</v>
      </c>
      <c r="N148">
        <v>200.11670000000001</v>
      </c>
      <c r="O148">
        <v>1236.75</v>
      </c>
      <c r="P148">
        <v>455.2</v>
      </c>
      <c r="Q148">
        <v>8.35</v>
      </c>
      <c r="R148">
        <v>173</v>
      </c>
      <c r="S148">
        <v>11.6</v>
      </c>
      <c r="T148">
        <v>243.2</v>
      </c>
      <c r="U148">
        <v>57.572600000000001</v>
      </c>
      <c r="V148">
        <v>55.073999999999998</v>
      </c>
      <c r="W148">
        <v>152</v>
      </c>
      <c r="X148">
        <v>36.974899999999998</v>
      </c>
      <c r="Y148">
        <v>36.974899999999998</v>
      </c>
    </row>
    <row r="149" spans="1:25">
      <c r="A149" s="4" t="str">
        <f t="shared" si="2"/>
        <v/>
      </c>
      <c r="F149" s="6"/>
    </row>
    <row r="150" spans="1:25">
      <c r="A150" s="4" t="str">
        <f t="shared" si="2"/>
        <v/>
      </c>
      <c r="F150" s="6"/>
    </row>
    <row r="151" spans="1:25">
      <c r="A151" s="4" t="str">
        <f t="shared" si="2"/>
        <v/>
      </c>
      <c r="F151" s="6"/>
    </row>
    <row r="152" spans="1:25">
      <c r="A152" s="4" t="str">
        <f t="shared" si="2"/>
        <v/>
      </c>
    </row>
    <row r="153" spans="1:25">
      <c r="A153" s="4" t="str">
        <f t="shared" si="2"/>
        <v/>
      </c>
      <c r="F153" s="6"/>
    </row>
    <row r="154" spans="1:25">
      <c r="A154" s="4" t="str">
        <f t="shared" si="2"/>
        <v/>
      </c>
      <c r="F154" s="6"/>
    </row>
    <row r="155" spans="1:25">
      <c r="A155" s="4" t="str">
        <f t="shared" si="2"/>
        <v/>
      </c>
      <c r="W155" s="37"/>
      <c r="X155" s="37"/>
      <c r="Y155" s="37"/>
    </row>
    <row r="156" spans="1:25">
      <c r="A156" s="4" t="str">
        <f t="shared" si="2"/>
        <v/>
      </c>
      <c r="B156" s="37"/>
      <c r="C156" s="37"/>
      <c r="D156" s="37"/>
      <c r="E156" s="37"/>
      <c r="F156" s="38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</row>
    <row r="157" spans="1:25">
      <c r="A157" s="4" t="str">
        <f t="shared" si="2"/>
        <v/>
      </c>
      <c r="B157" s="37"/>
      <c r="C157" s="37"/>
      <c r="D157" s="37"/>
      <c r="E157" s="37"/>
      <c r="F157" s="38"/>
      <c r="G157" s="38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</row>
    <row r="158" spans="1:25" s="7" customFormat="1">
      <c r="A158" s="7" t="str">
        <f t="shared" si="2"/>
        <v/>
      </c>
      <c r="B158" s="45"/>
      <c r="C158" s="45"/>
      <c r="D158" s="45"/>
      <c r="E158" s="45"/>
      <c r="F158" s="46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</row>
    <row r="159" spans="1:25">
      <c r="A159" s="4" t="str">
        <f t="shared" si="2"/>
        <v/>
      </c>
      <c r="B159" s="37"/>
      <c r="C159" s="37"/>
      <c r="D159" s="37"/>
      <c r="E159" s="37"/>
      <c r="F159" s="38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</row>
    <row r="160" spans="1:25">
      <c r="A160" s="4" t="str">
        <f t="shared" si="2"/>
        <v/>
      </c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</row>
    <row r="161" spans="1:6">
      <c r="A161" s="4" t="str">
        <f t="shared" si="2"/>
        <v/>
      </c>
      <c r="F161" s="6"/>
    </row>
    <row r="162" spans="1:6">
      <c r="A162" s="4" t="str">
        <f t="shared" si="2"/>
        <v/>
      </c>
      <c r="F162" s="6"/>
    </row>
    <row r="163" spans="1:6">
      <c r="A163" s="4" t="str">
        <f t="shared" si="2"/>
        <v/>
      </c>
      <c r="F163" s="6"/>
    </row>
    <row r="164" spans="1:6">
      <c r="A164" s="4" t="str">
        <f t="shared" si="2"/>
        <v/>
      </c>
      <c r="F164" s="6"/>
    </row>
    <row r="165" spans="1:6">
      <c r="A165" s="4" t="str">
        <f t="shared" si="2"/>
        <v/>
      </c>
      <c r="F165" s="6"/>
    </row>
    <row r="166" spans="1:6">
      <c r="A166" s="4" t="str">
        <f t="shared" ref="A166:A195" si="3">IF(D166&gt;0,D166,"")</f>
        <v/>
      </c>
    </row>
    <row r="167" spans="1:6">
      <c r="A167" s="4" t="str">
        <f t="shared" si="3"/>
        <v/>
      </c>
    </row>
    <row r="168" spans="1:6">
      <c r="A168" s="4" t="str">
        <f t="shared" si="3"/>
        <v/>
      </c>
    </row>
    <row r="169" spans="1:6">
      <c r="A169" s="4" t="str">
        <f t="shared" si="3"/>
        <v/>
      </c>
    </row>
    <row r="170" spans="1:6">
      <c r="A170" s="4" t="str">
        <f t="shared" si="3"/>
        <v/>
      </c>
    </row>
    <row r="171" spans="1:6">
      <c r="A171" s="4" t="str">
        <f t="shared" si="3"/>
        <v/>
      </c>
    </row>
    <row r="172" spans="1:6">
      <c r="A172" s="4" t="str">
        <f t="shared" si="3"/>
        <v/>
      </c>
    </row>
    <row r="173" spans="1:6">
      <c r="A173" s="4" t="str">
        <f t="shared" si="3"/>
        <v/>
      </c>
    </row>
    <row r="174" spans="1:6">
      <c r="A174" s="4" t="str">
        <f t="shared" si="3"/>
        <v/>
      </c>
    </row>
    <row r="175" spans="1:6">
      <c r="A175" s="4" t="str">
        <f t="shared" si="3"/>
        <v/>
      </c>
    </row>
    <row r="176" spans="1:6">
      <c r="A176" s="4" t="str">
        <f t="shared" si="3"/>
        <v/>
      </c>
    </row>
    <row r="177" spans="1:1">
      <c r="A177" s="4" t="str">
        <f t="shared" si="3"/>
        <v/>
      </c>
    </row>
    <row r="178" spans="1:1">
      <c r="A178" s="4" t="str">
        <f t="shared" si="3"/>
        <v/>
      </c>
    </row>
    <row r="179" spans="1:1">
      <c r="A179" s="4" t="str">
        <f t="shared" si="3"/>
        <v/>
      </c>
    </row>
    <row r="180" spans="1:1">
      <c r="A180" s="4" t="str">
        <f t="shared" si="3"/>
        <v/>
      </c>
    </row>
    <row r="181" spans="1:1">
      <c r="A181" s="4" t="str">
        <f t="shared" si="3"/>
        <v/>
      </c>
    </row>
    <row r="182" spans="1:1">
      <c r="A182" s="4" t="str">
        <f t="shared" si="3"/>
        <v/>
      </c>
    </row>
    <row r="183" spans="1:1">
      <c r="A183" s="4" t="str">
        <f t="shared" si="3"/>
        <v/>
      </c>
    </row>
    <row r="184" spans="1:1">
      <c r="A184" s="4" t="str">
        <f t="shared" si="3"/>
        <v/>
      </c>
    </row>
    <row r="185" spans="1:1">
      <c r="A185" s="4" t="str">
        <f t="shared" si="3"/>
        <v/>
      </c>
    </row>
    <row r="186" spans="1:1">
      <c r="A186" s="4" t="str">
        <f t="shared" si="3"/>
        <v/>
      </c>
    </row>
    <row r="187" spans="1:1">
      <c r="A187" s="4" t="str">
        <f t="shared" si="3"/>
        <v/>
      </c>
    </row>
    <row r="188" spans="1:1">
      <c r="A188" s="4" t="str">
        <f t="shared" si="3"/>
        <v/>
      </c>
    </row>
    <row r="189" spans="1:1">
      <c r="A189" s="4" t="str">
        <f t="shared" si="3"/>
        <v/>
      </c>
    </row>
    <row r="190" spans="1:1">
      <c r="A190" s="4" t="str">
        <f t="shared" si="3"/>
        <v/>
      </c>
    </row>
    <row r="191" spans="1:1">
      <c r="A191" s="4" t="str">
        <f t="shared" si="3"/>
        <v/>
      </c>
    </row>
    <row r="192" spans="1:1">
      <c r="A192" s="4" t="str">
        <f t="shared" si="3"/>
        <v/>
      </c>
    </row>
    <row r="193" spans="1:1">
      <c r="A193" s="4" t="str">
        <f t="shared" si="3"/>
        <v/>
      </c>
    </row>
    <row r="194" spans="1:1">
      <c r="A194" s="4" t="str">
        <f t="shared" si="3"/>
        <v/>
      </c>
    </row>
    <row r="195" spans="1:1">
      <c r="A195" s="4" t="str">
        <f t="shared" si="3"/>
        <v/>
      </c>
    </row>
    <row r="196" spans="1:1">
      <c r="A196" s="4" t="str">
        <f t="shared" ref="A196:A259" si="4">IF(D196&gt;0,D196,"")</f>
        <v/>
      </c>
    </row>
    <row r="197" spans="1:1">
      <c r="A197" s="4" t="str">
        <f t="shared" si="4"/>
        <v/>
      </c>
    </row>
    <row r="198" spans="1:1">
      <c r="A198" s="4" t="str">
        <f t="shared" si="4"/>
        <v/>
      </c>
    </row>
    <row r="199" spans="1:1">
      <c r="A199" s="4" t="str">
        <f t="shared" si="4"/>
        <v/>
      </c>
    </row>
    <row r="200" spans="1:1">
      <c r="A200" s="4" t="str">
        <f t="shared" si="4"/>
        <v/>
      </c>
    </row>
    <row r="201" spans="1:1">
      <c r="A201" s="4" t="str">
        <f t="shared" si="4"/>
        <v/>
      </c>
    </row>
    <row r="202" spans="1:1">
      <c r="A202" s="4" t="str">
        <f t="shared" si="4"/>
        <v/>
      </c>
    </row>
    <row r="203" spans="1:1">
      <c r="A203" s="4" t="str">
        <f t="shared" si="4"/>
        <v/>
      </c>
    </row>
    <row r="204" spans="1:1">
      <c r="A204" s="4" t="str">
        <f t="shared" si="4"/>
        <v/>
      </c>
    </row>
    <row r="205" spans="1:1">
      <c r="A205" s="4" t="str">
        <f t="shared" si="4"/>
        <v/>
      </c>
    </row>
    <row r="206" spans="1:1">
      <c r="A206" s="4" t="str">
        <f t="shared" si="4"/>
        <v/>
      </c>
    </row>
    <row r="207" spans="1:1">
      <c r="A207" s="4" t="str">
        <f t="shared" si="4"/>
        <v/>
      </c>
    </row>
    <row r="208" spans="1:1">
      <c r="A208" s="4" t="str">
        <f t="shared" si="4"/>
        <v/>
      </c>
    </row>
    <row r="209" spans="1:1">
      <c r="A209" s="4" t="str">
        <f t="shared" si="4"/>
        <v/>
      </c>
    </row>
    <row r="210" spans="1:1">
      <c r="A210" s="4" t="str">
        <f t="shared" si="4"/>
        <v/>
      </c>
    </row>
    <row r="211" spans="1:1">
      <c r="A211" s="4" t="str">
        <f t="shared" si="4"/>
        <v/>
      </c>
    </row>
    <row r="212" spans="1:1">
      <c r="A212" s="4" t="str">
        <f t="shared" si="4"/>
        <v/>
      </c>
    </row>
    <row r="213" spans="1:1">
      <c r="A213" s="4" t="str">
        <f t="shared" si="4"/>
        <v/>
      </c>
    </row>
    <row r="214" spans="1:1">
      <c r="A214" s="4" t="str">
        <f t="shared" si="4"/>
        <v/>
      </c>
    </row>
    <row r="215" spans="1:1">
      <c r="A215" s="4" t="str">
        <f t="shared" si="4"/>
        <v/>
      </c>
    </row>
    <row r="216" spans="1:1">
      <c r="A216" s="4" t="str">
        <f t="shared" si="4"/>
        <v/>
      </c>
    </row>
    <row r="217" spans="1:1">
      <c r="A217" s="4" t="str">
        <f t="shared" si="4"/>
        <v/>
      </c>
    </row>
    <row r="218" spans="1:1">
      <c r="A218" s="4" t="str">
        <f t="shared" si="4"/>
        <v/>
      </c>
    </row>
    <row r="219" spans="1:1">
      <c r="A219" s="4" t="str">
        <f t="shared" si="4"/>
        <v/>
      </c>
    </row>
    <row r="220" spans="1:1">
      <c r="A220" s="4" t="str">
        <f t="shared" si="4"/>
        <v/>
      </c>
    </row>
    <row r="221" spans="1:1">
      <c r="A221" s="4" t="str">
        <f t="shared" si="4"/>
        <v/>
      </c>
    </row>
    <row r="222" spans="1:1">
      <c r="A222" s="4" t="str">
        <f t="shared" si="4"/>
        <v/>
      </c>
    </row>
    <row r="223" spans="1:1">
      <c r="A223" s="4" t="str">
        <f t="shared" si="4"/>
        <v/>
      </c>
    </row>
    <row r="224" spans="1:1">
      <c r="A224" s="4" t="str">
        <f t="shared" si="4"/>
        <v/>
      </c>
    </row>
    <row r="225" spans="1:1">
      <c r="A225" s="4" t="str">
        <f t="shared" si="4"/>
        <v/>
      </c>
    </row>
    <row r="226" spans="1:1">
      <c r="A226" s="4" t="str">
        <f t="shared" si="4"/>
        <v/>
      </c>
    </row>
    <row r="227" spans="1:1">
      <c r="A227" s="4" t="str">
        <f t="shared" si="4"/>
        <v/>
      </c>
    </row>
    <row r="228" spans="1:1">
      <c r="A228" s="4" t="str">
        <f t="shared" si="4"/>
        <v/>
      </c>
    </row>
    <row r="229" spans="1:1">
      <c r="A229" s="4" t="str">
        <f t="shared" si="4"/>
        <v/>
      </c>
    </row>
    <row r="230" spans="1:1">
      <c r="A230" s="4" t="str">
        <f t="shared" si="4"/>
        <v/>
      </c>
    </row>
    <row r="231" spans="1:1">
      <c r="A231" s="4" t="str">
        <f t="shared" si="4"/>
        <v/>
      </c>
    </row>
    <row r="232" spans="1:1">
      <c r="A232" s="4" t="str">
        <f t="shared" si="4"/>
        <v/>
      </c>
    </row>
    <row r="233" spans="1:1">
      <c r="A233" s="4" t="str">
        <f t="shared" si="4"/>
        <v/>
      </c>
    </row>
    <row r="234" spans="1:1">
      <c r="A234" s="4" t="str">
        <f t="shared" si="4"/>
        <v/>
      </c>
    </row>
    <row r="235" spans="1:1">
      <c r="A235" s="4" t="str">
        <f t="shared" si="4"/>
        <v/>
      </c>
    </row>
    <row r="236" spans="1:1">
      <c r="A236" s="4" t="str">
        <f t="shared" si="4"/>
        <v/>
      </c>
    </row>
    <row r="237" spans="1:1">
      <c r="A237" s="4" t="str">
        <f t="shared" si="4"/>
        <v/>
      </c>
    </row>
    <row r="238" spans="1:1">
      <c r="A238" s="4" t="str">
        <f t="shared" si="4"/>
        <v/>
      </c>
    </row>
    <row r="239" spans="1:1">
      <c r="A239" s="4" t="str">
        <f t="shared" si="4"/>
        <v/>
      </c>
    </row>
    <row r="240" spans="1:1">
      <c r="A240" s="4" t="str">
        <f t="shared" si="4"/>
        <v/>
      </c>
    </row>
    <row r="241" spans="1:1">
      <c r="A241" s="4" t="str">
        <f t="shared" si="4"/>
        <v/>
      </c>
    </row>
    <row r="242" spans="1:1">
      <c r="A242" s="4" t="str">
        <f t="shared" si="4"/>
        <v/>
      </c>
    </row>
    <row r="243" spans="1:1">
      <c r="A243" s="4" t="str">
        <f t="shared" si="4"/>
        <v/>
      </c>
    </row>
    <row r="244" spans="1:1">
      <c r="A244" s="4" t="str">
        <f t="shared" si="4"/>
        <v/>
      </c>
    </row>
    <row r="245" spans="1:1">
      <c r="A245" s="4" t="str">
        <f t="shared" si="4"/>
        <v/>
      </c>
    </row>
    <row r="246" spans="1:1">
      <c r="A246" s="4" t="str">
        <f t="shared" si="4"/>
        <v/>
      </c>
    </row>
    <row r="247" spans="1:1">
      <c r="A247" s="4" t="str">
        <f t="shared" si="4"/>
        <v/>
      </c>
    </row>
    <row r="248" spans="1:1">
      <c r="A248" s="4" t="str">
        <f t="shared" si="4"/>
        <v/>
      </c>
    </row>
    <row r="249" spans="1:1">
      <c r="A249" s="4" t="str">
        <f t="shared" si="4"/>
        <v/>
      </c>
    </row>
    <row r="250" spans="1:1">
      <c r="A250" s="4" t="str">
        <f t="shared" si="4"/>
        <v/>
      </c>
    </row>
    <row r="251" spans="1:1">
      <c r="A251" s="4" t="str">
        <f t="shared" si="4"/>
        <v/>
      </c>
    </row>
    <row r="252" spans="1:1">
      <c r="A252" s="4" t="str">
        <f t="shared" si="4"/>
        <v/>
      </c>
    </row>
    <row r="253" spans="1:1">
      <c r="A253" s="4" t="str">
        <f t="shared" si="4"/>
        <v/>
      </c>
    </row>
    <row r="254" spans="1:1">
      <c r="A254" s="4" t="str">
        <f t="shared" si="4"/>
        <v/>
      </c>
    </row>
    <row r="255" spans="1:1">
      <c r="A255" s="4" t="str">
        <f t="shared" si="4"/>
        <v/>
      </c>
    </row>
    <row r="256" spans="1:1">
      <c r="A256" s="4" t="str">
        <f t="shared" si="4"/>
        <v/>
      </c>
    </row>
    <row r="257" spans="1:1">
      <c r="A257" s="4" t="str">
        <f t="shared" si="4"/>
        <v/>
      </c>
    </row>
    <row r="258" spans="1:1">
      <c r="A258" s="4" t="str">
        <f t="shared" si="4"/>
        <v/>
      </c>
    </row>
    <row r="259" spans="1:1">
      <c r="A259" s="4" t="str">
        <f t="shared" si="4"/>
        <v/>
      </c>
    </row>
    <row r="260" spans="1:1">
      <c r="A260" s="4" t="str">
        <f t="shared" ref="A260:A323" si="5">IF(D260&gt;0,D260,"")</f>
        <v/>
      </c>
    </row>
    <row r="261" spans="1:1">
      <c r="A261" s="4" t="str">
        <f t="shared" si="5"/>
        <v/>
      </c>
    </row>
    <row r="262" spans="1:1">
      <c r="A262" s="4" t="str">
        <f t="shared" si="5"/>
        <v/>
      </c>
    </row>
    <row r="263" spans="1:1">
      <c r="A263" s="4" t="str">
        <f t="shared" si="5"/>
        <v/>
      </c>
    </row>
    <row r="264" spans="1:1">
      <c r="A264" s="4" t="str">
        <f t="shared" si="5"/>
        <v/>
      </c>
    </row>
    <row r="265" spans="1:1">
      <c r="A265" s="4" t="str">
        <f t="shared" si="5"/>
        <v/>
      </c>
    </row>
    <row r="266" spans="1:1">
      <c r="A266" s="4" t="str">
        <f t="shared" si="5"/>
        <v/>
      </c>
    </row>
    <row r="267" spans="1:1">
      <c r="A267" s="4" t="str">
        <f t="shared" si="5"/>
        <v/>
      </c>
    </row>
    <row r="268" spans="1:1">
      <c r="A268" s="4" t="str">
        <f t="shared" si="5"/>
        <v/>
      </c>
    </row>
    <row r="269" spans="1:1">
      <c r="A269" s="4" t="str">
        <f t="shared" si="5"/>
        <v/>
      </c>
    </row>
    <row r="270" spans="1:1">
      <c r="A270" s="4" t="str">
        <f t="shared" si="5"/>
        <v/>
      </c>
    </row>
    <row r="271" spans="1:1">
      <c r="A271" s="4" t="str">
        <f t="shared" si="5"/>
        <v/>
      </c>
    </row>
    <row r="272" spans="1:1">
      <c r="A272" s="4" t="str">
        <f t="shared" si="5"/>
        <v/>
      </c>
    </row>
    <row r="273" spans="1:1">
      <c r="A273" s="4" t="str">
        <f t="shared" si="5"/>
        <v/>
      </c>
    </row>
    <row r="274" spans="1:1">
      <c r="A274" s="4" t="str">
        <f t="shared" si="5"/>
        <v/>
      </c>
    </row>
    <row r="275" spans="1:1">
      <c r="A275" s="4" t="str">
        <f t="shared" si="5"/>
        <v/>
      </c>
    </row>
    <row r="276" spans="1:1">
      <c r="A276" s="4" t="str">
        <f t="shared" si="5"/>
        <v/>
      </c>
    </row>
    <row r="277" spans="1:1">
      <c r="A277" s="4" t="str">
        <f t="shared" si="5"/>
        <v/>
      </c>
    </row>
    <row r="278" spans="1:1">
      <c r="A278" s="4" t="str">
        <f t="shared" si="5"/>
        <v/>
      </c>
    </row>
    <row r="279" spans="1:1">
      <c r="A279" s="4" t="str">
        <f t="shared" si="5"/>
        <v/>
      </c>
    </row>
    <row r="280" spans="1:1">
      <c r="A280" s="4" t="str">
        <f t="shared" si="5"/>
        <v/>
      </c>
    </row>
    <row r="281" spans="1:1">
      <c r="A281" s="4" t="str">
        <f t="shared" si="5"/>
        <v/>
      </c>
    </row>
    <row r="282" spans="1:1">
      <c r="A282" s="4" t="str">
        <f t="shared" si="5"/>
        <v/>
      </c>
    </row>
    <row r="283" spans="1:1">
      <c r="A283" s="4" t="str">
        <f t="shared" si="5"/>
        <v/>
      </c>
    </row>
    <row r="284" spans="1:1">
      <c r="A284" s="4" t="str">
        <f t="shared" si="5"/>
        <v/>
      </c>
    </row>
    <row r="285" spans="1:1">
      <c r="A285" s="4" t="str">
        <f t="shared" si="5"/>
        <v/>
      </c>
    </row>
    <row r="286" spans="1:1">
      <c r="A286" s="4" t="str">
        <f t="shared" si="5"/>
        <v/>
      </c>
    </row>
    <row r="287" spans="1:1">
      <c r="A287" s="4" t="str">
        <f t="shared" si="5"/>
        <v/>
      </c>
    </row>
    <row r="288" spans="1:1">
      <c r="A288" s="4" t="str">
        <f t="shared" si="5"/>
        <v/>
      </c>
    </row>
    <row r="289" spans="1:1">
      <c r="A289" s="4" t="str">
        <f t="shared" si="5"/>
        <v/>
      </c>
    </row>
    <row r="290" spans="1:1">
      <c r="A290" s="4" t="str">
        <f t="shared" si="5"/>
        <v/>
      </c>
    </row>
    <row r="291" spans="1:1">
      <c r="A291" s="4" t="str">
        <f t="shared" si="5"/>
        <v/>
      </c>
    </row>
    <row r="292" spans="1:1">
      <c r="A292" s="4" t="str">
        <f t="shared" si="5"/>
        <v/>
      </c>
    </row>
    <row r="293" spans="1:1">
      <c r="A293" s="4" t="str">
        <f t="shared" si="5"/>
        <v/>
      </c>
    </row>
    <row r="294" spans="1:1">
      <c r="A294" s="4" t="str">
        <f t="shared" si="5"/>
        <v/>
      </c>
    </row>
    <row r="295" spans="1:1">
      <c r="A295" s="4" t="str">
        <f t="shared" si="5"/>
        <v/>
      </c>
    </row>
    <row r="296" spans="1:1">
      <c r="A296" s="4" t="str">
        <f t="shared" si="5"/>
        <v/>
      </c>
    </row>
    <row r="297" spans="1:1">
      <c r="A297" s="4" t="str">
        <f t="shared" si="5"/>
        <v/>
      </c>
    </row>
    <row r="298" spans="1:1">
      <c r="A298" s="4" t="str">
        <f t="shared" si="5"/>
        <v/>
      </c>
    </row>
    <row r="299" spans="1:1">
      <c r="A299" s="4" t="str">
        <f t="shared" si="5"/>
        <v/>
      </c>
    </row>
    <row r="300" spans="1:1">
      <c r="A300" s="4" t="str">
        <f t="shared" si="5"/>
        <v/>
      </c>
    </row>
    <row r="301" spans="1:1">
      <c r="A301" s="4" t="str">
        <f t="shared" si="5"/>
        <v/>
      </c>
    </row>
    <row r="302" spans="1:1">
      <c r="A302" s="4" t="str">
        <f t="shared" si="5"/>
        <v/>
      </c>
    </row>
    <row r="303" spans="1:1">
      <c r="A303" s="4" t="str">
        <f t="shared" si="5"/>
        <v/>
      </c>
    </row>
    <row r="304" spans="1:1">
      <c r="A304" s="4" t="str">
        <f t="shared" si="5"/>
        <v/>
      </c>
    </row>
    <row r="305" spans="1:1">
      <c r="A305" s="4" t="str">
        <f t="shared" si="5"/>
        <v/>
      </c>
    </row>
    <row r="306" spans="1:1">
      <c r="A306" s="4" t="str">
        <f t="shared" si="5"/>
        <v/>
      </c>
    </row>
    <row r="307" spans="1:1">
      <c r="A307" s="4" t="str">
        <f t="shared" si="5"/>
        <v/>
      </c>
    </row>
    <row r="308" spans="1:1">
      <c r="A308" s="4" t="str">
        <f t="shared" si="5"/>
        <v/>
      </c>
    </row>
    <row r="309" spans="1:1">
      <c r="A309" s="4" t="str">
        <f t="shared" si="5"/>
        <v/>
      </c>
    </row>
    <row r="310" spans="1:1">
      <c r="A310" s="4" t="str">
        <f t="shared" si="5"/>
        <v/>
      </c>
    </row>
    <row r="311" spans="1:1">
      <c r="A311" s="4" t="str">
        <f t="shared" si="5"/>
        <v/>
      </c>
    </row>
    <row r="312" spans="1:1">
      <c r="A312" s="4" t="str">
        <f t="shared" si="5"/>
        <v/>
      </c>
    </row>
    <row r="313" spans="1:1">
      <c r="A313" s="4" t="str">
        <f t="shared" si="5"/>
        <v/>
      </c>
    </row>
    <row r="314" spans="1:1">
      <c r="A314" s="4" t="str">
        <f t="shared" si="5"/>
        <v/>
      </c>
    </row>
    <row r="315" spans="1:1">
      <c r="A315" s="4" t="str">
        <f t="shared" si="5"/>
        <v/>
      </c>
    </row>
    <row r="316" spans="1:1">
      <c r="A316" s="4" t="str">
        <f t="shared" si="5"/>
        <v/>
      </c>
    </row>
    <row r="317" spans="1:1">
      <c r="A317" s="4" t="str">
        <f t="shared" si="5"/>
        <v/>
      </c>
    </row>
    <row r="318" spans="1:1">
      <c r="A318" s="4" t="str">
        <f t="shared" si="5"/>
        <v/>
      </c>
    </row>
    <row r="319" spans="1:1">
      <c r="A319" s="4" t="str">
        <f t="shared" si="5"/>
        <v/>
      </c>
    </row>
    <row r="320" spans="1:1">
      <c r="A320" s="4" t="str">
        <f t="shared" si="5"/>
        <v/>
      </c>
    </row>
    <row r="321" spans="1:1">
      <c r="A321" s="4" t="str">
        <f t="shared" si="5"/>
        <v/>
      </c>
    </row>
    <row r="322" spans="1:1">
      <c r="A322" s="4" t="str">
        <f t="shared" si="5"/>
        <v/>
      </c>
    </row>
    <row r="323" spans="1:1">
      <c r="A323" s="4" t="str">
        <f t="shared" si="5"/>
        <v/>
      </c>
    </row>
    <row r="324" spans="1:1">
      <c r="A324" s="4" t="str">
        <f t="shared" ref="A324:A330" si="6">IF(D324&gt;0,D324,"")</f>
        <v/>
      </c>
    </row>
    <row r="325" spans="1:1">
      <c r="A325" s="4" t="str">
        <f t="shared" si="6"/>
        <v/>
      </c>
    </row>
    <row r="326" spans="1:1">
      <c r="A326" s="4" t="str">
        <f t="shared" si="6"/>
        <v/>
      </c>
    </row>
    <row r="327" spans="1:1">
      <c r="A327" s="4" t="str">
        <f t="shared" si="6"/>
        <v/>
      </c>
    </row>
    <row r="328" spans="1:1">
      <c r="A328" s="4" t="str">
        <f t="shared" si="6"/>
        <v/>
      </c>
    </row>
    <row r="329" spans="1:1">
      <c r="A329" s="4" t="str">
        <f t="shared" si="6"/>
        <v/>
      </c>
    </row>
    <row r="330" spans="1:1">
      <c r="A330" s="4" t="str">
        <f t="shared" si="6"/>
        <v/>
      </c>
    </row>
  </sheetData>
  <autoFilter ref="A2:Y330"/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Y9976"/>
  <sheetViews>
    <sheetView workbookViewId="0">
      <selection activeCell="K24" sqref="K24"/>
    </sheetView>
  </sheetViews>
  <sheetFormatPr defaultRowHeight="15"/>
  <sheetData>
    <row r="1" spans="1:25">
      <c r="A1" t="s">
        <v>297</v>
      </c>
      <c r="B1" t="s">
        <v>13</v>
      </c>
      <c r="C1" t="s">
        <v>298</v>
      </c>
      <c r="D1" t="s">
        <v>299</v>
      </c>
      <c r="E1" t="s">
        <v>300</v>
      </c>
      <c r="F1" t="s">
        <v>301</v>
      </c>
      <c r="G1" t="s">
        <v>302</v>
      </c>
      <c r="H1" t="s">
        <v>303</v>
      </c>
      <c r="I1" t="s">
        <v>304</v>
      </c>
      <c r="J1" t="s">
        <v>305</v>
      </c>
      <c r="K1" t="s">
        <v>306</v>
      </c>
      <c r="L1" t="s">
        <v>307</v>
      </c>
      <c r="M1" t="s">
        <v>308</v>
      </c>
      <c r="N1" t="s">
        <v>309</v>
      </c>
      <c r="O1" t="s">
        <v>310</v>
      </c>
      <c r="P1" t="s">
        <v>311</v>
      </c>
      <c r="Q1" t="s">
        <v>310</v>
      </c>
      <c r="R1" t="s">
        <v>298</v>
      </c>
      <c r="S1" t="s">
        <v>312</v>
      </c>
      <c r="T1" t="s">
        <v>313</v>
      </c>
      <c r="U1" t="s">
        <v>314</v>
      </c>
      <c r="V1" t="s">
        <v>315</v>
      </c>
      <c r="W1" t="s">
        <v>316</v>
      </c>
      <c r="X1" t="s">
        <v>317</v>
      </c>
      <c r="Y1" t="s">
        <v>318</v>
      </c>
    </row>
    <row r="2" spans="1:25">
      <c r="A2">
        <v>18</v>
      </c>
      <c r="B2" t="s">
        <v>319</v>
      </c>
      <c r="C2" t="s">
        <v>320</v>
      </c>
      <c r="D2" t="s">
        <v>321</v>
      </c>
      <c r="E2" t="s">
        <v>322</v>
      </c>
      <c r="F2">
        <v>1</v>
      </c>
      <c r="G2" s="42">
        <v>45323</v>
      </c>
      <c r="H2">
        <v>5.0769000000000002</v>
      </c>
      <c r="I2">
        <v>95.244900000000001</v>
      </c>
      <c r="J2">
        <v>5.0769000000000002</v>
      </c>
      <c r="K2">
        <v>100.3218</v>
      </c>
      <c r="L2" t="s">
        <v>323</v>
      </c>
      <c r="M2" s="43">
        <v>0.9590277777777777</v>
      </c>
      <c r="N2" s="42">
        <v>44952</v>
      </c>
      <c r="O2" t="s">
        <v>324</v>
      </c>
      <c r="P2" s="42">
        <v>44952</v>
      </c>
      <c r="Q2" t="s">
        <v>324</v>
      </c>
      <c r="R2" t="s">
        <v>320</v>
      </c>
      <c r="S2" t="s">
        <v>323</v>
      </c>
      <c r="U2">
        <v>5.5</v>
      </c>
    </row>
    <row r="3" spans="1:25">
      <c r="C3" t="s">
        <v>325</v>
      </c>
      <c r="D3" t="s">
        <v>326</v>
      </c>
      <c r="E3" t="s">
        <v>327</v>
      </c>
      <c r="F3">
        <v>2</v>
      </c>
      <c r="G3" s="42">
        <v>45323</v>
      </c>
      <c r="H3">
        <v>1.1000000000000001</v>
      </c>
      <c r="I3">
        <v>370.22140000000002</v>
      </c>
      <c r="J3">
        <v>1.1000000000000001</v>
      </c>
      <c r="K3">
        <v>371.32139999999998</v>
      </c>
      <c r="L3" t="s">
        <v>323</v>
      </c>
      <c r="N3" s="42">
        <v>44951</v>
      </c>
      <c r="O3" t="s">
        <v>328</v>
      </c>
      <c r="P3" s="42">
        <v>44951</v>
      </c>
      <c r="Q3" t="s">
        <v>328</v>
      </c>
      <c r="R3" t="s">
        <v>320</v>
      </c>
      <c r="S3" t="s">
        <v>323</v>
      </c>
      <c r="T3">
        <v>5.5</v>
      </c>
      <c r="Y3" s="42">
        <v>44957</v>
      </c>
    </row>
    <row r="4" spans="1:25">
      <c r="C4" t="s">
        <v>329</v>
      </c>
      <c r="D4" t="s">
        <v>331</v>
      </c>
      <c r="E4" t="s">
        <v>332</v>
      </c>
      <c r="F4">
        <v>1</v>
      </c>
      <c r="G4" s="42">
        <v>45323</v>
      </c>
      <c r="H4">
        <v>2.5385</v>
      </c>
      <c r="I4">
        <v>39.607100000000003</v>
      </c>
      <c r="J4">
        <v>2.5385</v>
      </c>
      <c r="K4">
        <v>42.145600000000002</v>
      </c>
      <c r="L4" t="s">
        <v>323</v>
      </c>
      <c r="N4" s="42">
        <v>44950</v>
      </c>
      <c r="O4" t="s">
        <v>333</v>
      </c>
      <c r="P4" s="42">
        <v>44950</v>
      </c>
      <c r="Q4" t="s">
        <v>333</v>
      </c>
      <c r="R4" t="s">
        <v>320</v>
      </c>
      <c r="S4" t="s">
        <v>323</v>
      </c>
      <c r="T4">
        <v>5.5</v>
      </c>
      <c r="Y4" s="42">
        <v>44957</v>
      </c>
    </row>
    <row r="5" spans="1:25">
      <c r="N5" s="42">
        <v>44929</v>
      </c>
      <c r="O5" t="s">
        <v>333</v>
      </c>
      <c r="P5" s="42">
        <v>44929</v>
      </c>
      <c r="Q5" t="s">
        <v>333</v>
      </c>
      <c r="R5" t="s">
        <v>320</v>
      </c>
      <c r="S5" t="s">
        <v>323</v>
      </c>
      <c r="T5">
        <v>5.5</v>
      </c>
      <c r="Y5" s="42">
        <v>44929</v>
      </c>
    </row>
    <row r="6" spans="1:25">
      <c r="N6" s="42">
        <v>44924</v>
      </c>
      <c r="O6" t="s">
        <v>324</v>
      </c>
      <c r="P6" s="42">
        <v>44924</v>
      </c>
      <c r="Q6" t="s">
        <v>324</v>
      </c>
      <c r="R6" t="s">
        <v>320</v>
      </c>
      <c r="S6" t="s">
        <v>323</v>
      </c>
      <c r="T6">
        <v>5.5</v>
      </c>
      <c r="Y6" s="42">
        <v>44929</v>
      </c>
    </row>
    <row r="7" spans="1:25">
      <c r="N7" s="42">
        <v>44923</v>
      </c>
      <c r="O7" t="s">
        <v>328</v>
      </c>
      <c r="P7" s="42">
        <v>44923</v>
      </c>
      <c r="Q7" t="s">
        <v>328</v>
      </c>
      <c r="R7" t="s">
        <v>320</v>
      </c>
      <c r="S7" t="s">
        <v>323</v>
      </c>
      <c r="T7">
        <v>5.5</v>
      </c>
      <c r="Y7" s="42">
        <v>44929</v>
      </c>
    </row>
    <row r="8" spans="1:25">
      <c r="N8" s="42">
        <v>44922</v>
      </c>
      <c r="O8" t="s">
        <v>333</v>
      </c>
      <c r="P8" s="42">
        <v>44922</v>
      </c>
      <c r="Q8" t="s">
        <v>333</v>
      </c>
      <c r="R8" t="s">
        <v>320</v>
      </c>
      <c r="S8" t="s">
        <v>323</v>
      </c>
      <c r="U8">
        <v>5.5</v>
      </c>
    </row>
    <row r="9" spans="1:25">
      <c r="N9" s="42">
        <v>44896</v>
      </c>
      <c r="O9" t="s">
        <v>324</v>
      </c>
      <c r="P9" s="42">
        <v>44896</v>
      </c>
      <c r="Q9" t="s">
        <v>324</v>
      </c>
      <c r="R9" t="s">
        <v>329</v>
      </c>
      <c r="S9" t="s">
        <v>323</v>
      </c>
      <c r="T9">
        <v>5.5</v>
      </c>
      <c r="W9" t="s">
        <v>330</v>
      </c>
      <c r="Y9" s="42">
        <v>44901</v>
      </c>
    </row>
    <row r="10" spans="1:25">
      <c r="N10" s="42">
        <v>44894</v>
      </c>
      <c r="O10" t="s">
        <v>333</v>
      </c>
      <c r="P10" s="42">
        <v>44894</v>
      </c>
      <c r="Q10" t="s">
        <v>333</v>
      </c>
      <c r="R10" t="s">
        <v>329</v>
      </c>
      <c r="S10" t="s">
        <v>323</v>
      </c>
      <c r="T10">
        <v>7.6</v>
      </c>
      <c r="W10" t="s">
        <v>330</v>
      </c>
      <c r="Y10" s="42">
        <v>44901</v>
      </c>
    </row>
    <row r="11" spans="1:25">
      <c r="N11" s="42">
        <v>44888</v>
      </c>
      <c r="O11" t="s">
        <v>328</v>
      </c>
      <c r="P11" s="42">
        <v>44888</v>
      </c>
      <c r="Q11" t="s">
        <v>328</v>
      </c>
      <c r="R11" t="s">
        <v>329</v>
      </c>
      <c r="S11" t="s">
        <v>323</v>
      </c>
      <c r="T11">
        <v>7.6</v>
      </c>
      <c r="W11" t="s">
        <v>330</v>
      </c>
      <c r="Y11" s="42">
        <v>44901</v>
      </c>
    </row>
    <row r="12" spans="1:25">
      <c r="N12" s="42">
        <v>44826</v>
      </c>
      <c r="O12" t="s">
        <v>324</v>
      </c>
      <c r="P12" s="42">
        <v>44826</v>
      </c>
      <c r="Q12" t="s">
        <v>324</v>
      </c>
      <c r="R12" t="s">
        <v>320</v>
      </c>
      <c r="S12" t="s">
        <v>323</v>
      </c>
      <c r="T12">
        <v>0</v>
      </c>
      <c r="U12">
        <v>5.5</v>
      </c>
    </row>
    <row r="13" spans="1:25">
      <c r="N13" s="42">
        <v>44769</v>
      </c>
      <c r="O13" t="s">
        <v>328</v>
      </c>
      <c r="P13" s="42">
        <v>44769</v>
      </c>
      <c r="Q13" t="s">
        <v>328</v>
      </c>
      <c r="R13" t="s">
        <v>329</v>
      </c>
      <c r="S13" t="s">
        <v>323</v>
      </c>
      <c r="T13">
        <v>5.5</v>
      </c>
      <c r="W13" t="s">
        <v>330</v>
      </c>
      <c r="Y13" s="42">
        <v>44775</v>
      </c>
    </row>
    <row r="14" spans="1:25">
      <c r="N14" s="42">
        <v>44768</v>
      </c>
      <c r="O14" t="s">
        <v>333</v>
      </c>
      <c r="P14" s="42">
        <v>44768</v>
      </c>
      <c r="Q14" t="s">
        <v>333</v>
      </c>
      <c r="R14" t="s">
        <v>329</v>
      </c>
      <c r="S14" t="s">
        <v>323</v>
      </c>
      <c r="T14">
        <v>5.5</v>
      </c>
      <c r="W14" t="s">
        <v>330</v>
      </c>
      <c r="Y14" s="42">
        <v>44775</v>
      </c>
    </row>
    <row r="15" spans="1:25">
      <c r="N15" s="42">
        <v>44762</v>
      </c>
      <c r="O15" t="s">
        <v>328</v>
      </c>
      <c r="P15" s="42">
        <v>44762</v>
      </c>
      <c r="Q15" t="s">
        <v>328</v>
      </c>
      <c r="R15" t="s">
        <v>320</v>
      </c>
      <c r="S15" t="s">
        <v>323</v>
      </c>
      <c r="T15">
        <v>5.5</v>
      </c>
      <c r="Y15" s="42">
        <v>44775</v>
      </c>
    </row>
    <row r="16" spans="1:25">
      <c r="N16" s="42">
        <v>44714</v>
      </c>
      <c r="O16" t="s">
        <v>324</v>
      </c>
      <c r="P16" s="42">
        <v>44714</v>
      </c>
      <c r="Q16" t="s">
        <v>324</v>
      </c>
      <c r="R16" t="s">
        <v>329</v>
      </c>
      <c r="S16" t="s">
        <v>323</v>
      </c>
      <c r="T16">
        <v>5</v>
      </c>
      <c r="W16" t="s">
        <v>330</v>
      </c>
      <c r="Y16" s="42">
        <v>44719</v>
      </c>
    </row>
    <row r="17" spans="14:25">
      <c r="N17" s="42">
        <v>44588</v>
      </c>
      <c r="O17" t="s">
        <v>324</v>
      </c>
      <c r="P17" s="42">
        <v>44588</v>
      </c>
      <c r="Q17" t="s">
        <v>324</v>
      </c>
      <c r="R17" t="s">
        <v>320</v>
      </c>
      <c r="S17" t="s">
        <v>323</v>
      </c>
      <c r="T17">
        <v>5</v>
      </c>
      <c r="Y17" s="42">
        <v>44593</v>
      </c>
    </row>
    <row r="18" spans="14:25">
      <c r="N18" s="42">
        <v>44587</v>
      </c>
      <c r="O18" t="s">
        <v>328</v>
      </c>
      <c r="P18" s="42">
        <v>44587</v>
      </c>
      <c r="Q18" t="s">
        <v>328</v>
      </c>
      <c r="R18" t="s">
        <v>320</v>
      </c>
      <c r="S18" t="s">
        <v>323</v>
      </c>
      <c r="U18">
        <v>5</v>
      </c>
    </row>
    <row r="19" spans="14:25">
      <c r="N19" s="42">
        <v>44586</v>
      </c>
      <c r="O19" t="s">
        <v>333</v>
      </c>
      <c r="P19" s="42">
        <v>44586</v>
      </c>
      <c r="Q19" t="s">
        <v>333</v>
      </c>
      <c r="R19" t="s">
        <v>320</v>
      </c>
      <c r="S19" t="s">
        <v>323</v>
      </c>
      <c r="T19">
        <v>5</v>
      </c>
      <c r="Y19" s="42">
        <v>44593</v>
      </c>
    </row>
    <row r="20" spans="14:25">
      <c r="N20" s="42">
        <v>44567</v>
      </c>
      <c r="O20" t="s">
        <v>324</v>
      </c>
      <c r="P20" s="42">
        <v>44567</v>
      </c>
      <c r="Q20" t="s">
        <v>324</v>
      </c>
      <c r="R20" t="s">
        <v>320</v>
      </c>
      <c r="S20" t="s">
        <v>323</v>
      </c>
      <c r="T20">
        <v>5</v>
      </c>
      <c r="Y20" s="42">
        <v>44579</v>
      </c>
    </row>
    <row r="21" spans="14:25">
      <c r="N21" s="42">
        <v>44566</v>
      </c>
      <c r="O21" t="s">
        <v>328</v>
      </c>
      <c r="P21" s="42">
        <v>44566</v>
      </c>
      <c r="Q21" t="s">
        <v>328</v>
      </c>
      <c r="R21" t="s">
        <v>320</v>
      </c>
      <c r="S21" t="s">
        <v>323</v>
      </c>
      <c r="T21">
        <v>5</v>
      </c>
      <c r="Y21" s="42">
        <v>44579</v>
      </c>
    </row>
    <row r="22" spans="14:25">
      <c r="N22" s="42">
        <v>44565</v>
      </c>
      <c r="O22" t="s">
        <v>333</v>
      </c>
      <c r="P22" s="42">
        <v>44565</v>
      </c>
      <c r="Q22" t="s">
        <v>333</v>
      </c>
      <c r="R22" t="s">
        <v>320</v>
      </c>
      <c r="S22" t="s">
        <v>323</v>
      </c>
      <c r="T22">
        <v>5</v>
      </c>
      <c r="Y22" s="42">
        <v>44565</v>
      </c>
    </row>
    <row r="23" spans="14:25">
      <c r="N23" s="42">
        <v>44560</v>
      </c>
      <c r="O23" t="s">
        <v>324</v>
      </c>
      <c r="P23" s="42">
        <v>44560</v>
      </c>
      <c r="Q23" t="s">
        <v>324</v>
      </c>
      <c r="R23" t="s">
        <v>320</v>
      </c>
      <c r="S23" t="s">
        <v>323</v>
      </c>
      <c r="T23">
        <v>5</v>
      </c>
      <c r="Y23" s="42">
        <v>44565</v>
      </c>
    </row>
    <row r="24" spans="14:25">
      <c r="N24" s="42">
        <v>44559</v>
      </c>
      <c r="O24" t="s">
        <v>328</v>
      </c>
      <c r="P24" s="42">
        <v>44559</v>
      </c>
      <c r="Q24" t="s">
        <v>328</v>
      </c>
      <c r="R24" t="s">
        <v>320</v>
      </c>
      <c r="S24" t="s">
        <v>323</v>
      </c>
      <c r="T24">
        <v>5</v>
      </c>
      <c r="Y24" s="42">
        <v>44565</v>
      </c>
    </row>
    <row r="25" spans="14:25">
      <c r="N25" s="42">
        <v>44558</v>
      </c>
      <c r="O25" t="s">
        <v>333</v>
      </c>
      <c r="P25" s="42">
        <v>44558</v>
      </c>
      <c r="Q25" t="s">
        <v>333</v>
      </c>
      <c r="R25" t="s">
        <v>320</v>
      </c>
      <c r="S25" t="s">
        <v>323</v>
      </c>
      <c r="U25">
        <v>5</v>
      </c>
    </row>
    <row r="26" spans="14:25">
      <c r="N26" s="42">
        <v>44427</v>
      </c>
      <c r="O26" t="s">
        <v>324</v>
      </c>
      <c r="P26" s="42">
        <v>44427</v>
      </c>
      <c r="Q26" t="s">
        <v>324</v>
      </c>
      <c r="R26" t="s">
        <v>329</v>
      </c>
      <c r="S26" t="s">
        <v>323</v>
      </c>
      <c r="T26">
        <v>2</v>
      </c>
      <c r="W26" t="s">
        <v>330</v>
      </c>
      <c r="Y26" s="42">
        <v>44439</v>
      </c>
    </row>
    <row r="27" spans="14:25">
      <c r="N27" s="42">
        <v>44406</v>
      </c>
      <c r="O27" t="s">
        <v>324</v>
      </c>
      <c r="P27" s="42">
        <v>44406</v>
      </c>
      <c r="Q27" t="s">
        <v>324</v>
      </c>
      <c r="R27" t="s">
        <v>329</v>
      </c>
      <c r="S27" t="s">
        <v>323</v>
      </c>
      <c r="T27">
        <v>5</v>
      </c>
      <c r="W27" t="s">
        <v>330</v>
      </c>
      <c r="Y27" s="42">
        <v>44411</v>
      </c>
    </row>
    <row r="28" spans="14:25">
      <c r="N28" s="42">
        <v>44376</v>
      </c>
      <c r="O28" t="s">
        <v>333</v>
      </c>
      <c r="P28" s="42">
        <v>44376</v>
      </c>
      <c r="Q28" t="s">
        <v>333</v>
      </c>
      <c r="R28" t="s">
        <v>320</v>
      </c>
      <c r="S28" t="s">
        <v>323</v>
      </c>
      <c r="T28">
        <v>5</v>
      </c>
      <c r="Y28" s="42">
        <v>44383</v>
      </c>
    </row>
    <row r="29" spans="14:25">
      <c r="N29" s="42">
        <v>44355</v>
      </c>
      <c r="O29" t="s">
        <v>333</v>
      </c>
      <c r="P29" s="42">
        <v>44355</v>
      </c>
      <c r="Q29" t="s">
        <v>333</v>
      </c>
      <c r="R29" t="s">
        <v>329</v>
      </c>
      <c r="S29" t="s">
        <v>323</v>
      </c>
      <c r="T29">
        <v>5</v>
      </c>
      <c r="W29" t="s">
        <v>330</v>
      </c>
      <c r="Y29" s="42">
        <v>44355</v>
      </c>
    </row>
    <row r="30" spans="14:25">
      <c r="N30" s="42">
        <v>44349</v>
      </c>
      <c r="O30" t="s">
        <v>328</v>
      </c>
      <c r="P30" s="42">
        <v>44349</v>
      </c>
      <c r="Q30" t="s">
        <v>328</v>
      </c>
      <c r="R30" t="s">
        <v>320</v>
      </c>
      <c r="S30" t="s">
        <v>323</v>
      </c>
      <c r="T30">
        <v>5</v>
      </c>
      <c r="Y30" s="42">
        <v>44355</v>
      </c>
    </row>
    <row r="31" spans="14:25">
      <c r="N31" s="42">
        <v>44293</v>
      </c>
      <c r="O31" t="s">
        <v>328</v>
      </c>
      <c r="P31" s="42">
        <v>44293</v>
      </c>
      <c r="Q31" t="s">
        <v>328</v>
      </c>
      <c r="R31" t="s">
        <v>334</v>
      </c>
      <c r="S31" t="s">
        <v>323</v>
      </c>
      <c r="T31">
        <v>5</v>
      </c>
      <c r="W31" t="s">
        <v>330</v>
      </c>
      <c r="Y31" s="42">
        <v>44299</v>
      </c>
    </row>
    <row r="32" spans="14:25">
      <c r="N32" s="42">
        <v>44286</v>
      </c>
      <c r="O32" t="s">
        <v>328</v>
      </c>
      <c r="P32" s="42">
        <v>44286</v>
      </c>
      <c r="Q32" t="s">
        <v>328</v>
      </c>
      <c r="R32" t="s">
        <v>320</v>
      </c>
      <c r="S32" t="s">
        <v>323</v>
      </c>
      <c r="T32">
        <v>5</v>
      </c>
      <c r="Y32" s="42">
        <v>44299</v>
      </c>
    </row>
    <row r="33" spans="14:25">
      <c r="N33" s="42">
        <v>44222</v>
      </c>
      <c r="O33" t="s">
        <v>333</v>
      </c>
      <c r="P33" s="42">
        <v>44222</v>
      </c>
      <c r="Q33" t="s">
        <v>333</v>
      </c>
      <c r="R33" t="s">
        <v>320</v>
      </c>
      <c r="S33" t="s">
        <v>323</v>
      </c>
      <c r="U33">
        <v>5</v>
      </c>
    </row>
    <row r="34" spans="14:25">
      <c r="N34" s="42">
        <v>44217</v>
      </c>
      <c r="O34" t="s">
        <v>324</v>
      </c>
      <c r="P34" s="42">
        <v>44217</v>
      </c>
      <c r="Q34" t="s">
        <v>324</v>
      </c>
      <c r="R34" t="s">
        <v>320</v>
      </c>
      <c r="S34" t="s">
        <v>323</v>
      </c>
      <c r="T34">
        <v>5</v>
      </c>
      <c r="Y34" s="42">
        <v>44229</v>
      </c>
    </row>
    <row r="35" spans="14:25">
      <c r="N35" s="42">
        <v>44216</v>
      </c>
      <c r="O35" t="s">
        <v>328</v>
      </c>
      <c r="P35" s="42">
        <v>44216</v>
      </c>
      <c r="Q35" t="s">
        <v>328</v>
      </c>
      <c r="R35" t="s">
        <v>320</v>
      </c>
      <c r="S35" t="s">
        <v>323</v>
      </c>
      <c r="T35">
        <v>5</v>
      </c>
      <c r="Y35" s="42">
        <v>44229</v>
      </c>
    </row>
    <row r="36" spans="14:25">
      <c r="N36" s="42">
        <v>44215</v>
      </c>
      <c r="O36" t="s">
        <v>333</v>
      </c>
      <c r="P36" s="42">
        <v>44215</v>
      </c>
      <c r="Q36" t="s">
        <v>333</v>
      </c>
      <c r="R36" t="s">
        <v>320</v>
      </c>
      <c r="S36" t="s">
        <v>323</v>
      </c>
      <c r="T36">
        <v>5</v>
      </c>
      <c r="Y36" s="42">
        <v>44215</v>
      </c>
    </row>
    <row r="37" spans="14:25">
      <c r="N37" s="42">
        <v>44196</v>
      </c>
      <c r="O37" t="s">
        <v>324</v>
      </c>
      <c r="P37" s="42">
        <v>44196</v>
      </c>
      <c r="Q37" t="s">
        <v>324</v>
      </c>
      <c r="R37" t="s">
        <v>320</v>
      </c>
      <c r="S37" t="s">
        <v>323</v>
      </c>
      <c r="T37">
        <v>5</v>
      </c>
      <c r="Y37" s="42">
        <v>44201</v>
      </c>
    </row>
    <row r="38" spans="14:25">
      <c r="N38" s="42">
        <v>44195</v>
      </c>
      <c r="O38" t="s">
        <v>328</v>
      </c>
      <c r="P38" s="42">
        <v>44195</v>
      </c>
      <c r="Q38" t="s">
        <v>328</v>
      </c>
      <c r="R38" t="s">
        <v>320</v>
      </c>
      <c r="S38" t="s">
        <v>323</v>
      </c>
      <c r="T38">
        <v>5</v>
      </c>
      <c r="Y38" s="42">
        <v>44201</v>
      </c>
    </row>
    <row r="39" spans="14:25">
      <c r="N39" s="42">
        <v>44194</v>
      </c>
      <c r="O39" t="s">
        <v>333</v>
      </c>
      <c r="P39" s="42">
        <v>44194</v>
      </c>
      <c r="Q39" t="s">
        <v>333</v>
      </c>
      <c r="R39" t="s">
        <v>320</v>
      </c>
      <c r="S39" t="s">
        <v>323</v>
      </c>
      <c r="T39">
        <v>5</v>
      </c>
      <c r="Y39" s="42">
        <v>44201</v>
      </c>
    </row>
    <row r="40" spans="14:25">
      <c r="N40" s="42">
        <v>43970</v>
      </c>
      <c r="O40" t="s">
        <v>333</v>
      </c>
      <c r="P40" s="42">
        <v>43970</v>
      </c>
      <c r="Q40" t="s">
        <v>333</v>
      </c>
      <c r="R40" t="s">
        <v>329</v>
      </c>
      <c r="S40" t="s">
        <v>323</v>
      </c>
      <c r="T40">
        <v>5</v>
      </c>
      <c r="W40" t="s">
        <v>330</v>
      </c>
      <c r="Y40" s="42">
        <v>43977</v>
      </c>
    </row>
    <row r="41" spans="14:25">
      <c r="N41" s="42">
        <v>43832</v>
      </c>
      <c r="O41" t="s">
        <v>324</v>
      </c>
      <c r="P41" s="42">
        <v>43832</v>
      </c>
      <c r="Q41" t="s">
        <v>324</v>
      </c>
      <c r="R41" t="s">
        <v>320</v>
      </c>
      <c r="S41" t="s">
        <v>323</v>
      </c>
      <c r="T41">
        <v>5</v>
      </c>
      <c r="Y41" s="42">
        <v>43837</v>
      </c>
    </row>
    <row r="42" spans="14:25">
      <c r="N42" s="42">
        <v>43830</v>
      </c>
      <c r="O42" t="s">
        <v>333</v>
      </c>
      <c r="P42" s="42">
        <v>43830</v>
      </c>
      <c r="Q42" t="s">
        <v>333</v>
      </c>
      <c r="R42" t="s">
        <v>320</v>
      </c>
      <c r="S42" t="s">
        <v>323</v>
      </c>
      <c r="T42">
        <v>5</v>
      </c>
      <c r="Y42" s="42">
        <v>43837</v>
      </c>
    </row>
    <row r="43" spans="14:25">
      <c r="N43" s="42">
        <v>43818</v>
      </c>
      <c r="O43" t="s">
        <v>324</v>
      </c>
      <c r="P43" s="42">
        <v>43818</v>
      </c>
      <c r="Q43" t="s">
        <v>324</v>
      </c>
      <c r="R43" t="s">
        <v>329</v>
      </c>
      <c r="S43" t="s">
        <v>323</v>
      </c>
      <c r="T43">
        <v>5</v>
      </c>
      <c r="W43" t="s">
        <v>330</v>
      </c>
      <c r="Y43" s="42">
        <v>43823</v>
      </c>
    </row>
    <row r="44" spans="14:25">
      <c r="N44" s="42">
        <v>43809</v>
      </c>
      <c r="O44" t="s">
        <v>333</v>
      </c>
      <c r="P44" s="42">
        <v>43811</v>
      </c>
      <c r="Q44" t="s">
        <v>324</v>
      </c>
      <c r="R44" t="s">
        <v>329</v>
      </c>
      <c r="S44" t="s">
        <v>323</v>
      </c>
      <c r="T44">
        <v>10</v>
      </c>
      <c r="W44" t="s">
        <v>330</v>
      </c>
      <c r="Y44" s="42">
        <v>43823</v>
      </c>
    </row>
    <row r="45" spans="14:25">
      <c r="N45" s="42">
        <v>43809</v>
      </c>
      <c r="O45" t="s">
        <v>333</v>
      </c>
      <c r="P45" s="42">
        <v>43809</v>
      </c>
      <c r="Q45" t="s">
        <v>333</v>
      </c>
      <c r="R45" t="s">
        <v>329</v>
      </c>
      <c r="S45" t="s">
        <v>323</v>
      </c>
      <c r="T45">
        <v>5</v>
      </c>
      <c r="W45" t="s">
        <v>330</v>
      </c>
      <c r="Y45" s="42">
        <v>43809</v>
      </c>
    </row>
    <row r="46" spans="14:25">
      <c r="N46" s="42">
        <v>43804</v>
      </c>
      <c r="O46" t="s">
        <v>324</v>
      </c>
      <c r="P46" s="42">
        <v>43804</v>
      </c>
      <c r="Q46" t="s">
        <v>324</v>
      </c>
      <c r="R46" t="s">
        <v>320</v>
      </c>
      <c r="S46" t="s">
        <v>323</v>
      </c>
      <c r="T46">
        <v>5</v>
      </c>
      <c r="Y46" s="42">
        <v>43809</v>
      </c>
    </row>
    <row r="47" spans="14:25">
      <c r="N47" s="42">
        <v>43803</v>
      </c>
      <c r="O47" t="s">
        <v>328</v>
      </c>
      <c r="P47" s="42">
        <v>43803</v>
      </c>
      <c r="Q47" t="s">
        <v>328</v>
      </c>
      <c r="R47" t="s">
        <v>320</v>
      </c>
      <c r="S47" t="s">
        <v>323</v>
      </c>
      <c r="T47">
        <v>5</v>
      </c>
      <c r="Y47" s="42">
        <v>43809</v>
      </c>
    </row>
    <row r="48" spans="14:25">
      <c r="N48" s="42">
        <v>43802</v>
      </c>
      <c r="O48" t="s">
        <v>333</v>
      </c>
      <c r="P48" s="42">
        <v>43802</v>
      </c>
      <c r="Q48" t="s">
        <v>333</v>
      </c>
      <c r="R48" t="s">
        <v>320</v>
      </c>
      <c r="S48" t="s">
        <v>323</v>
      </c>
      <c r="T48">
        <v>5</v>
      </c>
      <c r="Y48" s="42">
        <v>43809</v>
      </c>
    </row>
    <row r="49" spans="1:25">
      <c r="N49" s="42">
        <v>43789</v>
      </c>
      <c r="O49" t="s">
        <v>328</v>
      </c>
      <c r="P49" s="42">
        <v>43789</v>
      </c>
      <c r="Q49" t="s">
        <v>328</v>
      </c>
      <c r="R49" t="s">
        <v>329</v>
      </c>
      <c r="S49" t="s">
        <v>323</v>
      </c>
      <c r="T49">
        <v>5</v>
      </c>
      <c r="W49" t="s">
        <v>330</v>
      </c>
      <c r="Y49" s="42">
        <v>43795</v>
      </c>
    </row>
    <row r="50" spans="1:25">
      <c r="N50" s="42">
        <v>43662</v>
      </c>
      <c r="O50" t="s">
        <v>333</v>
      </c>
      <c r="P50" s="42">
        <v>43664</v>
      </c>
      <c r="Q50" t="s">
        <v>324</v>
      </c>
      <c r="R50" t="s">
        <v>320</v>
      </c>
      <c r="S50" t="s">
        <v>323</v>
      </c>
      <c r="T50">
        <v>15</v>
      </c>
      <c r="Y50" s="42">
        <v>43669</v>
      </c>
    </row>
    <row r="51" spans="1:25">
      <c r="A51">
        <v>44</v>
      </c>
      <c r="B51" t="s">
        <v>335</v>
      </c>
      <c r="C51" t="s">
        <v>320</v>
      </c>
      <c r="D51" t="s">
        <v>375</v>
      </c>
      <c r="E51" t="s">
        <v>376</v>
      </c>
      <c r="F51">
        <v>1</v>
      </c>
      <c r="G51" s="42">
        <v>45295</v>
      </c>
      <c r="H51">
        <v>37.695700000000002</v>
      </c>
      <c r="I51">
        <v>-196.5145</v>
      </c>
      <c r="J51">
        <v>37.695700000000002</v>
      </c>
      <c r="K51">
        <v>-158.81880000000001</v>
      </c>
      <c r="L51" t="s">
        <v>323</v>
      </c>
      <c r="M51" s="43">
        <v>0.59097222222222223</v>
      </c>
      <c r="N51" s="42">
        <v>44916</v>
      </c>
      <c r="O51" t="s">
        <v>328</v>
      </c>
      <c r="P51" s="42">
        <v>44929</v>
      </c>
      <c r="Q51" t="s">
        <v>333</v>
      </c>
      <c r="R51" t="s">
        <v>338</v>
      </c>
      <c r="S51" t="s">
        <v>323</v>
      </c>
      <c r="T51">
        <v>53.2</v>
      </c>
      <c r="W51" t="s">
        <v>339</v>
      </c>
      <c r="Y51" s="42">
        <v>44929</v>
      </c>
    </row>
    <row r="52" spans="1:25">
      <c r="C52" t="s">
        <v>325</v>
      </c>
      <c r="D52" t="s">
        <v>377</v>
      </c>
      <c r="E52" t="s">
        <v>378</v>
      </c>
      <c r="F52">
        <v>1</v>
      </c>
      <c r="G52" s="42">
        <v>45295</v>
      </c>
      <c r="H52">
        <v>24.925899999999999</v>
      </c>
      <c r="I52">
        <v>-19.525500000000001</v>
      </c>
      <c r="J52">
        <v>24.925899999999999</v>
      </c>
      <c r="K52">
        <v>5.4004000000000003</v>
      </c>
      <c r="L52" t="s">
        <v>323</v>
      </c>
      <c r="N52" s="42">
        <v>44902</v>
      </c>
      <c r="O52" t="s">
        <v>328</v>
      </c>
      <c r="P52" s="42">
        <v>44915</v>
      </c>
      <c r="Q52" t="s">
        <v>333</v>
      </c>
      <c r="R52" t="s">
        <v>338</v>
      </c>
      <c r="S52" t="s">
        <v>323</v>
      </c>
      <c r="T52">
        <v>76</v>
      </c>
      <c r="U52">
        <v>0</v>
      </c>
      <c r="W52" t="s">
        <v>339</v>
      </c>
      <c r="Y52" s="42">
        <v>44915</v>
      </c>
    </row>
    <row r="53" spans="1:25">
      <c r="C53" t="s">
        <v>329</v>
      </c>
      <c r="D53" t="s">
        <v>379</v>
      </c>
      <c r="E53" t="s">
        <v>380</v>
      </c>
      <c r="F53">
        <v>1</v>
      </c>
      <c r="G53" s="42">
        <v>45295</v>
      </c>
      <c r="H53">
        <v>18.847799999999999</v>
      </c>
      <c r="I53">
        <v>-98.252600000000001</v>
      </c>
      <c r="J53">
        <v>18.847799999999999</v>
      </c>
      <c r="K53">
        <v>-79.404799999999994</v>
      </c>
      <c r="L53" t="s">
        <v>323</v>
      </c>
      <c r="N53" s="42">
        <v>44888</v>
      </c>
      <c r="O53" t="s">
        <v>328</v>
      </c>
      <c r="P53" s="42">
        <v>44901</v>
      </c>
      <c r="Q53" t="s">
        <v>333</v>
      </c>
      <c r="R53" t="s">
        <v>338</v>
      </c>
      <c r="S53" t="s">
        <v>323</v>
      </c>
      <c r="T53">
        <v>76</v>
      </c>
      <c r="U53">
        <v>0</v>
      </c>
      <c r="W53" t="s">
        <v>339</v>
      </c>
      <c r="Y53" s="42">
        <v>44901</v>
      </c>
    </row>
    <row r="54" spans="1:25">
      <c r="N54" s="42">
        <v>44874</v>
      </c>
      <c r="O54" t="s">
        <v>328</v>
      </c>
      <c r="P54" s="42">
        <v>44887</v>
      </c>
      <c r="Q54" t="s">
        <v>333</v>
      </c>
      <c r="R54" t="s">
        <v>338</v>
      </c>
      <c r="S54" t="s">
        <v>323</v>
      </c>
      <c r="T54">
        <v>76</v>
      </c>
      <c r="Y54" s="42">
        <v>44887</v>
      </c>
    </row>
    <row r="55" spans="1:25">
      <c r="N55" s="42">
        <v>44866</v>
      </c>
      <c r="O55" t="s">
        <v>333</v>
      </c>
      <c r="P55" s="42">
        <v>44866</v>
      </c>
      <c r="Q55" t="s">
        <v>333</v>
      </c>
      <c r="R55" t="s">
        <v>338</v>
      </c>
      <c r="S55" t="s">
        <v>323</v>
      </c>
      <c r="T55">
        <v>7.6</v>
      </c>
      <c r="W55" t="s">
        <v>330</v>
      </c>
      <c r="Y55" s="42">
        <v>44873</v>
      </c>
    </row>
    <row r="56" spans="1:25">
      <c r="N56" s="42">
        <v>44860</v>
      </c>
      <c r="O56" t="s">
        <v>328</v>
      </c>
      <c r="P56" s="42">
        <v>44873</v>
      </c>
      <c r="Q56" t="s">
        <v>333</v>
      </c>
      <c r="R56" t="s">
        <v>338</v>
      </c>
      <c r="S56" t="s">
        <v>323</v>
      </c>
      <c r="T56">
        <v>68.400000000000006</v>
      </c>
      <c r="W56" t="s">
        <v>339</v>
      </c>
      <c r="Y56" s="42">
        <v>44873</v>
      </c>
    </row>
    <row r="57" spans="1:25">
      <c r="N57" s="42">
        <v>44846</v>
      </c>
      <c r="O57" t="s">
        <v>328</v>
      </c>
      <c r="P57" s="42">
        <v>44859</v>
      </c>
      <c r="Q57" t="s">
        <v>333</v>
      </c>
      <c r="R57" t="s">
        <v>338</v>
      </c>
      <c r="S57" t="s">
        <v>323</v>
      </c>
      <c r="T57">
        <v>76</v>
      </c>
      <c r="U57">
        <v>0</v>
      </c>
      <c r="W57" t="s">
        <v>339</v>
      </c>
      <c r="Y57" s="42">
        <v>44859</v>
      </c>
    </row>
    <row r="58" spans="1:25">
      <c r="N58" s="42">
        <v>44832</v>
      </c>
      <c r="O58" t="s">
        <v>328</v>
      </c>
      <c r="P58" s="42">
        <v>44845</v>
      </c>
      <c r="Q58" t="s">
        <v>333</v>
      </c>
      <c r="R58" t="s">
        <v>338</v>
      </c>
      <c r="S58" t="s">
        <v>323</v>
      </c>
      <c r="T58">
        <v>76</v>
      </c>
      <c r="U58">
        <v>0</v>
      </c>
      <c r="W58" t="s">
        <v>339</v>
      </c>
      <c r="Y58" s="42">
        <v>44845</v>
      </c>
    </row>
    <row r="59" spans="1:25">
      <c r="N59" s="42">
        <v>44818</v>
      </c>
      <c r="O59" t="s">
        <v>328</v>
      </c>
      <c r="P59" s="42">
        <v>44831</v>
      </c>
      <c r="Q59" t="s">
        <v>333</v>
      </c>
      <c r="R59" t="s">
        <v>338</v>
      </c>
      <c r="S59" t="s">
        <v>323</v>
      </c>
      <c r="T59">
        <v>76</v>
      </c>
      <c r="U59">
        <v>0</v>
      </c>
      <c r="W59" t="s">
        <v>339</v>
      </c>
      <c r="Y59" s="42">
        <v>44831</v>
      </c>
    </row>
    <row r="60" spans="1:25">
      <c r="N60" s="42">
        <v>44804</v>
      </c>
      <c r="O60" t="s">
        <v>328</v>
      </c>
      <c r="P60" s="42">
        <v>44817</v>
      </c>
      <c r="Q60" t="s">
        <v>333</v>
      </c>
      <c r="R60" t="s">
        <v>338</v>
      </c>
      <c r="S60" t="s">
        <v>323</v>
      </c>
      <c r="T60">
        <v>76</v>
      </c>
      <c r="U60">
        <v>0</v>
      </c>
      <c r="W60" t="s">
        <v>339</v>
      </c>
      <c r="Y60" s="42">
        <v>44817</v>
      </c>
    </row>
    <row r="61" spans="1:25">
      <c r="N61" s="42">
        <v>44790</v>
      </c>
      <c r="O61" t="s">
        <v>328</v>
      </c>
      <c r="P61" s="42">
        <v>44803</v>
      </c>
      <c r="Q61" t="s">
        <v>333</v>
      </c>
      <c r="R61" t="s">
        <v>338</v>
      </c>
      <c r="S61" t="s">
        <v>323</v>
      </c>
      <c r="T61">
        <v>76</v>
      </c>
      <c r="U61">
        <v>0</v>
      </c>
      <c r="W61" t="s">
        <v>339</v>
      </c>
      <c r="Y61" s="42">
        <v>44803</v>
      </c>
    </row>
    <row r="62" spans="1:25">
      <c r="N62" s="42">
        <v>44776</v>
      </c>
      <c r="O62" t="s">
        <v>328</v>
      </c>
      <c r="P62" s="42">
        <v>44789</v>
      </c>
      <c r="Q62" t="s">
        <v>333</v>
      </c>
      <c r="R62" t="s">
        <v>338</v>
      </c>
      <c r="S62" t="s">
        <v>323</v>
      </c>
      <c r="T62">
        <v>76</v>
      </c>
      <c r="U62">
        <v>0</v>
      </c>
      <c r="W62" t="s">
        <v>339</v>
      </c>
      <c r="Y62" s="42">
        <v>44789</v>
      </c>
    </row>
    <row r="63" spans="1:25">
      <c r="N63" s="42">
        <v>44762</v>
      </c>
      <c r="O63" t="s">
        <v>328</v>
      </c>
      <c r="P63" s="42">
        <v>44775</v>
      </c>
      <c r="Q63" t="s">
        <v>333</v>
      </c>
      <c r="R63" t="s">
        <v>338</v>
      </c>
      <c r="S63" t="s">
        <v>323</v>
      </c>
      <c r="T63">
        <v>76</v>
      </c>
      <c r="U63">
        <v>0</v>
      </c>
      <c r="W63" t="s">
        <v>339</v>
      </c>
      <c r="Y63" s="42">
        <v>44775</v>
      </c>
    </row>
    <row r="64" spans="1:25">
      <c r="N64" s="42">
        <v>44748</v>
      </c>
      <c r="O64" t="s">
        <v>328</v>
      </c>
      <c r="P64" s="42">
        <v>44761</v>
      </c>
      <c r="Q64" t="s">
        <v>333</v>
      </c>
      <c r="R64" t="s">
        <v>338</v>
      </c>
      <c r="S64" t="s">
        <v>323</v>
      </c>
      <c r="T64">
        <v>76</v>
      </c>
      <c r="U64">
        <v>0</v>
      </c>
      <c r="W64" t="s">
        <v>339</v>
      </c>
      <c r="Y64" s="42">
        <v>44761</v>
      </c>
    </row>
    <row r="65" spans="14:25">
      <c r="N65" s="42">
        <v>44734</v>
      </c>
      <c r="O65" t="s">
        <v>328</v>
      </c>
      <c r="P65" s="42">
        <v>44747</v>
      </c>
      <c r="Q65" t="s">
        <v>333</v>
      </c>
      <c r="R65" t="s">
        <v>338</v>
      </c>
      <c r="S65" t="s">
        <v>323</v>
      </c>
      <c r="T65">
        <v>76</v>
      </c>
      <c r="U65">
        <v>0</v>
      </c>
      <c r="W65" t="s">
        <v>339</v>
      </c>
      <c r="Y65" s="42">
        <v>44747</v>
      </c>
    </row>
    <row r="66" spans="14:25">
      <c r="N66" s="42">
        <v>44720</v>
      </c>
      <c r="O66" t="s">
        <v>328</v>
      </c>
      <c r="P66" s="42">
        <v>44733</v>
      </c>
      <c r="Q66" t="s">
        <v>333</v>
      </c>
      <c r="R66" t="s">
        <v>338</v>
      </c>
      <c r="S66" t="s">
        <v>323</v>
      </c>
      <c r="T66">
        <v>76</v>
      </c>
      <c r="W66" t="s">
        <v>330</v>
      </c>
      <c r="Y66" s="42">
        <v>44733</v>
      </c>
    </row>
    <row r="67" spans="14:25">
      <c r="N67" s="42">
        <v>44706</v>
      </c>
      <c r="O67" t="s">
        <v>328</v>
      </c>
      <c r="P67" s="42">
        <v>44719</v>
      </c>
      <c r="Q67" t="s">
        <v>333</v>
      </c>
      <c r="R67" t="s">
        <v>338</v>
      </c>
      <c r="S67" t="s">
        <v>323</v>
      </c>
      <c r="T67">
        <v>76</v>
      </c>
      <c r="U67">
        <v>0</v>
      </c>
      <c r="W67" t="s">
        <v>339</v>
      </c>
      <c r="Y67" s="42">
        <v>44719</v>
      </c>
    </row>
    <row r="68" spans="14:25">
      <c r="N68" s="42">
        <v>44692</v>
      </c>
      <c r="O68" t="s">
        <v>328</v>
      </c>
      <c r="P68" s="42">
        <v>44705</v>
      </c>
      <c r="Q68" t="s">
        <v>333</v>
      </c>
      <c r="R68" t="s">
        <v>338</v>
      </c>
      <c r="S68" t="s">
        <v>323</v>
      </c>
      <c r="T68">
        <v>76</v>
      </c>
      <c r="U68">
        <v>0</v>
      </c>
      <c r="W68" t="s">
        <v>339</v>
      </c>
      <c r="Y68" s="42">
        <v>44705</v>
      </c>
    </row>
    <row r="69" spans="14:25">
      <c r="N69" s="42">
        <v>44678</v>
      </c>
      <c r="O69" t="s">
        <v>328</v>
      </c>
      <c r="P69" s="42">
        <v>44691</v>
      </c>
      <c r="Q69" t="s">
        <v>333</v>
      </c>
      <c r="R69" t="s">
        <v>338</v>
      </c>
      <c r="S69" t="s">
        <v>323</v>
      </c>
      <c r="T69">
        <v>76</v>
      </c>
      <c r="U69">
        <v>0</v>
      </c>
      <c r="W69" t="s">
        <v>339</v>
      </c>
      <c r="Y69" s="42">
        <v>44691</v>
      </c>
    </row>
    <row r="70" spans="14:25">
      <c r="N70" s="42">
        <v>44650</v>
      </c>
      <c r="O70" t="s">
        <v>328</v>
      </c>
      <c r="P70" s="42">
        <v>44663</v>
      </c>
      <c r="Q70" t="s">
        <v>333</v>
      </c>
      <c r="R70" t="s">
        <v>338</v>
      </c>
      <c r="S70" t="s">
        <v>323</v>
      </c>
      <c r="T70">
        <v>76</v>
      </c>
      <c r="U70">
        <v>0</v>
      </c>
      <c r="W70" t="s">
        <v>339</v>
      </c>
      <c r="Y70" s="42">
        <v>44663</v>
      </c>
    </row>
    <row r="71" spans="14:25">
      <c r="N71" s="42">
        <v>44636</v>
      </c>
      <c r="O71" t="s">
        <v>328</v>
      </c>
      <c r="P71" s="42">
        <v>44649</v>
      </c>
      <c r="Q71" t="s">
        <v>333</v>
      </c>
      <c r="R71" t="s">
        <v>338</v>
      </c>
      <c r="S71" t="s">
        <v>323</v>
      </c>
      <c r="T71">
        <v>76</v>
      </c>
      <c r="U71">
        <v>0</v>
      </c>
      <c r="W71" t="s">
        <v>339</v>
      </c>
      <c r="Y71" s="42">
        <v>44649</v>
      </c>
    </row>
    <row r="72" spans="14:25">
      <c r="N72" s="42">
        <v>44622</v>
      </c>
      <c r="O72" t="s">
        <v>328</v>
      </c>
      <c r="P72" s="42">
        <v>44635</v>
      </c>
      <c r="Q72" t="s">
        <v>333</v>
      </c>
      <c r="R72" t="s">
        <v>338</v>
      </c>
      <c r="S72" t="s">
        <v>323</v>
      </c>
      <c r="T72">
        <v>68.400000000000006</v>
      </c>
      <c r="W72" t="s">
        <v>330</v>
      </c>
      <c r="Y72" s="42">
        <v>44635</v>
      </c>
    </row>
    <row r="73" spans="14:25">
      <c r="N73" s="42">
        <v>44608</v>
      </c>
      <c r="O73" t="s">
        <v>328</v>
      </c>
      <c r="P73" s="42">
        <v>44621</v>
      </c>
      <c r="Q73" t="s">
        <v>333</v>
      </c>
      <c r="R73" t="s">
        <v>338</v>
      </c>
      <c r="S73" t="s">
        <v>323</v>
      </c>
      <c r="T73">
        <v>76</v>
      </c>
      <c r="U73">
        <v>0</v>
      </c>
      <c r="W73" t="s">
        <v>339</v>
      </c>
      <c r="Y73" s="42">
        <v>44621</v>
      </c>
    </row>
    <row r="74" spans="14:25">
      <c r="N74" s="42">
        <v>44594</v>
      </c>
      <c r="O74" t="s">
        <v>328</v>
      </c>
      <c r="P74" s="42">
        <v>44607</v>
      </c>
      <c r="Q74" t="s">
        <v>333</v>
      </c>
      <c r="R74" t="s">
        <v>338</v>
      </c>
      <c r="S74" t="s">
        <v>323</v>
      </c>
      <c r="T74">
        <v>76</v>
      </c>
      <c r="U74">
        <v>0</v>
      </c>
      <c r="W74" t="s">
        <v>339</v>
      </c>
      <c r="Y74" s="42">
        <v>44607</v>
      </c>
    </row>
    <row r="75" spans="14:25">
      <c r="N75" s="42">
        <v>44593</v>
      </c>
      <c r="O75" t="s">
        <v>333</v>
      </c>
      <c r="P75" s="42">
        <v>44593</v>
      </c>
      <c r="Q75" t="s">
        <v>333</v>
      </c>
      <c r="R75" t="s">
        <v>338</v>
      </c>
      <c r="S75" t="s">
        <v>323</v>
      </c>
      <c r="T75">
        <v>7.6</v>
      </c>
      <c r="W75" t="s">
        <v>339</v>
      </c>
      <c r="Y75" s="42">
        <v>44593</v>
      </c>
    </row>
    <row r="76" spans="14:25">
      <c r="N76" s="42">
        <v>44580</v>
      </c>
      <c r="O76" t="s">
        <v>328</v>
      </c>
      <c r="P76" s="42">
        <v>44593</v>
      </c>
      <c r="Q76" t="s">
        <v>333</v>
      </c>
      <c r="R76" t="s">
        <v>338</v>
      </c>
      <c r="S76" t="s">
        <v>323</v>
      </c>
      <c r="T76">
        <v>76</v>
      </c>
      <c r="W76" t="s">
        <v>330</v>
      </c>
      <c r="Y76" s="42">
        <v>44593</v>
      </c>
    </row>
    <row r="77" spans="14:25">
      <c r="N77" s="42">
        <v>44566</v>
      </c>
      <c r="O77" t="s">
        <v>328</v>
      </c>
      <c r="P77" s="42">
        <v>44579</v>
      </c>
      <c r="Q77" t="s">
        <v>333</v>
      </c>
      <c r="R77" t="s">
        <v>338</v>
      </c>
      <c r="S77" t="s">
        <v>323</v>
      </c>
      <c r="T77">
        <v>76</v>
      </c>
      <c r="U77">
        <v>0</v>
      </c>
      <c r="W77" t="s">
        <v>339</v>
      </c>
      <c r="Y77" s="42">
        <v>44579</v>
      </c>
    </row>
    <row r="78" spans="14:25">
      <c r="N78" s="42">
        <v>44565</v>
      </c>
      <c r="O78" t="s">
        <v>333</v>
      </c>
      <c r="P78" s="42">
        <v>44565</v>
      </c>
      <c r="Q78" t="s">
        <v>333</v>
      </c>
      <c r="R78" t="s">
        <v>338</v>
      </c>
      <c r="S78" t="s">
        <v>323</v>
      </c>
      <c r="T78">
        <v>7.6</v>
      </c>
      <c r="U78">
        <v>0</v>
      </c>
      <c r="W78" t="s">
        <v>339</v>
      </c>
      <c r="Y78" s="42">
        <v>44579</v>
      </c>
    </row>
    <row r="79" spans="14:25">
      <c r="N79" s="42">
        <v>44563</v>
      </c>
      <c r="O79" t="s">
        <v>344</v>
      </c>
      <c r="P79" s="42">
        <v>44563</v>
      </c>
      <c r="Q79" t="s">
        <v>344</v>
      </c>
      <c r="R79" t="s">
        <v>338</v>
      </c>
      <c r="S79" t="s">
        <v>323</v>
      </c>
      <c r="T79">
        <v>7.6</v>
      </c>
      <c r="W79" t="s">
        <v>330</v>
      </c>
      <c r="Y79" s="42">
        <v>44565</v>
      </c>
    </row>
    <row r="80" spans="14:25">
      <c r="N80" s="42">
        <v>44560</v>
      </c>
      <c r="O80" t="s">
        <v>324</v>
      </c>
      <c r="P80" s="42">
        <v>44560</v>
      </c>
      <c r="Q80" t="s">
        <v>324</v>
      </c>
      <c r="R80" t="s">
        <v>338</v>
      </c>
      <c r="S80" t="s">
        <v>323</v>
      </c>
      <c r="T80">
        <v>7.6</v>
      </c>
      <c r="W80" t="s">
        <v>330</v>
      </c>
      <c r="Y80" s="42">
        <v>44565</v>
      </c>
    </row>
    <row r="81" spans="14:25">
      <c r="N81" s="42">
        <v>44559</v>
      </c>
      <c r="O81" t="s">
        <v>328</v>
      </c>
      <c r="P81" s="42">
        <v>44559</v>
      </c>
      <c r="Q81" t="s">
        <v>328</v>
      </c>
      <c r="R81" t="s">
        <v>338</v>
      </c>
      <c r="S81" t="s">
        <v>323</v>
      </c>
      <c r="T81">
        <v>7.6</v>
      </c>
      <c r="W81" t="s">
        <v>330</v>
      </c>
      <c r="Y81" s="42">
        <v>44565</v>
      </c>
    </row>
    <row r="82" spans="14:25">
      <c r="N82" s="42">
        <v>44558</v>
      </c>
      <c r="O82" t="s">
        <v>333</v>
      </c>
      <c r="P82" s="42">
        <v>44558</v>
      </c>
      <c r="Q82" t="s">
        <v>333</v>
      </c>
      <c r="R82" t="s">
        <v>338</v>
      </c>
      <c r="S82" t="s">
        <v>323</v>
      </c>
      <c r="T82">
        <v>7.6</v>
      </c>
      <c r="W82" t="s">
        <v>330</v>
      </c>
      <c r="Y82" s="42">
        <v>44565</v>
      </c>
    </row>
    <row r="83" spans="14:25">
      <c r="N83" s="42">
        <v>44556</v>
      </c>
      <c r="O83" t="s">
        <v>344</v>
      </c>
      <c r="P83" s="42">
        <v>44556</v>
      </c>
      <c r="Q83" t="s">
        <v>344</v>
      </c>
      <c r="R83" t="s">
        <v>338</v>
      </c>
      <c r="S83" t="s">
        <v>323</v>
      </c>
      <c r="T83">
        <v>7.6</v>
      </c>
      <c r="W83" t="s">
        <v>330</v>
      </c>
      <c r="Y83" s="42">
        <v>44565</v>
      </c>
    </row>
    <row r="84" spans="14:25">
      <c r="N84" s="42">
        <v>44553</v>
      </c>
      <c r="O84" t="s">
        <v>324</v>
      </c>
      <c r="P84" s="42">
        <v>44553</v>
      </c>
      <c r="Q84" t="s">
        <v>324</v>
      </c>
      <c r="R84" t="s">
        <v>338</v>
      </c>
      <c r="S84" t="s">
        <v>323</v>
      </c>
      <c r="T84">
        <v>7.6</v>
      </c>
      <c r="W84" t="s">
        <v>330</v>
      </c>
      <c r="Y84" s="42">
        <v>44565</v>
      </c>
    </row>
    <row r="85" spans="14:25">
      <c r="N85" s="42">
        <v>44552</v>
      </c>
      <c r="O85" t="s">
        <v>328</v>
      </c>
      <c r="P85" s="42">
        <v>44552</v>
      </c>
      <c r="Q85" t="s">
        <v>328</v>
      </c>
      <c r="R85" t="s">
        <v>338</v>
      </c>
      <c r="S85" t="s">
        <v>323</v>
      </c>
      <c r="T85">
        <v>7.6</v>
      </c>
      <c r="W85" t="s">
        <v>330</v>
      </c>
      <c r="Y85" s="42">
        <v>44565</v>
      </c>
    </row>
    <row r="86" spans="14:25">
      <c r="N86" s="42">
        <v>44551</v>
      </c>
      <c r="O86" t="s">
        <v>333</v>
      </c>
      <c r="P86" s="42">
        <v>44551</v>
      </c>
      <c r="Q86" t="s">
        <v>333</v>
      </c>
      <c r="R86" t="s">
        <v>338</v>
      </c>
      <c r="S86" t="s">
        <v>323</v>
      </c>
      <c r="T86">
        <v>7.6</v>
      </c>
      <c r="W86" t="s">
        <v>330</v>
      </c>
      <c r="Y86" s="42">
        <v>44551</v>
      </c>
    </row>
    <row r="87" spans="14:25">
      <c r="N87" s="42">
        <v>44550</v>
      </c>
      <c r="O87" t="s">
        <v>345</v>
      </c>
      <c r="P87" s="42">
        <v>44550</v>
      </c>
      <c r="Q87" t="s">
        <v>345</v>
      </c>
      <c r="R87" t="s">
        <v>338</v>
      </c>
      <c r="S87" t="s">
        <v>323</v>
      </c>
      <c r="T87">
        <v>7.6</v>
      </c>
      <c r="W87" t="s">
        <v>330</v>
      </c>
      <c r="Y87" s="42">
        <v>44551</v>
      </c>
    </row>
    <row r="88" spans="14:25">
      <c r="N88" s="42">
        <v>44549</v>
      </c>
      <c r="O88" t="s">
        <v>344</v>
      </c>
      <c r="P88" s="42">
        <v>44549</v>
      </c>
      <c r="Q88" t="s">
        <v>344</v>
      </c>
      <c r="R88" t="s">
        <v>338</v>
      </c>
      <c r="S88" t="s">
        <v>323</v>
      </c>
      <c r="T88">
        <v>7.6</v>
      </c>
      <c r="W88" t="s">
        <v>330</v>
      </c>
      <c r="Y88" s="42">
        <v>44551</v>
      </c>
    </row>
    <row r="89" spans="14:25">
      <c r="N89" s="42">
        <v>44546</v>
      </c>
      <c r="O89" t="s">
        <v>324</v>
      </c>
      <c r="P89" s="42">
        <v>44546</v>
      </c>
      <c r="Q89" t="s">
        <v>324</v>
      </c>
      <c r="R89" t="s">
        <v>338</v>
      </c>
      <c r="S89" t="s">
        <v>323</v>
      </c>
      <c r="T89">
        <v>7.6</v>
      </c>
      <c r="W89" t="s">
        <v>330</v>
      </c>
      <c r="Y89" s="42">
        <v>44551</v>
      </c>
    </row>
    <row r="90" spans="14:25">
      <c r="N90" s="42">
        <v>44545</v>
      </c>
      <c r="O90" t="s">
        <v>328</v>
      </c>
      <c r="P90" s="42">
        <v>44545</v>
      </c>
      <c r="Q90" t="s">
        <v>328</v>
      </c>
      <c r="R90" t="s">
        <v>338</v>
      </c>
      <c r="S90" t="s">
        <v>323</v>
      </c>
      <c r="T90">
        <v>7.6</v>
      </c>
      <c r="W90" t="s">
        <v>330</v>
      </c>
      <c r="Y90" s="42">
        <v>44551</v>
      </c>
    </row>
    <row r="91" spans="14:25">
      <c r="N91" s="42">
        <v>44544</v>
      </c>
      <c r="O91" t="s">
        <v>333</v>
      </c>
      <c r="P91" s="42">
        <v>44544</v>
      </c>
      <c r="Q91" t="s">
        <v>333</v>
      </c>
      <c r="R91" t="s">
        <v>338</v>
      </c>
      <c r="S91" t="s">
        <v>323</v>
      </c>
      <c r="T91">
        <v>7.6</v>
      </c>
      <c r="W91" t="s">
        <v>330</v>
      </c>
      <c r="Y91" s="42">
        <v>44551</v>
      </c>
    </row>
    <row r="92" spans="14:25">
      <c r="N92" s="42">
        <v>44543</v>
      </c>
      <c r="O92" t="s">
        <v>345</v>
      </c>
      <c r="P92" s="42">
        <v>44543</v>
      </c>
      <c r="Q92" t="s">
        <v>345</v>
      </c>
      <c r="R92" t="s">
        <v>338</v>
      </c>
      <c r="S92" t="s">
        <v>323</v>
      </c>
      <c r="T92">
        <v>7.6</v>
      </c>
      <c r="W92" t="s">
        <v>330</v>
      </c>
      <c r="Y92" s="42">
        <v>44551</v>
      </c>
    </row>
    <row r="93" spans="14:25">
      <c r="N93" s="42">
        <v>44542</v>
      </c>
      <c r="O93" t="s">
        <v>344</v>
      </c>
      <c r="P93" s="42">
        <v>44542</v>
      </c>
      <c r="Q93" t="s">
        <v>344</v>
      </c>
      <c r="R93" t="s">
        <v>338</v>
      </c>
      <c r="S93" t="s">
        <v>323</v>
      </c>
      <c r="T93">
        <v>7.6</v>
      </c>
      <c r="W93" t="s">
        <v>330</v>
      </c>
      <c r="Y93" s="42">
        <v>44551</v>
      </c>
    </row>
    <row r="94" spans="14:25">
      <c r="N94" s="42">
        <v>44539</v>
      </c>
      <c r="O94" t="s">
        <v>324</v>
      </c>
      <c r="P94" s="42">
        <v>44539</v>
      </c>
      <c r="Q94" t="s">
        <v>324</v>
      </c>
      <c r="R94" t="s">
        <v>338</v>
      </c>
      <c r="S94" t="s">
        <v>323</v>
      </c>
      <c r="T94">
        <v>7.6</v>
      </c>
      <c r="W94" t="s">
        <v>330</v>
      </c>
      <c r="Y94" s="42">
        <v>44551</v>
      </c>
    </row>
    <row r="95" spans="14:25">
      <c r="N95" s="42">
        <v>44538</v>
      </c>
      <c r="O95" t="s">
        <v>328</v>
      </c>
      <c r="P95" s="42">
        <v>44538</v>
      </c>
      <c r="Q95" t="s">
        <v>328</v>
      </c>
      <c r="R95" t="s">
        <v>338</v>
      </c>
      <c r="S95" t="s">
        <v>323</v>
      </c>
      <c r="T95">
        <v>7.6</v>
      </c>
      <c r="W95" t="s">
        <v>330</v>
      </c>
      <c r="Y95" s="42">
        <v>44551</v>
      </c>
    </row>
    <row r="96" spans="14:25">
      <c r="N96" s="42">
        <v>44537</v>
      </c>
      <c r="O96" t="s">
        <v>333</v>
      </c>
      <c r="P96" s="42">
        <v>44537</v>
      </c>
      <c r="Q96" t="s">
        <v>333</v>
      </c>
      <c r="R96" t="s">
        <v>338</v>
      </c>
      <c r="S96" t="s">
        <v>323</v>
      </c>
      <c r="T96">
        <v>7.6</v>
      </c>
      <c r="W96" t="s">
        <v>330</v>
      </c>
      <c r="Y96" s="42">
        <v>44537</v>
      </c>
    </row>
    <row r="97" spans="14:25">
      <c r="N97" s="42">
        <v>44536</v>
      </c>
      <c r="O97" t="s">
        <v>345</v>
      </c>
      <c r="P97" s="42">
        <v>44536</v>
      </c>
      <c r="Q97" t="s">
        <v>345</v>
      </c>
      <c r="R97" t="s">
        <v>338</v>
      </c>
      <c r="S97" t="s">
        <v>323</v>
      </c>
      <c r="T97">
        <v>7.6</v>
      </c>
      <c r="W97" t="s">
        <v>330</v>
      </c>
      <c r="Y97" s="42">
        <v>44537</v>
      </c>
    </row>
    <row r="98" spans="14:25">
      <c r="N98" s="42">
        <v>44535</v>
      </c>
      <c r="O98" t="s">
        <v>344</v>
      </c>
      <c r="P98" s="42">
        <v>44535</v>
      </c>
      <c r="Q98" t="s">
        <v>344</v>
      </c>
      <c r="R98" t="s">
        <v>338</v>
      </c>
      <c r="S98" t="s">
        <v>323</v>
      </c>
      <c r="T98">
        <v>7.6</v>
      </c>
      <c r="W98" t="s">
        <v>330</v>
      </c>
      <c r="Y98" s="42">
        <v>44537</v>
      </c>
    </row>
    <row r="99" spans="14:25">
      <c r="N99" s="42">
        <v>44532</v>
      </c>
      <c r="O99" t="s">
        <v>324</v>
      </c>
      <c r="P99" s="42">
        <v>44532</v>
      </c>
      <c r="Q99" t="s">
        <v>324</v>
      </c>
      <c r="R99" t="s">
        <v>338</v>
      </c>
      <c r="S99" t="s">
        <v>323</v>
      </c>
      <c r="T99">
        <v>7.6</v>
      </c>
      <c r="W99" t="s">
        <v>330</v>
      </c>
      <c r="Y99" s="42">
        <v>44537</v>
      </c>
    </row>
    <row r="100" spans="14:25">
      <c r="N100" s="42">
        <v>44531</v>
      </c>
      <c r="O100" t="s">
        <v>328</v>
      </c>
      <c r="P100" s="42">
        <v>44531</v>
      </c>
      <c r="Q100" t="s">
        <v>328</v>
      </c>
      <c r="R100" t="s">
        <v>338</v>
      </c>
      <c r="S100" t="s">
        <v>323</v>
      </c>
      <c r="T100">
        <v>7.6</v>
      </c>
      <c r="W100" t="s">
        <v>330</v>
      </c>
      <c r="Y100" s="42">
        <v>44537</v>
      </c>
    </row>
    <row r="101" spans="14:25">
      <c r="N101" s="42">
        <v>44530</v>
      </c>
      <c r="O101" t="s">
        <v>333</v>
      </c>
      <c r="P101" s="42">
        <v>44530</v>
      </c>
      <c r="Q101" t="s">
        <v>333</v>
      </c>
      <c r="R101" t="s">
        <v>338</v>
      </c>
      <c r="S101" t="s">
        <v>323</v>
      </c>
      <c r="T101">
        <v>7.6</v>
      </c>
      <c r="W101" t="s">
        <v>330</v>
      </c>
      <c r="Y101" s="42">
        <v>44537</v>
      </c>
    </row>
    <row r="102" spans="14:25">
      <c r="N102" s="42">
        <v>44529</v>
      </c>
      <c r="O102" t="s">
        <v>345</v>
      </c>
      <c r="P102" s="42">
        <v>44529</v>
      </c>
      <c r="Q102" t="s">
        <v>345</v>
      </c>
      <c r="R102" t="s">
        <v>338</v>
      </c>
      <c r="S102" t="s">
        <v>323</v>
      </c>
      <c r="T102">
        <v>7.6</v>
      </c>
      <c r="W102" t="s">
        <v>330</v>
      </c>
      <c r="Y102" s="42">
        <v>44537</v>
      </c>
    </row>
    <row r="103" spans="14:25">
      <c r="N103" s="42">
        <v>44528</v>
      </c>
      <c r="O103" t="s">
        <v>344</v>
      </c>
      <c r="P103" s="42">
        <v>44528</v>
      </c>
      <c r="Q103" t="s">
        <v>344</v>
      </c>
      <c r="R103" t="s">
        <v>338</v>
      </c>
      <c r="S103" t="s">
        <v>323</v>
      </c>
      <c r="T103">
        <v>7.6</v>
      </c>
      <c r="W103" t="s">
        <v>330</v>
      </c>
      <c r="Y103" s="42">
        <v>44537</v>
      </c>
    </row>
    <row r="104" spans="14:25">
      <c r="N104" s="42">
        <v>44525</v>
      </c>
      <c r="O104" t="s">
        <v>324</v>
      </c>
      <c r="P104" s="42">
        <v>44525</v>
      </c>
      <c r="Q104" t="s">
        <v>324</v>
      </c>
      <c r="R104" t="s">
        <v>338</v>
      </c>
      <c r="S104" t="s">
        <v>323</v>
      </c>
      <c r="T104">
        <v>7.6</v>
      </c>
      <c r="W104" t="s">
        <v>330</v>
      </c>
      <c r="Y104" s="42">
        <v>44537</v>
      </c>
    </row>
    <row r="105" spans="14:25">
      <c r="N105" s="42">
        <v>44524</v>
      </c>
      <c r="O105" t="s">
        <v>328</v>
      </c>
      <c r="P105" s="42">
        <v>44524</v>
      </c>
      <c r="Q105" t="s">
        <v>328</v>
      </c>
      <c r="R105" t="s">
        <v>338</v>
      </c>
      <c r="S105" t="s">
        <v>323</v>
      </c>
      <c r="T105">
        <v>7.6</v>
      </c>
      <c r="W105" t="s">
        <v>330</v>
      </c>
      <c r="Y105" s="42">
        <v>44537</v>
      </c>
    </row>
    <row r="106" spans="14:25">
      <c r="N106" s="42">
        <v>44523</v>
      </c>
      <c r="O106" t="s">
        <v>333</v>
      </c>
      <c r="P106" s="42">
        <v>44523</v>
      </c>
      <c r="Q106" t="s">
        <v>333</v>
      </c>
      <c r="R106" t="s">
        <v>338</v>
      </c>
      <c r="S106" t="s">
        <v>323</v>
      </c>
      <c r="T106">
        <v>7.6</v>
      </c>
      <c r="W106" t="s">
        <v>330</v>
      </c>
      <c r="Y106" s="42">
        <v>44523</v>
      </c>
    </row>
    <row r="107" spans="14:25">
      <c r="N107" s="42">
        <v>44522</v>
      </c>
      <c r="O107" t="s">
        <v>345</v>
      </c>
      <c r="P107" s="42">
        <v>44522</v>
      </c>
      <c r="Q107" t="s">
        <v>345</v>
      </c>
      <c r="R107" t="s">
        <v>338</v>
      </c>
      <c r="S107" t="s">
        <v>323</v>
      </c>
      <c r="T107">
        <v>7.6</v>
      </c>
      <c r="W107" t="s">
        <v>330</v>
      </c>
      <c r="Y107" s="42">
        <v>44523</v>
      </c>
    </row>
    <row r="108" spans="14:25">
      <c r="N108" s="42">
        <v>44521</v>
      </c>
      <c r="O108" t="s">
        <v>344</v>
      </c>
      <c r="P108" s="42">
        <v>44521</v>
      </c>
      <c r="Q108" t="s">
        <v>344</v>
      </c>
      <c r="R108" t="s">
        <v>338</v>
      </c>
      <c r="S108" t="s">
        <v>323</v>
      </c>
      <c r="T108">
        <v>7.6</v>
      </c>
      <c r="W108" t="s">
        <v>330</v>
      </c>
      <c r="Y108" s="42">
        <v>44523</v>
      </c>
    </row>
    <row r="109" spans="14:25">
      <c r="N109" s="42">
        <v>44518</v>
      </c>
      <c r="O109" t="s">
        <v>324</v>
      </c>
      <c r="P109" s="42">
        <v>44518</v>
      </c>
      <c r="Q109" t="s">
        <v>324</v>
      </c>
      <c r="R109" t="s">
        <v>338</v>
      </c>
      <c r="S109" t="s">
        <v>323</v>
      </c>
      <c r="T109">
        <v>7.6</v>
      </c>
      <c r="W109" t="s">
        <v>330</v>
      </c>
      <c r="Y109" s="42">
        <v>44523</v>
      </c>
    </row>
    <row r="110" spans="14:25">
      <c r="N110" s="42">
        <v>44517</v>
      </c>
      <c r="O110" t="s">
        <v>328</v>
      </c>
      <c r="P110" s="42">
        <v>44517</v>
      </c>
      <c r="Q110" t="s">
        <v>328</v>
      </c>
      <c r="R110" t="s">
        <v>338</v>
      </c>
      <c r="S110" t="s">
        <v>323</v>
      </c>
      <c r="T110">
        <v>7.6</v>
      </c>
      <c r="W110" t="s">
        <v>330</v>
      </c>
      <c r="Y110" s="42">
        <v>44523</v>
      </c>
    </row>
    <row r="111" spans="14:25">
      <c r="N111" s="42">
        <v>44516</v>
      </c>
      <c r="O111" t="s">
        <v>333</v>
      </c>
      <c r="P111" s="42">
        <v>44516</v>
      </c>
      <c r="Q111" t="s">
        <v>333</v>
      </c>
      <c r="R111" t="s">
        <v>338</v>
      </c>
      <c r="S111" t="s">
        <v>323</v>
      </c>
      <c r="T111">
        <v>7.6</v>
      </c>
      <c r="W111" t="s">
        <v>330</v>
      </c>
      <c r="Y111" s="42">
        <v>44523</v>
      </c>
    </row>
    <row r="112" spans="14:25">
      <c r="N112" s="42">
        <v>44515</v>
      </c>
      <c r="O112" t="s">
        <v>345</v>
      </c>
      <c r="P112" s="42">
        <v>44515</v>
      </c>
      <c r="Q112" t="s">
        <v>345</v>
      </c>
      <c r="R112" t="s">
        <v>338</v>
      </c>
      <c r="S112" t="s">
        <v>323</v>
      </c>
      <c r="T112">
        <v>7.6</v>
      </c>
      <c r="W112" t="s">
        <v>330</v>
      </c>
      <c r="Y112" s="42">
        <v>44523</v>
      </c>
    </row>
    <row r="113" spans="14:25">
      <c r="N113" s="42">
        <v>44514</v>
      </c>
      <c r="O113" t="s">
        <v>344</v>
      </c>
      <c r="P113" s="42">
        <v>44514</v>
      </c>
      <c r="Q113" t="s">
        <v>344</v>
      </c>
      <c r="R113" t="s">
        <v>338</v>
      </c>
      <c r="S113" t="s">
        <v>323</v>
      </c>
      <c r="T113">
        <v>7.6</v>
      </c>
      <c r="W113" t="s">
        <v>330</v>
      </c>
      <c r="Y113" s="42">
        <v>44523</v>
      </c>
    </row>
    <row r="114" spans="14:25">
      <c r="N114" s="42">
        <v>44511</v>
      </c>
      <c r="O114" t="s">
        <v>324</v>
      </c>
      <c r="P114" s="42">
        <v>44511</v>
      </c>
      <c r="Q114" t="s">
        <v>324</v>
      </c>
      <c r="R114" t="s">
        <v>338</v>
      </c>
      <c r="S114" t="s">
        <v>323</v>
      </c>
      <c r="T114">
        <v>7.6</v>
      </c>
      <c r="W114" t="s">
        <v>330</v>
      </c>
      <c r="Y114" s="42">
        <v>44523</v>
      </c>
    </row>
    <row r="115" spans="14:25">
      <c r="N115" s="42">
        <v>44510</v>
      </c>
      <c r="O115" t="s">
        <v>328</v>
      </c>
      <c r="P115" s="42">
        <v>44510</v>
      </c>
      <c r="Q115" t="s">
        <v>328</v>
      </c>
      <c r="R115" t="s">
        <v>338</v>
      </c>
      <c r="S115" t="s">
        <v>323</v>
      </c>
      <c r="T115">
        <v>7.6</v>
      </c>
      <c r="W115" t="s">
        <v>330</v>
      </c>
      <c r="Y115" s="42">
        <v>44523</v>
      </c>
    </row>
    <row r="116" spans="14:25">
      <c r="N116" s="42">
        <v>44509</v>
      </c>
      <c r="O116" t="s">
        <v>333</v>
      </c>
      <c r="P116" s="42">
        <v>44509</v>
      </c>
      <c r="Q116" t="s">
        <v>333</v>
      </c>
      <c r="R116" t="s">
        <v>338</v>
      </c>
      <c r="S116" t="s">
        <v>323</v>
      </c>
      <c r="T116">
        <v>7.6</v>
      </c>
      <c r="W116" t="s">
        <v>330</v>
      </c>
      <c r="Y116" s="42">
        <v>44509</v>
      </c>
    </row>
    <row r="117" spans="14:25">
      <c r="N117" s="42">
        <v>44508</v>
      </c>
      <c r="O117" t="s">
        <v>345</v>
      </c>
      <c r="P117" s="42">
        <v>44508</v>
      </c>
      <c r="Q117" t="s">
        <v>345</v>
      </c>
      <c r="R117" t="s">
        <v>338</v>
      </c>
      <c r="S117" t="s">
        <v>323</v>
      </c>
      <c r="T117">
        <v>7.6</v>
      </c>
      <c r="W117" t="s">
        <v>330</v>
      </c>
      <c r="Y117" s="42">
        <v>44509</v>
      </c>
    </row>
    <row r="118" spans="14:25">
      <c r="N118" s="42">
        <v>44507</v>
      </c>
      <c r="O118" t="s">
        <v>344</v>
      </c>
      <c r="P118" s="42">
        <v>44507</v>
      </c>
      <c r="Q118" t="s">
        <v>344</v>
      </c>
      <c r="R118" t="s">
        <v>338</v>
      </c>
      <c r="S118" t="s">
        <v>323</v>
      </c>
      <c r="T118">
        <v>7.6</v>
      </c>
      <c r="W118" t="s">
        <v>330</v>
      </c>
      <c r="Y118" s="42">
        <v>44509</v>
      </c>
    </row>
    <row r="119" spans="14:25">
      <c r="N119" s="42">
        <v>44504</v>
      </c>
      <c r="O119" t="s">
        <v>324</v>
      </c>
      <c r="P119" s="42">
        <v>44504</v>
      </c>
      <c r="Q119" t="s">
        <v>324</v>
      </c>
      <c r="R119" t="s">
        <v>338</v>
      </c>
      <c r="S119" t="s">
        <v>323</v>
      </c>
      <c r="T119">
        <v>7.6</v>
      </c>
      <c r="W119" t="s">
        <v>330</v>
      </c>
      <c r="Y119" s="42">
        <v>44509</v>
      </c>
    </row>
    <row r="120" spans="14:25">
      <c r="N120" s="42">
        <v>44503</v>
      </c>
      <c r="O120" t="s">
        <v>328</v>
      </c>
      <c r="P120" s="42">
        <v>44503</v>
      </c>
      <c r="Q120" t="s">
        <v>328</v>
      </c>
      <c r="R120" t="s">
        <v>338</v>
      </c>
      <c r="S120" t="s">
        <v>323</v>
      </c>
      <c r="T120">
        <v>7.6</v>
      </c>
      <c r="W120" t="s">
        <v>330</v>
      </c>
      <c r="Y120" s="42">
        <v>44509</v>
      </c>
    </row>
    <row r="121" spans="14:25">
      <c r="N121" s="42">
        <v>44501</v>
      </c>
      <c r="O121" t="s">
        <v>345</v>
      </c>
      <c r="P121" s="42">
        <v>44501</v>
      </c>
      <c r="Q121" t="s">
        <v>345</v>
      </c>
      <c r="R121" t="s">
        <v>338</v>
      </c>
      <c r="S121" t="s">
        <v>323</v>
      </c>
      <c r="T121">
        <v>7.6</v>
      </c>
      <c r="W121" t="s">
        <v>330</v>
      </c>
      <c r="Y121" s="42">
        <v>44509</v>
      </c>
    </row>
    <row r="122" spans="14:25">
      <c r="N122" s="42">
        <v>44500</v>
      </c>
      <c r="O122" t="s">
        <v>344</v>
      </c>
      <c r="P122" s="42">
        <v>44500</v>
      </c>
      <c r="Q122" t="s">
        <v>344</v>
      </c>
      <c r="R122" t="s">
        <v>338</v>
      </c>
      <c r="S122" t="s">
        <v>323</v>
      </c>
      <c r="T122">
        <v>7.6</v>
      </c>
      <c r="W122" t="s">
        <v>330</v>
      </c>
      <c r="Y122" s="42">
        <v>44509</v>
      </c>
    </row>
    <row r="123" spans="14:25">
      <c r="N123" s="42">
        <v>44497</v>
      </c>
      <c r="O123" t="s">
        <v>324</v>
      </c>
      <c r="P123" s="42">
        <v>44497</v>
      </c>
      <c r="Q123" t="s">
        <v>324</v>
      </c>
      <c r="R123" t="s">
        <v>338</v>
      </c>
      <c r="S123" t="s">
        <v>323</v>
      </c>
      <c r="T123">
        <v>7.6</v>
      </c>
      <c r="W123" t="s">
        <v>330</v>
      </c>
      <c r="Y123" s="42">
        <v>44509</v>
      </c>
    </row>
    <row r="124" spans="14:25">
      <c r="N124" s="42">
        <v>44496</v>
      </c>
      <c r="O124" t="s">
        <v>328</v>
      </c>
      <c r="P124" s="42">
        <v>44496</v>
      </c>
      <c r="Q124" t="s">
        <v>328</v>
      </c>
      <c r="R124" t="s">
        <v>338</v>
      </c>
      <c r="S124" t="s">
        <v>323</v>
      </c>
      <c r="T124">
        <v>7.6</v>
      </c>
      <c r="W124" t="s">
        <v>330</v>
      </c>
      <c r="Y124" s="42">
        <v>44509</v>
      </c>
    </row>
    <row r="125" spans="14:25">
      <c r="N125" s="42">
        <v>44495</v>
      </c>
      <c r="O125" t="s">
        <v>333</v>
      </c>
      <c r="P125" s="42">
        <v>44495</v>
      </c>
      <c r="Q125" t="s">
        <v>333</v>
      </c>
      <c r="R125" t="s">
        <v>338</v>
      </c>
      <c r="S125" t="s">
        <v>323</v>
      </c>
      <c r="T125">
        <v>7.6</v>
      </c>
      <c r="W125" t="s">
        <v>330</v>
      </c>
      <c r="Y125" s="42">
        <v>44495</v>
      </c>
    </row>
    <row r="126" spans="14:25">
      <c r="N126" s="42">
        <v>44494</v>
      </c>
      <c r="O126" t="s">
        <v>345</v>
      </c>
      <c r="P126" s="42">
        <v>44494</v>
      </c>
      <c r="Q126" t="s">
        <v>345</v>
      </c>
      <c r="R126" t="s">
        <v>338</v>
      </c>
      <c r="S126" t="s">
        <v>323</v>
      </c>
      <c r="T126">
        <v>7.6</v>
      </c>
      <c r="W126" t="s">
        <v>330</v>
      </c>
      <c r="Y126" s="42">
        <v>44495</v>
      </c>
    </row>
    <row r="127" spans="14:25">
      <c r="N127" s="42">
        <v>44493</v>
      </c>
      <c r="O127" t="s">
        <v>344</v>
      </c>
      <c r="P127" s="42">
        <v>44493</v>
      </c>
      <c r="Q127" t="s">
        <v>344</v>
      </c>
      <c r="R127" t="s">
        <v>338</v>
      </c>
      <c r="S127" t="s">
        <v>323</v>
      </c>
      <c r="T127">
        <v>7.6</v>
      </c>
      <c r="W127" t="s">
        <v>330</v>
      </c>
      <c r="Y127" s="42">
        <v>44495</v>
      </c>
    </row>
    <row r="128" spans="14:25">
      <c r="N128" s="42">
        <v>44490</v>
      </c>
      <c r="O128" t="s">
        <v>324</v>
      </c>
      <c r="P128" s="42">
        <v>44490</v>
      </c>
      <c r="Q128" t="s">
        <v>324</v>
      </c>
      <c r="R128" t="s">
        <v>338</v>
      </c>
      <c r="S128" t="s">
        <v>323</v>
      </c>
      <c r="T128">
        <v>7.6</v>
      </c>
      <c r="W128" t="s">
        <v>330</v>
      </c>
      <c r="Y128" s="42">
        <v>44495</v>
      </c>
    </row>
    <row r="129" spans="14:25">
      <c r="N129" s="42">
        <v>44489</v>
      </c>
      <c r="O129" t="s">
        <v>328</v>
      </c>
      <c r="P129" s="42">
        <v>44489</v>
      </c>
      <c r="Q129" t="s">
        <v>328</v>
      </c>
      <c r="R129" t="s">
        <v>338</v>
      </c>
      <c r="S129" t="s">
        <v>323</v>
      </c>
      <c r="T129">
        <v>7.6</v>
      </c>
      <c r="W129" t="s">
        <v>330</v>
      </c>
      <c r="Y129" s="42">
        <v>44495</v>
      </c>
    </row>
    <row r="130" spans="14:25">
      <c r="N130" s="42">
        <v>44488</v>
      </c>
      <c r="O130" t="s">
        <v>333</v>
      </c>
      <c r="P130" s="42">
        <v>44488</v>
      </c>
      <c r="Q130" t="s">
        <v>333</v>
      </c>
      <c r="R130" t="s">
        <v>338</v>
      </c>
      <c r="S130" t="s">
        <v>323</v>
      </c>
      <c r="T130">
        <v>7.6</v>
      </c>
      <c r="W130" t="s">
        <v>330</v>
      </c>
      <c r="Y130" s="42">
        <v>44495</v>
      </c>
    </row>
    <row r="131" spans="14:25">
      <c r="N131" s="42">
        <v>44487</v>
      </c>
      <c r="O131" t="s">
        <v>345</v>
      </c>
      <c r="P131" s="42">
        <v>44487</v>
      </c>
      <c r="Q131" t="s">
        <v>345</v>
      </c>
      <c r="R131" t="s">
        <v>338</v>
      </c>
      <c r="S131" t="s">
        <v>323</v>
      </c>
      <c r="T131">
        <v>7.6</v>
      </c>
      <c r="W131" t="s">
        <v>330</v>
      </c>
      <c r="Y131" s="42">
        <v>44495</v>
      </c>
    </row>
    <row r="132" spans="14:25">
      <c r="N132" s="42">
        <v>44486</v>
      </c>
      <c r="O132" t="s">
        <v>344</v>
      </c>
      <c r="P132" s="42">
        <v>44486</v>
      </c>
      <c r="Q132" t="s">
        <v>344</v>
      </c>
      <c r="R132" t="s">
        <v>338</v>
      </c>
      <c r="S132" t="s">
        <v>323</v>
      </c>
      <c r="T132">
        <v>7.6</v>
      </c>
      <c r="W132" t="s">
        <v>330</v>
      </c>
      <c r="Y132" s="42">
        <v>44495</v>
      </c>
    </row>
    <row r="133" spans="14:25">
      <c r="N133" s="42">
        <v>44483</v>
      </c>
      <c r="O133" t="s">
        <v>324</v>
      </c>
      <c r="P133" s="42">
        <v>44483</v>
      </c>
      <c r="Q133" t="s">
        <v>324</v>
      </c>
      <c r="R133" t="s">
        <v>338</v>
      </c>
      <c r="S133" t="s">
        <v>323</v>
      </c>
      <c r="T133">
        <v>7.6</v>
      </c>
      <c r="W133" t="s">
        <v>330</v>
      </c>
      <c r="Y133" s="42">
        <v>44495</v>
      </c>
    </row>
    <row r="134" spans="14:25">
      <c r="N134" s="42">
        <v>44482</v>
      </c>
      <c r="O134" t="s">
        <v>328</v>
      </c>
      <c r="P134" s="42">
        <v>44482</v>
      </c>
      <c r="Q134" t="s">
        <v>328</v>
      </c>
      <c r="R134" t="s">
        <v>338</v>
      </c>
      <c r="S134" t="s">
        <v>323</v>
      </c>
      <c r="T134">
        <v>7.6</v>
      </c>
      <c r="W134" t="s">
        <v>330</v>
      </c>
      <c r="Y134" s="42">
        <v>44495</v>
      </c>
    </row>
    <row r="135" spans="14:25">
      <c r="N135" s="42">
        <v>44481</v>
      </c>
      <c r="O135" t="s">
        <v>333</v>
      </c>
      <c r="P135" s="42">
        <v>44481</v>
      </c>
      <c r="Q135" t="s">
        <v>333</v>
      </c>
      <c r="R135" t="s">
        <v>338</v>
      </c>
      <c r="S135" t="s">
        <v>323</v>
      </c>
      <c r="T135">
        <v>7.6</v>
      </c>
      <c r="W135" t="s">
        <v>330</v>
      </c>
      <c r="Y135" s="42">
        <v>44481</v>
      </c>
    </row>
    <row r="136" spans="14:25">
      <c r="N136" s="42">
        <v>44480</v>
      </c>
      <c r="O136" t="s">
        <v>345</v>
      </c>
      <c r="P136" s="42">
        <v>44480</v>
      </c>
      <c r="Q136" t="s">
        <v>345</v>
      </c>
      <c r="R136" t="s">
        <v>338</v>
      </c>
      <c r="S136" t="s">
        <v>323</v>
      </c>
      <c r="T136">
        <v>7.6</v>
      </c>
      <c r="W136" t="s">
        <v>330</v>
      </c>
      <c r="Y136" s="42">
        <v>44481</v>
      </c>
    </row>
    <row r="137" spans="14:25">
      <c r="N137" s="42">
        <v>44479</v>
      </c>
      <c r="O137" t="s">
        <v>344</v>
      </c>
      <c r="P137" s="42">
        <v>44479</v>
      </c>
      <c r="Q137" t="s">
        <v>344</v>
      </c>
      <c r="R137" t="s">
        <v>338</v>
      </c>
      <c r="S137" t="s">
        <v>323</v>
      </c>
      <c r="T137">
        <v>7.6</v>
      </c>
      <c r="W137" t="s">
        <v>330</v>
      </c>
      <c r="Y137" s="42">
        <v>44481</v>
      </c>
    </row>
    <row r="138" spans="14:25">
      <c r="N138" s="42">
        <v>44476</v>
      </c>
      <c r="O138" t="s">
        <v>324</v>
      </c>
      <c r="P138" s="42">
        <v>44476</v>
      </c>
      <c r="Q138" t="s">
        <v>324</v>
      </c>
      <c r="R138" t="s">
        <v>338</v>
      </c>
      <c r="S138" t="s">
        <v>323</v>
      </c>
      <c r="T138">
        <v>7.6</v>
      </c>
      <c r="W138" t="s">
        <v>330</v>
      </c>
      <c r="Y138" s="42">
        <v>44481</v>
      </c>
    </row>
    <row r="139" spans="14:25">
      <c r="N139" s="42">
        <v>44475</v>
      </c>
      <c r="O139" t="s">
        <v>328</v>
      </c>
      <c r="P139" s="42">
        <v>44475</v>
      </c>
      <c r="Q139" t="s">
        <v>328</v>
      </c>
      <c r="R139" t="s">
        <v>338</v>
      </c>
      <c r="S139" t="s">
        <v>323</v>
      </c>
      <c r="T139">
        <v>7.6</v>
      </c>
      <c r="W139" t="s">
        <v>330</v>
      </c>
      <c r="Y139" s="42">
        <v>44481</v>
      </c>
    </row>
    <row r="140" spans="14:25">
      <c r="N140" s="42">
        <v>44474</v>
      </c>
      <c r="O140" t="s">
        <v>333</v>
      </c>
      <c r="P140" s="42">
        <v>44474</v>
      </c>
      <c r="Q140" t="s">
        <v>333</v>
      </c>
      <c r="R140" t="s">
        <v>338</v>
      </c>
      <c r="S140" t="s">
        <v>323</v>
      </c>
      <c r="T140">
        <v>7.6</v>
      </c>
      <c r="W140" t="s">
        <v>330</v>
      </c>
      <c r="Y140" s="42">
        <v>44481</v>
      </c>
    </row>
    <row r="141" spans="14:25">
      <c r="N141" s="42">
        <v>44473</v>
      </c>
      <c r="O141" t="s">
        <v>345</v>
      </c>
      <c r="P141" s="42">
        <v>44473</v>
      </c>
      <c r="Q141" t="s">
        <v>345</v>
      </c>
      <c r="R141" t="s">
        <v>338</v>
      </c>
      <c r="S141" t="s">
        <v>323</v>
      </c>
      <c r="T141">
        <v>7.6</v>
      </c>
      <c r="W141" t="s">
        <v>330</v>
      </c>
      <c r="Y141" s="42">
        <v>44481</v>
      </c>
    </row>
    <row r="142" spans="14:25">
      <c r="N142" s="42">
        <v>44472</v>
      </c>
      <c r="O142" t="s">
        <v>344</v>
      </c>
      <c r="P142" s="42">
        <v>44472</v>
      </c>
      <c r="Q142" t="s">
        <v>344</v>
      </c>
      <c r="R142" t="s">
        <v>338</v>
      </c>
      <c r="S142" t="s">
        <v>323</v>
      </c>
      <c r="T142">
        <v>7.6</v>
      </c>
      <c r="W142" t="s">
        <v>330</v>
      </c>
      <c r="Y142" s="42">
        <v>44481</v>
      </c>
    </row>
    <row r="143" spans="14:25">
      <c r="N143" s="42">
        <v>44469</v>
      </c>
      <c r="O143" t="s">
        <v>324</v>
      </c>
      <c r="P143" s="42">
        <v>44469</v>
      </c>
      <c r="Q143" t="s">
        <v>324</v>
      </c>
      <c r="R143" t="s">
        <v>338</v>
      </c>
      <c r="S143" t="s">
        <v>323</v>
      </c>
      <c r="T143">
        <v>7.6</v>
      </c>
      <c r="W143" t="s">
        <v>330</v>
      </c>
      <c r="Y143" s="42">
        <v>44481</v>
      </c>
    </row>
    <row r="144" spans="14:25">
      <c r="N144" s="42">
        <v>44468</v>
      </c>
      <c r="O144" t="s">
        <v>328</v>
      </c>
      <c r="P144" s="42">
        <v>44468</v>
      </c>
      <c r="Q144" t="s">
        <v>328</v>
      </c>
      <c r="R144" t="s">
        <v>338</v>
      </c>
      <c r="S144" t="s">
        <v>323</v>
      </c>
      <c r="T144">
        <v>7.6</v>
      </c>
      <c r="W144" t="s">
        <v>330</v>
      </c>
      <c r="Y144" s="42">
        <v>44481</v>
      </c>
    </row>
    <row r="145" spans="14:25">
      <c r="N145" s="42">
        <v>44467</v>
      </c>
      <c r="O145" t="s">
        <v>333</v>
      </c>
      <c r="P145" s="42">
        <v>44467</v>
      </c>
      <c r="Q145" t="s">
        <v>333</v>
      </c>
      <c r="R145" t="s">
        <v>338</v>
      </c>
      <c r="S145" t="s">
        <v>323</v>
      </c>
      <c r="T145">
        <v>7.6</v>
      </c>
      <c r="W145" t="s">
        <v>330</v>
      </c>
      <c r="Y145" s="42">
        <v>44467</v>
      </c>
    </row>
    <row r="146" spans="14:25">
      <c r="N146" s="42">
        <v>44466</v>
      </c>
      <c r="O146" t="s">
        <v>345</v>
      </c>
      <c r="P146" s="42">
        <v>44466</v>
      </c>
      <c r="Q146" t="s">
        <v>345</v>
      </c>
      <c r="R146" t="s">
        <v>338</v>
      </c>
      <c r="S146" t="s">
        <v>323</v>
      </c>
      <c r="T146">
        <v>7.6</v>
      </c>
      <c r="W146" t="s">
        <v>330</v>
      </c>
      <c r="Y146" s="42">
        <v>44467</v>
      </c>
    </row>
    <row r="147" spans="14:25">
      <c r="N147" s="42">
        <v>44465</v>
      </c>
      <c r="O147" t="s">
        <v>344</v>
      </c>
      <c r="P147" s="42">
        <v>44465</v>
      </c>
      <c r="Q147" t="s">
        <v>344</v>
      </c>
      <c r="R147" t="s">
        <v>338</v>
      </c>
      <c r="S147" t="s">
        <v>323</v>
      </c>
      <c r="T147">
        <v>7.6</v>
      </c>
      <c r="W147" t="s">
        <v>330</v>
      </c>
      <c r="Y147" s="42">
        <v>44467</v>
      </c>
    </row>
    <row r="148" spans="14:25">
      <c r="N148" s="42">
        <v>44462</v>
      </c>
      <c r="O148" t="s">
        <v>324</v>
      </c>
      <c r="P148" s="42">
        <v>44462</v>
      </c>
      <c r="Q148" t="s">
        <v>324</v>
      </c>
      <c r="R148" t="s">
        <v>338</v>
      </c>
      <c r="S148" t="s">
        <v>323</v>
      </c>
      <c r="T148">
        <v>7.6</v>
      </c>
      <c r="W148" t="s">
        <v>330</v>
      </c>
      <c r="Y148" s="42">
        <v>44467</v>
      </c>
    </row>
    <row r="149" spans="14:25">
      <c r="N149" s="42">
        <v>44461</v>
      </c>
      <c r="O149" t="s">
        <v>328</v>
      </c>
      <c r="P149" s="42">
        <v>44461</v>
      </c>
      <c r="Q149" t="s">
        <v>328</v>
      </c>
      <c r="R149" t="s">
        <v>338</v>
      </c>
      <c r="S149" t="s">
        <v>323</v>
      </c>
      <c r="T149">
        <v>7.6</v>
      </c>
      <c r="W149" t="s">
        <v>330</v>
      </c>
      <c r="Y149" s="42">
        <v>44467</v>
      </c>
    </row>
    <row r="150" spans="14:25">
      <c r="N150" s="42">
        <v>44460</v>
      </c>
      <c r="O150" t="s">
        <v>333</v>
      </c>
      <c r="P150" s="42">
        <v>44460</v>
      </c>
      <c r="Q150" t="s">
        <v>333</v>
      </c>
      <c r="R150" t="s">
        <v>338</v>
      </c>
      <c r="S150" t="s">
        <v>323</v>
      </c>
      <c r="T150">
        <v>7.6</v>
      </c>
      <c r="W150" t="s">
        <v>330</v>
      </c>
      <c r="Y150" s="42">
        <v>44467</v>
      </c>
    </row>
    <row r="151" spans="14:25">
      <c r="N151" s="42">
        <v>44459</v>
      </c>
      <c r="O151" t="s">
        <v>345</v>
      </c>
      <c r="P151" s="42">
        <v>44459</v>
      </c>
      <c r="Q151" t="s">
        <v>345</v>
      </c>
      <c r="R151" t="s">
        <v>338</v>
      </c>
      <c r="S151" t="s">
        <v>323</v>
      </c>
      <c r="T151">
        <v>7.6</v>
      </c>
      <c r="W151" t="s">
        <v>330</v>
      </c>
      <c r="Y151" s="42">
        <v>44467</v>
      </c>
    </row>
    <row r="152" spans="14:25">
      <c r="N152" s="42">
        <v>44458</v>
      </c>
      <c r="O152" t="s">
        <v>344</v>
      </c>
      <c r="P152" s="42">
        <v>44458</v>
      </c>
      <c r="Q152" t="s">
        <v>344</v>
      </c>
      <c r="R152" t="s">
        <v>338</v>
      </c>
      <c r="S152" t="s">
        <v>323</v>
      </c>
      <c r="T152">
        <v>7.6</v>
      </c>
      <c r="W152" t="s">
        <v>330</v>
      </c>
      <c r="Y152" s="42">
        <v>44467</v>
      </c>
    </row>
    <row r="153" spans="14:25">
      <c r="N153" s="42">
        <v>44455</v>
      </c>
      <c r="O153" t="s">
        <v>324</v>
      </c>
      <c r="P153" s="42">
        <v>44455</v>
      </c>
      <c r="Q153" t="s">
        <v>324</v>
      </c>
      <c r="R153" t="s">
        <v>338</v>
      </c>
      <c r="S153" t="s">
        <v>323</v>
      </c>
      <c r="T153">
        <v>7.6</v>
      </c>
      <c r="W153" t="s">
        <v>330</v>
      </c>
      <c r="Y153" s="42">
        <v>44467</v>
      </c>
    </row>
    <row r="154" spans="14:25">
      <c r="N154" s="42">
        <v>44454</v>
      </c>
      <c r="O154" t="s">
        <v>328</v>
      </c>
      <c r="P154" s="42">
        <v>44454</v>
      </c>
      <c r="Q154" t="s">
        <v>328</v>
      </c>
      <c r="R154" t="s">
        <v>338</v>
      </c>
      <c r="S154" t="s">
        <v>323</v>
      </c>
      <c r="T154">
        <v>7.6</v>
      </c>
      <c r="W154" t="s">
        <v>330</v>
      </c>
      <c r="Y154" s="42">
        <v>44467</v>
      </c>
    </row>
    <row r="155" spans="14:25">
      <c r="N155" s="42">
        <v>44453</v>
      </c>
      <c r="O155" t="s">
        <v>333</v>
      </c>
      <c r="P155" s="42">
        <v>44453</v>
      </c>
      <c r="Q155" t="s">
        <v>333</v>
      </c>
      <c r="R155" t="s">
        <v>338</v>
      </c>
      <c r="S155" t="s">
        <v>323</v>
      </c>
      <c r="T155">
        <v>7.6</v>
      </c>
      <c r="W155" t="s">
        <v>330</v>
      </c>
      <c r="Y155" s="42">
        <v>44453</v>
      </c>
    </row>
    <row r="156" spans="14:25">
      <c r="N156" s="42">
        <v>44452</v>
      </c>
      <c r="O156" t="s">
        <v>345</v>
      </c>
      <c r="P156" s="42">
        <v>44452</v>
      </c>
      <c r="Q156" t="s">
        <v>345</v>
      </c>
      <c r="R156" t="s">
        <v>338</v>
      </c>
      <c r="S156" t="s">
        <v>323</v>
      </c>
      <c r="T156">
        <v>7.6</v>
      </c>
      <c r="W156" t="s">
        <v>330</v>
      </c>
      <c r="Y156" s="42">
        <v>44453</v>
      </c>
    </row>
    <row r="157" spans="14:25">
      <c r="N157" s="42">
        <v>44451</v>
      </c>
      <c r="O157" t="s">
        <v>344</v>
      </c>
      <c r="P157" s="42">
        <v>44451</v>
      </c>
      <c r="Q157" t="s">
        <v>344</v>
      </c>
      <c r="R157" t="s">
        <v>338</v>
      </c>
      <c r="S157" t="s">
        <v>323</v>
      </c>
      <c r="T157">
        <v>7.6</v>
      </c>
      <c r="W157" t="s">
        <v>330</v>
      </c>
      <c r="Y157" s="42">
        <v>44453</v>
      </c>
    </row>
    <row r="158" spans="14:25">
      <c r="N158" s="42">
        <v>44448</v>
      </c>
      <c r="O158" t="s">
        <v>324</v>
      </c>
      <c r="P158" s="42">
        <v>44448</v>
      </c>
      <c r="Q158" t="s">
        <v>324</v>
      </c>
      <c r="R158" t="s">
        <v>338</v>
      </c>
      <c r="S158" t="s">
        <v>323</v>
      </c>
      <c r="T158">
        <v>7.6</v>
      </c>
      <c r="W158" t="s">
        <v>330</v>
      </c>
      <c r="Y158" s="42">
        <v>44453</v>
      </c>
    </row>
    <row r="159" spans="14:25">
      <c r="N159" s="42">
        <v>44447</v>
      </c>
      <c r="O159" t="s">
        <v>328</v>
      </c>
      <c r="P159" s="42">
        <v>44447</v>
      </c>
      <c r="Q159" t="s">
        <v>328</v>
      </c>
      <c r="R159" t="s">
        <v>338</v>
      </c>
      <c r="S159" t="s">
        <v>323</v>
      </c>
      <c r="T159">
        <v>7.6</v>
      </c>
      <c r="W159" t="s">
        <v>330</v>
      </c>
      <c r="Y159" s="42">
        <v>44453</v>
      </c>
    </row>
    <row r="160" spans="14:25">
      <c r="N160" s="42">
        <v>44446</v>
      </c>
      <c r="O160" t="s">
        <v>333</v>
      </c>
      <c r="P160" s="42">
        <v>44446</v>
      </c>
      <c r="Q160" t="s">
        <v>333</v>
      </c>
      <c r="R160" t="s">
        <v>338</v>
      </c>
      <c r="S160" t="s">
        <v>323</v>
      </c>
      <c r="T160">
        <v>7.6</v>
      </c>
      <c r="W160" t="s">
        <v>330</v>
      </c>
      <c r="Y160" s="42">
        <v>44453</v>
      </c>
    </row>
    <row r="161" spans="14:25">
      <c r="N161" s="42">
        <v>44445</v>
      </c>
      <c r="O161" t="s">
        <v>345</v>
      </c>
      <c r="P161" s="42">
        <v>44445</v>
      </c>
      <c r="Q161" t="s">
        <v>345</v>
      </c>
      <c r="R161" t="s">
        <v>338</v>
      </c>
      <c r="S161" t="s">
        <v>323</v>
      </c>
      <c r="T161">
        <v>7.6</v>
      </c>
      <c r="W161" t="s">
        <v>330</v>
      </c>
      <c r="Y161" s="42">
        <v>44453</v>
      </c>
    </row>
    <row r="162" spans="14:25">
      <c r="N162" s="42">
        <v>44444</v>
      </c>
      <c r="O162" t="s">
        <v>344</v>
      </c>
      <c r="P162" s="42">
        <v>44444</v>
      </c>
      <c r="Q162" t="s">
        <v>344</v>
      </c>
      <c r="R162" t="s">
        <v>338</v>
      </c>
      <c r="S162" t="s">
        <v>323</v>
      </c>
      <c r="T162">
        <v>7.6</v>
      </c>
      <c r="W162" t="s">
        <v>330</v>
      </c>
      <c r="Y162" s="42">
        <v>44453</v>
      </c>
    </row>
    <row r="163" spans="14:25">
      <c r="N163" s="42">
        <v>44441</v>
      </c>
      <c r="O163" t="s">
        <v>324</v>
      </c>
      <c r="P163" s="42">
        <v>44441</v>
      </c>
      <c r="Q163" t="s">
        <v>324</v>
      </c>
      <c r="R163" t="s">
        <v>338</v>
      </c>
      <c r="S163" t="s">
        <v>323</v>
      </c>
      <c r="T163">
        <v>7.6</v>
      </c>
      <c r="W163" t="s">
        <v>330</v>
      </c>
      <c r="Y163" s="42">
        <v>44453</v>
      </c>
    </row>
    <row r="164" spans="14:25">
      <c r="N164" s="42">
        <v>44440</v>
      </c>
      <c r="O164" t="s">
        <v>328</v>
      </c>
      <c r="P164" s="42">
        <v>44440</v>
      </c>
      <c r="Q164" t="s">
        <v>328</v>
      </c>
      <c r="R164" t="s">
        <v>338</v>
      </c>
      <c r="S164" t="s">
        <v>323</v>
      </c>
      <c r="T164">
        <v>7.6</v>
      </c>
      <c r="W164" t="s">
        <v>330</v>
      </c>
      <c r="Y164" s="42">
        <v>44453</v>
      </c>
    </row>
    <row r="165" spans="14:25">
      <c r="N165" s="42">
        <v>44439</v>
      </c>
      <c r="O165" t="s">
        <v>333</v>
      </c>
      <c r="P165" s="42">
        <v>44439</v>
      </c>
      <c r="Q165" t="s">
        <v>333</v>
      </c>
      <c r="R165" t="s">
        <v>338</v>
      </c>
      <c r="S165" t="s">
        <v>323</v>
      </c>
      <c r="T165">
        <v>7.6</v>
      </c>
      <c r="W165" t="s">
        <v>330</v>
      </c>
      <c r="Y165" s="42">
        <v>44439</v>
      </c>
    </row>
    <row r="166" spans="14:25">
      <c r="N166" s="42">
        <v>44438</v>
      </c>
      <c r="O166" t="s">
        <v>345</v>
      </c>
      <c r="P166" s="42">
        <v>44438</v>
      </c>
      <c r="Q166" t="s">
        <v>345</v>
      </c>
      <c r="R166" t="s">
        <v>338</v>
      </c>
      <c r="S166" t="s">
        <v>323</v>
      </c>
      <c r="T166">
        <v>7.6</v>
      </c>
      <c r="W166" t="s">
        <v>330</v>
      </c>
      <c r="Y166" s="42">
        <v>44439</v>
      </c>
    </row>
    <row r="167" spans="14:25">
      <c r="N167" s="42">
        <v>44437</v>
      </c>
      <c r="O167" t="s">
        <v>344</v>
      </c>
      <c r="P167" s="42">
        <v>44437</v>
      </c>
      <c r="Q167" t="s">
        <v>344</v>
      </c>
      <c r="R167" t="s">
        <v>338</v>
      </c>
      <c r="S167" t="s">
        <v>323</v>
      </c>
      <c r="T167">
        <v>7.6</v>
      </c>
      <c r="W167" t="s">
        <v>330</v>
      </c>
      <c r="Y167" s="42">
        <v>44439</v>
      </c>
    </row>
    <row r="168" spans="14:25">
      <c r="N168" s="42">
        <v>44434</v>
      </c>
      <c r="O168" t="s">
        <v>324</v>
      </c>
      <c r="P168" s="42">
        <v>44434</v>
      </c>
      <c r="Q168" t="s">
        <v>324</v>
      </c>
      <c r="R168" t="s">
        <v>338</v>
      </c>
      <c r="S168" t="s">
        <v>323</v>
      </c>
      <c r="T168">
        <v>7.6</v>
      </c>
      <c r="W168" t="s">
        <v>330</v>
      </c>
      <c r="Y168" s="42">
        <v>44439</v>
      </c>
    </row>
    <row r="169" spans="14:25">
      <c r="N169" s="42">
        <v>44433</v>
      </c>
      <c r="O169" t="s">
        <v>328</v>
      </c>
      <c r="P169" s="42">
        <v>44433</v>
      </c>
      <c r="Q169" t="s">
        <v>328</v>
      </c>
      <c r="R169" t="s">
        <v>338</v>
      </c>
      <c r="S169" t="s">
        <v>323</v>
      </c>
      <c r="T169">
        <v>7.6</v>
      </c>
      <c r="W169" t="s">
        <v>330</v>
      </c>
      <c r="Y169" s="42">
        <v>44439</v>
      </c>
    </row>
    <row r="170" spans="14:25">
      <c r="N170" s="42">
        <v>44432</v>
      </c>
      <c r="O170" t="s">
        <v>333</v>
      </c>
      <c r="P170" s="42">
        <v>44432</v>
      </c>
      <c r="Q170" t="s">
        <v>333</v>
      </c>
      <c r="R170" t="s">
        <v>338</v>
      </c>
      <c r="S170" t="s">
        <v>323</v>
      </c>
      <c r="T170">
        <v>7.6</v>
      </c>
      <c r="W170" t="s">
        <v>330</v>
      </c>
      <c r="Y170" s="42">
        <v>44439</v>
      </c>
    </row>
    <row r="171" spans="14:25">
      <c r="N171" s="42">
        <v>44431</v>
      </c>
      <c r="O171" t="s">
        <v>345</v>
      </c>
      <c r="P171" s="42">
        <v>44431</v>
      </c>
      <c r="Q171" t="s">
        <v>345</v>
      </c>
      <c r="R171" t="s">
        <v>338</v>
      </c>
      <c r="S171" t="s">
        <v>323</v>
      </c>
      <c r="T171">
        <v>7.6</v>
      </c>
      <c r="W171" t="s">
        <v>330</v>
      </c>
      <c r="Y171" s="42">
        <v>44439</v>
      </c>
    </row>
    <row r="172" spans="14:25">
      <c r="N172" s="42">
        <v>44430</v>
      </c>
      <c r="O172" t="s">
        <v>344</v>
      </c>
      <c r="P172" s="42">
        <v>44430</v>
      </c>
      <c r="Q172" t="s">
        <v>344</v>
      </c>
      <c r="R172" t="s">
        <v>338</v>
      </c>
      <c r="S172" t="s">
        <v>323</v>
      </c>
      <c r="T172">
        <v>7.6</v>
      </c>
      <c r="W172" t="s">
        <v>330</v>
      </c>
      <c r="Y172" s="42">
        <v>44439</v>
      </c>
    </row>
    <row r="173" spans="14:25">
      <c r="N173" s="42">
        <v>44427</v>
      </c>
      <c r="O173" t="s">
        <v>324</v>
      </c>
      <c r="P173" s="42">
        <v>44427</v>
      </c>
      <c r="Q173" t="s">
        <v>324</v>
      </c>
      <c r="R173" t="s">
        <v>338</v>
      </c>
      <c r="S173" t="s">
        <v>323</v>
      </c>
      <c r="T173">
        <v>7.6</v>
      </c>
      <c r="W173" t="s">
        <v>330</v>
      </c>
      <c r="Y173" s="42">
        <v>44439</v>
      </c>
    </row>
    <row r="174" spans="14:25">
      <c r="N174" s="42">
        <v>44426</v>
      </c>
      <c r="O174" t="s">
        <v>328</v>
      </c>
      <c r="P174" s="42">
        <v>44426</v>
      </c>
      <c r="Q174" t="s">
        <v>328</v>
      </c>
      <c r="R174" t="s">
        <v>338</v>
      </c>
      <c r="S174" t="s">
        <v>323</v>
      </c>
      <c r="T174">
        <v>7.6</v>
      </c>
      <c r="W174" t="s">
        <v>330</v>
      </c>
      <c r="Y174" s="42">
        <v>44439</v>
      </c>
    </row>
    <row r="175" spans="14:25">
      <c r="N175" s="42">
        <v>44425</v>
      </c>
      <c r="O175" t="s">
        <v>333</v>
      </c>
      <c r="P175" s="42">
        <v>44425</v>
      </c>
      <c r="Q175" t="s">
        <v>333</v>
      </c>
      <c r="R175" t="s">
        <v>338</v>
      </c>
      <c r="S175" t="s">
        <v>323</v>
      </c>
      <c r="T175">
        <v>7.6</v>
      </c>
      <c r="W175" t="s">
        <v>330</v>
      </c>
      <c r="Y175" s="42">
        <v>44425</v>
      </c>
    </row>
    <row r="176" spans="14:25">
      <c r="N176" s="42">
        <v>44424</v>
      </c>
      <c r="O176" t="s">
        <v>345</v>
      </c>
      <c r="P176" s="42">
        <v>44424</v>
      </c>
      <c r="Q176" t="s">
        <v>345</v>
      </c>
      <c r="R176" t="s">
        <v>338</v>
      </c>
      <c r="S176" t="s">
        <v>323</v>
      </c>
      <c r="T176">
        <v>7.6</v>
      </c>
      <c r="W176" t="s">
        <v>330</v>
      </c>
      <c r="Y176" s="42">
        <v>44425</v>
      </c>
    </row>
    <row r="177" spans="14:25">
      <c r="N177" s="42">
        <v>44423</v>
      </c>
      <c r="O177" t="s">
        <v>344</v>
      </c>
      <c r="P177" s="42">
        <v>44423</v>
      </c>
      <c r="Q177" t="s">
        <v>344</v>
      </c>
      <c r="R177" t="s">
        <v>338</v>
      </c>
      <c r="S177" t="s">
        <v>323</v>
      </c>
      <c r="T177">
        <v>7.6</v>
      </c>
      <c r="W177" t="s">
        <v>330</v>
      </c>
      <c r="Y177" s="42">
        <v>44425</v>
      </c>
    </row>
    <row r="178" spans="14:25">
      <c r="N178" s="42">
        <v>44420</v>
      </c>
      <c r="O178" t="s">
        <v>324</v>
      </c>
      <c r="P178" s="42">
        <v>44420</v>
      </c>
      <c r="Q178" t="s">
        <v>324</v>
      </c>
      <c r="R178" t="s">
        <v>338</v>
      </c>
      <c r="S178" t="s">
        <v>323</v>
      </c>
      <c r="T178">
        <v>7.6</v>
      </c>
      <c r="W178" t="s">
        <v>330</v>
      </c>
      <c r="Y178" s="42">
        <v>44425</v>
      </c>
    </row>
    <row r="179" spans="14:25">
      <c r="N179" s="42">
        <v>44419</v>
      </c>
      <c r="O179" t="s">
        <v>328</v>
      </c>
      <c r="P179" s="42">
        <v>44419</v>
      </c>
      <c r="Q179" t="s">
        <v>328</v>
      </c>
      <c r="R179" t="s">
        <v>338</v>
      </c>
      <c r="S179" t="s">
        <v>323</v>
      </c>
      <c r="T179">
        <v>7.6</v>
      </c>
      <c r="W179" t="s">
        <v>330</v>
      </c>
      <c r="Y179" s="42">
        <v>44425</v>
      </c>
    </row>
    <row r="180" spans="14:25">
      <c r="N180" s="42">
        <v>44418</v>
      </c>
      <c r="O180" t="s">
        <v>333</v>
      </c>
      <c r="P180" s="42">
        <v>44418</v>
      </c>
      <c r="Q180" t="s">
        <v>333</v>
      </c>
      <c r="R180" t="s">
        <v>338</v>
      </c>
      <c r="S180" t="s">
        <v>323</v>
      </c>
      <c r="T180">
        <v>7.6</v>
      </c>
      <c r="W180" t="s">
        <v>330</v>
      </c>
      <c r="Y180" s="42">
        <v>44425</v>
      </c>
    </row>
    <row r="181" spans="14:25">
      <c r="N181" s="42">
        <v>44417</v>
      </c>
      <c r="O181" t="s">
        <v>345</v>
      </c>
      <c r="P181" s="42">
        <v>44417</v>
      </c>
      <c r="Q181" t="s">
        <v>345</v>
      </c>
      <c r="R181" t="s">
        <v>338</v>
      </c>
      <c r="S181" t="s">
        <v>323</v>
      </c>
      <c r="T181">
        <v>7.6</v>
      </c>
      <c r="W181" t="s">
        <v>330</v>
      </c>
      <c r="Y181" s="42">
        <v>44425</v>
      </c>
    </row>
    <row r="182" spans="14:25">
      <c r="N182" s="42">
        <v>44416</v>
      </c>
      <c r="O182" t="s">
        <v>344</v>
      </c>
      <c r="P182" s="42">
        <v>44416</v>
      </c>
      <c r="Q182" t="s">
        <v>344</v>
      </c>
      <c r="R182" t="s">
        <v>338</v>
      </c>
      <c r="S182" t="s">
        <v>323</v>
      </c>
      <c r="T182">
        <v>7.6</v>
      </c>
      <c r="W182" t="s">
        <v>330</v>
      </c>
      <c r="Y182" s="42">
        <v>44425</v>
      </c>
    </row>
    <row r="183" spans="14:25">
      <c r="N183" s="42">
        <v>44413</v>
      </c>
      <c r="O183" t="s">
        <v>324</v>
      </c>
      <c r="P183" s="42">
        <v>44413</v>
      </c>
      <c r="Q183" t="s">
        <v>324</v>
      </c>
      <c r="R183" t="s">
        <v>338</v>
      </c>
      <c r="S183" t="s">
        <v>323</v>
      </c>
      <c r="T183">
        <v>7.6</v>
      </c>
      <c r="W183" t="s">
        <v>330</v>
      </c>
      <c r="Y183" s="42">
        <v>44425</v>
      </c>
    </row>
    <row r="184" spans="14:25">
      <c r="N184" s="42">
        <v>44412</v>
      </c>
      <c r="O184" t="s">
        <v>328</v>
      </c>
      <c r="P184" s="42">
        <v>44412</v>
      </c>
      <c r="Q184" t="s">
        <v>328</v>
      </c>
      <c r="R184" t="s">
        <v>338</v>
      </c>
      <c r="S184" t="s">
        <v>323</v>
      </c>
      <c r="T184">
        <v>7.6</v>
      </c>
      <c r="W184" t="s">
        <v>330</v>
      </c>
      <c r="Y184" s="42">
        <v>44425</v>
      </c>
    </row>
    <row r="185" spans="14:25">
      <c r="N185" s="42">
        <v>44411</v>
      </c>
      <c r="O185" t="s">
        <v>333</v>
      </c>
      <c r="P185" s="42">
        <v>44411</v>
      </c>
      <c r="Q185" t="s">
        <v>333</v>
      </c>
      <c r="R185" t="s">
        <v>338</v>
      </c>
      <c r="S185" t="s">
        <v>323</v>
      </c>
      <c r="T185">
        <v>7.6</v>
      </c>
      <c r="W185" t="s">
        <v>330</v>
      </c>
      <c r="Y185" s="42">
        <v>44411</v>
      </c>
    </row>
    <row r="186" spans="14:25">
      <c r="N186" s="42">
        <v>44410</v>
      </c>
      <c r="O186" t="s">
        <v>345</v>
      </c>
      <c r="P186" s="42">
        <v>44410</v>
      </c>
      <c r="Q186" t="s">
        <v>345</v>
      </c>
      <c r="R186" t="s">
        <v>338</v>
      </c>
      <c r="S186" t="s">
        <v>323</v>
      </c>
      <c r="T186">
        <v>7.6</v>
      </c>
      <c r="W186" t="s">
        <v>330</v>
      </c>
      <c r="Y186" s="42">
        <v>44411</v>
      </c>
    </row>
    <row r="187" spans="14:25">
      <c r="N187" s="42">
        <v>44409</v>
      </c>
      <c r="O187" t="s">
        <v>344</v>
      </c>
      <c r="P187" s="42">
        <v>44409</v>
      </c>
      <c r="Q187" t="s">
        <v>344</v>
      </c>
      <c r="R187" t="s">
        <v>338</v>
      </c>
      <c r="S187" t="s">
        <v>323</v>
      </c>
      <c r="T187">
        <v>7.6</v>
      </c>
      <c r="W187" t="s">
        <v>330</v>
      </c>
      <c r="Y187" s="42">
        <v>44411</v>
      </c>
    </row>
    <row r="188" spans="14:25">
      <c r="N188" s="42">
        <v>44406</v>
      </c>
      <c r="O188" t="s">
        <v>324</v>
      </c>
      <c r="P188" s="42">
        <v>44406</v>
      </c>
      <c r="Q188" t="s">
        <v>324</v>
      </c>
      <c r="R188" t="s">
        <v>338</v>
      </c>
      <c r="S188" t="s">
        <v>323</v>
      </c>
      <c r="T188">
        <v>7.6</v>
      </c>
      <c r="W188" t="s">
        <v>330</v>
      </c>
      <c r="Y188" s="42">
        <v>44411</v>
      </c>
    </row>
    <row r="189" spans="14:25">
      <c r="N189" s="42">
        <v>44405</v>
      </c>
      <c r="O189" t="s">
        <v>328</v>
      </c>
      <c r="P189" s="42">
        <v>44405</v>
      </c>
      <c r="Q189" t="s">
        <v>328</v>
      </c>
      <c r="R189" t="s">
        <v>338</v>
      </c>
      <c r="S189" t="s">
        <v>323</v>
      </c>
      <c r="T189">
        <v>7.6</v>
      </c>
      <c r="W189" t="s">
        <v>330</v>
      </c>
      <c r="Y189" s="42">
        <v>44411</v>
      </c>
    </row>
    <row r="190" spans="14:25">
      <c r="N190" s="42">
        <v>44404</v>
      </c>
      <c r="O190" t="s">
        <v>333</v>
      </c>
      <c r="P190" s="42">
        <v>44404</v>
      </c>
      <c r="Q190" t="s">
        <v>333</v>
      </c>
      <c r="R190" t="s">
        <v>338</v>
      </c>
      <c r="S190" t="s">
        <v>323</v>
      </c>
      <c r="T190">
        <v>7.6</v>
      </c>
      <c r="W190" t="s">
        <v>330</v>
      </c>
      <c r="Y190" s="42">
        <v>44411</v>
      </c>
    </row>
    <row r="191" spans="14:25">
      <c r="N191" s="42">
        <v>44403</v>
      </c>
      <c r="O191" t="s">
        <v>345</v>
      </c>
      <c r="P191" s="42">
        <v>44403</v>
      </c>
      <c r="Q191" t="s">
        <v>345</v>
      </c>
      <c r="R191" t="s">
        <v>338</v>
      </c>
      <c r="S191" t="s">
        <v>323</v>
      </c>
      <c r="T191">
        <v>7.6</v>
      </c>
      <c r="W191" t="s">
        <v>330</v>
      </c>
      <c r="Y191" s="42">
        <v>44411</v>
      </c>
    </row>
    <row r="192" spans="14:25">
      <c r="N192" s="42">
        <v>44402</v>
      </c>
      <c r="O192" t="s">
        <v>344</v>
      </c>
      <c r="P192" s="42">
        <v>44402</v>
      </c>
      <c r="Q192" t="s">
        <v>344</v>
      </c>
      <c r="R192" t="s">
        <v>338</v>
      </c>
      <c r="S192" t="s">
        <v>323</v>
      </c>
      <c r="T192">
        <v>7.6</v>
      </c>
      <c r="W192" t="s">
        <v>330</v>
      </c>
      <c r="Y192" s="42">
        <v>44411</v>
      </c>
    </row>
    <row r="193" spans="14:25">
      <c r="N193" s="42">
        <v>44399</v>
      </c>
      <c r="O193" t="s">
        <v>324</v>
      </c>
      <c r="P193" s="42">
        <v>44399</v>
      </c>
      <c r="Q193" t="s">
        <v>324</v>
      </c>
      <c r="R193" t="s">
        <v>338</v>
      </c>
      <c r="S193" t="s">
        <v>323</v>
      </c>
      <c r="T193">
        <v>7.6</v>
      </c>
      <c r="W193" t="s">
        <v>330</v>
      </c>
      <c r="Y193" s="42">
        <v>44411</v>
      </c>
    </row>
    <row r="194" spans="14:25">
      <c r="N194" s="42">
        <v>44398</v>
      </c>
      <c r="O194" t="s">
        <v>328</v>
      </c>
      <c r="P194" s="42">
        <v>44398</v>
      </c>
      <c r="Q194" t="s">
        <v>328</v>
      </c>
      <c r="R194" t="s">
        <v>338</v>
      </c>
      <c r="S194" t="s">
        <v>323</v>
      </c>
      <c r="T194">
        <v>7.6</v>
      </c>
      <c r="W194" t="s">
        <v>330</v>
      </c>
      <c r="Y194" s="42">
        <v>44411</v>
      </c>
    </row>
    <row r="195" spans="14:25">
      <c r="N195" s="42">
        <v>44397</v>
      </c>
      <c r="O195" t="s">
        <v>333</v>
      </c>
      <c r="P195" s="42">
        <v>44397</v>
      </c>
      <c r="Q195" t="s">
        <v>333</v>
      </c>
      <c r="R195" t="s">
        <v>338</v>
      </c>
      <c r="S195" t="s">
        <v>323</v>
      </c>
      <c r="T195">
        <v>7.6</v>
      </c>
      <c r="W195" t="s">
        <v>330</v>
      </c>
      <c r="Y195" s="42">
        <v>44397</v>
      </c>
    </row>
    <row r="196" spans="14:25">
      <c r="N196" s="42">
        <v>44396</v>
      </c>
      <c r="O196" t="s">
        <v>345</v>
      </c>
      <c r="P196" s="42">
        <v>44396</v>
      </c>
      <c r="Q196" t="s">
        <v>345</v>
      </c>
      <c r="R196" t="s">
        <v>338</v>
      </c>
      <c r="S196" t="s">
        <v>323</v>
      </c>
      <c r="T196">
        <v>7.6</v>
      </c>
      <c r="W196" t="s">
        <v>330</v>
      </c>
      <c r="Y196" s="42">
        <v>44397</v>
      </c>
    </row>
    <row r="197" spans="14:25">
      <c r="N197" s="42">
        <v>44395</v>
      </c>
      <c r="O197" t="s">
        <v>344</v>
      </c>
      <c r="P197" s="42">
        <v>44395</v>
      </c>
      <c r="Q197" t="s">
        <v>344</v>
      </c>
      <c r="R197" t="s">
        <v>338</v>
      </c>
      <c r="S197" t="s">
        <v>323</v>
      </c>
      <c r="T197">
        <v>7.6</v>
      </c>
      <c r="W197" t="s">
        <v>330</v>
      </c>
      <c r="Y197" s="42">
        <v>44397</v>
      </c>
    </row>
    <row r="198" spans="14:25">
      <c r="N198" s="42">
        <v>44392</v>
      </c>
      <c r="O198" t="s">
        <v>324</v>
      </c>
      <c r="P198" s="42">
        <v>44392</v>
      </c>
      <c r="Q198" t="s">
        <v>324</v>
      </c>
      <c r="R198" t="s">
        <v>338</v>
      </c>
      <c r="S198" t="s">
        <v>323</v>
      </c>
      <c r="T198">
        <v>7.6</v>
      </c>
      <c r="W198" t="s">
        <v>330</v>
      </c>
      <c r="Y198" s="42">
        <v>44397</v>
      </c>
    </row>
    <row r="199" spans="14:25">
      <c r="N199" s="42">
        <v>44391</v>
      </c>
      <c r="O199" t="s">
        <v>328</v>
      </c>
      <c r="P199" s="42">
        <v>44391</v>
      </c>
      <c r="Q199" t="s">
        <v>328</v>
      </c>
      <c r="R199" t="s">
        <v>338</v>
      </c>
      <c r="S199" t="s">
        <v>323</v>
      </c>
      <c r="T199">
        <v>7.6</v>
      </c>
      <c r="W199" t="s">
        <v>330</v>
      </c>
      <c r="Y199" s="42">
        <v>44397</v>
      </c>
    </row>
    <row r="200" spans="14:25">
      <c r="N200" s="42">
        <v>44390</v>
      </c>
      <c r="O200" t="s">
        <v>333</v>
      </c>
      <c r="P200" s="42">
        <v>44390</v>
      </c>
      <c r="Q200" t="s">
        <v>333</v>
      </c>
      <c r="R200" t="s">
        <v>338</v>
      </c>
      <c r="S200" t="s">
        <v>323</v>
      </c>
      <c r="T200">
        <v>7.6</v>
      </c>
      <c r="W200" t="s">
        <v>330</v>
      </c>
      <c r="Y200" s="42">
        <v>44397</v>
      </c>
    </row>
    <row r="201" spans="14:25">
      <c r="N201" s="42">
        <v>44389</v>
      </c>
      <c r="O201" t="s">
        <v>345</v>
      </c>
      <c r="P201" s="42">
        <v>44389</v>
      </c>
      <c r="Q201" t="s">
        <v>345</v>
      </c>
      <c r="R201" t="s">
        <v>338</v>
      </c>
      <c r="S201" t="s">
        <v>323</v>
      </c>
      <c r="T201">
        <v>7.6</v>
      </c>
      <c r="W201" t="s">
        <v>330</v>
      </c>
      <c r="Y201" s="42">
        <v>44397</v>
      </c>
    </row>
    <row r="202" spans="14:25">
      <c r="N202" s="42">
        <v>44388</v>
      </c>
      <c r="O202" t="s">
        <v>344</v>
      </c>
      <c r="P202" s="42">
        <v>44388</v>
      </c>
      <c r="Q202" t="s">
        <v>344</v>
      </c>
      <c r="R202" t="s">
        <v>338</v>
      </c>
      <c r="S202" t="s">
        <v>323</v>
      </c>
      <c r="T202">
        <v>7.6</v>
      </c>
      <c r="W202" t="s">
        <v>330</v>
      </c>
      <c r="Y202" s="42">
        <v>44397</v>
      </c>
    </row>
    <row r="203" spans="14:25">
      <c r="N203" s="42">
        <v>44385</v>
      </c>
      <c r="O203" t="s">
        <v>324</v>
      </c>
      <c r="P203" s="42">
        <v>44385</v>
      </c>
      <c r="Q203" t="s">
        <v>324</v>
      </c>
      <c r="R203" t="s">
        <v>338</v>
      </c>
      <c r="S203" t="s">
        <v>323</v>
      </c>
      <c r="T203">
        <v>7.6</v>
      </c>
      <c r="W203" t="s">
        <v>330</v>
      </c>
      <c r="Y203" s="42">
        <v>44397</v>
      </c>
    </row>
    <row r="204" spans="14:25">
      <c r="N204" s="42">
        <v>44384</v>
      </c>
      <c r="O204" t="s">
        <v>328</v>
      </c>
      <c r="P204" s="42">
        <v>44384</v>
      </c>
      <c r="Q204" t="s">
        <v>328</v>
      </c>
      <c r="R204" t="s">
        <v>338</v>
      </c>
      <c r="S204" t="s">
        <v>323</v>
      </c>
      <c r="T204">
        <v>7.6</v>
      </c>
      <c r="W204" t="s">
        <v>330</v>
      </c>
      <c r="Y204" s="42">
        <v>44397</v>
      </c>
    </row>
    <row r="205" spans="14:25">
      <c r="N205" s="42">
        <v>44383</v>
      </c>
      <c r="O205" t="s">
        <v>333</v>
      </c>
      <c r="P205" s="42">
        <v>44383</v>
      </c>
      <c r="Q205" t="s">
        <v>333</v>
      </c>
      <c r="R205" t="s">
        <v>338</v>
      </c>
      <c r="S205" t="s">
        <v>323</v>
      </c>
      <c r="T205">
        <v>7.6</v>
      </c>
      <c r="W205" t="s">
        <v>330</v>
      </c>
      <c r="Y205" s="42">
        <v>44383</v>
      </c>
    </row>
    <row r="206" spans="14:25">
      <c r="N206" s="42">
        <v>44382</v>
      </c>
      <c r="O206" t="s">
        <v>345</v>
      </c>
      <c r="P206" s="42">
        <v>44382</v>
      </c>
      <c r="Q206" t="s">
        <v>345</v>
      </c>
      <c r="R206" t="s">
        <v>338</v>
      </c>
      <c r="S206" t="s">
        <v>323</v>
      </c>
      <c r="T206">
        <v>7.6</v>
      </c>
      <c r="W206" t="s">
        <v>330</v>
      </c>
      <c r="Y206" s="42">
        <v>44383</v>
      </c>
    </row>
    <row r="207" spans="14:25">
      <c r="N207" s="42">
        <v>44381</v>
      </c>
      <c r="O207" t="s">
        <v>344</v>
      </c>
      <c r="P207" s="42">
        <v>44381</v>
      </c>
      <c r="Q207" t="s">
        <v>344</v>
      </c>
      <c r="R207" t="s">
        <v>338</v>
      </c>
      <c r="S207" t="s">
        <v>323</v>
      </c>
      <c r="T207">
        <v>7.6</v>
      </c>
      <c r="W207" t="s">
        <v>330</v>
      </c>
      <c r="Y207" s="42">
        <v>44383</v>
      </c>
    </row>
    <row r="208" spans="14:25">
      <c r="N208" s="42">
        <v>44378</v>
      </c>
      <c r="O208" t="s">
        <v>324</v>
      </c>
      <c r="P208" s="42">
        <v>44378</v>
      </c>
      <c r="Q208" t="s">
        <v>324</v>
      </c>
      <c r="R208" t="s">
        <v>338</v>
      </c>
      <c r="S208" t="s">
        <v>323</v>
      </c>
      <c r="T208">
        <v>7.6</v>
      </c>
      <c r="W208" t="s">
        <v>330</v>
      </c>
      <c r="Y208" s="42">
        <v>44383</v>
      </c>
    </row>
    <row r="209" spans="14:25">
      <c r="N209" s="42">
        <v>44377</v>
      </c>
      <c r="O209" t="s">
        <v>328</v>
      </c>
      <c r="P209" s="42">
        <v>44377</v>
      </c>
      <c r="Q209" t="s">
        <v>328</v>
      </c>
      <c r="R209" t="s">
        <v>338</v>
      </c>
      <c r="S209" t="s">
        <v>323</v>
      </c>
      <c r="T209">
        <v>7.6</v>
      </c>
      <c r="W209" t="s">
        <v>330</v>
      </c>
      <c r="Y209" s="42">
        <v>44383</v>
      </c>
    </row>
    <row r="210" spans="14:25">
      <c r="N210" s="42">
        <v>44376</v>
      </c>
      <c r="O210" t="s">
        <v>333</v>
      </c>
      <c r="P210" s="42">
        <v>44376</v>
      </c>
      <c r="Q210" t="s">
        <v>333</v>
      </c>
      <c r="R210" t="s">
        <v>338</v>
      </c>
      <c r="S210" t="s">
        <v>323</v>
      </c>
      <c r="T210">
        <v>7.6</v>
      </c>
      <c r="W210" t="s">
        <v>330</v>
      </c>
      <c r="Y210" s="42">
        <v>44383</v>
      </c>
    </row>
    <row r="211" spans="14:25">
      <c r="N211" s="42">
        <v>44375</v>
      </c>
      <c r="O211" t="s">
        <v>345</v>
      </c>
      <c r="P211" s="42">
        <v>44375</v>
      </c>
      <c r="Q211" t="s">
        <v>345</v>
      </c>
      <c r="R211" t="s">
        <v>338</v>
      </c>
      <c r="S211" t="s">
        <v>323</v>
      </c>
      <c r="T211">
        <v>7.6</v>
      </c>
      <c r="W211" t="s">
        <v>330</v>
      </c>
      <c r="Y211" s="42">
        <v>44383</v>
      </c>
    </row>
    <row r="212" spans="14:25">
      <c r="N212" s="42">
        <v>44374</v>
      </c>
      <c r="O212" t="s">
        <v>344</v>
      </c>
      <c r="P212" s="42">
        <v>44374</v>
      </c>
      <c r="Q212" t="s">
        <v>344</v>
      </c>
      <c r="R212" t="s">
        <v>338</v>
      </c>
      <c r="S212" t="s">
        <v>323</v>
      </c>
      <c r="T212">
        <v>7.6</v>
      </c>
      <c r="W212" t="s">
        <v>330</v>
      </c>
      <c r="Y212" s="42">
        <v>44383</v>
      </c>
    </row>
    <row r="213" spans="14:25">
      <c r="N213" s="42">
        <v>44371</v>
      </c>
      <c r="O213" t="s">
        <v>324</v>
      </c>
      <c r="P213" s="42">
        <v>44371</v>
      </c>
      <c r="Q213" t="s">
        <v>324</v>
      </c>
      <c r="R213" t="s">
        <v>338</v>
      </c>
      <c r="S213" t="s">
        <v>323</v>
      </c>
      <c r="T213">
        <v>7.6</v>
      </c>
      <c r="W213" t="s">
        <v>330</v>
      </c>
      <c r="Y213" s="42">
        <v>44383</v>
      </c>
    </row>
    <row r="214" spans="14:25">
      <c r="N214" s="42">
        <v>44370</v>
      </c>
      <c r="O214" t="s">
        <v>328</v>
      </c>
      <c r="P214" s="42">
        <v>44370</v>
      </c>
      <c r="Q214" t="s">
        <v>328</v>
      </c>
      <c r="R214" t="s">
        <v>338</v>
      </c>
      <c r="S214" t="s">
        <v>323</v>
      </c>
      <c r="T214">
        <v>7.6</v>
      </c>
      <c r="W214" t="s">
        <v>330</v>
      </c>
      <c r="Y214" s="42">
        <v>44383</v>
      </c>
    </row>
    <row r="215" spans="14:25">
      <c r="N215" s="42">
        <v>44369</v>
      </c>
      <c r="O215" t="s">
        <v>333</v>
      </c>
      <c r="P215" s="42">
        <v>44369</v>
      </c>
      <c r="Q215" t="s">
        <v>333</v>
      </c>
      <c r="R215" t="s">
        <v>338</v>
      </c>
      <c r="S215" t="s">
        <v>323</v>
      </c>
      <c r="T215">
        <v>7.6</v>
      </c>
      <c r="W215" t="s">
        <v>330</v>
      </c>
      <c r="Y215" s="42">
        <v>44369</v>
      </c>
    </row>
    <row r="216" spans="14:25">
      <c r="N216" s="42">
        <v>44368</v>
      </c>
      <c r="O216" t="s">
        <v>345</v>
      </c>
      <c r="P216" s="42">
        <v>44368</v>
      </c>
      <c r="Q216" t="s">
        <v>345</v>
      </c>
      <c r="R216" t="s">
        <v>338</v>
      </c>
      <c r="S216" t="s">
        <v>323</v>
      </c>
      <c r="T216">
        <v>7.6</v>
      </c>
      <c r="W216" t="s">
        <v>330</v>
      </c>
      <c r="Y216" s="42">
        <v>44369</v>
      </c>
    </row>
    <row r="217" spans="14:25">
      <c r="N217" s="42">
        <v>44367</v>
      </c>
      <c r="O217" t="s">
        <v>344</v>
      </c>
      <c r="P217" s="42">
        <v>44367</v>
      </c>
      <c r="Q217" t="s">
        <v>344</v>
      </c>
      <c r="R217" t="s">
        <v>338</v>
      </c>
      <c r="S217" t="s">
        <v>323</v>
      </c>
      <c r="T217">
        <v>7.6</v>
      </c>
      <c r="W217" t="s">
        <v>330</v>
      </c>
      <c r="Y217" s="42">
        <v>44369</v>
      </c>
    </row>
    <row r="218" spans="14:25">
      <c r="N218" s="42">
        <v>44364</v>
      </c>
      <c r="O218" t="s">
        <v>324</v>
      </c>
      <c r="P218" s="42">
        <v>44364</v>
      </c>
      <c r="Q218" t="s">
        <v>324</v>
      </c>
      <c r="R218" t="s">
        <v>338</v>
      </c>
      <c r="S218" t="s">
        <v>323</v>
      </c>
      <c r="T218">
        <v>7.6</v>
      </c>
      <c r="W218" t="s">
        <v>330</v>
      </c>
      <c r="Y218" s="42">
        <v>44369</v>
      </c>
    </row>
    <row r="219" spans="14:25">
      <c r="N219" s="42">
        <v>44363</v>
      </c>
      <c r="O219" t="s">
        <v>328</v>
      </c>
      <c r="P219" s="42">
        <v>44363</v>
      </c>
      <c r="Q219" t="s">
        <v>328</v>
      </c>
      <c r="R219" t="s">
        <v>338</v>
      </c>
      <c r="S219" t="s">
        <v>323</v>
      </c>
      <c r="T219">
        <v>7.6</v>
      </c>
      <c r="W219" t="s">
        <v>330</v>
      </c>
      <c r="Y219" s="42">
        <v>44369</v>
      </c>
    </row>
    <row r="220" spans="14:25">
      <c r="N220" s="42">
        <v>44362</v>
      </c>
      <c r="O220" t="s">
        <v>333</v>
      </c>
      <c r="P220" s="42">
        <v>44362</v>
      </c>
      <c r="Q220" t="s">
        <v>333</v>
      </c>
      <c r="R220" t="s">
        <v>338</v>
      </c>
      <c r="S220" t="s">
        <v>323</v>
      </c>
      <c r="T220">
        <v>7.6</v>
      </c>
      <c r="W220" t="s">
        <v>330</v>
      </c>
      <c r="Y220" s="42">
        <v>44369</v>
      </c>
    </row>
    <row r="221" spans="14:25">
      <c r="N221" s="42">
        <v>44361</v>
      </c>
      <c r="O221" t="s">
        <v>345</v>
      </c>
      <c r="P221" s="42">
        <v>44361</v>
      </c>
      <c r="Q221" t="s">
        <v>345</v>
      </c>
      <c r="R221" t="s">
        <v>338</v>
      </c>
      <c r="S221" t="s">
        <v>323</v>
      </c>
      <c r="T221">
        <v>7.6</v>
      </c>
      <c r="W221" t="s">
        <v>330</v>
      </c>
      <c r="Y221" s="42">
        <v>44369</v>
      </c>
    </row>
    <row r="222" spans="14:25">
      <c r="N222" s="42">
        <v>44360</v>
      </c>
      <c r="O222" t="s">
        <v>344</v>
      </c>
      <c r="P222" s="42">
        <v>44360</v>
      </c>
      <c r="Q222" t="s">
        <v>344</v>
      </c>
      <c r="R222" t="s">
        <v>338</v>
      </c>
      <c r="S222" t="s">
        <v>323</v>
      </c>
      <c r="T222">
        <v>7.6</v>
      </c>
      <c r="W222" t="s">
        <v>330</v>
      </c>
      <c r="Y222" s="42">
        <v>44369</v>
      </c>
    </row>
    <row r="223" spans="14:25">
      <c r="N223" s="42">
        <v>44357</v>
      </c>
      <c r="O223" t="s">
        <v>324</v>
      </c>
      <c r="P223" s="42">
        <v>44357</v>
      </c>
      <c r="Q223" t="s">
        <v>324</v>
      </c>
      <c r="R223" t="s">
        <v>338</v>
      </c>
      <c r="S223" t="s">
        <v>323</v>
      </c>
      <c r="T223">
        <v>7.6</v>
      </c>
      <c r="W223" t="s">
        <v>330</v>
      </c>
      <c r="Y223" s="42">
        <v>44369</v>
      </c>
    </row>
    <row r="224" spans="14:25">
      <c r="N224" s="42">
        <v>44356</v>
      </c>
      <c r="O224" t="s">
        <v>328</v>
      </c>
      <c r="P224" s="42">
        <v>44356</v>
      </c>
      <c r="Q224" t="s">
        <v>328</v>
      </c>
      <c r="R224" t="s">
        <v>338</v>
      </c>
      <c r="S224" t="s">
        <v>323</v>
      </c>
      <c r="T224">
        <v>7.6</v>
      </c>
      <c r="W224" t="s">
        <v>330</v>
      </c>
      <c r="Y224" s="42">
        <v>44369</v>
      </c>
    </row>
    <row r="225" spans="14:25">
      <c r="N225" s="42">
        <v>44355</v>
      </c>
      <c r="O225" t="s">
        <v>333</v>
      </c>
      <c r="P225" s="42">
        <v>44355</v>
      </c>
      <c r="Q225" t="s">
        <v>333</v>
      </c>
      <c r="R225" t="s">
        <v>338</v>
      </c>
      <c r="S225" t="s">
        <v>323</v>
      </c>
      <c r="T225">
        <v>7.6</v>
      </c>
      <c r="W225" t="s">
        <v>330</v>
      </c>
      <c r="Y225" s="42">
        <v>44355</v>
      </c>
    </row>
    <row r="226" spans="14:25">
      <c r="N226" s="42">
        <v>44354</v>
      </c>
      <c r="O226" t="s">
        <v>345</v>
      </c>
      <c r="P226" s="42">
        <v>44354</v>
      </c>
      <c r="Q226" t="s">
        <v>345</v>
      </c>
      <c r="R226" t="s">
        <v>338</v>
      </c>
      <c r="S226" t="s">
        <v>323</v>
      </c>
      <c r="T226">
        <v>7.6</v>
      </c>
      <c r="W226" t="s">
        <v>330</v>
      </c>
      <c r="Y226" s="42">
        <v>44355</v>
      </c>
    </row>
    <row r="227" spans="14:25">
      <c r="N227" s="42">
        <v>44353</v>
      </c>
      <c r="O227" t="s">
        <v>344</v>
      </c>
      <c r="P227" s="42">
        <v>44353</v>
      </c>
      <c r="Q227" t="s">
        <v>344</v>
      </c>
      <c r="R227" t="s">
        <v>338</v>
      </c>
      <c r="S227" t="s">
        <v>323</v>
      </c>
      <c r="T227">
        <v>7.6</v>
      </c>
      <c r="W227" t="s">
        <v>330</v>
      </c>
      <c r="Y227" s="42">
        <v>44355</v>
      </c>
    </row>
    <row r="228" spans="14:25">
      <c r="N228" s="42">
        <v>44350</v>
      </c>
      <c r="O228" t="s">
        <v>324</v>
      </c>
      <c r="P228" s="42">
        <v>44350</v>
      </c>
      <c r="Q228" t="s">
        <v>324</v>
      </c>
      <c r="R228" t="s">
        <v>338</v>
      </c>
      <c r="S228" t="s">
        <v>323</v>
      </c>
      <c r="T228">
        <v>7.6</v>
      </c>
      <c r="W228" t="s">
        <v>330</v>
      </c>
      <c r="Y228" s="42">
        <v>44355</v>
      </c>
    </row>
    <row r="229" spans="14:25">
      <c r="N229" s="42">
        <v>44349</v>
      </c>
      <c r="O229" t="s">
        <v>328</v>
      </c>
      <c r="P229" s="42">
        <v>44349</v>
      </c>
      <c r="Q229" t="s">
        <v>328</v>
      </c>
      <c r="R229" t="s">
        <v>338</v>
      </c>
      <c r="S229" t="s">
        <v>323</v>
      </c>
      <c r="T229">
        <v>7.6</v>
      </c>
      <c r="W229" t="s">
        <v>330</v>
      </c>
      <c r="Y229" s="42">
        <v>44355</v>
      </c>
    </row>
    <row r="230" spans="14:25">
      <c r="N230" s="42">
        <v>44348</v>
      </c>
      <c r="O230" t="s">
        <v>333</v>
      </c>
      <c r="P230" s="42">
        <v>44348</v>
      </c>
      <c r="Q230" t="s">
        <v>333</v>
      </c>
      <c r="R230" t="s">
        <v>338</v>
      </c>
      <c r="S230" t="s">
        <v>323</v>
      </c>
      <c r="T230">
        <v>7.6</v>
      </c>
      <c r="W230" t="s">
        <v>330</v>
      </c>
      <c r="Y230" s="42">
        <v>44355</v>
      </c>
    </row>
    <row r="231" spans="14:25">
      <c r="N231" s="42">
        <v>44347</v>
      </c>
      <c r="O231" t="s">
        <v>345</v>
      </c>
      <c r="P231" s="42">
        <v>44347</v>
      </c>
      <c r="Q231" t="s">
        <v>345</v>
      </c>
      <c r="R231" t="s">
        <v>338</v>
      </c>
      <c r="S231" t="s">
        <v>323</v>
      </c>
      <c r="T231">
        <v>7.6</v>
      </c>
      <c r="W231" t="s">
        <v>330</v>
      </c>
      <c r="Y231" s="42">
        <v>44355</v>
      </c>
    </row>
    <row r="232" spans="14:25">
      <c r="N232" s="42">
        <v>44346</v>
      </c>
      <c r="O232" t="s">
        <v>344</v>
      </c>
      <c r="P232" s="42">
        <v>44346</v>
      </c>
      <c r="Q232" t="s">
        <v>344</v>
      </c>
      <c r="R232" t="s">
        <v>338</v>
      </c>
      <c r="S232" t="s">
        <v>323</v>
      </c>
      <c r="T232">
        <v>7.6</v>
      </c>
      <c r="W232" t="s">
        <v>330</v>
      </c>
      <c r="Y232" s="42">
        <v>44355</v>
      </c>
    </row>
    <row r="233" spans="14:25">
      <c r="N233" s="42">
        <v>44343</v>
      </c>
      <c r="O233" t="s">
        <v>324</v>
      </c>
      <c r="P233" s="42">
        <v>44343</v>
      </c>
      <c r="Q233" t="s">
        <v>324</v>
      </c>
      <c r="R233" t="s">
        <v>338</v>
      </c>
      <c r="S233" t="s">
        <v>323</v>
      </c>
      <c r="T233">
        <v>7.6</v>
      </c>
      <c r="W233" t="s">
        <v>330</v>
      </c>
      <c r="Y233" s="42">
        <v>44355</v>
      </c>
    </row>
    <row r="234" spans="14:25">
      <c r="N234" s="42">
        <v>44342</v>
      </c>
      <c r="O234" t="s">
        <v>328</v>
      </c>
      <c r="P234" s="42">
        <v>44342</v>
      </c>
      <c r="Q234" t="s">
        <v>328</v>
      </c>
      <c r="R234" t="s">
        <v>338</v>
      </c>
      <c r="S234" t="s">
        <v>323</v>
      </c>
      <c r="T234">
        <v>7.6</v>
      </c>
      <c r="W234" t="s">
        <v>330</v>
      </c>
      <c r="Y234" s="42">
        <v>44355</v>
      </c>
    </row>
    <row r="235" spans="14:25">
      <c r="N235" s="42">
        <v>44341</v>
      </c>
      <c r="O235" t="s">
        <v>333</v>
      </c>
      <c r="P235" s="42">
        <v>44341</v>
      </c>
      <c r="Q235" t="s">
        <v>333</v>
      </c>
      <c r="R235" t="s">
        <v>338</v>
      </c>
      <c r="S235" t="s">
        <v>323</v>
      </c>
      <c r="T235">
        <v>7.6</v>
      </c>
      <c r="W235" t="s">
        <v>330</v>
      </c>
      <c r="Y235" s="42">
        <v>44341</v>
      </c>
    </row>
    <row r="236" spans="14:25">
      <c r="N236" s="42">
        <v>44340</v>
      </c>
      <c r="O236" t="s">
        <v>345</v>
      </c>
      <c r="P236" s="42">
        <v>44340</v>
      </c>
      <c r="Q236" t="s">
        <v>345</v>
      </c>
      <c r="R236" t="s">
        <v>338</v>
      </c>
      <c r="S236" t="s">
        <v>323</v>
      </c>
      <c r="T236">
        <v>7.6</v>
      </c>
      <c r="W236" t="s">
        <v>330</v>
      </c>
      <c r="Y236" s="42">
        <v>44341</v>
      </c>
    </row>
    <row r="237" spans="14:25">
      <c r="N237" s="42">
        <v>44339</v>
      </c>
      <c r="O237" t="s">
        <v>344</v>
      </c>
      <c r="P237" s="42">
        <v>44339</v>
      </c>
      <c r="Q237" t="s">
        <v>344</v>
      </c>
      <c r="R237" t="s">
        <v>338</v>
      </c>
      <c r="S237" t="s">
        <v>323</v>
      </c>
      <c r="T237">
        <v>7.6</v>
      </c>
      <c r="W237" t="s">
        <v>330</v>
      </c>
      <c r="Y237" s="42">
        <v>44341</v>
      </c>
    </row>
    <row r="238" spans="14:25">
      <c r="N238" s="42">
        <v>44336</v>
      </c>
      <c r="O238" t="s">
        <v>324</v>
      </c>
      <c r="P238" s="42">
        <v>44336</v>
      </c>
      <c r="Q238" t="s">
        <v>324</v>
      </c>
      <c r="R238" t="s">
        <v>338</v>
      </c>
      <c r="S238" t="s">
        <v>323</v>
      </c>
      <c r="T238">
        <v>7.6</v>
      </c>
      <c r="W238" t="s">
        <v>330</v>
      </c>
      <c r="Y238" s="42">
        <v>44341</v>
      </c>
    </row>
    <row r="239" spans="14:25">
      <c r="N239" s="42">
        <v>44335</v>
      </c>
      <c r="O239" t="s">
        <v>328</v>
      </c>
      <c r="P239" s="42">
        <v>44335</v>
      </c>
      <c r="Q239" t="s">
        <v>328</v>
      </c>
      <c r="R239" t="s">
        <v>338</v>
      </c>
      <c r="S239" t="s">
        <v>323</v>
      </c>
      <c r="T239">
        <v>7.6</v>
      </c>
      <c r="W239" t="s">
        <v>330</v>
      </c>
      <c r="Y239" s="42">
        <v>44341</v>
      </c>
    </row>
    <row r="240" spans="14:25">
      <c r="N240" s="42">
        <v>44334</v>
      </c>
      <c r="O240" t="s">
        <v>333</v>
      </c>
      <c r="P240" s="42">
        <v>44334</v>
      </c>
      <c r="Q240" t="s">
        <v>333</v>
      </c>
      <c r="R240" t="s">
        <v>338</v>
      </c>
      <c r="S240" t="s">
        <v>323</v>
      </c>
      <c r="T240">
        <v>7.6</v>
      </c>
      <c r="W240" t="s">
        <v>330</v>
      </c>
      <c r="Y240" s="42">
        <v>44341</v>
      </c>
    </row>
    <row r="241" spans="14:25">
      <c r="N241" s="42">
        <v>44333</v>
      </c>
      <c r="O241" t="s">
        <v>345</v>
      </c>
      <c r="P241" s="42">
        <v>44333</v>
      </c>
      <c r="Q241" t="s">
        <v>345</v>
      </c>
      <c r="R241" t="s">
        <v>338</v>
      </c>
      <c r="S241" t="s">
        <v>323</v>
      </c>
      <c r="T241">
        <v>7.6</v>
      </c>
      <c r="W241" t="s">
        <v>330</v>
      </c>
      <c r="Y241" s="42">
        <v>44341</v>
      </c>
    </row>
    <row r="242" spans="14:25">
      <c r="N242" s="42">
        <v>44332</v>
      </c>
      <c r="O242" t="s">
        <v>344</v>
      </c>
      <c r="P242" s="42">
        <v>44332</v>
      </c>
      <c r="Q242" t="s">
        <v>344</v>
      </c>
      <c r="R242" t="s">
        <v>338</v>
      </c>
      <c r="S242" t="s">
        <v>323</v>
      </c>
      <c r="T242">
        <v>7.6</v>
      </c>
      <c r="W242" t="s">
        <v>330</v>
      </c>
      <c r="Y242" s="42">
        <v>44341</v>
      </c>
    </row>
    <row r="243" spans="14:25">
      <c r="N243" s="42">
        <v>44329</v>
      </c>
      <c r="O243" t="s">
        <v>324</v>
      </c>
      <c r="P243" s="42">
        <v>44329</v>
      </c>
      <c r="Q243" t="s">
        <v>324</v>
      </c>
      <c r="R243" t="s">
        <v>338</v>
      </c>
      <c r="S243" t="s">
        <v>323</v>
      </c>
      <c r="T243">
        <v>7.6</v>
      </c>
      <c r="W243" t="s">
        <v>330</v>
      </c>
      <c r="Y243" s="42">
        <v>44341</v>
      </c>
    </row>
    <row r="244" spans="14:25">
      <c r="N244" s="42">
        <v>44328</v>
      </c>
      <c r="O244" t="s">
        <v>328</v>
      </c>
      <c r="P244" s="42">
        <v>44328</v>
      </c>
      <c r="Q244" t="s">
        <v>328</v>
      </c>
      <c r="R244" t="s">
        <v>338</v>
      </c>
      <c r="S244" t="s">
        <v>323</v>
      </c>
      <c r="T244">
        <v>7.6</v>
      </c>
      <c r="W244" t="s">
        <v>330</v>
      </c>
      <c r="Y244" s="42">
        <v>44341</v>
      </c>
    </row>
    <row r="245" spans="14:25">
      <c r="N245" s="42">
        <v>44327</v>
      </c>
      <c r="O245" t="s">
        <v>333</v>
      </c>
      <c r="P245" s="42">
        <v>44327</v>
      </c>
      <c r="Q245" t="s">
        <v>333</v>
      </c>
      <c r="R245" t="s">
        <v>338</v>
      </c>
      <c r="S245" t="s">
        <v>323</v>
      </c>
      <c r="T245">
        <v>7.6</v>
      </c>
      <c r="W245" t="s">
        <v>330</v>
      </c>
      <c r="Y245" s="42">
        <v>44327</v>
      </c>
    </row>
    <row r="246" spans="14:25">
      <c r="N246" s="42">
        <v>44326</v>
      </c>
      <c r="O246" t="s">
        <v>345</v>
      </c>
      <c r="P246" s="42">
        <v>44326</v>
      </c>
      <c r="Q246" t="s">
        <v>345</v>
      </c>
      <c r="R246" t="s">
        <v>338</v>
      </c>
      <c r="S246" t="s">
        <v>323</v>
      </c>
      <c r="T246">
        <v>7.6</v>
      </c>
      <c r="W246" t="s">
        <v>330</v>
      </c>
      <c r="Y246" s="42">
        <v>44327</v>
      </c>
    </row>
    <row r="247" spans="14:25">
      <c r="N247" s="42">
        <v>44325</v>
      </c>
      <c r="O247" t="s">
        <v>344</v>
      </c>
      <c r="P247" s="42">
        <v>44325</v>
      </c>
      <c r="Q247" t="s">
        <v>344</v>
      </c>
      <c r="R247" t="s">
        <v>338</v>
      </c>
      <c r="S247" t="s">
        <v>323</v>
      </c>
      <c r="T247">
        <v>7.6</v>
      </c>
      <c r="W247" t="s">
        <v>330</v>
      </c>
      <c r="Y247" s="42">
        <v>44327</v>
      </c>
    </row>
    <row r="248" spans="14:25">
      <c r="N248" s="42">
        <v>44322</v>
      </c>
      <c r="O248" t="s">
        <v>324</v>
      </c>
      <c r="P248" s="42">
        <v>44322</v>
      </c>
      <c r="Q248" t="s">
        <v>324</v>
      </c>
      <c r="R248" t="s">
        <v>338</v>
      </c>
      <c r="S248" t="s">
        <v>323</v>
      </c>
      <c r="T248">
        <v>7.6</v>
      </c>
      <c r="W248" t="s">
        <v>330</v>
      </c>
      <c r="Y248" s="42">
        <v>44327</v>
      </c>
    </row>
    <row r="249" spans="14:25">
      <c r="N249" s="42">
        <v>44321</v>
      </c>
      <c r="O249" t="s">
        <v>328</v>
      </c>
      <c r="P249" s="42">
        <v>44321</v>
      </c>
      <c r="Q249" t="s">
        <v>328</v>
      </c>
      <c r="R249" t="s">
        <v>338</v>
      </c>
      <c r="S249" t="s">
        <v>323</v>
      </c>
      <c r="T249">
        <v>7.6</v>
      </c>
      <c r="W249" t="s">
        <v>330</v>
      </c>
      <c r="Y249" s="42">
        <v>44327</v>
      </c>
    </row>
    <row r="250" spans="14:25">
      <c r="N250" s="42">
        <v>44320</v>
      </c>
      <c r="O250" t="s">
        <v>333</v>
      </c>
      <c r="P250" s="42">
        <v>44320</v>
      </c>
      <c r="Q250" t="s">
        <v>333</v>
      </c>
      <c r="R250" t="s">
        <v>338</v>
      </c>
      <c r="S250" t="s">
        <v>323</v>
      </c>
      <c r="T250">
        <v>7.6</v>
      </c>
      <c r="W250" t="s">
        <v>330</v>
      </c>
      <c r="Y250" s="42">
        <v>44327</v>
      </c>
    </row>
    <row r="251" spans="14:25">
      <c r="N251" s="42">
        <v>44319</v>
      </c>
      <c r="O251" t="s">
        <v>345</v>
      </c>
      <c r="P251" s="42">
        <v>44319</v>
      </c>
      <c r="Q251" t="s">
        <v>345</v>
      </c>
      <c r="R251" t="s">
        <v>338</v>
      </c>
      <c r="S251" t="s">
        <v>323</v>
      </c>
      <c r="T251">
        <v>7.6</v>
      </c>
      <c r="W251" t="s">
        <v>330</v>
      </c>
      <c r="Y251" s="42">
        <v>44327</v>
      </c>
    </row>
    <row r="252" spans="14:25">
      <c r="N252" s="42">
        <v>44318</v>
      </c>
      <c r="O252" t="s">
        <v>344</v>
      </c>
      <c r="P252" s="42">
        <v>44318</v>
      </c>
      <c r="Q252" t="s">
        <v>344</v>
      </c>
      <c r="R252" t="s">
        <v>338</v>
      </c>
      <c r="S252" t="s">
        <v>323</v>
      </c>
      <c r="T252">
        <v>7.6</v>
      </c>
      <c r="W252" t="s">
        <v>330</v>
      </c>
      <c r="Y252" s="42">
        <v>44327</v>
      </c>
    </row>
    <row r="253" spans="14:25">
      <c r="N253" s="42">
        <v>44315</v>
      </c>
      <c r="O253" t="s">
        <v>324</v>
      </c>
      <c r="P253" s="42">
        <v>44315</v>
      </c>
      <c r="Q253" t="s">
        <v>324</v>
      </c>
      <c r="R253" t="s">
        <v>338</v>
      </c>
      <c r="S253" t="s">
        <v>323</v>
      </c>
      <c r="T253">
        <v>7.6</v>
      </c>
      <c r="W253" t="s">
        <v>330</v>
      </c>
      <c r="Y253" s="42">
        <v>44327</v>
      </c>
    </row>
    <row r="254" spans="14:25">
      <c r="N254" s="42">
        <v>44314</v>
      </c>
      <c r="O254" t="s">
        <v>328</v>
      </c>
      <c r="P254" s="42">
        <v>44314</v>
      </c>
      <c r="Q254" t="s">
        <v>328</v>
      </c>
      <c r="R254" t="s">
        <v>338</v>
      </c>
      <c r="S254" t="s">
        <v>323</v>
      </c>
      <c r="T254">
        <v>7.6</v>
      </c>
      <c r="W254" t="s">
        <v>330</v>
      </c>
      <c r="Y254" s="42">
        <v>44327</v>
      </c>
    </row>
    <row r="255" spans="14:25">
      <c r="N255" s="42">
        <v>44313</v>
      </c>
      <c r="O255" t="s">
        <v>333</v>
      </c>
      <c r="P255" s="42">
        <v>44313</v>
      </c>
      <c r="Q255" t="s">
        <v>333</v>
      </c>
      <c r="R255" t="s">
        <v>338</v>
      </c>
      <c r="S255" t="s">
        <v>323</v>
      </c>
      <c r="T255">
        <v>7.6</v>
      </c>
      <c r="W255" t="s">
        <v>330</v>
      </c>
      <c r="Y255" s="42">
        <v>44313</v>
      </c>
    </row>
    <row r="256" spans="14:25">
      <c r="N256" s="42">
        <v>44312</v>
      </c>
      <c r="O256" t="s">
        <v>345</v>
      </c>
      <c r="P256" s="42">
        <v>44312</v>
      </c>
      <c r="Q256" t="s">
        <v>345</v>
      </c>
      <c r="R256" t="s">
        <v>338</v>
      </c>
      <c r="S256" t="s">
        <v>323</v>
      </c>
      <c r="T256">
        <v>7.6</v>
      </c>
      <c r="W256" t="s">
        <v>330</v>
      </c>
      <c r="Y256" s="42">
        <v>44313</v>
      </c>
    </row>
    <row r="257" spans="14:25">
      <c r="N257" s="42">
        <v>44311</v>
      </c>
      <c r="O257" t="s">
        <v>344</v>
      </c>
      <c r="P257" s="42">
        <v>44311</v>
      </c>
      <c r="Q257" t="s">
        <v>344</v>
      </c>
      <c r="R257" t="s">
        <v>338</v>
      </c>
      <c r="S257" t="s">
        <v>323</v>
      </c>
      <c r="T257">
        <v>7.6</v>
      </c>
      <c r="W257" t="s">
        <v>330</v>
      </c>
      <c r="Y257" s="42">
        <v>44313</v>
      </c>
    </row>
    <row r="258" spans="14:25">
      <c r="N258" s="42">
        <v>44308</v>
      </c>
      <c r="O258" t="s">
        <v>324</v>
      </c>
      <c r="P258" s="42">
        <v>44308</v>
      </c>
      <c r="Q258" t="s">
        <v>324</v>
      </c>
      <c r="R258" t="s">
        <v>338</v>
      </c>
      <c r="S258" t="s">
        <v>323</v>
      </c>
      <c r="T258">
        <v>7.6</v>
      </c>
      <c r="W258" t="s">
        <v>330</v>
      </c>
      <c r="Y258" s="42">
        <v>44313</v>
      </c>
    </row>
    <row r="259" spans="14:25">
      <c r="N259" s="42">
        <v>44307</v>
      </c>
      <c r="O259" t="s">
        <v>328</v>
      </c>
      <c r="P259" s="42">
        <v>44307</v>
      </c>
      <c r="Q259" t="s">
        <v>328</v>
      </c>
      <c r="R259" t="s">
        <v>338</v>
      </c>
      <c r="S259" t="s">
        <v>323</v>
      </c>
      <c r="T259">
        <v>7.6</v>
      </c>
      <c r="W259" t="s">
        <v>330</v>
      </c>
      <c r="Y259" s="42">
        <v>44313</v>
      </c>
    </row>
    <row r="260" spans="14:25">
      <c r="N260" s="42">
        <v>44306</v>
      </c>
      <c r="O260" t="s">
        <v>333</v>
      </c>
      <c r="P260" s="42">
        <v>44306</v>
      </c>
      <c r="Q260" t="s">
        <v>333</v>
      </c>
      <c r="R260" t="s">
        <v>338</v>
      </c>
      <c r="S260" t="s">
        <v>323</v>
      </c>
      <c r="T260">
        <v>7.6</v>
      </c>
      <c r="W260" t="s">
        <v>330</v>
      </c>
      <c r="Y260" s="42">
        <v>44313</v>
      </c>
    </row>
    <row r="261" spans="14:25">
      <c r="N261" s="42">
        <v>44305</v>
      </c>
      <c r="O261" t="s">
        <v>345</v>
      </c>
      <c r="P261" s="42">
        <v>44305</v>
      </c>
      <c r="Q261" t="s">
        <v>345</v>
      </c>
      <c r="R261" t="s">
        <v>338</v>
      </c>
      <c r="S261" t="s">
        <v>323</v>
      </c>
      <c r="T261">
        <v>7.6</v>
      </c>
      <c r="W261" t="s">
        <v>330</v>
      </c>
      <c r="Y261" s="42">
        <v>44313</v>
      </c>
    </row>
    <row r="262" spans="14:25">
      <c r="N262" s="42">
        <v>44304</v>
      </c>
      <c r="O262" t="s">
        <v>344</v>
      </c>
      <c r="P262" s="42">
        <v>44304</v>
      </c>
      <c r="Q262" t="s">
        <v>344</v>
      </c>
      <c r="R262" t="s">
        <v>338</v>
      </c>
      <c r="S262" t="s">
        <v>323</v>
      </c>
      <c r="T262">
        <v>7.6</v>
      </c>
      <c r="W262" t="s">
        <v>330</v>
      </c>
      <c r="Y262" s="42">
        <v>44313</v>
      </c>
    </row>
    <row r="263" spans="14:25">
      <c r="N263" s="42">
        <v>44301</v>
      </c>
      <c r="O263" t="s">
        <v>324</v>
      </c>
      <c r="P263" s="42">
        <v>44301</v>
      </c>
      <c r="Q263" t="s">
        <v>324</v>
      </c>
      <c r="R263" t="s">
        <v>338</v>
      </c>
      <c r="S263" t="s">
        <v>323</v>
      </c>
      <c r="T263">
        <v>7.6</v>
      </c>
      <c r="W263" t="s">
        <v>330</v>
      </c>
      <c r="Y263" s="42">
        <v>44313</v>
      </c>
    </row>
    <row r="264" spans="14:25">
      <c r="N264" s="42">
        <v>44300</v>
      </c>
      <c r="O264" t="s">
        <v>328</v>
      </c>
      <c r="P264" s="42">
        <v>44300</v>
      </c>
      <c r="Q264" t="s">
        <v>328</v>
      </c>
      <c r="R264" t="s">
        <v>338</v>
      </c>
      <c r="S264" t="s">
        <v>323</v>
      </c>
      <c r="T264">
        <v>7.6</v>
      </c>
      <c r="W264" t="s">
        <v>330</v>
      </c>
      <c r="Y264" s="42">
        <v>44313</v>
      </c>
    </row>
    <row r="265" spans="14:25">
      <c r="N265" s="42">
        <v>44299</v>
      </c>
      <c r="O265" t="s">
        <v>333</v>
      </c>
      <c r="P265" s="42">
        <v>44299</v>
      </c>
      <c r="Q265" t="s">
        <v>333</v>
      </c>
      <c r="R265" t="s">
        <v>338</v>
      </c>
      <c r="S265" t="s">
        <v>323</v>
      </c>
      <c r="T265">
        <v>7.6</v>
      </c>
      <c r="W265" t="s">
        <v>330</v>
      </c>
      <c r="Y265" s="42">
        <v>44299</v>
      </c>
    </row>
    <row r="266" spans="14:25">
      <c r="N266" s="42">
        <v>44298</v>
      </c>
      <c r="O266" t="s">
        <v>345</v>
      </c>
      <c r="P266" s="42">
        <v>44298</v>
      </c>
      <c r="Q266" t="s">
        <v>345</v>
      </c>
      <c r="R266" t="s">
        <v>338</v>
      </c>
      <c r="S266" t="s">
        <v>323</v>
      </c>
      <c r="T266">
        <v>7.6</v>
      </c>
      <c r="W266" t="s">
        <v>330</v>
      </c>
      <c r="Y266" s="42">
        <v>44299</v>
      </c>
    </row>
    <row r="267" spans="14:25">
      <c r="N267" s="42">
        <v>44297</v>
      </c>
      <c r="O267" t="s">
        <v>344</v>
      </c>
      <c r="P267" s="42">
        <v>44297</v>
      </c>
      <c r="Q267" t="s">
        <v>344</v>
      </c>
      <c r="R267" t="s">
        <v>338</v>
      </c>
      <c r="S267" t="s">
        <v>323</v>
      </c>
      <c r="T267">
        <v>7.6</v>
      </c>
      <c r="W267" t="s">
        <v>330</v>
      </c>
      <c r="Y267" s="42">
        <v>44299</v>
      </c>
    </row>
    <row r="268" spans="14:25">
      <c r="N268" s="42">
        <v>44294</v>
      </c>
      <c r="O268" t="s">
        <v>324</v>
      </c>
      <c r="P268" s="42">
        <v>44294</v>
      </c>
      <c r="Q268" t="s">
        <v>324</v>
      </c>
      <c r="R268" t="s">
        <v>338</v>
      </c>
      <c r="S268" t="s">
        <v>323</v>
      </c>
      <c r="T268">
        <v>7.6</v>
      </c>
      <c r="W268" t="s">
        <v>330</v>
      </c>
      <c r="Y268" s="42">
        <v>44299</v>
      </c>
    </row>
    <row r="269" spans="14:25">
      <c r="N269" s="42">
        <v>44293</v>
      </c>
      <c r="O269" t="s">
        <v>328</v>
      </c>
      <c r="P269" s="42">
        <v>44293</v>
      </c>
      <c r="Q269" t="s">
        <v>328</v>
      </c>
      <c r="R269" t="s">
        <v>338</v>
      </c>
      <c r="S269" t="s">
        <v>323</v>
      </c>
      <c r="T269">
        <v>7.6</v>
      </c>
      <c r="W269" t="s">
        <v>330</v>
      </c>
      <c r="Y269" s="42">
        <v>44299</v>
      </c>
    </row>
    <row r="270" spans="14:25">
      <c r="N270" s="42">
        <v>44292</v>
      </c>
      <c r="O270" t="s">
        <v>333</v>
      </c>
      <c r="P270" s="42">
        <v>44292</v>
      </c>
      <c r="Q270" t="s">
        <v>333</v>
      </c>
      <c r="R270" t="s">
        <v>338</v>
      </c>
      <c r="S270" t="s">
        <v>323</v>
      </c>
      <c r="T270">
        <v>7.6</v>
      </c>
      <c r="W270" t="s">
        <v>330</v>
      </c>
      <c r="Y270" s="42">
        <v>44299</v>
      </c>
    </row>
    <row r="271" spans="14:25">
      <c r="N271" s="42">
        <v>44291</v>
      </c>
      <c r="O271" t="s">
        <v>345</v>
      </c>
      <c r="P271" s="42">
        <v>44291</v>
      </c>
      <c r="Q271" t="s">
        <v>345</v>
      </c>
      <c r="R271" t="s">
        <v>338</v>
      </c>
      <c r="S271" t="s">
        <v>323</v>
      </c>
      <c r="T271">
        <v>7.6</v>
      </c>
      <c r="W271" t="s">
        <v>330</v>
      </c>
      <c r="Y271" s="42">
        <v>44299</v>
      </c>
    </row>
    <row r="272" spans="14:25">
      <c r="N272" s="42">
        <v>44290</v>
      </c>
      <c r="O272" t="s">
        <v>344</v>
      </c>
      <c r="P272" s="42">
        <v>44290</v>
      </c>
      <c r="Q272" t="s">
        <v>344</v>
      </c>
      <c r="R272" t="s">
        <v>338</v>
      </c>
      <c r="S272" t="s">
        <v>323</v>
      </c>
      <c r="T272">
        <v>7.6</v>
      </c>
      <c r="W272" t="s">
        <v>330</v>
      </c>
      <c r="Y272" s="42">
        <v>44299</v>
      </c>
    </row>
    <row r="273" spans="14:25">
      <c r="N273" s="42">
        <v>44287</v>
      </c>
      <c r="O273" t="s">
        <v>324</v>
      </c>
      <c r="P273" s="42">
        <v>44287</v>
      </c>
      <c r="Q273" t="s">
        <v>324</v>
      </c>
      <c r="R273" t="s">
        <v>338</v>
      </c>
      <c r="S273" t="s">
        <v>323</v>
      </c>
      <c r="T273">
        <v>7.6</v>
      </c>
      <c r="W273" t="s">
        <v>330</v>
      </c>
      <c r="Y273" s="42">
        <v>44299</v>
      </c>
    </row>
    <row r="274" spans="14:25">
      <c r="N274" s="42">
        <v>44286</v>
      </c>
      <c r="O274" t="s">
        <v>328</v>
      </c>
      <c r="P274" s="42">
        <v>44299</v>
      </c>
      <c r="Q274" t="s">
        <v>333</v>
      </c>
      <c r="R274" t="s">
        <v>338</v>
      </c>
      <c r="S274" t="s">
        <v>323</v>
      </c>
      <c r="T274">
        <v>76</v>
      </c>
      <c r="W274" t="s">
        <v>330</v>
      </c>
      <c r="Y274" s="42">
        <v>44299</v>
      </c>
    </row>
    <row r="275" spans="14:25">
      <c r="N275" s="42">
        <v>44286</v>
      </c>
      <c r="O275" t="s">
        <v>328</v>
      </c>
      <c r="P275" s="42">
        <v>44286</v>
      </c>
      <c r="Q275" t="s">
        <v>328</v>
      </c>
      <c r="R275" t="s">
        <v>338</v>
      </c>
      <c r="S275" t="s">
        <v>323</v>
      </c>
      <c r="T275">
        <v>7.6</v>
      </c>
      <c r="W275" t="s">
        <v>330</v>
      </c>
      <c r="Y275" s="42">
        <v>44299</v>
      </c>
    </row>
    <row r="276" spans="14:25">
      <c r="N276" s="42">
        <v>44285</v>
      </c>
      <c r="O276" t="s">
        <v>333</v>
      </c>
      <c r="P276" s="42">
        <v>44285</v>
      </c>
      <c r="Q276" t="s">
        <v>333</v>
      </c>
      <c r="R276" t="s">
        <v>338</v>
      </c>
      <c r="S276" t="s">
        <v>323</v>
      </c>
      <c r="T276">
        <v>7.6</v>
      </c>
      <c r="W276" t="s">
        <v>330</v>
      </c>
      <c r="Y276" s="42">
        <v>44285</v>
      </c>
    </row>
    <row r="277" spans="14:25">
      <c r="N277" s="42">
        <v>44284</v>
      </c>
      <c r="O277" t="s">
        <v>345</v>
      </c>
      <c r="P277" s="42">
        <v>44284</v>
      </c>
      <c r="Q277" t="s">
        <v>345</v>
      </c>
      <c r="R277" t="s">
        <v>338</v>
      </c>
      <c r="S277" t="s">
        <v>323</v>
      </c>
      <c r="T277">
        <v>7.6</v>
      </c>
      <c r="W277" t="s">
        <v>330</v>
      </c>
      <c r="Y277" s="42">
        <v>44285</v>
      </c>
    </row>
    <row r="278" spans="14:25">
      <c r="N278" s="42">
        <v>44283</v>
      </c>
      <c r="O278" t="s">
        <v>344</v>
      </c>
      <c r="P278" s="42">
        <v>44283</v>
      </c>
      <c r="Q278" t="s">
        <v>344</v>
      </c>
      <c r="R278" t="s">
        <v>338</v>
      </c>
      <c r="S278" t="s">
        <v>323</v>
      </c>
      <c r="T278">
        <v>7.6</v>
      </c>
      <c r="W278" t="s">
        <v>330</v>
      </c>
      <c r="Y278" s="42">
        <v>44285</v>
      </c>
    </row>
    <row r="279" spans="14:25">
      <c r="N279" s="42">
        <v>44280</v>
      </c>
      <c r="O279" t="s">
        <v>324</v>
      </c>
      <c r="P279" s="42">
        <v>44280</v>
      </c>
      <c r="Q279" t="s">
        <v>324</v>
      </c>
      <c r="R279" t="s">
        <v>338</v>
      </c>
      <c r="S279" t="s">
        <v>323</v>
      </c>
      <c r="T279">
        <v>7.6</v>
      </c>
      <c r="W279" t="s">
        <v>330</v>
      </c>
      <c r="Y279" s="42">
        <v>44285</v>
      </c>
    </row>
    <row r="280" spans="14:25">
      <c r="N280" s="42">
        <v>44279</v>
      </c>
      <c r="O280" t="s">
        <v>328</v>
      </c>
      <c r="P280" s="42">
        <v>44279</v>
      </c>
      <c r="Q280" t="s">
        <v>328</v>
      </c>
      <c r="R280" t="s">
        <v>338</v>
      </c>
      <c r="S280" t="s">
        <v>323</v>
      </c>
      <c r="T280">
        <v>7.6</v>
      </c>
      <c r="W280" t="s">
        <v>330</v>
      </c>
      <c r="Y280" s="42">
        <v>44285</v>
      </c>
    </row>
    <row r="281" spans="14:25">
      <c r="N281" s="42">
        <v>44278</v>
      </c>
      <c r="O281" t="s">
        <v>333</v>
      </c>
      <c r="P281" s="42">
        <v>44278</v>
      </c>
      <c r="Q281" t="s">
        <v>333</v>
      </c>
      <c r="R281" t="s">
        <v>338</v>
      </c>
      <c r="S281" t="s">
        <v>323</v>
      </c>
      <c r="T281">
        <v>7.6</v>
      </c>
      <c r="W281" t="s">
        <v>330</v>
      </c>
      <c r="Y281" s="42">
        <v>44285</v>
      </c>
    </row>
    <row r="282" spans="14:25">
      <c r="N282" s="42">
        <v>44277</v>
      </c>
      <c r="O282" t="s">
        <v>345</v>
      </c>
      <c r="P282" s="42">
        <v>44277</v>
      </c>
      <c r="Q282" t="s">
        <v>345</v>
      </c>
      <c r="R282" t="s">
        <v>338</v>
      </c>
      <c r="S282" t="s">
        <v>323</v>
      </c>
      <c r="T282">
        <v>7.6</v>
      </c>
      <c r="W282" t="s">
        <v>330</v>
      </c>
      <c r="Y282" s="42">
        <v>44285</v>
      </c>
    </row>
    <row r="283" spans="14:25">
      <c r="N283" s="42">
        <v>44276</v>
      </c>
      <c r="O283" t="s">
        <v>344</v>
      </c>
      <c r="P283" s="42">
        <v>44276</v>
      </c>
      <c r="Q283" t="s">
        <v>344</v>
      </c>
      <c r="R283" t="s">
        <v>338</v>
      </c>
      <c r="S283" t="s">
        <v>323</v>
      </c>
      <c r="T283">
        <v>7.6</v>
      </c>
      <c r="W283" t="s">
        <v>330</v>
      </c>
      <c r="Y283" s="42">
        <v>44285</v>
      </c>
    </row>
    <row r="284" spans="14:25">
      <c r="N284" s="42">
        <v>44273</v>
      </c>
      <c r="O284" t="s">
        <v>324</v>
      </c>
      <c r="P284" s="42">
        <v>44273</v>
      </c>
      <c r="Q284" t="s">
        <v>324</v>
      </c>
      <c r="R284" t="s">
        <v>338</v>
      </c>
      <c r="S284" t="s">
        <v>323</v>
      </c>
      <c r="T284">
        <v>7.6</v>
      </c>
      <c r="W284" t="s">
        <v>330</v>
      </c>
      <c r="Y284" s="42">
        <v>44285</v>
      </c>
    </row>
    <row r="285" spans="14:25">
      <c r="N285" s="42">
        <v>44272</v>
      </c>
      <c r="O285" t="s">
        <v>328</v>
      </c>
      <c r="P285" s="42">
        <v>44272</v>
      </c>
      <c r="Q285" t="s">
        <v>328</v>
      </c>
      <c r="R285" t="s">
        <v>338</v>
      </c>
      <c r="S285" t="s">
        <v>323</v>
      </c>
      <c r="T285">
        <v>7.6</v>
      </c>
      <c r="W285" t="s">
        <v>330</v>
      </c>
      <c r="Y285" s="42">
        <v>44285</v>
      </c>
    </row>
    <row r="286" spans="14:25">
      <c r="N286" s="42">
        <v>44271</v>
      </c>
      <c r="O286" t="s">
        <v>333</v>
      </c>
      <c r="P286" s="42">
        <v>44271</v>
      </c>
      <c r="Q286" t="s">
        <v>333</v>
      </c>
      <c r="R286" t="s">
        <v>338</v>
      </c>
      <c r="S286" t="s">
        <v>323</v>
      </c>
      <c r="T286">
        <v>7.6</v>
      </c>
      <c r="W286" t="s">
        <v>330</v>
      </c>
      <c r="Y286" s="42">
        <v>44271</v>
      </c>
    </row>
    <row r="287" spans="14:25">
      <c r="N287" s="42">
        <v>44270</v>
      </c>
      <c r="O287" t="s">
        <v>345</v>
      </c>
      <c r="P287" s="42">
        <v>44270</v>
      </c>
      <c r="Q287" t="s">
        <v>345</v>
      </c>
      <c r="R287" t="s">
        <v>338</v>
      </c>
      <c r="S287" t="s">
        <v>323</v>
      </c>
      <c r="T287">
        <v>7.6</v>
      </c>
      <c r="W287" t="s">
        <v>330</v>
      </c>
      <c r="Y287" s="42">
        <v>44271</v>
      </c>
    </row>
    <row r="288" spans="14:25">
      <c r="N288" s="42">
        <v>44269</v>
      </c>
      <c r="O288" t="s">
        <v>344</v>
      </c>
      <c r="P288" s="42">
        <v>44269</v>
      </c>
      <c r="Q288" t="s">
        <v>344</v>
      </c>
      <c r="R288" t="s">
        <v>338</v>
      </c>
      <c r="S288" t="s">
        <v>323</v>
      </c>
      <c r="T288">
        <v>7.6</v>
      </c>
      <c r="W288" t="s">
        <v>330</v>
      </c>
      <c r="Y288" s="42">
        <v>44271</v>
      </c>
    </row>
    <row r="289" spans="14:25">
      <c r="N289" s="42">
        <v>44266</v>
      </c>
      <c r="O289" t="s">
        <v>324</v>
      </c>
      <c r="P289" s="42">
        <v>44266</v>
      </c>
      <c r="Q289" t="s">
        <v>324</v>
      </c>
      <c r="R289" t="s">
        <v>338</v>
      </c>
      <c r="S289" t="s">
        <v>323</v>
      </c>
      <c r="T289">
        <v>7.6</v>
      </c>
      <c r="W289" t="s">
        <v>330</v>
      </c>
      <c r="Y289" s="42">
        <v>44271</v>
      </c>
    </row>
    <row r="290" spans="14:25">
      <c r="N290" s="42">
        <v>44265</v>
      </c>
      <c r="O290" t="s">
        <v>328</v>
      </c>
      <c r="P290" s="42">
        <v>44265</v>
      </c>
      <c r="Q290" t="s">
        <v>328</v>
      </c>
      <c r="R290" t="s">
        <v>338</v>
      </c>
      <c r="S290" t="s">
        <v>323</v>
      </c>
      <c r="T290">
        <v>7.6</v>
      </c>
      <c r="W290" t="s">
        <v>330</v>
      </c>
      <c r="Y290" s="42">
        <v>44271</v>
      </c>
    </row>
    <row r="291" spans="14:25">
      <c r="N291" s="42">
        <v>44264</v>
      </c>
      <c r="O291" t="s">
        <v>333</v>
      </c>
      <c r="P291" s="42">
        <v>44264</v>
      </c>
      <c r="Q291" t="s">
        <v>333</v>
      </c>
      <c r="R291" t="s">
        <v>338</v>
      </c>
      <c r="S291" t="s">
        <v>323</v>
      </c>
      <c r="T291">
        <v>7.6</v>
      </c>
      <c r="W291" t="s">
        <v>330</v>
      </c>
      <c r="Y291" s="42">
        <v>44271</v>
      </c>
    </row>
    <row r="292" spans="14:25">
      <c r="N292" s="42">
        <v>44262</v>
      </c>
      <c r="O292" t="s">
        <v>344</v>
      </c>
      <c r="P292" s="42">
        <v>44262</v>
      </c>
      <c r="Q292" t="s">
        <v>344</v>
      </c>
      <c r="R292" t="s">
        <v>338</v>
      </c>
      <c r="S292" t="s">
        <v>323</v>
      </c>
      <c r="T292">
        <v>7.6</v>
      </c>
      <c r="W292" t="s">
        <v>330</v>
      </c>
      <c r="Y292" s="42">
        <v>44271</v>
      </c>
    </row>
    <row r="293" spans="14:25">
      <c r="N293" s="42">
        <v>44259</v>
      </c>
      <c r="O293" t="s">
        <v>324</v>
      </c>
      <c r="P293" s="42">
        <v>44259</v>
      </c>
      <c r="Q293" t="s">
        <v>324</v>
      </c>
      <c r="R293" t="s">
        <v>338</v>
      </c>
      <c r="S293" t="s">
        <v>323</v>
      </c>
      <c r="T293">
        <v>7.6</v>
      </c>
      <c r="W293" t="s">
        <v>330</v>
      </c>
      <c r="Y293" s="42">
        <v>44271</v>
      </c>
    </row>
    <row r="294" spans="14:25">
      <c r="N294" s="42">
        <v>44258</v>
      </c>
      <c r="O294" t="s">
        <v>328</v>
      </c>
      <c r="P294" s="42">
        <v>44258</v>
      </c>
      <c r="Q294" t="s">
        <v>328</v>
      </c>
      <c r="R294" t="s">
        <v>338</v>
      </c>
      <c r="S294" t="s">
        <v>323</v>
      </c>
      <c r="T294">
        <v>7.6</v>
      </c>
      <c r="W294" t="s">
        <v>330</v>
      </c>
      <c r="Y294" s="42">
        <v>44271</v>
      </c>
    </row>
    <row r="295" spans="14:25">
      <c r="N295" s="42">
        <v>44257</v>
      </c>
      <c r="O295" t="s">
        <v>333</v>
      </c>
      <c r="P295" s="42">
        <v>44257</v>
      </c>
      <c r="Q295" t="s">
        <v>333</v>
      </c>
      <c r="R295" t="s">
        <v>338</v>
      </c>
      <c r="S295" t="s">
        <v>323</v>
      </c>
      <c r="T295">
        <v>7.6</v>
      </c>
      <c r="W295" t="s">
        <v>330</v>
      </c>
      <c r="Y295" s="42">
        <v>44257</v>
      </c>
    </row>
    <row r="296" spans="14:25">
      <c r="N296" s="42">
        <v>44256</v>
      </c>
      <c r="O296" t="s">
        <v>345</v>
      </c>
      <c r="P296" s="42">
        <v>44256</v>
      </c>
      <c r="Q296" t="s">
        <v>345</v>
      </c>
      <c r="R296" t="s">
        <v>338</v>
      </c>
      <c r="S296" t="s">
        <v>323</v>
      </c>
      <c r="T296">
        <v>7.6</v>
      </c>
      <c r="W296" t="s">
        <v>330</v>
      </c>
      <c r="Y296" s="42">
        <v>44257</v>
      </c>
    </row>
    <row r="297" spans="14:25">
      <c r="N297" s="42">
        <v>44255</v>
      </c>
      <c r="O297" t="s">
        <v>344</v>
      </c>
      <c r="P297" s="42">
        <v>44255</v>
      </c>
      <c r="Q297" t="s">
        <v>344</v>
      </c>
      <c r="R297" t="s">
        <v>338</v>
      </c>
      <c r="S297" t="s">
        <v>323</v>
      </c>
      <c r="T297">
        <v>7.6</v>
      </c>
      <c r="W297" t="s">
        <v>330</v>
      </c>
      <c r="Y297" s="42">
        <v>44257</v>
      </c>
    </row>
    <row r="298" spans="14:25">
      <c r="N298" s="42">
        <v>44252</v>
      </c>
      <c r="O298" t="s">
        <v>324</v>
      </c>
      <c r="P298" s="42">
        <v>44252</v>
      </c>
      <c r="Q298" t="s">
        <v>324</v>
      </c>
      <c r="R298" t="s">
        <v>338</v>
      </c>
      <c r="S298" t="s">
        <v>323</v>
      </c>
      <c r="T298">
        <v>7.6</v>
      </c>
      <c r="W298" t="s">
        <v>330</v>
      </c>
      <c r="Y298" s="42">
        <v>44257</v>
      </c>
    </row>
    <row r="299" spans="14:25">
      <c r="N299" s="42">
        <v>44251</v>
      </c>
      <c r="O299" t="s">
        <v>328</v>
      </c>
      <c r="P299" s="42">
        <v>44251</v>
      </c>
      <c r="Q299" t="s">
        <v>328</v>
      </c>
      <c r="R299" t="s">
        <v>338</v>
      </c>
      <c r="S299" t="s">
        <v>323</v>
      </c>
      <c r="T299">
        <v>7.6</v>
      </c>
      <c r="W299" t="s">
        <v>330</v>
      </c>
      <c r="Y299" s="42">
        <v>44257</v>
      </c>
    </row>
    <row r="300" spans="14:25">
      <c r="N300" s="42">
        <v>44250</v>
      </c>
      <c r="O300" t="s">
        <v>333</v>
      </c>
      <c r="P300" s="42">
        <v>44250</v>
      </c>
      <c r="Q300" t="s">
        <v>333</v>
      </c>
      <c r="R300" t="s">
        <v>338</v>
      </c>
      <c r="S300" t="s">
        <v>323</v>
      </c>
      <c r="T300">
        <v>7.6</v>
      </c>
      <c r="W300" t="s">
        <v>330</v>
      </c>
      <c r="Y300" s="42">
        <v>44257</v>
      </c>
    </row>
    <row r="301" spans="14:25">
      <c r="N301" s="42">
        <v>44249</v>
      </c>
      <c r="O301" t="s">
        <v>345</v>
      </c>
      <c r="P301" s="42">
        <v>44249</v>
      </c>
      <c r="Q301" t="s">
        <v>345</v>
      </c>
      <c r="R301" t="s">
        <v>338</v>
      </c>
      <c r="S301" t="s">
        <v>323</v>
      </c>
      <c r="T301">
        <v>7.6</v>
      </c>
      <c r="W301" t="s">
        <v>330</v>
      </c>
      <c r="Y301" s="42">
        <v>44257</v>
      </c>
    </row>
    <row r="302" spans="14:25">
      <c r="N302" s="42">
        <v>44248</v>
      </c>
      <c r="O302" t="s">
        <v>344</v>
      </c>
      <c r="P302" s="42">
        <v>44248</v>
      </c>
      <c r="Q302" t="s">
        <v>344</v>
      </c>
      <c r="R302" t="s">
        <v>338</v>
      </c>
      <c r="S302" t="s">
        <v>323</v>
      </c>
      <c r="T302">
        <v>7.6</v>
      </c>
      <c r="W302" t="s">
        <v>330</v>
      </c>
      <c r="Y302" s="42">
        <v>44257</v>
      </c>
    </row>
    <row r="303" spans="14:25">
      <c r="N303" s="42">
        <v>44245</v>
      </c>
      <c r="O303" t="s">
        <v>324</v>
      </c>
      <c r="P303" s="42">
        <v>44245</v>
      </c>
      <c r="Q303" t="s">
        <v>324</v>
      </c>
      <c r="R303" t="s">
        <v>338</v>
      </c>
      <c r="S303" t="s">
        <v>323</v>
      </c>
      <c r="T303">
        <v>7.6</v>
      </c>
      <c r="W303" t="s">
        <v>330</v>
      </c>
      <c r="Y303" s="42">
        <v>44257</v>
      </c>
    </row>
    <row r="304" spans="14:25">
      <c r="N304" s="42">
        <v>44244</v>
      </c>
      <c r="O304" t="s">
        <v>328</v>
      </c>
      <c r="P304" s="42">
        <v>44244</v>
      </c>
      <c r="Q304" t="s">
        <v>328</v>
      </c>
      <c r="R304" t="s">
        <v>338</v>
      </c>
      <c r="S304" t="s">
        <v>323</v>
      </c>
      <c r="T304">
        <v>7.6</v>
      </c>
      <c r="W304" t="s">
        <v>330</v>
      </c>
      <c r="Y304" s="42">
        <v>44257</v>
      </c>
    </row>
    <row r="305" spans="14:25">
      <c r="N305" s="42">
        <v>44243</v>
      </c>
      <c r="O305" t="s">
        <v>333</v>
      </c>
      <c r="P305" s="42">
        <v>44243</v>
      </c>
      <c r="Q305" t="s">
        <v>333</v>
      </c>
      <c r="R305" t="s">
        <v>338</v>
      </c>
      <c r="S305" t="s">
        <v>323</v>
      </c>
      <c r="T305">
        <v>7.6</v>
      </c>
      <c r="W305" t="s">
        <v>330</v>
      </c>
      <c r="Y305" s="42">
        <v>44243</v>
      </c>
    </row>
    <row r="306" spans="14:25">
      <c r="N306" s="42">
        <v>44242</v>
      </c>
      <c r="O306" t="s">
        <v>345</v>
      </c>
      <c r="P306" s="42">
        <v>44242</v>
      </c>
      <c r="Q306" t="s">
        <v>345</v>
      </c>
      <c r="R306" t="s">
        <v>338</v>
      </c>
      <c r="S306" t="s">
        <v>323</v>
      </c>
      <c r="T306">
        <v>7.6</v>
      </c>
      <c r="W306" t="s">
        <v>330</v>
      </c>
      <c r="Y306" s="42">
        <v>44243</v>
      </c>
    </row>
    <row r="307" spans="14:25">
      <c r="N307" s="42">
        <v>44241</v>
      </c>
      <c r="O307" t="s">
        <v>344</v>
      </c>
      <c r="P307" s="42">
        <v>44241</v>
      </c>
      <c r="Q307" t="s">
        <v>344</v>
      </c>
      <c r="R307" t="s">
        <v>338</v>
      </c>
      <c r="S307" t="s">
        <v>323</v>
      </c>
      <c r="T307">
        <v>7.6</v>
      </c>
      <c r="W307" t="s">
        <v>330</v>
      </c>
      <c r="Y307" s="42">
        <v>44243</v>
      </c>
    </row>
    <row r="308" spans="14:25">
      <c r="N308" s="42">
        <v>44238</v>
      </c>
      <c r="O308" t="s">
        <v>324</v>
      </c>
      <c r="P308" s="42">
        <v>44238</v>
      </c>
      <c r="Q308" t="s">
        <v>324</v>
      </c>
      <c r="R308" t="s">
        <v>338</v>
      </c>
      <c r="S308" t="s">
        <v>323</v>
      </c>
      <c r="T308">
        <v>7.6</v>
      </c>
      <c r="W308" t="s">
        <v>330</v>
      </c>
      <c r="Y308" s="42">
        <v>44243</v>
      </c>
    </row>
    <row r="309" spans="14:25">
      <c r="N309" s="42">
        <v>44237</v>
      </c>
      <c r="O309" t="s">
        <v>328</v>
      </c>
      <c r="P309" s="42">
        <v>44237</v>
      </c>
      <c r="Q309" t="s">
        <v>328</v>
      </c>
      <c r="R309" t="s">
        <v>338</v>
      </c>
      <c r="S309" t="s">
        <v>323</v>
      </c>
      <c r="T309">
        <v>7.6</v>
      </c>
      <c r="W309" t="s">
        <v>330</v>
      </c>
      <c r="Y309" s="42">
        <v>44243</v>
      </c>
    </row>
    <row r="310" spans="14:25">
      <c r="N310" s="42">
        <v>44236</v>
      </c>
      <c r="O310" t="s">
        <v>333</v>
      </c>
      <c r="P310" s="42">
        <v>44236</v>
      </c>
      <c r="Q310" t="s">
        <v>333</v>
      </c>
      <c r="R310" t="s">
        <v>338</v>
      </c>
      <c r="S310" t="s">
        <v>323</v>
      </c>
      <c r="T310">
        <v>7.6</v>
      </c>
      <c r="W310" t="s">
        <v>330</v>
      </c>
      <c r="Y310" s="42">
        <v>44243</v>
      </c>
    </row>
    <row r="311" spans="14:25">
      <c r="N311" s="42">
        <v>44235</v>
      </c>
      <c r="O311" t="s">
        <v>345</v>
      </c>
      <c r="P311" s="42">
        <v>44235</v>
      </c>
      <c r="Q311" t="s">
        <v>345</v>
      </c>
      <c r="R311" t="s">
        <v>338</v>
      </c>
      <c r="S311" t="s">
        <v>323</v>
      </c>
      <c r="T311">
        <v>7.6</v>
      </c>
      <c r="W311" t="s">
        <v>330</v>
      </c>
      <c r="Y311" s="42">
        <v>44243</v>
      </c>
    </row>
    <row r="312" spans="14:25">
      <c r="N312" s="42">
        <v>44234</v>
      </c>
      <c r="O312" t="s">
        <v>344</v>
      </c>
      <c r="P312" s="42">
        <v>44234</v>
      </c>
      <c r="Q312" t="s">
        <v>344</v>
      </c>
      <c r="R312" t="s">
        <v>338</v>
      </c>
      <c r="S312" t="s">
        <v>323</v>
      </c>
      <c r="T312">
        <v>7.6</v>
      </c>
      <c r="W312" t="s">
        <v>330</v>
      </c>
      <c r="Y312" s="42">
        <v>44243</v>
      </c>
    </row>
    <row r="313" spans="14:25">
      <c r="N313" s="42">
        <v>44231</v>
      </c>
      <c r="O313" t="s">
        <v>324</v>
      </c>
      <c r="P313" s="42">
        <v>44231</v>
      </c>
      <c r="Q313" t="s">
        <v>324</v>
      </c>
      <c r="R313" t="s">
        <v>338</v>
      </c>
      <c r="S313" t="s">
        <v>323</v>
      </c>
      <c r="T313">
        <v>7.6</v>
      </c>
      <c r="W313" t="s">
        <v>330</v>
      </c>
      <c r="Y313" s="42">
        <v>44243</v>
      </c>
    </row>
    <row r="314" spans="14:25">
      <c r="N314" s="42">
        <v>44230</v>
      </c>
      <c r="O314" t="s">
        <v>328</v>
      </c>
      <c r="P314" s="42">
        <v>44230</v>
      </c>
      <c r="Q314" t="s">
        <v>328</v>
      </c>
      <c r="R314" t="s">
        <v>338</v>
      </c>
      <c r="S314" t="s">
        <v>323</v>
      </c>
      <c r="T314">
        <v>7.6</v>
      </c>
      <c r="W314" t="s">
        <v>330</v>
      </c>
      <c r="Y314" s="42">
        <v>44243</v>
      </c>
    </row>
    <row r="315" spans="14:25">
      <c r="N315" s="42">
        <v>44229</v>
      </c>
      <c r="O315" t="s">
        <v>333</v>
      </c>
      <c r="P315" s="42">
        <v>44229</v>
      </c>
      <c r="Q315" t="s">
        <v>333</v>
      </c>
      <c r="R315" t="s">
        <v>338</v>
      </c>
      <c r="S315" t="s">
        <v>323</v>
      </c>
      <c r="T315">
        <v>7.6</v>
      </c>
      <c r="W315" t="s">
        <v>330</v>
      </c>
      <c r="Y315" s="42">
        <v>44229</v>
      </c>
    </row>
    <row r="316" spans="14:25">
      <c r="N316" s="42">
        <v>44228</v>
      </c>
      <c r="O316" t="s">
        <v>345</v>
      </c>
      <c r="P316" s="42">
        <v>44228</v>
      </c>
      <c r="Q316" t="s">
        <v>345</v>
      </c>
      <c r="R316" t="s">
        <v>338</v>
      </c>
      <c r="S316" t="s">
        <v>323</v>
      </c>
      <c r="T316">
        <v>7.6</v>
      </c>
      <c r="W316" t="s">
        <v>330</v>
      </c>
      <c r="Y316" s="42">
        <v>44229</v>
      </c>
    </row>
    <row r="317" spans="14:25">
      <c r="N317" s="42">
        <v>44227</v>
      </c>
      <c r="O317" t="s">
        <v>344</v>
      </c>
      <c r="P317" s="42">
        <v>44227</v>
      </c>
      <c r="Q317" t="s">
        <v>344</v>
      </c>
      <c r="R317" t="s">
        <v>338</v>
      </c>
      <c r="S317" t="s">
        <v>323</v>
      </c>
      <c r="T317">
        <v>7.6</v>
      </c>
      <c r="W317" t="s">
        <v>330</v>
      </c>
      <c r="Y317" s="42">
        <v>44229</v>
      </c>
    </row>
    <row r="318" spans="14:25">
      <c r="N318" s="42">
        <v>44224</v>
      </c>
      <c r="O318" t="s">
        <v>324</v>
      </c>
      <c r="P318" s="42">
        <v>44224</v>
      </c>
      <c r="Q318" t="s">
        <v>324</v>
      </c>
      <c r="R318" t="s">
        <v>338</v>
      </c>
      <c r="S318" t="s">
        <v>323</v>
      </c>
      <c r="T318">
        <v>7.6</v>
      </c>
      <c r="W318" t="s">
        <v>330</v>
      </c>
      <c r="Y318" s="42">
        <v>44229</v>
      </c>
    </row>
    <row r="319" spans="14:25">
      <c r="N319" s="42">
        <v>44223</v>
      </c>
      <c r="O319" t="s">
        <v>328</v>
      </c>
      <c r="P319" s="42">
        <v>44223</v>
      </c>
      <c r="Q319" t="s">
        <v>328</v>
      </c>
      <c r="R319" t="s">
        <v>338</v>
      </c>
      <c r="S319" t="s">
        <v>323</v>
      </c>
      <c r="T319">
        <v>7.6</v>
      </c>
      <c r="W319" t="s">
        <v>330</v>
      </c>
      <c r="Y319" s="42">
        <v>44229</v>
      </c>
    </row>
    <row r="320" spans="14:25">
      <c r="N320" s="42">
        <v>44221</v>
      </c>
      <c r="O320" t="s">
        <v>345</v>
      </c>
      <c r="P320" s="42">
        <v>44221</v>
      </c>
      <c r="Q320" t="s">
        <v>345</v>
      </c>
      <c r="R320" t="s">
        <v>338</v>
      </c>
      <c r="S320" t="s">
        <v>323</v>
      </c>
      <c r="T320">
        <v>7.6</v>
      </c>
      <c r="W320" t="s">
        <v>330</v>
      </c>
      <c r="Y320" s="42">
        <v>44229</v>
      </c>
    </row>
    <row r="321" spans="14:25">
      <c r="N321" s="42">
        <v>44220</v>
      </c>
      <c r="O321" t="s">
        <v>344</v>
      </c>
      <c r="P321" s="42">
        <v>44220</v>
      </c>
      <c r="Q321" t="s">
        <v>344</v>
      </c>
      <c r="R321" t="s">
        <v>338</v>
      </c>
      <c r="S321" t="s">
        <v>323</v>
      </c>
      <c r="T321">
        <v>7.6</v>
      </c>
      <c r="W321" t="s">
        <v>330</v>
      </c>
      <c r="Y321" s="42">
        <v>44229</v>
      </c>
    </row>
    <row r="322" spans="14:25">
      <c r="N322" s="42">
        <v>44217</v>
      </c>
      <c r="O322" t="s">
        <v>324</v>
      </c>
      <c r="P322" s="42">
        <v>44217</v>
      </c>
      <c r="Q322" t="s">
        <v>324</v>
      </c>
      <c r="R322" t="s">
        <v>338</v>
      </c>
      <c r="S322" t="s">
        <v>323</v>
      </c>
      <c r="T322">
        <v>7.6</v>
      </c>
      <c r="W322" t="s">
        <v>330</v>
      </c>
      <c r="Y322" s="42">
        <v>44229</v>
      </c>
    </row>
    <row r="323" spans="14:25">
      <c r="N323" s="42">
        <v>44216</v>
      </c>
      <c r="O323" t="s">
        <v>328</v>
      </c>
      <c r="P323" s="42">
        <v>44216</v>
      </c>
      <c r="Q323" t="s">
        <v>328</v>
      </c>
      <c r="R323" t="s">
        <v>338</v>
      </c>
      <c r="S323" t="s">
        <v>323</v>
      </c>
      <c r="T323">
        <v>7.6</v>
      </c>
      <c r="W323" t="s">
        <v>330</v>
      </c>
      <c r="Y323" s="42">
        <v>44229</v>
      </c>
    </row>
    <row r="324" spans="14:25">
      <c r="N324" s="42">
        <v>44215</v>
      </c>
      <c r="O324" t="s">
        <v>333</v>
      </c>
      <c r="P324" s="42">
        <v>44215</v>
      </c>
      <c r="Q324" t="s">
        <v>333</v>
      </c>
      <c r="R324" t="s">
        <v>338</v>
      </c>
      <c r="S324" t="s">
        <v>323</v>
      </c>
      <c r="T324">
        <v>7.6</v>
      </c>
      <c r="W324" t="s">
        <v>330</v>
      </c>
      <c r="Y324" s="42">
        <v>44215</v>
      </c>
    </row>
    <row r="325" spans="14:25">
      <c r="N325" s="42">
        <v>44214</v>
      </c>
      <c r="O325" t="s">
        <v>345</v>
      </c>
      <c r="P325" s="42">
        <v>44214</v>
      </c>
      <c r="Q325" t="s">
        <v>345</v>
      </c>
      <c r="R325" t="s">
        <v>338</v>
      </c>
      <c r="S325" t="s">
        <v>323</v>
      </c>
      <c r="T325">
        <v>7.6</v>
      </c>
      <c r="W325" t="s">
        <v>330</v>
      </c>
      <c r="Y325" s="42">
        <v>44215</v>
      </c>
    </row>
    <row r="326" spans="14:25">
      <c r="N326" s="42">
        <v>44213</v>
      </c>
      <c r="O326" t="s">
        <v>344</v>
      </c>
      <c r="P326" s="42">
        <v>44213</v>
      </c>
      <c r="Q326" t="s">
        <v>344</v>
      </c>
      <c r="R326" t="s">
        <v>338</v>
      </c>
      <c r="S326" t="s">
        <v>323</v>
      </c>
      <c r="T326">
        <v>7.6</v>
      </c>
      <c r="W326" t="s">
        <v>330</v>
      </c>
      <c r="Y326" s="42">
        <v>44215</v>
      </c>
    </row>
    <row r="327" spans="14:25">
      <c r="N327" s="42">
        <v>44210</v>
      </c>
      <c r="O327" t="s">
        <v>324</v>
      </c>
      <c r="P327" s="42">
        <v>44210</v>
      </c>
      <c r="Q327" t="s">
        <v>324</v>
      </c>
      <c r="R327" t="s">
        <v>338</v>
      </c>
      <c r="S327" t="s">
        <v>323</v>
      </c>
      <c r="T327">
        <v>7.6</v>
      </c>
      <c r="W327" t="s">
        <v>330</v>
      </c>
      <c r="Y327" s="42">
        <v>44215</v>
      </c>
    </row>
    <row r="328" spans="14:25">
      <c r="N328" s="42">
        <v>44209</v>
      </c>
      <c r="O328" t="s">
        <v>328</v>
      </c>
      <c r="P328" s="42">
        <v>44209</v>
      </c>
      <c r="Q328" t="s">
        <v>328</v>
      </c>
      <c r="R328" t="s">
        <v>338</v>
      </c>
      <c r="S328" t="s">
        <v>323</v>
      </c>
      <c r="T328">
        <v>7.6</v>
      </c>
      <c r="W328" t="s">
        <v>330</v>
      </c>
      <c r="Y328" s="42">
        <v>44215</v>
      </c>
    </row>
    <row r="329" spans="14:25">
      <c r="N329" s="42">
        <v>44208</v>
      </c>
      <c r="O329" t="s">
        <v>333</v>
      </c>
      <c r="P329" s="42">
        <v>44208</v>
      </c>
      <c r="Q329" t="s">
        <v>333</v>
      </c>
      <c r="R329" t="s">
        <v>338</v>
      </c>
      <c r="S329" t="s">
        <v>323</v>
      </c>
      <c r="T329">
        <v>7.6</v>
      </c>
      <c r="W329" t="s">
        <v>330</v>
      </c>
      <c r="Y329" s="42">
        <v>44215</v>
      </c>
    </row>
    <row r="330" spans="14:25">
      <c r="N330" s="42">
        <v>44207</v>
      </c>
      <c r="O330" t="s">
        <v>345</v>
      </c>
      <c r="P330" s="42">
        <v>44207</v>
      </c>
      <c r="Q330" t="s">
        <v>345</v>
      </c>
      <c r="R330" t="s">
        <v>338</v>
      </c>
      <c r="S330" t="s">
        <v>323</v>
      </c>
      <c r="T330">
        <v>7.6</v>
      </c>
      <c r="W330" t="s">
        <v>330</v>
      </c>
      <c r="Y330" s="42">
        <v>44215</v>
      </c>
    </row>
    <row r="331" spans="14:25">
      <c r="N331" s="42">
        <v>44206</v>
      </c>
      <c r="O331" t="s">
        <v>344</v>
      </c>
      <c r="P331" s="42">
        <v>44206</v>
      </c>
      <c r="Q331" t="s">
        <v>344</v>
      </c>
      <c r="R331" t="s">
        <v>338</v>
      </c>
      <c r="S331" t="s">
        <v>323</v>
      </c>
      <c r="T331">
        <v>7.6</v>
      </c>
      <c r="W331" t="s">
        <v>330</v>
      </c>
      <c r="Y331" s="42">
        <v>44215</v>
      </c>
    </row>
    <row r="332" spans="14:25">
      <c r="N332" s="42">
        <v>44203</v>
      </c>
      <c r="O332" t="s">
        <v>324</v>
      </c>
      <c r="P332" s="42">
        <v>44203</v>
      </c>
      <c r="Q332" t="s">
        <v>324</v>
      </c>
      <c r="R332" t="s">
        <v>338</v>
      </c>
      <c r="S332" t="s">
        <v>323</v>
      </c>
      <c r="T332">
        <v>7.6</v>
      </c>
      <c r="W332" t="s">
        <v>330</v>
      </c>
      <c r="Y332" s="42">
        <v>44215</v>
      </c>
    </row>
    <row r="333" spans="14:25">
      <c r="N333" s="42">
        <v>44202</v>
      </c>
      <c r="O333" t="s">
        <v>328</v>
      </c>
      <c r="P333" s="42">
        <v>44202</v>
      </c>
      <c r="Q333" t="s">
        <v>328</v>
      </c>
      <c r="R333" t="s">
        <v>338</v>
      </c>
      <c r="S333" t="s">
        <v>323</v>
      </c>
      <c r="T333">
        <v>7.6</v>
      </c>
      <c r="W333" t="s">
        <v>330</v>
      </c>
      <c r="Y333" s="42">
        <v>44215</v>
      </c>
    </row>
    <row r="334" spans="14:25">
      <c r="N334" s="42">
        <v>44201</v>
      </c>
      <c r="O334" t="s">
        <v>333</v>
      </c>
      <c r="P334" s="42">
        <v>44201</v>
      </c>
      <c r="Q334" t="s">
        <v>333</v>
      </c>
      <c r="R334" t="s">
        <v>338</v>
      </c>
      <c r="S334" t="s">
        <v>323</v>
      </c>
      <c r="T334">
        <v>7.6</v>
      </c>
      <c r="W334" t="s">
        <v>330</v>
      </c>
      <c r="Y334" s="42">
        <v>44201</v>
      </c>
    </row>
    <row r="335" spans="14:25">
      <c r="N335" s="42">
        <v>44200</v>
      </c>
      <c r="O335" t="s">
        <v>345</v>
      </c>
      <c r="P335" s="42">
        <v>44200</v>
      </c>
      <c r="Q335" t="s">
        <v>345</v>
      </c>
      <c r="R335" t="s">
        <v>338</v>
      </c>
      <c r="S335" t="s">
        <v>323</v>
      </c>
      <c r="T335">
        <v>7.6</v>
      </c>
      <c r="W335" t="s">
        <v>330</v>
      </c>
      <c r="Y335" s="42">
        <v>44201</v>
      </c>
    </row>
    <row r="336" spans="14:25">
      <c r="N336" s="42">
        <v>44199</v>
      </c>
      <c r="O336" t="s">
        <v>344</v>
      </c>
      <c r="P336" s="42">
        <v>44199</v>
      </c>
      <c r="Q336" t="s">
        <v>344</v>
      </c>
      <c r="R336" t="s">
        <v>338</v>
      </c>
      <c r="S336" t="s">
        <v>323</v>
      </c>
      <c r="T336">
        <v>7.6</v>
      </c>
      <c r="W336" t="s">
        <v>330</v>
      </c>
      <c r="Y336" s="42">
        <v>44201</v>
      </c>
    </row>
    <row r="337" spans="14:25">
      <c r="N337" s="42">
        <v>44196</v>
      </c>
      <c r="O337" t="s">
        <v>324</v>
      </c>
      <c r="P337" s="42">
        <v>44196</v>
      </c>
      <c r="Q337" t="s">
        <v>324</v>
      </c>
      <c r="R337" t="s">
        <v>338</v>
      </c>
      <c r="S337" t="s">
        <v>323</v>
      </c>
      <c r="T337">
        <v>7.6</v>
      </c>
      <c r="W337" t="s">
        <v>330</v>
      </c>
      <c r="Y337" s="42">
        <v>44201</v>
      </c>
    </row>
    <row r="338" spans="14:25">
      <c r="N338" s="42">
        <v>44195</v>
      </c>
      <c r="O338" t="s">
        <v>328</v>
      </c>
      <c r="P338" s="42">
        <v>44195</v>
      </c>
      <c r="Q338" t="s">
        <v>328</v>
      </c>
      <c r="R338" t="s">
        <v>338</v>
      </c>
      <c r="S338" t="s">
        <v>323</v>
      </c>
      <c r="T338">
        <v>7.6</v>
      </c>
      <c r="W338" t="s">
        <v>330</v>
      </c>
      <c r="Y338" s="42">
        <v>44201</v>
      </c>
    </row>
    <row r="339" spans="14:25">
      <c r="N339" s="42">
        <v>44194</v>
      </c>
      <c r="O339" t="s">
        <v>333</v>
      </c>
      <c r="P339" s="42">
        <v>44194</v>
      </c>
      <c r="Q339" t="s">
        <v>333</v>
      </c>
      <c r="R339" t="s">
        <v>338</v>
      </c>
      <c r="S339" t="s">
        <v>323</v>
      </c>
      <c r="T339">
        <v>7.6</v>
      </c>
      <c r="W339" t="s">
        <v>330</v>
      </c>
      <c r="Y339" s="42">
        <v>44201</v>
      </c>
    </row>
    <row r="340" spans="14:25">
      <c r="N340" s="42">
        <v>44193</v>
      </c>
      <c r="O340" t="s">
        <v>345</v>
      </c>
      <c r="P340" s="42">
        <v>44193</v>
      </c>
      <c r="Q340" t="s">
        <v>345</v>
      </c>
      <c r="R340" t="s">
        <v>338</v>
      </c>
      <c r="S340" t="s">
        <v>323</v>
      </c>
      <c r="T340">
        <v>7.6</v>
      </c>
      <c r="W340" t="s">
        <v>330</v>
      </c>
      <c r="Y340" s="42">
        <v>44201</v>
      </c>
    </row>
    <row r="341" spans="14:25">
      <c r="N341" s="42">
        <v>44192</v>
      </c>
      <c r="O341" t="s">
        <v>344</v>
      </c>
      <c r="P341" s="42">
        <v>44192</v>
      </c>
      <c r="Q341" t="s">
        <v>344</v>
      </c>
      <c r="R341" t="s">
        <v>338</v>
      </c>
      <c r="S341" t="s">
        <v>323</v>
      </c>
      <c r="T341">
        <v>7.6</v>
      </c>
      <c r="W341" t="s">
        <v>330</v>
      </c>
      <c r="Y341" s="42">
        <v>44201</v>
      </c>
    </row>
    <row r="342" spans="14:25">
      <c r="N342" s="42">
        <v>44189</v>
      </c>
      <c r="O342" t="s">
        <v>324</v>
      </c>
      <c r="P342" s="42">
        <v>44189</v>
      </c>
      <c r="Q342" t="s">
        <v>324</v>
      </c>
      <c r="R342" t="s">
        <v>338</v>
      </c>
      <c r="S342" t="s">
        <v>323</v>
      </c>
      <c r="T342">
        <v>7.6</v>
      </c>
      <c r="W342" t="s">
        <v>330</v>
      </c>
      <c r="Y342" s="42">
        <v>44201</v>
      </c>
    </row>
    <row r="343" spans="14:25">
      <c r="N343" s="42">
        <v>44188</v>
      </c>
      <c r="O343" t="s">
        <v>328</v>
      </c>
      <c r="P343" s="42">
        <v>44188</v>
      </c>
      <c r="Q343" t="s">
        <v>328</v>
      </c>
      <c r="R343" t="s">
        <v>338</v>
      </c>
      <c r="S343" t="s">
        <v>323</v>
      </c>
      <c r="T343">
        <v>7.6</v>
      </c>
      <c r="W343" t="s">
        <v>330</v>
      </c>
      <c r="Y343" s="42">
        <v>44201</v>
      </c>
    </row>
    <row r="344" spans="14:25">
      <c r="N344" s="42">
        <v>44187</v>
      </c>
      <c r="O344" t="s">
        <v>333</v>
      </c>
      <c r="P344" s="42">
        <v>44187</v>
      </c>
      <c r="Q344" t="s">
        <v>333</v>
      </c>
      <c r="R344" t="s">
        <v>338</v>
      </c>
      <c r="S344" t="s">
        <v>323</v>
      </c>
      <c r="T344">
        <v>7.6</v>
      </c>
      <c r="W344" t="s">
        <v>330</v>
      </c>
      <c r="Y344" s="42">
        <v>44187</v>
      </c>
    </row>
    <row r="345" spans="14:25">
      <c r="N345" s="42">
        <v>44186</v>
      </c>
      <c r="O345" t="s">
        <v>345</v>
      </c>
      <c r="P345" s="42">
        <v>44186</v>
      </c>
      <c r="Q345" t="s">
        <v>345</v>
      </c>
      <c r="R345" t="s">
        <v>338</v>
      </c>
      <c r="S345" t="s">
        <v>323</v>
      </c>
      <c r="T345">
        <v>7.6</v>
      </c>
      <c r="W345" t="s">
        <v>330</v>
      </c>
      <c r="Y345" s="42">
        <v>44187</v>
      </c>
    </row>
    <row r="346" spans="14:25">
      <c r="N346" s="42">
        <v>44185</v>
      </c>
      <c r="O346" t="s">
        <v>344</v>
      </c>
      <c r="P346" s="42">
        <v>44185</v>
      </c>
      <c r="Q346" t="s">
        <v>344</v>
      </c>
      <c r="R346" t="s">
        <v>338</v>
      </c>
      <c r="S346" t="s">
        <v>323</v>
      </c>
      <c r="T346">
        <v>7.6</v>
      </c>
      <c r="W346" t="s">
        <v>330</v>
      </c>
      <c r="Y346" s="42">
        <v>44187</v>
      </c>
    </row>
    <row r="347" spans="14:25">
      <c r="N347" s="42">
        <v>44182</v>
      </c>
      <c r="O347" t="s">
        <v>324</v>
      </c>
      <c r="P347" s="42">
        <v>44182</v>
      </c>
      <c r="Q347" t="s">
        <v>324</v>
      </c>
      <c r="R347" t="s">
        <v>338</v>
      </c>
      <c r="S347" t="s">
        <v>323</v>
      </c>
      <c r="T347">
        <v>7.6</v>
      </c>
      <c r="W347" t="s">
        <v>330</v>
      </c>
      <c r="Y347" s="42">
        <v>44187</v>
      </c>
    </row>
    <row r="348" spans="14:25">
      <c r="N348" s="42">
        <v>44181</v>
      </c>
      <c r="O348" t="s">
        <v>328</v>
      </c>
      <c r="P348" s="42">
        <v>44181</v>
      </c>
      <c r="Q348" t="s">
        <v>328</v>
      </c>
      <c r="R348" t="s">
        <v>338</v>
      </c>
      <c r="S348" t="s">
        <v>323</v>
      </c>
      <c r="T348">
        <v>7.6</v>
      </c>
      <c r="W348" t="s">
        <v>330</v>
      </c>
      <c r="Y348" s="42">
        <v>44187</v>
      </c>
    </row>
    <row r="349" spans="14:25">
      <c r="N349" s="42">
        <v>44180</v>
      </c>
      <c r="O349" t="s">
        <v>333</v>
      </c>
      <c r="P349" s="42">
        <v>44180</v>
      </c>
      <c r="Q349" t="s">
        <v>333</v>
      </c>
      <c r="R349" t="s">
        <v>338</v>
      </c>
      <c r="S349" t="s">
        <v>323</v>
      </c>
      <c r="T349">
        <v>7.6</v>
      </c>
      <c r="W349" t="s">
        <v>330</v>
      </c>
      <c r="Y349" s="42">
        <v>44187</v>
      </c>
    </row>
    <row r="350" spans="14:25">
      <c r="N350" s="42">
        <v>44179</v>
      </c>
      <c r="O350" t="s">
        <v>345</v>
      </c>
      <c r="P350" s="42">
        <v>44179</v>
      </c>
      <c r="Q350" t="s">
        <v>345</v>
      </c>
      <c r="R350" t="s">
        <v>338</v>
      </c>
      <c r="S350" t="s">
        <v>323</v>
      </c>
      <c r="T350">
        <v>7.6</v>
      </c>
      <c r="W350" t="s">
        <v>330</v>
      </c>
      <c r="Y350" s="42">
        <v>44187</v>
      </c>
    </row>
    <row r="351" spans="14:25">
      <c r="N351" s="42">
        <v>44178</v>
      </c>
      <c r="O351" t="s">
        <v>344</v>
      </c>
      <c r="P351" s="42">
        <v>44178</v>
      </c>
      <c r="Q351" t="s">
        <v>344</v>
      </c>
      <c r="R351" t="s">
        <v>338</v>
      </c>
      <c r="S351" t="s">
        <v>323</v>
      </c>
      <c r="T351">
        <v>7.6</v>
      </c>
      <c r="W351" t="s">
        <v>330</v>
      </c>
      <c r="Y351" s="42">
        <v>44187</v>
      </c>
    </row>
    <row r="352" spans="14:25">
      <c r="N352" s="42">
        <v>44175</v>
      </c>
      <c r="O352" t="s">
        <v>324</v>
      </c>
      <c r="P352" s="42">
        <v>44175</v>
      </c>
      <c r="Q352" t="s">
        <v>324</v>
      </c>
      <c r="R352" t="s">
        <v>338</v>
      </c>
      <c r="S352" t="s">
        <v>323</v>
      </c>
      <c r="T352">
        <v>7.6</v>
      </c>
      <c r="W352" t="s">
        <v>330</v>
      </c>
      <c r="Y352" s="42">
        <v>44187</v>
      </c>
    </row>
    <row r="353" spans="14:25">
      <c r="N353" s="42">
        <v>44174</v>
      </c>
      <c r="O353" t="s">
        <v>328</v>
      </c>
      <c r="P353" s="42">
        <v>44174</v>
      </c>
      <c r="Q353" t="s">
        <v>328</v>
      </c>
      <c r="R353" t="s">
        <v>338</v>
      </c>
      <c r="S353" t="s">
        <v>323</v>
      </c>
      <c r="T353">
        <v>7.6</v>
      </c>
      <c r="W353" t="s">
        <v>330</v>
      </c>
      <c r="Y353" s="42">
        <v>44187</v>
      </c>
    </row>
    <row r="354" spans="14:25">
      <c r="N354" s="42">
        <v>44173</v>
      </c>
      <c r="O354" t="s">
        <v>333</v>
      </c>
      <c r="P354" s="42">
        <v>44173</v>
      </c>
      <c r="Q354" t="s">
        <v>333</v>
      </c>
      <c r="R354" t="s">
        <v>338</v>
      </c>
      <c r="S354" t="s">
        <v>323</v>
      </c>
      <c r="T354">
        <v>7.6</v>
      </c>
      <c r="W354" t="s">
        <v>330</v>
      </c>
      <c r="Y354" s="42">
        <v>44173</v>
      </c>
    </row>
    <row r="355" spans="14:25">
      <c r="N355" s="42">
        <v>44172</v>
      </c>
      <c r="O355" t="s">
        <v>345</v>
      </c>
      <c r="P355" s="42">
        <v>44172</v>
      </c>
      <c r="Q355" t="s">
        <v>345</v>
      </c>
      <c r="R355" t="s">
        <v>338</v>
      </c>
      <c r="S355" t="s">
        <v>323</v>
      </c>
      <c r="T355">
        <v>7.6</v>
      </c>
      <c r="W355" t="s">
        <v>330</v>
      </c>
      <c r="Y355" s="42">
        <v>44173</v>
      </c>
    </row>
    <row r="356" spans="14:25">
      <c r="N356" s="42">
        <v>44171</v>
      </c>
      <c r="O356" t="s">
        <v>344</v>
      </c>
      <c r="P356" s="42">
        <v>44171</v>
      </c>
      <c r="Q356" t="s">
        <v>344</v>
      </c>
      <c r="R356" t="s">
        <v>338</v>
      </c>
      <c r="S356" t="s">
        <v>323</v>
      </c>
      <c r="T356">
        <v>7.6</v>
      </c>
      <c r="W356" t="s">
        <v>330</v>
      </c>
      <c r="Y356" s="42">
        <v>44173</v>
      </c>
    </row>
    <row r="357" spans="14:25">
      <c r="N357" s="42">
        <v>44168</v>
      </c>
      <c r="O357" t="s">
        <v>324</v>
      </c>
      <c r="P357" s="42">
        <v>44168</v>
      </c>
      <c r="Q357" t="s">
        <v>324</v>
      </c>
      <c r="R357" t="s">
        <v>338</v>
      </c>
      <c r="S357" t="s">
        <v>323</v>
      </c>
      <c r="T357">
        <v>7.6</v>
      </c>
      <c r="W357" t="s">
        <v>330</v>
      </c>
      <c r="Y357" s="42">
        <v>44173</v>
      </c>
    </row>
    <row r="358" spans="14:25">
      <c r="N358" s="42">
        <v>44167</v>
      </c>
      <c r="O358" t="s">
        <v>328</v>
      </c>
      <c r="P358" s="42">
        <v>44167</v>
      </c>
      <c r="Q358" t="s">
        <v>328</v>
      </c>
      <c r="R358" t="s">
        <v>338</v>
      </c>
      <c r="S358" t="s">
        <v>323</v>
      </c>
      <c r="T358">
        <v>7.6</v>
      </c>
      <c r="W358" t="s">
        <v>330</v>
      </c>
      <c r="Y358" s="42">
        <v>44173</v>
      </c>
    </row>
    <row r="359" spans="14:25">
      <c r="N359" s="42">
        <v>44166</v>
      </c>
      <c r="O359" t="s">
        <v>333</v>
      </c>
      <c r="P359" s="42">
        <v>44166</v>
      </c>
      <c r="Q359" t="s">
        <v>333</v>
      </c>
      <c r="R359" t="s">
        <v>338</v>
      </c>
      <c r="S359" t="s">
        <v>323</v>
      </c>
      <c r="T359">
        <v>7.6</v>
      </c>
      <c r="W359" t="s">
        <v>330</v>
      </c>
      <c r="Y359" s="42">
        <v>44173</v>
      </c>
    </row>
    <row r="360" spans="14:25">
      <c r="N360" s="42">
        <v>44165</v>
      </c>
      <c r="O360" t="s">
        <v>345</v>
      </c>
      <c r="P360" s="42">
        <v>44165</v>
      </c>
      <c r="Q360" t="s">
        <v>345</v>
      </c>
      <c r="R360" t="s">
        <v>338</v>
      </c>
      <c r="S360" t="s">
        <v>323</v>
      </c>
      <c r="T360">
        <v>7.6</v>
      </c>
      <c r="W360" t="s">
        <v>330</v>
      </c>
      <c r="Y360" s="42">
        <v>44173</v>
      </c>
    </row>
    <row r="361" spans="14:25">
      <c r="N361" s="42">
        <v>44164</v>
      </c>
      <c r="O361" t="s">
        <v>344</v>
      </c>
      <c r="P361" s="42">
        <v>44164</v>
      </c>
      <c r="Q361" t="s">
        <v>344</v>
      </c>
      <c r="R361" t="s">
        <v>338</v>
      </c>
      <c r="S361" t="s">
        <v>323</v>
      </c>
      <c r="T361">
        <v>7.6</v>
      </c>
      <c r="W361" t="s">
        <v>330</v>
      </c>
      <c r="Y361" s="42">
        <v>44173</v>
      </c>
    </row>
    <row r="362" spans="14:25">
      <c r="N362" s="42">
        <v>44161</v>
      </c>
      <c r="O362" t="s">
        <v>324</v>
      </c>
      <c r="P362" s="42">
        <v>44161</v>
      </c>
      <c r="Q362" t="s">
        <v>324</v>
      </c>
      <c r="R362" t="s">
        <v>338</v>
      </c>
      <c r="S362" t="s">
        <v>323</v>
      </c>
      <c r="T362">
        <v>7.6</v>
      </c>
      <c r="W362" t="s">
        <v>330</v>
      </c>
      <c r="Y362" s="42">
        <v>44173</v>
      </c>
    </row>
    <row r="363" spans="14:25">
      <c r="N363" s="42">
        <v>44160</v>
      </c>
      <c r="O363" t="s">
        <v>328</v>
      </c>
      <c r="P363" s="42">
        <v>44160</v>
      </c>
      <c r="Q363" t="s">
        <v>328</v>
      </c>
      <c r="R363" t="s">
        <v>338</v>
      </c>
      <c r="S363" t="s">
        <v>323</v>
      </c>
      <c r="T363">
        <v>7.6</v>
      </c>
      <c r="W363" t="s">
        <v>330</v>
      </c>
      <c r="Y363" s="42">
        <v>44173</v>
      </c>
    </row>
    <row r="364" spans="14:25">
      <c r="N364" s="42">
        <v>44159</v>
      </c>
      <c r="O364" t="s">
        <v>333</v>
      </c>
      <c r="P364" s="42">
        <v>44159</v>
      </c>
      <c r="Q364" t="s">
        <v>333</v>
      </c>
      <c r="R364" t="s">
        <v>338</v>
      </c>
      <c r="S364" t="s">
        <v>323</v>
      </c>
      <c r="T364">
        <v>7.6</v>
      </c>
      <c r="W364" t="s">
        <v>330</v>
      </c>
      <c r="Y364" s="42">
        <v>44159</v>
      </c>
    </row>
    <row r="365" spans="14:25">
      <c r="N365" s="42">
        <v>44158</v>
      </c>
      <c r="O365" t="s">
        <v>345</v>
      </c>
      <c r="P365" s="42">
        <v>44158</v>
      </c>
      <c r="Q365" t="s">
        <v>345</v>
      </c>
      <c r="R365" t="s">
        <v>338</v>
      </c>
      <c r="S365" t="s">
        <v>323</v>
      </c>
      <c r="T365">
        <v>7.6</v>
      </c>
      <c r="W365" t="s">
        <v>330</v>
      </c>
      <c r="Y365" s="42">
        <v>44159</v>
      </c>
    </row>
    <row r="366" spans="14:25">
      <c r="N366" s="42">
        <v>44157</v>
      </c>
      <c r="O366" t="s">
        <v>344</v>
      </c>
      <c r="P366" s="42">
        <v>44157</v>
      </c>
      <c r="Q366" t="s">
        <v>344</v>
      </c>
      <c r="R366" t="s">
        <v>338</v>
      </c>
      <c r="S366" t="s">
        <v>323</v>
      </c>
      <c r="T366">
        <v>7.6</v>
      </c>
      <c r="W366" t="s">
        <v>330</v>
      </c>
      <c r="Y366" s="42">
        <v>44159</v>
      </c>
    </row>
    <row r="367" spans="14:25">
      <c r="N367" s="42">
        <v>44154</v>
      </c>
      <c r="O367" t="s">
        <v>324</v>
      </c>
      <c r="P367" s="42">
        <v>44154</v>
      </c>
      <c r="Q367" t="s">
        <v>324</v>
      </c>
      <c r="R367" t="s">
        <v>338</v>
      </c>
      <c r="S367" t="s">
        <v>323</v>
      </c>
      <c r="T367">
        <v>7.6</v>
      </c>
      <c r="W367" t="s">
        <v>330</v>
      </c>
      <c r="Y367" s="42">
        <v>44159</v>
      </c>
    </row>
    <row r="368" spans="14:25">
      <c r="N368" s="42">
        <v>44153</v>
      </c>
      <c r="O368" t="s">
        <v>328</v>
      </c>
      <c r="P368" s="42">
        <v>44153</v>
      </c>
      <c r="Q368" t="s">
        <v>328</v>
      </c>
      <c r="R368" t="s">
        <v>338</v>
      </c>
      <c r="S368" t="s">
        <v>323</v>
      </c>
      <c r="T368">
        <v>7.6</v>
      </c>
      <c r="W368" t="s">
        <v>330</v>
      </c>
      <c r="Y368" s="42">
        <v>44159</v>
      </c>
    </row>
    <row r="369" spans="14:25">
      <c r="N369" s="42">
        <v>44152</v>
      </c>
      <c r="O369" t="s">
        <v>333</v>
      </c>
      <c r="P369" s="42">
        <v>44152</v>
      </c>
      <c r="Q369" t="s">
        <v>333</v>
      </c>
      <c r="R369" t="s">
        <v>338</v>
      </c>
      <c r="S369" t="s">
        <v>323</v>
      </c>
      <c r="T369">
        <v>7.6</v>
      </c>
      <c r="W369" t="s">
        <v>330</v>
      </c>
      <c r="Y369" s="42">
        <v>44159</v>
      </c>
    </row>
    <row r="370" spans="14:25">
      <c r="N370" s="42">
        <v>44151</v>
      </c>
      <c r="O370" t="s">
        <v>345</v>
      </c>
      <c r="P370" s="42">
        <v>44151</v>
      </c>
      <c r="Q370" t="s">
        <v>345</v>
      </c>
      <c r="R370" t="s">
        <v>338</v>
      </c>
      <c r="S370" t="s">
        <v>323</v>
      </c>
      <c r="T370">
        <v>7.6</v>
      </c>
      <c r="W370" t="s">
        <v>330</v>
      </c>
      <c r="Y370" s="42">
        <v>44159</v>
      </c>
    </row>
    <row r="371" spans="14:25">
      <c r="N371" s="42">
        <v>44150</v>
      </c>
      <c r="O371" t="s">
        <v>344</v>
      </c>
      <c r="P371" s="42">
        <v>44150</v>
      </c>
      <c r="Q371" t="s">
        <v>344</v>
      </c>
      <c r="R371" t="s">
        <v>338</v>
      </c>
      <c r="S371" t="s">
        <v>323</v>
      </c>
      <c r="T371">
        <v>7.6</v>
      </c>
      <c r="W371" t="s">
        <v>330</v>
      </c>
      <c r="Y371" s="42">
        <v>44159</v>
      </c>
    </row>
    <row r="372" spans="14:25">
      <c r="N372" s="42">
        <v>44147</v>
      </c>
      <c r="O372" t="s">
        <v>324</v>
      </c>
      <c r="P372" s="42">
        <v>44147</v>
      </c>
      <c r="Q372" t="s">
        <v>324</v>
      </c>
      <c r="R372" t="s">
        <v>338</v>
      </c>
      <c r="S372" t="s">
        <v>323</v>
      </c>
      <c r="T372">
        <v>7.6</v>
      </c>
      <c r="W372" t="s">
        <v>330</v>
      </c>
      <c r="Y372" s="42">
        <v>44159</v>
      </c>
    </row>
    <row r="373" spans="14:25">
      <c r="N373" s="42">
        <v>44146</v>
      </c>
      <c r="O373" t="s">
        <v>328</v>
      </c>
      <c r="P373" s="42">
        <v>44146</v>
      </c>
      <c r="Q373" t="s">
        <v>328</v>
      </c>
      <c r="R373" t="s">
        <v>338</v>
      </c>
      <c r="S373" t="s">
        <v>323</v>
      </c>
      <c r="T373">
        <v>7.6</v>
      </c>
      <c r="W373" t="s">
        <v>330</v>
      </c>
      <c r="Y373" s="42">
        <v>44159</v>
      </c>
    </row>
    <row r="374" spans="14:25">
      <c r="N374" s="42">
        <v>44145</v>
      </c>
      <c r="O374" t="s">
        <v>333</v>
      </c>
      <c r="P374" s="42">
        <v>44145</v>
      </c>
      <c r="Q374" t="s">
        <v>333</v>
      </c>
      <c r="R374" t="s">
        <v>338</v>
      </c>
      <c r="S374" t="s">
        <v>323</v>
      </c>
      <c r="T374">
        <v>7.6</v>
      </c>
      <c r="W374" t="s">
        <v>330</v>
      </c>
      <c r="Y374" s="42">
        <v>44145</v>
      </c>
    </row>
    <row r="375" spans="14:25">
      <c r="N375" s="42">
        <v>44144</v>
      </c>
      <c r="O375" t="s">
        <v>345</v>
      </c>
      <c r="P375" s="42">
        <v>44144</v>
      </c>
      <c r="Q375" t="s">
        <v>345</v>
      </c>
      <c r="R375" t="s">
        <v>338</v>
      </c>
      <c r="S375" t="s">
        <v>323</v>
      </c>
      <c r="T375">
        <v>7.6</v>
      </c>
      <c r="W375" t="s">
        <v>330</v>
      </c>
      <c r="Y375" s="42">
        <v>44145</v>
      </c>
    </row>
    <row r="376" spans="14:25">
      <c r="N376" s="42">
        <v>44143</v>
      </c>
      <c r="O376" t="s">
        <v>344</v>
      </c>
      <c r="P376" s="42">
        <v>44143</v>
      </c>
      <c r="Q376" t="s">
        <v>344</v>
      </c>
      <c r="R376" t="s">
        <v>338</v>
      </c>
      <c r="S376" t="s">
        <v>323</v>
      </c>
      <c r="T376">
        <v>7.6</v>
      </c>
      <c r="W376" t="s">
        <v>330</v>
      </c>
      <c r="Y376" s="42">
        <v>44145</v>
      </c>
    </row>
    <row r="377" spans="14:25">
      <c r="N377" s="42">
        <v>44140</v>
      </c>
      <c r="O377" t="s">
        <v>324</v>
      </c>
      <c r="P377" s="42">
        <v>44140</v>
      </c>
      <c r="Q377" t="s">
        <v>324</v>
      </c>
      <c r="R377" t="s">
        <v>338</v>
      </c>
      <c r="S377" t="s">
        <v>323</v>
      </c>
      <c r="T377">
        <v>7.6</v>
      </c>
      <c r="W377" t="s">
        <v>330</v>
      </c>
      <c r="Y377" s="42">
        <v>44145</v>
      </c>
    </row>
    <row r="378" spans="14:25">
      <c r="N378" s="42">
        <v>44139</v>
      </c>
      <c r="O378" t="s">
        <v>328</v>
      </c>
      <c r="P378" s="42">
        <v>44139</v>
      </c>
      <c r="Q378" t="s">
        <v>328</v>
      </c>
      <c r="R378" t="s">
        <v>338</v>
      </c>
      <c r="S378" t="s">
        <v>323</v>
      </c>
      <c r="T378">
        <v>7.6</v>
      </c>
      <c r="W378" t="s">
        <v>330</v>
      </c>
      <c r="Y378" s="42">
        <v>44145</v>
      </c>
    </row>
    <row r="379" spans="14:25">
      <c r="N379" s="42">
        <v>44137</v>
      </c>
      <c r="O379" t="s">
        <v>345</v>
      </c>
      <c r="P379" s="42">
        <v>44137</v>
      </c>
      <c r="Q379" t="s">
        <v>345</v>
      </c>
      <c r="R379" t="s">
        <v>338</v>
      </c>
      <c r="S379" t="s">
        <v>323</v>
      </c>
      <c r="T379">
        <v>7.6</v>
      </c>
      <c r="W379" t="s">
        <v>330</v>
      </c>
      <c r="Y379" s="42">
        <v>44145</v>
      </c>
    </row>
    <row r="380" spans="14:25">
      <c r="N380" s="42">
        <v>44136</v>
      </c>
      <c r="O380" t="s">
        <v>344</v>
      </c>
      <c r="P380" s="42">
        <v>44136</v>
      </c>
      <c r="Q380" t="s">
        <v>344</v>
      </c>
      <c r="R380" t="s">
        <v>338</v>
      </c>
      <c r="S380" t="s">
        <v>323</v>
      </c>
      <c r="T380">
        <v>7.6</v>
      </c>
      <c r="W380" t="s">
        <v>330</v>
      </c>
      <c r="Y380" s="42">
        <v>44145</v>
      </c>
    </row>
    <row r="381" spans="14:25">
      <c r="N381" s="42">
        <v>44133</v>
      </c>
      <c r="O381" t="s">
        <v>324</v>
      </c>
      <c r="P381" s="42">
        <v>44133</v>
      </c>
      <c r="Q381" t="s">
        <v>324</v>
      </c>
      <c r="R381" t="s">
        <v>338</v>
      </c>
      <c r="S381" t="s">
        <v>323</v>
      </c>
      <c r="T381">
        <v>7.6</v>
      </c>
      <c r="W381" t="s">
        <v>330</v>
      </c>
      <c r="Y381" s="42">
        <v>44145</v>
      </c>
    </row>
    <row r="382" spans="14:25">
      <c r="N382" s="42">
        <v>44132</v>
      </c>
      <c r="O382" t="s">
        <v>328</v>
      </c>
      <c r="P382" s="42">
        <v>44132</v>
      </c>
      <c r="Q382" t="s">
        <v>328</v>
      </c>
      <c r="R382" t="s">
        <v>338</v>
      </c>
      <c r="S382" t="s">
        <v>323</v>
      </c>
      <c r="T382">
        <v>7.6</v>
      </c>
      <c r="W382" t="s">
        <v>330</v>
      </c>
      <c r="Y382" s="42">
        <v>44145</v>
      </c>
    </row>
    <row r="383" spans="14:25">
      <c r="N383" s="42">
        <v>44132</v>
      </c>
      <c r="O383" t="s">
        <v>328</v>
      </c>
      <c r="P383" s="42">
        <v>44563</v>
      </c>
      <c r="Q383" t="s">
        <v>344</v>
      </c>
      <c r="R383" t="s">
        <v>338</v>
      </c>
      <c r="S383" t="s">
        <v>323</v>
      </c>
      <c r="T383">
        <v>2340.8000000000002</v>
      </c>
      <c r="W383" t="s">
        <v>330</v>
      </c>
    </row>
    <row r="384" spans="14:25">
      <c r="N384" s="42">
        <v>44131</v>
      </c>
      <c r="O384" t="s">
        <v>333</v>
      </c>
      <c r="P384" s="42">
        <v>44131</v>
      </c>
      <c r="Q384" t="s">
        <v>333</v>
      </c>
      <c r="R384" t="s">
        <v>338</v>
      </c>
      <c r="S384" t="s">
        <v>323</v>
      </c>
      <c r="T384">
        <v>7.6</v>
      </c>
      <c r="W384" t="s">
        <v>330</v>
      </c>
      <c r="Y384" s="42">
        <v>44131</v>
      </c>
    </row>
    <row r="385" spans="14:25">
      <c r="N385" s="42">
        <v>44130</v>
      </c>
      <c r="O385" t="s">
        <v>345</v>
      </c>
      <c r="P385" s="42">
        <v>44130</v>
      </c>
      <c r="Q385" t="s">
        <v>345</v>
      </c>
      <c r="R385" t="s">
        <v>338</v>
      </c>
      <c r="S385" t="s">
        <v>323</v>
      </c>
      <c r="T385">
        <v>7.6</v>
      </c>
      <c r="W385" t="s">
        <v>330</v>
      </c>
      <c r="Y385" s="42">
        <v>44131</v>
      </c>
    </row>
    <row r="386" spans="14:25">
      <c r="N386" s="42">
        <v>44129</v>
      </c>
      <c r="O386" t="s">
        <v>344</v>
      </c>
      <c r="P386" s="42">
        <v>44129</v>
      </c>
      <c r="Q386" t="s">
        <v>344</v>
      </c>
      <c r="R386" t="s">
        <v>338</v>
      </c>
      <c r="S386" t="s">
        <v>323</v>
      </c>
      <c r="T386">
        <v>7.6</v>
      </c>
      <c r="W386" t="s">
        <v>330</v>
      </c>
      <c r="Y386" s="42">
        <v>44131</v>
      </c>
    </row>
    <row r="387" spans="14:25">
      <c r="N387" s="42">
        <v>44126</v>
      </c>
      <c r="O387" t="s">
        <v>324</v>
      </c>
      <c r="P387" s="42">
        <v>44126</v>
      </c>
      <c r="Q387" t="s">
        <v>324</v>
      </c>
      <c r="R387" t="s">
        <v>338</v>
      </c>
      <c r="S387" t="s">
        <v>323</v>
      </c>
      <c r="T387">
        <v>7.6</v>
      </c>
      <c r="W387" t="s">
        <v>330</v>
      </c>
      <c r="Y387" s="42">
        <v>44131</v>
      </c>
    </row>
    <row r="388" spans="14:25">
      <c r="N388" s="42">
        <v>44125</v>
      </c>
      <c r="O388" t="s">
        <v>328</v>
      </c>
      <c r="P388" s="42">
        <v>44125</v>
      </c>
      <c r="Q388" t="s">
        <v>328</v>
      </c>
      <c r="R388" t="s">
        <v>338</v>
      </c>
      <c r="S388" t="s">
        <v>323</v>
      </c>
      <c r="T388">
        <v>7.6</v>
      </c>
      <c r="W388" t="s">
        <v>330</v>
      </c>
      <c r="Y388" s="42">
        <v>44131</v>
      </c>
    </row>
    <row r="389" spans="14:25">
      <c r="N389" s="42">
        <v>44124</v>
      </c>
      <c r="O389" t="s">
        <v>333</v>
      </c>
      <c r="P389" s="42">
        <v>44124</v>
      </c>
      <c r="Q389" t="s">
        <v>333</v>
      </c>
      <c r="R389" t="s">
        <v>338</v>
      </c>
      <c r="S389" t="s">
        <v>323</v>
      </c>
      <c r="T389">
        <v>7.6</v>
      </c>
      <c r="W389" t="s">
        <v>330</v>
      </c>
      <c r="Y389" s="42">
        <v>44131</v>
      </c>
    </row>
    <row r="390" spans="14:25">
      <c r="N390" s="42">
        <v>44123</v>
      </c>
      <c r="O390" t="s">
        <v>345</v>
      </c>
      <c r="P390" s="42">
        <v>44123</v>
      </c>
      <c r="Q390" t="s">
        <v>345</v>
      </c>
      <c r="R390" t="s">
        <v>338</v>
      </c>
      <c r="S390" t="s">
        <v>323</v>
      </c>
      <c r="T390">
        <v>7.6</v>
      </c>
      <c r="W390" t="s">
        <v>330</v>
      </c>
      <c r="Y390" s="42">
        <v>44131</v>
      </c>
    </row>
    <row r="391" spans="14:25">
      <c r="N391" s="42">
        <v>44122</v>
      </c>
      <c r="O391" t="s">
        <v>344</v>
      </c>
      <c r="P391" s="42">
        <v>44122</v>
      </c>
      <c r="Q391" t="s">
        <v>344</v>
      </c>
      <c r="R391" t="s">
        <v>338</v>
      </c>
      <c r="S391" t="s">
        <v>323</v>
      </c>
      <c r="T391">
        <v>7.6</v>
      </c>
      <c r="W391" t="s">
        <v>330</v>
      </c>
      <c r="Y391" s="42">
        <v>44131</v>
      </c>
    </row>
    <row r="392" spans="14:25">
      <c r="N392" s="42">
        <v>44119</v>
      </c>
      <c r="O392" t="s">
        <v>324</v>
      </c>
      <c r="P392" s="42">
        <v>44119</v>
      </c>
      <c r="Q392" t="s">
        <v>324</v>
      </c>
      <c r="R392" t="s">
        <v>338</v>
      </c>
      <c r="S392" t="s">
        <v>323</v>
      </c>
      <c r="T392">
        <v>7.6</v>
      </c>
      <c r="W392" t="s">
        <v>330</v>
      </c>
      <c r="Y392" s="42">
        <v>44131</v>
      </c>
    </row>
    <row r="393" spans="14:25">
      <c r="N393" s="42">
        <v>44118</v>
      </c>
      <c r="O393" t="s">
        <v>328</v>
      </c>
      <c r="P393" s="42">
        <v>44118</v>
      </c>
      <c r="Q393" t="s">
        <v>328</v>
      </c>
      <c r="R393" t="s">
        <v>338</v>
      </c>
      <c r="S393" t="s">
        <v>323</v>
      </c>
      <c r="T393">
        <v>7.6</v>
      </c>
      <c r="W393" t="s">
        <v>330</v>
      </c>
      <c r="Y393" s="42">
        <v>44131</v>
      </c>
    </row>
    <row r="394" spans="14:25">
      <c r="N394" s="42">
        <v>44071</v>
      </c>
      <c r="O394" t="s">
        <v>346</v>
      </c>
      <c r="P394" s="42">
        <v>44074</v>
      </c>
      <c r="Q394" t="s">
        <v>345</v>
      </c>
      <c r="R394" t="s">
        <v>325</v>
      </c>
      <c r="S394" t="s">
        <v>323</v>
      </c>
      <c r="T394">
        <v>25.11</v>
      </c>
      <c r="Y394" s="42">
        <v>44075</v>
      </c>
    </row>
    <row r="395" spans="14:25">
      <c r="N395" s="42">
        <v>44068</v>
      </c>
      <c r="O395" t="s">
        <v>333</v>
      </c>
      <c r="P395" s="42">
        <v>44070</v>
      </c>
      <c r="Q395" t="s">
        <v>324</v>
      </c>
      <c r="R395" t="s">
        <v>329</v>
      </c>
      <c r="S395" t="s">
        <v>323</v>
      </c>
      <c r="T395">
        <v>22.83</v>
      </c>
      <c r="W395" t="s">
        <v>330</v>
      </c>
      <c r="Y395" s="42">
        <v>44075</v>
      </c>
    </row>
    <row r="396" spans="14:25">
      <c r="N396" s="42">
        <v>44062</v>
      </c>
      <c r="O396" t="s">
        <v>328</v>
      </c>
      <c r="P396" s="42">
        <v>44067</v>
      </c>
      <c r="Q396" t="s">
        <v>345</v>
      </c>
      <c r="R396" t="s">
        <v>320</v>
      </c>
      <c r="S396" t="s">
        <v>323</v>
      </c>
      <c r="T396">
        <v>25.92</v>
      </c>
      <c r="Y396" s="42">
        <v>44075</v>
      </c>
    </row>
    <row r="397" spans="14:25">
      <c r="N397" s="42">
        <v>44061</v>
      </c>
      <c r="O397" t="s">
        <v>333</v>
      </c>
      <c r="P397" s="42">
        <v>44061</v>
      </c>
      <c r="Q397" t="s">
        <v>333</v>
      </c>
      <c r="R397" t="s">
        <v>320</v>
      </c>
      <c r="S397" t="s">
        <v>323</v>
      </c>
      <c r="T397">
        <v>7.6</v>
      </c>
      <c r="Y397" s="42">
        <v>44061</v>
      </c>
    </row>
    <row r="398" spans="14:25">
      <c r="N398" s="42">
        <v>44060</v>
      </c>
      <c r="O398" t="s">
        <v>345</v>
      </c>
      <c r="P398" s="42">
        <v>44060</v>
      </c>
      <c r="Q398" t="s">
        <v>345</v>
      </c>
      <c r="R398" t="s">
        <v>320</v>
      </c>
      <c r="S398" t="s">
        <v>323</v>
      </c>
      <c r="T398">
        <v>7.6</v>
      </c>
      <c r="Y398" s="42">
        <v>44061</v>
      </c>
    </row>
    <row r="399" spans="14:25">
      <c r="N399" s="42">
        <v>44059</v>
      </c>
      <c r="O399" t="s">
        <v>344</v>
      </c>
      <c r="P399" s="42">
        <v>44059</v>
      </c>
      <c r="Q399" t="s">
        <v>344</v>
      </c>
      <c r="R399" t="s">
        <v>320</v>
      </c>
      <c r="S399" t="s">
        <v>323</v>
      </c>
      <c r="T399">
        <v>7.6</v>
      </c>
      <c r="Y399" s="42">
        <v>44061</v>
      </c>
    </row>
    <row r="400" spans="14:25">
      <c r="N400" s="42">
        <v>44056</v>
      </c>
      <c r="O400" t="s">
        <v>324</v>
      </c>
      <c r="P400" s="42">
        <v>44056</v>
      </c>
      <c r="Q400" t="s">
        <v>324</v>
      </c>
      <c r="R400" t="s">
        <v>320</v>
      </c>
      <c r="S400" t="s">
        <v>323</v>
      </c>
      <c r="T400">
        <v>7.6</v>
      </c>
      <c r="Y400" s="42">
        <v>44061</v>
      </c>
    </row>
    <row r="401" spans="14:25">
      <c r="N401" s="42">
        <v>44055</v>
      </c>
      <c r="O401" t="s">
        <v>328</v>
      </c>
      <c r="P401" s="42">
        <v>44055</v>
      </c>
      <c r="Q401" t="s">
        <v>328</v>
      </c>
      <c r="R401" t="s">
        <v>320</v>
      </c>
      <c r="S401" t="s">
        <v>323</v>
      </c>
      <c r="T401">
        <v>7.6</v>
      </c>
      <c r="Y401" s="42">
        <v>44061</v>
      </c>
    </row>
    <row r="402" spans="14:25">
      <c r="N402" s="42">
        <v>44054</v>
      </c>
      <c r="O402" t="s">
        <v>333</v>
      </c>
      <c r="P402" s="42">
        <v>44054</v>
      </c>
      <c r="Q402" t="s">
        <v>333</v>
      </c>
      <c r="R402" t="s">
        <v>320</v>
      </c>
      <c r="S402" t="s">
        <v>323</v>
      </c>
      <c r="T402">
        <v>7.6</v>
      </c>
      <c r="Y402" s="42">
        <v>44061</v>
      </c>
    </row>
    <row r="403" spans="14:25">
      <c r="N403" s="42">
        <v>44053</v>
      </c>
      <c r="O403" t="s">
        <v>345</v>
      </c>
      <c r="P403" s="42">
        <v>44053</v>
      </c>
      <c r="Q403" t="s">
        <v>345</v>
      </c>
      <c r="R403" t="s">
        <v>320</v>
      </c>
      <c r="S403" t="s">
        <v>323</v>
      </c>
      <c r="T403">
        <v>7.6</v>
      </c>
      <c r="Y403" s="42">
        <v>44061</v>
      </c>
    </row>
    <row r="404" spans="14:25">
      <c r="N404" s="42">
        <v>44052</v>
      </c>
      <c r="O404" t="s">
        <v>344</v>
      </c>
      <c r="P404" s="42">
        <v>44052</v>
      </c>
      <c r="Q404" t="s">
        <v>344</v>
      </c>
      <c r="R404" t="s">
        <v>320</v>
      </c>
      <c r="S404" t="s">
        <v>323</v>
      </c>
      <c r="T404">
        <v>7.6</v>
      </c>
      <c r="Y404" s="42">
        <v>44061</v>
      </c>
    </row>
    <row r="405" spans="14:25">
      <c r="N405" s="42">
        <v>44049</v>
      </c>
      <c r="O405" t="s">
        <v>324</v>
      </c>
      <c r="P405" s="42">
        <v>44049</v>
      </c>
      <c r="Q405" t="s">
        <v>324</v>
      </c>
      <c r="R405" t="s">
        <v>329</v>
      </c>
      <c r="S405" t="s">
        <v>323</v>
      </c>
      <c r="T405">
        <v>7.6</v>
      </c>
      <c r="W405" t="s">
        <v>330</v>
      </c>
      <c r="Y405" s="42">
        <v>44061</v>
      </c>
    </row>
    <row r="406" spans="14:25">
      <c r="N406" s="42">
        <v>44048</v>
      </c>
      <c r="O406" t="s">
        <v>328</v>
      </c>
      <c r="P406" s="42">
        <v>44048</v>
      </c>
      <c r="Q406" t="s">
        <v>328</v>
      </c>
      <c r="R406" t="s">
        <v>329</v>
      </c>
      <c r="S406" t="s">
        <v>323</v>
      </c>
      <c r="T406">
        <v>7.6</v>
      </c>
      <c r="W406" t="s">
        <v>330</v>
      </c>
      <c r="Y406" s="42">
        <v>44061</v>
      </c>
    </row>
    <row r="407" spans="14:25">
      <c r="N407" s="42">
        <v>44047</v>
      </c>
      <c r="O407" t="s">
        <v>333</v>
      </c>
      <c r="P407" s="42">
        <v>44047</v>
      </c>
      <c r="Q407" t="s">
        <v>333</v>
      </c>
      <c r="R407" t="s">
        <v>329</v>
      </c>
      <c r="S407" t="s">
        <v>323</v>
      </c>
      <c r="T407">
        <v>7.6</v>
      </c>
      <c r="W407" t="s">
        <v>330</v>
      </c>
      <c r="Y407" s="42">
        <v>44047</v>
      </c>
    </row>
    <row r="408" spans="14:25">
      <c r="N408" s="42">
        <v>44046</v>
      </c>
      <c r="O408" t="s">
        <v>345</v>
      </c>
      <c r="P408" s="42">
        <v>44046</v>
      </c>
      <c r="Q408" t="s">
        <v>345</v>
      </c>
      <c r="R408" t="s">
        <v>329</v>
      </c>
      <c r="S408" t="s">
        <v>323</v>
      </c>
      <c r="T408">
        <v>7.6</v>
      </c>
      <c r="W408" t="s">
        <v>330</v>
      </c>
      <c r="Y408" s="42">
        <v>44047</v>
      </c>
    </row>
    <row r="409" spans="14:25">
      <c r="N409" s="42">
        <v>44045</v>
      </c>
      <c r="O409" t="s">
        <v>344</v>
      </c>
      <c r="P409" s="42">
        <v>44045</v>
      </c>
      <c r="Q409" t="s">
        <v>344</v>
      </c>
      <c r="R409" t="s">
        <v>329</v>
      </c>
      <c r="S409" t="s">
        <v>323</v>
      </c>
      <c r="T409">
        <v>7.6</v>
      </c>
      <c r="W409" t="s">
        <v>330</v>
      </c>
      <c r="Y409" s="42">
        <v>44047</v>
      </c>
    </row>
    <row r="410" spans="14:25">
      <c r="N410" s="42">
        <v>44042</v>
      </c>
      <c r="O410" t="s">
        <v>324</v>
      </c>
      <c r="P410" s="42">
        <v>44042</v>
      </c>
      <c r="Q410" t="s">
        <v>324</v>
      </c>
      <c r="R410" t="s">
        <v>329</v>
      </c>
      <c r="S410" t="s">
        <v>323</v>
      </c>
      <c r="T410">
        <v>7.6</v>
      </c>
      <c r="W410" t="s">
        <v>330</v>
      </c>
      <c r="Y410" s="42">
        <v>44047</v>
      </c>
    </row>
    <row r="411" spans="14:25">
      <c r="N411" s="42">
        <v>44041</v>
      </c>
      <c r="O411" t="s">
        <v>328</v>
      </c>
      <c r="P411" s="42">
        <v>44041</v>
      </c>
      <c r="Q411" t="s">
        <v>328</v>
      </c>
      <c r="R411" t="s">
        <v>329</v>
      </c>
      <c r="S411" t="s">
        <v>323</v>
      </c>
      <c r="T411">
        <v>7.6</v>
      </c>
      <c r="W411" t="s">
        <v>330</v>
      </c>
      <c r="Y411" s="42">
        <v>44047</v>
      </c>
    </row>
    <row r="412" spans="14:25">
      <c r="N412" s="42">
        <v>44040</v>
      </c>
      <c r="O412" t="s">
        <v>333</v>
      </c>
      <c r="P412" s="42">
        <v>44040</v>
      </c>
      <c r="Q412" t="s">
        <v>333</v>
      </c>
      <c r="R412" t="s">
        <v>329</v>
      </c>
      <c r="S412" t="s">
        <v>323</v>
      </c>
      <c r="T412">
        <v>7.6</v>
      </c>
      <c r="W412" t="s">
        <v>330</v>
      </c>
      <c r="Y412" s="42">
        <v>44047</v>
      </c>
    </row>
    <row r="413" spans="14:25">
      <c r="N413" s="42">
        <v>44039</v>
      </c>
      <c r="O413" t="s">
        <v>345</v>
      </c>
      <c r="P413" s="42">
        <v>44039</v>
      </c>
      <c r="Q413" t="s">
        <v>345</v>
      </c>
      <c r="R413" t="s">
        <v>329</v>
      </c>
      <c r="S413" t="s">
        <v>323</v>
      </c>
      <c r="T413">
        <v>7.6</v>
      </c>
      <c r="W413" t="s">
        <v>330</v>
      </c>
      <c r="Y413" s="42">
        <v>44047</v>
      </c>
    </row>
    <row r="414" spans="14:25">
      <c r="N414" s="42">
        <v>44038</v>
      </c>
      <c r="O414" t="s">
        <v>344</v>
      </c>
      <c r="P414" s="42">
        <v>44038</v>
      </c>
      <c r="Q414" t="s">
        <v>344</v>
      </c>
      <c r="R414" t="s">
        <v>329</v>
      </c>
      <c r="S414" t="s">
        <v>323</v>
      </c>
      <c r="T414">
        <v>7.6</v>
      </c>
      <c r="W414" t="s">
        <v>330</v>
      </c>
      <c r="Y414" s="42">
        <v>44047</v>
      </c>
    </row>
    <row r="415" spans="14:25">
      <c r="N415" s="42">
        <v>44035</v>
      </c>
      <c r="O415" t="s">
        <v>324</v>
      </c>
      <c r="P415" s="42">
        <v>44035</v>
      </c>
      <c r="Q415" t="s">
        <v>324</v>
      </c>
      <c r="R415" t="s">
        <v>329</v>
      </c>
      <c r="S415" t="s">
        <v>323</v>
      </c>
      <c r="T415">
        <v>7.6</v>
      </c>
      <c r="W415" t="s">
        <v>330</v>
      </c>
      <c r="Y415" s="42">
        <v>44047</v>
      </c>
    </row>
    <row r="416" spans="14:25">
      <c r="N416" s="42">
        <v>44032</v>
      </c>
      <c r="O416" t="s">
        <v>345</v>
      </c>
      <c r="P416" s="42">
        <v>44032</v>
      </c>
      <c r="Q416" t="s">
        <v>345</v>
      </c>
      <c r="R416" t="s">
        <v>329</v>
      </c>
      <c r="S416" t="s">
        <v>323</v>
      </c>
      <c r="T416">
        <v>2</v>
      </c>
      <c r="W416" t="s">
        <v>330</v>
      </c>
      <c r="Y416" s="42">
        <v>44033</v>
      </c>
    </row>
    <row r="417" spans="14:25">
      <c r="N417" s="42">
        <v>44018</v>
      </c>
      <c r="O417" t="s">
        <v>345</v>
      </c>
      <c r="P417" s="42">
        <v>44019</v>
      </c>
      <c r="Q417" t="s">
        <v>333</v>
      </c>
      <c r="R417" t="s">
        <v>329</v>
      </c>
      <c r="S417" t="s">
        <v>323</v>
      </c>
      <c r="T417">
        <v>15.2</v>
      </c>
      <c r="W417" t="s">
        <v>339</v>
      </c>
      <c r="Y417" s="42">
        <v>44019</v>
      </c>
    </row>
    <row r="418" spans="14:25">
      <c r="N418" s="42">
        <v>43958</v>
      </c>
      <c r="O418" t="s">
        <v>324</v>
      </c>
      <c r="P418" s="42">
        <v>43958</v>
      </c>
      <c r="Q418" t="s">
        <v>324</v>
      </c>
      <c r="R418" t="s">
        <v>347</v>
      </c>
      <c r="S418" t="s">
        <v>323</v>
      </c>
      <c r="T418">
        <v>7.6</v>
      </c>
      <c r="W418" t="s">
        <v>339</v>
      </c>
      <c r="Y418" s="42">
        <v>43963</v>
      </c>
    </row>
    <row r="419" spans="14:25">
      <c r="N419" s="42">
        <v>43922</v>
      </c>
      <c r="O419" t="s">
        <v>328</v>
      </c>
      <c r="P419" s="42">
        <v>43923</v>
      </c>
      <c r="Q419" t="s">
        <v>324</v>
      </c>
      <c r="R419" t="s">
        <v>325</v>
      </c>
      <c r="S419" t="s">
        <v>323</v>
      </c>
      <c r="T419">
        <v>15.2</v>
      </c>
      <c r="U419">
        <v>0</v>
      </c>
      <c r="V419">
        <v>0</v>
      </c>
      <c r="Y419" s="42">
        <v>43935</v>
      </c>
    </row>
    <row r="420" spans="14:25">
      <c r="N420" s="42">
        <v>43908</v>
      </c>
      <c r="O420" t="s">
        <v>328</v>
      </c>
      <c r="P420" s="42">
        <v>43921</v>
      </c>
      <c r="Q420" t="s">
        <v>333</v>
      </c>
      <c r="R420" t="s">
        <v>325</v>
      </c>
      <c r="S420" t="s">
        <v>323</v>
      </c>
      <c r="T420">
        <v>76</v>
      </c>
      <c r="U420">
        <v>0</v>
      </c>
      <c r="V420">
        <v>0</v>
      </c>
      <c r="Y420" s="42">
        <v>43921</v>
      </c>
    </row>
    <row r="421" spans="14:25">
      <c r="N421" s="42">
        <v>43906</v>
      </c>
      <c r="O421" t="s">
        <v>345</v>
      </c>
      <c r="P421" s="42">
        <v>43907</v>
      </c>
      <c r="Q421" t="s">
        <v>333</v>
      </c>
      <c r="R421" t="s">
        <v>325</v>
      </c>
      <c r="S421" t="s">
        <v>323</v>
      </c>
      <c r="T421">
        <v>15.2</v>
      </c>
      <c r="U421">
        <v>0</v>
      </c>
      <c r="V421">
        <v>0</v>
      </c>
      <c r="Y421" s="42">
        <v>43907</v>
      </c>
    </row>
    <row r="422" spans="14:25">
      <c r="N422" s="42">
        <v>43879</v>
      </c>
      <c r="O422" t="s">
        <v>333</v>
      </c>
      <c r="P422" s="42">
        <v>43879</v>
      </c>
      <c r="Q422" t="s">
        <v>333</v>
      </c>
      <c r="R422" t="s">
        <v>329</v>
      </c>
      <c r="S422" t="s">
        <v>323</v>
      </c>
      <c r="T422">
        <v>7.6</v>
      </c>
      <c r="W422" t="s">
        <v>330</v>
      </c>
      <c r="Y422" s="42">
        <v>43879</v>
      </c>
    </row>
    <row r="423" spans="14:25">
      <c r="N423" s="42">
        <v>43860</v>
      </c>
      <c r="O423" t="s">
        <v>324</v>
      </c>
      <c r="P423" s="42">
        <v>43860</v>
      </c>
      <c r="Q423" t="s">
        <v>324</v>
      </c>
      <c r="R423" t="s">
        <v>329</v>
      </c>
      <c r="S423" t="s">
        <v>323</v>
      </c>
      <c r="T423">
        <v>7.6</v>
      </c>
      <c r="W423" t="s">
        <v>330</v>
      </c>
      <c r="Y423" s="42">
        <v>43865</v>
      </c>
    </row>
    <row r="424" spans="14:25">
      <c r="N424" s="42">
        <v>43838</v>
      </c>
      <c r="O424" t="s">
        <v>328</v>
      </c>
      <c r="P424" s="42">
        <v>43850</v>
      </c>
      <c r="Q424" t="s">
        <v>345</v>
      </c>
      <c r="R424" t="s">
        <v>320</v>
      </c>
      <c r="S424" t="s">
        <v>323</v>
      </c>
      <c r="T424">
        <v>68.400000000000006</v>
      </c>
      <c r="U424">
        <v>0</v>
      </c>
      <c r="V424">
        <v>0</v>
      </c>
      <c r="Y424" s="42">
        <v>43851</v>
      </c>
    </row>
    <row r="425" spans="14:25">
      <c r="N425" s="42">
        <v>43826</v>
      </c>
      <c r="O425" t="s">
        <v>346</v>
      </c>
      <c r="P425" s="42">
        <v>43837</v>
      </c>
      <c r="Q425" t="s">
        <v>333</v>
      </c>
      <c r="R425" t="s">
        <v>320</v>
      </c>
      <c r="S425" t="s">
        <v>323</v>
      </c>
      <c r="T425">
        <v>53.2</v>
      </c>
      <c r="Y425" s="42">
        <v>43837</v>
      </c>
    </row>
    <row r="426" spans="14:25">
      <c r="N426" s="42">
        <v>43824</v>
      </c>
      <c r="O426" t="s">
        <v>328</v>
      </c>
      <c r="P426" s="42">
        <v>43825</v>
      </c>
      <c r="Q426" t="s">
        <v>324</v>
      </c>
      <c r="R426" t="s">
        <v>320</v>
      </c>
      <c r="S426" t="s">
        <v>323</v>
      </c>
      <c r="T426">
        <v>0</v>
      </c>
      <c r="U426">
        <v>15.2</v>
      </c>
      <c r="Y426" s="42">
        <v>43837</v>
      </c>
    </row>
    <row r="427" spans="14:25">
      <c r="N427" s="42">
        <v>43788</v>
      </c>
      <c r="O427" t="s">
        <v>333</v>
      </c>
      <c r="P427" s="42">
        <v>43789</v>
      </c>
      <c r="Q427" t="s">
        <v>328</v>
      </c>
      <c r="R427" t="s">
        <v>329</v>
      </c>
      <c r="S427" t="s">
        <v>323</v>
      </c>
      <c r="T427">
        <v>15.2</v>
      </c>
      <c r="W427" t="s">
        <v>339</v>
      </c>
      <c r="Y427" s="42">
        <v>43795</v>
      </c>
    </row>
    <row r="428" spans="14:25">
      <c r="N428" s="42">
        <v>43786</v>
      </c>
      <c r="O428" t="s">
        <v>344</v>
      </c>
      <c r="P428" s="42">
        <v>43786</v>
      </c>
      <c r="Q428" t="s">
        <v>344</v>
      </c>
      <c r="R428" t="s">
        <v>329</v>
      </c>
      <c r="S428" t="s">
        <v>323</v>
      </c>
      <c r="T428">
        <v>7.6</v>
      </c>
      <c r="W428" t="s">
        <v>330</v>
      </c>
      <c r="Y428" s="42">
        <v>43795</v>
      </c>
    </row>
    <row r="429" spans="14:25">
      <c r="N429" s="42">
        <v>43774</v>
      </c>
      <c r="O429" t="s">
        <v>333</v>
      </c>
      <c r="P429" s="42">
        <v>43774</v>
      </c>
      <c r="Q429" t="s">
        <v>333</v>
      </c>
      <c r="R429" t="s">
        <v>320</v>
      </c>
      <c r="S429" t="s">
        <v>323</v>
      </c>
      <c r="T429">
        <v>0</v>
      </c>
      <c r="U429">
        <v>7.6</v>
      </c>
      <c r="Y429" s="42">
        <v>43781</v>
      </c>
    </row>
    <row r="430" spans="14:25">
      <c r="N430" s="42">
        <v>43772</v>
      </c>
      <c r="O430" t="s">
        <v>344</v>
      </c>
      <c r="P430" s="42">
        <v>43773</v>
      </c>
      <c r="Q430" t="s">
        <v>345</v>
      </c>
      <c r="R430" t="s">
        <v>320</v>
      </c>
      <c r="S430" t="s">
        <v>323</v>
      </c>
      <c r="T430">
        <v>15.2</v>
      </c>
      <c r="Y430" s="42">
        <v>43781</v>
      </c>
    </row>
    <row r="431" spans="14:25">
      <c r="N431" s="42">
        <v>43767</v>
      </c>
      <c r="O431" t="s">
        <v>333</v>
      </c>
      <c r="P431" s="42">
        <v>43767</v>
      </c>
      <c r="Q431" t="s">
        <v>333</v>
      </c>
      <c r="R431" t="s">
        <v>329</v>
      </c>
      <c r="S431" t="s">
        <v>323</v>
      </c>
      <c r="T431">
        <v>7.6</v>
      </c>
      <c r="W431" t="s">
        <v>330</v>
      </c>
      <c r="Y431" s="42">
        <v>43767</v>
      </c>
    </row>
    <row r="432" spans="14:25">
      <c r="N432" s="42">
        <v>43730</v>
      </c>
      <c r="O432" t="s">
        <v>344</v>
      </c>
      <c r="P432" s="42">
        <v>43731</v>
      </c>
      <c r="Q432" t="s">
        <v>345</v>
      </c>
      <c r="R432" t="s">
        <v>320</v>
      </c>
      <c r="S432" t="s">
        <v>323</v>
      </c>
      <c r="T432">
        <v>7.6</v>
      </c>
      <c r="V432">
        <v>0</v>
      </c>
      <c r="Y432" s="42">
        <v>43739</v>
      </c>
    </row>
    <row r="433" spans="1:25">
      <c r="N433" s="42">
        <v>43702</v>
      </c>
      <c r="O433" t="s">
        <v>344</v>
      </c>
      <c r="P433" s="42">
        <v>43702</v>
      </c>
      <c r="Q433" t="s">
        <v>344</v>
      </c>
      <c r="R433" t="s">
        <v>320</v>
      </c>
      <c r="S433" t="s">
        <v>323</v>
      </c>
      <c r="T433">
        <v>7.6</v>
      </c>
      <c r="Y433" s="42">
        <v>43711</v>
      </c>
    </row>
    <row r="434" spans="1:25">
      <c r="N434" s="42">
        <v>43699</v>
      </c>
      <c r="O434" t="s">
        <v>324</v>
      </c>
      <c r="P434" s="42">
        <v>43699</v>
      </c>
      <c r="Q434" t="s">
        <v>324</v>
      </c>
      <c r="R434" t="s">
        <v>329</v>
      </c>
      <c r="S434" t="s">
        <v>323</v>
      </c>
      <c r="T434">
        <v>7.6</v>
      </c>
      <c r="W434" t="s">
        <v>330</v>
      </c>
      <c r="Y434" s="42">
        <v>43711</v>
      </c>
    </row>
    <row r="435" spans="1:25">
      <c r="N435" s="42">
        <v>43698</v>
      </c>
      <c r="O435" t="s">
        <v>328</v>
      </c>
      <c r="P435" s="42">
        <v>43698</v>
      </c>
      <c r="Q435" t="s">
        <v>328</v>
      </c>
      <c r="R435" t="s">
        <v>329</v>
      </c>
      <c r="S435" t="s">
        <v>323</v>
      </c>
      <c r="T435">
        <v>7.6</v>
      </c>
      <c r="W435" t="s">
        <v>330</v>
      </c>
      <c r="Y435" s="42">
        <v>43711</v>
      </c>
    </row>
    <row r="436" spans="1:25">
      <c r="N436" s="42">
        <v>43684</v>
      </c>
      <c r="O436" t="s">
        <v>328</v>
      </c>
      <c r="P436" s="42">
        <v>43684</v>
      </c>
      <c r="Q436" t="s">
        <v>328</v>
      </c>
      <c r="R436" t="s">
        <v>329</v>
      </c>
      <c r="S436" t="s">
        <v>323</v>
      </c>
      <c r="T436">
        <v>4</v>
      </c>
      <c r="W436" t="s">
        <v>330</v>
      </c>
      <c r="Y436" s="42">
        <v>43697</v>
      </c>
    </row>
    <row r="437" spans="1:25">
      <c r="N437" s="42">
        <v>43656</v>
      </c>
      <c r="O437" t="s">
        <v>328</v>
      </c>
      <c r="P437" s="42">
        <v>43667</v>
      </c>
      <c r="Q437" t="s">
        <v>344</v>
      </c>
      <c r="R437" t="s">
        <v>325</v>
      </c>
      <c r="S437" t="s">
        <v>323</v>
      </c>
      <c r="T437">
        <v>68.400000000000006</v>
      </c>
      <c r="Y437" s="42">
        <v>43669</v>
      </c>
    </row>
    <row r="438" spans="1:25">
      <c r="N438" s="42">
        <v>43654</v>
      </c>
      <c r="O438" t="s">
        <v>345</v>
      </c>
      <c r="P438" s="42">
        <v>43667</v>
      </c>
      <c r="Q438" t="s">
        <v>344</v>
      </c>
      <c r="R438" t="s">
        <v>325</v>
      </c>
      <c r="S438" t="s">
        <v>323</v>
      </c>
      <c r="T438">
        <v>15.2</v>
      </c>
      <c r="Y438" s="42">
        <v>43655</v>
      </c>
    </row>
    <row r="439" spans="1:25">
      <c r="N439" s="42">
        <v>43640</v>
      </c>
      <c r="O439" t="s">
        <v>345</v>
      </c>
      <c r="P439" s="42">
        <v>43641</v>
      </c>
      <c r="Q439" t="s">
        <v>333</v>
      </c>
      <c r="R439" t="s">
        <v>347</v>
      </c>
      <c r="S439" t="s">
        <v>323</v>
      </c>
      <c r="T439">
        <v>15.2</v>
      </c>
      <c r="W439" t="s">
        <v>330</v>
      </c>
      <c r="Y439" s="42">
        <v>43641</v>
      </c>
    </row>
    <row r="440" spans="1:25">
      <c r="A440">
        <v>102</v>
      </c>
      <c r="B440" t="s">
        <v>348</v>
      </c>
      <c r="C440" t="s">
        <v>320</v>
      </c>
      <c r="D440" t="s">
        <v>321</v>
      </c>
      <c r="E440" t="s">
        <v>322</v>
      </c>
      <c r="F440">
        <v>1</v>
      </c>
      <c r="G440" s="42">
        <v>45246</v>
      </c>
      <c r="H440">
        <v>0</v>
      </c>
      <c r="I440">
        <v>487.2022</v>
      </c>
      <c r="J440">
        <v>0</v>
      </c>
      <c r="K440">
        <v>487.2022</v>
      </c>
      <c r="L440" t="s">
        <v>323</v>
      </c>
      <c r="M440" s="44">
        <v>1.0020833333333334</v>
      </c>
    </row>
    <row r="441" spans="1:25">
      <c r="C441" t="s">
        <v>325</v>
      </c>
      <c r="D441" t="s">
        <v>349</v>
      </c>
      <c r="E441" t="s">
        <v>350</v>
      </c>
      <c r="F441">
        <v>2</v>
      </c>
      <c r="G441" s="42">
        <v>45246</v>
      </c>
      <c r="H441">
        <v>0</v>
      </c>
      <c r="I441">
        <v>598.91650000000004</v>
      </c>
      <c r="J441">
        <v>0</v>
      </c>
      <c r="K441">
        <v>598.91650000000004</v>
      </c>
      <c r="L441" t="s">
        <v>323</v>
      </c>
    </row>
    <row r="442" spans="1:25">
      <c r="C442" t="s">
        <v>329</v>
      </c>
      <c r="D442" t="s">
        <v>331</v>
      </c>
      <c r="E442" t="s">
        <v>332</v>
      </c>
      <c r="F442">
        <v>1</v>
      </c>
      <c r="G442" s="42">
        <v>45246</v>
      </c>
      <c r="H442">
        <v>0</v>
      </c>
      <c r="I442">
        <v>1006.5759</v>
      </c>
      <c r="J442">
        <v>0</v>
      </c>
      <c r="K442">
        <v>1006.5759</v>
      </c>
      <c r="L442" t="s">
        <v>323</v>
      </c>
    </row>
    <row r="443" spans="1:25">
      <c r="A443">
        <v>115</v>
      </c>
      <c r="B443" t="s">
        <v>351</v>
      </c>
      <c r="C443" t="s">
        <v>320</v>
      </c>
      <c r="D443" t="s">
        <v>336</v>
      </c>
      <c r="E443" t="s">
        <v>337</v>
      </c>
      <c r="F443">
        <v>1</v>
      </c>
      <c r="G443" s="42">
        <v>45074</v>
      </c>
      <c r="H443">
        <v>152</v>
      </c>
      <c r="I443">
        <v>-46.006399999999999</v>
      </c>
      <c r="J443">
        <v>116.6027</v>
      </c>
      <c r="K443">
        <v>70.596299999999999</v>
      </c>
      <c r="L443" t="s">
        <v>323</v>
      </c>
      <c r="M443" s="44">
        <v>1.0479166666666666</v>
      </c>
      <c r="N443" s="42">
        <v>44991</v>
      </c>
      <c r="O443" t="s">
        <v>345</v>
      </c>
      <c r="P443" s="42">
        <v>44991</v>
      </c>
      <c r="Q443" t="s">
        <v>345</v>
      </c>
      <c r="R443" t="s">
        <v>320</v>
      </c>
      <c r="S443" t="s">
        <v>323</v>
      </c>
      <c r="T443">
        <v>7.6</v>
      </c>
      <c r="V443">
        <v>0</v>
      </c>
    </row>
    <row r="444" spans="1:25">
      <c r="C444" t="s">
        <v>325</v>
      </c>
      <c r="D444" t="s">
        <v>352</v>
      </c>
      <c r="E444" t="s">
        <v>353</v>
      </c>
      <c r="F444">
        <v>2</v>
      </c>
      <c r="G444" s="42">
        <v>45075</v>
      </c>
      <c r="H444">
        <v>32.934600000000003</v>
      </c>
      <c r="I444">
        <v>597.06470000000002</v>
      </c>
      <c r="J444">
        <v>25.174700000000001</v>
      </c>
      <c r="K444">
        <v>622.23940000000005</v>
      </c>
      <c r="L444" t="s">
        <v>323</v>
      </c>
      <c r="N444" s="42">
        <v>44952</v>
      </c>
      <c r="O444" t="s">
        <v>324</v>
      </c>
      <c r="P444" s="42">
        <v>44952</v>
      </c>
      <c r="Q444" t="s">
        <v>324</v>
      </c>
      <c r="R444" t="s">
        <v>320</v>
      </c>
      <c r="S444" t="s">
        <v>323</v>
      </c>
      <c r="U444">
        <v>7.6</v>
      </c>
      <c r="Y444" s="42">
        <v>44957</v>
      </c>
    </row>
    <row r="445" spans="1:25">
      <c r="C445" t="s">
        <v>329</v>
      </c>
      <c r="D445" t="s">
        <v>342</v>
      </c>
      <c r="E445" t="s">
        <v>343</v>
      </c>
      <c r="F445">
        <v>1</v>
      </c>
      <c r="G445" s="42">
        <v>45074</v>
      </c>
      <c r="H445">
        <v>76</v>
      </c>
      <c r="I445">
        <v>41.9163</v>
      </c>
      <c r="J445">
        <v>58.301400000000001</v>
      </c>
      <c r="K445">
        <v>100.21769999999999</v>
      </c>
      <c r="L445" t="s">
        <v>323</v>
      </c>
      <c r="N445" s="42">
        <v>44950</v>
      </c>
      <c r="O445" t="s">
        <v>333</v>
      </c>
      <c r="P445" s="42">
        <v>44951</v>
      </c>
      <c r="Q445" t="s">
        <v>328</v>
      </c>
      <c r="R445" t="s">
        <v>320</v>
      </c>
      <c r="S445" t="s">
        <v>323</v>
      </c>
      <c r="T445">
        <v>15.2</v>
      </c>
      <c r="V445">
        <v>0</v>
      </c>
      <c r="Y445" s="42">
        <v>44957</v>
      </c>
    </row>
    <row r="446" spans="1:25">
      <c r="N446" s="42">
        <v>44946</v>
      </c>
      <c r="O446" t="s">
        <v>346</v>
      </c>
      <c r="P446" s="42">
        <v>44946</v>
      </c>
      <c r="Q446" t="s">
        <v>346</v>
      </c>
      <c r="R446" t="s">
        <v>320</v>
      </c>
      <c r="S446" t="s">
        <v>323</v>
      </c>
      <c r="T446">
        <v>7.6</v>
      </c>
      <c r="V446">
        <v>0</v>
      </c>
      <c r="Y446" s="42">
        <v>44957</v>
      </c>
    </row>
    <row r="447" spans="1:25">
      <c r="N447" s="42">
        <v>44932</v>
      </c>
      <c r="O447" t="s">
        <v>346</v>
      </c>
      <c r="P447" s="42">
        <v>44932</v>
      </c>
      <c r="Q447" t="s">
        <v>346</v>
      </c>
      <c r="R447" t="s">
        <v>320</v>
      </c>
      <c r="S447" t="s">
        <v>323</v>
      </c>
      <c r="T447">
        <v>7.6</v>
      </c>
      <c r="V447">
        <v>0</v>
      </c>
      <c r="Y447" s="42">
        <v>44943</v>
      </c>
    </row>
    <row r="448" spans="1:25">
      <c r="N448" s="42">
        <v>44928</v>
      </c>
      <c r="O448" t="s">
        <v>345</v>
      </c>
      <c r="P448" s="42">
        <v>44928</v>
      </c>
      <c r="Q448" t="s">
        <v>345</v>
      </c>
      <c r="R448" t="s">
        <v>320</v>
      </c>
      <c r="S448" t="s">
        <v>323</v>
      </c>
      <c r="U448">
        <v>7.6</v>
      </c>
      <c r="Y448" s="42">
        <v>44929</v>
      </c>
    </row>
    <row r="449" spans="14:25">
      <c r="N449" s="42">
        <v>44922</v>
      </c>
      <c r="O449" t="s">
        <v>333</v>
      </c>
      <c r="P449" s="42">
        <v>44922</v>
      </c>
      <c r="Q449" t="s">
        <v>333</v>
      </c>
      <c r="R449" t="s">
        <v>320</v>
      </c>
      <c r="S449" t="s">
        <v>323</v>
      </c>
      <c r="U449">
        <v>7.6</v>
      </c>
      <c r="Y449" s="42">
        <v>44929</v>
      </c>
    </row>
    <row r="450" spans="14:25">
      <c r="N450" s="42">
        <v>44921</v>
      </c>
      <c r="O450" t="s">
        <v>345</v>
      </c>
      <c r="P450" s="42">
        <v>44921</v>
      </c>
      <c r="Q450" t="s">
        <v>345</v>
      </c>
      <c r="R450" t="s">
        <v>320</v>
      </c>
      <c r="S450" t="s">
        <v>323</v>
      </c>
      <c r="U450">
        <v>7.6</v>
      </c>
      <c r="Y450" s="42">
        <v>44929</v>
      </c>
    </row>
    <row r="451" spans="14:25">
      <c r="N451" s="42">
        <v>44837</v>
      </c>
      <c r="O451" t="s">
        <v>345</v>
      </c>
      <c r="P451" s="42">
        <v>44837</v>
      </c>
      <c r="Q451" t="s">
        <v>345</v>
      </c>
      <c r="R451" t="s">
        <v>320</v>
      </c>
      <c r="S451" t="s">
        <v>323</v>
      </c>
      <c r="U451">
        <v>7.6</v>
      </c>
      <c r="Y451" s="42">
        <v>44845</v>
      </c>
    </row>
    <row r="452" spans="14:25">
      <c r="N452" s="42">
        <v>44826</v>
      </c>
      <c r="O452" t="s">
        <v>324</v>
      </c>
      <c r="P452" s="42">
        <v>44826</v>
      </c>
      <c r="Q452" t="s">
        <v>324</v>
      </c>
      <c r="R452" t="s">
        <v>320</v>
      </c>
      <c r="S452" t="s">
        <v>323</v>
      </c>
      <c r="U452">
        <v>7.6</v>
      </c>
      <c r="Y452" s="42">
        <v>44831</v>
      </c>
    </row>
    <row r="453" spans="14:25">
      <c r="N453" s="42">
        <v>44797</v>
      </c>
      <c r="O453" t="s">
        <v>328</v>
      </c>
      <c r="P453" s="42">
        <v>44803</v>
      </c>
      <c r="Q453" t="s">
        <v>333</v>
      </c>
      <c r="R453" t="s">
        <v>325</v>
      </c>
      <c r="S453" t="s">
        <v>323</v>
      </c>
      <c r="T453">
        <v>38</v>
      </c>
      <c r="V453">
        <v>0</v>
      </c>
      <c r="Y453" s="42">
        <v>44803</v>
      </c>
    </row>
    <row r="454" spans="14:25">
      <c r="N454" s="42">
        <v>44790</v>
      </c>
      <c r="O454" t="s">
        <v>328</v>
      </c>
      <c r="P454" s="42">
        <v>44796</v>
      </c>
      <c r="Q454" t="s">
        <v>333</v>
      </c>
      <c r="R454" t="s">
        <v>320</v>
      </c>
      <c r="S454" t="s">
        <v>323</v>
      </c>
      <c r="T454">
        <v>38</v>
      </c>
      <c r="U454">
        <v>0</v>
      </c>
      <c r="V454">
        <v>0</v>
      </c>
      <c r="Y454" s="42">
        <v>44803</v>
      </c>
    </row>
    <row r="455" spans="14:25">
      <c r="N455" s="42">
        <v>44778</v>
      </c>
      <c r="O455" t="s">
        <v>346</v>
      </c>
      <c r="P455" s="42">
        <v>44789</v>
      </c>
      <c r="Q455" t="s">
        <v>333</v>
      </c>
      <c r="R455" t="s">
        <v>320</v>
      </c>
      <c r="S455" t="s">
        <v>323</v>
      </c>
      <c r="T455">
        <v>53.2</v>
      </c>
      <c r="U455">
        <v>7.6</v>
      </c>
      <c r="V455">
        <v>0</v>
      </c>
      <c r="Y455" s="42">
        <v>44789</v>
      </c>
    </row>
    <row r="456" spans="14:25">
      <c r="N456" s="42">
        <v>44739</v>
      </c>
      <c r="O456" t="s">
        <v>345</v>
      </c>
      <c r="P456" s="42">
        <v>44739</v>
      </c>
      <c r="Q456" t="s">
        <v>345</v>
      </c>
      <c r="R456" t="s">
        <v>329</v>
      </c>
      <c r="S456" t="s">
        <v>323</v>
      </c>
      <c r="T456">
        <v>8.1</v>
      </c>
      <c r="W456" t="s">
        <v>330</v>
      </c>
      <c r="Y456" s="42">
        <v>44747</v>
      </c>
    </row>
    <row r="457" spans="14:25">
      <c r="N457" s="42">
        <v>44719</v>
      </c>
      <c r="O457" t="s">
        <v>333</v>
      </c>
      <c r="P457" s="42">
        <v>44719</v>
      </c>
      <c r="Q457" t="s">
        <v>333</v>
      </c>
      <c r="R457" t="s">
        <v>329</v>
      </c>
      <c r="S457" t="s">
        <v>323</v>
      </c>
      <c r="T457">
        <v>8.1</v>
      </c>
      <c r="W457" t="s">
        <v>330</v>
      </c>
      <c r="Y457" s="42">
        <v>44719</v>
      </c>
    </row>
    <row r="458" spans="14:25">
      <c r="N458" s="42">
        <v>44718</v>
      </c>
      <c r="O458" t="s">
        <v>345</v>
      </c>
      <c r="P458" s="42">
        <v>44718</v>
      </c>
      <c r="Q458" t="s">
        <v>345</v>
      </c>
      <c r="R458" t="s">
        <v>329</v>
      </c>
      <c r="S458" t="s">
        <v>323</v>
      </c>
      <c r="T458">
        <v>8.1</v>
      </c>
      <c r="W458" t="s">
        <v>330</v>
      </c>
      <c r="Y458" s="42">
        <v>44719</v>
      </c>
    </row>
    <row r="459" spans="14:25">
      <c r="N459" s="42">
        <v>44686</v>
      </c>
      <c r="O459" t="s">
        <v>324</v>
      </c>
      <c r="P459" s="42">
        <v>44687</v>
      </c>
      <c r="Q459" t="s">
        <v>346</v>
      </c>
      <c r="R459" t="s">
        <v>329</v>
      </c>
      <c r="S459" t="s">
        <v>323</v>
      </c>
      <c r="T459">
        <v>15.2</v>
      </c>
      <c r="W459" t="s">
        <v>330</v>
      </c>
      <c r="X459" t="s">
        <v>330</v>
      </c>
      <c r="Y459" s="42">
        <v>44691</v>
      </c>
    </row>
    <row r="460" spans="14:25">
      <c r="N460" s="42">
        <v>44683</v>
      </c>
      <c r="O460" t="s">
        <v>345</v>
      </c>
      <c r="P460" s="42">
        <v>44683</v>
      </c>
      <c r="Q460" t="s">
        <v>345</v>
      </c>
      <c r="R460" t="s">
        <v>320</v>
      </c>
      <c r="S460" t="s">
        <v>323</v>
      </c>
      <c r="U460">
        <v>7.6</v>
      </c>
      <c r="Y460" s="42">
        <v>44691</v>
      </c>
    </row>
    <row r="461" spans="14:25">
      <c r="N461" s="42">
        <v>44676</v>
      </c>
      <c r="O461" t="s">
        <v>345</v>
      </c>
      <c r="P461" s="42">
        <v>44676</v>
      </c>
      <c r="Q461" t="s">
        <v>345</v>
      </c>
      <c r="R461" t="s">
        <v>320</v>
      </c>
      <c r="S461" t="s">
        <v>323</v>
      </c>
      <c r="U461">
        <v>7.6</v>
      </c>
      <c r="Y461" s="42">
        <v>44677</v>
      </c>
    </row>
    <row r="462" spans="14:25">
      <c r="N462" s="42">
        <v>44671</v>
      </c>
      <c r="O462" t="s">
        <v>328</v>
      </c>
      <c r="P462" s="42">
        <v>44671</v>
      </c>
      <c r="Q462" t="s">
        <v>328</v>
      </c>
      <c r="R462" t="s">
        <v>329</v>
      </c>
      <c r="S462" t="s">
        <v>323</v>
      </c>
      <c r="T462">
        <v>4</v>
      </c>
      <c r="W462" t="s">
        <v>339</v>
      </c>
      <c r="Y462" s="42">
        <v>44677</v>
      </c>
    </row>
    <row r="463" spans="14:25">
      <c r="N463" s="42">
        <v>44669</v>
      </c>
      <c r="O463" t="s">
        <v>345</v>
      </c>
      <c r="P463" s="42">
        <v>44669</v>
      </c>
      <c r="Q463" t="s">
        <v>345</v>
      </c>
      <c r="R463" t="s">
        <v>320</v>
      </c>
      <c r="S463" t="s">
        <v>323</v>
      </c>
      <c r="U463">
        <v>7.6</v>
      </c>
      <c r="Y463" s="42">
        <v>44677</v>
      </c>
    </row>
    <row r="464" spans="14:25">
      <c r="N464" s="42">
        <v>44666</v>
      </c>
      <c r="O464" t="s">
        <v>346</v>
      </c>
      <c r="P464" s="42">
        <v>44666</v>
      </c>
      <c r="Q464" t="s">
        <v>346</v>
      </c>
      <c r="R464" t="s">
        <v>320</v>
      </c>
      <c r="S464" t="s">
        <v>323</v>
      </c>
      <c r="U464">
        <v>7.6</v>
      </c>
      <c r="Y464" s="42">
        <v>44677</v>
      </c>
    </row>
    <row r="465" spans="14:25">
      <c r="N465" s="42">
        <v>44662</v>
      </c>
      <c r="O465" t="s">
        <v>345</v>
      </c>
      <c r="P465" s="42">
        <v>44662</v>
      </c>
      <c r="Q465" t="s">
        <v>345</v>
      </c>
      <c r="R465" t="s">
        <v>329</v>
      </c>
      <c r="S465" t="s">
        <v>323</v>
      </c>
      <c r="T465">
        <v>3</v>
      </c>
      <c r="W465" t="s">
        <v>339</v>
      </c>
      <c r="Y465" s="42">
        <v>44663</v>
      </c>
    </row>
    <row r="466" spans="14:25">
      <c r="N466" s="42">
        <v>44644</v>
      </c>
      <c r="O466" t="s">
        <v>324</v>
      </c>
      <c r="P466" s="42">
        <v>44645</v>
      </c>
      <c r="Q466" t="s">
        <v>346</v>
      </c>
      <c r="R466" t="s">
        <v>320</v>
      </c>
      <c r="S466" t="s">
        <v>323</v>
      </c>
      <c r="T466">
        <v>15.2</v>
      </c>
      <c r="V466">
        <v>0</v>
      </c>
      <c r="Y466" s="42">
        <v>44649</v>
      </c>
    </row>
    <row r="467" spans="14:25">
      <c r="N467" s="42">
        <v>44613</v>
      </c>
      <c r="O467" t="s">
        <v>345</v>
      </c>
      <c r="P467" s="42">
        <v>44620</v>
      </c>
      <c r="Q467" t="s">
        <v>345</v>
      </c>
      <c r="R467" t="s">
        <v>325</v>
      </c>
      <c r="S467" t="s">
        <v>323</v>
      </c>
      <c r="T467">
        <v>45.6</v>
      </c>
      <c r="V467">
        <v>0</v>
      </c>
      <c r="Y467" s="42">
        <v>44621</v>
      </c>
    </row>
    <row r="468" spans="14:25">
      <c r="N468" s="42">
        <v>44610</v>
      </c>
      <c r="O468" t="s">
        <v>346</v>
      </c>
      <c r="P468" s="42">
        <v>44610</v>
      </c>
      <c r="Q468" t="s">
        <v>346</v>
      </c>
      <c r="R468" t="s">
        <v>338</v>
      </c>
      <c r="S468" t="s">
        <v>323</v>
      </c>
      <c r="T468">
        <v>7.6</v>
      </c>
      <c r="W468" t="s">
        <v>339</v>
      </c>
      <c r="Y468" s="42">
        <v>44621</v>
      </c>
    </row>
    <row r="469" spans="14:25">
      <c r="N469" s="42">
        <v>44608</v>
      </c>
      <c r="O469" t="s">
        <v>328</v>
      </c>
      <c r="P469" s="42">
        <v>44609</v>
      </c>
      <c r="Q469" t="s">
        <v>324</v>
      </c>
      <c r="R469" t="s">
        <v>320</v>
      </c>
      <c r="S469" t="s">
        <v>323</v>
      </c>
      <c r="T469">
        <v>15.2</v>
      </c>
      <c r="U469">
        <v>0</v>
      </c>
      <c r="V469">
        <v>0</v>
      </c>
      <c r="Y469" s="42">
        <v>44621</v>
      </c>
    </row>
    <row r="470" spans="14:25">
      <c r="N470" s="42">
        <v>44594</v>
      </c>
      <c r="O470" t="s">
        <v>328</v>
      </c>
      <c r="P470" s="42">
        <v>44607</v>
      </c>
      <c r="Q470" t="s">
        <v>333</v>
      </c>
      <c r="R470" t="s">
        <v>320</v>
      </c>
      <c r="S470" t="s">
        <v>323</v>
      </c>
      <c r="T470">
        <v>76</v>
      </c>
      <c r="U470">
        <v>0</v>
      </c>
      <c r="V470">
        <v>0</v>
      </c>
      <c r="Y470" s="42">
        <v>44607</v>
      </c>
    </row>
    <row r="471" spans="14:25">
      <c r="N471" s="42">
        <v>44585</v>
      </c>
      <c r="O471" t="s">
        <v>345</v>
      </c>
      <c r="P471" s="42">
        <v>44593</v>
      </c>
      <c r="Q471" t="s">
        <v>333</v>
      </c>
      <c r="R471" t="s">
        <v>320</v>
      </c>
      <c r="S471" t="s">
        <v>323</v>
      </c>
      <c r="T471">
        <v>45.6</v>
      </c>
      <c r="U471">
        <v>7.6</v>
      </c>
      <c r="V471">
        <v>0</v>
      </c>
      <c r="Y471" s="42">
        <v>44593</v>
      </c>
    </row>
    <row r="472" spans="14:25">
      <c r="N472" s="42">
        <v>44575</v>
      </c>
      <c r="O472" t="s">
        <v>346</v>
      </c>
      <c r="P472" s="42">
        <v>44575</v>
      </c>
      <c r="Q472" t="s">
        <v>346</v>
      </c>
      <c r="R472" t="s">
        <v>329</v>
      </c>
      <c r="S472" t="s">
        <v>323</v>
      </c>
      <c r="T472">
        <v>4.5</v>
      </c>
      <c r="W472" t="s">
        <v>339</v>
      </c>
      <c r="Y472" s="42">
        <v>44579</v>
      </c>
    </row>
    <row r="473" spans="14:25">
      <c r="N473" s="42">
        <v>44567</v>
      </c>
      <c r="O473" t="s">
        <v>324</v>
      </c>
      <c r="P473" s="42">
        <v>44567</v>
      </c>
      <c r="Q473" t="s">
        <v>324</v>
      </c>
      <c r="R473" t="s">
        <v>329</v>
      </c>
      <c r="S473" t="s">
        <v>323</v>
      </c>
      <c r="T473">
        <v>7.6</v>
      </c>
      <c r="W473" t="s">
        <v>339</v>
      </c>
      <c r="Y473" s="42">
        <v>44579</v>
      </c>
    </row>
    <row r="474" spans="14:25">
      <c r="N474" s="42">
        <v>44564</v>
      </c>
      <c r="O474" t="s">
        <v>345</v>
      </c>
      <c r="P474" s="42">
        <v>44564</v>
      </c>
      <c r="Q474" t="s">
        <v>345</v>
      </c>
      <c r="R474" t="s">
        <v>320</v>
      </c>
      <c r="S474" t="s">
        <v>323</v>
      </c>
      <c r="U474">
        <v>7.6</v>
      </c>
      <c r="Y474" s="42">
        <v>44565</v>
      </c>
    </row>
    <row r="475" spans="14:25">
      <c r="N475" s="42">
        <v>44558</v>
      </c>
      <c r="O475" t="s">
        <v>333</v>
      </c>
      <c r="P475" s="42">
        <v>44558</v>
      </c>
      <c r="Q475" t="s">
        <v>333</v>
      </c>
      <c r="R475" t="s">
        <v>320</v>
      </c>
      <c r="S475" t="s">
        <v>323</v>
      </c>
      <c r="U475">
        <v>7.6</v>
      </c>
      <c r="Y475" s="42">
        <v>44565</v>
      </c>
    </row>
    <row r="476" spans="14:25">
      <c r="N476" s="42">
        <v>44557</v>
      </c>
      <c r="O476" t="s">
        <v>345</v>
      </c>
      <c r="P476" s="42">
        <v>44557</v>
      </c>
      <c r="Q476" t="s">
        <v>345</v>
      </c>
      <c r="R476" t="s">
        <v>320</v>
      </c>
      <c r="S476" t="s">
        <v>323</v>
      </c>
      <c r="U476">
        <v>7.6</v>
      </c>
      <c r="Y476" s="42">
        <v>44565</v>
      </c>
    </row>
    <row r="477" spans="14:25">
      <c r="N477" s="42">
        <v>44502</v>
      </c>
      <c r="O477" t="s">
        <v>333</v>
      </c>
      <c r="P477" s="42">
        <v>44502</v>
      </c>
      <c r="Q477" t="s">
        <v>333</v>
      </c>
      <c r="R477" t="s">
        <v>329</v>
      </c>
      <c r="S477" t="s">
        <v>323</v>
      </c>
      <c r="T477">
        <v>7.6</v>
      </c>
      <c r="W477" t="s">
        <v>339</v>
      </c>
      <c r="Y477" s="42">
        <v>44509</v>
      </c>
    </row>
    <row r="478" spans="14:25">
      <c r="N478" s="42">
        <v>44490</v>
      </c>
      <c r="O478" t="s">
        <v>324</v>
      </c>
      <c r="P478" s="42">
        <v>44490</v>
      </c>
      <c r="Q478" t="s">
        <v>324</v>
      </c>
      <c r="R478" t="s">
        <v>320</v>
      </c>
      <c r="S478" t="s">
        <v>323</v>
      </c>
      <c r="T478">
        <v>7.6</v>
      </c>
      <c r="V478">
        <v>0</v>
      </c>
      <c r="Y478" s="42">
        <v>44495</v>
      </c>
    </row>
    <row r="479" spans="14:25">
      <c r="N479" s="42">
        <v>44473</v>
      </c>
      <c r="O479" t="s">
        <v>345</v>
      </c>
      <c r="P479" s="42">
        <v>44473</v>
      </c>
      <c r="Q479" t="s">
        <v>345</v>
      </c>
      <c r="R479" t="s">
        <v>320</v>
      </c>
      <c r="S479" t="s">
        <v>323</v>
      </c>
      <c r="U479">
        <v>7.6</v>
      </c>
      <c r="Y479" s="42">
        <v>44481</v>
      </c>
    </row>
    <row r="480" spans="14:25">
      <c r="N480" s="42">
        <v>44389</v>
      </c>
      <c r="O480" t="s">
        <v>345</v>
      </c>
      <c r="P480" s="42">
        <v>44389</v>
      </c>
      <c r="Q480" t="s">
        <v>345</v>
      </c>
      <c r="R480" t="s">
        <v>329</v>
      </c>
      <c r="S480" t="s">
        <v>323</v>
      </c>
      <c r="T480">
        <v>5.6</v>
      </c>
      <c r="W480" t="s">
        <v>339</v>
      </c>
      <c r="Y480" s="42">
        <v>44397</v>
      </c>
    </row>
    <row r="481" spans="14:25">
      <c r="N481" s="42">
        <v>44383</v>
      </c>
      <c r="O481" t="s">
        <v>333</v>
      </c>
      <c r="P481" s="42">
        <v>44383</v>
      </c>
      <c r="Q481" t="s">
        <v>333</v>
      </c>
      <c r="R481" t="s">
        <v>329</v>
      </c>
      <c r="S481" t="s">
        <v>323</v>
      </c>
      <c r="T481">
        <v>7.6</v>
      </c>
      <c r="W481" t="s">
        <v>339</v>
      </c>
      <c r="Y481" s="42">
        <v>44383</v>
      </c>
    </row>
    <row r="482" spans="14:25">
      <c r="N482" s="42">
        <v>44382</v>
      </c>
      <c r="O482" t="s">
        <v>345</v>
      </c>
      <c r="P482" s="42">
        <v>44382</v>
      </c>
      <c r="Q482" t="s">
        <v>345</v>
      </c>
      <c r="R482" t="s">
        <v>329</v>
      </c>
      <c r="S482" t="s">
        <v>323</v>
      </c>
      <c r="T482">
        <v>5.6</v>
      </c>
      <c r="W482" t="s">
        <v>339</v>
      </c>
      <c r="Y482" s="42">
        <v>44383</v>
      </c>
    </row>
    <row r="483" spans="14:25">
      <c r="N483" s="42">
        <v>44375</v>
      </c>
      <c r="O483" t="s">
        <v>345</v>
      </c>
      <c r="P483" s="42">
        <v>44376</v>
      </c>
      <c r="Q483" t="s">
        <v>333</v>
      </c>
      <c r="R483" t="s">
        <v>329</v>
      </c>
      <c r="S483" t="s">
        <v>323</v>
      </c>
      <c r="T483">
        <v>15.2</v>
      </c>
      <c r="W483" t="s">
        <v>330</v>
      </c>
      <c r="X483" t="s">
        <v>330</v>
      </c>
      <c r="Y483" s="42">
        <v>44383</v>
      </c>
    </row>
    <row r="484" spans="14:25">
      <c r="N484" s="42">
        <v>44358</v>
      </c>
      <c r="O484" t="s">
        <v>346</v>
      </c>
      <c r="P484" s="42">
        <v>44358</v>
      </c>
      <c r="Q484" t="s">
        <v>346</v>
      </c>
      <c r="R484" t="s">
        <v>329</v>
      </c>
      <c r="S484" t="s">
        <v>323</v>
      </c>
      <c r="T484">
        <v>7.6</v>
      </c>
      <c r="W484" t="s">
        <v>330</v>
      </c>
      <c r="X484" t="s">
        <v>330</v>
      </c>
      <c r="Y484" s="42">
        <v>44369</v>
      </c>
    </row>
    <row r="485" spans="14:25">
      <c r="N485" s="42">
        <v>44357</v>
      </c>
      <c r="O485" t="s">
        <v>324</v>
      </c>
      <c r="P485" s="42">
        <v>44357</v>
      </c>
      <c r="Q485" t="s">
        <v>324</v>
      </c>
      <c r="R485" t="s">
        <v>329</v>
      </c>
      <c r="S485" t="s">
        <v>323</v>
      </c>
      <c r="T485">
        <v>7.6</v>
      </c>
      <c r="W485" t="s">
        <v>339</v>
      </c>
      <c r="Y485" s="42">
        <v>44369</v>
      </c>
    </row>
    <row r="486" spans="14:25">
      <c r="N486" s="42">
        <v>44347</v>
      </c>
      <c r="O486" t="s">
        <v>345</v>
      </c>
      <c r="P486" s="42">
        <v>44348</v>
      </c>
      <c r="Q486" t="s">
        <v>333</v>
      </c>
      <c r="R486" t="s">
        <v>329</v>
      </c>
      <c r="S486" t="s">
        <v>323</v>
      </c>
      <c r="T486">
        <v>15.2</v>
      </c>
      <c r="W486" t="s">
        <v>330</v>
      </c>
      <c r="X486" t="s">
        <v>330</v>
      </c>
      <c r="Y486" s="42">
        <v>44355</v>
      </c>
    </row>
    <row r="487" spans="14:25">
      <c r="N487" s="42">
        <v>44344</v>
      </c>
      <c r="O487" t="s">
        <v>346</v>
      </c>
      <c r="P487" s="42">
        <v>44344</v>
      </c>
      <c r="Q487" t="s">
        <v>346</v>
      </c>
      <c r="R487" t="s">
        <v>320</v>
      </c>
      <c r="S487" t="s">
        <v>323</v>
      </c>
      <c r="T487">
        <v>2</v>
      </c>
      <c r="V487">
        <v>0</v>
      </c>
      <c r="Y487" s="42">
        <v>44355</v>
      </c>
    </row>
    <row r="488" spans="14:25">
      <c r="N488" s="42">
        <v>44319</v>
      </c>
      <c r="O488" t="s">
        <v>345</v>
      </c>
      <c r="P488" s="42">
        <v>44319</v>
      </c>
      <c r="Q488" t="s">
        <v>345</v>
      </c>
      <c r="R488" t="s">
        <v>320</v>
      </c>
      <c r="S488" t="s">
        <v>323</v>
      </c>
      <c r="U488">
        <v>7.6</v>
      </c>
      <c r="Y488" s="42">
        <v>44327</v>
      </c>
    </row>
    <row r="489" spans="14:25">
      <c r="N489" s="42">
        <v>44312</v>
      </c>
      <c r="O489" t="s">
        <v>345</v>
      </c>
      <c r="P489" s="42">
        <v>44312</v>
      </c>
      <c r="Q489" t="s">
        <v>345</v>
      </c>
      <c r="R489" t="s">
        <v>320</v>
      </c>
      <c r="S489" t="s">
        <v>323</v>
      </c>
      <c r="U489">
        <v>7.6</v>
      </c>
      <c r="Y489" s="42">
        <v>44313</v>
      </c>
    </row>
    <row r="490" spans="14:25">
      <c r="N490" s="42">
        <v>44298</v>
      </c>
      <c r="O490" t="s">
        <v>345</v>
      </c>
      <c r="P490" s="42">
        <v>44298</v>
      </c>
      <c r="Q490" t="s">
        <v>345</v>
      </c>
      <c r="R490" t="s">
        <v>329</v>
      </c>
      <c r="S490" t="s">
        <v>323</v>
      </c>
      <c r="T490">
        <v>7.6</v>
      </c>
      <c r="W490" t="s">
        <v>339</v>
      </c>
      <c r="Y490" s="42">
        <v>44299</v>
      </c>
    </row>
    <row r="491" spans="14:25">
      <c r="N491" s="42">
        <v>44291</v>
      </c>
      <c r="O491" t="s">
        <v>345</v>
      </c>
      <c r="P491" s="42">
        <v>44291</v>
      </c>
      <c r="Q491" t="s">
        <v>345</v>
      </c>
      <c r="R491" t="s">
        <v>320</v>
      </c>
      <c r="S491" t="s">
        <v>323</v>
      </c>
      <c r="U491">
        <v>7.6</v>
      </c>
    </row>
    <row r="492" spans="14:25">
      <c r="N492" s="42">
        <v>44288</v>
      </c>
      <c r="O492" t="s">
        <v>346</v>
      </c>
      <c r="P492" s="42">
        <v>44288</v>
      </c>
      <c r="Q492" t="s">
        <v>346</v>
      </c>
      <c r="R492" t="s">
        <v>320</v>
      </c>
      <c r="S492" t="s">
        <v>323</v>
      </c>
      <c r="U492">
        <v>7.6</v>
      </c>
    </row>
    <row r="493" spans="14:25">
      <c r="N493" s="42">
        <v>44286</v>
      </c>
      <c r="O493" t="s">
        <v>328</v>
      </c>
      <c r="P493" s="42">
        <v>44286</v>
      </c>
      <c r="Q493" t="s">
        <v>328</v>
      </c>
      <c r="R493" t="s">
        <v>320</v>
      </c>
      <c r="S493" t="s">
        <v>323</v>
      </c>
      <c r="T493">
        <v>7.6</v>
      </c>
      <c r="U493">
        <v>0</v>
      </c>
      <c r="V493">
        <v>0</v>
      </c>
      <c r="Y493" s="42">
        <v>44299</v>
      </c>
    </row>
    <row r="494" spans="14:25">
      <c r="N494" s="42">
        <v>44284</v>
      </c>
      <c r="O494" t="s">
        <v>345</v>
      </c>
      <c r="P494" s="42">
        <v>44285</v>
      </c>
      <c r="Q494" t="s">
        <v>333</v>
      </c>
      <c r="R494" t="s">
        <v>320</v>
      </c>
      <c r="S494" t="s">
        <v>323</v>
      </c>
      <c r="T494">
        <v>15.2</v>
      </c>
      <c r="U494">
        <v>0</v>
      </c>
      <c r="V494">
        <v>0</v>
      </c>
      <c r="Y494" s="42">
        <v>44285</v>
      </c>
    </row>
    <row r="495" spans="14:25">
      <c r="N495" s="42">
        <v>44280</v>
      </c>
      <c r="O495" t="s">
        <v>324</v>
      </c>
      <c r="P495" s="42">
        <v>44280</v>
      </c>
      <c r="Q495" t="s">
        <v>324</v>
      </c>
      <c r="R495" t="s">
        <v>329</v>
      </c>
      <c r="S495" t="s">
        <v>323</v>
      </c>
      <c r="T495">
        <v>7.6</v>
      </c>
      <c r="W495" t="s">
        <v>339</v>
      </c>
      <c r="Y495" s="42">
        <v>44285</v>
      </c>
    </row>
    <row r="496" spans="14:25">
      <c r="N496" s="42">
        <v>44278</v>
      </c>
      <c r="O496" t="s">
        <v>333</v>
      </c>
      <c r="P496" s="42">
        <v>44279</v>
      </c>
      <c r="Q496" t="s">
        <v>328</v>
      </c>
      <c r="R496" t="s">
        <v>320</v>
      </c>
      <c r="S496" t="s">
        <v>323</v>
      </c>
      <c r="T496">
        <v>15.2</v>
      </c>
      <c r="V496">
        <v>0</v>
      </c>
      <c r="Y496" s="42">
        <v>44285</v>
      </c>
    </row>
    <row r="497" spans="14:25">
      <c r="N497" s="42">
        <v>44274</v>
      </c>
      <c r="O497" t="s">
        <v>346</v>
      </c>
      <c r="P497" s="42">
        <v>44274</v>
      </c>
      <c r="Q497" t="s">
        <v>346</v>
      </c>
      <c r="R497" t="s">
        <v>320</v>
      </c>
      <c r="S497" t="s">
        <v>323</v>
      </c>
      <c r="T497">
        <v>7.6</v>
      </c>
      <c r="V497">
        <v>0</v>
      </c>
      <c r="Y497" s="42">
        <v>44285</v>
      </c>
    </row>
    <row r="498" spans="14:25">
      <c r="N498" s="42">
        <v>44270</v>
      </c>
      <c r="O498" t="s">
        <v>345</v>
      </c>
      <c r="P498" s="42">
        <v>44270</v>
      </c>
      <c r="Q498" t="s">
        <v>345</v>
      </c>
      <c r="R498" t="s">
        <v>320</v>
      </c>
      <c r="S498" t="s">
        <v>323</v>
      </c>
      <c r="T498">
        <v>7.6</v>
      </c>
      <c r="V498">
        <v>0</v>
      </c>
      <c r="Y498" s="42">
        <v>44271</v>
      </c>
    </row>
    <row r="499" spans="14:25">
      <c r="N499" s="42">
        <v>44263</v>
      </c>
      <c r="O499" t="s">
        <v>345</v>
      </c>
      <c r="P499" s="42">
        <v>44265</v>
      </c>
      <c r="Q499" t="s">
        <v>328</v>
      </c>
      <c r="R499" t="s">
        <v>320</v>
      </c>
      <c r="S499" t="s">
        <v>323</v>
      </c>
      <c r="T499">
        <v>22.8</v>
      </c>
      <c r="V499">
        <v>0</v>
      </c>
      <c r="Y499" s="42">
        <v>44271</v>
      </c>
    </row>
    <row r="500" spans="14:25">
      <c r="N500" s="42">
        <v>44260</v>
      </c>
      <c r="O500" t="s">
        <v>346</v>
      </c>
      <c r="P500" s="42">
        <v>44260</v>
      </c>
      <c r="Q500" t="s">
        <v>346</v>
      </c>
      <c r="R500" t="s">
        <v>320</v>
      </c>
      <c r="S500" t="s">
        <v>323</v>
      </c>
      <c r="T500">
        <v>7.6</v>
      </c>
      <c r="V500">
        <v>0</v>
      </c>
      <c r="Y500" s="42">
        <v>44271</v>
      </c>
    </row>
    <row r="501" spans="14:25">
      <c r="N501" s="42">
        <v>44224</v>
      </c>
      <c r="O501" t="s">
        <v>324</v>
      </c>
      <c r="P501" s="42">
        <v>44225</v>
      </c>
      <c r="Q501" t="s">
        <v>346</v>
      </c>
      <c r="R501" t="s">
        <v>320</v>
      </c>
      <c r="S501" t="s">
        <v>323</v>
      </c>
      <c r="T501">
        <v>15.2</v>
      </c>
      <c r="V501">
        <v>0</v>
      </c>
      <c r="Y501" s="42">
        <v>44229</v>
      </c>
    </row>
    <row r="502" spans="14:25">
      <c r="N502" s="42">
        <v>44222</v>
      </c>
      <c r="O502" t="s">
        <v>333</v>
      </c>
      <c r="P502" s="42">
        <v>44222</v>
      </c>
      <c r="Q502" t="s">
        <v>333</v>
      </c>
      <c r="R502" t="s">
        <v>320</v>
      </c>
      <c r="S502" t="s">
        <v>323</v>
      </c>
      <c r="U502">
        <v>7.6</v>
      </c>
    </row>
    <row r="503" spans="14:25">
      <c r="N503" s="42">
        <v>44221</v>
      </c>
      <c r="O503" t="s">
        <v>345</v>
      </c>
      <c r="P503" s="42">
        <v>44221</v>
      </c>
      <c r="Q503" t="s">
        <v>345</v>
      </c>
      <c r="R503" t="s">
        <v>320</v>
      </c>
      <c r="S503" t="s">
        <v>323</v>
      </c>
      <c r="T503">
        <v>7.6</v>
      </c>
      <c r="Y503" s="42">
        <v>44229</v>
      </c>
    </row>
    <row r="504" spans="14:25">
      <c r="N504" s="42">
        <v>44218</v>
      </c>
      <c r="O504" t="s">
        <v>346</v>
      </c>
      <c r="P504" s="42">
        <v>44218</v>
      </c>
      <c r="Q504" t="s">
        <v>346</v>
      </c>
      <c r="R504" t="s">
        <v>320</v>
      </c>
      <c r="S504" t="s">
        <v>323</v>
      </c>
      <c r="T504">
        <v>7.6</v>
      </c>
      <c r="V504">
        <v>0</v>
      </c>
      <c r="Y504" s="42">
        <v>44229</v>
      </c>
    </row>
    <row r="505" spans="14:25">
      <c r="N505" s="42">
        <v>44197</v>
      </c>
      <c r="O505" t="s">
        <v>346</v>
      </c>
      <c r="P505" s="42">
        <v>44197</v>
      </c>
      <c r="Q505" t="s">
        <v>346</v>
      </c>
      <c r="R505" t="s">
        <v>320</v>
      </c>
      <c r="S505" t="s">
        <v>323</v>
      </c>
      <c r="U505">
        <v>7.6</v>
      </c>
    </row>
    <row r="506" spans="14:25">
      <c r="N506" s="42">
        <v>44193</v>
      </c>
      <c r="O506" t="s">
        <v>345</v>
      </c>
      <c r="P506" s="42">
        <v>44193</v>
      </c>
      <c r="Q506" t="s">
        <v>345</v>
      </c>
      <c r="R506" t="s">
        <v>320</v>
      </c>
      <c r="S506" t="s">
        <v>323</v>
      </c>
      <c r="U506">
        <v>7.6</v>
      </c>
    </row>
    <row r="507" spans="14:25">
      <c r="N507" s="42">
        <v>44190</v>
      </c>
      <c r="O507" t="s">
        <v>346</v>
      </c>
      <c r="P507" s="42">
        <v>44190</v>
      </c>
      <c r="Q507" t="s">
        <v>346</v>
      </c>
      <c r="R507" t="s">
        <v>320</v>
      </c>
      <c r="S507" t="s">
        <v>323</v>
      </c>
      <c r="U507">
        <v>7.6</v>
      </c>
    </row>
    <row r="508" spans="14:25">
      <c r="N508" s="42">
        <v>44180</v>
      </c>
      <c r="O508" t="s">
        <v>333</v>
      </c>
      <c r="P508" s="42">
        <v>44180</v>
      </c>
      <c r="Q508" t="s">
        <v>333</v>
      </c>
      <c r="R508" t="s">
        <v>329</v>
      </c>
      <c r="S508" t="s">
        <v>323</v>
      </c>
      <c r="T508">
        <v>7.6</v>
      </c>
      <c r="W508" t="s">
        <v>339</v>
      </c>
      <c r="Y508" s="42">
        <v>44187</v>
      </c>
    </row>
    <row r="509" spans="14:25">
      <c r="N509" s="42">
        <v>44162</v>
      </c>
      <c r="O509" t="s">
        <v>346</v>
      </c>
      <c r="P509" s="42">
        <v>44162</v>
      </c>
      <c r="Q509" t="s">
        <v>346</v>
      </c>
      <c r="R509" t="s">
        <v>354</v>
      </c>
      <c r="S509" t="s">
        <v>323</v>
      </c>
      <c r="T509">
        <v>7.6</v>
      </c>
      <c r="W509" t="s">
        <v>339</v>
      </c>
      <c r="Y509" s="42">
        <v>44173</v>
      </c>
    </row>
    <row r="510" spans="14:25">
      <c r="N510" s="42">
        <v>44147</v>
      </c>
      <c r="O510" t="s">
        <v>324</v>
      </c>
      <c r="P510" s="42">
        <v>44147</v>
      </c>
      <c r="Q510" t="s">
        <v>324</v>
      </c>
      <c r="R510" t="s">
        <v>329</v>
      </c>
      <c r="S510" t="s">
        <v>323</v>
      </c>
      <c r="T510">
        <v>7.6</v>
      </c>
      <c r="W510" t="s">
        <v>339</v>
      </c>
      <c r="Y510" s="42">
        <v>44159</v>
      </c>
    </row>
    <row r="511" spans="14:25">
      <c r="N511" s="42">
        <v>44125</v>
      </c>
      <c r="O511" t="s">
        <v>328</v>
      </c>
      <c r="P511" s="42">
        <v>44126</v>
      </c>
      <c r="Q511" t="s">
        <v>324</v>
      </c>
      <c r="R511" t="s">
        <v>320</v>
      </c>
      <c r="S511" t="s">
        <v>323</v>
      </c>
      <c r="T511">
        <v>15.2</v>
      </c>
      <c r="V511">
        <v>0</v>
      </c>
      <c r="Y511" s="42">
        <v>44131</v>
      </c>
    </row>
    <row r="512" spans="14:25">
      <c r="N512" s="42">
        <v>44117</v>
      </c>
      <c r="O512" t="s">
        <v>333</v>
      </c>
      <c r="P512" s="42">
        <v>44117</v>
      </c>
      <c r="Q512" t="s">
        <v>333</v>
      </c>
      <c r="R512" t="s">
        <v>320</v>
      </c>
      <c r="S512" t="s">
        <v>323</v>
      </c>
      <c r="T512">
        <v>7.6</v>
      </c>
      <c r="V512">
        <v>0</v>
      </c>
      <c r="Y512" s="42">
        <v>44117</v>
      </c>
    </row>
    <row r="513" spans="14:25">
      <c r="N513" s="42">
        <v>44109</v>
      </c>
      <c r="O513" t="s">
        <v>345</v>
      </c>
      <c r="P513" s="42">
        <v>44109</v>
      </c>
      <c r="Q513" t="s">
        <v>345</v>
      </c>
      <c r="R513" t="s">
        <v>320</v>
      </c>
      <c r="S513" t="s">
        <v>323</v>
      </c>
      <c r="U513">
        <v>7.6</v>
      </c>
      <c r="Y513" s="42">
        <v>44117</v>
      </c>
    </row>
    <row r="514" spans="14:25">
      <c r="N514" s="42">
        <v>44046</v>
      </c>
      <c r="O514" t="s">
        <v>345</v>
      </c>
      <c r="P514" s="42">
        <v>44046</v>
      </c>
      <c r="Q514" t="s">
        <v>345</v>
      </c>
      <c r="R514" t="s">
        <v>329</v>
      </c>
      <c r="S514" t="s">
        <v>323</v>
      </c>
      <c r="T514">
        <v>7.6</v>
      </c>
      <c r="W514" t="s">
        <v>339</v>
      </c>
      <c r="Y514" s="42">
        <v>44047</v>
      </c>
    </row>
    <row r="515" spans="14:25">
      <c r="N515" s="42">
        <v>44015</v>
      </c>
      <c r="O515" t="s">
        <v>346</v>
      </c>
      <c r="P515" s="42">
        <v>44015</v>
      </c>
      <c r="Q515" t="s">
        <v>346</v>
      </c>
      <c r="R515" t="s">
        <v>320</v>
      </c>
      <c r="S515" t="s">
        <v>323</v>
      </c>
      <c r="T515">
        <v>7.6</v>
      </c>
      <c r="V515">
        <v>0</v>
      </c>
      <c r="Y515" s="42">
        <v>44019</v>
      </c>
    </row>
    <row r="516" spans="14:25">
      <c r="N516" s="42">
        <v>44014</v>
      </c>
      <c r="O516" t="s">
        <v>324</v>
      </c>
      <c r="P516" s="42">
        <v>44014</v>
      </c>
      <c r="Q516" t="s">
        <v>324</v>
      </c>
      <c r="R516" t="s">
        <v>320</v>
      </c>
      <c r="S516" t="s">
        <v>323</v>
      </c>
      <c r="T516">
        <v>7.6</v>
      </c>
      <c r="V516">
        <v>0</v>
      </c>
      <c r="Y516" s="42">
        <v>44019</v>
      </c>
    </row>
    <row r="517" spans="14:25">
      <c r="N517" s="42">
        <v>44013</v>
      </c>
      <c r="O517" t="s">
        <v>328</v>
      </c>
      <c r="P517" s="42">
        <v>44013</v>
      </c>
      <c r="Q517" t="s">
        <v>328</v>
      </c>
      <c r="R517" t="s">
        <v>320</v>
      </c>
      <c r="S517" t="s">
        <v>323</v>
      </c>
      <c r="T517">
        <v>7.6</v>
      </c>
      <c r="V517">
        <v>0</v>
      </c>
      <c r="Y517" s="42">
        <v>44019</v>
      </c>
    </row>
    <row r="518" spans="14:25">
      <c r="N518" s="42">
        <v>44001</v>
      </c>
      <c r="O518" t="s">
        <v>346</v>
      </c>
      <c r="P518" s="42">
        <v>44001</v>
      </c>
      <c r="Q518" t="s">
        <v>346</v>
      </c>
      <c r="R518" t="s">
        <v>320</v>
      </c>
      <c r="S518" t="s">
        <v>323</v>
      </c>
      <c r="T518">
        <v>7.6</v>
      </c>
      <c r="V518">
        <v>0</v>
      </c>
      <c r="Y518" s="42">
        <v>44005</v>
      </c>
    </row>
    <row r="519" spans="14:25">
      <c r="N519" s="42">
        <v>43999</v>
      </c>
      <c r="O519" t="s">
        <v>328</v>
      </c>
      <c r="P519" s="42">
        <v>43999</v>
      </c>
      <c r="Q519" t="s">
        <v>328</v>
      </c>
      <c r="R519" t="s">
        <v>329</v>
      </c>
      <c r="S519" t="s">
        <v>323</v>
      </c>
      <c r="T519">
        <v>7.6</v>
      </c>
      <c r="W519" t="s">
        <v>339</v>
      </c>
      <c r="Y519" s="42">
        <v>44005</v>
      </c>
    </row>
    <row r="520" spans="14:25">
      <c r="N520" s="42">
        <v>43998</v>
      </c>
      <c r="O520" t="s">
        <v>333</v>
      </c>
      <c r="P520" s="42">
        <v>43998</v>
      </c>
      <c r="Q520" t="s">
        <v>333</v>
      </c>
      <c r="R520" t="s">
        <v>329</v>
      </c>
      <c r="S520" t="s">
        <v>323</v>
      </c>
      <c r="T520">
        <v>6</v>
      </c>
      <c r="W520" t="s">
        <v>339</v>
      </c>
      <c r="Y520" s="42">
        <v>44005</v>
      </c>
    </row>
    <row r="521" spans="14:25">
      <c r="N521" s="42">
        <v>43963</v>
      </c>
      <c r="O521" t="s">
        <v>333</v>
      </c>
      <c r="P521" s="42">
        <v>43963</v>
      </c>
      <c r="Q521" t="s">
        <v>333</v>
      </c>
      <c r="R521" t="s">
        <v>329</v>
      </c>
      <c r="S521" t="s">
        <v>323</v>
      </c>
      <c r="T521">
        <v>7.6</v>
      </c>
      <c r="W521" t="s">
        <v>339</v>
      </c>
      <c r="Y521" s="42">
        <v>43963</v>
      </c>
    </row>
    <row r="522" spans="14:25">
      <c r="N522" s="42">
        <v>43934</v>
      </c>
      <c r="O522" t="s">
        <v>345</v>
      </c>
      <c r="P522" s="42">
        <v>43934</v>
      </c>
      <c r="Q522" t="s">
        <v>345</v>
      </c>
      <c r="R522" t="s">
        <v>320</v>
      </c>
      <c r="S522" t="s">
        <v>323</v>
      </c>
      <c r="T522">
        <v>0</v>
      </c>
      <c r="U522">
        <v>7.6</v>
      </c>
      <c r="Y522" s="42">
        <v>43935</v>
      </c>
    </row>
    <row r="523" spans="14:25">
      <c r="N523" s="42">
        <v>43931</v>
      </c>
      <c r="O523" t="s">
        <v>346</v>
      </c>
      <c r="P523" s="42">
        <v>43931</v>
      </c>
      <c r="Q523" t="s">
        <v>346</v>
      </c>
      <c r="R523" t="s">
        <v>320</v>
      </c>
      <c r="S523" t="s">
        <v>323</v>
      </c>
      <c r="T523">
        <v>0</v>
      </c>
      <c r="U523">
        <v>7.6</v>
      </c>
      <c r="Y523" s="42">
        <v>43935</v>
      </c>
    </row>
    <row r="524" spans="14:25">
      <c r="N524" s="42">
        <v>43921</v>
      </c>
      <c r="O524" t="s">
        <v>333</v>
      </c>
      <c r="P524" s="42">
        <v>43921</v>
      </c>
      <c r="Q524" t="s">
        <v>333</v>
      </c>
      <c r="R524" t="s">
        <v>329</v>
      </c>
      <c r="S524" t="s">
        <v>323</v>
      </c>
      <c r="T524">
        <v>7.6</v>
      </c>
      <c r="W524" t="s">
        <v>330</v>
      </c>
      <c r="Y524" s="42">
        <v>43921</v>
      </c>
    </row>
    <row r="525" spans="14:25">
      <c r="N525" s="42">
        <v>43893</v>
      </c>
      <c r="O525" t="s">
        <v>333</v>
      </c>
      <c r="P525" s="42">
        <v>43893</v>
      </c>
      <c r="Q525" t="s">
        <v>333</v>
      </c>
      <c r="R525" t="s">
        <v>320</v>
      </c>
      <c r="S525" t="s">
        <v>323</v>
      </c>
      <c r="T525">
        <v>7.6</v>
      </c>
      <c r="V525">
        <v>0</v>
      </c>
      <c r="Y525" s="42">
        <v>43893</v>
      </c>
    </row>
    <row r="526" spans="14:25">
      <c r="N526" s="42">
        <v>43892</v>
      </c>
      <c r="O526" t="s">
        <v>345</v>
      </c>
      <c r="P526" s="42">
        <v>43892</v>
      </c>
      <c r="Q526" t="s">
        <v>345</v>
      </c>
      <c r="R526" t="s">
        <v>320</v>
      </c>
      <c r="S526" t="s">
        <v>323</v>
      </c>
      <c r="T526">
        <v>7.6</v>
      </c>
      <c r="V526">
        <v>0</v>
      </c>
      <c r="Y526" s="42">
        <v>43893</v>
      </c>
    </row>
    <row r="527" spans="14:25">
      <c r="N527" s="42">
        <v>43888</v>
      </c>
      <c r="O527" t="s">
        <v>324</v>
      </c>
      <c r="P527" s="42">
        <v>43889</v>
      </c>
      <c r="Q527" t="s">
        <v>346</v>
      </c>
      <c r="R527" t="s">
        <v>320</v>
      </c>
      <c r="S527" t="s">
        <v>323</v>
      </c>
      <c r="T527">
        <v>15.2</v>
      </c>
      <c r="V527">
        <v>0</v>
      </c>
      <c r="Y527" s="42">
        <v>43893</v>
      </c>
    </row>
    <row r="528" spans="14:25">
      <c r="N528" s="42">
        <v>43857</v>
      </c>
      <c r="O528" t="s">
        <v>345</v>
      </c>
      <c r="P528" s="42">
        <v>43857</v>
      </c>
      <c r="Q528" t="s">
        <v>345</v>
      </c>
      <c r="R528" t="s">
        <v>320</v>
      </c>
      <c r="S528" t="s">
        <v>323</v>
      </c>
      <c r="T528">
        <v>0</v>
      </c>
      <c r="U528">
        <v>7.6</v>
      </c>
      <c r="Y528" s="42">
        <v>43865</v>
      </c>
    </row>
    <row r="529" spans="14:25">
      <c r="N529" s="42">
        <v>43854</v>
      </c>
      <c r="O529" t="s">
        <v>346</v>
      </c>
      <c r="P529" s="42">
        <v>43854</v>
      </c>
      <c r="Q529" t="s">
        <v>346</v>
      </c>
      <c r="R529" t="s">
        <v>320</v>
      </c>
      <c r="S529" t="s">
        <v>323</v>
      </c>
      <c r="T529">
        <v>7.6</v>
      </c>
      <c r="V529">
        <v>0</v>
      </c>
      <c r="Y529" s="42">
        <v>43865</v>
      </c>
    </row>
    <row r="530" spans="14:25">
      <c r="N530" s="42">
        <v>43853</v>
      </c>
      <c r="O530" t="s">
        <v>324</v>
      </c>
      <c r="P530" s="42">
        <v>43853</v>
      </c>
      <c r="Q530" t="s">
        <v>324</v>
      </c>
      <c r="R530" t="s">
        <v>320</v>
      </c>
      <c r="S530" t="s">
        <v>323</v>
      </c>
      <c r="T530">
        <v>7.6</v>
      </c>
      <c r="V530">
        <v>0</v>
      </c>
      <c r="Y530" s="42">
        <v>43865</v>
      </c>
    </row>
    <row r="531" spans="14:25">
      <c r="N531" s="42">
        <v>43843</v>
      </c>
      <c r="O531" t="s">
        <v>345</v>
      </c>
      <c r="P531" s="42">
        <v>43843</v>
      </c>
      <c r="Q531" t="s">
        <v>345</v>
      </c>
      <c r="R531" t="s">
        <v>329</v>
      </c>
      <c r="S531" t="s">
        <v>323</v>
      </c>
      <c r="T531">
        <v>7.6</v>
      </c>
      <c r="W531" t="s">
        <v>339</v>
      </c>
      <c r="Y531" s="42">
        <v>43851</v>
      </c>
    </row>
    <row r="532" spans="14:25">
      <c r="N532" s="42">
        <v>43831</v>
      </c>
      <c r="O532" t="s">
        <v>328</v>
      </c>
      <c r="P532" s="42">
        <v>43831</v>
      </c>
      <c r="Q532" t="s">
        <v>328</v>
      </c>
      <c r="R532" t="s">
        <v>320</v>
      </c>
      <c r="S532" t="s">
        <v>323</v>
      </c>
      <c r="T532">
        <v>0</v>
      </c>
      <c r="U532">
        <v>7.6</v>
      </c>
      <c r="Y532" s="42">
        <v>43837</v>
      </c>
    </row>
    <row r="533" spans="14:25">
      <c r="N533" s="42">
        <v>43824</v>
      </c>
      <c r="O533" t="s">
        <v>328</v>
      </c>
      <c r="P533" s="42">
        <v>43825</v>
      </c>
      <c r="Q533" t="s">
        <v>324</v>
      </c>
      <c r="R533" t="s">
        <v>320</v>
      </c>
      <c r="S533" t="s">
        <v>323</v>
      </c>
      <c r="T533">
        <v>0</v>
      </c>
      <c r="U533">
        <v>15.2</v>
      </c>
      <c r="Y533" s="42">
        <v>43837</v>
      </c>
    </row>
    <row r="534" spans="14:25">
      <c r="N534" s="42">
        <v>43812</v>
      </c>
      <c r="O534" t="s">
        <v>346</v>
      </c>
      <c r="P534" s="42">
        <v>43812</v>
      </c>
      <c r="Q534" t="s">
        <v>346</v>
      </c>
      <c r="R534" t="s">
        <v>320</v>
      </c>
      <c r="S534" t="s">
        <v>323</v>
      </c>
      <c r="T534">
        <v>7.6</v>
      </c>
      <c r="Y534" s="42">
        <v>43837</v>
      </c>
    </row>
    <row r="535" spans="14:25">
      <c r="N535" s="42">
        <v>43784</v>
      </c>
      <c r="O535" t="s">
        <v>346</v>
      </c>
      <c r="P535" s="42">
        <v>43784</v>
      </c>
      <c r="Q535" t="s">
        <v>346</v>
      </c>
      <c r="R535" t="s">
        <v>320</v>
      </c>
      <c r="S535" t="s">
        <v>323</v>
      </c>
      <c r="T535">
        <v>-7.6</v>
      </c>
      <c r="Y535" s="42">
        <v>44607</v>
      </c>
    </row>
    <row r="536" spans="14:25">
      <c r="N536" s="42">
        <v>43784</v>
      </c>
      <c r="O536" t="s">
        <v>346</v>
      </c>
      <c r="P536" s="42">
        <v>43784</v>
      </c>
      <c r="Q536" t="s">
        <v>346</v>
      </c>
      <c r="R536" t="s">
        <v>320</v>
      </c>
      <c r="S536" t="s">
        <v>323</v>
      </c>
      <c r="T536">
        <v>7.6</v>
      </c>
      <c r="Y536" s="42">
        <v>43795</v>
      </c>
    </row>
    <row r="537" spans="14:25">
      <c r="N537" s="42">
        <v>43784</v>
      </c>
      <c r="O537" t="s">
        <v>346</v>
      </c>
      <c r="P537" s="42">
        <v>43784</v>
      </c>
      <c r="Q537" t="s">
        <v>346</v>
      </c>
      <c r="R537" t="s">
        <v>320</v>
      </c>
      <c r="S537" t="s">
        <v>323</v>
      </c>
      <c r="T537">
        <v>7.6</v>
      </c>
      <c r="V537">
        <v>0</v>
      </c>
      <c r="Y537" s="42">
        <v>43795</v>
      </c>
    </row>
    <row r="538" spans="14:25">
      <c r="N538" s="42">
        <v>43783</v>
      </c>
      <c r="O538" t="s">
        <v>324</v>
      </c>
      <c r="P538" s="42">
        <v>43783</v>
      </c>
      <c r="Q538" t="s">
        <v>324</v>
      </c>
      <c r="R538" t="s">
        <v>320</v>
      </c>
      <c r="S538" t="s">
        <v>323</v>
      </c>
      <c r="T538">
        <v>-7.6</v>
      </c>
      <c r="Y538" s="42">
        <v>44607</v>
      </c>
    </row>
    <row r="539" spans="14:25">
      <c r="N539" s="42">
        <v>43783</v>
      </c>
      <c r="O539" t="s">
        <v>324</v>
      </c>
      <c r="P539" s="42">
        <v>43783</v>
      </c>
      <c r="Q539" t="s">
        <v>324</v>
      </c>
      <c r="R539" t="s">
        <v>320</v>
      </c>
      <c r="S539" t="s">
        <v>323</v>
      </c>
      <c r="T539">
        <v>7.6</v>
      </c>
      <c r="Y539" s="42">
        <v>43795</v>
      </c>
    </row>
    <row r="540" spans="14:25">
      <c r="N540" s="42">
        <v>43782</v>
      </c>
      <c r="O540" t="s">
        <v>328</v>
      </c>
      <c r="P540" s="42">
        <v>43782</v>
      </c>
      <c r="Q540" t="s">
        <v>328</v>
      </c>
      <c r="R540" t="s">
        <v>320</v>
      </c>
      <c r="S540" t="s">
        <v>323</v>
      </c>
      <c r="T540">
        <v>-7.6</v>
      </c>
      <c r="Y540" s="42">
        <v>44607</v>
      </c>
    </row>
    <row r="541" spans="14:25">
      <c r="N541" s="42">
        <v>43782</v>
      </c>
      <c r="O541" t="s">
        <v>328</v>
      </c>
      <c r="P541" s="42">
        <v>43782</v>
      </c>
      <c r="Q541" t="s">
        <v>328</v>
      </c>
      <c r="R541" t="s">
        <v>320</v>
      </c>
      <c r="S541" t="s">
        <v>323</v>
      </c>
      <c r="T541">
        <v>7.6</v>
      </c>
      <c r="Y541" s="42">
        <v>43795</v>
      </c>
    </row>
    <row r="542" spans="14:25">
      <c r="N542" s="42">
        <v>43782</v>
      </c>
      <c r="O542" t="s">
        <v>328</v>
      </c>
      <c r="P542" s="42">
        <v>43783</v>
      </c>
      <c r="Q542" t="s">
        <v>324</v>
      </c>
      <c r="R542" t="s">
        <v>320</v>
      </c>
      <c r="S542" t="s">
        <v>323</v>
      </c>
      <c r="T542">
        <v>15.2</v>
      </c>
      <c r="U542">
        <v>0</v>
      </c>
      <c r="V542">
        <v>0</v>
      </c>
      <c r="Y542" s="42">
        <v>43795</v>
      </c>
    </row>
    <row r="543" spans="14:25">
      <c r="N543" s="42">
        <v>43781</v>
      </c>
      <c r="O543" t="s">
        <v>333</v>
      </c>
      <c r="P543" s="42">
        <v>43781</v>
      </c>
      <c r="Q543" t="s">
        <v>333</v>
      </c>
      <c r="R543" t="s">
        <v>320</v>
      </c>
      <c r="S543" t="s">
        <v>323</v>
      </c>
      <c r="T543">
        <v>-7.6</v>
      </c>
      <c r="Y543" s="42">
        <v>44607</v>
      </c>
    </row>
    <row r="544" spans="14:25">
      <c r="N544" s="42">
        <v>43781</v>
      </c>
      <c r="O544" t="s">
        <v>333</v>
      </c>
      <c r="P544" s="42">
        <v>43781</v>
      </c>
      <c r="Q544" t="s">
        <v>333</v>
      </c>
      <c r="R544" t="s">
        <v>320</v>
      </c>
      <c r="S544" t="s">
        <v>323</v>
      </c>
      <c r="T544">
        <v>7.6</v>
      </c>
      <c r="Y544" s="42">
        <v>43781</v>
      </c>
    </row>
    <row r="545" spans="1:25">
      <c r="N545" s="42">
        <v>43780</v>
      </c>
      <c r="O545" t="s">
        <v>345</v>
      </c>
      <c r="P545" s="42">
        <v>43780</v>
      </c>
      <c r="Q545" t="s">
        <v>345</v>
      </c>
      <c r="R545" t="s">
        <v>320</v>
      </c>
      <c r="S545" t="s">
        <v>323</v>
      </c>
      <c r="T545">
        <v>-7.6</v>
      </c>
      <c r="Y545" s="42">
        <v>44607</v>
      </c>
    </row>
    <row r="546" spans="1:25">
      <c r="N546" s="42">
        <v>43780</v>
      </c>
      <c r="O546" t="s">
        <v>345</v>
      </c>
      <c r="P546" s="42">
        <v>43784</v>
      </c>
      <c r="Q546" t="s">
        <v>346</v>
      </c>
      <c r="R546" t="s">
        <v>320</v>
      </c>
      <c r="S546" t="s">
        <v>323</v>
      </c>
      <c r="T546">
        <v>-38</v>
      </c>
      <c r="Y546" s="42">
        <v>43809</v>
      </c>
    </row>
    <row r="547" spans="1:25">
      <c r="N547" s="42">
        <v>43780</v>
      </c>
      <c r="O547" t="s">
        <v>345</v>
      </c>
      <c r="P547" s="42">
        <v>43780</v>
      </c>
      <c r="Q547" t="s">
        <v>345</v>
      </c>
      <c r="R547" t="s">
        <v>320</v>
      </c>
      <c r="S547" t="s">
        <v>323</v>
      </c>
      <c r="T547">
        <v>7.6</v>
      </c>
      <c r="Y547" s="42">
        <v>43781</v>
      </c>
    </row>
    <row r="548" spans="1:25">
      <c r="N548" s="42">
        <v>43780</v>
      </c>
      <c r="O548" t="s">
        <v>345</v>
      </c>
      <c r="P548" s="42">
        <v>43781</v>
      </c>
      <c r="Q548" t="s">
        <v>333</v>
      </c>
      <c r="R548" t="s">
        <v>320</v>
      </c>
      <c r="S548" t="s">
        <v>323</v>
      </c>
      <c r="T548">
        <v>15.2</v>
      </c>
      <c r="U548">
        <v>0</v>
      </c>
      <c r="V548">
        <v>0</v>
      </c>
      <c r="Y548" s="42">
        <v>43781</v>
      </c>
    </row>
    <row r="549" spans="1:25">
      <c r="N549" s="42">
        <v>43759</v>
      </c>
      <c r="O549" t="s">
        <v>345</v>
      </c>
      <c r="P549" s="42">
        <v>43759</v>
      </c>
      <c r="Q549" t="s">
        <v>345</v>
      </c>
      <c r="R549" t="s">
        <v>329</v>
      </c>
      <c r="S549" t="s">
        <v>323</v>
      </c>
      <c r="T549">
        <v>7.6</v>
      </c>
      <c r="W549" t="s">
        <v>330</v>
      </c>
      <c r="Y549" s="42">
        <v>43767</v>
      </c>
    </row>
    <row r="550" spans="1:25">
      <c r="N550" s="42">
        <v>43759</v>
      </c>
      <c r="O550" t="s">
        <v>345</v>
      </c>
      <c r="P550" s="42">
        <v>43759</v>
      </c>
      <c r="Q550" t="s">
        <v>345</v>
      </c>
      <c r="R550" t="s">
        <v>329</v>
      </c>
      <c r="S550" t="s">
        <v>323</v>
      </c>
      <c r="T550">
        <v>7.6</v>
      </c>
      <c r="W550" t="s">
        <v>339</v>
      </c>
      <c r="Y550" s="42">
        <v>43767</v>
      </c>
    </row>
    <row r="551" spans="1:25">
      <c r="N551" s="42">
        <v>43756</v>
      </c>
      <c r="O551" t="s">
        <v>346</v>
      </c>
      <c r="P551" s="42">
        <v>43756</v>
      </c>
      <c r="Q551" t="s">
        <v>346</v>
      </c>
      <c r="R551" t="s">
        <v>320</v>
      </c>
      <c r="S551" t="s">
        <v>323</v>
      </c>
      <c r="T551">
        <v>-7.6</v>
      </c>
      <c r="Y551" s="42">
        <v>44607</v>
      </c>
    </row>
    <row r="552" spans="1:25">
      <c r="N552" s="42">
        <v>43756</v>
      </c>
      <c r="O552" t="s">
        <v>346</v>
      </c>
      <c r="P552" s="42">
        <v>43756</v>
      </c>
      <c r="Q552" t="s">
        <v>346</v>
      </c>
      <c r="R552" t="s">
        <v>320</v>
      </c>
      <c r="S552" t="s">
        <v>323</v>
      </c>
      <c r="T552">
        <v>7.6</v>
      </c>
      <c r="Y552" s="42">
        <v>43767</v>
      </c>
    </row>
    <row r="553" spans="1:25">
      <c r="N553" s="42">
        <v>43756</v>
      </c>
      <c r="O553" t="s">
        <v>346</v>
      </c>
      <c r="P553" s="42">
        <v>43756</v>
      </c>
      <c r="Q553" t="s">
        <v>346</v>
      </c>
      <c r="R553" t="s">
        <v>320</v>
      </c>
      <c r="S553" t="s">
        <v>323</v>
      </c>
      <c r="T553">
        <v>7.6</v>
      </c>
      <c r="V553">
        <v>0</v>
      </c>
      <c r="Y553" s="42">
        <v>43767</v>
      </c>
    </row>
    <row r="554" spans="1:25">
      <c r="N554" s="42">
        <v>43726</v>
      </c>
      <c r="O554" t="s">
        <v>328</v>
      </c>
      <c r="P554" s="42">
        <v>43726</v>
      </c>
      <c r="Q554" t="s">
        <v>328</v>
      </c>
      <c r="R554" t="s">
        <v>320</v>
      </c>
      <c r="S554" t="s">
        <v>323</v>
      </c>
      <c r="T554">
        <v>7.6</v>
      </c>
      <c r="U554">
        <v>0</v>
      </c>
      <c r="V554">
        <v>0</v>
      </c>
      <c r="Y554" s="42">
        <v>43739</v>
      </c>
    </row>
    <row r="555" spans="1:25">
      <c r="N555" s="42">
        <v>43712</v>
      </c>
      <c r="O555" t="s">
        <v>328</v>
      </c>
      <c r="P555" s="42">
        <v>43725</v>
      </c>
      <c r="Q555" t="s">
        <v>333</v>
      </c>
      <c r="R555" t="s">
        <v>320</v>
      </c>
      <c r="S555" t="s">
        <v>323</v>
      </c>
      <c r="T555">
        <v>76</v>
      </c>
      <c r="Y555" s="42">
        <v>43725</v>
      </c>
    </row>
    <row r="556" spans="1:25">
      <c r="N556" s="42">
        <v>43710</v>
      </c>
      <c r="O556" t="s">
        <v>345</v>
      </c>
      <c r="P556" s="42">
        <v>43711</v>
      </c>
      <c r="Q556" t="s">
        <v>333</v>
      </c>
      <c r="R556" t="s">
        <v>320</v>
      </c>
      <c r="S556" t="s">
        <v>323</v>
      </c>
      <c r="T556">
        <v>15.2</v>
      </c>
      <c r="U556">
        <v>0</v>
      </c>
      <c r="V556">
        <v>0</v>
      </c>
      <c r="Y556" s="42">
        <v>43711</v>
      </c>
    </row>
    <row r="557" spans="1:25">
      <c r="N557" s="42">
        <v>43706</v>
      </c>
      <c r="O557" t="s">
        <v>324</v>
      </c>
      <c r="P557" s="42">
        <v>43707</v>
      </c>
      <c r="Q557" t="s">
        <v>346</v>
      </c>
      <c r="R557" t="s">
        <v>320</v>
      </c>
      <c r="S557" t="s">
        <v>323</v>
      </c>
      <c r="T557">
        <v>15.2</v>
      </c>
      <c r="V557">
        <v>0</v>
      </c>
      <c r="Y557" s="42">
        <v>43711</v>
      </c>
    </row>
    <row r="558" spans="1:25">
      <c r="A558">
        <v>134</v>
      </c>
      <c r="B558" t="s">
        <v>355</v>
      </c>
      <c r="C558" t="s">
        <v>320</v>
      </c>
      <c r="D558" t="s">
        <v>321</v>
      </c>
      <c r="E558" t="s">
        <v>322</v>
      </c>
      <c r="F558">
        <v>1</v>
      </c>
      <c r="G558" s="42">
        <v>45009</v>
      </c>
      <c r="H558">
        <v>76.923100000000005</v>
      </c>
      <c r="I558">
        <v>33.963299999999997</v>
      </c>
      <c r="J558">
        <v>76.923100000000005</v>
      </c>
      <c r="K558">
        <v>110.88639999999999</v>
      </c>
      <c r="L558" t="s">
        <v>323</v>
      </c>
      <c r="M558" s="43">
        <v>0.6743055555555556</v>
      </c>
      <c r="N558" s="42">
        <v>44952</v>
      </c>
      <c r="O558" t="s">
        <v>324</v>
      </c>
      <c r="P558" s="42">
        <v>44952</v>
      </c>
      <c r="Q558" t="s">
        <v>324</v>
      </c>
      <c r="R558" t="s">
        <v>320</v>
      </c>
      <c r="S558" t="s">
        <v>323</v>
      </c>
      <c r="U558">
        <v>5</v>
      </c>
    </row>
    <row r="559" spans="1:25">
      <c r="C559" t="s">
        <v>325</v>
      </c>
      <c r="D559" t="s">
        <v>349</v>
      </c>
      <c r="E559" t="s">
        <v>350</v>
      </c>
      <c r="F559">
        <v>2</v>
      </c>
      <c r="G559" s="42">
        <v>45009</v>
      </c>
      <c r="H559">
        <v>12.1127</v>
      </c>
      <c r="I559">
        <v>266.37040000000002</v>
      </c>
      <c r="J559">
        <v>12.1127</v>
      </c>
      <c r="K559">
        <v>278.48309999999998</v>
      </c>
      <c r="L559" t="s">
        <v>323</v>
      </c>
      <c r="N559" s="42">
        <v>44931</v>
      </c>
      <c r="O559" t="s">
        <v>324</v>
      </c>
      <c r="P559" s="42">
        <v>44931</v>
      </c>
      <c r="Q559" t="s">
        <v>324</v>
      </c>
      <c r="R559" t="s">
        <v>320</v>
      </c>
      <c r="S559" t="s">
        <v>323</v>
      </c>
      <c r="T559">
        <v>5</v>
      </c>
      <c r="Y559" s="42">
        <v>44943</v>
      </c>
    </row>
    <row r="560" spans="1:25">
      <c r="C560" t="s">
        <v>329</v>
      </c>
      <c r="D560" t="s">
        <v>331</v>
      </c>
      <c r="E560" t="s">
        <v>332</v>
      </c>
      <c r="F560">
        <v>1</v>
      </c>
      <c r="G560" s="42">
        <v>45009</v>
      </c>
      <c r="H560">
        <v>38.461500000000001</v>
      </c>
      <c r="I560">
        <v>79.7791</v>
      </c>
      <c r="J560">
        <v>38.461500000000001</v>
      </c>
      <c r="K560">
        <v>118.2406</v>
      </c>
      <c r="L560" t="s">
        <v>323</v>
      </c>
      <c r="N560" s="42">
        <v>44930</v>
      </c>
      <c r="O560" t="s">
        <v>328</v>
      </c>
      <c r="P560" s="42">
        <v>44930</v>
      </c>
      <c r="Q560" t="s">
        <v>328</v>
      </c>
      <c r="R560" t="s">
        <v>320</v>
      </c>
      <c r="S560" t="s">
        <v>323</v>
      </c>
      <c r="T560">
        <v>5</v>
      </c>
      <c r="Y560" s="42">
        <v>44943</v>
      </c>
    </row>
    <row r="561" spans="14:25">
      <c r="N561" s="42">
        <v>44929</v>
      </c>
      <c r="O561" t="s">
        <v>333</v>
      </c>
      <c r="P561" s="42">
        <v>44929</v>
      </c>
      <c r="Q561" t="s">
        <v>333</v>
      </c>
      <c r="R561" t="s">
        <v>320</v>
      </c>
      <c r="S561" t="s">
        <v>323</v>
      </c>
      <c r="T561">
        <v>5</v>
      </c>
      <c r="Y561" s="42">
        <v>44929</v>
      </c>
    </row>
    <row r="562" spans="14:25">
      <c r="N562" s="42">
        <v>44928</v>
      </c>
      <c r="O562" t="s">
        <v>345</v>
      </c>
      <c r="P562" s="42">
        <v>44928</v>
      </c>
      <c r="Q562" t="s">
        <v>345</v>
      </c>
      <c r="R562" t="s">
        <v>320</v>
      </c>
      <c r="S562" t="s">
        <v>323</v>
      </c>
      <c r="U562">
        <v>5</v>
      </c>
    </row>
    <row r="563" spans="14:25">
      <c r="N563" s="42">
        <v>44924</v>
      </c>
      <c r="O563" t="s">
        <v>324</v>
      </c>
      <c r="P563" s="42">
        <v>44924</v>
      </c>
      <c r="Q563" t="s">
        <v>324</v>
      </c>
      <c r="R563" t="s">
        <v>320</v>
      </c>
      <c r="S563" t="s">
        <v>323</v>
      </c>
      <c r="T563">
        <v>5</v>
      </c>
      <c r="Y563" s="42">
        <v>44929</v>
      </c>
    </row>
    <row r="564" spans="14:25">
      <c r="N564" s="42">
        <v>44923</v>
      </c>
      <c r="O564" t="s">
        <v>328</v>
      </c>
      <c r="P564" s="42">
        <v>44923</v>
      </c>
      <c r="Q564" t="s">
        <v>328</v>
      </c>
      <c r="R564" t="s">
        <v>320</v>
      </c>
      <c r="S564" t="s">
        <v>323</v>
      </c>
      <c r="T564">
        <v>5</v>
      </c>
      <c r="Y564" s="42">
        <v>44929</v>
      </c>
    </row>
    <row r="565" spans="14:25">
      <c r="N565" s="42">
        <v>44922</v>
      </c>
      <c r="O565" t="s">
        <v>333</v>
      </c>
      <c r="P565" s="42">
        <v>44922</v>
      </c>
      <c r="Q565" t="s">
        <v>333</v>
      </c>
      <c r="R565" t="s">
        <v>320</v>
      </c>
      <c r="S565" t="s">
        <v>323</v>
      </c>
      <c r="U565">
        <v>5</v>
      </c>
    </row>
    <row r="566" spans="14:25">
      <c r="N566" s="42">
        <v>44921</v>
      </c>
      <c r="O566" t="s">
        <v>345</v>
      </c>
      <c r="P566" s="42">
        <v>44921</v>
      </c>
      <c r="Q566" t="s">
        <v>345</v>
      </c>
      <c r="R566" t="s">
        <v>320</v>
      </c>
      <c r="S566" t="s">
        <v>323</v>
      </c>
      <c r="U566">
        <v>5</v>
      </c>
    </row>
    <row r="567" spans="14:25">
      <c r="N567" s="42">
        <v>44889</v>
      </c>
      <c r="O567" t="s">
        <v>324</v>
      </c>
      <c r="P567" s="42">
        <v>44889</v>
      </c>
      <c r="Q567" t="s">
        <v>324</v>
      </c>
      <c r="R567" t="s">
        <v>329</v>
      </c>
      <c r="S567" t="s">
        <v>323</v>
      </c>
      <c r="T567">
        <v>5</v>
      </c>
      <c r="W567" t="s">
        <v>330</v>
      </c>
      <c r="Y567" s="42">
        <v>44901</v>
      </c>
    </row>
    <row r="568" spans="14:25">
      <c r="N568" s="42">
        <v>44888</v>
      </c>
      <c r="O568" t="s">
        <v>328</v>
      </c>
      <c r="P568" s="42">
        <v>44888</v>
      </c>
      <c r="Q568" t="s">
        <v>328</v>
      </c>
      <c r="R568" t="s">
        <v>329</v>
      </c>
      <c r="S568" t="s">
        <v>323</v>
      </c>
      <c r="T568">
        <v>5</v>
      </c>
      <c r="W568" t="s">
        <v>330</v>
      </c>
      <c r="Y568" s="42">
        <v>44901</v>
      </c>
    </row>
    <row r="569" spans="14:25">
      <c r="N569" s="42">
        <v>44887</v>
      </c>
      <c r="O569" t="s">
        <v>333</v>
      </c>
      <c r="P569" s="42">
        <v>44887</v>
      </c>
      <c r="Q569" t="s">
        <v>333</v>
      </c>
      <c r="R569" t="s">
        <v>329</v>
      </c>
      <c r="S569" t="s">
        <v>323</v>
      </c>
      <c r="T569">
        <v>5</v>
      </c>
      <c r="W569" t="s">
        <v>330</v>
      </c>
      <c r="Y569" s="42">
        <v>44887</v>
      </c>
    </row>
    <row r="570" spans="14:25">
      <c r="N570" s="42">
        <v>44866</v>
      </c>
      <c r="O570" t="s">
        <v>333</v>
      </c>
      <c r="P570" s="42">
        <v>44866</v>
      </c>
      <c r="Q570" t="s">
        <v>333</v>
      </c>
      <c r="R570" t="s">
        <v>320</v>
      </c>
      <c r="S570" t="s">
        <v>323</v>
      </c>
      <c r="T570">
        <v>0</v>
      </c>
      <c r="U570">
        <v>4</v>
      </c>
    </row>
    <row r="571" spans="14:25">
      <c r="N571" s="42">
        <v>44858</v>
      </c>
      <c r="O571" t="s">
        <v>345</v>
      </c>
      <c r="P571" s="42">
        <v>44858</v>
      </c>
      <c r="Q571" t="s">
        <v>345</v>
      </c>
      <c r="R571" t="s">
        <v>329</v>
      </c>
      <c r="S571" t="s">
        <v>323</v>
      </c>
      <c r="T571">
        <v>5</v>
      </c>
      <c r="W571" t="s">
        <v>330</v>
      </c>
      <c r="Y571" s="42">
        <v>44859</v>
      </c>
    </row>
    <row r="572" spans="14:25">
      <c r="N572" s="42">
        <v>44844</v>
      </c>
      <c r="O572" t="s">
        <v>345</v>
      </c>
      <c r="P572" s="42">
        <v>44844</v>
      </c>
      <c r="Q572" t="s">
        <v>345</v>
      </c>
      <c r="R572" t="s">
        <v>329</v>
      </c>
      <c r="S572" t="s">
        <v>323</v>
      </c>
      <c r="T572">
        <v>5</v>
      </c>
      <c r="W572" t="s">
        <v>330</v>
      </c>
      <c r="Y572" s="42">
        <v>44845</v>
      </c>
    </row>
    <row r="573" spans="14:25">
      <c r="N573" s="42">
        <v>44826</v>
      </c>
      <c r="O573" t="s">
        <v>324</v>
      </c>
      <c r="P573" s="42">
        <v>44826</v>
      </c>
      <c r="Q573" t="s">
        <v>324</v>
      </c>
      <c r="R573" t="s">
        <v>320</v>
      </c>
      <c r="S573" t="s">
        <v>323</v>
      </c>
      <c r="T573">
        <v>0</v>
      </c>
      <c r="U573">
        <v>4</v>
      </c>
    </row>
    <row r="574" spans="14:25">
      <c r="N574" s="42">
        <v>44777</v>
      </c>
      <c r="O574" t="s">
        <v>324</v>
      </c>
      <c r="P574" s="42">
        <v>44777</v>
      </c>
      <c r="Q574" t="s">
        <v>324</v>
      </c>
      <c r="R574" t="s">
        <v>320</v>
      </c>
      <c r="S574" t="s">
        <v>323</v>
      </c>
      <c r="T574">
        <v>5</v>
      </c>
      <c r="Y574" s="42">
        <v>44789</v>
      </c>
    </row>
    <row r="575" spans="14:25">
      <c r="N575" s="42">
        <v>44776</v>
      </c>
      <c r="O575" t="s">
        <v>328</v>
      </c>
      <c r="P575" s="42">
        <v>44776</v>
      </c>
      <c r="Q575" t="s">
        <v>328</v>
      </c>
      <c r="R575" t="s">
        <v>320</v>
      </c>
      <c r="S575" t="s">
        <v>323</v>
      </c>
      <c r="T575">
        <v>5</v>
      </c>
      <c r="Y575" s="42">
        <v>44789</v>
      </c>
    </row>
    <row r="576" spans="14:25">
      <c r="N576" s="42">
        <v>44756</v>
      </c>
      <c r="O576" t="s">
        <v>324</v>
      </c>
      <c r="P576" s="42">
        <v>44756</v>
      </c>
      <c r="Q576" t="s">
        <v>324</v>
      </c>
      <c r="R576" t="s">
        <v>329</v>
      </c>
      <c r="S576" t="s">
        <v>323</v>
      </c>
      <c r="T576">
        <v>5</v>
      </c>
      <c r="W576" t="s">
        <v>330</v>
      </c>
      <c r="Y576" s="42">
        <v>44761</v>
      </c>
    </row>
    <row r="577" spans="14:25">
      <c r="N577" s="42">
        <v>44755</v>
      </c>
      <c r="O577" t="s">
        <v>328</v>
      </c>
      <c r="P577" s="42">
        <v>44755</v>
      </c>
      <c r="Q577" t="s">
        <v>328</v>
      </c>
      <c r="R577" t="s">
        <v>329</v>
      </c>
      <c r="S577" t="s">
        <v>323</v>
      </c>
      <c r="T577">
        <v>5</v>
      </c>
      <c r="W577" t="s">
        <v>330</v>
      </c>
      <c r="Y577" s="42">
        <v>44761</v>
      </c>
    </row>
    <row r="578" spans="14:25">
      <c r="N578" s="42">
        <v>44754</v>
      </c>
      <c r="O578" t="s">
        <v>333</v>
      </c>
      <c r="P578" s="42">
        <v>44754</v>
      </c>
      <c r="Q578" t="s">
        <v>333</v>
      </c>
      <c r="R578" t="s">
        <v>329</v>
      </c>
      <c r="S578" t="s">
        <v>323</v>
      </c>
      <c r="T578">
        <v>5</v>
      </c>
      <c r="W578" t="s">
        <v>330</v>
      </c>
      <c r="Y578" s="42">
        <v>44761</v>
      </c>
    </row>
    <row r="579" spans="14:25">
      <c r="N579" s="42">
        <v>44753</v>
      </c>
      <c r="O579" t="s">
        <v>345</v>
      </c>
      <c r="P579" s="42">
        <v>44753</v>
      </c>
      <c r="Q579" t="s">
        <v>345</v>
      </c>
      <c r="R579" t="s">
        <v>329</v>
      </c>
      <c r="S579" t="s">
        <v>323</v>
      </c>
      <c r="T579">
        <v>5</v>
      </c>
      <c r="W579" t="s">
        <v>330</v>
      </c>
      <c r="Y579" s="42">
        <v>44761</v>
      </c>
    </row>
    <row r="580" spans="14:25">
      <c r="N580" s="42">
        <v>44725</v>
      </c>
      <c r="O580" t="s">
        <v>345</v>
      </c>
      <c r="P580" s="42">
        <v>44725</v>
      </c>
      <c r="Q580" t="s">
        <v>345</v>
      </c>
      <c r="R580" t="s">
        <v>320</v>
      </c>
      <c r="S580" t="s">
        <v>323</v>
      </c>
      <c r="U580">
        <v>5</v>
      </c>
    </row>
    <row r="581" spans="14:25">
      <c r="N581" s="42">
        <v>44693</v>
      </c>
      <c r="O581" t="s">
        <v>324</v>
      </c>
      <c r="P581" s="42">
        <v>44693</v>
      </c>
      <c r="Q581" t="s">
        <v>324</v>
      </c>
      <c r="R581" t="s">
        <v>329</v>
      </c>
      <c r="S581" t="s">
        <v>323</v>
      </c>
      <c r="T581">
        <v>5</v>
      </c>
      <c r="W581" t="s">
        <v>330</v>
      </c>
      <c r="Y581" s="42">
        <v>44705</v>
      </c>
    </row>
    <row r="582" spans="14:25">
      <c r="N582" s="42">
        <v>44692</v>
      </c>
      <c r="O582" t="s">
        <v>328</v>
      </c>
      <c r="P582" s="42">
        <v>44692</v>
      </c>
      <c r="Q582" t="s">
        <v>328</v>
      </c>
      <c r="R582" t="s">
        <v>329</v>
      </c>
      <c r="S582" t="s">
        <v>323</v>
      </c>
      <c r="T582">
        <v>5</v>
      </c>
      <c r="W582" t="s">
        <v>330</v>
      </c>
      <c r="Y582" s="42">
        <v>44705</v>
      </c>
    </row>
    <row r="583" spans="14:25">
      <c r="N583" s="42">
        <v>44691</v>
      </c>
      <c r="O583" t="s">
        <v>333</v>
      </c>
      <c r="P583" s="42">
        <v>44691</v>
      </c>
      <c r="Q583" t="s">
        <v>333</v>
      </c>
      <c r="R583" t="s">
        <v>329</v>
      </c>
      <c r="S583" t="s">
        <v>323</v>
      </c>
      <c r="T583">
        <v>5</v>
      </c>
      <c r="W583" t="s">
        <v>330</v>
      </c>
      <c r="Y583" s="42">
        <v>44691</v>
      </c>
    </row>
    <row r="584" spans="14:25">
      <c r="N584" s="42">
        <v>44690</v>
      </c>
      <c r="O584" t="s">
        <v>345</v>
      </c>
      <c r="P584" s="42">
        <v>44690</v>
      </c>
      <c r="Q584" t="s">
        <v>345</v>
      </c>
      <c r="R584" t="s">
        <v>329</v>
      </c>
      <c r="S584" t="s">
        <v>323</v>
      </c>
      <c r="T584">
        <v>5</v>
      </c>
      <c r="W584" t="s">
        <v>330</v>
      </c>
      <c r="Y584" s="42">
        <v>44691</v>
      </c>
    </row>
    <row r="585" spans="14:25">
      <c r="N585" s="42">
        <v>44680</v>
      </c>
      <c r="O585" t="s">
        <v>346</v>
      </c>
      <c r="P585" s="42">
        <v>44680</v>
      </c>
      <c r="Q585" t="s">
        <v>346</v>
      </c>
      <c r="R585" t="s">
        <v>320</v>
      </c>
      <c r="S585" t="s">
        <v>323</v>
      </c>
      <c r="T585">
        <v>-10</v>
      </c>
      <c r="Y585" s="42">
        <v>44691</v>
      </c>
    </row>
    <row r="586" spans="14:25">
      <c r="N586" s="42">
        <v>44676</v>
      </c>
      <c r="O586" t="s">
        <v>345</v>
      </c>
      <c r="P586" s="42">
        <v>44676</v>
      </c>
      <c r="Q586" t="s">
        <v>345</v>
      </c>
      <c r="R586" t="s">
        <v>320</v>
      </c>
      <c r="S586" t="s">
        <v>323</v>
      </c>
      <c r="U586">
        <v>5</v>
      </c>
    </row>
    <row r="587" spans="14:25">
      <c r="N587" s="42">
        <v>44672</v>
      </c>
      <c r="O587" t="s">
        <v>324</v>
      </c>
      <c r="P587" s="42">
        <v>44672</v>
      </c>
      <c r="Q587" t="s">
        <v>324</v>
      </c>
      <c r="R587" t="s">
        <v>320</v>
      </c>
      <c r="S587" t="s">
        <v>323</v>
      </c>
      <c r="T587">
        <v>5</v>
      </c>
      <c r="Y587" s="42">
        <v>44677</v>
      </c>
    </row>
    <row r="588" spans="14:25">
      <c r="N588" s="42">
        <v>44671</v>
      </c>
      <c r="O588" t="s">
        <v>328</v>
      </c>
      <c r="P588" s="42">
        <v>44671</v>
      </c>
      <c r="Q588" t="s">
        <v>328</v>
      </c>
      <c r="R588" t="s">
        <v>320</v>
      </c>
      <c r="S588" t="s">
        <v>323</v>
      </c>
      <c r="T588">
        <v>5</v>
      </c>
      <c r="Y588" s="42">
        <v>44677</v>
      </c>
    </row>
    <row r="589" spans="14:25">
      <c r="N589" s="42">
        <v>44670</v>
      </c>
      <c r="O589" t="s">
        <v>333</v>
      </c>
      <c r="P589" s="42">
        <v>44670</v>
      </c>
      <c r="Q589" t="s">
        <v>333</v>
      </c>
      <c r="R589" t="s">
        <v>320</v>
      </c>
      <c r="S589" t="s">
        <v>323</v>
      </c>
      <c r="T589">
        <v>5</v>
      </c>
      <c r="Y589" s="42">
        <v>44677</v>
      </c>
    </row>
    <row r="590" spans="14:25">
      <c r="N590" s="42">
        <v>44669</v>
      </c>
      <c r="O590" t="s">
        <v>345</v>
      </c>
      <c r="P590" s="42">
        <v>44669</v>
      </c>
      <c r="Q590" t="s">
        <v>345</v>
      </c>
      <c r="R590" t="s">
        <v>320</v>
      </c>
      <c r="S590" t="s">
        <v>323</v>
      </c>
      <c r="U590">
        <v>5</v>
      </c>
    </row>
    <row r="591" spans="14:25">
      <c r="N591" s="42">
        <v>44642</v>
      </c>
      <c r="O591" t="s">
        <v>333</v>
      </c>
      <c r="P591" s="42">
        <v>44642</v>
      </c>
      <c r="Q591" t="s">
        <v>333</v>
      </c>
      <c r="R591" t="s">
        <v>329</v>
      </c>
      <c r="S591" t="s">
        <v>323</v>
      </c>
      <c r="T591">
        <v>5</v>
      </c>
      <c r="W591" t="s">
        <v>330</v>
      </c>
      <c r="Y591" s="42">
        <v>44649</v>
      </c>
    </row>
    <row r="592" spans="14:25">
      <c r="N592" s="42">
        <v>44634</v>
      </c>
      <c r="O592" t="s">
        <v>345</v>
      </c>
      <c r="P592" s="42">
        <v>44634</v>
      </c>
      <c r="Q592" t="s">
        <v>345</v>
      </c>
      <c r="R592" t="s">
        <v>320</v>
      </c>
      <c r="S592" t="s">
        <v>323</v>
      </c>
      <c r="U592">
        <v>5</v>
      </c>
    </row>
    <row r="593" spans="14:25">
      <c r="N593" s="42">
        <v>44592</v>
      </c>
      <c r="O593" t="s">
        <v>345</v>
      </c>
      <c r="P593" s="42">
        <v>44592</v>
      </c>
      <c r="Q593" t="s">
        <v>345</v>
      </c>
      <c r="R593" t="s">
        <v>320</v>
      </c>
      <c r="S593" t="s">
        <v>323</v>
      </c>
      <c r="T593">
        <v>5</v>
      </c>
      <c r="Y593" s="42">
        <v>44593</v>
      </c>
    </row>
    <row r="594" spans="14:25">
      <c r="N594" s="42">
        <v>44588</v>
      </c>
      <c r="O594" t="s">
        <v>324</v>
      </c>
      <c r="P594" s="42">
        <v>44588</v>
      </c>
      <c r="Q594" t="s">
        <v>324</v>
      </c>
      <c r="R594" t="s">
        <v>320</v>
      </c>
      <c r="S594" t="s">
        <v>323</v>
      </c>
      <c r="T594">
        <v>5</v>
      </c>
      <c r="Y594" s="42">
        <v>44593</v>
      </c>
    </row>
    <row r="595" spans="14:25">
      <c r="N595" s="42">
        <v>44587</v>
      </c>
      <c r="O595" t="s">
        <v>328</v>
      </c>
      <c r="P595" s="42">
        <v>44587</v>
      </c>
      <c r="Q595" t="s">
        <v>328</v>
      </c>
      <c r="R595" t="s">
        <v>320</v>
      </c>
      <c r="S595" t="s">
        <v>323</v>
      </c>
      <c r="U595">
        <v>5</v>
      </c>
    </row>
    <row r="596" spans="14:25">
      <c r="N596" s="42">
        <v>44567</v>
      </c>
      <c r="O596" t="s">
        <v>324</v>
      </c>
      <c r="P596" s="42">
        <v>44567</v>
      </c>
      <c r="Q596" t="s">
        <v>324</v>
      </c>
      <c r="R596" t="s">
        <v>320</v>
      </c>
      <c r="S596" t="s">
        <v>323</v>
      </c>
      <c r="T596">
        <v>5</v>
      </c>
      <c r="Y596" s="42">
        <v>44579</v>
      </c>
    </row>
    <row r="597" spans="14:25">
      <c r="N597" s="42">
        <v>44566</v>
      </c>
      <c r="O597" t="s">
        <v>328</v>
      </c>
      <c r="P597" s="42">
        <v>44566</v>
      </c>
      <c r="Q597" t="s">
        <v>328</v>
      </c>
      <c r="R597" t="s">
        <v>320</v>
      </c>
      <c r="S597" t="s">
        <v>323</v>
      </c>
      <c r="T597">
        <v>5</v>
      </c>
      <c r="Y597" s="42">
        <v>44579</v>
      </c>
    </row>
    <row r="598" spans="14:25">
      <c r="N598" s="42">
        <v>44565</v>
      </c>
      <c r="O598" t="s">
        <v>333</v>
      </c>
      <c r="P598" s="42">
        <v>44565</v>
      </c>
      <c r="Q598" t="s">
        <v>333</v>
      </c>
      <c r="R598" t="s">
        <v>320</v>
      </c>
      <c r="S598" t="s">
        <v>323</v>
      </c>
      <c r="T598">
        <v>5</v>
      </c>
      <c r="Y598" s="42">
        <v>44565</v>
      </c>
    </row>
    <row r="599" spans="14:25">
      <c r="N599" s="42">
        <v>44564</v>
      </c>
      <c r="O599" t="s">
        <v>345</v>
      </c>
      <c r="P599" s="42">
        <v>44564</v>
      </c>
      <c r="Q599" t="s">
        <v>345</v>
      </c>
      <c r="R599" t="s">
        <v>320</v>
      </c>
      <c r="S599" t="s">
        <v>323</v>
      </c>
      <c r="U599">
        <v>5</v>
      </c>
    </row>
    <row r="600" spans="14:25">
      <c r="N600" s="42">
        <v>44560</v>
      </c>
      <c r="O600" t="s">
        <v>324</v>
      </c>
      <c r="P600" s="42">
        <v>44560</v>
      </c>
      <c r="Q600" t="s">
        <v>324</v>
      </c>
      <c r="R600" t="s">
        <v>320</v>
      </c>
      <c r="S600" t="s">
        <v>323</v>
      </c>
      <c r="T600">
        <v>5</v>
      </c>
      <c r="Y600" s="42">
        <v>44565</v>
      </c>
    </row>
    <row r="601" spans="14:25">
      <c r="N601" s="42">
        <v>44559</v>
      </c>
      <c r="O601" t="s">
        <v>328</v>
      </c>
      <c r="P601" s="42">
        <v>44559</v>
      </c>
      <c r="Q601" t="s">
        <v>328</v>
      </c>
      <c r="R601" t="s">
        <v>320</v>
      </c>
      <c r="S601" t="s">
        <v>323</v>
      </c>
      <c r="T601">
        <v>5</v>
      </c>
      <c r="Y601" s="42">
        <v>44565</v>
      </c>
    </row>
    <row r="602" spans="14:25">
      <c r="N602" s="42">
        <v>44558</v>
      </c>
      <c r="O602" t="s">
        <v>333</v>
      </c>
      <c r="P602" s="42">
        <v>44558</v>
      </c>
      <c r="Q602" t="s">
        <v>333</v>
      </c>
      <c r="R602" t="s">
        <v>320</v>
      </c>
      <c r="S602" t="s">
        <v>323</v>
      </c>
      <c r="U602">
        <v>5</v>
      </c>
    </row>
    <row r="603" spans="14:25">
      <c r="N603" s="42">
        <v>44557</v>
      </c>
      <c r="O603" t="s">
        <v>345</v>
      </c>
      <c r="P603" s="42">
        <v>44557</v>
      </c>
      <c r="Q603" t="s">
        <v>345</v>
      </c>
      <c r="R603" t="s">
        <v>320</v>
      </c>
      <c r="S603" t="s">
        <v>323</v>
      </c>
      <c r="U603">
        <v>5</v>
      </c>
    </row>
    <row r="604" spans="14:25">
      <c r="N604" s="42">
        <v>44544</v>
      </c>
      <c r="O604" t="s">
        <v>333</v>
      </c>
      <c r="P604" s="42">
        <v>44544</v>
      </c>
      <c r="Q604" t="s">
        <v>333</v>
      </c>
      <c r="R604" t="s">
        <v>329</v>
      </c>
      <c r="S604" t="s">
        <v>323</v>
      </c>
      <c r="T604">
        <v>5</v>
      </c>
      <c r="W604" t="s">
        <v>330</v>
      </c>
      <c r="Y604" s="42">
        <v>44551</v>
      </c>
    </row>
    <row r="605" spans="14:25">
      <c r="N605" s="42">
        <v>44515</v>
      </c>
      <c r="O605" t="s">
        <v>345</v>
      </c>
      <c r="P605" s="42">
        <v>44515</v>
      </c>
      <c r="Q605" t="s">
        <v>345</v>
      </c>
      <c r="R605" t="s">
        <v>320</v>
      </c>
      <c r="S605" t="s">
        <v>323</v>
      </c>
      <c r="T605">
        <v>5</v>
      </c>
      <c r="Y605" s="42">
        <v>44523</v>
      </c>
    </row>
    <row r="606" spans="14:25">
      <c r="N606" s="42">
        <v>44511</v>
      </c>
      <c r="O606" t="s">
        <v>324</v>
      </c>
      <c r="P606" s="42">
        <v>44511</v>
      </c>
      <c r="Q606" t="s">
        <v>324</v>
      </c>
      <c r="R606" t="s">
        <v>320</v>
      </c>
      <c r="S606" t="s">
        <v>323</v>
      </c>
      <c r="T606">
        <v>5</v>
      </c>
      <c r="Y606" s="42">
        <v>44523</v>
      </c>
    </row>
    <row r="607" spans="14:25">
      <c r="N607" s="42">
        <v>44510</v>
      </c>
      <c r="O607" t="s">
        <v>328</v>
      </c>
      <c r="P607" s="42">
        <v>44510</v>
      </c>
      <c r="Q607" t="s">
        <v>328</v>
      </c>
      <c r="R607" t="s">
        <v>320</v>
      </c>
      <c r="S607" t="s">
        <v>323</v>
      </c>
      <c r="T607">
        <v>5</v>
      </c>
      <c r="Y607" s="42">
        <v>44523</v>
      </c>
    </row>
    <row r="608" spans="14:25">
      <c r="N608" s="42">
        <v>44509</v>
      </c>
      <c r="O608" t="s">
        <v>333</v>
      </c>
      <c r="P608" s="42">
        <v>44509</v>
      </c>
      <c r="Q608" t="s">
        <v>333</v>
      </c>
      <c r="R608" t="s">
        <v>320</v>
      </c>
      <c r="S608" t="s">
        <v>323</v>
      </c>
      <c r="T608">
        <v>5</v>
      </c>
      <c r="Y608" s="42">
        <v>44509</v>
      </c>
    </row>
    <row r="609" spans="14:25">
      <c r="N609" s="42">
        <v>44508</v>
      </c>
      <c r="O609" t="s">
        <v>345</v>
      </c>
      <c r="P609" s="42">
        <v>44508</v>
      </c>
      <c r="Q609" t="s">
        <v>345</v>
      </c>
      <c r="R609" t="s">
        <v>320</v>
      </c>
      <c r="S609" t="s">
        <v>323</v>
      </c>
      <c r="T609">
        <v>5</v>
      </c>
      <c r="Y609" s="42">
        <v>44509</v>
      </c>
    </row>
    <row r="610" spans="14:25">
      <c r="N610" s="42">
        <v>44502</v>
      </c>
      <c r="O610" t="s">
        <v>333</v>
      </c>
      <c r="P610" s="42">
        <v>44502</v>
      </c>
      <c r="Q610" t="s">
        <v>333</v>
      </c>
      <c r="R610" t="s">
        <v>320</v>
      </c>
      <c r="S610" t="s">
        <v>323</v>
      </c>
      <c r="U610">
        <v>5</v>
      </c>
    </row>
    <row r="611" spans="14:25">
      <c r="N611" s="42">
        <v>44462</v>
      </c>
      <c r="O611" t="s">
        <v>324</v>
      </c>
      <c r="P611" s="42">
        <v>44462</v>
      </c>
      <c r="Q611" t="s">
        <v>324</v>
      </c>
      <c r="R611" t="s">
        <v>329</v>
      </c>
      <c r="S611" t="s">
        <v>323</v>
      </c>
      <c r="T611">
        <v>5</v>
      </c>
      <c r="W611" t="s">
        <v>330</v>
      </c>
      <c r="Y611" s="42">
        <v>44467</v>
      </c>
    </row>
    <row r="612" spans="14:25">
      <c r="N612" s="42">
        <v>44460</v>
      </c>
      <c r="O612" t="s">
        <v>333</v>
      </c>
      <c r="P612" s="42">
        <v>44460</v>
      </c>
      <c r="Q612" t="s">
        <v>333</v>
      </c>
      <c r="R612" t="s">
        <v>329</v>
      </c>
      <c r="S612" t="s">
        <v>323</v>
      </c>
      <c r="T612">
        <v>5</v>
      </c>
      <c r="W612" t="s">
        <v>330</v>
      </c>
      <c r="Y612" s="42">
        <v>44467</v>
      </c>
    </row>
    <row r="613" spans="14:25">
      <c r="N613" s="42">
        <v>44452</v>
      </c>
      <c r="O613" t="s">
        <v>345</v>
      </c>
      <c r="P613" s="42">
        <v>44452</v>
      </c>
      <c r="Q613" t="s">
        <v>345</v>
      </c>
      <c r="R613" t="s">
        <v>334</v>
      </c>
      <c r="S613" t="s">
        <v>323</v>
      </c>
      <c r="T613">
        <v>5</v>
      </c>
      <c r="W613" t="s">
        <v>330</v>
      </c>
      <c r="Y613" s="42">
        <v>44453</v>
      </c>
    </row>
    <row r="614" spans="14:25">
      <c r="N614" s="42">
        <v>44448</v>
      </c>
      <c r="O614" t="s">
        <v>324</v>
      </c>
      <c r="P614" s="42">
        <v>44448</v>
      </c>
      <c r="Q614" t="s">
        <v>324</v>
      </c>
      <c r="R614" t="s">
        <v>334</v>
      </c>
      <c r="S614" t="s">
        <v>323</v>
      </c>
      <c r="T614">
        <v>5</v>
      </c>
      <c r="W614" t="s">
        <v>330</v>
      </c>
      <c r="Y614" s="42">
        <v>44453</v>
      </c>
    </row>
    <row r="615" spans="14:25">
      <c r="N615" s="42">
        <v>44447</v>
      </c>
      <c r="O615" t="s">
        <v>328</v>
      </c>
      <c r="P615" s="42">
        <v>44447</v>
      </c>
      <c r="Q615" t="s">
        <v>328</v>
      </c>
      <c r="R615" t="s">
        <v>334</v>
      </c>
      <c r="S615" t="s">
        <v>323</v>
      </c>
      <c r="T615">
        <v>5</v>
      </c>
      <c r="W615" t="s">
        <v>330</v>
      </c>
      <c r="Y615" s="42">
        <v>44453</v>
      </c>
    </row>
    <row r="616" spans="14:25">
      <c r="N616" s="42">
        <v>44361</v>
      </c>
      <c r="O616" t="s">
        <v>345</v>
      </c>
      <c r="P616" s="42">
        <v>44361</v>
      </c>
      <c r="Q616" t="s">
        <v>345</v>
      </c>
      <c r="R616" t="s">
        <v>320</v>
      </c>
      <c r="S616" t="s">
        <v>323</v>
      </c>
      <c r="U616">
        <v>5</v>
      </c>
    </row>
    <row r="617" spans="14:25">
      <c r="N617" s="42">
        <v>44292</v>
      </c>
      <c r="O617" t="s">
        <v>333</v>
      </c>
      <c r="P617" s="42">
        <v>44292</v>
      </c>
      <c r="Q617" t="s">
        <v>333</v>
      </c>
      <c r="R617" t="s">
        <v>320</v>
      </c>
      <c r="S617" t="s">
        <v>323</v>
      </c>
      <c r="T617">
        <v>5</v>
      </c>
      <c r="Y617" s="42">
        <v>44299</v>
      </c>
    </row>
    <row r="618" spans="14:25">
      <c r="N618" s="42">
        <v>44291</v>
      </c>
      <c r="O618" t="s">
        <v>345</v>
      </c>
      <c r="P618" s="42">
        <v>44291</v>
      </c>
      <c r="Q618" t="s">
        <v>345</v>
      </c>
      <c r="R618" t="s">
        <v>320</v>
      </c>
      <c r="S618" t="s">
        <v>323</v>
      </c>
      <c r="U618">
        <v>5</v>
      </c>
    </row>
    <row r="619" spans="14:25">
      <c r="N619" s="42">
        <v>44287</v>
      </c>
      <c r="O619" t="s">
        <v>324</v>
      </c>
      <c r="P619" s="42">
        <v>44287</v>
      </c>
      <c r="Q619" t="s">
        <v>324</v>
      </c>
      <c r="R619" t="s">
        <v>320</v>
      </c>
      <c r="S619" t="s">
        <v>323</v>
      </c>
      <c r="T619">
        <v>5</v>
      </c>
      <c r="Y619" s="42">
        <v>44299</v>
      </c>
    </row>
    <row r="620" spans="14:25">
      <c r="N620" s="42">
        <v>44286</v>
      </c>
      <c r="O620" t="s">
        <v>328</v>
      </c>
      <c r="P620" s="42">
        <v>44286</v>
      </c>
      <c r="Q620" t="s">
        <v>328</v>
      </c>
      <c r="R620" t="s">
        <v>320</v>
      </c>
      <c r="S620" t="s">
        <v>323</v>
      </c>
      <c r="T620">
        <v>5</v>
      </c>
      <c r="Y620" s="42">
        <v>44299</v>
      </c>
    </row>
    <row r="621" spans="14:25">
      <c r="N621" s="42">
        <v>44285</v>
      </c>
      <c r="O621" t="s">
        <v>333</v>
      </c>
      <c r="P621" s="42">
        <v>44285</v>
      </c>
      <c r="Q621" t="s">
        <v>333</v>
      </c>
      <c r="R621" t="s">
        <v>320</v>
      </c>
      <c r="S621" t="s">
        <v>323</v>
      </c>
      <c r="T621">
        <v>5</v>
      </c>
      <c r="Y621" s="42">
        <v>44285</v>
      </c>
    </row>
    <row r="622" spans="14:25">
      <c r="N622" s="42">
        <v>44284</v>
      </c>
      <c r="O622" t="s">
        <v>345</v>
      </c>
      <c r="P622" s="42">
        <v>44284</v>
      </c>
      <c r="Q622" t="s">
        <v>345</v>
      </c>
      <c r="R622" t="s">
        <v>320</v>
      </c>
      <c r="S622" t="s">
        <v>323</v>
      </c>
      <c r="T622">
        <v>5</v>
      </c>
      <c r="Y622" s="42">
        <v>44285</v>
      </c>
    </row>
    <row r="623" spans="14:25">
      <c r="N623" s="42">
        <v>44263</v>
      </c>
      <c r="O623" t="s">
        <v>345</v>
      </c>
      <c r="P623" s="42">
        <v>44263</v>
      </c>
      <c r="Q623" t="s">
        <v>345</v>
      </c>
      <c r="R623" t="s">
        <v>320</v>
      </c>
      <c r="S623" t="s">
        <v>323</v>
      </c>
      <c r="U623">
        <v>5</v>
      </c>
    </row>
    <row r="624" spans="14:25">
      <c r="N624" s="42">
        <v>44222</v>
      </c>
      <c r="O624" t="s">
        <v>333</v>
      </c>
      <c r="P624" s="42">
        <v>44222</v>
      </c>
      <c r="Q624" t="s">
        <v>333</v>
      </c>
      <c r="R624" t="s">
        <v>320</v>
      </c>
      <c r="S624" t="s">
        <v>323</v>
      </c>
      <c r="U624">
        <v>5</v>
      </c>
    </row>
    <row r="625" spans="14:25">
      <c r="N625" s="42">
        <v>44203</v>
      </c>
      <c r="O625" t="s">
        <v>324</v>
      </c>
      <c r="P625" s="42">
        <v>44203</v>
      </c>
      <c r="Q625" t="s">
        <v>324</v>
      </c>
      <c r="R625" t="s">
        <v>320</v>
      </c>
      <c r="S625" t="s">
        <v>323</v>
      </c>
      <c r="T625">
        <v>5</v>
      </c>
      <c r="Y625" s="42">
        <v>44215</v>
      </c>
    </row>
    <row r="626" spans="14:25">
      <c r="N626" s="42">
        <v>44202</v>
      </c>
      <c r="O626" t="s">
        <v>328</v>
      </c>
      <c r="P626" s="42">
        <v>44202</v>
      </c>
      <c r="Q626" t="s">
        <v>328</v>
      </c>
      <c r="R626" t="s">
        <v>320</v>
      </c>
      <c r="S626" t="s">
        <v>323</v>
      </c>
      <c r="T626">
        <v>5</v>
      </c>
      <c r="Y626" s="42">
        <v>44215</v>
      </c>
    </row>
    <row r="627" spans="14:25">
      <c r="N627" s="42">
        <v>44201</v>
      </c>
      <c r="O627" t="s">
        <v>333</v>
      </c>
      <c r="P627" s="42">
        <v>44201</v>
      </c>
      <c r="Q627" t="s">
        <v>333</v>
      </c>
      <c r="R627" t="s">
        <v>320</v>
      </c>
      <c r="S627" t="s">
        <v>323</v>
      </c>
      <c r="T627">
        <v>5</v>
      </c>
      <c r="Y627" s="42">
        <v>44201</v>
      </c>
    </row>
    <row r="628" spans="14:25">
      <c r="N628" s="42">
        <v>44200</v>
      </c>
      <c r="O628" t="s">
        <v>345</v>
      </c>
      <c r="P628" s="42">
        <v>44200</v>
      </c>
      <c r="Q628" t="s">
        <v>345</v>
      </c>
      <c r="R628" t="s">
        <v>320</v>
      </c>
      <c r="S628" t="s">
        <v>323</v>
      </c>
      <c r="T628">
        <v>5</v>
      </c>
      <c r="Y628" s="42">
        <v>44201</v>
      </c>
    </row>
    <row r="629" spans="14:25">
      <c r="N629" s="42">
        <v>44196</v>
      </c>
      <c r="O629" t="s">
        <v>324</v>
      </c>
      <c r="P629" s="42">
        <v>44196</v>
      </c>
      <c r="Q629" t="s">
        <v>324</v>
      </c>
      <c r="R629" t="s">
        <v>320</v>
      </c>
      <c r="S629" t="s">
        <v>323</v>
      </c>
      <c r="T629">
        <v>5</v>
      </c>
      <c r="Y629" s="42">
        <v>44201</v>
      </c>
    </row>
    <row r="630" spans="14:25">
      <c r="N630" s="42">
        <v>44195</v>
      </c>
      <c r="O630" t="s">
        <v>328</v>
      </c>
      <c r="P630" s="42">
        <v>44195</v>
      </c>
      <c r="Q630" t="s">
        <v>328</v>
      </c>
      <c r="R630" t="s">
        <v>320</v>
      </c>
      <c r="S630" t="s">
        <v>323</v>
      </c>
      <c r="T630">
        <v>5</v>
      </c>
      <c r="Y630" s="42">
        <v>44201</v>
      </c>
    </row>
    <row r="631" spans="14:25">
      <c r="N631" s="42">
        <v>44194</v>
      </c>
      <c r="O631" t="s">
        <v>333</v>
      </c>
      <c r="P631" s="42">
        <v>44194</v>
      </c>
      <c r="Q631" t="s">
        <v>333</v>
      </c>
      <c r="R631" t="s">
        <v>320</v>
      </c>
      <c r="S631" t="s">
        <v>323</v>
      </c>
      <c r="T631">
        <v>5</v>
      </c>
      <c r="Y631" s="42">
        <v>44201</v>
      </c>
    </row>
    <row r="632" spans="14:25">
      <c r="N632" s="42">
        <v>44193</v>
      </c>
      <c r="O632" t="s">
        <v>345</v>
      </c>
      <c r="P632" s="42">
        <v>44193</v>
      </c>
      <c r="Q632" t="s">
        <v>345</v>
      </c>
      <c r="R632" t="s">
        <v>320</v>
      </c>
      <c r="S632" t="s">
        <v>323</v>
      </c>
      <c r="U632">
        <v>5</v>
      </c>
    </row>
    <row r="633" spans="14:25">
      <c r="N633" s="42">
        <v>44189</v>
      </c>
      <c r="O633" t="s">
        <v>324</v>
      </c>
      <c r="P633" s="42">
        <v>44189</v>
      </c>
      <c r="Q633" t="s">
        <v>324</v>
      </c>
      <c r="R633" t="s">
        <v>320</v>
      </c>
      <c r="S633" t="s">
        <v>323</v>
      </c>
      <c r="T633">
        <v>5</v>
      </c>
      <c r="Y633" s="42">
        <v>44201</v>
      </c>
    </row>
    <row r="634" spans="14:25">
      <c r="N634" s="42">
        <v>44188</v>
      </c>
      <c r="O634" t="s">
        <v>328</v>
      </c>
      <c r="P634" s="42">
        <v>44188</v>
      </c>
      <c r="Q634" t="s">
        <v>328</v>
      </c>
      <c r="R634" t="s">
        <v>320</v>
      </c>
      <c r="S634" t="s">
        <v>323</v>
      </c>
      <c r="T634">
        <v>5</v>
      </c>
      <c r="Y634" s="42">
        <v>44201</v>
      </c>
    </row>
    <row r="635" spans="14:25">
      <c r="N635" s="42">
        <v>44138</v>
      </c>
      <c r="O635" t="s">
        <v>333</v>
      </c>
      <c r="P635" s="42">
        <v>44138</v>
      </c>
      <c r="Q635" t="s">
        <v>333</v>
      </c>
      <c r="R635" t="s">
        <v>320</v>
      </c>
      <c r="S635" t="s">
        <v>323</v>
      </c>
      <c r="U635">
        <v>5</v>
      </c>
    </row>
    <row r="636" spans="14:25">
      <c r="N636" s="42">
        <v>44040</v>
      </c>
      <c r="O636" t="s">
        <v>333</v>
      </c>
      <c r="P636" s="42">
        <v>44040</v>
      </c>
      <c r="Q636" t="s">
        <v>333</v>
      </c>
      <c r="R636" t="s">
        <v>329</v>
      </c>
      <c r="S636" t="s">
        <v>323</v>
      </c>
      <c r="T636">
        <v>5</v>
      </c>
      <c r="W636" t="s">
        <v>330</v>
      </c>
      <c r="Y636" s="42">
        <v>44047</v>
      </c>
    </row>
    <row r="637" spans="14:25">
      <c r="N637" s="42">
        <v>43866</v>
      </c>
      <c r="O637" t="s">
        <v>328</v>
      </c>
      <c r="P637" s="42">
        <v>43866</v>
      </c>
      <c r="Q637" t="s">
        <v>328</v>
      </c>
      <c r="R637" t="s">
        <v>329</v>
      </c>
      <c r="S637" t="s">
        <v>323</v>
      </c>
      <c r="T637">
        <v>5</v>
      </c>
      <c r="W637" t="s">
        <v>330</v>
      </c>
      <c r="Y637" s="42">
        <v>43879</v>
      </c>
    </row>
    <row r="638" spans="14:25">
      <c r="N638" s="42">
        <v>43860</v>
      </c>
      <c r="O638" t="s">
        <v>324</v>
      </c>
      <c r="P638" s="42">
        <v>43860</v>
      </c>
      <c r="Q638" t="s">
        <v>324</v>
      </c>
      <c r="R638" t="s">
        <v>320</v>
      </c>
      <c r="S638" t="s">
        <v>323</v>
      </c>
      <c r="T638">
        <v>5</v>
      </c>
      <c r="Y638" s="42">
        <v>43865</v>
      </c>
    </row>
    <row r="639" spans="14:25">
      <c r="N639" s="42">
        <v>43859</v>
      </c>
      <c r="O639" t="s">
        <v>328</v>
      </c>
      <c r="P639" s="42">
        <v>43859</v>
      </c>
      <c r="Q639" t="s">
        <v>328</v>
      </c>
      <c r="R639" t="s">
        <v>320</v>
      </c>
      <c r="S639" t="s">
        <v>323</v>
      </c>
      <c r="T639">
        <v>5</v>
      </c>
      <c r="Y639" s="42">
        <v>43865</v>
      </c>
    </row>
    <row r="640" spans="14:25">
      <c r="N640" s="42">
        <v>43858</v>
      </c>
      <c r="O640" t="s">
        <v>333</v>
      </c>
      <c r="P640" s="42">
        <v>43858</v>
      </c>
      <c r="Q640" t="s">
        <v>333</v>
      </c>
      <c r="R640" t="s">
        <v>320</v>
      </c>
      <c r="S640" t="s">
        <v>323</v>
      </c>
      <c r="T640">
        <v>5</v>
      </c>
      <c r="Y640" s="42">
        <v>43865</v>
      </c>
    </row>
    <row r="641" spans="1:25">
      <c r="N641" s="42">
        <v>43853</v>
      </c>
      <c r="O641" t="s">
        <v>324</v>
      </c>
      <c r="P641" s="42">
        <v>43853</v>
      </c>
      <c r="Q641" t="s">
        <v>324</v>
      </c>
      <c r="R641" t="s">
        <v>320</v>
      </c>
      <c r="S641" t="s">
        <v>323</v>
      </c>
      <c r="T641">
        <v>5</v>
      </c>
      <c r="Y641" s="42">
        <v>43865</v>
      </c>
    </row>
    <row r="642" spans="1:25">
      <c r="N642" s="42">
        <v>43852</v>
      </c>
      <c r="O642" t="s">
        <v>328</v>
      </c>
      <c r="P642" s="42">
        <v>43852</v>
      </c>
      <c r="Q642" t="s">
        <v>328</v>
      </c>
      <c r="R642" t="s">
        <v>320</v>
      </c>
      <c r="S642" t="s">
        <v>323</v>
      </c>
      <c r="T642">
        <v>5</v>
      </c>
      <c r="Y642" s="42">
        <v>43865</v>
      </c>
    </row>
    <row r="643" spans="1:25">
      <c r="N643" s="42">
        <v>43851</v>
      </c>
      <c r="O643" t="s">
        <v>333</v>
      </c>
      <c r="P643" s="42">
        <v>43851</v>
      </c>
      <c r="Q643" t="s">
        <v>333</v>
      </c>
      <c r="R643" t="s">
        <v>320</v>
      </c>
      <c r="S643" t="s">
        <v>323</v>
      </c>
      <c r="T643">
        <v>5</v>
      </c>
      <c r="Y643" s="42">
        <v>43851</v>
      </c>
    </row>
    <row r="644" spans="1:25">
      <c r="N644" s="42">
        <v>43850</v>
      </c>
      <c r="O644" t="s">
        <v>345</v>
      </c>
      <c r="P644" s="42">
        <v>43850</v>
      </c>
      <c r="Q644" t="s">
        <v>345</v>
      </c>
      <c r="R644" t="s">
        <v>320</v>
      </c>
      <c r="S644" t="s">
        <v>323</v>
      </c>
      <c r="T644">
        <v>5</v>
      </c>
      <c r="Y644" s="42">
        <v>43851</v>
      </c>
    </row>
    <row r="645" spans="1:25">
      <c r="N645" s="42">
        <v>43832</v>
      </c>
      <c r="O645" t="s">
        <v>324</v>
      </c>
      <c r="P645" s="42">
        <v>43832</v>
      </c>
      <c r="Q645" t="s">
        <v>324</v>
      </c>
      <c r="R645" t="s">
        <v>320</v>
      </c>
      <c r="S645" t="s">
        <v>323</v>
      </c>
      <c r="T645">
        <v>5</v>
      </c>
      <c r="Y645" s="42">
        <v>43837</v>
      </c>
    </row>
    <row r="646" spans="1:25">
      <c r="N646" s="42">
        <v>43830</v>
      </c>
      <c r="O646" t="s">
        <v>333</v>
      </c>
      <c r="P646" s="42">
        <v>43830</v>
      </c>
      <c r="Q646" t="s">
        <v>333</v>
      </c>
      <c r="R646" t="s">
        <v>320</v>
      </c>
      <c r="S646" t="s">
        <v>323</v>
      </c>
      <c r="T646">
        <v>5</v>
      </c>
      <c r="Y646" s="42">
        <v>43837</v>
      </c>
    </row>
    <row r="647" spans="1:25">
      <c r="N647" s="42">
        <v>43829</v>
      </c>
      <c r="O647" t="s">
        <v>345</v>
      </c>
      <c r="P647" s="42">
        <v>43829</v>
      </c>
      <c r="Q647" t="s">
        <v>345</v>
      </c>
      <c r="R647" t="s">
        <v>320</v>
      </c>
      <c r="S647" t="s">
        <v>323</v>
      </c>
      <c r="T647">
        <v>5</v>
      </c>
      <c r="Y647" s="42">
        <v>43837</v>
      </c>
    </row>
    <row r="648" spans="1:25">
      <c r="N648" s="42">
        <v>43822</v>
      </c>
      <c r="O648" t="s">
        <v>345</v>
      </c>
      <c r="P648" s="42">
        <v>43823</v>
      </c>
      <c r="Q648" t="s">
        <v>333</v>
      </c>
      <c r="R648" t="s">
        <v>320</v>
      </c>
      <c r="S648" t="s">
        <v>323</v>
      </c>
      <c r="T648">
        <v>10</v>
      </c>
      <c r="Y648" s="42">
        <v>43823</v>
      </c>
    </row>
    <row r="649" spans="1:25">
      <c r="N649" s="42">
        <v>43697</v>
      </c>
      <c r="O649" t="s">
        <v>333</v>
      </c>
      <c r="P649" s="42">
        <v>43697</v>
      </c>
      <c r="Q649" t="s">
        <v>333</v>
      </c>
      <c r="R649" t="s">
        <v>329</v>
      </c>
      <c r="S649" t="s">
        <v>323</v>
      </c>
      <c r="T649">
        <v>5</v>
      </c>
      <c r="W649" t="s">
        <v>330</v>
      </c>
      <c r="Y649" s="42">
        <v>43697</v>
      </c>
    </row>
    <row r="650" spans="1:25">
      <c r="A650">
        <v>141</v>
      </c>
      <c r="B650" t="s">
        <v>356</v>
      </c>
      <c r="C650" t="s">
        <v>320</v>
      </c>
      <c r="D650" t="s">
        <v>321</v>
      </c>
      <c r="E650" t="s">
        <v>322</v>
      </c>
      <c r="F650">
        <v>1</v>
      </c>
      <c r="G650" s="42">
        <v>45332</v>
      </c>
      <c r="H650">
        <v>7.0153999999999996</v>
      </c>
      <c r="I650">
        <v>161.80359999999999</v>
      </c>
      <c r="J650">
        <v>7.0153999999999996</v>
      </c>
      <c r="K650">
        <v>168.81899999999999</v>
      </c>
      <c r="L650" t="s">
        <v>323</v>
      </c>
      <c r="M650" s="44">
        <v>1.2916666666666667</v>
      </c>
      <c r="N650" s="42">
        <v>44964</v>
      </c>
      <c r="O650" t="s">
        <v>333</v>
      </c>
      <c r="P650" s="42">
        <v>44964</v>
      </c>
      <c r="Q650" t="s">
        <v>333</v>
      </c>
      <c r="R650" t="s">
        <v>320</v>
      </c>
      <c r="S650" t="s">
        <v>323</v>
      </c>
      <c r="T650">
        <v>7.6</v>
      </c>
      <c r="Y650" s="42">
        <v>44971</v>
      </c>
    </row>
    <row r="651" spans="1:25">
      <c r="C651" t="s">
        <v>325</v>
      </c>
      <c r="D651" t="s">
        <v>326</v>
      </c>
      <c r="E651" t="s">
        <v>327</v>
      </c>
      <c r="F651">
        <v>2</v>
      </c>
      <c r="G651" s="42">
        <v>45332</v>
      </c>
      <c r="H651">
        <v>1.5201</v>
      </c>
      <c r="I651">
        <v>611.62940000000003</v>
      </c>
      <c r="J651">
        <v>1.5201</v>
      </c>
      <c r="K651">
        <v>613.14949999999999</v>
      </c>
      <c r="L651" t="s">
        <v>323</v>
      </c>
      <c r="N651" s="42">
        <v>44963</v>
      </c>
      <c r="O651" t="s">
        <v>345</v>
      </c>
      <c r="P651" s="42">
        <v>44963</v>
      </c>
      <c r="Q651" t="s">
        <v>345</v>
      </c>
      <c r="R651" t="s">
        <v>320</v>
      </c>
      <c r="S651" t="s">
        <v>323</v>
      </c>
      <c r="T651">
        <v>7.6</v>
      </c>
      <c r="Y651" s="42">
        <v>44971</v>
      </c>
    </row>
    <row r="652" spans="1:25">
      <c r="C652" t="s">
        <v>329</v>
      </c>
      <c r="D652" t="s">
        <v>331</v>
      </c>
      <c r="E652" t="s">
        <v>332</v>
      </c>
      <c r="F652">
        <v>1</v>
      </c>
      <c r="G652" s="42">
        <v>45332</v>
      </c>
      <c r="H652">
        <v>3.5076999999999998</v>
      </c>
      <c r="I652">
        <v>89.145700000000005</v>
      </c>
      <c r="J652">
        <v>3.5076999999999998</v>
      </c>
      <c r="K652">
        <v>92.653400000000005</v>
      </c>
      <c r="L652" t="s">
        <v>323</v>
      </c>
      <c r="N652" s="42">
        <v>44960</v>
      </c>
      <c r="O652" t="s">
        <v>346</v>
      </c>
      <c r="P652" s="42">
        <v>44960</v>
      </c>
      <c r="Q652" t="s">
        <v>346</v>
      </c>
      <c r="R652" t="s">
        <v>320</v>
      </c>
      <c r="S652" t="s">
        <v>323</v>
      </c>
      <c r="T652">
        <v>7.6</v>
      </c>
      <c r="Y652" s="42">
        <v>44971</v>
      </c>
    </row>
    <row r="653" spans="1:25">
      <c r="N653" s="42">
        <v>44942</v>
      </c>
      <c r="O653" t="s">
        <v>345</v>
      </c>
      <c r="P653" s="42">
        <v>44942</v>
      </c>
      <c r="Q653" t="s">
        <v>345</v>
      </c>
      <c r="R653" t="s">
        <v>329</v>
      </c>
      <c r="S653" t="s">
        <v>323</v>
      </c>
      <c r="T653">
        <v>7.6</v>
      </c>
      <c r="W653" t="s">
        <v>330</v>
      </c>
      <c r="Y653" s="42">
        <v>44943</v>
      </c>
    </row>
    <row r="654" spans="1:25">
      <c r="N654" s="42">
        <v>44932</v>
      </c>
      <c r="O654" t="s">
        <v>346</v>
      </c>
      <c r="P654" s="42">
        <v>44932</v>
      </c>
      <c r="Q654" t="s">
        <v>346</v>
      </c>
      <c r="R654" t="s">
        <v>320</v>
      </c>
      <c r="S654" t="s">
        <v>323</v>
      </c>
      <c r="T654">
        <v>7.6</v>
      </c>
      <c r="Y654" s="42">
        <v>44943</v>
      </c>
    </row>
    <row r="655" spans="1:25">
      <c r="N655" s="42">
        <v>44929</v>
      </c>
      <c r="O655" t="s">
        <v>333</v>
      </c>
      <c r="P655" s="42">
        <v>44929</v>
      </c>
      <c r="Q655" t="s">
        <v>333</v>
      </c>
      <c r="R655" t="s">
        <v>320</v>
      </c>
      <c r="S655" t="s">
        <v>323</v>
      </c>
      <c r="T655">
        <v>7.6</v>
      </c>
      <c r="Y655" s="42">
        <v>44929</v>
      </c>
    </row>
    <row r="656" spans="1:25">
      <c r="N656" s="42">
        <v>44928</v>
      </c>
      <c r="O656" t="s">
        <v>345</v>
      </c>
      <c r="P656" s="42">
        <v>44928</v>
      </c>
      <c r="Q656" t="s">
        <v>345</v>
      </c>
      <c r="R656" t="s">
        <v>320</v>
      </c>
      <c r="S656" t="s">
        <v>323</v>
      </c>
      <c r="U656">
        <v>7.6</v>
      </c>
    </row>
    <row r="657" spans="14:25">
      <c r="N657" s="42">
        <v>44925</v>
      </c>
      <c r="O657" t="s">
        <v>346</v>
      </c>
      <c r="P657" s="42">
        <v>44925</v>
      </c>
      <c r="Q657" t="s">
        <v>346</v>
      </c>
      <c r="R657" t="s">
        <v>320</v>
      </c>
      <c r="S657" t="s">
        <v>323</v>
      </c>
      <c r="T657">
        <v>7.6</v>
      </c>
      <c r="Y657" s="42">
        <v>44929</v>
      </c>
    </row>
    <row r="658" spans="14:25">
      <c r="N658" s="42">
        <v>44922</v>
      </c>
      <c r="O658" t="s">
        <v>333</v>
      </c>
      <c r="P658" s="42">
        <v>44922</v>
      </c>
      <c r="Q658" t="s">
        <v>333</v>
      </c>
      <c r="R658" t="s">
        <v>320</v>
      </c>
      <c r="S658" t="s">
        <v>323</v>
      </c>
      <c r="U658">
        <v>7.6</v>
      </c>
    </row>
    <row r="659" spans="14:25">
      <c r="N659" s="42">
        <v>44921</v>
      </c>
      <c r="O659" t="s">
        <v>345</v>
      </c>
      <c r="P659" s="42">
        <v>44921</v>
      </c>
      <c r="Q659" t="s">
        <v>345</v>
      </c>
      <c r="R659" t="s">
        <v>320</v>
      </c>
      <c r="S659" t="s">
        <v>323</v>
      </c>
      <c r="U659">
        <v>7.6</v>
      </c>
    </row>
    <row r="660" spans="14:25">
      <c r="N660" s="42">
        <v>44918</v>
      </c>
      <c r="O660" t="s">
        <v>346</v>
      </c>
      <c r="P660" s="42">
        <v>44918</v>
      </c>
      <c r="Q660" t="s">
        <v>346</v>
      </c>
      <c r="R660" t="s">
        <v>320</v>
      </c>
      <c r="S660" t="s">
        <v>323</v>
      </c>
      <c r="T660">
        <v>7.6</v>
      </c>
      <c r="Y660" s="42">
        <v>44929</v>
      </c>
    </row>
    <row r="661" spans="14:25">
      <c r="N661" s="42">
        <v>44893</v>
      </c>
      <c r="O661" t="s">
        <v>345</v>
      </c>
      <c r="P661" s="42">
        <v>44893</v>
      </c>
      <c r="Q661" t="s">
        <v>345</v>
      </c>
      <c r="R661" t="s">
        <v>329</v>
      </c>
      <c r="S661" t="s">
        <v>323</v>
      </c>
      <c r="T661">
        <v>7.6</v>
      </c>
      <c r="W661" t="s">
        <v>330</v>
      </c>
      <c r="Y661" s="42">
        <v>44901</v>
      </c>
    </row>
    <row r="662" spans="14:25">
      <c r="N662" s="42">
        <v>44876</v>
      </c>
      <c r="O662" t="s">
        <v>346</v>
      </c>
      <c r="P662" s="42">
        <v>44876</v>
      </c>
      <c r="Q662" t="s">
        <v>346</v>
      </c>
      <c r="R662" t="s">
        <v>320</v>
      </c>
      <c r="S662" t="s">
        <v>323</v>
      </c>
      <c r="T662">
        <v>7.6</v>
      </c>
      <c r="Y662" s="42">
        <v>44887</v>
      </c>
    </row>
    <row r="663" spans="14:25">
      <c r="N663" s="42">
        <v>44873</v>
      </c>
      <c r="O663" t="s">
        <v>333</v>
      </c>
      <c r="P663" s="42">
        <v>44873</v>
      </c>
      <c r="Q663" t="s">
        <v>333</v>
      </c>
      <c r="R663" t="s">
        <v>320</v>
      </c>
      <c r="S663" t="s">
        <v>323</v>
      </c>
      <c r="T663">
        <v>7.6</v>
      </c>
      <c r="Y663" s="42">
        <v>44873</v>
      </c>
    </row>
    <row r="664" spans="14:25">
      <c r="N664" s="42">
        <v>44872</v>
      </c>
      <c r="O664" t="s">
        <v>345</v>
      </c>
      <c r="P664" s="42">
        <v>44872</v>
      </c>
      <c r="Q664" t="s">
        <v>345</v>
      </c>
      <c r="R664" t="s">
        <v>320</v>
      </c>
      <c r="S664" t="s">
        <v>323</v>
      </c>
      <c r="T664">
        <v>7.6</v>
      </c>
      <c r="Y664" s="42">
        <v>44873</v>
      </c>
    </row>
    <row r="665" spans="14:25">
      <c r="N665" s="42">
        <v>44837</v>
      </c>
      <c r="O665" t="s">
        <v>345</v>
      </c>
      <c r="P665" s="42">
        <v>44837</v>
      </c>
      <c r="Q665" t="s">
        <v>345</v>
      </c>
      <c r="R665" t="s">
        <v>320</v>
      </c>
      <c r="S665" t="s">
        <v>323</v>
      </c>
      <c r="U665">
        <v>7.6</v>
      </c>
    </row>
    <row r="666" spans="14:25">
      <c r="N666" s="42">
        <v>44792</v>
      </c>
      <c r="O666" t="s">
        <v>346</v>
      </c>
      <c r="P666" s="42">
        <v>44792</v>
      </c>
      <c r="Q666" t="s">
        <v>346</v>
      </c>
      <c r="R666" t="s">
        <v>329</v>
      </c>
      <c r="S666" t="s">
        <v>323</v>
      </c>
      <c r="T666">
        <v>7.6</v>
      </c>
      <c r="W666" t="s">
        <v>330</v>
      </c>
      <c r="Y666" s="42">
        <v>44803</v>
      </c>
    </row>
    <row r="667" spans="14:25">
      <c r="N667" s="42">
        <v>44761</v>
      </c>
      <c r="O667" t="s">
        <v>333</v>
      </c>
      <c r="P667" s="42">
        <v>44761</v>
      </c>
      <c r="Q667" t="s">
        <v>333</v>
      </c>
      <c r="R667" t="s">
        <v>329</v>
      </c>
      <c r="S667" t="s">
        <v>323</v>
      </c>
      <c r="T667">
        <v>7.6</v>
      </c>
      <c r="W667" t="s">
        <v>330</v>
      </c>
      <c r="Y667" s="42">
        <v>44761</v>
      </c>
    </row>
    <row r="668" spans="14:25">
      <c r="N668" s="42">
        <v>44760</v>
      </c>
      <c r="O668" t="s">
        <v>345</v>
      </c>
      <c r="P668" s="42">
        <v>44760</v>
      </c>
      <c r="Q668" t="s">
        <v>345</v>
      </c>
      <c r="R668" t="s">
        <v>329</v>
      </c>
      <c r="S668" t="s">
        <v>323</v>
      </c>
      <c r="T668">
        <v>7.6</v>
      </c>
      <c r="W668" t="s">
        <v>330</v>
      </c>
      <c r="Y668" s="42">
        <v>44761</v>
      </c>
    </row>
    <row r="669" spans="14:25">
      <c r="N669" s="42">
        <v>44757</v>
      </c>
      <c r="O669" t="s">
        <v>346</v>
      </c>
      <c r="P669" s="42">
        <v>44757</v>
      </c>
      <c r="Q669" t="s">
        <v>346</v>
      </c>
      <c r="R669" t="s">
        <v>329</v>
      </c>
      <c r="S669" t="s">
        <v>323</v>
      </c>
      <c r="T669">
        <v>7.6</v>
      </c>
      <c r="W669" t="s">
        <v>330</v>
      </c>
      <c r="Y669" s="42">
        <v>44761</v>
      </c>
    </row>
    <row r="670" spans="14:25">
      <c r="N670" s="42">
        <v>44754</v>
      </c>
      <c r="O670" t="s">
        <v>333</v>
      </c>
      <c r="P670" s="42">
        <v>44754</v>
      </c>
      <c r="Q670" t="s">
        <v>333</v>
      </c>
      <c r="R670" t="s">
        <v>329</v>
      </c>
      <c r="S670" t="s">
        <v>323</v>
      </c>
      <c r="T670">
        <v>3.5</v>
      </c>
      <c r="W670" t="s">
        <v>330</v>
      </c>
      <c r="Y670" s="42">
        <v>44761</v>
      </c>
    </row>
    <row r="671" spans="14:25">
      <c r="N671" s="42">
        <v>44725</v>
      </c>
      <c r="O671" t="s">
        <v>345</v>
      </c>
      <c r="P671" s="42">
        <v>44725</v>
      </c>
      <c r="Q671" t="s">
        <v>345</v>
      </c>
      <c r="R671" t="s">
        <v>320</v>
      </c>
      <c r="S671" t="s">
        <v>323</v>
      </c>
      <c r="U671">
        <v>7.6</v>
      </c>
    </row>
    <row r="672" spans="14:25">
      <c r="N672" s="42">
        <v>44683</v>
      </c>
      <c r="O672" t="s">
        <v>345</v>
      </c>
      <c r="P672" s="42">
        <v>44683</v>
      </c>
      <c r="Q672" t="s">
        <v>345</v>
      </c>
      <c r="R672" t="s">
        <v>329</v>
      </c>
      <c r="S672" t="s">
        <v>323</v>
      </c>
      <c r="T672">
        <v>7.6</v>
      </c>
      <c r="W672" t="s">
        <v>330</v>
      </c>
      <c r="Y672" s="42">
        <v>44691</v>
      </c>
    </row>
    <row r="673" spans="14:25">
      <c r="N673" s="42">
        <v>44677</v>
      </c>
      <c r="O673" t="s">
        <v>333</v>
      </c>
      <c r="P673" s="42">
        <v>44677</v>
      </c>
      <c r="Q673" t="s">
        <v>333</v>
      </c>
      <c r="R673" t="s">
        <v>320</v>
      </c>
      <c r="S673" t="s">
        <v>323</v>
      </c>
      <c r="T673">
        <v>7.6</v>
      </c>
      <c r="Y673" s="42">
        <v>44677</v>
      </c>
    </row>
    <row r="674" spans="14:25">
      <c r="N674" s="42">
        <v>44676</v>
      </c>
      <c r="O674" t="s">
        <v>345</v>
      </c>
      <c r="P674" s="42">
        <v>44676</v>
      </c>
      <c r="Q674" t="s">
        <v>345</v>
      </c>
      <c r="R674" t="s">
        <v>320</v>
      </c>
      <c r="S674" t="s">
        <v>323</v>
      </c>
      <c r="U674">
        <v>7.6</v>
      </c>
    </row>
    <row r="675" spans="14:25">
      <c r="N675" s="42">
        <v>44673</v>
      </c>
      <c r="O675" t="s">
        <v>346</v>
      </c>
      <c r="P675" s="42">
        <v>44673</v>
      </c>
      <c r="Q675" t="s">
        <v>346</v>
      </c>
      <c r="R675" t="s">
        <v>320</v>
      </c>
      <c r="S675" t="s">
        <v>323</v>
      </c>
      <c r="T675">
        <v>7.6</v>
      </c>
      <c r="Y675" s="42">
        <v>44677</v>
      </c>
    </row>
    <row r="676" spans="14:25">
      <c r="N676" s="42">
        <v>44670</v>
      </c>
      <c r="O676" t="s">
        <v>333</v>
      </c>
      <c r="P676" s="42">
        <v>44670</v>
      </c>
      <c r="Q676" t="s">
        <v>333</v>
      </c>
      <c r="R676" t="s">
        <v>320</v>
      </c>
      <c r="S676" t="s">
        <v>323</v>
      </c>
      <c r="T676">
        <v>7.6</v>
      </c>
      <c r="Y676" s="42">
        <v>44677</v>
      </c>
    </row>
    <row r="677" spans="14:25">
      <c r="N677" s="42">
        <v>44669</v>
      </c>
      <c r="O677" t="s">
        <v>345</v>
      </c>
      <c r="P677" s="42">
        <v>44669</v>
      </c>
      <c r="Q677" t="s">
        <v>345</v>
      </c>
      <c r="R677" t="s">
        <v>320</v>
      </c>
      <c r="S677" t="s">
        <v>323</v>
      </c>
      <c r="U677">
        <v>7.6</v>
      </c>
    </row>
    <row r="678" spans="14:25">
      <c r="N678" s="42">
        <v>44666</v>
      </c>
      <c r="O678" t="s">
        <v>346</v>
      </c>
      <c r="P678" s="42">
        <v>44666</v>
      </c>
      <c r="Q678" t="s">
        <v>346</v>
      </c>
      <c r="R678" t="s">
        <v>320</v>
      </c>
      <c r="S678" t="s">
        <v>323</v>
      </c>
      <c r="U678">
        <v>7.6</v>
      </c>
    </row>
    <row r="679" spans="14:25">
      <c r="N679" s="42">
        <v>44648</v>
      </c>
      <c r="O679" t="s">
        <v>345</v>
      </c>
      <c r="P679" s="42">
        <v>44648</v>
      </c>
      <c r="Q679" t="s">
        <v>345</v>
      </c>
      <c r="R679" t="s">
        <v>329</v>
      </c>
      <c r="S679" t="s">
        <v>323</v>
      </c>
      <c r="T679">
        <v>7.6</v>
      </c>
      <c r="W679" t="s">
        <v>330</v>
      </c>
      <c r="Y679" s="42">
        <v>44649</v>
      </c>
    </row>
    <row r="680" spans="14:25">
      <c r="N680" s="42">
        <v>44642</v>
      </c>
      <c r="O680" t="s">
        <v>333</v>
      </c>
      <c r="P680" s="42">
        <v>44642</v>
      </c>
      <c r="Q680" t="s">
        <v>333</v>
      </c>
      <c r="R680" t="s">
        <v>329</v>
      </c>
      <c r="S680" t="s">
        <v>323</v>
      </c>
      <c r="T680">
        <v>7.6</v>
      </c>
      <c r="W680" t="s">
        <v>330</v>
      </c>
      <c r="Y680" s="42">
        <v>44649</v>
      </c>
    </row>
    <row r="681" spans="14:25">
      <c r="N681" s="42">
        <v>44638</v>
      </c>
      <c r="O681" t="s">
        <v>346</v>
      </c>
      <c r="P681" s="42">
        <v>44638</v>
      </c>
      <c r="Q681" t="s">
        <v>346</v>
      </c>
      <c r="R681" t="s">
        <v>320</v>
      </c>
      <c r="S681" t="s">
        <v>323</v>
      </c>
      <c r="T681">
        <v>7.6</v>
      </c>
      <c r="Y681" s="42">
        <v>44649</v>
      </c>
    </row>
    <row r="682" spans="14:25">
      <c r="N682" s="42">
        <v>44635</v>
      </c>
      <c r="O682" t="s">
        <v>333</v>
      </c>
      <c r="P682" s="42">
        <v>44635</v>
      </c>
      <c r="Q682" t="s">
        <v>333</v>
      </c>
      <c r="R682" t="s">
        <v>320</v>
      </c>
      <c r="S682" t="s">
        <v>323</v>
      </c>
      <c r="T682">
        <v>7.6</v>
      </c>
      <c r="Y682" s="42">
        <v>44635</v>
      </c>
    </row>
    <row r="683" spans="14:25">
      <c r="N683" s="42">
        <v>44634</v>
      </c>
      <c r="O683" t="s">
        <v>345</v>
      </c>
      <c r="P683" s="42">
        <v>44634</v>
      </c>
      <c r="Q683" t="s">
        <v>345</v>
      </c>
      <c r="R683" t="s">
        <v>320</v>
      </c>
      <c r="S683" t="s">
        <v>323</v>
      </c>
      <c r="T683">
        <v>7.6</v>
      </c>
      <c r="Y683" s="42">
        <v>44635</v>
      </c>
    </row>
    <row r="684" spans="14:25">
      <c r="N684" s="42">
        <v>44568</v>
      </c>
      <c r="O684" t="s">
        <v>346</v>
      </c>
      <c r="P684" s="42">
        <v>44568</v>
      </c>
      <c r="Q684" t="s">
        <v>346</v>
      </c>
      <c r="R684" t="s">
        <v>320</v>
      </c>
      <c r="S684" t="s">
        <v>323</v>
      </c>
      <c r="T684">
        <v>7.6</v>
      </c>
      <c r="Y684" s="42">
        <v>44579</v>
      </c>
    </row>
    <row r="685" spans="14:25">
      <c r="N685" s="42">
        <v>44565</v>
      </c>
      <c r="O685" t="s">
        <v>333</v>
      </c>
      <c r="P685" s="42">
        <v>44565</v>
      </c>
      <c r="Q685" t="s">
        <v>333</v>
      </c>
      <c r="R685" t="s">
        <v>320</v>
      </c>
      <c r="S685" t="s">
        <v>323</v>
      </c>
      <c r="T685">
        <v>7.6</v>
      </c>
      <c r="Y685" s="42">
        <v>44565</v>
      </c>
    </row>
    <row r="686" spans="14:25">
      <c r="N686" s="42">
        <v>44564</v>
      </c>
      <c r="O686" t="s">
        <v>345</v>
      </c>
      <c r="P686" s="42">
        <v>44564</v>
      </c>
      <c r="Q686" t="s">
        <v>345</v>
      </c>
      <c r="R686" t="s">
        <v>320</v>
      </c>
      <c r="S686" t="s">
        <v>323</v>
      </c>
      <c r="U686">
        <v>7.6</v>
      </c>
    </row>
    <row r="687" spans="14:25">
      <c r="N687" s="42">
        <v>44561</v>
      </c>
      <c r="O687" t="s">
        <v>346</v>
      </c>
      <c r="P687" s="42">
        <v>44561</v>
      </c>
      <c r="Q687" t="s">
        <v>346</v>
      </c>
      <c r="R687" t="s">
        <v>320</v>
      </c>
      <c r="S687" t="s">
        <v>323</v>
      </c>
      <c r="T687">
        <v>7.6</v>
      </c>
      <c r="Y687" s="42">
        <v>44565</v>
      </c>
    </row>
    <row r="688" spans="14:25">
      <c r="N688" s="42">
        <v>44558</v>
      </c>
      <c r="O688" t="s">
        <v>333</v>
      </c>
      <c r="P688" s="42">
        <v>44558</v>
      </c>
      <c r="Q688" t="s">
        <v>333</v>
      </c>
      <c r="R688" t="s">
        <v>320</v>
      </c>
      <c r="S688" t="s">
        <v>323</v>
      </c>
      <c r="U688">
        <v>7.6</v>
      </c>
    </row>
    <row r="689" spans="14:25">
      <c r="N689" s="42">
        <v>44557</v>
      </c>
      <c r="O689" t="s">
        <v>345</v>
      </c>
      <c r="P689" s="42">
        <v>44557</v>
      </c>
      <c r="Q689" t="s">
        <v>345</v>
      </c>
      <c r="R689" t="s">
        <v>320</v>
      </c>
      <c r="S689" t="s">
        <v>323</v>
      </c>
      <c r="U689">
        <v>7.6</v>
      </c>
    </row>
    <row r="690" spans="14:25">
      <c r="N690" s="42">
        <v>44554</v>
      </c>
      <c r="O690" t="s">
        <v>346</v>
      </c>
      <c r="P690" s="42">
        <v>44554</v>
      </c>
      <c r="Q690" t="s">
        <v>346</v>
      </c>
      <c r="R690" t="s">
        <v>320</v>
      </c>
      <c r="S690" t="s">
        <v>323</v>
      </c>
      <c r="T690">
        <v>7.6</v>
      </c>
      <c r="Y690" s="42">
        <v>44565</v>
      </c>
    </row>
    <row r="691" spans="14:25">
      <c r="N691" s="42">
        <v>44526</v>
      </c>
      <c r="O691" t="s">
        <v>346</v>
      </c>
      <c r="P691" s="42">
        <v>44526</v>
      </c>
      <c r="Q691" t="s">
        <v>346</v>
      </c>
      <c r="R691" t="s">
        <v>320</v>
      </c>
      <c r="S691" t="s">
        <v>323</v>
      </c>
      <c r="T691">
        <v>7.6</v>
      </c>
      <c r="Y691" s="42">
        <v>44537</v>
      </c>
    </row>
    <row r="692" spans="14:25">
      <c r="N692" s="42">
        <v>44523</v>
      </c>
      <c r="O692" t="s">
        <v>333</v>
      </c>
      <c r="P692" s="42">
        <v>44523</v>
      </c>
      <c r="Q692" t="s">
        <v>333</v>
      </c>
      <c r="R692" t="s">
        <v>320</v>
      </c>
      <c r="S692" t="s">
        <v>323</v>
      </c>
      <c r="T692">
        <v>7.6</v>
      </c>
      <c r="Y692" s="42">
        <v>44523</v>
      </c>
    </row>
    <row r="693" spans="14:25">
      <c r="N693" s="42">
        <v>44522</v>
      </c>
      <c r="O693" t="s">
        <v>345</v>
      </c>
      <c r="P693" s="42">
        <v>44522</v>
      </c>
      <c r="Q693" t="s">
        <v>345</v>
      </c>
      <c r="R693" t="s">
        <v>320</v>
      </c>
      <c r="S693" t="s">
        <v>323</v>
      </c>
      <c r="T693">
        <v>7.6</v>
      </c>
      <c r="Y693" s="42">
        <v>44523</v>
      </c>
    </row>
    <row r="694" spans="14:25">
      <c r="N694" s="42">
        <v>44473</v>
      </c>
      <c r="O694" t="s">
        <v>345</v>
      </c>
      <c r="P694" s="42">
        <v>44473</v>
      </c>
      <c r="Q694" t="s">
        <v>345</v>
      </c>
      <c r="R694" t="s">
        <v>320</v>
      </c>
      <c r="S694" t="s">
        <v>323</v>
      </c>
      <c r="U694">
        <v>7.6</v>
      </c>
    </row>
    <row r="695" spans="14:25">
      <c r="N695" s="42">
        <v>44386</v>
      </c>
      <c r="O695" t="s">
        <v>346</v>
      </c>
      <c r="P695" s="42">
        <v>44386</v>
      </c>
      <c r="Q695" t="s">
        <v>346</v>
      </c>
      <c r="R695" t="s">
        <v>329</v>
      </c>
      <c r="S695" t="s">
        <v>323</v>
      </c>
      <c r="T695">
        <v>7.6</v>
      </c>
      <c r="W695" t="s">
        <v>330</v>
      </c>
      <c r="Y695" s="42">
        <v>44397</v>
      </c>
    </row>
    <row r="696" spans="14:25">
      <c r="N696" s="42">
        <v>44362</v>
      </c>
      <c r="O696" t="s">
        <v>333</v>
      </c>
      <c r="P696" s="42">
        <v>44362</v>
      </c>
      <c r="Q696" t="s">
        <v>333</v>
      </c>
      <c r="R696" t="s">
        <v>320</v>
      </c>
      <c r="S696" t="s">
        <v>323</v>
      </c>
      <c r="T696">
        <v>7.6</v>
      </c>
      <c r="Y696" s="42">
        <v>44369</v>
      </c>
    </row>
    <row r="697" spans="14:25">
      <c r="N697" s="42">
        <v>44361</v>
      </c>
      <c r="O697" t="s">
        <v>345</v>
      </c>
      <c r="P697" s="42">
        <v>44361</v>
      </c>
      <c r="Q697" t="s">
        <v>345</v>
      </c>
      <c r="R697" t="s">
        <v>320</v>
      </c>
      <c r="S697" t="s">
        <v>323</v>
      </c>
      <c r="U697">
        <v>7.6</v>
      </c>
    </row>
    <row r="698" spans="14:25">
      <c r="N698" s="42">
        <v>44316</v>
      </c>
      <c r="O698" t="s">
        <v>346</v>
      </c>
      <c r="P698" s="42">
        <v>44316</v>
      </c>
      <c r="Q698" t="s">
        <v>346</v>
      </c>
      <c r="R698" t="s">
        <v>329</v>
      </c>
      <c r="S698" t="s">
        <v>323</v>
      </c>
      <c r="T698">
        <v>7.6</v>
      </c>
      <c r="W698" t="s">
        <v>330</v>
      </c>
      <c r="Y698" s="42">
        <v>44327</v>
      </c>
    </row>
    <row r="699" spans="14:25">
      <c r="N699" s="42">
        <v>44299</v>
      </c>
      <c r="O699" t="s">
        <v>333</v>
      </c>
      <c r="P699" s="42">
        <v>44299</v>
      </c>
      <c r="Q699" t="s">
        <v>333</v>
      </c>
      <c r="R699" t="s">
        <v>329</v>
      </c>
      <c r="S699" t="s">
        <v>323</v>
      </c>
      <c r="T699">
        <v>7.6</v>
      </c>
      <c r="W699" t="s">
        <v>330</v>
      </c>
      <c r="Y699" s="42">
        <v>44299</v>
      </c>
    </row>
    <row r="700" spans="14:25">
      <c r="N700" s="42">
        <v>44298</v>
      </c>
      <c r="O700" t="s">
        <v>345</v>
      </c>
      <c r="P700" s="42">
        <v>44298</v>
      </c>
      <c r="Q700" t="s">
        <v>345</v>
      </c>
      <c r="R700" t="s">
        <v>329</v>
      </c>
      <c r="S700" t="s">
        <v>323</v>
      </c>
      <c r="T700">
        <v>7.6</v>
      </c>
      <c r="W700" t="s">
        <v>330</v>
      </c>
      <c r="Y700" s="42">
        <v>44299</v>
      </c>
    </row>
    <row r="701" spans="14:25">
      <c r="N701" s="42">
        <v>44295</v>
      </c>
      <c r="O701" t="s">
        <v>346</v>
      </c>
      <c r="P701" s="42">
        <v>44295</v>
      </c>
      <c r="Q701" t="s">
        <v>346</v>
      </c>
      <c r="R701" t="s">
        <v>329</v>
      </c>
      <c r="S701" t="s">
        <v>323</v>
      </c>
      <c r="T701">
        <v>7.6</v>
      </c>
      <c r="W701" t="s">
        <v>330</v>
      </c>
      <c r="Y701" s="42">
        <v>44299</v>
      </c>
    </row>
    <row r="702" spans="14:25">
      <c r="N702" s="42">
        <v>44292</v>
      </c>
      <c r="O702" t="s">
        <v>333</v>
      </c>
      <c r="P702" s="42">
        <v>44292</v>
      </c>
      <c r="Q702" t="s">
        <v>333</v>
      </c>
      <c r="R702" t="s">
        <v>329</v>
      </c>
      <c r="S702" t="s">
        <v>323</v>
      </c>
      <c r="T702">
        <v>7.6</v>
      </c>
      <c r="W702" t="s">
        <v>330</v>
      </c>
      <c r="Y702" s="42">
        <v>44299</v>
      </c>
    </row>
    <row r="703" spans="14:25">
      <c r="N703" s="42">
        <v>44291</v>
      </c>
      <c r="O703" t="s">
        <v>345</v>
      </c>
      <c r="P703" s="42">
        <v>44291</v>
      </c>
      <c r="Q703" t="s">
        <v>345</v>
      </c>
      <c r="R703" t="s">
        <v>320</v>
      </c>
      <c r="S703" t="s">
        <v>323</v>
      </c>
      <c r="U703">
        <v>7.6</v>
      </c>
    </row>
    <row r="704" spans="14:25">
      <c r="N704" s="42">
        <v>44288</v>
      </c>
      <c r="O704" t="s">
        <v>346</v>
      </c>
      <c r="P704" s="42">
        <v>44288</v>
      </c>
      <c r="Q704" t="s">
        <v>346</v>
      </c>
      <c r="R704" t="s">
        <v>320</v>
      </c>
      <c r="S704" t="s">
        <v>323</v>
      </c>
      <c r="U704">
        <v>7.6</v>
      </c>
    </row>
    <row r="705" spans="14:25">
      <c r="N705" s="42">
        <v>44284</v>
      </c>
      <c r="O705" t="s">
        <v>345</v>
      </c>
      <c r="P705" s="42">
        <v>44284</v>
      </c>
      <c r="Q705" t="s">
        <v>345</v>
      </c>
      <c r="R705" t="s">
        <v>329</v>
      </c>
      <c r="S705" t="s">
        <v>323</v>
      </c>
      <c r="T705">
        <v>7.6</v>
      </c>
      <c r="W705" t="s">
        <v>330</v>
      </c>
      <c r="Y705" s="42">
        <v>44285</v>
      </c>
    </row>
    <row r="706" spans="14:25">
      <c r="N706" s="42">
        <v>44260</v>
      </c>
      <c r="O706" t="s">
        <v>346</v>
      </c>
      <c r="P706" s="42">
        <v>44260</v>
      </c>
      <c r="Q706" t="s">
        <v>346</v>
      </c>
      <c r="R706" t="s">
        <v>329</v>
      </c>
      <c r="S706" t="s">
        <v>323</v>
      </c>
      <c r="T706">
        <v>7.6</v>
      </c>
      <c r="W706" t="s">
        <v>330</v>
      </c>
      <c r="Y706" s="42">
        <v>44271</v>
      </c>
    </row>
    <row r="707" spans="14:25">
      <c r="N707" s="42">
        <v>44222</v>
      </c>
      <c r="O707" t="s">
        <v>333</v>
      </c>
      <c r="P707" s="42">
        <v>44222</v>
      </c>
      <c r="Q707" t="s">
        <v>333</v>
      </c>
      <c r="R707" t="s">
        <v>320</v>
      </c>
      <c r="S707" t="s">
        <v>323</v>
      </c>
      <c r="U707">
        <v>7.6</v>
      </c>
    </row>
    <row r="708" spans="14:25">
      <c r="N708" s="42">
        <v>44221</v>
      </c>
      <c r="O708" t="s">
        <v>345</v>
      </c>
      <c r="P708" s="42">
        <v>44221</v>
      </c>
      <c r="Q708" t="s">
        <v>345</v>
      </c>
      <c r="R708" t="s">
        <v>320</v>
      </c>
      <c r="S708" t="s">
        <v>323</v>
      </c>
      <c r="T708">
        <v>7.6</v>
      </c>
      <c r="Y708" s="42">
        <v>44229</v>
      </c>
    </row>
    <row r="709" spans="14:25">
      <c r="N709" s="42">
        <v>44197</v>
      </c>
      <c r="O709" t="s">
        <v>346</v>
      </c>
      <c r="P709" s="42">
        <v>44197</v>
      </c>
      <c r="Q709" t="s">
        <v>346</v>
      </c>
      <c r="R709" t="s">
        <v>320</v>
      </c>
      <c r="S709" t="s">
        <v>323</v>
      </c>
      <c r="U709">
        <v>7.6</v>
      </c>
    </row>
    <row r="710" spans="14:25">
      <c r="N710" s="42">
        <v>44194</v>
      </c>
      <c r="O710" t="s">
        <v>333</v>
      </c>
      <c r="P710" s="42">
        <v>44194</v>
      </c>
      <c r="Q710" t="s">
        <v>333</v>
      </c>
      <c r="R710" t="s">
        <v>320</v>
      </c>
      <c r="S710" t="s">
        <v>323</v>
      </c>
      <c r="T710">
        <v>7.6</v>
      </c>
      <c r="Y710" s="42">
        <v>44201</v>
      </c>
    </row>
    <row r="711" spans="14:25">
      <c r="N711" s="42">
        <v>44193</v>
      </c>
      <c r="O711" t="s">
        <v>345</v>
      </c>
      <c r="P711" s="42">
        <v>44193</v>
      </c>
      <c r="Q711" t="s">
        <v>345</v>
      </c>
      <c r="R711" t="s">
        <v>320</v>
      </c>
      <c r="S711" t="s">
        <v>323</v>
      </c>
      <c r="U711">
        <v>7.6</v>
      </c>
    </row>
    <row r="712" spans="14:25">
      <c r="N712" s="42">
        <v>44190</v>
      </c>
      <c r="O712" t="s">
        <v>346</v>
      </c>
      <c r="P712" s="42">
        <v>44190</v>
      </c>
      <c r="Q712" t="s">
        <v>346</v>
      </c>
      <c r="R712" t="s">
        <v>320</v>
      </c>
      <c r="S712" t="s">
        <v>323</v>
      </c>
      <c r="U712">
        <v>7.6</v>
      </c>
    </row>
    <row r="713" spans="14:25">
      <c r="N713" s="42">
        <v>44109</v>
      </c>
      <c r="O713" t="s">
        <v>345</v>
      </c>
      <c r="P713" s="42">
        <v>44109</v>
      </c>
      <c r="Q713" t="s">
        <v>345</v>
      </c>
      <c r="R713" t="s">
        <v>320</v>
      </c>
      <c r="S713" t="s">
        <v>323</v>
      </c>
      <c r="U713">
        <v>7.6</v>
      </c>
    </row>
    <row r="714" spans="14:25">
      <c r="N714" s="42">
        <v>43983</v>
      </c>
      <c r="O714" t="s">
        <v>345</v>
      </c>
      <c r="P714" s="42">
        <v>43983</v>
      </c>
      <c r="Q714" t="s">
        <v>345</v>
      </c>
      <c r="R714" t="s">
        <v>329</v>
      </c>
      <c r="S714" t="s">
        <v>323</v>
      </c>
      <c r="T714">
        <v>7.6</v>
      </c>
      <c r="W714" t="s">
        <v>330</v>
      </c>
      <c r="Y714" s="42">
        <v>43991</v>
      </c>
    </row>
    <row r="715" spans="14:25">
      <c r="N715" s="42">
        <v>43920</v>
      </c>
      <c r="O715" t="s">
        <v>345</v>
      </c>
      <c r="P715" s="42">
        <v>43920</v>
      </c>
      <c r="Q715" t="s">
        <v>345</v>
      </c>
      <c r="R715" t="s">
        <v>329</v>
      </c>
      <c r="S715" t="s">
        <v>323</v>
      </c>
      <c r="T715">
        <v>7.6</v>
      </c>
      <c r="W715" t="s">
        <v>330</v>
      </c>
      <c r="Y715" s="42">
        <v>43921</v>
      </c>
    </row>
    <row r="716" spans="14:25">
      <c r="N716" s="42">
        <v>43826</v>
      </c>
      <c r="O716" t="s">
        <v>346</v>
      </c>
      <c r="P716" s="42">
        <v>43833</v>
      </c>
      <c r="Q716" t="s">
        <v>346</v>
      </c>
      <c r="R716" t="s">
        <v>320</v>
      </c>
      <c r="S716" t="s">
        <v>323</v>
      </c>
      <c r="T716">
        <v>30.4</v>
      </c>
      <c r="Y716" s="42">
        <v>43837</v>
      </c>
    </row>
    <row r="717" spans="14:25">
      <c r="N717" s="42">
        <v>43738</v>
      </c>
      <c r="O717" t="s">
        <v>345</v>
      </c>
      <c r="P717" s="42">
        <v>43738</v>
      </c>
      <c r="Q717" t="s">
        <v>345</v>
      </c>
      <c r="R717" t="s">
        <v>329</v>
      </c>
      <c r="S717" t="s">
        <v>323</v>
      </c>
      <c r="T717">
        <v>7.6</v>
      </c>
      <c r="W717" t="s">
        <v>330</v>
      </c>
      <c r="Y717" s="42">
        <v>43739</v>
      </c>
    </row>
    <row r="718" spans="14:25">
      <c r="N718" s="42">
        <v>43710</v>
      </c>
      <c r="O718" t="s">
        <v>345</v>
      </c>
      <c r="P718" s="42">
        <v>43710</v>
      </c>
      <c r="Q718" t="s">
        <v>345</v>
      </c>
      <c r="R718" t="s">
        <v>329</v>
      </c>
      <c r="S718" t="s">
        <v>323</v>
      </c>
      <c r="T718">
        <v>7.6</v>
      </c>
      <c r="W718" t="s">
        <v>330</v>
      </c>
      <c r="Y718" s="42">
        <v>43711</v>
      </c>
    </row>
    <row r="719" spans="14:25">
      <c r="N719" s="42">
        <v>43707</v>
      </c>
      <c r="O719" t="s">
        <v>346</v>
      </c>
      <c r="P719" s="42">
        <v>43707</v>
      </c>
      <c r="Q719" t="s">
        <v>346</v>
      </c>
      <c r="R719" t="s">
        <v>329</v>
      </c>
      <c r="S719" t="s">
        <v>323</v>
      </c>
      <c r="T719">
        <v>7.6</v>
      </c>
      <c r="W719" t="s">
        <v>330</v>
      </c>
      <c r="Y719" s="42">
        <v>43711</v>
      </c>
    </row>
    <row r="720" spans="14:25">
      <c r="N720" s="42">
        <v>43704</v>
      </c>
      <c r="O720" t="s">
        <v>333</v>
      </c>
      <c r="P720" s="42">
        <v>43704</v>
      </c>
      <c r="Q720" t="s">
        <v>333</v>
      </c>
      <c r="R720" t="s">
        <v>329</v>
      </c>
      <c r="S720" t="s">
        <v>323</v>
      </c>
      <c r="T720">
        <v>7.6</v>
      </c>
      <c r="W720" t="s">
        <v>330</v>
      </c>
      <c r="Y720" s="42">
        <v>43711</v>
      </c>
    </row>
    <row r="721" spans="1:25">
      <c r="N721" s="42">
        <v>43703</v>
      </c>
      <c r="O721" t="s">
        <v>345</v>
      </c>
      <c r="P721" s="42">
        <v>43703</v>
      </c>
      <c r="Q721" t="s">
        <v>345</v>
      </c>
      <c r="R721" t="s">
        <v>329</v>
      </c>
      <c r="S721" t="s">
        <v>323</v>
      </c>
      <c r="T721">
        <v>7.6</v>
      </c>
      <c r="W721" t="s">
        <v>330</v>
      </c>
      <c r="Y721" s="42">
        <v>43711</v>
      </c>
    </row>
    <row r="722" spans="1:25">
      <c r="N722" s="42">
        <v>43700</v>
      </c>
      <c r="O722" t="s">
        <v>346</v>
      </c>
      <c r="P722" s="42">
        <v>43700</v>
      </c>
      <c r="Q722" t="s">
        <v>346</v>
      </c>
      <c r="R722" t="s">
        <v>329</v>
      </c>
      <c r="S722" t="s">
        <v>323</v>
      </c>
      <c r="T722">
        <v>7.6</v>
      </c>
      <c r="W722" t="s">
        <v>330</v>
      </c>
      <c r="Y722" s="42">
        <v>43711</v>
      </c>
    </row>
    <row r="723" spans="1:25">
      <c r="N723" s="42">
        <v>43697</v>
      </c>
      <c r="O723" t="s">
        <v>333</v>
      </c>
      <c r="P723" s="42">
        <v>43697</v>
      </c>
      <c r="Q723" t="s">
        <v>333</v>
      </c>
      <c r="R723" t="s">
        <v>329</v>
      </c>
      <c r="S723" t="s">
        <v>323</v>
      </c>
      <c r="T723">
        <v>7.6</v>
      </c>
      <c r="W723" t="s">
        <v>330</v>
      </c>
      <c r="Y723" s="42">
        <v>43697</v>
      </c>
    </row>
    <row r="724" spans="1:25">
      <c r="N724" s="42">
        <v>43696</v>
      </c>
      <c r="O724" t="s">
        <v>345</v>
      </c>
      <c r="P724" s="42">
        <v>43696</v>
      </c>
      <c r="Q724" t="s">
        <v>345</v>
      </c>
      <c r="R724" t="s">
        <v>329</v>
      </c>
      <c r="S724" t="s">
        <v>323</v>
      </c>
      <c r="T724">
        <v>7.6</v>
      </c>
      <c r="W724" t="s">
        <v>330</v>
      </c>
      <c r="Y724" s="42">
        <v>43697</v>
      </c>
    </row>
    <row r="725" spans="1:25">
      <c r="N725" s="42">
        <v>43693</v>
      </c>
      <c r="O725" t="s">
        <v>346</v>
      </c>
      <c r="P725" s="42">
        <v>43693</v>
      </c>
      <c r="Q725" t="s">
        <v>346</v>
      </c>
      <c r="R725" t="s">
        <v>329</v>
      </c>
      <c r="S725" t="s">
        <v>323</v>
      </c>
      <c r="T725">
        <v>7.6</v>
      </c>
      <c r="W725" t="s">
        <v>330</v>
      </c>
      <c r="Y725" s="42">
        <v>43697</v>
      </c>
    </row>
    <row r="726" spans="1:25">
      <c r="N726" s="42">
        <v>43690</v>
      </c>
      <c r="O726" t="s">
        <v>333</v>
      </c>
      <c r="P726" s="42">
        <v>43690</v>
      </c>
      <c r="Q726" t="s">
        <v>333</v>
      </c>
      <c r="R726" t="s">
        <v>329</v>
      </c>
      <c r="S726" t="s">
        <v>323</v>
      </c>
      <c r="T726">
        <v>7.6</v>
      </c>
      <c r="W726" t="s">
        <v>330</v>
      </c>
      <c r="Y726" s="42">
        <v>43697</v>
      </c>
    </row>
    <row r="727" spans="1:25">
      <c r="N727" s="42">
        <v>43689</v>
      </c>
      <c r="O727" t="s">
        <v>345</v>
      </c>
      <c r="P727" s="42">
        <v>43689</v>
      </c>
      <c r="Q727" t="s">
        <v>345</v>
      </c>
      <c r="R727" t="s">
        <v>329</v>
      </c>
      <c r="S727" t="s">
        <v>323</v>
      </c>
      <c r="T727">
        <v>7.6</v>
      </c>
      <c r="W727" t="s">
        <v>330</v>
      </c>
      <c r="Y727" s="42">
        <v>43697</v>
      </c>
    </row>
    <row r="728" spans="1:25">
      <c r="N728" s="42">
        <v>43686</v>
      </c>
      <c r="O728" t="s">
        <v>346</v>
      </c>
      <c r="P728" s="42">
        <v>43686</v>
      </c>
      <c r="Q728" t="s">
        <v>346</v>
      </c>
      <c r="R728" t="s">
        <v>329</v>
      </c>
      <c r="S728" t="s">
        <v>323</v>
      </c>
      <c r="T728">
        <v>7.6</v>
      </c>
      <c r="W728" t="s">
        <v>330</v>
      </c>
      <c r="Y728" s="42">
        <v>43697</v>
      </c>
    </row>
    <row r="729" spans="1:25">
      <c r="N729" s="42">
        <v>43662</v>
      </c>
      <c r="O729" t="s">
        <v>333</v>
      </c>
      <c r="P729" s="42">
        <v>43662</v>
      </c>
      <c r="Q729" t="s">
        <v>333</v>
      </c>
      <c r="R729" t="s">
        <v>329</v>
      </c>
      <c r="S729" t="s">
        <v>323</v>
      </c>
      <c r="T729">
        <v>7.6</v>
      </c>
      <c r="W729" t="s">
        <v>330</v>
      </c>
      <c r="Y729" s="42">
        <v>43669</v>
      </c>
    </row>
    <row r="730" spans="1:25">
      <c r="A730">
        <v>145</v>
      </c>
      <c r="B730" t="s">
        <v>357</v>
      </c>
      <c r="C730" t="s">
        <v>320</v>
      </c>
      <c r="D730" t="s">
        <v>336</v>
      </c>
      <c r="E730" t="s">
        <v>337</v>
      </c>
      <c r="F730">
        <v>1</v>
      </c>
      <c r="G730" s="42">
        <v>45034</v>
      </c>
      <c r="H730">
        <v>152</v>
      </c>
      <c r="I730">
        <v>157.4393</v>
      </c>
      <c r="J730">
        <v>133.2603</v>
      </c>
      <c r="K730">
        <v>290.69959999999998</v>
      </c>
      <c r="L730" t="s">
        <v>323</v>
      </c>
      <c r="M730" s="43">
        <v>0.71527777777777779</v>
      </c>
      <c r="N730" s="42">
        <v>44952</v>
      </c>
      <c r="O730" t="s">
        <v>324</v>
      </c>
      <c r="P730" s="42">
        <v>44952</v>
      </c>
      <c r="Q730" t="s">
        <v>324</v>
      </c>
      <c r="R730" t="s">
        <v>320</v>
      </c>
      <c r="S730" t="s">
        <v>323</v>
      </c>
      <c r="U730">
        <v>7.6</v>
      </c>
    </row>
    <row r="731" spans="1:25">
      <c r="C731" t="s">
        <v>325</v>
      </c>
      <c r="D731" t="s">
        <v>352</v>
      </c>
      <c r="E731" t="s">
        <v>353</v>
      </c>
      <c r="F731">
        <v>2</v>
      </c>
      <c r="G731" s="42">
        <v>45034</v>
      </c>
      <c r="H731">
        <v>32.934600000000003</v>
      </c>
      <c r="I731">
        <v>410.16980000000001</v>
      </c>
      <c r="J731">
        <v>28.874199999999998</v>
      </c>
      <c r="K731">
        <v>439.04399999999998</v>
      </c>
      <c r="L731" t="s">
        <v>323</v>
      </c>
      <c r="N731" s="42">
        <v>44928</v>
      </c>
      <c r="O731" t="s">
        <v>345</v>
      </c>
      <c r="P731" s="42">
        <v>44928</v>
      </c>
      <c r="Q731" t="s">
        <v>345</v>
      </c>
      <c r="R731" t="s">
        <v>320</v>
      </c>
      <c r="S731" t="s">
        <v>323</v>
      </c>
      <c r="U731">
        <v>7.6</v>
      </c>
    </row>
    <row r="732" spans="1:25">
      <c r="C732" t="s">
        <v>329</v>
      </c>
      <c r="D732" t="s">
        <v>342</v>
      </c>
      <c r="E732" t="s">
        <v>343</v>
      </c>
      <c r="F732">
        <v>1</v>
      </c>
      <c r="G732" s="42">
        <v>45034</v>
      </c>
      <c r="H732">
        <v>76</v>
      </c>
      <c r="I732">
        <v>-49.500900000000001</v>
      </c>
      <c r="J732">
        <v>66.630099999999999</v>
      </c>
      <c r="K732">
        <v>17.129200000000001</v>
      </c>
      <c r="L732" t="s">
        <v>323</v>
      </c>
      <c r="N732" s="42">
        <v>44922</v>
      </c>
      <c r="O732" t="s">
        <v>333</v>
      </c>
      <c r="P732" s="42">
        <v>44922</v>
      </c>
      <c r="Q732" t="s">
        <v>333</v>
      </c>
      <c r="R732" t="s">
        <v>320</v>
      </c>
      <c r="S732" t="s">
        <v>323</v>
      </c>
      <c r="U732">
        <v>7.6</v>
      </c>
    </row>
    <row r="733" spans="1:25">
      <c r="N733" s="42">
        <v>44921</v>
      </c>
      <c r="O733" t="s">
        <v>345</v>
      </c>
      <c r="P733" s="42">
        <v>44921</v>
      </c>
      <c r="Q733" t="s">
        <v>345</v>
      </c>
      <c r="R733" t="s">
        <v>320</v>
      </c>
      <c r="S733" t="s">
        <v>323</v>
      </c>
      <c r="U733">
        <v>7.6</v>
      </c>
    </row>
    <row r="734" spans="1:25">
      <c r="N734" s="42">
        <v>44902</v>
      </c>
      <c r="O734" t="s">
        <v>328</v>
      </c>
      <c r="P734" s="42">
        <v>44902</v>
      </c>
      <c r="Q734" t="s">
        <v>328</v>
      </c>
      <c r="R734" t="s">
        <v>329</v>
      </c>
      <c r="S734" t="s">
        <v>323</v>
      </c>
      <c r="T734">
        <v>7.6</v>
      </c>
      <c r="W734" t="s">
        <v>330</v>
      </c>
      <c r="Y734" s="42">
        <v>44915</v>
      </c>
    </row>
    <row r="735" spans="1:25">
      <c r="N735" s="42">
        <v>44901</v>
      </c>
      <c r="O735" t="s">
        <v>333</v>
      </c>
      <c r="P735" s="42">
        <v>44901</v>
      </c>
      <c r="Q735" t="s">
        <v>333</v>
      </c>
      <c r="R735" t="s">
        <v>320</v>
      </c>
      <c r="S735" t="s">
        <v>323</v>
      </c>
      <c r="T735">
        <v>7.6</v>
      </c>
      <c r="Y735" s="42">
        <v>44901</v>
      </c>
    </row>
    <row r="736" spans="1:25">
      <c r="N736" s="42">
        <v>44900</v>
      </c>
      <c r="O736" t="s">
        <v>345</v>
      </c>
      <c r="P736" s="42">
        <v>44900</v>
      </c>
      <c r="Q736" t="s">
        <v>345</v>
      </c>
      <c r="R736" t="s">
        <v>320</v>
      </c>
      <c r="S736" t="s">
        <v>323</v>
      </c>
      <c r="T736">
        <v>7.6</v>
      </c>
      <c r="Y736" s="42">
        <v>44901</v>
      </c>
    </row>
    <row r="737" spans="14:25">
      <c r="N737" s="42">
        <v>44897</v>
      </c>
      <c r="O737" t="s">
        <v>346</v>
      </c>
      <c r="P737" s="42">
        <v>44897</v>
      </c>
      <c r="Q737" t="s">
        <v>346</v>
      </c>
      <c r="R737" t="s">
        <v>329</v>
      </c>
      <c r="S737" t="s">
        <v>323</v>
      </c>
      <c r="T737">
        <v>7.6</v>
      </c>
      <c r="W737" t="s">
        <v>330</v>
      </c>
      <c r="Y737" s="42">
        <v>44901</v>
      </c>
    </row>
    <row r="738" spans="14:25">
      <c r="N738" s="42">
        <v>44896</v>
      </c>
      <c r="O738" t="s">
        <v>324</v>
      </c>
      <c r="P738" s="42">
        <v>44896</v>
      </c>
      <c r="Q738" t="s">
        <v>324</v>
      </c>
      <c r="R738" t="s">
        <v>329</v>
      </c>
      <c r="S738" t="s">
        <v>323</v>
      </c>
      <c r="T738">
        <v>7.6</v>
      </c>
      <c r="W738" t="s">
        <v>330</v>
      </c>
      <c r="Y738" s="42">
        <v>44901</v>
      </c>
    </row>
    <row r="739" spans="14:25">
      <c r="N739" s="42">
        <v>44895</v>
      </c>
      <c r="O739" t="s">
        <v>328</v>
      </c>
      <c r="P739" s="42">
        <v>44895</v>
      </c>
      <c r="Q739" t="s">
        <v>328</v>
      </c>
      <c r="R739" t="s">
        <v>329</v>
      </c>
      <c r="S739" t="s">
        <v>323</v>
      </c>
      <c r="T739">
        <v>7.6</v>
      </c>
      <c r="W739" t="s">
        <v>330</v>
      </c>
      <c r="Y739" s="42">
        <v>44901</v>
      </c>
    </row>
    <row r="740" spans="14:25">
      <c r="N740" s="42">
        <v>44894</v>
      </c>
      <c r="O740" t="s">
        <v>333</v>
      </c>
      <c r="P740" s="42">
        <v>44894</v>
      </c>
      <c r="Q740" t="s">
        <v>333</v>
      </c>
      <c r="R740" t="s">
        <v>329</v>
      </c>
      <c r="S740" t="s">
        <v>323</v>
      </c>
      <c r="T740">
        <v>7.6</v>
      </c>
      <c r="W740" t="s">
        <v>330</v>
      </c>
      <c r="Y740" s="42">
        <v>44901</v>
      </c>
    </row>
    <row r="741" spans="14:25">
      <c r="N741" s="42">
        <v>44893</v>
      </c>
      <c r="O741" t="s">
        <v>345</v>
      </c>
      <c r="P741" s="42">
        <v>44893</v>
      </c>
      <c r="Q741" t="s">
        <v>345</v>
      </c>
      <c r="R741" t="s">
        <v>329</v>
      </c>
      <c r="S741" t="s">
        <v>323</v>
      </c>
      <c r="T741">
        <v>7.6</v>
      </c>
      <c r="W741" t="s">
        <v>330</v>
      </c>
      <c r="Y741" s="42">
        <v>44901</v>
      </c>
    </row>
    <row r="742" spans="14:25">
      <c r="N742" s="42">
        <v>44883</v>
      </c>
      <c r="O742" t="s">
        <v>346</v>
      </c>
      <c r="P742" s="42">
        <v>44883</v>
      </c>
      <c r="Q742" t="s">
        <v>346</v>
      </c>
      <c r="R742" t="s">
        <v>320</v>
      </c>
      <c r="S742" t="s">
        <v>323</v>
      </c>
      <c r="T742">
        <v>7.6</v>
      </c>
      <c r="Y742" s="42">
        <v>44887</v>
      </c>
    </row>
    <row r="743" spans="14:25">
      <c r="N743" s="42">
        <v>44880</v>
      </c>
      <c r="O743" t="s">
        <v>333</v>
      </c>
      <c r="P743" s="42">
        <v>44880</v>
      </c>
      <c r="Q743" t="s">
        <v>333</v>
      </c>
      <c r="R743" t="s">
        <v>329</v>
      </c>
      <c r="S743" t="s">
        <v>323</v>
      </c>
      <c r="T743">
        <v>7.6</v>
      </c>
      <c r="W743" t="s">
        <v>330</v>
      </c>
      <c r="Y743" s="42">
        <v>44887</v>
      </c>
    </row>
    <row r="744" spans="14:25">
      <c r="N744" s="42">
        <v>44853</v>
      </c>
      <c r="O744" t="s">
        <v>328</v>
      </c>
      <c r="P744" s="42">
        <v>44853</v>
      </c>
      <c r="Q744" t="s">
        <v>328</v>
      </c>
      <c r="R744" t="s">
        <v>329</v>
      </c>
      <c r="S744" t="s">
        <v>323</v>
      </c>
      <c r="T744">
        <v>7.6</v>
      </c>
      <c r="W744" t="s">
        <v>330</v>
      </c>
      <c r="Y744" s="42">
        <v>44859</v>
      </c>
    </row>
    <row r="745" spans="14:25">
      <c r="N745" s="42">
        <v>44852</v>
      </c>
      <c r="O745" t="s">
        <v>333</v>
      </c>
      <c r="P745" s="42">
        <v>44852</v>
      </c>
      <c r="Q745" t="s">
        <v>333</v>
      </c>
      <c r="R745" t="s">
        <v>329</v>
      </c>
      <c r="S745" t="s">
        <v>323</v>
      </c>
      <c r="T745">
        <v>7.6</v>
      </c>
      <c r="W745" t="s">
        <v>330</v>
      </c>
      <c r="Y745" s="42">
        <v>44859</v>
      </c>
    </row>
    <row r="746" spans="14:25">
      <c r="N746" s="42">
        <v>44851</v>
      </c>
      <c r="O746" t="s">
        <v>345</v>
      </c>
      <c r="P746" s="42">
        <v>44851</v>
      </c>
      <c r="Q746" t="s">
        <v>345</v>
      </c>
      <c r="R746" t="s">
        <v>320</v>
      </c>
      <c r="S746" t="s">
        <v>323</v>
      </c>
      <c r="T746">
        <v>6</v>
      </c>
      <c r="Y746" s="42">
        <v>44859</v>
      </c>
    </row>
    <row r="747" spans="14:25">
      <c r="N747" s="42">
        <v>44837</v>
      </c>
      <c r="O747" t="s">
        <v>345</v>
      </c>
      <c r="P747" s="42">
        <v>44837</v>
      </c>
      <c r="Q747" t="s">
        <v>345</v>
      </c>
      <c r="R747" t="s">
        <v>320</v>
      </c>
      <c r="S747" t="s">
        <v>323</v>
      </c>
      <c r="U747">
        <v>7.6</v>
      </c>
    </row>
    <row r="748" spans="14:25">
      <c r="N748" s="42">
        <v>44826</v>
      </c>
      <c r="O748" t="s">
        <v>324</v>
      </c>
      <c r="P748" s="42">
        <v>44826</v>
      </c>
      <c r="Q748" t="s">
        <v>324</v>
      </c>
      <c r="R748" t="s">
        <v>320</v>
      </c>
      <c r="S748" t="s">
        <v>323</v>
      </c>
      <c r="U748">
        <v>7.6</v>
      </c>
    </row>
    <row r="749" spans="14:25">
      <c r="N749" s="42">
        <v>44735</v>
      </c>
      <c r="O749" t="s">
        <v>324</v>
      </c>
      <c r="P749" s="42">
        <v>44735</v>
      </c>
      <c r="Q749" t="s">
        <v>324</v>
      </c>
      <c r="R749" t="s">
        <v>329</v>
      </c>
      <c r="S749" t="s">
        <v>323</v>
      </c>
      <c r="T749">
        <v>7.6</v>
      </c>
      <c r="W749" t="s">
        <v>330</v>
      </c>
      <c r="Y749" s="42">
        <v>44747</v>
      </c>
    </row>
    <row r="750" spans="14:25">
      <c r="N750" s="42">
        <v>44734</v>
      </c>
      <c r="O750" t="s">
        <v>328</v>
      </c>
      <c r="P750" s="42">
        <v>44734</v>
      </c>
      <c r="Q750" t="s">
        <v>328</v>
      </c>
      <c r="R750" t="s">
        <v>329</v>
      </c>
      <c r="S750" t="s">
        <v>323</v>
      </c>
      <c r="T750">
        <v>7.6</v>
      </c>
      <c r="W750" t="s">
        <v>330</v>
      </c>
      <c r="Y750" s="42">
        <v>44747</v>
      </c>
    </row>
    <row r="751" spans="14:25">
      <c r="N751" s="42">
        <v>44725</v>
      </c>
      <c r="O751" t="s">
        <v>345</v>
      </c>
      <c r="P751" s="42">
        <v>44725</v>
      </c>
      <c r="Q751" t="s">
        <v>345</v>
      </c>
      <c r="R751" t="s">
        <v>320</v>
      </c>
      <c r="S751" t="s">
        <v>323</v>
      </c>
      <c r="U751">
        <v>7.6</v>
      </c>
    </row>
    <row r="752" spans="14:25">
      <c r="N752" s="42">
        <v>44694</v>
      </c>
      <c r="O752" t="s">
        <v>346</v>
      </c>
      <c r="P752" s="42">
        <v>44694</v>
      </c>
      <c r="Q752" t="s">
        <v>346</v>
      </c>
      <c r="R752" t="s">
        <v>329</v>
      </c>
      <c r="S752" t="s">
        <v>323</v>
      </c>
      <c r="T752">
        <v>4</v>
      </c>
      <c r="W752" t="s">
        <v>330</v>
      </c>
      <c r="Y752" s="42">
        <v>44705</v>
      </c>
    </row>
    <row r="753" spans="14:25">
      <c r="N753" s="42">
        <v>44693</v>
      </c>
      <c r="O753" t="s">
        <v>324</v>
      </c>
      <c r="P753" s="42">
        <v>44693</v>
      </c>
      <c r="Q753" t="s">
        <v>324</v>
      </c>
      <c r="R753" t="s">
        <v>329</v>
      </c>
      <c r="S753" t="s">
        <v>323</v>
      </c>
      <c r="T753">
        <v>7.6</v>
      </c>
      <c r="W753" t="s">
        <v>330</v>
      </c>
      <c r="Y753" s="42">
        <v>44705</v>
      </c>
    </row>
    <row r="754" spans="14:25">
      <c r="N754" s="42">
        <v>44676</v>
      </c>
      <c r="O754" t="s">
        <v>345</v>
      </c>
      <c r="P754" s="42">
        <v>44676</v>
      </c>
      <c r="Q754" t="s">
        <v>345</v>
      </c>
      <c r="R754" t="s">
        <v>320</v>
      </c>
      <c r="S754" t="s">
        <v>323</v>
      </c>
      <c r="U754">
        <v>7.6</v>
      </c>
    </row>
    <row r="755" spans="14:25">
      <c r="N755" s="42">
        <v>44669</v>
      </c>
      <c r="O755" t="s">
        <v>345</v>
      </c>
      <c r="P755" s="42">
        <v>44669</v>
      </c>
      <c r="Q755" t="s">
        <v>345</v>
      </c>
      <c r="R755" t="s">
        <v>320</v>
      </c>
      <c r="S755" t="s">
        <v>323</v>
      </c>
      <c r="U755">
        <v>7.6</v>
      </c>
    </row>
    <row r="756" spans="14:25">
      <c r="N756" s="42">
        <v>44666</v>
      </c>
      <c r="O756" t="s">
        <v>346</v>
      </c>
      <c r="P756" s="42">
        <v>44666</v>
      </c>
      <c r="Q756" t="s">
        <v>346</v>
      </c>
      <c r="R756" t="s">
        <v>320</v>
      </c>
      <c r="S756" t="s">
        <v>323</v>
      </c>
      <c r="U756">
        <v>7.6</v>
      </c>
    </row>
    <row r="757" spans="14:25">
      <c r="N757" s="42">
        <v>44645</v>
      </c>
      <c r="O757" t="s">
        <v>346</v>
      </c>
      <c r="P757" s="42">
        <v>44645</v>
      </c>
      <c r="Q757" t="s">
        <v>346</v>
      </c>
      <c r="R757" t="s">
        <v>320</v>
      </c>
      <c r="S757" t="s">
        <v>323</v>
      </c>
      <c r="T757">
        <v>7.6</v>
      </c>
      <c r="Y757" s="42">
        <v>44649</v>
      </c>
    </row>
    <row r="758" spans="14:25">
      <c r="N758" s="42">
        <v>44644</v>
      </c>
      <c r="O758" t="s">
        <v>324</v>
      </c>
      <c r="P758" s="42">
        <v>44644</v>
      </c>
      <c r="Q758" t="s">
        <v>324</v>
      </c>
      <c r="R758" t="s">
        <v>320</v>
      </c>
      <c r="S758" t="s">
        <v>323</v>
      </c>
      <c r="T758">
        <v>7.6</v>
      </c>
      <c r="Y758" s="42">
        <v>44649</v>
      </c>
    </row>
    <row r="759" spans="14:25">
      <c r="N759" s="42">
        <v>44613</v>
      </c>
      <c r="O759" t="s">
        <v>345</v>
      </c>
      <c r="P759" s="42">
        <v>44613</v>
      </c>
      <c r="Q759" t="s">
        <v>345</v>
      </c>
      <c r="R759" t="s">
        <v>320</v>
      </c>
      <c r="S759" t="s">
        <v>323</v>
      </c>
      <c r="T759">
        <v>7.6</v>
      </c>
      <c r="Y759" s="42">
        <v>44621</v>
      </c>
    </row>
    <row r="760" spans="14:25">
      <c r="N760" s="42">
        <v>44601</v>
      </c>
      <c r="O760" t="s">
        <v>328</v>
      </c>
      <c r="P760" s="42">
        <v>44601</v>
      </c>
      <c r="Q760" t="s">
        <v>328</v>
      </c>
      <c r="R760" t="s">
        <v>320</v>
      </c>
      <c r="S760" t="s">
        <v>323</v>
      </c>
      <c r="T760">
        <v>3.5</v>
      </c>
      <c r="Y760" s="42">
        <v>44607</v>
      </c>
    </row>
    <row r="761" spans="14:25">
      <c r="N761" s="42">
        <v>44587</v>
      </c>
      <c r="O761" t="s">
        <v>328</v>
      </c>
      <c r="P761" s="42">
        <v>44587</v>
      </c>
      <c r="Q761" t="s">
        <v>328</v>
      </c>
      <c r="R761" t="s">
        <v>320</v>
      </c>
      <c r="S761" t="s">
        <v>323</v>
      </c>
      <c r="U761">
        <v>7.6</v>
      </c>
    </row>
    <row r="762" spans="14:25">
      <c r="N762" s="42">
        <v>44572</v>
      </c>
      <c r="O762" t="s">
        <v>333</v>
      </c>
      <c r="P762" s="42">
        <v>44572</v>
      </c>
      <c r="Q762" t="s">
        <v>333</v>
      </c>
      <c r="R762" t="s">
        <v>320</v>
      </c>
      <c r="S762" t="s">
        <v>323</v>
      </c>
      <c r="T762">
        <v>1.5</v>
      </c>
      <c r="Y762" s="42">
        <v>44579</v>
      </c>
    </row>
    <row r="763" spans="14:25">
      <c r="N763" s="42">
        <v>44571</v>
      </c>
      <c r="O763" t="s">
        <v>345</v>
      </c>
      <c r="P763" s="42">
        <v>44571</v>
      </c>
      <c r="Q763" t="s">
        <v>345</v>
      </c>
      <c r="R763" t="s">
        <v>320</v>
      </c>
      <c r="S763" t="s">
        <v>323</v>
      </c>
      <c r="T763">
        <v>7.6</v>
      </c>
      <c r="Y763" s="42">
        <v>44579</v>
      </c>
    </row>
    <row r="764" spans="14:25">
      <c r="N764" s="42">
        <v>44565</v>
      </c>
      <c r="O764" t="s">
        <v>333</v>
      </c>
      <c r="P764" s="42">
        <v>44565</v>
      </c>
      <c r="Q764" t="s">
        <v>333</v>
      </c>
      <c r="R764" t="s">
        <v>320</v>
      </c>
      <c r="S764" t="s">
        <v>323</v>
      </c>
      <c r="T764">
        <v>0.5</v>
      </c>
      <c r="Y764" s="42">
        <v>44565</v>
      </c>
    </row>
    <row r="765" spans="14:25">
      <c r="N765" s="42">
        <v>44564</v>
      </c>
      <c r="O765" t="s">
        <v>345</v>
      </c>
      <c r="P765" s="42">
        <v>44564</v>
      </c>
      <c r="Q765" t="s">
        <v>345</v>
      </c>
      <c r="R765" t="s">
        <v>320</v>
      </c>
      <c r="S765" t="s">
        <v>323</v>
      </c>
      <c r="U765">
        <v>7.6</v>
      </c>
    </row>
    <row r="766" spans="14:25">
      <c r="N766" s="42">
        <v>44558</v>
      </c>
      <c r="O766" t="s">
        <v>333</v>
      </c>
      <c r="P766" s="42">
        <v>44558</v>
      </c>
      <c r="Q766" t="s">
        <v>333</v>
      </c>
      <c r="R766" t="s">
        <v>320</v>
      </c>
      <c r="S766" t="s">
        <v>323</v>
      </c>
      <c r="U766">
        <v>7.6</v>
      </c>
    </row>
    <row r="767" spans="14:25">
      <c r="N767" s="42">
        <v>44557</v>
      </c>
      <c r="O767" t="s">
        <v>345</v>
      </c>
      <c r="P767" s="42">
        <v>44557</v>
      </c>
      <c r="Q767" t="s">
        <v>345</v>
      </c>
      <c r="R767" t="s">
        <v>320</v>
      </c>
      <c r="S767" t="s">
        <v>323</v>
      </c>
      <c r="U767">
        <v>7.6</v>
      </c>
    </row>
    <row r="768" spans="14:25">
      <c r="N768" s="42">
        <v>44554</v>
      </c>
      <c r="O768" t="s">
        <v>346</v>
      </c>
      <c r="P768" s="42">
        <v>44554</v>
      </c>
      <c r="Q768" t="s">
        <v>346</v>
      </c>
      <c r="R768" t="s">
        <v>320</v>
      </c>
      <c r="S768" t="s">
        <v>323</v>
      </c>
      <c r="T768">
        <v>7.6</v>
      </c>
      <c r="Y768" s="42">
        <v>44565</v>
      </c>
    </row>
    <row r="769" spans="14:25">
      <c r="N769" s="42">
        <v>44489</v>
      </c>
      <c r="O769" t="s">
        <v>328</v>
      </c>
      <c r="P769" s="42">
        <v>44489</v>
      </c>
      <c r="Q769" t="s">
        <v>328</v>
      </c>
      <c r="R769" t="s">
        <v>320</v>
      </c>
      <c r="S769" t="s">
        <v>323</v>
      </c>
      <c r="T769">
        <v>0.5</v>
      </c>
      <c r="Y769" s="42">
        <v>44495</v>
      </c>
    </row>
    <row r="770" spans="14:25">
      <c r="N770" s="42">
        <v>44473</v>
      </c>
      <c r="O770" t="s">
        <v>345</v>
      </c>
      <c r="P770" s="42">
        <v>44473</v>
      </c>
      <c r="Q770" t="s">
        <v>345</v>
      </c>
      <c r="R770" t="s">
        <v>320</v>
      </c>
      <c r="S770" t="s">
        <v>323</v>
      </c>
      <c r="U770">
        <v>7.6</v>
      </c>
    </row>
    <row r="771" spans="14:25">
      <c r="N771" s="42">
        <v>44470</v>
      </c>
      <c r="O771" t="s">
        <v>346</v>
      </c>
      <c r="P771" s="42">
        <v>44470</v>
      </c>
      <c r="Q771" t="s">
        <v>346</v>
      </c>
      <c r="R771" t="s">
        <v>320</v>
      </c>
      <c r="S771" t="s">
        <v>323</v>
      </c>
      <c r="T771">
        <v>7.6</v>
      </c>
      <c r="Y771" s="42">
        <v>44481</v>
      </c>
    </row>
    <row r="772" spans="14:25">
      <c r="N772" s="42">
        <v>44469</v>
      </c>
      <c r="O772" t="s">
        <v>324</v>
      </c>
      <c r="P772" s="42">
        <v>44469</v>
      </c>
      <c r="Q772" t="s">
        <v>324</v>
      </c>
      <c r="R772" t="s">
        <v>320</v>
      </c>
      <c r="S772" t="s">
        <v>323</v>
      </c>
      <c r="T772">
        <v>7.6</v>
      </c>
      <c r="Y772" s="42">
        <v>44481</v>
      </c>
    </row>
    <row r="773" spans="14:25">
      <c r="N773" s="42">
        <v>44468</v>
      </c>
      <c r="O773" t="s">
        <v>328</v>
      </c>
      <c r="P773" s="42">
        <v>44468</v>
      </c>
      <c r="Q773" t="s">
        <v>328</v>
      </c>
      <c r="R773" t="s">
        <v>320</v>
      </c>
      <c r="S773" t="s">
        <v>323</v>
      </c>
      <c r="T773">
        <v>7.6</v>
      </c>
      <c r="Y773" s="42">
        <v>44481</v>
      </c>
    </row>
    <row r="774" spans="14:25">
      <c r="N774" s="42">
        <v>44467</v>
      </c>
      <c r="O774" t="s">
        <v>333</v>
      </c>
      <c r="P774" s="42">
        <v>44467</v>
      </c>
      <c r="Q774" t="s">
        <v>333</v>
      </c>
      <c r="R774" t="s">
        <v>320</v>
      </c>
      <c r="S774" t="s">
        <v>323</v>
      </c>
      <c r="T774">
        <v>7.6</v>
      </c>
      <c r="Y774" s="42">
        <v>44467</v>
      </c>
    </row>
    <row r="775" spans="14:25">
      <c r="N775" s="42">
        <v>44466</v>
      </c>
      <c r="O775" t="s">
        <v>345</v>
      </c>
      <c r="P775" s="42">
        <v>44466</v>
      </c>
      <c r="Q775" t="s">
        <v>345</v>
      </c>
      <c r="R775" t="s">
        <v>320</v>
      </c>
      <c r="S775" t="s">
        <v>323</v>
      </c>
      <c r="T775">
        <v>7.6</v>
      </c>
      <c r="Y775" s="42">
        <v>44467</v>
      </c>
    </row>
    <row r="776" spans="14:25">
      <c r="N776" s="42">
        <v>44463</v>
      </c>
      <c r="O776" t="s">
        <v>346</v>
      </c>
      <c r="P776" s="42">
        <v>44463</v>
      </c>
      <c r="Q776" t="s">
        <v>346</v>
      </c>
      <c r="R776" t="s">
        <v>320</v>
      </c>
      <c r="S776" t="s">
        <v>323</v>
      </c>
      <c r="T776">
        <v>7.6</v>
      </c>
      <c r="Y776" s="42">
        <v>44467</v>
      </c>
    </row>
    <row r="777" spans="14:25">
      <c r="N777" s="42">
        <v>44462</v>
      </c>
      <c r="O777" t="s">
        <v>324</v>
      </c>
      <c r="P777" s="42">
        <v>44462</v>
      </c>
      <c r="Q777" t="s">
        <v>324</v>
      </c>
      <c r="R777" t="s">
        <v>320</v>
      </c>
      <c r="S777" t="s">
        <v>323</v>
      </c>
      <c r="T777">
        <v>7.6</v>
      </c>
      <c r="Y777" s="42">
        <v>44467</v>
      </c>
    </row>
    <row r="778" spans="14:25">
      <c r="N778" s="42">
        <v>44461</v>
      </c>
      <c r="O778" t="s">
        <v>328</v>
      </c>
      <c r="P778" s="42">
        <v>44461</v>
      </c>
      <c r="Q778" t="s">
        <v>328</v>
      </c>
      <c r="R778" t="s">
        <v>320</v>
      </c>
      <c r="S778" t="s">
        <v>323</v>
      </c>
      <c r="T778">
        <v>7.6</v>
      </c>
      <c r="Y778" s="42">
        <v>44467</v>
      </c>
    </row>
    <row r="779" spans="14:25">
      <c r="N779" s="42">
        <v>44460</v>
      </c>
      <c r="O779" t="s">
        <v>333</v>
      </c>
      <c r="P779" s="42">
        <v>44460</v>
      </c>
      <c r="Q779" t="s">
        <v>333</v>
      </c>
      <c r="R779" t="s">
        <v>329</v>
      </c>
      <c r="S779" t="s">
        <v>323</v>
      </c>
      <c r="T779">
        <v>7.6</v>
      </c>
      <c r="W779" t="s">
        <v>330</v>
      </c>
      <c r="Y779" s="42">
        <v>44467</v>
      </c>
    </row>
    <row r="780" spans="14:25">
      <c r="N780" s="42">
        <v>44459</v>
      </c>
      <c r="O780" t="s">
        <v>345</v>
      </c>
      <c r="P780" s="42">
        <v>44459</v>
      </c>
      <c r="Q780" t="s">
        <v>345</v>
      </c>
      <c r="R780" t="s">
        <v>329</v>
      </c>
      <c r="S780" t="s">
        <v>323</v>
      </c>
      <c r="T780">
        <v>7.6</v>
      </c>
      <c r="W780" t="s">
        <v>330</v>
      </c>
      <c r="Y780" s="42">
        <v>44467</v>
      </c>
    </row>
    <row r="781" spans="14:25">
      <c r="N781" s="42">
        <v>44371</v>
      </c>
      <c r="O781" t="s">
        <v>324</v>
      </c>
      <c r="P781" s="42">
        <v>44371</v>
      </c>
      <c r="Q781" t="s">
        <v>324</v>
      </c>
      <c r="R781" t="s">
        <v>329</v>
      </c>
      <c r="S781" t="s">
        <v>323</v>
      </c>
      <c r="T781">
        <v>7.6</v>
      </c>
      <c r="W781" t="s">
        <v>330</v>
      </c>
      <c r="Y781" s="42">
        <v>44383</v>
      </c>
    </row>
    <row r="782" spans="14:25">
      <c r="N782" s="42">
        <v>44370</v>
      </c>
      <c r="O782" t="s">
        <v>328</v>
      </c>
      <c r="P782" s="42">
        <v>44370</v>
      </c>
      <c r="Q782" t="s">
        <v>328</v>
      </c>
      <c r="R782" t="s">
        <v>329</v>
      </c>
      <c r="S782" t="s">
        <v>323</v>
      </c>
      <c r="T782">
        <v>5.75</v>
      </c>
      <c r="W782" t="s">
        <v>330</v>
      </c>
      <c r="Y782" s="42">
        <v>44383</v>
      </c>
    </row>
    <row r="783" spans="14:25">
      <c r="N783" s="42">
        <v>44365</v>
      </c>
      <c r="O783" t="s">
        <v>346</v>
      </c>
      <c r="P783" s="42">
        <v>44365</v>
      </c>
      <c r="Q783" t="s">
        <v>346</v>
      </c>
      <c r="R783" t="s">
        <v>320</v>
      </c>
      <c r="S783" t="s">
        <v>323</v>
      </c>
      <c r="T783">
        <v>7.6</v>
      </c>
      <c r="Y783" s="42">
        <v>44369</v>
      </c>
    </row>
    <row r="784" spans="14:25">
      <c r="N784" s="42">
        <v>44361</v>
      </c>
      <c r="O784" t="s">
        <v>345</v>
      </c>
      <c r="P784" s="42">
        <v>44361</v>
      </c>
      <c r="Q784" t="s">
        <v>345</v>
      </c>
      <c r="R784" t="s">
        <v>320</v>
      </c>
      <c r="S784" t="s">
        <v>323</v>
      </c>
      <c r="U784">
        <v>7.6</v>
      </c>
    </row>
    <row r="785" spans="14:25">
      <c r="N785" s="42">
        <v>44329</v>
      </c>
      <c r="O785" t="s">
        <v>324</v>
      </c>
      <c r="P785" s="42">
        <v>44329</v>
      </c>
      <c r="Q785" t="s">
        <v>324</v>
      </c>
      <c r="R785" t="s">
        <v>329</v>
      </c>
      <c r="S785" t="s">
        <v>323</v>
      </c>
      <c r="T785">
        <v>7.6</v>
      </c>
      <c r="W785" t="s">
        <v>330</v>
      </c>
      <c r="Y785" s="42">
        <v>44341</v>
      </c>
    </row>
    <row r="786" spans="14:25">
      <c r="N786" s="42">
        <v>44298</v>
      </c>
      <c r="O786" t="s">
        <v>345</v>
      </c>
      <c r="P786" s="42">
        <v>44298</v>
      </c>
      <c r="Q786" t="s">
        <v>345</v>
      </c>
      <c r="R786" t="s">
        <v>320</v>
      </c>
      <c r="S786" t="s">
        <v>323</v>
      </c>
      <c r="T786">
        <v>7.6</v>
      </c>
      <c r="Y786" s="42">
        <v>44299</v>
      </c>
    </row>
    <row r="787" spans="14:25">
      <c r="N787" s="42">
        <v>44291</v>
      </c>
      <c r="O787" t="s">
        <v>345</v>
      </c>
      <c r="P787" s="42">
        <v>44291</v>
      </c>
      <c r="Q787" t="s">
        <v>345</v>
      </c>
      <c r="R787" t="s">
        <v>320</v>
      </c>
      <c r="S787" t="s">
        <v>323</v>
      </c>
      <c r="U787">
        <v>7.6</v>
      </c>
    </row>
    <row r="788" spans="14:25">
      <c r="N788" s="42">
        <v>44288</v>
      </c>
      <c r="O788" t="s">
        <v>346</v>
      </c>
      <c r="P788" s="42">
        <v>44288</v>
      </c>
      <c r="Q788" t="s">
        <v>346</v>
      </c>
      <c r="R788" t="s">
        <v>320</v>
      </c>
      <c r="S788" t="s">
        <v>323</v>
      </c>
      <c r="U788">
        <v>7.6</v>
      </c>
    </row>
    <row r="789" spans="14:25">
      <c r="N789" s="42">
        <v>44246</v>
      </c>
      <c r="O789" t="s">
        <v>346</v>
      </c>
      <c r="P789" s="42">
        <v>44246</v>
      </c>
      <c r="Q789" t="s">
        <v>346</v>
      </c>
      <c r="R789" t="s">
        <v>320</v>
      </c>
      <c r="S789" t="s">
        <v>323</v>
      </c>
      <c r="T789">
        <v>7.6</v>
      </c>
      <c r="Y789" s="42">
        <v>44257</v>
      </c>
    </row>
    <row r="790" spans="14:25">
      <c r="N790" s="42">
        <v>44245</v>
      </c>
      <c r="O790" t="s">
        <v>324</v>
      </c>
      <c r="P790" s="42">
        <v>44245</v>
      </c>
      <c r="Q790" t="s">
        <v>324</v>
      </c>
      <c r="R790" t="s">
        <v>320</v>
      </c>
      <c r="S790" t="s">
        <v>323</v>
      </c>
      <c r="T790">
        <v>7.6</v>
      </c>
      <c r="Y790" s="42">
        <v>44257</v>
      </c>
    </row>
    <row r="791" spans="14:25">
      <c r="N791" s="42">
        <v>44244</v>
      </c>
      <c r="O791" t="s">
        <v>328</v>
      </c>
      <c r="P791" s="42">
        <v>44244</v>
      </c>
      <c r="Q791" t="s">
        <v>328</v>
      </c>
      <c r="R791" t="s">
        <v>320</v>
      </c>
      <c r="S791" t="s">
        <v>323</v>
      </c>
      <c r="T791">
        <v>7.6</v>
      </c>
      <c r="Y791" s="42">
        <v>44257</v>
      </c>
    </row>
    <row r="792" spans="14:25">
      <c r="N792" s="42">
        <v>44243</v>
      </c>
      <c r="O792" t="s">
        <v>333</v>
      </c>
      <c r="P792" s="42">
        <v>44243</v>
      </c>
      <c r="Q792" t="s">
        <v>333</v>
      </c>
      <c r="R792" t="s">
        <v>320</v>
      </c>
      <c r="S792" t="s">
        <v>323</v>
      </c>
      <c r="T792">
        <v>7.6</v>
      </c>
      <c r="Y792" s="42">
        <v>44243</v>
      </c>
    </row>
    <row r="793" spans="14:25">
      <c r="N793" s="42">
        <v>44239</v>
      </c>
      <c r="O793" t="s">
        <v>346</v>
      </c>
      <c r="P793" s="42">
        <v>44239</v>
      </c>
      <c r="Q793" t="s">
        <v>346</v>
      </c>
      <c r="R793" t="s">
        <v>320</v>
      </c>
      <c r="S793" t="s">
        <v>323</v>
      </c>
      <c r="T793">
        <v>7.6</v>
      </c>
      <c r="Y793" s="42">
        <v>44243</v>
      </c>
    </row>
    <row r="794" spans="14:25">
      <c r="N794" s="42">
        <v>44238</v>
      </c>
      <c r="O794" t="s">
        <v>324</v>
      </c>
      <c r="P794" s="42">
        <v>44238</v>
      </c>
      <c r="Q794" t="s">
        <v>324</v>
      </c>
      <c r="R794" t="s">
        <v>320</v>
      </c>
      <c r="S794" t="s">
        <v>323</v>
      </c>
      <c r="T794">
        <v>7.6</v>
      </c>
      <c r="Y794" s="42">
        <v>44243</v>
      </c>
    </row>
    <row r="795" spans="14:25">
      <c r="N795" s="42">
        <v>44237</v>
      </c>
      <c r="O795" t="s">
        <v>328</v>
      </c>
      <c r="P795" s="42">
        <v>44237</v>
      </c>
      <c r="Q795" t="s">
        <v>328</v>
      </c>
      <c r="R795" t="s">
        <v>320</v>
      </c>
      <c r="S795" t="s">
        <v>323</v>
      </c>
      <c r="T795">
        <v>7.6</v>
      </c>
      <c r="Y795" s="42">
        <v>44243</v>
      </c>
    </row>
    <row r="796" spans="14:25">
      <c r="N796" s="42">
        <v>44236</v>
      </c>
      <c r="O796" t="s">
        <v>333</v>
      </c>
      <c r="P796" s="42">
        <v>44236</v>
      </c>
      <c r="Q796" t="s">
        <v>333</v>
      </c>
      <c r="R796" t="s">
        <v>329</v>
      </c>
      <c r="S796" t="s">
        <v>323</v>
      </c>
      <c r="T796">
        <v>7.6</v>
      </c>
      <c r="W796" t="s">
        <v>330</v>
      </c>
      <c r="Y796" s="42">
        <v>44243</v>
      </c>
    </row>
    <row r="797" spans="14:25">
      <c r="N797" s="42">
        <v>44235</v>
      </c>
      <c r="O797" t="s">
        <v>345</v>
      </c>
      <c r="P797" s="42">
        <v>44235</v>
      </c>
      <c r="Q797" t="s">
        <v>345</v>
      </c>
      <c r="R797" t="s">
        <v>329</v>
      </c>
      <c r="S797" t="s">
        <v>323</v>
      </c>
      <c r="T797">
        <v>7.6</v>
      </c>
      <c r="W797" t="s">
        <v>330</v>
      </c>
      <c r="Y797" s="42">
        <v>44243</v>
      </c>
    </row>
    <row r="798" spans="14:25">
      <c r="N798" s="42">
        <v>44232</v>
      </c>
      <c r="O798" t="s">
        <v>346</v>
      </c>
      <c r="P798" s="42">
        <v>44232</v>
      </c>
      <c r="Q798" t="s">
        <v>346</v>
      </c>
      <c r="R798" t="s">
        <v>329</v>
      </c>
      <c r="S798" t="s">
        <v>323</v>
      </c>
      <c r="T798">
        <v>7.6</v>
      </c>
      <c r="W798" t="s">
        <v>330</v>
      </c>
      <c r="Y798" s="42">
        <v>44243</v>
      </c>
    </row>
    <row r="799" spans="14:25">
      <c r="N799" s="42">
        <v>44231</v>
      </c>
      <c r="O799" t="s">
        <v>324</v>
      </c>
      <c r="P799" s="42">
        <v>44231</v>
      </c>
      <c r="Q799" t="s">
        <v>324</v>
      </c>
      <c r="R799" t="s">
        <v>329</v>
      </c>
      <c r="S799" t="s">
        <v>323</v>
      </c>
      <c r="T799">
        <v>7.6</v>
      </c>
      <c r="W799" t="s">
        <v>330</v>
      </c>
      <c r="Y799" s="42">
        <v>44243</v>
      </c>
    </row>
    <row r="800" spans="14:25">
      <c r="N800" s="42">
        <v>44230</v>
      </c>
      <c r="O800" t="s">
        <v>328</v>
      </c>
      <c r="P800" s="42">
        <v>44230</v>
      </c>
      <c r="Q800" t="s">
        <v>328</v>
      </c>
      <c r="R800" t="s">
        <v>329</v>
      </c>
      <c r="S800" t="s">
        <v>323</v>
      </c>
      <c r="T800">
        <v>7.6</v>
      </c>
      <c r="W800" t="s">
        <v>330</v>
      </c>
      <c r="Y800" s="42">
        <v>44243</v>
      </c>
    </row>
    <row r="801" spans="14:25">
      <c r="N801" s="42">
        <v>44229</v>
      </c>
      <c r="O801" t="s">
        <v>333</v>
      </c>
      <c r="P801" s="42">
        <v>44229</v>
      </c>
      <c r="Q801" t="s">
        <v>333</v>
      </c>
      <c r="R801" t="s">
        <v>329</v>
      </c>
      <c r="S801" t="s">
        <v>323</v>
      </c>
      <c r="T801">
        <v>7.6</v>
      </c>
      <c r="W801" t="s">
        <v>330</v>
      </c>
      <c r="Y801" s="42">
        <v>44229</v>
      </c>
    </row>
    <row r="802" spans="14:25">
      <c r="N802" s="42">
        <v>44222</v>
      </c>
      <c r="O802" t="s">
        <v>333</v>
      </c>
      <c r="P802" s="42">
        <v>44222</v>
      </c>
      <c r="Q802" t="s">
        <v>333</v>
      </c>
      <c r="R802" t="s">
        <v>320</v>
      </c>
      <c r="S802" t="s">
        <v>323</v>
      </c>
      <c r="U802">
        <v>7.6</v>
      </c>
    </row>
    <row r="803" spans="14:25">
      <c r="N803" s="42">
        <v>44209</v>
      </c>
      <c r="O803" t="s">
        <v>328</v>
      </c>
      <c r="P803" s="42">
        <v>44209</v>
      </c>
      <c r="Q803" t="s">
        <v>328</v>
      </c>
      <c r="R803" t="s">
        <v>320</v>
      </c>
      <c r="S803" t="s">
        <v>323</v>
      </c>
      <c r="T803">
        <v>7.6</v>
      </c>
      <c r="Y803" s="42">
        <v>44215</v>
      </c>
    </row>
    <row r="804" spans="14:25">
      <c r="N804" s="42">
        <v>44208</v>
      </c>
      <c r="O804" t="s">
        <v>333</v>
      </c>
      <c r="P804" s="42">
        <v>44208</v>
      </c>
      <c r="Q804" t="s">
        <v>333</v>
      </c>
      <c r="R804" t="s">
        <v>320</v>
      </c>
      <c r="S804" t="s">
        <v>323</v>
      </c>
      <c r="T804">
        <v>7.6</v>
      </c>
      <c r="Y804" s="42">
        <v>44215</v>
      </c>
    </row>
    <row r="805" spans="14:25">
      <c r="N805" s="42">
        <v>44207</v>
      </c>
      <c r="O805" t="s">
        <v>345</v>
      </c>
      <c r="P805" s="42">
        <v>44207</v>
      </c>
      <c r="Q805" t="s">
        <v>345</v>
      </c>
      <c r="R805" t="s">
        <v>320</v>
      </c>
      <c r="S805" t="s">
        <v>323</v>
      </c>
      <c r="T805">
        <v>7.6</v>
      </c>
      <c r="Y805" s="42">
        <v>44215</v>
      </c>
    </row>
    <row r="806" spans="14:25">
      <c r="N806" s="42">
        <v>44204</v>
      </c>
      <c r="O806" t="s">
        <v>346</v>
      </c>
      <c r="P806" s="42">
        <v>44204</v>
      </c>
      <c r="Q806" t="s">
        <v>346</v>
      </c>
      <c r="R806" t="s">
        <v>320</v>
      </c>
      <c r="S806" t="s">
        <v>323</v>
      </c>
      <c r="T806">
        <v>7.6</v>
      </c>
      <c r="Y806" s="42">
        <v>44215</v>
      </c>
    </row>
    <row r="807" spans="14:25">
      <c r="N807" s="42">
        <v>44203</v>
      </c>
      <c r="O807" t="s">
        <v>324</v>
      </c>
      <c r="P807" s="42">
        <v>44203</v>
      </c>
      <c r="Q807" t="s">
        <v>324</v>
      </c>
      <c r="R807" t="s">
        <v>320</v>
      </c>
      <c r="S807" t="s">
        <v>323</v>
      </c>
      <c r="T807">
        <v>7.6</v>
      </c>
      <c r="Y807" s="42">
        <v>44215</v>
      </c>
    </row>
    <row r="808" spans="14:25">
      <c r="N808" s="42">
        <v>44202</v>
      </c>
      <c r="O808" t="s">
        <v>328</v>
      </c>
      <c r="P808" s="42">
        <v>44202</v>
      </c>
      <c r="Q808" t="s">
        <v>328</v>
      </c>
      <c r="R808" t="s">
        <v>320</v>
      </c>
      <c r="S808" t="s">
        <v>323</v>
      </c>
      <c r="T808">
        <v>7.6</v>
      </c>
      <c r="Y808" s="42">
        <v>44215</v>
      </c>
    </row>
    <row r="809" spans="14:25">
      <c r="N809" s="42">
        <v>44201</v>
      </c>
      <c r="O809" t="s">
        <v>333</v>
      </c>
      <c r="P809" s="42">
        <v>44201</v>
      </c>
      <c r="Q809" t="s">
        <v>333</v>
      </c>
      <c r="R809" t="s">
        <v>320</v>
      </c>
      <c r="S809" t="s">
        <v>323</v>
      </c>
      <c r="T809">
        <v>7.6</v>
      </c>
      <c r="Y809" s="42">
        <v>44201</v>
      </c>
    </row>
    <row r="810" spans="14:25">
      <c r="N810" s="42">
        <v>44200</v>
      </c>
      <c r="O810" t="s">
        <v>345</v>
      </c>
      <c r="P810" s="42">
        <v>44200</v>
      </c>
      <c r="Q810" t="s">
        <v>345</v>
      </c>
      <c r="R810" t="s">
        <v>320</v>
      </c>
      <c r="S810" t="s">
        <v>323</v>
      </c>
      <c r="T810">
        <v>7.6</v>
      </c>
      <c r="Y810" s="42">
        <v>44201</v>
      </c>
    </row>
    <row r="811" spans="14:25">
      <c r="N811" s="42">
        <v>44197</v>
      </c>
      <c r="O811" t="s">
        <v>346</v>
      </c>
      <c r="P811" s="42">
        <v>44197</v>
      </c>
      <c r="Q811" t="s">
        <v>346</v>
      </c>
      <c r="R811" t="s">
        <v>320</v>
      </c>
      <c r="S811" t="s">
        <v>323</v>
      </c>
      <c r="U811">
        <v>7.6</v>
      </c>
    </row>
    <row r="812" spans="14:25">
      <c r="N812" s="42">
        <v>44196</v>
      </c>
      <c r="O812" t="s">
        <v>324</v>
      </c>
      <c r="P812" s="42">
        <v>44196</v>
      </c>
      <c r="Q812" t="s">
        <v>324</v>
      </c>
      <c r="R812" t="s">
        <v>320</v>
      </c>
      <c r="S812" t="s">
        <v>323</v>
      </c>
      <c r="T812">
        <v>7.6</v>
      </c>
      <c r="Y812" s="42">
        <v>44201</v>
      </c>
    </row>
    <row r="813" spans="14:25">
      <c r="N813" s="42">
        <v>44195</v>
      </c>
      <c r="O813" t="s">
        <v>328</v>
      </c>
      <c r="P813" s="42">
        <v>44195</v>
      </c>
      <c r="Q813" t="s">
        <v>328</v>
      </c>
      <c r="R813" t="s">
        <v>320</v>
      </c>
      <c r="S813" t="s">
        <v>323</v>
      </c>
      <c r="T813">
        <v>7.6</v>
      </c>
      <c r="Y813" s="42">
        <v>44201</v>
      </c>
    </row>
    <row r="814" spans="14:25">
      <c r="N814" s="42">
        <v>44194</v>
      </c>
      <c r="O814" t="s">
        <v>333</v>
      </c>
      <c r="P814" s="42">
        <v>44194</v>
      </c>
      <c r="Q814" t="s">
        <v>333</v>
      </c>
      <c r="R814" t="s">
        <v>320</v>
      </c>
      <c r="S814" t="s">
        <v>323</v>
      </c>
      <c r="T814">
        <v>7.6</v>
      </c>
      <c r="Y814" s="42">
        <v>44201</v>
      </c>
    </row>
    <row r="815" spans="14:25">
      <c r="N815" s="42">
        <v>44193</v>
      </c>
      <c r="O815" t="s">
        <v>345</v>
      </c>
      <c r="P815" s="42">
        <v>44193</v>
      </c>
      <c r="Q815" t="s">
        <v>345</v>
      </c>
      <c r="R815" t="s">
        <v>320</v>
      </c>
      <c r="S815" t="s">
        <v>323</v>
      </c>
      <c r="U815">
        <v>7.6</v>
      </c>
    </row>
    <row r="816" spans="14:25">
      <c r="N816" s="42">
        <v>44190</v>
      </c>
      <c r="O816" t="s">
        <v>346</v>
      </c>
      <c r="P816" s="42">
        <v>44190</v>
      </c>
      <c r="Q816" t="s">
        <v>346</v>
      </c>
      <c r="R816" t="s">
        <v>320</v>
      </c>
      <c r="S816" t="s">
        <v>323</v>
      </c>
      <c r="U816">
        <v>7.6</v>
      </c>
    </row>
    <row r="817" spans="14:25">
      <c r="N817" s="42">
        <v>44189</v>
      </c>
      <c r="O817" t="s">
        <v>324</v>
      </c>
      <c r="P817" s="42">
        <v>44189</v>
      </c>
      <c r="Q817" t="s">
        <v>324</v>
      </c>
      <c r="R817" t="s">
        <v>320</v>
      </c>
      <c r="S817" t="s">
        <v>323</v>
      </c>
      <c r="T817">
        <v>7.6</v>
      </c>
      <c r="Y817" s="42">
        <v>44201</v>
      </c>
    </row>
    <row r="818" spans="14:25">
      <c r="N818" s="42">
        <v>44183</v>
      </c>
      <c r="O818" t="s">
        <v>346</v>
      </c>
      <c r="P818" s="42">
        <v>44183</v>
      </c>
      <c r="Q818" t="s">
        <v>346</v>
      </c>
      <c r="R818" t="s">
        <v>329</v>
      </c>
      <c r="S818" t="s">
        <v>323</v>
      </c>
      <c r="T818">
        <v>7</v>
      </c>
      <c r="W818" t="s">
        <v>330</v>
      </c>
      <c r="Y818" s="42">
        <v>44187</v>
      </c>
    </row>
    <row r="819" spans="14:25">
      <c r="N819" s="42">
        <v>44127</v>
      </c>
      <c r="O819" t="s">
        <v>346</v>
      </c>
      <c r="P819" s="42">
        <v>44127</v>
      </c>
      <c r="Q819" t="s">
        <v>346</v>
      </c>
      <c r="R819" t="s">
        <v>329</v>
      </c>
      <c r="S819" t="s">
        <v>323</v>
      </c>
      <c r="T819">
        <v>7.6</v>
      </c>
      <c r="W819" t="s">
        <v>330</v>
      </c>
      <c r="Y819" s="42">
        <v>44131</v>
      </c>
    </row>
    <row r="820" spans="14:25">
      <c r="N820" s="42">
        <v>44109</v>
      </c>
      <c r="O820" t="s">
        <v>345</v>
      </c>
      <c r="P820" s="42">
        <v>44109</v>
      </c>
      <c r="Q820" t="s">
        <v>345</v>
      </c>
      <c r="R820" t="s">
        <v>320</v>
      </c>
      <c r="S820" t="s">
        <v>323</v>
      </c>
      <c r="U820">
        <v>7.6</v>
      </c>
    </row>
    <row r="821" spans="14:25">
      <c r="N821" s="42">
        <v>44105</v>
      </c>
      <c r="O821" t="s">
        <v>324</v>
      </c>
      <c r="P821" s="42">
        <v>44105</v>
      </c>
      <c r="Q821" t="s">
        <v>324</v>
      </c>
      <c r="R821" t="s">
        <v>329</v>
      </c>
      <c r="S821" t="s">
        <v>323</v>
      </c>
      <c r="T821">
        <v>7.6</v>
      </c>
      <c r="W821" t="s">
        <v>330</v>
      </c>
      <c r="Y821" s="42">
        <v>44117</v>
      </c>
    </row>
    <row r="822" spans="14:25">
      <c r="N822" s="42">
        <v>44084</v>
      </c>
      <c r="O822" t="s">
        <v>324</v>
      </c>
      <c r="P822" s="42">
        <v>44084</v>
      </c>
      <c r="Q822" t="s">
        <v>324</v>
      </c>
      <c r="R822" t="s">
        <v>329</v>
      </c>
      <c r="S822" t="s">
        <v>323</v>
      </c>
      <c r="T822">
        <v>7.6</v>
      </c>
      <c r="W822" t="s">
        <v>330</v>
      </c>
      <c r="Y822" s="42">
        <v>44089</v>
      </c>
    </row>
    <row r="823" spans="14:25">
      <c r="N823" s="42">
        <v>44083</v>
      </c>
      <c r="O823" t="s">
        <v>328</v>
      </c>
      <c r="P823" s="42">
        <v>44083</v>
      </c>
      <c r="Q823" t="s">
        <v>328</v>
      </c>
      <c r="R823" t="s">
        <v>329</v>
      </c>
      <c r="S823" t="s">
        <v>323</v>
      </c>
      <c r="T823">
        <v>5.5</v>
      </c>
      <c r="W823" t="s">
        <v>330</v>
      </c>
      <c r="Y823" s="42">
        <v>44089</v>
      </c>
    </row>
    <row r="824" spans="14:25">
      <c r="N824" s="42">
        <v>44082</v>
      </c>
      <c r="O824" t="s">
        <v>333</v>
      </c>
      <c r="P824" s="42">
        <v>44082</v>
      </c>
      <c r="Q824" t="s">
        <v>333</v>
      </c>
      <c r="R824" t="s">
        <v>329</v>
      </c>
      <c r="S824" t="s">
        <v>323</v>
      </c>
      <c r="T824">
        <v>7.6</v>
      </c>
      <c r="W824" t="s">
        <v>330</v>
      </c>
      <c r="Y824" s="42">
        <v>44089</v>
      </c>
    </row>
    <row r="825" spans="14:25">
      <c r="N825" s="42">
        <v>43983</v>
      </c>
      <c r="O825" t="s">
        <v>345</v>
      </c>
      <c r="P825" s="42">
        <v>43983</v>
      </c>
      <c r="Q825" t="s">
        <v>345</v>
      </c>
      <c r="R825" t="s">
        <v>329</v>
      </c>
      <c r="S825" t="s">
        <v>323</v>
      </c>
      <c r="T825">
        <v>7.6</v>
      </c>
      <c r="W825" t="s">
        <v>330</v>
      </c>
      <c r="Y825" s="42">
        <v>43991</v>
      </c>
    </row>
    <row r="826" spans="14:25">
      <c r="N826" s="42">
        <v>43910</v>
      </c>
      <c r="O826" t="s">
        <v>346</v>
      </c>
      <c r="P826" s="42">
        <v>43910</v>
      </c>
      <c r="Q826" t="s">
        <v>346</v>
      </c>
      <c r="R826" t="s">
        <v>320</v>
      </c>
      <c r="S826" t="s">
        <v>323</v>
      </c>
      <c r="T826">
        <v>7.6</v>
      </c>
      <c r="Y826" s="42">
        <v>43921</v>
      </c>
    </row>
    <row r="827" spans="14:25">
      <c r="N827" s="42">
        <v>43909</v>
      </c>
      <c r="O827" t="s">
        <v>324</v>
      </c>
      <c r="P827" s="42">
        <v>43909</v>
      </c>
      <c r="Q827" t="s">
        <v>324</v>
      </c>
      <c r="R827" t="s">
        <v>320</v>
      </c>
      <c r="S827" t="s">
        <v>323</v>
      </c>
      <c r="T827">
        <v>7.6</v>
      </c>
      <c r="Y827" s="42">
        <v>43921</v>
      </c>
    </row>
    <row r="828" spans="14:25">
      <c r="N828" s="42">
        <v>43908</v>
      </c>
      <c r="O828" t="s">
        <v>328</v>
      </c>
      <c r="P828" s="42">
        <v>43908</v>
      </c>
      <c r="Q828" t="s">
        <v>328</v>
      </c>
      <c r="R828" t="s">
        <v>320</v>
      </c>
      <c r="S828" t="s">
        <v>323</v>
      </c>
      <c r="T828">
        <v>7.6</v>
      </c>
      <c r="Y828" s="42">
        <v>43921</v>
      </c>
    </row>
    <row r="829" spans="14:25">
      <c r="N829" s="42">
        <v>43907</v>
      </c>
      <c r="O829" t="s">
        <v>333</v>
      </c>
      <c r="P829" s="42">
        <v>43907</v>
      </c>
      <c r="Q829" t="s">
        <v>333</v>
      </c>
      <c r="R829" t="s">
        <v>320</v>
      </c>
      <c r="S829" t="s">
        <v>323</v>
      </c>
      <c r="T829">
        <v>7.6</v>
      </c>
      <c r="Y829" s="42">
        <v>43907</v>
      </c>
    </row>
    <row r="830" spans="14:25">
      <c r="N830" s="42">
        <v>43906</v>
      </c>
      <c r="O830" t="s">
        <v>345</v>
      </c>
      <c r="P830" s="42">
        <v>43906</v>
      </c>
      <c r="Q830" t="s">
        <v>345</v>
      </c>
      <c r="R830" t="s">
        <v>320</v>
      </c>
      <c r="S830" t="s">
        <v>323</v>
      </c>
      <c r="T830">
        <v>7.6</v>
      </c>
      <c r="Y830" s="42">
        <v>43907</v>
      </c>
    </row>
    <row r="831" spans="14:25">
      <c r="N831" s="42">
        <v>43903</v>
      </c>
      <c r="O831" t="s">
        <v>346</v>
      </c>
      <c r="P831" s="42">
        <v>43903</v>
      </c>
      <c r="Q831" t="s">
        <v>346</v>
      </c>
      <c r="R831" t="s">
        <v>320</v>
      </c>
      <c r="S831" t="s">
        <v>323</v>
      </c>
      <c r="T831">
        <v>7.6</v>
      </c>
      <c r="Y831" s="42">
        <v>43907</v>
      </c>
    </row>
    <row r="832" spans="14:25">
      <c r="N832" s="42">
        <v>43902</v>
      </c>
      <c r="O832" t="s">
        <v>324</v>
      </c>
      <c r="P832" s="42">
        <v>43902</v>
      </c>
      <c r="Q832" t="s">
        <v>324</v>
      </c>
      <c r="R832" t="s">
        <v>320</v>
      </c>
      <c r="S832" t="s">
        <v>323</v>
      </c>
      <c r="T832">
        <v>7.6</v>
      </c>
      <c r="Y832" s="42">
        <v>43907</v>
      </c>
    </row>
    <row r="833" spans="14:25">
      <c r="N833" s="42">
        <v>43893</v>
      </c>
      <c r="O833" t="s">
        <v>333</v>
      </c>
      <c r="P833" s="42">
        <v>43893</v>
      </c>
      <c r="Q833" t="s">
        <v>333</v>
      </c>
      <c r="R833" t="s">
        <v>320</v>
      </c>
      <c r="S833" t="s">
        <v>323</v>
      </c>
      <c r="T833">
        <v>0.5</v>
      </c>
      <c r="Y833" s="42">
        <v>43893</v>
      </c>
    </row>
    <row r="834" spans="14:25">
      <c r="N834" s="42">
        <v>43879</v>
      </c>
      <c r="O834" t="s">
        <v>333</v>
      </c>
      <c r="P834" s="42">
        <v>43879</v>
      </c>
      <c r="Q834" t="s">
        <v>333</v>
      </c>
      <c r="R834" t="s">
        <v>320</v>
      </c>
      <c r="S834" t="s">
        <v>323</v>
      </c>
      <c r="T834">
        <v>7.6</v>
      </c>
      <c r="Y834" s="42">
        <v>43879</v>
      </c>
    </row>
    <row r="835" spans="14:25">
      <c r="N835" s="42">
        <v>43875</v>
      </c>
      <c r="O835" t="s">
        <v>346</v>
      </c>
      <c r="P835" s="42">
        <v>43875</v>
      </c>
      <c r="Q835" t="s">
        <v>346</v>
      </c>
      <c r="R835" t="s">
        <v>329</v>
      </c>
      <c r="S835" t="s">
        <v>323</v>
      </c>
      <c r="T835">
        <v>7.6</v>
      </c>
      <c r="W835" t="s">
        <v>330</v>
      </c>
      <c r="Y835" s="42">
        <v>43879</v>
      </c>
    </row>
    <row r="836" spans="14:25">
      <c r="N836" s="42">
        <v>43874</v>
      </c>
      <c r="O836" t="s">
        <v>324</v>
      </c>
      <c r="P836" s="42">
        <v>43874</v>
      </c>
      <c r="Q836" t="s">
        <v>324</v>
      </c>
      <c r="R836" t="s">
        <v>329</v>
      </c>
      <c r="S836" t="s">
        <v>323</v>
      </c>
      <c r="T836">
        <v>7.6</v>
      </c>
      <c r="W836" t="s">
        <v>330</v>
      </c>
      <c r="Y836" s="42">
        <v>43879</v>
      </c>
    </row>
    <row r="837" spans="14:25">
      <c r="N837" s="42">
        <v>43873</v>
      </c>
      <c r="O837" t="s">
        <v>328</v>
      </c>
      <c r="P837" s="42">
        <v>43873</v>
      </c>
      <c r="Q837" t="s">
        <v>328</v>
      </c>
      <c r="R837" t="s">
        <v>329</v>
      </c>
      <c r="S837" t="s">
        <v>323</v>
      </c>
      <c r="T837">
        <v>7.6</v>
      </c>
      <c r="W837" t="s">
        <v>330</v>
      </c>
      <c r="Y837" s="42">
        <v>43879</v>
      </c>
    </row>
    <row r="838" spans="14:25">
      <c r="N838" s="42">
        <v>43872</v>
      </c>
      <c r="O838" t="s">
        <v>333</v>
      </c>
      <c r="P838" s="42">
        <v>43872</v>
      </c>
      <c r="Q838" t="s">
        <v>333</v>
      </c>
      <c r="R838" t="s">
        <v>329</v>
      </c>
      <c r="S838" t="s">
        <v>323</v>
      </c>
      <c r="T838">
        <v>7.6</v>
      </c>
      <c r="W838" t="s">
        <v>330</v>
      </c>
      <c r="Y838" s="42">
        <v>43879</v>
      </c>
    </row>
    <row r="839" spans="14:25">
      <c r="N839" s="42">
        <v>43840</v>
      </c>
      <c r="O839" t="s">
        <v>346</v>
      </c>
      <c r="P839" s="42">
        <v>43840</v>
      </c>
      <c r="Q839" t="s">
        <v>346</v>
      </c>
      <c r="R839" t="s">
        <v>320</v>
      </c>
      <c r="S839" t="s">
        <v>323</v>
      </c>
      <c r="T839">
        <v>7.6</v>
      </c>
      <c r="Y839" s="42">
        <v>43851</v>
      </c>
    </row>
    <row r="840" spans="14:25">
      <c r="N840" s="42">
        <v>43839</v>
      </c>
      <c r="O840" t="s">
        <v>324</v>
      </c>
      <c r="P840" s="42">
        <v>43839</v>
      </c>
      <c r="Q840" t="s">
        <v>324</v>
      </c>
      <c r="R840" t="s">
        <v>320</v>
      </c>
      <c r="S840" t="s">
        <v>323</v>
      </c>
      <c r="T840">
        <v>7.6</v>
      </c>
      <c r="Y840" s="42">
        <v>43851</v>
      </c>
    </row>
    <row r="841" spans="14:25">
      <c r="N841" s="42">
        <v>43838</v>
      </c>
      <c r="O841" t="s">
        <v>328</v>
      </c>
      <c r="P841" s="42">
        <v>43838</v>
      </c>
      <c r="Q841" t="s">
        <v>328</v>
      </c>
      <c r="R841" t="s">
        <v>320</v>
      </c>
      <c r="S841" t="s">
        <v>323</v>
      </c>
      <c r="T841">
        <v>7.6</v>
      </c>
      <c r="Y841" s="42">
        <v>43851</v>
      </c>
    </row>
    <row r="842" spans="14:25">
      <c r="N842" s="42">
        <v>43837</v>
      </c>
      <c r="O842" t="s">
        <v>333</v>
      </c>
      <c r="P842" s="42">
        <v>43837</v>
      </c>
      <c r="Q842" t="s">
        <v>333</v>
      </c>
      <c r="R842" t="s">
        <v>320</v>
      </c>
      <c r="S842" t="s">
        <v>323</v>
      </c>
      <c r="T842">
        <v>7.6</v>
      </c>
      <c r="Y842" s="42">
        <v>43837</v>
      </c>
    </row>
    <row r="843" spans="14:25">
      <c r="N843" s="42">
        <v>43836</v>
      </c>
      <c r="O843" t="s">
        <v>345</v>
      </c>
      <c r="P843" s="42">
        <v>43836</v>
      </c>
      <c r="Q843" t="s">
        <v>345</v>
      </c>
      <c r="R843" t="s">
        <v>320</v>
      </c>
      <c r="S843" t="s">
        <v>323</v>
      </c>
      <c r="T843">
        <v>7.6</v>
      </c>
      <c r="Y843" s="42">
        <v>43837</v>
      </c>
    </row>
    <row r="844" spans="14:25">
      <c r="N844" s="42">
        <v>43833</v>
      </c>
      <c r="O844" t="s">
        <v>346</v>
      </c>
      <c r="P844" s="42">
        <v>43833</v>
      </c>
      <c r="Q844" t="s">
        <v>346</v>
      </c>
      <c r="R844" t="s">
        <v>320</v>
      </c>
      <c r="S844" t="s">
        <v>323</v>
      </c>
      <c r="T844">
        <v>7.6</v>
      </c>
      <c r="Y844" s="42">
        <v>43837</v>
      </c>
    </row>
    <row r="845" spans="14:25">
      <c r="N845" s="42">
        <v>43832</v>
      </c>
      <c r="O845" t="s">
        <v>324</v>
      </c>
      <c r="P845" s="42">
        <v>43832</v>
      </c>
      <c r="Q845" t="s">
        <v>324</v>
      </c>
      <c r="R845" t="s">
        <v>320</v>
      </c>
      <c r="S845" t="s">
        <v>323</v>
      </c>
      <c r="T845">
        <v>7.6</v>
      </c>
      <c r="Y845" s="42">
        <v>43837</v>
      </c>
    </row>
    <row r="846" spans="14:25">
      <c r="N846" s="42">
        <v>43830</v>
      </c>
      <c r="O846" t="s">
        <v>333</v>
      </c>
      <c r="P846" s="42">
        <v>43830</v>
      </c>
      <c r="Q846" t="s">
        <v>333</v>
      </c>
      <c r="R846" t="s">
        <v>320</v>
      </c>
      <c r="S846" t="s">
        <v>323</v>
      </c>
      <c r="T846">
        <v>7.6</v>
      </c>
      <c r="Y846" s="42">
        <v>43837</v>
      </c>
    </row>
    <row r="847" spans="14:25">
      <c r="N847" s="42">
        <v>43829</v>
      </c>
      <c r="O847" t="s">
        <v>345</v>
      </c>
      <c r="P847" s="42">
        <v>43829</v>
      </c>
      <c r="Q847" t="s">
        <v>345</v>
      </c>
      <c r="R847" t="s">
        <v>320</v>
      </c>
      <c r="S847" t="s">
        <v>323</v>
      </c>
      <c r="T847">
        <v>7.6</v>
      </c>
      <c r="Y847" s="42">
        <v>43837</v>
      </c>
    </row>
    <row r="848" spans="14:25">
      <c r="N848" s="42">
        <v>43826</v>
      </c>
      <c r="O848" t="s">
        <v>346</v>
      </c>
      <c r="P848" s="42">
        <v>43826</v>
      </c>
      <c r="Q848" t="s">
        <v>346</v>
      </c>
      <c r="R848" t="s">
        <v>320</v>
      </c>
      <c r="S848" t="s">
        <v>323</v>
      </c>
      <c r="T848">
        <v>7.6</v>
      </c>
      <c r="Y848" s="42">
        <v>43837</v>
      </c>
    </row>
    <row r="849" spans="1:25">
      <c r="N849" s="42">
        <v>43822</v>
      </c>
      <c r="O849" t="s">
        <v>345</v>
      </c>
      <c r="P849" s="42">
        <v>43823</v>
      </c>
      <c r="Q849" t="s">
        <v>333</v>
      </c>
      <c r="R849" t="s">
        <v>320</v>
      </c>
      <c r="S849" t="s">
        <v>323</v>
      </c>
      <c r="T849">
        <v>15.2</v>
      </c>
      <c r="Y849" s="42">
        <v>43823</v>
      </c>
    </row>
    <row r="850" spans="1:25">
      <c r="N850" s="42">
        <v>43777</v>
      </c>
      <c r="O850" t="s">
        <v>346</v>
      </c>
      <c r="P850" s="42">
        <v>43777</v>
      </c>
      <c r="Q850" t="s">
        <v>346</v>
      </c>
      <c r="R850" t="s">
        <v>329</v>
      </c>
      <c r="S850" t="s">
        <v>323</v>
      </c>
      <c r="T850">
        <v>7.6</v>
      </c>
      <c r="W850" t="s">
        <v>330</v>
      </c>
      <c r="Y850" s="42">
        <v>43781</v>
      </c>
    </row>
    <row r="851" spans="1:25">
      <c r="N851" s="42">
        <v>43776</v>
      </c>
      <c r="O851" t="s">
        <v>324</v>
      </c>
      <c r="P851" s="42">
        <v>43776</v>
      </c>
      <c r="Q851" t="s">
        <v>324</v>
      </c>
      <c r="R851" t="s">
        <v>329</v>
      </c>
      <c r="S851" t="s">
        <v>323</v>
      </c>
      <c r="T851">
        <v>7.6</v>
      </c>
      <c r="W851" t="s">
        <v>330</v>
      </c>
      <c r="Y851" s="42">
        <v>43781</v>
      </c>
    </row>
    <row r="852" spans="1:25">
      <c r="N852" s="42">
        <v>43705</v>
      </c>
      <c r="O852" t="s">
        <v>328</v>
      </c>
      <c r="P852" s="42">
        <v>43705</v>
      </c>
      <c r="Q852" t="s">
        <v>328</v>
      </c>
      <c r="R852" t="s">
        <v>320</v>
      </c>
      <c r="S852" t="s">
        <v>323</v>
      </c>
      <c r="T852">
        <v>7.6</v>
      </c>
      <c r="Y852" s="42">
        <v>43711</v>
      </c>
    </row>
    <row r="853" spans="1:25">
      <c r="N853" s="42">
        <v>43644</v>
      </c>
      <c r="O853" t="s">
        <v>346</v>
      </c>
      <c r="P853" s="42">
        <v>43644</v>
      </c>
      <c r="Q853" t="s">
        <v>346</v>
      </c>
      <c r="R853" t="s">
        <v>329</v>
      </c>
      <c r="S853" t="s">
        <v>323</v>
      </c>
      <c r="T853">
        <v>7.6</v>
      </c>
      <c r="W853" t="s">
        <v>330</v>
      </c>
      <c r="Y853" s="42">
        <v>43655</v>
      </c>
    </row>
    <row r="854" spans="1:25">
      <c r="A854">
        <v>152</v>
      </c>
      <c r="B854" t="s">
        <v>358</v>
      </c>
      <c r="C854" t="s">
        <v>320</v>
      </c>
      <c r="D854" t="s">
        <v>336</v>
      </c>
      <c r="E854" t="s">
        <v>337</v>
      </c>
      <c r="F854">
        <v>1</v>
      </c>
      <c r="G854" s="42">
        <v>45019</v>
      </c>
      <c r="H854">
        <v>152</v>
      </c>
      <c r="I854">
        <v>-66.910600000000002</v>
      </c>
      <c r="J854">
        <v>139.5068</v>
      </c>
      <c r="K854">
        <v>72.596199999999996</v>
      </c>
      <c r="L854" t="s">
        <v>323</v>
      </c>
      <c r="M854" s="44">
        <v>1.2993055555555555</v>
      </c>
      <c r="N854" s="42">
        <v>44951</v>
      </c>
      <c r="O854" t="s">
        <v>328</v>
      </c>
      <c r="P854" s="42">
        <v>44953</v>
      </c>
      <c r="Q854" t="s">
        <v>346</v>
      </c>
      <c r="R854" t="s">
        <v>320</v>
      </c>
      <c r="S854" t="s">
        <v>323</v>
      </c>
      <c r="T854">
        <v>15.2</v>
      </c>
      <c r="U854">
        <v>7.6</v>
      </c>
      <c r="V854">
        <v>0</v>
      </c>
      <c r="Y854" s="42">
        <v>44957</v>
      </c>
    </row>
    <row r="855" spans="1:25">
      <c r="C855" t="s">
        <v>325</v>
      </c>
      <c r="D855" t="s">
        <v>340</v>
      </c>
      <c r="E855" t="s">
        <v>341</v>
      </c>
      <c r="F855">
        <v>2</v>
      </c>
      <c r="G855" s="42">
        <v>45019</v>
      </c>
      <c r="H855">
        <v>32.934600000000003</v>
      </c>
      <c r="I855">
        <v>784.34670000000006</v>
      </c>
      <c r="J855">
        <v>30.227599999999999</v>
      </c>
      <c r="K855">
        <v>814.57429999999999</v>
      </c>
      <c r="L855" t="s">
        <v>323</v>
      </c>
      <c r="N855" s="42">
        <v>44930</v>
      </c>
      <c r="O855" t="s">
        <v>328</v>
      </c>
      <c r="P855" s="42">
        <v>44935</v>
      </c>
      <c r="Q855" t="s">
        <v>345</v>
      </c>
      <c r="R855" t="s">
        <v>320</v>
      </c>
      <c r="S855" t="s">
        <v>323</v>
      </c>
      <c r="T855">
        <v>30.4</v>
      </c>
      <c r="U855">
        <v>0</v>
      </c>
      <c r="V855">
        <v>0</v>
      </c>
      <c r="Y855" s="42">
        <v>44943</v>
      </c>
    </row>
    <row r="856" spans="1:25">
      <c r="C856" t="s">
        <v>329</v>
      </c>
      <c r="D856" t="s">
        <v>342</v>
      </c>
      <c r="E856" t="s">
        <v>343</v>
      </c>
      <c r="F856">
        <v>1</v>
      </c>
      <c r="G856" s="42">
        <v>45019</v>
      </c>
      <c r="H856">
        <v>76</v>
      </c>
      <c r="I856">
        <v>599.90899999999999</v>
      </c>
      <c r="J856">
        <v>69.753399999999999</v>
      </c>
      <c r="K856">
        <v>669.66240000000005</v>
      </c>
      <c r="L856" t="s">
        <v>323</v>
      </c>
      <c r="N856" s="42">
        <v>44917</v>
      </c>
      <c r="O856" t="s">
        <v>324</v>
      </c>
      <c r="P856" s="42">
        <v>44929</v>
      </c>
      <c r="Q856" t="s">
        <v>333</v>
      </c>
      <c r="R856" t="s">
        <v>320</v>
      </c>
      <c r="S856" t="s">
        <v>323</v>
      </c>
      <c r="T856">
        <v>45.6</v>
      </c>
      <c r="U856">
        <v>22.8</v>
      </c>
      <c r="V856">
        <v>0</v>
      </c>
      <c r="Y856" s="42">
        <v>44929</v>
      </c>
    </row>
    <row r="857" spans="1:25">
      <c r="N857" s="42">
        <v>44916</v>
      </c>
      <c r="O857" t="s">
        <v>328</v>
      </c>
      <c r="P857" s="42">
        <v>44916</v>
      </c>
      <c r="Q857" t="s">
        <v>328</v>
      </c>
      <c r="R857" t="s">
        <v>320</v>
      </c>
      <c r="S857" t="s">
        <v>323</v>
      </c>
      <c r="T857">
        <v>7.6</v>
      </c>
      <c r="U857">
        <v>0</v>
      </c>
      <c r="V857">
        <v>0</v>
      </c>
      <c r="Y857" s="42">
        <v>44929</v>
      </c>
    </row>
    <row r="858" spans="1:25">
      <c r="N858" s="42">
        <v>44914</v>
      </c>
      <c r="O858" t="s">
        <v>345</v>
      </c>
      <c r="P858" s="42">
        <v>44915</v>
      </c>
      <c r="Q858" t="s">
        <v>333</v>
      </c>
      <c r="R858" t="s">
        <v>320</v>
      </c>
      <c r="S858" t="s">
        <v>323</v>
      </c>
      <c r="T858">
        <v>15.2</v>
      </c>
      <c r="U858">
        <v>0</v>
      </c>
      <c r="V858">
        <v>0</v>
      </c>
      <c r="Y858" s="42">
        <v>44915</v>
      </c>
    </row>
    <row r="859" spans="1:25">
      <c r="N859" s="42">
        <v>44911</v>
      </c>
      <c r="O859" t="s">
        <v>346</v>
      </c>
      <c r="P859" s="42">
        <v>44911</v>
      </c>
      <c r="Q859" t="s">
        <v>346</v>
      </c>
      <c r="R859" t="s">
        <v>347</v>
      </c>
      <c r="S859" t="s">
        <v>323</v>
      </c>
      <c r="T859">
        <v>7.6</v>
      </c>
      <c r="W859" t="s">
        <v>339</v>
      </c>
      <c r="Y859" s="42">
        <v>44915</v>
      </c>
    </row>
    <row r="860" spans="1:25">
      <c r="N860" s="42">
        <v>44867</v>
      </c>
      <c r="O860" t="s">
        <v>328</v>
      </c>
      <c r="P860" s="42">
        <v>44867</v>
      </c>
      <c r="Q860" t="s">
        <v>328</v>
      </c>
      <c r="R860" t="s">
        <v>347</v>
      </c>
      <c r="S860" t="s">
        <v>323</v>
      </c>
      <c r="T860">
        <v>7.6</v>
      </c>
      <c r="W860" t="s">
        <v>339</v>
      </c>
      <c r="Y860" s="42">
        <v>44873</v>
      </c>
    </row>
    <row r="861" spans="1:25">
      <c r="N861" s="42">
        <v>44866</v>
      </c>
      <c r="O861" t="s">
        <v>333</v>
      </c>
      <c r="P861" s="42">
        <v>44866</v>
      </c>
      <c r="Q861" t="s">
        <v>333</v>
      </c>
      <c r="R861" t="s">
        <v>320</v>
      </c>
      <c r="S861" t="s">
        <v>323</v>
      </c>
      <c r="U861">
        <v>7.6</v>
      </c>
      <c r="Y861" s="42">
        <v>44873</v>
      </c>
    </row>
    <row r="862" spans="1:25">
      <c r="N862" s="42">
        <v>44865</v>
      </c>
      <c r="O862" t="s">
        <v>345</v>
      </c>
      <c r="P862" s="42">
        <v>44865</v>
      </c>
      <c r="Q862" t="s">
        <v>345</v>
      </c>
      <c r="R862" t="s">
        <v>320</v>
      </c>
      <c r="S862" t="s">
        <v>323</v>
      </c>
      <c r="T862">
        <v>7.6</v>
      </c>
      <c r="V862">
        <v>0</v>
      </c>
      <c r="Y862" s="42">
        <v>44873</v>
      </c>
    </row>
    <row r="863" spans="1:25">
      <c r="N863" s="42">
        <v>44862</v>
      </c>
      <c r="O863" t="s">
        <v>346</v>
      </c>
      <c r="P863" s="42">
        <v>44862</v>
      </c>
      <c r="Q863" t="s">
        <v>346</v>
      </c>
      <c r="R863" t="s">
        <v>320</v>
      </c>
      <c r="S863" t="s">
        <v>323</v>
      </c>
      <c r="T863">
        <v>7.6</v>
      </c>
      <c r="V863">
        <v>0</v>
      </c>
      <c r="Y863" s="42">
        <v>44873</v>
      </c>
    </row>
    <row r="864" spans="1:25">
      <c r="N864" s="42">
        <v>44827</v>
      </c>
      <c r="O864" t="s">
        <v>346</v>
      </c>
      <c r="P864" s="42">
        <v>44827</v>
      </c>
      <c r="Q864" t="s">
        <v>346</v>
      </c>
      <c r="R864" t="s">
        <v>320</v>
      </c>
      <c r="S864" t="s">
        <v>323</v>
      </c>
      <c r="U864">
        <v>7.6</v>
      </c>
      <c r="Y864" s="42">
        <v>44831</v>
      </c>
    </row>
    <row r="865" spans="14:25">
      <c r="N865" s="42">
        <v>44826</v>
      </c>
      <c r="O865" t="s">
        <v>324</v>
      </c>
      <c r="P865" s="42">
        <v>44826</v>
      </c>
      <c r="Q865" t="s">
        <v>324</v>
      </c>
      <c r="R865" t="s">
        <v>320</v>
      </c>
      <c r="S865" t="s">
        <v>323</v>
      </c>
      <c r="U865">
        <v>7.6</v>
      </c>
      <c r="Y865" s="42">
        <v>44831</v>
      </c>
    </row>
    <row r="866" spans="14:25">
      <c r="N866" s="42">
        <v>44805</v>
      </c>
      <c r="O866" t="s">
        <v>324</v>
      </c>
      <c r="P866" s="42">
        <v>44813</v>
      </c>
      <c r="Q866" t="s">
        <v>346</v>
      </c>
      <c r="R866" t="s">
        <v>320</v>
      </c>
      <c r="S866" t="s">
        <v>323</v>
      </c>
      <c r="T866">
        <v>53.2</v>
      </c>
      <c r="V866">
        <v>0</v>
      </c>
      <c r="Y866" s="42">
        <v>44817</v>
      </c>
    </row>
    <row r="867" spans="14:25">
      <c r="N867" s="42">
        <v>44796</v>
      </c>
      <c r="O867" t="s">
        <v>333</v>
      </c>
      <c r="P867" s="42">
        <v>44796</v>
      </c>
      <c r="Q867" t="s">
        <v>333</v>
      </c>
      <c r="R867" t="s">
        <v>329</v>
      </c>
      <c r="S867" t="s">
        <v>323</v>
      </c>
      <c r="T867">
        <v>7.6</v>
      </c>
      <c r="W867" t="s">
        <v>339</v>
      </c>
      <c r="Y867" s="42">
        <v>44803</v>
      </c>
    </row>
    <row r="868" spans="14:25">
      <c r="N868" s="42">
        <v>44788</v>
      </c>
      <c r="O868" t="s">
        <v>345</v>
      </c>
      <c r="P868" s="42">
        <v>44788</v>
      </c>
      <c r="Q868" t="s">
        <v>345</v>
      </c>
      <c r="R868" t="s">
        <v>329</v>
      </c>
      <c r="S868" t="s">
        <v>323</v>
      </c>
      <c r="T868">
        <v>7.6</v>
      </c>
      <c r="W868" t="s">
        <v>339</v>
      </c>
      <c r="Y868" s="42">
        <v>44789</v>
      </c>
    </row>
    <row r="869" spans="14:25">
      <c r="N869" s="42">
        <v>44754</v>
      </c>
      <c r="O869" t="s">
        <v>333</v>
      </c>
      <c r="P869" s="42">
        <v>44755</v>
      </c>
      <c r="Q869" t="s">
        <v>328</v>
      </c>
      <c r="R869" t="s">
        <v>329</v>
      </c>
      <c r="S869" t="s">
        <v>323</v>
      </c>
      <c r="T869">
        <v>15.2</v>
      </c>
      <c r="W869" t="s">
        <v>339</v>
      </c>
      <c r="Y869" s="42">
        <v>44761</v>
      </c>
    </row>
    <row r="870" spans="14:25">
      <c r="N870" s="42">
        <v>44725</v>
      </c>
      <c r="O870" t="s">
        <v>345</v>
      </c>
      <c r="P870" s="42">
        <v>44725</v>
      </c>
      <c r="Q870" t="s">
        <v>345</v>
      </c>
      <c r="R870" t="s">
        <v>320</v>
      </c>
      <c r="S870" t="s">
        <v>323</v>
      </c>
      <c r="U870">
        <v>7.6</v>
      </c>
      <c r="Y870" s="42">
        <v>44733</v>
      </c>
    </row>
    <row r="871" spans="14:25">
      <c r="N871" s="42">
        <v>44678</v>
      </c>
      <c r="O871" t="s">
        <v>328</v>
      </c>
      <c r="P871" s="42">
        <v>44680</v>
      </c>
      <c r="Q871" t="s">
        <v>346</v>
      </c>
      <c r="R871" t="s">
        <v>329</v>
      </c>
      <c r="S871" t="s">
        <v>323</v>
      </c>
      <c r="T871">
        <v>22.8</v>
      </c>
      <c r="U871">
        <v>0</v>
      </c>
      <c r="W871" t="s">
        <v>339</v>
      </c>
      <c r="Y871" s="42">
        <v>44691</v>
      </c>
    </row>
    <row r="872" spans="14:25">
      <c r="N872" s="42">
        <v>44677</v>
      </c>
      <c r="O872" t="s">
        <v>333</v>
      </c>
      <c r="P872" s="42">
        <v>44677</v>
      </c>
      <c r="Q872" t="s">
        <v>333</v>
      </c>
      <c r="R872" t="s">
        <v>329</v>
      </c>
      <c r="S872" t="s">
        <v>323</v>
      </c>
      <c r="T872">
        <v>7.6</v>
      </c>
      <c r="U872">
        <v>0</v>
      </c>
      <c r="W872" t="s">
        <v>339</v>
      </c>
      <c r="Y872" s="42">
        <v>44691</v>
      </c>
    </row>
    <row r="873" spans="14:25">
      <c r="N873" s="42">
        <v>44676</v>
      </c>
      <c r="O873" t="s">
        <v>345</v>
      </c>
      <c r="P873" s="42">
        <v>44676</v>
      </c>
      <c r="Q873" t="s">
        <v>345</v>
      </c>
      <c r="R873" t="s">
        <v>320</v>
      </c>
      <c r="S873" t="s">
        <v>323</v>
      </c>
      <c r="U873">
        <v>7.6</v>
      </c>
      <c r="Y873" s="42">
        <v>44677</v>
      </c>
    </row>
    <row r="874" spans="14:25">
      <c r="N874" s="42">
        <v>44671</v>
      </c>
      <c r="O874" t="s">
        <v>328</v>
      </c>
      <c r="P874" s="42">
        <v>44673</v>
      </c>
      <c r="Q874" t="s">
        <v>346</v>
      </c>
      <c r="R874" t="s">
        <v>320</v>
      </c>
      <c r="S874" t="s">
        <v>323</v>
      </c>
      <c r="T874">
        <v>22.8</v>
      </c>
      <c r="V874">
        <v>0</v>
      </c>
      <c r="Y874" s="42">
        <v>44677</v>
      </c>
    </row>
    <row r="875" spans="14:25">
      <c r="N875" s="42">
        <v>44670</v>
      </c>
      <c r="O875" t="s">
        <v>333</v>
      </c>
      <c r="P875" s="42">
        <v>44670</v>
      </c>
      <c r="Q875" t="s">
        <v>333</v>
      </c>
      <c r="R875" t="s">
        <v>320</v>
      </c>
      <c r="S875" t="s">
        <v>323</v>
      </c>
      <c r="T875">
        <v>7.6</v>
      </c>
      <c r="V875">
        <v>0</v>
      </c>
      <c r="Y875" s="42">
        <v>44677</v>
      </c>
    </row>
    <row r="876" spans="14:25">
      <c r="N876" s="42">
        <v>44669</v>
      </c>
      <c r="O876" t="s">
        <v>345</v>
      </c>
      <c r="P876" s="42">
        <v>44669</v>
      </c>
      <c r="Q876" t="s">
        <v>345</v>
      </c>
      <c r="R876" t="s">
        <v>320</v>
      </c>
      <c r="S876" t="s">
        <v>323</v>
      </c>
      <c r="U876">
        <v>7.6</v>
      </c>
      <c r="Y876" s="42">
        <v>44677</v>
      </c>
    </row>
    <row r="877" spans="14:25">
      <c r="N877" s="42">
        <v>44666</v>
      </c>
      <c r="O877" t="s">
        <v>346</v>
      </c>
      <c r="P877" s="42">
        <v>44666</v>
      </c>
      <c r="Q877" t="s">
        <v>346</v>
      </c>
      <c r="R877" t="s">
        <v>320</v>
      </c>
      <c r="S877" t="s">
        <v>323</v>
      </c>
      <c r="U877">
        <v>7.6</v>
      </c>
      <c r="Y877" s="42">
        <v>44677</v>
      </c>
    </row>
    <row r="878" spans="14:25">
      <c r="N878" s="42">
        <v>44659</v>
      </c>
      <c r="O878" t="s">
        <v>346</v>
      </c>
      <c r="P878" s="42">
        <v>44659</v>
      </c>
      <c r="Q878" t="s">
        <v>346</v>
      </c>
      <c r="R878" t="s">
        <v>320</v>
      </c>
      <c r="S878" t="s">
        <v>323</v>
      </c>
      <c r="T878">
        <v>7.6</v>
      </c>
      <c r="V878">
        <v>0</v>
      </c>
      <c r="Y878" s="42">
        <v>44663</v>
      </c>
    </row>
    <row r="879" spans="14:25">
      <c r="N879" s="42">
        <v>44637</v>
      </c>
      <c r="O879" t="s">
        <v>324</v>
      </c>
      <c r="P879" s="42">
        <v>44637</v>
      </c>
      <c r="Q879" t="s">
        <v>324</v>
      </c>
      <c r="R879" t="s">
        <v>320</v>
      </c>
      <c r="S879" t="s">
        <v>323</v>
      </c>
      <c r="T879">
        <v>7.6</v>
      </c>
      <c r="V879">
        <v>0</v>
      </c>
      <c r="Y879" s="42">
        <v>44649</v>
      </c>
    </row>
    <row r="880" spans="14:25">
      <c r="N880" s="42">
        <v>44634</v>
      </c>
      <c r="O880" t="s">
        <v>345</v>
      </c>
      <c r="P880" s="42">
        <v>44634</v>
      </c>
      <c r="Q880" t="s">
        <v>345</v>
      </c>
      <c r="R880" t="s">
        <v>320</v>
      </c>
      <c r="S880" t="s">
        <v>323</v>
      </c>
      <c r="U880">
        <v>7.6</v>
      </c>
      <c r="Y880" s="42">
        <v>44635</v>
      </c>
    </row>
    <row r="881" spans="14:25">
      <c r="N881" s="42">
        <v>44622</v>
      </c>
      <c r="O881" t="s">
        <v>328</v>
      </c>
      <c r="P881" s="42">
        <v>44624</v>
      </c>
      <c r="Q881" t="s">
        <v>346</v>
      </c>
      <c r="R881" t="s">
        <v>347</v>
      </c>
      <c r="S881" t="s">
        <v>323</v>
      </c>
      <c r="T881">
        <v>22.8</v>
      </c>
      <c r="U881">
        <v>0</v>
      </c>
      <c r="W881" t="s">
        <v>339</v>
      </c>
      <c r="Y881" s="42">
        <v>44635</v>
      </c>
    </row>
    <row r="882" spans="14:25">
      <c r="N882" s="42">
        <v>44621</v>
      </c>
      <c r="O882" t="s">
        <v>333</v>
      </c>
      <c r="P882" s="42">
        <v>44621</v>
      </c>
      <c r="Q882" t="s">
        <v>333</v>
      </c>
      <c r="R882" t="s">
        <v>347</v>
      </c>
      <c r="S882" t="s">
        <v>323</v>
      </c>
      <c r="T882">
        <v>7.6</v>
      </c>
      <c r="U882">
        <v>0</v>
      </c>
      <c r="W882" t="s">
        <v>339</v>
      </c>
      <c r="Y882" s="42">
        <v>44635</v>
      </c>
    </row>
    <row r="883" spans="14:25">
      <c r="N883" s="42">
        <v>44620</v>
      </c>
      <c r="O883" t="s">
        <v>345</v>
      </c>
      <c r="P883" s="42">
        <v>44620</v>
      </c>
      <c r="Q883" t="s">
        <v>345</v>
      </c>
      <c r="R883" t="s">
        <v>347</v>
      </c>
      <c r="S883" t="s">
        <v>323</v>
      </c>
      <c r="T883">
        <v>7.6</v>
      </c>
      <c r="W883" t="s">
        <v>339</v>
      </c>
      <c r="Y883" s="42">
        <v>44621</v>
      </c>
    </row>
    <row r="884" spans="14:25">
      <c r="N884" s="42">
        <v>44616</v>
      </c>
      <c r="O884" t="s">
        <v>324</v>
      </c>
      <c r="P884" s="42">
        <v>44616</v>
      </c>
      <c r="Q884" t="s">
        <v>324</v>
      </c>
      <c r="R884" t="s">
        <v>347</v>
      </c>
      <c r="S884" t="s">
        <v>323</v>
      </c>
      <c r="T884">
        <v>7.6</v>
      </c>
      <c r="W884" t="s">
        <v>339</v>
      </c>
      <c r="Y884" s="42">
        <v>44621</v>
      </c>
    </row>
    <row r="885" spans="14:25">
      <c r="N885" s="42">
        <v>44588</v>
      </c>
      <c r="O885" t="s">
        <v>324</v>
      </c>
      <c r="P885" s="42">
        <v>44589</v>
      </c>
      <c r="Q885" t="s">
        <v>346</v>
      </c>
      <c r="R885" t="s">
        <v>320</v>
      </c>
      <c r="S885" t="s">
        <v>323</v>
      </c>
      <c r="T885">
        <v>15.2</v>
      </c>
      <c r="V885">
        <v>0</v>
      </c>
      <c r="Y885" s="42">
        <v>44593</v>
      </c>
    </row>
    <row r="886" spans="14:25">
      <c r="N886" s="42">
        <v>44587</v>
      </c>
      <c r="O886" t="s">
        <v>328</v>
      </c>
      <c r="P886" s="42">
        <v>44587</v>
      </c>
      <c r="Q886" t="s">
        <v>328</v>
      </c>
      <c r="R886" t="s">
        <v>320</v>
      </c>
      <c r="S886" t="s">
        <v>323</v>
      </c>
      <c r="U886">
        <v>7.6</v>
      </c>
      <c r="Y886" s="42">
        <v>44593</v>
      </c>
    </row>
    <row r="887" spans="14:25">
      <c r="N887" s="42">
        <v>44566</v>
      </c>
      <c r="O887" t="s">
        <v>328</v>
      </c>
      <c r="P887" s="42">
        <v>44570</v>
      </c>
      <c r="Q887" t="s">
        <v>344</v>
      </c>
      <c r="R887" t="s">
        <v>320</v>
      </c>
      <c r="S887" t="s">
        <v>323</v>
      </c>
      <c r="T887">
        <v>22.8</v>
      </c>
      <c r="U887">
        <v>0</v>
      </c>
      <c r="Y887" s="42">
        <v>44579</v>
      </c>
    </row>
    <row r="888" spans="14:25">
      <c r="N888" s="42">
        <v>44552</v>
      </c>
      <c r="O888" t="s">
        <v>328</v>
      </c>
      <c r="P888" s="42">
        <v>44565</v>
      </c>
      <c r="Q888" t="s">
        <v>333</v>
      </c>
      <c r="R888" t="s">
        <v>320</v>
      </c>
      <c r="S888" t="s">
        <v>323</v>
      </c>
      <c r="T888">
        <v>53.2</v>
      </c>
      <c r="U888">
        <v>22.8</v>
      </c>
      <c r="V888">
        <v>0</v>
      </c>
      <c r="Y888" s="42">
        <v>44565</v>
      </c>
    </row>
    <row r="889" spans="14:25">
      <c r="N889" s="42">
        <v>44501</v>
      </c>
      <c r="O889" t="s">
        <v>345</v>
      </c>
      <c r="P889" s="42">
        <v>44502</v>
      </c>
      <c r="Q889" t="s">
        <v>333</v>
      </c>
      <c r="R889" t="s">
        <v>320</v>
      </c>
      <c r="S889" t="s">
        <v>323</v>
      </c>
      <c r="T889">
        <v>7.6</v>
      </c>
      <c r="U889">
        <v>7.6</v>
      </c>
      <c r="V889">
        <v>0</v>
      </c>
      <c r="Y889" s="42">
        <v>44509</v>
      </c>
    </row>
    <row r="890" spans="14:25">
      <c r="N890" s="42">
        <v>44463</v>
      </c>
      <c r="O890" t="s">
        <v>346</v>
      </c>
      <c r="P890" s="42">
        <v>44463</v>
      </c>
      <c r="Q890" t="s">
        <v>346</v>
      </c>
      <c r="R890" t="s">
        <v>320</v>
      </c>
      <c r="S890" t="s">
        <v>323</v>
      </c>
      <c r="U890">
        <v>7.6</v>
      </c>
      <c r="Y890" s="42">
        <v>44467</v>
      </c>
    </row>
    <row r="891" spans="14:25">
      <c r="N891" s="42">
        <v>44432</v>
      </c>
      <c r="O891" t="s">
        <v>333</v>
      </c>
      <c r="P891" s="42">
        <v>44432</v>
      </c>
      <c r="Q891" t="s">
        <v>333</v>
      </c>
      <c r="R891" t="s">
        <v>347</v>
      </c>
      <c r="S891" t="s">
        <v>323</v>
      </c>
      <c r="T891">
        <v>7.6</v>
      </c>
      <c r="W891" t="s">
        <v>339</v>
      </c>
      <c r="Y891" s="42">
        <v>44439</v>
      </c>
    </row>
    <row r="892" spans="14:25">
      <c r="N892" s="42">
        <v>44424</v>
      </c>
      <c r="O892" t="s">
        <v>345</v>
      </c>
      <c r="P892" s="42">
        <v>44424</v>
      </c>
      <c r="Q892" t="s">
        <v>345</v>
      </c>
      <c r="R892" t="s">
        <v>347</v>
      </c>
      <c r="S892" t="s">
        <v>323</v>
      </c>
      <c r="T892">
        <v>7.6</v>
      </c>
      <c r="W892" t="s">
        <v>339</v>
      </c>
      <c r="Y892" s="42">
        <v>44425</v>
      </c>
    </row>
    <row r="893" spans="14:25">
      <c r="N893" s="42">
        <v>44413</v>
      </c>
      <c r="O893" t="s">
        <v>324</v>
      </c>
      <c r="P893" s="42">
        <v>44413</v>
      </c>
      <c r="Q893" t="s">
        <v>324</v>
      </c>
      <c r="R893" t="s">
        <v>320</v>
      </c>
      <c r="S893" t="s">
        <v>323</v>
      </c>
      <c r="T893">
        <v>7.6</v>
      </c>
      <c r="V893">
        <v>0</v>
      </c>
      <c r="Y893" s="42">
        <v>44425</v>
      </c>
    </row>
    <row r="894" spans="14:25">
      <c r="N894" s="42">
        <v>44406</v>
      </c>
      <c r="O894" t="s">
        <v>324</v>
      </c>
      <c r="P894" s="42">
        <v>44406</v>
      </c>
      <c r="Q894" t="s">
        <v>324</v>
      </c>
      <c r="R894" t="s">
        <v>347</v>
      </c>
      <c r="S894" t="s">
        <v>323</v>
      </c>
      <c r="T894">
        <v>7.6</v>
      </c>
      <c r="W894" t="s">
        <v>339</v>
      </c>
      <c r="Y894" s="42">
        <v>44411</v>
      </c>
    </row>
    <row r="895" spans="14:25">
      <c r="N895" s="42">
        <v>44377</v>
      </c>
      <c r="O895" t="s">
        <v>328</v>
      </c>
      <c r="P895" s="42">
        <v>44377</v>
      </c>
      <c r="Q895" t="s">
        <v>328</v>
      </c>
      <c r="R895" t="s">
        <v>329</v>
      </c>
      <c r="S895" t="s">
        <v>323</v>
      </c>
      <c r="T895">
        <v>7.6</v>
      </c>
      <c r="W895" t="s">
        <v>339</v>
      </c>
      <c r="Y895" s="42">
        <v>44383</v>
      </c>
    </row>
    <row r="896" spans="14:25">
      <c r="N896" s="42">
        <v>44361</v>
      </c>
      <c r="O896" t="s">
        <v>345</v>
      </c>
      <c r="P896" s="42">
        <v>44361</v>
      </c>
      <c r="Q896" t="s">
        <v>345</v>
      </c>
      <c r="R896" t="s">
        <v>320</v>
      </c>
      <c r="S896" t="s">
        <v>323</v>
      </c>
      <c r="U896">
        <v>7.6</v>
      </c>
      <c r="Y896" s="42">
        <v>44369</v>
      </c>
    </row>
    <row r="897" spans="14:25">
      <c r="N897" s="42">
        <v>44330</v>
      </c>
      <c r="O897" t="s">
        <v>346</v>
      </c>
      <c r="P897" s="42">
        <v>44331</v>
      </c>
      <c r="Q897" t="s">
        <v>359</v>
      </c>
      <c r="R897" t="s">
        <v>329</v>
      </c>
      <c r="S897" t="s">
        <v>323</v>
      </c>
      <c r="T897">
        <v>7.6</v>
      </c>
      <c r="W897" t="s">
        <v>339</v>
      </c>
      <c r="Y897" s="42">
        <v>44341</v>
      </c>
    </row>
    <row r="898" spans="14:25">
      <c r="N898" s="42">
        <v>44292</v>
      </c>
      <c r="O898" t="s">
        <v>333</v>
      </c>
      <c r="P898" s="42">
        <v>44292</v>
      </c>
      <c r="Q898" t="s">
        <v>333</v>
      </c>
      <c r="R898" t="s">
        <v>320</v>
      </c>
      <c r="S898" t="s">
        <v>323</v>
      </c>
      <c r="T898">
        <v>7.6</v>
      </c>
      <c r="V898">
        <v>0</v>
      </c>
      <c r="Y898" s="42">
        <v>44299</v>
      </c>
    </row>
    <row r="899" spans="14:25">
      <c r="N899" s="42">
        <v>44291</v>
      </c>
      <c r="O899" t="s">
        <v>345</v>
      </c>
      <c r="P899" s="42">
        <v>44291</v>
      </c>
      <c r="Q899" t="s">
        <v>345</v>
      </c>
      <c r="R899" t="s">
        <v>320</v>
      </c>
      <c r="S899" t="s">
        <v>323</v>
      </c>
      <c r="U899">
        <v>7.6</v>
      </c>
      <c r="Y899" s="42">
        <v>44299</v>
      </c>
    </row>
    <row r="900" spans="14:25">
      <c r="N900" s="42">
        <v>44287</v>
      </c>
      <c r="O900" t="s">
        <v>324</v>
      </c>
      <c r="P900" s="42">
        <v>44288</v>
      </c>
      <c r="Q900" t="s">
        <v>346</v>
      </c>
      <c r="R900" t="s">
        <v>320</v>
      </c>
      <c r="S900" t="s">
        <v>323</v>
      </c>
      <c r="T900">
        <v>7.6</v>
      </c>
      <c r="U900">
        <v>7.6</v>
      </c>
      <c r="V900">
        <v>0</v>
      </c>
      <c r="Y900" s="42">
        <v>44299</v>
      </c>
    </row>
    <row r="901" spans="14:25">
      <c r="N901" s="42">
        <v>44279</v>
      </c>
      <c r="O901" t="s">
        <v>328</v>
      </c>
      <c r="P901" s="42">
        <v>44279</v>
      </c>
      <c r="Q901" t="s">
        <v>328</v>
      </c>
      <c r="R901" t="s">
        <v>329</v>
      </c>
      <c r="S901" t="s">
        <v>323</v>
      </c>
      <c r="T901">
        <v>7.6</v>
      </c>
      <c r="W901" t="s">
        <v>339</v>
      </c>
      <c r="Y901" s="42">
        <v>44285</v>
      </c>
    </row>
    <row r="902" spans="14:25">
      <c r="N902" s="42">
        <v>44277</v>
      </c>
      <c r="O902" t="s">
        <v>345</v>
      </c>
      <c r="P902" s="42">
        <v>44277</v>
      </c>
      <c r="Q902" t="s">
        <v>345</v>
      </c>
      <c r="R902" t="s">
        <v>347</v>
      </c>
      <c r="S902" t="s">
        <v>323</v>
      </c>
      <c r="T902">
        <v>7.6</v>
      </c>
      <c r="W902" t="s">
        <v>339</v>
      </c>
      <c r="Y902" s="42">
        <v>44285</v>
      </c>
    </row>
    <row r="903" spans="14:25">
      <c r="N903" s="42">
        <v>44270</v>
      </c>
      <c r="O903" t="s">
        <v>345</v>
      </c>
      <c r="P903" s="42">
        <v>44270</v>
      </c>
      <c r="Q903" t="s">
        <v>345</v>
      </c>
      <c r="R903" t="s">
        <v>347</v>
      </c>
      <c r="S903" t="s">
        <v>323</v>
      </c>
      <c r="T903">
        <v>7.6</v>
      </c>
      <c r="W903" t="s">
        <v>339</v>
      </c>
      <c r="Y903" s="42">
        <v>44271</v>
      </c>
    </row>
    <row r="904" spans="14:25">
      <c r="N904" s="42">
        <v>44263</v>
      </c>
      <c r="O904" t="s">
        <v>345</v>
      </c>
      <c r="P904" s="42">
        <v>44263</v>
      </c>
      <c r="Q904" t="s">
        <v>345</v>
      </c>
      <c r="R904" t="s">
        <v>320</v>
      </c>
      <c r="S904" t="s">
        <v>323</v>
      </c>
      <c r="U904">
        <v>7.6</v>
      </c>
      <c r="Y904" s="42">
        <v>44271</v>
      </c>
    </row>
    <row r="905" spans="14:25">
      <c r="N905" s="42">
        <v>44221</v>
      </c>
      <c r="O905" t="s">
        <v>345</v>
      </c>
      <c r="P905" s="42">
        <v>44222</v>
      </c>
      <c r="Q905" t="s">
        <v>333</v>
      </c>
      <c r="R905" t="s">
        <v>320</v>
      </c>
      <c r="S905" t="s">
        <v>323</v>
      </c>
      <c r="T905">
        <v>7.6</v>
      </c>
      <c r="U905">
        <v>7.6</v>
      </c>
      <c r="V905">
        <v>0</v>
      </c>
      <c r="Y905" s="42">
        <v>44229</v>
      </c>
    </row>
    <row r="906" spans="14:25">
      <c r="N906" s="42">
        <v>44188</v>
      </c>
      <c r="O906" t="s">
        <v>328</v>
      </c>
      <c r="P906" s="42">
        <v>44201</v>
      </c>
      <c r="Q906" t="s">
        <v>333</v>
      </c>
      <c r="R906" t="s">
        <v>320</v>
      </c>
      <c r="S906" t="s">
        <v>323</v>
      </c>
      <c r="T906">
        <v>53.2</v>
      </c>
      <c r="U906">
        <v>22.8</v>
      </c>
      <c r="V906">
        <v>0</v>
      </c>
      <c r="Y906" s="42">
        <v>44201</v>
      </c>
    </row>
    <row r="907" spans="14:25">
      <c r="N907" s="42">
        <v>44186</v>
      </c>
      <c r="O907" t="s">
        <v>345</v>
      </c>
      <c r="P907" s="42">
        <v>44187</v>
      </c>
      <c r="Q907" t="s">
        <v>333</v>
      </c>
      <c r="R907" t="s">
        <v>320</v>
      </c>
      <c r="S907" t="s">
        <v>323</v>
      </c>
      <c r="T907">
        <v>15.2</v>
      </c>
      <c r="U907">
        <v>0</v>
      </c>
      <c r="V907">
        <v>0</v>
      </c>
      <c r="Y907" s="42">
        <v>44187</v>
      </c>
    </row>
    <row r="908" spans="14:25">
      <c r="N908" s="42">
        <v>44137</v>
      </c>
      <c r="O908" t="s">
        <v>345</v>
      </c>
      <c r="P908" s="42">
        <v>44138</v>
      </c>
      <c r="Q908" t="s">
        <v>333</v>
      </c>
      <c r="R908" t="s">
        <v>320</v>
      </c>
      <c r="S908" t="s">
        <v>323</v>
      </c>
      <c r="T908">
        <v>7.6</v>
      </c>
      <c r="U908">
        <v>7.6</v>
      </c>
      <c r="V908">
        <v>0</v>
      </c>
      <c r="Y908" s="42">
        <v>44145</v>
      </c>
    </row>
    <row r="909" spans="14:25">
      <c r="N909" s="42">
        <v>44127</v>
      </c>
      <c r="O909" t="s">
        <v>346</v>
      </c>
      <c r="P909" s="42">
        <v>44127</v>
      </c>
      <c r="Q909" t="s">
        <v>346</v>
      </c>
      <c r="R909" t="s">
        <v>320</v>
      </c>
      <c r="S909" t="s">
        <v>323</v>
      </c>
      <c r="U909">
        <v>7.6</v>
      </c>
      <c r="Y909" s="42">
        <v>44131</v>
      </c>
    </row>
    <row r="910" spans="14:25">
      <c r="N910" s="42">
        <v>44113</v>
      </c>
      <c r="O910" t="s">
        <v>346</v>
      </c>
      <c r="P910" s="42">
        <v>44113</v>
      </c>
      <c r="Q910" t="s">
        <v>346</v>
      </c>
      <c r="R910" t="s">
        <v>347</v>
      </c>
      <c r="S910" t="s">
        <v>323</v>
      </c>
      <c r="T910">
        <v>7.6</v>
      </c>
      <c r="W910" t="s">
        <v>339</v>
      </c>
      <c r="Y910" s="42">
        <v>44117</v>
      </c>
    </row>
    <row r="911" spans="14:25">
      <c r="N911" s="42">
        <v>44112</v>
      </c>
      <c r="O911" t="s">
        <v>324</v>
      </c>
      <c r="P911" s="42">
        <v>44112</v>
      </c>
      <c r="Q911" t="s">
        <v>324</v>
      </c>
      <c r="R911" t="s">
        <v>347</v>
      </c>
      <c r="S911" t="s">
        <v>323</v>
      </c>
      <c r="T911">
        <v>7.6</v>
      </c>
      <c r="W911" t="s">
        <v>339</v>
      </c>
      <c r="Y911" s="42">
        <v>44117</v>
      </c>
    </row>
    <row r="912" spans="14:25">
      <c r="N912" s="42">
        <v>44050</v>
      </c>
      <c r="O912" t="s">
        <v>346</v>
      </c>
      <c r="P912" s="42">
        <v>44050</v>
      </c>
      <c r="Q912" t="s">
        <v>346</v>
      </c>
      <c r="R912" t="s">
        <v>320</v>
      </c>
      <c r="S912" t="s">
        <v>323</v>
      </c>
      <c r="T912">
        <v>7.6</v>
      </c>
      <c r="V912">
        <v>0</v>
      </c>
      <c r="Y912" s="42">
        <v>44061</v>
      </c>
    </row>
    <row r="913" spans="14:25">
      <c r="N913" s="42">
        <v>44014</v>
      </c>
      <c r="O913" t="s">
        <v>324</v>
      </c>
      <c r="P913" s="42">
        <v>44015</v>
      </c>
      <c r="Q913" t="s">
        <v>346</v>
      </c>
      <c r="R913" t="s">
        <v>320</v>
      </c>
      <c r="S913" t="s">
        <v>323</v>
      </c>
      <c r="T913">
        <v>15.2</v>
      </c>
      <c r="V913">
        <v>0</v>
      </c>
      <c r="Y913" s="42">
        <v>44019</v>
      </c>
    </row>
    <row r="914" spans="14:25">
      <c r="N914" s="42">
        <v>43990</v>
      </c>
      <c r="O914" t="s">
        <v>345</v>
      </c>
      <c r="P914" s="42">
        <v>43990</v>
      </c>
      <c r="Q914" t="s">
        <v>345</v>
      </c>
      <c r="R914" t="s">
        <v>320</v>
      </c>
      <c r="S914" t="s">
        <v>323</v>
      </c>
      <c r="T914">
        <v>0</v>
      </c>
      <c r="U914">
        <v>7.6</v>
      </c>
      <c r="Y914" s="42">
        <v>43991</v>
      </c>
    </row>
    <row r="915" spans="14:25">
      <c r="N915" s="42">
        <v>43942</v>
      </c>
      <c r="O915" t="s">
        <v>333</v>
      </c>
      <c r="P915" s="42">
        <v>43943</v>
      </c>
      <c r="Q915" t="s">
        <v>328</v>
      </c>
      <c r="R915" t="s">
        <v>329</v>
      </c>
      <c r="S915" t="s">
        <v>323</v>
      </c>
      <c r="T915">
        <v>15.2</v>
      </c>
      <c r="W915" t="s">
        <v>339</v>
      </c>
      <c r="Y915" s="42">
        <v>43963</v>
      </c>
    </row>
    <row r="916" spans="14:25">
      <c r="N916" s="42">
        <v>43934</v>
      </c>
      <c r="O916" t="s">
        <v>345</v>
      </c>
      <c r="P916" s="42">
        <v>43934</v>
      </c>
      <c r="Q916" t="s">
        <v>345</v>
      </c>
      <c r="R916" t="s">
        <v>320</v>
      </c>
      <c r="S916" t="s">
        <v>323</v>
      </c>
      <c r="T916">
        <v>0</v>
      </c>
      <c r="U916">
        <v>7.6</v>
      </c>
      <c r="Y916" s="42">
        <v>43935</v>
      </c>
    </row>
    <row r="917" spans="14:25">
      <c r="N917" s="42">
        <v>43931</v>
      </c>
      <c r="O917" t="s">
        <v>346</v>
      </c>
      <c r="P917" s="42">
        <v>43931</v>
      </c>
      <c r="Q917" t="s">
        <v>346</v>
      </c>
      <c r="R917" t="s">
        <v>320</v>
      </c>
      <c r="S917" t="s">
        <v>323</v>
      </c>
      <c r="T917">
        <v>0</v>
      </c>
      <c r="U917">
        <v>7.6</v>
      </c>
      <c r="Y917" s="42">
        <v>43935</v>
      </c>
    </row>
    <row r="918" spans="14:25">
      <c r="N918" s="42">
        <v>43910</v>
      </c>
      <c r="O918" t="s">
        <v>346</v>
      </c>
      <c r="P918" s="42">
        <v>43911</v>
      </c>
      <c r="Q918" t="s">
        <v>359</v>
      </c>
      <c r="R918" t="s">
        <v>329</v>
      </c>
      <c r="S918" t="s">
        <v>323</v>
      </c>
      <c r="T918">
        <v>7.6</v>
      </c>
      <c r="W918" t="s">
        <v>339</v>
      </c>
      <c r="Y918" s="42">
        <v>43921</v>
      </c>
    </row>
    <row r="919" spans="14:25">
      <c r="N919" s="42">
        <v>43899</v>
      </c>
      <c r="O919" t="s">
        <v>345</v>
      </c>
      <c r="P919" s="42">
        <v>43899</v>
      </c>
      <c r="Q919" t="s">
        <v>345</v>
      </c>
      <c r="R919" t="s">
        <v>320</v>
      </c>
      <c r="S919" t="s">
        <v>323</v>
      </c>
      <c r="T919">
        <v>0</v>
      </c>
      <c r="U919">
        <v>7.6</v>
      </c>
      <c r="Y919" s="42">
        <v>43907</v>
      </c>
    </row>
    <row r="920" spans="14:25">
      <c r="N920" s="42">
        <v>43881</v>
      </c>
      <c r="O920" t="s">
        <v>324</v>
      </c>
      <c r="P920" s="42">
        <v>43882</v>
      </c>
      <c r="Q920" t="s">
        <v>346</v>
      </c>
      <c r="R920" t="s">
        <v>320</v>
      </c>
      <c r="S920" t="s">
        <v>323</v>
      </c>
      <c r="T920">
        <v>15.2</v>
      </c>
      <c r="V920">
        <v>0</v>
      </c>
      <c r="Y920" s="42">
        <v>43893</v>
      </c>
    </row>
    <row r="921" spans="14:25">
      <c r="N921" s="42">
        <v>43857</v>
      </c>
      <c r="O921" t="s">
        <v>345</v>
      </c>
      <c r="P921" s="42">
        <v>43857</v>
      </c>
      <c r="Q921" t="s">
        <v>345</v>
      </c>
      <c r="R921" t="s">
        <v>320</v>
      </c>
      <c r="S921" t="s">
        <v>323</v>
      </c>
      <c r="T921">
        <v>0</v>
      </c>
      <c r="U921">
        <v>7.6</v>
      </c>
      <c r="Y921" s="42">
        <v>43865</v>
      </c>
    </row>
    <row r="922" spans="14:25">
      <c r="N922" s="42">
        <v>43838</v>
      </c>
      <c r="O922" t="s">
        <v>328</v>
      </c>
      <c r="P922" s="42">
        <v>43847</v>
      </c>
      <c r="Q922" t="s">
        <v>346</v>
      </c>
      <c r="R922" t="s">
        <v>320</v>
      </c>
      <c r="S922" t="s">
        <v>323</v>
      </c>
      <c r="T922">
        <v>60.8</v>
      </c>
      <c r="U922">
        <v>0</v>
      </c>
      <c r="V922">
        <v>0</v>
      </c>
      <c r="Y922" s="42">
        <v>43851</v>
      </c>
    </row>
    <row r="923" spans="14:25">
      <c r="N923" s="42">
        <v>43824</v>
      </c>
      <c r="O923" t="s">
        <v>328</v>
      </c>
      <c r="P923" s="42">
        <v>43837</v>
      </c>
      <c r="Q923" t="s">
        <v>333</v>
      </c>
      <c r="R923" t="s">
        <v>320</v>
      </c>
      <c r="S923" t="s">
        <v>323</v>
      </c>
      <c r="T923">
        <v>53.2</v>
      </c>
      <c r="U923">
        <v>22.8</v>
      </c>
      <c r="V923">
        <v>0</v>
      </c>
      <c r="Y923" s="42">
        <v>43837</v>
      </c>
    </row>
    <row r="924" spans="14:25">
      <c r="N924" s="42">
        <v>43822</v>
      </c>
      <c r="O924" t="s">
        <v>345</v>
      </c>
      <c r="P924" s="42">
        <v>43823</v>
      </c>
      <c r="Q924" t="s">
        <v>333</v>
      </c>
      <c r="R924" t="s">
        <v>320</v>
      </c>
      <c r="S924" t="s">
        <v>323</v>
      </c>
      <c r="T924">
        <v>15.2</v>
      </c>
      <c r="U924">
        <v>0</v>
      </c>
      <c r="V924">
        <v>0</v>
      </c>
      <c r="Y924" s="42">
        <v>43823</v>
      </c>
    </row>
    <row r="925" spans="14:25">
      <c r="N925" s="42">
        <v>43773</v>
      </c>
      <c r="O925" t="s">
        <v>345</v>
      </c>
      <c r="P925" s="42">
        <v>43774</v>
      </c>
      <c r="Q925" t="s">
        <v>333</v>
      </c>
      <c r="R925" t="s">
        <v>320</v>
      </c>
      <c r="S925" t="s">
        <v>323</v>
      </c>
      <c r="T925">
        <v>7.6</v>
      </c>
      <c r="U925">
        <v>7.6</v>
      </c>
      <c r="V925">
        <v>0</v>
      </c>
      <c r="Y925" s="42">
        <v>43781</v>
      </c>
    </row>
    <row r="926" spans="14:25">
      <c r="N926" s="42">
        <v>43738</v>
      </c>
      <c r="O926" t="s">
        <v>345</v>
      </c>
      <c r="P926" s="42">
        <v>43738</v>
      </c>
      <c r="Q926" t="s">
        <v>345</v>
      </c>
      <c r="R926" t="s">
        <v>320</v>
      </c>
      <c r="S926" t="s">
        <v>323</v>
      </c>
      <c r="T926">
        <v>7.6</v>
      </c>
      <c r="V926">
        <v>0</v>
      </c>
      <c r="Y926" s="42">
        <v>43739</v>
      </c>
    </row>
    <row r="927" spans="14:25">
      <c r="N927" s="42">
        <v>43733</v>
      </c>
      <c r="O927" t="s">
        <v>328</v>
      </c>
      <c r="P927" s="42">
        <v>43733</v>
      </c>
      <c r="Q927" t="s">
        <v>328</v>
      </c>
      <c r="R927" t="s">
        <v>329</v>
      </c>
      <c r="S927" t="s">
        <v>323</v>
      </c>
      <c r="T927">
        <v>7.6</v>
      </c>
      <c r="W927" t="s">
        <v>339</v>
      </c>
      <c r="Y927" s="42">
        <v>43753</v>
      </c>
    </row>
    <row r="928" spans="14:25">
      <c r="N928" s="42">
        <v>43693</v>
      </c>
      <c r="O928" t="s">
        <v>346</v>
      </c>
      <c r="P928" s="42">
        <v>43694</v>
      </c>
      <c r="Q928" t="s">
        <v>359</v>
      </c>
      <c r="R928" t="s">
        <v>320</v>
      </c>
      <c r="S928" t="s">
        <v>323</v>
      </c>
      <c r="T928">
        <v>7.6</v>
      </c>
      <c r="V928">
        <v>0</v>
      </c>
      <c r="Y928" s="42">
        <v>43697</v>
      </c>
    </row>
    <row r="929" spans="1:25">
      <c r="A929">
        <v>156</v>
      </c>
      <c r="B929" t="s">
        <v>360</v>
      </c>
      <c r="C929" t="s">
        <v>320</v>
      </c>
      <c r="D929" t="s">
        <v>321</v>
      </c>
      <c r="E929" t="s">
        <v>322</v>
      </c>
      <c r="F929">
        <v>1</v>
      </c>
      <c r="G929" s="42">
        <v>45144</v>
      </c>
      <c r="H929">
        <v>27.5885</v>
      </c>
      <c r="I929">
        <v>5.9897</v>
      </c>
      <c r="J929">
        <v>27.5885</v>
      </c>
      <c r="K929">
        <v>33.578200000000002</v>
      </c>
      <c r="L929" t="s">
        <v>323</v>
      </c>
      <c r="M929" s="44">
        <v>1.0458333333333334</v>
      </c>
      <c r="N929" s="42">
        <v>44985</v>
      </c>
      <c r="O929" t="s">
        <v>333</v>
      </c>
      <c r="P929" s="42">
        <v>44985</v>
      </c>
      <c r="Q929" t="s">
        <v>333</v>
      </c>
      <c r="R929" t="s">
        <v>320</v>
      </c>
      <c r="S929" t="s">
        <v>323</v>
      </c>
      <c r="T929">
        <v>4</v>
      </c>
      <c r="Y929" s="42">
        <v>44985</v>
      </c>
    </row>
    <row r="930" spans="1:25">
      <c r="C930" t="s">
        <v>325</v>
      </c>
      <c r="D930" t="s">
        <v>361</v>
      </c>
      <c r="E930" t="s">
        <v>362</v>
      </c>
      <c r="F930">
        <v>2</v>
      </c>
      <c r="G930" s="42">
        <v>45144</v>
      </c>
      <c r="H930">
        <v>5.9776999999999996</v>
      </c>
      <c r="I930">
        <v>199.50919999999999</v>
      </c>
      <c r="J930">
        <v>5.9776999999999996</v>
      </c>
      <c r="K930">
        <v>205.48689999999999</v>
      </c>
      <c r="L930" t="s">
        <v>323</v>
      </c>
      <c r="N930" s="42">
        <v>44980</v>
      </c>
      <c r="O930" t="s">
        <v>324</v>
      </c>
      <c r="P930" s="42">
        <v>44980</v>
      </c>
      <c r="Q930" t="s">
        <v>324</v>
      </c>
      <c r="R930" t="s">
        <v>320</v>
      </c>
      <c r="S930" t="s">
        <v>323</v>
      </c>
      <c r="T930">
        <v>4</v>
      </c>
      <c r="Y930" s="42">
        <v>44985</v>
      </c>
    </row>
    <row r="931" spans="1:25">
      <c r="C931" t="s">
        <v>329</v>
      </c>
      <c r="D931" t="s">
        <v>331</v>
      </c>
      <c r="E931" t="s">
        <v>332</v>
      </c>
      <c r="F931">
        <v>1</v>
      </c>
      <c r="G931" s="42">
        <v>45144</v>
      </c>
      <c r="H931">
        <v>13.7942</v>
      </c>
      <c r="I931">
        <v>123.8434</v>
      </c>
      <c r="J931">
        <v>13.7942</v>
      </c>
      <c r="K931">
        <v>137.63759999999999</v>
      </c>
      <c r="L931" t="s">
        <v>323</v>
      </c>
      <c r="N931" s="42">
        <v>44979</v>
      </c>
      <c r="O931" t="s">
        <v>328</v>
      </c>
      <c r="P931" s="42">
        <v>44979</v>
      </c>
      <c r="Q931" t="s">
        <v>328</v>
      </c>
      <c r="R931" t="s">
        <v>320</v>
      </c>
      <c r="S931" t="s">
        <v>323</v>
      </c>
      <c r="T931">
        <v>4</v>
      </c>
      <c r="Y931" s="42">
        <v>44985</v>
      </c>
    </row>
    <row r="932" spans="1:25">
      <c r="N932" s="42">
        <v>44978</v>
      </c>
      <c r="O932" t="s">
        <v>333</v>
      </c>
      <c r="P932" s="42">
        <v>44978</v>
      </c>
      <c r="Q932" t="s">
        <v>333</v>
      </c>
      <c r="R932" t="s">
        <v>320</v>
      </c>
      <c r="S932" t="s">
        <v>323</v>
      </c>
      <c r="T932">
        <v>4</v>
      </c>
      <c r="Y932" s="42">
        <v>44985</v>
      </c>
    </row>
    <row r="933" spans="1:25">
      <c r="N933" s="42">
        <v>44952</v>
      </c>
      <c r="O933" t="s">
        <v>324</v>
      </c>
      <c r="P933" s="42">
        <v>44952</v>
      </c>
      <c r="Q933" t="s">
        <v>324</v>
      </c>
      <c r="R933" t="s">
        <v>320</v>
      </c>
      <c r="S933" t="s">
        <v>323</v>
      </c>
      <c r="U933">
        <v>4</v>
      </c>
    </row>
    <row r="934" spans="1:25">
      <c r="N934" s="42">
        <v>44922</v>
      </c>
      <c r="O934" t="s">
        <v>333</v>
      </c>
      <c r="P934" s="42">
        <v>44922</v>
      </c>
      <c r="Q934" t="s">
        <v>333</v>
      </c>
      <c r="R934" t="s">
        <v>320</v>
      </c>
      <c r="S934" t="s">
        <v>323</v>
      </c>
      <c r="U934">
        <v>4</v>
      </c>
    </row>
    <row r="935" spans="1:25">
      <c r="N935" s="42">
        <v>44917</v>
      </c>
      <c r="O935" t="s">
        <v>324</v>
      </c>
      <c r="P935" s="42">
        <v>44917</v>
      </c>
      <c r="Q935" t="s">
        <v>324</v>
      </c>
      <c r="R935" t="s">
        <v>320</v>
      </c>
      <c r="S935" t="s">
        <v>323</v>
      </c>
      <c r="T935">
        <v>4</v>
      </c>
      <c r="Y935" s="42">
        <v>44929</v>
      </c>
    </row>
    <row r="936" spans="1:25">
      <c r="N936" s="42">
        <v>44903</v>
      </c>
      <c r="O936" t="s">
        <v>324</v>
      </c>
      <c r="P936" s="42">
        <v>44903</v>
      </c>
      <c r="Q936" t="s">
        <v>324</v>
      </c>
      <c r="R936" t="s">
        <v>329</v>
      </c>
      <c r="S936" t="s">
        <v>323</v>
      </c>
      <c r="T936">
        <v>4</v>
      </c>
      <c r="W936" t="s">
        <v>330</v>
      </c>
      <c r="Y936" s="42">
        <v>44915</v>
      </c>
    </row>
    <row r="937" spans="1:25">
      <c r="N937" s="42">
        <v>44902</v>
      </c>
      <c r="O937" t="s">
        <v>328</v>
      </c>
      <c r="P937" s="42">
        <v>44902</v>
      </c>
      <c r="Q937" t="s">
        <v>328</v>
      </c>
      <c r="R937" t="s">
        <v>329</v>
      </c>
      <c r="S937" t="s">
        <v>323</v>
      </c>
      <c r="T937">
        <v>4</v>
      </c>
      <c r="W937" t="s">
        <v>330</v>
      </c>
      <c r="Y937" s="42">
        <v>44915</v>
      </c>
    </row>
    <row r="938" spans="1:25">
      <c r="N938" s="42">
        <v>44901</v>
      </c>
      <c r="O938" t="s">
        <v>333</v>
      </c>
      <c r="P938" s="42">
        <v>44901</v>
      </c>
      <c r="Q938" t="s">
        <v>333</v>
      </c>
      <c r="R938" t="s">
        <v>329</v>
      </c>
      <c r="S938" t="s">
        <v>323</v>
      </c>
      <c r="T938">
        <v>4</v>
      </c>
      <c r="W938" t="s">
        <v>330</v>
      </c>
      <c r="Y938" s="42">
        <v>44901</v>
      </c>
    </row>
    <row r="939" spans="1:25">
      <c r="N939" s="42">
        <v>44826</v>
      </c>
      <c r="O939" t="s">
        <v>324</v>
      </c>
      <c r="P939" s="42">
        <v>44826</v>
      </c>
      <c r="Q939" t="s">
        <v>324</v>
      </c>
      <c r="R939" t="s">
        <v>320</v>
      </c>
      <c r="S939" t="s">
        <v>323</v>
      </c>
      <c r="U939">
        <v>4</v>
      </c>
    </row>
    <row r="940" spans="1:25">
      <c r="N940" s="42">
        <v>44811</v>
      </c>
      <c r="O940" t="s">
        <v>328</v>
      </c>
      <c r="P940" s="42">
        <v>44811</v>
      </c>
      <c r="Q940" t="s">
        <v>328</v>
      </c>
      <c r="R940" t="s">
        <v>329</v>
      </c>
      <c r="S940" t="s">
        <v>323</v>
      </c>
      <c r="T940">
        <v>4</v>
      </c>
      <c r="W940" t="s">
        <v>330</v>
      </c>
      <c r="Y940" s="42">
        <v>44817</v>
      </c>
    </row>
    <row r="941" spans="1:25">
      <c r="N941" s="42">
        <v>44804</v>
      </c>
      <c r="O941" t="s">
        <v>328</v>
      </c>
      <c r="P941" s="42">
        <v>44804</v>
      </c>
      <c r="Q941" t="s">
        <v>328</v>
      </c>
      <c r="R941" t="s">
        <v>329</v>
      </c>
      <c r="S941" t="s">
        <v>323</v>
      </c>
      <c r="T941">
        <v>4</v>
      </c>
      <c r="W941" t="s">
        <v>330</v>
      </c>
      <c r="Y941" s="42">
        <v>44817</v>
      </c>
    </row>
    <row r="942" spans="1:25">
      <c r="N942" s="42">
        <v>44782</v>
      </c>
      <c r="O942" t="s">
        <v>333</v>
      </c>
      <c r="P942" s="42">
        <v>44782</v>
      </c>
      <c r="Q942" t="s">
        <v>333</v>
      </c>
      <c r="R942" t="s">
        <v>329</v>
      </c>
      <c r="S942" t="s">
        <v>323</v>
      </c>
      <c r="T942">
        <v>4</v>
      </c>
      <c r="W942" t="s">
        <v>330</v>
      </c>
      <c r="Y942" s="42">
        <v>44789</v>
      </c>
    </row>
    <row r="943" spans="1:25">
      <c r="N943" s="42">
        <v>44706</v>
      </c>
      <c r="O943" t="s">
        <v>328</v>
      </c>
      <c r="P943" s="42">
        <v>44706</v>
      </c>
      <c r="Q943" t="s">
        <v>328</v>
      </c>
      <c r="R943" t="s">
        <v>329</v>
      </c>
      <c r="S943" t="s">
        <v>323</v>
      </c>
      <c r="T943">
        <v>4</v>
      </c>
      <c r="W943" t="s">
        <v>330</v>
      </c>
      <c r="Y943" s="42">
        <v>44719</v>
      </c>
    </row>
    <row r="944" spans="1:25">
      <c r="N944" s="42">
        <v>44705</v>
      </c>
      <c r="O944" t="s">
        <v>333</v>
      </c>
      <c r="P944" s="42">
        <v>44705</v>
      </c>
      <c r="Q944" t="s">
        <v>333</v>
      </c>
      <c r="R944" t="s">
        <v>329</v>
      </c>
      <c r="S944" t="s">
        <v>323</v>
      </c>
      <c r="T944">
        <v>4</v>
      </c>
      <c r="W944" t="s">
        <v>330</v>
      </c>
      <c r="Y944" s="42">
        <v>44705</v>
      </c>
    </row>
    <row r="945" spans="14:25">
      <c r="N945" s="42">
        <v>44679</v>
      </c>
      <c r="O945" t="s">
        <v>324</v>
      </c>
      <c r="P945" s="42">
        <v>44679</v>
      </c>
      <c r="Q945" t="s">
        <v>324</v>
      </c>
      <c r="R945" t="s">
        <v>325</v>
      </c>
      <c r="S945" t="s">
        <v>323</v>
      </c>
      <c r="T945">
        <v>4</v>
      </c>
      <c r="Y945" s="42">
        <v>44691</v>
      </c>
    </row>
    <row r="946" spans="14:25">
      <c r="N946" s="42">
        <v>44678</v>
      </c>
      <c r="O946" t="s">
        <v>328</v>
      </c>
      <c r="P946" s="42">
        <v>44678</v>
      </c>
      <c r="Q946" t="s">
        <v>328</v>
      </c>
      <c r="R946" t="s">
        <v>325</v>
      </c>
      <c r="S946" t="s">
        <v>323</v>
      </c>
      <c r="T946">
        <v>4</v>
      </c>
      <c r="Y946" s="42">
        <v>44691</v>
      </c>
    </row>
    <row r="947" spans="14:25">
      <c r="N947" s="42">
        <v>44677</v>
      </c>
      <c r="O947" t="s">
        <v>333</v>
      </c>
      <c r="P947" s="42">
        <v>44677</v>
      </c>
      <c r="Q947" t="s">
        <v>333</v>
      </c>
      <c r="R947" t="s">
        <v>325</v>
      </c>
      <c r="S947" t="s">
        <v>323</v>
      </c>
      <c r="T947">
        <v>4</v>
      </c>
      <c r="Y947" s="42">
        <v>44677</v>
      </c>
    </row>
    <row r="948" spans="14:25">
      <c r="N948" s="42">
        <v>44672</v>
      </c>
      <c r="O948" t="s">
        <v>324</v>
      </c>
      <c r="P948" s="42">
        <v>44672</v>
      </c>
      <c r="Q948" t="s">
        <v>324</v>
      </c>
      <c r="R948" t="s">
        <v>325</v>
      </c>
      <c r="S948" t="s">
        <v>323</v>
      </c>
      <c r="T948">
        <v>4</v>
      </c>
      <c r="Y948" s="42">
        <v>44677</v>
      </c>
    </row>
    <row r="949" spans="14:25">
      <c r="N949" s="42">
        <v>44671</v>
      </c>
      <c r="O949" t="s">
        <v>328</v>
      </c>
      <c r="P949" s="42">
        <v>44671</v>
      </c>
      <c r="Q949" t="s">
        <v>328</v>
      </c>
      <c r="R949" t="s">
        <v>325</v>
      </c>
      <c r="S949" t="s">
        <v>323</v>
      </c>
      <c r="T949">
        <v>4</v>
      </c>
      <c r="Y949" s="42">
        <v>44677</v>
      </c>
    </row>
    <row r="950" spans="14:25">
      <c r="N950" s="42">
        <v>44670</v>
      </c>
      <c r="O950" t="s">
        <v>333</v>
      </c>
      <c r="P950" s="42">
        <v>44670</v>
      </c>
      <c r="Q950" t="s">
        <v>333</v>
      </c>
      <c r="R950" t="s">
        <v>325</v>
      </c>
      <c r="S950" t="s">
        <v>323</v>
      </c>
      <c r="T950">
        <v>4</v>
      </c>
      <c r="Y950" s="42">
        <v>44677</v>
      </c>
    </row>
    <row r="951" spans="14:25">
      <c r="N951" s="42">
        <v>44665</v>
      </c>
      <c r="O951" t="s">
        <v>324</v>
      </c>
      <c r="P951" s="42">
        <v>44665</v>
      </c>
      <c r="Q951" t="s">
        <v>324</v>
      </c>
      <c r="R951" t="s">
        <v>320</v>
      </c>
      <c r="S951" t="s">
        <v>323</v>
      </c>
      <c r="T951">
        <v>4</v>
      </c>
      <c r="Y951" s="42">
        <v>44677</v>
      </c>
    </row>
    <row r="952" spans="14:25">
      <c r="N952" s="42">
        <v>44664</v>
      </c>
      <c r="O952" t="s">
        <v>328</v>
      </c>
      <c r="P952" s="42">
        <v>44664</v>
      </c>
      <c r="Q952" t="s">
        <v>328</v>
      </c>
      <c r="R952" t="s">
        <v>320</v>
      </c>
      <c r="S952" t="s">
        <v>323</v>
      </c>
      <c r="T952">
        <v>4</v>
      </c>
      <c r="Y952" s="42">
        <v>44677</v>
      </c>
    </row>
    <row r="953" spans="14:25">
      <c r="N953" s="42">
        <v>44663</v>
      </c>
      <c r="O953" t="s">
        <v>333</v>
      </c>
      <c r="P953" s="42">
        <v>44663</v>
      </c>
      <c r="Q953" t="s">
        <v>333</v>
      </c>
      <c r="R953" t="s">
        <v>320</v>
      </c>
      <c r="S953" t="s">
        <v>323</v>
      </c>
      <c r="T953">
        <v>4</v>
      </c>
      <c r="Y953" s="42">
        <v>44663</v>
      </c>
    </row>
    <row r="954" spans="14:25">
      <c r="N954" s="42">
        <v>44593</v>
      </c>
      <c r="O954" t="s">
        <v>333</v>
      </c>
      <c r="P954" s="42">
        <v>44593</v>
      </c>
      <c r="Q954" t="s">
        <v>333</v>
      </c>
      <c r="R954" t="s">
        <v>329</v>
      </c>
      <c r="S954" t="s">
        <v>323</v>
      </c>
      <c r="T954">
        <v>4</v>
      </c>
      <c r="W954" t="s">
        <v>330</v>
      </c>
      <c r="Y954" s="42">
        <v>44593</v>
      </c>
    </row>
    <row r="955" spans="14:25">
      <c r="N955" s="42">
        <v>44587</v>
      </c>
      <c r="O955" t="s">
        <v>328</v>
      </c>
      <c r="P955" s="42">
        <v>44587</v>
      </c>
      <c r="Q955" t="s">
        <v>328</v>
      </c>
      <c r="R955" t="s">
        <v>320</v>
      </c>
      <c r="S955" t="s">
        <v>323</v>
      </c>
      <c r="U955">
        <v>4</v>
      </c>
    </row>
    <row r="956" spans="14:25">
      <c r="N956" s="42">
        <v>44560</v>
      </c>
      <c r="O956" t="s">
        <v>324</v>
      </c>
      <c r="P956" s="42">
        <v>44560</v>
      </c>
      <c r="Q956" t="s">
        <v>324</v>
      </c>
      <c r="R956" t="s">
        <v>320</v>
      </c>
      <c r="S956" t="s">
        <v>323</v>
      </c>
      <c r="T956">
        <v>4</v>
      </c>
      <c r="Y956" s="42">
        <v>44565</v>
      </c>
    </row>
    <row r="957" spans="14:25">
      <c r="N957" s="42">
        <v>44558</v>
      </c>
      <c r="O957" t="s">
        <v>333</v>
      </c>
      <c r="P957" s="42">
        <v>44558</v>
      </c>
      <c r="Q957" t="s">
        <v>333</v>
      </c>
      <c r="R957" t="s">
        <v>320</v>
      </c>
      <c r="S957" t="s">
        <v>323</v>
      </c>
      <c r="U957">
        <v>4</v>
      </c>
    </row>
    <row r="958" spans="14:25">
      <c r="N958" s="42">
        <v>44518</v>
      </c>
      <c r="O958" t="s">
        <v>324</v>
      </c>
      <c r="P958" s="42">
        <v>44518</v>
      </c>
      <c r="Q958" t="s">
        <v>324</v>
      </c>
      <c r="R958" t="s">
        <v>329</v>
      </c>
      <c r="S958" t="s">
        <v>323</v>
      </c>
      <c r="T958">
        <v>4</v>
      </c>
      <c r="W958" t="s">
        <v>330</v>
      </c>
      <c r="Y958" s="42">
        <v>44523</v>
      </c>
    </row>
    <row r="959" spans="14:25">
      <c r="N959" s="42">
        <v>44517</v>
      </c>
      <c r="O959" t="s">
        <v>328</v>
      </c>
      <c r="P959" s="42">
        <v>44517</v>
      </c>
      <c r="Q959" t="s">
        <v>328</v>
      </c>
      <c r="R959" t="s">
        <v>329</v>
      </c>
      <c r="S959" t="s">
        <v>323</v>
      </c>
      <c r="T959">
        <v>4</v>
      </c>
      <c r="W959" t="s">
        <v>330</v>
      </c>
      <c r="Y959" s="42">
        <v>44523</v>
      </c>
    </row>
    <row r="960" spans="14:25">
      <c r="N960" s="42">
        <v>44516</v>
      </c>
      <c r="O960" t="s">
        <v>333</v>
      </c>
      <c r="P960" s="42">
        <v>44516</v>
      </c>
      <c r="Q960" t="s">
        <v>333</v>
      </c>
      <c r="R960" t="s">
        <v>329</v>
      </c>
      <c r="S960" t="s">
        <v>323</v>
      </c>
      <c r="T960">
        <v>4</v>
      </c>
      <c r="W960" t="s">
        <v>330</v>
      </c>
      <c r="Y960" s="42">
        <v>44523</v>
      </c>
    </row>
    <row r="961" spans="14:25">
      <c r="N961" s="42">
        <v>44511</v>
      </c>
      <c r="O961" t="s">
        <v>324</v>
      </c>
      <c r="P961" s="42">
        <v>44511</v>
      </c>
      <c r="Q961" t="s">
        <v>324</v>
      </c>
      <c r="R961" t="s">
        <v>320</v>
      </c>
      <c r="S961" t="s">
        <v>323</v>
      </c>
      <c r="T961">
        <v>4</v>
      </c>
      <c r="Y961" s="42">
        <v>44523</v>
      </c>
    </row>
    <row r="962" spans="14:25">
      <c r="N962" s="42">
        <v>44510</v>
      </c>
      <c r="O962" t="s">
        <v>328</v>
      </c>
      <c r="P962" s="42">
        <v>44510</v>
      </c>
      <c r="Q962" t="s">
        <v>328</v>
      </c>
      <c r="R962" t="s">
        <v>320</v>
      </c>
      <c r="S962" t="s">
        <v>323</v>
      </c>
      <c r="T962">
        <v>4</v>
      </c>
      <c r="Y962" s="42">
        <v>44523</v>
      </c>
    </row>
    <row r="963" spans="14:25">
      <c r="N963" s="42">
        <v>44509</v>
      </c>
      <c r="O963" t="s">
        <v>333</v>
      </c>
      <c r="P963" s="42">
        <v>44509</v>
      </c>
      <c r="Q963" t="s">
        <v>333</v>
      </c>
      <c r="R963" t="s">
        <v>320</v>
      </c>
      <c r="S963" t="s">
        <v>323</v>
      </c>
      <c r="T963">
        <v>4</v>
      </c>
      <c r="Y963" s="42">
        <v>44509</v>
      </c>
    </row>
    <row r="964" spans="14:25">
      <c r="N964" s="42">
        <v>44504</v>
      </c>
      <c r="O964" t="s">
        <v>324</v>
      </c>
      <c r="P964" s="42">
        <v>44504</v>
      </c>
      <c r="Q964" t="s">
        <v>324</v>
      </c>
      <c r="R964" t="s">
        <v>320</v>
      </c>
      <c r="S964" t="s">
        <v>323</v>
      </c>
      <c r="T964">
        <v>4</v>
      </c>
      <c r="Y964" s="42">
        <v>44509</v>
      </c>
    </row>
    <row r="965" spans="14:25">
      <c r="N965" s="42">
        <v>44503</v>
      </c>
      <c r="O965" t="s">
        <v>328</v>
      </c>
      <c r="P965" s="42">
        <v>44503</v>
      </c>
      <c r="Q965" t="s">
        <v>328</v>
      </c>
      <c r="R965" t="s">
        <v>320</v>
      </c>
      <c r="S965" t="s">
        <v>323</v>
      </c>
      <c r="T965">
        <v>4</v>
      </c>
      <c r="Y965" s="42">
        <v>44509</v>
      </c>
    </row>
    <row r="966" spans="14:25">
      <c r="N966" s="42">
        <v>44502</v>
      </c>
      <c r="O966" t="s">
        <v>333</v>
      </c>
      <c r="P966" s="42">
        <v>44502</v>
      </c>
      <c r="Q966" t="s">
        <v>333</v>
      </c>
      <c r="R966" t="s">
        <v>320</v>
      </c>
      <c r="S966" t="s">
        <v>323</v>
      </c>
      <c r="T966">
        <v>4</v>
      </c>
      <c r="Y966" s="42">
        <v>44509</v>
      </c>
    </row>
    <row r="967" spans="14:25">
      <c r="N967" s="42">
        <v>44497</v>
      </c>
      <c r="O967" t="s">
        <v>324</v>
      </c>
      <c r="P967" s="42">
        <v>44497</v>
      </c>
      <c r="Q967" t="s">
        <v>324</v>
      </c>
      <c r="R967" t="s">
        <v>320</v>
      </c>
      <c r="S967" t="s">
        <v>323</v>
      </c>
      <c r="T967">
        <v>4</v>
      </c>
      <c r="Y967" s="42">
        <v>44509</v>
      </c>
    </row>
    <row r="968" spans="14:25">
      <c r="N968" s="42">
        <v>44496</v>
      </c>
      <c r="O968" t="s">
        <v>328</v>
      </c>
      <c r="P968" s="42">
        <v>44496</v>
      </c>
      <c r="Q968" t="s">
        <v>328</v>
      </c>
      <c r="R968" t="s">
        <v>320</v>
      </c>
      <c r="S968" t="s">
        <v>323</v>
      </c>
      <c r="T968">
        <v>4</v>
      </c>
      <c r="Y968" s="42">
        <v>44509</v>
      </c>
    </row>
    <row r="969" spans="14:25">
      <c r="N969" s="42">
        <v>44495</v>
      </c>
      <c r="O969" t="s">
        <v>333</v>
      </c>
      <c r="P969" s="42">
        <v>44495</v>
      </c>
      <c r="Q969" t="s">
        <v>333</v>
      </c>
      <c r="R969" t="s">
        <v>320</v>
      </c>
      <c r="S969" t="s">
        <v>323</v>
      </c>
      <c r="T969">
        <v>4</v>
      </c>
      <c r="Y969" s="42">
        <v>44495</v>
      </c>
    </row>
    <row r="970" spans="14:25">
      <c r="N970" s="42">
        <v>44490</v>
      </c>
      <c r="O970" t="s">
        <v>324</v>
      </c>
      <c r="P970" s="42">
        <v>44490</v>
      </c>
      <c r="Q970" t="s">
        <v>324</v>
      </c>
      <c r="R970" t="s">
        <v>320</v>
      </c>
      <c r="S970" t="s">
        <v>323</v>
      </c>
      <c r="T970">
        <v>4</v>
      </c>
      <c r="Y970" s="42">
        <v>44495</v>
      </c>
    </row>
    <row r="971" spans="14:25">
      <c r="N971" s="42">
        <v>44489</v>
      </c>
      <c r="O971" t="s">
        <v>328</v>
      </c>
      <c r="P971" s="42">
        <v>44489</v>
      </c>
      <c r="Q971" t="s">
        <v>328</v>
      </c>
      <c r="R971" t="s">
        <v>320</v>
      </c>
      <c r="S971" t="s">
        <v>323</v>
      </c>
      <c r="T971">
        <v>4</v>
      </c>
      <c r="Y971" s="42">
        <v>44495</v>
      </c>
    </row>
    <row r="972" spans="14:25">
      <c r="N972" s="42">
        <v>44488</v>
      </c>
      <c r="O972" t="s">
        <v>333</v>
      </c>
      <c r="P972" s="42">
        <v>44488</v>
      </c>
      <c r="Q972" t="s">
        <v>333</v>
      </c>
      <c r="R972" t="s">
        <v>320</v>
      </c>
      <c r="S972" t="s">
        <v>323</v>
      </c>
      <c r="T972">
        <v>4</v>
      </c>
      <c r="Y972" s="42">
        <v>44495</v>
      </c>
    </row>
    <row r="973" spans="14:25">
      <c r="N973" s="42">
        <v>44483</v>
      </c>
      <c r="O973" t="s">
        <v>324</v>
      </c>
      <c r="P973" s="42">
        <v>44483</v>
      </c>
      <c r="Q973" t="s">
        <v>324</v>
      </c>
      <c r="R973" t="s">
        <v>320</v>
      </c>
      <c r="S973" t="s">
        <v>323</v>
      </c>
      <c r="T973">
        <v>4</v>
      </c>
      <c r="Y973" s="42">
        <v>44495</v>
      </c>
    </row>
    <row r="974" spans="14:25">
      <c r="N974" s="42">
        <v>44482</v>
      </c>
      <c r="O974" t="s">
        <v>328</v>
      </c>
      <c r="P974" s="42">
        <v>44482</v>
      </c>
      <c r="Q974" t="s">
        <v>328</v>
      </c>
      <c r="R974" t="s">
        <v>320</v>
      </c>
      <c r="S974" t="s">
        <v>323</v>
      </c>
      <c r="T974">
        <v>4</v>
      </c>
      <c r="Y974" s="42">
        <v>44495</v>
      </c>
    </row>
    <row r="975" spans="14:25">
      <c r="N975" s="42">
        <v>44481</v>
      </c>
      <c r="O975" t="s">
        <v>333</v>
      </c>
      <c r="P975" s="42">
        <v>44481</v>
      </c>
      <c r="Q975" t="s">
        <v>333</v>
      </c>
      <c r="R975" t="s">
        <v>320</v>
      </c>
      <c r="S975" t="s">
        <v>323</v>
      </c>
      <c r="T975">
        <v>4</v>
      </c>
      <c r="Y975" s="42">
        <v>44481</v>
      </c>
    </row>
    <row r="976" spans="14:25">
      <c r="N976" s="42">
        <v>44476</v>
      </c>
      <c r="O976" t="s">
        <v>324</v>
      </c>
      <c r="P976" s="42">
        <v>44476</v>
      </c>
      <c r="Q976" t="s">
        <v>324</v>
      </c>
      <c r="R976" t="s">
        <v>320</v>
      </c>
      <c r="S976" t="s">
        <v>323</v>
      </c>
      <c r="T976">
        <v>4</v>
      </c>
      <c r="Y976" s="42">
        <v>44481</v>
      </c>
    </row>
    <row r="977" spans="14:25">
      <c r="N977" s="42">
        <v>44475</v>
      </c>
      <c r="O977" t="s">
        <v>328</v>
      </c>
      <c r="P977" s="42">
        <v>44475</v>
      </c>
      <c r="Q977" t="s">
        <v>328</v>
      </c>
      <c r="R977" t="s">
        <v>320</v>
      </c>
      <c r="S977" t="s">
        <v>323</v>
      </c>
      <c r="T977">
        <v>4</v>
      </c>
      <c r="Y977" s="42">
        <v>44481</v>
      </c>
    </row>
    <row r="978" spans="14:25">
      <c r="N978" s="42">
        <v>44426</v>
      </c>
      <c r="O978" t="s">
        <v>328</v>
      </c>
      <c r="P978" s="42">
        <v>44426</v>
      </c>
      <c r="Q978" t="s">
        <v>328</v>
      </c>
      <c r="R978" t="s">
        <v>329</v>
      </c>
      <c r="S978" t="s">
        <v>323</v>
      </c>
      <c r="T978">
        <v>4</v>
      </c>
      <c r="W978" t="s">
        <v>330</v>
      </c>
      <c r="Y978" s="42">
        <v>44439</v>
      </c>
    </row>
    <row r="979" spans="14:25">
      <c r="N979" s="42">
        <v>44420</v>
      </c>
      <c r="O979" t="s">
        <v>324</v>
      </c>
      <c r="P979" s="42">
        <v>44420</v>
      </c>
      <c r="Q979" t="s">
        <v>324</v>
      </c>
      <c r="R979" t="s">
        <v>320</v>
      </c>
      <c r="S979" t="s">
        <v>323</v>
      </c>
      <c r="T979">
        <v>4</v>
      </c>
      <c r="Y979" s="42">
        <v>44425</v>
      </c>
    </row>
    <row r="980" spans="14:25">
      <c r="N980" s="42">
        <v>44419</v>
      </c>
      <c r="O980" t="s">
        <v>328</v>
      </c>
      <c r="P980" s="42">
        <v>44419</v>
      </c>
      <c r="Q980" t="s">
        <v>328</v>
      </c>
      <c r="R980" t="s">
        <v>320</v>
      </c>
      <c r="S980" t="s">
        <v>323</v>
      </c>
      <c r="T980">
        <v>4</v>
      </c>
      <c r="Y980" s="42">
        <v>44425</v>
      </c>
    </row>
    <row r="981" spans="14:25">
      <c r="N981" s="42">
        <v>44418</v>
      </c>
      <c r="O981" t="s">
        <v>333</v>
      </c>
      <c r="P981" s="42">
        <v>44418</v>
      </c>
      <c r="Q981" t="s">
        <v>333</v>
      </c>
      <c r="R981" t="s">
        <v>320</v>
      </c>
      <c r="S981" t="s">
        <v>323</v>
      </c>
      <c r="T981">
        <v>4</v>
      </c>
      <c r="Y981" s="42">
        <v>44425</v>
      </c>
    </row>
    <row r="982" spans="14:25">
      <c r="N982" s="42">
        <v>44405</v>
      </c>
      <c r="O982" t="s">
        <v>328</v>
      </c>
      <c r="P982" s="42">
        <v>44405</v>
      </c>
      <c r="Q982" t="s">
        <v>328</v>
      </c>
      <c r="R982" t="s">
        <v>329</v>
      </c>
      <c r="S982" t="s">
        <v>323</v>
      </c>
      <c r="T982">
        <v>4</v>
      </c>
      <c r="W982" t="s">
        <v>330</v>
      </c>
      <c r="Y982" s="42">
        <v>44411</v>
      </c>
    </row>
    <row r="983" spans="14:25">
      <c r="N983" s="42">
        <v>44355</v>
      </c>
      <c r="O983" t="s">
        <v>333</v>
      </c>
      <c r="P983" s="42">
        <v>44355</v>
      </c>
      <c r="Q983" t="s">
        <v>333</v>
      </c>
      <c r="R983" t="s">
        <v>329</v>
      </c>
      <c r="S983" t="s">
        <v>323</v>
      </c>
      <c r="T983">
        <v>4</v>
      </c>
      <c r="W983" t="s">
        <v>330</v>
      </c>
      <c r="Y983" s="42">
        <v>44355</v>
      </c>
    </row>
    <row r="984" spans="14:25">
      <c r="N984" s="42">
        <v>44327</v>
      </c>
      <c r="O984" t="s">
        <v>333</v>
      </c>
      <c r="P984" s="42">
        <v>44327</v>
      </c>
      <c r="Q984" t="s">
        <v>333</v>
      </c>
      <c r="R984" t="s">
        <v>329</v>
      </c>
      <c r="S984" t="s">
        <v>323</v>
      </c>
      <c r="T984">
        <v>4</v>
      </c>
      <c r="W984" t="s">
        <v>330</v>
      </c>
      <c r="Y984" s="42">
        <v>44327</v>
      </c>
    </row>
    <row r="985" spans="14:25">
      <c r="N985" s="42">
        <v>44292</v>
      </c>
      <c r="O985" t="s">
        <v>333</v>
      </c>
      <c r="P985" s="42">
        <v>44292</v>
      </c>
      <c r="Q985" t="s">
        <v>333</v>
      </c>
      <c r="R985" t="s">
        <v>363</v>
      </c>
      <c r="S985" t="s">
        <v>323</v>
      </c>
      <c r="T985">
        <v>4</v>
      </c>
      <c r="W985" t="s">
        <v>330</v>
      </c>
      <c r="Y985" s="42">
        <v>44299</v>
      </c>
    </row>
    <row r="986" spans="14:25">
      <c r="N986" s="42">
        <v>44222</v>
      </c>
      <c r="O986" t="s">
        <v>333</v>
      </c>
      <c r="P986" s="42">
        <v>44222</v>
      </c>
      <c r="Q986" t="s">
        <v>333</v>
      </c>
      <c r="R986" t="s">
        <v>320</v>
      </c>
      <c r="S986" t="s">
        <v>323</v>
      </c>
      <c r="U986">
        <v>4</v>
      </c>
    </row>
    <row r="987" spans="14:25">
      <c r="N987" s="42">
        <v>44208</v>
      </c>
      <c r="O987" t="s">
        <v>333</v>
      </c>
      <c r="P987" s="42">
        <v>44208</v>
      </c>
      <c r="Q987" t="s">
        <v>333</v>
      </c>
      <c r="R987" t="s">
        <v>329</v>
      </c>
      <c r="S987" t="s">
        <v>323</v>
      </c>
      <c r="T987">
        <v>4</v>
      </c>
      <c r="W987" t="s">
        <v>330</v>
      </c>
      <c r="Y987" s="42">
        <v>44215</v>
      </c>
    </row>
    <row r="988" spans="14:25">
      <c r="N988" s="42">
        <v>43979</v>
      </c>
      <c r="O988" t="s">
        <v>324</v>
      </c>
      <c r="P988" s="42">
        <v>43979</v>
      </c>
      <c r="Q988" t="s">
        <v>324</v>
      </c>
      <c r="R988" t="s">
        <v>325</v>
      </c>
      <c r="S988" t="s">
        <v>323</v>
      </c>
      <c r="T988">
        <v>4</v>
      </c>
      <c r="Y988" s="42">
        <v>43991</v>
      </c>
    </row>
    <row r="989" spans="14:25">
      <c r="N989" s="42">
        <v>43978</v>
      </c>
      <c r="O989" t="s">
        <v>328</v>
      </c>
      <c r="P989" s="42">
        <v>43978</v>
      </c>
      <c r="Q989" t="s">
        <v>328</v>
      </c>
      <c r="R989" t="s">
        <v>325</v>
      </c>
      <c r="S989" t="s">
        <v>323</v>
      </c>
      <c r="T989">
        <v>4</v>
      </c>
      <c r="Y989" s="42">
        <v>43991</v>
      </c>
    </row>
    <row r="990" spans="14:25">
      <c r="N990" s="42">
        <v>43977</v>
      </c>
      <c r="O990" t="s">
        <v>333</v>
      </c>
      <c r="P990" s="42">
        <v>43977</v>
      </c>
      <c r="Q990" t="s">
        <v>333</v>
      </c>
      <c r="R990" t="s">
        <v>325</v>
      </c>
      <c r="S990" t="s">
        <v>323</v>
      </c>
      <c r="T990">
        <v>4</v>
      </c>
      <c r="Y990" s="42">
        <v>43977</v>
      </c>
    </row>
    <row r="991" spans="14:25">
      <c r="N991" s="42">
        <v>43972</v>
      </c>
      <c r="O991" t="s">
        <v>324</v>
      </c>
      <c r="P991" s="42">
        <v>43972</v>
      </c>
      <c r="Q991" t="s">
        <v>324</v>
      </c>
      <c r="R991" t="s">
        <v>325</v>
      </c>
      <c r="S991" t="s">
        <v>323</v>
      </c>
      <c r="T991">
        <v>4</v>
      </c>
      <c r="Y991" s="42">
        <v>43977</v>
      </c>
    </row>
    <row r="992" spans="14:25">
      <c r="N992" s="42">
        <v>43971</v>
      </c>
      <c r="O992" t="s">
        <v>328</v>
      </c>
      <c r="P992" s="42">
        <v>43971</v>
      </c>
      <c r="Q992" t="s">
        <v>328</v>
      </c>
      <c r="R992" t="s">
        <v>325</v>
      </c>
      <c r="S992" t="s">
        <v>323</v>
      </c>
      <c r="T992">
        <v>4</v>
      </c>
      <c r="Y992" s="42">
        <v>43977</v>
      </c>
    </row>
    <row r="993" spans="14:25">
      <c r="N993" s="42">
        <v>43970</v>
      </c>
      <c r="O993" t="s">
        <v>333</v>
      </c>
      <c r="P993" s="42">
        <v>43970</v>
      </c>
      <c r="Q993" t="s">
        <v>333</v>
      </c>
      <c r="R993" t="s">
        <v>325</v>
      </c>
      <c r="S993" t="s">
        <v>323</v>
      </c>
      <c r="T993">
        <v>4</v>
      </c>
      <c r="Y993" s="42">
        <v>43977</v>
      </c>
    </row>
    <row r="994" spans="14:25">
      <c r="N994" s="42">
        <v>43965</v>
      </c>
      <c r="O994" t="s">
        <v>324</v>
      </c>
      <c r="P994" s="42">
        <v>43965</v>
      </c>
      <c r="Q994" t="s">
        <v>324</v>
      </c>
      <c r="R994" t="s">
        <v>325</v>
      </c>
      <c r="S994" t="s">
        <v>323</v>
      </c>
      <c r="T994">
        <v>4</v>
      </c>
      <c r="Y994" s="42">
        <v>43977</v>
      </c>
    </row>
    <row r="995" spans="14:25">
      <c r="N995" s="42">
        <v>43964</v>
      </c>
      <c r="O995" t="s">
        <v>328</v>
      </c>
      <c r="P995" s="42">
        <v>43964</v>
      </c>
      <c r="Q995" t="s">
        <v>328</v>
      </c>
      <c r="R995" t="s">
        <v>325</v>
      </c>
      <c r="S995" t="s">
        <v>323</v>
      </c>
      <c r="T995">
        <v>4</v>
      </c>
      <c r="Y995" s="42">
        <v>43977</v>
      </c>
    </row>
    <row r="996" spans="14:25">
      <c r="N996" s="42">
        <v>43963</v>
      </c>
      <c r="O996" t="s">
        <v>333</v>
      </c>
      <c r="P996" s="42">
        <v>43963</v>
      </c>
      <c r="Q996" t="s">
        <v>333</v>
      </c>
      <c r="R996" t="s">
        <v>320</v>
      </c>
      <c r="S996" t="s">
        <v>323</v>
      </c>
      <c r="T996">
        <v>4</v>
      </c>
      <c r="Y996" s="42">
        <v>43963</v>
      </c>
    </row>
    <row r="997" spans="14:25">
      <c r="N997" s="42">
        <v>43958</v>
      </c>
      <c r="O997" t="s">
        <v>324</v>
      </c>
      <c r="P997" s="42">
        <v>43958</v>
      </c>
      <c r="Q997" t="s">
        <v>324</v>
      </c>
      <c r="R997" t="s">
        <v>320</v>
      </c>
      <c r="S997" t="s">
        <v>323</v>
      </c>
      <c r="T997">
        <v>4</v>
      </c>
      <c r="Y997" s="42">
        <v>43963</v>
      </c>
    </row>
    <row r="998" spans="14:25">
      <c r="N998" s="42">
        <v>43957</v>
      </c>
      <c r="O998" t="s">
        <v>328</v>
      </c>
      <c r="P998" s="42">
        <v>43957</v>
      </c>
      <c r="Q998" t="s">
        <v>328</v>
      </c>
      <c r="R998" t="s">
        <v>320</v>
      </c>
      <c r="S998" t="s">
        <v>323</v>
      </c>
      <c r="T998">
        <v>4</v>
      </c>
      <c r="Y998" s="42">
        <v>43963</v>
      </c>
    </row>
    <row r="999" spans="14:25">
      <c r="N999" s="42">
        <v>43956</v>
      </c>
      <c r="O999" t="s">
        <v>333</v>
      </c>
      <c r="P999" s="42">
        <v>43956</v>
      </c>
      <c r="Q999" t="s">
        <v>333</v>
      </c>
      <c r="R999" t="s">
        <v>320</v>
      </c>
      <c r="S999" t="s">
        <v>323</v>
      </c>
      <c r="T999">
        <v>4</v>
      </c>
      <c r="Y999" s="42">
        <v>43963</v>
      </c>
    </row>
    <row r="1000" spans="14:25">
      <c r="N1000" s="42">
        <v>43951</v>
      </c>
      <c r="O1000" t="s">
        <v>324</v>
      </c>
      <c r="P1000" s="42">
        <v>43951</v>
      </c>
      <c r="Q1000" t="s">
        <v>324</v>
      </c>
      <c r="R1000" t="s">
        <v>320</v>
      </c>
      <c r="S1000" t="s">
        <v>323</v>
      </c>
      <c r="T1000">
        <v>4</v>
      </c>
      <c r="Y1000" s="42">
        <v>43963</v>
      </c>
    </row>
    <row r="1001" spans="14:25">
      <c r="N1001" s="42">
        <v>43950</v>
      </c>
      <c r="O1001" t="s">
        <v>328</v>
      </c>
      <c r="P1001" s="42">
        <v>43950</v>
      </c>
      <c r="Q1001" t="s">
        <v>328</v>
      </c>
      <c r="R1001" t="s">
        <v>320</v>
      </c>
      <c r="S1001" t="s">
        <v>323</v>
      </c>
      <c r="T1001">
        <v>4</v>
      </c>
      <c r="Y1001" s="42">
        <v>43963</v>
      </c>
    </row>
    <row r="1002" spans="14:25">
      <c r="N1002" s="42">
        <v>43949</v>
      </c>
      <c r="O1002" t="s">
        <v>333</v>
      </c>
      <c r="P1002" s="42">
        <v>43949</v>
      </c>
      <c r="Q1002" t="s">
        <v>333</v>
      </c>
      <c r="R1002" t="s">
        <v>320</v>
      </c>
      <c r="S1002" t="s">
        <v>323</v>
      </c>
      <c r="T1002">
        <v>4</v>
      </c>
      <c r="Y1002" s="42">
        <v>43949</v>
      </c>
    </row>
    <row r="1003" spans="14:25">
      <c r="N1003" s="42">
        <v>43944</v>
      </c>
      <c r="O1003" t="s">
        <v>324</v>
      </c>
      <c r="P1003" s="42">
        <v>43944</v>
      </c>
      <c r="Q1003" t="s">
        <v>324</v>
      </c>
      <c r="R1003" t="s">
        <v>320</v>
      </c>
      <c r="S1003" t="s">
        <v>323</v>
      </c>
      <c r="T1003">
        <v>4</v>
      </c>
      <c r="Y1003" s="42">
        <v>43949</v>
      </c>
    </row>
    <row r="1004" spans="14:25">
      <c r="N1004" s="42">
        <v>43943</v>
      </c>
      <c r="O1004" t="s">
        <v>328</v>
      </c>
      <c r="P1004" s="42">
        <v>43943</v>
      </c>
      <c r="Q1004" t="s">
        <v>328</v>
      </c>
      <c r="R1004" t="s">
        <v>320</v>
      </c>
      <c r="S1004" t="s">
        <v>323</v>
      </c>
      <c r="T1004">
        <v>4</v>
      </c>
      <c r="Y1004" s="42">
        <v>43949</v>
      </c>
    </row>
    <row r="1005" spans="14:25">
      <c r="N1005" s="42">
        <v>43942</v>
      </c>
      <c r="O1005" t="s">
        <v>333</v>
      </c>
      <c r="P1005" s="42">
        <v>43942</v>
      </c>
      <c r="Q1005" t="s">
        <v>333</v>
      </c>
      <c r="R1005" t="s">
        <v>320</v>
      </c>
      <c r="S1005" t="s">
        <v>323</v>
      </c>
      <c r="T1005">
        <v>4</v>
      </c>
      <c r="Y1005" s="42">
        <v>43949</v>
      </c>
    </row>
    <row r="1006" spans="14:25">
      <c r="N1006" s="42">
        <v>43937</v>
      </c>
      <c r="O1006" t="s">
        <v>324</v>
      </c>
      <c r="P1006" s="42">
        <v>43937</v>
      </c>
      <c r="Q1006" t="s">
        <v>324</v>
      </c>
      <c r="R1006" t="s">
        <v>320</v>
      </c>
      <c r="S1006" t="s">
        <v>323</v>
      </c>
      <c r="T1006">
        <v>4</v>
      </c>
      <c r="Y1006" s="42">
        <v>43949</v>
      </c>
    </row>
    <row r="1007" spans="14:25">
      <c r="N1007" s="42">
        <v>43936</v>
      </c>
      <c r="O1007" t="s">
        <v>328</v>
      </c>
      <c r="P1007" s="42">
        <v>43936</v>
      </c>
      <c r="Q1007" t="s">
        <v>328</v>
      </c>
      <c r="R1007" t="s">
        <v>320</v>
      </c>
      <c r="S1007" t="s">
        <v>323</v>
      </c>
      <c r="T1007">
        <v>4</v>
      </c>
      <c r="Y1007" s="42">
        <v>43949</v>
      </c>
    </row>
    <row r="1008" spans="14:25">
      <c r="N1008" s="42">
        <v>43935</v>
      </c>
      <c r="O1008" t="s">
        <v>333</v>
      </c>
      <c r="P1008" s="42">
        <v>43935</v>
      </c>
      <c r="Q1008" t="s">
        <v>333</v>
      </c>
      <c r="R1008" t="s">
        <v>329</v>
      </c>
      <c r="S1008" t="s">
        <v>323</v>
      </c>
      <c r="T1008">
        <v>4</v>
      </c>
      <c r="W1008" t="s">
        <v>330</v>
      </c>
      <c r="Y1008" s="42">
        <v>43935</v>
      </c>
    </row>
    <row r="1009" spans="1:25">
      <c r="N1009" s="42">
        <v>43930</v>
      </c>
      <c r="O1009" t="s">
        <v>324</v>
      </c>
      <c r="P1009" s="42">
        <v>43930</v>
      </c>
      <c r="Q1009" t="s">
        <v>324</v>
      </c>
      <c r="R1009" t="s">
        <v>329</v>
      </c>
      <c r="S1009" t="s">
        <v>323</v>
      </c>
      <c r="T1009">
        <v>4</v>
      </c>
      <c r="W1009" t="s">
        <v>330</v>
      </c>
      <c r="Y1009" s="42">
        <v>43935</v>
      </c>
    </row>
    <row r="1010" spans="1:25">
      <c r="N1010" s="42">
        <v>43929</v>
      </c>
      <c r="O1010" t="s">
        <v>328</v>
      </c>
      <c r="P1010" s="42">
        <v>43929</v>
      </c>
      <c r="Q1010" t="s">
        <v>328</v>
      </c>
      <c r="R1010" t="s">
        <v>329</v>
      </c>
      <c r="S1010" t="s">
        <v>323</v>
      </c>
      <c r="T1010">
        <v>4</v>
      </c>
      <c r="W1010" t="s">
        <v>330</v>
      </c>
      <c r="Y1010" s="42">
        <v>43935</v>
      </c>
    </row>
    <row r="1011" spans="1:25">
      <c r="N1011" s="42">
        <v>43928</v>
      </c>
      <c r="O1011" t="s">
        <v>333</v>
      </c>
      <c r="P1011" s="42">
        <v>43928</v>
      </c>
      <c r="Q1011" t="s">
        <v>333</v>
      </c>
      <c r="R1011" t="s">
        <v>329</v>
      </c>
      <c r="S1011" t="s">
        <v>323</v>
      </c>
      <c r="T1011">
        <v>4</v>
      </c>
      <c r="W1011" t="s">
        <v>330</v>
      </c>
      <c r="Y1011" s="42">
        <v>43935</v>
      </c>
    </row>
    <row r="1012" spans="1:25">
      <c r="N1012" s="42">
        <v>43923</v>
      </c>
      <c r="O1012" t="s">
        <v>324</v>
      </c>
      <c r="P1012" s="42">
        <v>43923</v>
      </c>
      <c r="Q1012" t="s">
        <v>324</v>
      </c>
      <c r="R1012" t="s">
        <v>329</v>
      </c>
      <c r="S1012" t="s">
        <v>323</v>
      </c>
      <c r="T1012">
        <v>4</v>
      </c>
      <c r="W1012" t="s">
        <v>330</v>
      </c>
      <c r="Y1012" s="42">
        <v>43935</v>
      </c>
    </row>
    <row r="1013" spans="1:25">
      <c r="N1013" s="42">
        <v>43922</v>
      </c>
      <c r="O1013" t="s">
        <v>328</v>
      </c>
      <c r="P1013" s="42">
        <v>43922</v>
      </c>
      <c r="Q1013" t="s">
        <v>328</v>
      </c>
      <c r="R1013" t="s">
        <v>329</v>
      </c>
      <c r="S1013" t="s">
        <v>323</v>
      </c>
      <c r="T1013">
        <v>4</v>
      </c>
      <c r="W1013" t="s">
        <v>330</v>
      </c>
      <c r="Y1013" s="42">
        <v>43935</v>
      </c>
    </row>
    <row r="1014" spans="1:25">
      <c r="N1014" s="42">
        <v>43921</v>
      </c>
      <c r="O1014" t="s">
        <v>333</v>
      </c>
      <c r="P1014" s="42">
        <v>43921</v>
      </c>
      <c r="Q1014" t="s">
        <v>333</v>
      </c>
      <c r="R1014" t="s">
        <v>329</v>
      </c>
      <c r="S1014" t="s">
        <v>323</v>
      </c>
      <c r="T1014">
        <v>4</v>
      </c>
      <c r="W1014" t="s">
        <v>330</v>
      </c>
      <c r="Y1014" s="42">
        <v>43921</v>
      </c>
    </row>
    <row r="1015" spans="1:25">
      <c r="N1015" s="42">
        <v>43916</v>
      </c>
      <c r="O1015" t="s">
        <v>324</v>
      </c>
      <c r="P1015" s="42">
        <v>43916</v>
      </c>
      <c r="Q1015" t="s">
        <v>324</v>
      </c>
      <c r="R1015" t="s">
        <v>329</v>
      </c>
      <c r="S1015" t="s">
        <v>323</v>
      </c>
      <c r="T1015">
        <v>4</v>
      </c>
      <c r="W1015" t="s">
        <v>330</v>
      </c>
      <c r="Y1015" s="42">
        <v>43921</v>
      </c>
    </row>
    <row r="1016" spans="1:25">
      <c r="N1016" s="42">
        <v>43837</v>
      </c>
      <c r="O1016" t="s">
        <v>333</v>
      </c>
      <c r="P1016" s="42">
        <v>43837</v>
      </c>
      <c r="Q1016" t="s">
        <v>333</v>
      </c>
      <c r="R1016" t="s">
        <v>329</v>
      </c>
      <c r="S1016" t="s">
        <v>323</v>
      </c>
      <c r="T1016">
        <v>4</v>
      </c>
      <c r="W1016" t="s">
        <v>330</v>
      </c>
      <c r="Y1016" s="42">
        <v>43837</v>
      </c>
    </row>
    <row r="1017" spans="1:25">
      <c r="N1017" s="42">
        <v>43769</v>
      </c>
      <c r="O1017" t="s">
        <v>324</v>
      </c>
      <c r="P1017" s="42">
        <v>43769</v>
      </c>
      <c r="Q1017" t="s">
        <v>324</v>
      </c>
      <c r="R1017" t="s">
        <v>320</v>
      </c>
      <c r="S1017" t="s">
        <v>323</v>
      </c>
      <c r="T1017">
        <v>4</v>
      </c>
      <c r="Y1017" s="42">
        <v>43781</v>
      </c>
    </row>
    <row r="1018" spans="1:25">
      <c r="N1018" s="42">
        <v>43768</v>
      </c>
      <c r="O1018" t="s">
        <v>328</v>
      </c>
      <c r="P1018" s="42">
        <v>43768</v>
      </c>
      <c r="Q1018" t="s">
        <v>328</v>
      </c>
      <c r="R1018" t="s">
        <v>320</v>
      </c>
      <c r="S1018" t="s">
        <v>323</v>
      </c>
      <c r="T1018">
        <v>4</v>
      </c>
      <c r="Y1018" s="42">
        <v>43781</v>
      </c>
    </row>
    <row r="1019" spans="1:25">
      <c r="N1019" s="42">
        <v>43727</v>
      </c>
      <c r="O1019" t="s">
        <v>324</v>
      </c>
      <c r="P1019" s="42">
        <v>43727</v>
      </c>
      <c r="Q1019" t="s">
        <v>324</v>
      </c>
      <c r="R1019" t="s">
        <v>329</v>
      </c>
      <c r="S1019" t="s">
        <v>323</v>
      </c>
      <c r="T1019">
        <v>4</v>
      </c>
      <c r="W1019" t="s">
        <v>330</v>
      </c>
      <c r="Y1019" s="42">
        <v>43739</v>
      </c>
    </row>
    <row r="1020" spans="1:25">
      <c r="N1020" s="42">
        <v>43656</v>
      </c>
      <c r="O1020" t="s">
        <v>328</v>
      </c>
      <c r="P1020" s="42">
        <v>43656</v>
      </c>
      <c r="Q1020" t="s">
        <v>328</v>
      </c>
      <c r="R1020" t="s">
        <v>334</v>
      </c>
      <c r="S1020" t="s">
        <v>323</v>
      </c>
      <c r="T1020">
        <v>4</v>
      </c>
      <c r="W1020" t="s">
        <v>330</v>
      </c>
      <c r="Y1020" s="42">
        <v>43669</v>
      </c>
    </row>
    <row r="1021" spans="1:25">
      <c r="A1021">
        <v>220</v>
      </c>
      <c r="B1021" t="s">
        <v>364</v>
      </c>
      <c r="C1021" t="s">
        <v>320</v>
      </c>
      <c r="D1021" t="s">
        <v>336</v>
      </c>
      <c r="E1021" t="s">
        <v>337</v>
      </c>
      <c r="F1021">
        <v>1</v>
      </c>
      <c r="G1021" s="42">
        <v>45095</v>
      </c>
      <c r="H1021">
        <v>152</v>
      </c>
      <c r="I1021">
        <v>110.3892</v>
      </c>
      <c r="J1021">
        <v>107.8575</v>
      </c>
      <c r="K1021">
        <v>218.2467</v>
      </c>
      <c r="L1021" t="s">
        <v>323</v>
      </c>
      <c r="M1021" s="43">
        <v>0.63055555555555554</v>
      </c>
      <c r="N1021" s="42">
        <v>45028</v>
      </c>
      <c r="O1021" t="s">
        <v>328</v>
      </c>
      <c r="P1021" s="42">
        <v>45032</v>
      </c>
      <c r="Q1021" t="s">
        <v>344</v>
      </c>
      <c r="R1021" t="s">
        <v>320</v>
      </c>
      <c r="S1021" t="s">
        <v>323</v>
      </c>
      <c r="T1021">
        <v>22.8</v>
      </c>
      <c r="U1021">
        <v>0</v>
      </c>
      <c r="V1021">
        <v>0</v>
      </c>
    </row>
    <row r="1022" spans="1:25">
      <c r="C1022" t="s">
        <v>325</v>
      </c>
      <c r="D1022" t="s">
        <v>340</v>
      </c>
      <c r="E1022" t="s">
        <v>341</v>
      </c>
      <c r="F1022">
        <v>2</v>
      </c>
      <c r="G1022" s="42">
        <v>45095</v>
      </c>
      <c r="H1022">
        <v>32.934600000000003</v>
      </c>
      <c r="I1022">
        <v>493.98480000000001</v>
      </c>
      <c r="J1022">
        <v>23.37</v>
      </c>
      <c r="K1022">
        <v>517.35479999999995</v>
      </c>
      <c r="L1022" t="s">
        <v>323</v>
      </c>
      <c r="N1022" s="42">
        <v>45027</v>
      </c>
      <c r="O1022" t="s">
        <v>333</v>
      </c>
      <c r="P1022" s="42">
        <v>45027</v>
      </c>
      <c r="Q1022" t="s">
        <v>333</v>
      </c>
      <c r="R1022" t="s">
        <v>320</v>
      </c>
      <c r="S1022" t="s">
        <v>323</v>
      </c>
      <c r="T1022">
        <v>7.6</v>
      </c>
      <c r="U1022">
        <v>0</v>
      </c>
      <c r="V1022">
        <v>0</v>
      </c>
    </row>
    <row r="1023" spans="1:25">
      <c r="C1023" t="s">
        <v>329</v>
      </c>
      <c r="D1023" t="s">
        <v>342</v>
      </c>
      <c r="E1023" t="s">
        <v>343</v>
      </c>
      <c r="F1023">
        <v>1</v>
      </c>
      <c r="G1023" s="42">
        <v>45095</v>
      </c>
      <c r="H1023">
        <v>76</v>
      </c>
      <c r="I1023">
        <v>389.94920000000002</v>
      </c>
      <c r="J1023">
        <v>53.928800000000003</v>
      </c>
      <c r="K1023">
        <v>443.87799999999999</v>
      </c>
      <c r="L1023" t="s">
        <v>323</v>
      </c>
      <c r="N1023" s="42">
        <v>44952</v>
      </c>
      <c r="O1023" t="s">
        <v>324</v>
      </c>
      <c r="P1023" s="42">
        <v>44952</v>
      </c>
      <c r="Q1023" t="s">
        <v>324</v>
      </c>
      <c r="R1023" t="s">
        <v>320</v>
      </c>
      <c r="S1023" t="s">
        <v>323</v>
      </c>
      <c r="U1023">
        <v>7.6</v>
      </c>
      <c r="Y1023" s="42">
        <v>44957</v>
      </c>
    </row>
    <row r="1024" spans="1:25">
      <c r="N1024" s="42">
        <v>44928</v>
      </c>
      <c r="O1024" t="s">
        <v>345</v>
      </c>
      <c r="P1024" s="42">
        <v>44928</v>
      </c>
      <c r="Q1024" t="s">
        <v>345</v>
      </c>
      <c r="R1024" t="s">
        <v>320</v>
      </c>
      <c r="S1024" t="s">
        <v>323</v>
      </c>
      <c r="U1024">
        <v>7.6</v>
      </c>
      <c r="Y1024" s="42">
        <v>44929</v>
      </c>
    </row>
    <row r="1025" spans="14:25">
      <c r="N1025" s="42">
        <v>44923</v>
      </c>
      <c r="O1025" t="s">
        <v>328</v>
      </c>
      <c r="P1025" s="42">
        <v>44925</v>
      </c>
      <c r="Q1025" t="s">
        <v>346</v>
      </c>
      <c r="R1025" t="s">
        <v>320</v>
      </c>
      <c r="S1025" t="s">
        <v>323</v>
      </c>
      <c r="T1025">
        <v>22.8</v>
      </c>
      <c r="V1025">
        <v>0</v>
      </c>
      <c r="Y1025" s="42">
        <v>44929</v>
      </c>
    </row>
    <row r="1026" spans="14:25">
      <c r="N1026" s="42">
        <v>44922</v>
      </c>
      <c r="O1026" t="s">
        <v>333</v>
      </c>
      <c r="P1026" s="42">
        <v>44922</v>
      </c>
      <c r="Q1026" t="s">
        <v>333</v>
      </c>
      <c r="R1026" t="s">
        <v>320</v>
      </c>
      <c r="S1026" t="s">
        <v>323</v>
      </c>
      <c r="U1026">
        <v>7.6</v>
      </c>
      <c r="Y1026" s="42">
        <v>44929</v>
      </c>
    </row>
    <row r="1027" spans="14:25">
      <c r="N1027" s="42">
        <v>44921</v>
      </c>
      <c r="O1027" t="s">
        <v>345</v>
      </c>
      <c r="P1027" s="42">
        <v>44921</v>
      </c>
      <c r="Q1027" t="s">
        <v>345</v>
      </c>
      <c r="R1027" t="s">
        <v>320</v>
      </c>
      <c r="S1027" t="s">
        <v>323</v>
      </c>
      <c r="U1027">
        <v>7.6</v>
      </c>
      <c r="Y1027" s="42">
        <v>44929</v>
      </c>
    </row>
    <row r="1028" spans="14:25">
      <c r="N1028" s="42">
        <v>44862</v>
      </c>
      <c r="O1028" t="s">
        <v>346</v>
      </c>
      <c r="P1028" s="42">
        <v>44867</v>
      </c>
      <c r="Q1028" t="s">
        <v>328</v>
      </c>
      <c r="R1028" t="s">
        <v>320</v>
      </c>
      <c r="S1028" t="s">
        <v>323</v>
      </c>
      <c r="T1028">
        <v>22.8</v>
      </c>
      <c r="U1028">
        <v>7.6</v>
      </c>
      <c r="V1028">
        <v>0</v>
      </c>
      <c r="Y1028" s="42">
        <v>44873</v>
      </c>
    </row>
    <row r="1029" spans="14:25">
      <c r="N1029" s="42">
        <v>44830</v>
      </c>
      <c r="O1029" t="s">
        <v>345</v>
      </c>
      <c r="P1029" s="42">
        <v>44831</v>
      </c>
      <c r="Q1029" t="s">
        <v>333</v>
      </c>
      <c r="R1029" t="s">
        <v>320</v>
      </c>
      <c r="S1029" t="s">
        <v>323</v>
      </c>
      <c r="T1029">
        <v>15.2</v>
      </c>
      <c r="V1029">
        <v>0</v>
      </c>
      <c r="Y1029" s="42">
        <v>44831</v>
      </c>
    </row>
    <row r="1030" spans="14:25">
      <c r="N1030" s="42">
        <v>44827</v>
      </c>
      <c r="O1030" t="s">
        <v>346</v>
      </c>
      <c r="P1030" s="42">
        <v>44827</v>
      </c>
      <c r="Q1030" t="s">
        <v>346</v>
      </c>
      <c r="R1030" t="s">
        <v>320</v>
      </c>
      <c r="S1030" t="s">
        <v>323</v>
      </c>
      <c r="U1030">
        <v>7.6</v>
      </c>
      <c r="Y1030" s="42">
        <v>44831</v>
      </c>
    </row>
    <row r="1031" spans="14:25">
      <c r="N1031" s="42">
        <v>44826</v>
      </c>
      <c r="O1031" t="s">
        <v>324</v>
      </c>
      <c r="P1031" s="42">
        <v>44826</v>
      </c>
      <c r="Q1031" t="s">
        <v>324</v>
      </c>
      <c r="R1031" t="s">
        <v>320</v>
      </c>
      <c r="S1031" t="s">
        <v>323</v>
      </c>
      <c r="U1031">
        <v>7.6</v>
      </c>
      <c r="Y1031" s="42">
        <v>44831</v>
      </c>
    </row>
    <row r="1032" spans="14:25">
      <c r="N1032" s="42">
        <v>44764</v>
      </c>
      <c r="O1032" t="s">
        <v>346</v>
      </c>
      <c r="P1032" s="42">
        <v>44764</v>
      </c>
      <c r="Q1032" t="s">
        <v>346</v>
      </c>
      <c r="R1032" t="s">
        <v>320</v>
      </c>
      <c r="S1032" t="s">
        <v>323</v>
      </c>
      <c r="T1032">
        <v>7.6</v>
      </c>
      <c r="V1032">
        <v>0</v>
      </c>
      <c r="Y1032" s="42">
        <v>44775</v>
      </c>
    </row>
    <row r="1033" spans="14:25">
      <c r="N1033" s="42">
        <v>44725</v>
      </c>
      <c r="O1033" t="s">
        <v>345</v>
      </c>
      <c r="P1033" s="42">
        <v>44725</v>
      </c>
      <c r="Q1033" t="s">
        <v>345</v>
      </c>
      <c r="R1033" t="s">
        <v>320</v>
      </c>
      <c r="S1033" t="s">
        <v>323</v>
      </c>
      <c r="U1033">
        <v>7.6</v>
      </c>
      <c r="Y1033" s="42">
        <v>44733</v>
      </c>
    </row>
    <row r="1034" spans="14:25">
      <c r="N1034" s="42">
        <v>44705</v>
      </c>
      <c r="O1034" t="s">
        <v>333</v>
      </c>
      <c r="P1034" s="42">
        <v>44705</v>
      </c>
      <c r="Q1034" t="s">
        <v>333</v>
      </c>
      <c r="R1034" t="s">
        <v>320</v>
      </c>
      <c r="S1034" t="s">
        <v>323</v>
      </c>
      <c r="T1034">
        <v>197.6</v>
      </c>
      <c r="U1034">
        <v>0</v>
      </c>
    </row>
    <row r="1035" spans="14:25">
      <c r="N1035" s="42">
        <v>44676</v>
      </c>
      <c r="O1035" t="s">
        <v>345</v>
      </c>
      <c r="P1035" s="42">
        <v>44676</v>
      </c>
      <c r="Q1035" t="s">
        <v>345</v>
      </c>
      <c r="R1035" t="s">
        <v>320</v>
      </c>
      <c r="S1035" t="s">
        <v>323</v>
      </c>
      <c r="U1035">
        <v>7.6</v>
      </c>
      <c r="Y1035" s="42">
        <v>44677</v>
      </c>
    </row>
    <row r="1036" spans="14:25">
      <c r="N1036" s="42">
        <v>44669</v>
      </c>
      <c r="O1036" t="s">
        <v>345</v>
      </c>
      <c r="P1036" s="42">
        <v>44669</v>
      </c>
      <c r="Q1036" t="s">
        <v>345</v>
      </c>
      <c r="R1036" t="s">
        <v>320</v>
      </c>
      <c r="S1036" t="s">
        <v>323</v>
      </c>
      <c r="U1036">
        <v>7.6</v>
      </c>
      <c r="Y1036" s="42">
        <v>44677</v>
      </c>
    </row>
    <row r="1037" spans="14:25">
      <c r="N1037" s="42">
        <v>44666</v>
      </c>
      <c r="O1037" t="s">
        <v>346</v>
      </c>
      <c r="P1037" s="42">
        <v>44666</v>
      </c>
      <c r="Q1037" t="s">
        <v>346</v>
      </c>
      <c r="R1037" t="s">
        <v>320</v>
      </c>
      <c r="S1037" t="s">
        <v>323</v>
      </c>
      <c r="U1037">
        <v>7.6</v>
      </c>
      <c r="Y1037" s="42">
        <v>44677</v>
      </c>
    </row>
    <row r="1038" spans="14:25">
      <c r="N1038" s="42">
        <v>44659</v>
      </c>
      <c r="O1038" t="s">
        <v>346</v>
      </c>
      <c r="P1038" s="42">
        <v>44660</v>
      </c>
      <c r="Q1038" t="s">
        <v>359</v>
      </c>
      <c r="R1038" t="s">
        <v>320</v>
      </c>
      <c r="S1038" t="s">
        <v>323</v>
      </c>
      <c r="T1038">
        <v>7.6</v>
      </c>
      <c r="V1038">
        <v>0</v>
      </c>
      <c r="Y1038" s="42">
        <v>44663</v>
      </c>
    </row>
    <row r="1039" spans="14:25">
      <c r="N1039" s="42">
        <v>44645</v>
      </c>
      <c r="O1039" t="s">
        <v>346</v>
      </c>
      <c r="P1039" s="42">
        <v>44645</v>
      </c>
      <c r="Q1039" t="s">
        <v>346</v>
      </c>
      <c r="R1039" t="s">
        <v>320</v>
      </c>
      <c r="S1039" t="s">
        <v>323</v>
      </c>
      <c r="T1039">
        <v>7.6</v>
      </c>
      <c r="V1039">
        <v>0</v>
      </c>
      <c r="Y1039" s="42">
        <v>44649</v>
      </c>
    </row>
    <row r="1040" spans="14:25">
      <c r="N1040" s="42">
        <v>44634</v>
      </c>
      <c r="O1040" t="s">
        <v>345</v>
      </c>
      <c r="P1040" s="42">
        <v>44634</v>
      </c>
      <c r="Q1040" t="s">
        <v>345</v>
      </c>
      <c r="R1040" t="s">
        <v>320</v>
      </c>
      <c r="S1040" t="s">
        <v>323</v>
      </c>
      <c r="U1040">
        <v>7.6</v>
      </c>
      <c r="Y1040" s="42">
        <v>44635</v>
      </c>
    </row>
    <row r="1041" spans="14:25">
      <c r="N1041" s="42">
        <v>44587</v>
      </c>
      <c r="O1041" t="s">
        <v>328</v>
      </c>
      <c r="P1041" s="42">
        <v>44587</v>
      </c>
      <c r="Q1041" t="s">
        <v>328</v>
      </c>
      <c r="R1041" t="s">
        <v>320</v>
      </c>
      <c r="S1041" t="s">
        <v>323</v>
      </c>
      <c r="U1041">
        <v>7.6</v>
      </c>
      <c r="Y1041" s="42">
        <v>44593</v>
      </c>
    </row>
    <row r="1042" spans="14:25">
      <c r="N1042" s="42">
        <v>44566</v>
      </c>
      <c r="O1042" t="s">
        <v>328</v>
      </c>
      <c r="P1042" s="42">
        <v>44568</v>
      </c>
      <c r="Q1042" t="s">
        <v>346</v>
      </c>
      <c r="R1042" t="s">
        <v>320</v>
      </c>
      <c r="S1042" t="s">
        <v>323</v>
      </c>
      <c r="T1042">
        <v>22.8</v>
      </c>
      <c r="U1042">
        <v>0</v>
      </c>
      <c r="V1042">
        <v>0</v>
      </c>
      <c r="Y1042" s="42">
        <v>44579</v>
      </c>
    </row>
    <row r="1043" spans="14:25">
      <c r="N1043" s="42">
        <v>44559</v>
      </c>
      <c r="O1043" t="s">
        <v>328</v>
      </c>
      <c r="P1043" s="42">
        <v>44565</v>
      </c>
      <c r="Q1043" t="s">
        <v>333</v>
      </c>
      <c r="R1043" t="s">
        <v>320</v>
      </c>
      <c r="S1043" t="s">
        <v>323</v>
      </c>
      <c r="T1043">
        <v>30.4</v>
      </c>
      <c r="U1043">
        <v>7.6</v>
      </c>
      <c r="V1043">
        <v>0</v>
      </c>
      <c r="Y1043" s="42">
        <v>44565</v>
      </c>
    </row>
    <row r="1044" spans="14:25">
      <c r="N1044" s="42">
        <v>44558</v>
      </c>
      <c r="O1044" t="s">
        <v>333</v>
      </c>
      <c r="P1044" s="42">
        <v>44558</v>
      </c>
      <c r="Q1044" t="s">
        <v>333</v>
      </c>
      <c r="R1044" t="s">
        <v>320</v>
      </c>
      <c r="S1044" t="s">
        <v>323</v>
      </c>
      <c r="U1044">
        <v>7.6</v>
      </c>
      <c r="Y1044" s="42">
        <v>44565</v>
      </c>
    </row>
    <row r="1045" spans="14:25">
      <c r="N1045" s="42">
        <v>44557</v>
      </c>
      <c r="O1045" t="s">
        <v>345</v>
      </c>
      <c r="P1045" s="42">
        <v>44557</v>
      </c>
      <c r="Q1045" t="s">
        <v>345</v>
      </c>
      <c r="R1045" t="s">
        <v>320</v>
      </c>
      <c r="S1045" t="s">
        <v>323</v>
      </c>
      <c r="U1045">
        <v>7.6</v>
      </c>
      <c r="Y1045" s="42">
        <v>44565</v>
      </c>
    </row>
    <row r="1046" spans="14:25">
      <c r="N1046" s="42">
        <v>44502</v>
      </c>
      <c r="O1046" t="s">
        <v>333</v>
      </c>
      <c r="P1046" s="42">
        <v>44502</v>
      </c>
      <c r="Q1046" t="s">
        <v>333</v>
      </c>
      <c r="R1046" t="s">
        <v>320</v>
      </c>
      <c r="S1046" t="s">
        <v>323</v>
      </c>
      <c r="U1046">
        <v>7.6</v>
      </c>
      <c r="Y1046" s="42">
        <v>44509</v>
      </c>
    </row>
    <row r="1047" spans="14:25">
      <c r="N1047" s="42">
        <v>44463</v>
      </c>
      <c r="O1047" t="s">
        <v>346</v>
      </c>
      <c r="P1047" s="42">
        <v>44463</v>
      </c>
      <c r="Q1047" t="s">
        <v>346</v>
      </c>
      <c r="R1047" t="s">
        <v>320</v>
      </c>
      <c r="S1047" t="s">
        <v>323</v>
      </c>
      <c r="U1047">
        <v>7.6</v>
      </c>
      <c r="Y1047" s="42">
        <v>44467</v>
      </c>
    </row>
    <row r="1048" spans="14:25">
      <c r="N1048" s="42">
        <v>44398</v>
      </c>
      <c r="O1048" t="s">
        <v>328</v>
      </c>
      <c r="P1048" s="42">
        <v>44407</v>
      </c>
      <c r="Q1048" t="s">
        <v>346</v>
      </c>
      <c r="R1048" t="s">
        <v>320</v>
      </c>
      <c r="S1048" t="s">
        <v>323</v>
      </c>
      <c r="T1048">
        <v>60.8</v>
      </c>
      <c r="V1048">
        <v>0</v>
      </c>
      <c r="Y1048" s="42">
        <v>44411</v>
      </c>
    </row>
    <row r="1049" spans="14:25">
      <c r="N1049" s="42">
        <v>44385</v>
      </c>
      <c r="O1049" t="s">
        <v>324</v>
      </c>
      <c r="P1049" s="42">
        <v>44385</v>
      </c>
      <c r="Q1049" t="s">
        <v>324</v>
      </c>
      <c r="R1049" t="s">
        <v>329</v>
      </c>
      <c r="S1049" t="s">
        <v>323</v>
      </c>
      <c r="T1049">
        <v>7.6</v>
      </c>
      <c r="W1049" t="s">
        <v>339</v>
      </c>
      <c r="Y1049" s="42">
        <v>44397</v>
      </c>
    </row>
    <row r="1050" spans="14:25">
      <c r="N1050" s="42">
        <v>44361</v>
      </c>
      <c r="O1050" t="s">
        <v>345</v>
      </c>
      <c r="P1050" s="42">
        <v>44361</v>
      </c>
      <c r="Q1050" t="s">
        <v>345</v>
      </c>
      <c r="R1050" t="s">
        <v>320</v>
      </c>
      <c r="S1050" t="s">
        <v>323</v>
      </c>
      <c r="U1050">
        <v>7.6</v>
      </c>
      <c r="Y1050" s="42">
        <v>44369</v>
      </c>
    </row>
    <row r="1051" spans="14:25">
      <c r="N1051" s="42">
        <v>44291</v>
      </c>
      <c r="O1051" t="s">
        <v>345</v>
      </c>
      <c r="P1051" s="42">
        <v>44291</v>
      </c>
      <c r="Q1051" t="s">
        <v>345</v>
      </c>
      <c r="R1051" t="s">
        <v>320</v>
      </c>
      <c r="S1051" t="s">
        <v>323</v>
      </c>
      <c r="U1051">
        <v>7.6</v>
      </c>
      <c r="Y1051" s="42">
        <v>44299</v>
      </c>
    </row>
    <row r="1052" spans="14:25">
      <c r="N1052" s="42">
        <v>44288</v>
      </c>
      <c r="O1052" t="s">
        <v>346</v>
      </c>
      <c r="P1052" s="42">
        <v>44288</v>
      </c>
      <c r="Q1052" t="s">
        <v>346</v>
      </c>
      <c r="R1052" t="s">
        <v>320</v>
      </c>
      <c r="S1052" t="s">
        <v>323</v>
      </c>
      <c r="U1052">
        <v>7.6</v>
      </c>
      <c r="Y1052" s="42">
        <v>44299</v>
      </c>
    </row>
    <row r="1053" spans="14:25">
      <c r="N1053" s="42">
        <v>44263</v>
      </c>
      <c r="O1053" t="s">
        <v>345</v>
      </c>
      <c r="P1053" s="42">
        <v>44263</v>
      </c>
      <c r="Q1053" t="s">
        <v>345</v>
      </c>
      <c r="R1053" t="s">
        <v>320</v>
      </c>
      <c r="S1053" t="s">
        <v>323</v>
      </c>
      <c r="U1053">
        <v>7.6</v>
      </c>
      <c r="Y1053" s="42">
        <v>44271</v>
      </c>
    </row>
    <row r="1054" spans="14:25">
      <c r="N1054" s="42">
        <v>44222</v>
      </c>
      <c r="O1054" t="s">
        <v>333</v>
      </c>
      <c r="P1054" s="42">
        <v>44222</v>
      </c>
      <c r="Q1054" t="s">
        <v>333</v>
      </c>
      <c r="R1054" t="s">
        <v>320</v>
      </c>
      <c r="S1054" t="s">
        <v>323</v>
      </c>
      <c r="U1054">
        <v>7.6</v>
      </c>
      <c r="Y1054" s="42">
        <v>44229</v>
      </c>
    </row>
    <row r="1055" spans="14:25">
      <c r="N1055" s="42">
        <v>44221</v>
      </c>
      <c r="O1055" t="s">
        <v>345</v>
      </c>
      <c r="P1055" s="42">
        <v>44221</v>
      </c>
      <c r="Q1055" t="s">
        <v>345</v>
      </c>
      <c r="R1055" t="s">
        <v>320</v>
      </c>
      <c r="S1055" t="s">
        <v>323</v>
      </c>
      <c r="T1055">
        <v>7.6</v>
      </c>
      <c r="V1055">
        <v>0</v>
      </c>
      <c r="Y1055" s="42">
        <v>44229</v>
      </c>
    </row>
    <row r="1056" spans="14:25">
      <c r="N1056" s="42">
        <v>44197</v>
      </c>
      <c r="O1056" t="s">
        <v>346</v>
      </c>
      <c r="P1056" s="42">
        <v>44197</v>
      </c>
      <c r="Q1056" t="s">
        <v>346</v>
      </c>
      <c r="R1056" t="s">
        <v>320</v>
      </c>
      <c r="S1056" t="s">
        <v>323</v>
      </c>
      <c r="U1056">
        <v>7.6</v>
      </c>
      <c r="Y1056" s="42">
        <v>44201</v>
      </c>
    </row>
    <row r="1057" spans="14:25">
      <c r="N1057" s="42">
        <v>44189</v>
      </c>
      <c r="O1057" t="s">
        <v>324</v>
      </c>
      <c r="P1057" s="42">
        <v>44196</v>
      </c>
      <c r="Q1057" t="s">
        <v>324</v>
      </c>
      <c r="R1057" t="s">
        <v>320</v>
      </c>
      <c r="S1057" t="s">
        <v>323</v>
      </c>
      <c r="T1057">
        <v>30.4</v>
      </c>
      <c r="U1057">
        <v>15.2</v>
      </c>
      <c r="V1057">
        <v>0</v>
      </c>
      <c r="Y1057" s="42">
        <v>44201</v>
      </c>
    </row>
    <row r="1058" spans="14:25">
      <c r="N1058" s="42">
        <v>44138</v>
      </c>
      <c r="O1058" t="s">
        <v>333</v>
      </c>
      <c r="P1058" s="42">
        <v>44138</v>
      </c>
      <c r="Q1058" t="s">
        <v>333</v>
      </c>
      <c r="R1058" t="s">
        <v>320</v>
      </c>
      <c r="S1058" t="s">
        <v>323</v>
      </c>
      <c r="U1058">
        <v>7.6</v>
      </c>
      <c r="Y1058" s="42">
        <v>44145</v>
      </c>
    </row>
    <row r="1059" spans="14:25">
      <c r="N1059" s="42">
        <v>44127</v>
      </c>
      <c r="O1059" t="s">
        <v>346</v>
      </c>
      <c r="P1059" s="42">
        <v>44127</v>
      </c>
      <c r="Q1059" t="s">
        <v>346</v>
      </c>
      <c r="R1059" t="s">
        <v>320</v>
      </c>
      <c r="S1059" t="s">
        <v>323</v>
      </c>
      <c r="U1059">
        <v>7.6</v>
      </c>
      <c r="Y1059" s="42">
        <v>44131</v>
      </c>
    </row>
    <row r="1060" spans="14:25">
      <c r="N1060" s="42">
        <v>43990</v>
      </c>
      <c r="O1060" t="s">
        <v>345</v>
      </c>
      <c r="P1060" s="42">
        <v>43990</v>
      </c>
      <c r="Q1060" t="s">
        <v>345</v>
      </c>
      <c r="R1060" t="s">
        <v>320</v>
      </c>
      <c r="S1060" t="s">
        <v>323</v>
      </c>
      <c r="T1060">
        <v>0</v>
      </c>
      <c r="U1060">
        <v>7.6</v>
      </c>
      <c r="Y1060" s="42">
        <v>43991</v>
      </c>
    </row>
    <row r="1061" spans="14:25">
      <c r="N1061" s="42">
        <v>43987</v>
      </c>
      <c r="O1061" t="s">
        <v>346</v>
      </c>
      <c r="P1061" s="42">
        <v>43987</v>
      </c>
      <c r="Q1061" t="s">
        <v>346</v>
      </c>
      <c r="R1061" t="s">
        <v>320</v>
      </c>
      <c r="S1061" t="s">
        <v>323</v>
      </c>
      <c r="T1061">
        <v>7.6</v>
      </c>
      <c r="V1061">
        <v>0</v>
      </c>
      <c r="Y1061" s="42">
        <v>44005</v>
      </c>
    </row>
    <row r="1062" spans="14:25">
      <c r="N1062" s="42">
        <v>43978</v>
      </c>
      <c r="O1062" t="s">
        <v>328</v>
      </c>
      <c r="P1062" s="42">
        <v>43978</v>
      </c>
      <c r="Q1062" t="s">
        <v>328</v>
      </c>
      <c r="R1062" t="s">
        <v>320</v>
      </c>
      <c r="S1062" t="s">
        <v>323</v>
      </c>
      <c r="T1062">
        <v>7.6</v>
      </c>
      <c r="U1062">
        <v>0</v>
      </c>
      <c r="V1062">
        <v>0</v>
      </c>
      <c r="Y1062" s="42">
        <v>43991</v>
      </c>
    </row>
    <row r="1063" spans="14:25">
      <c r="N1063" s="42">
        <v>43977</v>
      </c>
      <c r="O1063" t="s">
        <v>333</v>
      </c>
      <c r="P1063" s="42">
        <v>43977</v>
      </c>
      <c r="Q1063" t="s">
        <v>333</v>
      </c>
      <c r="R1063" t="s">
        <v>320</v>
      </c>
      <c r="S1063" t="s">
        <v>323</v>
      </c>
      <c r="T1063">
        <v>7.6</v>
      </c>
      <c r="U1063">
        <v>0</v>
      </c>
      <c r="V1063">
        <v>0</v>
      </c>
      <c r="Y1063" s="42">
        <v>43977</v>
      </c>
    </row>
    <row r="1064" spans="14:25">
      <c r="N1064" s="42">
        <v>43950</v>
      </c>
      <c r="O1064" t="s">
        <v>328</v>
      </c>
      <c r="P1064" s="42">
        <v>43951</v>
      </c>
      <c r="Q1064" t="s">
        <v>324</v>
      </c>
      <c r="R1064" t="s">
        <v>320</v>
      </c>
      <c r="S1064" t="s">
        <v>323</v>
      </c>
      <c r="T1064">
        <v>15.2</v>
      </c>
      <c r="V1064">
        <v>0</v>
      </c>
      <c r="Y1064" s="42">
        <v>43963</v>
      </c>
    </row>
    <row r="1065" spans="14:25">
      <c r="N1065" s="42">
        <v>43934</v>
      </c>
      <c r="O1065" t="s">
        <v>345</v>
      </c>
      <c r="P1065" s="42">
        <v>43934</v>
      </c>
      <c r="Q1065" t="s">
        <v>345</v>
      </c>
      <c r="R1065" t="s">
        <v>320</v>
      </c>
      <c r="S1065" t="s">
        <v>323</v>
      </c>
      <c r="T1065">
        <v>0</v>
      </c>
      <c r="U1065">
        <v>7.6</v>
      </c>
      <c r="Y1065" s="42">
        <v>43935</v>
      </c>
    </row>
    <row r="1066" spans="14:25">
      <c r="N1066" s="42">
        <v>43931</v>
      </c>
      <c r="O1066" t="s">
        <v>346</v>
      </c>
      <c r="P1066" s="42">
        <v>43931</v>
      </c>
      <c r="Q1066" t="s">
        <v>346</v>
      </c>
      <c r="R1066" t="s">
        <v>320</v>
      </c>
      <c r="S1066" t="s">
        <v>323</v>
      </c>
      <c r="T1066">
        <v>0</v>
      </c>
      <c r="U1066">
        <v>7.6</v>
      </c>
      <c r="Y1066" s="42">
        <v>43935</v>
      </c>
    </row>
    <row r="1067" spans="14:25">
      <c r="N1067" s="42">
        <v>43899</v>
      </c>
      <c r="O1067" t="s">
        <v>345</v>
      </c>
      <c r="P1067" s="42">
        <v>43899</v>
      </c>
      <c r="Q1067" t="s">
        <v>345</v>
      </c>
      <c r="R1067" t="s">
        <v>320</v>
      </c>
      <c r="S1067" t="s">
        <v>323</v>
      </c>
      <c r="T1067">
        <v>0</v>
      </c>
      <c r="U1067">
        <v>7.6</v>
      </c>
      <c r="Y1067" s="42">
        <v>43907</v>
      </c>
    </row>
    <row r="1068" spans="14:25">
      <c r="N1068" s="42">
        <v>43857</v>
      </c>
      <c r="O1068" t="s">
        <v>345</v>
      </c>
      <c r="P1068" s="42">
        <v>43857</v>
      </c>
      <c r="Q1068" t="s">
        <v>345</v>
      </c>
      <c r="R1068" t="s">
        <v>320</v>
      </c>
      <c r="S1068" t="s">
        <v>323</v>
      </c>
      <c r="T1068">
        <v>0</v>
      </c>
      <c r="U1068">
        <v>7.6</v>
      </c>
      <c r="Y1068" s="42">
        <v>43865</v>
      </c>
    </row>
    <row r="1069" spans="14:25">
      <c r="N1069" s="42">
        <v>43831</v>
      </c>
      <c r="O1069" t="s">
        <v>328</v>
      </c>
      <c r="P1069" s="42">
        <v>43831</v>
      </c>
      <c r="Q1069" t="s">
        <v>328</v>
      </c>
      <c r="R1069" t="s">
        <v>320</v>
      </c>
      <c r="S1069" t="s">
        <v>323</v>
      </c>
      <c r="T1069">
        <v>0</v>
      </c>
      <c r="U1069">
        <v>7.6</v>
      </c>
      <c r="Y1069" s="42">
        <v>43837</v>
      </c>
    </row>
    <row r="1070" spans="14:25">
      <c r="N1070" s="42">
        <v>43824</v>
      </c>
      <c r="O1070" t="s">
        <v>328</v>
      </c>
      <c r="P1070" s="42">
        <v>43830</v>
      </c>
      <c r="Q1070" t="s">
        <v>333</v>
      </c>
      <c r="R1070" t="s">
        <v>320</v>
      </c>
      <c r="S1070" t="s">
        <v>323</v>
      </c>
      <c r="T1070">
        <v>22.8</v>
      </c>
      <c r="U1070">
        <v>15.2</v>
      </c>
      <c r="V1070">
        <v>0</v>
      </c>
      <c r="Y1070" s="42">
        <v>43837</v>
      </c>
    </row>
    <row r="1071" spans="14:25">
      <c r="N1071" s="42">
        <v>43822</v>
      </c>
      <c r="O1071" t="s">
        <v>345</v>
      </c>
      <c r="P1071" s="42">
        <v>43823</v>
      </c>
      <c r="Q1071" t="s">
        <v>333</v>
      </c>
      <c r="R1071" t="s">
        <v>320</v>
      </c>
      <c r="S1071" t="s">
        <v>323</v>
      </c>
      <c r="T1071">
        <v>15.2</v>
      </c>
      <c r="U1071">
        <v>0</v>
      </c>
      <c r="V1071">
        <v>0</v>
      </c>
      <c r="Y1071" s="42">
        <v>43823</v>
      </c>
    </row>
    <row r="1072" spans="14:25">
      <c r="N1072" s="42">
        <v>43774</v>
      </c>
      <c r="O1072" t="s">
        <v>333</v>
      </c>
      <c r="P1072" s="42">
        <v>43774</v>
      </c>
      <c r="Q1072" t="s">
        <v>333</v>
      </c>
      <c r="R1072" t="s">
        <v>320</v>
      </c>
      <c r="S1072" t="s">
        <v>323</v>
      </c>
      <c r="T1072">
        <v>0</v>
      </c>
      <c r="U1072">
        <v>7.6</v>
      </c>
      <c r="Y1072" s="42">
        <v>43781</v>
      </c>
    </row>
    <row r="1073" spans="1:25">
      <c r="N1073" s="42">
        <v>43773</v>
      </c>
      <c r="O1073" t="s">
        <v>345</v>
      </c>
      <c r="P1073" s="42">
        <v>43773</v>
      </c>
      <c r="Q1073" t="s">
        <v>345</v>
      </c>
      <c r="R1073" t="s">
        <v>354</v>
      </c>
      <c r="S1073" t="s">
        <v>323</v>
      </c>
      <c r="T1073">
        <v>7.6</v>
      </c>
      <c r="W1073" t="s">
        <v>339</v>
      </c>
      <c r="Y1073" s="42">
        <v>43781</v>
      </c>
    </row>
    <row r="1074" spans="1:25">
      <c r="A1074">
        <v>261</v>
      </c>
      <c r="B1074" t="s">
        <v>365</v>
      </c>
      <c r="C1074" t="s">
        <v>320</v>
      </c>
      <c r="D1074" t="s">
        <v>336</v>
      </c>
      <c r="E1074" t="s">
        <v>337</v>
      </c>
      <c r="F1074">
        <v>1</v>
      </c>
      <c r="G1074" s="42">
        <v>45293</v>
      </c>
      <c r="H1074">
        <v>152</v>
      </c>
      <c r="I1074">
        <v>162.8871</v>
      </c>
      <c r="J1074">
        <v>25.402699999999999</v>
      </c>
      <c r="K1074">
        <v>188.28980000000001</v>
      </c>
      <c r="L1074" t="s">
        <v>323</v>
      </c>
      <c r="M1074" s="43">
        <v>0.62638888888888888</v>
      </c>
      <c r="N1074" s="42">
        <v>44952</v>
      </c>
      <c r="O1074" t="s">
        <v>324</v>
      </c>
      <c r="P1074" s="42">
        <v>44952</v>
      </c>
      <c r="Q1074" t="s">
        <v>324</v>
      </c>
      <c r="R1074" t="s">
        <v>320</v>
      </c>
      <c r="S1074" t="s">
        <v>323</v>
      </c>
      <c r="U1074">
        <v>7.6</v>
      </c>
      <c r="Y1074" s="42">
        <v>44957</v>
      </c>
    </row>
    <row r="1075" spans="1:25">
      <c r="C1075" t="s">
        <v>325</v>
      </c>
      <c r="D1075" t="s">
        <v>366</v>
      </c>
      <c r="E1075" t="s">
        <v>367</v>
      </c>
      <c r="F1075">
        <v>2</v>
      </c>
      <c r="G1075" s="42">
        <v>45293</v>
      </c>
      <c r="H1075">
        <v>32.934600000000003</v>
      </c>
      <c r="I1075">
        <v>123.973</v>
      </c>
      <c r="J1075">
        <v>5.5041000000000002</v>
      </c>
      <c r="K1075">
        <v>129.47710000000001</v>
      </c>
      <c r="L1075" t="s">
        <v>323</v>
      </c>
      <c r="N1075" s="42">
        <v>44928</v>
      </c>
      <c r="O1075" t="s">
        <v>345</v>
      </c>
      <c r="P1075" s="42">
        <v>44928</v>
      </c>
      <c r="Q1075" t="s">
        <v>345</v>
      </c>
      <c r="R1075" t="s">
        <v>320</v>
      </c>
      <c r="S1075" t="s">
        <v>323</v>
      </c>
      <c r="U1075">
        <v>7.6</v>
      </c>
      <c r="Y1075" s="42">
        <v>44929</v>
      </c>
    </row>
    <row r="1076" spans="1:25">
      <c r="C1076" t="s">
        <v>329</v>
      </c>
      <c r="D1076" t="s">
        <v>342</v>
      </c>
      <c r="E1076" t="s">
        <v>343</v>
      </c>
      <c r="F1076">
        <v>1</v>
      </c>
      <c r="G1076" s="42">
        <v>45293</v>
      </c>
      <c r="H1076">
        <v>76</v>
      </c>
      <c r="I1076">
        <v>131.3777</v>
      </c>
      <c r="J1076">
        <v>12.7014</v>
      </c>
      <c r="K1076">
        <v>144.07910000000001</v>
      </c>
      <c r="L1076" t="s">
        <v>323</v>
      </c>
      <c r="N1076" s="42">
        <v>44922</v>
      </c>
      <c r="O1076" t="s">
        <v>333</v>
      </c>
      <c r="P1076" s="42">
        <v>44922</v>
      </c>
      <c r="Q1076" t="s">
        <v>333</v>
      </c>
      <c r="R1076" t="s">
        <v>320</v>
      </c>
      <c r="S1076" t="s">
        <v>323</v>
      </c>
      <c r="U1076">
        <v>7.6</v>
      </c>
      <c r="Y1076" s="42">
        <v>44929</v>
      </c>
    </row>
    <row r="1077" spans="1:25">
      <c r="N1077" s="42">
        <v>44921</v>
      </c>
      <c r="O1077" t="s">
        <v>345</v>
      </c>
      <c r="P1077" s="42">
        <v>44921</v>
      </c>
      <c r="Q1077" t="s">
        <v>345</v>
      </c>
      <c r="R1077" t="s">
        <v>320</v>
      </c>
      <c r="S1077" t="s">
        <v>323</v>
      </c>
      <c r="U1077">
        <v>7.6</v>
      </c>
      <c r="Y1077" s="42">
        <v>44929</v>
      </c>
    </row>
    <row r="1078" spans="1:25">
      <c r="N1078" s="42">
        <v>44846</v>
      </c>
      <c r="O1078" t="s">
        <v>328</v>
      </c>
      <c r="P1078" s="42">
        <v>44856</v>
      </c>
      <c r="Q1078" t="s">
        <v>359</v>
      </c>
      <c r="R1078" t="s">
        <v>325</v>
      </c>
      <c r="S1078" t="s">
        <v>323</v>
      </c>
      <c r="T1078">
        <v>60.8</v>
      </c>
      <c r="U1078">
        <v>0</v>
      </c>
      <c r="V1078">
        <v>0</v>
      </c>
      <c r="Y1078" s="42">
        <v>44859</v>
      </c>
    </row>
    <row r="1079" spans="1:25">
      <c r="N1079" s="42">
        <v>44838</v>
      </c>
      <c r="O1079" t="s">
        <v>333</v>
      </c>
      <c r="P1079" s="42">
        <v>44845</v>
      </c>
      <c r="Q1079" t="s">
        <v>333</v>
      </c>
      <c r="R1079" t="s">
        <v>325</v>
      </c>
      <c r="S1079" t="s">
        <v>323</v>
      </c>
      <c r="T1079">
        <v>45.6</v>
      </c>
      <c r="U1079">
        <v>0</v>
      </c>
      <c r="V1079">
        <v>0</v>
      </c>
      <c r="Y1079" s="42">
        <v>44845</v>
      </c>
    </row>
    <row r="1080" spans="1:25">
      <c r="N1080" s="42">
        <v>44832</v>
      </c>
      <c r="O1080" t="s">
        <v>328</v>
      </c>
      <c r="P1080" s="42">
        <v>44835</v>
      </c>
      <c r="Q1080" t="s">
        <v>359</v>
      </c>
      <c r="R1080" t="s">
        <v>320</v>
      </c>
      <c r="S1080" t="s">
        <v>323</v>
      </c>
      <c r="T1080">
        <v>22.8</v>
      </c>
      <c r="Y1080" s="42">
        <v>44845</v>
      </c>
    </row>
    <row r="1081" spans="1:25">
      <c r="N1081" s="42">
        <v>44817</v>
      </c>
      <c r="O1081" t="s">
        <v>333</v>
      </c>
      <c r="P1081" s="42">
        <v>44831</v>
      </c>
      <c r="Q1081" t="s">
        <v>333</v>
      </c>
      <c r="R1081" t="s">
        <v>320</v>
      </c>
      <c r="S1081" t="s">
        <v>323</v>
      </c>
      <c r="T1081">
        <v>68.400000000000006</v>
      </c>
      <c r="U1081">
        <v>15.2</v>
      </c>
      <c r="Y1081" s="42">
        <v>44831</v>
      </c>
    </row>
    <row r="1082" spans="1:25">
      <c r="N1082" s="42">
        <v>44775</v>
      </c>
      <c r="O1082" t="s">
        <v>333</v>
      </c>
      <c r="P1082" s="42">
        <v>44775</v>
      </c>
      <c r="Q1082" t="s">
        <v>333</v>
      </c>
      <c r="R1082" t="s">
        <v>329</v>
      </c>
      <c r="S1082" t="s">
        <v>323</v>
      </c>
      <c r="T1082">
        <v>7.6</v>
      </c>
      <c r="W1082" t="s">
        <v>339</v>
      </c>
      <c r="Y1082" s="42">
        <v>44775</v>
      </c>
    </row>
    <row r="1083" spans="1:25">
      <c r="N1083" s="42">
        <v>44719</v>
      </c>
      <c r="O1083" t="s">
        <v>333</v>
      </c>
      <c r="P1083" s="42">
        <v>44719</v>
      </c>
      <c r="Q1083" t="s">
        <v>333</v>
      </c>
      <c r="R1083" t="s">
        <v>329</v>
      </c>
      <c r="S1083" t="s">
        <v>323</v>
      </c>
      <c r="T1083">
        <v>7.6</v>
      </c>
      <c r="W1083" t="s">
        <v>330</v>
      </c>
      <c r="X1083" t="s">
        <v>330</v>
      </c>
      <c r="Y1083" s="42">
        <v>44719</v>
      </c>
    </row>
    <row r="1084" spans="1:25">
      <c r="N1084" s="42">
        <v>44718</v>
      </c>
      <c r="O1084" t="s">
        <v>345</v>
      </c>
      <c r="P1084" s="42">
        <v>44718</v>
      </c>
      <c r="Q1084" t="s">
        <v>345</v>
      </c>
      <c r="R1084" t="s">
        <v>320</v>
      </c>
      <c r="S1084" t="s">
        <v>323</v>
      </c>
      <c r="U1084">
        <v>7.6</v>
      </c>
      <c r="Y1084" s="42">
        <v>44719</v>
      </c>
    </row>
    <row r="1085" spans="1:25">
      <c r="N1085" s="42">
        <v>44701</v>
      </c>
      <c r="O1085" t="s">
        <v>346</v>
      </c>
      <c r="P1085" s="42">
        <v>44701</v>
      </c>
      <c r="Q1085" t="s">
        <v>346</v>
      </c>
      <c r="R1085" t="s">
        <v>329</v>
      </c>
      <c r="S1085" t="s">
        <v>323</v>
      </c>
      <c r="T1085">
        <v>7.6</v>
      </c>
      <c r="W1085" t="s">
        <v>339</v>
      </c>
      <c r="Y1085" s="42">
        <v>44705</v>
      </c>
    </row>
    <row r="1086" spans="1:25">
      <c r="N1086" s="42">
        <v>44676</v>
      </c>
      <c r="O1086" t="s">
        <v>345</v>
      </c>
      <c r="P1086" s="42">
        <v>44676</v>
      </c>
      <c r="Q1086" t="s">
        <v>345</v>
      </c>
      <c r="R1086" t="s">
        <v>320</v>
      </c>
      <c r="S1086" t="s">
        <v>323</v>
      </c>
      <c r="U1086">
        <v>7.6</v>
      </c>
      <c r="Y1086" s="42">
        <v>44677</v>
      </c>
    </row>
    <row r="1087" spans="1:25">
      <c r="N1087" s="42">
        <v>44673</v>
      </c>
      <c r="O1087" t="s">
        <v>346</v>
      </c>
      <c r="P1087" s="42">
        <v>44674</v>
      </c>
      <c r="Q1087" t="s">
        <v>359</v>
      </c>
      <c r="R1087" t="s">
        <v>320</v>
      </c>
      <c r="S1087" t="s">
        <v>323</v>
      </c>
      <c r="T1087">
        <v>7.6</v>
      </c>
      <c r="V1087">
        <v>0</v>
      </c>
      <c r="Y1087" s="42">
        <v>44677</v>
      </c>
    </row>
    <row r="1088" spans="1:25">
      <c r="N1088" s="42">
        <v>44666</v>
      </c>
      <c r="O1088" t="s">
        <v>346</v>
      </c>
      <c r="P1088" s="42">
        <v>44666</v>
      </c>
      <c r="Q1088" t="s">
        <v>346</v>
      </c>
      <c r="R1088" t="s">
        <v>320</v>
      </c>
      <c r="S1088" t="s">
        <v>323</v>
      </c>
      <c r="U1088">
        <v>7.6</v>
      </c>
    </row>
    <row r="1089" spans="14:25">
      <c r="N1089" s="42">
        <v>44664</v>
      </c>
      <c r="O1089" t="s">
        <v>328</v>
      </c>
      <c r="P1089" s="42">
        <v>44672</v>
      </c>
      <c r="Q1089" t="s">
        <v>324</v>
      </c>
      <c r="R1089" t="s">
        <v>329</v>
      </c>
      <c r="S1089" t="s">
        <v>323</v>
      </c>
      <c r="T1089">
        <v>27</v>
      </c>
      <c r="W1089" t="s">
        <v>330</v>
      </c>
      <c r="Y1089" s="42">
        <v>44677</v>
      </c>
    </row>
    <row r="1090" spans="14:25">
      <c r="N1090" s="42">
        <v>44659</v>
      </c>
      <c r="O1090" t="s">
        <v>346</v>
      </c>
      <c r="P1090" s="42">
        <v>44663</v>
      </c>
      <c r="Q1090" t="s">
        <v>333</v>
      </c>
      <c r="R1090" t="s">
        <v>329</v>
      </c>
      <c r="S1090" t="s">
        <v>323</v>
      </c>
      <c r="T1090">
        <v>14</v>
      </c>
      <c r="W1090" t="s">
        <v>339</v>
      </c>
      <c r="Y1090" s="42">
        <v>44663</v>
      </c>
    </row>
    <row r="1091" spans="14:25">
      <c r="N1091" s="42">
        <v>44642</v>
      </c>
      <c r="O1091" t="s">
        <v>333</v>
      </c>
      <c r="P1091" s="42">
        <v>44643</v>
      </c>
      <c r="Q1091" t="s">
        <v>328</v>
      </c>
      <c r="R1091" t="s">
        <v>320</v>
      </c>
      <c r="S1091" t="s">
        <v>323</v>
      </c>
      <c r="T1091">
        <v>11.6</v>
      </c>
      <c r="V1091">
        <v>0</v>
      </c>
      <c r="Y1091" s="42">
        <v>44649</v>
      </c>
    </row>
    <row r="1092" spans="14:25">
      <c r="N1092" s="42">
        <v>44635</v>
      </c>
      <c r="O1092" t="s">
        <v>333</v>
      </c>
      <c r="P1092" s="42">
        <v>44635</v>
      </c>
      <c r="Q1092" t="s">
        <v>333</v>
      </c>
      <c r="R1092" t="s">
        <v>329</v>
      </c>
      <c r="S1092" t="s">
        <v>323</v>
      </c>
      <c r="T1092">
        <v>4</v>
      </c>
      <c r="W1092" t="s">
        <v>339</v>
      </c>
      <c r="Y1092" s="42">
        <v>44635</v>
      </c>
    </row>
    <row r="1093" spans="14:25">
      <c r="N1093" s="42">
        <v>44627</v>
      </c>
      <c r="O1093" t="s">
        <v>345</v>
      </c>
      <c r="P1093" s="42">
        <v>44627</v>
      </c>
      <c r="Q1093" t="s">
        <v>345</v>
      </c>
      <c r="R1093" t="s">
        <v>320</v>
      </c>
      <c r="S1093" t="s">
        <v>323</v>
      </c>
      <c r="U1093">
        <v>7.6</v>
      </c>
      <c r="Y1093" s="42">
        <v>44635</v>
      </c>
    </row>
    <row r="1094" spans="14:25">
      <c r="N1094" s="42">
        <v>44587</v>
      </c>
      <c r="O1094" t="s">
        <v>328</v>
      </c>
      <c r="P1094" s="42">
        <v>44587</v>
      </c>
      <c r="Q1094" t="s">
        <v>328</v>
      </c>
      <c r="R1094" t="s">
        <v>320</v>
      </c>
      <c r="S1094" t="s">
        <v>323</v>
      </c>
      <c r="U1094">
        <v>4</v>
      </c>
    </row>
    <row r="1095" spans="14:25">
      <c r="N1095" s="42">
        <v>44564</v>
      </c>
      <c r="O1095" t="s">
        <v>345</v>
      </c>
      <c r="P1095" s="42">
        <v>44564</v>
      </c>
      <c r="Q1095" t="s">
        <v>345</v>
      </c>
      <c r="R1095" t="s">
        <v>320</v>
      </c>
      <c r="S1095" t="s">
        <v>323</v>
      </c>
      <c r="U1095">
        <v>4</v>
      </c>
      <c r="Y1095" s="42">
        <v>44565</v>
      </c>
    </row>
    <row r="1096" spans="14:25">
      <c r="N1096" s="42">
        <v>44562</v>
      </c>
      <c r="O1096" t="s">
        <v>359</v>
      </c>
      <c r="P1096" s="42">
        <v>44562</v>
      </c>
      <c r="Q1096" t="s">
        <v>359</v>
      </c>
      <c r="R1096" t="s">
        <v>320</v>
      </c>
      <c r="S1096" t="s">
        <v>323</v>
      </c>
      <c r="U1096">
        <v>4</v>
      </c>
    </row>
    <row r="1097" spans="14:25">
      <c r="N1097" s="42">
        <v>44558</v>
      </c>
      <c r="O1097" t="s">
        <v>333</v>
      </c>
      <c r="P1097" s="42">
        <v>44558</v>
      </c>
      <c r="Q1097" t="s">
        <v>333</v>
      </c>
      <c r="R1097" t="s">
        <v>320</v>
      </c>
      <c r="S1097" t="s">
        <v>323</v>
      </c>
      <c r="U1097">
        <v>4</v>
      </c>
    </row>
    <row r="1098" spans="14:25">
      <c r="N1098" s="42">
        <v>44558</v>
      </c>
      <c r="O1098" t="s">
        <v>333</v>
      </c>
      <c r="P1098" s="42">
        <v>44558</v>
      </c>
      <c r="Q1098" t="s">
        <v>333</v>
      </c>
      <c r="R1098" t="s">
        <v>320</v>
      </c>
      <c r="S1098" t="s">
        <v>323</v>
      </c>
      <c r="U1098">
        <v>4</v>
      </c>
      <c r="Y1098" s="42">
        <v>44565</v>
      </c>
    </row>
    <row r="1099" spans="14:25">
      <c r="N1099" s="42">
        <v>44557</v>
      </c>
      <c r="O1099" t="s">
        <v>345</v>
      </c>
      <c r="P1099" s="42">
        <v>44557</v>
      </c>
      <c r="Q1099" t="s">
        <v>345</v>
      </c>
      <c r="R1099" t="s">
        <v>320</v>
      </c>
      <c r="S1099" t="s">
        <v>323</v>
      </c>
      <c r="U1099">
        <v>7.6</v>
      </c>
      <c r="Y1099" s="42">
        <v>44565</v>
      </c>
    </row>
    <row r="1100" spans="14:25">
      <c r="N1100" s="42">
        <v>44555</v>
      </c>
      <c r="O1100" t="s">
        <v>359</v>
      </c>
      <c r="P1100" s="42">
        <v>44555</v>
      </c>
      <c r="Q1100" t="s">
        <v>359</v>
      </c>
      <c r="R1100" t="s">
        <v>320</v>
      </c>
      <c r="S1100" t="s">
        <v>323</v>
      </c>
      <c r="U1100">
        <v>4</v>
      </c>
    </row>
    <row r="1101" spans="14:25">
      <c r="N1101" s="42">
        <v>44547</v>
      </c>
      <c r="O1101" t="s">
        <v>346</v>
      </c>
      <c r="P1101" s="42">
        <v>44547</v>
      </c>
      <c r="Q1101" t="s">
        <v>346</v>
      </c>
      <c r="R1101" t="s">
        <v>320</v>
      </c>
      <c r="S1101" t="s">
        <v>323</v>
      </c>
      <c r="T1101">
        <v>7.6</v>
      </c>
      <c r="Y1101" s="42">
        <v>44551</v>
      </c>
    </row>
    <row r="1102" spans="14:25">
      <c r="N1102" s="42">
        <v>44546</v>
      </c>
      <c r="O1102" t="s">
        <v>324</v>
      </c>
      <c r="P1102" s="42">
        <v>44546</v>
      </c>
      <c r="Q1102" t="s">
        <v>324</v>
      </c>
      <c r="R1102" t="s">
        <v>320</v>
      </c>
      <c r="S1102" t="s">
        <v>323</v>
      </c>
      <c r="T1102">
        <v>7.6</v>
      </c>
      <c r="Y1102" s="42">
        <v>44551</v>
      </c>
    </row>
    <row r="1103" spans="14:25">
      <c r="N1103" s="42">
        <v>44531</v>
      </c>
      <c r="O1103" t="s">
        <v>328</v>
      </c>
      <c r="P1103" s="42">
        <v>44531</v>
      </c>
      <c r="Q1103" t="s">
        <v>328</v>
      </c>
      <c r="R1103" t="s">
        <v>329</v>
      </c>
      <c r="S1103" t="s">
        <v>323</v>
      </c>
      <c r="T1103">
        <v>4</v>
      </c>
      <c r="W1103" t="s">
        <v>330</v>
      </c>
      <c r="Y1103" s="42">
        <v>44537</v>
      </c>
    </row>
    <row r="1104" spans="14:25">
      <c r="N1104" s="42">
        <v>44524</v>
      </c>
      <c r="O1104" t="s">
        <v>328</v>
      </c>
      <c r="P1104" s="42">
        <v>44524</v>
      </c>
      <c r="Q1104" t="s">
        <v>328</v>
      </c>
      <c r="R1104" t="s">
        <v>329</v>
      </c>
      <c r="S1104" t="s">
        <v>323</v>
      </c>
      <c r="T1104">
        <v>4</v>
      </c>
      <c r="W1104" t="s">
        <v>330</v>
      </c>
      <c r="Y1104" s="42">
        <v>44537</v>
      </c>
    </row>
    <row r="1105" spans="14:25">
      <c r="N1105" s="42">
        <v>44484</v>
      </c>
      <c r="O1105" t="s">
        <v>346</v>
      </c>
      <c r="P1105" s="42">
        <v>44484</v>
      </c>
      <c r="Q1105" t="s">
        <v>346</v>
      </c>
      <c r="R1105" t="s">
        <v>329</v>
      </c>
      <c r="S1105" t="s">
        <v>323</v>
      </c>
      <c r="T1105">
        <v>4.8499999999999996</v>
      </c>
      <c r="W1105" t="s">
        <v>330</v>
      </c>
      <c r="Y1105" s="42">
        <v>44495</v>
      </c>
    </row>
    <row r="1106" spans="14:25">
      <c r="N1106" s="42">
        <v>44478</v>
      </c>
      <c r="O1106" t="s">
        <v>359</v>
      </c>
      <c r="P1106" s="42">
        <v>44478</v>
      </c>
      <c r="Q1106" t="s">
        <v>359</v>
      </c>
      <c r="R1106" t="s">
        <v>320</v>
      </c>
      <c r="S1106" t="s">
        <v>323</v>
      </c>
      <c r="T1106">
        <v>7.6</v>
      </c>
      <c r="Y1106" s="42">
        <v>44481</v>
      </c>
    </row>
    <row r="1107" spans="14:25">
      <c r="N1107" s="42">
        <v>44477</v>
      </c>
      <c r="O1107" t="s">
        <v>346</v>
      </c>
      <c r="P1107" s="42">
        <v>44477</v>
      </c>
      <c r="Q1107" t="s">
        <v>346</v>
      </c>
      <c r="R1107" t="s">
        <v>320</v>
      </c>
      <c r="S1107" t="s">
        <v>323</v>
      </c>
      <c r="T1107">
        <v>7.6</v>
      </c>
      <c r="Y1107" s="42">
        <v>44481</v>
      </c>
    </row>
    <row r="1108" spans="14:25">
      <c r="N1108" s="42">
        <v>44461</v>
      </c>
      <c r="O1108" t="s">
        <v>328</v>
      </c>
      <c r="P1108" s="42">
        <v>44461</v>
      </c>
      <c r="Q1108" t="s">
        <v>328</v>
      </c>
      <c r="R1108" t="s">
        <v>320</v>
      </c>
      <c r="S1108" t="s">
        <v>323</v>
      </c>
      <c r="Y1108" s="42">
        <v>44467</v>
      </c>
    </row>
    <row r="1109" spans="14:25">
      <c r="N1109" s="42">
        <v>44447</v>
      </c>
      <c r="O1109" t="s">
        <v>328</v>
      </c>
      <c r="P1109" s="42">
        <v>44447</v>
      </c>
      <c r="Q1109" t="s">
        <v>328</v>
      </c>
      <c r="R1109" t="s">
        <v>329</v>
      </c>
      <c r="S1109" t="s">
        <v>323</v>
      </c>
      <c r="T1109">
        <v>4</v>
      </c>
      <c r="W1109" t="s">
        <v>330</v>
      </c>
      <c r="Y1109" s="42">
        <v>44453</v>
      </c>
    </row>
    <row r="1110" spans="14:25">
      <c r="N1110" s="42">
        <v>44426</v>
      </c>
      <c r="O1110" t="s">
        <v>328</v>
      </c>
      <c r="P1110" s="42">
        <v>44426</v>
      </c>
      <c r="Q1110" t="s">
        <v>328</v>
      </c>
      <c r="R1110" t="s">
        <v>329</v>
      </c>
      <c r="S1110" t="s">
        <v>323</v>
      </c>
      <c r="T1110">
        <v>4</v>
      </c>
      <c r="W1110" t="s">
        <v>330</v>
      </c>
      <c r="Y1110" s="42">
        <v>44439</v>
      </c>
    </row>
    <row r="1111" spans="14:25">
      <c r="N1111" s="42">
        <v>44405</v>
      </c>
      <c r="O1111" t="s">
        <v>328</v>
      </c>
      <c r="P1111" s="42">
        <v>44405</v>
      </c>
      <c r="Q1111" t="s">
        <v>328</v>
      </c>
      <c r="R1111" t="s">
        <v>329</v>
      </c>
      <c r="S1111" t="s">
        <v>323</v>
      </c>
      <c r="T1111">
        <v>4</v>
      </c>
      <c r="W1111" t="s">
        <v>330</v>
      </c>
      <c r="Y1111" s="42">
        <v>44411</v>
      </c>
    </row>
    <row r="1112" spans="14:25">
      <c r="N1112" s="42">
        <v>44401</v>
      </c>
      <c r="O1112" t="s">
        <v>359</v>
      </c>
      <c r="P1112" s="42">
        <v>44401</v>
      </c>
      <c r="Q1112" t="s">
        <v>359</v>
      </c>
      <c r="R1112" t="s">
        <v>320</v>
      </c>
      <c r="S1112" t="s">
        <v>323</v>
      </c>
      <c r="T1112">
        <v>7.6</v>
      </c>
      <c r="Y1112" s="42">
        <v>44411</v>
      </c>
    </row>
    <row r="1113" spans="14:25">
      <c r="N1113" s="42">
        <v>44400</v>
      </c>
      <c r="O1113" t="s">
        <v>346</v>
      </c>
      <c r="P1113" s="42">
        <v>44400</v>
      </c>
      <c r="Q1113" t="s">
        <v>346</v>
      </c>
      <c r="R1113" t="s">
        <v>320</v>
      </c>
      <c r="S1113" t="s">
        <v>323</v>
      </c>
      <c r="T1113">
        <v>7.6</v>
      </c>
      <c r="Y1113" s="42">
        <v>44411</v>
      </c>
    </row>
    <row r="1114" spans="14:25">
      <c r="N1114" s="42">
        <v>44386</v>
      </c>
      <c r="O1114" t="s">
        <v>346</v>
      </c>
      <c r="P1114" s="42">
        <v>44386</v>
      </c>
      <c r="Q1114" t="s">
        <v>346</v>
      </c>
      <c r="R1114" t="s">
        <v>320</v>
      </c>
      <c r="S1114" t="s">
        <v>323</v>
      </c>
      <c r="T1114">
        <v>7.6</v>
      </c>
      <c r="Y1114" s="42">
        <v>44397</v>
      </c>
    </row>
    <row r="1115" spans="14:25">
      <c r="N1115" s="42">
        <v>44385</v>
      </c>
      <c r="O1115" t="s">
        <v>324</v>
      </c>
      <c r="P1115" s="42">
        <v>44385</v>
      </c>
      <c r="Q1115" t="s">
        <v>324</v>
      </c>
      <c r="R1115" t="s">
        <v>320</v>
      </c>
      <c r="S1115" t="s">
        <v>323</v>
      </c>
      <c r="T1115">
        <v>7.6</v>
      </c>
      <c r="Y1115" s="42">
        <v>44397</v>
      </c>
    </row>
    <row r="1116" spans="14:25">
      <c r="N1116" s="42">
        <v>44384</v>
      </c>
      <c r="O1116" t="s">
        <v>328</v>
      </c>
      <c r="P1116" s="42">
        <v>44384</v>
      </c>
      <c r="Q1116" t="s">
        <v>328</v>
      </c>
      <c r="R1116" t="s">
        <v>320</v>
      </c>
      <c r="S1116" t="s">
        <v>323</v>
      </c>
      <c r="T1116">
        <v>4</v>
      </c>
      <c r="Y1116" s="42">
        <v>44397</v>
      </c>
    </row>
    <row r="1117" spans="14:25">
      <c r="N1117" s="42">
        <v>44362</v>
      </c>
      <c r="O1117" t="s">
        <v>333</v>
      </c>
      <c r="P1117" s="42">
        <v>44362</v>
      </c>
      <c r="Q1117" t="s">
        <v>333</v>
      </c>
      <c r="R1117" t="s">
        <v>329</v>
      </c>
      <c r="S1117" t="s">
        <v>323</v>
      </c>
      <c r="T1117">
        <v>4</v>
      </c>
      <c r="W1117" t="s">
        <v>330</v>
      </c>
      <c r="Y1117" s="42">
        <v>44369</v>
      </c>
    </row>
    <row r="1118" spans="14:25">
      <c r="N1118" s="42">
        <v>44359</v>
      </c>
      <c r="O1118" t="s">
        <v>359</v>
      </c>
      <c r="P1118" s="42">
        <v>44359</v>
      </c>
      <c r="Q1118" t="s">
        <v>359</v>
      </c>
      <c r="R1118" t="s">
        <v>329</v>
      </c>
      <c r="S1118" t="s">
        <v>323</v>
      </c>
      <c r="T1118">
        <v>7.6</v>
      </c>
      <c r="W1118" t="s">
        <v>330</v>
      </c>
      <c r="Y1118" s="42">
        <v>44369</v>
      </c>
    </row>
    <row r="1119" spans="14:25">
      <c r="N1119" s="42">
        <v>44358</v>
      </c>
      <c r="O1119" t="s">
        <v>346</v>
      </c>
      <c r="P1119" s="42">
        <v>44358</v>
      </c>
      <c r="Q1119" t="s">
        <v>346</v>
      </c>
      <c r="R1119" t="s">
        <v>329</v>
      </c>
      <c r="S1119" t="s">
        <v>323</v>
      </c>
      <c r="T1119">
        <v>7.6</v>
      </c>
      <c r="W1119" t="s">
        <v>330</v>
      </c>
      <c r="Y1119" s="42">
        <v>44369</v>
      </c>
    </row>
    <row r="1120" spans="14:25">
      <c r="N1120" s="42">
        <v>44357</v>
      </c>
      <c r="O1120" t="s">
        <v>324</v>
      </c>
      <c r="P1120" s="42">
        <v>44357</v>
      </c>
      <c r="Q1120" t="s">
        <v>324</v>
      </c>
      <c r="R1120" t="s">
        <v>329</v>
      </c>
      <c r="S1120" t="s">
        <v>323</v>
      </c>
      <c r="T1120">
        <v>7.6</v>
      </c>
      <c r="W1120" t="s">
        <v>330</v>
      </c>
      <c r="Y1120" s="42">
        <v>44369</v>
      </c>
    </row>
    <row r="1121" spans="14:25">
      <c r="N1121" s="42">
        <v>44316</v>
      </c>
      <c r="O1121" t="s">
        <v>346</v>
      </c>
      <c r="P1121" s="42">
        <v>44316</v>
      </c>
      <c r="Q1121" t="s">
        <v>346</v>
      </c>
      <c r="R1121" t="s">
        <v>320</v>
      </c>
      <c r="S1121" t="s">
        <v>323</v>
      </c>
      <c r="T1121">
        <v>7.6</v>
      </c>
      <c r="Y1121" s="42">
        <v>44327</v>
      </c>
    </row>
    <row r="1122" spans="14:25">
      <c r="N1122" s="42">
        <v>44302</v>
      </c>
      <c r="O1122" t="s">
        <v>346</v>
      </c>
      <c r="P1122" s="42">
        <v>44302</v>
      </c>
      <c r="Q1122" t="s">
        <v>346</v>
      </c>
      <c r="R1122" t="s">
        <v>320</v>
      </c>
      <c r="S1122" t="s">
        <v>323</v>
      </c>
      <c r="T1122">
        <v>7.6</v>
      </c>
      <c r="Y1122" s="42">
        <v>44313</v>
      </c>
    </row>
    <row r="1123" spans="14:25">
      <c r="N1123" s="42">
        <v>44301</v>
      </c>
      <c r="O1123" t="s">
        <v>324</v>
      </c>
      <c r="P1123" s="42">
        <v>44301</v>
      </c>
      <c r="Q1123" t="s">
        <v>324</v>
      </c>
      <c r="R1123" t="s">
        <v>320</v>
      </c>
      <c r="S1123" t="s">
        <v>323</v>
      </c>
      <c r="T1123">
        <v>7.6</v>
      </c>
      <c r="Y1123" s="42">
        <v>44313</v>
      </c>
    </row>
    <row r="1124" spans="14:25">
      <c r="N1124" s="42">
        <v>44299</v>
      </c>
      <c r="O1124" t="s">
        <v>333</v>
      </c>
      <c r="P1124" s="42">
        <v>44299</v>
      </c>
      <c r="Q1124" t="s">
        <v>333</v>
      </c>
      <c r="R1124" t="s">
        <v>320</v>
      </c>
      <c r="S1124" t="s">
        <v>323</v>
      </c>
      <c r="T1124">
        <v>4</v>
      </c>
      <c r="Y1124" s="42">
        <v>44299</v>
      </c>
    </row>
    <row r="1125" spans="14:25">
      <c r="N1125" s="42">
        <v>44293</v>
      </c>
      <c r="O1125" t="s">
        <v>328</v>
      </c>
      <c r="P1125" s="42">
        <v>44293</v>
      </c>
      <c r="Q1125" t="s">
        <v>328</v>
      </c>
      <c r="R1125" t="s">
        <v>320</v>
      </c>
      <c r="S1125" t="s">
        <v>323</v>
      </c>
      <c r="T1125">
        <v>4</v>
      </c>
      <c r="Y1125" s="42">
        <v>44299</v>
      </c>
    </row>
    <row r="1126" spans="14:25">
      <c r="N1126" s="42">
        <v>44288</v>
      </c>
      <c r="O1126" t="s">
        <v>346</v>
      </c>
      <c r="P1126" s="42">
        <v>44288</v>
      </c>
      <c r="Q1126" t="s">
        <v>346</v>
      </c>
      <c r="R1126" t="s">
        <v>320</v>
      </c>
      <c r="S1126" t="s">
        <v>323</v>
      </c>
      <c r="U1126">
        <v>7.6</v>
      </c>
    </row>
    <row r="1127" spans="14:25">
      <c r="N1127" s="42">
        <v>44271</v>
      </c>
      <c r="O1127" t="s">
        <v>333</v>
      </c>
      <c r="P1127" s="42">
        <v>44271</v>
      </c>
      <c r="Q1127" t="s">
        <v>333</v>
      </c>
      <c r="R1127" t="s">
        <v>329</v>
      </c>
      <c r="S1127" t="s">
        <v>323</v>
      </c>
      <c r="T1127">
        <v>4</v>
      </c>
      <c r="W1127" t="s">
        <v>330</v>
      </c>
      <c r="Y1127" s="42">
        <v>44271</v>
      </c>
    </row>
    <row r="1128" spans="14:25">
      <c r="N1128" s="42">
        <v>44231</v>
      </c>
      <c r="O1128" t="s">
        <v>324</v>
      </c>
      <c r="P1128" s="42">
        <v>44231</v>
      </c>
      <c r="Q1128" t="s">
        <v>324</v>
      </c>
      <c r="R1128" t="s">
        <v>329</v>
      </c>
      <c r="S1128" t="s">
        <v>323</v>
      </c>
      <c r="T1128">
        <v>7.6</v>
      </c>
      <c r="W1128" t="s">
        <v>330</v>
      </c>
      <c r="Y1128" s="42">
        <v>44243</v>
      </c>
    </row>
    <row r="1129" spans="14:25">
      <c r="N1129" s="42">
        <v>44222</v>
      </c>
      <c r="O1129" t="s">
        <v>333</v>
      </c>
      <c r="P1129" s="42">
        <v>44222</v>
      </c>
      <c r="Q1129" t="s">
        <v>333</v>
      </c>
      <c r="R1129" t="s">
        <v>320</v>
      </c>
      <c r="S1129" t="s">
        <v>323</v>
      </c>
      <c r="U1129">
        <v>4</v>
      </c>
    </row>
    <row r="1130" spans="14:25">
      <c r="N1130" s="42">
        <v>44210</v>
      </c>
      <c r="O1130" t="s">
        <v>324</v>
      </c>
      <c r="P1130" s="42">
        <v>44210</v>
      </c>
      <c r="Q1130" t="s">
        <v>324</v>
      </c>
      <c r="R1130" t="s">
        <v>320</v>
      </c>
      <c r="S1130" t="s">
        <v>323</v>
      </c>
      <c r="T1130">
        <v>7.6</v>
      </c>
      <c r="Y1130" s="42">
        <v>44215</v>
      </c>
    </row>
    <row r="1131" spans="14:25">
      <c r="N1131" s="42">
        <v>44203</v>
      </c>
      <c r="O1131" t="s">
        <v>324</v>
      </c>
      <c r="P1131" s="42">
        <v>44203</v>
      </c>
      <c r="Q1131" t="s">
        <v>324</v>
      </c>
      <c r="R1131" t="s">
        <v>320</v>
      </c>
      <c r="S1131" t="s">
        <v>323</v>
      </c>
      <c r="T1131">
        <v>7.6</v>
      </c>
      <c r="Y1131" s="42">
        <v>44215</v>
      </c>
    </row>
    <row r="1132" spans="14:25">
      <c r="N1132" s="42">
        <v>44197</v>
      </c>
      <c r="O1132" t="s">
        <v>346</v>
      </c>
      <c r="P1132" s="42">
        <v>44197</v>
      </c>
      <c r="Q1132" t="s">
        <v>346</v>
      </c>
      <c r="R1132" t="s">
        <v>320</v>
      </c>
      <c r="S1132" t="s">
        <v>323</v>
      </c>
      <c r="U1132">
        <v>7.6</v>
      </c>
    </row>
    <row r="1133" spans="14:25">
      <c r="N1133" s="42">
        <v>44195</v>
      </c>
      <c r="O1133" t="s">
        <v>328</v>
      </c>
      <c r="P1133" s="42">
        <v>44195</v>
      </c>
      <c r="Q1133" t="s">
        <v>328</v>
      </c>
      <c r="R1133" t="s">
        <v>338</v>
      </c>
      <c r="S1133" t="s">
        <v>323</v>
      </c>
      <c r="T1133">
        <v>4</v>
      </c>
      <c r="W1133" t="s">
        <v>330</v>
      </c>
      <c r="Y1133" s="42">
        <v>44201</v>
      </c>
    </row>
    <row r="1134" spans="14:25">
      <c r="N1134" s="42">
        <v>44194</v>
      </c>
      <c r="O1134" t="s">
        <v>333</v>
      </c>
      <c r="P1134" s="42">
        <v>44194</v>
      </c>
      <c r="Q1134" t="s">
        <v>333</v>
      </c>
      <c r="R1134" t="s">
        <v>338</v>
      </c>
      <c r="S1134" t="s">
        <v>323</v>
      </c>
      <c r="T1134">
        <v>4</v>
      </c>
      <c r="W1134" t="s">
        <v>330</v>
      </c>
      <c r="Y1134" s="42">
        <v>44201</v>
      </c>
    </row>
    <row r="1135" spans="14:25">
      <c r="N1135" s="42">
        <v>44191</v>
      </c>
      <c r="O1135" t="s">
        <v>359</v>
      </c>
      <c r="P1135" s="42">
        <v>44191</v>
      </c>
      <c r="Q1135" t="s">
        <v>359</v>
      </c>
      <c r="R1135" t="s">
        <v>320</v>
      </c>
      <c r="S1135" t="s">
        <v>323</v>
      </c>
      <c r="U1135">
        <v>7.6</v>
      </c>
    </row>
    <row r="1136" spans="14:25">
      <c r="N1136" s="42">
        <v>44190</v>
      </c>
      <c r="O1136" t="s">
        <v>346</v>
      </c>
      <c r="P1136" s="42">
        <v>44190</v>
      </c>
      <c r="Q1136" t="s">
        <v>346</v>
      </c>
      <c r="R1136" t="s">
        <v>320</v>
      </c>
      <c r="S1136" t="s">
        <v>323</v>
      </c>
      <c r="U1136">
        <v>7.6</v>
      </c>
    </row>
    <row r="1137" spans="14:25">
      <c r="N1137" s="42">
        <v>44182</v>
      </c>
      <c r="O1137" t="s">
        <v>324</v>
      </c>
      <c r="P1137" s="42">
        <v>44182</v>
      </c>
      <c r="Q1137" t="s">
        <v>324</v>
      </c>
      <c r="R1137" t="s">
        <v>320</v>
      </c>
      <c r="S1137" t="s">
        <v>323</v>
      </c>
      <c r="T1137">
        <v>7.6</v>
      </c>
      <c r="Y1137" s="42">
        <v>44187</v>
      </c>
    </row>
    <row r="1138" spans="14:25">
      <c r="N1138" s="42">
        <v>44168</v>
      </c>
      <c r="O1138" t="s">
        <v>324</v>
      </c>
      <c r="P1138" s="42">
        <v>44168</v>
      </c>
      <c r="Q1138" t="s">
        <v>324</v>
      </c>
      <c r="R1138" t="s">
        <v>329</v>
      </c>
      <c r="S1138" t="s">
        <v>323</v>
      </c>
      <c r="T1138">
        <v>2.6333000000000002</v>
      </c>
      <c r="W1138" t="s">
        <v>330</v>
      </c>
      <c r="Y1138" s="42">
        <v>44173</v>
      </c>
    </row>
    <row r="1139" spans="14:25">
      <c r="N1139" s="42">
        <v>44112</v>
      </c>
      <c r="O1139" t="s">
        <v>324</v>
      </c>
      <c r="P1139" s="42">
        <v>44112</v>
      </c>
      <c r="Q1139" t="s">
        <v>324</v>
      </c>
      <c r="R1139" t="s">
        <v>329</v>
      </c>
      <c r="S1139" t="s">
        <v>323</v>
      </c>
      <c r="T1139">
        <v>7.6</v>
      </c>
      <c r="W1139" t="s">
        <v>330</v>
      </c>
      <c r="Y1139" s="42">
        <v>44117</v>
      </c>
    </row>
    <row r="1140" spans="14:25">
      <c r="N1140" s="42">
        <v>44085</v>
      </c>
      <c r="O1140" t="s">
        <v>346</v>
      </c>
      <c r="P1140" s="42">
        <v>44085</v>
      </c>
      <c r="Q1140" t="s">
        <v>346</v>
      </c>
      <c r="R1140" t="s">
        <v>329</v>
      </c>
      <c r="S1140" t="s">
        <v>323</v>
      </c>
      <c r="T1140">
        <v>7.6</v>
      </c>
      <c r="W1140" t="s">
        <v>330</v>
      </c>
      <c r="Y1140" s="42">
        <v>44089</v>
      </c>
    </row>
    <row r="1141" spans="14:25">
      <c r="N1141" s="42">
        <v>44056</v>
      </c>
      <c r="O1141" t="s">
        <v>324</v>
      </c>
      <c r="P1141" s="42">
        <v>44056</v>
      </c>
      <c r="Q1141" t="s">
        <v>324</v>
      </c>
      <c r="R1141" t="s">
        <v>329</v>
      </c>
      <c r="S1141" t="s">
        <v>323</v>
      </c>
      <c r="T1141">
        <v>7.6</v>
      </c>
      <c r="W1141" t="s">
        <v>330</v>
      </c>
      <c r="Y1141" s="42">
        <v>44061</v>
      </c>
    </row>
    <row r="1142" spans="14:25">
      <c r="N1142" s="42">
        <v>44035</v>
      </c>
      <c r="O1142" t="s">
        <v>324</v>
      </c>
      <c r="P1142" s="42">
        <v>44035</v>
      </c>
      <c r="Q1142" t="s">
        <v>324</v>
      </c>
      <c r="R1142" t="s">
        <v>320</v>
      </c>
      <c r="S1142" t="s">
        <v>323</v>
      </c>
      <c r="T1142">
        <v>7.6</v>
      </c>
      <c r="Y1142" s="42">
        <v>44047</v>
      </c>
    </row>
    <row r="1143" spans="14:25">
      <c r="N1143" s="42">
        <v>43973</v>
      </c>
      <c r="O1143" t="s">
        <v>346</v>
      </c>
      <c r="P1143" s="42">
        <v>43973</v>
      </c>
      <c r="Q1143" t="s">
        <v>346</v>
      </c>
      <c r="R1143" t="s">
        <v>320</v>
      </c>
      <c r="S1143" t="s">
        <v>323</v>
      </c>
      <c r="T1143">
        <v>7.6</v>
      </c>
      <c r="Y1143" s="42">
        <v>43977</v>
      </c>
    </row>
    <row r="1144" spans="14:25">
      <c r="N1144" s="42">
        <v>43972</v>
      </c>
      <c r="O1144" t="s">
        <v>324</v>
      </c>
      <c r="P1144" s="42">
        <v>43972</v>
      </c>
      <c r="Q1144" t="s">
        <v>324</v>
      </c>
      <c r="R1144" t="s">
        <v>320</v>
      </c>
      <c r="S1144" t="s">
        <v>323</v>
      </c>
      <c r="T1144">
        <v>7.6</v>
      </c>
      <c r="Y1144" s="42">
        <v>43977</v>
      </c>
    </row>
    <row r="1145" spans="14:25">
      <c r="N1145" s="42">
        <v>43951</v>
      </c>
      <c r="O1145" t="s">
        <v>324</v>
      </c>
      <c r="P1145" s="42">
        <v>43951</v>
      </c>
      <c r="Q1145" t="s">
        <v>324</v>
      </c>
      <c r="R1145" t="s">
        <v>329</v>
      </c>
      <c r="S1145" t="s">
        <v>323</v>
      </c>
      <c r="T1145">
        <v>1.4333</v>
      </c>
      <c r="W1145" t="s">
        <v>330</v>
      </c>
      <c r="Y1145" s="42">
        <v>43963</v>
      </c>
    </row>
    <row r="1146" spans="14:25">
      <c r="N1146" s="42">
        <v>43945</v>
      </c>
      <c r="O1146" t="s">
        <v>346</v>
      </c>
      <c r="P1146" s="42">
        <v>43945</v>
      </c>
      <c r="Q1146" t="s">
        <v>346</v>
      </c>
      <c r="R1146" t="s">
        <v>329</v>
      </c>
      <c r="S1146" t="s">
        <v>323</v>
      </c>
      <c r="T1146">
        <v>1</v>
      </c>
      <c r="W1146" t="s">
        <v>330</v>
      </c>
      <c r="Y1146" s="42">
        <v>43949</v>
      </c>
    </row>
    <row r="1147" spans="14:25">
      <c r="N1147" s="42">
        <v>43944</v>
      </c>
      <c r="O1147" t="s">
        <v>324</v>
      </c>
      <c r="P1147" s="42">
        <v>43944</v>
      </c>
      <c r="Q1147" t="s">
        <v>324</v>
      </c>
      <c r="R1147" t="s">
        <v>329</v>
      </c>
      <c r="S1147" t="s">
        <v>323</v>
      </c>
      <c r="T1147">
        <v>1</v>
      </c>
      <c r="W1147" t="s">
        <v>330</v>
      </c>
      <c r="Y1147" s="42">
        <v>43949</v>
      </c>
    </row>
    <row r="1148" spans="14:25">
      <c r="N1148" s="42">
        <v>43938</v>
      </c>
      <c r="O1148" t="s">
        <v>346</v>
      </c>
      <c r="P1148" s="42">
        <v>43938</v>
      </c>
      <c r="Q1148" t="s">
        <v>346</v>
      </c>
      <c r="R1148" t="s">
        <v>329</v>
      </c>
      <c r="S1148" t="s">
        <v>323</v>
      </c>
      <c r="T1148">
        <v>3</v>
      </c>
      <c r="W1148" t="s">
        <v>330</v>
      </c>
      <c r="Y1148" s="42">
        <v>43949</v>
      </c>
    </row>
    <row r="1149" spans="14:25">
      <c r="N1149" s="42">
        <v>43937</v>
      </c>
      <c r="O1149" t="s">
        <v>324</v>
      </c>
      <c r="P1149" s="42">
        <v>43937</v>
      </c>
      <c r="Q1149" t="s">
        <v>324</v>
      </c>
      <c r="R1149" t="s">
        <v>329</v>
      </c>
      <c r="S1149" t="s">
        <v>323</v>
      </c>
      <c r="T1149">
        <v>1.5</v>
      </c>
      <c r="W1149" t="s">
        <v>330</v>
      </c>
      <c r="Y1149" s="42">
        <v>43949</v>
      </c>
    </row>
    <row r="1150" spans="14:25">
      <c r="N1150" s="42">
        <v>43930</v>
      </c>
      <c r="O1150" t="s">
        <v>324</v>
      </c>
      <c r="P1150" s="42">
        <v>43930</v>
      </c>
      <c r="Q1150" t="s">
        <v>324</v>
      </c>
      <c r="R1150" t="s">
        <v>329</v>
      </c>
      <c r="S1150" t="s">
        <v>323</v>
      </c>
      <c r="T1150">
        <v>2.3466999999999998</v>
      </c>
      <c r="W1150" t="s">
        <v>330</v>
      </c>
      <c r="Y1150" s="42">
        <v>43935</v>
      </c>
    </row>
    <row r="1151" spans="14:25">
      <c r="N1151" s="42">
        <v>43924</v>
      </c>
      <c r="O1151" t="s">
        <v>346</v>
      </c>
      <c r="P1151" s="42">
        <v>43924</v>
      </c>
      <c r="Q1151" t="s">
        <v>346</v>
      </c>
      <c r="R1151" t="s">
        <v>329</v>
      </c>
      <c r="S1151" t="s">
        <v>323</v>
      </c>
      <c r="T1151">
        <v>1.35</v>
      </c>
      <c r="W1151" t="s">
        <v>330</v>
      </c>
      <c r="Y1151" s="42">
        <v>43935</v>
      </c>
    </row>
    <row r="1152" spans="14:25">
      <c r="N1152" s="42">
        <v>43923</v>
      </c>
      <c r="O1152" t="s">
        <v>324</v>
      </c>
      <c r="P1152" s="42">
        <v>43923</v>
      </c>
      <c r="Q1152" t="s">
        <v>324</v>
      </c>
      <c r="R1152" t="s">
        <v>329</v>
      </c>
      <c r="S1152" t="s">
        <v>323</v>
      </c>
      <c r="T1152">
        <v>1.3833</v>
      </c>
      <c r="W1152" t="s">
        <v>330</v>
      </c>
      <c r="Y1152" s="42">
        <v>43935</v>
      </c>
    </row>
    <row r="1153" spans="1:25">
      <c r="N1153" s="42">
        <v>43916</v>
      </c>
      <c r="O1153" t="s">
        <v>324</v>
      </c>
      <c r="P1153" s="42">
        <v>43916</v>
      </c>
      <c r="Q1153" t="s">
        <v>324</v>
      </c>
      <c r="R1153" t="s">
        <v>329</v>
      </c>
      <c r="S1153" t="s">
        <v>323</v>
      </c>
      <c r="T1153">
        <v>0.88329999999999997</v>
      </c>
      <c r="W1153" t="s">
        <v>330</v>
      </c>
      <c r="Y1153" s="42">
        <v>43921</v>
      </c>
    </row>
    <row r="1154" spans="1:25">
      <c r="N1154" s="42">
        <v>43895</v>
      </c>
      <c r="O1154" t="s">
        <v>324</v>
      </c>
      <c r="P1154" s="42">
        <v>43895</v>
      </c>
      <c r="Q1154" t="s">
        <v>324</v>
      </c>
      <c r="R1154" t="s">
        <v>329</v>
      </c>
      <c r="S1154" t="s">
        <v>323</v>
      </c>
      <c r="T1154">
        <v>7.6</v>
      </c>
      <c r="W1154" t="s">
        <v>330</v>
      </c>
      <c r="Y1154" s="42">
        <v>43907</v>
      </c>
    </row>
    <row r="1155" spans="1:25">
      <c r="N1155" s="42">
        <v>43840</v>
      </c>
      <c r="O1155" t="s">
        <v>346</v>
      </c>
      <c r="P1155" s="42">
        <v>43840</v>
      </c>
      <c r="Q1155" t="s">
        <v>346</v>
      </c>
      <c r="R1155" t="s">
        <v>329</v>
      </c>
      <c r="S1155" t="s">
        <v>323</v>
      </c>
      <c r="T1155">
        <v>7.6</v>
      </c>
      <c r="W1155" t="s">
        <v>330</v>
      </c>
      <c r="Y1155" s="42">
        <v>43851</v>
      </c>
    </row>
    <row r="1156" spans="1:25">
      <c r="N1156" s="42">
        <v>43839</v>
      </c>
      <c r="O1156" t="s">
        <v>324</v>
      </c>
      <c r="P1156" s="42">
        <v>43839</v>
      </c>
      <c r="Q1156" t="s">
        <v>324</v>
      </c>
      <c r="R1156" t="s">
        <v>329</v>
      </c>
      <c r="S1156" t="s">
        <v>323</v>
      </c>
      <c r="T1156">
        <v>7.6</v>
      </c>
      <c r="W1156" t="s">
        <v>330</v>
      </c>
      <c r="Y1156" s="42">
        <v>43851</v>
      </c>
    </row>
    <row r="1157" spans="1:25">
      <c r="N1157" s="42">
        <v>43824</v>
      </c>
      <c r="O1157" t="s">
        <v>328</v>
      </c>
      <c r="P1157" s="42">
        <v>43825</v>
      </c>
      <c r="Q1157" t="s">
        <v>324</v>
      </c>
      <c r="R1157" t="s">
        <v>320</v>
      </c>
      <c r="S1157" t="s">
        <v>323</v>
      </c>
      <c r="T1157">
        <v>0</v>
      </c>
      <c r="U1157">
        <v>15.2</v>
      </c>
      <c r="Y1157" s="42">
        <v>43837</v>
      </c>
    </row>
    <row r="1158" spans="1:25">
      <c r="N1158" s="42">
        <v>43806</v>
      </c>
      <c r="O1158" t="s">
        <v>359</v>
      </c>
      <c r="P1158" s="42">
        <v>43806</v>
      </c>
      <c r="Q1158" t="s">
        <v>359</v>
      </c>
      <c r="R1158" t="s">
        <v>320</v>
      </c>
      <c r="S1158" t="s">
        <v>323</v>
      </c>
      <c r="T1158">
        <v>7.6</v>
      </c>
      <c r="Y1158" s="42">
        <v>43809</v>
      </c>
    </row>
    <row r="1159" spans="1:25">
      <c r="N1159" s="42">
        <v>43679</v>
      </c>
      <c r="O1159" t="s">
        <v>346</v>
      </c>
      <c r="P1159" s="42">
        <v>43679</v>
      </c>
      <c r="Q1159" t="s">
        <v>346</v>
      </c>
      <c r="R1159" t="s">
        <v>325</v>
      </c>
      <c r="S1159" t="s">
        <v>323</v>
      </c>
      <c r="T1159">
        <v>7.6</v>
      </c>
      <c r="Y1159" s="42">
        <v>43697</v>
      </c>
    </row>
    <row r="1160" spans="1:25">
      <c r="N1160" s="42">
        <v>43672</v>
      </c>
      <c r="O1160" t="s">
        <v>346</v>
      </c>
      <c r="P1160" s="42">
        <v>43672</v>
      </c>
      <c r="Q1160" t="s">
        <v>346</v>
      </c>
      <c r="R1160" t="s">
        <v>325</v>
      </c>
      <c r="S1160" t="s">
        <v>323</v>
      </c>
      <c r="T1160">
        <v>7.6</v>
      </c>
      <c r="Y1160" s="42">
        <v>43697</v>
      </c>
    </row>
    <row r="1161" spans="1:25">
      <c r="N1161" s="42">
        <v>43671</v>
      </c>
      <c r="O1161" t="s">
        <v>324</v>
      </c>
      <c r="P1161" s="42">
        <v>43678</v>
      </c>
      <c r="Q1161" t="s">
        <v>324</v>
      </c>
      <c r="R1161" t="s">
        <v>325</v>
      </c>
      <c r="S1161" t="s">
        <v>323</v>
      </c>
      <c r="T1161">
        <v>22.8</v>
      </c>
      <c r="Y1161" s="42">
        <v>43683</v>
      </c>
    </row>
    <row r="1162" spans="1:25">
      <c r="N1162" s="42">
        <v>43657</v>
      </c>
      <c r="O1162" t="s">
        <v>324</v>
      </c>
      <c r="P1162" s="42">
        <v>43666</v>
      </c>
      <c r="Q1162" t="s">
        <v>359</v>
      </c>
      <c r="R1162" t="s">
        <v>325</v>
      </c>
      <c r="S1162" t="s">
        <v>323</v>
      </c>
      <c r="T1162">
        <v>45.6</v>
      </c>
      <c r="Y1162" s="42">
        <v>43683</v>
      </c>
    </row>
    <row r="1163" spans="1:25">
      <c r="N1163" s="42">
        <v>43642</v>
      </c>
      <c r="O1163" t="s">
        <v>328</v>
      </c>
      <c r="P1163" s="42">
        <v>43658</v>
      </c>
      <c r="Q1163" t="s">
        <v>346</v>
      </c>
      <c r="R1163" t="s">
        <v>320</v>
      </c>
      <c r="S1163" t="s">
        <v>323</v>
      </c>
      <c r="T1163">
        <v>45.6</v>
      </c>
      <c r="Y1163" s="42">
        <v>43655</v>
      </c>
    </row>
    <row r="1164" spans="1:25">
      <c r="N1164" s="42">
        <v>43636</v>
      </c>
      <c r="O1164" t="s">
        <v>324</v>
      </c>
      <c r="P1164" s="42">
        <v>43638</v>
      </c>
      <c r="Q1164" t="s">
        <v>359</v>
      </c>
      <c r="R1164" t="s">
        <v>320</v>
      </c>
      <c r="S1164" t="s">
        <v>323</v>
      </c>
      <c r="T1164">
        <v>22.8</v>
      </c>
      <c r="Y1164" s="42">
        <v>43641</v>
      </c>
    </row>
    <row r="1165" spans="1:25">
      <c r="A1165">
        <v>266</v>
      </c>
      <c r="B1165" t="s">
        <v>368</v>
      </c>
      <c r="C1165" t="s">
        <v>320</v>
      </c>
      <c r="D1165" t="s">
        <v>321</v>
      </c>
      <c r="E1165" t="s">
        <v>322</v>
      </c>
      <c r="F1165">
        <v>1</v>
      </c>
      <c r="G1165" s="42">
        <v>45312</v>
      </c>
      <c r="H1165">
        <v>17.538499999999999</v>
      </c>
      <c r="I1165">
        <v>225.93879999999999</v>
      </c>
      <c r="J1165">
        <v>17.538499999999999</v>
      </c>
      <c r="K1165">
        <v>243.47730000000001</v>
      </c>
      <c r="L1165" t="s">
        <v>323</v>
      </c>
      <c r="M1165" s="43">
        <v>0.62569444444444444</v>
      </c>
      <c r="N1165" s="42">
        <v>44952</v>
      </c>
      <c r="O1165" t="s">
        <v>324</v>
      </c>
      <c r="P1165" s="42">
        <v>44952</v>
      </c>
      <c r="Q1165" t="s">
        <v>324</v>
      </c>
      <c r="R1165" t="s">
        <v>320</v>
      </c>
      <c r="S1165" t="s">
        <v>323</v>
      </c>
      <c r="U1165">
        <v>7.6</v>
      </c>
      <c r="Y1165" s="42">
        <v>44957</v>
      </c>
    </row>
    <row r="1166" spans="1:25">
      <c r="C1166" t="s">
        <v>325</v>
      </c>
      <c r="D1166" t="s">
        <v>349</v>
      </c>
      <c r="E1166" t="s">
        <v>350</v>
      </c>
      <c r="F1166">
        <v>2</v>
      </c>
      <c r="G1166" s="42">
        <v>45312</v>
      </c>
      <c r="H1166">
        <v>2.7616999999999998</v>
      </c>
      <c r="I1166">
        <v>304.10340000000002</v>
      </c>
      <c r="J1166">
        <v>2.7616999999999998</v>
      </c>
      <c r="K1166">
        <v>306.86509999999998</v>
      </c>
      <c r="L1166" t="s">
        <v>323</v>
      </c>
      <c r="N1166" s="42">
        <v>44944</v>
      </c>
      <c r="O1166" t="s">
        <v>328</v>
      </c>
      <c r="P1166" s="42">
        <v>44944</v>
      </c>
      <c r="Q1166" t="s">
        <v>328</v>
      </c>
      <c r="R1166" t="s">
        <v>320</v>
      </c>
      <c r="S1166" t="s">
        <v>323</v>
      </c>
      <c r="T1166">
        <v>7.6</v>
      </c>
      <c r="U1166">
        <v>0</v>
      </c>
      <c r="V1166">
        <v>0</v>
      </c>
      <c r="Y1166" s="42">
        <v>44957</v>
      </c>
    </row>
    <row r="1167" spans="1:25">
      <c r="C1167" t="s">
        <v>329</v>
      </c>
      <c r="D1167" t="s">
        <v>331</v>
      </c>
      <c r="E1167" t="s">
        <v>332</v>
      </c>
      <c r="F1167">
        <v>1</v>
      </c>
      <c r="G1167" s="42">
        <v>45312</v>
      </c>
      <c r="H1167">
        <v>8.7691999999999997</v>
      </c>
      <c r="I1167">
        <v>276.42349999999999</v>
      </c>
      <c r="J1167">
        <v>8.7691999999999997</v>
      </c>
      <c r="K1167">
        <v>285.1927</v>
      </c>
      <c r="L1167" t="s">
        <v>323</v>
      </c>
      <c r="N1167" s="42">
        <v>44930</v>
      </c>
      <c r="O1167" t="s">
        <v>328</v>
      </c>
      <c r="P1167" s="42">
        <v>44943</v>
      </c>
      <c r="Q1167" t="s">
        <v>333</v>
      </c>
      <c r="R1167" t="s">
        <v>320</v>
      </c>
      <c r="S1167" t="s">
        <v>323</v>
      </c>
      <c r="T1167">
        <v>76</v>
      </c>
      <c r="U1167">
        <v>0</v>
      </c>
      <c r="V1167">
        <v>0</v>
      </c>
      <c r="Y1167" s="42">
        <v>44943</v>
      </c>
    </row>
    <row r="1168" spans="1:25">
      <c r="N1168" s="42">
        <v>44929</v>
      </c>
      <c r="O1168" t="s">
        <v>333</v>
      </c>
      <c r="P1168" s="42">
        <v>44929</v>
      </c>
      <c r="Q1168" t="s">
        <v>333</v>
      </c>
      <c r="R1168" t="s">
        <v>320</v>
      </c>
      <c r="S1168" t="s">
        <v>323</v>
      </c>
      <c r="T1168">
        <v>7.6</v>
      </c>
      <c r="U1168">
        <v>0</v>
      </c>
      <c r="V1168">
        <v>0</v>
      </c>
      <c r="Y1168" s="42">
        <v>44929</v>
      </c>
    </row>
    <row r="1169" spans="14:25">
      <c r="N1169" s="42">
        <v>44928</v>
      </c>
      <c r="O1169" t="s">
        <v>345</v>
      </c>
      <c r="P1169" s="42">
        <v>44928</v>
      </c>
      <c r="Q1169" t="s">
        <v>345</v>
      </c>
      <c r="R1169" t="s">
        <v>320</v>
      </c>
      <c r="S1169" t="s">
        <v>323</v>
      </c>
      <c r="U1169">
        <v>7.6</v>
      </c>
      <c r="Y1169" s="42">
        <v>44929</v>
      </c>
    </row>
    <row r="1170" spans="14:25">
      <c r="N1170" s="42">
        <v>44923</v>
      </c>
      <c r="O1170" t="s">
        <v>328</v>
      </c>
      <c r="P1170" s="42">
        <v>44925</v>
      </c>
      <c r="Q1170" t="s">
        <v>346</v>
      </c>
      <c r="R1170" t="s">
        <v>320</v>
      </c>
      <c r="S1170" t="s">
        <v>323</v>
      </c>
      <c r="T1170">
        <v>22.8</v>
      </c>
      <c r="V1170">
        <v>0</v>
      </c>
      <c r="Y1170" s="42">
        <v>44929</v>
      </c>
    </row>
    <row r="1171" spans="14:25">
      <c r="N1171" s="42">
        <v>44922</v>
      </c>
      <c r="O1171" t="s">
        <v>333</v>
      </c>
      <c r="P1171" s="42">
        <v>44922</v>
      </c>
      <c r="Q1171" t="s">
        <v>333</v>
      </c>
      <c r="R1171" t="s">
        <v>320</v>
      </c>
      <c r="S1171" t="s">
        <v>323</v>
      </c>
      <c r="U1171">
        <v>7.6</v>
      </c>
      <c r="Y1171" s="42">
        <v>44929</v>
      </c>
    </row>
    <row r="1172" spans="14:25">
      <c r="N1172" s="42">
        <v>44921</v>
      </c>
      <c r="O1172" t="s">
        <v>345</v>
      </c>
      <c r="P1172" s="42">
        <v>44921</v>
      </c>
      <c r="Q1172" t="s">
        <v>345</v>
      </c>
      <c r="R1172" t="s">
        <v>320</v>
      </c>
      <c r="S1172" t="s">
        <v>323</v>
      </c>
      <c r="U1172">
        <v>7.6</v>
      </c>
      <c r="Y1172" s="42">
        <v>44929</v>
      </c>
    </row>
    <row r="1173" spans="14:25">
      <c r="N1173" s="42">
        <v>44866</v>
      </c>
      <c r="O1173" t="s">
        <v>333</v>
      </c>
      <c r="P1173" s="42">
        <v>44866</v>
      </c>
      <c r="Q1173" t="s">
        <v>333</v>
      </c>
      <c r="R1173" t="s">
        <v>320</v>
      </c>
      <c r="S1173" t="s">
        <v>323</v>
      </c>
      <c r="U1173">
        <v>7.6</v>
      </c>
      <c r="Y1173" s="42">
        <v>44873</v>
      </c>
    </row>
    <row r="1174" spans="14:25">
      <c r="N1174" s="42">
        <v>44865</v>
      </c>
      <c r="O1174" t="s">
        <v>345</v>
      </c>
      <c r="P1174" s="42">
        <v>44865</v>
      </c>
      <c r="Q1174" t="s">
        <v>345</v>
      </c>
      <c r="R1174" t="s">
        <v>320</v>
      </c>
      <c r="S1174" t="s">
        <v>323</v>
      </c>
      <c r="T1174">
        <v>7.6</v>
      </c>
      <c r="V1174">
        <v>0</v>
      </c>
      <c r="Y1174" s="42">
        <v>44873</v>
      </c>
    </row>
    <row r="1175" spans="14:25">
      <c r="N1175" s="42">
        <v>44861</v>
      </c>
      <c r="O1175" t="s">
        <v>324</v>
      </c>
      <c r="P1175" s="42">
        <v>44861</v>
      </c>
      <c r="Q1175" t="s">
        <v>324</v>
      </c>
      <c r="R1175" t="s">
        <v>320</v>
      </c>
      <c r="S1175" t="s">
        <v>323</v>
      </c>
      <c r="T1175">
        <v>7.6</v>
      </c>
      <c r="V1175">
        <v>0</v>
      </c>
      <c r="Y1175" s="42">
        <v>44873</v>
      </c>
    </row>
    <row r="1176" spans="14:25">
      <c r="N1176" s="42">
        <v>44827</v>
      </c>
      <c r="O1176" t="s">
        <v>346</v>
      </c>
      <c r="P1176" s="42">
        <v>44827</v>
      </c>
      <c r="Q1176" t="s">
        <v>346</v>
      </c>
      <c r="R1176" t="s">
        <v>320</v>
      </c>
      <c r="S1176" t="s">
        <v>323</v>
      </c>
      <c r="U1176">
        <v>7.6</v>
      </c>
      <c r="Y1176" s="42">
        <v>44831</v>
      </c>
    </row>
    <row r="1177" spans="14:25">
      <c r="N1177" s="42">
        <v>44826</v>
      </c>
      <c r="O1177" t="s">
        <v>324</v>
      </c>
      <c r="P1177" s="42">
        <v>44826</v>
      </c>
      <c r="Q1177" t="s">
        <v>324</v>
      </c>
      <c r="R1177" t="s">
        <v>320</v>
      </c>
      <c r="S1177" t="s">
        <v>323</v>
      </c>
      <c r="U1177">
        <v>7.6</v>
      </c>
      <c r="Y1177" s="42">
        <v>44831</v>
      </c>
    </row>
    <row r="1178" spans="14:25">
      <c r="N1178" s="42">
        <v>44810</v>
      </c>
      <c r="O1178" t="s">
        <v>333</v>
      </c>
      <c r="P1178" s="42">
        <v>44810</v>
      </c>
      <c r="Q1178" t="s">
        <v>333</v>
      </c>
      <c r="R1178" t="s">
        <v>347</v>
      </c>
      <c r="S1178" t="s">
        <v>323</v>
      </c>
      <c r="T1178">
        <v>7.6</v>
      </c>
      <c r="W1178" t="s">
        <v>330</v>
      </c>
      <c r="X1178" t="s">
        <v>330</v>
      </c>
      <c r="Y1178" s="42">
        <v>44817</v>
      </c>
    </row>
    <row r="1179" spans="14:25">
      <c r="N1179" s="42">
        <v>44725</v>
      </c>
      <c r="O1179" t="s">
        <v>345</v>
      </c>
      <c r="P1179" s="42">
        <v>44725</v>
      </c>
      <c r="Q1179" t="s">
        <v>345</v>
      </c>
      <c r="R1179" t="s">
        <v>320</v>
      </c>
      <c r="S1179" t="s">
        <v>323</v>
      </c>
      <c r="U1179">
        <v>7.6</v>
      </c>
      <c r="Y1179" s="42">
        <v>44733</v>
      </c>
    </row>
    <row r="1180" spans="14:25">
      <c r="N1180" s="42">
        <v>44692</v>
      </c>
      <c r="O1180" t="s">
        <v>328</v>
      </c>
      <c r="P1180" s="42">
        <v>44694</v>
      </c>
      <c r="Q1180" t="s">
        <v>346</v>
      </c>
      <c r="R1180" t="s">
        <v>329</v>
      </c>
      <c r="S1180" t="s">
        <v>323</v>
      </c>
      <c r="T1180">
        <v>22.8</v>
      </c>
      <c r="W1180" t="s">
        <v>330</v>
      </c>
      <c r="Y1180" s="42">
        <v>44705</v>
      </c>
    </row>
    <row r="1181" spans="14:25">
      <c r="N1181" s="42">
        <v>44691</v>
      </c>
      <c r="O1181" t="s">
        <v>333</v>
      </c>
      <c r="P1181" s="42">
        <v>44691</v>
      </c>
      <c r="Q1181" t="s">
        <v>333</v>
      </c>
      <c r="R1181" t="s">
        <v>329</v>
      </c>
      <c r="S1181" t="s">
        <v>323</v>
      </c>
      <c r="T1181">
        <v>7.6</v>
      </c>
      <c r="W1181" t="s">
        <v>330</v>
      </c>
      <c r="Y1181" s="42">
        <v>44691</v>
      </c>
    </row>
    <row r="1182" spans="14:25">
      <c r="N1182" s="42">
        <v>44690</v>
      </c>
      <c r="O1182" t="s">
        <v>345</v>
      </c>
      <c r="P1182" s="42">
        <v>44690</v>
      </c>
      <c r="Q1182" t="s">
        <v>345</v>
      </c>
      <c r="R1182" t="s">
        <v>329</v>
      </c>
      <c r="S1182" t="s">
        <v>323</v>
      </c>
      <c r="T1182">
        <v>7.6</v>
      </c>
      <c r="W1182" t="s">
        <v>330</v>
      </c>
      <c r="Y1182" s="42">
        <v>44691</v>
      </c>
    </row>
    <row r="1183" spans="14:25">
      <c r="N1183" s="42">
        <v>44676</v>
      </c>
      <c r="O1183" t="s">
        <v>345</v>
      </c>
      <c r="P1183" s="42">
        <v>44676</v>
      </c>
      <c r="Q1183" t="s">
        <v>345</v>
      </c>
      <c r="R1183" t="s">
        <v>320</v>
      </c>
      <c r="S1183" t="s">
        <v>323</v>
      </c>
      <c r="U1183">
        <v>7.6</v>
      </c>
    </row>
    <row r="1184" spans="14:25">
      <c r="N1184" s="42">
        <v>44673</v>
      </c>
      <c r="O1184" t="s">
        <v>346</v>
      </c>
      <c r="P1184" s="42">
        <v>44673</v>
      </c>
      <c r="Q1184" t="s">
        <v>346</v>
      </c>
      <c r="R1184" t="s">
        <v>320</v>
      </c>
      <c r="S1184" t="s">
        <v>323</v>
      </c>
      <c r="T1184">
        <v>7.6</v>
      </c>
      <c r="Y1184" s="42">
        <v>44677</v>
      </c>
    </row>
    <row r="1185" spans="14:25">
      <c r="N1185" s="42">
        <v>44672</v>
      </c>
      <c r="O1185" t="s">
        <v>324</v>
      </c>
      <c r="P1185" s="42">
        <v>44672</v>
      </c>
      <c r="Q1185" t="s">
        <v>324</v>
      </c>
      <c r="R1185" t="s">
        <v>320</v>
      </c>
      <c r="S1185" t="s">
        <v>323</v>
      </c>
      <c r="T1185">
        <v>7.6</v>
      </c>
      <c r="Y1185" s="42">
        <v>44677</v>
      </c>
    </row>
    <row r="1186" spans="14:25">
      <c r="N1186" s="42">
        <v>44669</v>
      </c>
      <c r="O1186" t="s">
        <v>345</v>
      </c>
      <c r="P1186" s="42">
        <v>44669</v>
      </c>
      <c r="Q1186" t="s">
        <v>345</v>
      </c>
      <c r="R1186" t="s">
        <v>320</v>
      </c>
      <c r="S1186" t="s">
        <v>323</v>
      </c>
      <c r="U1186">
        <v>7.6</v>
      </c>
    </row>
    <row r="1187" spans="14:25">
      <c r="N1187" s="42">
        <v>44666</v>
      </c>
      <c r="O1187" t="s">
        <v>346</v>
      </c>
      <c r="P1187" s="42">
        <v>44666</v>
      </c>
      <c r="Q1187" t="s">
        <v>346</v>
      </c>
      <c r="R1187" t="s">
        <v>320</v>
      </c>
      <c r="S1187" t="s">
        <v>323</v>
      </c>
      <c r="U1187">
        <v>7.6</v>
      </c>
    </row>
    <row r="1188" spans="14:25">
      <c r="N1188" s="42">
        <v>44663</v>
      </c>
      <c r="O1188" t="s">
        <v>333</v>
      </c>
      <c r="P1188" s="42">
        <v>44663</v>
      </c>
      <c r="Q1188" t="s">
        <v>333</v>
      </c>
      <c r="R1188" t="s">
        <v>329</v>
      </c>
      <c r="S1188" t="s">
        <v>323</v>
      </c>
      <c r="T1188">
        <v>7.6</v>
      </c>
      <c r="W1188" t="s">
        <v>330</v>
      </c>
      <c r="Y1188" s="42">
        <v>44663</v>
      </c>
    </row>
    <row r="1189" spans="14:25">
      <c r="N1189" s="42">
        <v>44634</v>
      </c>
      <c r="O1189" t="s">
        <v>345</v>
      </c>
      <c r="P1189" s="42">
        <v>44634</v>
      </c>
      <c r="Q1189" t="s">
        <v>345</v>
      </c>
      <c r="R1189" t="s">
        <v>320</v>
      </c>
      <c r="S1189" t="s">
        <v>323</v>
      </c>
      <c r="U1189">
        <v>7.6</v>
      </c>
    </row>
    <row r="1190" spans="14:25">
      <c r="N1190" s="42">
        <v>44587</v>
      </c>
      <c r="O1190" t="s">
        <v>328</v>
      </c>
      <c r="P1190" s="42">
        <v>44587</v>
      </c>
      <c r="Q1190" t="s">
        <v>328</v>
      </c>
      <c r="R1190" t="s">
        <v>320</v>
      </c>
      <c r="S1190" t="s">
        <v>323</v>
      </c>
      <c r="U1190">
        <v>7.6</v>
      </c>
    </row>
    <row r="1191" spans="14:25">
      <c r="N1191" s="42">
        <v>44573</v>
      </c>
      <c r="O1191" t="s">
        <v>328</v>
      </c>
      <c r="P1191" s="42">
        <v>44573</v>
      </c>
      <c r="Q1191" t="s">
        <v>328</v>
      </c>
      <c r="R1191" t="s">
        <v>320</v>
      </c>
      <c r="S1191" t="s">
        <v>323</v>
      </c>
      <c r="T1191">
        <v>7.6</v>
      </c>
      <c r="Y1191" s="42">
        <v>44579</v>
      </c>
    </row>
    <row r="1192" spans="14:25">
      <c r="N1192" s="42">
        <v>44571</v>
      </c>
      <c r="O1192" t="s">
        <v>345</v>
      </c>
      <c r="P1192" s="42">
        <v>44571</v>
      </c>
      <c r="Q1192" t="s">
        <v>345</v>
      </c>
      <c r="R1192" t="s">
        <v>320</v>
      </c>
      <c r="S1192" t="s">
        <v>323</v>
      </c>
      <c r="T1192">
        <v>7.6</v>
      </c>
      <c r="Y1192" s="42">
        <v>44579</v>
      </c>
    </row>
    <row r="1193" spans="14:25">
      <c r="N1193" s="42">
        <v>44568</v>
      </c>
      <c r="O1193" t="s">
        <v>346</v>
      </c>
      <c r="P1193" s="42">
        <v>44568</v>
      </c>
      <c r="Q1193" t="s">
        <v>346</v>
      </c>
      <c r="R1193" t="s">
        <v>320</v>
      </c>
      <c r="S1193" t="s">
        <v>323</v>
      </c>
      <c r="T1193">
        <v>7.6</v>
      </c>
      <c r="Y1193" s="42">
        <v>44579</v>
      </c>
    </row>
    <row r="1194" spans="14:25">
      <c r="N1194" s="42">
        <v>44567</v>
      </c>
      <c r="O1194" t="s">
        <v>324</v>
      </c>
      <c r="P1194" s="42">
        <v>44567</v>
      </c>
      <c r="Q1194" t="s">
        <v>324</v>
      </c>
      <c r="R1194" t="s">
        <v>320</v>
      </c>
      <c r="S1194" t="s">
        <v>323</v>
      </c>
      <c r="T1194">
        <v>7.6</v>
      </c>
      <c r="Y1194" s="42">
        <v>44579</v>
      </c>
    </row>
    <row r="1195" spans="14:25">
      <c r="N1195" s="42">
        <v>44566</v>
      </c>
      <c r="O1195" t="s">
        <v>328</v>
      </c>
      <c r="P1195" s="42">
        <v>44566</v>
      </c>
      <c r="Q1195" t="s">
        <v>328</v>
      </c>
      <c r="R1195" t="s">
        <v>320</v>
      </c>
      <c r="S1195" t="s">
        <v>323</v>
      </c>
      <c r="T1195">
        <v>7.6</v>
      </c>
      <c r="Y1195" s="42">
        <v>44579</v>
      </c>
    </row>
    <row r="1196" spans="14:25">
      <c r="N1196" s="42">
        <v>44565</v>
      </c>
      <c r="O1196" t="s">
        <v>333</v>
      </c>
      <c r="P1196" s="42">
        <v>44565</v>
      </c>
      <c r="Q1196" t="s">
        <v>333</v>
      </c>
      <c r="R1196" t="s">
        <v>320</v>
      </c>
      <c r="S1196" t="s">
        <v>323</v>
      </c>
      <c r="T1196">
        <v>7.6</v>
      </c>
      <c r="Y1196" s="42">
        <v>44565</v>
      </c>
    </row>
    <row r="1197" spans="14:25">
      <c r="N1197" s="42">
        <v>44564</v>
      </c>
      <c r="O1197" t="s">
        <v>345</v>
      </c>
      <c r="P1197" s="42">
        <v>44564</v>
      </c>
      <c r="Q1197" t="s">
        <v>345</v>
      </c>
      <c r="R1197" t="s">
        <v>320</v>
      </c>
      <c r="S1197" t="s">
        <v>323</v>
      </c>
      <c r="U1197">
        <v>7.6</v>
      </c>
    </row>
    <row r="1198" spans="14:25">
      <c r="N1198" s="42">
        <v>44558</v>
      </c>
      <c r="O1198" t="s">
        <v>333</v>
      </c>
      <c r="P1198" s="42">
        <v>44558</v>
      </c>
      <c r="Q1198" t="s">
        <v>333</v>
      </c>
      <c r="R1198" t="s">
        <v>320</v>
      </c>
      <c r="S1198" t="s">
        <v>323</v>
      </c>
      <c r="U1198">
        <v>7.6</v>
      </c>
    </row>
    <row r="1199" spans="14:25">
      <c r="N1199" s="42">
        <v>44557</v>
      </c>
      <c r="O1199" t="s">
        <v>345</v>
      </c>
      <c r="P1199" s="42">
        <v>44557</v>
      </c>
      <c r="Q1199" t="s">
        <v>345</v>
      </c>
      <c r="R1199" t="s">
        <v>320</v>
      </c>
      <c r="S1199" t="s">
        <v>323</v>
      </c>
      <c r="U1199">
        <v>7.6</v>
      </c>
    </row>
    <row r="1200" spans="14:25">
      <c r="N1200" s="42">
        <v>44518</v>
      </c>
      <c r="O1200" t="s">
        <v>324</v>
      </c>
      <c r="P1200" s="42">
        <v>44518</v>
      </c>
      <c r="Q1200" t="s">
        <v>324</v>
      </c>
      <c r="R1200" t="s">
        <v>329</v>
      </c>
      <c r="S1200" t="s">
        <v>323</v>
      </c>
      <c r="T1200">
        <v>7.6</v>
      </c>
      <c r="W1200" t="s">
        <v>330</v>
      </c>
      <c r="Y1200" s="42">
        <v>44537</v>
      </c>
    </row>
    <row r="1201" spans="14:25">
      <c r="N1201" s="42">
        <v>44463</v>
      </c>
      <c r="O1201" t="s">
        <v>346</v>
      </c>
      <c r="P1201" s="42">
        <v>44463</v>
      </c>
      <c r="Q1201" t="s">
        <v>346</v>
      </c>
      <c r="R1201" t="s">
        <v>320</v>
      </c>
      <c r="S1201" t="s">
        <v>323</v>
      </c>
      <c r="U1201">
        <v>7.6</v>
      </c>
    </row>
    <row r="1202" spans="14:25">
      <c r="N1202" s="42">
        <v>44454</v>
      </c>
      <c r="O1202" t="s">
        <v>328</v>
      </c>
      <c r="P1202" s="42">
        <v>44454</v>
      </c>
      <c r="Q1202" t="s">
        <v>328</v>
      </c>
      <c r="R1202" t="s">
        <v>320</v>
      </c>
      <c r="S1202" t="s">
        <v>323</v>
      </c>
      <c r="T1202">
        <v>7.6</v>
      </c>
      <c r="Y1202" s="42">
        <v>44467</v>
      </c>
    </row>
    <row r="1203" spans="14:25">
      <c r="N1203" s="42">
        <v>44449</v>
      </c>
      <c r="O1203" t="s">
        <v>346</v>
      </c>
      <c r="P1203" s="42">
        <v>44449</v>
      </c>
      <c r="Q1203" t="s">
        <v>346</v>
      </c>
      <c r="R1203" t="s">
        <v>320</v>
      </c>
      <c r="S1203" t="s">
        <v>323</v>
      </c>
      <c r="T1203">
        <v>7.6</v>
      </c>
      <c r="Y1203" s="42">
        <v>44453</v>
      </c>
    </row>
    <row r="1204" spans="14:25">
      <c r="N1204" s="42">
        <v>44438</v>
      </c>
      <c r="O1204" t="s">
        <v>345</v>
      </c>
      <c r="P1204" s="42">
        <v>44438</v>
      </c>
      <c r="Q1204" t="s">
        <v>345</v>
      </c>
      <c r="R1204" t="s">
        <v>329</v>
      </c>
      <c r="S1204" t="s">
        <v>323</v>
      </c>
      <c r="T1204">
        <v>7.6</v>
      </c>
      <c r="W1204" t="s">
        <v>330</v>
      </c>
      <c r="Y1204" s="42">
        <v>44439</v>
      </c>
    </row>
    <row r="1205" spans="14:25">
      <c r="N1205" s="42">
        <v>44378</v>
      </c>
      <c r="O1205" t="s">
        <v>324</v>
      </c>
      <c r="P1205" s="42">
        <v>44378</v>
      </c>
      <c r="Q1205" t="s">
        <v>324</v>
      </c>
      <c r="R1205" t="s">
        <v>329</v>
      </c>
      <c r="S1205" t="s">
        <v>323</v>
      </c>
      <c r="T1205">
        <v>7.6</v>
      </c>
      <c r="W1205" t="s">
        <v>330</v>
      </c>
      <c r="Y1205" s="42">
        <v>44383</v>
      </c>
    </row>
    <row r="1206" spans="14:25">
      <c r="N1206" s="42">
        <v>44361</v>
      </c>
      <c r="O1206" t="s">
        <v>345</v>
      </c>
      <c r="P1206" s="42">
        <v>44361</v>
      </c>
      <c r="Q1206" t="s">
        <v>345</v>
      </c>
      <c r="R1206" t="s">
        <v>320</v>
      </c>
      <c r="S1206" t="s">
        <v>323</v>
      </c>
      <c r="U1206">
        <v>7.6</v>
      </c>
    </row>
    <row r="1207" spans="14:25">
      <c r="N1207" s="42">
        <v>44344</v>
      </c>
      <c r="O1207" t="s">
        <v>346</v>
      </c>
      <c r="P1207" s="42">
        <v>44344</v>
      </c>
      <c r="Q1207" t="s">
        <v>346</v>
      </c>
      <c r="R1207" t="s">
        <v>329</v>
      </c>
      <c r="S1207" t="s">
        <v>323</v>
      </c>
      <c r="T1207">
        <v>7.6</v>
      </c>
      <c r="W1207" t="s">
        <v>330</v>
      </c>
      <c r="Y1207" s="42">
        <v>44355</v>
      </c>
    </row>
    <row r="1208" spans="14:25">
      <c r="N1208" s="42">
        <v>44343</v>
      </c>
      <c r="O1208" t="s">
        <v>324</v>
      </c>
      <c r="P1208" s="42">
        <v>44343</v>
      </c>
      <c r="Q1208" t="s">
        <v>324</v>
      </c>
      <c r="R1208" t="s">
        <v>329</v>
      </c>
      <c r="S1208" t="s">
        <v>323</v>
      </c>
      <c r="T1208">
        <v>7.6</v>
      </c>
      <c r="W1208" t="s">
        <v>330</v>
      </c>
      <c r="Y1208" s="42">
        <v>44355</v>
      </c>
    </row>
    <row r="1209" spans="14:25">
      <c r="N1209" s="42">
        <v>44342</v>
      </c>
      <c r="O1209" t="s">
        <v>328</v>
      </c>
      <c r="P1209" s="42">
        <v>44342</v>
      </c>
      <c r="Q1209" t="s">
        <v>328</v>
      </c>
      <c r="R1209" t="s">
        <v>329</v>
      </c>
      <c r="S1209" t="s">
        <v>323</v>
      </c>
      <c r="T1209">
        <v>7.6</v>
      </c>
      <c r="W1209" t="s">
        <v>330</v>
      </c>
      <c r="Y1209" s="42">
        <v>44355</v>
      </c>
    </row>
    <row r="1210" spans="14:25">
      <c r="N1210" s="42">
        <v>44340</v>
      </c>
      <c r="O1210" t="s">
        <v>345</v>
      </c>
      <c r="P1210" s="42">
        <v>44340</v>
      </c>
      <c r="Q1210" t="s">
        <v>345</v>
      </c>
      <c r="R1210" t="s">
        <v>329</v>
      </c>
      <c r="S1210" t="s">
        <v>323</v>
      </c>
      <c r="T1210">
        <v>7.6</v>
      </c>
      <c r="W1210" t="s">
        <v>330</v>
      </c>
      <c r="Y1210" s="42">
        <v>44341</v>
      </c>
    </row>
    <row r="1211" spans="14:25">
      <c r="N1211" s="42">
        <v>44312</v>
      </c>
      <c r="O1211" t="s">
        <v>345</v>
      </c>
      <c r="P1211" s="42">
        <v>44312</v>
      </c>
      <c r="Q1211" t="s">
        <v>345</v>
      </c>
      <c r="R1211" t="s">
        <v>329</v>
      </c>
      <c r="S1211" t="s">
        <v>323</v>
      </c>
      <c r="T1211">
        <v>7.6</v>
      </c>
      <c r="W1211" t="s">
        <v>330</v>
      </c>
      <c r="Y1211" s="42">
        <v>44327</v>
      </c>
    </row>
    <row r="1212" spans="14:25">
      <c r="N1212" s="42">
        <v>44302</v>
      </c>
      <c r="O1212" t="s">
        <v>346</v>
      </c>
      <c r="P1212" s="42">
        <v>44302</v>
      </c>
      <c r="Q1212" t="s">
        <v>346</v>
      </c>
      <c r="R1212" t="s">
        <v>320</v>
      </c>
      <c r="S1212" t="s">
        <v>323</v>
      </c>
      <c r="T1212">
        <v>7.6</v>
      </c>
      <c r="Y1212" s="42">
        <v>44313</v>
      </c>
    </row>
    <row r="1213" spans="14:25">
      <c r="N1213" s="42">
        <v>44301</v>
      </c>
      <c r="O1213" t="s">
        <v>324</v>
      </c>
      <c r="P1213" s="42">
        <v>44301</v>
      </c>
      <c r="Q1213" t="s">
        <v>324</v>
      </c>
      <c r="R1213" t="s">
        <v>320</v>
      </c>
      <c r="S1213" t="s">
        <v>323</v>
      </c>
      <c r="T1213">
        <v>7.6</v>
      </c>
      <c r="Y1213" s="42">
        <v>44313</v>
      </c>
    </row>
    <row r="1214" spans="14:25">
      <c r="N1214" s="42">
        <v>44300</v>
      </c>
      <c r="O1214" t="s">
        <v>328</v>
      </c>
      <c r="P1214" s="42">
        <v>44300</v>
      </c>
      <c r="Q1214" t="s">
        <v>328</v>
      </c>
      <c r="R1214" t="s">
        <v>320</v>
      </c>
      <c r="S1214" t="s">
        <v>323</v>
      </c>
      <c r="T1214">
        <v>7.6</v>
      </c>
      <c r="Y1214" s="42">
        <v>44313</v>
      </c>
    </row>
    <row r="1215" spans="14:25">
      <c r="N1215" s="42">
        <v>44291</v>
      </c>
      <c r="O1215" t="s">
        <v>345</v>
      </c>
      <c r="P1215" s="42">
        <v>44291</v>
      </c>
      <c r="Q1215" t="s">
        <v>345</v>
      </c>
      <c r="R1215" t="s">
        <v>320</v>
      </c>
      <c r="S1215" t="s">
        <v>323</v>
      </c>
      <c r="U1215">
        <v>7.6</v>
      </c>
    </row>
    <row r="1216" spans="14:25">
      <c r="N1216" s="42">
        <v>44288</v>
      </c>
      <c r="O1216" t="s">
        <v>346</v>
      </c>
      <c r="P1216" s="42">
        <v>44288</v>
      </c>
      <c r="Q1216" t="s">
        <v>346</v>
      </c>
      <c r="R1216" t="s">
        <v>320</v>
      </c>
      <c r="S1216" t="s">
        <v>323</v>
      </c>
      <c r="U1216">
        <v>7.6</v>
      </c>
    </row>
    <row r="1217" spans="14:25">
      <c r="N1217" s="42">
        <v>44286</v>
      </c>
      <c r="O1217" t="s">
        <v>328</v>
      </c>
      <c r="P1217" s="42">
        <v>44286</v>
      </c>
      <c r="Q1217" t="s">
        <v>328</v>
      </c>
      <c r="R1217" t="s">
        <v>329</v>
      </c>
      <c r="S1217" t="s">
        <v>323</v>
      </c>
      <c r="T1217">
        <v>7.6</v>
      </c>
      <c r="W1217" t="s">
        <v>330</v>
      </c>
      <c r="Y1217" s="42">
        <v>44299</v>
      </c>
    </row>
    <row r="1218" spans="14:25">
      <c r="N1218" s="42">
        <v>44263</v>
      </c>
      <c r="O1218" t="s">
        <v>345</v>
      </c>
      <c r="P1218" s="42">
        <v>44263</v>
      </c>
      <c r="Q1218" t="s">
        <v>345</v>
      </c>
      <c r="R1218" t="s">
        <v>320</v>
      </c>
      <c r="S1218" t="s">
        <v>323</v>
      </c>
      <c r="U1218">
        <v>7.6</v>
      </c>
    </row>
    <row r="1219" spans="14:25">
      <c r="N1219" s="42">
        <v>44204</v>
      </c>
      <c r="O1219" t="s">
        <v>346</v>
      </c>
      <c r="P1219" s="42">
        <v>44204</v>
      </c>
      <c r="Q1219" t="s">
        <v>346</v>
      </c>
      <c r="R1219" t="s">
        <v>320</v>
      </c>
      <c r="S1219" t="s">
        <v>323</v>
      </c>
      <c r="T1219">
        <v>7.6</v>
      </c>
      <c r="Y1219" s="42">
        <v>44215</v>
      </c>
    </row>
    <row r="1220" spans="14:25">
      <c r="N1220" s="42">
        <v>44203</v>
      </c>
      <c r="O1220" t="s">
        <v>324</v>
      </c>
      <c r="P1220" s="42">
        <v>44203</v>
      </c>
      <c r="Q1220" t="s">
        <v>324</v>
      </c>
      <c r="R1220" t="s">
        <v>320</v>
      </c>
      <c r="S1220" t="s">
        <v>323</v>
      </c>
      <c r="T1220">
        <v>7.6</v>
      </c>
      <c r="Y1220" s="42">
        <v>44215</v>
      </c>
    </row>
    <row r="1221" spans="14:25">
      <c r="N1221" s="42">
        <v>44202</v>
      </c>
      <c r="O1221" t="s">
        <v>328</v>
      </c>
      <c r="P1221" s="42">
        <v>44202</v>
      </c>
      <c r="Q1221" t="s">
        <v>328</v>
      </c>
      <c r="R1221" t="s">
        <v>320</v>
      </c>
      <c r="S1221" t="s">
        <v>323</v>
      </c>
      <c r="T1221">
        <v>7.6</v>
      </c>
      <c r="Y1221" s="42">
        <v>44215</v>
      </c>
    </row>
    <row r="1222" spans="14:25">
      <c r="N1222" s="42">
        <v>44200</v>
      </c>
      <c r="O1222" t="s">
        <v>345</v>
      </c>
      <c r="P1222" s="42">
        <v>44200</v>
      </c>
      <c r="Q1222" t="s">
        <v>345</v>
      </c>
      <c r="R1222" t="s">
        <v>320</v>
      </c>
      <c r="S1222" t="s">
        <v>323</v>
      </c>
      <c r="T1222">
        <v>7.6</v>
      </c>
      <c r="Y1222" s="42">
        <v>44201</v>
      </c>
    </row>
    <row r="1223" spans="14:25">
      <c r="N1223" s="42">
        <v>44197</v>
      </c>
      <c r="O1223" t="s">
        <v>346</v>
      </c>
      <c r="P1223" s="42">
        <v>44197</v>
      </c>
      <c r="Q1223" t="s">
        <v>346</v>
      </c>
      <c r="R1223" t="s">
        <v>320</v>
      </c>
      <c r="S1223" t="s">
        <v>323</v>
      </c>
      <c r="U1223">
        <v>7.6</v>
      </c>
    </row>
    <row r="1224" spans="14:25">
      <c r="N1224" s="42">
        <v>44193</v>
      </c>
      <c r="O1224" t="s">
        <v>345</v>
      </c>
      <c r="P1224" s="42">
        <v>44193</v>
      </c>
      <c r="Q1224" t="s">
        <v>345</v>
      </c>
      <c r="R1224" t="s">
        <v>320</v>
      </c>
      <c r="S1224" t="s">
        <v>323</v>
      </c>
      <c r="U1224">
        <v>7.6</v>
      </c>
    </row>
    <row r="1225" spans="14:25">
      <c r="N1225" s="42">
        <v>44190</v>
      </c>
      <c r="O1225" t="s">
        <v>346</v>
      </c>
      <c r="P1225" s="42">
        <v>44190</v>
      </c>
      <c r="Q1225" t="s">
        <v>346</v>
      </c>
      <c r="R1225" t="s">
        <v>320</v>
      </c>
      <c r="S1225" t="s">
        <v>323</v>
      </c>
      <c r="U1225">
        <v>7.6</v>
      </c>
    </row>
    <row r="1226" spans="14:25">
      <c r="N1226" s="42">
        <v>44137</v>
      </c>
      <c r="O1226" t="s">
        <v>345</v>
      </c>
      <c r="P1226" s="42">
        <v>44137</v>
      </c>
      <c r="Q1226" t="s">
        <v>345</v>
      </c>
      <c r="R1226" t="s">
        <v>320</v>
      </c>
      <c r="S1226" t="s">
        <v>323</v>
      </c>
      <c r="T1226">
        <v>7.6</v>
      </c>
      <c r="Y1226" s="42">
        <v>44145</v>
      </c>
    </row>
    <row r="1227" spans="14:25">
      <c r="N1227" s="42">
        <v>44127</v>
      </c>
      <c r="O1227" t="s">
        <v>346</v>
      </c>
      <c r="P1227" s="42">
        <v>44127</v>
      </c>
      <c r="Q1227" t="s">
        <v>346</v>
      </c>
      <c r="R1227" t="s">
        <v>320</v>
      </c>
      <c r="S1227" t="s">
        <v>323</v>
      </c>
      <c r="U1227">
        <v>7.6</v>
      </c>
    </row>
    <row r="1228" spans="14:25">
      <c r="N1228" s="42">
        <v>44106</v>
      </c>
      <c r="O1228" t="s">
        <v>346</v>
      </c>
      <c r="P1228" s="42">
        <v>44106</v>
      </c>
      <c r="Q1228" t="s">
        <v>346</v>
      </c>
      <c r="R1228" t="s">
        <v>329</v>
      </c>
      <c r="S1228" t="s">
        <v>323</v>
      </c>
      <c r="T1228">
        <v>7.6</v>
      </c>
      <c r="W1228" t="s">
        <v>330</v>
      </c>
      <c r="Y1228" s="42">
        <v>44117</v>
      </c>
    </row>
    <row r="1229" spans="14:25">
      <c r="N1229" s="42">
        <v>44074</v>
      </c>
      <c r="O1229" t="s">
        <v>345</v>
      </c>
      <c r="P1229" s="42">
        <v>44074</v>
      </c>
      <c r="Q1229" t="s">
        <v>345</v>
      </c>
      <c r="R1229" t="s">
        <v>320</v>
      </c>
      <c r="S1229" t="s">
        <v>323</v>
      </c>
      <c r="T1229">
        <v>7.6</v>
      </c>
      <c r="Y1229" s="42">
        <v>44075</v>
      </c>
    </row>
    <row r="1230" spans="14:25">
      <c r="N1230" s="42">
        <v>44071</v>
      </c>
      <c r="O1230" t="s">
        <v>346</v>
      </c>
      <c r="P1230" s="42">
        <v>44071</v>
      </c>
      <c r="Q1230" t="s">
        <v>346</v>
      </c>
      <c r="R1230" t="s">
        <v>320</v>
      </c>
      <c r="S1230" t="s">
        <v>323</v>
      </c>
      <c r="T1230">
        <v>7.6</v>
      </c>
      <c r="Y1230" s="42">
        <v>44075</v>
      </c>
    </row>
    <row r="1231" spans="14:25">
      <c r="N1231" s="42">
        <v>44057</v>
      </c>
      <c r="O1231" t="s">
        <v>346</v>
      </c>
      <c r="P1231" s="42">
        <v>44057</v>
      </c>
      <c r="Q1231" t="s">
        <v>346</v>
      </c>
      <c r="R1231" t="s">
        <v>320</v>
      </c>
      <c r="S1231" t="s">
        <v>323</v>
      </c>
      <c r="T1231">
        <v>7.6</v>
      </c>
      <c r="Y1231" s="42">
        <v>44061</v>
      </c>
    </row>
    <row r="1232" spans="14:25">
      <c r="N1232" s="42">
        <v>44008</v>
      </c>
      <c r="O1232" t="s">
        <v>346</v>
      </c>
      <c r="P1232" s="42">
        <v>44008</v>
      </c>
      <c r="Q1232" t="s">
        <v>346</v>
      </c>
      <c r="R1232" t="s">
        <v>329</v>
      </c>
      <c r="S1232" t="s">
        <v>323</v>
      </c>
      <c r="T1232">
        <v>7.6</v>
      </c>
      <c r="W1232" t="s">
        <v>330</v>
      </c>
      <c r="Y1232" s="42">
        <v>44019</v>
      </c>
    </row>
    <row r="1233" spans="1:25">
      <c r="N1233" s="42">
        <v>44007</v>
      </c>
      <c r="O1233" t="s">
        <v>324</v>
      </c>
      <c r="P1233" s="42">
        <v>44007</v>
      </c>
      <c r="Q1233" t="s">
        <v>324</v>
      </c>
      <c r="R1233" t="s">
        <v>329</v>
      </c>
      <c r="S1233" t="s">
        <v>323</v>
      </c>
      <c r="T1233">
        <v>7.6</v>
      </c>
      <c r="W1233" t="s">
        <v>330</v>
      </c>
      <c r="Y1233" s="42">
        <v>44019</v>
      </c>
    </row>
    <row r="1234" spans="1:25">
      <c r="N1234" s="42">
        <v>43950</v>
      </c>
      <c r="O1234" t="s">
        <v>328</v>
      </c>
      <c r="P1234" s="42">
        <v>43950</v>
      </c>
      <c r="Q1234" t="s">
        <v>328</v>
      </c>
      <c r="R1234" t="s">
        <v>329</v>
      </c>
      <c r="S1234" t="s">
        <v>323</v>
      </c>
      <c r="T1234">
        <v>7.6</v>
      </c>
      <c r="W1234" t="s">
        <v>330</v>
      </c>
      <c r="Y1234" s="42">
        <v>43963</v>
      </c>
    </row>
    <row r="1235" spans="1:25">
      <c r="N1235" s="42">
        <v>43938</v>
      </c>
      <c r="O1235" t="s">
        <v>346</v>
      </c>
      <c r="P1235" s="42">
        <v>43938</v>
      </c>
      <c r="Q1235" t="s">
        <v>346</v>
      </c>
      <c r="R1235" t="s">
        <v>320</v>
      </c>
      <c r="S1235" t="s">
        <v>323</v>
      </c>
      <c r="T1235">
        <v>7.6</v>
      </c>
      <c r="Y1235" s="42">
        <v>43949</v>
      </c>
    </row>
    <row r="1236" spans="1:25">
      <c r="N1236" s="42">
        <v>43885</v>
      </c>
      <c r="O1236" t="s">
        <v>345</v>
      </c>
      <c r="P1236" s="42">
        <v>43885</v>
      </c>
      <c r="Q1236" t="s">
        <v>345</v>
      </c>
      <c r="R1236" t="s">
        <v>329</v>
      </c>
      <c r="S1236" t="s">
        <v>323</v>
      </c>
      <c r="T1236">
        <v>7.6</v>
      </c>
      <c r="W1236" t="s">
        <v>330</v>
      </c>
      <c r="Y1236" s="42">
        <v>43893</v>
      </c>
    </row>
    <row r="1237" spans="1:25">
      <c r="N1237" s="42">
        <v>43843</v>
      </c>
      <c r="O1237" t="s">
        <v>345</v>
      </c>
      <c r="P1237" s="42">
        <v>43847</v>
      </c>
      <c r="Q1237" t="s">
        <v>346</v>
      </c>
      <c r="R1237" t="s">
        <v>320</v>
      </c>
      <c r="S1237" t="s">
        <v>323</v>
      </c>
      <c r="T1237">
        <v>22.8</v>
      </c>
      <c r="Y1237" s="42">
        <v>43851</v>
      </c>
    </row>
    <row r="1238" spans="1:25">
      <c r="N1238" s="42">
        <v>43755</v>
      </c>
      <c r="O1238" t="s">
        <v>324</v>
      </c>
      <c r="P1238" s="42">
        <v>43755</v>
      </c>
      <c r="Q1238" t="s">
        <v>324</v>
      </c>
      <c r="R1238" t="s">
        <v>329</v>
      </c>
      <c r="S1238" t="s">
        <v>323</v>
      </c>
      <c r="T1238">
        <v>7.6</v>
      </c>
      <c r="W1238" t="s">
        <v>330</v>
      </c>
      <c r="Y1238" s="42">
        <v>43767</v>
      </c>
    </row>
    <row r="1239" spans="1:25">
      <c r="N1239" s="42">
        <v>43740</v>
      </c>
      <c r="O1239" t="s">
        <v>328</v>
      </c>
      <c r="P1239" s="42">
        <v>43740</v>
      </c>
      <c r="Q1239" t="s">
        <v>328</v>
      </c>
      <c r="R1239" t="s">
        <v>320</v>
      </c>
      <c r="S1239" t="s">
        <v>323</v>
      </c>
      <c r="T1239">
        <v>7.6</v>
      </c>
      <c r="Y1239" s="42">
        <v>43753</v>
      </c>
    </row>
    <row r="1240" spans="1:25">
      <c r="N1240" s="42">
        <v>43728</v>
      </c>
      <c r="O1240" t="s">
        <v>346</v>
      </c>
      <c r="P1240" s="42">
        <v>43734</v>
      </c>
      <c r="Q1240" t="s">
        <v>324</v>
      </c>
      <c r="R1240" t="s">
        <v>320</v>
      </c>
      <c r="S1240" t="s">
        <v>323</v>
      </c>
      <c r="T1240">
        <v>38</v>
      </c>
      <c r="Y1240" s="42">
        <v>43739</v>
      </c>
    </row>
    <row r="1241" spans="1:25">
      <c r="N1241" s="42">
        <v>43658</v>
      </c>
      <c r="O1241" t="s">
        <v>346</v>
      </c>
      <c r="P1241" s="42">
        <v>43661</v>
      </c>
      <c r="Q1241" t="s">
        <v>345</v>
      </c>
      <c r="R1241" t="s">
        <v>320</v>
      </c>
      <c r="S1241" t="s">
        <v>323</v>
      </c>
      <c r="T1241">
        <v>15.2</v>
      </c>
      <c r="Y1241" s="42">
        <v>43669</v>
      </c>
    </row>
    <row r="1242" spans="1:25">
      <c r="A1242">
        <v>302</v>
      </c>
      <c r="B1242" t="s">
        <v>369</v>
      </c>
      <c r="C1242" t="s">
        <v>320</v>
      </c>
      <c r="D1242" t="s">
        <v>336</v>
      </c>
      <c r="E1242" t="s">
        <v>337</v>
      </c>
      <c r="F1242">
        <v>1</v>
      </c>
      <c r="G1242" s="42">
        <v>45172</v>
      </c>
      <c r="H1242">
        <v>75.415400000000005</v>
      </c>
      <c r="I1242">
        <v>154.49930000000001</v>
      </c>
      <c r="J1242">
        <v>-0.79279999999999995</v>
      </c>
      <c r="K1242">
        <v>153.70650000000001</v>
      </c>
      <c r="L1242" t="s">
        <v>323</v>
      </c>
      <c r="M1242" s="43">
        <v>0.58472222222222225</v>
      </c>
      <c r="N1242" s="42">
        <v>45042</v>
      </c>
      <c r="O1242" t="s">
        <v>328</v>
      </c>
      <c r="P1242" s="42">
        <v>45054</v>
      </c>
      <c r="Q1242" t="s">
        <v>345</v>
      </c>
      <c r="R1242" t="s">
        <v>370</v>
      </c>
      <c r="S1242" t="s">
        <v>323</v>
      </c>
      <c r="T1242">
        <v>68.400000000000006</v>
      </c>
      <c r="U1242">
        <v>0</v>
      </c>
      <c r="W1242" t="s">
        <v>339</v>
      </c>
    </row>
    <row r="1243" spans="1:25">
      <c r="C1243" t="s">
        <v>325</v>
      </c>
      <c r="D1243" t="s">
        <v>340</v>
      </c>
      <c r="E1243" t="s">
        <v>341</v>
      </c>
      <c r="F1243">
        <v>2</v>
      </c>
      <c r="G1243" s="42">
        <v>45355</v>
      </c>
      <c r="H1243">
        <v>32.934600000000003</v>
      </c>
      <c r="I1243">
        <v>70.455399999999997</v>
      </c>
      <c r="J1243">
        <v>5.8651</v>
      </c>
      <c r="K1243">
        <v>76.320499999999996</v>
      </c>
      <c r="L1243" t="s">
        <v>323</v>
      </c>
      <c r="N1243" s="42">
        <v>45028</v>
      </c>
      <c r="O1243" t="s">
        <v>328</v>
      </c>
      <c r="P1243" s="42">
        <v>45041</v>
      </c>
      <c r="Q1243" t="s">
        <v>333</v>
      </c>
      <c r="R1243" t="s">
        <v>370</v>
      </c>
      <c r="S1243" t="s">
        <v>323</v>
      </c>
      <c r="T1243">
        <v>76</v>
      </c>
      <c r="U1243">
        <v>0</v>
      </c>
      <c r="W1243" t="s">
        <v>339</v>
      </c>
    </row>
    <row r="1244" spans="1:25">
      <c r="C1244" t="s">
        <v>329</v>
      </c>
      <c r="D1244" t="s">
        <v>342</v>
      </c>
      <c r="E1244" t="s">
        <v>343</v>
      </c>
      <c r="F1244">
        <v>1</v>
      </c>
      <c r="G1244" s="42">
        <v>45172</v>
      </c>
      <c r="H1244">
        <v>37.707700000000003</v>
      </c>
      <c r="I1244">
        <v>122.4293</v>
      </c>
      <c r="J1244">
        <v>-0.39639999999999997</v>
      </c>
      <c r="K1244">
        <v>122.0329</v>
      </c>
      <c r="L1244" t="s">
        <v>323</v>
      </c>
      <c r="N1244" s="42">
        <v>45014</v>
      </c>
      <c r="O1244" t="s">
        <v>328</v>
      </c>
      <c r="P1244" s="42">
        <v>45027</v>
      </c>
      <c r="Q1244" t="s">
        <v>333</v>
      </c>
      <c r="R1244" t="s">
        <v>370</v>
      </c>
      <c r="S1244" t="s">
        <v>323</v>
      </c>
      <c r="T1244">
        <v>76</v>
      </c>
      <c r="U1244">
        <v>0</v>
      </c>
      <c r="W1244" t="s">
        <v>339</v>
      </c>
    </row>
    <row r="1245" spans="1:25">
      <c r="N1245" s="42">
        <v>45000</v>
      </c>
      <c r="O1245" t="s">
        <v>328</v>
      </c>
      <c r="P1245" s="42">
        <v>45013</v>
      </c>
      <c r="Q1245" t="s">
        <v>333</v>
      </c>
      <c r="R1245" t="s">
        <v>370</v>
      </c>
      <c r="S1245" t="s">
        <v>323</v>
      </c>
      <c r="T1245">
        <v>76</v>
      </c>
      <c r="U1245">
        <v>0</v>
      </c>
      <c r="W1245" t="s">
        <v>339</v>
      </c>
    </row>
    <row r="1246" spans="1:25">
      <c r="N1246" s="42">
        <v>44986</v>
      </c>
      <c r="O1246" t="s">
        <v>328</v>
      </c>
      <c r="P1246" s="42">
        <v>44999</v>
      </c>
      <c r="Q1246" t="s">
        <v>333</v>
      </c>
      <c r="R1246" t="s">
        <v>370</v>
      </c>
      <c r="S1246" t="s">
        <v>323</v>
      </c>
      <c r="T1246">
        <v>76</v>
      </c>
      <c r="U1246">
        <v>0</v>
      </c>
      <c r="W1246" t="s">
        <v>339</v>
      </c>
    </row>
    <row r="1247" spans="1:25">
      <c r="N1247" s="42">
        <v>44972</v>
      </c>
      <c r="O1247" t="s">
        <v>328</v>
      </c>
      <c r="P1247" s="42">
        <v>44985</v>
      </c>
      <c r="Q1247" t="s">
        <v>333</v>
      </c>
      <c r="R1247" t="s">
        <v>370</v>
      </c>
      <c r="S1247" t="s">
        <v>323</v>
      </c>
      <c r="T1247">
        <v>76</v>
      </c>
      <c r="U1247">
        <v>0</v>
      </c>
      <c r="W1247" t="s">
        <v>339</v>
      </c>
      <c r="Y1247" s="42">
        <v>44985</v>
      </c>
    </row>
    <row r="1248" spans="1:25">
      <c r="N1248" s="42">
        <v>44958</v>
      </c>
      <c r="O1248" t="s">
        <v>328</v>
      </c>
      <c r="P1248" s="42">
        <v>44971</v>
      </c>
      <c r="Q1248" t="s">
        <v>333</v>
      </c>
      <c r="R1248" t="s">
        <v>370</v>
      </c>
      <c r="S1248" t="s">
        <v>323</v>
      </c>
      <c r="T1248">
        <v>76</v>
      </c>
      <c r="U1248">
        <v>0</v>
      </c>
      <c r="W1248" t="s">
        <v>339</v>
      </c>
      <c r="Y1248" s="42">
        <v>44971</v>
      </c>
    </row>
    <row r="1249" spans="14:25">
      <c r="N1249" s="42">
        <v>44944</v>
      </c>
      <c r="O1249" t="s">
        <v>328</v>
      </c>
      <c r="P1249" s="42">
        <v>44957</v>
      </c>
      <c r="Q1249" t="s">
        <v>333</v>
      </c>
      <c r="R1249" t="s">
        <v>370</v>
      </c>
      <c r="S1249" t="s">
        <v>323</v>
      </c>
      <c r="T1249">
        <v>76</v>
      </c>
      <c r="U1249">
        <v>0</v>
      </c>
      <c r="W1249" t="s">
        <v>339</v>
      </c>
      <c r="Y1249" s="42">
        <v>44957</v>
      </c>
    </row>
    <row r="1250" spans="14:25">
      <c r="N1250" s="42">
        <v>44930</v>
      </c>
      <c r="O1250" t="s">
        <v>328</v>
      </c>
      <c r="P1250" s="42">
        <v>44943</v>
      </c>
      <c r="Q1250" t="s">
        <v>333</v>
      </c>
      <c r="R1250" t="s">
        <v>370</v>
      </c>
      <c r="S1250" t="s">
        <v>323</v>
      </c>
      <c r="T1250">
        <v>76</v>
      </c>
      <c r="U1250">
        <v>0</v>
      </c>
      <c r="W1250" t="s">
        <v>339</v>
      </c>
      <c r="Y1250" s="42">
        <v>44943</v>
      </c>
    </row>
    <row r="1251" spans="14:25">
      <c r="N1251" s="42">
        <v>44916</v>
      </c>
      <c r="O1251" t="s">
        <v>328</v>
      </c>
      <c r="P1251" s="42">
        <v>44929</v>
      </c>
      <c r="Q1251" t="s">
        <v>333</v>
      </c>
      <c r="R1251" t="s">
        <v>370</v>
      </c>
      <c r="S1251" t="s">
        <v>323</v>
      </c>
      <c r="T1251">
        <v>76</v>
      </c>
      <c r="U1251">
        <v>0</v>
      </c>
      <c r="W1251" t="s">
        <v>339</v>
      </c>
      <c r="Y1251" s="42">
        <v>44929</v>
      </c>
    </row>
    <row r="1252" spans="14:25">
      <c r="N1252" s="42">
        <v>44902</v>
      </c>
      <c r="O1252" t="s">
        <v>328</v>
      </c>
      <c r="P1252" s="42">
        <v>44915</v>
      </c>
      <c r="Q1252" t="s">
        <v>333</v>
      </c>
      <c r="R1252" t="s">
        <v>370</v>
      </c>
      <c r="S1252" t="s">
        <v>323</v>
      </c>
      <c r="T1252">
        <v>76</v>
      </c>
      <c r="U1252">
        <v>0</v>
      </c>
      <c r="W1252" t="s">
        <v>339</v>
      </c>
      <c r="Y1252" s="42">
        <v>44915</v>
      </c>
    </row>
    <row r="1253" spans="14:25">
      <c r="N1253" s="42">
        <v>44888</v>
      </c>
      <c r="O1253" t="s">
        <v>328</v>
      </c>
      <c r="P1253" s="42">
        <v>44901</v>
      </c>
      <c r="Q1253" t="s">
        <v>333</v>
      </c>
      <c r="R1253" t="s">
        <v>370</v>
      </c>
      <c r="S1253" t="s">
        <v>323</v>
      </c>
      <c r="T1253">
        <v>76</v>
      </c>
      <c r="U1253">
        <v>0</v>
      </c>
      <c r="W1253" t="s">
        <v>339</v>
      </c>
      <c r="Y1253" s="42">
        <v>44901</v>
      </c>
    </row>
    <row r="1254" spans="14:25">
      <c r="N1254" s="42">
        <v>44874</v>
      </c>
      <c r="O1254" t="s">
        <v>328</v>
      </c>
      <c r="P1254" s="42">
        <v>44887</v>
      </c>
      <c r="Q1254" t="s">
        <v>333</v>
      </c>
      <c r="R1254" t="s">
        <v>370</v>
      </c>
      <c r="S1254" t="s">
        <v>323</v>
      </c>
      <c r="T1254">
        <v>76</v>
      </c>
      <c r="U1254">
        <v>0</v>
      </c>
      <c r="W1254" t="s">
        <v>339</v>
      </c>
      <c r="Y1254" s="42">
        <v>44901</v>
      </c>
    </row>
    <row r="1255" spans="14:25">
      <c r="N1255" s="42">
        <v>44872</v>
      </c>
      <c r="O1255" t="s">
        <v>345</v>
      </c>
      <c r="P1255" s="42">
        <v>44873</v>
      </c>
      <c r="Q1255" t="s">
        <v>333</v>
      </c>
      <c r="R1255" t="s">
        <v>370</v>
      </c>
      <c r="S1255" t="s">
        <v>323</v>
      </c>
      <c r="T1255">
        <v>15.2</v>
      </c>
      <c r="U1255">
        <v>0</v>
      </c>
      <c r="W1255" t="s">
        <v>339</v>
      </c>
      <c r="Y1255" s="42">
        <v>44873</v>
      </c>
    </row>
    <row r="1256" spans="14:25">
      <c r="N1256" s="42">
        <v>44865</v>
      </c>
      <c r="O1256" t="s">
        <v>345</v>
      </c>
      <c r="P1256" s="42">
        <v>44869</v>
      </c>
      <c r="Q1256" t="s">
        <v>346</v>
      </c>
      <c r="R1256" t="s">
        <v>320</v>
      </c>
      <c r="S1256" t="s">
        <v>323</v>
      </c>
      <c r="T1256">
        <v>30.4</v>
      </c>
      <c r="U1256">
        <v>7.6</v>
      </c>
      <c r="V1256">
        <v>0</v>
      </c>
      <c r="Y1256" s="42">
        <v>44873</v>
      </c>
    </row>
    <row r="1257" spans="14:25">
      <c r="N1257" s="42">
        <v>44860</v>
      </c>
      <c r="O1257" t="s">
        <v>328</v>
      </c>
      <c r="P1257" s="42">
        <v>44860</v>
      </c>
      <c r="Q1257" t="s">
        <v>328</v>
      </c>
      <c r="R1257" t="s">
        <v>320</v>
      </c>
      <c r="S1257" t="s">
        <v>323</v>
      </c>
      <c r="T1257">
        <v>7.6</v>
      </c>
      <c r="V1257">
        <v>0</v>
      </c>
      <c r="Y1257" s="42">
        <v>44873</v>
      </c>
    </row>
    <row r="1258" spans="14:25">
      <c r="N1258" s="42">
        <v>44827</v>
      </c>
      <c r="O1258" t="s">
        <v>346</v>
      </c>
      <c r="P1258" s="42">
        <v>44827</v>
      </c>
      <c r="Q1258" t="s">
        <v>346</v>
      </c>
      <c r="R1258" t="s">
        <v>320</v>
      </c>
      <c r="S1258" t="s">
        <v>323</v>
      </c>
      <c r="U1258">
        <v>7.6</v>
      </c>
      <c r="Y1258" s="42">
        <v>44831</v>
      </c>
    </row>
    <row r="1259" spans="14:25">
      <c r="N1259" s="42">
        <v>44826</v>
      </c>
      <c r="O1259" t="s">
        <v>324</v>
      </c>
      <c r="P1259" s="42">
        <v>44826</v>
      </c>
      <c r="Q1259" t="s">
        <v>324</v>
      </c>
      <c r="R1259" t="s">
        <v>320</v>
      </c>
      <c r="S1259" t="s">
        <v>323</v>
      </c>
      <c r="U1259">
        <v>7.6</v>
      </c>
      <c r="Y1259" s="42">
        <v>44831</v>
      </c>
    </row>
    <row r="1260" spans="14:25">
      <c r="N1260" s="42">
        <v>44774</v>
      </c>
      <c r="O1260" t="s">
        <v>345</v>
      </c>
      <c r="P1260" s="42">
        <v>44774</v>
      </c>
      <c r="Q1260" t="s">
        <v>345</v>
      </c>
      <c r="R1260" t="s">
        <v>320</v>
      </c>
      <c r="S1260" t="s">
        <v>323</v>
      </c>
      <c r="T1260">
        <v>7.6</v>
      </c>
      <c r="V1260">
        <v>0</v>
      </c>
      <c r="Y1260" s="42">
        <v>44775</v>
      </c>
    </row>
    <row r="1261" spans="14:25">
      <c r="N1261" s="42">
        <v>44753</v>
      </c>
      <c r="O1261" t="s">
        <v>345</v>
      </c>
      <c r="P1261" s="42">
        <v>44753</v>
      </c>
      <c r="Q1261" t="s">
        <v>345</v>
      </c>
      <c r="R1261" t="s">
        <v>320</v>
      </c>
      <c r="S1261" t="s">
        <v>323</v>
      </c>
      <c r="T1261">
        <v>2.5</v>
      </c>
      <c r="V1261">
        <v>0</v>
      </c>
      <c r="Y1261" s="42">
        <v>44761</v>
      </c>
    </row>
    <row r="1262" spans="14:25">
      <c r="N1262" s="42">
        <v>44734</v>
      </c>
      <c r="O1262" t="s">
        <v>328</v>
      </c>
      <c r="P1262" s="42">
        <v>44735</v>
      </c>
      <c r="Q1262" t="s">
        <v>324</v>
      </c>
      <c r="R1262" t="s">
        <v>329</v>
      </c>
      <c r="S1262" t="s">
        <v>323</v>
      </c>
      <c r="T1262">
        <v>15.2</v>
      </c>
      <c r="W1262" t="s">
        <v>339</v>
      </c>
      <c r="Y1262" s="42">
        <v>44747</v>
      </c>
    </row>
    <row r="1263" spans="14:25">
      <c r="N1263" s="42">
        <v>44725</v>
      </c>
      <c r="O1263" t="s">
        <v>345</v>
      </c>
      <c r="P1263" s="42">
        <v>44725</v>
      </c>
      <c r="Q1263" t="s">
        <v>345</v>
      </c>
      <c r="R1263" t="s">
        <v>320</v>
      </c>
      <c r="S1263" t="s">
        <v>323</v>
      </c>
      <c r="U1263">
        <v>7.6</v>
      </c>
      <c r="Y1263" s="42">
        <v>44733</v>
      </c>
    </row>
    <row r="1264" spans="14:25">
      <c r="N1264" s="42">
        <v>44719</v>
      </c>
      <c r="O1264" t="s">
        <v>333</v>
      </c>
      <c r="P1264" s="42">
        <v>44719</v>
      </c>
      <c r="Q1264" t="s">
        <v>333</v>
      </c>
      <c r="R1264" t="s">
        <v>329</v>
      </c>
      <c r="S1264" t="s">
        <v>323</v>
      </c>
      <c r="T1264">
        <v>7.6</v>
      </c>
      <c r="W1264" t="s">
        <v>330</v>
      </c>
      <c r="X1264" t="s">
        <v>330</v>
      </c>
      <c r="Y1264" s="42">
        <v>44719</v>
      </c>
    </row>
    <row r="1265" spans="14:25">
      <c r="N1265" s="42">
        <v>44697</v>
      </c>
      <c r="O1265" t="s">
        <v>345</v>
      </c>
      <c r="P1265" s="42">
        <v>44697</v>
      </c>
      <c r="Q1265" t="s">
        <v>345</v>
      </c>
      <c r="R1265" t="s">
        <v>320</v>
      </c>
      <c r="S1265" t="s">
        <v>323</v>
      </c>
      <c r="T1265">
        <v>2</v>
      </c>
      <c r="V1265">
        <v>0</v>
      </c>
      <c r="Y1265" s="42">
        <v>44705</v>
      </c>
    </row>
    <row r="1266" spans="14:25">
      <c r="N1266" s="42">
        <v>44684</v>
      </c>
      <c r="O1266" t="s">
        <v>333</v>
      </c>
      <c r="P1266" s="42">
        <v>44684</v>
      </c>
      <c r="Q1266" t="s">
        <v>333</v>
      </c>
      <c r="R1266" t="s">
        <v>329</v>
      </c>
      <c r="S1266" t="s">
        <v>323</v>
      </c>
      <c r="T1266">
        <v>7.6</v>
      </c>
      <c r="W1266" t="s">
        <v>339</v>
      </c>
      <c r="Y1266" s="42">
        <v>44705</v>
      </c>
    </row>
    <row r="1267" spans="14:25">
      <c r="N1267" s="42">
        <v>44677</v>
      </c>
      <c r="O1267" t="s">
        <v>333</v>
      </c>
      <c r="P1267" s="42">
        <v>44677</v>
      </c>
      <c r="Q1267" t="s">
        <v>333</v>
      </c>
      <c r="R1267" t="s">
        <v>354</v>
      </c>
      <c r="S1267" t="s">
        <v>323</v>
      </c>
      <c r="T1267">
        <v>7.6</v>
      </c>
      <c r="W1267" t="s">
        <v>339</v>
      </c>
      <c r="Y1267" s="42">
        <v>44677</v>
      </c>
    </row>
    <row r="1268" spans="14:25">
      <c r="N1268" s="42">
        <v>44676</v>
      </c>
      <c r="O1268" t="s">
        <v>345</v>
      </c>
      <c r="P1268" s="42">
        <v>44676</v>
      </c>
      <c r="Q1268" t="s">
        <v>345</v>
      </c>
      <c r="R1268" t="s">
        <v>320</v>
      </c>
      <c r="S1268" t="s">
        <v>323</v>
      </c>
      <c r="U1268">
        <v>7.6</v>
      </c>
      <c r="Y1268" s="42">
        <v>44677</v>
      </c>
    </row>
    <row r="1269" spans="14:25">
      <c r="N1269" s="42">
        <v>44669</v>
      </c>
      <c r="O1269" t="s">
        <v>345</v>
      </c>
      <c r="P1269" s="42">
        <v>44669</v>
      </c>
      <c r="Q1269" t="s">
        <v>345</v>
      </c>
      <c r="R1269" t="s">
        <v>320</v>
      </c>
      <c r="S1269" t="s">
        <v>323</v>
      </c>
      <c r="U1269">
        <v>7.6</v>
      </c>
      <c r="Y1269" s="42">
        <v>44677</v>
      </c>
    </row>
    <row r="1270" spans="14:25">
      <c r="N1270" s="42">
        <v>44666</v>
      </c>
      <c r="O1270" t="s">
        <v>346</v>
      </c>
      <c r="P1270" s="42">
        <v>44666</v>
      </c>
      <c r="Q1270" t="s">
        <v>346</v>
      </c>
      <c r="R1270" t="s">
        <v>320</v>
      </c>
      <c r="S1270" t="s">
        <v>323</v>
      </c>
      <c r="U1270">
        <v>7.6</v>
      </c>
      <c r="Y1270" s="42">
        <v>44677</v>
      </c>
    </row>
    <row r="1271" spans="14:25">
      <c r="N1271" s="42">
        <v>44636</v>
      </c>
      <c r="O1271" t="s">
        <v>328</v>
      </c>
      <c r="P1271" s="42">
        <v>44648</v>
      </c>
      <c r="Q1271" t="s">
        <v>345</v>
      </c>
      <c r="R1271" t="s">
        <v>354</v>
      </c>
      <c r="S1271" t="s">
        <v>323</v>
      </c>
      <c r="T1271">
        <v>68.400000000000006</v>
      </c>
      <c r="U1271">
        <v>0</v>
      </c>
      <c r="W1271" t="s">
        <v>339</v>
      </c>
      <c r="Y1271" s="42">
        <v>44649</v>
      </c>
    </row>
    <row r="1272" spans="14:25">
      <c r="N1272" s="42">
        <v>44634</v>
      </c>
      <c r="O1272" t="s">
        <v>345</v>
      </c>
      <c r="P1272" s="42">
        <v>44634</v>
      </c>
      <c r="Q1272" t="s">
        <v>345</v>
      </c>
      <c r="R1272" t="s">
        <v>320</v>
      </c>
      <c r="S1272" t="s">
        <v>323</v>
      </c>
      <c r="U1272">
        <v>7.6</v>
      </c>
    </row>
    <row r="1273" spans="14:25">
      <c r="N1273" s="42">
        <v>44627</v>
      </c>
      <c r="O1273" t="s">
        <v>345</v>
      </c>
      <c r="P1273" s="42">
        <v>44635</v>
      </c>
      <c r="Q1273" t="s">
        <v>333</v>
      </c>
      <c r="R1273" t="s">
        <v>354</v>
      </c>
      <c r="S1273" t="s">
        <v>323</v>
      </c>
      <c r="T1273">
        <v>45.6</v>
      </c>
      <c r="U1273">
        <v>7.6</v>
      </c>
      <c r="W1273" t="s">
        <v>339</v>
      </c>
      <c r="Y1273" s="42">
        <v>44635</v>
      </c>
    </row>
    <row r="1274" spans="14:25">
      <c r="N1274" s="42">
        <v>44601</v>
      </c>
      <c r="O1274" t="s">
        <v>328</v>
      </c>
      <c r="P1274" s="42">
        <v>44601</v>
      </c>
      <c r="Q1274" t="s">
        <v>328</v>
      </c>
      <c r="R1274" t="s">
        <v>354</v>
      </c>
      <c r="S1274" t="s">
        <v>323</v>
      </c>
      <c r="T1274">
        <v>7.6</v>
      </c>
      <c r="W1274" t="s">
        <v>339</v>
      </c>
      <c r="Y1274" s="42">
        <v>44607</v>
      </c>
    </row>
    <row r="1275" spans="14:25">
      <c r="N1275" s="42">
        <v>44589</v>
      </c>
      <c r="O1275" t="s">
        <v>346</v>
      </c>
      <c r="P1275" s="42">
        <v>44589</v>
      </c>
      <c r="Q1275" t="s">
        <v>346</v>
      </c>
      <c r="R1275" t="s">
        <v>329</v>
      </c>
      <c r="S1275" t="s">
        <v>323</v>
      </c>
      <c r="T1275">
        <v>7.6</v>
      </c>
      <c r="W1275" t="s">
        <v>330</v>
      </c>
      <c r="Y1275" s="42">
        <v>44593</v>
      </c>
    </row>
    <row r="1276" spans="14:25">
      <c r="N1276" s="42">
        <v>44588</v>
      </c>
      <c r="O1276" t="s">
        <v>324</v>
      </c>
      <c r="P1276" s="42">
        <v>44588</v>
      </c>
      <c r="Q1276" t="s">
        <v>324</v>
      </c>
      <c r="R1276" t="s">
        <v>329</v>
      </c>
      <c r="S1276" t="s">
        <v>323</v>
      </c>
      <c r="T1276">
        <v>7.6</v>
      </c>
      <c r="W1276" t="s">
        <v>330</v>
      </c>
      <c r="Y1276" s="42">
        <v>44593</v>
      </c>
    </row>
    <row r="1277" spans="14:25">
      <c r="N1277" s="42">
        <v>44587</v>
      </c>
      <c r="O1277" t="s">
        <v>328</v>
      </c>
      <c r="P1277" s="42">
        <v>44587</v>
      </c>
      <c r="Q1277" t="s">
        <v>328</v>
      </c>
      <c r="R1277" t="s">
        <v>320</v>
      </c>
      <c r="S1277" t="s">
        <v>323</v>
      </c>
      <c r="U1277">
        <v>7.6</v>
      </c>
    </row>
    <row r="1278" spans="14:25">
      <c r="N1278" s="42">
        <v>44564</v>
      </c>
      <c r="O1278" t="s">
        <v>345</v>
      </c>
      <c r="P1278" s="42">
        <v>44564</v>
      </c>
      <c r="Q1278" t="s">
        <v>345</v>
      </c>
      <c r="R1278" t="s">
        <v>320</v>
      </c>
      <c r="S1278" t="s">
        <v>323</v>
      </c>
      <c r="U1278">
        <v>-7.6</v>
      </c>
    </row>
    <row r="1279" spans="14:25">
      <c r="N1279" s="42">
        <v>44564</v>
      </c>
      <c r="O1279" t="s">
        <v>345</v>
      </c>
      <c r="P1279" s="42">
        <v>44564</v>
      </c>
      <c r="Q1279" t="s">
        <v>345</v>
      </c>
      <c r="R1279" t="s">
        <v>320</v>
      </c>
      <c r="S1279" t="s">
        <v>323</v>
      </c>
      <c r="U1279">
        <v>7.6</v>
      </c>
    </row>
    <row r="1280" spans="14:25">
      <c r="N1280" s="42">
        <v>44564</v>
      </c>
      <c r="O1280" t="s">
        <v>345</v>
      </c>
      <c r="P1280" s="42">
        <v>44564</v>
      </c>
      <c r="Q1280" t="s">
        <v>345</v>
      </c>
      <c r="R1280" t="s">
        <v>320</v>
      </c>
      <c r="S1280" t="s">
        <v>323</v>
      </c>
      <c r="U1280">
        <v>7.6</v>
      </c>
      <c r="Y1280" s="42">
        <v>44565</v>
      </c>
    </row>
    <row r="1281" spans="14:25">
      <c r="N1281" s="42">
        <v>44559</v>
      </c>
      <c r="O1281" t="s">
        <v>328</v>
      </c>
      <c r="P1281" s="42">
        <v>44561</v>
      </c>
      <c r="Q1281" t="s">
        <v>346</v>
      </c>
      <c r="R1281" t="s">
        <v>320</v>
      </c>
      <c r="S1281" t="s">
        <v>323</v>
      </c>
      <c r="T1281">
        <v>22.8</v>
      </c>
      <c r="V1281">
        <v>0</v>
      </c>
      <c r="Y1281" s="42">
        <v>44565</v>
      </c>
    </row>
    <row r="1282" spans="14:25">
      <c r="N1282" s="42">
        <v>44558</v>
      </c>
      <c r="O1282" t="s">
        <v>333</v>
      </c>
      <c r="P1282" s="42">
        <v>44558</v>
      </c>
      <c r="Q1282" t="s">
        <v>333</v>
      </c>
      <c r="R1282" t="s">
        <v>320</v>
      </c>
      <c r="S1282" t="s">
        <v>323</v>
      </c>
      <c r="U1282">
        <v>-7.6</v>
      </c>
    </row>
    <row r="1283" spans="14:25">
      <c r="N1283" s="42">
        <v>44558</v>
      </c>
      <c r="O1283" t="s">
        <v>333</v>
      </c>
      <c r="P1283" s="42">
        <v>44558</v>
      </c>
      <c r="Q1283" t="s">
        <v>333</v>
      </c>
      <c r="R1283" t="s">
        <v>320</v>
      </c>
      <c r="S1283" t="s">
        <v>323</v>
      </c>
      <c r="U1283">
        <v>7.6</v>
      </c>
    </row>
    <row r="1284" spans="14:25">
      <c r="N1284" s="42">
        <v>44558</v>
      </c>
      <c r="O1284" t="s">
        <v>333</v>
      </c>
      <c r="P1284" s="42">
        <v>44558</v>
      </c>
      <c r="Q1284" t="s">
        <v>333</v>
      </c>
      <c r="R1284" t="s">
        <v>320</v>
      </c>
      <c r="S1284" t="s">
        <v>323</v>
      </c>
      <c r="U1284">
        <v>7.6</v>
      </c>
      <c r="Y1284" s="42">
        <v>44565</v>
      </c>
    </row>
    <row r="1285" spans="14:25">
      <c r="N1285" s="42">
        <v>44557</v>
      </c>
      <c r="O1285" t="s">
        <v>345</v>
      </c>
      <c r="P1285" s="42">
        <v>44557</v>
      </c>
      <c r="Q1285" t="s">
        <v>345</v>
      </c>
      <c r="R1285" t="s">
        <v>320</v>
      </c>
      <c r="S1285" t="s">
        <v>323</v>
      </c>
      <c r="U1285">
        <v>-7.6</v>
      </c>
    </row>
    <row r="1286" spans="14:25">
      <c r="N1286" s="42">
        <v>44557</v>
      </c>
      <c r="O1286" t="s">
        <v>345</v>
      </c>
      <c r="P1286" s="42">
        <v>44557</v>
      </c>
      <c r="Q1286" t="s">
        <v>345</v>
      </c>
      <c r="R1286" t="s">
        <v>320</v>
      </c>
      <c r="S1286" t="s">
        <v>323</v>
      </c>
      <c r="U1286">
        <v>7.6</v>
      </c>
    </row>
    <row r="1287" spans="14:25">
      <c r="N1287" s="42">
        <v>44557</v>
      </c>
      <c r="O1287" t="s">
        <v>345</v>
      </c>
      <c r="P1287" s="42">
        <v>44557</v>
      </c>
      <c r="Q1287" t="s">
        <v>345</v>
      </c>
      <c r="R1287" t="s">
        <v>320</v>
      </c>
      <c r="S1287" t="s">
        <v>323</v>
      </c>
      <c r="U1287">
        <v>7.6</v>
      </c>
      <c r="Y1287" s="42">
        <v>44565</v>
      </c>
    </row>
    <row r="1288" spans="14:25">
      <c r="N1288" s="42">
        <v>44502</v>
      </c>
      <c r="O1288" t="s">
        <v>333</v>
      </c>
      <c r="P1288" s="42">
        <v>44502</v>
      </c>
      <c r="Q1288" t="s">
        <v>333</v>
      </c>
      <c r="R1288" t="s">
        <v>320</v>
      </c>
      <c r="S1288" t="s">
        <v>323</v>
      </c>
      <c r="U1288">
        <v>7.6</v>
      </c>
    </row>
    <row r="1289" spans="14:25">
      <c r="N1289" s="42">
        <v>44502</v>
      </c>
      <c r="O1289" t="s">
        <v>333</v>
      </c>
      <c r="P1289" s="42">
        <v>44502</v>
      </c>
      <c r="Q1289" t="s">
        <v>333</v>
      </c>
      <c r="R1289" t="s">
        <v>320</v>
      </c>
      <c r="S1289" t="s">
        <v>323</v>
      </c>
      <c r="U1289">
        <v>7.6</v>
      </c>
      <c r="Y1289" s="42">
        <v>44509</v>
      </c>
    </row>
    <row r="1290" spans="14:25">
      <c r="N1290" s="42">
        <v>44463</v>
      </c>
      <c r="O1290" t="s">
        <v>346</v>
      </c>
      <c r="P1290" s="42">
        <v>44463</v>
      </c>
      <c r="Q1290" t="s">
        <v>346</v>
      </c>
      <c r="R1290" t="s">
        <v>320</v>
      </c>
      <c r="S1290" t="s">
        <v>323</v>
      </c>
      <c r="U1290">
        <v>7.6</v>
      </c>
    </row>
    <row r="1291" spans="14:25">
      <c r="N1291" s="42">
        <v>44463</v>
      </c>
      <c r="O1291" t="s">
        <v>346</v>
      </c>
      <c r="P1291" s="42">
        <v>44463</v>
      </c>
      <c r="Q1291" t="s">
        <v>346</v>
      </c>
      <c r="R1291" t="s">
        <v>320</v>
      </c>
      <c r="S1291" t="s">
        <v>323</v>
      </c>
      <c r="U1291">
        <v>7.6</v>
      </c>
      <c r="Y1291" s="42">
        <v>44467</v>
      </c>
    </row>
    <row r="1292" spans="14:25">
      <c r="N1292" s="42">
        <v>44441</v>
      </c>
      <c r="O1292" t="s">
        <v>324</v>
      </c>
      <c r="P1292" s="42">
        <v>44441</v>
      </c>
      <c r="Q1292" t="s">
        <v>324</v>
      </c>
      <c r="R1292" t="s">
        <v>329</v>
      </c>
      <c r="S1292" t="s">
        <v>323</v>
      </c>
      <c r="T1292">
        <v>7.6</v>
      </c>
      <c r="W1292" t="s">
        <v>339</v>
      </c>
      <c r="Y1292" s="42">
        <v>44453</v>
      </c>
    </row>
    <row r="1293" spans="14:25">
      <c r="N1293" s="42">
        <v>44412</v>
      </c>
      <c r="O1293" t="s">
        <v>328</v>
      </c>
      <c r="P1293" s="42">
        <v>44412</v>
      </c>
      <c r="Q1293" t="s">
        <v>328</v>
      </c>
      <c r="R1293" t="s">
        <v>347</v>
      </c>
      <c r="S1293" t="s">
        <v>323</v>
      </c>
      <c r="T1293">
        <v>7.6</v>
      </c>
      <c r="W1293" t="s">
        <v>339</v>
      </c>
      <c r="Y1293" s="42">
        <v>44425</v>
      </c>
    </row>
    <row r="1294" spans="14:25">
      <c r="N1294" s="42">
        <v>44391</v>
      </c>
      <c r="O1294" t="s">
        <v>328</v>
      </c>
      <c r="P1294" s="42">
        <v>44391</v>
      </c>
      <c r="Q1294" t="s">
        <v>328</v>
      </c>
      <c r="R1294" t="s">
        <v>329</v>
      </c>
      <c r="S1294" t="s">
        <v>323</v>
      </c>
      <c r="T1294">
        <v>7.6</v>
      </c>
      <c r="W1294" t="s">
        <v>339</v>
      </c>
      <c r="Y1294" s="42">
        <v>44411</v>
      </c>
    </row>
    <row r="1295" spans="14:25">
      <c r="N1295" s="42">
        <v>44370</v>
      </c>
      <c r="O1295" t="s">
        <v>328</v>
      </c>
      <c r="P1295" s="42">
        <v>44372</v>
      </c>
      <c r="Q1295" t="s">
        <v>346</v>
      </c>
      <c r="R1295" t="s">
        <v>329</v>
      </c>
      <c r="S1295" t="s">
        <v>323</v>
      </c>
      <c r="T1295">
        <v>22.8</v>
      </c>
      <c r="W1295" t="s">
        <v>339</v>
      </c>
      <c r="Y1295" s="42">
        <v>44383</v>
      </c>
    </row>
    <row r="1296" spans="14:25">
      <c r="N1296" s="42">
        <v>44363</v>
      </c>
      <c r="O1296" t="s">
        <v>328</v>
      </c>
      <c r="P1296" s="42">
        <v>44369</v>
      </c>
      <c r="Q1296" t="s">
        <v>333</v>
      </c>
      <c r="R1296" t="s">
        <v>329</v>
      </c>
      <c r="S1296" t="s">
        <v>323</v>
      </c>
      <c r="T1296">
        <v>38</v>
      </c>
      <c r="W1296" t="s">
        <v>339</v>
      </c>
      <c r="Y1296" s="42">
        <v>44369</v>
      </c>
    </row>
    <row r="1297" spans="14:25">
      <c r="N1297" s="42">
        <v>44361</v>
      </c>
      <c r="O1297" t="s">
        <v>345</v>
      </c>
      <c r="P1297" s="42">
        <v>44361</v>
      </c>
      <c r="Q1297" t="s">
        <v>345</v>
      </c>
      <c r="R1297" t="s">
        <v>320</v>
      </c>
      <c r="S1297" t="s">
        <v>323</v>
      </c>
      <c r="U1297">
        <v>7.6</v>
      </c>
      <c r="Y1297" s="42">
        <v>44369</v>
      </c>
    </row>
    <row r="1298" spans="14:25">
      <c r="N1298" s="42">
        <v>44305</v>
      </c>
      <c r="O1298" t="s">
        <v>345</v>
      </c>
      <c r="P1298" s="42">
        <v>44307</v>
      </c>
      <c r="Q1298" t="s">
        <v>328</v>
      </c>
      <c r="R1298" t="s">
        <v>329</v>
      </c>
      <c r="S1298" t="s">
        <v>323</v>
      </c>
      <c r="T1298">
        <v>22.8</v>
      </c>
      <c r="W1298" t="s">
        <v>339</v>
      </c>
      <c r="Y1298" s="42">
        <v>44313</v>
      </c>
    </row>
    <row r="1299" spans="14:25">
      <c r="N1299" s="42">
        <v>44291</v>
      </c>
      <c r="O1299" t="s">
        <v>345</v>
      </c>
      <c r="P1299" s="42">
        <v>44291</v>
      </c>
      <c r="Q1299" t="s">
        <v>345</v>
      </c>
      <c r="R1299" t="s">
        <v>320</v>
      </c>
      <c r="S1299" t="s">
        <v>323</v>
      </c>
      <c r="U1299">
        <v>7.6</v>
      </c>
    </row>
    <row r="1300" spans="14:25">
      <c r="N1300" s="42">
        <v>44288</v>
      </c>
      <c r="O1300" t="s">
        <v>346</v>
      </c>
      <c r="P1300" s="42">
        <v>44288</v>
      </c>
      <c r="Q1300" t="s">
        <v>346</v>
      </c>
      <c r="R1300" t="s">
        <v>320</v>
      </c>
      <c r="S1300" t="s">
        <v>323</v>
      </c>
      <c r="U1300">
        <v>7.6</v>
      </c>
    </row>
    <row r="1301" spans="14:25">
      <c r="N1301" s="42">
        <v>44263</v>
      </c>
      <c r="O1301" t="s">
        <v>345</v>
      </c>
      <c r="P1301" s="42">
        <v>44263</v>
      </c>
      <c r="Q1301" t="s">
        <v>345</v>
      </c>
      <c r="R1301" t="s">
        <v>320</v>
      </c>
      <c r="S1301" t="s">
        <v>323</v>
      </c>
      <c r="U1301">
        <v>7.6</v>
      </c>
    </row>
    <row r="1302" spans="14:25">
      <c r="N1302" s="42">
        <v>44239</v>
      </c>
      <c r="O1302" t="s">
        <v>346</v>
      </c>
      <c r="P1302" s="42">
        <v>44239</v>
      </c>
      <c r="Q1302" t="s">
        <v>346</v>
      </c>
      <c r="R1302" t="s">
        <v>334</v>
      </c>
      <c r="S1302" t="s">
        <v>323</v>
      </c>
      <c r="T1302">
        <v>7.6</v>
      </c>
      <c r="W1302" t="s">
        <v>339</v>
      </c>
      <c r="Y1302" s="42">
        <v>44243</v>
      </c>
    </row>
    <row r="1303" spans="14:25">
      <c r="N1303" s="42">
        <v>44235</v>
      </c>
      <c r="O1303" t="s">
        <v>345</v>
      </c>
      <c r="P1303" s="42">
        <v>44236</v>
      </c>
      <c r="Q1303" t="s">
        <v>333</v>
      </c>
      <c r="R1303" t="s">
        <v>329</v>
      </c>
      <c r="S1303" t="s">
        <v>323</v>
      </c>
      <c r="T1303">
        <v>15.2</v>
      </c>
      <c r="W1303" t="s">
        <v>339</v>
      </c>
      <c r="Y1303" s="42">
        <v>44243</v>
      </c>
    </row>
    <row r="1304" spans="14:25">
      <c r="N1304" s="42">
        <v>44222</v>
      </c>
      <c r="O1304" t="s">
        <v>333</v>
      </c>
      <c r="P1304" s="42">
        <v>44222</v>
      </c>
      <c r="Q1304" t="s">
        <v>333</v>
      </c>
      <c r="R1304" t="s">
        <v>320</v>
      </c>
      <c r="S1304" t="s">
        <v>323</v>
      </c>
      <c r="U1304">
        <v>7.6</v>
      </c>
    </row>
    <row r="1305" spans="14:25">
      <c r="N1305" s="42">
        <v>44209</v>
      </c>
      <c r="O1305" t="s">
        <v>328</v>
      </c>
      <c r="P1305" s="42">
        <v>44214</v>
      </c>
      <c r="Q1305" t="s">
        <v>345</v>
      </c>
      <c r="R1305" t="s">
        <v>320</v>
      </c>
      <c r="S1305" t="s">
        <v>323</v>
      </c>
      <c r="T1305">
        <v>30.4</v>
      </c>
      <c r="Y1305" s="42">
        <v>44215</v>
      </c>
    </row>
    <row r="1306" spans="14:25">
      <c r="N1306" s="42">
        <v>44202</v>
      </c>
      <c r="O1306" t="s">
        <v>328</v>
      </c>
      <c r="P1306" s="42">
        <v>44208</v>
      </c>
      <c r="Q1306" t="s">
        <v>333</v>
      </c>
      <c r="R1306" t="s">
        <v>325</v>
      </c>
      <c r="S1306" t="s">
        <v>323</v>
      </c>
      <c r="T1306">
        <v>19</v>
      </c>
      <c r="V1306">
        <v>0</v>
      </c>
      <c r="Y1306" s="42">
        <v>44215</v>
      </c>
    </row>
    <row r="1307" spans="14:25">
      <c r="N1307" s="42">
        <v>44201</v>
      </c>
      <c r="O1307" t="s">
        <v>333</v>
      </c>
      <c r="P1307" s="42">
        <v>44201</v>
      </c>
      <c r="Q1307" t="s">
        <v>333</v>
      </c>
      <c r="R1307" t="s">
        <v>325</v>
      </c>
      <c r="S1307" t="s">
        <v>323</v>
      </c>
      <c r="T1307">
        <v>3</v>
      </c>
      <c r="V1307">
        <v>0</v>
      </c>
      <c r="Y1307" s="42">
        <v>44201</v>
      </c>
    </row>
    <row r="1308" spans="14:25">
      <c r="N1308" s="42">
        <v>44197</v>
      </c>
      <c r="O1308" t="s">
        <v>346</v>
      </c>
      <c r="P1308" s="42">
        <v>44197</v>
      </c>
      <c r="Q1308" t="s">
        <v>346</v>
      </c>
      <c r="R1308" t="s">
        <v>320</v>
      </c>
      <c r="S1308" t="s">
        <v>323</v>
      </c>
      <c r="U1308">
        <v>7.6</v>
      </c>
    </row>
    <row r="1309" spans="14:25">
      <c r="N1309" s="42">
        <v>44195</v>
      </c>
      <c r="O1309" t="s">
        <v>328</v>
      </c>
      <c r="P1309" s="42">
        <v>44196</v>
      </c>
      <c r="Q1309" t="s">
        <v>324</v>
      </c>
      <c r="R1309" t="s">
        <v>325</v>
      </c>
      <c r="S1309" t="s">
        <v>323</v>
      </c>
      <c r="T1309">
        <v>19</v>
      </c>
      <c r="Y1309" s="42">
        <v>44201</v>
      </c>
    </row>
    <row r="1310" spans="14:25">
      <c r="N1310" s="42">
        <v>44193</v>
      </c>
      <c r="O1310" t="s">
        <v>345</v>
      </c>
      <c r="P1310" s="42">
        <v>44193</v>
      </c>
      <c r="Q1310" t="s">
        <v>345</v>
      </c>
      <c r="R1310" t="s">
        <v>320</v>
      </c>
      <c r="S1310" t="s">
        <v>323</v>
      </c>
      <c r="U1310">
        <v>7.6</v>
      </c>
    </row>
    <row r="1311" spans="14:25">
      <c r="N1311" s="42">
        <v>44190</v>
      </c>
      <c r="O1311" t="s">
        <v>346</v>
      </c>
      <c r="P1311" s="42">
        <v>44190</v>
      </c>
      <c r="Q1311" t="s">
        <v>346</v>
      </c>
      <c r="R1311" t="s">
        <v>320</v>
      </c>
      <c r="S1311" t="s">
        <v>323</v>
      </c>
      <c r="U1311">
        <v>7.6</v>
      </c>
    </row>
    <row r="1312" spans="14:25">
      <c r="N1312" s="42">
        <v>44188</v>
      </c>
      <c r="O1312" t="s">
        <v>328</v>
      </c>
      <c r="P1312" s="42">
        <v>44189</v>
      </c>
      <c r="Q1312" t="s">
        <v>324</v>
      </c>
      <c r="R1312" t="s">
        <v>320</v>
      </c>
      <c r="S1312" t="s">
        <v>323</v>
      </c>
      <c r="T1312">
        <v>19</v>
      </c>
      <c r="Y1312" s="42">
        <v>44201</v>
      </c>
    </row>
    <row r="1313" spans="14:25">
      <c r="N1313" s="42">
        <v>44168</v>
      </c>
      <c r="O1313" t="s">
        <v>324</v>
      </c>
      <c r="P1313" s="42">
        <v>44173</v>
      </c>
      <c r="Q1313" t="s">
        <v>333</v>
      </c>
      <c r="R1313" t="s">
        <v>320</v>
      </c>
      <c r="S1313" t="s">
        <v>323</v>
      </c>
      <c r="T1313">
        <v>16.010000000000002</v>
      </c>
      <c r="Y1313" s="42">
        <v>44187</v>
      </c>
    </row>
    <row r="1314" spans="14:25">
      <c r="N1314" s="42">
        <v>44168</v>
      </c>
      <c r="O1314" t="s">
        <v>324</v>
      </c>
      <c r="P1314" s="42">
        <v>44173</v>
      </c>
      <c r="Q1314" t="s">
        <v>333</v>
      </c>
      <c r="R1314" t="s">
        <v>354</v>
      </c>
      <c r="S1314" t="s">
        <v>323</v>
      </c>
      <c r="T1314">
        <v>-16.010000000000002</v>
      </c>
      <c r="W1314" t="s">
        <v>339</v>
      </c>
      <c r="Y1314" s="42">
        <v>44187</v>
      </c>
    </row>
    <row r="1315" spans="14:25">
      <c r="N1315" s="42">
        <v>44160</v>
      </c>
      <c r="O1315" t="s">
        <v>328</v>
      </c>
      <c r="P1315" s="42">
        <v>44173</v>
      </c>
      <c r="Q1315" t="s">
        <v>333</v>
      </c>
      <c r="R1315" t="s">
        <v>354</v>
      </c>
      <c r="S1315" t="s">
        <v>323</v>
      </c>
      <c r="T1315">
        <v>38</v>
      </c>
      <c r="W1315" t="s">
        <v>339</v>
      </c>
      <c r="Y1315" s="42">
        <v>44173</v>
      </c>
    </row>
    <row r="1316" spans="14:25">
      <c r="N1316" s="42">
        <v>44160</v>
      </c>
      <c r="O1316" t="s">
        <v>328</v>
      </c>
      <c r="P1316" s="42">
        <v>44162</v>
      </c>
      <c r="Q1316" t="s">
        <v>346</v>
      </c>
      <c r="R1316" t="s">
        <v>354</v>
      </c>
      <c r="S1316" t="s">
        <v>323</v>
      </c>
      <c r="T1316">
        <v>0</v>
      </c>
      <c r="U1316">
        <v>0</v>
      </c>
      <c r="W1316" t="s">
        <v>339</v>
      </c>
    </row>
    <row r="1317" spans="14:25">
      <c r="N1317" s="42">
        <v>44146</v>
      </c>
      <c r="O1317" t="s">
        <v>328</v>
      </c>
      <c r="P1317" s="42">
        <v>44159</v>
      </c>
      <c r="Q1317" t="s">
        <v>333</v>
      </c>
      <c r="R1317" t="s">
        <v>354</v>
      </c>
      <c r="S1317" t="s">
        <v>323</v>
      </c>
      <c r="T1317">
        <v>38</v>
      </c>
      <c r="W1317" t="s">
        <v>339</v>
      </c>
      <c r="Y1317" s="42">
        <v>44159</v>
      </c>
    </row>
    <row r="1318" spans="14:25">
      <c r="N1318" s="42">
        <v>44146</v>
      </c>
      <c r="O1318" t="s">
        <v>328</v>
      </c>
      <c r="P1318" s="42">
        <v>44159</v>
      </c>
      <c r="Q1318" t="s">
        <v>333</v>
      </c>
      <c r="R1318" t="s">
        <v>354</v>
      </c>
      <c r="S1318" t="s">
        <v>323</v>
      </c>
      <c r="T1318">
        <v>0</v>
      </c>
      <c r="U1318">
        <v>0</v>
      </c>
      <c r="W1318" t="s">
        <v>339</v>
      </c>
    </row>
    <row r="1319" spans="14:25">
      <c r="N1319" s="42">
        <v>44138</v>
      </c>
      <c r="O1319" t="s">
        <v>333</v>
      </c>
      <c r="P1319" s="42">
        <v>44138</v>
      </c>
      <c r="Q1319" t="s">
        <v>333</v>
      </c>
      <c r="R1319" t="s">
        <v>320</v>
      </c>
      <c r="S1319" t="s">
        <v>323</v>
      </c>
      <c r="U1319">
        <v>7.6</v>
      </c>
    </row>
    <row r="1320" spans="14:25">
      <c r="N1320" s="42">
        <v>44132</v>
      </c>
      <c r="O1320" t="s">
        <v>328</v>
      </c>
      <c r="P1320" s="42">
        <v>44145</v>
      </c>
      <c r="Q1320" t="s">
        <v>333</v>
      </c>
      <c r="R1320" t="s">
        <v>354</v>
      </c>
      <c r="S1320" t="s">
        <v>323</v>
      </c>
      <c r="T1320">
        <v>34.200000000000003</v>
      </c>
      <c r="W1320" t="s">
        <v>339</v>
      </c>
      <c r="Y1320" s="42">
        <v>44145</v>
      </c>
    </row>
    <row r="1321" spans="14:25">
      <c r="N1321" s="42">
        <v>44127</v>
      </c>
      <c r="O1321" t="s">
        <v>346</v>
      </c>
      <c r="P1321" s="42">
        <v>44127</v>
      </c>
      <c r="Q1321" t="s">
        <v>346</v>
      </c>
      <c r="R1321" t="s">
        <v>320</v>
      </c>
      <c r="S1321" t="s">
        <v>323</v>
      </c>
      <c r="U1321">
        <v>7.6</v>
      </c>
    </row>
    <row r="1322" spans="14:25">
      <c r="N1322" s="42">
        <v>44123</v>
      </c>
      <c r="O1322" t="s">
        <v>345</v>
      </c>
      <c r="P1322" s="42">
        <v>44131</v>
      </c>
      <c r="Q1322" t="s">
        <v>333</v>
      </c>
      <c r="R1322" t="s">
        <v>354</v>
      </c>
      <c r="S1322" t="s">
        <v>323</v>
      </c>
      <c r="T1322">
        <v>22.8</v>
      </c>
      <c r="W1322" t="s">
        <v>339</v>
      </c>
      <c r="Y1322" s="42">
        <v>44131</v>
      </c>
    </row>
    <row r="1323" spans="14:25">
      <c r="N1323" s="42">
        <v>44118</v>
      </c>
      <c r="O1323" t="s">
        <v>328</v>
      </c>
      <c r="P1323" s="42">
        <v>44120</v>
      </c>
      <c r="Q1323" t="s">
        <v>346</v>
      </c>
      <c r="R1323" t="s">
        <v>320</v>
      </c>
      <c r="S1323" t="s">
        <v>323</v>
      </c>
      <c r="T1323">
        <v>11.4</v>
      </c>
      <c r="Y1323" s="42">
        <v>44131</v>
      </c>
    </row>
    <row r="1324" spans="14:25">
      <c r="N1324" s="42">
        <v>44115</v>
      </c>
      <c r="O1324" t="s">
        <v>344</v>
      </c>
      <c r="P1324" s="42">
        <v>44117</v>
      </c>
      <c r="Q1324" t="s">
        <v>333</v>
      </c>
      <c r="R1324" t="s">
        <v>320</v>
      </c>
      <c r="S1324" t="s">
        <v>323</v>
      </c>
      <c r="T1324">
        <v>15.2</v>
      </c>
      <c r="U1324">
        <v>0</v>
      </c>
      <c r="V1324">
        <v>0</v>
      </c>
      <c r="Y1324" s="42">
        <v>44117</v>
      </c>
    </row>
    <row r="1325" spans="14:25">
      <c r="N1325" s="42">
        <v>44106</v>
      </c>
      <c r="O1325" t="s">
        <v>346</v>
      </c>
      <c r="P1325" s="42">
        <v>44113</v>
      </c>
      <c r="Q1325" t="s">
        <v>346</v>
      </c>
      <c r="R1325" t="s">
        <v>320</v>
      </c>
      <c r="S1325" t="s">
        <v>323</v>
      </c>
      <c r="T1325">
        <v>45.6</v>
      </c>
      <c r="V1325">
        <v>0</v>
      </c>
      <c r="Y1325" s="42">
        <v>44117</v>
      </c>
    </row>
    <row r="1326" spans="14:25">
      <c r="N1326" s="42">
        <v>44104</v>
      </c>
      <c r="O1326" t="s">
        <v>328</v>
      </c>
      <c r="P1326" s="42">
        <v>44105</v>
      </c>
      <c r="Q1326" t="s">
        <v>324</v>
      </c>
      <c r="R1326" t="s">
        <v>320</v>
      </c>
      <c r="S1326" t="s">
        <v>323</v>
      </c>
      <c r="T1326">
        <v>15.2</v>
      </c>
      <c r="U1326">
        <v>0</v>
      </c>
      <c r="V1326">
        <v>0</v>
      </c>
      <c r="Y1326" s="42">
        <v>44117</v>
      </c>
    </row>
    <row r="1327" spans="14:25">
      <c r="N1327" s="42">
        <v>44099</v>
      </c>
      <c r="O1327" t="s">
        <v>346</v>
      </c>
      <c r="P1327" s="42">
        <v>44103</v>
      </c>
      <c r="Q1327" t="s">
        <v>333</v>
      </c>
      <c r="R1327" t="s">
        <v>320</v>
      </c>
      <c r="S1327" t="s">
        <v>323</v>
      </c>
      <c r="T1327">
        <v>22.8</v>
      </c>
      <c r="U1327">
        <v>0</v>
      </c>
      <c r="V1327">
        <v>0</v>
      </c>
      <c r="Y1327" s="42">
        <v>44103</v>
      </c>
    </row>
    <row r="1328" spans="14:25">
      <c r="N1328" s="42">
        <v>44090</v>
      </c>
      <c r="O1328" t="s">
        <v>328</v>
      </c>
      <c r="P1328" s="42">
        <v>44098</v>
      </c>
      <c r="Q1328" t="s">
        <v>324</v>
      </c>
      <c r="R1328" t="s">
        <v>320</v>
      </c>
      <c r="S1328" t="s">
        <v>323</v>
      </c>
      <c r="T1328">
        <v>53.2</v>
      </c>
      <c r="U1328">
        <v>0</v>
      </c>
      <c r="V1328">
        <v>0</v>
      </c>
      <c r="Y1328" s="42">
        <v>44103</v>
      </c>
    </row>
    <row r="1329" spans="14:25">
      <c r="N1329" s="42">
        <v>44076</v>
      </c>
      <c r="O1329" t="s">
        <v>328</v>
      </c>
      <c r="P1329" s="42">
        <v>44089</v>
      </c>
      <c r="Q1329" t="s">
        <v>333</v>
      </c>
      <c r="R1329" t="s">
        <v>320</v>
      </c>
      <c r="S1329" t="s">
        <v>323</v>
      </c>
      <c r="T1329">
        <v>76</v>
      </c>
      <c r="U1329">
        <v>0</v>
      </c>
      <c r="V1329">
        <v>0</v>
      </c>
      <c r="Y1329" s="42">
        <v>44089</v>
      </c>
    </row>
    <row r="1330" spans="14:25">
      <c r="N1330" s="42">
        <v>44074</v>
      </c>
      <c r="O1330" t="s">
        <v>345</v>
      </c>
      <c r="P1330" s="42">
        <v>44075</v>
      </c>
      <c r="Q1330" t="s">
        <v>333</v>
      </c>
      <c r="R1330" t="s">
        <v>320</v>
      </c>
      <c r="S1330" t="s">
        <v>323</v>
      </c>
      <c r="T1330">
        <v>15.2</v>
      </c>
      <c r="U1330">
        <v>0</v>
      </c>
      <c r="V1330">
        <v>0</v>
      </c>
      <c r="Y1330" s="42">
        <v>44075</v>
      </c>
    </row>
    <row r="1331" spans="14:25">
      <c r="N1331" s="42">
        <v>44062</v>
      </c>
      <c r="O1331" t="s">
        <v>328</v>
      </c>
      <c r="P1331" s="42">
        <v>44071</v>
      </c>
      <c r="Q1331" t="s">
        <v>346</v>
      </c>
      <c r="R1331" t="s">
        <v>325</v>
      </c>
      <c r="S1331" t="s">
        <v>323</v>
      </c>
      <c r="T1331">
        <v>60.8</v>
      </c>
      <c r="U1331">
        <v>0</v>
      </c>
      <c r="V1331">
        <v>0</v>
      </c>
      <c r="Y1331" s="42">
        <v>44075</v>
      </c>
    </row>
    <row r="1332" spans="14:25">
      <c r="N1332" s="42">
        <v>44048</v>
      </c>
      <c r="O1332" t="s">
        <v>328</v>
      </c>
      <c r="P1332" s="42">
        <v>44061</v>
      </c>
      <c r="Q1332" t="s">
        <v>333</v>
      </c>
      <c r="R1332" t="s">
        <v>325</v>
      </c>
      <c r="S1332" t="s">
        <v>323</v>
      </c>
      <c r="T1332">
        <v>76</v>
      </c>
      <c r="U1332">
        <v>0</v>
      </c>
      <c r="V1332">
        <v>0</v>
      </c>
      <c r="Y1332" s="42">
        <v>44061</v>
      </c>
    </row>
    <row r="1333" spans="14:25">
      <c r="N1333" s="42">
        <v>44034</v>
      </c>
      <c r="O1333" t="s">
        <v>328</v>
      </c>
      <c r="P1333" s="42">
        <v>44047</v>
      </c>
      <c r="Q1333" t="s">
        <v>333</v>
      </c>
      <c r="R1333" t="s">
        <v>325</v>
      </c>
      <c r="S1333" t="s">
        <v>323</v>
      </c>
      <c r="T1333">
        <v>76</v>
      </c>
      <c r="U1333">
        <v>0</v>
      </c>
      <c r="V1333">
        <v>0</v>
      </c>
      <c r="Y1333" s="42">
        <v>44047</v>
      </c>
    </row>
    <row r="1334" spans="14:25">
      <c r="N1334" s="42">
        <v>44020</v>
      </c>
      <c r="O1334" t="s">
        <v>328</v>
      </c>
      <c r="P1334" s="42">
        <v>44033</v>
      </c>
      <c r="Q1334" t="s">
        <v>333</v>
      </c>
      <c r="R1334" t="s">
        <v>325</v>
      </c>
      <c r="S1334" t="s">
        <v>323</v>
      </c>
      <c r="T1334">
        <v>76</v>
      </c>
      <c r="U1334">
        <v>0</v>
      </c>
      <c r="V1334">
        <v>0</v>
      </c>
      <c r="Y1334" s="42">
        <v>44033</v>
      </c>
    </row>
    <row r="1335" spans="14:25">
      <c r="N1335" s="42">
        <v>44008</v>
      </c>
      <c r="O1335" t="s">
        <v>346</v>
      </c>
      <c r="P1335" s="42">
        <v>44019</v>
      </c>
      <c r="Q1335" t="s">
        <v>333</v>
      </c>
      <c r="R1335" t="s">
        <v>325</v>
      </c>
      <c r="S1335" t="s">
        <v>323</v>
      </c>
      <c r="T1335">
        <v>60.8</v>
      </c>
      <c r="U1335">
        <v>0</v>
      </c>
      <c r="V1335">
        <v>0</v>
      </c>
      <c r="Y1335" s="42">
        <v>44019</v>
      </c>
    </row>
    <row r="1336" spans="14:25">
      <c r="N1336" s="42">
        <v>43966</v>
      </c>
      <c r="O1336" t="s">
        <v>346</v>
      </c>
      <c r="P1336" s="42">
        <v>43966</v>
      </c>
      <c r="Q1336" t="s">
        <v>346</v>
      </c>
      <c r="R1336" t="s">
        <v>354</v>
      </c>
      <c r="S1336" t="s">
        <v>323</v>
      </c>
      <c r="T1336">
        <v>7.6</v>
      </c>
      <c r="W1336" t="s">
        <v>339</v>
      </c>
      <c r="Y1336" s="42">
        <v>43977</v>
      </c>
    </row>
    <row r="1337" spans="14:25">
      <c r="N1337" s="42">
        <v>43917</v>
      </c>
      <c r="O1337" t="s">
        <v>346</v>
      </c>
      <c r="P1337" s="42">
        <v>43917</v>
      </c>
      <c r="Q1337" t="s">
        <v>346</v>
      </c>
      <c r="R1337" t="s">
        <v>354</v>
      </c>
      <c r="S1337" t="s">
        <v>323</v>
      </c>
      <c r="T1337">
        <v>5.18</v>
      </c>
      <c r="W1337" t="s">
        <v>339</v>
      </c>
      <c r="Y1337" s="42">
        <v>43921</v>
      </c>
    </row>
    <row r="1338" spans="14:25">
      <c r="N1338" s="42">
        <v>43908</v>
      </c>
      <c r="O1338" t="s">
        <v>328</v>
      </c>
      <c r="P1338" s="42">
        <v>43910</v>
      </c>
      <c r="Q1338" t="s">
        <v>346</v>
      </c>
      <c r="R1338" t="s">
        <v>354</v>
      </c>
      <c r="S1338" t="s">
        <v>323</v>
      </c>
      <c r="T1338">
        <v>22.8</v>
      </c>
      <c r="W1338" t="s">
        <v>339</v>
      </c>
      <c r="Y1338" s="42">
        <v>43921</v>
      </c>
    </row>
    <row r="1339" spans="14:25">
      <c r="N1339" s="42">
        <v>43906</v>
      </c>
      <c r="O1339" t="s">
        <v>345</v>
      </c>
      <c r="P1339" s="42">
        <v>43906</v>
      </c>
      <c r="Q1339" t="s">
        <v>345</v>
      </c>
      <c r="R1339" t="s">
        <v>354</v>
      </c>
      <c r="S1339" t="s">
        <v>323</v>
      </c>
      <c r="T1339">
        <v>7.6</v>
      </c>
      <c r="W1339" t="s">
        <v>339</v>
      </c>
      <c r="Y1339" s="42">
        <v>43907</v>
      </c>
    </row>
    <row r="1340" spans="14:25">
      <c r="N1340" s="42">
        <v>43906</v>
      </c>
      <c r="O1340" t="s">
        <v>345</v>
      </c>
      <c r="P1340" s="42">
        <v>43906</v>
      </c>
      <c r="Q1340" t="s">
        <v>345</v>
      </c>
      <c r="R1340" t="s">
        <v>354</v>
      </c>
      <c r="S1340" t="s">
        <v>323</v>
      </c>
      <c r="T1340">
        <v>7.6</v>
      </c>
      <c r="W1340" t="s">
        <v>339</v>
      </c>
      <c r="Y1340" s="42">
        <v>43921</v>
      </c>
    </row>
    <row r="1341" spans="14:25">
      <c r="N1341" s="42">
        <v>43900</v>
      </c>
      <c r="O1341" t="s">
        <v>333</v>
      </c>
      <c r="P1341" s="42">
        <v>43903</v>
      </c>
      <c r="Q1341" t="s">
        <v>346</v>
      </c>
      <c r="R1341" t="s">
        <v>320</v>
      </c>
      <c r="S1341" t="s">
        <v>323</v>
      </c>
      <c r="T1341">
        <v>30.4</v>
      </c>
      <c r="Y1341" s="42">
        <v>43907</v>
      </c>
    </row>
    <row r="1342" spans="14:25">
      <c r="N1342" s="42">
        <v>43874</v>
      </c>
      <c r="O1342" t="s">
        <v>324</v>
      </c>
      <c r="P1342" s="42">
        <v>43874</v>
      </c>
      <c r="Q1342" t="s">
        <v>324</v>
      </c>
      <c r="R1342" t="s">
        <v>354</v>
      </c>
      <c r="S1342" t="s">
        <v>323</v>
      </c>
      <c r="T1342">
        <v>7.6</v>
      </c>
      <c r="W1342" t="s">
        <v>339</v>
      </c>
      <c r="Y1342" s="42">
        <v>43879</v>
      </c>
    </row>
    <row r="1343" spans="14:25">
      <c r="N1343" s="42">
        <v>43831</v>
      </c>
      <c r="O1343" t="s">
        <v>328</v>
      </c>
      <c r="P1343" s="42">
        <v>43831</v>
      </c>
      <c r="Q1343" t="s">
        <v>328</v>
      </c>
      <c r="R1343" t="s">
        <v>320</v>
      </c>
      <c r="S1343" t="s">
        <v>323</v>
      </c>
      <c r="T1343">
        <v>0</v>
      </c>
      <c r="U1343">
        <v>7.6</v>
      </c>
      <c r="Y1343" s="42">
        <v>43837</v>
      </c>
    </row>
    <row r="1344" spans="14:25">
      <c r="N1344" s="42">
        <v>43829</v>
      </c>
      <c r="O1344" t="s">
        <v>345</v>
      </c>
      <c r="P1344" s="42">
        <v>43830</v>
      </c>
      <c r="Q1344" t="s">
        <v>333</v>
      </c>
      <c r="R1344" t="s">
        <v>329</v>
      </c>
      <c r="S1344" t="s">
        <v>323</v>
      </c>
      <c r="T1344">
        <v>15.2</v>
      </c>
      <c r="W1344" t="s">
        <v>339</v>
      </c>
      <c r="Y1344" s="42">
        <v>43837</v>
      </c>
    </row>
    <row r="1345" spans="1:25">
      <c r="N1345" s="42">
        <v>43824</v>
      </c>
      <c r="O1345" t="s">
        <v>328</v>
      </c>
      <c r="P1345" s="42">
        <v>43825</v>
      </c>
      <c r="Q1345" t="s">
        <v>324</v>
      </c>
      <c r="R1345" t="s">
        <v>320</v>
      </c>
      <c r="S1345" t="s">
        <v>323</v>
      </c>
      <c r="T1345">
        <v>0</v>
      </c>
      <c r="U1345">
        <v>15.2</v>
      </c>
      <c r="Y1345" s="42">
        <v>43837</v>
      </c>
    </row>
    <row r="1346" spans="1:25">
      <c r="N1346" s="42">
        <v>43816</v>
      </c>
      <c r="O1346" t="s">
        <v>333</v>
      </c>
      <c r="P1346" s="42">
        <v>43818</v>
      </c>
      <c r="Q1346" t="s">
        <v>324</v>
      </c>
      <c r="R1346" t="s">
        <v>354</v>
      </c>
      <c r="S1346" t="s">
        <v>323</v>
      </c>
      <c r="T1346">
        <v>22.8</v>
      </c>
      <c r="W1346" t="s">
        <v>339</v>
      </c>
      <c r="Y1346" s="42">
        <v>43823</v>
      </c>
    </row>
    <row r="1347" spans="1:25">
      <c r="N1347" s="42">
        <v>43811</v>
      </c>
      <c r="O1347" t="s">
        <v>324</v>
      </c>
      <c r="P1347" s="42">
        <v>43811</v>
      </c>
      <c r="Q1347" t="s">
        <v>324</v>
      </c>
      <c r="R1347" t="s">
        <v>329</v>
      </c>
      <c r="S1347" t="s">
        <v>323</v>
      </c>
      <c r="T1347">
        <v>7.6</v>
      </c>
      <c r="W1347" t="s">
        <v>330</v>
      </c>
      <c r="Y1347" s="42">
        <v>43837</v>
      </c>
    </row>
    <row r="1348" spans="1:25">
      <c r="N1348" s="42">
        <v>43775</v>
      </c>
      <c r="O1348" t="s">
        <v>328</v>
      </c>
      <c r="P1348" s="42">
        <v>43775</v>
      </c>
      <c r="Q1348" t="s">
        <v>328</v>
      </c>
      <c r="R1348" t="s">
        <v>354</v>
      </c>
      <c r="S1348" t="s">
        <v>323</v>
      </c>
      <c r="T1348">
        <v>7.6</v>
      </c>
      <c r="W1348" t="s">
        <v>339</v>
      </c>
      <c r="Y1348" s="42">
        <v>43781</v>
      </c>
    </row>
    <row r="1349" spans="1:25">
      <c r="N1349" s="42">
        <v>43774</v>
      </c>
      <c r="O1349" t="s">
        <v>333</v>
      </c>
      <c r="P1349" s="42">
        <v>43774</v>
      </c>
      <c r="Q1349" t="s">
        <v>333</v>
      </c>
      <c r="R1349" t="s">
        <v>320</v>
      </c>
      <c r="S1349" t="s">
        <v>323</v>
      </c>
      <c r="T1349">
        <v>0</v>
      </c>
      <c r="U1349">
        <v>7.6</v>
      </c>
      <c r="Y1349" s="42">
        <v>43781</v>
      </c>
    </row>
    <row r="1350" spans="1:25">
      <c r="N1350" s="42">
        <v>43760</v>
      </c>
      <c r="O1350" t="s">
        <v>333</v>
      </c>
      <c r="P1350" s="42">
        <v>43760</v>
      </c>
      <c r="Q1350" t="s">
        <v>333</v>
      </c>
      <c r="R1350" t="s">
        <v>354</v>
      </c>
      <c r="S1350" t="s">
        <v>323</v>
      </c>
      <c r="T1350">
        <v>7.6</v>
      </c>
      <c r="W1350" t="s">
        <v>339</v>
      </c>
      <c r="Y1350" s="42">
        <v>43767</v>
      </c>
    </row>
    <row r="1351" spans="1:25">
      <c r="N1351" s="42">
        <v>43711</v>
      </c>
      <c r="O1351" t="s">
        <v>333</v>
      </c>
      <c r="P1351" s="42">
        <v>43711</v>
      </c>
      <c r="Q1351" t="s">
        <v>333</v>
      </c>
      <c r="R1351" t="s">
        <v>354</v>
      </c>
      <c r="S1351" t="s">
        <v>323</v>
      </c>
      <c r="T1351">
        <v>7.6</v>
      </c>
      <c r="W1351" t="s">
        <v>339</v>
      </c>
      <c r="Y1351" s="42">
        <v>43711</v>
      </c>
    </row>
    <row r="1352" spans="1:25">
      <c r="N1352" s="42">
        <v>43699</v>
      </c>
      <c r="O1352" t="s">
        <v>324</v>
      </c>
      <c r="P1352" s="42">
        <v>43699</v>
      </c>
      <c r="Q1352" t="s">
        <v>324</v>
      </c>
      <c r="R1352" t="s">
        <v>329</v>
      </c>
      <c r="S1352" t="s">
        <v>323</v>
      </c>
      <c r="T1352">
        <v>7.6</v>
      </c>
      <c r="W1352" t="s">
        <v>330</v>
      </c>
      <c r="Y1352" s="42">
        <v>43711</v>
      </c>
    </row>
    <row r="1353" spans="1:25">
      <c r="N1353" s="42">
        <v>43693</v>
      </c>
      <c r="O1353" t="s">
        <v>346</v>
      </c>
      <c r="P1353" s="42">
        <v>43693</v>
      </c>
      <c r="Q1353" t="s">
        <v>346</v>
      </c>
      <c r="R1353" t="s">
        <v>320</v>
      </c>
      <c r="S1353" t="s">
        <v>323</v>
      </c>
      <c r="T1353">
        <v>7.6</v>
      </c>
      <c r="Y1353" s="42">
        <v>43697</v>
      </c>
    </row>
    <row r="1354" spans="1:25">
      <c r="N1354" s="42">
        <v>43692</v>
      </c>
      <c r="O1354" t="s">
        <v>324</v>
      </c>
      <c r="P1354" s="42">
        <v>43692</v>
      </c>
      <c r="Q1354" t="s">
        <v>324</v>
      </c>
      <c r="R1354" t="s">
        <v>320</v>
      </c>
      <c r="S1354" t="s">
        <v>323</v>
      </c>
      <c r="T1354">
        <v>7.6</v>
      </c>
      <c r="Y1354" s="42">
        <v>43697</v>
      </c>
    </row>
    <row r="1355" spans="1:25">
      <c r="N1355" s="42">
        <v>43691</v>
      </c>
      <c r="O1355" t="s">
        <v>328</v>
      </c>
      <c r="P1355" s="42">
        <v>43691</v>
      </c>
      <c r="Q1355" t="s">
        <v>328</v>
      </c>
      <c r="R1355" t="s">
        <v>320</v>
      </c>
      <c r="S1355" t="s">
        <v>323</v>
      </c>
      <c r="T1355">
        <v>7.6</v>
      </c>
      <c r="Y1355" s="42">
        <v>43697</v>
      </c>
    </row>
    <row r="1356" spans="1:25">
      <c r="N1356" s="42">
        <v>43690</v>
      </c>
      <c r="O1356" t="s">
        <v>333</v>
      </c>
      <c r="P1356" s="42">
        <v>43690</v>
      </c>
      <c r="Q1356" t="s">
        <v>333</v>
      </c>
      <c r="R1356" t="s">
        <v>320</v>
      </c>
      <c r="S1356" t="s">
        <v>323</v>
      </c>
      <c r="T1356">
        <v>7.6</v>
      </c>
      <c r="Y1356" s="42">
        <v>43697</v>
      </c>
    </row>
    <row r="1357" spans="1:25">
      <c r="N1357" s="42">
        <v>43689</v>
      </c>
      <c r="O1357" t="s">
        <v>345</v>
      </c>
      <c r="P1357" s="42">
        <v>43689</v>
      </c>
      <c r="Q1357" t="s">
        <v>345</v>
      </c>
      <c r="R1357" t="s">
        <v>320</v>
      </c>
      <c r="S1357" t="s">
        <v>323</v>
      </c>
      <c r="T1357">
        <v>7.6</v>
      </c>
      <c r="Y1357" s="42">
        <v>43697</v>
      </c>
    </row>
    <row r="1358" spans="1:25">
      <c r="A1358">
        <v>18442</v>
      </c>
      <c r="B1358" t="s">
        <v>371</v>
      </c>
      <c r="C1358" t="s">
        <v>320</v>
      </c>
      <c r="D1358" t="s">
        <v>336</v>
      </c>
      <c r="E1358" t="s">
        <v>337</v>
      </c>
      <c r="F1358">
        <v>1</v>
      </c>
      <c r="G1358" s="42">
        <v>45014</v>
      </c>
      <c r="H1358">
        <v>152</v>
      </c>
      <c r="I1358">
        <v>47.579300000000003</v>
      </c>
      <c r="J1358">
        <v>141.589</v>
      </c>
      <c r="K1358">
        <v>189.16829999999999</v>
      </c>
      <c r="L1358" t="s">
        <v>323</v>
      </c>
      <c r="M1358" s="43">
        <v>0.50694444444444442</v>
      </c>
      <c r="N1358" s="42">
        <v>44972</v>
      </c>
      <c r="O1358" t="s">
        <v>328</v>
      </c>
      <c r="P1358" s="42">
        <v>44974</v>
      </c>
      <c r="Q1358" t="s">
        <v>346</v>
      </c>
      <c r="R1358" t="s">
        <v>320</v>
      </c>
      <c r="S1358" t="s">
        <v>323</v>
      </c>
      <c r="T1358">
        <v>22.8</v>
      </c>
      <c r="U1358">
        <v>0</v>
      </c>
      <c r="V1358">
        <v>0</v>
      </c>
      <c r="Y1358" s="42">
        <v>44985</v>
      </c>
    </row>
    <row r="1359" spans="1:25">
      <c r="C1359" t="s">
        <v>325</v>
      </c>
      <c r="D1359" t="s">
        <v>366</v>
      </c>
      <c r="E1359" t="s">
        <v>367</v>
      </c>
      <c r="F1359">
        <v>2</v>
      </c>
      <c r="G1359" s="42">
        <v>45029</v>
      </c>
      <c r="H1359">
        <v>32.934600000000003</v>
      </c>
      <c r="I1359">
        <v>167.0153</v>
      </c>
      <c r="J1359">
        <v>29.325299999999999</v>
      </c>
      <c r="K1359">
        <v>196.34059999999999</v>
      </c>
      <c r="L1359" t="s">
        <v>323</v>
      </c>
      <c r="N1359" s="42">
        <v>44963</v>
      </c>
      <c r="O1359" t="s">
        <v>345</v>
      </c>
      <c r="P1359" s="42">
        <v>44971</v>
      </c>
      <c r="Q1359" t="s">
        <v>333</v>
      </c>
      <c r="R1359" t="s">
        <v>320</v>
      </c>
      <c r="S1359" t="s">
        <v>323</v>
      </c>
      <c r="T1359">
        <v>53.2</v>
      </c>
      <c r="U1359">
        <v>0</v>
      </c>
      <c r="V1359">
        <v>0</v>
      </c>
      <c r="Y1359" s="42">
        <v>44971</v>
      </c>
    </row>
    <row r="1360" spans="1:25">
      <c r="C1360" t="s">
        <v>329</v>
      </c>
      <c r="D1360" t="s">
        <v>342</v>
      </c>
      <c r="E1360" t="s">
        <v>343</v>
      </c>
      <c r="F1360">
        <v>1</v>
      </c>
      <c r="G1360" s="42">
        <v>45014</v>
      </c>
      <c r="H1360">
        <v>76</v>
      </c>
      <c r="I1360">
        <v>150.0891</v>
      </c>
      <c r="J1360">
        <v>70.794499999999999</v>
      </c>
      <c r="K1360">
        <v>220.8836</v>
      </c>
      <c r="L1360" t="s">
        <v>323</v>
      </c>
      <c r="N1360" s="42">
        <v>44952</v>
      </c>
      <c r="O1360" t="s">
        <v>324</v>
      </c>
      <c r="P1360" s="42">
        <v>44952</v>
      </c>
      <c r="Q1360" t="s">
        <v>324</v>
      </c>
      <c r="R1360" t="s">
        <v>320</v>
      </c>
      <c r="S1360" t="s">
        <v>323</v>
      </c>
      <c r="U1360">
        <v>7.6</v>
      </c>
      <c r="Y1360" s="42">
        <v>44957</v>
      </c>
    </row>
    <row r="1361" spans="14:25">
      <c r="N1361" s="42">
        <v>44928</v>
      </c>
      <c r="O1361" t="s">
        <v>345</v>
      </c>
      <c r="P1361" s="42">
        <v>44928</v>
      </c>
      <c r="Q1361" t="s">
        <v>345</v>
      </c>
      <c r="R1361" t="s">
        <v>320</v>
      </c>
      <c r="S1361" t="s">
        <v>323</v>
      </c>
      <c r="U1361">
        <v>7.6</v>
      </c>
      <c r="Y1361" s="42">
        <v>44929</v>
      </c>
    </row>
    <row r="1362" spans="14:25">
      <c r="N1362" s="42">
        <v>44922</v>
      </c>
      <c r="O1362" t="s">
        <v>333</v>
      </c>
      <c r="P1362" s="42">
        <v>44922</v>
      </c>
      <c r="Q1362" t="s">
        <v>333</v>
      </c>
      <c r="R1362" t="s">
        <v>320</v>
      </c>
      <c r="S1362" t="s">
        <v>323</v>
      </c>
      <c r="U1362">
        <v>7.6</v>
      </c>
      <c r="Y1362" s="42">
        <v>44929</v>
      </c>
    </row>
    <row r="1363" spans="14:25">
      <c r="N1363" s="42">
        <v>44921</v>
      </c>
      <c r="O1363" t="s">
        <v>345</v>
      </c>
      <c r="P1363" s="42">
        <v>44921</v>
      </c>
      <c r="Q1363" t="s">
        <v>345</v>
      </c>
      <c r="R1363" t="s">
        <v>320</v>
      </c>
      <c r="S1363" t="s">
        <v>323</v>
      </c>
      <c r="U1363">
        <v>7.6</v>
      </c>
      <c r="Y1363" s="42">
        <v>44929</v>
      </c>
    </row>
    <row r="1364" spans="14:25">
      <c r="N1364" s="42">
        <v>44916</v>
      </c>
      <c r="O1364" t="s">
        <v>328</v>
      </c>
      <c r="P1364" s="42">
        <v>44918</v>
      </c>
      <c r="Q1364" t="s">
        <v>346</v>
      </c>
      <c r="R1364" t="s">
        <v>320</v>
      </c>
      <c r="S1364" t="s">
        <v>323</v>
      </c>
      <c r="T1364">
        <v>22.8</v>
      </c>
      <c r="U1364">
        <v>0</v>
      </c>
      <c r="V1364">
        <v>0</v>
      </c>
      <c r="Y1364" s="42">
        <v>44929</v>
      </c>
    </row>
    <row r="1365" spans="14:25">
      <c r="N1365" s="42">
        <v>44914</v>
      </c>
      <c r="O1365" t="s">
        <v>345</v>
      </c>
      <c r="P1365" s="42">
        <v>44915</v>
      </c>
      <c r="Q1365" t="s">
        <v>333</v>
      </c>
      <c r="R1365" t="s">
        <v>320</v>
      </c>
      <c r="S1365" t="s">
        <v>323</v>
      </c>
      <c r="T1365">
        <v>15.2</v>
      </c>
      <c r="U1365">
        <v>0</v>
      </c>
      <c r="V1365">
        <v>0</v>
      </c>
      <c r="Y1365" s="42">
        <v>44915</v>
      </c>
    </row>
    <row r="1366" spans="14:25">
      <c r="N1366" s="42">
        <v>44890</v>
      </c>
      <c r="O1366" t="s">
        <v>346</v>
      </c>
      <c r="P1366" s="42">
        <v>44893</v>
      </c>
      <c r="Q1366" t="s">
        <v>345</v>
      </c>
      <c r="R1366" t="s">
        <v>320</v>
      </c>
      <c r="S1366" t="s">
        <v>323</v>
      </c>
      <c r="T1366">
        <v>15.2</v>
      </c>
      <c r="V1366">
        <v>0</v>
      </c>
      <c r="Y1366" s="42">
        <v>44901</v>
      </c>
    </row>
    <row r="1367" spans="14:25">
      <c r="N1367" s="42">
        <v>44855</v>
      </c>
      <c r="O1367" t="s">
        <v>346</v>
      </c>
      <c r="P1367" s="42">
        <v>44858</v>
      </c>
      <c r="Q1367" t="s">
        <v>345</v>
      </c>
      <c r="R1367" t="s">
        <v>320</v>
      </c>
      <c r="S1367" t="s">
        <v>323</v>
      </c>
      <c r="T1367">
        <v>15.2</v>
      </c>
      <c r="V1367">
        <v>0</v>
      </c>
      <c r="Y1367" s="42">
        <v>44859</v>
      </c>
    </row>
    <row r="1368" spans="14:25">
      <c r="N1368" s="42">
        <v>44830</v>
      </c>
      <c r="O1368" t="s">
        <v>345</v>
      </c>
      <c r="P1368" s="42">
        <v>44830</v>
      </c>
      <c r="Q1368" t="s">
        <v>345</v>
      </c>
      <c r="R1368" t="s">
        <v>320</v>
      </c>
      <c r="S1368" t="s">
        <v>323</v>
      </c>
      <c r="U1368">
        <v>7.6</v>
      </c>
      <c r="Y1368" s="42">
        <v>44831</v>
      </c>
    </row>
    <row r="1369" spans="14:25">
      <c r="N1369" s="42">
        <v>44826</v>
      </c>
      <c r="O1369" t="s">
        <v>324</v>
      </c>
      <c r="P1369" s="42">
        <v>44826</v>
      </c>
      <c r="Q1369" t="s">
        <v>324</v>
      </c>
      <c r="R1369" t="s">
        <v>320</v>
      </c>
      <c r="S1369" t="s">
        <v>323</v>
      </c>
      <c r="U1369">
        <v>7.6</v>
      </c>
      <c r="Y1369" s="42">
        <v>44831</v>
      </c>
    </row>
    <row r="1370" spans="14:25">
      <c r="N1370" s="42">
        <v>44718</v>
      </c>
      <c r="O1370" t="s">
        <v>345</v>
      </c>
      <c r="P1370" s="42">
        <v>44718</v>
      </c>
      <c r="Q1370" t="s">
        <v>345</v>
      </c>
      <c r="R1370" t="s">
        <v>320</v>
      </c>
      <c r="S1370" t="s">
        <v>323</v>
      </c>
      <c r="U1370">
        <v>7.6</v>
      </c>
    </row>
    <row r="1371" spans="14:25">
      <c r="N1371" s="42">
        <v>44706</v>
      </c>
      <c r="O1371" t="s">
        <v>328</v>
      </c>
      <c r="P1371" s="42">
        <v>44715</v>
      </c>
      <c r="Q1371" t="s">
        <v>346</v>
      </c>
      <c r="R1371" t="s">
        <v>325</v>
      </c>
      <c r="S1371" t="s">
        <v>323</v>
      </c>
      <c r="T1371">
        <v>68.400000000000006</v>
      </c>
      <c r="Y1371" s="42">
        <v>44719</v>
      </c>
    </row>
    <row r="1372" spans="14:25">
      <c r="N1372" s="42">
        <v>44692</v>
      </c>
      <c r="O1372" t="s">
        <v>328</v>
      </c>
      <c r="P1372" s="42">
        <v>44705</v>
      </c>
      <c r="Q1372" t="s">
        <v>333</v>
      </c>
      <c r="R1372" t="s">
        <v>325</v>
      </c>
      <c r="S1372" t="s">
        <v>323</v>
      </c>
      <c r="T1372">
        <v>76</v>
      </c>
      <c r="U1372">
        <v>0</v>
      </c>
      <c r="V1372">
        <v>0</v>
      </c>
      <c r="Y1372" s="42">
        <v>44705</v>
      </c>
    </row>
    <row r="1373" spans="14:25">
      <c r="N1373" s="42">
        <v>44678</v>
      </c>
      <c r="O1373" t="s">
        <v>328</v>
      </c>
      <c r="P1373" s="42">
        <v>44691</v>
      </c>
      <c r="Q1373" t="s">
        <v>333</v>
      </c>
      <c r="R1373" t="s">
        <v>325</v>
      </c>
      <c r="S1373" t="s">
        <v>323</v>
      </c>
      <c r="T1373">
        <v>76</v>
      </c>
      <c r="U1373">
        <v>0</v>
      </c>
      <c r="V1373">
        <v>0</v>
      </c>
      <c r="Y1373" s="42">
        <v>44691</v>
      </c>
    </row>
    <row r="1374" spans="14:25">
      <c r="N1374" s="42">
        <v>44677</v>
      </c>
      <c r="O1374" t="s">
        <v>333</v>
      </c>
      <c r="P1374" s="42">
        <v>44677</v>
      </c>
      <c r="Q1374" t="s">
        <v>333</v>
      </c>
      <c r="R1374" t="s">
        <v>325</v>
      </c>
      <c r="S1374" t="s">
        <v>323</v>
      </c>
      <c r="T1374">
        <v>7.6</v>
      </c>
      <c r="U1374">
        <v>0</v>
      </c>
      <c r="V1374">
        <v>0</v>
      </c>
      <c r="Y1374" s="42">
        <v>44677</v>
      </c>
    </row>
    <row r="1375" spans="14:25">
      <c r="N1375" s="42">
        <v>44676</v>
      </c>
      <c r="O1375" t="s">
        <v>345</v>
      </c>
      <c r="P1375" s="42">
        <v>44676</v>
      </c>
      <c r="Q1375" t="s">
        <v>345</v>
      </c>
      <c r="R1375" t="s">
        <v>320</v>
      </c>
      <c r="S1375" t="s">
        <v>323</v>
      </c>
      <c r="U1375">
        <v>7.6</v>
      </c>
      <c r="Y1375" s="42">
        <v>44677</v>
      </c>
    </row>
    <row r="1376" spans="14:25">
      <c r="N1376" s="42">
        <v>44669</v>
      </c>
      <c r="O1376" t="s">
        <v>345</v>
      </c>
      <c r="P1376" s="42">
        <v>44669</v>
      </c>
      <c r="Q1376" t="s">
        <v>345</v>
      </c>
      <c r="R1376" t="s">
        <v>320</v>
      </c>
      <c r="S1376" t="s">
        <v>323</v>
      </c>
      <c r="U1376">
        <v>7.6</v>
      </c>
      <c r="Y1376" s="42">
        <v>44677</v>
      </c>
    </row>
    <row r="1377" spans="14:25">
      <c r="N1377" s="42">
        <v>44666</v>
      </c>
      <c r="O1377" t="s">
        <v>346</v>
      </c>
      <c r="P1377" s="42">
        <v>44666</v>
      </c>
      <c r="Q1377" t="s">
        <v>346</v>
      </c>
      <c r="R1377" t="s">
        <v>320</v>
      </c>
      <c r="S1377" t="s">
        <v>323</v>
      </c>
      <c r="U1377">
        <v>7.6</v>
      </c>
      <c r="Y1377" s="42">
        <v>44677</v>
      </c>
    </row>
    <row r="1378" spans="14:25">
      <c r="N1378" s="42">
        <v>44659</v>
      </c>
      <c r="O1378" t="s">
        <v>346</v>
      </c>
      <c r="P1378" s="42">
        <v>44659</v>
      </c>
      <c r="Q1378" t="s">
        <v>346</v>
      </c>
      <c r="R1378" t="s">
        <v>329</v>
      </c>
      <c r="S1378" t="s">
        <v>323</v>
      </c>
      <c r="T1378">
        <v>7.6</v>
      </c>
      <c r="W1378" t="s">
        <v>339</v>
      </c>
      <c r="Y1378" s="42">
        <v>44677</v>
      </c>
    </row>
    <row r="1379" spans="14:25">
      <c r="N1379" s="42">
        <v>44629</v>
      </c>
      <c r="O1379" t="s">
        <v>328</v>
      </c>
      <c r="P1379" s="42">
        <v>44631</v>
      </c>
      <c r="Q1379" t="s">
        <v>346</v>
      </c>
      <c r="R1379" t="s">
        <v>329</v>
      </c>
      <c r="S1379" t="s">
        <v>323</v>
      </c>
      <c r="T1379">
        <v>22.8</v>
      </c>
      <c r="W1379" t="s">
        <v>330</v>
      </c>
      <c r="X1379" t="s">
        <v>330</v>
      </c>
      <c r="Y1379" s="42">
        <v>44635</v>
      </c>
    </row>
    <row r="1380" spans="14:25">
      <c r="N1380" s="42">
        <v>44627</v>
      </c>
      <c r="O1380" t="s">
        <v>345</v>
      </c>
      <c r="P1380" s="42">
        <v>44627</v>
      </c>
      <c r="Q1380" t="s">
        <v>345</v>
      </c>
      <c r="R1380" t="s">
        <v>320</v>
      </c>
      <c r="S1380" t="s">
        <v>323</v>
      </c>
      <c r="U1380">
        <v>7.6</v>
      </c>
    </row>
    <row r="1381" spans="14:25">
      <c r="N1381" s="42">
        <v>44627</v>
      </c>
      <c r="O1381" t="s">
        <v>345</v>
      </c>
      <c r="P1381" s="42">
        <v>44627</v>
      </c>
      <c r="Q1381" t="s">
        <v>345</v>
      </c>
      <c r="R1381" t="s">
        <v>320</v>
      </c>
      <c r="S1381" t="s">
        <v>323</v>
      </c>
      <c r="U1381">
        <v>7.6</v>
      </c>
      <c r="Y1381" s="42">
        <v>44635</v>
      </c>
    </row>
    <row r="1382" spans="14:25">
      <c r="N1382" s="42">
        <v>44592</v>
      </c>
      <c r="O1382" t="s">
        <v>345</v>
      </c>
      <c r="P1382" s="42">
        <v>44593</v>
      </c>
      <c r="Q1382" t="s">
        <v>333</v>
      </c>
      <c r="R1382" t="s">
        <v>320</v>
      </c>
      <c r="S1382" t="s">
        <v>323</v>
      </c>
      <c r="T1382">
        <v>15.2</v>
      </c>
      <c r="V1382">
        <v>0</v>
      </c>
      <c r="Y1382" s="42">
        <v>44593</v>
      </c>
    </row>
    <row r="1383" spans="14:25">
      <c r="N1383" s="42">
        <v>44587</v>
      </c>
      <c r="O1383" t="s">
        <v>328</v>
      </c>
      <c r="P1383" s="42">
        <v>44587</v>
      </c>
      <c r="Q1383" t="s">
        <v>328</v>
      </c>
      <c r="R1383" t="s">
        <v>320</v>
      </c>
      <c r="S1383" t="s">
        <v>323</v>
      </c>
      <c r="U1383">
        <v>7.6</v>
      </c>
    </row>
    <row r="1384" spans="14:25">
      <c r="N1384" s="42">
        <v>44586</v>
      </c>
      <c r="O1384" t="s">
        <v>333</v>
      </c>
      <c r="P1384" s="42">
        <v>44586</v>
      </c>
      <c r="Q1384" t="s">
        <v>333</v>
      </c>
      <c r="R1384" t="s">
        <v>329</v>
      </c>
      <c r="S1384" t="s">
        <v>323</v>
      </c>
      <c r="T1384">
        <v>7.6</v>
      </c>
      <c r="W1384" t="s">
        <v>330</v>
      </c>
      <c r="X1384" t="s">
        <v>330</v>
      </c>
      <c r="Y1384" s="42">
        <v>44593</v>
      </c>
    </row>
    <row r="1385" spans="14:25">
      <c r="N1385" s="42">
        <v>44564</v>
      </c>
      <c r="O1385" t="s">
        <v>345</v>
      </c>
      <c r="P1385" s="42">
        <v>44564</v>
      </c>
      <c r="Q1385" t="s">
        <v>345</v>
      </c>
      <c r="R1385" t="s">
        <v>320</v>
      </c>
      <c r="S1385" t="s">
        <v>323</v>
      </c>
      <c r="U1385">
        <v>7.6</v>
      </c>
    </row>
    <row r="1386" spans="14:25">
      <c r="N1386" s="42">
        <v>44564</v>
      </c>
      <c r="O1386" t="s">
        <v>345</v>
      </c>
      <c r="P1386" s="42">
        <v>44564</v>
      </c>
      <c r="Q1386" t="s">
        <v>345</v>
      </c>
      <c r="R1386" t="s">
        <v>320</v>
      </c>
      <c r="S1386" t="s">
        <v>323</v>
      </c>
      <c r="U1386">
        <v>7.6</v>
      </c>
      <c r="Y1386" s="42">
        <v>44565</v>
      </c>
    </row>
    <row r="1387" spans="14:25">
      <c r="N1387" s="42">
        <v>44558</v>
      </c>
      <c r="O1387" t="s">
        <v>333</v>
      </c>
      <c r="P1387" s="42">
        <v>44558</v>
      </c>
      <c r="Q1387" t="s">
        <v>333</v>
      </c>
      <c r="R1387" t="s">
        <v>320</v>
      </c>
      <c r="S1387" t="s">
        <v>323</v>
      </c>
      <c r="U1387">
        <v>7.6</v>
      </c>
    </row>
    <row r="1388" spans="14:25">
      <c r="N1388" s="42">
        <v>44558</v>
      </c>
      <c r="O1388" t="s">
        <v>333</v>
      </c>
      <c r="P1388" s="42">
        <v>44558</v>
      </c>
      <c r="Q1388" t="s">
        <v>333</v>
      </c>
      <c r="R1388" t="s">
        <v>320</v>
      </c>
      <c r="S1388" t="s">
        <v>323</v>
      </c>
      <c r="U1388">
        <v>7.6</v>
      </c>
      <c r="Y1388" s="42">
        <v>44565</v>
      </c>
    </row>
    <row r="1389" spans="14:25">
      <c r="N1389" s="42">
        <v>44557</v>
      </c>
      <c r="O1389" t="s">
        <v>345</v>
      </c>
      <c r="P1389" s="42">
        <v>44557</v>
      </c>
      <c r="Q1389" t="s">
        <v>345</v>
      </c>
      <c r="R1389" t="s">
        <v>320</v>
      </c>
      <c r="S1389" t="s">
        <v>323</v>
      </c>
      <c r="U1389">
        <v>7.6</v>
      </c>
    </row>
    <row r="1390" spans="14:25">
      <c r="N1390" s="42">
        <v>44557</v>
      </c>
      <c r="O1390" t="s">
        <v>345</v>
      </c>
      <c r="P1390" s="42">
        <v>44557</v>
      </c>
      <c r="Q1390" t="s">
        <v>345</v>
      </c>
      <c r="R1390" t="s">
        <v>320</v>
      </c>
      <c r="S1390" t="s">
        <v>323</v>
      </c>
      <c r="U1390">
        <v>7.6</v>
      </c>
      <c r="Y1390" s="42">
        <v>44565</v>
      </c>
    </row>
    <row r="1391" spans="14:25">
      <c r="N1391" s="42">
        <v>44543</v>
      </c>
      <c r="O1391" t="s">
        <v>345</v>
      </c>
      <c r="P1391" s="42">
        <v>44547</v>
      </c>
      <c r="Q1391" t="s">
        <v>346</v>
      </c>
      <c r="R1391" t="s">
        <v>320</v>
      </c>
      <c r="S1391" t="s">
        <v>323</v>
      </c>
      <c r="T1391">
        <v>38</v>
      </c>
      <c r="V1391">
        <v>0</v>
      </c>
      <c r="Y1391" s="42">
        <v>44551</v>
      </c>
    </row>
    <row r="1392" spans="14:25">
      <c r="N1392" s="42">
        <v>44538</v>
      </c>
      <c r="O1392" t="s">
        <v>328</v>
      </c>
      <c r="P1392" s="42">
        <v>44540</v>
      </c>
      <c r="Q1392" t="s">
        <v>346</v>
      </c>
      <c r="R1392" t="s">
        <v>338</v>
      </c>
      <c r="S1392" t="s">
        <v>323</v>
      </c>
      <c r="T1392">
        <v>22.8</v>
      </c>
      <c r="U1392">
        <v>0</v>
      </c>
      <c r="W1392" t="s">
        <v>339</v>
      </c>
      <c r="Y1392" s="42">
        <v>44551</v>
      </c>
    </row>
    <row r="1393" spans="14:25">
      <c r="N1393" s="42">
        <v>44529</v>
      </c>
      <c r="O1393" t="s">
        <v>345</v>
      </c>
      <c r="P1393" s="42">
        <v>44537</v>
      </c>
      <c r="Q1393" t="s">
        <v>333</v>
      </c>
      <c r="R1393" t="s">
        <v>338</v>
      </c>
      <c r="S1393" t="s">
        <v>323</v>
      </c>
      <c r="T1393">
        <v>53.2</v>
      </c>
      <c r="U1393">
        <v>0</v>
      </c>
      <c r="W1393" t="s">
        <v>339</v>
      </c>
      <c r="Y1393" s="42">
        <v>44537</v>
      </c>
    </row>
    <row r="1394" spans="14:25">
      <c r="N1394" s="42">
        <v>44515</v>
      </c>
      <c r="O1394" t="s">
        <v>345</v>
      </c>
      <c r="P1394" s="42">
        <v>44515</v>
      </c>
      <c r="Q1394" t="s">
        <v>345</v>
      </c>
      <c r="R1394" t="s">
        <v>329</v>
      </c>
      <c r="S1394" t="s">
        <v>323</v>
      </c>
      <c r="T1394">
        <v>7.6</v>
      </c>
      <c r="W1394" t="s">
        <v>330</v>
      </c>
      <c r="X1394" t="s">
        <v>330</v>
      </c>
      <c r="Y1394" s="42">
        <v>44523</v>
      </c>
    </row>
    <row r="1395" spans="14:25">
      <c r="N1395" s="42">
        <v>44502</v>
      </c>
      <c r="O1395" t="s">
        <v>333</v>
      </c>
      <c r="P1395" s="42">
        <v>44502</v>
      </c>
      <c r="Q1395" t="s">
        <v>333</v>
      </c>
      <c r="R1395" t="s">
        <v>329</v>
      </c>
      <c r="S1395" t="s">
        <v>323</v>
      </c>
      <c r="T1395">
        <v>7.6</v>
      </c>
      <c r="W1395" t="s">
        <v>339</v>
      </c>
      <c r="Y1395" s="42">
        <v>44509</v>
      </c>
    </row>
    <row r="1396" spans="14:25">
      <c r="N1396" s="42">
        <v>44466</v>
      </c>
      <c r="O1396" t="s">
        <v>345</v>
      </c>
      <c r="P1396" s="42">
        <v>44466</v>
      </c>
      <c r="Q1396" t="s">
        <v>345</v>
      </c>
      <c r="R1396" t="s">
        <v>320</v>
      </c>
      <c r="S1396" t="s">
        <v>323</v>
      </c>
      <c r="U1396">
        <v>7.6</v>
      </c>
      <c r="Y1396" s="42">
        <v>44467</v>
      </c>
    </row>
    <row r="1397" spans="14:25">
      <c r="N1397" s="42">
        <v>44428</v>
      </c>
      <c r="O1397" t="s">
        <v>346</v>
      </c>
      <c r="P1397" s="42">
        <v>44428</v>
      </c>
      <c r="Q1397" t="s">
        <v>346</v>
      </c>
      <c r="R1397" t="s">
        <v>329</v>
      </c>
      <c r="S1397" t="s">
        <v>323</v>
      </c>
      <c r="T1397">
        <v>7.6</v>
      </c>
      <c r="W1397" t="s">
        <v>339</v>
      </c>
      <c r="Y1397" s="42">
        <v>44439</v>
      </c>
    </row>
    <row r="1398" spans="14:25">
      <c r="N1398" s="42">
        <v>44354</v>
      </c>
      <c r="O1398" t="s">
        <v>345</v>
      </c>
      <c r="P1398" s="42">
        <v>44354</v>
      </c>
      <c r="Q1398" t="s">
        <v>345</v>
      </c>
      <c r="R1398" t="s">
        <v>320</v>
      </c>
      <c r="S1398" t="s">
        <v>323</v>
      </c>
      <c r="U1398">
        <v>7.6</v>
      </c>
      <c r="Y1398" s="42">
        <v>44355</v>
      </c>
    </row>
    <row r="1399" spans="14:25">
      <c r="N1399" s="42">
        <v>44336</v>
      </c>
      <c r="O1399" t="s">
        <v>324</v>
      </c>
      <c r="P1399" s="42">
        <v>44337</v>
      </c>
      <c r="Q1399" t="s">
        <v>346</v>
      </c>
      <c r="R1399" t="s">
        <v>329</v>
      </c>
      <c r="S1399" t="s">
        <v>323</v>
      </c>
      <c r="T1399">
        <v>15.2</v>
      </c>
      <c r="W1399" t="s">
        <v>339</v>
      </c>
      <c r="Y1399" s="42">
        <v>44341</v>
      </c>
    </row>
    <row r="1400" spans="14:25">
      <c r="N1400" s="42">
        <v>44314</v>
      </c>
      <c r="O1400" t="s">
        <v>328</v>
      </c>
      <c r="P1400" s="42">
        <v>44316</v>
      </c>
      <c r="Q1400" t="s">
        <v>346</v>
      </c>
      <c r="R1400" t="s">
        <v>320</v>
      </c>
      <c r="S1400" t="s">
        <v>323</v>
      </c>
      <c r="T1400">
        <v>22.8</v>
      </c>
      <c r="U1400">
        <v>0</v>
      </c>
      <c r="V1400">
        <v>0</v>
      </c>
      <c r="Y1400" s="42">
        <v>44327</v>
      </c>
    </row>
    <row r="1401" spans="14:25">
      <c r="N1401" s="42">
        <v>44313</v>
      </c>
      <c r="O1401" t="s">
        <v>333</v>
      </c>
      <c r="P1401" s="42">
        <v>44313</v>
      </c>
      <c r="Q1401" t="s">
        <v>333</v>
      </c>
      <c r="R1401" t="s">
        <v>320</v>
      </c>
      <c r="S1401" t="s">
        <v>323</v>
      </c>
      <c r="T1401">
        <v>7.6</v>
      </c>
      <c r="U1401">
        <v>0</v>
      </c>
      <c r="V1401">
        <v>0</v>
      </c>
      <c r="Y1401" s="42">
        <v>44313</v>
      </c>
    </row>
    <row r="1402" spans="14:25">
      <c r="N1402" s="42">
        <v>44312</v>
      </c>
      <c r="O1402" t="s">
        <v>345</v>
      </c>
      <c r="P1402" s="42">
        <v>44312</v>
      </c>
      <c r="Q1402" t="s">
        <v>345</v>
      </c>
      <c r="R1402" t="s">
        <v>320</v>
      </c>
      <c r="S1402" t="s">
        <v>323</v>
      </c>
      <c r="U1402">
        <v>7.6</v>
      </c>
      <c r="Y1402" s="42">
        <v>44313</v>
      </c>
    </row>
    <row r="1403" spans="14:25">
      <c r="N1403" s="42">
        <v>44291</v>
      </c>
      <c r="O1403" t="s">
        <v>345</v>
      </c>
      <c r="P1403" s="42">
        <v>44291</v>
      </c>
      <c r="Q1403" t="s">
        <v>345</v>
      </c>
      <c r="R1403" t="s">
        <v>320</v>
      </c>
      <c r="S1403" t="s">
        <v>323</v>
      </c>
      <c r="U1403">
        <v>7.6</v>
      </c>
    </row>
    <row r="1404" spans="14:25">
      <c r="N1404" s="42">
        <v>44288</v>
      </c>
      <c r="O1404" t="s">
        <v>346</v>
      </c>
      <c r="P1404" s="42">
        <v>44288</v>
      </c>
      <c r="Q1404" t="s">
        <v>346</v>
      </c>
      <c r="R1404" t="s">
        <v>320</v>
      </c>
      <c r="S1404" t="s">
        <v>323</v>
      </c>
      <c r="U1404">
        <v>7.6</v>
      </c>
    </row>
    <row r="1405" spans="14:25">
      <c r="N1405" s="42">
        <v>44256</v>
      </c>
      <c r="O1405" t="s">
        <v>345</v>
      </c>
      <c r="P1405" s="42">
        <v>44256</v>
      </c>
      <c r="Q1405" t="s">
        <v>345</v>
      </c>
      <c r="R1405" t="s">
        <v>320</v>
      </c>
      <c r="S1405" t="s">
        <v>323</v>
      </c>
      <c r="U1405">
        <v>7.6</v>
      </c>
      <c r="Y1405" s="42">
        <v>44257</v>
      </c>
    </row>
    <row r="1406" spans="14:25">
      <c r="N1406" s="42">
        <v>44222</v>
      </c>
      <c r="O1406" t="s">
        <v>333</v>
      </c>
      <c r="P1406" s="42">
        <v>44222</v>
      </c>
      <c r="Q1406" t="s">
        <v>333</v>
      </c>
      <c r="R1406" t="s">
        <v>320</v>
      </c>
      <c r="S1406" t="s">
        <v>323</v>
      </c>
      <c r="U1406">
        <v>7.6</v>
      </c>
    </row>
    <row r="1407" spans="14:25">
      <c r="N1407" s="42">
        <v>44197</v>
      </c>
      <c r="O1407" t="s">
        <v>346</v>
      </c>
      <c r="P1407" s="42">
        <v>44197</v>
      </c>
      <c r="Q1407" t="s">
        <v>346</v>
      </c>
      <c r="R1407" t="s">
        <v>320</v>
      </c>
      <c r="S1407" t="s">
        <v>323</v>
      </c>
      <c r="U1407">
        <v>7.6</v>
      </c>
    </row>
    <row r="1408" spans="14:25">
      <c r="N1408" s="42">
        <v>44193</v>
      </c>
      <c r="O1408" t="s">
        <v>345</v>
      </c>
      <c r="P1408" s="42">
        <v>44193</v>
      </c>
      <c r="Q1408" t="s">
        <v>345</v>
      </c>
      <c r="R1408" t="s">
        <v>320</v>
      </c>
      <c r="S1408" t="s">
        <v>323</v>
      </c>
      <c r="U1408">
        <v>7.6</v>
      </c>
    </row>
    <row r="1409" spans="14:25">
      <c r="N1409" s="42">
        <v>44190</v>
      </c>
      <c r="O1409" t="s">
        <v>346</v>
      </c>
      <c r="P1409" s="42">
        <v>44190</v>
      </c>
      <c r="Q1409" t="s">
        <v>346</v>
      </c>
      <c r="R1409" t="s">
        <v>320</v>
      </c>
      <c r="S1409" t="s">
        <v>323</v>
      </c>
      <c r="U1409">
        <v>7.6</v>
      </c>
    </row>
    <row r="1410" spans="14:25">
      <c r="N1410" s="42">
        <v>44186</v>
      </c>
      <c r="O1410" t="s">
        <v>345</v>
      </c>
      <c r="P1410" s="42">
        <v>44187</v>
      </c>
      <c r="Q1410" t="s">
        <v>333</v>
      </c>
      <c r="R1410" t="s">
        <v>320</v>
      </c>
      <c r="S1410" t="s">
        <v>323</v>
      </c>
      <c r="T1410">
        <v>15.2</v>
      </c>
      <c r="V1410">
        <v>0</v>
      </c>
      <c r="Y1410" s="42">
        <v>44187</v>
      </c>
    </row>
    <row r="1411" spans="14:25">
      <c r="N1411" s="42">
        <v>44162</v>
      </c>
      <c r="O1411" t="s">
        <v>346</v>
      </c>
      <c r="P1411" s="42">
        <v>44162</v>
      </c>
      <c r="Q1411" t="s">
        <v>346</v>
      </c>
      <c r="R1411" t="s">
        <v>320</v>
      </c>
      <c r="S1411" t="s">
        <v>323</v>
      </c>
      <c r="T1411">
        <v>7.6</v>
      </c>
      <c r="Y1411" s="42">
        <v>44173</v>
      </c>
    </row>
    <row r="1412" spans="14:25">
      <c r="N1412" s="42">
        <v>44161</v>
      </c>
      <c r="O1412" t="s">
        <v>324</v>
      </c>
      <c r="P1412" s="42">
        <v>44161</v>
      </c>
      <c r="Q1412" t="s">
        <v>324</v>
      </c>
      <c r="R1412" t="s">
        <v>320</v>
      </c>
      <c r="S1412" t="s">
        <v>323</v>
      </c>
      <c r="T1412">
        <v>7.6</v>
      </c>
      <c r="Y1412" s="42">
        <v>44173</v>
      </c>
    </row>
    <row r="1413" spans="14:25">
      <c r="N1413" s="42">
        <v>44160</v>
      </c>
      <c r="O1413" t="s">
        <v>328</v>
      </c>
      <c r="P1413" s="42">
        <v>44160</v>
      </c>
      <c r="Q1413" t="s">
        <v>328</v>
      </c>
      <c r="R1413" t="s">
        <v>320</v>
      </c>
      <c r="S1413" t="s">
        <v>323</v>
      </c>
      <c r="T1413">
        <v>7.6</v>
      </c>
      <c r="Y1413" s="42">
        <v>44173</v>
      </c>
    </row>
    <row r="1414" spans="14:25">
      <c r="N1414" s="42">
        <v>44102</v>
      </c>
      <c r="O1414" t="s">
        <v>345</v>
      </c>
      <c r="P1414" s="42">
        <v>44102</v>
      </c>
      <c r="Q1414" t="s">
        <v>345</v>
      </c>
      <c r="R1414" t="s">
        <v>320</v>
      </c>
      <c r="S1414" t="s">
        <v>323</v>
      </c>
      <c r="U1414">
        <v>7.6</v>
      </c>
    </row>
    <row r="1415" spans="14:25">
      <c r="N1415" s="42">
        <v>44097</v>
      </c>
      <c r="O1415" t="s">
        <v>328</v>
      </c>
      <c r="P1415" s="42">
        <v>44097</v>
      </c>
      <c r="Q1415" t="s">
        <v>328</v>
      </c>
      <c r="R1415" t="s">
        <v>329</v>
      </c>
      <c r="S1415" t="s">
        <v>323</v>
      </c>
      <c r="T1415">
        <v>7.6</v>
      </c>
      <c r="W1415" t="s">
        <v>339</v>
      </c>
      <c r="Y1415" s="42">
        <v>44103</v>
      </c>
    </row>
    <row r="1416" spans="14:25">
      <c r="N1416" s="42">
        <v>44067</v>
      </c>
      <c r="O1416" t="s">
        <v>345</v>
      </c>
      <c r="P1416" s="42">
        <v>44071</v>
      </c>
      <c r="Q1416" t="s">
        <v>346</v>
      </c>
      <c r="R1416" t="s">
        <v>320</v>
      </c>
      <c r="S1416" t="s">
        <v>323</v>
      </c>
      <c r="T1416">
        <v>38</v>
      </c>
      <c r="V1416">
        <v>0</v>
      </c>
      <c r="Y1416" s="42">
        <v>44075</v>
      </c>
    </row>
    <row r="1417" spans="14:25">
      <c r="N1417" s="42">
        <v>44034</v>
      </c>
      <c r="O1417" t="s">
        <v>328</v>
      </c>
      <c r="P1417" s="42">
        <v>44035</v>
      </c>
      <c r="Q1417" t="s">
        <v>324</v>
      </c>
      <c r="R1417" t="s">
        <v>329</v>
      </c>
      <c r="S1417" t="s">
        <v>323</v>
      </c>
      <c r="T1417">
        <v>15.2</v>
      </c>
      <c r="W1417" t="s">
        <v>330</v>
      </c>
      <c r="X1417" t="s">
        <v>330</v>
      </c>
      <c r="Y1417" s="42">
        <v>44047</v>
      </c>
    </row>
    <row r="1418" spans="14:25">
      <c r="N1418" s="42">
        <v>43914</v>
      </c>
      <c r="O1418" t="s">
        <v>333</v>
      </c>
      <c r="P1418" s="42">
        <v>43914</v>
      </c>
      <c r="Q1418" t="s">
        <v>333</v>
      </c>
      <c r="R1418" t="s">
        <v>329</v>
      </c>
      <c r="S1418" t="s">
        <v>323</v>
      </c>
      <c r="T1418">
        <v>7.6</v>
      </c>
      <c r="W1418" t="s">
        <v>330</v>
      </c>
      <c r="Y1418" s="42">
        <v>43921</v>
      </c>
    </row>
    <row r="1419" spans="14:25">
      <c r="N1419" s="42">
        <v>43899</v>
      </c>
      <c r="O1419" t="s">
        <v>345</v>
      </c>
      <c r="P1419" s="42">
        <v>43899</v>
      </c>
      <c r="Q1419" t="s">
        <v>345</v>
      </c>
      <c r="R1419" t="s">
        <v>329</v>
      </c>
      <c r="S1419" t="s">
        <v>323</v>
      </c>
      <c r="T1419">
        <v>7.6</v>
      </c>
      <c r="W1419" t="s">
        <v>330</v>
      </c>
      <c r="Y1419" s="42">
        <v>43907</v>
      </c>
    </row>
    <row r="1420" spans="14:25">
      <c r="N1420" s="42">
        <v>43852</v>
      </c>
      <c r="O1420" t="s">
        <v>328</v>
      </c>
      <c r="P1420" s="42">
        <v>43854</v>
      </c>
      <c r="Q1420" t="s">
        <v>346</v>
      </c>
      <c r="R1420" t="s">
        <v>320</v>
      </c>
      <c r="S1420" t="s">
        <v>323</v>
      </c>
      <c r="T1420">
        <v>22.8</v>
      </c>
      <c r="U1420">
        <v>0</v>
      </c>
      <c r="V1420">
        <v>0</v>
      </c>
      <c r="Y1420" s="42">
        <v>43865</v>
      </c>
    </row>
    <row r="1421" spans="14:25">
      <c r="N1421" s="42">
        <v>43850</v>
      </c>
      <c r="O1421" t="s">
        <v>345</v>
      </c>
      <c r="P1421" s="42">
        <v>43851</v>
      </c>
      <c r="Q1421" t="s">
        <v>333</v>
      </c>
      <c r="R1421" t="s">
        <v>320</v>
      </c>
      <c r="S1421" t="s">
        <v>323</v>
      </c>
      <c r="T1421">
        <v>15.2</v>
      </c>
      <c r="U1421">
        <v>0</v>
      </c>
      <c r="V1421">
        <v>0</v>
      </c>
      <c r="Y1421" s="42">
        <v>43851</v>
      </c>
    </row>
    <row r="1422" spans="14:25">
      <c r="N1422" s="42">
        <v>43843</v>
      </c>
      <c r="O1422" t="s">
        <v>345</v>
      </c>
      <c r="P1422" s="42">
        <v>43844</v>
      </c>
      <c r="Q1422" t="s">
        <v>333</v>
      </c>
      <c r="R1422" t="s">
        <v>329</v>
      </c>
      <c r="S1422" t="s">
        <v>323</v>
      </c>
      <c r="T1422">
        <v>15.2</v>
      </c>
      <c r="W1422" t="s">
        <v>330</v>
      </c>
      <c r="X1422" t="s">
        <v>330</v>
      </c>
      <c r="Y1422" s="42">
        <v>43851</v>
      </c>
    </row>
    <row r="1423" spans="14:25">
      <c r="N1423" s="42">
        <v>43831</v>
      </c>
      <c r="O1423" t="s">
        <v>328</v>
      </c>
      <c r="P1423" s="42">
        <v>43831</v>
      </c>
      <c r="Q1423" t="s">
        <v>328</v>
      </c>
      <c r="R1423" t="s">
        <v>320</v>
      </c>
      <c r="S1423" t="s">
        <v>323</v>
      </c>
      <c r="T1423">
        <v>0</v>
      </c>
      <c r="U1423">
        <v>7.6</v>
      </c>
      <c r="Y1423" s="42">
        <v>43837</v>
      </c>
    </row>
    <row r="1424" spans="14:25">
      <c r="N1424" s="42">
        <v>43824</v>
      </c>
      <c r="O1424" t="s">
        <v>328</v>
      </c>
      <c r="P1424" s="42">
        <v>43825</v>
      </c>
      <c r="Q1424" t="s">
        <v>324</v>
      </c>
      <c r="R1424" t="s">
        <v>320</v>
      </c>
      <c r="S1424" t="s">
        <v>323</v>
      </c>
      <c r="T1424">
        <v>0</v>
      </c>
      <c r="U1424">
        <v>15.2</v>
      </c>
      <c r="Y1424" s="42">
        <v>43837</v>
      </c>
    </row>
    <row r="1425" spans="1:25">
      <c r="N1425" s="42">
        <v>43808</v>
      </c>
      <c r="O1425" t="s">
        <v>345</v>
      </c>
      <c r="P1425" s="42">
        <v>43808</v>
      </c>
      <c r="Q1425" t="s">
        <v>345</v>
      </c>
      <c r="R1425" t="s">
        <v>329</v>
      </c>
      <c r="S1425" t="s">
        <v>323</v>
      </c>
      <c r="T1425">
        <v>7.6</v>
      </c>
      <c r="W1425" t="s">
        <v>330</v>
      </c>
      <c r="X1425" t="s">
        <v>330</v>
      </c>
      <c r="Y1425" s="42">
        <v>43809</v>
      </c>
    </row>
    <row r="1426" spans="1:25">
      <c r="N1426" s="42">
        <v>43693</v>
      </c>
      <c r="O1426" t="s">
        <v>346</v>
      </c>
      <c r="P1426" s="42">
        <v>43693</v>
      </c>
      <c r="Q1426" t="s">
        <v>346</v>
      </c>
      <c r="R1426" t="s">
        <v>338</v>
      </c>
      <c r="S1426" t="s">
        <v>323</v>
      </c>
      <c r="T1426">
        <v>7.6</v>
      </c>
      <c r="W1426" t="s">
        <v>330</v>
      </c>
      <c r="Y1426" s="42">
        <v>43697</v>
      </c>
    </row>
    <row r="1427" spans="1:25">
      <c r="N1427" s="42">
        <v>43692</v>
      </c>
      <c r="O1427" t="s">
        <v>324</v>
      </c>
      <c r="P1427" s="42">
        <v>43692</v>
      </c>
      <c r="Q1427" t="s">
        <v>324</v>
      </c>
      <c r="R1427" t="s">
        <v>338</v>
      </c>
      <c r="S1427" t="s">
        <v>323</v>
      </c>
      <c r="T1427">
        <v>7.6</v>
      </c>
      <c r="W1427" t="s">
        <v>330</v>
      </c>
      <c r="Y1427" s="42">
        <v>43697</v>
      </c>
    </row>
    <row r="1428" spans="1:25">
      <c r="N1428" s="42">
        <v>43691</v>
      </c>
      <c r="O1428" t="s">
        <v>328</v>
      </c>
      <c r="P1428" s="42">
        <v>43691</v>
      </c>
      <c r="Q1428" t="s">
        <v>328</v>
      </c>
      <c r="R1428" t="s">
        <v>338</v>
      </c>
      <c r="S1428" t="s">
        <v>323</v>
      </c>
      <c r="T1428">
        <v>7.6</v>
      </c>
      <c r="W1428" t="s">
        <v>330</v>
      </c>
      <c r="Y1428" s="42">
        <v>43697</v>
      </c>
    </row>
    <row r="1429" spans="1:25">
      <c r="N1429" s="42">
        <v>43690</v>
      </c>
      <c r="O1429" t="s">
        <v>333</v>
      </c>
      <c r="P1429" s="42">
        <v>43690</v>
      </c>
      <c r="Q1429" t="s">
        <v>333</v>
      </c>
      <c r="R1429" t="s">
        <v>320</v>
      </c>
      <c r="S1429" t="s">
        <v>323</v>
      </c>
      <c r="T1429">
        <v>7.6</v>
      </c>
      <c r="Y1429" s="42">
        <v>43697</v>
      </c>
    </row>
    <row r="1430" spans="1:25">
      <c r="N1430" s="42">
        <v>43689</v>
      </c>
      <c r="O1430" t="s">
        <v>345</v>
      </c>
      <c r="P1430" s="42">
        <v>43689</v>
      </c>
      <c r="Q1430" t="s">
        <v>345</v>
      </c>
      <c r="R1430" t="s">
        <v>320</v>
      </c>
      <c r="S1430" t="s">
        <v>323</v>
      </c>
      <c r="T1430">
        <v>7.6</v>
      </c>
      <c r="Y1430" s="42">
        <v>43697</v>
      </c>
    </row>
    <row r="1431" spans="1:25">
      <c r="N1431" s="42">
        <v>43686</v>
      </c>
      <c r="O1431" t="s">
        <v>346</v>
      </c>
      <c r="P1431" s="42">
        <v>43686</v>
      </c>
      <c r="Q1431" t="s">
        <v>346</v>
      </c>
      <c r="R1431" t="s">
        <v>320</v>
      </c>
      <c r="S1431" t="s">
        <v>323</v>
      </c>
      <c r="T1431">
        <v>7.6</v>
      </c>
      <c r="Y1431" s="42">
        <v>43697</v>
      </c>
    </row>
    <row r="1432" spans="1:25">
      <c r="N1432" s="42">
        <v>43685</v>
      </c>
      <c r="O1432" t="s">
        <v>324</v>
      </c>
      <c r="P1432" s="42">
        <v>43685</v>
      </c>
      <c r="Q1432" t="s">
        <v>324</v>
      </c>
      <c r="R1432" t="s">
        <v>320</v>
      </c>
      <c r="S1432" t="s">
        <v>323</v>
      </c>
      <c r="T1432">
        <v>7.6</v>
      </c>
      <c r="Y1432" s="42">
        <v>43697</v>
      </c>
    </row>
    <row r="1433" spans="1:25">
      <c r="N1433" s="42">
        <v>43684</v>
      </c>
      <c r="O1433" t="s">
        <v>328</v>
      </c>
      <c r="P1433" s="42">
        <v>43684</v>
      </c>
      <c r="Q1433" t="s">
        <v>328</v>
      </c>
      <c r="R1433" t="s">
        <v>320</v>
      </c>
      <c r="S1433" t="s">
        <v>323</v>
      </c>
      <c r="T1433">
        <v>7.6</v>
      </c>
      <c r="Y1433" s="42">
        <v>43697</v>
      </c>
    </row>
    <row r="1434" spans="1:25">
      <c r="N1434" s="42">
        <v>43670</v>
      </c>
      <c r="O1434" t="s">
        <v>328</v>
      </c>
      <c r="P1434" s="42">
        <v>43683</v>
      </c>
      <c r="Q1434" t="s">
        <v>333</v>
      </c>
      <c r="R1434" t="s">
        <v>320</v>
      </c>
      <c r="S1434" t="s">
        <v>323</v>
      </c>
      <c r="T1434">
        <v>53.2</v>
      </c>
      <c r="Y1434" s="42">
        <v>43683</v>
      </c>
    </row>
    <row r="1435" spans="1:25">
      <c r="N1435" s="42">
        <v>43658</v>
      </c>
      <c r="O1435" t="s">
        <v>346</v>
      </c>
      <c r="P1435" s="42">
        <v>43658</v>
      </c>
      <c r="Q1435" t="s">
        <v>346</v>
      </c>
      <c r="R1435" t="s">
        <v>329</v>
      </c>
      <c r="S1435" t="s">
        <v>323</v>
      </c>
      <c r="T1435">
        <v>7.6</v>
      </c>
      <c r="W1435" t="s">
        <v>330</v>
      </c>
      <c r="Y1435" s="42">
        <v>43669</v>
      </c>
    </row>
    <row r="1436" spans="1:25">
      <c r="A1436">
        <v>18506</v>
      </c>
      <c r="B1436" t="s">
        <v>372</v>
      </c>
      <c r="C1436" t="s">
        <v>320</v>
      </c>
      <c r="D1436" t="s">
        <v>336</v>
      </c>
      <c r="E1436" t="s">
        <v>337</v>
      </c>
      <c r="F1436">
        <v>1</v>
      </c>
      <c r="G1436" s="42">
        <v>45183</v>
      </c>
      <c r="H1436">
        <v>48</v>
      </c>
      <c r="I1436">
        <v>249.35830000000001</v>
      </c>
      <c r="J1436">
        <v>22.4877</v>
      </c>
      <c r="K1436">
        <v>271.846</v>
      </c>
      <c r="L1436" t="s">
        <v>323</v>
      </c>
      <c r="M1436" s="43">
        <v>0.42291666666666666</v>
      </c>
      <c r="N1436" s="42">
        <v>44942</v>
      </c>
      <c r="O1436" t="s">
        <v>345</v>
      </c>
      <c r="P1436" s="42">
        <v>44942</v>
      </c>
      <c r="Q1436" t="s">
        <v>345</v>
      </c>
      <c r="R1436" t="s">
        <v>320</v>
      </c>
      <c r="S1436" t="s">
        <v>323</v>
      </c>
      <c r="T1436">
        <v>4</v>
      </c>
      <c r="Y1436" s="42">
        <v>44943</v>
      </c>
    </row>
    <row r="1437" spans="1:25">
      <c r="C1437" t="s">
        <v>325</v>
      </c>
      <c r="D1437" t="s">
        <v>366</v>
      </c>
      <c r="E1437" t="s">
        <v>367</v>
      </c>
      <c r="F1437">
        <v>2</v>
      </c>
      <c r="G1437" s="42">
        <v>45077</v>
      </c>
      <c r="H1437">
        <v>16.3889</v>
      </c>
      <c r="I1437">
        <v>329.2713</v>
      </c>
      <c r="J1437">
        <v>13.881399999999999</v>
      </c>
      <c r="K1437">
        <v>343.15269999999998</v>
      </c>
      <c r="L1437" t="s">
        <v>323</v>
      </c>
      <c r="N1437" s="42">
        <v>44928</v>
      </c>
      <c r="O1437" t="s">
        <v>345</v>
      </c>
      <c r="P1437" s="42">
        <v>44928</v>
      </c>
      <c r="Q1437" t="s">
        <v>345</v>
      </c>
      <c r="R1437" t="s">
        <v>320</v>
      </c>
      <c r="S1437" t="s">
        <v>323</v>
      </c>
      <c r="U1437">
        <v>4</v>
      </c>
    </row>
    <row r="1438" spans="1:25">
      <c r="C1438" t="s">
        <v>329</v>
      </c>
      <c r="D1438" t="s">
        <v>342</v>
      </c>
      <c r="E1438" t="s">
        <v>343</v>
      </c>
      <c r="F1438">
        <v>1</v>
      </c>
      <c r="G1438" s="42">
        <v>45183</v>
      </c>
      <c r="H1438">
        <v>24</v>
      </c>
      <c r="I1438">
        <v>42.151400000000002</v>
      </c>
      <c r="J1438">
        <v>11.2438</v>
      </c>
      <c r="K1438">
        <v>53.395200000000003</v>
      </c>
      <c r="L1438" t="s">
        <v>323</v>
      </c>
      <c r="N1438" s="42">
        <v>44923</v>
      </c>
      <c r="O1438" t="s">
        <v>328</v>
      </c>
      <c r="P1438" s="42">
        <v>44923</v>
      </c>
      <c r="Q1438" t="s">
        <v>328</v>
      </c>
      <c r="R1438" t="s">
        <v>320</v>
      </c>
      <c r="S1438" t="s">
        <v>323</v>
      </c>
      <c r="T1438">
        <v>4</v>
      </c>
      <c r="Y1438" s="42">
        <v>44929</v>
      </c>
    </row>
    <row r="1439" spans="1:25">
      <c r="N1439" s="42">
        <v>44922</v>
      </c>
      <c r="O1439" t="s">
        <v>333</v>
      </c>
      <c r="P1439" s="42">
        <v>44922</v>
      </c>
      <c r="Q1439" t="s">
        <v>333</v>
      </c>
      <c r="R1439" t="s">
        <v>320</v>
      </c>
      <c r="S1439" t="s">
        <v>323</v>
      </c>
      <c r="U1439">
        <v>4</v>
      </c>
    </row>
    <row r="1440" spans="1:25">
      <c r="N1440" s="42">
        <v>44921</v>
      </c>
      <c r="O1440" t="s">
        <v>345</v>
      </c>
      <c r="P1440" s="42">
        <v>44921</v>
      </c>
      <c r="Q1440" t="s">
        <v>345</v>
      </c>
      <c r="R1440" t="s">
        <v>320</v>
      </c>
      <c r="S1440" t="s">
        <v>323</v>
      </c>
      <c r="U1440">
        <v>4</v>
      </c>
    </row>
    <row r="1441" spans="14:25">
      <c r="N1441" s="42">
        <v>44901</v>
      </c>
      <c r="O1441" t="s">
        <v>333</v>
      </c>
      <c r="P1441" s="42">
        <v>44901</v>
      </c>
      <c r="Q1441" t="s">
        <v>333</v>
      </c>
      <c r="R1441" t="s">
        <v>329</v>
      </c>
      <c r="S1441" t="s">
        <v>323</v>
      </c>
      <c r="T1441">
        <v>4</v>
      </c>
      <c r="W1441" t="s">
        <v>330</v>
      </c>
      <c r="Y1441" s="42">
        <v>44901</v>
      </c>
    </row>
    <row r="1442" spans="14:25">
      <c r="N1442" s="42">
        <v>44900</v>
      </c>
      <c r="O1442" t="s">
        <v>345</v>
      </c>
      <c r="P1442" s="42">
        <v>44900</v>
      </c>
      <c r="Q1442" t="s">
        <v>345</v>
      </c>
      <c r="R1442" t="s">
        <v>329</v>
      </c>
      <c r="S1442" t="s">
        <v>323</v>
      </c>
      <c r="T1442">
        <v>4</v>
      </c>
      <c r="W1442" t="s">
        <v>330</v>
      </c>
      <c r="Y1442" s="42">
        <v>44901</v>
      </c>
    </row>
    <row r="1443" spans="14:25">
      <c r="N1443" s="42">
        <v>44830</v>
      </c>
      <c r="O1443" t="s">
        <v>345</v>
      </c>
      <c r="P1443" s="42">
        <v>44830</v>
      </c>
      <c r="Q1443" t="s">
        <v>345</v>
      </c>
      <c r="R1443" t="s">
        <v>320</v>
      </c>
      <c r="S1443" t="s">
        <v>323</v>
      </c>
      <c r="U1443">
        <v>4</v>
      </c>
    </row>
    <row r="1444" spans="14:25">
      <c r="N1444" s="42">
        <v>44818</v>
      </c>
      <c r="O1444" t="s">
        <v>328</v>
      </c>
      <c r="P1444" s="42">
        <v>44818</v>
      </c>
      <c r="Q1444" t="s">
        <v>328</v>
      </c>
      <c r="R1444" t="s">
        <v>329</v>
      </c>
      <c r="S1444" t="s">
        <v>323</v>
      </c>
      <c r="T1444">
        <v>4</v>
      </c>
      <c r="W1444" t="s">
        <v>330</v>
      </c>
      <c r="Y1444" s="42">
        <v>44831</v>
      </c>
    </row>
    <row r="1445" spans="14:25">
      <c r="N1445" s="42">
        <v>44817</v>
      </c>
      <c r="O1445" t="s">
        <v>333</v>
      </c>
      <c r="P1445" s="42">
        <v>44817</v>
      </c>
      <c r="Q1445" t="s">
        <v>333</v>
      </c>
      <c r="R1445" t="s">
        <v>329</v>
      </c>
      <c r="S1445" t="s">
        <v>323</v>
      </c>
      <c r="T1445">
        <v>4</v>
      </c>
      <c r="W1445" t="s">
        <v>330</v>
      </c>
      <c r="Y1445" s="42">
        <v>44817</v>
      </c>
    </row>
    <row r="1446" spans="14:25">
      <c r="N1446" s="42">
        <v>44550</v>
      </c>
      <c r="O1446" t="s">
        <v>345</v>
      </c>
      <c r="P1446" s="42">
        <v>44550</v>
      </c>
      <c r="Q1446" t="s">
        <v>345</v>
      </c>
      <c r="R1446" t="s">
        <v>370</v>
      </c>
      <c r="S1446" t="s">
        <v>323</v>
      </c>
      <c r="T1446">
        <v>7.6</v>
      </c>
      <c r="W1446" t="s">
        <v>330</v>
      </c>
      <c r="Y1446" s="42">
        <v>44551</v>
      </c>
    </row>
    <row r="1447" spans="14:25">
      <c r="N1447" s="42">
        <v>44547</v>
      </c>
      <c r="O1447" t="s">
        <v>346</v>
      </c>
      <c r="P1447" s="42">
        <v>44547</v>
      </c>
      <c r="Q1447" t="s">
        <v>346</v>
      </c>
      <c r="R1447" t="s">
        <v>370</v>
      </c>
      <c r="S1447" t="s">
        <v>323</v>
      </c>
      <c r="T1447">
        <v>7.6</v>
      </c>
      <c r="W1447" t="s">
        <v>330</v>
      </c>
      <c r="Y1447" s="42">
        <v>44551</v>
      </c>
    </row>
    <row r="1448" spans="14:25">
      <c r="N1448" s="42">
        <v>44546</v>
      </c>
      <c r="O1448" t="s">
        <v>324</v>
      </c>
      <c r="P1448" s="42">
        <v>44546</v>
      </c>
      <c r="Q1448" t="s">
        <v>324</v>
      </c>
      <c r="R1448" t="s">
        <v>370</v>
      </c>
      <c r="S1448" t="s">
        <v>323</v>
      </c>
      <c r="T1448">
        <v>7.6</v>
      </c>
      <c r="W1448" t="s">
        <v>330</v>
      </c>
      <c r="Y1448" s="42">
        <v>44551</v>
      </c>
    </row>
    <row r="1449" spans="14:25">
      <c r="N1449" s="42">
        <v>44545</v>
      </c>
      <c r="O1449" t="s">
        <v>328</v>
      </c>
      <c r="P1449" s="42">
        <v>44545</v>
      </c>
      <c r="Q1449" t="s">
        <v>328</v>
      </c>
      <c r="R1449" t="s">
        <v>370</v>
      </c>
      <c r="S1449" t="s">
        <v>323</v>
      </c>
      <c r="T1449">
        <v>7.6</v>
      </c>
      <c r="W1449" t="s">
        <v>330</v>
      </c>
      <c r="Y1449" s="42">
        <v>44551</v>
      </c>
    </row>
    <row r="1450" spans="14:25">
      <c r="N1450" s="42">
        <v>44544</v>
      </c>
      <c r="O1450" t="s">
        <v>333</v>
      </c>
      <c r="P1450" s="42">
        <v>44544</v>
      </c>
      <c r="Q1450" t="s">
        <v>333</v>
      </c>
      <c r="R1450" t="s">
        <v>370</v>
      </c>
      <c r="S1450" t="s">
        <v>323</v>
      </c>
      <c r="T1450">
        <v>7.6</v>
      </c>
      <c r="W1450" t="s">
        <v>330</v>
      </c>
      <c r="Y1450" s="42">
        <v>44551</v>
      </c>
    </row>
    <row r="1451" spans="14:25">
      <c r="N1451" s="42">
        <v>44543</v>
      </c>
      <c r="O1451" t="s">
        <v>345</v>
      </c>
      <c r="P1451" s="42">
        <v>44543</v>
      </c>
      <c r="Q1451" t="s">
        <v>345</v>
      </c>
      <c r="R1451" t="s">
        <v>370</v>
      </c>
      <c r="S1451" t="s">
        <v>323</v>
      </c>
      <c r="T1451">
        <v>7.6</v>
      </c>
      <c r="W1451" t="s">
        <v>330</v>
      </c>
      <c r="Y1451" s="42">
        <v>44551</v>
      </c>
    </row>
    <row r="1452" spans="14:25">
      <c r="N1452" s="42">
        <v>44540</v>
      </c>
      <c r="O1452" t="s">
        <v>346</v>
      </c>
      <c r="P1452" s="42">
        <v>44540</v>
      </c>
      <c r="Q1452" t="s">
        <v>346</v>
      </c>
      <c r="R1452" t="s">
        <v>370</v>
      </c>
      <c r="S1452" t="s">
        <v>323</v>
      </c>
      <c r="T1452">
        <v>7.6</v>
      </c>
      <c r="W1452" t="s">
        <v>330</v>
      </c>
      <c r="Y1452" s="42">
        <v>44551</v>
      </c>
    </row>
    <row r="1453" spans="14:25">
      <c r="N1453" s="42">
        <v>44539</v>
      </c>
      <c r="O1453" t="s">
        <v>324</v>
      </c>
      <c r="P1453" s="42">
        <v>44539</v>
      </c>
      <c r="Q1453" t="s">
        <v>324</v>
      </c>
      <c r="R1453" t="s">
        <v>370</v>
      </c>
      <c r="S1453" t="s">
        <v>323</v>
      </c>
      <c r="T1453">
        <v>7.6</v>
      </c>
      <c r="W1453" t="s">
        <v>330</v>
      </c>
      <c r="Y1453" s="42">
        <v>44551</v>
      </c>
    </row>
    <row r="1454" spans="14:25">
      <c r="N1454" s="42">
        <v>44538</v>
      </c>
      <c r="O1454" t="s">
        <v>328</v>
      </c>
      <c r="P1454" s="42">
        <v>44538</v>
      </c>
      <c r="Q1454" t="s">
        <v>328</v>
      </c>
      <c r="R1454" t="s">
        <v>370</v>
      </c>
      <c r="S1454" t="s">
        <v>323</v>
      </c>
      <c r="T1454">
        <v>7.6</v>
      </c>
      <c r="W1454" t="s">
        <v>330</v>
      </c>
      <c r="Y1454" s="42">
        <v>44551</v>
      </c>
    </row>
    <row r="1455" spans="14:25">
      <c r="N1455" s="42">
        <v>44537</v>
      </c>
      <c r="O1455" t="s">
        <v>333</v>
      </c>
      <c r="P1455" s="42">
        <v>44537</v>
      </c>
      <c r="Q1455" t="s">
        <v>333</v>
      </c>
      <c r="R1455" t="s">
        <v>370</v>
      </c>
      <c r="S1455" t="s">
        <v>323</v>
      </c>
      <c r="T1455">
        <v>7.6</v>
      </c>
      <c r="W1455" t="s">
        <v>330</v>
      </c>
      <c r="Y1455" s="42">
        <v>44537</v>
      </c>
    </row>
    <row r="1456" spans="14:25">
      <c r="N1456" s="42">
        <v>44536</v>
      </c>
      <c r="O1456" t="s">
        <v>345</v>
      </c>
      <c r="P1456" s="42">
        <v>44536</v>
      </c>
      <c r="Q1456" t="s">
        <v>345</v>
      </c>
      <c r="R1456" t="s">
        <v>370</v>
      </c>
      <c r="S1456" t="s">
        <v>323</v>
      </c>
      <c r="T1456">
        <v>7.6</v>
      </c>
      <c r="W1456" t="s">
        <v>330</v>
      </c>
      <c r="Y1456" s="42">
        <v>44537</v>
      </c>
    </row>
    <row r="1457" spans="14:25">
      <c r="N1457" s="42">
        <v>44533</v>
      </c>
      <c r="O1457" t="s">
        <v>346</v>
      </c>
      <c r="P1457" s="42">
        <v>44533</v>
      </c>
      <c r="Q1457" t="s">
        <v>346</v>
      </c>
      <c r="R1457" t="s">
        <v>370</v>
      </c>
      <c r="S1457" t="s">
        <v>323</v>
      </c>
      <c r="T1457">
        <v>7.6</v>
      </c>
      <c r="W1457" t="s">
        <v>330</v>
      </c>
      <c r="Y1457" s="42">
        <v>44537</v>
      </c>
    </row>
    <row r="1458" spans="14:25">
      <c r="N1458" s="42">
        <v>44532</v>
      </c>
      <c r="O1458" t="s">
        <v>324</v>
      </c>
      <c r="P1458" s="42">
        <v>44532</v>
      </c>
      <c r="Q1458" t="s">
        <v>324</v>
      </c>
      <c r="R1458" t="s">
        <v>370</v>
      </c>
      <c r="S1458" t="s">
        <v>323</v>
      </c>
      <c r="T1458">
        <v>7.6</v>
      </c>
      <c r="W1458" t="s">
        <v>330</v>
      </c>
      <c r="Y1458" s="42">
        <v>44537</v>
      </c>
    </row>
    <row r="1459" spans="14:25">
      <c r="N1459" s="42">
        <v>44531</v>
      </c>
      <c r="O1459" t="s">
        <v>328</v>
      </c>
      <c r="P1459" s="42">
        <v>44531</v>
      </c>
      <c r="Q1459" t="s">
        <v>328</v>
      </c>
      <c r="R1459" t="s">
        <v>370</v>
      </c>
      <c r="S1459" t="s">
        <v>323</v>
      </c>
      <c r="T1459">
        <v>7.6</v>
      </c>
      <c r="W1459" t="s">
        <v>330</v>
      </c>
      <c r="Y1459" s="42">
        <v>44537</v>
      </c>
    </row>
    <row r="1460" spans="14:25">
      <c r="N1460" s="42">
        <v>44530</v>
      </c>
      <c r="O1460" t="s">
        <v>333</v>
      </c>
      <c r="P1460" s="42">
        <v>44530</v>
      </c>
      <c r="Q1460" t="s">
        <v>333</v>
      </c>
      <c r="R1460" t="s">
        <v>370</v>
      </c>
      <c r="S1460" t="s">
        <v>323</v>
      </c>
      <c r="T1460">
        <v>7.6</v>
      </c>
      <c r="W1460" t="s">
        <v>330</v>
      </c>
      <c r="Y1460" s="42">
        <v>44537</v>
      </c>
    </row>
    <row r="1461" spans="14:25">
      <c r="N1461" s="42">
        <v>44529</v>
      </c>
      <c r="O1461" t="s">
        <v>345</v>
      </c>
      <c r="P1461" s="42">
        <v>44529</v>
      </c>
      <c r="Q1461" t="s">
        <v>345</v>
      </c>
      <c r="R1461" t="s">
        <v>370</v>
      </c>
      <c r="S1461" t="s">
        <v>323</v>
      </c>
      <c r="T1461">
        <v>7.6</v>
      </c>
      <c r="W1461" t="s">
        <v>330</v>
      </c>
      <c r="Y1461" s="42">
        <v>44537</v>
      </c>
    </row>
    <row r="1462" spans="14:25">
      <c r="N1462" s="42">
        <v>44526</v>
      </c>
      <c r="O1462" t="s">
        <v>346</v>
      </c>
      <c r="P1462" s="42">
        <v>44526</v>
      </c>
      <c r="Q1462" t="s">
        <v>346</v>
      </c>
      <c r="R1462" t="s">
        <v>370</v>
      </c>
      <c r="S1462" t="s">
        <v>323</v>
      </c>
      <c r="T1462">
        <v>7.6</v>
      </c>
      <c r="W1462" t="s">
        <v>330</v>
      </c>
      <c r="Y1462" s="42">
        <v>44537</v>
      </c>
    </row>
    <row r="1463" spans="14:25">
      <c r="N1463" s="42">
        <v>44525</v>
      </c>
      <c r="O1463" t="s">
        <v>324</v>
      </c>
      <c r="P1463" s="42">
        <v>44525</v>
      </c>
      <c r="Q1463" t="s">
        <v>324</v>
      </c>
      <c r="R1463" t="s">
        <v>370</v>
      </c>
      <c r="S1463" t="s">
        <v>323</v>
      </c>
      <c r="T1463">
        <v>7.6</v>
      </c>
      <c r="W1463" t="s">
        <v>330</v>
      </c>
      <c r="Y1463" s="42">
        <v>44537</v>
      </c>
    </row>
    <row r="1464" spans="14:25">
      <c r="N1464" s="42">
        <v>44524</v>
      </c>
      <c r="O1464" t="s">
        <v>328</v>
      </c>
      <c r="P1464" s="42">
        <v>44524</v>
      </c>
      <c r="Q1464" t="s">
        <v>328</v>
      </c>
      <c r="R1464" t="s">
        <v>370</v>
      </c>
      <c r="S1464" t="s">
        <v>323</v>
      </c>
      <c r="T1464">
        <v>7.6</v>
      </c>
      <c r="W1464" t="s">
        <v>330</v>
      </c>
      <c r="Y1464" s="42">
        <v>44537</v>
      </c>
    </row>
    <row r="1465" spans="14:25">
      <c r="N1465" s="42">
        <v>44523</v>
      </c>
      <c r="O1465" t="s">
        <v>333</v>
      </c>
      <c r="P1465" s="42">
        <v>44523</v>
      </c>
      <c r="Q1465" t="s">
        <v>333</v>
      </c>
      <c r="R1465" t="s">
        <v>370</v>
      </c>
      <c r="S1465" t="s">
        <v>323</v>
      </c>
      <c r="T1465">
        <v>7.6</v>
      </c>
      <c r="W1465" t="s">
        <v>330</v>
      </c>
      <c r="Y1465" s="42">
        <v>44523</v>
      </c>
    </row>
    <row r="1466" spans="14:25">
      <c r="N1466" s="42">
        <v>44522</v>
      </c>
      <c r="O1466" t="s">
        <v>345</v>
      </c>
      <c r="P1466" s="42">
        <v>44522</v>
      </c>
      <c r="Q1466" t="s">
        <v>345</v>
      </c>
      <c r="R1466" t="s">
        <v>370</v>
      </c>
      <c r="S1466" t="s">
        <v>323</v>
      </c>
      <c r="T1466">
        <v>7.6</v>
      </c>
      <c r="W1466" t="s">
        <v>330</v>
      </c>
      <c r="Y1466" s="42">
        <v>44523</v>
      </c>
    </row>
    <row r="1467" spans="14:25">
      <c r="N1467" s="42">
        <v>44519</v>
      </c>
      <c r="O1467" t="s">
        <v>346</v>
      </c>
      <c r="P1467" s="42">
        <v>44519</v>
      </c>
      <c r="Q1467" t="s">
        <v>346</v>
      </c>
      <c r="R1467" t="s">
        <v>370</v>
      </c>
      <c r="S1467" t="s">
        <v>323</v>
      </c>
      <c r="T1467">
        <v>7.6</v>
      </c>
      <c r="W1467" t="s">
        <v>330</v>
      </c>
      <c r="Y1467" s="42">
        <v>44523</v>
      </c>
    </row>
    <row r="1468" spans="14:25">
      <c r="N1468" s="42">
        <v>44518</v>
      </c>
      <c r="O1468" t="s">
        <v>324</v>
      </c>
      <c r="P1468" s="42">
        <v>44518</v>
      </c>
      <c r="Q1468" t="s">
        <v>324</v>
      </c>
      <c r="R1468" t="s">
        <v>370</v>
      </c>
      <c r="S1468" t="s">
        <v>323</v>
      </c>
      <c r="T1468">
        <v>7.6</v>
      </c>
      <c r="W1468" t="s">
        <v>330</v>
      </c>
      <c r="Y1468" s="42">
        <v>44523</v>
      </c>
    </row>
    <row r="1469" spans="14:25">
      <c r="N1469" s="42">
        <v>44517</v>
      </c>
      <c r="O1469" t="s">
        <v>328</v>
      </c>
      <c r="P1469" s="42">
        <v>44517</v>
      </c>
      <c r="Q1469" t="s">
        <v>328</v>
      </c>
      <c r="R1469" t="s">
        <v>370</v>
      </c>
      <c r="S1469" t="s">
        <v>323</v>
      </c>
      <c r="T1469">
        <v>7.6</v>
      </c>
      <c r="W1469" t="s">
        <v>330</v>
      </c>
      <c r="Y1469" s="42">
        <v>44523</v>
      </c>
    </row>
    <row r="1470" spans="14:25">
      <c r="N1470" s="42">
        <v>44516</v>
      </c>
      <c r="O1470" t="s">
        <v>333</v>
      </c>
      <c r="P1470" s="42">
        <v>44516</v>
      </c>
      <c r="Q1470" t="s">
        <v>333</v>
      </c>
      <c r="R1470" t="s">
        <v>370</v>
      </c>
      <c r="S1470" t="s">
        <v>323</v>
      </c>
      <c r="T1470">
        <v>7.6</v>
      </c>
      <c r="W1470" t="s">
        <v>330</v>
      </c>
      <c r="Y1470" s="42">
        <v>44523</v>
      </c>
    </row>
    <row r="1471" spans="14:25">
      <c r="N1471" s="42">
        <v>44515</v>
      </c>
      <c r="O1471" t="s">
        <v>345</v>
      </c>
      <c r="P1471" s="42">
        <v>44515</v>
      </c>
      <c r="Q1471" t="s">
        <v>345</v>
      </c>
      <c r="R1471" t="s">
        <v>370</v>
      </c>
      <c r="S1471" t="s">
        <v>323</v>
      </c>
      <c r="T1471">
        <v>7.6</v>
      </c>
      <c r="W1471" t="s">
        <v>330</v>
      </c>
      <c r="Y1471" s="42">
        <v>44523</v>
      </c>
    </row>
    <row r="1472" spans="14:25">
      <c r="N1472" s="42">
        <v>44512</v>
      </c>
      <c r="O1472" t="s">
        <v>346</v>
      </c>
      <c r="P1472" s="42">
        <v>44512</v>
      </c>
      <c r="Q1472" t="s">
        <v>346</v>
      </c>
      <c r="R1472" t="s">
        <v>370</v>
      </c>
      <c r="S1472" t="s">
        <v>323</v>
      </c>
      <c r="T1472">
        <v>7.6</v>
      </c>
      <c r="W1472" t="s">
        <v>330</v>
      </c>
      <c r="Y1472" s="42">
        <v>44523</v>
      </c>
    </row>
    <row r="1473" spans="14:25">
      <c r="N1473" s="42">
        <v>44511</v>
      </c>
      <c r="O1473" t="s">
        <v>324</v>
      </c>
      <c r="P1473" s="42">
        <v>44511</v>
      </c>
      <c r="Q1473" t="s">
        <v>324</v>
      </c>
      <c r="R1473" t="s">
        <v>370</v>
      </c>
      <c r="S1473" t="s">
        <v>323</v>
      </c>
      <c r="T1473">
        <v>7.6</v>
      </c>
      <c r="W1473" t="s">
        <v>330</v>
      </c>
      <c r="Y1473" s="42">
        <v>44523</v>
      </c>
    </row>
    <row r="1474" spans="14:25">
      <c r="N1474" s="42">
        <v>44510</v>
      </c>
      <c r="O1474" t="s">
        <v>328</v>
      </c>
      <c r="P1474" s="42">
        <v>44510</v>
      </c>
      <c r="Q1474" t="s">
        <v>328</v>
      </c>
      <c r="R1474" t="s">
        <v>370</v>
      </c>
      <c r="S1474" t="s">
        <v>323</v>
      </c>
      <c r="T1474">
        <v>7.6</v>
      </c>
      <c r="W1474" t="s">
        <v>330</v>
      </c>
      <c r="Y1474" s="42">
        <v>44523</v>
      </c>
    </row>
    <row r="1475" spans="14:25">
      <c r="N1475" s="42">
        <v>44509</v>
      </c>
      <c r="O1475" t="s">
        <v>333</v>
      </c>
      <c r="P1475" s="42">
        <v>44509</v>
      </c>
      <c r="Q1475" t="s">
        <v>333</v>
      </c>
      <c r="R1475" t="s">
        <v>370</v>
      </c>
      <c r="S1475" t="s">
        <v>323</v>
      </c>
      <c r="T1475">
        <v>7.6</v>
      </c>
      <c r="W1475" t="s">
        <v>330</v>
      </c>
      <c r="Y1475" s="42">
        <v>44509</v>
      </c>
    </row>
    <row r="1476" spans="14:25">
      <c r="N1476" s="42">
        <v>44508</v>
      </c>
      <c r="O1476" t="s">
        <v>345</v>
      </c>
      <c r="P1476" s="42">
        <v>44508</v>
      </c>
      <c r="Q1476" t="s">
        <v>345</v>
      </c>
      <c r="R1476" t="s">
        <v>370</v>
      </c>
      <c r="S1476" t="s">
        <v>323</v>
      </c>
      <c r="T1476">
        <v>7.6</v>
      </c>
      <c r="W1476" t="s">
        <v>330</v>
      </c>
      <c r="Y1476" s="42">
        <v>44509</v>
      </c>
    </row>
    <row r="1477" spans="14:25">
      <c r="N1477" s="42">
        <v>44505</v>
      </c>
      <c r="O1477" t="s">
        <v>346</v>
      </c>
      <c r="P1477" s="42">
        <v>44505</v>
      </c>
      <c r="Q1477" t="s">
        <v>346</v>
      </c>
      <c r="R1477" t="s">
        <v>370</v>
      </c>
      <c r="S1477" t="s">
        <v>323</v>
      </c>
      <c r="T1477">
        <v>7.6</v>
      </c>
      <c r="W1477" t="s">
        <v>330</v>
      </c>
      <c r="Y1477" s="42">
        <v>44509</v>
      </c>
    </row>
    <row r="1478" spans="14:25">
      <c r="N1478" s="42">
        <v>44504</v>
      </c>
      <c r="O1478" t="s">
        <v>324</v>
      </c>
      <c r="P1478" s="42">
        <v>44504</v>
      </c>
      <c r="Q1478" t="s">
        <v>324</v>
      </c>
      <c r="R1478" t="s">
        <v>370</v>
      </c>
      <c r="S1478" t="s">
        <v>323</v>
      </c>
      <c r="T1478">
        <v>7.6</v>
      </c>
      <c r="W1478" t="s">
        <v>330</v>
      </c>
      <c r="Y1478" s="42">
        <v>44509</v>
      </c>
    </row>
    <row r="1479" spans="14:25">
      <c r="N1479" s="42">
        <v>44503</v>
      </c>
      <c r="O1479" t="s">
        <v>328</v>
      </c>
      <c r="P1479" s="42">
        <v>44503</v>
      </c>
      <c r="Q1479" t="s">
        <v>328</v>
      </c>
      <c r="R1479" t="s">
        <v>370</v>
      </c>
      <c r="S1479" t="s">
        <v>323</v>
      </c>
      <c r="T1479">
        <v>7.6</v>
      </c>
      <c r="W1479" t="s">
        <v>330</v>
      </c>
      <c r="Y1479" s="42">
        <v>44509</v>
      </c>
    </row>
    <row r="1480" spans="14:25">
      <c r="N1480" s="42">
        <v>44502</v>
      </c>
      <c r="O1480" t="s">
        <v>333</v>
      </c>
      <c r="P1480" s="42">
        <v>44502</v>
      </c>
      <c r="Q1480" t="s">
        <v>333</v>
      </c>
      <c r="R1480" t="s">
        <v>370</v>
      </c>
      <c r="S1480" t="s">
        <v>323</v>
      </c>
      <c r="T1480">
        <v>7.6</v>
      </c>
      <c r="W1480" t="s">
        <v>330</v>
      </c>
      <c r="Y1480" s="42">
        <v>44509</v>
      </c>
    </row>
    <row r="1481" spans="14:25">
      <c r="N1481" s="42">
        <v>44501</v>
      </c>
      <c r="O1481" t="s">
        <v>345</v>
      </c>
      <c r="P1481" s="42">
        <v>44501</v>
      </c>
      <c r="Q1481" t="s">
        <v>345</v>
      </c>
      <c r="R1481" t="s">
        <v>370</v>
      </c>
      <c r="S1481" t="s">
        <v>323</v>
      </c>
      <c r="T1481">
        <v>7.6</v>
      </c>
      <c r="W1481" t="s">
        <v>330</v>
      </c>
      <c r="Y1481" s="42">
        <v>44509</v>
      </c>
    </row>
    <row r="1482" spans="14:25">
      <c r="N1482" s="42">
        <v>44498</v>
      </c>
      <c r="O1482" t="s">
        <v>346</v>
      </c>
      <c r="P1482" s="42">
        <v>44498</v>
      </c>
      <c r="Q1482" t="s">
        <v>346</v>
      </c>
      <c r="R1482" t="s">
        <v>370</v>
      </c>
      <c r="S1482" t="s">
        <v>323</v>
      </c>
      <c r="T1482">
        <v>7.6</v>
      </c>
      <c r="W1482" t="s">
        <v>330</v>
      </c>
      <c r="Y1482" s="42">
        <v>44509</v>
      </c>
    </row>
    <row r="1483" spans="14:25">
      <c r="N1483" s="42">
        <v>44497</v>
      </c>
      <c r="O1483" t="s">
        <v>324</v>
      </c>
      <c r="P1483" s="42">
        <v>44497</v>
      </c>
      <c r="Q1483" t="s">
        <v>324</v>
      </c>
      <c r="R1483" t="s">
        <v>370</v>
      </c>
      <c r="S1483" t="s">
        <v>323</v>
      </c>
      <c r="T1483">
        <v>7.6</v>
      </c>
      <c r="W1483" t="s">
        <v>330</v>
      </c>
      <c r="Y1483" s="42">
        <v>44509</v>
      </c>
    </row>
    <row r="1484" spans="14:25">
      <c r="N1484" s="42">
        <v>44496</v>
      </c>
      <c r="O1484" t="s">
        <v>328</v>
      </c>
      <c r="P1484" s="42">
        <v>44496</v>
      </c>
      <c r="Q1484" t="s">
        <v>328</v>
      </c>
      <c r="R1484" t="s">
        <v>370</v>
      </c>
      <c r="S1484" t="s">
        <v>323</v>
      </c>
      <c r="T1484">
        <v>7.6</v>
      </c>
      <c r="W1484" t="s">
        <v>330</v>
      </c>
      <c r="Y1484" s="42">
        <v>44509</v>
      </c>
    </row>
    <row r="1485" spans="14:25">
      <c r="N1485" s="42">
        <v>44495</v>
      </c>
      <c r="O1485" t="s">
        <v>333</v>
      </c>
      <c r="P1485" s="42">
        <v>44495</v>
      </c>
      <c r="Q1485" t="s">
        <v>333</v>
      </c>
      <c r="R1485" t="s">
        <v>370</v>
      </c>
      <c r="S1485" t="s">
        <v>323</v>
      </c>
      <c r="T1485">
        <v>7.6</v>
      </c>
      <c r="W1485" t="s">
        <v>330</v>
      </c>
      <c r="Y1485" s="42">
        <v>44495</v>
      </c>
    </row>
    <row r="1486" spans="14:25">
      <c r="N1486" s="42">
        <v>44494</v>
      </c>
      <c r="O1486" t="s">
        <v>345</v>
      </c>
      <c r="P1486" s="42">
        <v>44494</v>
      </c>
      <c r="Q1486" t="s">
        <v>345</v>
      </c>
      <c r="R1486" t="s">
        <v>370</v>
      </c>
      <c r="S1486" t="s">
        <v>323</v>
      </c>
      <c r="T1486">
        <v>7.6</v>
      </c>
      <c r="W1486" t="s">
        <v>330</v>
      </c>
      <c r="Y1486" s="42">
        <v>44495</v>
      </c>
    </row>
    <row r="1487" spans="14:25">
      <c r="N1487" s="42">
        <v>44491</v>
      </c>
      <c r="O1487" t="s">
        <v>346</v>
      </c>
      <c r="P1487" s="42">
        <v>44491</v>
      </c>
      <c r="Q1487" t="s">
        <v>346</v>
      </c>
      <c r="R1487" t="s">
        <v>370</v>
      </c>
      <c r="S1487" t="s">
        <v>323</v>
      </c>
      <c r="T1487">
        <v>7.6</v>
      </c>
      <c r="W1487" t="s">
        <v>330</v>
      </c>
      <c r="Y1487" s="42">
        <v>44495</v>
      </c>
    </row>
    <row r="1488" spans="14:25">
      <c r="N1488" s="42">
        <v>44490</v>
      </c>
      <c r="O1488" t="s">
        <v>324</v>
      </c>
      <c r="P1488" s="42">
        <v>44490</v>
      </c>
      <c r="Q1488" t="s">
        <v>324</v>
      </c>
      <c r="R1488" t="s">
        <v>370</v>
      </c>
      <c r="S1488" t="s">
        <v>323</v>
      </c>
      <c r="T1488">
        <v>7.6</v>
      </c>
      <c r="W1488" t="s">
        <v>330</v>
      </c>
      <c r="Y1488" s="42">
        <v>44495</v>
      </c>
    </row>
    <row r="1489" spans="14:25">
      <c r="N1489" s="42">
        <v>44489</v>
      </c>
      <c r="O1489" t="s">
        <v>328</v>
      </c>
      <c r="P1489" s="42">
        <v>44489</v>
      </c>
      <c r="Q1489" t="s">
        <v>328</v>
      </c>
      <c r="R1489" t="s">
        <v>370</v>
      </c>
      <c r="S1489" t="s">
        <v>323</v>
      </c>
      <c r="T1489">
        <v>7.6</v>
      </c>
      <c r="W1489" t="s">
        <v>330</v>
      </c>
      <c r="Y1489" s="42">
        <v>44495</v>
      </c>
    </row>
    <row r="1490" spans="14:25">
      <c r="N1490" s="42">
        <v>44488</v>
      </c>
      <c r="O1490" t="s">
        <v>333</v>
      </c>
      <c r="P1490" s="42">
        <v>44488</v>
      </c>
      <c r="Q1490" t="s">
        <v>333</v>
      </c>
      <c r="R1490" t="s">
        <v>370</v>
      </c>
      <c r="S1490" t="s">
        <v>323</v>
      </c>
      <c r="T1490">
        <v>7.6</v>
      </c>
      <c r="W1490" t="s">
        <v>330</v>
      </c>
      <c r="Y1490" s="42">
        <v>44495</v>
      </c>
    </row>
    <row r="1491" spans="14:25">
      <c r="N1491" s="42">
        <v>44487</v>
      </c>
      <c r="O1491" t="s">
        <v>345</v>
      </c>
      <c r="P1491" s="42">
        <v>44487</v>
      </c>
      <c r="Q1491" t="s">
        <v>345</v>
      </c>
      <c r="R1491" t="s">
        <v>370</v>
      </c>
      <c r="S1491" t="s">
        <v>323</v>
      </c>
      <c r="T1491">
        <v>7.6</v>
      </c>
      <c r="W1491" t="s">
        <v>330</v>
      </c>
      <c r="Y1491" s="42">
        <v>44495</v>
      </c>
    </row>
    <row r="1492" spans="14:25">
      <c r="N1492" s="42">
        <v>44484</v>
      </c>
      <c r="O1492" t="s">
        <v>346</v>
      </c>
      <c r="P1492" s="42">
        <v>44484</v>
      </c>
      <c r="Q1492" t="s">
        <v>346</v>
      </c>
      <c r="R1492" t="s">
        <v>370</v>
      </c>
      <c r="S1492" t="s">
        <v>323</v>
      </c>
      <c r="T1492">
        <v>7.6</v>
      </c>
      <c r="W1492" t="s">
        <v>330</v>
      </c>
      <c r="Y1492" s="42">
        <v>44495</v>
      </c>
    </row>
    <row r="1493" spans="14:25">
      <c r="N1493" s="42">
        <v>44483</v>
      </c>
      <c r="O1493" t="s">
        <v>324</v>
      </c>
      <c r="P1493" s="42">
        <v>44483</v>
      </c>
      <c r="Q1493" t="s">
        <v>324</v>
      </c>
      <c r="R1493" t="s">
        <v>370</v>
      </c>
      <c r="S1493" t="s">
        <v>323</v>
      </c>
      <c r="T1493">
        <v>7.6</v>
      </c>
      <c r="W1493" t="s">
        <v>330</v>
      </c>
      <c r="Y1493" s="42">
        <v>44495</v>
      </c>
    </row>
    <row r="1494" spans="14:25">
      <c r="N1494" s="42">
        <v>44482</v>
      </c>
      <c r="O1494" t="s">
        <v>328</v>
      </c>
      <c r="P1494" s="42">
        <v>44482</v>
      </c>
      <c r="Q1494" t="s">
        <v>328</v>
      </c>
      <c r="R1494" t="s">
        <v>370</v>
      </c>
      <c r="S1494" t="s">
        <v>323</v>
      </c>
      <c r="T1494">
        <v>7.6</v>
      </c>
      <c r="W1494" t="s">
        <v>330</v>
      </c>
      <c r="Y1494" s="42">
        <v>44495</v>
      </c>
    </row>
    <row r="1495" spans="14:25">
      <c r="N1495" s="42">
        <v>44481</v>
      </c>
      <c r="O1495" t="s">
        <v>333</v>
      </c>
      <c r="P1495" s="42">
        <v>44481</v>
      </c>
      <c r="Q1495" t="s">
        <v>333</v>
      </c>
      <c r="R1495" t="s">
        <v>370</v>
      </c>
      <c r="S1495" t="s">
        <v>323</v>
      </c>
      <c r="T1495">
        <v>7.6</v>
      </c>
      <c r="W1495" t="s">
        <v>330</v>
      </c>
      <c r="Y1495" s="42">
        <v>44481</v>
      </c>
    </row>
    <row r="1496" spans="14:25">
      <c r="N1496" s="42">
        <v>44480</v>
      </c>
      <c r="O1496" t="s">
        <v>345</v>
      </c>
      <c r="P1496" s="42">
        <v>44480</v>
      </c>
      <c r="Q1496" t="s">
        <v>345</v>
      </c>
      <c r="R1496" t="s">
        <v>370</v>
      </c>
      <c r="S1496" t="s">
        <v>323</v>
      </c>
      <c r="T1496">
        <v>7.6</v>
      </c>
      <c r="W1496" t="s">
        <v>330</v>
      </c>
      <c r="Y1496" s="42">
        <v>44481</v>
      </c>
    </row>
    <row r="1497" spans="14:25">
      <c r="N1497" s="42">
        <v>44477</v>
      </c>
      <c r="O1497" t="s">
        <v>346</v>
      </c>
      <c r="P1497" s="42">
        <v>44477</v>
      </c>
      <c r="Q1497" t="s">
        <v>346</v>
      </c>
      <c r="R1497" t="s">
        <v>370</v>
      </c>
      <c r="S1497" t="s">
        <v>323</v>
      </c>
      <c r="T1497">
        <v>7.6</v>
      </c>
      <c r="W1497" t="s">
        <v>330</v>
      </c>
      <c r="Y1497" s="42">
        <v>44481</v>
      </c>
    </row>
    <row r="1498" spans="14:25">
      <c r="N1498" s="42">
        <v>44476</v>
      </c>
      <c r="O1498" t="s">
        <v>324</v>
      </c>
      <c r="P1498" s="42">
        <v>44476</v>
      </c>
      <c r="Q1498" t="s">
        <v>324</v>
      </c>
      <c r="R1498" t="s">
        <v>370</v>
      </c>
      <c r="S1498" t="s">
        <v>323</v>
      </c>
      <c r="T1498">
        <v>7.6</v>
      </c>
      <c r="W1498" t="s">
        <v>330</v>
      </c>
      <c r="Y1498" s="42">
        <v>44481</v>
      </c>
    </row>
    <row r="1499" spans="14:25">
      <c r="N1499" s="42">
        <v>44475</v>
      </c>
      <c r="O1499" t="s">
        <v>328</v>
      </c>
      <c r="P1499" s="42">
        <v>44475</v>
      </c>
      <c r="Q1499" t="s">
        <v>328</v>
      </c>
      <c r="R1499" t="s">
        <v>370</v>
      </c>
      <c r="S1499" t="s">
        <v>323</v>
      </c>
      <c r="T1499">
        <v>7.6</v>
      </c>
      <c r="W1499" t="s">
        <v>330</v>
      </c>
      <c r="Y1499" s="42">
        <v>44481</v>
      </c>
    </row>
    <row r="1500" spans="14:25">
      <c r="N1500" s="42">
        <v>44474</v>
      </c>
      <c r="O1500" t="s">
        <v>333</v>
      </c>
      <c r="P1500" s="42">
        <v>44474</v>
      </c>
      <c r="Q1500" t="s">
        <v>333</v>
      </c>
      <c r="R1500" t="s">
        <v>370</v>
      </c>
      <c r="S1500" t="s">
        <v>323</v>
      </c>
      <c r="T1500">
        <v>7.6</v>
      </c>
      <c r="W1500" t="s">
        <v>330</v>
      </c>
      <c r="Y1500" s="42">
        <v>44481</v>
      </c>
    </row>
    <row r="1501" spans="14:25">
      <c r="N1501" s="42">
        <v>44473</v>
      </c>
      <c r="O1501" t="s">
        <v>345</v>
      </c>
      <c r="P1501" s="42">
        <v>44473</v>
      </c>
      <c r="Q1501" t="s">
        <v>345</v>
      </c>
      <c r="R1501" t="s">
        <v>370</v>
      </c>
      <c r="S1501" t="s">
        <v>323</v>
      </c>
      <c r="T1501">
        <v>7.6</v>
      </c>
      <c r="W1501" t="s">
        <v>330</v>
      </c>
      <c r="Y1501" s="42">
        <v>44481</v>
      </c>
    </row>
    <row r="1502" spans="14:25">
      <c r="N1502" s="42">
        <v>44470</v>
      </c>
      <c r="O1502" t="s">
        <v>346</v>
      </c>
      <c r="P1502" s="42">
        <v>44470</v>
      </c>
      <c r="Q1502" t="s">
        <v>346</v>
      </c>
      <c r="R1502" t="s">
        <v>370</v>
      </c>
      <c r="S1502" t="s">
        <v>323</v>
      </c>
      <c r="T1502">
        <v>7.6</v>
      </c>
      <c r="W1502" t="s">
        <v>330</v>
      </c>
      <c r="Y1502" s="42">
        <v>44481</v>
      </c>
    </row>
    <row r="1503" spans="14:25">
      <c r="N1503" s="42">
        <v>44469</v>
      </c>
      <c r="O1503" t="s">
        <v>324</v>
      </c>
      <c r="P1503" s="42">
        <v>44469</v>
      </c>
      <c r="Q1503" t="s">
        <v>324</v>
      </c>
      <c r="R1503" t="s">
        <v>370</v>
      </c>
      <c r="S1503" t="s">
        <v>323</v>
      </c>
      <c r="T1503">
        <v>7.6</v>
      </c>
      <c r="W1503" t="s">
        <v>330</v>
      </c>
      <c r="Y1503" s="42">
        <v>44481</v>
      </c>
    </row>
    <row r="1504" spans="14:25">
      <c r="N1504" s="42">
        <v>44468</v>
      </c>
      <c r="O1504" t="s">
        <v>328</v>
      </c>
      <c r="P1504" s="42">
        <v>44468</v>
      </c>
      <c r="Q1504" t="s">
        <v>328</v>
      </c>
      <c r="R1504" t="s">
        <v>370</v>
      </c>
      <c r="S1504" t="s">
        <v>323</v>
      </c>
      <c r="T1504">
        <v>7.6</v>
      </c>
      <c r="W1504" t="s">
        <v>330</v>
      </c>
      <c r="Y1504" s="42">
        <v>44481</v>
      </c>
    </row>
    <row r="1505" spans="14:25">
      <c r="N1505" s="42">
        <v>44467</v>
      </c>
      <c r="O1505" t="s">
        <v>333</v>
      </c>
      <c r="P1505" s="42">
        <v>44467</v>
      </c>
      <c r="Q1505" t="s">
        <v>333</v>
      </c>
      <c r="R1505" t="s">
        <v>370</v>
      </c>
      <c r="S1505" t="s">
        <v>323</v>
      </c>
      <c r="T1505">
        <v>7.6</v>
      </c>
      <c r="W1505" t="s">
        <v>330</v>
      </c>
      <c r="Y1505" s="42">
        <v>44467</v>
      </c>
    </row>
    <row r="1506" spans="14:25">
      <c r="N1506" s="42">
        <v>44466</v>
      </c>
      <c r="O1506" t="s">
        <v>345</v>
      </c>
      <c r="P1506" s="42">
        <v>44466</v>
      </c>
      <c r="Q1506" t="s">
        <v>345</v>
      </c>
      <c r="R1506" t="s">
        <v>370</v>
      </c>
      <c r="S1506" t="s">
        <v>323</v>
      </c>
      <c r="T1506">
        <v>7.6</v>
      </c>
      <c r="W1506" t="s">
        <v>330</v>
      </c>
      <c r="Y1506" s="42">
        <v>44467</v>
      </c>
    </row>
    <row r="1507" spans="14:25">
      <c r="N1507" s="42">
        <v>44463</v>
      </c>
      <c r="O1507" t="s">
        <v>346</v>
      </c>
      <c r="P1507" s="42">
        <v>44463</v>
      </c>
      <c r="Q1507" t="s">
        <v>346</v>
      </c>
      <c r="R1507" t="s">
        <v>370</v>
      </c>
      <c r="S1507" t="s">
        <v>323</v>
      </c>
      <c r="T1507">
        <v>7.6</v>
      </c>
      <c r="W1507" t="s">
        <v>330</v>
      </c>
      <c r="Y1507" s="42">
        <v>44467</v>
      </c>
    </row>
    <row r="1508" spans="14:25">
      <c r="N1508" s="42">
        <v>44462</v>
      </c>
      <c r="O1508" t="s">
        <v>324</v>
      </c>
      <c r="P1508" s="42">
        <v>44462</v>
      </c>
      <c r="Q1508" t="s">
        <v>324</v>
      </c>
      <c r="R1508" t="s">
        <v>370</v>
      </c>
      <c r="S1508" t="s">
        <v>323</v>
      </c>
      <c r="T1508">
        <v>7.6</v>
      </c>
      <c r="W1508" t="s">
        <v>330</v>
      </c>
      <c r="Y1508" s="42">
        <v>44467</v>
      </c>
    </row>
    <row r="1509" spans="14:25">
      <c r="N1509" s="42">
        <v>44461</v>
      </c>
      <c r="O1509" t="s">
        <v>328</v>
      </c>
      <c r="P1509" s="42">
        <v>44461</v>
      </c>
      <c r="Q1509" t="s">
        <v>328</v>
      </c>
      <c r="R1509" t="s">
        <v>370</v>
      </c>
      <c r="S1509" t="s">
        <v>323</v>
      </c>
      <c r="T1509">
        <v>7.6</v>
      </c>
      <c r="W1509" t="s">
        <v>330</v>
      </c>
      <c r="Y1509" s="42">
        <v>44467</v>
      </c>
    </row>
    <row r="1510" spans="14:25">
      <c r="N1510" s="42">
        <v>44460</v>
      </c>
      <c r="O1510" t="s">
        <v>333</v>
      </c>
      <c r="P1510" s="42">
        <v>44460</v>
      </c>
      <c r="Q1510" t="s">
        <v>333</v>
      </c>
      <c r="R1510" t="s">
        <v>370</v>
      </c>
      <c r="S1510" t="s">
        <v>323</v>
      </c>
      <c r="T1510">
        <v>7.6</v>
      </c>
      <c r="W1510" t="s">
        <v>330</v>
      </c>
      <c r="Y1510" s="42">
        <v>44467</v>
      </c>
    </row>
    <row r="1511" spans="14:25">
      <c r="N1511" s="42">
        <v>44459</v>
      </c>
      <c r="O1511" t="s">
        <v>345</v>
      </c>
      <c r="P1511" s="42">
        <v>44459</v>
      </c>
      <c r="Q1511" t="s">
        <v>345</v>
      </c>
      <c r="R1511" t="s">
        <v>370</v>
      </c>
      <c r="S1511" t="s">
        <v>323</v>
      </c>
      <c r="T1511">
        <v>7.6</v>
      </c>
      <c r="W1511" t="s">
        <v>330</v>
      </c>
      <c r="Y1511" s="42">
        <v>44467</v>
      </c>
    </row>
    <row r="1512" spans="14:25">
      <c r="N1512" s="42">
        <v>44456</v>
      </c>
      <c r="O1512" t="s">
        <v>346</v>
      </c>
      <c r="P1512" s="42">
        <v>44456</v>
      </c>
      <c r="Q1512" t="s">
        <v>346</v>
      </c>
      <c r="R1512" t="s">
        <v>370</v>
      </c>
      <c r="S1512" t="s">
        <v>323</v>
      </c>
      <c r="T1512">
        <v>7.6</v>
      </c>
      <c r="W1512" t="s">
        <v>330</v>
      </c>
      <c r="Y1512" s="42">
        <v>44467</v>
      </c>
    </row>
    <row r="1513" spans="14:25">
      <c r="N1513" s="42">
        <v>44455</v>
      </c>
      <c r="O1513" t="s">
        <v>324</v>
      </c>
      <c r="P1513" s="42">
        <v>44455</v>
      </c>
      <c r="Q1513" t="s">
        <v>324</v>
      </c>
      <c r="R1513" t="s">
        <v>370</v>
      </c>
      <c r="S1513" t="s">
        <v>323</v>
      </c>
      <c r="T1513">
        <v>7.6</v>
      </c>
      <c r="W1513" t="s">
        <v>330</v>
      </c>
      <c r="Y1513" s="42">
        <v>44467</v>
      </c>
    </row>
    <row r="1514" spans="14:25">
      <c r="N1514" s="42">
        <v>44454</v>
      </c>
      <c r="O1514" t="s">
        <v>328</v>
      </c>
      <c r="P1514" s="42">
        <v>44454</v>
      </c>
      <c r="Q1514" t="s">
        <v>328</v>
      </c>
      <c r="R1514" t="s">
        <v>370</v>
      </c>
      <c r="S1514" t="s">
        <v>323</v>
      </c>
      <c r="T1514">
        <v>7.6</v>
      </c>
      <c r="W1514" t="s">
        <v>330</v>
      </c>
      <c r="Y1514" s="42">
        <v>44467</v>
      </c>
    </row>
    <row r="1515" spans="14:25">
      <c r="N1515" s="42">
        <v>44453</v>
      </c>
      <c r="O1515" t="s">
        <v>333</v>
      </c>
      <c r="P1515" s="42">
        <v>44453</v>
      </c>
      <c r="Q1515" t="s">
        <v>333</v>
      </c>
      <c r="R1515" t="s">
        <v>370</v>
      </c>
      <c r="S1515" t="s">
        <v>323</v>
      </c>
      <c r="T1515">
        <v>7.6</v>
      </c>
      <c r="W1515" t="s">
        <v>330</v>
      </c>
      <c r="Y1515" s="42">
        <v>44453</v>
      </c>
    </row>
    <row r="1516" spans="14:25">
      <c r="N1516" s="42">
        <v>44452</v>
      </c>
      <c r="O1516" t="s">
        <v>345</v>
      </c>
      <c r="P1516" s="42">
        <v>44452</v>
      </c>
      <c r="Q1516" t="s">
        <v>345</v>
      </c>
      <c r="R1516" t="s">
        <v>370</v>
      </c>
      <c r="S1516" t="s">
        <v>323</v>
      </c>
      <c r="T1516">
        <v>7.6</v>
      </c>
      <c r="W1516" t="s">
        <v>330</v>
      </c>
      <c r="Y1516" s="42">
        <v>44453</v>
      </c>
    </row>
    <row r="1517" spans="14:25">
      <c r="N1517" s="42">
        <v>44449</v>
      </c>
      <c r="O1517" t="s">
        <v>346</v>
      </c>
      <c r="P1517" s="42">
        <v>44449</v>
      </c>
      <c r="Q1517" t="s">
        <v>346</v>
      </c>
      <c r="R1517" t="s">
        <v>370</v>
      </c>
      <c r="S1517" t="s">
        <v>323</v>
      </c>
      <c r="T1517">
        <v>7.6</v>
      </c>
      <c r="W1517" t="s">
        <v>330</v>
      </c>
      <c r="Y1517" s="42">
        <v>44453</v>
      </c>
    </row>
    <row r="1518" spans="14:25">
      <c r="N1518" s="42">
        <v>44448</v>
      </c>
      <c r="O1518" t="s">
        <v>324</v>
      </c>
      <c r="P1518" s="42">
        <v>44448</v>
      </c>
      <c r="Q1518" t="s">
        <v>324</v>
      </c>
      <c r="R1518" t="s">
        <v>370</v>
      </c>
      <c r="S1518" t="s">
        <v>323</v>
      </c>
      <c r="T1518">
        <v>7.6</v>
      </c>
      <c r="W1518" t="s">
        <v>330</v>
      </c>
      <c r="Y1518" s="42">
        <v>44453</v>
      </c>
    </row>
    <row r="1519" spans="14:25">
      <c r="N1519" s="42">
        <v>44447</v>
      </c>
      <c r="O1519" t="s">
        <v>328</v>
      </c>
      <c r="P1519" s="42">
        <v>44447</v>
      </c>
      <c r="Q1519" t="s">
        <v>328</v>
      </c>
      <c r="R1519" t="s">
        <v>370</v>
      </c>
      <c r="S1519" t="s">
        <v>323</v>
      </c>
      <c r="T1519">
        <v>7.6</v>
      </c>
      <c r="W1519" t="s">
        <v>330</v>
      </c>
      <c r="Y1519" s="42">
        <v>44453</v>
      </c>
    </row>
    <row r="1520" spans="14:25">
      <c r="N1520" s="42">
        <v>44446</v>
      </c>
      <c r="O1520" t="s">
        <v>333</v>
      </c>
      <c r="P1520" s="42">
        <v>44446</v>
      </c>
      <c r="Q1520" t="s">
        <v>333</v>
      </c>
      <c r="R1520" t="s">
        <v>370</v>
      </c>
      <c r="S1520" t="s">
        <v>323</v>
      </c>
      <c r="T1520">
        <v>7.6</v>
      </c>
      <c r="W1520" t="s">
        <v>330</v>
      </c>
      <c r="Y1520" s="42">
        <v>44453</v>
      </c>
    </row>
    <row r="1521" spans="14:25">
      <c r="N1521" s="42">
        <v>44445</v>
      </c>
      <c r="O1521" t="s">
        <v>345</v>
      </c>
      <c r="P1521" s="42">
        <v>44445</v>
      </c>
      <c r="Q1521" t="s">
        <v>345</v>
      </c>
      <c r="R1521" t="s">
        <v>370</v>
      </c>
      <c r="S1521" t="s">
        <v>323</v>
      </c>
      <c r="T1521">
        <v>7.6</v>
      </c>
      <c r="W1521" t="s">
        <v>330</v>
      </c>
      <c r="Y1521" s="42">
        <v>44453</v>
      </c>
    </row>
    <row r="1522" spans="14:25">
      <c r="N1522" s="42">
        <v>44442</v>
      </c>
      <c r="O1522" t="s">
        <v>346</v>
      </c>
      <c r="P1522" s="42">
        <v>44442</v>
      </c>
      <c r="Q1522" t="s">
        <v>346</v>
      </c>
      <c r="R1522" t="s">
        <v>370</v>
      </c>
      <c r="S1522" t="s">
        <v>323</v>
      </c>
      <c r="T1522">
        <v>7.6</v>
      </c>
      <c r="W1522" t="s">
        <v>330</v>
      </c>
      <c r="Y1522" s="42">
        <v>44453</v>
      </c>
    </row>
    <row r="1523" spans="14:25">
      <c r="N1523" s="42">
        <v>44441</v>
      </c>
      <c r="O1523" t="s">
        <v>324</v>
      </c>
      <c r="P1523" s="42">
        <v>44441</v>
      </c>
      <c r="Q1523" t="s">
        <v>324</v>
      </c>
      <c r="R1523" t="s">
        <v>370</v>
      </c>
      <c r="S1523" t="s">
        <v>323</v>
      </c>
      <c r="T1523">
        <v>7.6</v>
      </c>
      <c r="W1523" t="s">
        <v>330</v>
      </c>
      <c r="Y1523" s="42">
        <v>44453</v>
      </c>
    </row>
    <row r="1524" spans="14:25">
      <c r="N1524" s="42">
        <v>44440</v>
      </c>
      <c r="O1524" t="s">
        <v>328</v>
      </c>
      <c r="P1524" s="42">
        <v>44440</v>
      </c>
      <c r="Q1524" t="s">
        <v>328</v>
      </c>
      <c r="R1524" t="s">
        <v>370</v>
      </c>
      <c r="S1524" t="s">
        <v>323</v>
      </c>
      <c r="T1524">
        <v>7.6</v>
      </c>
      <c r="W1524" t="s">
        <v>330</v>
      </c>
      <c r="Y1524" s="42">
        <v>44453</v>
      </c>
    </row>
    <row r="1525" spans="14:25">
      <c r="N1525" s="42">
        <v>44439</v>
      </c>
      <c r="O1525" t="s">
        <v>333</v>
      </c>
      <c r="P1525" s="42">
        <v>44439</v>
      </c>
      <c r="Q1525" t="s">
        <v>333</v>
      </c>
      <c r="R1525" t="s">
        <v>370</v>
      </c>
      <c r="S1525" t="s">
        <v>323</v>
      </c>
      <c r="T1525">
        <v>7.6</v>
      </c>
      <c r="W1525" t="s">
        <v>330</v>
      </c>
      <c r="Y1525" s="42">
        <v>44439</v>
      </c>
    </row>
    <row r="1526" spans="14:25">
      <c r="N1526" s="42">
        <v>44438</v>
      </c>
      <c r="O1526" t="s">
        <v>345</v>
      </c>
      <c r="P1526" s="42">
        <v>44438</v>
      </c>
      <c r="Q1526" t="s">
        <v>345</v>
      </c>
      <c r="R1526" t="s">
        <v>370</v>
      </c>
      <c r="S1526" t="s">
        <v>323</v>
      </c>
      <c r="T1526">
        <v>7.6</v>
      </c>
      <c r="W1526" t="s">
        <v>330</v>
      </c>
      <c r="Y1526" s="42">
        <v>44439</v>
      </c>
    </row>
    <row r="1527" spans="14:25">
      <c r="N1527" s="42">
        <v>44435</v>
      </c>
      <c r="O1527" t="s">
        <v>346</v>
      </c>
      <c r="P1527" s="42">
        <v>44435</v>
      </c>
      <c r="Q1527" t="s">
        <v>346</v>
      </c>
      <c r="R1527" t="s">
        <v>370</v>
      </c>
      <c r="S1527" t="s">
        <v>323</v>
      </c>
      <c r="T1527">
        <v>7.6</v>
      </c>
      <c r="W1527" t="s">
        <v>330</v>
      </c>
      <c r="Y1527" s="42">
        <v>44439</v>
      </c>
    </row>
    <row r="1528" spans="14:25">
      <c r="N1528" s="42">
        <v>44434</v>
      </c>
      <c r="O1528" t="s">
        <v>324</v>
      </c>
      <c r="P1528" s="42">
        <v>44434</v>
      </c>
      <c r="Q1528" t="s">
        <v>324</v>
      </c>
      <c r="R1528" t="s">
        <v>370</v>
      </c>
      <c r="S1528" t="s">
        <v>323</v>
      </c>
      <c r="T1528">
        <v>7.6</v>
      </c>
      <c r="W1528" t="s">
        <v>330</v>
      </c>
      <c r="Y1528" s="42">
        <v>44439</v>
      </c>
    </row>
    <row r="1529" spans="14:25">
      <c r="N1529" s="42">
        <v>44433</v>
      </c>
      <c r="O1529" t="s">
        <v>328</v>
      </c>
      <c r="P1529" s="42">
        <v>44433</v>
      </c>
      <c r="Q1529" t="s">
        <v>328</v>
      </c>
      <c r="R1529" t="s">
        <v>370</v>
      </c>
      <c r="S1529" t="s">
        <v>323</v>
      </c>
      <c r="T1529">
        <v>7.6</v>
      </c>
      <c r="W1529" t="s">
        <v>330</v>
      </c>
      <c r="Y1529" s="42">
        <v>44439</v>
      </c>
    </row>
    <row r="1530" spans="14:25">
      <c r="N1530" s="42">
        <v>44432</v>
      </c>
      <c r="O1530" t="s">
        <v>333</v>
      </c>
      <c r="P1530" s="42">
        <v>44432</v>
      </c>
      <c r="Q1530" t="s">
        <v>333</v>
      </c>
      <c r="R1530" t="s">
        <v>370</v>
      </c>
      <c r="S1530" t="s">
        <v>323</v>
      </c>
      <c r="T1530">
        <v>7.6</v>
      </c>
      <c r="W1530" t="s">
        <v>330</v>
      </c>
      <c r="Y1530" s="42">
        <v>44439</v>
      </c>
    </row>
    <row r="1531" spans="14:25">
      <c r="N1531" s="42">
        <v>44431</v>
      </c>
      <c r="O1531" t="s">
        <v>345</v>
      </c>
      <c r="P1531" s="42">
        <v>44431</v>
      </c>
      <c r="Q1531" t="s">
        <v>345</v>
      </c>
      <c r="R1531" t="s">
        <v>370</v>
      </c>
      <c r="S1531" t="s">
        <v>323</v>
      </c>
      <c r="T1531">
        <v>7.6</v>
      </c>
      <c r="W1531" t="s">
        <v>330</v>
      </c>
      <c r="Y1531" s="42">
        <v>44439</v>
      </c>
    </row>
    <row r="1532" spans="14:25">
      <c r="N1532" s="42">
        <v>44428</v>
      </c>
      <c r="O1532" t="s">
        <v>346</v>
      </c>
      <c r="P1532" s="42">
        <v>44428</v>
      </c>
      <c r="Q1532" t="s">
        <v>346</v>
      </c>
      <c r="R1532" t="s">
        <v>370</v>
      </c>
      <c r="S1532" t="s">
        <v>323</v>
      </c>
      <c r="T1532">
        <v>7.6</v>
      </c>
      <c r="W1532" t="s">
        <v>330</v>
      </c>
      <c r="Y1532" s="42">
        <v>44439</v>
      </c>
    </row>
    <row r="1533" spans="14:25">
      <c r="N1533" s="42">
        <v>44427</v>
      </c>
      <c r="O1533" t="s">
        <v>324</v>
      </c>
      <c r="P1533" s="42">
        <v>44427</v>
      </c>
      <c r="Q1533" t="s">
        <v>324</v>
      </c>
      <c r="R1533" t="s">
        <v>370</v>
      </c>
      <c r="S1533" t="s">
        <v>323</v>
      </c>
      <c r="T1533">
        <v>7.6</v>
      </c>
      <c r="W1533" t="s">
        <v>330</v>
      </c>
      <c r="Y1533" s="42">
        <v>44439</v>
      </c>
    </row>
    <row r="1534" spans="14:25">
      <c r="N1534" s="42">
        <v>44426</v>
      </c>
      <c r="O1534" t="s">
        <v>328</v>
      </c>
      <c r="P1534" s="42">
        <v>44426</v>
      </c>
      <c r="Q1534" t="s">
        <v>328</v>
      </c>
      <c r="R1534" t="s">
        <v>370</v>
      </c>
      <c r="S1534" t="s">
        <v>323</v>
      </c>
      <c r="T1534">
        <v>7.6</v>
      </c>
      <c r="W1534" t="s">
        <v>330</v>
      </c>
      <c r="Y1534" s="42">
        <v>44439</v>
      </c>
    </row>
    <row r="1535" spans="14:25">
      <c r="N1535" s="42">
        <v>44425</v>
      </c>
      <c r="O1535" t="s">
        <v>333</v>
      </c>
      <c r="P1535" s="42">
        <v>44425</v>
      </c>
      <c r="Q1535" t="s">
        <v>333</v>
      </c>
      <c r="R1535" t="s">
        <v>370</v>
      </c>
      <c r="S1535" t="s">
        <v>323</v>
      </c>
      <c r="T1535">
        <v>7.6</v>
      </c>
      <c r="W1535" t="s">
        <v>330</v>
      </c>
      <c r="Y1535" s="42">
        <v>44425</v>
      </c>
    </row>
    <row r="1536" spans="14:25">
      <c r="N1536" s="42">
        <v>44424</v>
      </c>
      <c r="O1536" t="s">
        <v>345</v>
      </c>
      <c r="P1536" s="42">
        <v>44424</v>
      </c>
      <c r="Q1536" t="s">
        <v>345</v>
      </c>
      <c r="R1536" t="s">
        <v>370</v>
      </c>
      <c r="S1536" t="s">
        <v>323</v>
      </c>
      <c r="T1536">
        <v>7.6</v>
      </c>
      <c r="W1536" t="s">
        <v>330</v>
      </c>
      <c r="Y1536" s="42">
        <v>44425</v>
      </c>
    </row>
    <row r="1537" spans="14:25">
      <c r="N1537" s="42">
        <v>44421</v>
      </c>
      <c r="O1537" t="s">
        <v>346</v>
      </c>
      <c r="P1537" s="42">
        <v>44421</v>
      </c>
      <c r="Q1537" t="s">
        <v>346</v>
      </c>
      <c r="R1537" t="s">
        <v>370</v>
      </c>
      <c r="S1537" t="s">
        <v>323</v>
      </c>
      <c r="T1537">
        <v>7.6</v>
      </c>
      <c r="W1537" t="s">
        <v>330</v>
      </c>
      <c r="Y1537" s="42">
        <v>44425</v>
      </c>
    </row>
    <row r="1538" spans="14:25">
      <c r="N1538" s="42">
        <v>44420</v>
      </c>
      <c r="O1538" t="s">
        <v>324</v>
      </c>
      <c r="P1538" s="42">
        <v>44420</v>
      </c>
      <c r="Q1538" t="s">
        <v>324</v>
      </c>
      <c r="R1538" t="s">
        <v>370</v>
      </c>
      <c r="S1538" t="s">
        <v>323</v>
      </c>
      <c r="T1538">
        <v>7.6</v>
      </c>
      <c r="W1538" t="s">
        <v>330</v>
      </c>
      <c r="Y1538" s="42">
        <v>44425</v>
      </c>
    </row>
    <row r="1539" spans="14:25">
      <c r="N1539" s="42">
        <v>44419</v>
      </c>
      <c r="O1539" t="s">
        <v>328</v>
      </c>
      <c r="P1539" s="42">
        <v>44419</v>
      </c>
      <c r="Q1539" t="s">
        <v>328</v>
      </c>
      <c r="R1539" t="s">
        <v>370</v>
      </c>
      <c r="S1539" t="s">
        <v>323</v>
      </c>
      <c r="T1539">
        <v>7.6</v>
      </c>
      <c r="W1539" t="s">
        <v>330</v>
      </c>
      <c r="Y1539" s="42">
        <v>44425</v>
      </c>
    </row>
    <row r="1540" spans="14:25">
      <c r="N1540" s="42">
        <v>44418</v>
      </c>
      <c r="O1540" t="s">
        <v>333</v>
      </c>
      <c r="P1540" s="42">
        <v>44418</v>
      </c>
      <c r="Q1540" t="s">
        <v>333</v>
      </c>
      <c r="R1540" t="s">
        <v>370</v>
      </c>
      <c r="S1540" t="s">
        <v>323</v>
      </c>
      <c r="T1540">
        <v>7.6</v>
      </c>
      <c r="W1540" t="s">
        <v>330</v>
      </c>
      <c r="Y1540" s="42">
        <v>44425</v>
      </c>
    </row>
    <row r="1541" spans="14:25">
      <c r="N1541" s="42">
        <v>44417</v>
      </c>
      <c r="O1541" t="s">
        <v>345</v>
      </c>
      <c r="P1541" s="42">
        <v>44417</v>
      </c>
      <c r="Q1541" t="s">
        <v>345</v>
      </c>
      <c r="R1541" t="s">
        <v>370</v>
      </c>
      <c r="S1541" t="s">
        <v>323</v>
      </c>
      <c r="T1541">
        <v>7.6</v>
      </c>
      <c r="W1541" t="s">
        <v>330</v>
      </c>
      <c r="Y1541" s="42">
        <v>44425</v>
      </c>
    </row>
    <row r="1542" spans="14:25">
      <c r="N1542" s="42">
        <v>44414</v>
      </c>
      <c r="O1542" t="s">
        <v>346</v>
      </c>
      <c r="P1542" s="42">
        <v>44414</v>
      </c>
      <c r="Q1542" t="s">
        <v>346</v>
      </c>
      <c r="R1542" t="s">
        <v>370</v>
      </c>
      <c r="S1542" t="s">
        <v>323</v>
      </c>
      <c r="T1542">
        <v>7.6</v>
      </c>
      <c r="W1542" t="s">
        <v>330</v>
      </c>
      <c r="Y1542" s="42">
        <v>44425</v>
      </c>
    </row>
    <row r="1543" spans="14:25">
      <c r="N1543" s="42">
        <v>44413</v>
      </c>
      <c r="O1543" t="s">
        <v>324</v>
      </c>
      <c r="P1543" s="42">
        <v>44413</v>
      </c>
      <c r="Q1543" t="s">
        <v>324</v>
      </c>
      <c r="R1543" t="s">
        <v>370</v>
      </c>
      <c r="S1543" t="s">
        <v>323</v>
      </c>
      <c r="T1543">
        <v>7.6</v>
      </c>
      <c r="W1543" t="s">
        <v>330</v>
      </c>
      <c r="Y1543" s="42">
        <v>44425</v>
      </c>
    </row>
    <row r="1544" spans="14:25">
      <c r="N1544" s="42">
        <v>44412</v>
      </c>
      <c r="O1544" t="s">
        <v>328</v>
      </c>
      <c r="P1544" s="42">
        <v>44412</v>
      </c>
      <c r="Q1544" t="s">
        <v>328</v>
      </c>
      <c r="R1544" t="s">
        <v>370</v>
      </c>
      <c r="S1544" t="s">
        <v>323</v>
      </c>
      <c r="T1544">
        <v>7.6</v>
      </c>
      <c r="W1544" t="s">
        <v>330</v>
      </c>
      <c r="Y1544" s="42">
        <v>44425</v>
      </c>
    </row>
    <row r="1545" spans="14:25">
      <c r="N1545" s="42">
        <v>44411</v>
      </c>
      <c r="O1545" t="s">
        <v>333</v>
      </c>
      <c r="P1545" s="42">
        <v>44411</v>
      </c>
      <c r="Q1545" t="s">
        <v>333</v>
      </c>
      <c r="R1545" t="s">
        <v>370</v>
      </c>
      <c r="S1545" t="s">
        <v>323</v>
      </c>
      <c r="T1545">
        <v>7.6</v>
      </c>
      <c r="W1545" t="s">
        <v>330</v>
      </c>
      <c r="Y1545" s="42">
        <v>44411</v>
      </c>
    </row>
    <row r="1546" spans="14:25">
      <c r="N1546" s="42">
        <v>44410</v>
      </c>
      <c r="O1546" t="s">
        <v>345</v>
      </c>
      <c r="P1546" s="42">
        <v>44410</v>
      </c>
      <c r="Q1546" t="s">
        <v>345</v>
      </c>
      <c r="R1546" t="s">
        <v>370</v>
      </c>
      <c r="S1546" t="s">
        <v>323</v>
      </c>
      <c r="T1546">
        <v>7.6</v>
      </c>
      <c r="W1546" t="s">
        <v>330</v>
      </c>
      <c r="Y1546" s="42">
        <v>44411</v>
      </c>
    </row>
    <row r="1547" spans="14:25">
      <c r="N1547" s="42">
        <v>44407</v>
      </c>
      <c r="O1547" t="s">
        <v>346</v>
      </c>
      <c r="P1547" s="42">
        <v>44407</v>
      </c>
      <c r="Q1547" t="s">
        <v>346</v>
      </c>
      <c r="R1547" t="s">
        <v>370</v>
      </c>
      <c r="S1547" t="s">
        <v>323</v>
      </c>
      <c r="T1547">
        <v>7.6</v>
      </c>
      <c r="W1547" t="s">
        <v>330</v>
      </c>
      <c r="Y1547" s="42">
        <v>44411</v>
      </c>
    </row>
    <row r="1548" spans="14:25">
      <c r="N1548" s="42">
        <v>44406</v>
      </c>
      <c r="O1548" t="s">
        <v>324</v>
      </c>
      <c r="P1548" s="42">
        <v>44406</v>
      </c>
      <c r="Q1548" t="s">
        <v>324</v>
      </c>
      <c r="R1548" t="s">
        <v>370</v>
      </c>
      <c r="S1548" t="s">
        <v>323</v>
      </c>
      <c r="T1548">
        <v>7.6</v>
      </c>
      <c r="W1548" t="s">
        <v>330</v>
      </c>
      <c r="Y1548" s="42">
        <v>44411</v>
      </c>
    </row>
    <row r="1549" spans="14:25">
      <c r="N1549" s="42">
        <v>44405</v>
      </c>
      <c r="O1549" t="s">
        <v>328</v>
      </c>
      <c r="P1549" s="42">
        <v>44405</v>
      </c>
      <c r="Q1549" t="s">
        <v>328</v>
      </c>
      <c r="R1549" t="s">
        <v>370</v>
      </c>
      <c r="S1549" t="s">
        <v>323</v>
      </c>
      <c r="T1549">
        <v>7.6</v>
      </c>
      <c r="W1549" t="s">
        <v>330</v>
      </c>
      <c r="Y1549" s="42">
        <v>44411</v>
      </c>
    </row>
    <row r="1550" spans="14:25">
      <c r="N1550" s="42">
        <v>44404</v>
      </c>
      <c r="O1550" t="s">
        <v>333</v>
      </c>
      <c r="P1550" s="42">
        <v>44404</v>
      </c>
      <c r="Q1550" t="s">
        <v>333</v>
      </c>
      <c r="R1550" t="s">
        <v>370</v>
      </c>
      <c r="S1550" t="s">
        <v>323</v>
      </c>
      <c r="T1550">
        <v>7.6</v>
      </c>
      <c r="W1550" t="s">
        <v>330</v>
      </c>
      <c r="Y1550" s="42">
        <v>44411</v>
      </c>
    </row>
    <row r="1551" spans="14:25">
      <c r="N1551" s="42">
        <v>44403</v>
      </c>
      <c r="O1551" t="s">
        <v>345</v>
      </c>
      <c r="P1551" s="42">
        <v>44403</v>
      </c>
      <c r="Q1551" t="s">
        <v>345</v>
      </c>
      <c r="R1551" t="s">
        <v>370</v>
      </c>
      <c r="S1551" t="s">
        <v>323</v>
      </c>
      <c r="T1551">
        <v>7.6</v>
      </c>
      <c r="W1551" t="s">
        <v>330</v>
      </c>
      <c r="Y1551" s="42">
        <v>44411</v>
      </c>
    </row>
    <row r="1552" spans="14:25">
      <c r="N1552" s="42">
        <v>44400</v>
      </c>
      <c r="O1552" t="s">
        <v>346</v>
      </c>
      <c r="P1552" s="42">
        <v>44400</v>
      </c>
      <c r="Q1552" t="s">
        <v>346</v>
      </c>
      <c r="R1552" t="s">
        <v>370</v>
      </c>
      <c r="S1552" t="s">
        <v>323</v>
      </c>
      <c r="T1552">
        <v>7.6</v>
      </c>
      <c r="W1552" t="s">
        <v>330</v>
      </c>
      <c r="Y1552" s="42">
        <v>44411</v>
      </c>
    </row>
    <row r="1553" spans="14:25">
      <c r="N1553" s="42">
        <v>44399</v>
      </c>
      <c r="O1553" t="s">
        <v>324</v>
      </c>
      <c r="P1553" s="42">
        <v>44399</v>
      </c>
      <c r="Q1553" t="s">
        <v>324</v>
      </c>
      <c r="R1553" t="s">
        <v>370</v>
      </c>
      <c r="S1553" t="s">
        <v>323</v>
      </c>
      <c r="T1553">
        <v>7.6</v>
      </c>
      <c r="W1553" t="s">
        <v>330</v>
      </c>
      <c r="Y1553" s="42">
        <v>44411</v>
      </c>
    </row>
    <row r="1554" spans="14:25">
      <c r="N1554" s="42">
        <v>44398</v>
      </c>
      <c r="O1554" t="s">
        <v>328</v>
      </c>
      <c r="P1554" s="42">
        <v>44398</v>
      </c>
      <c r="Q1554" t="s">
        <v>328</v>
      </c>
      <c r="R1554" t="s">
        <v>370</v>
      </c>
      <c r="S1554" t="s">
        <v>323</v>
      </c>
      <c r="T1554">
        <v>7.6</v>
      </c>
      <c r="W1554" t="s">
        <v>330</v>
      </c>
      <c r="Y1554" s="42">
        <v>44411</v>
      </c>
    </row>
    <row r="1555" spans="14:25">
      <c r="N1555" s="42">
        <v>44397</v>
      </c>
      <c r="O1555" t="s">
        <v>333</v>
      </c>
      <c r="P1555" s="42">
        <v>44397</v>
      </c>
      <c r="Q1555" t="s">
        <v>333</v>
      </c>
      <c r="R1555" t="s">
        <v>370</v>
      </c>
      <c r="S1555" t="s">
        <v>323</v>
      </c>
      <c r="T1555">
        <v>7.6</v>
      </c>
      <c r="W1555" t="s">
        <v>330</v>
      </c>
      <c r="Y1555" s="42">
        <v>44397</v>
      </c>
    </row>
    <row r="1556" spans="14:25">
      <c r="N1556" s="42">
        <v>44396</v>
      </c>
      <c r="O1556" t="s">
        <v>345</v>
      </c>
      <c r="P1556" s="42">
        <v>44396</v>
      </c>
      <c r="Q1556" t="s">
        <v>345</v>
      </c>
      <c r="R1556" t="s">
        <v>370</v>
      </c>
      <c r="S1556" t="s">
        <v>323</v>
      </c>
      <c r="T1556">
        <v>7.6</v>
      </c>
      <c r="W1556" t="s">
        <v>330</v>
      </c>
      <c r="Y1556" s="42">
        <v>44397</v>
      </c>
    </row>
    <row r="1557" spans="14:25">
      <c r="N1557" s="42">
        <v>44393</v>
      </c>
      <c r="O1557" t="s">
        <v>346</v>
      </c>
      <c r="P1557" s="42">
        <v>44393</v>
      </c>
      <c r="Q1557" t="s">
        <v>346</v>
      </c>
      <c r="R1557" t="s">
        <v>370</v>
      </c>
      <c r="S1557" t="s">
        <v>323</v>
      </c>
      <c r="T1557">
        <v>7.6</v>
      </c>
      <c r="W1557" t="s">
        <v>330</v>
      </c>
      <c r="Y1557" s="42">
        <v>44397</v>
      </c>
    </row>
    <row r="1558" spans="14:25">
      <c r="N1558" s="42">
        <v>44392</v>
      </c>
      <c r="O1558" t="s">
        <v>324</v>
      </c>
      <c r="P1558" s="42">
        <v>44392</v>
      </c>
      <c r="Q1558" t="s">
        <v>324</v>
      </c>
      <c r="R1558" t="s">
        <v>370</v>
      </c>
      <c r="S1558" t="s">
        <v>323</v>
      </c>
      <c r="T1558">
        <v>7.6</v>
      </c>
      <c r="W1558" t="s">
        <v>330</v>
      </c>
      <c r="Y1558" s="42">
        <v>44397</v>
      </c>
    </row>
    <row r="1559" spans="14:25">
      <c r="N1559" s="42">
        <v>44391</v>
      </c>
      <c r="O1559" t="s">
        <v>328</v>
      </c>
      <c r="P1559" s="42">
        <v>44391</v>
      </c>
      <c r="Q1559" t="s">
        <v>328</v>
      </c>
      <c r="R1559" t="s">
        <v>370</v>
      </c>
      <c r="S1559" t="s">
        <v>323</v>
      </c>
      <c r="T1559">
        <v>7.6</v>
      </c>
      <c r="W1559" t="s">
        <v>330</v>
      </c>
      <c r="Y1559" s="42">
        <v>44397</v>
      </c>
    </row>
    <row r="1560" spans="14:25">
      <c r="N1560" s="42">
        <v>44390</v>
      </c>
      <c r="O1560" t="s">
        <v>333</v>
      </c>
      <c r="P1560" s="42">
        <v>44390</v>
      </c>
      <c r="Q1560" t="s">
        <v>333</v>
      </c>
      <c r="R1560" t="s">
        <v>370</v>
      </c>
      <c r="S1560" t="s">
        <v>323</v>
      </c>
      <c r="T1560">
        <v>7.6</v>
      </c>
      <c r="W1560" t="s">
        <v>330</v>
      </c>
      <c r="Y1560" s="42">
        <v>44397</v>
      </c>
    </row>
    <row r="1561" spans="14:25">
      <c r="N1561" s="42">
        <v>44389</v>
      </c>
      <c r="O1561" t="s">
        <v>345</v>
      </c>
      <c r="P1561" s="42">
        <v>44389</v>
      </c>
      <c r="Q1561" t="s">
        <v>345</v>
      </c>
      <c r="R1561" t="s">
        <v>370</v>
      </c>
      <c r="S1561" t="s">
        <v>323</v>
      </c>
      <c r="T1561">
        <v>7.6</v>
      </c>
      <c r="W1561" t="s">
        <v>330</v>
      </c>
      <c r="Y1561" s="42">
        <v>44397</v>
      </c>
    </row>
    <row r="1562" spans="14:25">
      <c r="N1562" s="42">
        <v>44386</v>
      </c>
      <c r="O1562" t="s">
        <v>346</v>
      </c>
      <c r="P1562" s="42">
        <v>44386</v>
      </c>
      <c r="Q1562" t="s">
        <v>346</v>
      </c>
      <c r="R1562" t="s">
        <v>370</v>
      </c>
      <c r="S1562" t="s">
        <v>323</v>
      </c>
      <c r="T1562">
        <v>7.6</v>
      </c>
      <c r="W1562" t="s">
        <v>330</v>
      </c>
      <c r="Y1562" s="42">
        <v>44397</v>
      </c>
    </row>
    <row r="1563" spans="14:25">
      <c r="N1563" s="42">
        <v>44385</v>
      </c>
      <c r="O1563" t="s">
        <v>324</v>
      </c>
      <c r="P1563" s="42">
        <v>44385</v>
      </c>
      <c r="Q1563" t="s">
        <v>324</v>
      </c>
      <c r="R1563" t="s">
        <v>370</v>
      </c>
      <c r="S1563" t="s">
        <v>323</v>
      </c>
      <c r="T1563">
        <v>7.6</v>
      </c>
      <c r="W1563" t="s">
        <v>330</v>
      </c>
      <c r="Y1563" s="42">
        <v>44397</v>
      </c>
    </row>
    <row r="1564" spans="14:25">
      <c r="N1564" s="42">
        <v>44384</v>
      </c>
      <c r="O1564" t="s">
        <v>328</v>
      </c>
      <c r="P1564" s="42">
        <v>44384</v>
      </c>
      <c r="Q1564" t="s">
        <v>328</v>
      </c>
      <c r="R1564" t="s">
        <v>370</v>
      </c>
      <c r="S1564" t="s">
        <v>323</v>
      </c>
      <c r="T1564">
        <v>7.6</v>
      </c>
      <c r="W1564" t="s">
        <v>330</v>
      </c>
      <c r="Y1564" s="42">
        <v>44397</v>
      </c>
    </row>
    <row r="1565" spans="14:25">
      <c r="N1565" s="42">
        <v>44383</v>
      </c>
      <c r="O1565" t="s">
        <v>333</v>
      </c>
      <c r="P1565" s="42">
        <v>44383</v>
      </c>
      <c r="Q1565" t="s">
        <v>333</v>
      </c>
      <c r="R1565" t="s">
        <v>370</v>
      </c>
      <c r="S1565" t="s">
        <v>323</v>
      </c>
      <c r="T1565">
        <v>7.6</v>
      </c>
      <c r="W1565" t="s">
        <v>330</v>
      </c>
      <c r="Y1565" s="42">
        <v>44383</v>
      </c>
    </row>
    <row r="1566" spans="14:25">
      <c r="N1566" s="42">
        <v>44382</v>
      </c>
      <c r="O1566" t="s">
        <v>345</v>
      </c>
      <c r="P1566" s="42">
        <v>44382</v>
      </c>
      <c r="Q1566" t="s">
        <v>345</v>
      </c>
      <c r="R1566" t="s">
        <v>370</v>
      </c>
      <c r="S1566" t="s">
        <v>323</v>
      </c>
      <c r="T1566">
        <v>7.6</v>
      </c>
      <c r="W1566" t="s">
        <v>330</v>
      </c>
      <c r="Y1566" s="42">
        <v>44383</v>
      </c>
    </row>
    <row r="1567" spans="14:25">
      <c r="N1567" s="42">
        <v>44379</v>
      </c>
      <c r="O1567" t="s">
        <v>346</v>
      </c>
      <c r="P1567" s="42">
        <v>44379</v>
      </c>
      <c r="Q1567" t="s">
        <v>346</v>
      </c>
      <c r="R1567" t="s">
        <v>370</v>
      </c>
      <c r="S1567" t="s">
        <v>323</v>
      </c>
      <c r="T1567">
        <v>7.6</v>
      </c>
      <c r="W1567" t="s">
        <v>330</v>
      </c>
      <c r="Y1567" s="42">
        <v>44383</v>
      </c>
    </row>
    <row r="1568" spans="14:25">
      <c r="N1568" s="42">
        <v>44378</v>
      </c>
      <c r="O1568" t="s">
        <v>324</v>
      </c>
      <c r="P1568" s="42">
        <v>44378</v>
      </c>
      <c r="Q1568" t="s">
        <v>324</v>
      </c>
      <c r="R1568" t="s">
        <v>370</v>
      </c>
      <c r="S1568" t="s">
        <v>323</v>
      </c>
      <c r="T1568">
        <v>7.6</v>
      </c>
      <c r="W1568" t="s">
        <v>330</v>
      </c>
      <c r="Y1568" s="42">
        <v>44383</v>
      </c>
    </row>
    <row r="1569" spans="14:25">
      <c r="N1569" s="42">
        <v>44377</v>
      </c>
      <c r="O1569" t="s">
        <v>328</v>
      </c>
      <c r="P1569" s="42">
        <v>44377</v>
      </c>
      <c r="Q1569" t="s">
        <v>328</v>
      </c>
      <c r="R1569" t="s">
        <v>370</v>
      </c>
      <c r="S1569" t="s">
        <v>323</v>
      </c>
      <c r="T1569">
        <v>7.6</v>
      </c>
      <c r="W1569" t="s">
        <v>330</v>
      </c>
      <c r="Y1569" s="42">
        <v>44383</v>
      </c>
    </row>
    <row r="1570" spans="14:25">
      <c r="N1570" s="42">
        <v>44376</v>
      </c>
      <c r="O1570" t="s">
        <v>333</v>
      </c>
      <c r="P1570" s="42">
        <v>44376</v>
      </c>
      <c r="Q1570" t="s">
        <v>333</v>
      </c>
      <c r="R1570" t="s">
        <v>370</v>
      </c>
      <c r="S1570" t="s">
        <v>323</v>
      </c>
      <c r="T1570">
        <v>7.6</v>
      </c>
      <c r="W1570" t="s">
        <v>330</v>
      </c>
      <c r="Y1570" s="42">
        <v>44383</v>
      </c>
    </row>
    <row r="1571" spans="14:25">
      <c r="N1571" s="42">
        <v>44375</v>
      </c>
      <c r="O1571" t="s">
        <v>345</v>
      </c>
      <c r="P1571" s="42">
        <v>44375</v>
      </c>
      <c r="Q1571" t="s">
        <v>345</v>
      </c>
      <c r="R1571" t="s">
        <v>370</v>
      </c>
      <c r="S1571" t="s">
        <v>323</v>
      </c>
      <c r="T1571">
        <v>7.6</v>
      </c>
      <c r="W1571" t="s">
        <v>330</v>
      </c>
      <c r="Y1571" s="42">
        <v>44383</v>
      </c>
    </row>
    <row r="1572" spans="14:25">
      <c r="N1572" s="42">
        <v>44372</v>
      </c>
      <c r="O1572" t="s">
        <v>346</v>
      </c>
      <c r="P1572" s="42">
        <v>44372</v>
      </c>
      <c r="Q1572" t="s">
        <v>346</v>
      </c>
      <c r="R1572" t="s">
        <v>370</v>
      </c>
      <c r="S1572" t="s">
        <v>323</v>
      </c>
      <c r="T1572">
        <v>7.6</v>
      </c>
      <c r="W1572" t="s">
        <v>330</v>
      </c>
      <c r="Y1572" s="42">
        <v>44383</v>
      </c>
    </row>
    <row r="1573" spans="14:25">
      <c r="N1573" s="42">
        <v>44371</v>
      </c>
      <c r="O1573" t="s">
        <v>324</v>
      </c>
      <c r="P1573" s="42">
        <v>44371</v>
      </c>
      <c r="Q1573" t="s">
        <v>324</v>
      </c>
      <c r="R1573" t="s">
        <v>370</v>
      </c>
      <c r="S1573" t="s">
        <v>323</v>
      </c>
      <c r="T1573">
        <v>7.6</v>
      </c>
      <c r="W1573" t="s">
        <v>330</v>
      </c>
      <c r="Y1573" s="42">
        <v>44383</v>
      </c>
    </row>
    <row r="1574" spans="14:25">
      <c r="N1574" s="42">
        <v>44370</v>
      </c>
      <c r="O1574" t="s">
        <v>328</v>
      </c>
      <c r="P1574" s="42">
        <v>44370</v>
      </c>
      <c r="Q1574" t="s">
        <v>328</v>
      </c>
      <c r="R1574" t="s">
        <v>370</v>
      </c>
      <c r="S1574" t="s">
        <v>323</v>
      </c>
      <c r="T1574">
        <v>7.6</v>
      </c>
      <c r="W1574" t="s">
        <v>330</v>
      </c>
      <c r="Y1574" s="42">
        <v>44383</v>
      </c>
    </row>
    <row r="1575" spans="14:25">
      <c r="N1575" s="42">
        <v>44369</v>
      </c>
      <c r="O1575" t="s">
        <v>333</v>
      </c>
      <c r="P1575" s="42">
        <v>44369</v>
      </c>
      <c r="Q1575" t="s">
        <v>333</v>
      </c>
      <c r="R1575" t="s">
        <v>370</v>
      </c>
      <c r="S1575" t="s">
        <v>323</v>
      </c>
      <c r="T1575">
        <v>7.6</v>
      </c>
      <c r="W1575" t="s">
        <v>330</v>
      </c>
      <c r="Y1575" s="42">
        <v>44369</v>
      </c>
    </row>
    <row r="1576" spans="14:25">
      <c r="N1576" s="42">
        <v>44368</v>
      </c>
      <c r="O1576" t="s">
        <v>345</v>
      </c>
      <c r="P1576" s="42">
        <v>44368</v>
      </c>
      <c r="Q1576" t="s">
        <v>345</v>
      </c>
      <c r="R1576" t="s">
        <v>370</v>
      </c>
      <c r="S1576" t="s">
        <v>323</v>
      </c>
      <c r="T1576">
        <v>7.6</v>
      </c>
      <c r="W1576" t="s">
        <v>330</v>
      </c>
      <c r="Y1576" s="42">
        <v>44369</v>
      </c>
    </row>
    <row r="1577" spans="14:25">
      <c r="N1577" s="42">
        <v>44365</v>
      </c>
      <c r="O1577" t="s">
        <v>346</v>
      </c>
      <c r="P1577" s="42">
        <v>44365</v>
      </c>
      <c r="Q1577" t="s">
        <v>346</v>
      </c>
      <c r="R1577" t="s">
        <v>370</v>
      </c>
      <c r="S1577" t="s">
        <v>323</v>
      </c>
      <c r="T1577">
        <v>7.6</v>
      </c>
      <c r="W1577" t="s">
        <v>330</v>
      </c>
      <c r="Y1577" s="42">
        <v>44369</v>
      </c>
    </row>
    <row r="1578" spans="14:25">
      <c r="N1578" s="42">
        <v>44364</v>
      </c>
      <c r="O1578" t="s">
        <v>324</v>
      </c>
      <c r="P1578" s="42">
        <v>44364</v>
      </c>
      <c r="Q1578" t="s">
        <v>324</v>
      </c>
      <c r="R1578" t="s">
        <v>370</v>
      </c>
      <c r="S1578" t="s">
        <v>323</v>
      </c>
      <c r="T1578">
        <v>7.6</v>
      </c>
      <c r="W1578" t="s">
        <v>330</v>
      </c>
      <c r="Y1578" s="42">
        <v>44369</v>
      </c>
    </row>
    <row r="1579" spans="14:25">
      <c r="N1579" s="42">
        <v>44363</v>
      </c>
      <c r="O1579" t="s">
        <v>328</v>
      </c>
      <c r="P1579" s="42">
        <v>44363</v>
      </c>
      <c r="Q1579" t="s">
        <v>328</v>
      </c>
      <c r="R1579" t="s">
        <v>370</v>
      </c>
      <c r="S1579" t="s">
        <v>323</v>
      </c>
      <c r="T1579">
        <v>7.6</v>
      </c>
      <c r="W1579" t="s">
        <v>330</v>
      </c>
      <c r="Y1579" s="42">
        <v>44369</v>
      </c>
    </row>
    <row r="1580" spans="14:25">
      <c r="N1580" s="42">
        <v>44362</v>
      </c>
      <c r="O1580" t="s">
        <v>333</v>
      </c>
      <c r="P1580" s="42">
        <v>44362</v>
      </c>
      <c r="Q1580" t="s">
        <v>333</v>
      </c>
      <c r="R1580" t="s">
        <v>370</v>
      </c>
      <c r="S1580" t="s">
        <v>323</v>
      </c>
      <c r="T1580">
        <v>7.6</v>
      </c>
      <c r="W1580" t="s">
        <v>330</v>
      </c>
      <c r="Y1580" s="42">
        <v>44369</v>
      </c>
    </row>
    <row r="1581" spans="14:25">
      <c r="N1581" s="42">
        <v>44361</v>
      </c>
      <c r="O1581" t="s">
        <v>345</v>
      </c>
      <c r="P1581" s="42">
        <v>44361</v>
      </c>
      <c r="Q1581" t="s">
        <v>345</v>
      </c>
      <c r="R1581" t="s">
        <v>370</v>
      </c>
      <c r="S1581" t="s">
        <v>323</v>
      </c>
      <c r="T1581">
        <v>7.6</v>
      </c>
      <c r="W1581" t="s">
        <v>330</v>
      </c>
      <c r="Y1581" s="42">
        <v>44369</v>
      </c>
    </row>
    <row r="1582" spans="14:25">
      <c r="N1582" s="42">
        <v>44358</v>
      </c>
      <c r="O1582" t="s">
        <v>346</v>
      </c>
      <c r="P1582" s="42">
        <v>44358</v>
      </c>
      <c r="Q1582" t="s">
        <v>346</v>
      </c>
      <c r="R1582" t="s">
        <v>370</v>
      </c>
      <c r="S1582" t="s">
        <v>323</v>
      </c>
      <c r="T1582">
        <v>7.6</v>
      </c>
      <c r="W1582" t="s">
        <v>330</v>
      </c>
      <c r="Y1582" s="42">
        <v>44369</v>
      </c>
    </row>
    <row r="1583" spans="14:25">
      <c r="N1583" s="42">
        <v>44357</v>
      </c>
      <c r="O1583" t="s">
        <v>324</v>
      </c>
      <c r="P1583" s="42">
        <v>44357</v>
      </c>
      <c r="Q1583" t="s">
        <v>324</v>
      </c>
      <c r="R1583" t="s">
        <v>370</v>
      </c>
      <c r="S1583" t="s">
        <v>323</v>
      </c>
      <c r="T1583">
        <v>7.6</v>
      </c>
      <c r="W1583" t="s">
        <v>330</v>
      </c>
      <c r="Y1583" s="42">
        <v>44369</v>
      </c>
    </row>
    <row r="1584" spans="14:25">
      <c r="N1584" s="42">
        <v>44356</v>
      </c>
      <c r="O1584" t="s">
        <v>328</v>
      </c>
      <c r="P1584" s="42">
        <v>44356</v>
      </c>
      <c r="Q1584" t="s">
        <v>328</v>
      </c>
      <c r="R1584" t="s">
        <v>370</v>
      </c>
      <c r="S1584" t="s">
        <v>323</v>
      </c>
      <c r="T1584">
        <v>7.6</v>
      </c>
      <c r="W1584" t="s">
        <v>330</v>
      </c>
      <c r="Y1584" s="42">
        <v>44369</v>
      </c>
    </row>
    <row r="1585" spans="14:25">
      <c r="N1585" s="42">
        <v>44355</v>
      </c>
      <c r="O1585" t="s">
        <v>333</v>
      </c>
      <c r="P1585" s="42">
        <v>44355</v>
      </c>
      <c r="Q1585" t="s">
        <v>333</v>
      </c>
      <c r="R1585" t="s">
        <v>370</v>
      </c>
      <c r="S1585" t="s">
        <v>323</v>
      </c>
      <c r="T1585">
        <v>7.6</v>
      </c>
      <c r="W1585" t="s">
        <v>330</v>
      </c>
      <c r="Y1585" s="42">
        <v>44355</v>
      </c>
    </row>
    <row r="1586" spans="14:25">
      <c r="N1586" s="42">
        <v>44354</v>
      </c>
      <c r="O1586" t="s">
        <v>345</v>
      </c>
      <c r="P1586" s="42">
        <v>44354</v>
      </c>
      <c r="Q1586" t="s">
        <v>345</v>
      </c>
      <c r="R1586" t="s">
        <v>370</v>
      </c>
      <c r="S1586" t="s">
        <v>323</v>
      </c>
      <c r="T1586">
        <v>7.6</v>
      </c>
      <c r="W1586" t="s">
        <v>330</v>
      </c>
      <c r="Y1586" s="42">
        <v>44355</v>
      </c>
    </row>
    <row r="1587" spans="14:25">
      <c r="N1587" s="42">
        <v>44351</v>
      </c>
      <c r="O1587" t="s">
        <v>346</v>
      </c>
      <c r="P1587" s="42">
        <v>44351</v>
      </c>
      <c r="Q1587" t="s">
        <v>346</v>
      </c>
      <c r="R1587" t="s">
        <v>370</v>
      </c>
      <c r="S1587" t="s">
        <v>323</v>
      </c>
      <c r="T1587">
        <v>7.6</v>
      </c>
      <c r="W1587" t="s">
        <v>330</v>
      </c>
      <c r="Y1587" s="42">
        <v>44355</v>
      </c>
    </row>
    <row r="1588" spans="14:25">
      <c r="N1588" s="42">
        <v>44350</v>
      </c>
      <c r="O1588" t="s">
        <v>324</v>
      </c>
      <c r="P1588" s="42">
        <v>44350</v>
      </c>
      <c r="Q1588" t="s">
        <v>324</v>
      </c>
      <c r="R1588" t="s">
        <v>370</v>
      </c>
      <c r="S1588" t="s">
        <v>323</v>
      </c>
      <c r="T1588">
        <v>7.6</v>
      </c>
      <c r="W1588" t="s">
        <v>330</v>
      </c>
      <c r="Y1588" s="42">
        <v>44355</v>
      </c>
    </row>
    <row r="1589" spans="14:25">
      <c r="N1589" s="42">
        <v>44349</v>
      </c>
      <c r="O1589" t="s">
        <v>328</v>
      </c>
      <c r="P1589" s="42">
        <v>44349</v>
      </c>
      <c r="Q1589" t="s">
        <v>328</v>
      </c>
      <c r="R1589" t="s">
        <v>370</v>
      </c>
      <c r="S1589" t="s">
        <v>323</v>
      </c>
      <c r="T1589">
        <v>7.6</v>
      </c>
      <c r="W1589" t="s">
        <v>330</v>
      </c>
      <c r="Y1589" s="42">
        <v>44355</v>
      </c>
    </row>
    <row r="1590" spans="14:25">
      <c r="N1590" s="42">
        <v>44348</v>
      </c>
      <c r="O1590" t="s">
        <v>333</v>
      </c>
      <c r="P1590" s="42">
        <v>44348</v>
      </c>
      <c r="Q1590" t="s">
        <v>333</v>
      </c>
      <c r="R1590" t="s">
        <v>370</v>
      </c>
      <c r="S1590" t="s">
        <v>323</v>
      </c>
      <c r="T1590">
        <v>7.6</v>
      </c>
      <c r="W1590" t="s">
        <v>330</v>
      </c>
      <c r="Y1590" s="42">
        <v>44355</v>
      </c>
    </row>
    <row r="1591" spans="14:25">
      <c r="N1591" s="42">
        <v>44347</v>
      </c>
      <c r="O1591" t="s">
        <v>345</v>
      </c>
      <c r="P1591" s="42">
        <v>44347</v>
      </c>
      <c r="Q1591" t="s">
        <v>345</v>
      </c>
      <c r="R1591" t="s">
        <v>370</v>
      </c>
      <c r="S1591" t="s">
        <v>323</v>
      </c>
      <c r="T1591">
        <v>7.6</v>
      </c>
      <c r="W1591" t="s">
        <v>330</v>
      </c>
      <c r="Y1591" s="42">
        <v>44355</v>
      </c>
    </row>
    <row r="1592" spans="14:25">
      <c r="N1592" s="42">
        <v>44344</v>
      </c>
      <c r="O1592" t="s">
        <v>346</v>
      </c>
      <c r="P1592" s="42">
        <v>44344</v>
      </c>
      <c r="Q1592" t="s">
        <v>346</v>
      </c>
      <c r="R1592" t="s">
        <v>370</v>
      </c>
      <c r="S1592" t="s">
        <v>323</v>
      </c>
      <c r="T1592">
        <v>7.6</v>
      </c>
      <c r="W1592" t="s">
        <v>330</v>
      </c>
      <c r="Y1592" s="42">
        <v>44355</v>
      </c>
    </row>
    <row r="1593" spans="14:25">
      <c r="N1593" s="42">
        <v>44343</v>
      </c>
      <c r="O1593" t="s">
        <v>324</v>
      </c>
      <c r="P1593" s="42">
        <v>44343</v>
      </c>
      <c r="Q1593" t="s">
        <v>324</v>
      </c>
      <c r="R1593" t="s">
        <v>370</v>
      </c>
      <c r="S1593" t="s">
        <v>323</v>
      </c>
      <c r="T1593">
        <v>7.6</v>
      </c>
      <c r="W1593" t="s">
        <v>330</v>
      </c>
      <c r="Y1593" s="42">
        <v>44355</v>
      </c>
    </row>
    <row r="1594" spans="14:25">
      <c r="N1594" s="42">
        <v>44342</v>
      </c>
      <c r="O1594" t="s">
        <v>328</v>
      </c>
      <c r="P1594" s="42">
        <v>44342</v>
      </c>
      <c r="Q1594" t="s">
        <v>328</v>
      </c>
      <c r="R1594" t="s">
        <v>370</v>
      </c>
      <c r="S1594" t="s">
        <v>323</v>
      </c>
      <c r="T1594">
        <v>7.6</v>
      </c>
      <c r="W1594" t="s">
        <v>330</v>
      </c>
      <c r="Y1594" s="42">
        <v>44355</v>
      </c>
    </row>
    <row r="1595" spans="14:25">
      <c r="N1595" s="42">
        <v>44341</v>
      </c>
      <c r="O1595" t="s">
        <v>333</v>
      </c>
      <c r="P1595" s="42">
        <v>44341</v>
      </c>
      <c r="Q1595" t="s">
        <v>333</v>
      </c>
      <c r="R1595" t="s">
        <v>370</v>
      </c>
      <c r="S1595" t="s">
        <v>323</v>
      </c>
      <c r="T1595">
        <v>7.6</v>
      </c>
      <c r="W1595" t="s">
        <v>330</v>
      </c>
      <c r="Y1595" s="42">
        <v>44341</v>
      </c>
    </row>
    <row r="1596" spans="14:25">
      <c r="N1596" s="42">
        <v>44340</v>
      </c>
      <c r="O1596" t="s">
        <v>345</v>
      </c>
      <c r="P1596" s="42">
        <v>44340</v>
      </c>
      <c r="Q1596" t="s">
        <v>345</v>
      </c>
      <c r="R1596" t="s">
        <v>370</v>
      </c>
      <c r="S1596" t="s">
        <v>323</v>
      </c>
      <c r="T1596">
        <v>7.6</v>
      </c>
      <c r="W1596" t="s">
        <v>330</v>
      </c>
      <c r="Y1596" s="42">
        <v>44341</v>
      </c>
    </row>
    <row r="1597" spans="14:25">
      <c r="N1597" s="42">
        <v>44337</v>
      </c>
      <c r="O1597" t="s">
        <v>346</v>
      </c>
      <c r="P1597" s="42">
        <v>44337</v>
      </c>
      <c r="Q1597" t="s">
        <v>346</v>
      </c>
      <c r="R1597" t="s">
        <v>370</v>
      </c>
      <c r="S1597" t="s">
        <v>323</v>
      </c>
      <c r="T1597">
        <v>7.6</v>
      </c>
      <c r="W1597" t="s">
        <v>330</v>
      </c>
      <c r="Y1597" s="42">
        <v>44341</v>
      </c>
    </row>
    <row r="1598" spans="14:25">
      <c r="N1598" s="42">
        <v>44336</v>
      </c>
      <c r="O1598" t="s">
        <v>324</v>
      </c>
      <c r="P1598" s="42">
        <v>44336</v>
      </c>
      <c r="Q1598" t="s">
        <v>324</v>
      </c>
      <c r="R1598" t="s">
        <v>370</v>
      </c>
      <c r="S1598" t="s">
        <v>323</v>
      </c>
      <c r="T1598">
        <v>7.6</v>
      </c>
      <c r="W1598" t="s">
        <v>330</v>
      </c>
      <c r="Y1598" s="42">
        <v>44341</v>
      </c>
    </row>
    <row r="1599" spans="14:25">
      <c r="N1599" s="42">
        <v>44335</v>
      </c>
      <c r="O1599" t="s">
        <v>328</v>
      </c>
      <c r="P1599" s="42">
        <v>44335</v>
      </c>
      <c r="Q1599" t="s">
        <v>328</v>
      </c>
      <c r="R1599" t="s">
        <v>370</v>
      </c>
      <c r="S1599" t="s">
        <v>323</v>
      </c>
      <c r="T1599">
        <v>7.6</v>
      </c>
      <c r="W1599" t="s">
        <v>330</v>
      </c>
      <c r="Y1599" s="42">
        <v>44341</v>
      </c>
    </row>
    <row r="1600" spans="14:25">
      <c r="N1600" s="42">
        <v>44334</v>
      </c>
      <c r="O1600" t="s">
        <v>333</v>
      </c>
      <c r="P1600" s="42">
        <v>44334</v>
      </c>
      <c r="Q1600" t="s">
        <v>333</v>
      </c>
      <c r="R1600" t="s">
        <v>370</v>
      </c>
      <c r="S1600" t="s">
        <v>323</v>
      </c>
      <c r="T1600">
        <v>7.6</v>
      </c>
      <c r="W1600" t="s">
        <v>330</v>
      </c>
      <c r="Y1600" s="42">
        <v>44341</v>
      </c>
    </row>
    <row r="1601" spans="14:25">
      <c r="N1601" s="42">
        <v>44333</v>
      </c>
      <c r="O1601" t="s">
        <v>345</v>
      </c>
      <c r="P1601" s="42">
        <v>44333</v>
      </c>
      <c r="Q1601" t="s">
        <v>345</v>
      </c>
      <c r="R1601" t="s">
        <v>370</v>
      </c>
      <c r="S1601" t="s">
        <v>323</v>
      </c>
      <c r="T1601">
        <v>7.6</v>
      </c>
      <c r="W1601" t="s">
        <v>330</v>
      </c>
      <c r="Y1601" s="42">
        <v>44341</v>
      </c>
    </row>
    <row r="1602" spans="14:25">
      <c r="N1602" s="42">
        <v>44330</v>
      </c>
      <c r="O1602" t="s">
        <v>346</v>
      </c>
      <c r="P1602" s="42">
        <v>44330</v>
      </c>
      <c r="Q1602" t="s">
        <v>346</v>
      </c>
      <c r="R1602" t="s">
        <v>370</v>
      </c>
      <c r="S1602" t="s">
        <v>323</v>
      </c>
      <c r="T1602">
        <v>7.6</v>
      </c>
      <c r="W1602" t="s">
        <v>330</v>
      </c>
      <c r="Y1602" s="42">
        <v>44341</v>
      </c>
    </row>
    <row r="1603" spans="14:25">
      <c r="N1603" s="42">
        <v>44329</v>
      </c>
      <c r="O1603" t="s">
        <v>324</v>
      </c>
      <c r="P1603" s="42">
        <v>44329</v>
      </c>
      <c r="Q1603" t="s">
        <v>324</v>
      </c>
      <c r="R1603" t="s">
        <v>370</v>
      </c>
      <c r="S1603" t="s">
        <v>323</v>
      </c>
      <c r="T1603">
        <v>7.6</v>
      </c>
      <c r="W1603" t="s">
        <v>330</v>
      </c>
      <c r="Y1603" s="42">
        <v>44341</v>
      </c>
    </row>
    <row r="1604" spans="14:25">
      <c r="N1604" s="42">
        <v>44328</v>
      </c>
      <c r="O1604" t="s">
        <v>328</v>
      </c>
      <c r="P1604" s="42">
        <v>44328</v>
      </c>
      <c r="Q1604" t="s">
        <v>328</v>
      </c>
      <c r="R1604" t="s">
        <v>370</v>
      </c>
      <c r="S1604" t="s">
        <v>323</v>
      </c>
      <c r="T1604">
        <v>7.6</v>
      </c>
      <c r="W1604" t="s">
        <v>330</v>
      </c>
      <c r="Y1604" s="42">
        <v>44341</v>
      </c>
    </row>
    <row r="1605" spans="14:25">
      <c r="N1605" s="42">
        <v>44327</v>
      </c>
      <c r="O1605" t="s">
        <v>333</v>
      </c>
      <c r="P1605" s="42">
        <v>44327</v>
      </c>
      <c r="Q1605" t="s">
        <v>333</v>
      </c>
      <c r="R1605" t="s">
        <v>370</v>
      </c>
      <c r="S1605" t="s">
        <v>323</v>
      </c>
      <c r="T1605">
        <v>7.6</v>
      </c>
      <c r="W1605" t="s">
        <v>330</v>
      </c>
      <c r="Y1605" s="42">
        <v>44327</v>
      </c>
    </row>
    <row r="1606" spans="14:25">
      <c r="N1606" s="42">
        <v>44326</v>
      </c>
      <c r="O1606" t="s">
        <v>345</v>
      </c>
      <c r="P1606" s="42">
        <v>44326</v>
      </c>
      <c r="Q1606" t="s">
        <v>345</v>
      </c>
      <c r="R1606" t="s">
        <v>370</v>
      </c>
      <c r="S1606" t="s">
        <v>323</v>
      </c>
      <c r="T1606">
        <v>7.6</v>
      </c>
      <c r="W1606" t="s">
        <v>330</v>
      </c>
      <c r="Y1606" s="42">
        <v>44327</v>
      </c>
    </row>
    <row r="1607" spans="14:25">
      <c r="N1607" s="42">
        <v>44323</v>
      </c>
      <c r="O1607" t="s">
        <v>346</v>
      </c>
      <c r="P1607" s="42">
        <v>44323</v>
      </c>
      <c r="Q1607" t="s">
        <v>346</v>
      </c>
      <c r="R1607" t="s">
        <v>370</v>
      </c>
      <c r="S1607" t="s">
        <v>323</v>
      </c>
      <c r="T1607">
        <v>7.6</v>
      </c>
      <c r="W1607" t="s">
        <v>330</v>
      </c>
      <c r="Y1607" s="42">
        <v>44327</v>
      </c>
    </row>
    <row r="1608" spans="14:25">
      <c r="N1608" s="42">
        <v>44322</v>
      </c>
      <c r="O1608" t="s">
        <v>324</v>
      </c>
      <c r="P1608" s="42">
        <v>44322</v>
      </c>
      <c r="Q1608" t="s">
        <v>324</v>
      </c>
      <c r="R1608" t="s">
        <v>370</v>
      </c>
      <c r="S1608" t="s">
        <v>323</v>
      </c>
      <c r="T1608">
        <v>7.6</v>
      </c>
      <c r="W1608" t="s">
        <v>330</v>
      </c>
      <c r="Y1608" s="42">
        <v>44327</v>
      </c>
    </row>
    <row r="1609" spans="14:25">
      <c r="N1609" s="42">
        <v>44321</v>
      </c>
      <c r="O1609" t="s">
        <v>328</v>
      </c>
      <c r="P1609" s="42">
        <v>44321</v>
      </c>
      <c r="Q1609" t="s">
        <v>328</v>
      </c>
      <c r="R1609" t="s">
        <v>370</v>
      </c>
      <c r="S1609" t="s">
        <v>323</v>
      </c>
      <c r="T1609">
        <v>7.6</v>
      </c>
      <c r="W1609" t="s">
        <v>330</v>
      </c>
      <c r="Y1609" s="42">
        <v>44327</v>
      </c>
    </row>
    <row r="1610" spans="14:25">
      <c r="N1610" s="42">
        <v>44320</v>
      </c>
      <c r="O1610" t="s">
        <v>333</v>
      </c>
      <c r="P1610" s="42">
        <v>44320</v>
      </c>
      <c r="Q1610" t="s">
        <v>333</v>
      </c>
      <c r="R1610" t="s">
        <v>370</v>
      </c>
      <c r="S1610" t="s">
        <v>323</v>
      </c>
      <c r="T1610">
        <v>7.6</v>
      </c>
      <c r="W1610" t="s">
        <v>330</v>
      </c>
      <c r="Y1610" s="42">
        <v>44327</v>
      </c>
    </row>
    <row r="1611" spans="14:25">
      <c r="N1611" s="42">
        <v>44319</v>
      </c>
      <c r="O1611" t="s">
        <v>345</v>
      </c>
      <c r="P1611" s="42">
        <v>44319</v>
      </c>
      <c r="Q1611" t="s">
        <v>345</v>
      </c>
      <c r="R1611" t="s">
        <v>370</v>
      </c>
      <c r="S1611" t="s">
        <v>323</v>
      </c>
      <c r="T1611">
        <v>7.6</v>
      </c>
      <c r="W1611" t="s">
        <v>330</v>
      </c>
      <c r="Y1611" s="42">
        <v>44327</v>
      </c>
    </row>
    <row r="1612" spans="14:25">
      <c r="N1612" s="42">
        <v>44316</v>
      </c>
      <c r="O1612" t="s">
        <v>346</v>
      </c>
      <c r="P1612" s="42">
        <v>44316</v>
      </c>
      <c r="Q1612" t="s">
        <v>346</v>
      </c>
      <c r="R1612" t="s">
        <v>370</v>
      </c>
      <c r="S1612" t="s">
        <v>323</v>
      </c>
      <c r="T1612">
        <v>7.6</v>
      </c>
      <c r="W1612" t="s">
        <v>330</v>
      </c>
      <c r="Y1612" s="42">
        <v>44327</v>
      </c>
    </row>
    <row r="1613" spans="14:25">
      <c r="N1613" s="42">
        <v>44315</v>
      </c>
      <c r="O1613" t="s">
        <v>324</v>
      </c>
      <c r="P1613" s="42">
        <v>44315</v>
      </c>
      <c r="Q1613" t="s">
        <v>324</v>
      </c>
      <c r="R1613" t="s">
        <v>370</v>
      </c>
      <c r="S1613" t="s">
        <v>323</v>
      </c>
      <c r="T1613">
        <v>7.6</v>
      </c>
      <c r="W1613" t="s">
        <v>330</v>
      </c>
      <c r="Y1613" s="42">
        <v>44327</v>
      </c>
    </row>
    <row r="1614" spans="14:25">
      <c r="N1614" s="42">
        <v>44314</v>
      </c>
      <c r="O1614" t="s">
        <v>328</v>
      </c>
      <c r="P1614" s="42">
        <v>44314</v>
      </c>
      <c r="Q1614" t="s">
        <v>328</v>
      </c>
      <c r="R1614" t="s">
        <v>370</v>
      </c>
      <c r="S1614" t="s">
        <v>323</v>
      </c>
      <c r="T1614">
        <v>7.6</v>
      </c>
      <c r="W1614" t="s">
        <v>330</v>
      </c>
      <c r="Y1614" s="42">
        <v>44327</v>
      </c>
    </row>
    <row r="1615" spans="14:25">
      <c r="N1615" s="42">
        <v>44313</v>
      </c>
      <c r="O1615" t="s">
        <v>333</v>
      </c>
      <c r="P1615" s="42">
        <v>44313</v>
      </c>
      <c r="Q1615" t="s">
        <v>333</v>
      </c>
      <c r="R1615" t="s">
        <v>370</v>
      </c>
      <c r="S1615" t="s">
        <v>323</v>
      </c>
      <c r="T1615">
        <v>7.6</v>
      </c>
      <c r="W1615" t="s">
        <v>330</v>
      </c>
      <c r="Y1615" s="42">
        <v>44313</v>
      </c>
    </row>
    <row r="1616" spans="14:25">
      <c r="N1616" s="42">
        <v>44312</v>
      </c>
      <c r="O1616" t="s">
        <v>345</v>
      </c>
      <c r="P1616" s="42">
        <v>44312</v>
      </c>
      <c r="Q1616" t="s">
        <v>345</v>
      </c>
      <c r="R1616" t="s">
        <v>370</v>
      </c>
      <c r="S1616" t="s">
        <v>323</v>
      </c>
      <c r="T1616">
        <v>7.6</v>
      </c>
      <c r="W1616" t="s">
        <v>330</v>
      </c>
      <c r="Y1616" s="42">
        <v>44313</v>
      </c>
    </row>
    <row r="1617" spans="14:25">
      <c r="N1617" s="42">
        <v>44309</v>
      </c>
      <c r="O1617" t="s">
        <v>346</v>
      </c>
      <c r="P1617" s="42">
        <v>44309</v>
      </c>
      <c r="Q1617" t="s">
        <v>346</v>
      </c>
      <c r="R1617" t="s">
        <v>370</v>
      </c>
      <c r="S1617" t="s">
        <v>323</v>
      </c>
      <c r="T1617">
        <v>7.6</v>
      </c>
      <c r="W1617" t="s">
        <v>330</v>
      </c>
      <c r="Y1617" s="42">
        <v>44313</v>
      </c>
    </row>
    <row r="1618" spans="14:25">
      <c r="N1618" s="42">
        <v>44308</v>
      </c>
      <c r="O1618" t="s">
        <v>324</v>
      </c>
      <c r="P1618" s="42">
        <v>44308</v>
      </c>
      <c r="Q1618" t="s">
        <v>324</v>
      </c>
      <c r="R1618" t="s">
        <v>370</v>
      </c>
      <c r="S1618" t="s">
        <v>323</v>
      </c>
      <c r="T1618">
        <v>7.6</v>
      </c>
      <c r="W1618" t="s">
        <v>330</v>
      </c>
      <c r="Y1618" s="42">
        <v>44313</v>
      </c>
    </row>
    <row r="1619" spans="14:25">
      <c r="N1619" s="42">
        <v>44307</v>
      </c>
      <c r="O1619" t="s">
        <v>328</v>
      </c>
      <c r="P1619" s="42">
        <v>44307</v>
      </c>
      <c r="Q1619" t="s">
        <v>328</v>
      </c>
      <c r="R1619" t="s">
        <v>370</v>
      </c>
      <c r="S1619" t="s">
        <v>323</v>
      </c>
      <c r="T1619">
        <v>7.6</v>
      </c>
      <c r="W1619" t="s">
        <v>330</v>
      </c>
      <c r="Y1619" s="42">
        <v>44313</v>
      </c>
    </row>
    <row r="1620" spans="14:25">
      <c r="N1620" s="42">
        <v>44306</v>
      </c>
      <c r="O1620" t="s">
        <v>333</v>
      </c>
      <c r="P1620" s="42">
        <v>44306</v>
      </c>
      <c r="Q1620" t="s">
        <v>333</v>
      </c>
      <c r="R1620" t="s">
        <v>370</v>
      </c>
      <c r="S1620" t="s">
        <v>323</v>
      </c>
      <c r="T1620">
        <v>7.6</v>
      </c>
      <c r="W1620" t="s">
        <v>330</v>
      </c>
      <c r="Y1620" s="42">
        <v>44313</v>
      </c>
    </row>
    <row r="1621" spans="14:25">
      <c r="N1621" s="42">
        <v>44305</v>
      </c>
      <c r="O1621" t="s">
        <v>345</v>
      </c>
      <c r="P1621" s="42">
        <v>44305</v>
      </c>
      <c r="Q1621" t="s">
        <v>345</v>
      </c>
      <c r="R1621" t="s">
        <v>370</v>
      </c>
      <c r="S1621" t="s">
        <v>323</v>
      </c>
      <c r="T1621">
        <v>7.6</v>
      </c>
      <c r="W1621" t="s">
        <v>330</v>
      </c>
      <c r="Y1621" s="42">
        <v>44313</v>
      </c>
    </row>
    <row r="1622" spans="14:25">
      <c r="N1622" s="42">
        <v>44302</v>
      </c>
      <c r="O1622" t="s">
        <v>346</v>
      </c>
      <c r="P1622" s="42">
        <v>44302</v>
      </c>
      <c r="Q1622" t="s">
        <v>346</v>
      </c>
      <c r="R1622" t="s">
        <v>370</v>
      </c>
      <c r="S1622" t="s">
        <v>323</v>
      </c>
      <c r="T1622">
        <v>7.6</v>
      </c>
      <c r="W1622" t="s">
        <v>330</v>
      </c>
      <c r="Y1622" s="42">
        <v>44313</v>
      </c>
    </row>
    <row r="1623" spans="14:25">
      <c r="N1623" s="42">
        <v>44301</v>
      </c>
      <c r="O1623" t="s">
        <v>324</v>
      </c>
      <c r="P1623" s="42">
        <v>44301</v>
      </c>
      <c r="Q1623" t="s">
        <v>324</v>
      </c>
      <c r="R1623" t="s">
        <v>370</v>
      </c>
      <c r="S1623" t="s">
        <v>323</v>
      </c>
      <c r="T1623">
        <v>7.6</v>
      </c>
      <c r="W1623" t="s">
        <v>330</v>
      </c>
      <c r="Y1623" s="42">
        <v>44313</v>
      </c>
    </row>
    <row r="1624" spans="14:25">
      <c r="N1624" s="42">
        <v>44300</v>
      </c>
      <c r="O1624" t="s">
        <v>328</v>
      </c>
      <c r="P1624" s="42">
        <v>44300</v>
      </c>
      <c r="Q1624" t="s">
        <v>328</v>
      </c>
      <c r="R1624" t="s">
        <v>370</v>
      </c>
      <c r="S1624" t="s">
        <v>323</v>
      </c>
      <c r="T1624">
        <v>7.6</v>
      </c>
      <c r="W1624" t="s">
        <v>330</v>
      </c>
      <c r="Y1624" s="42">
        <v>44313</v>
      </c>
    </row>
    <row r="1625" spans="14:25">
      <c r="N1625" s="42">
        <v>44299</v>
      </c>
      <c r="O1625" t="s">
        <v>333</v>
      </c>
      <c r="P1625" s="42">
        <v>44299</v>
      </c>
      <c r="Q1625" t="s">
        <v>333</v>
      </c>
      <c r="R1625" t="s">
        <v>370</v>
      </c>
      <c r="S1625" t="s">
        <v>323</v>
      </c>
      <c r="T1625">
        <v>7.6</v>
      </c>
      <c r="W1625" t="s">
        <v>330</v>
      </c>
      <c r="Y1625" s="42">
        <v>44299</v>
      </c>
    </row>
    <row r="1626" spans="14:25">
      <c r="N1626" s="42">
        <v>44298</v>
      </c>
      <c r="O1626" t="s">
        <v>345</v>
      </c>
      <c r="P1626" s="42">
        <v>44298</v>
      </c>
      <c r="Q1626" t="s">
        <v>345</v>
      </c>
      <c r="R1626" t="s">
        <v>370</v>
      </c>
      <c r="S1626" t="s">
        <v>323</v>
      </c>
      <c r="T1626">
        <v>7.6</v>
      </c>
      <c r="W1626" t="s">
        <v>330</v>
      </c>
      <c r="Y1626" s="42">
        <v>44299</v>
      </c>
    </row>
    <row r="1627" spans="14:25">
      <c r="N1627" s="42">
        <v>44295</v>
      </c>
      <c r="O1627" t="s">
        <v>346</v>
      </c>
      <c r="P1627" s="42">
        <v>44295</v>
      </c>
      <c r="Q1627" t="s">
        <v>346</v>
      </c>
      <c r="R1627" t="s">
        <v>370</v>
      </c>
      <c r="S1627" t="s">
        <v>323</v>
      </c>
      <c r="T1627">
        <v>7.6</v>
      </c>
      <c r="W1627" t="s">
        <v>330</v>
      </c>
      <c r="Y1627" s="42">
        <v>44299</v>
      </c>
    </row>
    <row r="1628" spans="14:25">
      <c r="N1628" s="42">
        <v>44294</v>
      </c>
      <c r="O1628" t="s">
        <v>324</v>
      </c>
      <c r="P1628" s="42">
        <v>44294</v>
      </c>
      <c r="Q1628" t="s">
        <v>324</v>
      </c>
      <c r="R1628" t="s">
        <v>370</v>
      </c>
      <c r="S1628" t="s">
        <v>323</v>
      </c>
      <c r="T1628">
        <v>7.6</v>
      </c>
      <c r="W1628" t="s">
        <v>330</v>
      </c>
      <c r="Y1628" s="42">
        <v>44299</v>
      </c>
    </row>
    <row r="1629" spans="14:25">
      <c r="N1629" s="42">
        <v>44293</v>
      </c>
      <c r="O1629" t="s">
        <v>328</v>
      </c>
      <c r="P1629" s="42">
        <v>44293</v>
      </c>
      <c r="Q1629" t="s">
        <v>328</v>
      </c>
      <c r="R1629" t="s">
        <v>370</v>
      </c>
      <c r="S1629" t="s">
        <v>323</v>
      </c>
      <c r="T1629">
        <v>7.6</v>
      </c>
      <c r="W1629" t="s">
        <v>330</v>
      </c>
      <c r="Y1629" s="42">
        <v>44299</v>
      </c>
    </row>
    <row r="1630" spans="14:25">
      <c r="N1630" s="42">
        <v>44292</v>
      </c>
      <c r="O1630" t="s">
        <v>333</v>
      </c>
      <c r="P1630" s="42">
        <v>44292</v>
      </c>
      <c r="Q1630" t="s">
        <v>333</v>
      </c>
      <c r="R1630" t="s">
        <v>370</v>
      </c>
      <c r="S1630" t="s">
        <v>323</v>
      </c>
      <c r="T1630">
        <v>7.6</v>
      </c>
      <c r="W1630" t="s">
        <v>330</v>
      </c>
      <c r="Y1630" s="42">
        <v>44299</v>
      </c>
    </row>
    <row r="1631" spans="14:25">
      <c r="N1631" s="42">
        <v>44291</v>
      </c>
      <c r="O1631" t="s">
        <v>345</v>
      </c>
      <c r="P1631" s="42">
        <v>44291</v>
      </c>
      <c r="Q1631" t="s">
        <v>345</v>
      </c>
      <c r="R1631" t="s">
        <v>370</v>
      </c>
      <c r="S1631" t="s">
        <v>323</v>
      </c>
      <c r="T1631">
        <v>7.6</v>
      </c>
      <c r="W1631" t="s">
        <v>330</v>
      </c>
      <c r="Y1631" s="42">
        <v>44299</v>
      </c>
    </row>
    <row r="1632" spans="14:25">
      <c r="N1632" s="42">
        <v>44288</v>
      </c>
      <c r="O1632" t="s">
        <v>346</v>
      </c>
      <c r="P1632" s="42">
        <v>44288</v>
      </c>
      <c r="Q1632" t="s">
        <v>346</v>
      </c>
      <c r="R1632" t="s">
        <v>370</v>
      </c>
      <c r="S1632" t="s">
        <v>323</v>
      </c>
      <c r="T1632">
        <v>7.6</v>
      </c>
      <c r="W1632" t="s">
        <v>330</v>
      </c>
      <c r="Y1632" s="42">
        <v>44299</v>
      </c>
    </row>
    <row r="1633" spans="14:25">
      <c r="N1633" s="42">
        <v>44287</v>
      </c>
      <c r="O1633" t="s">
        <v>324</v>
      </c>
      <c r="P1633" s="42">
        <v>44287</v>
      </c>
      <c r="Q1633" t="s">
        <v>324</v>
      </c>
      <c r="R1633" t="s">
        <v>370</v>
      </c>
      <c r="S1633" t="s">
        <v>323</v>
      </c>
      <c r="T1633">
        <v>7.6</v>
      </c>
      <c r="W1633" t="s">
        <v>330</v>
      </c>
      <c r="Y1633" s="42">
        <v>44299</v>
      </c>
    </row>
    <row r="1634" spans="14:25">
      <c r="N1634" s="42">
        <v>44286</v>
      </c>
      <c r="O1634" t="s">
        <v>328</v>
      </c>
      <c r="P1634" s="42">
        <v>44286</v>
      </c>
      <c r="Q1634" t="s">
        <v>328</v>
      </c>
      <c r="R1634" t="s">
        <v>370</v>
      </c>
      <c r="S1634" t="s">
        <v>323</v>
      </c>
      <c r="T1634">
        <v>7.6</v>
      </c>
      <c r="W1634" t="s">
        <v>330</v>
      </c>
      <c r="Y1634" s="42">
        <v>44299</v>
      </c>
    </row>
    <row r="1635" spans="14:25">
      <c r="N1635" s="42">
        <v>44285</v>
      </c>
      <c r="O1635" t="s">
        <v>333</v>
      </c>
      <c r="P1635" s="42">
        <v>44285</v>
      </c>
      <c r="Q1635" t="s">
        <v>333</v>
      </c>
      <c r="R1635" t="s">
        <v>370</v>
      </c>
      <c r="S1635" t="s">
        <v>323</v>
      </c>
      <c r="T1635">
        <v>7.6</v>
      </c>
      <c r="W1635" t="s">
        <v>330</v>
      </c>
      <c r="Y1635" s="42">
        <v>44285</v>
      </c>
    </row>
    <row r="1636" spans="14:25">
      <c r="N1636" s="42">
        <v>44284</v>
      </c>
      <c r="O1636" t="s">
        <v>345</v>
      </c>
      <c r="P1636" s="42">
        <v>44284</v>
      </c>
      <c r="Q1636" t="s">
        <v>345</v>
      </c>
      <c r="R1636" t="s">
        <v>370</v>
      </c>
      <c r="S1636" t="s">
        <v>323</v>
      </c>
      <c r="T1636">
        <v>7.6</v>
      </c>
      <c r="W1636" t="s">
        <v>330</v>
      </c>
      <c r="Y1636" s="42">
        <v>44285</v>
      </c>
    </row>
    <row r="1637" spans="14:25">
      <c r="N1637" s="42">
        <v>44281</v>
      </c>
      <c r="O1637" t="s">
        <v>346</v>
      </c>
      <c r="P1637" s="42">
        <v>44281</v>
      </c>
      <c r="Q1637" t="s">
        <v>346</v>
      </c>
      <c r="R1637" t="s">
        <v>370</v>
      </c>
      <c r="S1637" t="s">
        <v>323</v>
      </c>
      <c r="T1637">
        <v>7.6</v>
      </c>
      <c r="W1637" t="s">
        <v>330</v>
      </c>
      <c r="Y1637" s="42">
        <v>44285</v>
      </c>
    </row>
    <row r="1638" spans="14:25">
      <c r="N1638" s="42">
        <v>44280</v>
      </c>
      <c r="O1638" t="s">
        <v>324</v>
      </c>
      <c r="P1638" s="42">
        <v>44280</v>
      </c>
      <c r="Q1638" t="s">
        <v>324</v>
      </c>
      <c r="R1638" t="s">
        <v>370</v>
      </c>
      <c r="S1638" t="s">
        <v>323</v>
      </c>
      <c r="T1638">
        <v>7.6</v>
      </c>
      <c r="W1638" t="s">
        <v>330</v>
      </c>
      <c r="Y1638" s="42">
        <v>44285</v>
      </c>
    </row>
    <row r="1639" spans="14:25">
      <c r="N1639" s="42">
        <v>44279</v>
      </c>
      <c r="O1639" t="s">
        <v>328</v>
      </c>
      <c r="P1639" s="42">
        <v>44279</v>
      </c>
      <c r="Q1639" t="s">
        <v>328</v>
      </c>
      <c r="R1639" t="s">
        <v>370</v>
      </c>
      <c r="S1639" t="s">
        <v>323</v>
      </c>
      <c r="T1639">
        <v>7.6</v>
      </c>
      <c r="W1639" t="s">
        <v>330</v>
      </c>
      <c r="Y1639" s="42">
        <v>44285</v>
      </c>
    </row>
    <row r="1640" spans="14:25">
      <c r="N1640" s="42">
        <v>44278</v>
      </c>
      <c r="O1640" t="s">
        <v>333</v>
      </c>
      <c r="P1640" s="42">
        <v>44278</v>
      </c>
      <c r="Q1640" t="s">
        <v>333</v>
      </c>
      <c r="R1640" t="s">
        <v>370</v>
      </c>
      <c r="S1640" t="s">
        <v>323</v>
      </c>
      <c r="T1640">
        <v>7.6</v>
      </c>
      <c r="W1640" t="s">
        <v>330</v>
      </c>
      <c r="Y1640" s="42">
        <v>44285</v>
      </c>
    </row>
    <row r="1641" spans="14:25">
      <c r="N1641" s="42">
        <v>44277</v>
      </c>
      <c r="O1641" t="s">
        <v>345</v>
      </c>
      <c r="P1641" s="42">
        <v>44277</v>
      </c>
      <c r="Q1641" t="s">
        <v>345</v>
      </c>
      <c r="R1641" t="s">
        <v>370</v>
      </c>
      <c r="S1641" t="s">
        <v>323</v>
      </c>
      <c r="T1641">
        <v>7.6</v>
      </c>
      <c r="W1641" t="s">
        <v>330</v>
      </c>
      <c r="Y1641" s="42">
        <v>44285</v>
      </c>
    </row>
    <row r="1642" spans="14:25">
      <c r="N1642" s="42">
        <v>44274</v>
      </c>
      <c r="O1642" t="s">
        <v>346</v>
      </c>
      <c r="P1642" s="42">
        <v>44274</v>
      </c>
      <c r="Q1642" t="s">
        <v>346</v>
      </c>
      <c r="R1642" t="s">
        <v>370</v>
      </c>
      <c r="S1642" t="s">
        <v>323</v>
      </c>
      <c r="T1642">
        <v>7.6</v>
      </c>
      <c r="W1642" t="s">
        <v>330</v>
      </c>
      <c r="Y1642" s="42">
        <v>44285</v>
      </c>
    </row>
    <row r="1643" spans="14:25">
      <c r="N1643" s="42">
        <v>44273</v>
      </c>
      <c r="O1643" t="s">
        <v>324</v>
      </c>
      <c r="P1643" s="42">
        <v>44273</v>
      </c>
      <c r="Q1643" t="s">
        <v>324</v>
      </c>
      <c r="R1643" t="s">
        <v>370</v>
      </c>
      <c r="S1643" t="s">
        <v>323</v>
      </c>
      <c r="T1643">
        <v>7.6</v>
      </c>
      <c r="W1643" t="s">
        <v>330</v>
      </c>
      <c r="Y1643" s="42">
        <v>44285</v>
      </c>
    </row>
    <row r="1644" spans="14:25">
      <c r="N1644" s="42">
        <v>44272</v>
      </c>
      <c r="O1644" t="s">
        <v>328</v>
      </c>
      <c r="P1644" s="42">
        <v>44272</v>
      </c>
      <c r="Q1644" t="s">
        <v>328</v>
      </c>
      <c r="R1644" t="s">
        <v>370</v>
      </c>
      <c r="S1644" t="s">
        <v>323</v>
      </c>
      <c r="T1644">
        <v>7.6</v>
      </c>
      <c r="W1644" t="s">
        <v>330</v>
      </c>
      <c r="Y1644" s="42">
        <v>44285</v>
      </c>
    </row>
    <row r="1645" spans="14:25">
      <c r="N1645" s="42">
        <v>44271</v>
      </c>
      <c r="O1645" t="s">
        <v>333</v>
      </c>
      <c r="P1645" s="42">
        <v>44271</v>
      </c>
      <c r="Q1645" t="s">
        <v>333</v>
      </c>
      <c r="R1645" t="s">
        <v>370</v>
      </c>
      <c r="S1645" t="s">
        <v>323</v>
      </c>
      <c r="T1645">
        <v>7.6</v>
      </c>
      <c r="W1645" t="s">
        <v>330</v>
      </c>
      <c r="Y1645" s="42">
        <v>44271</v>
      </c>
    </row>
    <row r="1646" spans="14:25">
      <c r="N1646" s="42">
        <v>44270</v>
      </c>
      <c r="O1646" t="s">
        <v>345</v>
      </c>
      <c r="P1646" s="42">
        <v>44270</v>
      </c>
      <c r="Q1646" t="s">
        <v>345</v>
      </c>
      <c r="R1646" t="s">
        <v>370</v>
      </c>
      <c r="S1646" t="s">
        <v>323</v>
      </c>
      <c r="T1646">
        <v>7.6</v>
      </c>
      <c r="W1646" t="s">
        <v>330</v>
      </c>
      <c r="Y1646" s="42">
        <v>44271</v>
      </c>
    </row>
    <row r="1647" spans="14:25">
      <c r="N1647" s="42">
        <v>44267</v>
      </c>
      <c r="O1647" t="s">
        <v>346</v>
      </c>
      <c r="P1647" s="42">
        <v>44267</v>
      </c>
      <c r="Q1647" t="s">
        <v>346</v>
      </c>
      <c r="R1647" t="s">
        <v>370</v>
      </c>
      <c r="S1647" t="s">
        <v>323</v>
      </c>
      <c r="T1647">
        <v>7.6</v>
      </c>
      <c r="W1647" t="s">
        <v>330</v>
      </c>
      <c r="Y1647" s="42">
        <v>44271</v>
      </c>
    </row>
    <row r="1648" spans="14:25">
      <c r="N1648" s="42">
        <v>44266</v>
      </c>
      <c r="O1648" t="s">
        <v>324</v>
      </c>
      <c r="P1648" s="42">
        <v>44266</v>
      </c>
      <c r="Q1648" t="s">
        <v>324</v>
      </c>
      <c r="R1648" t="s">
        <v>370</v>
      </c>
      <c r="S1648" t="s">
        <v>323</v>
      </c>
      <c r="T1648">
        <v>7.6</v>
      </c>
      <c r="W1648" t="s">
        <v>330</v>
      </c>
      <c r="Y1648" s="42">
        <v>44271</v>
      </c>
    </row>
    <row r="1649" spans="14:25">
      <c r="N1649" s="42">
        <v>44265</v>
      </c>
      <c r="O1649" t="s">
        <v>328</v>
      </c>
      <c r="P1649" s="42">
        <v>44265</v>
      </c>
      <c r="Q1649" t="s">
        <v>328</v>
      </c>
      <c r="R1649" t="s">
        <v>370</v>
      </c>
      <c r="S1649" t="s">
        <v>323</v>
      </c>
      <c r="T1649">
        <v>7.6</v>
      </c>
      <c r="W1649" t="s">
        <v>330</v>
      </c>
      <c r="Y1649" s="42">
        <v>44271</v>
      </c>
    </row>
    <row r="1650" spans="14:25">
      <c r="N1650" s="42">
        <v>44264</v>
      </c>
      <c r="O1650" t="s">
        <v>333</v>
      </c>
      <c r="P1650" s="42">
        <v>44264</v>
      </c>
      <c r="Q1650" t="s">
        <v>333</v>
      </c>
      <c r="R1650" t="s">
        <v>370</v>
      </c>
      <c r="S1650" t="s">
        <v>323</v>
      </c>
      <c r="T1650">
        <v>7.6</v>
      </c>
      <c r="W1650" t="s">
        <v>330</v>
      </c>
      <c r="Y1650" s="42">
        <v>44271</v>
      </c>
    </row>
    <row r="1651" spans="14:25">
      <c r="N1651" s="42">
        <v>44263</v>
      </c>
      <c r="O1651" t="s">
        <v>345</v>
      </c>
      <c r="P1651" s="42">
        <v>44263</v>
      </c>
      <c r="Q1651" t="s">
        <v>345</v>
      </c>
      <c r="R1651" t="s">
        <v>370</v>
      </c>
      <c r="S1651" t="s">
        <v>323</v>
      </c>
      <c r="T1651">
        <v>7.6</v>
      </c>
      <c r="W1651" t="s">
        <v>330</v>
      </c>
      <c r="Y1651" s="42">
        <v>44271</v>
      </c>
    </row>
    <row r="1652" spans="14:25">
      <c r="N1652" s="42">
        <v>44260</v>
      </c>
      <c r="O1652" t="s">
        <v>346</v>
      </c>
      <c r="P1652" s="42">
        <v>44260</v>
      </c>
      <c r="Q1652" t="s">
        <v>346</v>
      </c>
      <c r="R1652" t="s">
        <v>370</v>
      </c>
      <c r="S1652" t="s">
        <v>323</v>
      </c>
      <c r="T1652">
        <v>7.6</v>
      </c>
      <c r="W1652" t="s">
        <v>330</v>
      </c>
      <c r="Y1652" s="42">
        <v>44271</v>
      </c>
    </row>
    <row r="1653" spans="14:25">
      <c r="N1653" s="42">
        <v>44259</v>
      </c>
      <c r="O1653" t="s">
        <v>324</v>
      </c>
      <c r="P1653" s="42">
        <v>44259</v>
      </c>
      <c r="Q1653" t="s">
        <v>324</v>
      </c>
      <c r="R1653" t="s">
        <v>370</v>
      </c>
      <c r="S1653" t="s">
        <v>323</v>
      </c>
      <c r="T1653">
        <v>7.6</v>
      </c>
      <c r="W1653" t="s">
        <v>330</v>
      </c>
      <c r="Y1653" s="42">
        <v>44271</v>
      </c>
    </row>
    <row r="1654" spans="14:25">
      <c r="N1654" s="42">
        <v>44258</v>
      </c>
      <c r="O1654" t="s">
        <v>328</v>
      </c>
      <c r="P1654" s="42">
        <v>44258</v>
      </c>
      <c r="Q1654" t="s">
        <v>328</v>
      </c>
      <c r="R1654" t="s">
        <v>370</v>
      </c>
      <c r="S1654" t="s">
        <v>323</v>
      </c>
      <c r="T1654">
        <v>7.6</v>
      </c>
      <c r="W1654" t="s">
        <v>330</v>
      </c>
      <c r="Y1654" s="42">
        <v>44271</v>
      </c>
    </row>
    <row r="1655" spans="14:25">
      <c r="N1655" s="42">
        <v>44257</v>
      </c>
      <c r="O1655" t="s">
        <v>333</v>
      </c>
      <c r="P1655" s="42">
        <v>44257</v>
      </c>
      <c r="Q1655" t="s">
        <v>333</v>
      </c>
      <c r="R1655" t="s">
        <v>370</v>
      </c>
      <c r="S1655" t="s">
        <v>323</v>
      </c>
      <c r="T1655">
        <v>7.6</v>
      </c>
      <c r="W1655" t="s">
        <v>330</v>
      </c>
      <c r="Y1655" s="42">
        <v>44257</v>
      </c>
    </row>
    <row r="1656" spans="14:25">
      <c r="N1656" s="42">
        <v>44256</v>
      </c>
      <c r="O1656" t="s">
        <v>345</v>
      </c>
      <c r="P1656" s="42">
        <v>44256</v>
      </c>
      <c r="Q1656" t="s">
        <v>345</v>
      </c>
      <c r="R1656" t="s">
        <v>370</v>
      </c>
      <c r="S1656" t="s">
        <v>323</v>
      </c>
      <c r="T1656">
        <v>7.6</v>
      </c>
      <c r="W1656" t="s">
        <v>330</v>
      </c>
      <c r="Y1656" s="42">
        <v>44257</v>
      </c>
    </row>
    <row r="1657" spans="14:25">
      <c r="N1657" s="42">
        <v>44253</v>
      </c>
      <c r="O1657" t="s">
        <v>346</v>
      </c>
      <c r="P1657" s="42">
        <v>44253</v>
      </c>
      <c r="Q1657" t="s">
        <v>346</v>
      </c>
      <c r="R1657" t="s">
        <v>370</v>
      </c>
      <c r="S1657" t="s">
        <v>323</v>
      </c>
      <c r="T1657">
        <v>7.6</v>
      </c>
      <c r="W1657" t="s">
        <v>330</v>
      </c>
      <c r="Y1657" s="42">
        <v>44257</v>
      </c>
    </row>
    <row r="1658" spans="14:25">
      <c r="N1658" s="42">
        <v>44252</v>
      </c>
      <c r="O1658" t="s">
        <v>324</v>
      </c>
      <c r="P1658" s="42">
        <v>44252</v>
      </c>
      <c r="Q1658" t="s">
        <v>324</v>
      </c>
      <c r="R1658" t="s">
        <v>370</v>
      </c>
      <c r="S1658" t="s">
        <v>323</v>
      </c>
      <c r="T1658">
        <v>7.6</v>
      </c>
      <c r="W1658" t="s">
        <v>330</v>
      </c>
      <c r="Y1658" s="42">
        <v>44257</v>
      </c>
    </row>
    <row r="1659" spans="14:25">
      <c r="N1659" s="42">
        <v>44251</v>
      </c>
      <c r="O1659" t="s">
        <v>328</v>
      </c>
      <c r="P1659" s="42">
        <v>44251</v>
      </c>
      <c r="Q1659" t="s">
        <v>328</v>
      </c>
      <c r="R1659" t="s">
        <v>370</v>
      </c>
      <c r="S1659" t="s">
        <v>323</v>
      </c>
      <c r="T1659">
        <v>7.6</v>
      </c>
      <c r="W1659" t="s">
        <v>330</v>
      </c>
      <c r="Y1659" s="42">
        <v>44257</v>
      </c>
    </row>
    <row r="1660" spans="14:25">
      <c r="N1660" s="42">
        <v>44250</v>
      </c>
      <c r="O1660" t="s">
        <v>333</v>
      </c>
      <c r="P1660" s="42">
        <v>44250</v>
      </c>
      <c r="Q1660" t="s">
        <v>333</v>
      </c>
      <c r="R1660" t="s">
        <v>370</v>
      </c>
      <c r="S1660" t="s">
        <v>323</v>
      </c>
      <c r="T1660">
        <v>7.6</v>
      </c>
      <c r="W1660" t="s">
        <v>330</v>
      </c>
      <c r="Y1660" s="42">
        <v>44257</v>
      </c>
    </row>
    <row r="1661" spans="14:25">
      <c r="N1661" s="42">
        <v>44249</v>
      </c>
      <c r="O1661" t="s">
        <v>345</v>
      </c>
      <c r="P1661" s="42">
        <v>44249</v>
      </c>
      <c r="Q1661" t="s">
        <v>345</v>
      </c>
      <c r="R1661" t="s">
        <v>370</v>
      </c>
      <c r="S1661" t="s">
        <v>323</v>
      </c>
      <c r="T1661">
        <v>7.6</v>
      </c>
      <c r="W1661" t="s">
        <v>330</v>
      </c>
      <c r="Y1661" s="42">
        <v>44257</v>
      </c>
    </row>
    <row r="1662" spans="14:25">
      <c r="N1662" s="42">
        <v>44246</v>
      </c>
      <c r="O1662" t="s">
        <v>346</v>
      </c>
      <c r="P1662" s="42">
        <v>44246</v>
      </c>
      <c r="Q1662" t="s">
        <v>346</v>
      </c>
      <c r="R1662" t="s">
        <v>370</v>
      </c>
      <c r="S1662" t="s">
        <v>323</v>
      </c>
      <c r="T1662">
        <v>7.6</v>
      </c>
      <c r="W1662" t="s">
        <v>330</v>
      </c>
      <c r="Y1662" s="42">
        <v>44257</v>
      </c>
    </row>
    <row r="1663" spans="14:25">
      <c r="N1663" s="42">
        <v>44245</v>
      </c>
      <c r="O1663" t="s">
        <v>324</v>
      </c>
      <c r="P1663" s="42">
        <v>44245</v>
      </c>
      <c r="Q1663" t="s">
        <v>324</v>
      </c>
      <c r="R1663" t="s">
        <v>370</v>
      </c>
      <c r="S1663" t="s">
        <v>323</v>
      </c>
      <c r="T1663">
        <v>7.6</v>
      </c>
      <c r="W1663" t="s">
        <v>330</v>
      </c>
      <c r="Y1663" s="42">
        <v>44257</v>
      </c>
    </row>
    <row r="1664" spans="14:25">
      <c r="N1664" s="42">
        <v>44244</v>
      </c>
      <c r="O1664" t="s">
        <v>328</v>
      </c>
      <c r="P1664" s="42">
        <v>44244</v>
      </c>
      <c r="Q1664" t="s">
        <v>328</v>
      </c>
      <c r="R1664" t="s">
        <v>370</v>
      </c>
      <c r="S1664" t="s">
        <v>323</v>
      </c>
      <c r="T1664">
        <v>7.6</v>
      </c>
      <c r="W1664" t="s">
        <v>330</v>
      </c>
      <c r="Y1664" s="42">
        <v>44257</v>
      </c>
    </row>
    <row r="1665" spans="14:25">
      <c r="N1665" s="42">
        <v>44243</v>
      </c>
      <c r="O1665" t="s">
        <v>333</v>
      </c>
      <c r="P1665" s="42">
        <v>44243</v>
      </c>
      <c r="Q1665" t="s">
        <v>333</v>
      </c>
      <c r="R1665" t="s">
        <v>370</v>
      </c>
      <c r="S1665" t="s">
        <v>323</v>
      </c>
      <c r="T1665">
        <v>7.6</v>
      </c>
      <c r="W1665" t="s">
        <v>330</v>
      </c>
      <c r="Y1665" s="42">
        <v>44243</v>
      </c>
    </row>
    <row r="1666" spans="14:25">
      <c r="N1666" s="42">
        <v>44242</v>
      </c>
      <c r="O1666" t="s">
        <v>345</v>
      </c>
      <c r="P1666" s="42">
        <v>44242</v>
      </c>
      <c r="Q1666" t="s">
        <v>345</v>
      </c>
      <c r="R1666" t="s">
        <v>370</v>
      </c>
      <c r="S1666" t="s">
        <v>323</v>
      </c>
      <c r="T1666">
        <v>7.6</v>
      </c>
      <c r="W1666" t="s">
        <v>330</v>
      </c>
      <c r="Y1666" s="42">
        <v>44243</v>
      </c>
    </row>
    <row r="1667" spans="14:25">
      <c r="N1667" s="42">
        <v>44239</v>
      </c>
      <c r="O1667" t="s">
        <v>346</v>
      </c>
      <c r="P1667" s="42">
        <v>44239</v>
      </c>
      <c r="Q1667" t="s">
        <v>346</v>
      </c>
      <c r="R1667" t="s">
        <v>370</v>
      </c>
      <c r="S1667" t="s">
        <v>323</v>
      </c>
      <c r="T1667">
        <v>7.6</v>
      </c>
      <c r="W1667" t="s">
        <v>330</v>
      </c>
      <c r="Y1667" s="42">
        <v>44243</v>
      </c>
    </row>
    <row r="1668" spans="14:25">
      <c r="N1668" s="42">
        <v>44238</v>
      </c>
      <c r="O1668" t="s">
        <v>324</v>
      </c>
      <c r="P1668" s="42">
        <v>44238</v>
      </c>
      <c r="Q1668" t="s">
        <v>324</v>
      </c>
      <c r="R1668" t="s">
        <v>370</v>
      </c>
      <c r="S1668" t="s">
        <v>323</v>
      </c>
      <c r="T1668">
        <v>7.6</v>
      </c>
      <c r="W1668" t="s">
        <v>330</v>
      </c>
      <c r="Y1668" s="42">
        <v>44243</v>
      </c>
    </row>
    <row r="1669" spans="14:25">
      <c r="N1669" s="42">
        <v>44237</v>
      </c>
      <c r="O1669" t="s">
        <v>328</v>
      </c>
      <c r="P1669" s="42">
        <v>44237</v>
      </c>
      <c r="Q1669" t="s">
        <v>328</v>
      </c>
      <c r="R1669" t="s">
        <v>370</v>
      </c>
      <c r="S1669" t="s">
        <v>323</v>
      </c>
      <c r="T1669">
        <v>7.6</v>
      </c>
      <c r="W1669" t="s">
        <v>330</v>
      </c>
      <c r="Y1669" s="42">
        <v>44243</v>
      </c>
    </row>
    <row r="1670" spans="14:25">
      <c r="N1670" s="42">
        <v>44236</v>
      </c>
      <c r="O1670" t="s">
        <v>333</v>
      </c>
      <c r="P1670" s="42">
        <v>44236</v>
      </c>
      <c r="Q1670" t="s">
        <v>333</v>
      </c>
      <c r="R1670" t="s">
        <v>370</v>
      </c>
      <c r="S1670" t="s">
        <v>323</v>
      </c>
      <c r="T1670">
        <v>7.6</v>
      </c>
      <c r="W1670" t="s">
        <v>330</v>
      </c>
      <c r="Y1670" s="42">
        <v>44243</v>
      </c>
    </row>
    <row r="1671" spans="14:25">
      <c r="N1671" s="42">
        <v>44235</v>
      </c>
      <c r="O1671" t="s">
        <v>345</v>
      </c>
      <c r="P1671" s="42">
        <v>44235</v>
      </c>
      <c r="Q1671" t="s">
        <v>345</v>
      </c>
      <c r="R1671" t="s">
        <v>370</v>
      </c>
      <c r="S1671" t="s">
        <v>323</v>
      </c>
      <c r="T1671">
        <v>7.6</v>
      </c>
      <c r="W1671" t="s">
        <v>330</v>
      </c>
      <c r="Y1671" s="42">
        <v>44243</v>
      </c>
    </row>
    <row r="1672" spans="14:25">
      <c r="N1672" s="42">
        <v>44232</v>
      </c>
      <c r="O1672" t="s">
        <v>346</v>
      </c>
      <c r="P1672" s="42">
        <v>44232</v>
      </c>
      <c r="Q1672" t="s">
        <v>346</v>
      </c>
      <c r="R1672" t="s">
        <v>370</v>
      </c>
      <c r="S1672" t="s">
        <v>323</v>
      </c>
      <c r="T1672">
        <v>7.6</v>
      </c>
      <c r="W1672" t="s">
        <v>330</v>
      </c>
      <c r="Y1672" s="42">
        <v>44243</v>
      </c>
    </row>
    <row r="1673" spans="14:25">
      <c r="N1673" s="42">
        <v>44231</v>
      </c>
      <c r="O1673" t="s">
        <v>324</v>
      </c>
      <c r="P1673" s="42">
        <v>44231</v>
      </c>
      <c r="Q1673" t="s">
        <v>324</v>
      </c>
      <c r="R1673" t="s">
        <v>370</v>
      </c>
      <c r="S1673" t="s">
        <v>323</v>
      </c>
      <c r="T1673">
        <v>7.6</v>
      </c>
      <c r="W1673" t="s">
        <v>330</v>
      </c>
      <c r="Y1673" s="42">
        <v>44243</v>
      </c>
    </row>
    <row r="1674" spans="14:25">
      <c r="N1674" s="42">
        <v>44230</v>
      </c>
      <c r="O1674" t="s">
        <v>328</v>
      </c>
      <c r="P1674" s="42">
        <v>44230</v>
      </c>
      <c r="Q1674" t="s">
        <v>328</v>
      </c>
      <c r="R1674" t="s">
        <v>370</v>
      </c>
      <c r="S1674" t="s">
        <v>323</v>
      </c>
      <c r="T1674">
        <v>7.6</v>
      </c>
      <c r="W1674" t="s">
        <v>330</v>
      </c>
      <c r="Y1674" s="42">
        <v>44243</v>
      </c>
    </row>
    <row r="1675" spans="14:25">
      <c r="N1675" s="42">
        <v>44229</v>
      </c>
      <c r="O1675" t="s">
        <v>333</v>
      </c>
      <c r="P1675" s="42">
        <v>44229</v>
      </c>
      <c r="Q1675" t="s">
        <v>333</v>
      </c>
      <c r="R1675" t="s">
        <v>370</v>
      </c>
      <c r="S1675" t="s">
        <v>323</v>
      </c>
      <c r="T1675">
        <v>7.6</v>
      </c>
      <c r="W1675" t="s">
        <v>330</v>
      </c>
      <c r="Y1675" s="42">
        <v>44229</v>
      </c>
    </row>
    <row r="1676" spans="14:25">
      <c r="N1676" s="42">
        <v>44228</v>
      </c>
      <c r="O1676" t="s">
        <v>345</v>
      </c>
      <c r="P1676" s="42">
        <v>44228</v>
      </c>
      <c r="Q1676" t="s">
        <v>345</v>
      </c>
      <c r="R1676" t="s">
        <v>370</v>
      </c>
      <c r="S1676" t="s">
        <v>323</v>
      </c>
      <c r="T1676">
        <v>7.6</v>
      </c>
      <c r="W1676" t="s">
        <v>330</v>
      </c>
      <c r="Y1676" s="42">
        <v>44229</v>
      </c>
    </row>
    <row r="1677" spans="14:25">
      <c r="N1677" s="42">
        <v>44225</v>
      </c>
      <c r="O1677" t="s">
        <v>346</v>
      </c>
      <c r="P1677" s="42">
        <v>44225</v>
      </c>
      <c r="Q1677" t="s">
        <v>346</v>
      </c>
      <c r="R1677" t="s">
        <v>370</v>
      </c>
      <c r="S1677" t="s">
        <v>323</v>
      </c>
      <c r="T1677">
        <v>7.6</v>
      </c>
      <c r="W1677" t="s">
        <v>330</v>
      </c>
      <c r="Y1677" s="42">
        <v>44229</v>
      </c>
    </row>
    <row r="1678" spans="14:25">
      <c r="N1678" s="42">
        <v>44224</v>
      </c>
      <c r="O1678" t="s">
        <v>324</v>
      </c>
      <c r="P1678" s="42">
        <v>44224</v>
      </c>
      <c r="Q1678" t="s">
        <v>324</v>
      </c>
      <c r="R1678" t="s">
        <v>370</v>
      </c>
      <c r="S1678" t="s">
        <v>323</v>
      </c>
      <c r="T1678">
        <v>7.6</v>
      </c>
      <c r="W1678" t="s">
        <v>330</v>
      </c>
      <c r="Y1678" s="42">
        <v>44229</v>
      </c>
    </row>
    <row r="1679" spans="14:25">
      <c r="N1679" s="42">
        <v>44223</v>
      </c>
      <c r="O1679" t="s">
        <v>328</v>
      </c>
      <c r="P1679" s="42">
        <v>44223</v>
      </c>
      <c r="Q1679" t="s">
        <v>328</v>
      </c>
      <c r="R1679" t="s">
        <v>370</v>
      </c>
      <c r="S1679" t="s">
        <v>323</v>
      </c>
      <c r="T1679">
        <v>7.6</v>
      </c>
      <c r="W1679" t="s">
        <v>330</v>
      </c>
      <c r="Y1679" s="42">
        <v>44229</v>
      </c>
    </row>
    <row r="1680" spans="14:25">
      <c r="N1680" s="42">
        <v>44222</v>
      </c>
      <c r="O1680" t="s">
        <v>333</v>
      </c>
      <c r="P1680" s="42">
        <v>44222</v>
      </c>
      <c r="Q1680" t="s">
        <v>333</v>
      </c>
      <c r="R1680" t="s">
        <v>370</v>
      </c>
      <c r="S1680" t="s">
        <v>323</v>
      </c>
      <c r="T1680">
        <v>7.6</v>
      </c>
      <c r="W1680" t="s">
        <v>330</v>
      </c>
      <c r="Y1680" s="42">
        <v>44229</v>
      </c>
    </row>
    <row r="1681" spans="14:25">
      <c r="N1681" s="42">
        <v>44221</v>
      </c>
      <c r="O1681" t="s">
        <v>345</v>
      </c>
      <c r="P1681" s="42">
        <v>44221</v>
      </c>
      <c r="Q1681" t="s">
        <v>345</v>
      </c>
      <c r="R1681" t="s">
        <v>370</v>
      </c>
      <c r="S1681" t="s">
        <v>323</v>
      </c>
      <c r="T1681">
        <v>7.6</v>
      </c>
      <c r="W1681" t="s">
        <v>330</v>
      </c>
      <c r="Y1681" s="42">
        <v>44229</v>
      </c>
    </row>
    <row r="1682" spans="14:25">
      <c r="N1682" s="42">
        <v>44218</v>
      </c>
      <c r="O1682" t="s">
        <v>346</v>
      </c>
      <c r="P1682" s="42">
        <v>44218</v>
      </c>
      <c r="Q1682" t="s">
        <v>346</v>
      </c>
      <c r="R1682" t="s">
        <v>370</v>
      </c>
      <c r="S1682" t="s">
        <v>323</v>
      </c>
      <c r="T1682">
        <v>7.6</v>
      </c>
      <c r="W1682" t="s">
        <v>330</v>
      </c>
      <c r="Y1682" s="42">
        <v>44229</v>
      </c>
    </row>
    <row r="1683" spans="14:25">
      <c r="N1683" s="42">
        <v>44217</v>
      </c>
      <c r="O1683" t="s">
        <v>324</v>
      </c>
      <c r="P1683" s="42">
        <v>44217</v>
      </c>
      <c r="Q1683" t="s">
        <v>324</v>
      </c>
      <c r="R1683" t="s">
        <v>370</v>
      </c>
      <c r="S1683" t="s">
        <v>323</v>
      </c>
      <c r="T1683">
        <v>7.6</v>
      </c>
      <c r="W1683" t="s">
        <v>330</v>
      </c>
      <c r="Y1683" s="42">
        <v>44229</v>
      </c>
    </row>
    <row r="1684" spans="14:25">
      <c r="N1684" s="42">
        <v>44216</v>
      </c>
      <c r="O1684" t="s">
        <v>328</v>
      </c>
      <c r="P1684" s="42">
        <v>44216</v>
      </c>
      <c r="Q1684" t="s">
        <v>328</v>
      </c>
      <c r="R1684" t="s">
        <v>370</v>
      </c>
      <c r="S1684" t="s">
        <v>323</v>
      </c>
      <c r="T1684">
        <v>7.6</v>
      </c>
      <c r="W1684" t="s">
        <v>330</v>
      </c>
      <c r="Y1684" s="42">
        <v>44229</v>
      </c>
    </row>
    <row r="1685" spans="14:25">
      <c r="N1685" s="42">
        <v>44215</v>
      </c>
      <c r="O1685" t="s">
        <v>333</v>
      </c>
      <c r="P1685" s="42">
        <v>44215</v>
      </c>
      <c r="Q1685" t="s">
        <v>333</v>
      </c>
      <c r="R1685" t="s">
        <v>370</v>
      </c>
      <c r="S1685" t="s">
        <v>323</v>
      </c>
      <c r="T1685">
        <v>7.6</v>
      </c>
      <c r="W1685" t="s">
        <v>330</v>
      </c>
      <c r="Y1685" s="42">
        <v>44215</v>
      </c>
    </row>
    <row r="1686" spans="14:25">
      <c r="N1686" s="42">
        <v>44214</v>
      </c>
      <c r="O1686" t="s">
        <v>345</v>
      </c>
      <c r="P1686" s="42">
        <v>44214</v>
      </c>
      <c r="Q1686" t="s">
        <v>345</v>
      </c>
      <c r="R1686" t="s">
        <v>370</v>
      </c>
      <c r="S1686" t="s">
        <v>323</v>
      </c>
      <c r="T1686">
        <v>7.6</v>
      </c>
      <c r="W1686" t="s">
        <v>330</v>
      </c>
      <c r="Y1686" s="42">
        <v>44215</v>
      </c>
    </row>
    <row r="1687" spans="14:25">
      <c r="N1687" s="42">
        <v>44211</v>
      </c>
      <c r="O1687" t="s">
        <v>346</v>
      </c>
      <c r="P1687" s="42">
        <v>44211</v>
      </c>
      <c r="Q1687" t="s">
        <v>346</v>
      </c>
      <c r="R1687" t="s">
        <v>370</v>
      </c>
      <c r="S1687" t="s">
        <v>323</v>
      </c>
      <c r="T1687">
        <v>7.6</v>
      </c>
      <c r="W1687" t="s">
        <v>330</v>
      </c>
      <c r="Y1687" s="42">
        <v>44215</v>
      </c>
    </row>
    <row r="1688" spans="14:25">
      <c r="N1688" s="42">
        <v>44210</v>
      </c>
      <c r="O1688" t="s">
        <v>324</v>
      </c>
      <c r="P1688" s="42">
        <v>44210</v>
      </c>
      <c r="Q1688" t="s">
        <v>324</v>
      </c>
      <c r="R1688" t="s">
        <v>370</v>
      </c>
      <c r="S1688" t="s">
        <v>323</v>
      </c>
      <c r="T1688">
        <v>7.6</v>
      </c>
      <c r="W1688" t="s">
        <v>330</v>
      </c>
      <c r="Y1688" s="42">
        <v>44215</v>
      </c>
    </row>
    <row r="1689" spans="14:25">
      <c r="N1689" s="42">
        <v>44209</v>
      </c>
      <c r="O1689" t="s">
        <v>328</v>
      </c>
      <c r="P1689" s="42">
        <v>44209</v>
      </c>
      <c r="Q1689" t="s">
        <v>328</v>
      </c>
      <c r="R1689" t="s">
        <v>370</v>
      </c>
      <c r="S1689" t="s">
        <v>323</v>
      </c>
      <c r="T1689">
        <v>7.6</v>
      </c>
      <c r="W1689" t="s">
        <v>330</v>
      </c>
      <c r="Y1689" s="42">
        <v>44215</v>
      </c>
    </row>
    <row r="1690" spans="14:25">
      <c r="N1690" s="42">
        <v>44208</v>
      </c>
      <c r="O1690" t="s">
        <v>333</v>
      </c>
      <c r="P1690" s="42">
        <v>44208</v>
      </c>
      <c r="Q1690" t="s">
        <v>333</v>
      </c>
      <c r="R1690" t="s">
        <v>370</v>
      </c>
      <c r="S1690" t="s">
        <v>323</v>
      </c>
      <c r="T1690">
        <v>7.6</v>
      </c>
      <c r="W1690" t="s">
        <v>330</v>
      </c>
      <c r="Y1690" s="42">
        <v>44215</v>
      </c>
    </row>
    <row r="1691" spans="14:25">
      <c r="N1691" s="42">
        <v>44207</v>
      </c>
      <c r="O1691" t="s">
        <v>345</v>
      </c>
      <c r="P1691" s="42">
        <v>44207</v>
      </c>
      <c r="Q1691" t="s">
        <v>345</v>
      </c>
      <c r="R1691" t="s">
        <v>370</v>
      </c>
      <c r="S1691" t="s">
        <v>323</v>
      </c>
      <c r="T1691">
        <v>7.6</v>
      </c>
      <c r="W1691" t="s">
        <v>330</v>
      </c>
      <c r="Y1691" s="42">
        <v>44215</v>
      </c>
    </row>
    <row r="1692" spans="14:25">
      <c r="N1692" s="42">
        <v>44204</v>
      </c>
      <c r="O1692" t="s">
        <v>346</v>
      </c>
      <c r="P1692" s="42">
        <v>44204</v>
      </c>
      <c r="Q1692" t="s">
        <v>346</v>
      </c>
      <c r="R1692" t="s">
        <v>370</v>
      </c>
      <c r="S1692" t="s">
        <v>323</v>
      </c>
      <c r="T1692">
        <v>7.6</v>
      </c>
      <c r="W1692" t="s">
        <v>330</v>
      </c>
      <c r="Y1692" s="42">
        <v>44215</v>
      </c>
    </row>
    <row r="1693" spans="14:25">
      <c r="N1693" s="42">
        <v>44203</v>
      </c>
      <c r="O1693" t="s">
        <v>324</v>
      </c>
      <c r="P1693" s="42">
        <v>44203</v>
      </c>
      <c r="Q1693" t="s">
        <v>324</v>
      </c>
      <c r="R1693" t="s">
        <v>370</v>
      </c>
      <c r="S1693" t="s">
        <v>323</v>
      </c>
      <c r="T1693">
        <v>7.6</v>
      </c>
      <c r="W1693" t="s">
        <v>330</v>
      </c>
      <c r="Y1693" s="42">
        <v>44215</v>
      </c>
    </row>
    <row r="1694" spans="14:25">
      <c r="N1694" s="42">
        <v>44202</v>
      </c>
      <c r="O1694" t="s">
        <v>328</v>
      </c>
      <c r="P1694" s="42">
        <v>44202</v>
      </c>
      <c r="Q1694" t="s">
        <v>328</v>
      </c>
      <c r="R1694" t="s">
        <v>370</v>
      </c>
      <c r="S1694" t="s">
        <v>323</v>
      </c>
      <c r="T1694">
        <v>7.6</v>
      </c>
      <c r="W1694" t="s">
        <v>330</v>
      </c>
      <c r="Y1694" s="42">
        <v>44215</v>
      </c>
    </row>
    <row r="1695" spans="14:25">
      <c r="N1695" s="42">
        <v>44201</v>
      </c>
      <c r="O1695" t="s">
        <v>333</v>
      </c>
      <c r="P1695" s="42">
        <v>44201</v>
      </c>
      <c r="Q1695" t="s">
        <v>333</v>
      </c>
      <c r="R1695" t="s">
        <v>370</v>
      </c>
      <c r="S1695" t="s">
        <v>323</v>
      </c>
      <c r="T1695">
        <v>7.6</v>
      </c>
      <c r="W1695" t="s">
        <v>330</v>
      </c>
      <c r="Y1695" s="42">
        <v>44201</v>
      </c>
    </row>
    <row r="1696" spans="14:25">
      <c r="N1696" s="42">
        <v>44200</v>
      </c>
      <c r="O1696" t="s">
        <v>345</v>
      </c>
      <c r="P1696" s="42">
        <v>44200</v>
      </c>
      <c r="Q1696" t="s">
        <v>345</v>
      </c>
      <c r="R1696" t="s">
        <v>370</v>
      </c>
      <c r="S1696" t="s">
        <v>323</v>
      </c>
      <c r="T1696">
        <v>7.6</v>
      </c>
      <c r="W1696" t="s">
        <v>330</v>
      </c>
      <c r="Y1696" s="42">
        <v>44201</v>
      </c>
    </row>
    <row r="1697" spans="14:25">
      <c r="N1697" s="42">
        <v>44197</v>
      </c>
      <c r="O1697" t="s">
        <v>346</v>
      </c>
      <c r="P1697" s="42">
        <v>44197</v>
      </c>
      <c r="Q1697" t="s">
        <v>346</v>
      </c>
      <c r="R1697" t="s">
        <v>370</v>
      </c>
      <c r="S1697" t="s">
        <v>323</v>
      </c>
      <c r="T1697">
        <v>7.6</v>
      </c>
      <c r="W1697" t="s">
        <v>330</v>
      </c>
      <c r="Y1697" s="42">
        <v>44201</v>
      </c>
    </row>
    <row r="1698" spans="14:25">
      <c r="N1698" s="42">
        <v>44196</v>
      </c>
      <c r="O1698" t="s">
        <v>324</v>
      </c>
      <c r="P1698" s="42">
        <v>44196</v>
      </c>
      <c r="Q1698" t="s">
        <v>324</v>
      </c>
      <c r="R1698" t="s">
        <v>370</v>
      </c>
      <c r="S1698" t="s">
        <v>323</v>
      </c>
      <c r="T1698">
        <v>7.6</v>
      </c>
      <c r="W1698" t="s">
        <v>330</v>
      </c>
      <c r="Y1698" s="42">
        <v>44201</v>
      </c>
    </row>
    <row r="1699" spans="14:25">
      <c r="N1699" s="42">
        <v>44195</v>
      </c>
      <c r="O1699" t="s">
        <v>328</v>
      </c>
      <c r="P1699" s="42">
        <v>44195</v>
      </c>
      <c r="Q1699" t="s">
        <v>328</v>
      </c>
      <c r="R1699" t="s">
        <v>370</v>
      </c>
      <c r="S1699" t="s">
        <v>323</v>
      </c>
      <c r="T1699">
        <v>7.6</v>
      </c>
      <c r="W1699" t="s">
        <v>330</v>
      </c>
      <c r="Y1699" s="42">
        <v>44201</v>
      </c>
    </row>
    <row r="1700" spans="14:25">
      <c r="N1700" s="42">
        <v>44194</v>
      </c>
      <c r="O1700" t="s">
        <v>333</v>
      </c>
      <c r="P1700" s="42">
        <v>44194</v>
      </c>
      <c r="Q1700" t="s">
        <v>333</v>
      </c>
      <c r="R1700" t="s">
        <v>370</v>
      </c>
      <c r="S1700" t="s">
        <v>323</v>
      </c>
      <c r="T1700">
        <v>7.6</v>
      </c>
      <c r="W1700" t="s">
        <v>330</v>
      </c>
      <c r="Y1700" s="42">
        <v>44201</v>
      </c>
    </row>
    <row r="1701" spans="14:25">
      <c r="N1701" s="42">
        <v>44189</v>
      </c>
      <c r="O1701" t="s">
        <v>324</v>
      </c>
      <c r="P1701" s="42">
        <v>44189</v>
      </c>
      <c r="Q1701" t="s">
        <v>324</v>
      </c>
      <c r="R1701" t="s">
        <v>370</v>
      </c>
      <c r="S1701" t="s">
        <v>323</v>
      </c>
      <c r="T1701">
        <v>7.6</v>
      </c>
      <c r="W1701" t="s">
        <v>330</v>
      </c>
      <c r="Y1701" s="42">
        <v>44201</v>
      </c>
    </row>
    <row r="1702" spans="14:25">
      <c r="N1702" s="42">
        <v>44188</v>
      </c>
      <c r="O1702" t="s">
        <v>328</v>
      </c>
      <c r="P1702" s="42">
        <v>44188</v>
      </c>
      <c r="Q1702" t="s">
        <v>328</v>
      </c>
      <c r="R1702" t="s">
        <v>370</v>
      </c>
      <c r="S1702" t="s">
        <v>323</v>
      </c>
      <c r="T1702">
        <v>7.6</v>
      </c>
      <c r="W1702" t="s">
        <v>330</v>
      </c>
      <c r="Y1702" s="42">
        <v>44201</v>
      </c>
    </row>
    <row r="1703" spans="14:25">
      <c r="N1703" s="42">
        <v>44187</v>
      </c>
      <c r="O1703" t="s">
        <v>333</v>
      </c>
      <c r="P1703" s="42">
        <v>44187</v>
      </c>
      <c r="Q1703" t="s">
        <v>333</v>
      </c>
      <c r="R1703" t="s">
        <v>370</v>
      </c>
      <c r="S1703" t="s">
        <v>323</v>
      </c>
      <c r="T1703">
        <v>7.6</v>
      </c>
      <c r="W1703" t="s">
        <v>330</v>
      </c>
      <c r="Y1703" s="42">
        <v>44187</v>
      </c>
    </row>
    <row r="1704" spans="14:25">
      <c r="N1704" s="42">
        <v>44186</v>
      </c>
      <c r="O1704" t="s">
        <v>345</v>
      </c>
      <c r="P1704" s="42">
        <v>44186</v>
      </c>
      <c r="Q1704" t="s">
        <v>345</v>
      </c>
      <c r="R1704" t="s">
        <v>370</v>
      </c>
      <c r="S1704" t="s">
        <v>323</v>
      </c>
      <c r="T1704">
        <v>7.6</v>
      </c>
      <c r="W1704" t="s">
        <v>330</v>
      </c>
      <c r="Y1704" s="42">
        <v>44187</v>
      </c>
    </row>
    <row r="1705" spans="14:25">
      <c r="N1705" s="42">
        <v>44180</v>
      </c>
      <c r="O1705" t="s">
        <v>333</v>
      </c>
      <c r="P1705" s="42">
        <v>44180</v>
      </c>
      <c r="Q1705" t="s">
        <v>333</v>
      </c>
      <c r="R1705" t="s">
        <v>320</v>
      </c>
      <c r="S1705" t="s">
        <v>323</v>
      </c>
      <c r="T1705">
        <v>1</v>
      </c>
      <c r="Y1705" s="42">
        <v>44187</v>
      </c>
    </row>
    <row r="1706" spans="14:25">
      <c r="N1706" s="42">
        <v>44176</v>
      </c>
      <c r="O1706" t="s">
        <v>346</v>
      </c>
      <c r="P1706" s="42">
        <v>44176</v>
      </c>
      <c r="Q1706" t="s">
        <v>346</v>
      </c>
      <c r="R1706" t="s">
        <v>329</v>
      </c>
      <c r="S1706" t="s">
        <v>323</v>
      </c>
      <c r="T1706">
        <v>7.6</v>
      </c>
      <c r="W1706" t="s">
        <v>330</v>
      </c>
      <c r="Y1706" s="42">
        <v>44187</v>
      </c>
    </row>
    <row r="1707" spans="14:25">
      <c r="N1707" s="42">
        <v>44167</v>
      </c>
      <c r="O1707" t="s">
        <v>328</v>
      </c>
      <c r="P1707" s="42">
        <v>44167</v>
      </c>
      <c r="Q1707" t="s">
        <v>328</v>
      </c>
      <c r="R1707" t="s">
        <v>320</v>
      </c>
      <c r="S1707" t="s">
        <v>323</v>
      </c>
      <c r="T1707">
        <v>7.6</v>
      </c>
      <c r="Y1707" s="42">
        <v>44173</v>
      </c>
    </row>
    <row r="1708" spans="14:25">
      <c r="N1708" s="42">
        <v>44166</v>
      </c>
      <c r="O1708" t="s">
        <v>333</v>
      </c>
      <c r="P1708" s="42">
        <v>44166</v>
      </c>
      <c r="Q1708" t="s">
        <v>333</v>
      </c>
      <c r="R1708" t="s">
        <v>320</v>
      </c>
      <c r="S1708" t="s">
        <v>323</v>
      </c>
      <c r="T1708">
        <v>7.6</v>
      </c>
      <c r="Y1708" s="42">
        <v>44173</v>
      </c>
    </row>
    <row r="1709" spans="14:25">
      <c r="N1709" s="42">
        <v>44160</v>
      </c>
      <c r="O1709" t="s">
        <v>328</v>
      </c>
      <c r="P1709" s="42">
        <v>44160</v>
      </c>
      <c r="Q1709" t="s">
        <v>328</v>
      </c>
      <c r="R1709" t="s">
        <v>320</v>
      </c>
      <c r="S1709" t="s">
        <v>323</v>
      </c>
      <c r="T1709">
        <v>7.6</v>
      </c>
      <c r="Y1709" s="42">
        <v>44173</v>
      </c>
    </row>
    <row r="1710" spans="14:25">
      <c r="N1710" s="42">
        <v>44159</v>
      </c>
      <c r="O1710" t="s">
        <v>333</v>
      </c>
      <c r="P1710" s="42">
        <v>44159</v>
      </c>
      <c r="Q1710" t="s">
        <v>333</v>
      </c>
      <c r="R1710" t="s">
        <v>329</v>
      </c>
      <c r="S1710" t="s">
        <v>323</v>
      </c>
      <c r="T1710">
        <v>1</v>
      </c>
      <c r="W1710" t="s">
        <v>330</v>
      </c>
      <c r="Y1710" s="42">
        <v>44159</v>
      </c>
    </row>
    <row r="1711" spans="14:25">
      <c r="N1711" s="42">
        <v>44155</v>
      </c>
      <c r="O1711" t="s">
        <v>346</v>
      </c>
      <c r="P1711" s="42">
        <v>44155</v>
      </c>
      <c r="Q1711" t="s">
        <v>346</v>
      </c>
      <c r="R1711" t="s">
        <v>320</v>
      </c>
      <c r="S1711" t="s">
        <v>323</v>
      </c>
      <c r="T1711">
        <v>7.6</v>
      </c>
      <c r="Y1711" s="42">
        <v>44159</v>
      </c>
    </row>
    <row r="1712" spans="14:25">
      <c r="N1712" s="42">
        <v>44152</v>
      </c>
      <c r="O1712" t="s">
        <v>333</v>
      </c>
      <c r="P1712" s="42">
        <v>44152</v>
      </c>
      <c r="Q1712" t="s">
        <v>333</v>
      </c>
      <c r="R1712" t="s">
        <v>329</v>
      </c>
      <c r="S1712" t="s">
        <v>323</v>
      </c>
      <c r="T1712">
        <v>1</v>
      </c>
      <c r="W1712" t="s">
        <v>330</v>
      </c>
      <c r="Y1712" s="42">
        <v>44159</v>
      </c>
    </row>
    <row r="1713" spans="14:25">
      <c r="N1713" s="42">
        <v>44148</v>
      </c>
      <c r="O1713" t="s">
        <v>346</v>
      </c>
      <c r="P1713" s="42">
        <v>44148</v>
      </c>
      <c r="Q1713" t="s">
        <v>346</v>
      </c>
      <c r="R1713" t="s">
        <v>320</v>
      </c>
      <c r="S1713" t="s">
        <v>323</v>
      </c>
      <c r="T1713">
        <v>7.6</v>
      </c>
      <c r="Y1713" s="42">
        <v>44159</v>
      </c>
    </row>
    <row r="1714" spans="14:25">
      <c r="N1714" s="42">
        <v>44147</v>
      </c>
      <c r="O1714" t="s">
        <v>324</v>
      </c>
      <c r="P1714" s="42">
        <v>44147</v>
      </c>
      <c r="Q1714" t="s">
        <v>324</v>
      </c>
      <c r="R1714" t="s">
        <v>320</v>
      </c>
      <c r="S1714" t="s">
        <v>323</v>
      </c>
      <c r="T1714">
        <v>7.6</v>
      </c>
      <c r="Y1714" s="42">
        <v>44159</v>
      </c>
    </row>
    <row r="1715" spans="14:25">
      <c r="N1715" s="42">
        <v>44141</v>
      </c>
      <c r="O1715" t="s">
        <v>346</v>
      </c>
      <c r="P1715" s="42">
        <v>44141</v>
      </c>
      <c r="Q1715" t="s">
        <v>346</v>
      </c>
      <c r="R1715" t="s">
        <v>320</v>
      </c>
      <c r="S1715" t="s">
        <v>323</v>
      </c>
      <c r="T1715">
        <v>7.6</v>
      </c>
      <c r="Y1715" s="42">
        <v>44145</v>
      </c>
    </row>
    <row r="1716" spans="14:25">
      <c r="N1716" s="42">
        <v>44140</v>
      </c>
      <c r="O1716" t="s">
        <v>324</v>
      </c>
      <c r="P1716" s="42">
        <v>44140</v>
      </c>
      <c r="Q1716" t="s">
        <v>324</v>
      </c>
      <c r="R1716" t="s">
        <v>320</v>
      </c>
      <c r="S1716" t="s">
        <v>323</v>
      </c>
      <c r="T1716">
        <v>7.6</v>
      </c>
      <c r="Y1716" s="42">
        <v>44145</v>
      </c>
    </row>
    <row r="1717" spans="14:25">
      <c r="N1717" s="42">
        <v>44139</v>
      </c>
      <c r="O1717" t="s">
        <v>328</v>
      </c>
      <c r="P1717" s="42">
        <v>44139</v>
      </c>
      <c r="Q1717" t="s">
        <v>328</v>
      </c>
      <c r="R1717" t="s">
        <v>329</v>
      </c>
      <c r="S1717" t="s">
        <v>323</v>
      </c>
      <c r="T1717">
        <v>7.6</v>
      </c>
      <c r="W1717" t="s">
        <v>330</v>
      </c>
      <c r="Y1717" s="42">
        <v>44145</v>
      </c>
    </row>
    <row r="1718" spans="14:25">
      <c r="N1718" s="42">
        <v>44134</v>
      </c>
      <c r="O1718" t="s">
        <v>346</v>
      </c>
      <c r="P1718" s="42">
        <v>44134</v>
      </c>
      <c r="Q1718" t="s">
        <v>346</v>
      </c>
      <c r="R1718" t="s">
        <v>329</v>
      </c>
      <c r="S1718" t="s">
        <v>323</v>
      </c>
      <c r="T1718">
        <v>7.6</v>
      </c>
      <c r="W1718" t="s">
        <v>330</v>
      </c>
      <c r="Y1718" s="42">
        <v>44145</v>
      </c>
    </row>
    <row r="1719" spans="14:25">
      <c r="N1719" s="42">
        <v>44132</v>
      </c>
      <c r="O1719" t="s">
        <v>328</v>
      </c>
      <c r="P1719" s="42">
        <v>44132</v>
      </c>
      <c r="Q1719" t="s">
        <v>328</v>
      </c>
      <c r="R1719" t="s">
        <v>329</v>
      </c>
      <c r="S1719" t="s">
        <v>323</v>
      </c>
      <c r="T1719">
        <v>7.6</v>
      </c>
      <c r="W1719" t="s">
        <v>330</v>
      </c>
      <c r="Y1719" s="42">
        <v>44145</v>
      </c>
    </row>
    <row r="1720" spans="14:25">
      <c r="N1720" s="42">
        <v>44125</v>
      </c>
      <c r="O1720" t="s">
        <v>328</v>
      </c>
      <c r="P1720" s="42">
        <v>44125</v>
      </c>
      <c r="Q1720" t="s">
        <v>328</v>
      </c>
      <c r="R1720" t="s">
        <v>329</v>
      </c>
      <c r="S1720" t="s">
        <v>323</v>
      </c>
      <c r="T1720">
        <v>7.6</v>
      </c>
      <c r="W1720" t="s">
        <v>330</v>
      </c>
      <c r="Y1720" s="42">
        <v>44131</v>
      </c>
    </row>
    <row r="1721" spans="14:25">
      <c r="N1721" s="42">
        <v>44117</v>
      </c>
      <c r="O1721" t="s">
        <v>333</v>
      </c>
      <c r="P1721" s="42">
        <v>44117</v>
      </c>
      <c r="Q1721" t="s">
        <v>333</v>
      </c>
      <c r="R1721" t="s">
        <v>329</v>
      </c>
      <c r="S1721" t="s">
        <v>323</v>
      </c>
      <c r="T1721">
        <v>7.6</v>
      </c>
      <c r="W1721" t="s">
        <v>330</v>
      </c>
      <c r="Y1721" s="42">
        <v>44117</v>
      </c>
    </row>
    <row r="1722" spans="14:25">
      <c r="N1722" s="42">
        <v>44116</v>
      </c>
      <c r="O1722" t="s">
        <v>345</v>
      </c>
      <c r="P1722" s="42">
        <v>44116</v>
      </c>
      <c r="Q1722" t="s">
        <v>345</v>
      </c>
      <c r="R1722" t="s">
        <v>329</v>
      </c>
      <c r="S1722" t="s">
        <v>323</v>
      </c>
      <c r="T1722">
        <v>1</v>
      </c>
      <c r="W1722" t="s">
        <v>330</v>
      </c>
      <c r="Y1722" s="42">
        <v>44117</v>
      </c>
    </row>
    <row r="1723" spans="14:25">
      <c r="N1723" s="42">
        <v>44104</v>
      </c>
      <c r="O1723" t="s">
        <v>328</v>
      </c>
      <c r="P1723" s="42">
        <v>44104</v>
      </c>
      <c r="Q1723" t="s">
        <v>328</v>
      </c>
      <c r="R1723" t="s">
        <v>329</v>
      </c>
      <c r="S1723" t="s">
        <v>323</v>
      </c>
      <c r="T1723">
        <v>1</v>
      </c>
      <c r="W1723" t="s">
        <v>330</v>
      </c>
      <c r="Y1723" s="42">
        <v>44117</v>
      </c>
    </row>
    <row r="1724" spans="14:25">
      <c r="N1724" s="42">
        <v>44103</v>
      </c>
      <c r="O1724" t="s">
        <v>333</v>
      </c>
      <c r="P1724" s="42">
        <v>44103</v>
      </c>
      <c r="Q1724" t="s">
        <v>333</v>
      </c>
      <c r="R1724" t="s">
        <v>329</v>
      </c>
      <c r="S1724" t="s">
        <v>323</v>
      </c>
      <c r="T1724">
        <v>7.6</v>
      </c>
      <c r="W1724" t="s">
        <v>330</v>
      </c>
      <c r="Y1724" s="42">
        <v>44103</v>
      </c>
    </row>
    <row r="1725" spans="14:25">
      <c r="N1725" s="42">
        <v>44102</v>
      </c>
      <c r="O1725" t="s">
        <v>345</v>
      </c>
      <c r="P1725" s="42">
        <v>44102</v>
      </c>
      <c r="Q1725" t="s">
        <v>345</v>
      </c>
      <c r="R1725" t="s">
        <v>320</v>
      </c>
      <c r="S1725" t="s">
        <v>323</v>
      </c>
      <c r="U1725">
        <v>7.6</v>
      </c>
    </row>
    <row r="1726" spans="14:25">
      <c r="N1726" s="42">
        <v>44092</v>
      </c>
      <c r="O1726" t="s">
        <v>346</v>
      </c>
      <c r="P1726" s="42">
        <v>44092</v>
      </c>
      <c r="Q1726" t="s">
        <v>346</v>
      </c>
      <c r="R1726" t="s">
        <v>329</v>
      </c>
      <c r="S1726" t="s">
        <v>323</v>
      </c>
      <c r="T1726">
        <v>2</v>
      </c>
      <c r="W1726" t="s">
        <v>330</v>
      </c>
      <c r="Y1726" s="42">
        <v>44103</v>
      </c>
    </row>
    <row r="1727" spans="14:25">
      <c r="N1727" s="42">
        <v>44078</v>
      </c>
      <c r="O1727" t="s">
        <v>346</v>
      </c>
      <c r="P1727" s="42">
        <v>44078</v>
      </c>
      <c r="Q1727" t="s">
        <v>346</v>
      </c>
      <c r="R1727" t="s">
        <v>329</v>
      </c>
      <c r="S1727" t="s">
        <v>323</v>
      </c>
      <c r="T1727">
        <v>2</v>
      </c>
      <c r="W1727" t="s">
        <v>330</v>
      </c>
      <c r="Y1727" s="42">
        <v>44089</v>
      </c>
    </row>
    <row r="1728" spans="14:25">
      <c r="N1728" s="42">
        <v>44064</v>
      </c>
      <c r="O1728" t="s">
        <v>346</v>
      </c>
      <c r="P1728" s="42">
        <v>44064</v>
      </c>
      <c r="Q1728" t="s">
        <v>346</v>
      </c>
      <c r="R1728" t="s">
        <v>320</v>
      </c>
      <c r="S1728" t="s">
        <v>323</v>
      </c>
      <c r="T1728">
        <v>7.6</v>
      </c>
      <c r="Y1728" s="42">
        <v>44075</v>
      </c>
    </row>
    <row r="1729" spans="14:25">
      <c r="N1729" s="42">
        <v>44061</v>
      </c>
      <c r="O1729" t="s">
        <v>333</v>
      </c>
      <c r="P1729" s="42">
        <v>44061</v>
      </c>
      <c r="Q1729" t="s">
        <v>333</v>
      </c>
      <c r="R1729" t="s">
        <v>329</v>
      </c>
      <c r="S1729" t="s">
        <v>323</v>
      </c>
      <c r="T1729">
        <v>1</v>
      </c>
      <c r="W1729" t="s">
        <v>330</v>
      </c>
      <c r="Y1729" s="42">
        <v>44061</v>
      </c>
    </row>
    <row r="1730" spans="14:25">
      <c r="N1730" s="42">
        <v>44049</v>
      </c>
      <c r="O1730" t="s">
        <v>324</v>
      </c>
      <c r="P1730" s="42">
        <v>44049</v>
      </c>
      <c r="Q1730" t="s">
        <v>324</v>
      </c>
      <c r="R1730" t="s">
        <v>329</v>
      </c>
      <c r="S1730" t="s">
        <v>323</v>
      </c>
      <c r="T1730">
        <v>7.6</v>
      </c>
      <c r="W1730" t="s">
        <v>330</v>
      </c>
      <c r="Y1730" s="42">
        <v>44061</v>
      </c>
    </row>
    <row r="1731" spans="14:25">
      <c r="N1731" s="42">
        <v>44028</v>
      </c>
      <c r="O1731" t="s">
        <v>324</v>
      </c>
      <c r="P1731" s="42">
        <v>44028</v>
      </c>
      <c r="Q1731" t="s">
        <v>324</v>
      </c>
      <c r="R1731" t="s">
        <v>329</v>
      </c>
      <c r="S1731" t="s">
        <v>323</v>
      </c>
      <c r="T1731">
        <v>7.6</v>
      </c>
      <c r="W1731" t="s">
        <v>330</v>
      </c>
      <c r="Y1731" s="42">
        <v>44033</v>
      </c>
    </row>
    <row r="1732" spans="14:25">
      <c r="N1732" s="42">
        <v>44025</v>
      </c>
      <c r="O1732" t="s">
        <v>345</v>
      </c>
      <c r="P1732" s="42">
        <v>44025</v>
      </c>
      <c r="Q1732" t="s">
        <v>345</v>
      </c>
      <c r="R1732" t="s">
        <v>329</v>
      </c>
      <c r="S1732" t="s">
        <v>323</v>
      </c>
      <c r="T1732">
        <v>7.6</v>
      </c>
      <c r="W1732" t="s">
        <v>330</v>
      </c>
      <c r="Y1732" s="42">
        <v>44033</v>
      </c>
    </row>
    <row r="1733" spans="14:25">
      <c r="N1733" s="42">
        <v>44012</v>
      </c>
      <c r="O1733" t="s">
        <v>333</v>
      </c>
      <c r="P1733" s="42">
        <v>44012</v>
      </c>
      <c r="Q1733" t="s">
        <v>333</v>
      </c>
      <c r="R1733" t="s">
        <v>329</v>
      </c>
      <c r="S1733" t="s">
        <v>323</v>
      </c>
      <c r="T1733">
        <v>7.6</v>
      </c>
      <c r="W1733" t="s">
        <v>330</v>
      </c>
      <c r="Y1733" s="42">
        <v>44019</v>
      </c>
    </row>
    <row r="1734" spans="14:25">
      <c r="N1734" s="42">
        <v>44011</v>
      </c>
      <c r="O1734" t="s">
        <v>345</v>
      </c>
      <c r="P1734" s="42">
        <v>44011</v>
      </c>
      <c r="Q1734" t="s">
        <v>345</v>
      </c>
      <c r="R1734" t="s">
        <v>329</v>
      </c>
      <c r="S1734" t="s">
        <v>323</v>
      </c>
      <c r="T1734">
        <v>7.6</v>
      </c>
      <c r="W1734" t="s">
        <v>330</v>
      </c>
      <c r="Y1734" s="42">
        <v>44019</v>
      </c>
    </row>
    <row r="1735" spans="14:25">
      <c r="N1735" s="42">
        <v>44006</v>
      </c>
      <c r="O1735" t="s">
        <v>328</v>
      </c>
      <c r="P1735" s="42">
        <v>44006</v>
      </c>
      <c r="Q1735" t="s">
        <v>328</v>
      </c>
      <c r="R1735" t="s">
        <v>329</v>
      </c>
      <c r="S1735" t="s">
        <v>323</v>
      </c>
      <c r="T1735">
        <v>1.5</v>
      </c>
      <c r="W1735" t="s">
        <v>330</v>
      </c>
      <c r="Y1735" s="42">
        <v>44019</v>
      </c>
    </row>
    <row r="1736" spans="14:25">
      <c r="N1736" s="42">
        <v>43998</v>
      </c>
      <c r="O1736" t="s">
        <v>333</v>
      </c>
      <c r="P1736" s="42">
        <v>43998</v>
      </c>
      <c r="Q1736" t="s">
        <v>333</v>
      </c>
      <c r="R1736" t="s">
        <v>329</v>
      </c>
      <c r="S1736" t="s">
        <v>323</v>
      </c>
      <c r="T1736">
        <v>0.55000000000000004</v>
      </c>
      <c r="W1736" t="s">
        <v>330</v>
      </c>
      <c r="Y1736" s="42">
        <v>44005</v>
      </c>
    </row>
    <row r="1737" spans="14:25">
      <c r="N1737" s="42">
        <v>43980</v>
      </c>
      <c r="O1737" t="s">
        <v>346</v>
      </c>
      <c r="P1737" s="42">
        <v>43980</v>
      </c>
      <c r="Q1737" t="s">
        <v>346</v>
      </c>
      <c r="R1737" t="s">
        <v>329</v>
      </c>
      <c r="S1737" t="s">
        <v>323</v>
      </c>
      <c r="T1737">
        <v>2.5</v>
      </c>
      <c r="W1737" t="s">
        <v>330</v>
      </c>
      <c r="Y1737" s="42">
        <v>43991</v>
      </c>
    </row>
    <row r="1738" spans="14:25">
      <c r="N1738" s="42">
        <v>43970</v>
      </c>
      <c r="O1738" t="s">
        <v>333</v>
      </c>
      <c r="P1738" s="42">
        <v>43970</v>
      </c>
      <c r="Q1738" t="s">
        <v>333</v>
      </c>
      <c r="R1738" t="s">
        <v>329</v>
      </c>
      <c r="S1738" t="s">
        <v>323</v>
      </c>
      <c r="T1738">
        <v>7.6</v>
      </c>
      <c r="W1738" t="s">
        <v>330</v>
      </c>
      <c r="Y1738" s="42">
        <v>43977</v>
      </c>
    </row>
    <row r="1739" spans="14:25">
      <c r="N1739" s="42">
        <v>43943</v>
      </c>
      <c r="O1739" t="s">
        <v>328</v>
      </c>
      <c r="P1739" s="42">
        <v>43943</v>
      </c>
      <c r="Q1739" t="s">
        <v>328</v>
      </c>
      <c r="R1739" t="s">
        <v>329</v>
      </c>
      <c r="S1739" t="s">
        <v>323</v>
      </c>
      <c r="T1739">
        <v>2.5</v>
      </c>
      <c r="W1739" t="s">
        <v>330</v>
      </c>
      <c r="Y1739" s="42">
        <v>43949</v>
      </c>
    </row>
    <row r="1740" spans="14:25">
      <c r="N1740" s="42">
        <v>43936</v>
      </c>
      <c r="O1740" t="s">
        <v>328</v>
      </c>
      <c r="P1740" s="42">
        <v>43936</v>
      </c>
      <c r="Q1740" t="s">
        <v>328</v>
      </c>
      <c r="R1740" t="s">
        <v>329</v>
      </c>
      <c r="S1740" t="s">
        <v>323</v>
      </c>
      <c r="T1740">
        <v>1</v>
      </c>
      <c r="W1740" t="s">
        <v>330</v>
      </c>
      <c r="Y1740" s="42">
        <v>43949</v>
      </c>
    </row>
    <row r="1741" spans="14:25">
      <c r="N1741" s="42">
        <v>43915</v>
      </c>
      <c r="O1741" t="s">
        <v>328</v>
      </c>
      <c r="P1741" s="42">
        <v>43915</v>
      </c>
      <c r="Q1741" t="s">
        <v>328</v>
      </c>
      <c r="R1741" t="s">
        <v>320</v>
      </c>
      <c r="S1741" t="s">
        <v>323</v>
      </c>
      <c r="T1741">
        <v>7.6</v>
      </c>
      <c r="Y1741" s="42">
        <v>43921</v>
      </c>
    </row>
    <row r="1742" spans="14:25">
      <c r="N1742" s="42">
        <v>43902</v>
      </c>
      <c r="O1742" t="s">
        <v>324</v>
      </c>
      <c r="P1742" s="42">
        <v>43902</v>
      </c>
      <c r="Q1742" t="s">
        <v>324</v>
      </c>
      <c r="R1742" t="s">
        <v>329</v>
      </c>
      <c r="S1742" t="s">
        <v>323</v>
      </c>
      <c r="T1742">
        <v>2</v>
      </c>
      <c r="W1742" t="s">
        <v>330</v>
      </c>
      <c r="Y1742" s="42">
        <v>43907</v>
      </c>
    </row>
    <row r="1743" spans="14:25">
      <c r="N1743" s="42">
        <v>43875</v>
      </c>
      <c r="O1743" t="s">
        <v>346</v>
      </c>
      <c r="P1743" s="42">
        <v>43875</v>
      </c>
      <c r="Q1743" t="s">
        <v>346</v>
      </c>
      <c r="R1743" t="s">
        <v>329</v>
      </c>
      <c r="S1743" t="s">
        <v>323</v>
      </c>
      <c r="T1743">
        <v>2</v>
      </c>
      <c r="W1743" t="s">
        <v>330</v>
      </c>
      <c r="Y1743" s="42">
        <v>43879</v>
      </c>
    </row>
    <row r="1744" spans="14:25">
      <c r="N1744" s="42">
        <v>43861</v>
      </c>
      <c r="O1744" t="s">
        <v>346</v>
      </c>
      <c r="P1744" s="42">
        <v>43861</v>
      </c>
      <c r="Q1744" t="s">
        <v>346</v>
      </c>
      <c r="R1744" t="s">
        <v>320</v>
      </c>
      <c r="S1744" t="s">
        <v>323</v>
      </c>
      <c r="T1744">
        <v>7.6</v>
      </c>
      <c r="Y1744" s="42">
        <v>43865</v>
      </c>
    </row>
    <row r="1745" spans="14:25">
      <c r="N1745" s="42">
        <v>43860</v>
      </c>
      <c r="O1745" t="s">
        <v>324</v>
      </c>
      <c r="P1745" s="42">
        <v>43860</v>
      </c>
      <c r="Q1745" t="s">
        <v>324</v>
      </c>
      <c r="R1745" t="s">
        <v>320</v>
      </c>
      <c r="S1745" t="s">
        <v>323</v>
      </c>
      <c r="T1745">
        <v>7.6</v>
      </c>
      <c r="Y1745" s="42">
        <v>43865</v>
      </c>
    </row>
    <row r="1746" spans="14:25">
      <c r="N1746" s="42">
        <v>43859</v>
      </c>
      <c r="O1746" t="s">
        <v>328</v>
      </c>
      <c r="P1746" s="42">
        <v>43859</v>
      </c>
      <c r="Q1746" t="s">
        <v>328</v>
      </c>
      <c r="R1746" t="s">
        <v>320</v>
      </c>
      <c r="S1746" t="s">
        <v>323</v>
      </c>
      <c r="T1746">
        <v>7.6</v>
      </c>
      <c r="Y1746" s="42">
        <v>43865</v>
      </c>
    </row>
    <row r="1747" spans="14:25">
      <c r="N1747" s="42">
        <v>43858</v>
      </c>
      <c r="O1747" t="s">
        <v>333</v>
      </c>
      <c r="P1747" s="42">
        <v>43858</v>
      </c>
      <c r="Q1747" t="s">
        <v>333</v>
      </c>
      <c r="R1747" t="s">
        <v>320</v>
      </c>
      <c r="S1747" t="s">
        <v>323</v>
      </c>
      <c r="T1747">
        <v>7.6</v>
      </c>
      <c r="Y1747" s="42">
        <v>43865</v>
      </c>
    </row>
    <row r="1748" spans="14:25">
      <c r="N1748" s="42">
        <v>43816</v>
      </c>
      <c r="O1748" t="s">
        <v>333</v>
      </c>
      <c r="P1748" s="42">
        <v>43816</v>
      </c>
      <c r="Q1748" t="s">
        <v>333</v>
      </c>
      <c r="R1748" t="s">
        <v>329</v>
      </c>
      <c r="S1748" t="s">
        <v>323</v>
      </c>
      <c r="T1748">
        <v>1</v>
      </c>
      <c r="W1748" t="s">
        <v>330</v>
      </c>
      <c r="Y1748" s="42">
        <v>43823</v>
      </c>
    </row>
    <row r="1749" spans="14:25">
      <c r="N1749" s="42">
        <v>43815</v>
      </c>
      <c r="O1749" t="s">
        <v>345</v>
      </c>
      <c r="P1749" s="42">
        <v>43815</v>
      </c>
      <c r="Q1749" t="s">
        <v>345</v>
      </c>
      <c r="R1749" t="s">
        <v>320</v>
      </c>
      <c r="S1749" t="s">
        <v>323</v>
      </c>
      <c r="T1749">
        <v>2</v>
      </c>
      <c r="Y1749" s="42">
        <v>43823</v>
      </c>
    </row>
    <row r="1750" spans="14:25">
      <c r="N1750" s="42">
        <v>43769</v>
      </c>
      <c r="O1750" t="s">
        <v>324</v>
      </c>
      <c r="P1750" s="42">
        <v>43769</v>
      </c>
      <c r="Q1750" t="s">
        <v>324</v>
      </c>
      <c r="R1750" t="s">
        <v>329</v>
      </c>
      <c r="S1750" t="s">
        <v>323</v>
      </c>
      <c r="T1750">
        <v>2</v>
      </c>
      <c r="W1750" t="s">
        <v>330</v>
      </c>
      <c r="Y1750" s="42">
        <v>43781</v>
      </c>
    </row>
    <row r="1751" spans="14:25">
      <c r="N1751" s="42">
        <v>43763</v>
      </c>
      <c r="O1751" t="s">
        <v>346</v>
      </c>
      <c r="P1751" s="42">
        <v>43763</v>
      </c>
      <c r="Q1751" t="s">
        <v>346</v>
      </c>
      <c r="R1751" t="s">
        <v>320</v>
      </c>
      <c r="S1751" t="s">
        <v>323</v>
      </c>
      <c r="T1751">
        <v>7.6</v>
      </c>
      <c r="Y1751" s="42">
        <v>43767</v>
      </c>
    </row>
    <row r="1752" spans="14:25">
      <c r="N1752" s="42">
        <v>43725</v>
      </c>
      <c r="O1752" t="s">
        <v>333</v>
      </c>
      <c r="P1752" s="42">
        <v>43725</v>
      </c>
      <c r="Q1752" t="s">
        <v>333</v>
      </c>
      <c r="R1752" t="s">
        <v>329</v>
      </c>
      <c r="S1752" t="s">
        <v>323</v>
      </c>
      <c r="T1752">
        <v>1</v>
      </c>
      <c r="W1752" t="s">
        <v>330</v>
      </c>
      <c r="Y1752" s="42">
        <v>43725</v>
      </c>
    </row>
    <row r="1753" spans="14:25">
      <c r="N1753" s="42">
        <v>43718</v>
      </c>
      <c r="O1753" t="s">
        <v>333</v>
      </c>
      <c r="P1753" s="42">
        <v>43718</v>
      </c>
      <c r="Q1753" t="s">
        <v>333</v>
      </c>
      <c r="R1753" t="s">
        <v>329</v>
      </c>
      <c r="S1753" t="s">
        <v>323</v>
      </c>
      <c r="T1753">
        <v>1</v>
      </c>
      <c r="W1753" t="s">
        <v>330</v>
      </c>
      <c r="Y1753" s="42">
        <v>43725</v>
      </c>
    </row>
    <row r="1754" spans="14:25">
      <c r="N1754" s="42">
        <v>43710</v>
      </c>
      <c r="O1754" t="s">
        <v>345</v>
      </c>
      <c r="P1754" s="42">
        <v>43710</v>
      </c>
      <c r="Q1754" t="s">
        <v>345</v>
      </c>
      <c r="R1754" t="s">
        <v>320</v>
      </c>
      <c r="S1754" t="s">
        <v>323</v>
      </c>
      <c r="T1754">
        <v>7.6</v>
      </c>
      <c r="Y1754" s="42">
        <v>43711</v>
      </c>
    </row>
    <row r="1755" spans="14:25">
      <c r="N1755" s="42">
        <v>43707</v>
      </c>
      <c r="O1755" t="s">
        <v>346</v>
      </c>
      <c r="P1755" s="42">
        <v>43707</v>
      </c>
      <c r="Q1755" t="s">
        <v>346</v>
      </c>
      <c r="R1755" t="s">
        <v>320</v>
      </c>
      <c r="S1755" t="s">
        <v>323</v>
      </c>
      <c r="T1755">
        <v>7.6</v>
      </c>
      <c r="Y1755" s="42">
        <v>43711</v>
      </c>
    </row>
    <row r="1756" spans="14:25">
      <c r="N1756" s="42">
        <v>43706</v>
      </c>
      <c r="O1756" t="s">
        <v>324</v>
      </c>
      <c r="P1756" s="42">
        <v>43706</v>
      </c>
      <c r="Q1756" t="s">
        <v>324</v>
      </c>
      <c r="R1756" t="s">
        <v>320</v>
      </c>
      <c r="S1756" t="s">
        <v>323</v>
      </c>
      <c r="T1756">
        <v>7.6</v>
      </c>
      <c r="Y1756" s="42">
        <v>43711</v>
      </c>
    </row>
    <row r="1757" spans="14:25">
      <c r="N1757" s="42">
        <v>43705</v>
      </c>
      <c r="O1757" t="s">
        <v>328</v>
      </c>
      <c r="P1757" s="42">
        <v>43705</v>
      </c>
      <c r="Q1757" t="s">
        <v>328</v>
      </c>
      <c r="R1757" t="s">
        <v>320</v>
      </c>
      <c r="S1757" t="s">
        <v>323</v>
      </c>
      <c r="T1757">
        <v>7.6</v>
      </c>
      <c r="Y1757" s="42">
        <v>43711</v>
      </c>
    </row>
    <row r="1758" spans="14:25">
      <c r="N1758" s="42">
        <v>43691</v>
      </c>
      <c r="O1758" t="s">
        <v>328</v>
      </c>
      <c r="P1758" s="42">
        <v>43691</v>
      </c>
      <c r="Q1758" t="s">
        <v>328</v>
      </c>
      <c r="R1758" t="s">
        <v>329</v>
      </c>
      <c r="S1758" t="s">
        <v>323</v>
      </c>
      <c r="T1758">
        <v>2</v>
      </c>
      <c r="W1758" t="s">
        <v>330</v>
      </c>
      <c r="Y1758" s="42">
        <v>43697</v>
      </c>
    </row>
    <row r="1759" spans="14:25">
      <c r="N1759" s="42">
        <v>43665</v>
      </c>
      <c r="O1759" t="s">
        <v>346</v>
      </c>
      <c r="P1759" s="42">
        <v>43665</v>
      </c>
      <c r="Q1759" t="s">
        <v>346</v>
      </c>
      <c r="R1759" t="s">
        <v>320</v>
      </c>
      <c r="S1759" t="s">
        <v>323</v>
      </c>
      <c r="T1759">
        <v>7.6</v>
      </c>
      <c r="Y1759" s="42">
        <v>43669</v>
      </c>
    </row>
    <row r="1760" spans="14:25">
      <c r="N1760" s="42">
        <v>43642</v>
      </c>
      <c r="O1760" t="s">
        <v>328</v>
      </c>
      <c r="P1760" s="42">
        <v>43642</v>
      </c>
      <c r="Q1760" t="s">
        <v>328</v>
      </c>
      <c r="R1760" t="s">
        <v>329</v>
      </c>
      <c r="S1760" t="s">
        <v>323</v>
      </c>
      <c r="T1760">
        <v>4</v>
      </c>
      <c r="W1760" t="s">
        <v>330</v>
      </c>
      <c r="Y1760" s="42">
        <v>43655</v>
      </c>
    </row>
    <row r="1761" spans="1:25">
      <c r="N1761" s="42">
        <v>43628</v>
      </c>
      <c r="O1761" t="s">
        <v>328</v>
      </c>
      <c r="P1761" s="42">
        <v>43628</v>
      </c>
      <c r="Q1761" t="s">
        <v>328</v>
      </c>
      <c r="R1761" t="s">
        <v>347</v>
      </c>
      <c r="S1761" t="s">
        <v>323</v>
      </c>
      <c r="T1761">
        <v>1</v>
      </c>
      <c r="W1761" t="s">
        <v>330</v>
      </c>
      <c r="Y1761" s="42">
        <v>43641</v>
      </c>
    </row>
    <row r="1762" spans="1:25">
      <c r="A1762">
        <v>18517</v>
      </c>
      <c r="B1762" t="s">
        <v>373</v>
      </c>
      <c r="C1762" t="s">
        <v>320</v>
      </c>
      <c r="D1762" t="s">
        <v>336</v>
      </c>
      <c r="E1762" t="s">
        <v>337</v>
      </c>
      <c r="F1762">
        <v>1</v>
      </c>
      <c r="G1762" s="42">
        <v>45310</v>
      </c>
      <c r="H1762">
        <v>152</v>
      </c>
      <c r="I1762">
        <v>203.61920000000001</v>
      </c>
      <c r="J1762">
        <v>18.3233</v>
      </c>
      <c r="K1762">
        <v>221.9425</v>
      </c>
      <c r="L1762" t="s">
        <v>323</v>
      </c>
      <c r="M1762" s="43">
        <v>0.45902777777777781</v>
      </c>
      <c r="N1762" s="42">
        <v>44952</v>
      </c>
      <c r="O1762" t="s">
        <v>324</v>
      </c>
      <c r="P1762" s="42">
        <v>44952</v>
      </c>
      <c r="Q1762" t="s">
        <v>324</v>
      </c>
      <c r="R1762" t="s">
        <v>320</v>
      </c>
      <c r="S1762" t="s">
        <v>323</v>
      </c>
      <c r="U1762">
        <v>7.6</v>
      </c>
      <c r="Y1762" s="42">
        <v>44957</v>
      </c>
    </row>
    <row r="1763" spans="1:25">
      <c r="C1763" t="s">
        <v>325</v>
      </c>
      <c r="D1763" t="s">
        <v>366</v>
      </c>
      <c r="E1763" t="s">
        <v>367</v>
      </c>
      <c r="F1763">
        <v>2</v>
      </c>
      <c r="G1763" s="42">
        <v>45310</v>
      </c>
      <c r="H1763">
        <v>32.934600000000003</v>
      </c>
      <c r="I1763">
        <v>362.23570000000001</v>
      </c>
      <c r="J1763">
        <v>3.9702000000000002</v>
      </c>
      <c r="K1763">
        <v>366.20589999999999</v>
      </c>
      <c r="L1763" t="s">
        <v>323</v>
      </c>
      <c r="N1763" s="42">
        <v>44928</v>
      </c>
      <c r="O1763" t="s">
        <v>345</v>
      </c>
      <c r="P1763" s="42">
        <v>44928</v>
      </c>
      <c r="Q1763" t="s">
        <v>345</v>
      </c>
      <c r="R1763" t="s">
        <v>320</v>
      </c>
      <c r="S1763" t="s">
        <v>323</v>
      </c>
      <c r="U1763">
        <v>7.6</v>
      </c>
      <c r="Y1763" s="42">
        <v>44929</v>
      </c>
    </row>
    <row r="1764" spans="1:25">
      <c r="C1764" t="s">
        <v>329</v>
      </c>
      <c r="D1764" t="s">
        <v>342</v>
      </c>
      <c r="E1764" t="s">
        <v>343</v>
      </c>
      <c r="F1764">
        <v>1</v>
      </c>
      <c r="G1764" s="42">
        <v>45310</v>
      </c>
      <c r="H1764">
        <v>76</v>
      </c>
      <c r="I1764">
        <v>741.69910000000004</v>
      </c>
      <c r="J1764">
        <v>9.1616</v>
      </c>
      <c r="K1764">
        <v>750.86069999999995</v>
      </c>
      <c r="L1764" t="s">
        <v>323</v>
      </c>
      <c r="N1764" s="42">
        <v>44921</v>
      </c>
      <c r="O1764" t="s">
        <v>345</v>
      </c>
      <c r="P1764" s="42">
        <v>44925</v>
      </c>
      <c r="Q1764" t="s">
        <v>346</v>
      </c>
      <c r="R1764" t="s">
        <v>320</v>
      </c>
      <c r="S1764" t="s">
        <v>323</v>
      </c>
      <c r="T1764">
        <v>22.8</v>
      </c>
      <c r="U1764">
        <v>15.2</v>
      </c>
      <c r="V1764">
        <v>0</v>
      </c>
      <c r="Y1764" s="42">
        <v>44929</v>
      </c>
    </row>
    <row r="1765" spans="1:25">
      <c r="N1765" s="42">
        <v>44916</v>
      </c>
      <c r="O1765" t="s">
        <v>328</v>
      </c>
      <c r="P1765" s="42">
        <v>44918</v>
      </c>
      <c r="Q1765" t="s">
        <v>346</v>
      </c>
      <c r="R1765" t="s">
        <v>320</v>
      </c>
      <c r="S1765" t="s">
        <v>323</v>
      </c>
      <c r="T1765">
        <v>22.8</v>
      </c>
      <c r="U1765">
        <v>0</v>
      </c>
      <c r="V1765">
        <v>0</v>
      </c>
      <c r="Y1765" s="42">
        <v>44929</v>
      </c>
    </row>
    <row r="1766" spans="1:25">
      <c r="N1766" s="42">
        <v>44914</v>
      </c>
      <c r="O1766" t="s">
        <v>345</v>
      </c>
      <c r="P1766" s="42">
        <v>44915</v>
      </c>
      <c r="Q1766" t="s">
        <v>333</v>
      </c>
      <c r="R1766" t="s">
        <v>320</v>
      </c>
      <c r="S1766" t="s">
        <v>323</v>
      </c>
      <c r="T1766">
        <v>15.2</v>
      </c>
      <c r="U1766">
        <v>0</v>
      </c>
      <c r="V1766">
        <v>0</v>
      </c>
      <c r="Y1766" s="42">
        <v>44915</v>
      </c>
    </row>
    <row r="1767" spans="1:25">
      <c r="N1767" s="42">
        <v>44910</v>
      </c>
      <c r="O1767" t="s">
        <v>324</v>
      </c>
      <c r="P1767" s="42">
        <v>44911</v>
      </c>
      <c r="Q1767" t="s">
        <v>346</v>
      </c>
      <c r="R1767" t="s">
        <v>320</v>
      </c>
      <c r="S1767" t="s">
        <v>323</v>
      </c>
      <c r="T1767">
        <v>15.2</v>
      </c>
      <c r="V1767">
        <v>0</v>
      </c>
      <c r="Y1767" s="42">
        <v>44915</v>
      </c>
    </row>
    <row r="1768" spans="1:25">
      <c r="N1768" s="42">
        <v>44904</v>
      </c>
      <c r="O1768" t="s">
        <v>346</v>
      </c>
      <c r="P1768" s="42">
        <v>44904</v>
      </c>
      <c r="Q1768" t="s">
        <v>346</v>
      </c>
      <c r="R1768" t="s">
        <v>320</v>
      </c>
      <c r="S1768" t="s">
        <v>323</v>
      </c>
      <c r="T1768">
        <v>7.6</v>
      </c>
      <c r="V1768">
        <v>0</v>
      </c>
      <c r="Y1768" s="42">
        <v>44915</v>
      </c>
    </row>
    <row r="1769" spans="1:25">
      <c r="N1769" s="42">
        <v>44874</v>
      </c>
      <c r="O1769" t="s">
        <v>328</v>
      </c>
      <c r="P1769" s="42">
        <v>44880</v>
      </c>
      <c r="Q1769" t="s">
        <v>333</v>
      </c>
      <c r="R1769" t="s">
        <v>320</v>
      </c>
      <c r="S1769" t="s">
        <v>323</v>
      </c>
      <c r="T1769">
        <v>38</v>
      </c>
      <c r="U1769">
        <v>0</v>
      </c>
    </row>
    <row r="1770" spans="1:25">
      <c r="N1770" s="42">
        <v>44837</v>
      </c>
      <c r="O1770" t="s">
        <v>345</v>
      </c>
      <c r="P1770" s="42">
        <v>44837</v>
      </c>
      <c r="Q1770" t="s">
        <v>345</v>
      </c>
      <c r="R1770" t="s">
        <v>320</v>
      </c>
      <c r="S1770" t="s">
        <v>323</v>
      </c>
      <c r="T1770">
        <v>7.6</v>
      </c>
      <c r="V1770">
        <v>0</v>
      </c>
      <c r="Y1770" s="42">
        <v>44845</v>
      </c>
    </row>
    <row r="1771" spans="1:25">
      <c r="N1771" s="42">
        <v>44830</v>
      </c>
      <c r="O1771" t="s">
        <v>345</v>
      </c>
      <c r="P1771" s="42">
        <v>44830</v>
      </c>
      <c r="Q1771" t="s">
        <v>345</v>
      </c>
      <c r="R1771" t="s">
        <v>320</v>
      </c>
      <c r="S1771" t="s">
        <v>323</v>
      </c>
      <c r="U1771">
        <v>7.6</v>
      </c>
      <c r="Y1771" s="42">
        <v>44831</v>
      </c>
    </row>
    <row r="1772" spans="1:25">
      <c r="N1772" s="42">
        <v>44826</v>
      </c>
      <c r="O1772" t="s">
        <v>324</v>
      </c>
      <c r="P1772" s="42">
        <v>44826</v>
      </c>
      <c r="Q1772" t="s">
        <v>324</v>
      </c>
      <c r="R1772" t="s">
        <v>320</v>
      </c>
      <c r="S1772" t="s">
        <v>323</v>
      </c>
      <c r="U1772">
        <v>7.6</v>
      </c>
      <c r="Y1772" s="42">
        <v>44831</v>
      </c>
    </row>
    <row r="1773" spans="1:25">
      <c r="N1773" s="42">
        <v>44818</v>
      </c>
      <c r="O1773" t="s">
        <v>328</v>
      </c>
      <c r="P1773" s="42">
        <v>44820</v>
      </c>
      <c r="Q1773" t="s">
        <v>346</v>
      </c>
      <c r="R1773" t="s">
        <v>320</v>
      </c>
      <c r="S1773" t="s">
        <v>323</v>
      </c>
      <c r="T1773">
        <v>22.8</v>
      </c>
      <c r="U1773">
        <v>0</v>
      </c>
      <c r="V1773">
        <v>0</v>
      </c>
      <c r="Y1773" s="42">
        <v>44831</v>
      </c>
    </row>
    <row r="1774" spans="1:25">
      <c r="N1774" s="42">
        <v>44817</v>
      </c>
      <c r="O1774" t="s">
        <v>333</v>
      </c>
      <c r="P1774" s="42">
        <v>44817</v>
      </c>
      <c r="Q1774" t="s">
        <v>333</v>
      </c>
      <c r="R1774" t="s">
        <v>320</v>
      </c>
      <c r="S1774" t="s">
        <v>323</v>
      </c>
      <c r="T1774">
        <v>7.6</v>
      </c>
      <c r="U1774">
        <v>0</v>
      </c>
      <c r="V1774">
        <v>0</v>
      </c>
      <c r="Y1774" s="42">
        <v>44817</v>
      </c>
    </row>
    <row r="1775" spans="1:25">
      <c r="N1775" s="42">
        <v>44776</v>
      </c>
      <c r="O1775" t="s">
        <v>328</v>
      </c>
      <c r="P1775" s="42">
        <v>44776</v>
      </c>
      <c r="Q1775" t="s">
        <v>328</v>
      </c>
      <c r="R1775" t="s">
        <v>329</v>
      </c>
      <c r="S1775" t="s">
        <v>323</v>
      </c>
      <c r="T1775">
        <v>4</v>
      </c>
      <c r="W1775" t="s">
        <v>339</v>
      </c>
      <c r="Y1775" s="42">
        <v>44789</v>
      </c>
    </row>
    <row r="1776" spans="1:25">
      <c r="N1776" s="42">
        <v>44718</v>
      </c>
      <c r="O1776" t="s">
        <v>345</v>
      </c>
      <c r="P1776" s="42">
        <v>44718</v>
      </c>
      <c r="Q1776" t="s">
        <v>345</v>
      </c>
      <c r="R1776" t="s">
        <v>320</v>
      </c>
      <c r="S1776" t="s">
        <v>323</v>
      </c>
      <c r="U1776">
        <v>7.6</v>
      </c>
      <c r="Y1776" s="42">
        <v>44719</v>
      </c>
    </row>
    <row r="1777" spans="14:25">
      <c r="N1777" s="42">
        <v>44690</v>
      </c>
      <c r="O1777" t="s">
        <v>345</v>
      </c>
      <c r="P1777" s="42">
        <v>44691</v>
      </c>
      <c r="Q1777" t="s">
        <v>333</v>
      </c>
      <c r="R1777" t="s">
        <v>329</v>
      </c>
      <c r="S1777" t="s">
        <v>323</v>
      </c>
      <c r="T1777">
        <v>15.2</v>
      </c>
      <c r="W1777" t="s">
        <v>330</v>
      </c>
      <c r="X1777" t="s">
        <v>330</v>
      </c>
      <c r="Y1777" s="42">
        <v>44691</v>
      </c>
    </row>
    <row r="1778" spans="14:25">
      <c r="N1778" s="42">
        <v>44664</v>
      </c>
      <c r="O1778" t="s">
        <v>328</v>
      </c>
      <c r="P1778" s="42">
        <v>44676</v>
      </c>
      <c r="Q1778" t="s">
        <v>345</v>
      </c>
      <c r="R1778" t="s">
        <v>320</v>
      </c>
      <c r="S1778" t="s">
        <v>323</v>
      </c>
      <c r="T1778">
        <v>30.4</v>
      </c>
      <c r="Y1778" s="42">
        <v>44677</v>
      </c>
    </row>
    <row r="1779" spans="14:25">
      <c r="N1779" s="42">
        <v>44644</v>
      </c>
      <c r="O1779" t="s">
        <v>324</v>
      </c>
      <c r="P1779" s="42">
        <v>44645</v>
      </c>
      <c r="Q1779" t="s">
        <v>346</v>
      </c>
      <c r="R1779" t="s">
        <v>320</v>
      </c>
      <c r="S1779" t="s">
        <v>323</v>
      </c>
      <c r="T1779">
        <v>15.2</v>
      </c>
      <c r="V1779">
        <v>0</v>
      </c>
      <c r="Y1779" s="42">
        <v>44649</v>
      </c>
    </row>
    <row r="1780" spans="14:25">
      <c r="N1780" s="42">
        <v>44627</v>
      </c>
      <c r="O1780" t="s">
        <v>345</v>
      </c>
      <c r="P1780" s="42">
        <v>44627</v>
      </c>
      <c r="Q1780" t="s">
        <v>345</v>
      </c>
      <c r="R1780" t="s">
        <v>320</v>
      </c>
      <c r="S1780" t="s">
        <v>323</v>
      </c>
      <c r="U1780">
        <v>7.6</v>
      </c>
      <c r="Y1780" s="42">
        <v>44635</v>
      </c>
    </row>
    <row r="1781" spans="14:25">
      <c r="N1781" s="42">
        <v>44589</v>
      </c>
      <c r="O1781" t="s">
        <v>346</v>
      </c>
      <c r="P1781" s="42">
        <v>44589</v>
      </c>
      <c r="Q1781" t="s">
        <v>346</v>
      </c>
      <c r="R1781" t="s">
        <v>354</v>
      </c>
      <c r="S1781" t="s">
        <v>323</v>
      </c>
      <c r="T1781">
        <v>7.6</v>
      </c>
      <c r="W1781" t="s">
        <v>339</v>
      </c>
      <c r="Y1781" s="42">
        <v>44593</v>
      </c>
    </row>
    <row r="1782" spans="14:25">
      <c r="N1782" s="42">
        <v>44588</v>
      </c>
      <c r="O1782" t="s">
        <v>324</v>
      </c>
      <c r="P1782" s="42">
        <v>44588</v>
      </c>
      <c r="Q1782" t="s">
        <v>324</v>
      </c>
      <c r="R1782" t="s">
        <v>320</v>
      </c>
      <c r="S1782" t="s">
        <v>323</v>
      </c>
      <c r="T1782">
        <v>7.6</v>
      </c>
      <c r="V1782">
        <v>0</v>
      </c>
      <c r="Y1782" s="42">
        <v>44593</v>
      </c>
    </row>
    <row r="1783" spans="14:25">
      <c r="N1783" s="42">
        <v>44587</v>
      </c>
      <c r="O1783" t="s">
        <v>328</v>
      </c>
      <c r="P1783" s="42">
        <v>44587</v>
      </c>
      <c r="Q1783" t="s">
        <v>328</v>
      </c>
      <c r="R1783" t="s">
        <v>320</v>
      </c>
      <c r="S1783" t="s">
        <v>323</v>
      </c>
      <c r="U1783">
        <v>7.6</v>
      </c>
      <c r="Y1783" s="42">
        <v>44593</v>
      </c>
    </row>
    <row r="1784" spans="14:25">
      <c r="N1784" s="42">
        <v>44564</v>
      </c>
      <c r="O1784" t="s">
        <v>345</v>
      </c>
      <c r="P1784" s="42">
        <v>44564</v>
      </c>
      <c r="Q1784" t="s">
        <v>345</v>
      </c>
      <c r="R1784" t="s">
        <v>320</v>
      </c>
      <c r="S1784" t="s">
        <v>323</v>
      </c>
      <c r="U1784">
        <v>7.6</v>
      </c>
      <c r="Y1784" s="42">
        <v>44565</v>
      </c>
    </row>
    <row r="1785" spans="14:25">
      <c r="N1785" s="42">
        <v>44559</v>
      </c>
      <c r="O1785" t="s">
        <v>328</v>
      </c>
      <c r="P1785" s="42">
        <v>44561</v>
      </c>
      <c r="Q1785" t="s">
        <v>346</v>
      </c>
      <c r="R1785" t="s">
        <v>320</v>
      </c>
      <c r="S1785" t="s">
        <v>323</v>
      </c>
      <c r="T1785">
        <v>22.8</v>
      </c>
      <c r="V1785">
        <v>0</v>
      </c>
      <c r="Y1785" s="42">
        <v>44565</v>
      </c>
    </row>
    <row r="1786" spans="14:25">
      <c r="N1786" s="42">
        <v>44558</v>
      </c>
      <c r="O1786" t="s">
        <v>333</v>
      </c>
      <c r="P1786" s="42">
        <v>44558</v>
      </c>
      <c r="Q1786" t="s">
        <v>333</v>
      </c>
      <c r="R1786" t="s">
        <v>320</v>
      </c>
      <c r="S1786" t="s">
        <v>323</v>
      </c>
      <c r="U1786">
        <v>7.6</v>
      </c>
      <c r="Y1786" s="42">
        <v>44565</v>
      </c>
    </row>
    <row r="1787" spans="14:25">
      <c r="N1787" s="42">
        <v>44557</v>
      </c>
      <c r="O1787" t="s">
        <v>345</v>
      </c>
      <c r="P1787" s="42">
        <v>44557</v>
      </c>
      <c r="Q1787" t="s">
        <v>345</v>
      </c>
      <c r="R1787" t="s">
        <v>320</v>
      </c>
      <c r="S1787" t="s">
        <v>323</v>
      </c>
      <c r="U1787">
        <v>7.6</v>
      </c>
      <c r="Y1787" s="42">
        <v>44565</v>
      </c>
    </row>
    <row r="1788" spans="14:25">
      <c r="N1788" s="42">
        <v>44466</v>
      </c>
      <c r="O1788" t="s">
        <v>345</v>
      </c>
      <c r="P1788" s="42">
        <v>44466</v>
      </c>
      <c r="Q1788" t="s">
        <v>345</v>
      </c>
      <c r="R1788" t="s">
        <v>320</v>
      </c>
      <c r="S1788" t="s">
        <v>323</v>
      </c>
      <c r="U1788">
        <v>7.6</v>
      </c>
      <c r="Y1788" s="42">
        <v>44467</v>
      </c>
    </row>
    <row r="1789" spans="14:25">
      <c r="N1789" s="42">
        <v>44354</v>
      </c>
      <c r="O1789" t="s">
        <v>345</v>
      </c>
      <c r="P1789" s="42">
        <v>44354</v>
      </c>
      <c r="Q1789" t="s">
        <v>345</v>
      </c>
      <c r="R1789" t="s">
        <v>320</v>
      </c>
      <c r="S1789" t="s">
        <v>323</v>
      </c>
      <c r="U1789">
        <v>7.6</v>
      </c>
      <c r="Y1789" s="42">
        <v>44355</v>
      </c>
    </row>
    <row r="1790" spans="14:25">
      <c r="N1790" s="42">
        <v>44312</v>
      </c>
      <c r="O1790" t="s">
        <v>345</v>
      </c>
      <c r="P1790" s="42">
        <v>44312</v>
      </c>
      <c r="Q1790" t="s">
        <v>345</v>
      </c>
      <c r="R1790" t="s">
        <v>320</v>
      </c>
      <c r="S1790" t="s">
        <v>323</v>
      </c>
      <c r="U1790">
        <v>7.6</v>
      </c>
      <c r="Y1790" s="42">
        <v>44313</v>
      </c>
    </row>
    <row r="1791" spans="14:25">
      <c r="N1791" s="42">
        <v>44291</v>
      </c>
      <c r="O1791" t="s">
        <v>345</v>
      </c>
      <c r="P1791" s="42">
        <v>44291</v>
      </c>
      <c r="Q1791" t="s">
        <v>345</v>
      </c>
      <c r="R1791" t="s">
        <v>320</v>
      </c>
      <c r="S1791" t="s">
        <v>323</v>
      </c>
      <c r="U1791">
        <v>7.6</v>
      </c>
    </row>
    <row r="1792" spans="14:25">
      <c r="N1792" s="42">
        <v>44288</v>
      </c>
      <c r="O1792" t="s">
        <v>346</v>
      </c>
      <c r="P1792" s="42">
        <v>44288</v>
      </c>
      <c r="Q1792" t="s">
        <v>346</v>
      </c>
      <c r="R1792" t="s">
        <v>320</v>
      </c>
      <c r="S1792" t="s">
        <v>323</v>
      </c>
      <c r="U1792">
        <v>7.6</v>
      </c>
    </row>
    <row r="1793" spans="14:25">
      <c r="N1793" s="42">
        <v>44256</v>
      </c>
      <c r="O1793" t="s">
        <v>345</v>
      </c>
      <c r="P1793" s="42">
        <v>44256</v>
      </c>
      <c r="Q1793" t="s">
        <v>345</v>
      </c>
      <c r="R1793" t="s">
        <v>320</v>
      </c>
      <c r="S1793" t="s">
        <v>323</v>
      </c>
      <c r="U1793">
        <v>7.6</v>
      </c>
      <c r="Y1793" s="42">
        <v>44257</v>
      </c>
    </row>
    <row r="1794" spans="14:25">
      <c r="N1794" s="42">
        <v>44246</v>
      </c>
      <c r="O1794" t="s">
        <v>346</v>
      </c>
      <c r="P1794" s="42">
        <v>44246</v>
      </c>
      <c r="Q1794" t="s">
        <v>346</v>
      </c>
      <c r="R1794" t="s">
        <v>320</v>
      </c>
      <c r="S1794" t="s">
        <v>323</v>
      </c>
      <c r="T1794">
        <v>7.6</v>
      </c>
      <c r="V1794">
        <v>0</v>
      </c>
      <c r="Y1794" s="42">
        <v>44257</v>
      </c>
    </row>
    <row r="1795" spans="14:25">
      <c r="N1795" s="42">
        <v>44243</v>
      </c>
      <c r="O1795" t="s">
        <v>333</v>
      </c>
      <c r="P1795" s="42">
        <v>44243</v>
      </c>
      <c r="Q1795" t="s">
        <v>333</v>
      </c>
      <c r="R1795" t="s">
        <v>329</v>
      </c>
      <c r="S1795" t="s">
        <v>323</v>
      </c>
      <c r="T1795">
        <v>3</v>
      </c>
      <c r="W1795" t="s">
        <v>330</v>
      </c>
      <c r="X1795" t="s">
        <v>330</v>
      </c>
      <c r="Y1795" s="42">
        <v>44243</v>
      </c>
    </row>
    <row r="1796" spans="14:25">
      <c r="N1796" s="42">
        <v>44221</v>
      </c>
      <c r="O1796" t="s">
        <v>345</v>
      </c>
      <c r="P1796" s="42">
        <v>44225</v>
      </c>
      <c r="Q1796" t="s">
        <v>346</v>
      </c>
      <c r="R1796" t="s">
        <v>320</v>
      </c>
      <c r="S1796" t="s">
        <v>323</v>
      </c>
      <c r="T1796">
        <v>30.4</v>
      </c>
      <c r="U1796">
        <v>7.6</v>
      </c>
      <c r="V1796">
        <v>0</v>
      </c>
      <c r="Y1796" s="42">
        <v>44229</v>
      </c>
    </row>
    <row r="1797" spans="14:25">
      <c r="N1797" s="42">
        <v>44216</v>
      </c>
      <c r="O1797" t="s">
        <v>328</v>
      </c>
      <c r="P1797" s="42">
        <v>44218</v>
      </c>
      <c r="Q1797" t="s">
        <v>346</v>
      </c>
      <c r="R1797" t="s">
        <v>320</v>
      </c>
      <c r="S1797" t="s">
        <v>323</v>
      </c>
      <c r="T1797">
        <v>22.8</v>
      </c>
      <c r="U1797">
        <v>0</v>
      </c>
      <c r="V1797">
        <v>0</v>
      </c>
      <c r="Y1797" s="42">
        <v>44229</v>
      </c>
    </row>
    <row r="1798" spans="14:25">
      <c r="N1798" s="42">
        <v>44211</v>
      </c>
      <c r="O1798" t="s">
        <v>346</v>
      </c>
      <c r="P1798" s="42">
        <v>44215</v>
      </c>
      <c r="Q1798" t="s">
        <v>333</v>
      </c>
      <c r="R1798" t="s">
        <v>320</v>
      </c>
      <c r="S1798" t="s">
        <v>323</v>
      </c>
      <c r="T1798">
        <v>22.8</v>
      </c>
      <c r="Y1798" s="42">
        <v>44215</v>
      </c>
    </row>
    <row r="1799" spans="14:25">
      <c r="N1799" s="42">
        <v>44197</v>
      </c>
      <c r="O1799" t="s">
        <v>346</v>
      </c>
      <c r="P1799" s="42">
        <v>44197</v>
      </c>
      <c r="Q1799" t="s">
        <v>346</v>
      </c>
      <c r="R1799" t="s">
        <v>320</v>
      </c>
      <c r="S1799" t="s">
        <v>323</v>
      </c>
      <c r="U1799">
        <v>7.6</v>
      </c>
    </row>
    <row r="1800" spans="14:25">
      <c r="N1800" s="42">
        <v>44193</v>
      </c>
      <c r="O1800" t="s">
        <v>345</v>
      </c>
      <c r="P1800" s="42">
        <v>44193</v>
      </c>
      <c r="Q1800" t="s">
        <v>345</v>
      </c>
      <c r="R1800" t="s">
        <v>320</v>
      </c>
      <c r="S1800" t="s">
        <v>323</v>
      </c>
      <c r="U1800">
        <v>7.6</v>
      </c>
    </row>
    <row r="1801" spans="14:25">
      <c r="N1801" s="42">
        <v>44190</v>
      </c>
      <c r="O1801" t="s">
        <v>346</v>
      </c>
      <c r="P1801" s="42">
        <v>44190</v>
      </c>
      <c r="Q1801" t="s">
        <v>346</v>
      </c>
      <c r="R1801" t="s">
        <v>320</v>
      </c>
      <c r="S1801" t="s">
        <v>323</v>
      </c>
      <c r="U1801">
        <v>7.6</v>
      </c>
    </row>
    <row r="1802" spans="14:25">
      <c r="N1802" s="42">
        <v>44189</v>
      </c>
      <c r="O1802" t="s">
        <v>324</v>
      </c>
      <c r="P1802" s="42">
        <v>44189</v>
      </c>
      <c r="Q1802" t="s">
        <v>324</v>
      </c>
      <c r="R1802" t="s">
        <v>320</v>
      </c>
      <c r="S1802" t="s">
        <v>323</v>
      </c>
      <c r="T1802">
        <v>7.6</v>
      </c>
      <c r="V1802">
        <v>0</v>
      </c>
      <c r="Y1802" s="42">
        <v>44201</v>
      </c>
    </row>
    <row r="1803" spans="14:25">
      <c r="N1803" s="42">
        <v>44134</v>
      </c>
      <c r="O1803" t="s">
        <v>346</v>
      </c>
      <c r="P1803" s="42">
        <v>44134</v>
      </c>
      <c r="Q1803" t="s">
        <v>346</v>
      </c>
      <c r="R1803" t="s">
        <v>320</v>
      </c>
      <c r="S1803" t="s">
        <v>323</v>
      </c>
      <c r="T1803">
        <v>7.6</v>
      </c>
      <c r="V1803">
        <v>0</v>
      </c>
      <c r="Y1803" s="42">
        <v>44145</v>
      </c>
    </row>
    <row r="1804" spans="14:25">
      <c r="N1804" s="42">
        <v>44102</v>
      </c>
      <c r="O1804" t="s">
        <v>345</v>
      </c>
      <c r="P1804" s="42">
        <v>44102</v>
      </c>
      <c r="Q1804" t="s">
        <v>345</v>
      </c>
      <c r="R1804" t="s">
        <v>320</v>
      </c>
      <c r="S1804" t="s">
        <v>323</v>
      </c>
      <c r="U1804">
        <v>7.6</v>
      </c>
      <c r="Y1804" s="42">
        <v>44103</v>
      </c>
    </row>
    <row r="1805" spans="14:25">
      <c r="N1805" s="42">
        <v>44020</v>
      </c>
      <c r="O1805" t="s">
        <v>328</v>
      </c>
      <c r="P1805" s="42">
        <v>44024</v>
      </c>
      <c r="Q1805" t="s">
        <v>344</v>
      </c>
      <c r="R1805" t="s">
        <v>320</v>
      </c>
      <c r="S1805" t="s">
        <v>323</v>
      </c>
      <c r="T1805">
        <v>22.8</v>
      </c>
      <c r="U1805">
        <v>0</v>
      </c>
      <c r="V1805">
        <v>0</v>
      </c>
      <c r="Y1805" s="42">
        <v>44033</v>
      </c>
    </row>
    <row r="1806" spans="14:25">
      <c r="N1806" s="42">
        <v>44016</v>
      </c>
      <c r="O1806" t="s">
        <v>359</v>
      </c>
      <c r="P1806" s="42">
        <v>44019</v>
      </c>
      <c r="Q1806" t="s">
        <v>333</v>
      </c>
      <c r="R1806" t="s">
        <v>320</v>
      </c>
      <c r="S1806" t="s">
        <v>323</v>
      </c>
      <c r="T1806">
        <v>15.2</v>
      </c>
      <c r="U1806">
        <v>0</v>
      </c>
      <c r="V1806">
        <v>0</v>
      </c>
      <c r="Y1806" s="42">
        <v>44019</v>
      </c>
    </row>
    <row r="1807" spans="14:25">
      <c r="N1807" s="42">
        <v>43980</v>
      </c>
      <c r="O1807" t="s">
        <v>346</v>
      </c>
      <c r="P1807" s="42">
        <v>43980</v>
      </c>
      <c r="Q1807" t="s">
        <v>346</v>
      </c>
      <c r="R1807" t="s">
        <v>320</v>
      </c>
      <c r="S1807" t="s">
        <v>323</v>
      </c>
      <c r="T1807">
        <v>7.6</v>
      </c>
      <c r="V1807">
        <v>0</v>
      </c>
      <c r="Y1807" s="42">
        <v>43991</v>
      </c>
    </row>
    <row r="1808" spans="14:25">
      <c r="N1808" s="42">
        <v>43942</v>
      </c>
      <c r="O1808" t="s">
        <v>333</v>
      </c>
      <c r="P1808" s="42">
        <v>43942</v>
      </c>
      <c r="Q1808" t="s">
        <v>333</v>
      </c>
      <c r="R1808" t="s">
        <v>320</v>
      </c>
      <c r="S1808" t="s">
        <v>323</v>
      </c>
      <c r="T1808">
        <v>7</v>
      </c>
      <c r="V1808">
        <v>0</v>
      </c>
      <c r="Y1808" s="42">
        <v>43949</v>
      </c>
    </row>
    <row r="1809" spans="1:25">
      <c r="N1809" s="42">
        <v>43843</v>
      </c>
      <c r="O1809" t="s">
        <v>345</v>
      </c>
      <c r="P1809" s="42">
        <v>43847</v>
      </c>
      <c r="Q1809" t="s">
        <v>346</v>
      </c>
      <c r="R1809" t="s">
        <v>320</v>
      </c>
      <c r="S1809" t="s">
        <v>323</v>
      </c>
      <c r="T1809">
        <v>38</v>
      </c>
      <c r="V1809">
        <v>0</v>
      </c>
      <c r="Y1809" s="42">
        <v>43851</v>
      </c>
    </row>
    <row r="1810" spans="1:25">
      <c r="N1810" s="42">
        <v>43831</v>
      </c>
      <c r="O1810" t="s">
        <v>328</v>
      </c>
      <c r="P1810" s="42">
        <v>43831</v>
      </c>
      <c r="Q1810" t="s">
        <v>328</v>
      </c>
      <c r="R1810" t="s">
        <v>320</v>
      </c>
      <c r="S1810" t="s">
        <v>323</v>
      </c>
      <c r="T1810">
        <v>0</v>
      </c>
      <c r="U1810">
        <v>7.6</v>
      </c>
      <c r="Y1810" s="42">
        <v>43837</v>
      </c>
    </row>
    <row r="1811" spans="1:25">
      <c r="N1811" s="42">
        <v>43824</v>
      </c>
      <c r="O1811" t="s">
        <v>328</v>
      </c>
      <c r="P1811" s="42">
        <v>43825</v>
      </c>
      <c r="Q1811" t="s">
        <v>324</v>
      </c>
      <c r="R1811" t="s">
        <v>320</v>
      </c>
      <c r="S1811" t="s">
        <v>323</v>
      </c>
      <c r="T1811">
        <v>0</v>
      </c>
      <c r="U1811">
        <v>15.2</v>
      </c>
      <c r="Y1811" s="42">
        <v>43837</v>
      </c>
    </row>
    <row r="1812" spans="1:25">
      <c r="N1812" s="42">
        <v>43777</v>
      </c>
      <c r="O1812" t="s">
        <v>346</v>
      </c>
      <c r="P1812" s="42">
        <v>43780</v>
      </c>
      <c r="Q1812" t="s">
        <v>345</v>
      </c>
      <c r="R1812" t="s">
        <v>320</v>
      </c>
      <c r="S1812" t="s">
        <v>323</v>
      </c>
      <c r="T1812">
        <v>15.2</v>
      </c>
      <c r="V1812">
        <v>0</v>
      </c>
      <c r="Y1812" s="42">
        <v>43781</v>
      </c>
    </row>
    <row r="1813" spans="1:25">
      <c r="N1813" s="42">
        <v>43642</v>
      </c>
      <c r="O1813" t="s">
        <v>328</v>
      </c>
      <c r="P1813" s="42">
        <v>43655</v>
      </c>
      <c r="Q1813" t="s">
        <v>333</v>
      </c>
      <c r="R1813" t="s">
        <v>320</v>
      </c>
      <c r="S1813" t="s">
        <v>323</v>
      </c>
      <c r="T1813">
        <v>76</v>
      </c>
      <c r="Y1813" s="42">
        <v>43655</v>
      </c>
    </row>
    <row r="1814" spans="1:25">
      <c r="N1814" s="42">
        <v>43633</v>
      </c>
      <c r="O1814" t="s">
        <v>345</v>
      </c>
      <c r="P1814" s="42">
        <v>43642</v>
      </c>
      <c r="Q1814" t="s">
        <v>328</v>
      </c>
      <c r="R1814" t="s">
        <v>320</v>
      </c>
      <c r="S1814" t="s">
        <v>323</v>
      </c>
      <c r="T1814">
        <v>53.2</v>
      </c>
      <c r="Y1814" s="42">
        <v>43641</v>
      </c>
    </row>
    <row r="1815" spans="1:25">
      <c r="A1815">
        <v>18549</v>
      </c>
      <c r="B1815" t="s">
        <v>374</v>
      </c>
      <c r="C1815" t="s">
        <v>320</v>
      </c>
      <c r="D1815" t="s">
        <v>375</v>
      </c>
      <c r="E1815" t="s">
        <v>376</v>
      </c>
      <c r="F1815">
        <v>1</v>
      </c>
      <c r="G1815" s="42">
        <v>45126</v>
      </c>
      <c r="H1815">
        <v>0</v>
      </c>
      <c r="I1815">
        <v>10.9442</v>
      </c>
      <c r="J1815">
        <v>0</v>
      </c>
      <c r="K1815">
        <v>10.9442</v>
      </c>
      <c r="L1815" t="s">
        <v>323</v>
      </c>
      <c r="M1815" s="43">
        <v>0.38194444444444442</v>
      </c>
      <c r="N1815" s="42">
        <v>44928</v>
      </c>
      <c r="O1815" t="s">
        <v>345</v>
      </c>
      <c r="P1815" s="42">
        <v>44928</v>
      </c>
      <c r="Q1815" t="s">
        <v>345</v>
      </c>
      <c r="R1815" t="s">
        <v>320</v>
      </c>
      <c r="S1815" t="s">
        <v>323</v>
      </c>
      <c r="U1815">
        <v>7.6</v>
      </c>
    </row>
    <row r="1816" spans="1:25">
      <c r="C1816" t="s">
        <v>325</v>
      </c>
      <c r="D1816" t="s">
        <v>377</v>
      </c>
      <c r="E1816" t="s">
        <v>378</v>
      </c>
      <c r="F1816">
        <v>1</v>
      </c>
      <c r="G1816" s="42">
        <v>45015</v>
      </c>
      <c r="H1816">
        <v>261.9991</v>
      </c>
      <c r="I1816">
        <v>0</v>
      </c>
      <c r="J1816">
        <v>261.9991</v>
      </c>
      <c r="K1816">
        <v>261.9991</v>
      </c>
      <c r="L1816" t="s">
        <v>323</v>
      </c>
      <c r="N1816" s="42">
        <v>44922</v>
      </c>
      <c r="O1816" t="s">
        <v>333</v>
      </c>
      <c r="P1816" s="42">
        <v>44922</v>
      </c>
      <c r="Q1816" t="s">
        <v>333</v>
      </c>
      <c r="R1816" t="s">
        <v>320</v>
      </c>
      <c r="S1816" t="s">
        <v>323</v>
      </c>
      <c r="U1816">
        <v>7.6</v>
      </c>
    </row>
    <row r="1817" spans="1:25">
      <c r="C1817" t="s">
        <v>329</v>
      </c>
      <c r="D1817" t="s">
        <v>379</v>
      </c>
      <c r="E1817" t="s">
        <v>380</v>
      </c>
      <c r="F1817">
        <v>1</v>
      </c>
      <c r="G1817" s="42">
        <v>45126</v>
      </c>
      <c r="H1817">
        <v>0</v>
      </c>
      <c r="I1817">
        <v>6.8766999999999996</v>
      </c>
      <c r="J1817">
        <v>0</v>
      </c>
      <c r="K1817">
        <v>6.8766999999999996</v>
      </c>
      <c r="L1817" t="s">
        <v>323</v>
      </c>
      <c r="N1817" s="42">
        <v>44921</v>
      </c>
      <c r="O1817" t="s">
        <v>345</v>
      </c>
      <c r="P1817" s="42">
        <v>44921</v>
      </c>
      <c r="Q1817" t="s">
        <v>345</v>
      </c>
      <c r="R1817" t="s">
        <v>320</v>
      </c>
      <c r="S1817" t="s">
        <v>323</v>
      </c>
      <c r="U1817">
        <v>7.6</v>
      </c>
    </row>
    <row r="1818" spans="1:25">
      <c r="N1818" s="42">
        <v>44761</v>
      </c>
      <c r="O1818" t="s">
        <v>333</v>
      </c>
      <c r="P1818" s="42">
        <v>44761</v>
      </c>
      <c r="Q1818" t="s">
        <v>333</v>
      </c>
      <c r="R1818" t="s">
        <v>370</v>
      </c>
      <c r="S1818" t="s">
        <v>323</v>
      </c>
      <c r="T1818">
        <v>7.6</v>
      </c>
      <c r="W1818" t="s">
        <v>330</v>
      </c>
      <c r="Y1818" s="42">
        <v>44761</v>
      </c>
    </row>
    <row r="1819" spans="1:25">
      <c r="N1819" s="42">
        <v>44760</v>
      </c>
      <c r="O1819" t="s">
        <v>345</v>
      </c>
      <c r="P1819" s="42">
        <v>44760</v>
      </c>
      <c r="Q1819" t="s">
        <v>345</v>
      </c>
      <c r="R1819" t="s">
        <v>370</v>
      </c>
      <c r="S1819" t="s">
        <v>323</v>
      </c>
      <c r="T1819">
        <v>7.6</v>
      </c>
      <c r="W1819" t="s">
        <v>330</v>
      </c>
      <c r="Y1819" s="42">
        <v>44761</v>
      </c>
    </row>
    <row r="1820" spans="1:25">
      <c r="N1820" s="42">
        <v>44757</v>
      </c>
      <c r="O1820" t="s">
        <v>346</v>
      </c>
      <c r="P1820" s="42">
        <v>44757</v>
      </c>
      <c r="Q1820" t="s">
        <v>346</v>
      </c>
      <c r="R1820" t="s">
        <v>370</v>
      </c>
      <c r="S1820" t="s">
        <v>323</v>
      </c>
      <c r="T1820">
        <v>7.6</v>
      </c>
      <c r="W1820" t="s">
        <v>330</v>
      </c>
      <c r="Y1820" s="42">
        <v>44761</v>
      </c>
    </row>
    <row r="1821" spans="1:25">
      <c r="N1821" s="42">
        <v>44756</v>
      </c>
      <c r="O1821" t="s">
        <v>324</v>
      </c>
      <c r="P1821" s="42">
        <v>44756</v>
      </c>
      <c r="Q1821" t="s">
        <v>324</v>
      </c>
      <c r="R1821" t="s">
        <v>370</v>
      </c>
      <c r="S1821" t="s">
        <v>323</v>
      </c>
      <c r="T1821">
        <v>7.6</v>
      </c>
      <c r="W1821" t="s">
        <v>330</v>
      </c>
      <c r="Y1821" s="42">
        <v>44761</v>
      </c>
    </row>
    <row r="1822" spans="1:25">
      <c r="N1822" s="42">
        <v>44755</v>
      </c>
      <c r="O1822" t="s">
        <v>328</v>
      </c>
      <c r="P1822" s="42">
        <v>44755</v>
      </c>
      <c r="Q1822" t="s">
        <v>328</v>
      </c>
      <c r="R1822" t="s">
        <v>370</v>
      </c>
      <c r="S1822" t="s">
        <v>323</v>
      </c>
      <c r="T1822">
        <v>7.6</v>
      </c>
      <c r="W1822" t="s">
        <v>330</v>
      </c>
      <c r="Y1822" s="42">
        <v>44761</v>
      </c>
    </row>
    <row r="1823" spans="1:25">
      <c r="N1823" s="42">
        <v>44754</v>
      </c>
      <c r="O1823" t="s">
        <v>333</v>
      </c>
      <c r="P1823" s="42">
        <v>44754</v>
      </c>
      <c r="Q1823" t="s">
        <v>333</v>
      </c>
      <c r="R1823" t="s">
        <v>370</v>
      </c>
      <c r="S1823" t="s">
        <v>323</v>
      </c>
      <c r="T1823">
        <v>7.6</v>
      </c>
      <c r="W1823" t="s">
        <v>330</v>
      </c>
      <c r="Y1823" s="42">
        <v>44761</v>
      </c>
    </row>
    <row r="1824" spans="1:25">
      <c r="N1824" s="42">
        <v>44753</v>
      </c>
      <c r="O1824" t="s">
        <v>345</v>
      </c>
      <c r="P1824" s="42">
        <v>44753</v>
      </c>
      <c r="Q1824" t="s">
        <v>345</v>
      </c>
      <c r="R1824" t="s">
        <v>370</v>
      </c>
      <c r="S1824" t="s">
        <v>323</v>
      </c>
      <c r="T1824">
        <v>7.6</v>
      </c>
      <c r="W1824" t="s">
        <v>330</v>
      </c>
      <c r="Y1824" s="42">
        <v>44761</v>
      </c>
    </row>
    <row r="1825" spans="14:25">
      <c r="N1825" s="42">
        <v>44750</v>
      </c>
      <c r="O1825" t="s">
        <v>346</v>
      </c>
      <c r="P1825" s="42">
        <v>44750</v>
      </c>
      <c r="Q1825" t="s">
        <v>346</v>
      </c>
      <c r="R1825" t="s">
        <v>370</v>
      </c>
      <c r="S1825" t="s">
        <v>323</v>
      </c>
      <c r="T1825">
        <v>7.6</v>
      </c>
      <c r="W1825" t="s">
        <v>330</v>
      </c>
      <c r="Y1825" s="42">
        <v>44761</v>
      </c>
    </row>
    <row r="1826" spans="14:25">
      <c r="N1826" s="42">
        <v>44749</v>
      </c>
      <c r="O1826" t="s">
        <v>324</v>
      </c>
      <c r="P1826" s="42">
        <v>44749</v>
      </c>
      <c r="Q1826" t="s">
        <v>324</v>
      </c>
      <c r="R1826" t="s">
        <v>370</v>
      </c>
      <c r="S1826" t="s">
        <v>323</v>
      </c>
      <c r="T1826">
        <v>7.6</v>
      </c>
      <c r="W1826" t="s">
        <v>330</v>
      </c>
      <c r="Y1826" s="42">
        <v>44761</v>
      </c>
    </row>
    <row r="1827" spans="14:25">
      <c r="N1827" s="42">
        <v>44748</v>
      </c>
      <c r="O1827" t="s">
        <v>328</v>
      </c>
      <c r="P1827" s="42">
        <v>44748</v>
      </c>
      <c r="Q1827" t="s">
        <v>328</v>
      </c>
      <c r="R1827" t="s">
        <v>370</v>
      </c>
      <c r="S1827" t="s">
        <v>323</v>
      </c>
      <c r="T1827">
        <v>7.6</v>
      </c>
      <c r="W1827" t="s">
        <v>330</v>
      </c>
      <c r="Y1827" s="42">
        <v>44761</v>
      </c>
    </row>
    <row r="1828" spans="14:25">
      <c r="N1828" s="42">
        <v>44747</v>
      </c>
      <c r="O1828" t="s">
        <v>333</v>
      </c>
      <c r="P1828" s="42">
        <v>44747</v>
      </c>
      <c r="Q1828" t="s">
        <v>333</v>
      </c>
      <c r="R1828" t="s">
        <v>370</v>
      </c>
      <c r="S1828" t="s">
        <v>323</v>
      </c>
      <c r="T1828">
        <v>7.6</v>
      </c>
      <c r="W1828" t="s">
        <v>330</v>
      </c>
      <c r="Y1828" s="42">
        <v>44747</v>
      </c>
    </row>
    <row r="1829" spans="14:25">
      <c r="N1829" s="42">
        <v>44746</v>
      </c>
      <c r="O1829" t="s">
        <v>345</v>
      </c>
      <c r="P1829" s="42">
        <v>44746</v>
      </c>
      <c r="Q1829" t="s">
        <v>345</v>
      </c>
      <c r="R1829" t="s">
        <v>370</v>
      </c>
      <c r="S1829" t="s">
        <v>323</v>
      </c>
      <c r="T1829">
        <v>7.6</v>
      </c>
      <c r="W1829" t="s">
        <v>330</v>
      </c>
      <c r="Y1829" s="42">
        <v>44747</v>
      </c>
    </row>
    <row r="1830" spans="14:25">
      <c r="N1830" s="42">
        <v>44743</v>
      </c>
      <c r="O1830" t="s">
        <v>346</v>
      </c>
      <c r="P1830" s="42">
        <v>44743</v>
      </c>
      <c r="Q1830" t="s">
        <v>346</v>
      </c>
      <c r="R1830" t="s">
        <v>370</v>
      </c>
      <c r="S1830" t="s">
        <v>323</v>
      </c>
      <c r="T1830">
        <v>7.6</v>
      </c>
      <c r="W1830" t="s">
        <v>330</v>
      </c>
      <c r="Y1830" s="42">
        <v>44747</v>
      </c>
    </row>
    <row r="1831" spans="14:25">
      <c r="N1831" s="42">
        <v>44742</v>
      </c>
      <c r="O1831" t="s">
        <v>324</v>
      </c>
      <c r="P1831" s="42">
        <v>44742</v>
      </c>
      <c r="Q1831" t="s">
        <v>324</v>
      </c>
      <c r="R1831" t="s">
        <v>370</v>
      </c>
      <c r="S1831" t="s">
        <v>323</v>
      </c>
      <c r="T1831">
        <v>7.6</v>
      </c>
      <c r="W1831" t="s">
        <v>330</v>
      </c>
      <c r="Y1831" s="42">
        <v>44747</v>
      </c>
    </row>
    <row r="1832" spans="14:25">
      <c r="N1832" s="42">
        <v>44741</v>
      </c>
      <c r="O1832" t="s">
        <v>328</v>
      </c>
      <c r="P1832" s="42">
        <v>44741</v>
      </c>
      <c r="Q1832" t="s">
        <v>328</v>
      </c>
      <c r="R1832" t="s">
        <v>370</v>
      </c>
      <c r="S1832" t="s">
        <v>323</v>
      </c>
      <c r="T1832">
        <v>7.6</v>
      </c>
      <c r="W1832" t="s">
        <v>330</v>
      </c>
      <c r="Y1832" s="42">
        <v>44747</v>
      </c>
    </row>
    <row r="1833" spans="14:25">
      <c r="N1833" s="42">
        <v>44740</v>
      </c>
      <c r="O1833" t="s">
        <v>333</v>
      </c>
      <c r="P1833" s="42">
        <v>44740</v>
      </c>
      <c r="Q1833" t="s">
        <v>333</v>
      </c>
      <c r="R1833" t="s">
        <v>370</v>
      </c>
      <c r="S1833" t="s">
        <v>323</v>
      </c>
      <c r="T1833">
        <v>7.6</v>
      </c>
      <c r="W1833" t="s">
        <v>330</v>
      </c>
      <c r="Y1833" s="42">
        <v>44747</v>
      </c>
    </row>
    <row r="1834" spans="14:25">
      <c r="N1834" s="42">
        <v>44739</v>
      </c>
      <c r="O1834" t="s">
        <v>345</v>
      </c>
      <c r="P1834" s="42">
        <v>44739</v>
      </c>
      <c r="Q1834" t="s">
        <v>345</v>
      </c>
      <c r="R1834" t="s">
        <v>370</v>
      </c>
      <c r="S1834" t="s">
        <v>323</v>
      </c>
      <c r="T1834">
        <v>7.6</v>
      </c>
      <c r="W1834" t="s">
        <v>330</v>
      </c>
      <c r="Y1834" s="42">
        <v>44747</v>
      </c>
    </row>
    <row r="1835" spans="14:25">
      <c r="N1835" s="42">
        <v>44736</v>
      </c>
      <c r="O1835" t="s">
        <v>346</v>
      </c>
      <c r="P1835" s="42">
        <v>44736</v>
      </c>
      <c r="Q1835" t="s">
        <v>346</v>
      </c>
      <c r="R1835" t="s">
        <v>370</v>
      </c>
      <c r="S1835" t="s">
        <v>323</v>
      </c>
      <c r="T1835">
        <v>7.6</v>
      </c>
      <c r="W1835" t="s">
        <v>330</v>
      </c>
      <c r="Y1835" s="42">
        <v>44747</v>
      </c>
    </row>
    <row r="1836" spans="14:25">
      <c r="N1836" s="42">
        <v>44735</v>
      </c>
      <c r="O1836" t="s">
        <v>324</v>
      </c>
      <c r="P1836" s="42">
        <v>44735</v>
      </c>
      <c r="Q1836" t="s">
        <v>324</v>
      </c>
      <c r="R1836" t="s">
        <v>370</v>
      </c>
      <c r="S1836" t="s">
        <v>323</v>
      </c>
      <c r="T1836">
        <v>7.6</v>
      </c>
      <c r="W1836" t="s">
        <v>330</v>
      </c>
      <c r="Y1836" s="42">
        <v>44747</v>
      </c>
    </row>
    <row r="1837" spans="14:25">
      <c r="N1837" s="42">
        <v>44734</v>
      </c>
      <c r="O1837" t="s">
        <v>328</v>
      </c>
      <c r="P1837" s="42">
        <v>44734</v>
      </c>
      <c r="Q1837" t="s">
        <v>328</v>
      </c>
      <c r="R1837" t="s">
        <v>370</v>
      </c>
      <c r="S1837" t="s">
        <v>323</v>
      </c>
      <c r="T1837">
        <v>7.6</v>
      </c>
      <c r="W1837" t="s">
        <v>330</v>
      </c>
      <c r="Y1837" s="42">
        <v>44747</v>
      </c>
    </row>
    <row r="1838" spans="14:25">
      <c r="N1838" s="42">
        <v>44733</v>
      </c>
      <c r="O1838" t="s">
        <v>333</v>
      </c>
      <c r="P1838" s="42">
        <v>44733</v>
      </c>
      <c r="Q1838" t="s">
        <v>333</v>
      </c>
      <c r="R1838" t="s">
        <v>370</v>
      </c>
      <c r="S1838" t="s">
        <v>323</v>
      </c>
      <c r="T1838">
        <v>7.6</v>
      </c>
      <c r="W1838" t="s">
        <v>330</v>
      </c>
      <c r="Y1838" s="42">
        <v>44733</v>
      </c>
    </row>
    <row r="1839" spans="14:25">
      <c r="N1839" s="42">
        <v>44732</v>
      </c>
      <c r="O1839" t="s">
        <v>345</v>
      </c>
      <c r="P1839" s="42">
        <v>44732</v>
      </c>
      <c r="Q1839" t="s">
        <v>345</v>
      </c>
      <c r="R1839" t="s">
        <v>370</v>
      </c>
      <c r="S1839" t="s">
        <v>323</v>
      </c>
      <c r="T1839">
        <v>7.6</v>
      </c>
      <c r="W1839" t="s">
        <v>330</v>
      </c>
      <c r="Y1839" s="42">
        <v>44733</v>
      </c>
    </row>
    <row r="1840" spans="14:25">
      <c r="N1840" s="42">
        <v>44729</v>
      </c>
      <c r="O1840" t="s">
        <v>346</v>
      </c>
      <c r="P1840" s="42">
        <v>44729</v>
      </c>
      <c r="Q1840" t="s">
        <v>346</v>
      </c>
      <c r="R1840" t="s">
        <v>370</v>
      </c>
      <c r="S1840" t="s">
        <v>323</v>
      </c>
      <c r="T1840">
        <v>7.6</v>
      </c>
      <c r="W1840" t="s">
        <v>330</v>
      </c>
      <c r="Y1840" s="42">
        <v>44733</v>
      </c>
    </row>
    <row r="1841" spans="14:25">
      <c r="N1841" s="42">
        <v>44728</v>
      </c>
      <c r="O1841" t="s">
        <v>324</v>
      </c>
      <c r="P1841" s="42">
        <v>44728</v>
      </c>
      <c r="Q1841" t="s">
        <v>324</v>
      </c>
      <c r="R1841" t="s">
        <v>370</v>
      </c>
      <c r="S1841" t="s">
        <v>323</v>
      </c>
      <c r="T1841">
        <v>7.6</v>
      </c>
      <c r="W1841" t="s">
        <v>330</v>
      </c>
      <c r="Y1841" s="42">
        <v>44733</v>
      </c>
    </row>
    <row r="1842" spans="14:25">
      <c r="N1842" s="42">
        <v>44727</v>
      </c>
      <c r="O1842" t="s">
        <v>328</v>
      </c>
      <c r="P1842" s="42">
        <v>44727</v>
      </c>
      <c r="Q1842" t="s">
        <v>328</v>
      </c>
      <c r="R1842" t="s">
        <v>370</v>
      </c>
      <c r="S1842" t="s">
        <v>323</v>
      </c>
      <c r="T1842">
        <v>7.6</v>
      </c>
      <c r="W1842" t="s">
        <v>330</v>
      </c>
      <c r="Y1842" s="42">
        <v>44733</v>
      </c>
    </row>
    <row r="1843" spans="14:25">
      <c r="N1843" s="42">
        <v>44726</v>
      </c>
      <c r="O1843" t="s">
        <v>333</v>
      </c>
      <c r="P1843" s="42">
        <v>44726</v>
      </c>
      <c r="Q1843" t="s">
        <v>333</v>
      </c>
      <c r="R1843" t="s">
        <v>370</v>
      </c>
      <c r="S1843" t="s">
        <v>323</v>
      </c>
      <c r="T1843">
        <v>7.6</v>
      </c>
      <c r="W1843" t="s">
        <v>330</v>
      </c>
      <c r="Y1843" s="42">
        <v>44733</v>
      </c>
    </row>
    <row r="1844" spans="14:25">
      <c r="N1844" s="42">
        <v>44722</v>
      </c>
      <c r="O1844" t="s">
        <v>346</v>
      </c>
      <c r="P1844" s="42">
        <v>44722</v>
      </c>
      <c r="Q1844" t="s">
        <v>346</v>
      </c>
      <c r="R1844" t="s">
        <v>370</v>
      </c>
      <c r="S1844" t="s">
        <v>323</v>
      </c>
      <c r="T1844">
        <v>7.6</v>
      </c>
      <c r="W1844" t="s">
        <v>330</v>
      </c>
      <c r="Y1844" s="42">
        <v>44733</v>
      </c>
    </row>
    <row r="1845" spans="14:25">
      <c r="N1845" s="42">
        <v>44721</v>
      </c>
      <c r="O1845" t="s">
        <v>324</v>
      </c>
      <c r="P1845" s="42">
        <v>44721</v>
      </c>
      <c r="Q1845" t="s">
        <v>324</v>
      </c>
      <c r="R1845" t="s">
        <v>370</v>
      </c>
      <c r="S1845" t="s">
        <v>323</v>
      </c>
      <c r="T1845">
        <v>7.6</v>
      </c>
      <c r="W1845" t="s">
        <v>330</v>
      </c>
      <c r="Y1845" s="42">
        <v>44733</v>
      </c>
    </row>
    <row r="1846" spans="14:25">
      <c r="N1846" s="42">
        <v>44720</v>
      </c>
      <c r="O1846" t="s">
        <v>328</v>
      </c>
      <c r="P1846" s="42">
        <v>44720</v>
      </c>
      <c r="Q1846" t="s">
        <v>328</v>
      </c>
      <c r="R1846" t="s">
        <v>370</v>
      </c>
      <c r="S1846" t="s">
        <v>323</v>
      </c>
      <c r="T1846">
        <v>7.6</v>
      </c>
      <c r="W1846" t="s">
        <v>330</v>
      </c>
      <c r="Y1846" s="42">
        <v>44733</v>
      </c>
    </row>
    <row r="1847" spans="14:25">
      <c r="N1847" s="42">
        <v>44719</v>
      </c>
      <c r="O1847" t="s">
        <v>333</v>
      </c>
      <c r="P1847" s="42">
        <v>44719</v>
      </c>
      <c r="Q1847" t="s">
        <v>333</v>
      </c>
      <c r="R1847" t="s">
        <v>370</v>
      </c>
      <c r="S1847" t="s">
        <v>323</v>
      </c>
      <c r="T1847">
        <v>7.6</v>
      </c>
      <c r="W1847" t="s">
        <v>330</v>
      </c>
      <c r="Y1847" s="42">
        <v>44719</v>
      </c>
    </row>
    <row r="1848" spans="14:25">
      <c r="N1848" s="42">
        <v>44718</v>
      </c>
      <c r="O1848" t="s">
        <v>345</v>
      </c>
      <c r="P1848" s="42">
        <v>44718</v>
      </c>
      <c r="Q1848" t="s">
        <v>345</v>
      </c>
      <c r="R1848" t="s">
        <v>370</v>
      </c>
      <c r="S1848" t="s">
        <v>323</v>
      </c>
      <c r="T1848">
        <v>7.6</v>
      </c>
      <c r="W1848" t="s">
        <v>330</v>
      </c>
      <c r="Y1848" s="42">
        <v>44719</v>
      </c>
    </row>
    <row r="1849" spans="14:25">
      <c r="N1849" s="42">
        <v>44715</v>
      </c>
      <c r="O1849" t="s">
        <v>346</v>
      </c>
      <c r="P1849" s="42">
        <v>44715</v>
      </c>
      <c r="Q1849" t="s">
        <v>346</v>
      </c>
      <c r="R1849" t="s">
        <v>370</v>
      </c>
      <c r="S1849" t="s">
        <v>323</v>
      </c>
      <c r="T1849">
        <v>7.6</v>
      </c>
      <c r="W1849" t="s">
        <v>330</v>
      </c>
      <c r="Y1849" s="42">
        <v>44719</v>
      </c>
    </row>
    <row r="1850" spans="14:25">
      <c r="N1850" s="42">
        <v>44714</v>
      </c>
      <c r="O1850" t="s">
        <v>324</v>
      </c>
      <c r="P1850" s="42">
        <v>44714</v>
      </c>
      <c r="Q1850" t="s">
        <v>324</v>
      </c>
      <c r="R1850" t="s">
        <v>370</v>
      </c>
      <c r="S1850" t="s">
        <v>323</v>
      </c>
      <c r="T1850">
        <v>7.6</v>
      </c>
      <c r="W1850" t="s">
        <v>330</v>
      </c>
      <c r="Y1850" s="42">
        <v>44719</v>
      </c>
    </row>
    <row r="1851" spans="14:25">
      <c r="N1851" s="42">
        <v>44713</v>
      </c>
      <c r="O1851" t="s">
        <v>328</v>
      </c>
      <c r="P1851" s="42">
        <v>44713</v>
      </c>
      <c r="Q1851" t="s">
        <v>328</v>
      </c>
      <c r="R1851" t="s">
        <v>370</v>
      </c>
      <c r="S1851" t="s">
        <v>323</v>
      </c>
      <c r="T1851">
        <v>7.6</v>
      </c>
      <c r="W1851" t="s">
        <v>330</v>
      </c>
      <c r="Y1851" s="42">
        <v>44719</v>
      </c>
    </row>
    <row r="1852" spans="14:25">
      <c r="N1852" s="42">
        <v>44712</v>
      </c>
      <c r="O1852" t="s">
        <v>333</v>
      </c>
      <c r="P1852" s="42">
        <v>44712</v>
      </c>
      <c r="Q1852" t="s">
        <v>333</v>
      </c>
      <c r="R1852" t="s">
        <v>370</v>
      </c>
      <c r="S1852" t="s">
        <v>323</v>
      </c>
      <c r="T1852">
        <v>7.6</v>
      </c>
      <c r="W1852" t="s">
        <v>330</v>
      </c>
      <c r="Y1852" s="42">
        <v>44719</v>
      </c>
    </row>
    <row r="1853" spans="14:25">
      <c r="N1853" s="42">
        <v>44711</v>
      </c>
      <c r="O1853" t="s">
        <v>345</v>
      </c>
      <c r="P1853" s="42">
        <v>44711</v>
      </c>
      <c r="Q1853" t="s">
        <v>345</v>
      </c>
      <c r="R1853" t="s">
        <v>370</v>
      </c>
      <c r="S1853" t="s">
        <v>323</v>
      </c>
      <c r="T1853">
        <v>7.6</v>
      </c>
      <c r="W1853" t="s">
        <v>330</v>
      </c>
      <c r="Y1853" s="42">
        <v>44719</v>
      </c>
    </row>
    <row r="1854" spans="14:25">
      <c r="N1854" s="42">
        <v>44708</v>
      </c>
      <c r="O1854" t="s">
        <v>346</v>
      </c>
      <c r="P1854" s="42">
        <v>44708</v>
      </c>
      <c r="Q1854" t="s">
        <v>346</v>
      </c>
      <c r="R1854" t="s">
        <v>370</v>
      </c>
      <c r="S1854" t="s">
        <v>323</v>
      </c>
      <c r="T1854">
        <v>7.6</v>
      </c>
      <c r="W1854" t="s">
        <v>330</v>
      </c>
      <c r="Y1854" s="42">
        <v>44719</v>
      </c>
    </row>
    <row r="1855" spans="14:25">
      <c r="N1855" s="42">
        <v>44707</v>
      </c>
      <c r="O1855" t="s">
        <v>324</v>
      </c>
      <c r="P1855" s="42">
        <v>44707</v>
      </c>
      <c r="Q1855" t="s">
        <v>324</v>
      </c>
      <c r="R1855" t="s">
        <v>370</v>
      </c>
      <c r="S1855" t="s">
        <v>323</v>
      </c>
      <c r="T1855">
        <v>7.6</v>
      </c>
      <c r="W1855" t="s">
        <v>330</v>
      </c>
      <c r="Y1855" s="42">
        <v>44719</v>
      </c>
    </row>
    <row r="1856" spans="14:25">
      <c r="N1856" s="42">
        <v>44706</v>
      </c>
      <c r="O1856" t="s">
        <v>328</v>
      </c>
      <c r="P1856" s="42">
        <v>44706</v>
      </c>
      <c r="Q1856" t="s">
        <v>328</v>
      </c>
      <c r="R1856" t="s">
        <v>370</v>
      </c>
      <c r="S1856" t="s">
        <v>323</v>
      </c>
      <c r="T1856">
        <v>7.6</v>
      </c>
      <c r="W1856" t="s">
        <v>330</v>
      </c>
      <c r="Y1856" s="42">
        <v>44719</v>
      </c>
    </row>
    <row r="1857" spans="14:25">
      <c r="N1857" s="42">
        <v>44705</v>
      </c>
      <c r="O1857" t="s">
        <v>333</v>
      </c>
      <c r="P1857" s="42">
        <v>44705</v>
      </c>
      <c r="Q1857" t="s">
        <v>333</v>
      </c>
      <c r="R1857" t="s">
        <v>370</v>
      </c>
      <c r="S1857" t="s">
        <v>323</v>
      </c>
      <c r="T1857">
        <v>7.6</v>
      </c>
      <c r="W1857" t="s">
        <v>330</v>
      </c>
      <c r="Y1857" s="42">
        <v>44705</v>
      </c>
    </row>
    <row r="1858" spans="14:25">
      <c r="N1858" s="42">
        <v>44704</v>
      </c>
      <c r="O1858" t="s">
        <v>345</v>
      </c>
      <c r="P1858" s="42">
        <v>44704</v>
      </c>
      <c r="Q1858" t="s">
        <v>345</v>
      </c>
      <c r="R1858" t="s">
        <v>370</v>
      </c>
      <c r="S1858" t="s">
        <v>323</v>
      </c>
      <c r="T1858">
        <v>7.6</v>
      </c>
      <c r="W1858" t="s">
        <v>330</v>
      </c>
      <c r="Y1858" s="42">
        <v>44705</v>
      </c>
    </row>
    <row r="1859" spans="14:25">
      <c r="N1859" s="42">
        <v>44701</v>
      </c>
      <c r="O1859" t="s">
        <v>346</v>
      </c>
      <c r="P1859" s="42">
        <v>44701</v>
      </c>
      <c r="Q1859" t="s">
        <v>346</v>
      </c>
      <c r="R1859" t="s">
        <v>370</v>
      </c>
      <c r="S1859" t="s">
        <v>323</v>
      </c>
      <c r="T1859">
        <v>7.6</v>
      </c>
      <c r="W1859" t="s">
        <v>330</v>
      </c>
      <c r="Y1859" s="42">
        <v>44705</v>
      </c>
    </row>
    <row r="1860" spans="14:25">
      <c r="N1860" s="42">
        <v>44700</v>
      </c>
      <c r="O1860" t="s">
        <v>324</v>
      </c>
      <c r="P1860" s="42">
        <v>44700</v>
      </c>
      <c r="Q1860" t="s">
        <v>324</v>
      </c>
      <c r="R1860" t="s">
        <v>370</v>
      </c>
      <c r="S1860" t="s">
        <v>323</v>
      </c>
      <c r="T1860">
        <v>7.6</v>
      </c>
      <c r="W1860" t="s">
        <v>330</v>
      </c>
      <c r="Y1860" s="42">
        <v>44705</v>
      </c>
    </row>
    <row r="1861" spans="14:25">
      <c r="N1861" s="42">
        <v>44699</v>
      </c>
      <c r="O1861" t="s">
        <v>328</v>
      </c>
      <c r="P1861" s="42">
        <v>44699</v>
      </c>
      <c r="Q1861" t="s">
        <v>328</v>
      </c>
      <c r="R1861" t="s">
        <v>370</v>
      </c>
      <c r="S1861" t="s">
        <v>323</v>
      </c>
      <c r="T1861">
        <v>7.6</v>
      </c>
      <c r="W1861" t="s">
        <v>330</v>
      </c>
      <c r="Y1861" s="42">
        <v>44705</v>
      </c>
    </row>
    <row r="1862" spans="14:25">
      <c r="N1862" s="42">
        <v>44698</v>
      </c>
      <c r="O1862" t="s">
        <v>333</v>
      </c>
      <c r="P1862" s="42">
        <v>44698</v>
      </c>
      <c r="Q1862" t="s">
        <v>333</v>
      </c>
      <c r="R1862" t="s">
        <v>370</v>
      </c>
      <c r="S1862" t="s">
        <v>323</v>
      </c>
      <c r="T1862">
        <v>7.6</v>
      </c>
      <c r="W1862" t="s">
        <v>330</v>
      </c>
      <c r="Y1862" s="42">
        <v>44705</v>
      </c>
    </row>
    <row r="1863" spans="14:25">
      <c r="N1863" s="42">
        <v>44697</v>
      </c>
      <c r="O1863" t="s">
        <v>345</v>
      </c>
      <c r="P1863" s="42">
        <v>44697</v>
      </c>
      <c r="Q1863" t="s">
        <v>345</v>
      </c>
      <c r="R1863" t="s">
        <v>370</v>
      </c>
      <c r="S1863" t="s">
        <v>323</v>
      </c>
      <c r="T1863">
        <v>7.6</v>
      </c>
      <c r="W1863" t="s">
        <v>330</v>
      </c>
      <c r="Y1863" s="42">
        <v>44705</v>
      </c>
    </row>
    <row r="1864" spans="14:25">
      <c r="N1864" s="42">
        <v>44694</v>
      </c>
      <c r="O1864" t="s">
        <v>346</v>
      </c>
      <c r="P1864" s="42">
        <v>44694</v>
      </c>
      <c r="Q1864" t="s">
        <v>346</v>
      </c>
      <c r="R1864" t="s">
        <v>370</v>
      </c>
      <c r="S1864" t="s">
        <v>323</v>
      </c>
      <c r="T1864">
        <v>7.6</v>
      </c>
      <c r="W1864" t="s">
        <v>330</v>
      </c>
      <c r="Y1864" s="42">
        <v>44705</v>
      </c>
    </row>
    <row r="1865" spans="14:25">
      <c r="N1865" s="42">
        <v>44693</v>
      </c>
      <c r="O1865" t="s">
        <v>324</v>
      </c>
      <c r="P1865" s="42">
        <v>44693</v>
      </c>
      <c r="Q1865" t="s">
        <v>324</v>
      </c>
      <c r="R1865" t="s">
        <v>370</v>
      </c>
      <c r="S1865" t="s">
        <v>323</v>
      </c>
      <c r="T1865">
        <v>7.6</v>
      </c>
      <c r="W1865" t="s">
        <v>330</v>
      </c>
      <c r="Y1865" s="42">
        <v>44705</v>
      </c>
    </row>
    <row r="1866" spans="14:25">
      <c r="N1866" s="42">
        <v>44692</v>
      </c>
      <c r="O1866" t="s">
        <v>328</v>
      </c>
      <c r="P1866" s="42">
        <v>44692</v>
      </c>
      <c r="Q1866" t="s">
        <v>328</v>
      </c>
      <c r="R1866" t="s">
        <v>370</v>
      </c>
      <c r="S1866" t="s">
        <v>323</v>
      </c>
      <c r="T1866">
        <v>7.6</v>
      </c>
      <c r="W1866" t="s">
        <v>330</v>
      </c>
      <c r="Y1866" s="42">
        <v>44705</v>
      </c>
    </row>
    <row r="1867" spans="14:25">
      <c r="N1867" s="42">
        <v>44691</v>
      </c>
      <c r="O1867" t="s">
        <v>333</v>
      </c>
      <c r="P1867" s="42">
        <v>44691</v>
      </c>
      <c r="Q1867" t="s">
        <v>333</v>
      </c>
      <c r="R1867" t="s">
        <v>370</v>
      </c>
      <c r="S1867" t="s">
        <v>323</v>
      </c>
      <c r="T1867">
        <v>7.6</v>
      </c>
      <c r="W1867" t="s">
        <v>330</v>
      </c>
      <c r="Y1867" s="42">
        <v>44691</v>
      </c>
    </row>
    <row r="1868" spans="14:25">
      <c r="N1868" s="42">
        <v>44690</v>
      </c>
      <c r="O1868" t="s">
        <v>345</v>
      </c>
      <c r="P1868" s="42">
        <v>44690</v>
      </c>
      <c r="Q1868" t="s">
        <v>345</v>
      </c>
      <c r="R1868" t="s">
        <v>370</v>
      </c>
      <c r="S1868" t="s">
        <v>323</v>
      </c>
      <c r="T1868">
        <v>7.6</v>
      </c>
      <c r="W1868" t="s">
        <v>330</v>
      </c>
      <c r="Y1868" s="42">
        <v>44691</v>
      </c>
    </row>
    <row r="1869" spans="14:25">
      <c r="N1869" s="42">
        <v>44687</v>
      </c>
      <c r="O1869" t="s">
        <v>346</v>
      </c>
      <c r="P1869" s="42">
        <v>44687</v>
      </c>
      <c r="Q1869" t="s">
        <v>346</v>
      </c>
      <c r="R1869" t="s">
        <v>370</v>
      </c>
      <c r="S1869" t="s">
        <v>323</v>
      </c>
      <c r="T1869">
        <v>7.6</v>
      </c>
      <c r="W1869" t="s">
        <v>330</v>
      </c>
      <c r="Y1869" s="42">
        <v>44691</v>
      </c>
    </row>
    <row r="1870" spans="14:25">
      <c r="N1870" s="42">
        <v>44686</v>
      </c>
      <c r="O1870" t="s">
        <v>324</v>
      </c>
      <c r="P1870" s="42">
        <v>44686</v>
      </c>
      <c r="Q1870" t="s">
        <v>324</v>
      </c>
      <c r="R1870" t="s">
        <v>370</v>
      </c>
      <c r="S1870" t="s">
        <v>323</v>
      </c>
      <c r="T1870">
        <v>7.6</v>
      </c>
      <c r="W1870" t="s">
        <v>330</v>
      </c>
      <c r="Y1870" s="42">
        <v>44691</v>
      </c>
    </row>
    <row r="1871" spans="14:25">
      <c r="N1871" s="42">
        <v>44685</v>
      </c>
      <c r="O1871" t="s">
        <v>328</v>
      </c>
      <c r="P1871" s="42">
        <v>44685</v>
      </c>
      <c r="Q1871" t="s">
        <v>328</v>
      </c>
      <c r="R1871" t="s">
        <v>370</v>
      </c>
      <c r="S1871" t="s">
        <v>323</v>
      </c>
      <c r="T1871">
        <v>7.6</v>
      </c>
      <c r="W1871" t="s">
        <v>330</v>
      </c>
      <c r="Y1871" s="42">
        <v>44691</v>
      </c>
    </row>
    <row r="1872" spans="14:25">
      <c r="N1872" s="42">
        <v>44684</v>
      </c>
      <c r="O1872" t="s">
        <v>333</v>
      </c>
      <c r="P1872" s="42">
        <v>44684</v>
      </c>
      <c r="Q1872" t="s">
        <v>333</v>
      </c>
      <c r="R1872" t="s">
        <v>370</v>
      </c>
      <c r="S1872" t="s">
        <v>323</v>
      </c>
      <c r="T1872">
        <v>7.6</v>
      </c>
      <c r="W1872" t="s">
        <v>330</v>
      </c>
      <c r="Y1872" s="42">
        <v>44691</v>
      </c>
    </row>
    <row r="1873" spans="14:25">
      <c r="N1873" s="42">
        <v>44683</v>
      </c>
      <c r="O1873" t="s">
        <v>345</v>
      </c>
      <c r="P1873" s="42">
        <v>44683</v>
      </c>
      <c r="Q1873" t="s">
        <v>345</v>
      </c>
      <c r="R1873" t="s">
        <v>370</v>
      </c>
      <c r="S1873" t="s">
        <v>323</v>
      </c>
      <c r="T1873">
        <v>7.6</v>
      </c>
      <c r="W1873" t="s">
        <v>330</v>
      </c>
      <c r="Y1873" s="42">
        <v>44691</v>
      </c>
    </row>
    <row r="1874" spans="14:25">
      <c r="N1874" s="42">
        <v>44680</v>
      </c>
      <c r="O1874" t="s">
        <v>346</v>
      </c>
      <c r="P1874" s="42">
        <v>44680</v>
      </c>
      <c r="Q1874" t="s">
        <v>346</v>
      </c>
      <c r="R1874" t="s">
        <v>370</v>
      </c>
      <c r="S1874" t="s">
        <v>323</v>
      </c>
      <c r="T1874">
        <v>7.6</v>
      </c>
      <c r="W1874" t="s">
        <v>330</v>
      </c>
      <c r="Y1874" s="42">
        <v>44691</v>
      </c>
    </row>
    <row r="1875" spans="14:25">
      <c r="N1875" s="42">
        <v>44679</v>
      </c>
      <c r="O1875" t="s">
        <v>324</v>
      </c>
      <c r="P1875" s="42">
        <v>44679</v>
      </c>
      <c r="Q1875" t="s">
        <v>324</v>
      </c>
      <c r="R1875" t="s">
        <v>370</v>
      </c>
      <c r="S1875" t="s">
        <v>323</v>
      </c>
      <c r="T1875">
        <v>7.6</v>
      </c>
      <c r="W1875" t="s">
        <v>330</v>
      </c>
      <c r="Y1875" s="42">
        <v>44691</v>
      </c>
    </row>
    <row r="1876" spans="14:25">
      <c r="N1876" s="42">
        <v>44678</v>
      </c>
      <c r="O1876" t="s">
        <v>328</v>
      </c>
      <c r="P1876" s="42">
        <v>44678</v>
      </c>
      <c r="Q1876" t="s">
        <v>328</v>
      </c>
      <c r="R1876" t="s">
        <v>370</v>
      </c>
      <c r="S1876" t="s">
        <v>323</v>
      </c>
      <c r="T1876">
        <v>7.6</v>
      </c>
      <c r="W1876" t="s">
        <v>330</v>
      </c>
      <c r="Y1876" s="42">
        <v>44691</v>
      </c>
    </row>
    <row r="1877" spans="14:25">
      <c r="N1877" s="42">
        <v>44677</v>
      </c>
      <c r="O1877" t="s">
        <v>333</v>
      </c>
      <c r="P1877" s="42">
        <v>44677</v>
      </c>
      <c r="Q1877" t="s">
        <v>333</v>
      </c>
      <c r="R1877" t="s">
        <v>370</v>
      </c>
      <c r="S1877" t="s">
        <v>323</v>
      </c>
      <c r="T1877">
        <v>7.6</v>
      </c>
      <c r="W1877" t="s">
        <v>330</v>
      </c>
      <c r="Y1877" s="42">
        <v>44677</v>
      </c>
    </row>
    <row r="1878" spans="14:25">
      <c r="N1878" s="42">
        <v>44673</v>
      </c>
      <c r="O1878" t="s">
        <v>346</v>
      </c>
      <c r="P1878" s="42">
        <v>44673</v>
      </c>
      <c r="Q1878" t="s">
        <v>346</v>
      </c>
      <c r="R1878" t="s">
        <v>370</v>
      </c>
      <c r="S1878" t="s">
        <v>323</v>
      </c>
      <c r="T1878">
        <v>7.6</v>
      </c>
      <c r="W1878" t="s">
        <v>330</v>
      </c>
      <c r="Y1878" s="42">
        <v>44677</v>
      </c>
    </row>
    <row r="1879" spans="14:25">
      <c r="N1879" s="42">
        <v>44672</v>
      </c>
      <c r="O1879" t="s">
        <v>324</v>
      </c>
      <c r="P1879" s="42">
        <v>44672</v>
      </c>
      <c r="Q1879" t="s">
        <v>324</v>
      </c>
      <c r="R1879" t="s">
        <v>370</v>
      </c>
      <c r="S1879" t="s">
        <v>323</v>
      </c>
      <c r="T1879">
        <v>7.6</v>
      </c>
      <c r="W1879" t="s">
        <v>330</v>
      </c>
      <c r="Y1879" s="42">
        <v>44677</v>
      </c>
    </row>
    <row r="1880" spans="14:25">
      <c r="N1880" s="42">
        <v>44671</v>
      </c>
      <c r="O1880" t="s">
        <v>328</v>
      </c>
      <c r="P1880" s="42">
        <v>44671</v>
      </c>
      <c r="Q1880" t="s">
        <v>328</v>
      </c>
      <c r="R1880" t="s">
        <v>370</v>
      </c>
      <c r="S1880" t="s">
        <v>323</v>
      </c>
      <c r="T1880">
        <v>7.6</v>
      </c>
      <c r="W1880" t="s">
        <v>330</v>
      </c>
      <c r="Y1880" s="42">
        <v>44677</v>
      </c>
    </row>
    <row r="1881" spans="14:25">
      <c r="N1881" s="42">
        <v>44670</v>
      </c>
      <c r="O1881" t="s">
        <v>333</v>
      </c>
      <c r="P1881" s="42">
        <v>44670</v>
      </c>
      <c r="Q1881" t="s">
        <v>333</v>
      </c>
      <c r="R1881" t="s">
        <v>370</v>
      </c>
      <c r="S1881" t="s">
        <v>323</v>
      </c>
      <c r="T1881">
        <v>7.6</v>
      </c>
      <c r="W1881" t="s">
        <v>330</v>
      </c>
      <c r="Y1881" s="42">
        <v>44677</v>
      </c>
    </row>
    <row r="1882" spans="14:25">
      <c r="N1882" s="42">
        <v>44665</v>
      </c>
      <c r="O1882" t="s">
        <v>324</v>
      </c>
      <c r="P1882" s="42">
        <v>44665</v>
      </c>
      <c r="Q1882" t="s">
        <v>324</v>
      </c>
      <c r="R1882" t="s">
        <v>370</v>
      </c>
      <c r="S1882" t="s">
        <v>323</v>
      </c>
      <c r="T1882">
        <v>7.6</v>
      </c>
      <c r="W1882" t="s">
        <v>330</v>
      </c>
      <c r="Y1882" s="42">
        <v>44677</v>
      </c>
    </row>
    <row r="1883" spans="14:25">
      <c r="N1883" s="42">
        <v>44664</v>
      </c>
      <c r="O1883" t="s">
        <v>328</v>
      </c>
      <c r="P1883" s="42">
        <v>44664</v>
      </c>
      <c r="Q1883" t="s">
        <v>328</v>
      </c>
      <c r="R1883" t="s">
        <v>370</v>
      </c>
      <c r="S1883" t="s">
        <v>323</v>
      </c>
      <c r="T1883">
        <v>7.6</v>
      </c>
      <c r="W1883" t="s">
        <v>330</v>
      </c>
      <c r="Y1883" s="42">
        <v>44677</v>
      </c>
    </row>
    <row r="1884" spans="14:25">
      <c r="N1884" s="42">
        <v>44663</v>
      </c>
      <c r="O1884" t="s">
        <v>333</v>
      </c>
      <c r="P1884" s="42">
        <v>44663</v>
      </c>
      <c r="Q1884" t="s">
        <v>333</v>
      </c>
      <c r="R1884" t="s">
        <v>370</v>
      </c>
      <c r="S1884" t="s">
        <v>323</v>
      </c>
      <c r="T1884">
        <v>7.6</v>
      </c>
      <c r="W1884" t="s">
        <v>330</v>
      </c>
      <c r="Y1884" s="42">
        <v>44663</v>
      </c>
    </row>
    <row r="1885" spans="14:25">
      <c r="N1885" s="42">
        <v>44662</v>
      </c>
      <c r="O1885" t="s">
        <v>345</v>
      </c>
      <c r="P1885" s="42">
        <v>44662</v>
      </c>
      <c r="Q1885" t="s">
        <v>345</v>
      </c>
      <c r="R1885" t="s">
        <v>370</v>
      </c>
      <c r="S1885" t="s">
        <v>323</v>
      </c>
      <c r="T1885">
        <v>7.6</v>
      </c>
      <c r="W1885" t="s">
        <v>330</v>
      </c>
      <c r="Y1885" s="42">
        <v>44663</v>
      </c>
    </row>
    <row r="1886" spans="14:25">
      <c r="N1886" s="42">
        <v>44659</v>
      </c>
      <c r="O1886" t="s">
        <v>346</v>
      </c>
      <c r="P1886" s="42">
        <v>44659</v>
      </c>
      <c r="Q1886" t="s">
        <v>346</v>
      </c>
      <c r="R1886" t="s">
        <v>370</v>
      </c>
      <c r="S1886" t="s">
        <v>323</v>
      </c>
      <c r="T1886">
        <v>7.6</v>
      </c>
      <c r="W1886" t="s">
        <v>330</v>
      </c>
      <c r="Y1886" s="42">
        <v>44663</v>
      </c>
    </row>
    <row r="1887" spans="14:25">
      <c r="N1887" s="42">
        <v>44658</v>
      </c>
      <c r="O1887" t="s">
        <v>324</v>
      </c>
      <c r="P1887" s="42">
        <v>44658</v>
      </c>
      <c r="Q1887" t="s">
        <v>324</v>
      </c>
      <c r="R1887" t="s">
        <v>370</v>
      </c>
      <c r="S1887" t="s">
        <v>323</v>
      </c>
      <c r="T1887">
        <v>7.6</v>
      </c>
      <c r="W1887" t="s">
        <v>330</v>
      </c>
      <c r="Y1887" s="42">
        <v>44663</v>
      </c>
    </row>
    <row r="1888" spans="14:25">
      <c r="N1888" s="42">
        <v>44657</v>
      </c>
      <c r="O1888" t="s">
        <v>328</v>
      </c>
      <c r="P1888" s="42">
        <v>44657</v>
      </c>
      <c r="Q1888" t="s">
        <v>328</v>
      </c>
      <c r="R1888" t="s">
        <v>370</v>
      </c>
      <c r="S1888" t="s">
        <v>323</v>
      </c>
      <c r="T1888">
        <v>7.6</v>
      </c>
      <c r="W1888" t="s">
        <v>330</v>
      </c>
      <c r="Y1888" s="42">
        <v>44663</v>
      </c>
    </row>
    <row r="1889" spans="14:25">
      <c r="N1889" s="42">
        <v>44656</v>
      </c>
      <c r="O1889" t="s">
        <v>333</v>
      </c>
      <c r="P1889" s="42">
        <v>44656</v>
      </c>
      <c r="Q1889" t="s">
        <v>333</v>
      </c>
      <c r="R1889" t="s">
        <v>370</v>
      </c>
      <c r="S1889" t="s">
        <v>323</v>
      </c>
      <c r="T1889">
        <v>7.6</v>
      </c>
      <c r="W1889" t="s">
        <v>330</v>
      </c>
      <c r="Y1889" s="42">
        <v>44663</v>
      </c>
    </row>
    <row r="1890" spans="14:25">
      <c r="N1890" s="42">
        <v>44655</v>
      </c>
      <c r="O1890" t="s">
        <v>345</v>
      </c>
      <c r="P1890" s="42">
        <v>44655</v>
      </c>
      <c r="Q1890" t="s">
        <v>345</v>
      </c>
      <c r="R1890" t="s">
        <v>370</v>
      </c>
      <c r="S1890" t="s">
        <v>323</v>
      </c>
      <c r="T1890">
        <v>7.6</v>
      </c>
      <c r="W1890" t="s">
        <v>330</v>
      </c>
      <c r="Y1890" s="42">
        <v>44663</v>
      </c>
    </row>
    <row r="1891" spans="14:25">
      <c r="N1891" s="42">
        <v>44652</v>
      </c>
      <c r="O1891" t="s">
        <v>346</v>
      </c>
      <c r="P1891" s="42">
        <v>44652</v>
      </c>
      <c r="Q1891" t="s">
        <v>346</v>
      </c>
      <c r="R1891" t="s">
        <v>370</v>
      </c>
      <c r="S1891" t="s">
        <v>323</v>
      </c>
      <c r="T1891">
        <v>7.6</v>
      </c>
      <c r="W1891" t="s">
        <v>330</v>
      </c>
      <c r="Y1891" s="42">
        <v>44663</v>
      </c>
    </row>
    <row r="1892" spans="14:25">
      <c r="N1892" s="42">
        <v>44651</v>
      </c>
      <c r="O1892" t="s">
        <v>324</v>
      </c>
      <c r="P1892" s="42">
        <v>44651</v>
      </c>
      <c r="Q1892" t="s">
        <v>324</v>
      </c>
      <c r="R1892" t="s">
        <v>370</v>
      </c>
      <c r="S1892" t="s">
        <v>323</v>
      </c>
      <c r="T1892">
        <v>7.6</v>
      </c>
      <c r="W1892" t="s">
        <v>330</v>
      </c>
      <c r="Y1892" s="42">
        <v>44663</v>
      </c>
    </row>
    <row r="1893" spans="14:25">
      <c r="N1893" s="42">
        <v>44650</v>
      </c>
      <c r="O1893" t="s">
        <v>328</v>
      </c>
      <c r="P1893" s="42">
        <v>44650</v>
      </c>
      <c r="Q1893" t="s">
        <v>328</v>
      </c>
      <c r="R1893" t="s">
        <v>370</v>
      </c>
      <c r="S1893" t="s">
        <v>323</v>
      </c>
      <c r="T1893">
        <v>7.6</v>
      </c>
      <c r="W1893" t="s">
        <v>330</v>
      </c>
      <c r="Y1893" s="42">
        <v>44663</v>
      </c>
    </row>
    <row r="1894" spans="14:25">
      <c r="N1894" s="42">
        <v>44649</v>
      </c>
      <c r="O1894" t="s">
        <v>333</v>
      </c>
      <c r="P1894" s="42">
        <v>44649</v>
      </c>
      <c r="Q1894" t="s">
        <v>333</v>
      </c>
      <c r="R1894" t="s">
        <v>370</v>
      </c>
      <c r="S1894" t="s">
        <v>323</v>
      </c>
      <c r="T1894">
        <v>7.6</v>
      </c>
      <c r="W1894" t="s">
        <v>330</v>
      </c>
      <c r="Y1894" s="42">
        <v>44649</v>
      </c>
    </row>
    <row r="1895" spans="14:25">
      <c r="N1895" s="42">
        <v>44648</v>
      </c>
      <c r="O1895" t="s">
        <v>345</v>
      </c>
      <c r="P1895" s="42">
        <v>44648</v>
      </c>
      <c r="Q1895" t="s">
        <v>345</v>
      </c>
      <c r="R1895" t="s">
        <v>370</v>
      </c>
      <c r="S1895" t="s">
        <v>323</v>
      </c>
      <c r="T1895">
        <v>7.6</v>
      </c>
      <c r="W1895" t="s">
        <v>330</v>
      </c>
      <c r="Y1895" s="42">
        <v>44649</v>
      </c>
    </row>
    <row r="1896" spans="14:25">
      <c r="N1896" s="42">
        <v>44645</v>
      </c>
      <c r="O1896" t="s">
        <v>346</v>
      </c>
      <c r="P1896" s="42">
        <v>44645</v>
      </c>
      <c r="Q1896" t="s">
        <v>346</v>
      </c>
      <c r="R1896" t="s">
        <v>370</v>
      </c>
      <c r="S1896" t="s">
        <v>323</v>
      </c>
      <c r="T1896">
        <v>7.6</v>
      </c>
      <c r="W1896" t="s">
        <v>330</v>
      </c>
      <c r="Y1896" s="42">
        <v>44649</v>
      </c>
    </row>
    <row r="1897" spans="14:25">
      <c r="N1897" s="42">
        <v>44644</v>
      </c>
      <c r="O1897" t="s">
        <v>324</v>
      </c>
      <c r="P1897" s="42">
        <v>44644</v>
      </c>
      <c r="Q1897" t="s">
        <v>324</v>
      </c>
      <c r="R1897" t="s">
        <v>370</v>
      </c>
      <c r="S1897" t="s">
        <v>323</v>
      </c>
      <c r="T1897">
        <v>7.6</v>
      </c>
      <c r="W1897" t="s">
        <v>330</v>
      </c>
      <c r="Y1897" s="42">
        <v>44649</v>
      </c>
    </row>
    <row r="1898" spans="14:25">
      <c r="N1898" s="42">
        <v>44643</v>
      </c>
      <c r="O1898" t="s">
        <v>328</v>
      </c>
      <c r="P1898" s="42">
        <v>44643</v>
      </c>
      <c r="Q1898" t="s">
        <v>328</v>
      </c>
      <c r="R1898" t="s">
        <v>370</v>
      </c>
      <c r="S1898" t="s">
        <v>323</v>
      </c>
      <c r="T1898">
        <v>7.6</v>
      </c>
      <c r="W1898" t="s">
        <v>330</v>
      </c>
      <c r="Y1898" s="42">
        <v>44649</v>
      </c>
    </row>
    <row r="1899" spans="14:25">
      <c r="N1899" s="42">
        <v>44642</v>
      </c>
      <c r="O1899" t="s">
        <v>333</v>
      </c>
      <c r="P1899" s="42">
        <v>44642</v>
      </c>
      <c r="Q1899" t="s">
        <v>333</v>
      </c>
      <c r="R1899" t="s">
        <v>370</v>
      </c>
      <c r="S1899" t="s">
        <v>323</v>
      </c>
      <c r="T1899">
        <v>7.6</v>
      </c>
      <c r="W1899" t="s">
        <v>330</v>
      </c>
      <c r="Y1899" s="42">
        <v>44649</v>
      </c>
    </row>
    <row r="1900" spans="14:25">
      <c r="N1900" s="42">
        <v>44641</v>
      </c>
      <c r="O1900" t="s">
        <v>345</v>
      </c>
      <c r="P1900" s="42">
        <v>44641</v>
      </c>
      <c r="Q1900" t="s">
        <v>345</v>
      </c>
      <c r="R1900" t="s">
        <v>370</v>
      </c>
      <c r="S1900" t="s">
        <v>323</v>
      </c>
      <c r="T1900">
        <v>7.6</v>
      </c>
      <c r="W1900" t="s">
        <v>330</v>
      </c>
      <c r="Y1900" s="42">
        <v>44649</v>
      </c>
    </row>
    <row r="1901" spans="14:25">
      <c r="N1901" s="42">
        <v>44638</v>
      </c>
      <c r="O1901" t="s">
        <v>346</v>
      </c>
      <c r="P1901" s="42">
        <v>44638</v>
      </c>
      <c r="Q1901" t="s">
        <v>346</v>
      </c>
      <c r="R1901" t="s">
        <v>370</v>
      </c>
      <c r="S1901" t="s">
        <v>323</v>
      </c>
      <c r="T1901">
        <v>7.6</v>
      </c>
      <c r="W1901" t="s">
        <v>330</v>
      </c>
      <c r="Y1901" s="42">
        <v>44649</v>
      </c>
    </row>
    <row r="1902" spans="14:25">
      <c r="N1902" s="42">
        <v>44637</v>
      </c>
      <c r="O1902" t="s">
        <v>324</v>
      </c>
      <c r="P1902" s="42">
        <v>44637</v>
      </c>
      <c r="Q1902" t="s">
        <v>324</v>
      </c>
      <c r="R1902" t="s">
        <v>370</v>
      </c>
      <c r="S1902" t="s">
        <v>323</v>
      </c>
      <c r="T1902">
        <v>7.6</v>
      </c>
      <c r="W1902" t="s">
        <v>330</v>
      </c>
      <c r="Y1902" s="42">
        <v>44649</v>
      </c>
    </row>
    <row r="1903" spans="14:25">
      <c r="N1903" s="42">
        <v>44636</v>
      </c>
      <c r="O1903" t="s">
        <v>328</v>
      </c>
      <c r="P1903" s="42">
        <v>44636</v>
      </c>
      <c r="Q1903" t="s">
        <v>328</v>
      </c>
      <c r="R1903" t="s">
        <v>370</v>
      </c>
      <c r="S1903" t="s">
        <v>323</v>
      </c>
      <c r="T1903">
        <v>7.6</v>
      </c>
      <c r="W1903" t="s">
        <v>330</v>
      </c>
      <c r="Y1903" s="42">
        <v>44649</v>
      </c>
    </row>
    <row r="1904" spans="14:25">
      <c r="N1904" s="42">
        <v>44635</v>
      </c>
      <c r="O1904" t="s">
        <v>333</v>
      </c>
      <c r="P1904" s="42">
        <v>44635</v>
      </c>
      <c r="Q1904" t="s">
        <v>333</v>
      </c>
      <c r="R1904" t="s">
        <v>370</v>
      </c>
      <c r="S1904" t="s">
        <v>323</v>
      </c>
      <c r="T1904">
        <v>7.6</v>
      </c>
      <c r="W1904" t="s">
        <v>330</v>
      </c>
      <c r="Y1904" s="42">
        <v>44635</v>
      </c>
    </row>
    <row r="1905" spans="14:25">
      <c r="N1905" s="42">
        <v>44634</v>
      </c>
      <c r="O1905" t="s">
        <v>345</v>
      </c>
      <c r="P1905" s="42">
        <v>44634</v>
      </c>
      <c r="Q1905" t="s">
        <v>345</v>
      </c>
      <c r="R1905" t="s">
        <v>370</v>
      </c>
      <c r="S1905" t="s">
        <v>323</v>
      </c>
      <c r="T1905">
        <v>7.6</v>
      </c>
      <c r="W1905" t="s">
        <v>330</v>
      </c>
      <c r="Y1905" s="42">
        <v>44635</v>
      </c>
    </row>
    <row r="1906" spans="14:25">
      <c r="N1906" s="42">
        <v>44631</v>
      </c>
      <c r="O1906" t="s">
        <v>346</v>
      </c>
      <c r="P1906" s="42">
        <v>44631</v>
      </c>
      <c r="Q1906" t="s">
        <v>346</v>
      </c>
      <c r="R1906" t="s">
        <v>370</v>
      </c>
      <c r="S1906" t="s">
        <v>323</v>
      </c>
      <c r="T1906">
        <v>7.6</v>
      </c>
      <c r="W1906" t="s">
        <v>330</v>
      </c>
      <c r="Y1906" s="42">
        <v>44635</v>
      </c>
    </row>
    <row r="1907" spans="14:25">
      <c r="N1907" s="42">
        <v>44630</v>
      </c>
      <c r="O1907" t="s">
        <v>324</v>
      </c>
      <c r="P1907" s="42">
        <v>44630</v>
      </c>
      <c r="Q1907" t="s">
        <v>324</v>
      </c>
      <c r="R1907" t="s">
        <v>370</v>
      </c>
      <c r="S1907" t="s">
        <v>323</v>
      </c>
      <c r="T1907">
        <v>7.6</v>
      </c>
      <c r="W1907" t="s">
        <v>330</v>
      </c>
      <c r="Y1907" s="42">
        <v>44635</v>
      </c>
    </row>
    <row r="1908" spans="14:25">
      <c r="N1908" s="42">
        <v>44629</v>
      </c>
      <c r="O1908" t="s">
        <v>328</v>
      </c>
      <c r="P1908" s="42">
        <v>44629</v>
      </c>
      <c r="Q1908" t="s">
        <v>328</v>
      </c>
      <c r="R1908" t="s">
        <v>370</v>
      </c>
      <c r="S1908" t="s">
        <v>323</v>
      </c>
      <c r="T1908">
        <v>7.6</v>
      </c>
      <c r="W1908" t="s">
        <v>330</v>
      </c>
      <c r="Y1908" s="42">
        <v>44635</v>
      </c>
    </row>
    <row r="1909" spans="14:25">
      <c r="N1909" s="42">
        <v>44628</v>
      </c>
      <c r="O1909" t="s">
        <v>333</v>
      </c>
      <c r="P1909" s="42">
        <v>44628</v>
      </c>
      <c r="Q1909" t="s">
        <v>333</v>
      </c>
      <c r="R1909" t="s">
        <v>370</v>
      </c>
      <c r="S1909" t="s">
        <v>323</v>
      </c>
      <c r="T1909">
        <v>7.6</v>
      </c>
      <c r="W1909" t="s">
        <v>330</v>
      </c>
      <c r="Y1909" s="42">
        <v>44635</v>
      </c>
    </row>
    <row r="1910" spans="14:25">
      <c r="N1910" s="42">
        <v>44627</v>
      </c>
      <c r="O1910" t="s">
        <v>345</v>
      </c>
      <c r="P1910" s="42">
        <v>44627</v>
      </c>
      <c r="Q1910" t="s">
        <v>345</v>
      </c>
      <c r="R1910" t="s">
        <v>370</v>
      </c>
      <c r="S1910" t="s">
        <v>323</v>
      </c>
      <c r="T1910">
        <v>7.6</v>
      </c>
      <c r="W1910" t="s">
        <v>330</v>
      </c>
      <c r="Y1910" s="42">
        <v>44635</v>
      </c>
    </row>
    <row r="1911" spans="14:25">
      <c r="N1911" s="42">
        <v>44624</v>
      </c>
      <c r="O1911" t="s">
        <v>346</v>
      </c>
      <c r="P1911" s="42">
        <v>44624</v>
      </c>
      <c r="Q1911" t="s">
        <v>346</v>
      </c>
      <c r="R1911" t="s">
        <v>370</v>
      </c>
      <c r="S1911" t="s">
        <v>323</v>
      </c>
      <c r="T1911">
        <v>7.6</v>
      </c>
      <c r="W1911" t="s">
        <v>330</v>
      </c>
      <c r="Y1911" s="42">
        <v>44635</v>
      </c>
    </row>
    <row r="1912" spans="14:25">
      <c r="N1912" s="42">
        <v>44623</v>
      </c>
      <c r="O1912" t="s">
        <v>324</v>
      </c>
      <c r="P1912" s="42">
        <v>44623</v>
      </c>
      <c r="Q1912" t="s">
        <v>324</v>
      </c>
      <c r="R1912" t="s">
        <v>370</v>
      </c>
      <c r="S1912" t="s">
        <v>323</v>
      </c>
      <c r="T1912">
        <v>7.6</v>
      </c>
      <c r="W1912" t="s">
        <v>330</v>
      </c>
      <c r="Y1912" s="42">
        <v>44635</v>
      </c>
    </row>
    <row r="1913" spans="14:25">
      <c r="N1913" s="42">
        <v>44622</v>
      </c>
      <c r="O1913" t="s">
        <v>328</v>
      </c>
      <c r="P1913" s="42">
        <v>44622</v>
      </c>
      <c r="Q1913" t="s">
        <v>328</v>
      </c>
      <c r="R1913" t="s">
        <v>370</v>
      </c>
      <c r="S1913" t="s">
        <v>323</v>
      </c>
      <c r="T1913">
        <v>7.6</v>
      </c>
      <c r="W1913" t="s">
        <v>330</v>
      </c>
      <c r="Y1913" s="42">
        <v>44635</v>
      </c>
    </row>
    <row r="1914" spans="14:25">
      <c r="N1914" s="42">
        <v>44621</v>
      </c>
      <c r="O1914" t="s">
        <v>333</v>
      </c>
      <c r="P1914" s="42">
        <v>44621</v>
      </c>
      <c r="Q1914" t="s">
        <v>333</v>
      </c>
      <c r="R1914" t="s">
        <v>370</v>
      </c>
      <c r="S1914" t="s">
        <v>323</v>
      </c>
      <c r="T1914">
        <v>7.6</v>
      </c>
      <c r="W1914" t="s">
        <v>330</v>
      </c>
      <c r="Y1914" s="42">
        <v>44621</v>
      </c>
    </row>
    <row r="1915" spans="14:25">
      <c r="N1915" s="42">
        <v>44620</v>
      </c>
      <c r="O1915" t="s">
        <v>345</v>
      </c>
      <c r="P1915" s="42">
        <v>44620</v>
      </c>
      <c r="Q1915" t="s">
        <v>345</v>
      </c>
      <c r="R1915" t="s">
        <v>370</v>
      </c>
      <c r="S1915" t="s">
        <v>323</v>
      </c>
      <c r="T1915">
        <v>7.6</v>
      </c>
      <c r="W1915" t="s">
        <v>330</v>
      </c>
      <c r="Y1915" s="42">
        <v>44621</v>
      </c>
    </row>
    <row r="1916" spans="14:25">
      <c r="N1916" s="42">
        <v>44617</v>
      </c>
      <c r="O1916" t="s">
        <v>346</v>
      </c>
      <c r="P1916" s="42">
        <v>44617</v>
      </c>
      <c r="Q1916" t="s">
        <v>346</v>
      </c>
      <c r="R1916" t="s">
        <v>370</v>
      </c>
      <c r="S1916" t="s">
        <v>323</v>
      </c>
      <c r="T1916">
        <v>7.6</v>
      </c>
      <c r="W1916" t="s">
        <v>330</v>
      </c>
      <c r="Y1916" s="42">
        <v>44621</v>
      </c>
    </row>
    <row r="1917" spans="14:25">
      <c r="N1917" s="42">
        <v>44616</v>
      </c>
      <c r="O1917" t="s">
        <v>324</v>
      </c>
      <c r="P1917" s="42">
        <v>44616</v>
      </c>
      <c r="Q1917" t="s">
        <v>324</v>
      </c>
      <c r="R1917" t="s">
        <v>370</v>
      </c>
      <c r="S1917" t="s">
        <v>323</v>
      </c>
      <c r="T1917">
        <v>7.6</v>
      </c>
      <c r="W1917" t="s">
        <v>330</v>
      </c>
      <c r="Y1917" s="42">
        <v>44621</v>
      </c>
    </row>
    <row r="1918" spans="14:25">
      <c r="N1918" s="42">
        <v>44615</v>
      </c>
      <c r="O1918" t="s">
        <v>328</v>
      </c>
      <c r="P1918" s="42">
        <v>44615</v>
      </c>
      <c r="Q1918" t="s">
        <v>328</v>
      </c>
      <c r="R1918" t="s">
        <v>370</v>
      </c>
      <c r="S1918" t="s">
        <v>323</v>
      </c>
      <c r="T1918">
        <v>7.6</v>
      </c>
      <c r="W1918" t="s">
        <v>330</v>
      </c>
      <c r="Y1918" s="42">
        <v>44621</v>
      </c>
    </row>
    <row r="1919" spans="14:25">
      <c r="N1919" s="42">
        <v>44614</v>
      </c>
      <c r="O1919" t="s">
        <v>333</v>
      </c>
      <c r="P1919" s="42">
        <v>44614</v>
      </c>
      <c r="Q1919" t="s">
        <v>333</v>
      </c>
      <c r="R1919" t="s">
        <v>370</v>
      </c>
      <c r="S1919" t="s">
        <v>323</v>
      </c>
      <c r="T1919">
        <v>7.6</v>
      </c>
      <c r="W1919" t="s">
        <v>330</v>
      </c>
      <c r="Y1919" s="42">
        <v>44621</v>
      </c>
    </row>
    <row r="1920" spans="14:25">
      <c r="N1920" s="42">
        <v>44613</v>
      </c>
      <c r="O1920" t="s">
        <v>345</v>
      </c>
      <c r="P1920" s="42">
        <v>44613</v>
      </c>
      <c r="Q1920" t="s">
        <v>345</v>
      </c>
      <c r="R1920" t="s">
        <v>370</v>
      </c>
      <c r="S1920" t="s">
        <v>323</v>
      </c>
      <c r="T1920">
        <v>7.6</v>
      </c>
      <c r="W1920" t="s">
        <v>330</v>
      </c>
      <c r="Y1920" s="42">
        <v>44621</v>
      </c>
    </row>
    <row r="1921" spans="14:25">
      <c r="N1921" s="42">
        <v>44610</v>
      </c>
      <c r="O1921" t="s">
        <v>346</v>
      </c>
      <c r="P1921" s="42">
        <v>44610</v>
      </c>
      <c r="Q1921" t="s">
        <v>346</v>
      </c>
      <c r="R1921" t="s">
        <v>370</v>
      </c>
      <c r="S1921" t="s">
        <v>323</v>
      </c>
      <c r="T1921">
        <v>7.6</v>
      </c>
      <c r="W1921" t="s">
        <v>330</v>
      </c>
      <c r="Y1921" s="42">
        <v>44621</v>
      </c>
    </row>
    <row r="1922" spans="14:25">
      <c r="N1922" s="42">
        <v>44609</v>
      </c>
      <c r="O1922" t="s">
        <v>324</v>
      </c>
      <c r="P1922" s="42">
        <v>44609</v>
      </c>
      <c r="Q1922" t="s">
        <v>324</v>
      </c>
      <c r="R1922" t="s">
        <v>370</v>
      </c>
      <c r="S1922" t="s">
        <v>323</v>
      </c>
      <c r="T1922">
        <v>7.6</v>
      </c>
      <c r="W1922" t="s">
        <v>330</v>
      </c>
      <c r="Y1922" s="42">
        <v>44621</v>
      </c>
    </row>
    <row r="1923" spans="14:25">
      <c r="N1923" s="42">
        <v>44608</v>
      </c>
      <c r="O1923" t="s">
        <v>328</v>
      </c>
      <c r="P1923" s="42">
        <v>44608</v>
      </c>
      <c r="Q1923" t="s">
        <v>328</v>
      </c>
      <c r="R1923" t="s">
        <v>370</v>
      </c>
      <c r="S1923" t="s">
        <v>323</v>
      </c>
      <c r="T1923">
        <v>7.6</v>
      </c>
      <c r="W1923" t="s">
        <v>330</v>
      </c>
      <c r="Y1923" s="42">
        <v>44621</v>
      </c>
    </row>
    <row r="1924" spans="14:25">
      <c r="N1924" s="42">
        <v>44607</v>
      </c>
      <c r="O1924" t="s">
        <v>333</v>
      </c>
      <c r="P1924" s="42">
        <v>44607</v>
      </c>
      <c r="Q1924" t="s">
        <v>333</v>
      </c>
      <c r="R1924" t="s">
        <v>370</v>
      </c>
      <c r="S1924" t="s">
        <v>323</v>
      </c>
      <c r="T1924">
        <v>7.6</v>
      </c>
      <c r="W1924" t="s">
        <v>330</v>
      </c>
      <c r="Y1924" s="42">
        <v>44607</v>
      </c>
    </row>
    <row r="1925" spans="14:25">
      <c r="N1925" s="42">
        <v>44606</v>
      </c>
      <c r="O1925" t="s">
        <v>345</v>
      </c>
      <c r="P1925" s="42">
        <v>44606</v>
      </c>
      <c r="Q1925" t="s">
        <v>345</v>
      </c>
      <c r="R1925" t="s">
        <v>370</v>
      </c>
      <c r="S1925" t="s">
        <v>323</v>
      </c>
      <c r="T1925">
        <v>7.6</v>
      </c>
      <c r="W1925" t="s">
        <v>330</v>
      </c>
      <c r="Y1925" s="42">
        <v>44607</v>
      </c>
    </row>
    <row r="1926" spans="14:25">
      <c r="N1926" s="42">
        <v>44603</v>
      </c>
      <c r="O1926" t="s">
        <v>346</v>
      </c>
      <c r="P1926" s="42">
        <v>44603</v>
      </c>
      <c r="Q1926" t="s">
        <v>346</v>
      </c>
      <c r="R1926" t="s">
        <v>370</v>
      </c>
      <c r="S1926" t="s">
        <v>323</v>
      </c>
      <c r="T1926">
        <v>7.6</v>
      </c>
      <c r="W1926" t="s">
        <v>330</v>
      </c>
      <c r="Y1926" s="42">
        <v>44607</v>
      </c>
    </row>
    <row r="1927" spans="14:25">
      <c r="N1927" s="42">
        <v>44602</v>
      </c>
      <c r="O1927" t="s">
        <v>324</v>
      </c>
      <c r="P1927" s="42">
        <v>44602</v>
      </c>
      <c r="Q1927" t="s">
        <v>324</v>
      </c>
      <c r="R1927" t="s">
        <v>370</v>
      </c>
      <c r="S1927" t="s">
        <v>323</v>
      </c>
      <c r="T1927">
        <v>7.6</v>
      </c>
      <c r="W1927" t="s">
        <v>330</v>
      </c>
      <c r="Y1927" s="42">
        <v>44607</v>
      </c>
    </row>
    <row r="1928" spans="14:25">
      <c r="N1928" s="42">
        <v>44601</v>
      </c>
      <c r="O1928" t="s">
        <v>328</v>
      </c>
      <c r="P1928" s="42">
        <v>44601</v>
      </c>
      <c r="Q1928" t="s">
        <v>328</v>
      </c>
      <c r="R1928" t="s">
        <v>370</v>
      </c>
      <c r="S1928" t="s">
        <v>323</v>
      </c>
      <c r="T1928">
        <v>7.6</v>
      </c>
      <c r="W1928" t="s">
        <v>330</v>
      </c>
      <c r="Y1928" s="42">
        <v>44607</v>
      </c>
    </row>
    <row r="1929" spans="14:25">
      <c r="N1929" s="42">
        <v>44600</v>
      </c>
      <c r="O1929" t="s">
        <v>333</v>
      </c>
      <c r="P1929" s="42">
        <v>44600</v>
      </c>
      <c r="Q1929" t="s">
        <v>333</v>
      </c>
      <c r="R1929" t="s">
        <v>370</v>
      </c>
      <c r="S1929" t="s">
        <v>323</v>
      </c>
      <c r="T1929">
        <v>7.6</v>
      </c>
      <c r="W1929" t="s">
        <v>330</v>
      </c>
      <c r="Y1929" s="42">
        <v>44607</v>
      </c>
    </row>
    <row r="1930" spans="14:25">
      <c r="N1930" s="42">
        <v>44599</v>
      </c>
      <c r="O1930" t="s">
        <v>345</v>
      </c>
      <c r="P1930" s="42">
        <v>44599</v>
      </c>
      <c r="Q1930" t="s">
        <v>345</v>
      </c>
      <c r="R1930" t="s">
        <v>370</v>
      </c>
      <c r="S1930" t="s">
        <v>323</v>
      </c>
      <c r="T1930">
        <v>7.6</v>
      </c>
      <c r="W1930" t="s">
        <v>330</v>
      </c>
      <c r="Y1930" s="42">
        <v>44607</v>
      </c>
    </row>
    <row r="1931" spans="14:25">
      <c r="N1931" s="42">
        <v>44596</v>
      </c>
      <c r="O1931" t="s">
        <v>346</v>
      </c>
      <c r="P1931" s="42">
        <v>44596</v>
      </c>
      <c r="Q1931" t="s">
        <v>346</v>
      </c>
      <c r="R1931" t="s">
        <v>370</v>
      </c>
      <c r="S1931" t="s">
        <v>323</v>
      </c>
      <c r="T1931">
        <v>7.6</v>
      </c>
      <c r="W1931" t="s">
        <v>330</v>
      </c>
      <c r="Y1931" s="42">
        <v>44607</v>
      </c>
    </row>
    <row r="1932" spans="14:25">
      <c r="N1932" s="42">
        <v>44595</v>
      </c>
      <c r="O1932" t="s">
        <v>324</v>
      </c>
      <c r="P1932" s="42">
        <v>44595</v>
      </c>
      <c r="Q1932" t="s">
        <v>324</v>
      </c>
      <c r="R1932" t="s">
        <v>370</v>
      </c>
      <c r="S1932" t="s">
        <v>323</v>
      </c>
      <c r="T1932">
        <v>7.6</v>
      </c>
      <c r="W1932" t="s">
        <v>330</v>
      </c>
      <c r="Y1932" s="42">
        <v>44607</v>
      </c>
    </row>
    <row r="1933" spans="14:25">
      <c r="N1933" s="42">
        <v>44594</v>
      </c>
      <c r="O1933" t="s">
        <v>328</v>
      </c>
      <c r="P1933" s="42">
        <v>44594</v>
      </c>
      <c r="Q1933" t="s">
        <v>328</v>
      </c>
      <c r="R1933" t="s">
        <v>370</v>
      </c>
      <c r="S1933" t="s">
        <v>323</v>
      </c>
      <c r="T1933">
        <v>7.6</v>
      </c>
      <c r="W1933" t="s">
        <v>330</v>
      </c>
      <c r="Y1933" s="42">
        <v>44607</v>
      </c>
    </row>
    <row r="1934" spans="14:25">
      <c r="N1934" s="42">
        <v>44593</v>
      </c>
      <c r="O1934" t="s">
        <v>333</v>
      </c>
      <c r="P1934" s="42">
        <v>44593</v>
      </c>
      <c r="Q1934" t="s">
        <v>333</v>
      </c>
      <c r="R1934" t="s">
        <v>370</v>
      </c>
      <c r="S1934" t="s">
        <v>323</v>
      </c>
      <c r="T1934">
        <v>7.6</v>
      </c>
      <c r="W1934" t="s">
        <v>330</v>
      </c>
      <c r="Y1934" s="42">
        <v>44593</v>
      </c>
    </row>
    <row r="1935" spans="14:25">
      <c r="N1935" s="42">
        <v>44592</v>
      </c>
      <c r="O1935" t="s">
        <v>345</v>
      </c>
      <c r="P1935" s="42">
        <v>44592</v>
      </c>
      <c r="Q1935" t="s">
        <v>345</v>
      </c>
      <c r="R1935" t="s">
        <v>370</v>
      </c>
      <c r="S1935" t="s">
        <v>323</v>
      </c>
      <c r="T1935">
        <v>7.6</v>
      </c>
      <c r="W1935" t="s">
        <v>330</v>
      </c>
      <c r="Y1935" s="42">
        <v>44593</v>
      </c>
    </row>
    <row r="1936" spans="14:25">
      <c r="N1936" s="42">
        <v>44589</v>
      </c>
      <c r="O1936" t="s">
        <v>346</v>
      </c>
      <c r="P1936" s="42">
        <v>44589</v>
      </c>
      <c r="Q1936" t="s">
        <v>346</v>
      </c>
      <c r="R1936" t="s">
        <v>370</v>
      </c>
      <c r="S1936" t="s">
        <v>323</v>
      </c>
      <c r="T1936">
        <v>7.6</v>
      </c>
      <c r="W1936" t="s">
        <v>330</v>
      </c>
      <c r="Y1936" s="42">
        <v>44593</v>
      </c>
    </row>
    <row r="1937" spans="14:25">
      <c r="N1937" s="42">
        <v>44588</v>
      </c>
      <c r="O1937" t="s">
        <v>324</v>
      </c>
      <c r="P1937" s="42">
        <v>44588</v>
      </c>
      <c r="Q1937" t="s">
        <v>324</v>
      </c>
      <c r="R1937" t="s">
        <v>370</v>
      </c>
      <c r="S1937" t="s">
        <v>323</v>
      </c>
      <c r="T1937">
        <v>7.6</v>
      </c>
      <c r="W1937" t="s">
        <v>330</v>
      </c>
      <c r="Y1937" s="42">
        <v>44593</v>
      </c>
    </row>
    <row r="1938" spans="14:25">
      <c r="N1938" s="42">
        <v>44586</v>
      </c>
      <c r="O1938" t="s">
        <v>333</v>
      </c>
      <c r="P1938" s="42">
        <v>44586</v>
      </c>
      <c r="Q1938" t="s">
        <v>333</v>
      </c>
      <c r="R1938" t="s">
        <v>370</v>
      </c>
      <c r="S1938" t="s">
        <v>323</v>
      </c>
      <c r="T1938">
        <v>7.6</v>
      </c>
      <c r="W1938" t="s">
        <v>330</v>
      </c>
      <c r="Y1938" s="42">
        <v>44593</v>
      </c>
    </row>
    <row r="1939" spans="14:25">
      <c r="N1939" s="42">
        <v>44585</v>
      </c>
      <c r="O1939" t="s">
        <v>345</v>
      </c>
      <c r="P1939" s="42">
        <v>44585</v>
      </c>
      <c r="Q1939" t="s">
        <v>345</v>
      </c>
      <c r="R1939" t="s">
        <v>370</v>
      </c>
      <c r="S1939" t="s">
        <v>323</v>
      </c>
      <c r="T1939">
        <v>7.6</v>
      </c>
      <c r="W1939" t="s">
        <v>330</v>
      </c>
      <c r="Y1939" s="42">
        <v>44593</v>
      </c>
    </row>
    <row r="1940" spans="14:25">
      <c r="N1940" s="42">
        <v>44582</v>
      </c>
      <c r="O1940" t="s">
        <v>346</v>
      </c>
      <c r="P1940" s="42">
        <v>44582</v>
      </c>
      <c r="Q1940" t="s">
        <v>346</v>
      </c>
      <c r="R1940" t="s">
        <v>370</v>
      </c>
      <c r="S1940" t="s">
        <v>323</v>
      </c>
      <c r="T1940">
        <v>7.6</v>
      </c>
      <c r="W1940" t="s">
        <v>330</v>
      </c>
      <c r="Y1940" s="42">
        <v>44593</v>
      </c>
    </row>
    <row r="1941" spans="14:25">
      <c r="N1941" s="42">
        <v>44581</v>
      </c>
      <c r="O1941" t="s">
        <v>324</v>
      </c>
      <c r="P1941" s="42">
        <v>44581</v>
      </c>
      <c r="Q1941" t="s">
        <v>324</v>
      </c>
      <c r="R1941" t="s">
        <v>370</v>
      </c>
      <c r="S1941" t="s">
        <v>323</v>
      </c>
      <c r="T1941">
        <v>7.6</v>
      </c>
      <c r="W1941" t="s">
        <v>330</v>
      </c>
      <c r="Y1941" s="42">
        <v>44593</v>
      </c>
    </row>
    <row r="1942" spans="14:25">
      <c r="N1942" s="42">
        <v>44580</v>
      </c>
      <c r="O1942" t="s">
        <v>328</v>
      </c>
      <c r="P1942" s="42">
        <v>44580</v>
      </c>
      <c r="Q1942" t="s">
        <v>328</v>
      </c>
      <c r="R1942" t="s">
        <v>370</v>
      </c>
      <c r="S1942" t="s">
        <v>323</v>
      </c>
      <c r="T1942">
        <v>7.6</v>
      </c>
      <c r="W1942" t="s">
        <v>330</v>
      </c>
      <c r="Y1942" s="42">
        <v>44593</v>
      </c>
    </row>
    <row r="1943" spans="14:25">
      <c r="N1943" s="42">
        <v>44579</v>
      </c>
      <c r="O1943" t="s">
        <v>333</v>
      </c>
      <c r="P1943" s="42">
        <v>44579</v>
      </c>
      <c r="Q1943" t="s">
        <v>333</v>
      </c>
      <c r="R1943" t="s">
        <v>370</v>
      </c>
      <c r="S1943" t="s">
        <v>323</v>
      </c>
      <c r="T1943">
        <v>7.6</v>
      </c>
      <c r="W1943" t="s">
        <v>330</v>
      </c>
      <c r="Y1943" s="42">
        <v>44579</v>
      </c>
    </row>
    <row r="1944" spans="14:25">
      <c r="N1944" s="42">
        <v>44578</v>
      </c>
      <c r="O1944" t="s">
        <v>345</v>
      </c>
      <c r="P1944" s="42">
        <v>44578</v>
      </c>
      <c r="Q1944" t="s">
        <v>345</v>
      </c>
      <c r="R1944" t="s">
        <v>370</v>
      </c>
      <c r="S1944" t="s">
        <v>323</v>
      </c>
      <c r="T1944">
        <v>7.6</v>
      </c>
      <c r="W1944" t="s">
        <v>330</v>
      </c>
      <c r="Y1944" s="42">
        <v>44579</v>
      </c>
    </row>
    <row r="1945" spans="14:25">
      <c r="N1945" s="42">
        <v>44575</v>
      </c>
      <c r="O1945" t="s">
        <v>346</v>
      </c>
      <c r="P1945" s="42">
        <v>44575</v>
      </c>
      <c r="Q1945" t="s">
        <v>346</v>
      </c>
      <c r="R1945" t="s">
        <v>370</v>
      </c>
      <c r="S1945" t="s">
        <v>323</v>
      </c>
      <c r="T1945">
        <v>7.6</v>
      </c>
      <c r="W1945" t="s">
        <v>330</v>
      </c>
      <c r="Y1945" s="42">
        <v>44579</v>
      </c>
    </row>
    <row r="1946" spans="14:25">
      <c r="N1946" s="42">
        <v>44574</v>
      </c>
      <c r="O1946" t="s">
        <v>324</v>
      </c>
      <c r="P1946" s="42">
        <v>44574</v>
      </c>
      <c r="Q1946" t="s">
        <v>324</v>
      </c>
      <c r="R1946" t="s">
        <v>370</v>
      </c>
      <c r="S1946" t="s">
        <v>323</v>
      </c>
      <c r="T1946">
        <v>7.6</v>
      </c>
      <c r="W1946" t="s">
        <v>330</v>
      </c>
      <c r="Y1946" s="42">
        <v>44579</v>
      </c>
    </row>
    <row r="1947" spans="14:25">
      <c r="N1947" s="42">
        <v>44573</v>
      </c>
      <c r="O1947" t="s">
        <v>328</v>
      </c>
      <c r="P1947" s="42">
        <v>44573</v>
      </c>
      <c r="Q1947" t="s">
        <v>328</v>
      </c>
      <c r="R1947" t="s">
        <v>370</v>
      </c>
      <c r="S1947" t="s">
        <v>323</v>
      </c>
      <c r="T1947">
        <v>7.6</v>
      </c>
      <c r="W1947" t="s">
        <v>330</v>
      </c>
      <c r="Y1947" s="42">
        <v>44579</v>
      </c>
    </row>
    <row r="1948" spans="14:25">
      <c r="N1948" s="42">
        <v>44572</v>
      </c>
      <c r="O1948" t="s">
        <v>333</v>
      </c>
      <c r="P1948" s="42">
        <v>44572</v>
      </c>
      <c r="Q1948" t="s">
        <v>333</v>
      </c>
      <c r="R1948" t="s">
        <v>370</v>
      </c>
      <c r="S1948" t="s">
        <v>323</v>
      </c>
      <c r="T1948">
        <v>7.6</v>
      </c>
      <c r="W1948" t="s">
        <v>330</v>
      </c>
      <c r="Y1948" s="42">
        <v>44579</v>
      </c>
    </row>
    <row r="1949" spans="14:25">
      <c r="N1949" s="42">
        <v>44571</v>
      </c>
      <c r="O1949" t="s">
        <v>345</v>
      </c>
      <c r="P1949" s="42">
        <v>44571</v>
      </c>
      <c r="Q1949" t="s">
        <v>345</v>
      </c>
      <c r="R1949" t="s">
        <v>370</v>
      </c>
      <c r="S1949" t="s">
        <v>323</v>
      </c>
      <c r="T1949">
        <v>7.6</v>
      </c>
      <c r="W1949" t="s">
        <v>330</v>
      </c>
      <c r="Y1949" s="42">
        <v>44579</v>
      </c>
    </row>
    <row r="1950" spans="14:25">
      <c r="N1950" s="42">
        <v>44568</v>
      </c>
      <c r="O1950" t="s">
        <v>346</v>
      </c>
      <c r="P1950" s="42">
        <v>44568</v>
      </c>
      <c r="Q1950" t="s">
        <v>346</v>
      </c>
      <c r="R1950" t="s">
        <v>370</v>
      </c>
      <c r="S1950" t="s">
        <v>323</v>
      </c>
      <c r="T1950">
        <v>7.6</v>
      </c>
      <c r="W1950" t="s">
        <v>330</v>
      </c>
      <c r="Y1950" s="42">
        <v>44579</v>
      </c>
    </row>
    <row r="1951" spans="14:25">
      <c r="N1951" s="42">
        <v>44567</v>
      </c>
      <c r="O1951" t="s">
        <v>324</v>
      </c>
      <c r="P1951" s="42">
        <v>44567</v>
      </c>
      <c r="Q1951" t="s">
        <v>324</v>
      </c>
      <c r="R1951" t="s">
        <v>370</v>
      </c>
      <c r="S1951" t="s">
        <v>323</v>
      </c>
      <c r="T1951">
        <v>7.6</v>
      </c>
      <c r="W1951" t="s">
        <v>330</v>
      </c>
      <c r="Y1951" s="42">
        <v>44579</v>
      </c>
    </row>
    <row r="1952" spans="14:25">
      <c r="N1952" s="42">
        <v>44566</v>
      </c>
      <c r="O1952" t="s">
        <v>328</v>
      </c>
      <c r="P1952" s="42">
        <v>44566</v>
      </c>
      <c r="Q1952" t="s">
        <v>328</v>
      </c>
      <c r="R1952" t="s">
        <v>370</v>
      </c>
      <c r="S1952" t="s">
        <v>323</v>
      </c>
      <c r="T1952">
        <v>7.6</v>
      </c>
      <c r="W1952" t="s">
        <v>330</v>
      </c>
      <c r="Y1952" s="42">
        <v>44579</v>
      </c>
    </row>
    <row r="1953" spans="14:25">
      <c r="N1953" s="42">
        <v>44565</v>
      </c>
      <c r="O1953" t="s">
        <v>333</v>
      </c>
      <c r="P1953" s="42">
        <v>44565</v>
      </c>
      <c r="Q1953" t="s">
        <v>333</v>
      </c>
      <c r="R1953" t="s">
        <v>370</v>
      </c>
      <c r="S1953" t="s">
        <v>323</v>
      </c>
      <c r="T1953">
        <v>7.6</v>
      </c>
      <c r="W1953" t="s">
        <v>330</v>
      </c>
      <c r="Y1953" s="42">
        <v>44565</v>
      </c>
    </row>
    <row r="1954" spans="14:25">
      <c r="N1954" s="42">
        <v>44561</v>
      </c>
      <c r="O1954" t="s">
        <v>346</v>
      </c>
      <c r="P1954" s="42">
        <v>44561</v>
      </c>
      <c r="Q1954" t="s">
        <v>346</v>
      </c>
      <c r="R1954" t="s">
        <v>370</v>
      </c>
      <c r="S1954" t="s">
        <v>323</v>
      </c>
      <c r="T1954">
        <v>7.6</v>
      </c>
      <c r="W1954" t="s">
        <v>330</v>
      </c>
      <c r="Y1954" s="42">
        <v>44565</v>
      </c>
    </row>
    <row r="1955" spans="14:25">
      <c r="N1955" s="42">
        <v>44560</v>
      </c>
      <c r="O1955" t="s">
        <v>324</v>
      </c>
      <c r="P1955" s="42">
        <v>44560</v>
      </c>
      <c r="Q1955" t="s">
        <v>324</v>
      </c>
      <c r="R1955" t="s">
        <v>370</v>
      </c>
      <c r="S1955" t="s">
        <v>323</v>
      </c>
      <c r="T1955">
        <v>7.6</v>
      </c>
      <c r="W1955" t="s">
        <v>330</v>
      </c>
      <c r="Y1955" s="42">
        <v>44565</v>
      </c>
    </row>
    <row r="1956" spans="14:25">
      <c r="N1956" s="42">
        <v>44559</v>
      </c>
      <c r="O1956" t="s">
        <v>328</v>
      </c>
      <c r="P1956" s="42">
        <v>44559</v>
      </c>
      <c r="Q1956" t="s">
        <v>328</v>
      </c>
      <c r="R1956" t="s">
        <v>370</v>
      </c>
      <c r="S1956" t="s">
        <v>323</v>
      </c>
      <c r="T1956">
        <v>7.6</v>
      </c>
      <c r="W1956" t="s">
        <v>330</v>
      </c>
      <c r="Y1956" s="42">
        <v>44565</v>
      </c>
    </row>
    <row r="1957" spans="14:25">
      <c r="N1957" s="42">
        <v>44558</v>
      </c>
      <c r="O1957" t="s">
        <v>333</v>
      </c>
      <c r="P1957" s="42">
        <v>44558</v>
      </c>
      <c r="Q1957" t="s">
        <v>333</v>
      </c>
      <c r="R1957" t="s">
        <v>370</v>
      </c>
      <c r="S1957" t="s">
        <v>323</v>
      </c>
      <c r="T1957">
        <v>7.6</v>
      </c>
      <c r="W1957" t="s">
        <v>330</v>
      </c>
      <c r="Y1957" s="42">
        <v>44565</v>
      </c>
    </row>
    <row r="1958" spans="14:25">
      <c r="N1958" s="42">
        <v>44554</v>
      </c>
      <c r="O1958" t="s">
        <v>346</v>
      </c>
      <c r="P1958" s="42">
        <v>44554</v>
      </c>
      <c r="Q1958" t="s">
        <v>346</v>
      </c>
      <c r="R1958" t="s">
        <v>370</v>
      </c>
      <c r="S1958" t="s">
        <v>323</v>
      </c>
      <c r="T1958">
        <v>7.6</v>
      </c>
      <c r="W1958" t="s">
        <v>330</v>
      </c>
      <c r="Y1958" s="42">
        <v>44565</v>
      </c>
    </row>
    <row r="1959" spans="14:25">
      <c r="N1959" s="42">
        <v>44553</v>
      </c>
      <c r="O1959" t="s">
        <v>324</v>
      </c>
      <c r="P1959" s="42">
        <v>44553</v>
      </c>
      <c r="Q1959" t="s">
        <v>324</v>
      </c>
      <c r="R1959" t="s">
        <v>370</v>
      </c>
      <c r="S1959" t="s">
        <v>323</v>
      </c>
      <c r="T1959">
        <v>7.6</v>
      </c>
      <c r="W1959" t="s">
        <v>330</v>
      </c>
      <c r="Y1959" s="42">
        <v>44565</v>
      </c>
    </row>
    <row r="1960" spans="14:25">
      <c r="N1960" s="42">
        <v>44552</v>
      </c>
      <c r="O1960" t="s">
        <v>328</v>
      </c>
      <c r="P1960" s="42">
        <v>44552</v>
      </c>
      <c r="Q1960" t="s">
        <v>328</v>
      </c>
      <c r="R1960" t="s">
        <v>370</v>
      </c>
      <c r="S1960" t="s">
        <v>323</v>
      </c>
      <c r="T1960">
        <v>7.6</v>
      </c>
      <c r="W1960" t="s">
        <v>330</v>
      </c>
      <c r="Y1960" s="42">
        <v>44565</v>
      </c>
    </row>
    <row r="1961" spans="14:25">
      <c r="N1961" s="42">
        <v>44551</v>
      </c>
      <c r="O1961" t="s">
        <v>333</v>
      </c>
      <c r="P1961" s="42">
        <v>44551</v>
      </c>
      <c r="Q1961" t="s">
        <v>333</v>
      </c>
      <c r="R1961" t="s">
        <v>370</v>
      </c>
      <c r="S1961" t="s">
        <v>323</v>
      </c>
      <c r="T1961">
        <v>7.6</v>
      </c>
      <c r="W1961" t="s">
        <v>330</v>
      </c>
      <c r="Y1961" s="42">
        <v>44551</v>
      </c>
    </row>
    <row r="1962" spans="14:25">
      <c r="N1962" s="42">
        <v>44550</v>
      </c>
      <c r="O1962" t="s">
        <v>345</v>
      </c>
      <c r="P1962" s="42">
        <v>44550</v>
      </c>
      <c r="Q1962" t="s">
        <v>345</v>
      </c>
      <c r="R1962" t="s">
        <v>370</v>
      </c>
      <c r="S1962" t="s">
        <v>323</v>
      </c>
      <c r="T1962">
        <v>7.6</v>
      </c>
      <c r="W1962" t="s">
        <v>330</v>
      </c>
      <c r="Y1962" s="42">
        <v>44551</v>
      </c>
    </row>
    <row r="1963" spans="14:25">
      <c r="N1963" s="42">
        <v>44547</v>
      </c>
      <c r="O1963" t="s">
        <v>346</v>
      </c>
      <c r="P1963" s="42">
        <v>44547</v>
      </c>
      <c r="Q1963" t="s">
        <v>346</v>
      </c>
      <c r="R1963" t="s">
        <v>370</v>
      </c>
      <c r="S1963" t="s">
        <v>323</v>
      </c>
      <c r="T1963">
        <v>7.6</v>
      </c>
      <c r="W1963" t="s">
        <v>330</v>
      </c>
      <c r="Y1963" s="42">
        <v>44551</v>
      </c>
    </row>
    <row r="1964" spans="14:25">
      <c r="N1964" s="42">
        <v>44546</v>
      </c>
      <c r="O1964" t="s">
        <v>324</v>
      </c>
      <c r="P1964" s="42">
        <v>44546</v>
      </c>
      <c r="Q1964" t="s">
        <v>324</v>
      </c>
      <c r="R1964" t="s">
        <v>370</v>
      </c>
      <c r="S1964" t="s">
        <v>323</v>
      </c>
      <c r="T1964">
        <v>7.6</v>
      </c>
      <c r="W1964" t="s">
        <v>330</v>
      </c>
      <c r="Y1964" s="42">
        <v>44551</v>
      </c>
    </row>
    <row r="1965" spans="14:25">
      <c r="N1965" s="42">
        <v>44545</v>
      </c>
      <c r="O1965" t="s">
        <v>328</v>
      </c>
      <c r="P1965" s="42">
        <v>44545</v>
      </c>
      <c r="Q1965" t="s">
        <v>328</v>
      </c>
      <c r="R1965" t="s">
        <v>370</v>
      </c>
      <c r="S1965" t="s">
        <v>323</v>
      </c>
      <c r="T1965">
        <v>7.6</v>
      </c>
      <c r="W1965" t="s">
        <v>330</v>
      </c>
      <c r="Y1965" s="42">
        <v>44551</v>
      </c>
    </row>
    <row r="1966" spans="14:25">
      <c r="N1966" s="42">
        <v>44544</v>
      </c>
      <c r="O1966" t="s">
        <v>333</v>
      </c>
      <c r="P1966" s="42">
        <v>44544</v>
      </c>
      <c r="Q1966" t="s">
        <v>333</v>
      </c>
      <c r="R1966" t="s">
        <v>370</v>
      </c>
      <c r="S1966" t="s">
        <v>323</v>
      </c>
      <c r="T1966">
        <v>7.6</v>
      </c>
      <c r="W1966" t="s">
        <v>330</v>
      </c>
      <c r="Y1966" s="42">
        <v>44551</v>
      </c>
    </row>
    <row r="1967" spans="14:25">
      <c r="N1967" s="42">
        <v>44543</v>
      </c>
      <c r="O1967" t="s">
        <v>345</v>
      </c>
      <c r="P1967" s="42">
        <v>44543</v>
      </c>
      <c r="Q1967" t="s">
        <v>345</v>
      </c>
      <c r="R1967" t="s">
        <v>370</v>
      </c>
      <c r="S1967" t="s">
        <v>323</v>
      </c>
      <c r="T1967">
        <v>7.6</v>
      </c>
      <c r="W1967" t="s">
        <v>330</v>
      </c>
      <c r="Y1967" s="42">
        <v>44551</v>
      </c>
    </row>
    <row r="1968" spans="14:25">
      <c r="N1968" s="42">
        <v>44540</v>
      </c>
      <c r="O1968" t="s">
        <v>346</v>
      </c>
      <c r="P1968" s="42">
        <v>44540</v>
      </c>
      <c r="Q1968" t="s">
        <v>346</v>
      </c>
      <c r="R1968" t="s">
        <v>370</v>
      </c>
      <c r="S1968" t="s">
        <v>323</v>
      </c>
      <c r="T1968">
        <v>7.6</v>
      </c>
      <c r="W1968" t="s">
        <v>330</v>
      </c>
      <c r="Y1968" s="42">
        <v>44551</v>
      </c>
    </row>
    <row r="1969" spans="14:25">
      <c r="N1969" s="42">
        <v>44539</v>
      </c>
      <c r="O1969" t="s">
        <v>324</v>
      </c>
      <c r="P1969" s="42">
        <v>44539</v>
      </c>
      <c r="Q1969" t="s">
        <v>324</v>
      </c>
      <c r="R1969" t="s">
        <v>370</v>
      </c>
      <c r="S1969" t="s">
        <v>323</v>
      </c>
      <c r="T1969">
        <v>7.6</v>
      </c>
      <c r="W1969" t="s">
        <v>330</v>
      </c>
      <c r="Y1969" s="42">
        <v>44551</v>
      </c>
    </row>
    <row r="1970" spans="14:25">
      <c r="N1970" s="42">
        <v>44538</v>
      </c>
      <c r="O1970" t="s">
        <v>328</v>
      </c>
      <c r="P1970" s="42">
        <v>44538</v>
      </c>
      <c r="Q1970" t="s">
        <v>328</v>
      </c>
      <c r="R1970" t="s">
        <v>370</v>
      </c>
      <c r="S1970" t="s">
        <v>323</v>
      </c>
      <c r="T1970">
        <v>7.6</v>
      </c>
      <c r="W1970" t="s">
        <v>330</v>
      </c>
      <c r="Y1970" s="42">
        <v>44551</v>
      </c>
    </row>
    <row r="1971" spans="14:25">
      <c r="N1971" s="42">
        <v>44537</v>
      </c>
      <c r="O1971" t="s">
        <v>333</v>
      </c>
      <c r="P1971" s="42">
        <v>44537</v>
      </c>
      <c r="Q1971" t="s">
        <v>333</v>
      </c>
      <c r="R1971" t="s">
        <v>370</v>
      </c>
      <c r="S1971" t="s">
        <v>323</v>
      </c>
      <c r="T1971">
        <v>7.6</v>
      </c>
      <c r="W1971" t="s">
        <v>330</v>
      </c>
      <c r="Y1971" s="42">
        <v>44537</v>
      </c>
    </row>
    <row r="1972" spans="14:25">
      <c r="N1972" s="42">
        <v>44536</v>
      </c>
      <c r="O1972" t="s">
        <v>345</v>
      </c>
      <c r="P1972" s="42">
        <v>44536</v>
      </c>
      <c r="Q1972" t="s">
        <v>345</v>
      </c>
      <c r="R1972" t="s">
        <v>370</v>
      </c>
      <c r="S1972" t="s">
        <v>323</v>
      </c>
      <c r="T1972">
        <v>7.6</v>
      </c>
      <c r="W1972" t="s">
        <v>330</v>
      </c>
      <c r="Y1972" s="42">
        <v>44537</v>
      </c>
    </row>
    <row r="1973" spans="14:25">
      <c r="N1973" s="42">
        <v>44533</v>
      </c>
      <c r="O1973" t="s">
        <v>346</v>
      </c>
      <c r="P1973" s="42">
        <v>44533</v>
      </c>
      <c r="Q1973" t="s">
        <v>346</v>
      </c>
      <c r="R1973" t="s">
        <v>370</v>
      </c>
      <c r="S1973" t="s">
        <v>323</v>
      </c>
      <c r="T1973">
        <v>7.6</v>
      </c>
      <c r="W1973" t="s">
        <v>330</v>
      </c>
      <c r="Y1973" s="42">
        <v>44537</v>
      </c>
    </row>
    <row r="1974" spans="14:25">
      <c r="N1974" s="42">
        <v>44532</v>
      </c>
      <c r="O1974" t="s">
        <v>324</v>
      </c>
      <c r="P1974" s="42">
        <v>44532</v>
      </c>
      <c r="Q1974" t="s">
        <v>324</v>
      </c>
      <c r="R1974" t="s">
        <v>370</v>
      </c>
      <c r="S1974" t="s">
        <v>323</v>
      </c>
      <c r="T1974">
        <v>7.6</v>
      </c>
      <c r="W1974" t="s">
        <v>330</v>
      </c>
      <c r="Y1974" s="42">
        <v>44537</v>
      </c>
    </row>
    <row r="1975" spans="14:25">
      <c r="N1975" s="42">
        <v>44531</v>
      </c>
      <c r="O1975" t="s">
        <v>328</v>
      </c>
      <c r="P1975" s="42">
        <v>44531</v>
      </c>
      <c r="Q1975" t="s">
        <v>328</v>
      </c>
      <c r="R1975" t="s">
        <v>370</v>
      </c>
      <c r="S1975" t="s">
        <v>323</v>
      </c>
      <c r="T1975">
        <v>7.6</v>
      </c>
      <c r="W1975" t="s">
        <v>330</v>
      </c>
      <c r="Y1975" s="42">
        <v>44537</v>
      </c>
    </row>
    <row r="1976" spans="14:25">
      <c r="N1976" s="42">
        <v>44530</v>
      </c>
      <c r="O1976" t="s">
        <v>333</v>
      </c>
      <c r="P1976" s="42">
        <v>44530</v>
      </c>
      <c r="Q1976" t="s">
        <v>333</v>
      </c>
      <c r="R1976" t="s">
        <v>370</v>
      </c>
      <c r="S1976" t="s">
        <v>323</v>
      </c>
      <c r="T1976">
        <v>7.6</v>
      </c>
      <c r="W1976" t="s">
        <v>330</v>
      </c>
      <c r="Y1976" s="42">
        <v>44537</v>
      </c>
    </row>
    <row r="1977" spans="14:25">
      <c r="N1977" s="42">
        <v>44529</v>
      </c>
      <c r="O1977" t="s">
        <v>345</v>
      </c>
      <c r="P1977" s="42">
        <v>44529</v>
      </c>
      <c r="Q1977" t="s">
        <v>345</v>
      </c>
      <c r="R1977" t="s">
        <v>370</v>
      </c>
      <c r="S1977" t="s">
        <v>323</v>
      </c>
      <c r="T1977">
        <v>7.6</v>
      </c>
      <c r="W1977" t="s">
        <v>330</v>
      </c>
      <c r="Y1977" s="42">
        <v>44537</v>
      </c>
    </row>
    <row r="1978" spans="14:25">
      <c r="N1978" s="42">
        <v>44526</v>
      </c>
      <c r="O1978" t="s">
        <v>346</v>
      </c>
      <c r="P1978" s="42">
        <v>44526</v>
      </c>
      <c r="Q1978" t="s">
        <v>346</v>
      </c>
      <c r="R1978" t="s">
        <v>370</v>
      </c>
      <c r="S1978" t="s">
        <v>323</v>
      </c>
      <c r="T1978">
        <v>7.6</v>
      </c>
      <c r="W1978" t="s">
        <v>330</v>
      </c>
      <c r="Y1978" s="42">
        <v>44537</v>
      </c>
    </row>
    <row r="1979" spans="14:25">
      <c r="N1979" s="42">
        <v>44525</v>
      </c>
      <c r="O1979" t="s">
        <v>324</v>
      </c>
      <c r="P1979" s="42">
        <v>44525</v>
      </c>
      <c r="Q1979" t="s">
        <v>324</v>
      </c>
      <c r="R1979" t="s">
        <v>370</v>
      </c>
      <c r="S1979" t="s">
        <v>323</v>
      </c>
      <c r="T1979">
        <v>7.6</v>
      </c>
      <c r="W1979" t="s">
        <v>330</v>
      </c>
      <c r="Y1979" s="42">
        <v>44537</v>
      </c>
    </row>
    <row r="1980" spans="14:25">
      <c r="N1980" s="42">
        <v>44524</v>
      </c>
      <c r="O1980" t="s">
        <v>328</v>
      </c>
      <c r="P1980" s="42">
        <v>44524</v>
      </c>
      <c r="Q1980" t="s">
        <v>328</v>
      </c>
      <c r="R1980" t="s">
        <v>370</v>
      </c>
      <c r="S1980" t="s">
        <v>323</v>
      </c>
      <c r="T1980">
        <v>7.6</v>
      </c>
      <c r="W1980" t="s">
        <v>330</v>
      </c>
      <c r="Y1980" s="42">
        <v>44537</v>
      </c>
    </row>
    <row r="1981" spans="14:25">
      <c r="N1981" s="42">
        <v>44523</v>
      </c>
      <c r="O1981" t="s">
        <v>333</v>
      </c>
      <c r="P1981" s="42">
        <v>44523</v>
      </c>
      <c r="Q1981" t="s">
        <v>333</v>
      </c>
      <c r="R1981" t="s">
        <v>370</v>
      </c>
      <c r="S1981" t="s">
        <v>323</v>
      </c>
      <c r="T1981">
        <v>7.6</v>
      </c>
      <c r="W1981" t="s">
        <v>330</v>
      </c>
      <c r="Y1981" s="42">
        <v>44523</v>
      </c>
    </row>
    <row r="1982" spans="14:25">
      <c r="N1982" s="42">
        <v>44522</v>
      </c>
      <c r="O1982" t="s">
        <v>345</v>
      </c>
      <c r="P1982" s="42">
        <v>44522</v>
      </c>
      <c r="Q1982" t="s">
        <v>345</v>
      </c>
      <c r="R1982" t="s">
        <v>370</v>
      </c>
      <c r="S1982" t="s">
        <v>323</v>
      </c>
      <c r="T1982">
        <v>7.6</v>
      </c>
      <c r="W1982" t="s">
        <v>330</v>
      </c>
      <c r="Y1982" s="42">
        <v>44523</v>
      </c>
    </row>
    <row r="1983" spans="14:25">
      <c r="N1983" s="42">
        <v>44519</v>
      </c>
      <c r="O1983" t="s">
        <v>346</v>
      </c>
      <c r="P1983" s="42">
        <v>44519</v>
      </c>
      <c r="Q1983" t="s">
        <v>346</v>
      </c>
      <c r="R1983" t="s">
        <v>370</v>
      </c>
      <c r="S1983" t="s">
        <v>323</v>
      </c>
      <c r="T1983">
        <v>7.6</v>
      </c>
      <c r="W1983" t="s">
        <v>330</v>
      </c>
      <c r="Y1983" s="42">
        <v>44523</v>
      </c>
    </row>
    <row r="1984" spans="14:25">
      <c r="N1984" s="42">
        <v>44518</v>
      </c>
      <c r="O1984" t="s">
        <v>324</v>
      </c>
      <c r="P1984" s="42">
        <v>44518</v>
      </c>
      <c r="Q1984" t="s">
        <v>324</v>
      </c>
      <c r="R1984" t="s">
        <v>370</v>
      </c>
      <c r="S1984" t="s">
        <v>323</v>
      </c>
      <c r="T1984">
        <v>7.6</v>
      </c>
      <c r="W1984" t="s">
        <v>330</v>
      </c>
      <c r="Y1984" s="42">
        <v>44523</v>
      </c>
    </row>
    <row r="1985" spans="14:25">
      <c r="N1985" s="42">
        <v>44517</v>
      </c>
      <c r="O1985" t="s">
        <v>328</v>
      </c>
      <c r="P1985" s="42">
        <v>44517</v>
      </c>
      <c r="Q1985" t="s">
        <v>328</v>
      </c>
      <c r="R1985" t="s">
        <v>370</v>
      </c>
      <c r="S1985" t="s">
        <v>323</v>
      </c>
      <c r="T1985">
        <v>7.6</v>
      </c>
      <c r="W1985" t="s">
        <v>330</v>
      </c>
      <c r="Y1985" s="42">
        <v>44523</v>
      </c>
    </row>
    <row r="1986" spans="14:25">
      <c r="N1986" s="42">
        <v>44516</v>
      </c>
      <c r="O1986" t="s">
        <v>333</v>
      </c>
      <c r="P1986" s="42">
        <v>44516</v>
      </c>
      <c r="Q1986" t="s">
        <v>333</v>
      </c>
      <c r="R1986" t="s">
        <v>370</v>
      </c>
      <c r="S1986" t="s">
        <v>323</v>
      </c>
      <c r="T1986">
        <v>7.6</v>
      </c>
      <c r="W1986" t="s">
        <v>330</v>
      </c>
      <c r="Y1986" s="42">
        <v>44523</v>
      </c>
    </row>
    <row r="1987" spans="14:25">
      <c r="N1987" s="42">
        <v>44515</v>
      </c>
      <c r="O1987" t="s">
        <v>345</v>
      </c>
      <c r="P1987" s="42">
        <v>44515</v>
      </c>
      <c r="Q1987" t="s">
        <v>345</v>
      </c>
      <c r="R1987" t="s">
        <v>370</v>
      </c>
      <c r="S1987" t="s">
        <v>323</v>
      </c>
      <c r="T1987">
        <v>7.6</v>
      </c>
      <c r="W1987" t="s">
        <v>330</v>
      </c>
      <c r="Y1987" s="42">
        <v>44523</v>
      </c>
    </row>
    <row r="1988" spans="14:25">
      <c r="N1988" s="42">
        <v>44512</v>
      </c>
      <c r="O1988" t="s">
        <v>346</v>
      </c>
      <c r="P1988" s="42">
        <v>44512</v>
      </c>
      <c r="Q1988" t="s">
        <v>346</v>
      </c>
      <c r="R1988" t="s">
        <v>370</v>
      </c>
      <c r="S1988" t="s">
        <v>323</v>
      </c>
      <c r="T1988">
        <v>7.6</v>
      </c>
      <c r="W1988" t="s">
        <v>330</v>
      </c>
      <c r="Y1988" s="42">
        <v>44523</v>
      </c>
    </row>
    <row r="1989" spans="14:25">
      <c r="N1989" s="42">
        <v>44511</v>
      </c>
      <c r="O1989" t="s">
        <v>324</v>
      </c>
      <c r="P1989" s="42">
        <v>44511</v>
      </c>
      <c r="Q1989" t="s">
        <v>324</v>
      </c>
      <c r="R1989" t="s">
        <v>370</v>
      </c>
      <c r="S1989" t="s">
        <v>323</v>
      </c>
      <c r="T1989">
        <v>7.6</v>
      </c>
      <c r="W1989" t="s">
        <v>330</v>
      </c>
      <c r="Y1989" s="42">
        <v>44523</v>
      </c>
    </row>
    <row r="1990" spans="14:25">
      <c r="N1990" s="42">
        <v>44510</v>
      </c>
      <c r="O1990" t="s">
        <v>328</v>
      </c>
      <c r="P1990" s="42">
        <v>44510</v>
      </c>
      <c r="Q1990" t="s">
        <v>328</v>
      </c>
      <c r="R1990" t="s">
        <v>370</v>
      </c>
      <c r="S1990" t="s">
        <v>323</v>
      </c>
      <c r="T1990">
        <v>7.6</v>
      </c>
      <c r="W1990" t="s">
        <v>330</v>
      </c>
      <c r="Y1990" s="42">
        <v>44523</v>
      </c>
    </row>
    <row r="1991" spans="14:25">
      <c r="N1991" s="42">
        <v>44509</v>
      </c>
      <c r="O1991" t="s">
        <v>333</v>
      </c>
      <c r="P1991" s="42">
        <v>44509</v>
      </c>
      <c r="Q1991" t="s">
        <v>333</v>
      </c>
      <c r="R1991" t="s">
        <v>370</v>
      </c>
      <c r="S1991" t="s">
        <v>323</v>
      </c>
      <c r="T1991">
        <v>7.6</v>
      </c>
      <c r="W1991" t="s">
        <v>330</v>
      </c>
      <c r="Y1991" s="42">
        <v>44509</v>
      </c>
    </row>
    <row r="1992" spans="14:25">
      <c r="N1992" s="42">
        <v>44508</v>
      </c>
      <c r="O1992" t="s">
        <v>345</v>
      </c>
      <c r="P1992" s="42">
        <v>44508</v>
      </c>
      <c r="Q1992" t="s">
        <v>345</v>
      </c>
      <c r="R1992" t="s">
        <v>370</v>
      </c>
      <c r="S1992" t="s">
        <v>323</v>
      </c>
      <c r="T1992">
        <v>7.6</v>
      </c>
      <c r="W1992" t="s">
        <v>330</v>
      </c>
      <c r="Y1992" s="42">
        <v>44509</v>
      </c>
    </row>
    <row r="1993" spans="14:25">
      <c r="N1993" s="42">
        <v>44505</v>
      </c>
      <c r="O1993" t="s">
        <v>346</v>
      </c>
      <c r="P1993" s="42">
        <v>44505</v>
      </c>
      <c r="Q1993" t="s">
        <v>346</v>
      </c>
      <c r="R1993" t="s">
        <v>370</v>
      </c>
      <c r="S1993" t="s">
        <v>323</v>
      </c>
      <c r="T1993">
        <v>7.6</v>
      </c>
      <c r="W1993" t="s">
        <v>330</v>
      </c>
      <c r="Y1993" s="42">
        <v>44509</v>
      </c>
    </row>
    <row r="1994" spans="14:25">
      <c r="N1994" s="42">
        <v>44504</v>
      </c>
      <c r="O1994" t="s">
        <v>324</v>
      </c>
      <c r="P1994" s="42">
        <v>44504</v>
      </c>
      <c r="Q1994" t="s">
        <v>324</v>
      </c>
      <c r="R1994" t="s">
        <v>370</v>
      </c>
      <c r="S1994" t="s">
        <v>323</v>
      </c>
      <c r="T1994">
        <v>7.6</v>
      </c>
      <c r="W1994" t="s">
        <v>330</v>
      </c>
      <c r="Y1994" s="42">
        <v>44509</v>
      </c>
    </row>
    <row r="1995" spans="14:25">
      <c r="N1995" s="42">
        <v>44503</v>
      </c>
      <c r="O1995" t="s">
        <v>328</v>
      </c>
      <c r="P1995" s="42">
        <v>44503</v>
      </c>
      <c r="Q1995" t="s">
        <v>328</v>
      </c>
      <c r="R1995" t="s">
        <v>370</v>
      </c>
      <c r="S1995" t="s">
        <v>323</v>
      </c>
      <c r="T1995">
        <v>7.6</v>
      </c>
      <c r="W1995" t="s">
        <v>330</v>
      </c>
      <c r="Y1995" s="42">
        <v>44509</v>
      </c>
    </row>
    <row r="1996" spans="14:25">
      <c r="N1996" s="42">
        <v>44502</v>
      </c>
      <c r="O1996" t="s">
        <v>333</v>
      </c>
      <c r="P1996" s="42">
        <v>44502</v>
      </c>
      <c r="Q1996" t="s">
        <v>333</v>
      </c>
      <c r="R1996" t="s">
        <v>370</v>
      </c>
      <c r="S1996" t="s">
        <v>323</v>
      </c>
      <c r="T1996">
        <v>7.6</v>
      </c>
      <c r="W1996" t="s">
        <v>330</v>
      </c>
      <c r="Y1996" s="42">
        <v>44509</v>
      </c>
    </row>
    <row r="1997" spans="14:25">
      <c r="N1997" s="42">
        <v>44501</v>
      </c>
      <c r="O1997" t="s">
        <v>345</v>
      </c>
      <c r="P1997" s="42">
        <v>44501</v>
      </c>
      <c r="Q1997" t="s">
        <v>345</v>
      </c>
      <c r="R1997" t="s">
        <v>370</v>
      </c>
      <c r="S1997" t="s">
        <v>323</v>
      </c>
      <c r="T1997">
        <v>7.6</v>
      </c>
      <c r="W1997" t="s">
        <v>330</v>
      </c>
      <c r="Y1997" s="42">
        <v>44509</v>
      </c>
    </row>
    <row r="1998" spans="14:25">
      <c r="N1998" s="42">
        <v>44498</v>
      </c>
      <c r="O1998" t="s">
        <v>346</v>
      </c>
      <c r="P1998" s="42">
        <v>44498</v>
      </c>
      <c r="Q1998" t="s">
        <v>346</v>
      </c>
      <c r="R1998" t="s">
        <v>370</v>
      </c>
      <c r="S1998" t="s">
        <v>323</v>
      </c>
      <c r="T1998">
        <v>7.6</v>
      </c>
      <c r="W1998" t="s">
        <v>330</v>
      </c>
      <c r="Y1998" s="42">
        <v>44509</v>
      </c>
    </row>
    <row r="1999" spans="14:25">
      <c r="N1999" s="42">
        <v>44497</v>
      </c>
      <c r="O1999" t="s">
        <v>324</v>
      </c>
      <c r="P1999" s="42">
        <v>44497</v>
      </c>
      <c r="Q1999" t="s">
        <v>324</v>
      </c>
      <c r="R1999" t="s">
        <v>370</v>
      </c>
      <c r="S1999" t="s">
        <v>323</v>
      </c>
      <c r="T1999">
        <v>7.6</v>
      </c>
      <c r="W1999" t="s">
        <v>330</v>
      </c>
      <c r="Y1999" s="42">
        <v>44509</v>
      </c>
    </row>
    <row r="2000" spans="14:25">
      <c r="N2000" s="42">
        <v>44496</v>
      </c>
      <c r="O2000" t="s">
        <v>328</v>
      </c>
      <c r="P2000" s="42">
        <v>44496</v>
      </c>
      <c r="Q2000" t="s">
        <v>328</v>
      </c>
      <c r="R2000" t="s">
        <v>370</v>
      </c>
      <c r="S2000" t="s">
        <v>323</v>
      </c>
      <c r="T2000">
        <v>7.6</v>
      </c>
      <c r="W2000" t="s">
        <v>330</v>
      </c>
      <c r="Y2000" s="42">
        <v>44509</v>
      </c>
    </row>
    <row r="2001" spans="14:25">
      <c r="N2001" s="42">
        <v>44495</v>
      </c>
      <c r="O2001" t="s">
        <v>333</v>
      </c>
      <c r="P2001" s="42">
        <v>44495</v>
      </c>
      <c r="Q2001" t="s">
        <v>333</v>
      </c>
      <c r="R2001" t="s">
        <v>370</v>
      </c>
      <c r="S2001" t="s">
        <v>323</v>
      </c>
      <c r="T2001">
        <v>7.6</v>
      </c>
      <c r="W2001" t="s">
        <v>330</v>
      </c>
      <c r="Y2001" s="42">
        <v>44495</v>
      </c>
    </row>
    <row r="2002" spans="14:25">
      <c r="N2002" s="42">
        <v>44494</v>
      </c>
      <c r="O2002" t="s">
        <v>345</v>
      </c>
      <c r="P2002" s="42">
        <v>44494</v>
      </c>
      <c r="Q2002" t="s">
        <v>345</v>
      </c>
      <c r="R2002" t="s">
        <v>370</v>
      </c>
      <c r="S2002" t="s">
        <v>323</v>
      </c>
      <c r="T2002">
        <v>7.6</v>
      </c>
      <c r="W2002" t="s">
        <v>330</v>
      </c>
      <c r="Y2002" s="42">
        <v>44495</v>
      </c>
    </row>
    <row r="2003" spans="14:25">
      <c r="N2003" s="42">
        <v>44491</v>
      </c>
      <c r="O2003" t="s">
        <v>346</v>
      </c>
      <c r="P2003" s="42">
        <v>44491</v>
      </c>
      <c r="Q2003" t="s">
        <v>346</v>
      </c>
      <c r="R2003" t="s">
        <v>370</v>
      </c>
      <c r="S2003" t="s">
        <v>323</v>
      </c>
      <c r="T2003">
        <v>7.6</v>
      </c>
      <c r="W2003" t="s">
        <v>330</v>
      </c>
      <c r="Y2003" s="42">
        <v>44495</v>
      </c>
    </row>
    <row r="2004" spans="14:25">
      <c r="N2004" s="42">
        <v>44490</v>
      </c>
      <c r="O2004" t="s">
        <v>324</v>
      </c>
      <c r="P2004" s="42">
        <v>44490</v>
      </c>
      <c r="Q2004" t="s">
        <v>324</v>
      </c>
      <c r="R2004" t="s">
        <v>370</v>
      </c>
      <c r="S2004" t="s">
        <v>323</v>
      </c>
      <c r="T2004">
        <v>7.6</v>
      </c>
      <c r="W2004" t="s">
        <v>330</v>
      </c>
      <c r="Y2004" s="42">
        <v>44495</v>
      </c>
    </row>
    <row r="2005" spans="14:25">
      <c r="N2005" s="42">
        <v>44489</v>
      </c>
      <c r="O2005" t="s">
        <v>328</v>
      </c>
      <c r="P2005" s="42">
        <v>44489</v>
      </c>
      <c r="Q2005" t="s">
        <v>328</v>
      </c>
      <c r="R2005" t="s">
        <v>370</v>
      </c>
      <c r="S2005" t="s">
        <v>323</v>
      </c>
      <c r="T2005">
        <v>7.6</v>
      </c>
      <c r="W2005" t="s">
        <v>330</v>
      </c>
      <c r="Y2005" s="42">
        <v>44495</v>
      </c>
    </row>
    <row r="2006" spans="14:25">
      <c r="N2006" s="42">
        <v>44488</v>
      </c>
      <c r="O2006" t="s">
        <v>333</v>
      </c>
      <c r="P2006" s="42">
        <v>44488</v>
      </c>
      <c r="Q2006" t="s">
        <v>333</v>
      </c>
      <c r="R2006" t="s">
        <v>370</v>
      </c>
      <c r="S2006" t="s">
        <v>323</v>
      </c>
      <c r="T2006">
        <v>7.6</v>
      </c>
      <c r="W2006" t="s">
        <v>330</v>
      </c>
      <c r="Y2006" s="42">
        <v>44495</v>
      </c>
    </row>
    <row r="2007" spans="14:25">
      <c r="N2007" s="42">
        <v>44487</v>
      </c>
      <c r="O2007" t="s">
        <v>345</v>
      </c>
      <c r="P2007" s="42">
        <v>44487</v>
      </c>
      <c r="Q2007" t="s">
        <v>345</v>
      </c>
      <c r="R2007" t="s">
        <v>370</v>
      </c>
      <c r="S2007" t="s">
        <v>323</v>
      </c>
      <c r="T2007">
        <v>7.6</v>
      </c>
      <c r="W2007" t="s">
        <v>330</v>
      </c>
      <c r="Y2007" s="42">
        <v>44495</v>
      </c>
    </row>
    <row r="2008" spans="14:25">
      <c r="N2008" s="42">
        <v>44484</v>
      </c>
      <c r="O2008" t="s">
        <v>346</v>
      </c>
      <c r="P2008" s="42">
        <v>44484</v>
      </c>
      <c r="Q2008" t="s">
        <v>346</v>
      </c>
      <c r="R2008" t="s">
        <v>370</v>
      </c>
      <c r="S2008" t="s">
        <v>323</v>
      </c>
      <c r="T2008">
        <v>7.6</v>
      </c>
      <c r="W2008" t="s">
        <v>330</v>
      </c>
      <c r="Y2008" s="42">
        <v>44495</v>
      </c>
    </row>
    <row r="2009" spans="14:25">
      <c r="N2009" s="42">
        <v>44483</v>
      </c>
      <c r="O2009" t="s">
        <v>324</v>
      </c>
      <c r="P2009" s="42">
        <v>44483</v>
      </c>
      <c r="Q2009" t="s">
        <v>324</v>
      </c>
      <c r="R2009" t="s">
        <v>370</v>
      </c>
      <c r="S2009" t="s">
        <v>323</v>
      </c>
      <c r="T2009">
        <v>7.6</v>
      </c>
      <c r="W2009" t="s">
        <v>330</v>
      </c>
      <c r="Y2009" s="42">
        <v>44495</v>
      </c>
    </row>
    <row r="2010" spans="14:25">
      <c r="N2010" s="42">
        <v>44482</v>
      </c>
      <c r="O2010" t="s">
        <v>328</v>
      </c>
      <c r="P2010" s="42">
        <v>44482</v>
      </c>
      <c r="Q2010" t="s">
        <v>328</v>
      </c>
      <c r="R2010" t="s">
        <v>370</v>
      </c>
      <c r="S2010" t="s">
        <v>323</v>
      </c>
      <c r="T2010">
        <v>7.6</v>
      </c>
      <c r="W2010" t="s">
        <v>330</v>
      </c>
      <c r="Y2010" s="42">
        <v>44495</v>
      </c>
    </row>
    <row r="2011" spans="14:25">
      <c r="N2011" s="42">
        <v>44481</v>
      </c>
      <c r="O2011" t="s">
        <v>333</v>
      </c>
      <c r="P2011" s="42">
        <v>44481</v>
      </c>
      <c r="Q2011" t="s">
        <v>333</v>
      </c>
      <c r="R2011" t="s">
        <v>370</v>
      </c>
      <c r="S2011" t="s">
        <v>323</v>
      </c>
      <c r="T2011">
        <v>7.6</v>
      </c>
      <c r="W2011" t="s">
        <v>330</v>
      </c>
      <c r="Y2011" s="42">
        <v>44481</v>
      </c>
    </row>
    <row r="2012" spans="14:25">
      <c r="N2012" s="42">
        <v>44480</v>
      </c>
      <c r="O2012" t="s">
        <v>345</v>
      </c>
      <c r="P2012" s="42">
        <v>44480</v>
      </c>
      <c r="Q2012" t="s">
        <v>345</v>
      </c>
      <c r="R2012" t="s">
        <v>370</v>
      </c>
      <c r="S2012" t="s">
        <v>323</v>
      </c>
      <c r="T2012">
        <v>7.6</v>
      </c>
      <c r="W2012" t="s">
        <v>330</v>
      </c>
      <c r="Y2012" s="42">
        <v>44481</v>
      </c>
    </row>
    <row r="2013" spans="14:25">
      <c r="N2013" s="42">
        <v>44477</v>
      </c>
      <c r="O2013" t="s">
        <v>346</v>
      </c>
      <c r="P2013" s="42">
        <v>44477</v>
      </c>
      <c r="Q2013" t="s">
        <v>346</v>
      </c>
      <c r="R2013" t="s">
        <v>370</v>
      </c>
      <c r="S2013" t="s">
        <v>323</v>
      </c>
      <c r="T2013">
        <v>7.6</v>
      </c>
      <c r="W2013" t="s">
        <v>330</v>
      </c>
      <c r="Y2013" s="42">
        <v>44481</v>
      </c>
    </row>
    <row r="2014" spans="14:25">
      <c r="N2014" s="42">
        <v>44476</v>
      </c>
      <c r="O2014" t="s">
        <v>324</v>
      </c>
      <c r="P2014" s="42">
        <v>44476</v>
      </c>
      <c r="Q2014" t="s">
        <v>324</v>
      </c>
      <c r="R2014" t="s">
        <v>370</v>
      </c>
      <c r="S2014" t="s">
        <v>323</v>
      </c>
      <c r="T2014">
        <v>7.6</v>
      </c>
      <c r="W2014" t="s">
        <v>330</v>
      </c>
      <c r="Y2014" s="42">
        <v>44481</v>
      </c>
    </row>
    <row r="2015" spans="14:25">
      <c r="N2015" s="42">
        <v>44475</v>
      </c>
      <c r="O2015" t="s">
        <v>328</v>
      </c>
      <c r="P2015" s="42">
        <v>44475</v>
      </c>
      <c r="Q2015" t="s">
        <v>328</v>
      </c>
      <c r="R2015" t="s">
        <v>370</v>
      </c>
      <c r="S2015" t="s">
        <v>323</v>
      </c>
      <c r="T2015">
        <v>7.6</v>
      </c>
      <c r="W2015" t="s">
        <v>330</v>
      </c>
      <c r="Y2015" s="42">
        <v>44481</v>
      </c>
    </row>
    <row r="2016" spans="14:25">
      <c r="N2016" s="42">
        <v>44474</v>
      </c>
      <c r="O2016" t="s">
        <v>333</v>
      </c>
      <c r="P2016" s="42">
        <v>44474</v>
      </c>
      <c r="Q2016" t="s">
        <v>333</v>
      </c>
      <c r="R2016" t="s">
        <v>370</v>
      </c>
      <c r="S2016" t="s">
        <v>323</v>
      </c>
      <c r="T2016">
        <v>7.6</v>
      </c>
      <c r="W2016" t="s">
        <v>330</v>
      </c>
      <c r="Y2016" s="42">
        <v>44481</v>
      </c>
    </row>
    <row r="2017" spans="14:25">
      <c r="N2017" s="42">
        <v>44473</v>
      </c>
      <c r="O2017" t="s">
        <v>345</v>
      </c>
      <c r="P2017" s="42">
        <v>44473</v>
      </c>
      <c r="Q2017" t="s">
        <v>345</v>
      </c>
      <c r="R2017" t="s">
        <v>320</v>
      </c>
      <c r="S2017" t="s">
        <v>323</v>
      </c>
      <c r="U2017">
        <v>7.6</v>
      </c>
    </row>
    <row r="2018" spans="14:25">
      <c r="N2018" s="42">
        <v>44470</v>
      </c>
      <c r="O2018" t="s">
        <v>346</v>
      </c>
      <c r="P2018" s="42">
        <v>44470</v>
      </c>
      <c r="Q2018" t="s">
        <v>346</v>
      </c>
      <c r="R2018" t="s">
        <v>370</v>
      </c>
      <c r="S2018" t="s">
        <v>323</v>
      </c>
      <c r="T2018">
        <v>7.6</v>
      </c>
      <c r="W2018" t="s">
        <v>330</v>
      </c>
      <c r="Y2018" s="42">
        <v>44481</v>
      </c>
    </row>
    <row r="2019" spans="14:25">
      <c r="N2019" s="42">
        <v>44469</v>
      </c>
      <c r="O2019" t="s">
        <v>324</v>
      </c>
      <c r="P2019" s="42">
        <v>44469</v>
      </c>
      <c r="Q2019" t="s">
        <v>324</v>
      </c>
      <c r="R2019" t="s">
        <v>370</v>
      </c>
      <c r="S2019" t="s">
        <v>323</v>
      </c>
      <c r="T2019">
        <v>7.6</v>
      </c>
      <c r="W2019" t="s">
        <v>330</v>
      </c>
      <c r="Y2019" s="42">
        <v>44481</v>
      </c>
    </row>
    <row r="2020" spans="14:25">
      <c r="N2020" s="42">
        <v>44468</v>
      </c>
      <c r="O2020" t="s">
        <v>328</v>
      </c>
      <c r="P2020" s="42">
        <v>44468</v>
      </c>
      <c r="Q2020" t="s">
        <v>328</v>
      </c>
      <c r="R2020" t="s">
        <v>370</v>
      </c>
      <c r="S2020" t="s">
        <v>323</v>
      </c>
      <c r="T2020">
        <v>7.6</v>
      </c>
      <c r="W2020" t="s">
        <v>330</v>
      </c>
      <c r="Y2020" s="42">
        <v>44481</v>
      </c>
    </row>
    <row r="2021" spans="14:25">
      <c r="N2021" s="42">
        <v>44467</v>
      </c>
      <c r="O2021" t="s">
        <v>333</v>
      </c>
      <c r="P2021" s="42">
        <v>44467</v>
      </c>
      <c r="Q2021" t="s">
        <v>333</v>
      </c>
      <c r="R2021" t="s">
        <v>370</v>
      </c>
      <c r="S2021" t="s">
        <v>323</v>
      </c>
      <c r="T2021">
        <v>7.6</v>
      </c>
      <c r="W2021" t="s">
        <v>330</v>
      </c>
      <c r="Y2021" s="42">
        <v>44467</v>
      </c>
    </row>
    <row r="2022" spans="14:25">
      <c r="N2022" s="42">
        <v>44466</v>
      </c>
      <c r="O2022" t="s">
        <v>345</v>
      </c>
      <c r="P2022" s="42">
        <v>44466</v>
      </c>
      <c r="Q2022" t="s">
        <v>345</v>
      </c>
      <c r="R2022" t="s">
        <v>370</v>
      </c>
      <c r="S2022" t="s">
        <v>323</v>
      </c>
      <c r="T2022">
        <v>7.6</v>
      </c>
      <c r="W2022" t="s">
        <v>330</v>
      </c>
      <c r="Y2022" s="42">
        <v>44467</v>
      </c>
    </row>
    <row r="2023" spans="14:25">
      <c r="N2023" s="42">
        <v>44463</v>
      </c>
      <c r="O2023" t="s">
        <v>346</v>
      </c>
      <c r="P2023" s="42">
        <v>44463</v>
      </c>
      <c r="Q2023" t="s">
        <v>346</v>
      </c>
      <c r="R2023" t="s">
        <v>370</v>
      </c>
      <c r="S2023" t="s">
        <v>323</v>
      </c>
      <c r="T2023">
        <v>7.6</v>
      </c>
      <c r="W2023" t="s">
        <v>330</v>
      </c>
      <c r="Y2023" s="42">
        <v>44467</v>
      </c>
    </row>
    <row r="2024" spans="14:25">
      <c r="N2024" s="42">
        <v>44462</v>
      </c>
      <c r="O2024" t="s">
        <v>324</v>
      </c>
      <c r="P2024" s="42">
        <v>44462</v>
      </c>
      <c r="Q2024" t="s">
        <v>324</v>
      </c>
      <c r="R2024" t="s">
        <v>370</v>
      </c>
      <c r="S2024" t="s">
        <v>323</v>
      </c>
      <c r="T2024">
        <v>7.6</v>
      </c>
      <c r="W2024" t="s">
        <v>330</v>
      </c>
      <c r="Y2024" s="42">
        <v>44467</v>
      </c>
    </row>
    <row r="2025" spans="14:25">
      <c r="N2025" s="42">
        <v>44461</v>
      </c>
      <c r="O2025" t="s">
        <v>328</v>
      </c>
      <c r="P2025" s="42">
        <v>44461</v>
      </c>
      <c r="Q2025" t="s">
        <v>328</v>
      </c>
      <c r="R2025" t="s">
        <v>370</v>
      </c>
      <c r="S2025" t="s">
        <v>323</v>
      </c>
      <c r="T2025">
        <v>7.6</v>
      </c>
      <c r="W2025" t="s">
        <v>330</v>
      </c>
      <c r="Y2025" s="42">
        <v>44467</v>
      </c>
    </row>
    <row r="2026" spans="14:25">
      <c r="N2026" s="42">
        <v>44460</v>
      </c>
      <c r="O2026" t="s">
        <v>333</v>
      </c>
      <c r="P2026" s="42">
        <v>44460</v>
      </c>
      <c r="Q2026" t="s">
        <v>333</v>
      </c>
      <c r="R2026" t="s">
        <v>370</v>
      </c>
      <c r="S2026" t="s">
        <v>323</v>
      </c>
      <c r="T2026">
        <v>7.6</v>
      </c>
      <c r="W2026" t="s">
        <v>330</v>
      </c>
      <c r="Y2026" s="42">
        <v>44467</v>
      </c>
    </row>
    <row r="2027" spans="14:25">
      <c r="N2027" s="42">
        <v>44459</v>
      </c>
      <c r="O2027" t="s">
        <v>345</v>
      </c>
      <c r="P2027" s="42">
        <v>44459</v>
      </c>
      <c r="Q2027" t="s">
        <v>345</v>
      </c>
      <c r="R2027" t="s">
        <v>370</v>
      </c>
      <c r="S2027" t="s">
        <v>323</v>
      </c>
      <c r="T2027">
        <v>7.6</v>
      </c>
      <c r="W2027" t="s">
        <v>330</v>
      </c>
      <c r="Y2027" s="42">
        <v>44467</v>
      </c>
    </row>
    <row r="2028" spans="14:25">
      <c r="N2028" s="42">
        <v>44456</v>
      </c>
      <c r="O2028" t="s">
        <v>346</v>
      </c>
      <c r="P2028" s="42">
        <v>44456</v>
      </c>
      <c r="Q2028" t="s">
        <v>346</v>
      </c>
      <c r="R2028" t="s">
        <v>370</v>
      </c>
      <c r="S2028" t="s">
        <v>323</v>
      </c>
      <c r="T2028">
        <v>7.6</v>
      </c>
      <c r="W2028" t="s">
        <v>330</v>
      </c>
      <c r="Y2028" s="42">
        <v>44467</v>
      </c>
    </row>
    <row r="2029" spans="14:25">
      <c r="N2029" s="42">
        <v>44455</v>
      </c>
      <c r="O2029" t="s">
        <v>324</v>
      </c>
      <c r="P2029" s="42">
        <v>44455</v>
      </c>
      <c r="Q2029" t="s">
        <v>324</v>
      </c>
      <c r="R2029" t="s">
        <v>370</v>
      </c>
      <c r="S2029" t="s">
        <v>323</v>
      </c>
      <c r="T2029">
        <v>7.6</v>
      </c>
      <c r="W2029" t="s">
        <v>330</v>
      </c>
      <c r="Y2029" s="42">
        <v>44467</v>
      </c>
    </row>
    <row r="2030" spans="14:25">
      <c r="N2030" s="42">
        <v>44454</v>
      </c>
      <c r="O2030" t="s">
        <v>328</v>
      </c>
      <c r="P2030" s="42">
        <v>44454</v>
      </c>
      <c r="Q2030" t="s">
        <v>328</v>
      </c>
      <c r="R2030" t="s">
        <v>370</v>
      </c>
      <c r="S2030" t="s">
        <v>323</v>
      </c>
      <c r="T2030">
        <v>7.6</v>
      </c>
      <c r="W2030" t="s">
        <v>330</v>
      </c>
      <c r="Y2030" s="42">
        <v>44467</v>
      </c>
    </row>
    <row r="2031" spans="14:25">
      <c r="N2031" s="42">
        <v>44453</v>
      </c>
      <c r="O2031" t="s">
        <v>333</v>
      </c>
      <c r="P2031" s="42">
        <v>44453</v>
      </c>
      <c r="Q2031" t="s">
        <v>333</v>
      </c>
      <c r="R2031" t="s">
        <v>370</v>
      </c>
      <c r="S2031" t="s">
        <v>323</v>
      </c>
      <c r="T2031">
        <v>7.6</v>
      </c>
      <c r="W2031" t="s">
        <v>330</v>
      </c>
      <c r="Y2031" s="42">
        <v>44453</v>
      </c>
    </row>
    <row r="2032" spans="14:25">
      <c r="N2032" s="42">
        <v>44452</v>
      </c>
      <c r="O2032" t="s">
        <v>345</v>
      </c>
      <c r="P2032" s="42">
        <v>44452</v>
      </c>
      <c r="Q2032" t="s">
        <v>345</v>
      </c>
      <c r="R2032" t="s">
        <v>370</v>
      </c>
      <c r="S2032" t="s">
        <v>323</v>
      </c>
      <c r="T2032">
        <v>7.6</v>
      </c>
      <c r="W2032" t="s">
        <v>330</v>
      </c>
      <c r="Y2032" s="42">
        <v>44453</v>
      </c>
    </row>
    <row r="2033" spans="14:25">
      <c r="N2033" s="42">
        <v>44449</v>
      </c>
      <c r="O2033" t="s">
        <v>346</v>
      </c>
      <c r="P2033" s="42">
        <v>44449</v>
      </c>
      <c r="Q2033" t="s">
        <v>346</v>
      </c>
      <c r="R2033" t="s">
        <v>370</v>
      </c>
      <c r="S2033" t="s">
        <v>323</v>
      </c>
      <c r="T2033">
        <v>7.6</v>
      </c>
      <c r="W2033" t="s">
        <v>330</v>
      </c>
      <c r="Y2033" s="42">
        <v>44453</v>
      </c>
    </row>
    <row r="2034" spans="14:25">
      <c r="N2034" s="42">
        <v>44448</v>
      </c>
      <c r="O2034" t="s">
        <v>324</v>
      </c>
      <c r="P2034" s="42">
        <v>44448</v>
      </c>
      <c r="Q2034" t="s">
        <v>324</v>
      </c>
      <c r="R2034" t="s">
        <v>370</v>
      </c>
      <c r="S2034" t="s">
        <v>323</v>
      </c>
      <c r="T2034">
        <v>7.6</v>
      </c>
      <c r="W2034" t="s">
        <v>330</v>
      </c>
      <c r="Y2034" s="42">
        <v>44453</v>
      </c>
    </row>
    <row r="2035" spans="14:25">
      <c r="N2035" s="42">
        <v>44447</v>
      </c>
      <c r="O2035" t="s">
        <v>328</v>
      </c>
      <c r="P2035" s="42">
        <v>44447</v>
      </c>
      <c r="Q2035" t="s">
        <v>328</v>
      </c>
      <c r="R2035" t="s">
        <v>370</v>
      </c>
      <c r="S2035" t="s">
        <v>323</v>
      </c>
      <c r="T2035">
        <v>7.6</v>
      </c>
      <c r="W2035" t="s">
        <v>330</v>
      </c>
      <c r="Y2035" s="42">
        <v>44453</v>
      </c>
    </row>
    <row r="2036" spans="14:25">
      <c r="N2036" s="42">
        <v>44446</v>
      </c>
      <c r="O2036" t="s">
        <v>333</v>
      </c>
      <c r="P2036" s="42">
        <v>44446</v>
      </c>
      <c r="Q2036" t="s">
        <v>333</v>
      </c>
      <c r="R2036" t="s">
        <v>370</v>
      </c>
      <c r="S2036" t="s">
        <v>323</v>
      </c>
      <c r="T2036">
        <v>7.6</v>
      </c>
      <c r="W2036" t="s">
        <v>330</v>
      </c>
      <c r="Y2036" s="42">
        <v>44453</v>
      </c>
    </row>
    <row r="2037" spans="14:25">
      <c r="N2037" s="42">
        <v>44445</v>
      </c>
      <c r="O2037" t="s">
        <v>345</v>
      </c>
      <c r="P2037" s="42">
        <v>44445</v>
      </c>
      <c r="Q2037" t="s">
        <v>345</v>
      </c>
      <c r="R2037" t="s">
        <v>370</v>
      </c>
      <c r="S2037" t="s">
        <v>323</v>
      </c>
      <c r="T2037">
        <v>7.6</v>
      </c>
      <c r="W2037" t="s">
        <v>330</v>
      </c>
      <c r="Y2037" s="42">
        <v>44453</v>
      </c>
    </row>
    <row r="2038" spans="14:25">
      <c r="N2038" s="42">
        <v>44442</v>
      </c>
      <c r="O2038" t="s">
        <v>346</v>
      </c>
      <c r="P2038" s="42">
        <v>44442</v>
      </c>
      <c r="Q2038" t="s">
        <v>346</v>
      </c>
      <c r="R2038" t="s">
        <v>370</v>
      </c>
      <c r="S2038" t="s">
        <v>323</v>
      </c>
      <c r="T2038">
        <v>7.6</v>
      </c>
      <c r="W2038" t="s">
        <v>330</v>
      </c>
      <c r="Y2038" s="42">
        <v>44453</v>
      </c>
    </row>
    <row r="2039" spans="14:25">
      <c r="N2039" s="42">
        <v>44441</v>
      </c>
      <c r="O2039" t="s">
        <v>324</v>
      </c>
      <c r="P2039" s="42">
        <v>44441</v>
      </c>
      <c r="Q2039" t="s">
        <v>324</v>
      </c>
      <c r="R2039" t="s">
        <v>370</v>
      </c>
      <c r="S2039" t="s">
        <v>323</v>
      </c>
      <c r="T2039">
        <v>7.6</v>
      </c>
      <c r="W2039" t="s">
        <v>330</v>
      </c>
      <c r="Y2039" s="42">
        <v>44453</v>
      </c>
    </row>
    <row r="2040" spans="14:25">
      <c r="N2040" s="42">
        <v>44440</v>
      </c>
      <c r="O2040" t="s">
        <v>328</v>
      </c>
      <c r="P2040" s="42">
        <v>44440</v>
      </c>
      <c r="Q2040" t="s">
        <v>328</v>
      </c>
      <c r="R2040" t="s">
        <v>370</v>
      </c>
      <c r="S2040" t="s">
        <v>323</v>
      </c>
      <c r="T2040">
        <v>7.6</v>
      </c>
      <c r="W2040" t="s">
        <v>330</v>
      </c>
      <c r="Y2040" s="42">
        <v>44453</v>
      </c>
    </row>
    <row r="2041" spans="14:25">
      <c r="N2041" s="42">
        <v>44439</v>
      </c>
      <c r="O2041" t="s">
        <v>333</v>
      </c>
      <c r="P2041" s="42">
        <v>44439</v>
      </c>
      <c r="Q2041" t="s">
        <v>333</v>
      </c>
      <c r="R2041" t="s">
        <v>370</v>
      </c>
      <c r="S2041" t="s">
        <v>323</v>
      </c>
      <c r="T2041">
        <v>7.6</v>
      </c>
      <c r="W2041" t="s">
        <v>330</v>
      </c>
      <c r="Y2041" s="42">
        <v>44439</v>
      </c>
    </row>
    <row r="2042" spans="14:25">
      <c r="N2042" s="42">
        <v>44438</v>
      </c>
      <c r="O2042" t="s">
        <v>345</v>
      </c>
      <c r="P2042" s="42">
        <v>44438</v>
      </c>
      <c r="Q2042" t="s">
        <v>345</v>
      </c>
      <c r="R2042" t="s">
        <v>370</v>
      </c>
      <c r="S2042" t="s">
        <v>323</v>
      </c>
      <c r="T2042">
        <v>7.6</v>
      </c>
      <c r="W2042" t="s">
        <v>330</v>
      </c>
      <c r="Y2042" s="42">
        <v>44439</v>
      </c>
    </row>
    <row r="2043" spans="14:25">
      <c r="N2043" s="42">
        <v>44435</v>
      </c>
      <c r="O2043" t="s">
        <v>346</v>
      </c>
      <c r="P2043" s="42">
        <v>44435</v>
      </c>
      <c r="Q2043" t="s">
        <v>346</v>
      </c>
      <c r="R2043" t="s">
        <v>370</v>
      </c>
      <c r="S2043" t="s">
        <v>323</v>
      </c>
      <c r="T2043">
        <v>7.6</v>
      </c>
      <c r="W2043" t="s">
        <v>330</v>
      </c>
      <c r="Y2043" s="42">
        <v>44439</v>
      </c>
    </row>
    <row r="2044" spans="14:25">
      <c r="N2044" s="42">
        <v>44434</v>
      </c>
      <c r="O2044" t="s">
        <v>324</v>
      </c>
      <c r="P2044" s="42">
        <v>44434</v>
      </c>
      <c r="Q2044" t="s">
        <v>324</v>
      </c>
      <c r="R2044" t="s">
        <v>370</v>
      </c>
      <c r="S2044" t="s">
        <v>323</v>
      </c>
      <c r="T2044">
        <v>7.6</v>
      </c>
      <c r="W2044" t="s">
        <v>330</v>
      </c>
      <c r="Y2044" s="42">
        <v>44439</v>
      </c>
    </row>
    <row r="2045" spans="14:25">
      <c r="N2045" s="42">
        <v>44433</v>
      </c>
      <c r="O2045" t="s">
        <v>328</v>
      </c>
      <c r="P2045" s="42">
        <v>44433</v>
      </c>
      <c r="Q2045" t="s">
        <v>328</v>
      </c>
      <c r="R2045" t="s">
        <v>370</v>
      </c>
      <c r="S2045" t="s">
        <v>323</v>
      </c>
      <c r="T2045">
        <v>7.6</v>
      </c>
      <c r="W2045" t="s">
        <v>330</v>
      </c>
      <c r="Y2045" s="42">
        <v>44439</v>
      </c>
    </row>
    <row r="2046" spans="14:25">
      <c r="N2046" s="42">
        <v>44432</v>
      </c>
      <c r="O2046" t="s">
        <v>333</v>
      </c>
      <c r="P2046" s="42">
        <v>44432</v>
      </c>
      <c r="Q2046" t="s">
        <v>333</v>
      </c>
      <c r="R2046" t="s">
        <v>370</v>
      </c>
      <c r="S2046" t="s">
        <v>323</v>
      </c>
      <c r="T2046">
        <v>7.6</v>
      </c>
      <c r="W2046" t="s">
        <v>330</v>
      </c>
      <c r="Y2046" s="42">
        <v>44439</v>
      </c>
    </row>
    <row r="2047" spans="14:25">
      <c r="N2047" s="42">
        <v>44431</v>
      </c>
      <c r="O2047" t="s">
        <v>345</v>
      </c>
      <c r="P2047" s="42">
        <v>44431</v>
      </c>
      <c r="Q2047" t="s">
        <v>345</v>
      </c>
      <c r="R2047" t="s">
        <v>370</v>
      </c>
      <c r="S2047" t="s">
        <v>323</v>
      </c>
      <c r="T2047">
        <v>7.6</v>
      </c>
      <c r="W2047" t="s">
        <v>330</v>
      </c>
      <c r="Y2047" s="42">
        <v>44439</v>
      </c>
    </row>
    <row r="2048" spans="14:25">
      <c r="N2048" s="42">
        <v>44428</v>
      </c>
      <c r="O2048" t="s">
        <v>346</v>
      </c>
      <c r="P2048" s="42">
        <v>44428</v>
      </c>
      <c r="Q2048" t="s">
        <v>346</v>
      </c>
      <c r="R2048" t="s">
        <v>370</v>
      </c>
      <c r="S2048" t="s">
        <v>323</v>
      </c>
      <c r="T2048">
        <v>7.6</v>
      </c>
      <c r="W2048" t="s">
        <v>330</v>
      </c>
      <c r="Y2048" s="42">
        <v>44439</v>
      </c>
    </row>
    <row r="2049" spans="14:25">
      <c r="N2049" s="42">
        <v>44427</v>
      </c>
      <c r="O2049" t="s">
        <v>324</v>
      </c>
      <c r="P2049" s="42">
        <v>44427</v>
      </c>
      <c r="Q2049" t="s">
        <v>324</v>
      </c>
      <c r="R2049" t="s">
        <v>370</v>
      </c>
      <c r="S2049" t="s">
        <v>323</v>
      </c>
      <c r="T2049">
        <v>7.6</v>
      </c>
      <c r="W2049" t="s">
        <v>330</v>
      </c>
      <c r="Y2049" s="42">
        <v>44439</v>
      </c>
    </row>
    <row r="2050" spans="14:25">
      <c r="N2050" s="42">
        <v>44426</v>
      </c>
      <c r="O2050" t="s">
        <v>328</v>
      </c>
      <c r="P2050" s="42">
        <v>44426</v>
      </c>
      <c r="Q2050" t="s">
        <v>328</v>
      </c>
      <c r="R2050" t="s">
        <v>370</v>
      </c>
      <c r="S2050" t="s">
        <v>323</v>
      </c>
      <c r="T2050">
        <v>7.6</v>
      </c>
      <c r="W2050" t="s">
        <v>330</v>
      </c>
      <c r="Y2050" s="42">
        <v>44439</v>
      </c>
    </row>
    <row r="2051" spans="14:25">
      <c r="N2051" s="42">
        <v>44425</v>
      </c>
      <c r="O2051" t="s">
        <v>333</v>
      </c>
      <c r="P2051" s="42">
        <v>44425</v>
      </c>
      <c r="Q2051" t="s">
        <v>333</v>
      </c>
      <c r="R2051" t="s">
        <v>370</v>
      </c>
      <c r="S2051" t="s">
        <v>323</v>
      </c>
      <c r="T2051">
        <v>7.6</v>
      </c>
      <c r="W2051" t="s">
        <v>330</v>
      </c>
      <c r="Y2051" s="42">
        <v>44425</v>
      </c>
    </row>
    <row r="2052" spans="14:25">
      <c r="N2052" s="42">
        <v>44424</v>
      </c>
      <c r="O2052" t="s">
        <v>345</v>
      </c>
      <c r="P2052" s="42">
        <v>44424</v>
      </c>
      <c r="Q2052" t="s">
        <v>345</v>
      </c>
      <c r="R2052" t="s">
        <v>370</v>
      </c>
      <c r="S2052" t="s">
        <v>323</v>
      </c>
      <c r="T2052">
        <v>7.6</v>
      </c>
      <c r="W2052" t="s">
        <v>330</v>
      </c>
      <c r="Y2052" s="42">
        <v>44425</v>
      </c>
    </row>
    <row r="2053" spans="14:25">
      <c r="N2053" s="42">
        <v>44421</v>
      </c>
      <c r="O2053" t="s">
        <v>346</v>
      </c>
      <c r="P2053" s="42">
        <v>44421</v>
      </c>
      <c r="Q2053" t="s">
        <v>346</v>
      </c>
      <c r="R2053" t="s">
        <v>370</v>
      </c>
      <c r="S2053" t="s">
        <v>323</v>
      </c>
      <c r="T2053">
        <v>7.6</v>
      </c>
      <c r="W2053" t="s">
        <v>330</v>
      </c>
      <c r="Y2053" s="42">
        <v>44425</v>
      </c>
    </row>
    <row r="2054" spans="14:25">
      <c r="N2054" s="42">
        <v>44420</v>
      </c>
      <c r="O2054" t="s">
        <v>324</v>
      </c>
      <c r="P2054" s="42">
        <v>44420</v>
      </c>
      <c r="Q2054" t="s">
        <v>324</v>
      </c>
      <c r="R2054" t="s">
        <v>370</v>
      </c>
      <c r="S2054" t="s">
        <v>323</v>
      </c>
      <c r="T2054">
        <v>7.6</v>
      </c>
      <c r="W2054" t="s">
        <v>330</v>
      </c>
      <c r="Y2054" s="42">
        <v>44425</v>
      </c>
    </row>
    <row r="2055" spans="14:25">
      <c r="N2055" s="42">
        <v>44419</v>
      </c>
      <c r="O2055" t="s">
        <v>328</v>
      </c>
      <c r="P2055" s="42">
        <v>44419</v>
      </c>
      <c r="Q2055" t="s">
        <v>328</v>
      </c>
      <c r="R2055" t="s">
        <v>370</v>
      </c>
      <c r="S2055" t="s">
        <v>323</v>
      </c>
      <c r="T2055">
        <v>7.6</v>
      </c>
      <c r="W2055" t="s">
        <v>330</v>
      </c>
      <c r="Y2055" s="42">
        <v>44425</v>
      </c>
    </row>
    <row r="2056" spans="14:25">
      <c r="N2056" s="42">
        <v>44418</v>
      </c>
      <c r="O2056" t="s">
        <v>333</v>
      </c>
      <c r="P2056" s="42">
        <v>44418</v>
      </c>
      <c r="Q2056" t="s">
        <v>333</v>
      </c>
      <c r="R2056" t="s">
        <v>370</v>
      </c>
      <c r="S2056" t="s">
        <v>323</v>
      </c>
      <c r="T2056">
        <v>7.6</v>
      </c>
      <c r="W2056" t="s">
        <v>330</v>
      </c>
      <c r="Y2056" s="42">
        <v>44425</v>
      </c>
    </row>
    <row r="2057" spans="14:25">
      <c r="N2057" s="42">
        <v>44417</v>
      </c>
      <c r="O2057" t="s">
        <v>345</v>
      </c>
      <c r="P2057" s="42">
        <v>44417</v>
      </c>
      <c r="Q2057" t="s">
        <v>345</v>
      </c>
      <c r="R2057" t="s">
        <v>370</v>
      </c>
      <c r="S2057" t="s">
        <v>323</v>
      </c>
      <c r="T2057">
        <v>7.6</v>
      </c>
      <c r="W2057" t="s">
        <v>330</v>
      </c>
      <c r="Y2057" s="42">
        <v>44425</v>
      </c>
    </row>
    <row r="2058" spans="14:25">
      <c r="N2058" s="42">
        <v>44414</v>
      </c>
      <c r="O2058" t="s">
        <v>346</v>
      </c>
      <c r="P2058" s="42">
        <v>44414</v>
      </c>
      <c r="Q2058" t="s">
        <v>346</v>
      </c>
      <c r="R2058" t="s">
        <v>370</v>
      </c>
      <c r="S2058" t="s">
        <v>323</v>
      </c>
      <c r="T2058">
        <v>7.6</v>
      </c>
      <c r="W2058" t="s">
        <v>330</v>
      </c>
      <c r="Y2058" s="42">
        <v>44425</v>
      </c>
    </row>
    <row r="2059" spans="14:25">
      <c r="N2059" s="42">
        <v>44413</v>
      </c>
      <c r="O2059" t="s">
        <v>324</v>
      </c>
      <c r="P2059" s="42">
        <v>44413</v>
      </c>
      <c r="Q2059" t="s">
        <v>324</v>
      </c>
      <c r="R2059" t="s">
        <v>370</v>
      </c>
      <c r="S2059" t="s">
        <v>323</v>
      </c>
      <c r="T2059">
        <v>7.6</v>
      </c>
      <c r="W2059" t="s">
        <v>330</v>
      </c>
      <c r="Y2059" s="42">
        <v>44425</v>
      </c>
    </row>
    <row r="2060" spans="14:25">
      <c r="N2060" s="42">
        <v>44412</v>
      </c>
      <c r="O2060" t="s">
        <v>328</v>
      </c>
      <c r="P2060" s="42">
        <v>44412</v>
      </c>
      <c r="Q2060" t="s">
        <v>328</v>
      </c>
      <c r="R2060" t="s">
        <v>370</v>
      </c>
      <c r="S2060" t="s">
        <v>323</v>
      </c>
      <c r="T2060">
        <v>7.6</v>
      </c>
      <c r="W2060" t="s">
        <v>330</v>
      </c>
      <c r="Y2060" s="42">
        <v>44425</v>
      </c>
    </row>
    <row r="2061" spans="14:25">
      <c r="N2061" s="42">
        <v>44411</v>
      </c>
      <c r="O2061" t="s">
        <v>333</v>
      </c>
      <c r="P2061" s="42">
        <v>44411</v>
      </c>
      <c r="Q2061" t="s">
        <v>333</v>
      </c>
      <c r="R2061" t="s">
        <v>370</v>
      </c>
      <c r="S2061" t="s">
        <v>323</v>
      </c>
      <c r="T2061">
        <v>7.6</v>
      </c>
      <c r="W2061" t="s">
        <v>330</v>
      </c>
      <c r="Y2061" s="42">
        <v>44411</v>
      </c>
    </row>
    <row r="2062" spans="14:25">
      <c r="N2062" s="42">
        <v>44410</v>
      </c>
      <c r="O2062" t="s">
        <v>345</v>
      </c>
      <c r="P2062" s="42">
        <v>44410</v>
      </c>
      <c r="Q2062" t="s">
        <v>345</v>
      </c>
      <c r="R2062" t="s">
        <v>370</v>
      </c>
      <c r="S2062" t="s">
        <v>323</v>
      </c>
      <c r="T2062">
        <v>7.6</v>
      </c>
      <c r="W2062" t="s">
        <v>330</v>
      </c>
      <c r="Y2062" s="42">
        <v>44411</v>
      </c>
    </row>
    <row r="2063" spans="14:25">
      <c r="N2063" s="42">
        <v>44407</v>
      </c>
      <c r="O2063" t="s">
        <v>346</v>
      </c>
      <c r="P2063" s="42">
        <v>44407</v>
      </c>
      <c r="Q2063" t="s">
        <v>346</v>
      </c>
      <c r="R2063" t="s">
        <v>370</v>
      </c>
      <c r="S2063" t="s">
        <v>323</v>
      </c>
      <c r="T2063">
        <v>7.6</v>
      </c>
      <c r="W2063" t="s">
        <v>330</v>
      </c>
      <c r="Y2063" s="42">
        <v>44411</v>
      </c>
    </row>
    <row r="2064" spans="14:25">
      <c r="N2064" s="42">
        <v>44406</v>
      </c>
      <c r="O2064" t="s">
        <v>324</v>
      </c>
      <c r="P2064" s="42">
        <v>44406</v>
      </c>
      <c r="Q2064" t="s">
        <v>324</v>
      </c>
      <c r="R2064" t="s">
        <v>370</v>
      </c>
      <c r="S2064" t="s">
        <v>323</v>
      </c>
      <c r="T2064">
        <v>7.6</v>
      </c>
      <c r="W2064" t="s">
        <v>330</v>
      </c>
      <c r="Y2064" s="42">
        <v>44411</v>
      </c>
    </row>
    <row r="2065" spans="14:25">
      <c r="N2065" s="42">
        <v>44405</v>
      </c>
      <c r="O2065" t="s">
        <v>328</v>
      </c>
      <c r="P2065" s="42">
        <v>44405</v>
      </c>
      <c r="Q2065" t="s">
        <v>328</v>
      </c>
      <c r="R2065" t="s">
        <v>370</v>
      </c>
      <c r="S2065" t="s">
        <v>323</v>
      </c>
      <c r="T2065">
        <v>7.6</v>
      </c>
      <c r="W2065" t="s">
        <v>330</v>
      </c>
      <c r="Y2065" s="42">
        <v>44411</v>
      </c>
    </row>
    <row r="2066" spans="14:25">
      <c r="N2066" s="42">
        <v>44404</v>
      </c>
      <c r="O2066" t="s">
        <v>333</v>
      </c>
      <c r="P2066" s="42">
        <v>44404</v>
      </c>
      <c r="Q2066" t="s">
        <v>333</v>
      </c>
      <c r="R2066" t="s">
        <v>370</v>
      </c>
      <c r="S2066" t="s">
        <v>323</v>
      </c>
      <c r="T2066">
        <v>7.6</v>
      </c>
      <c r="W2066" t="s">
        <v>330</v>
      </c>
      <c r="Y2066" s="42">
        <v>44411</v>
      </c>
    </row>
    <row r="2067" spans="14:25">
      <c r="N2067" s="42">
        <v>44403</v>
      </c>
      <c r="O2067" t="s">
        <v>345</v>
      </c>
      <c r="P2067" s="42">
        <v>44403</v>
      </c>
      <c r="Q2067" t="s">
        <v>345</v>
      </c>
      <c r="R2067" t="s">
        <v>370</v>
      </c>
      <c r="S2067" t="s">
        <v>323</v>
      </c>
      <c r="T2067">
        <v>7.6</v>
      </c>
      <c r="W2067" t="s">
        <v>330</v>
      </c>
      <c r="Y2067" s="42">
        <v>44411</v>
      </c>
    </row>
    <row r="2068" spans="14:25">
      <c r="N2068" s="42">
        <v>44400</v>
      </c>
      <c r="O2068" t="s">
        <v>346</v>
      </c>
      <c r="P2068" s="42">
        <v>44400</v>
      </c>
      <c r="Q2068" t="s">
        <v>346</v>
      </c>
      <c r="R2068" t="s">
        <v>370</v>
      </c>
      <c r="S2068" t="s">
        <v>323</v>
      </c>
      <c r="T2068">
        <v>7.6</v>
      </c>
      <c r="W2068" t="s">
        <v>330</v>
      </c>
      <c r="Y2068" s="42">
        <v>44411</v>
      </c>
    </row>
    <row r="2069" spans="14:25">
      <c r="N2069" s="42">
        <v>44399</v>
      </c>
      <c r="O2069" t="s">
        <v>324</v>
      </c>
      <c r="P2069" s="42">
        <v>44399</v>
      </c>
      <c r="Q2069" t="s">
        <v>324</v>
      </c>
      <c r="R2069" t="s">
        <v>370</v>
      </c>
      <c r="S2069" t="s">
        <v>323</v>
      </c>
      <c r="T2069">
        <v>7.6</v>
      </c>
      <c r="W2069" t="s">
        <v>330</v>
      </c>
      <c r="Y2069" s="42">
        <v>44411</v>
      </c>
    </row>
    <row r="2070" spans="14:25">
      <c r="N2070" s="42">
        <v>44398</v>
      </c>
      <c r="O2070" t="s">
        <v>328</v>
      </c>
      <c r="P2070" s="42">
        <v>44398</v>
      </c>
      <c r="Q2070" t="s">
        <v>328</v>
      </c>
      <c r="R2070" t="s">
        <v>370</v>
      </c>
      <c r="S2070" t="s">
        <v>323</v>
      </c>
      <c r="T2070">
        <v>7.6</v>
      </c>
      <c r="W2070" t="s">
        <v>330</v>
      </c>
      <c r="Y2070" s="42">
        <v>44411</v>
      </c>
    </row>
    <row r="2071" spans="14:25">
      <c r="N2071" s="42">
        <v>44397</v>
      </c>
      <c r="O2071" t="s">
        <v>333</v>
      </c>
      <c r="P2071" s="42">
        <v>44397</v>
      </c>
      <c r="Q2071" t="s">
        <v>333</v>
      </c>
      <c r="R2071" t="s">
        <v>370</v>
      </c>
      <c r="S2071" t="s">
        <v>323</v>
      </c>
      <c r="T2071">
        <v>7.6</v>
      </c>
      <c r="W2071" t="s">
        <v>330</v>
      </c>
      <c r="Y2071" s="42">
        <v>44397</v>
      </c>
    </row>
    <row r="2072" spans="14:25">
      <c r="N2072" s="42">
        <v>44396</v>
      </c>
      <c r="O2072" t="s">
        <v>345</v>
      </c>
      <c r="P2072" s="42">
        <v>44396</v>
      </c>
      <c r="Q2072" t="s">
        <v>345</v>
      </c>
      <c r="R2072" t="s">
        <v>370</v>
      </c>
      <c r="S2072" t="s">
        <v>323</v>
      </c>
      <c r="T2072">
        <v>7.6</v>
      </c>
      <c r="W2072" t="s">
        <v>330</v>
      </c>
      <c r="Y2072" s="42">
        <v>44397</v>
      </c>
    </row>
    <row r="2073" spans="14:25">
      <c r="N2073" s="42">
        <v>44393</v>
      </c>
      <c r="O2073" t="s">
        <v>346</v>
      </c>
      <c r="P2073" s="42">
        <v>44393</v>
      </c>
      <c r="Q2073" t="s">
        <v>346</v>
      </c>
      <c r="R2073" t="s">
        <v>320</v>
      </c>
      <c r="S2073" t="s">
        <v>323</v>
      </c>
      <c r="T2073">
        <v>7.6</v>
      </c>
      <c r="Y2073" s="42">
        <v>44397</v>
      </c>
    </row>
    <row r="2074" spans="14:25">
      <c r="N2074" s="42">
        <v>44392</v>
      </c>
      <c r="O2074" t="s">
        <v>324</v>
      </c>
      <c r="P2074" s="42">
        <v>44392</v>
      </c>
      <c r="Q2074" t="s">
        <v>324</v>
      </c>
      <c r="R2074" t="s">
        <v>320</v>
      </c>
      <c r="S2074" t="s">
        <v>323</v>
      </c>
      <c r="T2074">
        <v>7.6</v>
      </c>
      <c r="Y2074" s="42">
        <v>44397</v>
      </c>
    </row>
    <row r="2075" spans="14:25">
      <c r="N2075" s="42">
        <v>44391</v>
      </c>
      <c r="O2075" t="s">
        <v>328</v>
      </c>
      <c r="P2075" s="42">
        <v>44391</v>
      </c>
      <c r="Q2075" t="s">
        <v>328</v>
      </c>
      <c r="R2075" t="s">
        <v>320</v>
      </c>
      <c r="S2075" t="s">
        <v>323</v>
      </c>
      <c r="T2075">
        <v>7.6</v>
      </c>
      <c r="Y2075" s="42">
        <v>44397</v>
      </c>
    </row>
    <row r="2076" spans="14:25">
      <c r="N2076" s="42">
        <v>44390</v>
      </c>
      <c r="O2076" t="s">
        <v>333</v>
      </c>
      <c r="P2076" s="42">
        <v>44390</v>
      </c>
      <c r="Q2076" t="s">
        <v>333</v>
      </c>
      <c r="R2076" t="s">
        <v>320</v>
      </c>
      <c r="S2076" t="s">
        <v>323</v>
      </c>
      <c r="T2076">
        <v>7.6</v>
      </c>
      <c r="Y2076" s="42">
        <v>44397</v>
      </c>
    </row>
    <row r="2077" spans="14:25">
      <c r="N2077" s="42">
        <v>44389</v>
      </c>
      <c r="O2077" t="s">
        <v>345</v>
      </c>
      <c r="P2077" s="42">
        <v>44389</v>
      </c>
      <c r="Q2077" t="s">
        <v>345</v>
      </c>
      <c r="R2077" t="s">
        <v>320</v>
      </c>
      <c r="S2077" t="s">
        <v>323</v>
      </c>
      <c r="T2077">
        <v>7.6</v>
      </c>
      <c r="Y2077" s="42">
        <v>44397</v>
      </c>
    </row>
    <row r="2078" spans="14:25">
      <c r="N2078" s="42">
        <v>44386</v>
      </c>
      <c r="O2078" t="s">
        <v>346</v>
      </c>
      <c r="P2078" s="42">
        <v>44386</v>
      </c>
      <c r="Q2078" t="s">
        <v>346</v>
      </c>
      <c r="R2078" t="s">
        <v>320</v>
      </c>
      <c r="S2078" t="s">
        <v>323</v>
      </c>
      <c r="T2078">
        <v>7.6</v>
      </c>
      <c r="Y2078" s="42">
        <v>44397</v>
      </c>
    </row>
    <row r="2079" spans="14:25">
      <c r="N2079" s="42">
        <v>44385</v>
      </c>
      <c r="O2079" t="s">
        <v>324</v>
      </c>
      <c r="P2079" s="42">
        <v>44385</v>
      </c>
      <c r="Q2079" t="s">
        <v>324</v>
      </c>
      <c r="R2079" t="s">
        <v>320</v>
      </c>
      <c r="S2079" t="s">
        <v>323</v>
      </c>
      <c r="T2079">
        <v>7.6</v>
      </c>
      <c r="Y2079" s="42">
        <v>44397</v>
      </c>
    </row>
    <row r="2080" spans="14:25">
      <c r="N2080" s="42">
        <v>44384</v>
      </c>
      <c r="O2080" t="s">
        <v>328</v>
      </c>
      <c r="P2080" s="42">
        <v>44384</v>
      </c>
      <c r="Q2080" t="s">
        <v>328</v>
      </c>
      <c r="R2080" t="s">
        <v>320</v>
      </c>
      <c r="S2080" t="s">
        <v>323</v>
      </c>
      <c r="T2080">
        <v>7.6</v>
      </c>
      <c r="Y2080" s="42">
        <v>44397</v>
      </c>
    </row>
    <row r="2081" spans="14:25">
      <c r="N2081" s="42">
        <v>44383</v>
      </c>
      <c r="O2081" t="s">
        <v>333</v>
      </c>
      <c r="P2081" s="42">
        <v>44383</v>
      </c>
      <c r="Q2081" t="s">
        <v>333</v>
      </c>
      <c r="R2081" t="s">
        <v>320</v>
      </c>
      <c r="S2081" t="s">
        <v>323</v>
      </c>
      <c r="T2081">
        <v>7.6</v>
      </c>
      <c r="Y2081" s="42">
        <v>44383</v>
      </c>
    </row>
    <row r="2082" spans="14:25">
      <c r="N2082" s="42">
        <v>44382</v>
      </c>
      <c r="O2082" t="s">
        <v>345</v>
      </c>
      <c r="P2082" s="42">
        <v>44382</v>
      </c>
      <c r="Q2082" t="s">
        <v>345</v>
      </c>
      <c r="R2082" t="s">
        <v>320</v>
      </c>
      <c r="S2082" t="s">
        <v>323</v>
      </c>
      <c r="T2082">
        <v>7.6</v>
      </c>
      <c r="Y2082" s="42">
        <v>44383</v>
      </c>
    </row>
    <row r="2083" spans="14:25">
      <c r="N2083" s="42">
        <v>44372</v>
      </c>
      <c r="O2083" t="s">
        <v>346</v>
      </c>
      <c r="P2083" s="42">
        <v>44372</v>
      </c>
      <c r="Q2083" t="s">
        <v>346</v>
      </c>
      <c r="R2083" t="s">
        <v>329</v>
      </c>
      <c r="S2083" t="s">
        <v>323</v>
      </c>
      <c r="T2083">
        <v>3</v>
      </c>
      <c r="W2083" t="s">
        <v>330</v>
      </c>
      <c r="Y2083" s="42">
        <v>44383</v>
      </c>
    </row>
    <row r="2084" spans="14:25">
      <c r="N2084" s="42">
        <v>44361</v>
      </c>
      <c r="O2084" t="s">
        <v>345</v>
      </c>
      <c r="P2084" s="42">
        <v>44361</v>
      </c>
      <c r="Q2084" t="s">
        <v>345</v>
      </c>
      <c r="R2084" t="s">
        <v>320</v>
      </c>
      <c r="S2084" t="s">
        <v>323</v>
      </c>
      <c r="U2084">
        <v>7.6</v>
      </c>
    </row>
    <row r="2085" spans="14:25">
      <c r="N2085" s="42">
        <v>44356</v>
      </c>
      <c r="O2085" t="s">
        <v>328</v>
      </c>
      <c r="P2085" s="42">
        <v>44356</v>
      </c>
      <c r="Q2085" t="s">
        <v>328</v>
      </c>
      <c r="R2085" t="s">
        <v>329</v>
      </c>
      <c r="S2085" t="s">
        <v>323</v>
      </c>
      <c r="T2085">
        <v>7.6</v>
      </c>
      <c r="W2085" t="s">
        <v>330</v>
      </c>
      <c r="Y2085" s="42">
        <v>44369</v>
      </c>
    </row>
    <row r="2086" spans="14:25">
      <c r="N2086" s="42">
        <v>44337</v>
      </c>
      <c r="O2086" t="s">
        <v>346</v>
      </c>
      <c r="P2086" s="42">
        <v>44337</v>
      </c>
      <c r="Q2086" t="s">
        <v>346</v>
      </c>
      <c r="R2086" t="s">
        <v>338</v>
      </c>
      <c r="S2086" t="s">
        <v>323</v>
      </c>
      <c r="T2086">
        <v>7.6</v>
      </c>
      <c r="W2086" t="s">
        <v>330</v>
      </c>
      <c r="Y2086" s="42">
        <v>44341</v>
      </c>
    </row>
    <row r="2087" spans="14:25">
      <c r="N2087" s="42">
        <v>44336</v>
      </c>
      <c r="O2087" t="s">
        <v>324</v>
      </c>
      <c r="P2087" s="42">
        <v>44336</v>
      </c>
      <c r="Q2087" t="s">
        <v>324</v>
      </c>
      <c r="R2087" t="s">
        <v>338</v>
      </c>
      <c r="S2087" t="s">
        <v>323</v>
      </c>
      <c r="T2087">
        <v>7.6</v>
      </c>
      <c r="W2087" t="s">
        <v>330</v>
      </c>
      <c r="Y2087" s="42">
        <v>44341</v>
      </c>
    </row>
    <row r="2088" spans="14:25">
      <c r="N2088" s="42">
        <v>44335</v>
      </c>
      <c r="O2088" t="s">
        <v>328</v>
      </c>
      <c r="P2088" s="42">
        <v>44335</v>
      </c>
      <c r="Q2088" t="s">
        <v>328</v>
      </c>
      <c r="R2088" t="s">
        <v>338</v>
      </c>
      <c r="S2088" t="s">
        <v>323</v>
      </c>
      <c r="T2088">
        <v>7.6</v>
      </c>
      <c r="W2088" t="s">
        <v>330</v>
      </c>
      <c r="Y2088" s="42">
        <v>44341</v>
      </c>
    </row>
    <row r="2089" spans="14:25">
      <c r="N2089" s="42">
        <v>44334</v>
      </c>
      <c r="O2089" t="s">
        <v>333</v>
      </c>
      <c r="P2089" s="42">
        <v>44334</v>
      </c>
      <c r="Q2089" t="s">
        <v>333</v>
      </c>
      <c r="R2089" t="s">
        <v>338</v>
      </c>
      <c r="S2089" t="s">
        <v>323</v>
      </c>
      <c r="T2089">
        <v>7.6</v>
      </c>
      <c r="W2089" t="s">
        <v>330</v>
      </c>
      <c r="Y2089" s="42">
        <v>44341</v>
      </c>
    </row>
    <row r="2090" spans="14:25">
      <c r="N2090" s="42">
        <v>44333</v>
      </c>
      <c r="O2090" t="s">
        <v>345</v>
      </c>
      <c r="P2090" s="42">
        <v>44333</v>
      </c>
      <c r="Q2090" t="s">
        <v>345</v>
      </c>
      <c r="R2090" t="s">
        <v>338</v>
      </c>
      <c r="S2090" t="s">
        <v>323</v>
      </c>
      <c r="T2090">
        <v>2</v>
      </c>
      <c r="W2090" t="s">
        <v>330</v>
      </c>
      <c r="Y2090" s="42">
        <v>44341</v>
      </c>
    </row>
    <row r="2091" spans="14:25">
      <c r="N2091" s="42">
        <v>44322</v>
      </c>
      <c r="O2091" t="s">
        <v>324</v>
      </c>
      <c r="P2091" s="42">
        <v>44322</v>
      </c>
      <c r="Q2091" t="s">
        <v>324</v>
      </c>
      <c r="R2091" t="s">
        <v>320</v>
      </c>
      <c r="S2091" t="s">
        <v>323</v>
      </c>
      <c r="T2091">
        <v>7.6</v>
      </c>
      <c r="Y2091" s="42">
        <v>44327</v>
      </c>
    </row>
    <row r="2092" spans="14:25">
      <c r="N2092" s="42">
        <v>44306</v>
      </c>
      <c r="O2092" t="s">
        <v>333</v>
      </c>
      <c r="P2092" s="42">
        <v>44306</v>
      </c>
      <c r="Q2092" t="s">
        <v>333</v>
      </c>
      <c r="R2092" t="s">
        <v>329</v>
      </c>
      <c r="S2092" t="s">
        <v>323</v>
      </c>
      <c r="T2092">
        <v>7.6</v>
      </c>
      <c r="W2092" t="s">
        <v>330</v>
      </c>
      <c r="Y2092" s="42">
        <v>44313</v>
      </c>
    </row>
    <row r="2093" spans="14:25">
      <c r="N2093" s="42">
        <v>44302</v>
      </c>
      <c r="O2093" t="s">
        <v>346</v>
      </c>
      <c r="P2093" s="42">
        <v>44302</v>
      </c>
      <c r="Q2093" t="s">
        <v>346</v>
      </c>
      <c r="R2093" t="s">
        <v>320</v>
      </c>
      <c r="S2093" t="s">
        <v>323</v>
      </c>
      <c r="T2093">
        <v>7.6</v>
      </c>
      <c r="Y2093" s="42">
        <v>44313</v>
      </c>
    </row>
    <row r="2094" spans="14:25">
      <c r="N2094" s="42">
        <v>44295</v>
      </c>
      <c r="O2094" t="s">
        <v>346</v>
      </c>
      <c r="P2094" s="42">
        <v>44295</v>
      </c>
      <c r="Q2094" t="s">
        <v>346</v>
      </c>
      <c r="R2094" t="s">
        <v>320</v>
      </c>
      <c r="S2094" t="s">
        <v>323</v>
      </c>
      <c r="T2094">
        <v>7.6</v>
      </c>
      <c r="Y2094" s="42">
        <v>44299</v>
      </c>
    </row>
    <row r="2095" spans="14:25">
      <c r="N2095" s="42">
        <v>44294</v>
      </c>
      <c r="O2095" t="s">
        <v>324</v>
      </c>
      <c r="P2095" s="42">
        <v>44294</v>
      </c>
      <c r="Q2095" t="s">
        <v>324</v>
      </c>
      <c r="R2095" t="s">
        <v>320</v>
      </c>
      <c r="S2095" t="s">
        <v>323</v>
      </c>
      <c r="T2095">
        <v>7.6</v>
      </c>
      <c r="Y2095" s="42">
        <v>44299</v>
      </c>
    </row>
    <row r="2096" spans="14:25">
      <c r="N2096" s="42">
        <v>44293</v>
      </c>
      <c r="O2096" t="s">
        <v>328</v>
      </c>
      <c r="P2096" s="42">
        <v>44293</v>
      </c>
      <c r="Q2096" t="s">
        <v>328</v>
      </c>
      <c r="R2096" t="s">
        <v>320</v>
      </c>
      <c r="S2096" t="s">
        <v>323</v>
      </c>
      <c r="T2096">
        <v>7.6</v>
      </c>
      <c r="Y2096" s="42">
        <v>44299</v>
      </c>
    </row>
    <row r="2097" spans="14:25">
      <c r="N2097" s="42">
        <v>44292</v>
      </c>
      <c r="O2097" t="s">
        <v>333</v>
      </c>
      <c r="P2097" s="42">
        <v>44292</v>
      </c>
      <c r="Q2097" t="s">
        <v>333</v>
      </c>
      <c r="R2097" t="s">
        <v>320</v>
      </c>
      <c r="S2097" t="s">
        <v>323</v>
      </c>
      <c r="T2097">
        <v>7.6</v>
      </c>
      <c r="Y2097" s="42">
        <v>44299</v>
      </c>
    </row>
    <row r="2098" spans="14:25">
      <c r="N2098" s="42">
        <v>44291</v>
      </c>
      <c r="O2098" t="s">
        <v>345</v>
      </c>
      <c r="P2098" s="42">
        <v>44291</v>
      </c>
      <c r="Q2098" t="s">
        <v>345</v>
      </c>
      <c r="R2098" t="s">
        <v>320</v>
      </c>
      <c r="S2098" t="s">
        <v>323</v>
      </c>
      <c r="U2098">
        <v>7.6</v>
      </c>
    </row>
    <row r="2099" spans="14:25">
      <c r="N2099" s="42">
        <v>44288</v>
      </c>
      <c r="O2099" t="s">
        <v>346</v>
      </c>
      <c r="P2099" s="42">
        <v>44288</v>
      </c>
      <c r="Q2099" t="s">
        <v>346</v>
      </c>
      <c r="R2099" t="s">
        <v>320</v>
      </c>
      <c r="S2099" t="s">
        <v>323</v>
      </c>
      <c r="U2099">
        <v>7.6</v>
      </c>
    </row>
    <row r="2100" spans="14:25">
      <c r="N2100" s="42">
        <v>44271</v>
      </c>
      <c r="O2100" t="s">
        <v>333</v>
      </c>
      <c r="P2100" s="42">
        <v>44271</v>
      </c>
      <c r="Q2100" t="s">
        <v>333</v>
      </c>
      <c r="R2100" t="s">
        <v>329</v>
      </c>
      <c r="S2100" t="s">
        <v>323</v>
      </c>
      <c r="T2100">
        <v>7</v>
      </c>
      <c r="W2100" t="s">
        <v>330</v>
      </c>
      <c r="Y2100" s="42">
        <v>44271</v>
      </c>
    </row>
    <row r="2101" spans="14:25">
      <c r="N2101" s="42">
        <v>44264</v>
      </c>
      <c r="O2101" t="s">
        <v>333</v>
      </c>
      <c r="P2101" s="42">
        <v>44264</v>
      </c>
      <c r="Q2101" t="s">
        <v>333</v>
      </c>
      <c r="R2101" t="s">
        <v>329</v>
      </c>
      <c r="S2101" t="s">
        <v>323</v>
      </c>
      <c r="T2101">
        <v>7.6</v>
      </c>
      <c r="W2101" t="s">
        <v>330</v>
      </c>
      <c r="Y2101" s="42">
        <v>44271</v>
      </c>
    </row>
    <row r="2102" spans="14:25">
      <c r="N2102" s="42">
        <v>44258</v>
      </c>
      <c r="O2102" t="s">
        <v>328</v>
      </c>
      <c r="P2102" s="42">
        <v>44258</v>
      </c>
      <c r="Q2102" t="s">
        <v>328</v>
      </c>
      <c r="R2102" t="s">
        <v>329</v>
      </c>
      <c r="S2102" t="s">
        <v>323</v>
      </c>
      <c r="T2102">
        <v>7.6</v>
      </c>
      <c r="W2102" t="s">
        <v>330</v>
      </c>
      <c r="Y2102" s="42">
        <v>44271</v>
      </c>
    </row>
    <row r="2103" spans="14:25">
      <c r="N2103" s="42">
        <v>44231</v>
      </c>
      <c r="O2103" t="s">
        <v>324</v>
      </c>
      <c r="P2103" s="42">
        <v>44231</v>
      </c>
      <c r="Q2103" t="s">
        <v>324</v>
      </c>
      <c r="R2103" t="s">
        <v>329</v>
      </c>
      <c r="S2103" t="s">
        <v>323</v>
      </c>
      <c r="T2103">
        <v>7.6</v>
      </c>
      <c r="W2103" t="s">
        <v>330</v>
      </c>
      <c r="Y2103" s="42">
        <v>44243</v>
      </c>
    </row>
    <row r="2104" spans="14:25">
      <c r="N2104" s="42">
        <v>44222</v>
      </c>
      <c r="O2104" t="s">
        <v>333</v>
      </c>
      <c r="P2104" s="42">
        <v>44222</v>
      </c>
      <c r="Q2104" t="s">
        <v>333</v>
      </c>
      <c r="R2104" t="s">
        <v>320</v>
      </c>
      <c r="S2104" t="s">
        <v>323</v>
      </c>
      <c r="U2104">
        <v>7.6</v>
      </c>
    </row>
    <row r="2105" spans="14:25">
      <c r="N2105" s="42">
        <v>44200</v>
      </c>
      <c r="O2105" t="s">
        <v>345</v>
      </c>
      <c r="P2105" s="42">
        <v>44200</v>
      </c>
      <c r="Q2105" t="s">
        <v>345</v>
      </c>
      <c r="R2105" t="s">
        <v>320</v>
      </c>
      <c r="S2105" t="s">
        <v>323</v>
      </c>
      <c r="T2105">
        <v>7.6</v>
      </c>
      <c r="Y2105" s="42">
        <v>44201</v>
      </c>
    </row>
    <row r="2106" spans="14:25">
      <c r="N2106" s="42">
        <v>44197</v>
      </c>
      <c r="O2106" t="s">
        <v>346</v>
      </c>
      <c r="P2106" s="42">
        <v>44197</v>
      </c>
      <c r="Q2106" t="s">
        <v>346</v>
      </c>
      <c r="R2106" t="s">
        <v>320</v>
      </c>
      <c r="S2106" t="s">
        <v>323</v>
      </c>
      <c r="U2106">
        <v>7.6</v>
      </c>
    </row>
    <row r="2107" spans="14:25">
      <c r="N2107" s="42">
        <v>44196</v>
      </c>
      <c r="O2107" t="s">
        <v>324</v>
      </c>
      <c r="P2107" s="42">
        <v>44196</v>
      </c>
      <c r="Q2107" t="s">
        <v>324</v>
      </c>
      <c r="R2107" t="s">
        <v>320</v>
      </c>
      <c r="S2107" t="s">
        <v>323</v>
      </c>
      <c r="T2107">
        <v>7.6</v>
      </c>
      <c r="Y2107" s="42">
        <v>44201</v>
      </c>
    </row>
    <row r="2108" spans="14:25">
      <c r="N2108" s="42">
        <v>44195</v>
      </c>
      <c r="O2108" t="s">
        <v>328</v>
      </c>
      <c r="P2108" s="42">
        <v>44195</v>
      </c>
      <c r="Q2108" t="s">
        <v>328</v>
      </c>
      <c r="R2108" t="s">
        <v>320</v>
      </c>
      <c r="S2108" t="s">
        <v>323</v>
      </c>
      <c r="T2108">
        <v>7.6</v>
      </c>
      <c r="Y2108" s="42">
        <v>44201</v>
      </c>
    </row>
    <row r="2109" spans="14:25">
      <c r="N2109" s="42">
        <v>44194</v>
      </c>
      <c r="O2109" t="s">
        <v>333</v>
      </c>
      <c r="P2109" s="42">
        <v>44194</v>
      </c>
      <c r="Q2109" t="s">
        <v>333</v>
      </c>
      <c r="R2109" t="s">
        <v>320</v>
      </c>
      <c r="S2109" t="s">
        <v>323</v>
      </c>
      <c r="T2109">
        <v>7.6</v>
      </c>
      <c r="Y2109" s="42">
        <v>44201</v>
      </c>
    </row>
    <row r="2110" spans="14:25">
      <c r="N2110" s="42">
        <v>44193</v>
      </c>
      <c r="O2110" t="s">
        <v>345</v>
      </c>
      <c r="P2110" s="42">
        <v>44193</v>
      </c>
      <c r="Q2110" t="s">
        <v>345</v>
      </c>
      <c r="R2110" t="s">
        <v>320</v>
      </c>
      <c r="S2110" t="s">
        <v>323</v>
      </c>
      <c r="U2110">
        <v>7.6</v>
      </c>
    </row>
    <row r="2111" spans="14:25">
      <c r="N2111" s="42">
        <v>44190</v>
      </c>
      <c r="O2111" t="s">
        <v>346</v>
      </c>
      <c r="P2111" s="42">
        <v>44190</v>
      </c>
      <c r="Q2111" t="s">
        <v>346</v>
      </c>
      <c r="R2111" t="s">
        <v>320</v>
      </c>
      <c r="S2111" t="s">
        <v>323</v>
      </c>
      <c r="U2111">
        <v>7.6</v>
      </c>
    </row>
    <row r="2112" spans="14:25">
      <c r="N2112" s="42">
        <v>44189</v>
      </c>
      <c r="O2112" t="s">
        <v>324</v>
      </c>
      <c r="P2112" s="42">
        <v>44189</v>
      </c>
      <c r="Q2112" t="s">
        <v>324</v>
      </c>
      <c r="R2112" t="s">
        <v>320</v>
      </c>
      <c r="S2112" t="s">
        <v>323</v>
      </c>
      <c r="T2112">
        <v>7.6</v>
      </c>
      <c r="Y2112" s="42">
        <v>44201</v>
      </c>
    </row>
    <row r="2113" spans="14:25">
      <c r="N2113" s="42">
        <v>44188</v>
      </c>
      <c r="O2113" t="s">
        <v>328</v>
      </c>
      <c r="P2113" s="42">
        <v>44188</v>
      </c>
      <c r="Q2113" t="s">
        <v>328</v>
      </c>
      <c r="R2113" t="s">
        <v>320</v>
      </c>
      <c r="S2113" t="s">
        <v>323</v>
      </c>
      <c r="T2113">
        <v>7.6</v>
      </c>
      <c r="Y2113" s="42">
        <v>44201</v>
      </c>
    </row>
    <row r="2114" spans="14:25">
      <c r="N2114" s="42">
        <v>44187</v>
      </c>
      <c r="O2114" t="s">
        <v>333</v>
      </c>
      <c r="P2114" s="42">
        <v>44187</v>
      </c>
      <c r="Q2114" t="s">
        <v>333</v>
      </c>
      <c r="R2114" t="s">
        <v>320</v>
      </c>
      <c r="S2114" t="s">
        <v>323</v>
      </c>
      <c r="T2114">
        <v>7.6</v>
      </c>
      <c r="Y2114" s="42">
        <v>44187</v>
      </c>
    </row>
    <row r="2115" spans="14:25">
      <c r="N2115" s="42">
        <v>44186</v>
      </c>
      <c r="O2115" t="s">
        <v>345</v>
      </c>
      <c r="P2115" s="42">
        <v>44186</v>
      </c>
      <c r="Q2115" t="s">
        <v>345</v>
      </c>
      <c r="R2115" t="s">
        <v>320</v>
      </c>
      <c r="S2115" t="s">
        <v>323</v>
      </c>
      <c r="T2115">
        <v>7.6</v>
      </c>
      <c r="Y2115" s="42">
        <v>44187</v>
      </c>
    </row>
    <row r="2116" spans="14:25">
      <c r="N2116" s="42">
        <v>44127</v>
      </c>
      <c r="O2116" t="s">
        <v>346</v>
      </c>
      <c r="P2116" s="42">
        <v>44127</v>
      </c>
      <c r="Q2116" t="s">
        <v>346</v>
      </c>
      <c r="R2116" t="s">
        <v>320</v>
      </c>
      <c r="S2116" t="s">
        <v>323</v>
      </c>
      <c r="T2116">
        <v>7.6</v>
      </c>
      <c r="Y2116" s="42">
        <v>44131</v>
      </c>
    </row>
    <row r="2117" spans="14:25">
      <c r="N2117" s="42">
        <v>44126</v>
      </c>
      <c r="O2117" t="s">
        <v>324</v>
      </c>
      <c r="P2117" s="42">
        <v>44126</v>
      </c>
      <c r="Q2117" t="s">
        <v>324</v>
      </c>
      <c r="R2117" t="s">
        <v>320</v>
      </c>
      <c r="S2117" t="s">
        <v>323</v>
      </c>
      <c r="T2117">
        <v>7.6</v>
      </c>
      <c r="Y2117" s="42">
        <v>44131</v>
      </c>
    </row>
    <row r="2118" spans="14:25">
      <c r="N2118" s="42">
        <v>44125</v>
      </c>
      <c r="O2118" t="s">
        <v>328</v>
      </c>
      <c r="P2118" s="42">
        <v>44125</v>
      </c>
      <c r="Q2118" t="s">
        <v>328</v>
      </c>
      <c r="R2118" t="s">
        <v>320</v>
      </c>
      <c r="S2118" t="s">
        <v>323</v>
      </c>
      <c r="T2118">
        <v>7.6</v>
      </c>
      <c r="Y2118" s="42">
        <v>44131</v>
      </c>
    </row>
    <row r="2119" spans="14:25">
      <c r="N2119" s="42">
        <v>44124</v>
      </c>
      <c r="O2119" t="s">
        <v>333</v>
      </c>
      <c r="P2119" s="42">
        <v>44124</v>
      </c>
      <c r="Q2119" t="s">
        <v>333</v>
      </c>
      <c r="R2119" t="s">
        <v>320</v>
      </c>
      <c r="S2119" t="s">
        <v>323</v>
      </c>
      <c r="T2119">
        <v>7.6</v>
      </c>
      <c r="Y2119" s="42">
        <v>44131</v>
      </c>
    </row>
    <row r="2120" spans="14:25">
      <c r="N2120" s="42">
        <v>44123</v>
      </c>
      <c r="O2120" t="s">
        <v>345</v>
      </c>
      <c r="P2120" s="42">
        <v>44123</v>
      </c>
      <c r="Q2120" t="s">
        <v>345</v>
      </c>
      <c r="R2120" t="s">
        <v>320</v>
      </c>
      <c r="S2120" t="s">
        <v>323</v>
      </c>
      <c r="T2120">
        <v>7.6</v>
      </c>
      <c r="Y2120" s="42">
        <v>44131</v>
      </c>
    </row>
    <row r="2121" spans="14:25">
      <c r="N2121" s="42">
        <v>44120</v>
      </c>
      <c r="O2121" t="s">
        <v>346</v>
      </c>
      <c r="P2121" s="42">
        <v>44120</v>
      </c>
      <c r="Q2121" t="s">
        <v>346</v>
      </c>
      <c r="R2121" t="s">
        <v>320</v>
      </c>
      <c r="S2121" t="s">
        <v>323</v>
      </c>
      <c r="T2121">
        <v>7.6</v>
      </c>
      <c r="Y2121" s="42">
        <v>44131</v>
      </c>
    </row>
    <row r="2122" spans="14:25">
      <c r="N2122" s="42">
        <v>44119</v>
      </c>
      <c r="O2122" t="s">
        <v>324</v>
      </c>
      <c r="P2122" s="42">
        <v>44119</v>
      </c>
      <c r="Q2122" t="s">
        <v>324</v>
      </c>
      <c r="R2122" t="s">
        <v>329</v>
      </c>
      <c r="S2122" t="s">
        <v>323</v>
      </c>
      <c r="T2122">
        <v>5</v>
      </c>
      <c r="W2122" t="s">
        <v>330</v>
      </c>
      <c r="Y2122" s="42">
        <v>44131</v>
      </c>
    </row>
    <row r="2123" spans="14:25">
      <c r="N2123" s="42">
        <v>44118</v>
      </c>
      <c r="O2123" t="s">
        <v>328</v>
      </c>
      <c r="P2123" s="42">
        <v>44118</v>
      </c>
      <c r="Q2123" t="s">
        <v>328</v>
      </c>
      <c r="R2123" t="s">
        <v>329</v>
      </c>
      <c r="S2123" t="s">
        <v>323</v>
      </c>
      <c r="T2123">
        <v>7.6</v>
      </c>
      <c r="W2123" t="s">
        <v>330</v>
      </c>
      <c r="Y2123" s="42">
        <v>44131</v>
      </c>
    </row>
    <row r="2124" spans="14:25">
      <c r="N2124" s="42">
        <v>44117</v>
      </c>
      <c r="O2124" t="s">
        <v>333</v>
      </c>
      <c r="P2124" s="42">
        <v>44117</v>
      </c>
      <c r="Q2124" t="s">
        <v>333</v>
      </c>
      <c r="R2124" t="s">
        <v>329</v>
      </c>
      <c r="S2124" t="s">
        <v>323</v>
      </c>
      <c r="T2124">
        <v>7.6</v>
      </c>
      <c r="W2124" t="s">
        <v>330</v>
      </c>
      <c r="Y2124" s="42">
        <v>44117</v>
      </c>
    </row>
    <row r="2125" spans="14:25">
      <c r="N2125" s="42">
        <v>44116</v>
      </c>
      <c r="O2125" t="s">
        <v>345</v>
      </c>
      <c r="P2125" s="42">
        <v>44116</v>
      </c>
      <c r="Q2125" t="s">
        <v>345</v>
      </c>
      <c r="R2125" t="s">
        <v>329</v>
      </c>
      <c r="S2125" t="s">
        <v>323</v>
      </c>
      <c r="T2125">
        <v>7.6</v>
      </c>
      <c r="W2125" t="s">
        <v>330</v>
      </c>
      <c r="Y2125" s="42">
        <v>44117</v>
      </c>
    </row>
    <row r="2126" spans="14:25">
      <c r="N2126" s="42">
        <v>44112</v>
      </c>
      <c r="O2126" t="s">
        <v>324</v>
      </c>
      <c r="P2126" s="42">
        <v>44112</v>
      </c>
      <c r="Q2126" t="s">
        <v>324</v>
      </c>
      <c r="R2126" t="s">
        <v>329</v>
      </c>
      <c r="S2126" t="s">
        <v>323</v>
      </c>
      <c r="T2126">
        <v>3</v>
      </c>
      <c r="W2126" t="s">
        <v>330</v>
      </c>
      <c r="Y2126" s="42">
        <v>44117</v>
      </c>
    </row>
    <row r="2127" spans="14:25">
      <c r="N2127" s="42">
        <v>44109</v>
      </c>
      <c r="O2127" t="s">
        <v>345</v>
      </c>
      <c r="P2127" s="42">
        <v>44109</v>
      </c>
      <c r="Q2127" t="s">
        <v>345</v>
      </c>
      <c r="R2127" t="s">
        <v>320</v>
      </c>
      <c r="S2127" t="s">
        <v>323</v>
      </c>
      <c r="U2127">
        <v>7.6</v>
      </c>
    </row>
    <row r="2128" spans="14:25">
      <c r="N2128" s="42">
        <v>44103</v>
      </c>
      <c r="O2128" t="s">
        <v>333</v>
      </c>
      <c r="P2128" s="42">
        <v>44103</v>
      </c>
      <c r="Q2128" t="s">
        <v>333</v>
      </c>
      <c r="R2128" t="s">
        <v>329</v>
      </c>
      <c r="S2128" t="s">
        <v>323</v>
      </c>
      <c r="T2128">
        <v>7.6</v>
      </c>
      <c r="W2128" t="s">
        <v>330</v>
      </c>
      <c r="Y2128" s="42">
        <v>44103</v>
      </c>
    </row>
    <row r="2129" spans="14:25">
      <c r="N2129" s="42">
        <v>44035</v>
      </c>
      <c r="O2129" t="s">
        <v>324</v>
      </c>
      <c r="P2129" s="42">
        <v>44035</v>
      </c>
      <c r="Q2129" t="s">
        <v>324</v>
      </c>
      <c r="R2129" t="s">
        <v>329</v>
      </c>
      <c r="S2129" t="s">
        <v>323</v>
      </c>
      <c r="T2129">
        <v>7.6</v>
      </c>
      <c r="W2129" t="s">
        <v>330</v>
      </c>
      <c r="Y2129" s="42">
        <v>44047</v>
      </c>
    </row>
    <row r="2130" spans="14:25">
      <c r="N2130" s="42">
        <v>44029</v>
      </c>
      <c r="O2130" t="s">
        <v>346</v>
      </c>
      <c r="P2130" s="42">
        <v>44029</v>
      </c>
      <c r="Q2130" t="s">
        <v>346</v>
      </c>
      <c r="R2130" t="s">
        <v>320</v>
      </c>
      <c r="S2130" t="s">
        <v>323</v>
      </c>
      <c r="T2130">
        <v>7.6</v>
      </c>
      <c r="Y2130" s="42">
        <v>44033</v>
      </c>
    </row>
    <row r="2131" spans="14:25">
      <c r="N2131" s="42">
        <v>44028</v>
      </c>
      <c r="O2131" t="s">
        <v>324</v>
      </c>
      <c r="P2131" s="42">
        <v>44028</v>
      </c>
      <c r="Q2131" t="s">
        <v>324</v>
      </c>
      <c r="R2131" t="s">
        <v>320</v>
      </c>
      <c r="S2131" t="s">
        <v>323</v>
      </c>
      <c r="T2131">
        <v>7.6</v>
      </c>
      <c r="Y2131" s="42">
        <v>44033</v>
      </c>
    </row>
    <row r="2132" spans="14:25">
      <c r="N2132" s="42">
        <v>44027</v>
      </c>
      <c r="O2132" t="s">
        <v>328</v>
      </c>
      <c r="P2132" s="42">
        <v>44027</v>
      </c>
      <c r="Q2132" t="s">
        <v>328</v>
      </c>
      <c r="R2132" t="s">
        <v>320</v>
      </c>
      <c r="S2132" t="s">
        <v>323</v>
      </c>
      <c r="T2132">
        <v>7.6</v>
      </c>
      <c r="Y2132" s="42">
        <v>44033</v>
      </c>
    </row>
    <row r="2133" spans="14:25">
      <c r="N2133" s="42">
        <v>44026</v>
      </c>
      <c r="O2133" t="s">
        <v>333</v>
      </c>
      <c r="P2133" s="42">
        <v>44026</v>
      </c>
      <c r="Q2133" t="s">
        <v>333</v>
      </c>
      <c r="R2133" t="s">
        <v>320</v>
      </c>
      <c r="S2133" t="s">
        <v>323</v>
      </c>
      <c r="T2133">
        <v>7.6</v>
      </c>
      <c r="Y2133" s="42">
        <v>44033</v>
      </c>
    </row>
    <row r="2134" spans="14:25">
      <c r="N2134" s="42">
        <v>44025</v>
      </c>
      <c r="O2134" t="s">
        <v>345</v>
      </c>
      <c r="P2134" s="42">
        <v>44025</v>
      </c>
      <c r="Q2134" t="s">
        <v>345</v>
      </c>
      <c r="R2134" t="s">
        <v>320</v>
      </c>
      <c r="S2134" t="s">
        <v>323</v>
      </c>
      <c r="T2134">
        <v>7.6</v>
      </c>
      <c r="Y2134" s="42">
        <v>44033</v>
      </c>
    </row>
    <row r="2135" spans="14:25">
      <c r="N2135" s="42">
        <v>44006</v>
      </c>
      <c r="O2135" t="s">
        <v>328</v>
      </c>
      <c r="P2135" s="42">
        <v>44006</v>
      </c>
      <c r="Q2135" t="s">
        <v>328</v>
      </c>
      <c r="R2135" t="s">
        <v>329</v>
      </c>
      <c r="S2135" t="s">
        <v>323</v>
      </c>
      <c r="T2135">
        <v>7.6</v>
      </c>
      <c r="W2135" t="s">
        <v>330</v>
      </c>
      <c r="Y2135" s="42">
        <v>44019</v>
      </c>
    </row>
    <row r="2136" spans="14:25">
      <c r="N2136" s="42">
        <v>43938</v>
      </c>
      <c r="O2136" t="s">
        <v>346</v>
      </c>
      <c r="P2136" s="42">
        <v>43938</v>
      </c>
      <c r="Q2136" t="s">
        <v>346</v>
      </c>
      <c r="R2136" t="s">
        <v>320</v>
      </c>
      <c r="S2136" t="s">
        <v>323</v>
      </c>
      <c r="T2136">
        <v>7.6</v>
      </c>
      <c r="Y2136" s="42">
        <v>43949</v>
      </c>
    </row>
    <row r="2137" spans="14:25">
      <c r="N2137" s="42">
        <v>43937</v>
      </c>
      <c r="O2137" t="s">
        <v>324</v>
      </c>
      <c r="P2137" s="42">
        <v>43937</v>
      </c>
      <c r="Q2137" t="s">
        <v>324</v>
      </c>
      <c r="R2137" t="s">
        <v>320</v>
      </c>
      <c r="S2137" t="s">
        <v>323</v>
      </c>
      <c r="T2137">
        <v>7.6</v>
      </c>
      <c r="Y2137" s="42">
        <v>43949</v>
      </c>
    </row>
    <row r="2138" spans="14:25">
      <c r="N2138" s="42">
        <v>43902</v>
      </c>
      <c r="O2138" t="s">
        <v>324</v>
      </c>
      <c r="P2138" s="42">
        <v>43902</v>
      </c>
      <c r="Q2138" t="s">
        <v>324</v>
      </c>
      <c r="R2138" t="s">
        <v>329</v>
      </c>
      <c r="S2138" t="s">
        <v>323</v>
      </c>
      <c r="T2138">
        <v>7.6</v>
      </c>
      <c r="W2138" t="s">
        <v>330</v>
      </c>
      <c r="Y2138" s="42">
        <v>43907</v>
      </c>
    </row>
    <row r="2139" spans="14:25">
      <c r="N2139" s="42">
        <v>43900</v>
      </c>
      <c r="O2139" t="s">
        <v>333</v>
      </c>
      <c r="P2139" s="42">
        <v>43900</v>
      </c>
      <c r="Q2139" t="s">
        <v>333</v>
      </c>
      <c r="R2139" t="s">
        <v>329</v>
      </c>
      <c r="S2139" t="s">
        <v>323</v>
      </c>
      <c r="T2139">
        <v>7.6</v>
      </c>
      <c r="W2139" t="s">
        <v>330</v>
      </c>
      <c r="Y2139" s="42">
        <v>43907</v>
      </c>
    </row>
    <row r="2140" spans="14:25">
      <c r="N2140" s="42">
        <v>43840</v>
      </c>
      <c r="O2140" t="s">
        <v>346</v>
      </c>
      <c r="P2140" s="42">
        <v>43840</v>
      </c>
      <c r="Q2140" t="s">
        <v>346</v>
      </c>
      <c r="R2140" t="s">
        <v>329</v>
      </c>
      <c r="S2140" t="s">
        <v>323</v>
      </c>
      <c r="T2140">
        <v>7.6</v>
      </c>
      <c r="W2140" t="s">
        <v>330</v>
      </c>
      <c r="Y2140" s="42">
        <v>43851</v>
      </c>
    </row>
    <row r="2141" spans="14:25">
      <c r="N2141" s="42">
        <v>43839</v>
      </c>
      <c r="O2141" t="s">
        <v>324</v>
      </c>
      <c r="P2141" s="42">
        <v>43839</v>
      </c>
      <c r="Q2141" t="s">
        <v>324</v>
      </c>
      <c r="R2141" t="s">
        <v>329</v>
      </c>
      <c r="S2141" t="s">
        <v>323</v>
      </c>
      <c r="T2141">
        <v>7.6</v>
      </c>
      <c r="W2141" t="s">
        <v>330</v>
      </c>
      <c r="Y2141" s="42">
        <v>43851</v>
      </c>
    </row>
    <row r="2142" spans="14:25">
      <c r="N2142" s="42">
        <v>43838</v>
      </c>
      <c r="O2142" t="s">
        <v>328</v>
      </c>
      <c r="P2142" s="42">
        <v>43838</v>
      </c>
      <c r="Q2142" t="s">
        <v>328</v>
      </c>
      <c r="R2142" t="s">
        <v>329</v>
      </c>
      <c r="S2142" t="s">
        <v>323</v>
      </c>
      <c r="T2142">
        <v>7.6</v>
      </c>
      <c r="W2142" t="s">
        <v>330</v>
      </c>
      <c r="Y2142" s="42">
        <v>43851</v>
      </c>
    </row>
    <row r="2143" spans="14:25">
      <c r="N2143" s="42">
        <v>43837</v>
      </c>
      <c r="O2143" t="s">
        <v>333</v>
      </c>
      <c r="P2143" s="42">
        <v>43837</v>
      </c>
      <c r="Q2143" t="s">
        <v>333</v>
      </c>
      <c r="R2143" t="s">
        <v>329</v>
      </c>
      <c r="S2143" t="s">
        <v>323</v>
      </c>
      <c r="T2143">
        <v>7.6</v>
      </c>
      <c r="W2143" t="s">
        <v>330</v>
      </c>
      <c r="Y2143" s="42">
        <v>43837</v>
      </c>
    </row>
    <row r="2144" spans="14:25">
      <c r="N2144" s="42">
        <v>43836</v>
      </c>
      <c r="O2144" t="s">
        <v>345</v>
      </c>
      <c r="P2144" s="42">
        <v>43836</v>
      </c>
      <c r="Q2144" t="s">
        <v>345</v>
      </c>
      <c r="R2144" t="s">
        <v>329</v>
      </c>
      <c r="S2144" t="s">
        <v>323</v>
      </c>
      <c r="T2144">
        <v>7.6</v>
      </c>
      <c r="W2144" t="s">
        <v>330</v>
      </c>
      <c r="Y2144" s="42">
        <v>43837</v>
      </c>
    </row>
    <row r="2145" spans="14:25">
      <c r="N2145" s="42">
        <v>43826</v>
      </c>
      <c r="O2145" t="s">
        <v>346</v>
      </c>
      <c r="P2145" s="42">
        <v>43826</v>
      </c>
      <c r="Q2145" t="s">
        <v>346</v>
      </c>
      <c r="R2145" t="s">
        <v>320</v>
      </c>
      <c r="S2145" t="s">
        <v>323</v>
      </c>
      <c r="T2145">
        <v>7.6</v>
      </c>
      <c r="Y2145" s="42">
        <v>43837</v>
      </c>
    </row>
    <row r="2146" spans="14:25">
      <c r="N2146" s="42">
        <v>43791</v>
      </c>
      <c r="O2146" t="s">
        <v>346</v>
      </c>
      <c r="P2146" s="42">
        <v>43791</v>
      </c>
      <c r="Q2146" t="s">
        <v>346</v>
      </c>
      <c r="R2146" t="s">
        <v>320</v>
      </c>
      <c r="S2146" t="s">
        <v>323</v>
      </c>
      <c r="T2146">
        <v>7.6</v>
      </c>
      <c r="Y2146" s="42">
        <v>43795</v>
      </c>
    </row>
    <row r="2147" spans="14:25">
      <c r="N2147" s="42">
        <v>43790</v>
      </c>
      <c r="O2147" t="s">
        <v>324</v>
      </c>
      <c r="P2147" s="42">
        <v>43790</v>
      </c>
      <c r="Q2147" t="s">
        <v>324</v>
      </c>
      <c r="R2147" t="s">
        <v>320</v>
      </c>
      <c r="S2147" t="s">
        <v>323</v>
      </c>
      <c r="T2147">
        <v>7.6</v>
      </c>
      <c r="Y2147" s="42">
        <v>43795</v>
      </c>
    </row>
    <row r="2148" spans="14:25">
      <c r="N2148" s="42">
        <v>43789</v>
      </c>
      <c r="O2148" t="s">
        <v>328</v>
      </c>
      <c r="P2148" s="42">
        <v>43789</v>
      </c>
      <c r="Q2148" t="s">
        <v>328</v>
      </c>
      <c r="R2148" t="s">
        <v>320</v>
      </c>
      <c r="S2148" t="s">
        <v>323</v>
      </c>
      <c r="T2148">
        <v>7.6</v>
      </c>
      <c r="Y2148" s="42">
        <v>43795</v>
      </c>
    </row>
    <row r="2149" spans="14:25">
      <c r="N2149" s="42">
        <v>43788</v>
      </c>
      <c r="O2149" t="s">
        <v>333</v>
      </c>
      <c r="P2149" s="42">
        <v>43788</v>
      </c>
      <c r="Q2149" t="s">
        <v>333</v>
      </c>
      <c r="R2149" t="s">
        <v>320</v>
      </c>
      <c r="S2149" t="s">
        <v>323</v>
      </c>
      <c r="T2149">
        <v>7.6</v>
      </c>
      <c r="Y2149" s="42">
        <v>43795</v>
      </c>
    </row>
    <row r="2150" spans="14:25">
      <c r="N2150" s="42">
        <v>43787</v>
      </c>
      <c r="O2150" t="s">
        <v>345</v>
      </c>
      <c r="P2150" s="42">
        <v>43787</v>
      </c>
      <c r="Q2150" t="s">
        <v>345</v>
      </c>
      <c r="R2150" t="s">
        <v>320</v>
      </c>
      <c r="S2150" t="s">
        <v>323</v>
      </c>
      <c r="T2150">
        <v>7.6</v>
      </c>
      <c r="Y2150" s="42">
        <v>43795</v>
      </c>
    </row>
    <row r="2151" spans="14:25">
      <c r="N2151" s="42">
        <v>43784</v>
      </c>
      <c r="O2151" t="s">
        <v>346</v>
      </c>
      <c r="P2151" s="42">
        <v>43784</v>
      </c>
      <c r="Q2151" t="s">
        <v>346</v>
      </c>
      <c r="R2151" t="s">
        <v>320</v>
      </c>
      <c r="S2151" t="s">
        <v>323</v>
      </c>
      <c r="T2151">
        <v>7.6</v>
      </c>
      <c r="Y2151" s="42">
        <v>43795</v>
      </c>
    </row>
    <row r="2152" spans="14:25">
      <c r="N2152" s="42">
        <v>43783</v>
      </c>
      <c r="O2152" t="s">
        <v>324</v>
      </c>
      <c r="P2152" s="42">
        <v>43783</v>
      </c>
      <c r="Q2152" t="s">
        <v>324</v>
      </c>
      <c r="R2152" t="s">
        <v>320</v>
      </c>
      <c r="S2152" t="s">
        <v>323</v>
      </c>
      <c r="T2152">
        <v>7.6</v>
      </c>
      <c r="Y2152" s="42">
        <v>43795</v>
      </c>
    </row>
    <row r="2153" spans="14:25">
      <c r="N2153" s="42">
        <v>43782</v>
      </c>
      <c r="O2153" t="s">
        <v>328</v>
      </c>
      <c r="P2153" s="42">
        <v>43782</v>
      </c>
      <c r="Q2153" t="s">
        <v>328</v>
      </c>
      <c r="R2153" t="s">
        <v>320</v>
      </c>
      <c r="S2153" t="s">
        <v>323</v>
      </c>
      <c r="T2153">
        <v>7.6</v>
      </c>
      <c r="Y2153" s="42">
        <v>43795</v>
      </c>
    </row>
    <row r="2154" spans="14:25">
      <c r="N2154" s="42">
        <v>43781</v>
      </c>
      <c r="O2154" t="s">
        <v>333</v>
      </c>
      <c r="P2154" s="42">
        <v>43781</v>
      </c>
      <c r="Q2154" t="s">
        <v>333</v>
      </c>
      <c r="R2154" t="s">
        <v>320</v>
      </c>
      <c r="S2154" t="s">
        <v>323</v>
      </c>
      <c r="T2154">
        <v>7.6</v>
      </c>
      <c r="Y2154" s="42">
        <v>43781</v>
      </c>
    </row>
    <row r="2155" spans="14:25">
      <c r="N2155" s="42">
        <v>43780</v>
      </c>
      <c r="O2155" t="s">
        <v>345</v>
      </c>
      <c r="P2155" s="42">
        <v>43780</v>
      </c>
      <c r="Q2155" t="s">
        <v>345</v>
      </c>
      <c r="R2155" t="s">
        <v>320</v>
      </c>
      <c r="S2155" t="s">
        <v>323</v>
      </c>
      <c r="T2155">
        <v>7.6</v>
      </c>
      <c r="Y2155" s="42">
        <v>43781</v>
      </c>
    </row>
    <row r="2156" spans="14:25">
      <c r="N2156" s="42">
        <v>43770</v>
      </c>
      <c r="O2156" t="s">
        <v>346</v>
      </c>
      <c r="P2156" s="42">
        <v>43770</v>
      </c>
      <c r="Q2156" t="s">
        <v>346</v>
      </c>
      <c r="R2156" t="s">
        <v>329</v>
      </c>
      <c r="S2156" t="s">
        <v>323</v>
      </c>
      <c r="T2156">
        <v>7.6</v>
      </c>
      <c r="W2156" t="s">
        <v>330</v>
      </c>
      <c r="Y2156" s="42">
        <v>43781</v>
      </c>
    </row>
    <row r="2157" spans="14:25">
      <c r="N2157" s="42">
        <v>43769</v>
      </c>
      <c r="O2157" t="s">
        <v>324</v>
      </c>
      <c r="P2157" s="42">
        <v>43769</v>
      </c>
      <c r="Q2157" t="s">
        <v>324</v>
      </c>
      <c r="R2157" t="s">
        <v>329</v>
      </c>
      <c r="S2157" t="s">
        <v>323</v>
      </c>
      <c r="T2157">
        <v>7.6</v>
      </c>
      <c r="W2157" t="s">
        <v>330</v>
      </c>
      <c r="Y2157" s="42">
        <v>43781</v>
      </c>
    </row>
    <row r="2158" spans="14:25">
      <c r="N2158" s="42">
        <v>43760</v>
      </c>
      <c r="O2158" t="s">
        <v>333</v>
      </c>
      <c r="P2158" s="42">
        <v>43760</v>
      </c>
      <c r="Q2158" t="s">
        <v>333</v>
      </c>
      <c r="R2158" t="s">
        <v>329</v>
      </c>
      <c r="S2158" t="s">
        <v>323</v>
      </c>
      <c r="T2158">
        <v>7.6</v>
      </c>
      <c r="W2158" t="s">
        <v>330</v>
      </c>
      <c r="Y2158" s="42">
        <v>43767</v>
      </c>
    </row>
    <row r="2159" spans="14:25">
      <c r="N2159" s="42">
        <v>43742</v>
      </c>
      <c r="O2159" t="s">
        <v>346</v>
      </c>
      <c r="P2159" s="42">
        <v>43742</v>
      </c>
      <c r="Q2159" t="s">
        <v>346</v>
      </c>
      <c r="R2159" t="s">
        <v>320</v>
      </c>
      <c r="S2159" t="s">
        <v>323</v>
      </c>
      <c r="T2159">
        <v>7.6</v>
      </c>
      <c r="Y2159" s="42">
        <v>43753</v>
      </c>
    </row>
    <row r="2160" spans="14:25">
      <c r="N2160" s="42">
        <v>43712</v>
      </c>
      <c r="O2160" t="s">
        <v>328</v>
      </c>
      <c r="P2160" s="42">
        <v>43712</v>
      </c>
      <c r="Q2160" t="s">
        <v>328</v>
      </c>
      <c r="R2160" t="s">
        <v>329</v>
      </c>
      <c r="S2160" t="s">
        <v>323</v>
      </c>
      <c r="T2160">
        <v>7.6</v>
      </c>
      <c r="W2160" t="s">
        <v>330</v>
      </c>
      <c r="Y2160" s="42">
        <v>43725</v>
      </c>
    </row>
    <row r="2161" spans="1:25">
      <c r="N2161" s="42">
        <v>43700</v>
      </c>
      <c r="O2161" t="s">
        <v>346</v>
      </c>
      <c r="P2161" s="42">
        <v>43700</v>
      </c>
      <c r="Q2161" t="s">
        <v>346</v>
      </c>
      <c r="R2161" t="s">
        <v>329</v>
      </c>
      <c r="S2161" t="s">
        <v>323</v>
      </c>
      <c r="T2161">
        <v>7.6</v>
      </c>
      <c r="W2161" t="s">
        <v>330</v>
      </c>
      <c r="Y2161" s="42">
        <v>43711</v>
      </c>
    </row>
    <row r="2162" spans="1:25">
      <c r="N2162" s="42">
        <v>43699</v>
      </c>
      <c r="O2162" t="s">
        <v>324</v>
      </c>
      <c r="P2162" s="42">
        <v>43699</v>
      </c>
      <c r="Q2162" t="s">
        <v>324</v>
      </c>
      <c r="R2162" t="s">
        <v>329</v>
      </c>
      <c r="S2162" t="s">
        <v>323</v>
      </c>
      <c r="T2162">
        <v>7.6</v>
      </c>
      <c r="W2162" t="s">
        <v>330</v>
      </c>
      <c r="Y2162" s="42">
        <v>43711</v>
      </c>
    </row>
    <row r="2163" spans="1:25">
      <c r="N2163" s="42">
        <v>43668</v>
      </c>
      <c r="O2163" t="s">
        <v>345</v>
      </c>
      <c r="P2163" s="42">
        <v>43668</v>
      </c>
      <c r="Q2163" t="s">
        <v>345</v>
      </c>
      <c r="R2163" t="s">
        <v>329</v>
      </c>
      <c r="S2163" t="s">
        <v>323</v>
      </c>
      <c r="T2163">
        <v>7.6</v>
      </c>
      <c r="W2163" t="s">
        <v>330</v>
      </c>
      <c r="Y2163" s="42">
        <v>43669</v>
      </c>
    </row>
    <row r="2164" spans="1:25">
      <c r="N2164" s="42">
        <v>43650</v>
      </c>
      <c r="O2164" t="s">
        <v>324</v>
      </c>
      <c r="P2164" s="42">
        <v>43650</v>
      </c>
      <c r="Q2164" t="s">
        <v>324</v>
      </c>
      <c r="R2164" t="s">
        <v>329</v>
      </c>
      <c r="S2164" t="s">
        <v>323</v>
      </c>
      <c r="T2164">
        <v>2</v>
      </c>
      <c r="W2164" t="s">
        <v>330</v>
      </c>
      <c r="Y2164" s="42">
        <v>43655</v>
      </c>
    </row>
    <row r="2165" spans="1:25">
      <c r="N2165" s="42">
        <v>43643</v>
      </c>
      <c r="O2165" t="s">
        <v>324</v>
      </c>
      <c r="P2165" s="42">
        <v>43643</v>
      </c>
      <c r="Q2165" t="s">
        <v>324</v>
      </c>
      <c r="R2165" t="s">
        <v>329</v>
      </c>
      <c r="S2165" t="s">
        <v>323</v>
      </c>
      <c r="T2165">
        <v>7.6</v>
      </c>
      <c r="W2165" t="s">
        <v>330</v>
      </c>
      <c r="Y2165" s="42">
        <v>43655</v>
      </c>
    </row>
    <row r="2166" spans="1:25">
      <c r="A2166">
        <v>18550</v>
      </c>
      <c r="B2166" t="s">
        <v>381</v>
      </c>
      <c r="C2166" t="s">
        <v>320</v>
      </c>
      <c r="D2166" t="s">
        <v>336</v>
      </c>
      <c r="E2166" t="s">
        <v>337</v>
      </c>
      <c r="F2166">
        <v>1</v>
      </c>
      <c r="G2166" s="42">
        <v>45137</v>
      </c>
      <c r="H2166">
        <v>152</v>
      </c>
      <c r="I2166">
        <v>92.639200000000002</v>
      </c>
      <c r="J2166">
        <v>90.367099999999994</v>
      </c>
      <c r="K2166">
        <v>183.00630000000001</v>
      </c>
      <c r="L2166" t="s">
        <v>323</v>
      </c>
      <c r="M2166" s="43">
        <v>0.42152777777777778</v>
      </c>
      <c r="N2166" s="42">
        <v>45014</v>
      </c>
      <c r="O2166" t="s">
        <v>328</v>
      </c>
      <c r="P2166" s="42">
        <v>45022</v>
      </c>
      <c r="Q2166" t="s">
        <v>324</v>
      </c>
      <c r="R2166" t="s">
        <v>320</v>
      </c>
      <c r="S2166" t="s">
        <v>323</v>
      </c>
      <c r="T2166">
        <v>53.2</v>
      </c>
      <c r="U2166">
        <v>0</v>
      </c>
      <c r="V2166">
        <v>0</v>
      </c>
    </row>
    <row r="2167" spans="1:25">
      <c r="C2167" t="s">
        <v>325</v>
      </c>
      <c r="D2167" t="s">
        <v>340</v>
      </c>
      <c r="E2167" t="s">
        <v>341</v>
      </c>
      <c r="F2167">
        <v>2</v>
      </c>
      <c r="G2167" s="42">
        <v>45137</v>
      </c>
      <c r="H2167">
        <v>32.934600000000003</v>
      </c>
      <c r="I2167">
        <v>333.67689999999999</v>
      </c>
      <c r="J2167">
        <v>19.580300000000001</v>
      </c>
      <c r="K2167">
        <v>353.25720000000001</v>
      </c>
      <c r="L2167" t="s">
        <v>323</v>
      </c>
      <c r="N2167" s="42">
        <v>45009</v>
      </c>
      <c r="O2167" t="s">
        <v>346</v>
      </c>
      <c r="P2167" s="42">
        <v>45013</v>
      </c>
      <c r="Q2167" t="s">
        <v>333</v>
      </c>
      <c r="R2167" t="s">
        <v>320</v>
      </c>
      <c r="S2167" t="s">
        <v>323</v>
      </c>
      <c r="T2167">
        <v>22.8</v>
      </c>
      <c r="U2167">
        <v>0</v>
      </c>
      <c r="V2167">
        <v>0</v>
      </c>
    </row>
    <row r="2168" spans="1:25">
      <c r="C2168" t="s">
        <v>329</v>
      </c>
      <c r="D2168" t="s">
        <v>342</v>
      </c>
      <c r="E2168" t="s">
        <v>343</v>
      </c>
      <c r="F2168">
        <v>1</v>
      </c>
      <c r="G2168" s="42">
        <v>45137</v>
      </c>
      <c r="H2168">
        <v>76</v>
      </c>
      <c r="I2168">
        <v>210.52170000000001</v>
      </c>
      <c r="J2168">
        <v>45.183599999999998</v>
      </c>
      <c r="K2168">
        <v>255.70529999999999</v>
      </c>
      <c r="L2168" t="s">
        <v>323</v>
      </c>
      <c r="N2168" s="42">
        <v>44949</v>
      </c>
      <c r="O2168" t="s">
        <v>345</v>
      </c>
      <c r="P2168" s="42">
        <v>44953</v>
      </c>
      <c r="Q2168" t="s">
        <v>346</v>
      </c>
      <c r="R2168" t="s">
        <v>320</v>
      </c>
      <c r="S2168" t="s">
        <v>323</v>
      </c>
      <c r="T2168">
        <v>30.4</v>
      </c>
      <c r="U2168">
        <v>7.6</v>
      </c>
      <c r="V2168">
        <v>0</v>
      </c>
      <c r="Y2168" s="42">
        <v>44957</v>
      </c>
    </row>
    <row r="2169" spans="1:25">
      <c r="N2169" s="42">
        <v>44939</v>
      </c>
      <c r="O2169" t="s">
        <v>346</v>
      </c>
      <c r="P2169" s="42">
        <v>44939</v>
      </c>
      <c r="Q2169" t="s">
        <v>346</v>
      </c>
      <c r="R2169" t="s">
        <v>329</v>
      </c>
      <c r="S2169" t="s">
        <v>323</v>
      </c>
      <c r="T2169">
        <v>7.6</v>
      </c>
      <c r="W2169" t="s">
        <v>339</v>
      </c>
      <c r="Y2169" s="42">
        <v>44943</v>
      </c>
    </row>
    <row r="2170" spans="1:25">
      <c r="N2170" s="42">
        <v>44928</v>
      </c>
      <c r="O2170" t="s">
        <v>345</v>
      </c>
      <c r="P2170" s="42">
        <v>44928</v>
      </c>
      <c r="Q2170" t="s">
        <v>345</v>
      </c>
      <c r="R2170" t="s">
        <v>320</v>
      </c>
      <c r="S2170" t="s">
        <v>323</v>
      </c>
      <c r="U2170">
        <v>7.6</v>
      </c>
      <c r="Y2170" s="42">
        <v>44929</v>
      </c>
    </row>
    <row r="2171" spans="1:25">
      <c r="N2171" s="42">
        <v>44922</v>
      </c>
      <c r="O2171" t="s">
        <v>333</v>
      </c>
      <c r="P2171" s="42">
        <v>44922</v>
      </c>
      <c r="Q2171" t="s">
        <v>333</v>
      </c>
      <c r="R2171" t="s">
        <v>320</v>
      </c>
      <c r="S2171" t="s">
        <v>323</v>
      </c>
      <c r="U2171">
        <v>7.6</v>
      </c>
      <c r="Y2171" s="42">
        <v>44929</v>
      </c>
    </row>
    <row r="2172" spans="1:25">
      <c r="N2172" s="42">
        <v>44921</v>
      </c>
      <c r="O2172" t="s">
        <v>345</v>
      </c>
      <c r="P2172" s="42">
        <v>44921</v>
      </c>
      <c r="Q2172" t="s">
        <v>345</v>
      </c>
      <c r="R2172" t="s">
        <v>320</v>
      </c>
      <c r="S2172" t="s">
        <v>323</v>
      </c>
      <c r="U2172">
        <v>7.6</v>
      </c>
      <c r="Y2172" s="42">
        <v>44929</v>
      </c>
    </row>
    <row r="2173" spans="1:25">
      <c r="N2173" s="42">
        <v>44916</v>
      </c>
      <c r="O2173" t="s">
        <v>328</v>
      </c>
      <c r="P2173" s="42">
        <v>44918</v>
      </c>
      <c r="Q2173" t="s">
        <v>346</v>
      </c>
      <c r="R2173" t="s">
        <v>320</v>
      </c>
      <c r="S2173" t="s">
        <v>323</v>
      </c>
      <c r="T2173">
        <v>22.8</v>
      </c>
      <c r="U2173">
        <v>0</v>
      </c>
      <c r="V2173">
        <v>0</v>
      </c>
      <c r="Y2173" s="42">
        <v>44929</v>
      </c>
    </row>
    <row r="2174" spans="1:25">
      <c r="N2174" s="42">
        <v>44914</v>
      </c>
      <c r="O2174" t="s">
        <v>345</v>
      </c>
      <c r="P2174" s="42">
        <v>44915</v>
      </c>
      <c r="Q2174" t="s">
        <v>333</v>
      </c>
      <c r="R2174" t="s">
        <v>320</v>
      </c>
      <c r="S2174" t="s">
        <v>323</v>
      </c>
      <c r="T2174">
        <v>15.2</v>
      </c>
      <c r="U2174">
        <v>0</v>
      </c>
      <c r="V2174">
        <v>0</v>
      </c>
      <c r="Y2174" s="42">
        <v>44915</v>
      </c>
    </row>
    <row r="2175" spans="1:25">
      <c r="N2175" s="42">
        <v>44911</v>
      </c>
      <c r="O2175" t="s">
        <v>346</v>
      </c>
      <c r="P2175" s="42">
        <v>44911</v>
      </c>
      <c r="Q2175" t="s">
        <v>346</v>
      </c>
      <c r="R2175" t="s">
        <v>320</v>
      </c>
      <c r="S2175" t="s">
        <v>323</v>
      </c>
      <c r="T2175">
        <v>7.6</v>
      </c>
      <c r="V2175">
        <v>0</v>
      </c>
      <c r="Y2175" s="42">
        <v>44915</v>
      </c>
    </row>
    <row r="2176" spans="1:25">
      <c r="N2176" s="42">
        <v>44894</v>
      </c>
      <c r="O2176" t="s">
        <v>333</v>
      </c>
      <c r="P2176" s="42">
        <v>44894</v>
      </c>
      <c r="Q2176" t="s">
        <v>333</v>
      </c>
      <c r="R2176" t="s">
        <v>320</v>
      </c>
      <c r="S2176" t="s">
        <v>323</v>
      </c>
      <c r="T2176">
        <v>3.5</v>
      </c>
      <c r="V2176">
        <v>0</v>
      </c>
      <c r="Y2176" s="42">
        <v>44901</v>
      </c>
    </row>
    <row r="2177" spans="14:25">
      <c r="N2177" s="42">
        <v>44889</v>
      </c>
      <c r="O2177" t="s">
        <v>324</v>
      </c>
      <c r="P2177" s="42">
        <v>44890</v>
      </c>
      <c r="Q2177" t="s">
        <v>346</v>
      </c>
      <c r="R2177" t="s">
        <v>320</v>
      </c>
      <c r="S2177" t="s">
        <v>323</v>
      </c>
      <c r="T2177">
        <v>15.2</v>
      </c>
      <c r="V2177">
        <v>0</v>
      </c>
      <c r="Y2177" s="42">
        <v>44901</v>
      </c>
    </row>
    <row r="2178" spans="14:25">
      <c r="N2178" s="42">
        <v>44888</v>
      </c>
      <c r="O2178" t="s">
        <v>328</v>
      </c>
      <c r="P2178" s="42">
        <v>44888</v>
      </c>
      <c r="Q2178" t="s">
        <v>328</v>
      </c>
      <c r="R2178" t="s">
        <v>320</v>
      </c>
      <c r="S2178" t="s">
        <v>323</v>
      </c>
      <c r="T2178">
        <v>7.6</v>
      </c>
      <c r="V2178">
        <v>0</v>
      </c>
      <c r="Y2178" s="42">
        <v>44901</v>
      </c>
    </row>
    <row r="2179" spans="14:25">
      <c r="N2179" s="42">
        <v>44887</v>
      </c>
      <c r="O2179" t="s">
        <v>333</v>
      </c>
      <c r="P2179" s="42">
        <v>44887</v>
      </c>
      <c r="Q2179" t="s">
        <v>333</v>
      </c>
      <c r="R2179" t="s">
        <v>320</v>
      </c>
      <c r="S2179" t="s">
        <v>323</v>
      </c>
      <c r="T2179">
        <v>3.5</v>
      </c>
      <c r="U2179">
        <v>0</v>
      </c>
    </row>
    <row r="2180" spans="14:25">
      <c r="N2180" s="42">
        <v>44880</v>
      </c>
      <c r="O2180" t="s">
        <v>333</v>
      </c>
      <c r="P2180" s="42">
        <v>44880</v>
      </c>
      <c r="Q2180" t="s">
        <v>333</v>
      </c>
      <c r="R2180" t="s">
        <v>320</v>
      </c>
      <c r="S2180" t="s">
        <v>323</v>
      </c>
      <c r="T2180">
        <v>3.5</v>
      </c>
      <c r="U2180">
        <v>0</v>
      </c>
    </row>
    <row r="2181" spans="14:25">
      <c r="N2181" s="42">
        <v>44873</v>
      </c>
      <c r="O2181" t="s">
        <v>333</v>
      </c>
      <c r="P2181" s="42">
        <v>44873</v>
      </c>
      <c r="Q2181" t="s">
        <v>333</v>
      </c>
      <c r="R2181" t="s">
        <v>320</v>
      </c>
      <c r="S2181" t="s">
        <v>323</v>
      </c>
      <c r="T2181">
        <v>3.5</v>
      </c>
      <c r="V2181">
        <v>0</v>
      </c>
      <c r="Y2181" s="42">
        <v>44873</v>
      </c>
    </row>
    <row r="2182" spans="14:25">
      <c r="N2182" s="42">
        <v>44866</v>
      </c>
      <c r="O2182" t="s">
        <v>333</v>
      </c>
      <c r="P2182" s="42">
        <v>44866</v>
      </c>
      <c r="Q2182" t="s">
        <v>333</v>
      </c>
      <c r="R2182" t="s">
        <v>320</v>
      </c>
      <c r="S2182" t="s">
        <v>323</v>
      </c>
      <c r="U2182">
        <v>7.6</v>
      </c>
      <c r="Y2182" s="42">
        <v>44873</v>
      </c>
    </row>
    <row r="2183" spans="14:25">
      <c r="N2183" s="42">
        <v>44861</v>
      </c>
      <c r="O2183" t="s">
        <v>324</v>
      </c>
      <c r="P2183" s="42">
        <v>44861</v>
      </c>
      <c r="Q2183" t="s">
        <v>324</v>
      </c>
      <c r="R2183" t="s">
        <v>320</v>
      </c>
      <c r="S2183" t="s">
        <v>323</v>
      </c>
      <c r="T2183">
        <v>7.6</v>
      </c>
      <c r="V2183">
        <v>0</v>
      </c>
      <c r="Y2183" s="42">
        <v>44873</v>
      </c>
    </row>
    <row r="2184" spans="14:25">
      <c r="N2184" s="42">
        <v>44844</v>
      </c>
      <c r="O2184" t="s">
        <v>345</v>
      </c>
      <c r="P2184" s="42">
        <v>44844</v>
      </c>
      <c r="Q2184" t="s">
        <v>345</v>
      </c>
      <c r="R2184" t="s">
        <v>320</v>
      </c>
      <c r="S2184" t="s">
        <v>323</v>
      </c>
      <c r="T2184">
        <v>7.6</v>
      </c>
      <c r="V2184">
        <v>0</v>
      </c>
      <c r="Y2184" s="42">
        <v>44845</v>
      </c>
    </row>
    <row r="2185" spans="14:25">
      <c r="N2185" s="42">
        <v>44827</v>
      </c>
      <c r="O2185" t="s">
        <v>346</v>
      </c>
      <c r="P2185" s="42">
        <v>44827</v>
      </c>
      <c r="Q2185" t="s">
        <v>346</v>
      </c>
      <c r="R2185" t="s">
        <v>320</v>
      </c>
      <c r="S2185" t="s">
        <v>323</v>
      </c>
      <c r="U2185">
        <v>7.6</v>
      </c>
      <c r="Y2185" s="42">
        <v>44831</v>
      </c>
    </row>
    <row r="2186" spans="14:25">
      <c r="N2186" s="42">
        <v>44826</v>
      </c>
      <c r="O2186" t="s">
        <v>324</v>
      </c>
      <c r="P2186" s="42">
        <v>44826</v>
      </c>
      <c r="Q2186" t="s">
        <v>324</v>
      </c>
      <c r="R2186" t="s">
        <v>320</v>
      </c>
      <c r="S2186" t="s">
        <v>323</v>
      </c>
      <c r="U2186">
        <v>7.6</v>
      </c>
      <c r="Y2186" s="42">
        <v>44831</v>
      </c>
    </row>
    <row r="2187" spans="14:25">
      <c r="N2187" s="42">
        <v>44799</v>
      </c>
      <c r="O2187" t="s">
        <v>346</v>
      </c>
      <c r="P2187" s="42">
        <v>44799</v>
      </c>
      <c r="Q2187" t="s">
        <v>346</v>
      </c>
      <c r="R2187" t="s">
        <v>320</v>
      </c>
      <c r="S2187" t="s">
        <v>323</v>
      </c>
      <c r="T2187">
        <v>7.6</v>
      </c>
      <c r="V2187">
        <v>0</v>
      </c>
      <c r="Y2187" s="42">
        <v>44803</v>
      </c>
    </row>
    <row r="2188" spans="14:25">
      <c r="N2188" s="42">
        <v>44785</v>
      </c>
      <c r="O2188" t="s">
        <v>346</v>
      </c>
      <c r="P2188" s="42">
        <v>44785</v>
      </c>
      <c r="Q2188" t="s">
        <v>346</v>
      </c>
      <c r="R2188" t="s">
        <v>320</v>
      </c>
      <c r="S2188" t="s">
        <v>323</v>
      </c>
      <c r="T2188">
        <v>7.6</v>
      </c>
      <c r="V2188">
        <v>0</v>
      </c>
      <c r="Y2188" s="42">
        <v>44789</v>
      </c>
    </row>
    <row r="2189" spans="14:25">
      <c r="N2189" s="42">
        <v>44755</v>
      </c>
      <c r="O2189" t="s">
        <v>328</v>
      </c>
      <c r="P2189" s="42">
        <v>44755</v>
      </c>
      <c r="Q2189" t="s">
        <v>328</v>
      </c>
      <c r="R2189" t="s">
        <v>320</v>
      </c>
      <c r="S2189" t="s">
        <v>323</v>
      </c>
      <c r="T2189">
        <v>7.6</v>
      </c>
      <c r="V2189">
        <v>0</v>
      </c>
      <c r="Y2189" s="42">
        <v>44761</v>
      </c>
    </row>
    <row r="2190" spans="14:25">
      <c r="N2190" s="42">
        <v>44725</v>
      </c>
      <c r="O2190" t="s">
        <v>345</v>
      </c>
      <c r="P2190" s="42">
        <v>44725</v>
      </c>
      <c r="Q2190" t="s">
        <v>345</v>
      </c>
      <c r="R2190" t="s">
        <v>320</v>
      </c>
      <c r="S2190" t="s">
        <v>323</v>
      </c>
      <c r="U2190">
        <v>7.6</v>
      </c>
      <c r="Y2190" s="42">
        <v>44733</v>
      </c>
    </row>
    <row r="2191" spans="14:25">
      <c r="N2191" s="42">
        <v>44714</v>
      </c>
      <c r="O2191" t="s">
        <v>324</v>
      </c>
      <c r="P2191" s="42">
        <v>44714</v>
      </c>
      <c r="Q2191" t="s">
        <v>324</v>
      </c>
      <c r="R2191" t="s">
        <v>320</v>
      </c>
      <c r="S2191" t="s">
        <v>323</v>
      </c>
      <c r="T2191">
        <v>7.6</v>
      </c>
      <c r="V2191">
        <v>0</v>
      </c>
      <c r="Y2191" s="42">
        <v>44719</v>
      </c>
    </row>
    <row r="2192" spans="14:25">
      <c r="N2192" s="42">
        <v>44692</v>
      </c>
      <c r="O2192" t="s">
        <v>328</v>
      </c>
      <c r="P2192" s="42">
        <v>44692</v>
      </c>
      <c r="Q2192" t="s">
        <v>328</v>
      </c>
      <c r="R2192" t="s">
        <v>329</v>
      </c>
      <c r="S2192" t="s">
        <v>323</v>
      </c>
      <c r="T2192">
        <v>7.6</v>
      </c>
      <c r="W2192" t="s">
        <v>339</v>
      </c>
      <c r="Y2192" s="42">
        <v>44705</v>
      </c>
    </row>
    <row r="2193" spans="14:25">
      <c r="N2193" s="42">
        <v>44685</v>
      </c>
      <c r="O2193" t="s">
        <v>328</v>
      </c>
      <c r="P2193" s="42">
        <v>44691</v>
      </c>
      <c r="Q2193" t="s">
        <v>333</v>
      </c>
      <c r="R2193" t="s">
        <v>329</v>
      </c>
      <c r="S2193" t="s">
        <v>323</v>
      </c>
      <c r="T2193">
        <v>38</v>
      </c>
      <c r="W2193" t="s">
        <v>339</v>
      </c>
      <c r="Y2193" s="42">
        <v>44691</v>
      </c>
    </row>
    <row r="2194" spans="14:25">
      <c r="N2194" s="42">
        <v>44676</v>
      </c>
      <c r="O2194" t="s">
        <v>345</v>
      </c>
      <c r="P2194" s="42">
        <v>44676</v>
      </c>
      <c r="Q2194" t="s">
        <v>345</v>
      </c>
      <c r="R2194" t="s">
        <v>320</v>
      </c>
      <c r="S2194" t="s">
        <v>323</v>
      </c>
      <c r="U2194">
        <v>7.6</v>
      </c>
      <c r="Y2194" s="42">
        <v>44677</v>
      </c>
    </row>
    <row r="2195" spans="14:25">
      <c r="N2195" s="42">
        <v>44672</v>
      </c>
      <c r="O2195" t="s">
        <v>324</v>
      </c>
      <c r="P2195" s="42">
        <v>44673</v>
      </c>
      <c r="Q2195" t="s">
        <v>346</v>
      </c>
      <c r="R2195" t="s">
        <v>320</v>
      </c>
      <c r="S2195" t="s">
        <v>323</v>
      </c>
      <c r="T2195">
        <v>15.2</v>
      </c>
      <c r="V2195">
        <v>0</v>
      </c>
      <c r="Y2195" s="42">
        <v>44677</v>
      </c>
    </row>
    <row r="2196" spans="14:25">
      <c r="N2196" s="42">
        <v>44669</v>
      </c>
      <c r="O2196" t="s">
        <v>345</v>
      </c>
      <c r="P2196" s="42">
        <v>44669</v>
      </c>
      <c r="Q2196" t="s">
        <v>345</v>
      </c>
      <c r="R2196" t="s">
        <v>320</v>
      </c>
      <c r="S2196" t="s">
        <v>323</v>
      </c>
      <c r="U2196">
        <v>7.6</v>
      </c>
      <c r="Y2196" s="42">
        <v>44677</v>
      </c>
    </row>
    <row r="2197" spans="14:25">
      <c r="N2197" s="42">
        <v>44666</v>
      </c>
      <c r="O2197" t="s">
        <v>346</v>
      </c>
      <c r="P2197" s="42">
        <v>44666</v>
      </c>
      <c r="Q2197" t="s">
        <v>346</v>
      </c>
      <c r="R2197" t="s">
        <v>320</v>
      </c>
      <c r="S2197" t="s">
        <v>323</v>
      </c>
      <c r="U2197">
        <v>7.6</v>
      </c>
      <c r="Y2197" s="42">
        <v>44677</v>
      </c>
    </row>
    <row r="2198" spans="14:25">
      <c r="N2198" s="42">
        <v>44648</v>
      </c>
      <c r="O2198" t="s">
        <v>345</v>
      </c>
      <c r="P2198" s="42">
        <v>44648</v>
      </c>
      <c r="Q2198" t="s">
        <v>345</v>
      </c>
      <c r="R2198" t="s">
        <v>320</v>
      </c>
      <c r="S2198" t="s">
        <v>323</v>
      </c>
      <c r="T2198">
        <v>7.6</v>
      </c>
      <c r="V2198">
        <v>0</v>
      </c>
      <c r="Y2198" s="42">
        <v>44649</v>
      </c>
    </row>
    <row r="2199" spans="14:25">
      <c r="N2199" s="42">
        <v>44644</v>
      </c>
      <c r="O2199" t="s">
        <v>324</v>
      </c>
      <c r="P2199" s="42">
        <v>44644</v>
      </c>
      <c r="Q2199" t="s">
        <v>324</v>
      </c>
      <c r="R2199" t="s">
        <v>329</v>
      </c>
      <c r="S2199" t="s">
        <v>323</v>
      </c>
      <c r="T2199">
        <v>7.6</v>
      </c>
      <c r="W2199" t="s">
        <v>339</v>
      </c>
      <c r="Y2199" s="42">
        <v>44649</v>
      </c>
    </row>
    <row r="2200" spans="14:25">
      <c r="N2200" s="42">
        <v>44634</v>
      </c>
      <c r="O2200" t="s">
        <v>345</v>
      </c>
      <c r="P2200" s="42">
        <v>44634</v>
      </c>
      <c r="Q2200" t="s">
        <v>345</v>
      </c>
      <c r="R2200" t="s">
        <v>320</v>
      </c>
      <c r="S2200" t="s">
        <v>323</v>
      </c>
      <c r="U2200">
        <v>7.6</v>
      </c>
      <c r="Y2200" s="42">
        <v>44635</v>
      </c>
    </row>
    <row r="2201" spans="14:25">
      <c r="N2201" s="42">
        <v>44594</v>
      </c>
      <c r="O2201" t="s">
        <v>328</v>
      </c>
      <c r="P2201" s="42">
        <v>44594</v>
      </c>
      <c r="Q2201" t="s">
        <v>328</v>
      </c>
      <c r="R2201" t="s">
        <v>320</v>
      </c>
      <c r="S2201" t="s">
        <v>323</v>
      </c>
      <c r="T2201">
        <v>7.6</v>
      </c>
      <c r="U2201">
        <v>0</v>
      </c>
      <c r="V2201">
        <v>0</v>
      </c>
      <c r="Y2201" s="42">
        <v>44607</v>
      </c>
    </row>
    <row r="2202" spans="14:25">
      <c r="N2202" s="42">
        <v>44592</v>
      </c>
      <c r="O2202" t="s">
        <v>345</v>
      </c>
      <c r="P2202" s="42">
        <v>44593</v>
      </c>
      <c r="Q2202" t="s">
        <v>333</v>
      </c>
      <c r="R2202" t="s">
        <v>320</v>
      </c>
      <c r="S2202" t="s">
        <v>323</v>
      </c>
      <c r="T2202">
        <v>15.2</v>
      </c>
      <c r="U2202">
        <v>0</v>
      </c>
      <c r="V2202">
        <v>0</v>
      </c>
      <c r="Y2202" s="42">
        <v>44593</v>
      </c>
    </row>
    <row r="2203" spans="14:25">
      <c r="N2203" s="42">
        <v>44587</v>
      </c>
      <c r="O2203" t="s">
        <v>328</v>
      </c>
      <c r="P2203" s="42">
        <v>44587</v>
      </c>
      <c r="Q2203" t="s">
        <v>328</v>
      </c>
      <c r="R2203" t="s">
        <v>320</v>
      </c>
      <c r="S2203" t="s">
        <v>323</v>
      </c>
      <c r="U2203">
        <v>7.6</v>
      </c>
      <c r="Y2203" s="42">
        <v>44593</v>
      </c>
    </row>
    <row r="2204" spans="14:25">
      <c r="N2204" s="42">
        <v>44564</v>
      </c>
      <c r="O2204" t="s">
        <v>345</v>
      </c>
      <c r="P2204" s="42">
        <v>44564</v>
      </c>
      <c r="Q2204" t="s">
        <v>345</v>
      </c>
      <c r="R2204" t="s">
        <v>320</v>
      </c>
      <c r="S2204" t="s">
        <v>323</v>
      </c>
      <c r="U2204">
        <v>7.6</v>
      </c>
      <c r="Y2204" s="42">
        <v>44565</v>
      </c>
    </row>
    <row r="2205" spans="14:25">
      <c r="N2205" s="42">
        <v>44558</v>
      </c>
      <c r="O2205" t="s">
        <v>333</v>
      </c>
      <c r="P2205" s="42">
        <v>44558</v>
      </c>
      <c r="Q2205" t="s">
        <v>333</v>
      </c>
      <c r="R2205" t="s">
        <v>320</v>
      </c>
      <c r="S2205" t="s">
        <v>323</v>
      </c>
      <c r="U2205">
        <v>7.6</v>
      </c>
      <c r="Y2205" s="42">
        <v>44565</v>
      </c>
    </row>
    <row r="2206" spans="14:25">
      <c r="N2206" s="42">
        <v>44557</v>
      </c>
      <c r="O2206" t="s">
        <v>345</v>
      </c>
      <c r="P2206" s="42">
        <v>44557</v>
      </c>
      <c r="Q2206" t="s">
        <v>345</v>
      </c>
      <c r="R2206" t="s">
        <v>320</v>
      </c>
      <c r="S2206" t="s">
        <v>323</v>
      </c>
      <c r="U2206">
        <v>7.6</v>
      </c>
      <c r="Y2206" s="42">
        <v>44565</v>
      </c>
    </row>
    <row r="2207" spans="14:25">
      <c r="N2207" s="42">
        <v>44526</v>
      </c>
      <c r="O2207" t="s">
        <v>346</v>
      </c>
      <c r="P2207" s="42">
        <v>44526</v>
      </c>
      <c r="Q2207" t="s">
        <v>346</v>
      </c>
      <c r="R2207" t="s">
        <v>320</v>
      </c>
      <c r="S2207" t="s">
        <v>323</v>
      </c>
      <c r="T2207">
        <v>7.6</v>
      </c>
      <c r="V2207">
        <v>0</v>
      </c>
      <c r="Y2207" s="42">
        <v>44537</v>
      </c>
    </row>
    <row r="2208" spans="14:25">
      <c r="N2208" s="42">
        <v>44524</v>
      </c>
      <c r="O2208" t="s">
        <v>328</v>
      </c>
      <c r="P2208" s="42">
        <v>44524</v>
      </c>
      <c r="Q2208" t="s">
        <v>328</v>
      </c>
      <c r="R2208" t="s">
        <v>334</v>
      </c>
      <c r="S2208" t="s">
        <v>323</v>
      </c>
      <c r="T2208">
        <v>7.6</v>
      </c>
      <c r="W2208" t="s">
        <v>339</v>
      </c>
      <c r="Y2208" s="42">
        <v>44537</v>
      </c>
    </row>
    <row r="2209" spans="14:25">
      <c r="N2209" s="42">
        <v>44509</v>
      </c>
      <c r="O2209" t="s">
        <v>333</v>
      </c>
      <c r="P2209" s="42">
        <v>44509</v>
      </c>
      <c r="Q2209" t="s">
        <v>333</v>
      </c>
      <c r="R2209" t="s">
        <v>320</v>
      </c>
      <c r="S2209" t="s">
        <v>323</v>
      </c>
      <c r="T2209">
        <v>7.6</v>
      </c>
      <c r="V2209">
        <v>0</v>
      </c>
      <c r="Y2209" s="42">
        <v>44509</v>
      </c>
    </row>
    <row r="2210" spans="14:25">
      <c r="N2210" s="42">
        <v>44502</v>
      </c>
      <c r="O2210" t="s">
        <v>333</v>
      </c>
      <c r="P2210" s="42">
        <v>44502</v>
      </c>
      <c r="Q2210" t="s">
        <v>333</v>
      </c>
      <c r="R2210" t="s">
        <v>320</v>
      </c>
      <c r="S2210" t="s">
        <v>323</v>
      </c>
      <c r="U2210">
        <v>7.6</v>
      </c>
      <c r="Y2210" s="42">
        <v>44509</v>
      </c>
    </row>
    <row r="2211" spans="14:25">
      <c r="N2211" s="42">
        <v>44481</v>
      </c>
      <c r="O2211" t="s">
        <v>333</v>
      </c>
      <c r="P2211" s="42">
        <v>44481</v>
      </c>
      <c r="Q2211" t="s">
        <v>333</v>
      </c>
      <c r="R2211" t="s">
        <v>329</v>
      </c>
      <c r="S2211" t="s">
        <v>323</v>
      </c>
      <c r="T2211">
        <v>7.6</v>
      </c>
      <c r="W2211" t="s">
        <v>339</v>
      </c>
      <c r="Y2211" s="42">
        <v>44481</v>
      </c>
    </row>
    <row r="2212" spans="14:25">
      <c r="N2212" s="42">
        <v>44463</v>
      </c>
      <c r="O2212" t="s">
        <v>346</v>
      </c>
      <c r="P2212" s="42">
        <v>44463</v>
      </c>
      <c r="Q2212" t="s">
        <v>346</v>
      </c>
      <c r="R2212" t="s">
        <v>320</v>
      </c>
      <c r="S2212" t="s">
        <v>323</v>
      </c>
      <c r="U2212">
        <v>7.6</v>
      </c>
      <c r="Y2212" s="42">
        <v>44467</v>
      </c>
    </row>
    <row r="2213" spans="14:25">
      <c r="N2213" s="42">
        <v>44389</v>
      </c>
      <c r="O2213" t="s">
        <v>345</v>
      </c>
      <c r="P2213" s="42">
        <v>44393</v>
      </c>
      <c r="Q2213" t="s">
        <v>346</v>
      </c>
      <c r="R2213" t="s">
        <v>320</v>
      </c>
      <c r="S2213" t="s">
        <v>323</v>
      </c>
      <c r="T2213">
        <v>38</v>
      </c>
      <c r="V2213">
        <v>0</v>
      </c>
      <c r="Y2213" s="42">
        <v>44397</v>
      </c>
    </row>
    <row r="2214" spans="14:25">
      <c r="N2214" s="42">
        <v>44376</v>
      </c>
      <c r="O2214" t="s">
        <v>333</v>
      </c>
      <c r="P2214" s="42">
        <v>44376</v>
      </c>
      <c r="Q2214" t="s">
        <v>333</v>
      </c>
      <c r="R2214" t="s">
        <v>347</v>
      </c>
      <c r="S2214" t="s">
        <v>323</v>
      </c>
      <c r="T2214">
        <v>7.6</v>
      </c>
      <c r="W2214" t="s">
        <v>339</v>
      </c>
      <c r="Y2214" s="42">
        <v>44383</v>
      </c>
    </row>
    <row r="2215" spans="14:25">
      <c r="N2215" s="42">
        <v>44361</v>
      </c>
      <c r="O2215" t="s">
        <v>345</v>
      </c>
      <c r="P2215" s="42">
        <v>44361</v>
      </c>
      <c r="Q2215" t="s">
        <v>345</v>
      </c>
      <c r="R2215" t="s">
        <v>320</v>
      </c>
      <c r="S2215" t="s">
        <v>323</v>
      </c>
      <c r="U2215">
        <v>7.6</v>
      </c>
      <c r="Y2215" s="42">
        <v>44369</v>
      </c>
    </row>
    <row r="2216" spans="14:25">
      <c r="N2216" s="42">
        <v>44342</v>
      </c>
      <c r="O2216" t="s">
        <v>328</v>
      </c>
      <c r="P2216" s="42">
        <v>44342</v>
      </c>
      <c r="Q2216" t="s">
        <v>328</v>
      </c>
      <c r="R2216" t="s">
        <v>329</v>
      </c>
      <c r="S2216" t="s">
        <v>323</v>
      </c>
      <c r="T2216">
        <v>7.6</v>
      </c>
      <c r="W2216" t="s">
        <v>339</v>
      </c>
      <c r="Y2216" s="42">
        <v>44355</v>
      </c>
    </row>
    <row r="2217" spans="14:25">
      <c r="N2217" s="42">
        <v>44291</v>
      </c>
      <c r="O2217" t="s">
        <v>345</v>
      </c>
      <c r="P2217" s="42">
        <v>44291</v>
      </c>
      <c r="Q2217" t="s">
        <v>345</v>
      </c>
      <c r="R2217" t="s">
        <v>320</v>
      </c>
      <c r="S2217" t="s">
        <v>323</v>
      </c>
      <c r="U2217">
        <v>7.6</v>
      </c>
      <c r="Y2217" s="42">
        <v>44299</v>
      </c>
    </row>
    <row r="2218" spans="14:25">
      <c r="N2218" s="42">
        <v>44288</v>
      </c>
      <c r="O2218" t="s">
        <v>346</v>
      </c>
      <c r="P2218" s="42">
        <v>44288</v>
      </c>
      <c r="Q2218" t="s">
        <v>346</v>
      </c>
      <c r="R2218" t="s">
        <v>320</v>
      </c>
      <c r="S2218" t="s">
        <v>323</v>
      </c>
      <c r="U2218">
        <v>7.6</v>
      </c>
      <c r="Y2218" s="42">
        <v>44299</v>
      </c>
    </row>
    <row r="2219" spans="14:25">
      <c r="N2219" s="42">
        <v>44263</v>
      </c>
      <c r="O2219" t="s">
        <v>345</v>
      </c>
      <c r="P2219" s="42">
        <v>44263</v>
      </c>
      <c r="Q2219" t="s">
        <v>345</v>
      </c>
      <c r="R2219" t="s">
        <v>320</v>
      </c>
      <c r="S2219" t="s">
        <v>323</v>
      </c>
      <c r="U2219">
        <v>7.6</v>
      </c>
      <c r="Y2219" s="42">
        <v>44271</v>
      </c>
    </row>
    <row r="2220" spans="14:25">
      <c r="N2220" s="42">
        <v>44238</v>
      </c>
      <c r="O2220" t="s">
        <v>324</v>
      </c>
      <c r="P2220" s="42">
        <v>44239</v>
      </c>
      <c r="Q2220" t="s">
        <v>346</v>
      </c>
      <c r="R2220" t="s">
        <v>320</v>
      </c>
      <c r="S2220" t="s">
        <v>323</v>
      </c>
      <c r="T2220">
        <v>15.2</v>
      </c>
      <c r="V2220">
        <v>0</v>
      </c>
      <c r="Y2220" s="42">
        <v>44243</v>
      </c>
    </row>
    <row r="2221" spans="14:25">
      <c r="N2221" s="42">
        <v>44222</v>
      </c>
      <c r="O2221" t="s">
        <v>333</v>
      </c>
      <c r="P2221" s="42">
        <v>44222</v>
      </c>
      <c r="Q2221" t="s">
        <v>333</v>
      </c>
      <c r="R2221" t="s">
        <v>320</v>
      </c>
      <c r="S2221" t="s">
        <v>323</v>
      </c>
      <c r="U2221">
        <v>7.6</v>
      </c>
      <c r="Y2221" s="42">
        <v>44229</v>
      </c>
    </row>
    <row r="2222" spans="14:25">
      <c r="N2222" s="42">
        <v>44221</v>
      </c>
      <c r="O2222" t="s">
        <v>345</v>
      </c>
      <c r="P2222" s="42">
        <v>44221</v>
      </c>
      <c r="Q2222" t="s">
        <v>345</v>
      </c>
      <c r="R2222" t="s">
        <v>320</v>
      </c>
      <c r="S2222" t="s">
        <v>323</v>
      </c>
      <c r="T2222">
        <v>7.6</v>
      </c>
      <c r="V2222">
        <v>0</v>
      </c>
      <c r="Y2222" s="42">
        <v>44229</v>
      </c>
    </row>
    <row r="2223" spans="14:25">
      <c r="N2223" s="42">
        <v>44216</v>
      </c>
      <c r="O2223" t="s">
        <v>328</v>
      </c>
      <c r="P2223" s="42">
        <v>44218</v>
      </c>
      <c r="Q2223" t="s">
        <v>346</v>
      </c>
      <c r="R2223" t="s">
        <v>320</v>
      </c>
      <c r="S2223" t="s">
        <v>323</v>
      </c>
      <c r="T2223">
        <v>22.8</v>
      </c>
      <c r="U2223">
        <v>0</v>
      </c>
      <c r="V2223">
        <v>0</v>
      </c>
      <c r="Y2223" s="42">
        <v>44229</v>
      </c>
    </row>
    <row r="2224" spans="14:25">
      <c r="N2224" s="42">
        <v>44214</v>
      </c>
      <c r="O2224" t="s">
        <v>345</v>
      </c>
      <c r="P2224" s="42">
        <v>44215</v>
      </c>
      <c r="Q2224" t="s">
        <v>333</v>
      </c>
      <c r="R2224" t="s">
        <v>320</v>
      </c>
      <c r="S2224" t="s">
        <v>323</v>
      </c>
      <c r="T2224">
        <v>15.2</v>
      </c>
      <c r="U2224">
        <v>0</v>
      </c>
      <c r="V2224">
        <v>0</v>
      </c>
      <c r="Y2224" s="42">
        <v>44215</v>
      </c>
    </row>
    <row r="2225" spans="14:25">
      <c r="N2225" s="42">
        <v>44197</v>
      </c>
      <c r="O2225" t="s">
        <v>346</v>
      </c>
      <c r="P2225" s="42">
        <v>44197</v>
      </c>
      <c r="Q2225" t="s">
        <v>346</v>
      </c>
      <c r="R2225" t="s">
        <v>320</v>
      </c>
      <c r="S2225" t="s">
        <v>323</v>
      </c>
      <c r="U2225">
        <v>7.6</v>
      </c>
      <c r="Y2225" s="42">
        <v>44201</v>
      </c>
    </row>
    <row r="2226" spans="14:25">
      <c r="N2226" s="42">
        <v>44193</v>
      </c>
      <c r="O2226" t="s">
        <v>345</v>
      </c>
      <c r="P2226" s="42">
        <v>44193</v>
      </c>
      <c r="Q2226" t="s">
        <v>345</v>
      </c>
      <c r="R2226" t="s">
        <v>320</v>
      </c>
      <c r="S2226" t="s">
        <v>323</v>
      </c>
      <c r="U2226">
        <v>7.6</v>
      </c>
      <c r="Y2226" s="42">
        <v>44201</v>
      </c>
    </row>
    <row r="2227" spans="14:25">
      <c r="N2227" s="42">
        <v>44190</v>
      </c>
      <c r="O2227" t="s">
        <v>346</v>
      </c>
      <c r="P2227" s="42">
        <v>44190</v>
      </c>
      <c r="Q2227" t="s">
        <v>346</v>
      </c>
      <c r="R2227" t="s">
        <v>320</v>
      </c>
      <c r="S2227" t="s">
        <v>323</v>
      </c>
      <c r="U2227">
        <v>7.6</v>
      </c>
      <c r="Y2227" s="42">
        <v>44201</v>
      </c>
    </row>
    <row r="2228" spans="14:25">
      <c r="N2228" s="42">
        <v>44138</v>
      </c>
      <c r="O2228" t="s">
        <v>333</v>
      </c>
      <c r="P2228" s="42">
        <v>44138</v>
      </c>
      <c r="Q2228" t="s">
        <v>333</v>
      </c>
      <c r="R2228" t="s">
        <v>320</v>
      </c>
      <c r="S2228" t="s">
        <v>323</v>
      </c>
      <c r="U2228">
        <v>7.6</v>
      </c>
      <c r="Y2228" s="42">
        <v>44145</v>
      </c>
    </row>
    <row r="2229" spans="14:25">
      <c r="N2229" s="42">
        <v>44127</v>
      </c>
      <c r="O2229" t="s">
        <v>346</v>
      </c>
      <c r="P2229" s="42">
        <v>44127</v>
      </c>
      <c r="Q2229" t="s">
        <v>346</v>
      </c>
      <c r="R2229" t="s">
        <v>320</v>
      </c>
      <c r="S2229" t="s">
        <v>323</v>
      </c>
      <c r="U2229">
        <v>7.6</v>
      </c>
      <c r="Y2229" s="42">
        <v>44131</v>
      </c>
    </row>
    <row r="2230" spans="14:25">
      <c r="N2230" s="42">
        <v>43997</v>
      </c>
      <c r="O2230" t="s">
        <v>345</v>
      </c>
      <c r="P2230" s="42">
        <v>43997</v>
      </c>
      <c r="Q2230" t="s">
        <v>345</v>
      </c>
      <c r="R2230" t="s">
        <v>329</v>
      </c>
      <c r="S2230" t="s">
        <v>323</v>
      </c>
      <c r="T2230">
        <v>7.6</v>
      </c>
      <c r="W2230" t="s">
        <v>330</v>
      </c>
      <c r="X2230" t="s">
        <v>330</v>
      </c>
      <c r="Y2230" s="42">
        <v>44005</v>
      </c>
    </row>
    <row r="2231" spans="14:25">
      <c r="N2231" s="42">
        <v>43990</v>
      </c>
      <c r="O2231" t="s">
        <v>345</v>
      </c>
      <c r="P2231" s="42">
        <v>43990</v>
      </c>
      <c r="Q2231" t="s">
        <v>345</v>
      </c>
      <c r="R2231" t="s">
        <v>320</v>
      </c>
      <c r="S2231" t="s">
        <v>323</v>
      </c>
      <c r="T2231">
        <v>0</v>
      </c>
      <c r="U2231">
        <v>7.6</v>
      </c>
      <c r="Y2231" s="42">
        <v>43991</v>
      </c>
    </row>
    <row r="2232" spans="14:25">
      <c r="N2232" s="42">
        <v>43976</v>
      </c>
      <c r="O2232" t="s">
        <v>345</v>
      </c>
      <c r="P2232" s="42">
        <v>43976</v>
      </c>
      <c r="Q2232" t="s">
        <v>345</v>
      </c>
      <c r="R2232" t="s">
        <v>320</v>
      </c>
      <c r="S2232" t="s">
        <v>323</v>
      </c>
      <c r="T2232">
        <v>7.6</v>
      </c>
      <c r="V2232">
        <v>0</v>
      </c>
      <c r="Y2232" s="42">
        <v>43977</v>
      </c>
    </row>
    <row r="2233" spans="14:25">
      <c r="N2233" s="42">
        <v>43971</v>
      </c>
      <c r="O2233" t="s">
        <v>328</v>
      </c>
      <c r="P2233" s="42">
        <v>43971</v>
      </c>
      <c r="Q2233" t="s">
        <v>328</v>
      </c>
      <c r="R2233" t="s">
        <v>320</v>
      </c>
      <c r="S2233" t="s">
        <v>323</v>
      </c>
      <c r="T2233">
        <v>7.6</v>
      </c>
      <c r="V2233">
        <v>0</v>
      </c>
      <c r="Y2233" s="42">
        <v>43977</v>
      </c>
    </row>
    <row r="2234" spans="14:25">
      <c r="N2234" s="42">
        <v>43962</v>
      </c>
      <c r="O2234" t="s">
        <v>345</v>
      </c>
      <c r="P2234" s="42">
        <v>43962</v>
      </c>
      <c r="Q2234" t="s">
        <v>345</v>
      </c>
      <c r="R2234" t="s">
        <v>320</v>
      </c>
      <c r="S2234" t="s">
        <v>323</v>
      </c>
      <c r="T2234">
        <v>7.6</v>
      </c>
      <c r="V2234">
        <v>0</v>
      </c>
      <c r="Y2234" s="42">
        <v>43963</v>
      </c>
    </row>
    <row r="2235" spans="14:25">
      <c r="N2235" s="42">
        <v>43945</v>
      </c>
      <c r="O2235" t="s">
        <v>346</v>
      </c>
      <c r="P2235" s="42">
        <v>43948</v>
      </c>
      <c r="Q2235" t="s">
        <v>345</v>
      </c>
      <c r="R2235" t="s">
        <v>320</v>
      </c>
      <c r="S2235" t="s">
        <v>323</v>
      </c>
      <c r="T2235">
        <v>15.2</v>
      </c>
      <c r="V2235">
        <v>0</v>
      </c>
      <c r="Y2235" s="42">
        <v>43949</v>
      </c>
    </row>
    <row r="2236" spans="14:25">
      <c r="N2236" s="42">
        <v>43934</v>
      </c>
      <c r="O2236" t="s">
        <v>345</v>
      </c>
      <c r="P2236" s="42">
        <v>43934</v>
      </c>
      <c r="Q2236" t="s">
        <v>345</v>
      </c>
      <c r="R2236" t="s">
        <v>320</v>
      </c>
      <c r="S2236" t="s">
        <v>323</v>
      </c>
      <c r="T2236">
        <v>0</v>
      </c>
      <c r="U2236">
        <v>7.6</v>
      </c>
      <c r="Y2236" s="42">
        <v>43935</v>
      </c>
    </row>
    <row r="2237" spans="14:25">
      <c r="N2237" s="42">
        <v>43931</v>
      </c>
      <c r="O2237" t="s">
        <v>346</v>
      </c>
      <c r="P2237" s="42">
        <v>43931</v>
      </c>
      <c r="Q2237" t="s">
        <v>346</v>
      </c>
      <c r="R2237" t="s">
        <v>320</v>
      </c>
      <c r="S2237" t="s">
        <v>323</v>
      </c>
      <c r="T2237">
        <v>0</v>
      </c>
      <c r="U2237">
        <v>7.6</v>
      </c>
      <c r="Y2237" s="42">
        <v>43935</v>
      </c>
    </row>
    <row r="2238" spans="14:25">
      <c r="N2238" s="42">
        <v>43902</v>
      </c>
      <c r="O2238" t="s">
        <v>324</v>
      </c>
      <c r="P2238" s="42">
        <v>43902</v>
      </c>
      <c r="Q2238" t="s">
        <v>324</v>
      </c>
      <c r="R2238" t="s">
        <v>320</v>
      </c>
      <c r="S2238" t="s">
        <v>323</v>
      </c>
      <c r="T2238">
        <v>7.6</v>
      </c>
      <c r="V2238">
        <v>0</v>
      </c>
      <c r="Y2238" s="42">
        <v>43921</v>
      </c>
    </row>
    <row r="2239" spans="14:25">
      <c r="N2239" s="42">
        <v>43899</v>
      </c>
      <c r="O2239" t="s">
        <v>345</v>
      </c>
      <c r="P2239" s="42">
        <v>43899</v>
      </c>
      <c r="Q2239" t="s">
        <v>345</v>
      </c>
      <c r="R2239" t="s">
        <v>320</v>
      </c>
      <c r="S2239" t="s">
        <v>323</v>
      </c>
      <c r="T2239">
        <v>0</v>
      </c>
      <c r="U2239">
        <v>7.6</v>
      </c>
      <c r="Y2239" s="42">
        <v>43907</v>
      </c>
    </row>
    <row r="2240" spans="14:25">
      <c r="N2240" s="42">
        <v>43894</v>
      </c>
      <c r="O2240" t="s">
        <v>328</v>
      </c>
      <c r="P2240" s="42">
        <v>43894</v>
      </c>
      <c r="Q2240" t="s">
        <v>328</v>
      </c>
      <c r="R2240" t="s">
        <v>320</v>
      </c>
      <c r="S2240" t="s">
        <v>323</v>
      </c>
      <c r="T2240">
        <v>7.6</v>
      </c>
      <c r="V2240">
        <v>0</v>
      </c>
      <c r="Y2240" s="42">
        <v>43907</v>
      </c>
    </row>
    <row r="2241" spans="1:25">
      <c r="N2241" s="42">
        <v>43893</v>
      </c>
      <c r="O2241" t="s">
        <v>333</v>
      </c>
      <c r="P2241" s="42">
        <v>43893</v>
      </c>
      <c r="Q2241" t="s">
        <v>333</v>
      </c>
      <c r="R2241" t="s">
        <v>320</v>
      </c>
      <c r="S2241" t="s">
        <v>323</v>
      </c>
      <c r="T2241">
        <v>7.6</v>
      </c>
      <c r="Y2241" s="42">
        <v>43893</v>
      </c>
    </row>
    <row r="2242" spans="1:25">
      <c r="N2242" s="42">
        <v>43857</v>
      </c>
      <c r="O2242" t="s">
        <v>345</v>
      </c>
      <c r="P2242" s="42">
        <v>43857</v>
      </c>
      <c r="Q2242" t="s">
        <v>345</v>
      </c>
      <c r="R2242" t="s">
        <v>320</v>
      </c>
      <c r="S2242" t="s">
        <v>323</v>
      </c>
      <c r="T2242">
        <v>0</v>
      </c>
      <c r="U2242">
        <v>7.6</v>
      </c>
      <c r="Y2242" s="42">
        <v>43865</v>
      </c>
    </row>
    <row r="2243" spans="1:25">
      <c r="N2243" s="42">
        <v>43854</v>
      </c>
      <c r="O2243" t="s">
        <v>346</v>
      </c>
      <c r="P2243" s="42">
        <v>43854</v>
      </c>
      <c r="Q2243" t="s">
        <v>346</v>
      </c>
      <c r="R2243" t="s">
        <v>320</v>
      </c>
      <c r="S2243" t="s">
        <v>323</v>
      </c>
      <c r="T2243">
        <v>7.6</v>
      </c>
      <c r="V2243">
        <v>0</v>
      </c>
      <c r="Y2243" s="42">
        <v>43865</v>
      </c>
    </row>
    <row r="2244" spans="1:25">
      <c r="N2244" s="42">
        <v>43853</v>
      </c>
      <c r="O2244" t="s">
        <v>324</v>
      </c>
      <c r="P2244" s="42">
        <v>43853</v>
      </c>
      <c r="Q2244" t="s">
        <v>324</v>
      </c>
      <c r="R2244" t="s">
        <v>320</v>
      </c>
      <c r="S2244" t="s">
        <v>323</v>
      </c>
      <c r="T2244">
        <v>7.6</v>
      </c>
      <c r="V2244">
        <v>0</v>
      </c>
      <c r="Y2244" s="42">
        <v>43865</v>
      </c>
    </row>
    <row r="2245" spans="1:25">
      <c r="N2245" s="42">
        <v>43838</v>
      </c>
      <c r="O2245" t="s">
        <v>328</v>
      </c>
      <c r="P2245" s="42">
        <v>43839</v>
      </c>
      <c r="Q2245" t="s">
        <v>324</v>
      </c>
      <c r="R2245" t="s">
        <v>329</v>
      </c>
      <c r="S2245" t="s">
        <v>323</v>
      </c>
      <c r="T2245">
        <v>15.2</v>
      </c>
      <c r="W2245" t="s">
        <v>330</v>
      </c>
      <c r="X2245" t="s">
        <v>330</v>
      </c>
      <c r="Y2245" s="42">
        <v>43851</v>
      </c>
    </row>
    <row r="2246" spans="1:25">
      <c r="N2246" s="42">
        <v>43836</v>
      </c>
      <c r="O2246" t="s">
        <v>345</v>
      </c>
      <c r="P2246" s="42">
        <v>43837</v>
      </c>
      <c r="Q2246" t="s">
        <v>333</v>
      </c>
      <c r="R2246" t="s">
        <v>329</v>
      </c>
      <c r="S2246" t="s">
        <v>323</v>
      </c>
      <c r="T2246">
        <v>15.2</v>
      </c>
      <c r="W2246" t="s">
        <v>339</v>
      </c>
      <c r="Y2246" s="42">
        <v>43837</v>
      </c>
    </row>
    <row r="2247" spans="1:25">
      <c r="N2247" s="42">
        <v>43831</v>
      </c>
      <c r="O2247" t="s">
        <v>328</v>
      </c>
      <c r="P2247" s="42">
        <v>43831</v>
      </c>
      <c r="Q2247" t="s">
        <v>328</v>
      </c>
      <c r="R2247" t="s">
        <v>320</v>
      </c>
      <c r="S2247" t="s">
        <v>323</v>
      </c>
      <c r="T2247">
        <v>0</v>
      </c>
      <c r="U2247">
        <v>7.6</v>
      </c>
      <c r="Y2247" s="42">
        <v>43837</v>
      </c>
    </row>
    <row r="2248" spans="1:25">
      <c r="N2248" s="42">
        <v>43824</v>
      </c>
      <c r="O2248" t="s">
        <v>328</v>
      </c>
      <c r="P2248" s="42">
        <v>43825</v>
      </c>
      <c r="Q2248" t="s">
        <v>324</v>
      </c>
      <c r="R2248" t="s">
        <v>320</v>
      </c>
      <c r="S2248" t="s">
        <v>323</v>
      </c>
      <c r="T2248">
        <v>0</v>
      </c>
      <c r="U2248">
        <v>15.2</v>
      </c>
      <c r="Y2248" s="42">
        <v>43837</v>
      </c>
    </row>
    <row r="2249" spans="1:25">
      <c r="N2249" s="42">
        <v>43808</v>
      </c>
      <c r="O2249" t="s">
        <v>345</v>
      </c>
      <c r="P2249" s="42">
        <v>43808</v>
      </c>
      <c r="Q2249" t="s">
        <v>345</v>
      </c>
      <c r="R2249" t="s">
        <v>329</v>
      </c>
      <c r="S2249" t="s">
        <v>323</v>
      </c>
      <c r="T2249">
        <v>7.6</v>
      </c>
      <c r="W2249" t="s">
        <v>339</v>
      </c>
      <c r="Y2249" s="42">
        <v>43809</v>
      </c>
    </row>
    <row r="2250" spans="1:25">
      <c r="N2250" s="42">
        <v>43774</v>
      </c>
      <c r="O2250" t="s">
        <v>333</v>
      </c>
      <c r="P2250" s="42">
        <v>43774</v>
      </c>
      <c r="Q2250" t="s">
        <v>333</v>
      </c>
      <c r="R2250" t="s">
        <v>320</v>
      </c>
      <c r="S2250" t="s">
        <v>323</v>
      </c>
      <c r="T2250">
        <v>0</v>
      </c>
      <c r="U2250">
        <v>7.6</v>
      </c>
      <c r="Y2250" s="42">
        <v>43781</v>
      </c>
    </row>
    <row r="2251" spans="1:25">
      <c r="N2251" s="42">
        <v>43768</v>
      </c>
      <c r="O2251" t="s">
        <v>328</v>
      </c>
      <c r="P2251" s="42">
        <v>43773</v>
      </c>
      <c r="Q2251" t="s">
        <v>345</v>
      </c>
      <c r="R2251" t="s">
        <v>320</v>
      </c>
      <c r="S2251" t="s">
        <v>323</v>
      </c>
      <c r="T2251">
        <v>30.4</v>
      </c>
      <c r="U2251">
        <v>0</v>
      </c>
      <c r="V2251">
        <v>0</v>
      </c>
      <c r="Y2251" s="42">
        <v>43781</v>
      </c>
    </row>
    <row r="2252" spans="1:25">
      <c r="N2252" s="42">
        <v>43759</v>
      </c>
      <c r="O2252" t="s">
        <v>345</v>
      </c>
      <c r="P2252" s="42">
        <v>43767</v>
      </c>
      <c r="Q2252" t="s">
        <v>333</v>
      </c>
      <c r="R2252" t="s">
        <v>320</v>
      </c>
      <c r="S2252" t="s">
        <v>323</v>
      </c>
      <c r="T2252">
        <v>53.2</v>
      </c>
      <c r="U2252">
        <v>0</v>
      </c>
      <c r="V2252">
        <v>0</v>
      </c>
      <c r="Y2252" s="42">
        <v>43767</v>
      </c>
    </row>
    <row r="2253" spans="1:25">
      <c r="N2253" s="42">
        <v>43628</v>
      </c>
      <c r="O2253" t="s">
        <v>328</v>
      </c>
      <c r="P2253" s="42">
        <v>43641</v>
      </c>
      <c r="Q2253" t="s">
        <v>333</v>
      </c>
      <c r="R2253" t="s">
        <v>320</v>
      </c>
      <c r="S2253" t="s">
        <v>323</v>
      </c>
      <c r="T2253">
        <v>60.8</v>
      </c>
      <c r="Y2253" s="42">
        <v>43641</v>
      </c>
    </row>
    <row r="2254" spans="1:25">
      <c r="A2254">
        <v>18559</v>
      </c>
      <c r="B2254" t="s">
        <v>382</v>
      </c>
      <c r="C2254" t="s">
        <v>320</v>
      </c>
      <c r="D2254" t="s">
        <v>336</v>
      </c>
      <c r="E2254" t="s">
        <v>337</v>
      </c>
      <c r="F2254">
        <v>1</v>
      </c>
      <c r="G2254" s="42">
        <v>45207</v>
      </c>
      <c r="H2254">
        <v>152</v>
      </c>
      <c r="I2254">
        <v>178.7191</v>
      </c>
      <c r="J2254">
        <v>61.2164</v>
      </c>
      <c r="K2254">
        <v>239.93549999999999</v>
      </c>
      <c r="L2254" t="s">
        <v>323</v>
      </c>
      <c r="M2254" s="43">
        <v>0.41944444444444445</v>
      </c>
      <c r="N2254" s="42">
        <v>44952</v>
      </c>
      <c r="O2254" t="s">
        <v>324</v>
      </c>
      <c r="P2254" s="42">
        <v>44952</v>
      </c>
      <c r="Q2254" t="s">
        <v>324</v>
      </c>
      <c r="R2254" t="s">
        <v>320</v>
      </c>
      <c r="S2254" t="s">
        <v>323</v>
      </c>
      <c r="U2254">
        <v>7.6</v>
      </c>
      <c r="Y2254" s="42">
        <v>44957</v>
      </c>
    </row>
    <row r="2255" spans="1:25">
      <c r="C2255" t="s">
        <v>325</v>
      </c>
      <c r="D2255" t="s">
        <v>352</v>
      </c>
      <c r="E2255" t="s">
        <v>353</v>
      </c>
      <c r="F2255">
        <v>1</v>
      </c>
      <c r="G2255" s="42">
        <v>45207</v>
      </c>
      <c r="H2255">
        <v>32.934600000000003</v>
      </c>
      <c r="I2255">
        <v>329.1678</v>
      </c>
      <c r="J2255">
        <v>13.264099999999999</v>
      </c>
      <c r="K2255">
        <v>342.43189999999998</v>
      </c>
      <c r="L2255" t="s">
        <v>323</v>
      </c>
      <c r="N2255" s="42">
        <v>44928</v>
      </c>
      <c r="O2255" t="s">
        <v>345</v>
      </c>
      <c r="P2255" s="42">
        <v>44928</v>
      </c>
      <c r="Q2255" t="s">
        <v>345</v>
      </c>
      <c r="R2255" t="s">
        <v>320</v>
      </c>
      <c r="S2255" t="s">
        <v>323</v>
      </c>
      <c r="U2255">
        <v>7.6</v>
      </c>
      <c r="Y2255" s="42">
        <v>44929</v>
      </c>
    </row>
    <row r="2256" spans="1:25">
      <c r="C2256" t="s">
        <v>329</v>
      </c>
      <c r="D2256" t="s">
        <v>342</v>
      </c>
      <c r="E2256" t="s">
        <v>343</v>
      </c>
      <c r="F2256">
        <v>1</v>
      </c>
      <c r="G2256" s="42">
        <v>45207</v>
      </c>
      <c r="H2256">
        <v>76</v>
      </c>
      <c r="I2256">
        <v>306.7824</v>
      </c>
      <c r="J2256">
        <v>30.6082</v>
      </c>
      <c r="K2256">
        <v>337.39060000000001</v>
      </c>
      <c r="L2256" t="s">
        <v>323</v>
      </c>
      <c r="N2256" s="42">
        <v>44922</v>
      </c>
      <c r="O2256" t="s">
        <v>333</v>
      </c>
      <c r="P2256" s="42">
        <v>44922</v>
      </c>
      <c r="Q2256" t="s">
        <v>333</v>
      </c>
      <c r="R2256" t="s">
        <v>320</v>
      </c>
      <c r="S2256" t="s">
        <v>323</v>
      </c>
      <c r="U2256">
        <v>7.6</v>
      </c>
      <c r="Y2256" s="42">
        <v>44929</v>
      </c>
    </row>
    <row r="2257" spans="14:25">
      <c r="N2257" s="42">
        <v>44921</v>
      </c>
      <c r="O2257" t="s">
        <v>345</v>
      </c>
      <c r="P2257" s="42">
        <v>44921</v>
      </c>
      <c r="Q2257" t="s">
        <v>345</v>
      </c>
      <c r="R2257" t="s">
        <v>320</v>
      </c>
      <c r="S2257" t="s">
        <v>323</v>
      </c>
      <c r="U2257">
        <v>7.6</v>
      </c>
      <c r="Y2257" s="42">
        <v>44929</v>
      </c>
    </row>
    <row r="2258" spans="14:25">
      <c r="N2258" s="42">
        <v>44873</v>
      </c>
      <c r="O2258" t="s">
        <v>333</v>
      </c>
      <c r="P2258" s="42">
        <v>44873</v>
      </c>
      <c r="Q2258" t="s">
        <v>333</v>
      </c>
      <c r="R2258" t="s">
        <v>383</v>
      </c>
      <c r="S2258" t="s">
        <v>323</v>
      </c>
      <c r="T2258">
        <v>76</v>
      </c>
      <c r="W2258" t="s">
        <v>339</v>
      </c>
      <c r="Y2258" s="42">
        <v>44873</v>
      </c>
    </row>
    <row r="2259" spans="14:25">
      <c r="N2259" s="42">
        <v>44860</v>
      </c>
      <c r="O2259" t="s">
        <v>328</v>
      </c>
      <c r="P2259" s="42">
        <v>44860</v>
      </c>
      <c r="Q2259" t="s">
        <v>328</v>
      </c>
      <c r="R2259" t="s">
        <v>320</v>
      </c>
      <c r="S2259" t="s">
        <v>323</v>
      </c>
      <c r="T2259">
        <v>7.6</v>
      </c>
      <c r="Y2259" s="42">
        <v>44873</v>
      </c>
    </row>
    <row r="2260" spans="14:25">
      <c r="N2260" s="42">
        <v>44858</v>
      </c>
      <c r="O2260" t="s">
        <v>345</v>
      </c>
      <c r="P2260" s="42">
        <v>44858</v>
      </c>
      <c r="Q2260" t="s">
        <v>345</v>
      </c>
      <c r="R2260" t="s">
        <v>320</v>
      </c>
      <c r="S2260" t="s">
        <v>323</v>
      </c>
      <c r="T2260">
        <v>7.6</v>
      </c>
      <c r="Y2260" s="42">
        <v>44859</v>
      </c>
    </row>
    <row r="2261" spans="14:25">
      <c r="N2261" s="42">
        <v>44847</v>
      </c>
      <c r="O2261" t="s">
        <v>324</v>
      </c>
      <c r="P2261" s="42">
        <v>44847</v>
      </c>
      <c r="Q2261" t="s">
        <v>324</v>
      </c>
      <c r="R2261" t="s">
        <v>320</v>
      </c>
      <c r="S2261" t="s">
        <v>323</v>
      </c>
      <c r="T2261">
        <v>7.6</v>
      </c>
      <c r="Y2261" s="42">
        <v>44859</v>
      </c>
    </row>
    <row r="2262" spans="14:25">
      <c r="N2262" s="42">
        <v>44837</v>
      </c>
      <c r="O2262" t="s">
        <v>345</v>
      </c>
      <c r="P2262" s="42">
        <v>44837</v>
      </c>
      <c r="Q2262" t="s">
        <v>345</v>
      </c>
      <c r="R2262" t="s">
        <v>320</v>
      </c>
      <c r="S2262" t="s">
        <v>323</v>
      </c>
      <c r="U2262">
        <v>7.6</v>
      </c>
    </row>
    <row r="2263" spans="14:25">
      <c r="N2263" s="42">
        <v>44837</v>
      </c>
      <c r="O2263" t="s">
        <v>345</v>
      </c>
      <c r="P2263" s="42">
        <v>44837</v>
      </c>
      <c r="Q2263" t="s">
        <v>345</v>
      </c>
      <c r="R2263" t="s">
        <v>320</v>
      </c>
      <c r="S2263" t="s">
        <v>323</v>
      </c>
      <c r="U2263">
        <v>7.6</v>
      </c>
      <c r="Y2263" s="42">
        <v>44845</v>
      </c>
    </row>
    <row r="2264" spans="14:25">
      <c r="N2264" s="42">
        <v>44826</v>
      </c>
      <c r="O2264" t="s">
        <v>324</v>
      </c>
      <c r="P2264" s="42">
        <v>44826</v>
      </c>
      <c r="Q2264" t="s">
        <v>324</v>
      </c>
      <c r="R2264" t="s">
        <v>320</v>
      </c>
      <c r="S2264" t="s">
        <v>323</v>
      </c>
      <c r="U2264">
        <v>7.6</v>
      </c>
    </row>
    <row r="2265" spans="14:25">
      <c r="N2265" s="42">
        <v>44811</v>
      </c>
      <c r="O2265" t="s">
        <v>328</v>
      </c>
      <c r="P2265" s="42">
        <v>44811</v>
      </c>
      <c r="Q2265" t="s">
        <v>328</v>
      </c>
      <c r="R2265" t="s">
        <v>329</v>
      </c>
      <c r="S2265" t="s">
        <v>323</v>
      </c>
      <c r="T2265">
        <v>2</v>
      </c>
      <c r="W2265" t="s">
        <v>330</v>
      </c>
      <c r="Y2265" s="42">
        <v>44817</v>
      </c>
    </row>
    <row r="2266" spans="14:25">
      <c r="N2266" s="42">
        <v>44761</v>
      </c>
      <c r="O2266" t="s">
        <v>333</v>
      </c>
      <c r="P2266" s="42">
        <v>44761</v>
      </c>
      <c r="Q2266" t="s">
        <v>333</v>
      </c>
      <c r="R2266" t="s">
        <v>329</v>
      </c>
      <c r="S2266" t="s">
        <v>323</v>
      </c>
      <c r="T2266">
        <v>1.2166999999999999</v>
      </c>
      <c r="W2266" t="s">
        <v>330</v>
      </c>
      <c r="Y2266" s="42">
        <v>44761</v>
      </c>
    </row>
    <row r="2267" spans="14:25">
      <c r="N2267" s="42">
        <v>44733</v>
      </c>
      <c r="O2267" t="s">
        <v>333</v>
      </c>
      <c r="P2267" s="42">
        <v>44733</v>
      </c>
      <c r="Q2267" t="s">
        <v>333</v>
      </c>
      <c r="R2267" t="s">
        <v>363</v>
      </c>
      <c r="S2267" t="s">
        <v>323</v>
      </c>
      <c r="T2267">
        <v>4</v>
      </c>
      <c r="W2267" t="s">
        <v>330</v>
      </c>
      <c r="Y2267" s="42">
        <v>44733</v>
      </c>
    </row>
    <row r="2268" spans="14:25">
      <c r="N2268" s="42">
        <v>44725</v>
      </c>
      <c r="O2268" t="s">
        <v>345</v>
      </c>
      <c r="P2268" s="42">
        <v>44725</v>
      </c>
      <c r="Q2268" t="s">
        <v>345</v>
      </c>
      <c r="R2268" t="s">
        <v>320</v>
      </c>
      <c r="S2268" t="s">
        <v>323</v>
      </c>
      <c r="U2268">
        <v>7.6</v>
      </c>
    </row>
    <row r="2269" spans="14:25">
      <c r="N2269" s="42">
        <v>44679</v>
      </c>
      <c r="O2269" t="s">
        <v>324</v>
      </c>
      <c r="P2269" s="42">
        <v>44679</v>
      </c>
      <c r="Q2269" t="s">
        <v>324</v>
      </c>
      <c r="R2269" t="s">
        <v>329</v>
      </c>
      <c r="S2269" t="s">
        <v>323</v>
      </c>
      <c r="T2269">
        <v>7.6</v>
      </c>
      <c r="W2269" t="s">
        <v>330</v>
      </c>
      <c r="Y2269" s="42">
        <v>44691</v>
      </c>
    </row>
    <row r="2270" spans="14:25">
      <c r="N2270" s="42">
        <v>44676</v>
      </c>
      <c r="O2270" t="s">
        <v>345</v>
      </c>
      <c r="P2270" s="42">
        <v>44676</v>
      </c>
      <c r="Q2270" t="s">
        <v>345</v>
      </c>
      <c r="R2270" t="s">
        <v>320</v>
      </c>
      <c r="S2270" t="s">
        <v>323</v>
      </c>
      <c r="U2270">
        <v>7.6</v>
      </c>
    </row>
    <row r="2271" spans="14:25">
      <c r="N2271" s="42">
        <v>44669</v>
      </c>
      <c r="O2271" t="s">
        <v>345</v>
      </c>
      <c r="P2271" s="42">
        <v>44669</v>
      </c>
      <c r="Q2271" t="s">
        <v>345</v>
      </c>
      <c r="R2271" t="s">
        <v>320</v>
      </c>
      <c r="S2271" t="s">
        <v>323</v>
      </c>
      <c r="U2271">
        <v>7.6</v>
      </c>
    </row>
    <row r="2272" spans="14:25">
      <c r="N2272" s="42">
        <v>44666</v>
      </c>
      <c r="O2272" t="s">
        <v>346</v>
      </c>
      <c r="P2272" s="42">
        <v>44666</v>
      </c>
      <c r="Q2272" t="s">
        <v>346</v>
      </c>
      <c r="R2272" t="s">
        <v>320</v>
      </c>
      <c r="S2272" t="s">
        <v>323</v>
      </c>
      <c r="U2272">
        <v>7.6</v>
      </c>
    </row>
    <row r="2273" spans="14:25">
      <c r="N2273" s="42">
        <v>44656</v>
      </c>
      <c r="O2273" t="s">
        <v>333</v>
      </c>
      <c r="P2273" s="42">
        <v>44656</v>
      </c>
      <c r="Q2273" t="s">
        <v>333</v>
      </c>
      <c r="R2273" t="s">
        <v>329</v>
      </c>
      <c r="S2273" t="s">
        <v>323</v>
      </c>
      <c r="T2273">
        <v>7.6</v>
      </c>
      <c r="W2273" t="s">
        <v>330</v>
      </c>
      <c r="Y2273" s="42">
        <v>44663</v>
      </c>
    </row>
    <row r="2274" spans="14:25">
      <c r="N2274" s="42">
        <v>44652</v>
      </c>
      <c r="O2274" t="s">
        <v>346</v>
      </c>
      <c r="P2274" s="42">
        <v>44652</v>
      </c>
      <c r="Q2274" t="s">
        <v>346</v>
      </c>
      <c r="R2274" t="s">
        <v>329</v>
      </c>
      <c r="S2274" t="s">
        <v>323</v>
      </c>
      <c r="T2274">
        <v>7.6</v>
      </c>
      <c r="W2274" t="s">
        <v>330</v>
      </c>
      <c r="Y2274" s="42">
        <v>44663</v>
      </c>
    </row>
    <row r="2275" spans="14:25">
      <c r="N2275" s="42">
        <v>44638</v>
      </c>
      <c r="O2275" t="s">
        <v>346</v>
      </c>
      <c r="P2275" s="42">
        <v>44638</v>
      </c>
      <c r="Q2275" t="s">
        <v>346</v>
      </c>
      <c r="R2275" t="s">
        <v>329</v>
      </c>
      <c r="S2275" t="s">
        <v>323</v>
      </c>
      <c r="T2275">
        <v>7.6</v>
      </c>
      <c r="W2275" t="s">
        <v>330</v>
      </c>
      <c r="Y2275" s="42">
        <v>44649</v>
      </c>
    </row>
    <row r="2276" spans="14:25">
      <c r="N2276" s="42">
        <v>44610</v>
      </c>
      <c r="O2276" t="s">
        <v>346</v>
      </c>
      <c r="P2276" s="42">
        <v>44610</v>
      </c>
      <c r="Q2276" t="s">
        <v>346</v>
      </c>
      <c r="R2276" t="s">
        <v>320</v>
      </c>
      <c r="S2276" t="s">
        <v>323</v>
      </c>
      <c r="T2276">
        <v>7.6</v>
      </c>
      <c r="Y2276" s="42">
        <v>44621</v>
      </c>
    </row>
    <row r="2277" spans="14:25">
      <c r="N2277" s="42">
        <v>44609</v>
      </c>
      <c r="O2277" t="s">
        <v>324</v>
      </c>
      <c r="P2277" s="42">
        <v>44609</v>
      </c>
      <c r="Q2277" t="s">
        <v>324</v>
      </c>
      <c r="R2277" t="s">
        <v>320</v>
      </c>
      <c r="S2277" t="s">
        <v>323</v>
      </c>
      <c r="T2277">
        <v>7.6</v>
      </c>
      <c r="Y2277" s="42">
        <v>44621</v>
      </c>
    </row>
    <row r="2278" spans="14:25">
      <c r="N2278" s="42">
        <v>44608</v>
      </c>
      <c r="O2278" t="s">
        <v>328</v>
      </c>
      <c r="P2278" s="42">
        <v>44608</v>
      </c>
      <c r="Q2278" t="s">
        <v>328</v>
      </c>
      <c r="R2278" t="s">
        <v>320</v>
      </c>
      <c r="S2278" t="s">
        <v>323</v>
      </c>
      <c r="T2278">
        <v>7.6</v>
      </c>
      <c r="Y2278" s="42">
        <v>44621</v>
      </c>
    </row>
    <row r="2279" spans="14:25">
      <c r="N2279" s="42">
        <v>44607</v>
      </c>
      <c r="O2279" t="s">
        <v>333</v>
      </c>
      <c r="P2279" s="42">
        <v>44607</v>
      </c>
      <c r="Q2279" t="s">
        <v>333</v>
      </c>
      <c r="R2279" t="s">
        <v>320</v>
      </c>
      <c r="S2279" t="s">
        <v>323</v>
      </c>
      <c r="T2279">
        <v>7.6</v>
      </c>
      <c r="Y2279" s="42">
        <v>44607</v>
      </c>
    </row>
    <row r="2280" spans="14:25">
      <c r="N2280" s="42">
        <v>44606</v>
      </c>
      <c r="O2280" t="s">
        <v>345</v>
      </c>
      <c r="P2280" s="42">
        <v>44606</v>
      </c>
      <c r="Q2280" t="s">
        <v>345</v>
      </c>
      <c r="R2280" t="s">
        <v>320</v>
      </c>
      <c r="S2280" t="s">
        <v>323</v>
      </c>
      <c r="T2280">
        <v>7.6</v>
      </c>
      <c r="Y2280" s="42">
        <v>44607</v>
      </c>
    </row>
    <row r="2281" spans="14:25">
      <c r="N2281" s="42">
        <v>44603</v>
      </c>
      <c r="O2281" t="s">
        <v>346</v>
      </c>
      <c r="P2281" s="42">
        <v>44603</v>
      </c>
      <c r="Q2281" t="s">
        <v>346</v>
      </c>
      <c r="R2281" t="s">
        <v>320</v>
      </c>
      <c r="S2281" t="s">
        <v>323</v>
      </c>
      <c r="T2281">
        <v>7.6</v>
      </c>
      <c r="Y2281" s="42">
        <v>44607</v>
      </c>
    </row>
    <row r="2282" spans="14:25">
      <c r="N2282" s="42">
        <v>44602</v>
      </c>
      <c r="O2282" t="s">
        <v>324</v>
      </c>
      <c r="P2282" s="42">
        <v>44602</v>
      </c>
      <c r="Q2282" t="s">
        <v>324</v>
      </c>
      <c r="R2282" t="s">
        <v>320</v>
      </c>
      <c r="S2282" t="s">
        <v>323</v>
      </c>
      <c r="T2282">
        <v>7.6</v>
      </c>
      <c r="Y2282" s="42">
        <v>44607</v>
      </c>
    </row>
    <row r="2283" spans="14:25">
      <c r="N2283" s="42">
        <v>44601</v>
      </c>
      <c r="O2283" t="s">
        <v>328</v>
      </c>
      <c r="P2283" s="42">
        <v>44601</v>
      </c>
      <c r="Q2283" t="s">
        <v>328</v>
      </c>
      <c r="R2283" t="s">
        <v>320</v>
      </c>
      <c r="S2283" t="s">
        <v>323</v>
      </c>
      <c r="T2283">
        <v>7.6</v>
      </c>
      <c r="Y2283" s="42">
        <v>44607</v>
      </c>
    </row>
    <row r="2284" spans="14:25">
      <c r="N2284" s="42">
        <v>44600</v>
      </c>
      <c r="O2284" t="s">
        <v>333</v>
      </c>
      <c r="P2284" s="42">
        <v>44600</v>
      </c>
      <c r="Q2284" t="s">
        <v>333</v>
      </c>
      <c r="R2284" t="s">
        <v>320</v>
      </c>
      <c r="S2284" t="s">
        <v>323</v>
      </c>
      <c r="T2284">
        <v>7.6</v>
      </c>
      <c r="Y2284" s="42">
        <v>44607</v>
      </c>
    </row>
    <row r="2285" spans="14:25">
      <c r="N2285" s="42">
        <v>44599</v>
      </c>
      <c r="O2285" t="s">
        <v>345</v>
      </c>
      <c r="P2285" s="42">
        <v>44599</v>
      </c>
      <c r="Q2285" t="s">
        <v>345</v>
      </c>
      <c r="R2285" t="s">
        <v>320</v>
      </c>
      <c r="S2285" t="s">
        <v>323</v>
      </c>
      <c r="T2285">
        <v>7.6</v>
      </c>
      <c r="Y2285" s="42">
        <v>44607</v>
      </c>
    </row>
    <row r="2286" spans="14:25">
      <c r="N2286" s="42">
        <v>44596</v>
      </c>
      <c r="O2286" t="s">
        <v>346</v>
      </c>
      <c r="P2286" s="42">
        <v>44596</v>
      </c>
      <c r="Q2286" t="s">
        <v>346</v>
      </c>
      <c r="R2286" t="s">
        <v>320</v>
      </c>
      <c r="S2286" t="s">
        <v>323</v>
      </c>
      <c r="T2286">
        <v>7.6</v>
      </c>
      <c r="Y2286" s="42">
        <v>44607</v>
      </c>
    </row>
    <row r="2287" spans="14:25">
      <c r="N2287" s="42">
        <v>44595</v>
      </c>
      <c r="O2287" t="s">
        <v>324</v>
      </c>
      <c r="P2287" s="42">
        <v>44595</v>
      </c>
      <c r="Q2287" t="s">
        <v>324</v>
      </c>
      <c r="R2287" t="s">
        <v>320</v>
      </c>
      <c r="S2287" t="s">
        <v>323</v>
      </c>
      <c r="T2287">
        <v>7.6</v>
      </c>
      <c r="Y2287" s="42">
        <v>44607</v>
      </c>
    </row>
    <row r="2288" spans="14:25">
      <c r="N2288" s="42">
        <v>44594</v>
      </c>
      <c r="O2288" t="s">
        <v>328</v>
      </c>
      <c r="P2288" s="42">
        <v>44594</v>
      </c>
      <c r="Q2288" t="s">
        <v>328</v>
      </c>
      <c r="R2288" t="s">
        <v>320</v>
      </c>
      <c r="S2288" t="s">
        <v>323</v>
      </c>
      <c r="T2288">
        <v>7.6</v>
      </c>
      <c r="Y2288" s="42">
        <v>44607</v>
      </c>
    </row>
    <row r="2289" spans="14:25">
      <c r="N2289" s="42">
        <v>44593</v>
      </c>
      <c r="O2289" t="s">
        <v>333</v>
      </c>
      <c r="P2289" s="42">
        <v>44593</v>
      </c>
      <c r="Q2289" t="s">
        <v>333</v>
      </c>
      <c r="R2289" t="s">
        <v>320</v>
      </c>
      <c r="S2289" t="s">
        <v>323</v>
      </c>
      <c r="T2289">
        <v>7.6</v>
      </c>
      <c r="Y2289" s="42">
        <v>44593</v>
      </c>
    </row>
    <row r="2290" spans="14:25">
      <c r="N2290" s="42">
        <v>44592</v>
      </c>
      <c r="O2290" t="s">
        <v>345</v>
      </c>
      <c r="P2290" s="42">
        <v>44592</v>
      </c>
      <c r="Q2290" t="s">
        <v>345</v>
      </c>
      <c r="R2290" t="s">
        <v>320</v>
      </c>
      <c r="S2290" t="s">
        <v>323</v>
      </c>
      <c r="T2290">
        <v>7.6</v>
      </c>
      <c r="Y2290" s="42">
        <v>44593</v>
      </c>
    </row>
    <row r="2291" spans="14:25">
      <c r="N2291" s="42">
        <v>44589</v>
      </c>
      <c r="O2291" t="s">
        <v>346</v>
      </c>
      <c r="P2291" s="42">
        <v>44589</v>
      </c>
      <c r="Q2291" t="s">
        <v>346</v>
      </c>
      <c r="R2291" t="s">
        <v>320</v>
      </c>
      <c r="S2291" t="s">
        <v>323</v>
      </c>
      <c r="T2291">
        <v>7.6</v>
      </c>
      <c r="Y2291" s="42">
        <v>44593</v>
      </c>
    </row>
    <row r="2292" spans="14:25">
      <c r="N2292" s="42">
        <v>44588</v>
      </c>
      <c r="O2292" t="s">
        <v>324</v>
      </c>
      <c r="P2292" s="42">
        <v>44588</v>
      </c>
      <c r="Q2292" t="s">
        <v>324</v>
      </c>
      <c r="R2292" t="s">
        <v>320</v>
      </c>
      <c r="S2292" t="s">
        <v>323</v>
      </c>
      <c r="T2292">
        <v>7.6</v>
      </c>
      <c r="Y2292" s="42">
        <v>44593</v>
      </c>
    </row>
    <row r="2293" spans="14:25">
      <c r="N2293" s="42">
        <v>44587</v>
      </c>
      <c r="O2293" t="s">
        <v>328</v>
      </c>
      <c r="P2293" s="42">
        <v>44587</v>
      </c>
      <c r="Q2293" t="s">
        <v>328</v>
      </c>
      <c r="R2293" t="s">
        <v>320</v>
      </c>
      <c r="S2293" t="s">
        <v>323</v>
      </c>
      <c r="U2293">
        <v>7.6</v>
      </c>
    </row>
    <row r="2294" spans="14:25">
      <c r="N2294" s="42">
        <v>44586</v>
      </c>
      <c r="O2294" t="s">
        <v>333</v>
      </c>
      <c r="P2294" s="42">
        <v>44586</v>
      </c>
      <c r="Q2294" t="s">
        <v>333</v>
      </c>
      <c r="R2294" t="s">
        <v>320</v>
      </c>
      <c r="S2294" t="s">
        <v>323</v>
      </c>
      <c r="T2294">
        <v>7.6</v>
      </c>
      <c r="Y2294" s="42">
        <v>44593</v>
      </c>
    </row>
    <row r="2295" spans="14:25">
      <c r="N2295" s="42">
        <v>44585</v>
      </c>
      <c r="O2295" t="s">
        <v>345</v>
      </c>
      <c r="P2295" s="42">
        <v>44585</v>
      </c>
      <c r="Q2295" t="s">
        <v>345</v>
      </c>
      <c r="R2295" t="s">
        <v>320</v>
      </c>
      <c r="S2295" t="s">
        <v>323</v>
      </c>
      <c r="T2295">
        <v>7.6</v>
      </c>
      <c r="Y2295" s="42">
        <v>44593</v>
      </c>
    </row>
    <row r="2296" spans="14:25">
      <c r="N2296" s="42">
        <v>44582</v>
      </c>
      <c r="O2296" t="s">
        <v>346</v>
      </c>
      <c r="P2296" s="42">
        <v>44582</v>
      </c>
      <c r="Q2296" t="s">
        <v>346</v>
      </c>
      <c r="R2296" t="s">
        <v>320</v>
      </c>
      <c r="S2296" t="s">
        <v>323</v>
      </c>
      <c r="T2296">
        <v>7.6</v>
      </c>
      <c r="Y2296" s="42">
        <v>44593</v>
      </c>
    </row>
    <row r="2297" spans="14:25">
      <c r="N2297" s="42">
        <v>44581</v>
      </c>
      <c r="O2297" t="s">
        <v>324</v>
      </c>
      <c r="P2297" s="42">
        <v>44581</v>
      </c>
      <c r="Q2297" t="s">
        <v>324</v>
      </c>
      <c r="R2297" t="s">
        <v>320</v>
      </c>
      <c r="S2297" t="s">
        <v>323</v>
      </c>
      <c r="T2297">
        <v>7.6</v>
      </c>
      <c r="Y2297" s="42">
        <v>44593</v>
      </c>
    </row>
    <row r="2298" spans="14:25">
      <c r="N2298" s="42">
        <v>44580</v>
      </c>
      <c r="O2298" t="s">
        <v>328</v>
      </c>
      <c r="P2298" s="42">
        <v>44580</v>
      </c>
      <c r="Q2298" t="s">
        <v>328</v>
      </c>
      <c r="R2298" t="s">
        <v>320</v>
      </c>
      <c r="S2298" t="s">
        <v>323</v>
      </c>
      <c r="T2298">
        <v>7.6</v>
      </c>
      <c r="Y2298" s="42">
        <v>44593</v>
      </c>
    </row>
    <row r="2299" spans="14:25">
      <c r="N2299" s="42">
        <v>44579</v>
      </c>
      <c r="O2299" t="s">
        <v>333</v>
      </c>
      <c r="P2299" s="42">
        <v>44579</v>
      </c>
      <c r="Q2299" t="s">
        <v>333</v>
      </c>
      <c r="R2299" t="s">
        <v>320</v>
      </c>
      <c r="S2299" t="s">
        <v>323</v>
      </c>
      <c r="T2299">
        <v>7.6</v>
      </c>
      <c r="Y2299" s="42">
        <v>44579</v>
      </c>
    </row>
    <row r="2300" spans="14:25">
      <c r="N2300" s="42">
        <v>44578</v>
      </c>
      <c r="O2300" t="s">
        <v>345</v>
      </c>
      <c r="P2300" s="42">
        <v>44578</v>
      </c>
      <c r="Q2300" t="s">
        <v>345</v>
      </c>
      <c r="R2300" t="s">
        <v>320</v>
      </c>
      <c r="S2300" t="s">
        <v>323</v>
      </c>
      <c r="T2300">
        <v>7.6</v>
      </c>
      <c r="Y2300" s="42">
        <v>44579</v>
      </c>
    </row>
    <row r="2301" spans="14:25">
      <c r="N2301" s="42">
        <v>44575</v>
      </c>
      <c r="O2301" t="s">
        <v>346</v>
      </c>
      <c r="P2301" s="42">
        <v>44575</v>
      </c>
      <c r="Q2301" t="s">
        <v>346</v>
      </c>
      <c r="R2301" t="s">
        <v>320</v>
      </c>
      <c r="S2301" t="s">
        <v>323</v>
      </c>
      <c r="T2301">
        <v>7.6</v>
      </c>
      <c r="Y2301" s="42">
        <v>44579</v>
      </c>
    </row>
    <row r="2302" spans="14:25">
      <c r="N2302" s="42">
        <v>44574</v>
      </c>
      <c r="O2302" t="s">
        <v>324</v>
      </c>
      <c r="P2302" s="42">
        <v>44574</v>
      </c>
      <c r="Q2302" t="s">
        <v>324</v>
      </c>
      <c r="R2302" t="s">
        <v>320</v>
      </c>
      <c r="S2302" t="s">
        <v>323</v>
      </c>
      <c r="T2302">
        <v>7.6</v>
      </c>
      <c r="Y2302" s="42">
        <v>44579</v>
      </c>
    </row>
    <row r="2303" spans="14:25">
      <c r="N2303" s="42">
        <v>44573</v>
      </c>
      <c r="O2303" t="s">
        <v>328</v>
      </c>
      <c r="P2303" s="42">
        <v>44573</v>
      </c>
      <c r="Q2303" t="s">
        <v>328</v>
      </c>
      <c r="R2303" t="s">
        <v>320</v>
      </c>
      <c r="S2303" t="s">
        <v>323</v>
      </c>
      <c r="T2303">
        <v>7.6</v>
      </c>
      <c r="Y2303" s="42">
        <v>44579</v>
      </c>
    </row>
    <row r="2304" spans="14:25">
      <c r="N2304" s="42">
        <v>44572</v>
      </c>
      <c r="O2304" t="s">
        <v>333</v>
      </c>
      <c r="P2304" s="42">
        <v>44572</v>
      </c>
      <c r="Q2304" t="s">
        <v>333</v>
      </c>
      <c r="R2304" t="s">
        <v>320</v>
      </c>
      <c r="S2304" t="s">
        <v>323</v>
      </c>
      <c r="T2304">
        <v>7.6</v>
      </c>
      <c r="Y2304" s="42">
        <v>44579</v>
      </c>
    </row>
    <row r="2305" spans="14:25">
      <c r="N2305" s="42">
        <v>44571</v>
      </c>
      <c r="O2305" t="s">
        <v>345</v>
      </c>
      <c r="P2305" s="42">
        <v>44571</v>
      </c>
      <c r="Q2305" t="s">
        <v>345</v>
      </c>
      <c r="R2305" t="s">
        <v>320</v>
      </c>
      <c r="S2305" t="s">
        <v>323</v>
      </c>
      <c r="T2305">
        <v>7.6</v>
      </c>
      <c r="Y2305" s="42">
        <v>44579</v>
      </c>
    </row>
    <row r="2306" spans="14:25">
      <c r="N2306" s="42">
        <v>44568</v>
      </c>
      <c r="O2306" t="s">
        <v>346</v>
      </c>
      <c r="P2306" s="42">
        <v>44568</v>
      </c>
      <c r="Q2306" t="s">
        <v>346</v>
      </c>
      <c r="R2306" t="s">
        <v>320</v>
      </c>
      <c r="S2306" t="s">
        <v>323</v>
      </c>
      <c r="T2306">
        <v>7.6</v>
      </c>
      <c r="Y2306" s="42">
        <v>44579</v>
      </c>
    </row>
    <row r="2307" spans="14:25">
      <c r="N2307" s="42">
        <v>44567</v>
      </c>
      <c r="O2307" t="s">
        <v>324</v>
      </c>
      <c r="P2307" s="42">
        <v>44567</v>
      </c>
      <c r="Q2307" t="s">
        <v>324</v>
      </c>
      <c r="R2307" t="s">
        <v>320</v>
      </c>
      <c r="S2307" t="s">
        <v>323</v>
      </c>
      <c r="T2307">
        <v>7.6</v>
      </c>
      <c r="Y2307" s="42">
        <v>44579</v>
      </c>
    </row>
    <row r="2308" spans="14:25">
      <c r="N2308" s="42">
        <v>44566</v>
      </c>
      <c r="O2308" t="s">
        <v>328</v>
      </c>
      <c r="P2308" s="42">
        <v>44566</v>
      </c>
      <c r="Q2308" t="s">
        <v>328</v>
      </c>
      <c r="R2308" t="s">
        <v>320</v>
      </c>
      <c r="S2308" t="s">
        <v>323</v>
      </c>
      <c r="T2308">
        <v>7.6</v>
      </c>
      <c r="Y2308" s="42">
        <v>44579</v>
      </c>
    </row>
    <row r="2309" spans="14:25">
      <c r="N2309" s="42">
        <v>44565</v>
      </c>
      <c r="O2309" t="s">
        <v>333</v>
      </c>
      <c r="P2309" s="42">
        <v>44565</v>
      </c>
      <c r="Q2309" t="s">
        <v>333</v>
      </c>
      <c r="R2309" t="s">
        <v>320</v>
      </c>
      <c r="S2309" t="s">
        <v>323</v>
      </c>
      <c r="T2309">
        <v>7.6</v>
      </c>
      <c r="Y2309" s="42">
        <v>44565</v>
      </c>
    </row>
    <row r="2310" spans="14:25">
      <c r="N2310" s="42">
        <v>44564</v>
      </c>
      <c r="O2310" t="s">
        <v>345</v>
      </c>
      <c r="P2310" s="42">
        <v>44564</v>
      </c>
      <c r="Q2310" t="s">
        <v>345</v>
      </c>
      <c r="R2310" t="s">
        <v>320</v>
      </c>
      <c r="S2310" t="s">
        <v>323</v>
      </c>
      <c r="U2310">
        <v>7.6</v>
      </c>
    </row>
    <row r="2311" spans="14:25">
      <c r="N2311" s="42">
        <v>44561</v>
      </c>
      <c r="O2311" t="s">
        <v>346</v>
      </c>
      <c r="P2311" s="42">
        <v>44561</v>
      </c>
      <c r="Q2311" t="s">
        <v>346</v>
      </c>
      <c r="R2311" t="s">
        <v>329</v>
      </c>
      <c r="S2311" t="s">
        <v>323</v>
      </c>
      <c r="T2311">
        <v>7.6</v>
      </c>
      <c r="W2311" t="s">
        <v>330</v>
      </c>
      <c r="Y2311" s="42">
        <v>44565</v>
      </c>
    </row>
    <row r="2312" spans="14:25">
      <c r="N2312" s="42">
        <v>44558</v>
      </c>
      <c r="O2312" t="s">
        <v>333</v>
      </c>
      <c r="P2312" s="42">
        <v>44558</v>
      </c>
      <c r="Q2312" t="s">
        <v>333</v>
      </c>
      <c r="R2312" t="s">
        <v>320</v>
      </c>
      <c r="S2312" t="s">
        <v>323</v>
      </c>
      <c r="U2312">
        <v>7.6</v>
      </c>
    </row>
    <row r="2313" spans="14:25">
      <c r="N2313" s="42">
        <v>44557</v>
      </c>
      <c r="O2313" t="s">
        <v>345</v>
      </c>
      <c r="P2313" s="42">
        <v>44557</v>
      </c>
      <c r="Q2313" t="s">
        <v>345</v>
      </c>
      <c r="R2313" t="s">
        <v>320</v>
      </c>
      <c r="S2313" t="s">
        <v>323</v>
      </c>
      <c r="U2313">
        <v>7.6</v>
      </c>
    </row>
    <row r="2314" spans="14:25">
      <c r="N2314" s="42">
        <v>44553</v>
      </c>
      <c r="O2314" t="s">
        <v>324</v>
      </c>
      <c r="P2314" s="42">
        <v>44553</v>
      </c>
      <c r="Q2314" t="s">
        <v>324</v>
      </c>
      <c r="R2314" t="s">
        <v>329</v>
      </c>
      <c r="S2314" t="s">
        <v>323</v>
      </c>
      <c r="T2314">
        <v>7.6</v>
      </c>
      <c r="W2314" t="s">
        <v>330</v>
      </c>
      <c r="Y2314" s="42">
        <v>44565</v>
      </c>
    </row>
    <row r="2315" spans="14:25">
      <c r="N2315" s="42">
        <v>44537</v>
      </c>
      <c r="O2315" t="s">
        <v>333</v>
      </c>
      <c r="P2315" s="42">
        <v>44537</v>
      </c>
      <c r="Q2315" t="s">
        <v>333</v>
      </c>
      <c r="R2315" t="s">
        <v>329</v>
      </c>
      <c r="S2315" t="s">
        <v>323</v>
      </c>
      <c r="T2315">
        <v>7.6</v>
      </c>
      <c r="W2315" t="s">
        <v>330</v>
      </c>
      <c r="Y2315" s="42">
        <v>44537</v>
      </c>
    </row>
    <row r="2316" spans="14:25">
      <c r="N2316" s="42">
        <v>44523</v>
      </c>
      <c r="O2316" t="s">
        <v>333</v>
      </c>
      <c r="P2316" s="42">
        <v>44523</v>
      </c>
      <c r="Q2316" t="s">
        <v>333</v>
      </c>
      <c r="R2316" t="s">
        <v>329</v>
      </c>
      <c r="S2316" t="s">
        <v>323</v>
      </c>
      <c r="T2316">
        <v>7.6</v>
      </c>
      <c r="W2316" t="s">
        <v>330</v>
      </c>
      <c r="Y2316" s="42">
        <v>44523</v>
      </c>
    </row>
    <row r="2317" spans="14:25">
      <c r="N2317" s="42">
        <v>44519</v>
      </c>
      <c r="O2317" t="s">
        <v>346</v>
      </c>
      <c r="P2317" s="42">
        <v>44519</v>
      </c>
      <c r="Q2317" t="s">
        <v>346</v>
      </c>
      <c r="R2317" t="s">
        <v>320</v>
      </c>
      <c r="S2317" t="s">
        <v>323</v>
      </c>
      <c r="T2317">
        <v>4</v>
      </c>
      <c r="Y2317" s="42">
        <v>44523</v>
      </c>
    </row>
    <row r="2318" spans="14:25">
      <c r="N2318" s="42">
        <v>44509</v>
      </c>
      <c r="O2318" t="s">
        <v>333</v>
      </c>
      <c r="P2318" s="42">
        <v>44509</v>
      </c>
      <c r="Q2318" t="s">
        <v>333</v>
      </c>
      <c r="R2318" t="s">
        <v>329</v>
      </c>
      <c r="S2318" t="s">
        <v>323</v>
      </c>
      <c r="T2318">
        <v>4</v>
      </c>
      <c r="W2318" t="s">
        <v>330</v>
      </c>
      <c r="Y2318" s="42">
        <v>44509</v>
      </c>
    </row>
    <row r="2319" spans="14:25">
      <c r="N2319" s="42">
        <v>44489</v>
      </c>
      <c r="O2319" t="s">
        <v>328</v>
      </c>
      <c r="P2319" s="42">
        <v>44489</v>
      </c>
      <c r="Q2319" t="s">
        <v>328</v>
      </c>
      <c r="R2319" t="s">
        <v>329</v>
      </c>
      <c r="S2319" t="s">
        <v>323</v>
      </c>
      <c r="T2319">
        <v>7.6</v>
      </c>
      <c r="W2319" t="s">
        <v>330</v>
      </c>
      <c r="Y2319" s="42">
        <v>44495</v>
      </c>
    </row>
    <row r="2320" spans="14:25">
      <c r="N2320" s="42">
        <v>44473</v>
      </c>
      <c r="O2320" t="s">
        <v>345</v>
      </c>
      <c r="P2320" s="42">
        <v>44473</v>
      </c>
      <c r="Q2320" t="s">
        <v>345</v>
      </c>
      <c r="R2320" t="s">
        <v>320</v>
      </c>
      <c r="S2320" t="s">
        <v>323</v>
      </c>
      <c r="U2320">
        <v>7.6</v>
      </c>
    </row>
    <row r="2321" spans="14:25">
      <c r="N2321" s="42">
        <v>44361</v>
      </c>
      <c r="O2321" t="s">
        <v>345</v>
      </c>
      <c r="P2321" s="42">
        <v>44361</v>
      </c>
      <c r="Q2321" t="s">
        <v>345</v>
      </c>
      <c r="R2321" t="s">
        <v>320</v>
      </c>
      <c r="S2321" t="s">
        <v>323</v>
      </c>
      <c r="U2321">
        <v>7.6</v>
      </c>
    </row>
    <row r="2322" spans="14:25">
      <c r="N2322" s="42">
        <v>44356</v>
      </c>
      <c r="O2322" t="s">
        <v>328</v>
      </c>
      <c r="P2322" s="42">
        <v>44369</v>
      </c>
      <c r="Q2322" t="s">
        <v>333</v>
      </c>
      <c r="R2322" t="s">
        <v>383</v>
      </c>
      <c r="S2322" t="s">
        <v>323</v>
      </c>
      <c r="T2322">
        <v>76</v>
      </c>
      <c r="W2322" t="s">
        <v>339</v>
      </c>
      <c r="Y2322" s="42">
        <v>44369</v>
      </c>
    </row>
    <row r="2323" spans="14:25">
      <c r="N2323" s="42">
        <v>44348</v>
      </c>
      <c r="O2323" t="s">
        <v>333</v>
      </c>
      <c r="P2323" s="42">
        <v>44348</v>
      </c>
      <c r="Q2323" t="s">
        <v>333</v>
      </c>
      <c r="R2323" t="s">
        <v>329</v>
      </c>
      <c r="S2323" t="s">
        <v>323</v>
      </c>
      <c r="T2323">
        <v>7.6</v>
      </c>
      <c r="W2323" t="s">
        <v>330</v>
      </c>
      <c r="Y2323" s="42">
        <v>44355</v>
      </c>
    </row>
    <row r="2324" spans="14:25">
      <c r="N2324" s="42">
        <v>44327</v>
      </c>
      <c r="O2324" t="s">
        <v>333</v>
      </c>
      <c r="P2324" s="42">
        <v>44327</v>
      </c>
      <c r="Q2324" t="s">
        <v>333</v>
      </c>
      <c r="R2324" t="s">
        <v>329</v>
      </c>
      <c r="S2324" t="s">
        <v>323</v>
      </c>
      <c r="T2324">
        <v>7.6</v>
      </c>
      <c r="W2324" t="s">
        <v>330</v>
      </c>
      <c r="Y2324" s="42">
        <v>44327</v>
      </c>
    </row>
    <row r="2325" spans="14:25">
      <c r="N2325" s="42">
        <v>44305</v>
      </c>
      <c r="O2325" t="s">
        <v>345</v>
      </c>
      <c r="P2325" s="42">
        <v>44305</v>
      </c>
      <c r="Q2325" t="s">
        <v>345</v>
      </c>
      <c r="R2325" t="s">
        <v>329</v>
      </c>
      <c r="S2325" t="s">
        <v>323</v>
      </c>
      <c r="T2325">
        <v>2.2000000000000002</v>
      </c>
      <c r="W2325" t="s">
        <v>330</v>
      </c>
      <c r="Y2325" s="42">
        <v>44313</v>
      </c>
    </row>
    <row r="2326" spans="14:25">
      <c r="N2326" s="42">
        <v>44291</v>
      </c>
      <c r="O2326" t="s">
        <v>345</v>
      </c>
      <c r="P2326" s="42">
        <v>44291</v>
      </c>
      <c r="Q2326" t="s">
        <v>345</v>
      </c>
      <c r="R2326" t="s">
        <v>320</v>
      </c>
      <c r="S2326" t="s">
        <v>323</v>
      </c>
      <c r="U2326">
        <v>7.6</v>
      </c>
    </row>
    <row r="2327" spans="14:25">
      <c r="N2327" s="42">
        <v>44288</v>
      </c>
      <c r="O2327" t="s">
        <v>346</v>
      </c>
      <c r="P2327" s="42">
        <v>44288</v>
      </c>
      <c r="Q2327" t="s">
        <v>346</v>
      </c>
      <c r="R2327" t="s">
        <v>320</v>
      </c>
      <c r="S2327" t="s">
        <v>323</v>
      </c>
      <c r="U2327">
        <v>7.6</v>
      </c>
    </row>
    <row r="2328" spans="14:25">
      <c r="N2328" s="42">
        <v>44229</v>
      </c>
      <c r="O2328" t="s">
        <v>333</v>
      </c>
      <c r="P2328" s="42">
        <v>44229</v>
      </c>
      <c r="Q2328" t="s">
        <v>333</v>
      </c>
      <c r="R2328" t="s">
        <v>329</v>
      </c>
      <c r="S2328" t="s">
        <v>323</v>
      </c>
      <c r="T2328">
        <v>7.6</v>
      </c>
      <c r="W2328" t="s">
        <v>330</v>
      </c>
      <c r="Y2328" s="42">
        <v>44229</v>
      </c>
    </row>
    <row r="2329" spans="14:25">
      <c r="N2329" s="42">
        <v>44222</v>
      </c>
      <c r="O2329" t="s">
        <v>333</v>
      </c>
      <c r="P2329" s="42">
        <v>44222</v>
      </c>
      <c r="Q2329" t="s">
        <v>333</v>
      </c>
      <c r="R2329" t="s">
        <v>320</v>
      </c>
      <c r="S2329" t="s">
        <v>323</v>
      </c>
      <c r="U2329">
        <v>7.6</v>
      </c>
    </row>
    <row r="2330" spans="14:25">
      <c r="N2330" s="42">
        <v>44197</v>
      </c>
      <c r="O2330" t="s">
        <v>346</v>
      </c>
      <c r="P2330" s="42">
        <v>44197</v>
      </c>
      <c r="Q2330" t="s">
        <v>346</v>
      </c>
      <c r="R2330" t="s">
        <v>320</v>
      </c>
      <c r="S2330" t="s">
        <v>323</v>
      </c>
      <c r="U2330">
        <v>7.6</v>
      </c>
    </row>
    <row r="2331" spans="14:25">
      <c r="N2331" s="42">
        <v>44193</v>
      </c>
      <c r="O2331" t="s">
        <v>345</v>
      </c>
      <c r="P2331" s="42">
        <v>44193</v>
      </c>
      <c r="Q2331" t="s">
        <v>345</v>
      </c>
      <c r="R2331" t="s">
        <v>320</v>
      </c>
      <c r="S2331" t="s">
        <v>323</v>
      </c>
      <c r="U2331">
        <v>7.6</v>
      </c>
    </row>
    <row r="2332" spans="14:25">
      <c r="N2332" s="42">
        <v>44190</v>
      </c>
      <c r="O2332" t="s">
        <v>346</v>
      </c>
      <c r="P2332" s="42">
        <v>44190</v>
      </c>
      <c r="Q2332" t="s">
        <v>346</v>
      </c>
      <c r="R2332" t="s">
        <v>320</v>
      </c>
      <c r="S2332" t="s">
        <v>323</v>
      </c>
      <c r="U2332">
        <v>7.6</v>
      </c>
    </row>
    <row r="2333" spans="14:25">
      <c r="N2333" s="42">
        <v>44159</v>
      </c>
      <c r="O2333" t="s">
        <v>333</v>
      </c>
      <c r="P2333" s="42">
        <v>44159</v>
      </c>
      <c r="Q2333" t="s">
        <v>333</v>
      </c>
      <c r="R2333" t="s">
        <v>329</v>
      </c>
      <c r="S2333" t="s">
        <v>323</v>
      </c>
      <c r="T2333">
        <v>7.6</v>
      </c>
      <c r="W2333" t="s">
        <v>330</v>
      </c>
      <c r="Y2333" s="42">
        <v>44159</v>
      </c>
    </row>
    <row r="2334" spans="14:25">
      <c r="N2334" s="42">
        <v>44124</v>
      </c>
      <c r="O2334" t="s">
        <v>333</v>
      </c>
      <c r="P2334" s="42">
        <v>44124</v>
      </c>
      <c r="Q2334" t="s">
        <v>333</v>
      </c>
      <c r="R2334" t="s">
        <v>329</v>
      </c>
      <c r="S2334" t="s">
        <v>323</v>
      </c>
      <c r="T2334">
        <v>7.6</v>
      </c>
      <c r="W2334" t="s">
        <v>330</v>
      </c>
      <c r="Y2334" s="42">
        <v>44131</v>
      </c>
    </row>
    <row r="2335" spans="14:25">
      <c r="N2335" s="42">
        <v>44109</v>
      </c>
      <c r="O2335" t="s">
        <v>345</v>
      </c>
      <c r="P2335" s="42">
        <v>44109</v>
      </c>
      <c r="Q2335" t="s">
        <v>345</v>
      </c>
      <c r="R2335" t="s">
        <v>320</v>
      </c>
      <c r="S2335" t="s">
        <v>323</v>
      </c>
      <c r="U2335">
        <v>7.6</v>
      </c>
    </row>
    <row r="2336" spans="14:25">
      <c r="N2336" s="42">
        <v>44081</v>
      </c>
      <c r="O2336" t="s">
        <v>345</v>
      </c>
      <c r="P2336" s="42">
        <v>44081</v>
      </c>
      <c r="Q2336" t="s">
        <v>345</v>
      </c>
      <c r="R2336" t="s">
        <v>320</v>
      </c>
      <c r="S2336" t="s">
        <v>323</v>
      </c>
      <c r="T2336">
        <v>7.6</v>
      </c>
      <c r="Y2336" s="42">
        <v>44089</v>
      </c>
    </row>
    <row r="2337" spans="1:25">
      <c r="N2337" s="42">
        <v>44027</v>
      </c>
      <c r="O2337" t="s">
        <v>328</v>
      </c>
      <c r="P2337" s="42">
        <v>44027</v>
      </c>
      <c r="Q2337" t="s">
        <v>328</v>
      </c>
      <c r="R2337" t="s">
        <v>329</v>
      </c>
      <c r="S2337" t="s">
        <v>323</v>
      </c>
      <c r="T2337">
        <v>7.6</v>
      </c>
      <c r="W2337" t="s">
        <v>330</v>
      </c>
      <c r="Y2337" s="42">
        <v>44033</v>
      </c>
    </row>
    <row r="2338" spans="1:25">
      <c r="N2338" s="42">
        <v>43997</v>
      </c>
      <c r="O2338" t="s">
        <v>345</v>
      </c>
      <c r="P2338" s="42">
        <v>43997</v>
      </c>
      <c r="Q2338" t="s">
        <v>345</v>
      </c>
      <c r="R2338" t="s">
        <v>320</v>
      </c>
      <c r="S2338" t="s">
        <v>323</v>
      </c>
      <c r="T2338">
        <v>7.6</v>
      </c>
      <c r="Y2338" s="42">
        <v>44005</v>
      </c>
    </row>
    <row r="2339" spans="1:25">
      <c r="N2339" s="42">
        <v>43992</v>
      </c>
      <c r="O2339" t="s">
        <v>328</v>
      </c>
      <c r="P2339" s="42">
        <v>44005</v>
      </c>
      <c r="Q2339" t="s">
        <v>333</v>
      </c>
      <c r="R2339" t="s">
        <v>383</v>
      </c>
      <c r="S2339" t="s">
        <v>323</v>
      </c>
      <c r="T2339">
        <v>76</v>
      </c>
      <c r="W2339" t="s">
        <v>339</v>
      </c>
      <c r="Y2339" s="42">
        <v>44005</v>
      </c>
    </row>
    <row r="2340" spans="1:25">
      <c r="N2340" s="42">
        <v>43991</v>
      </c>
      <c r="O2340" t="s">
        <v>333</v>
      </c>
      <c r="P2340" s="42">
        <v>43991</v>
      </c>
      <c r="Q2340" t="s">
        <v>333</v>
      </c>
      <c r="R2340" t="s">
        <v>320</v>
      </c>
      <c r="S2340" t="s">
        <v>323</v>
      </c>
      <c r="T2340">
        <v>7.6</v>
      </c>
      <c r="Y2340" s="42">
        <v>43991</v>
      </c>
    </row>
    <row r="2341" spans="1:25">
      <c r="N2341" s="42">
        <v>43983</v>
      </c>
      <c r="O2341" t="s">
        <v>345</v>
      </c>
      <c r="P2341" s="42">
        <v>43983</v>
      </c>
      <c r="Q2341" t="s">
        <v>345</v>
      </c>
      <c r="R2341" t="s">
        <v>320</v>
      </c>
      <c r="S2341" t="s">
        <v>323</v>
      </c>
      <c r="T2341">
        <v>7.6</v>
      </c>
      <c r="Y2341" s="42">
        <v>43991</v>
      </c>
    </row>
    <row r="2342" spans="1:25">
      <c r="N2342" s="42">
        <v>43895</v>
      </c>
      <c r="O2342" t="s">
        <v>324</v>
      </c>
      <c r="P2342" s="42">
        <v>43895</v>
      </c>
      <c r="Q2342" t="s">
        <v>324</v>
      </c>
      <c r="R2342" t="s">
        <v>329</v>
      </c>
      <c r="S2342" t="s">
        <v>323</v>
      </c>
      <c r="T2342">
        <v>7.6</v>
      </c>
      <c r="W2342" t="s">
        <v>330</v>
      </c>
      <c r="Y2342" s="42">
        <v>43907</v>
      </c>
    </row>
    <row r="2343" spans="1:25">
      <c r="N2343" s="42">
        <v>43866</v>
      </c>
      <c r="O2343" t="s">
        <v>328</v>
      </c>
      <c r="P2343" s="42">
        <v>43866</v>
      </c>
      <c r="Q2343" t="s">
        <v>328</v>
      </c>
      <c r="R2343" t="s">
        <v>329</v>
      </c>
      <c r="S2343" t="s">
        <v>323</v>
      </c>
      <c r="T2343">
        <v>7.6</v>
      </c>
      <c r="W2343" t="s">
        <v>330</v>
      </c>
      <c r="Y2343" s="42">
        <v>43879</v>
      </c>
    </row>
    <row r="2344" spans="1:25">
      <c r="N2344" s="42">
        <v>43781</v>
      </c>
      <c r="O2344" t="s">
        <v>333</v>
      </c>
      <c r="P2344" s="42">
        <v>43781</v>
      </c>
      <c r="Q2344" t="s">
        <v>333</v>
      </c>
      <c r="R2344" t="s">
        <v>329</v>
      </c>
      <c r="S2344" t="s">
        <v>323</v>
      </c>
      <c r="T2344">
        <v>7.6</v>
      </c>
      <c r="W2344" t="s">
        <v>330</v>
      </c>
      <c r="Y2344" s="42">
        <v>43781</v>
      </c>
    </row>
    <row r="2345" spans="1:25">
      <c r="N2345" s="42">
        <v>43766</v>
      </c>
      <c r="O2345" t="s">
        <v>345</v>
      </c>
      <c r="P2345" s="42">
        <v>43766</v>
      </c>
      <c r="Q2345" t="s">
        <v>345</v>
      </c>
      <c r="R2345" t="s">
        <v>320</v>
      </c>
      <c r="S2345" t="s">
        <v>323</v>
      </c>
      <c r="T2345">
        <v>7.6</v>
      </c>
      <c r="Y2345" s="42">
        <v>43767</v>
      </c>
    </row>
    <row r="2346" spans="1:25">
      <c r="N2346" s="42">
        <v>43704</v>
      </c>
      <c r="O2346" t="s">
        <v>333</v>
      </c>
      <c r="P2346" s="42">
        <v>43704</v>
      </c>
      <c r="Q2346" t="s">
        <v>333</v>
      </c>
      <c r="R2346" t="s">
        <v>320</v>
      </c>
      <c r="S2346" t="s">
        <v>323</v>
      </c>
      <c r="T2346">
        <v>7.6</v>
      </c>
      <c r="Y2346" s="42">
        <v>43711</v>
      </c>
    </row>
    <row r="2347" spans="1:25">
      <c r="N2347" s="42">
        <v>43703</v>
      </c>
      <c r="O2347" t="s">
        <v>345</v>
      </c>
      <c r="P2347" s="42">
        <v>43703</v>
      </c>
      <c r="Q2347" t="s">
        <v>345</v>
      </c>
      <c r="R2347" t="s">
        <v>320</v>
      </c>
      <c r="S2347" t="s">
        <v>323</v>
      </c>
      <c r="T2347">
        <v>7.6</v>
      </c>
      <c r="Y2347" s="42">
        <v>43711</v>
      </c>
    </row>
    <row r="2348" spans="1:25">
      <c r="N2348" s="42">
        <v>43685</v>
      </c>
      <c r="O2348" t="s">
        <v>324</v>
      </c>
      <c r="P2348" s="42">
        <v>43685</v>
      </c>
      <c r="Q2348" t="s">
        <v>324</v>
      </c>
      <c r="R2348" t="s">
        <v>329</v>
      </c>
      <c r="S2348" t="s">
        <v>323</v>
      </c>
      <c r="T2348">
        <v>7.6</v>
      </c>
      <c r="W2348" t="s">
        <v>330</v>
      </c>
      <c r="Y2348" s="42">
        <v>43697</v>
      </c>
    </row>
    <row r="2349" spans="1:25">
      <c r="N2349" s="42">
        <v>43648</v>
      </c>
      <c r="O2349" t="s">
        <v>333</v>
      </c>
      <c r="P2349" s="42">
        <v>43648</v>
      </c>
      <c r="Q2349" t="s">
        <v>333</v>
      </c>
      <c r="R2349" t="s">
        <v>329</v>
      </c>
      <c r="S2349" t="s">
        <v>323</v>
      </c>
      <c r="T2349">
        <v>7.6</v>
      </c>
      <c r="W2349" t="s">
        <v>330</v>
      </c>
      <c r="Y2349" s="42">
        <v>43655</v>
      </c>
    </row>
    <row r="2350" spans="1:25">
      <c r="A2350">
        <v>18561</v>
      </c>
      <c r="B2350" t="s">
        <v>384</v>
      </c>
      <c r="C2350" t="s">
        <v>320</v>
      </c>
      <c r="D2350" t="s">
        <v>336</v>
      </c>
      <c r="E2350" t="s">
        <v>337</v>
      </c>
      <c r="F2350">
        <v>1</v>
      </c>
      <c r="G2350" s="42">
        <v>45209</v>
      </c>
      <c r="H2350">
        <v>152</v>
      </c>
      <c r="I2350">
        <v>4.6163999999999996</v>
      </c>
      <c r="J2350">
        <v>60.383600000000001</v>
      </c>
      <c r="K2350">
        <v>65</v>
      </c>
      <c r="L2350" t="s">
        <v>323</v>
      </c>
      <c r="M2350" s="43">
        <v>0.41944444444444445</v>
      </c>
      <c r="N2350" s="42">
        <v>44978</v>
      </c>
      <c r="O2350" t="s">
        <v>333</v>
      </c>
      <c r="P2350" s="42">
        <v>44978</v>
      </c>
      <c r="Q2350" t="s">
        <v>333</v>
      </c>
      <c r="R2350" t="s">
        <v>329</v>
      </c>
      <c r="S2350" t="s">
        <v>323</v>
      </c>
      <c r="T2350">
        <v>1.5</v>
      </c>
      <c r="W2350" t="s">
        <v>330</v>
      </c>
      <c r="Y2350" s="42">
        <v>44985</v>
      </c>
    </row>
    <row r="2351" spans="1:25">
      <c r="C2351" t="s">
        <v>325</v>
      </c>
      <c r="D2351" t="s">
        <v>366</v>
      </c>
      <c r="E2351" t="s">
        <v>367</v>
      </c>
      <c r="F2351">
        <v>1</v>
      </c>
      <c r="G2351" s="42">
        <v>45210</v>
      </c>
      <c r="H2351">
        <v>32.934600000000003</v>
      </c>
      <c r="I2351">
        <v>290.56279999999998</v>
      </c>
      <c r="J2351">
        <v>12.993399999999999</v>
      </c>
      <c r="K2351">
        <v>303.55619999999999</v>
      </c>
      <c r="L2351" t="s">
        <v>323</v>
      </c>
      <c r="N2351" s="42">
        <v>44977</v>
      </c>
      <c r="O2351" t="s">
        <v>345</v>
      </c>
      <c r="P2351" s="42">
        <v>44977</v>
      </c>
      <c r="Q2351" t="s">
        <v>345</v>
      </c>
      <c r="R2351" t="s">
        <v>329</v>
      </c>
      <c r="S2351" t="s">
        <v>323</v>
      </c>
      <c r="T2351">
        <v>1.5</v>
      </c>
      <c r="W2351" t="s">
        <v>330</v>
      </c>
      <c r="Y2351" s="42">
        <v>44985</v>
      </c>
    </row>
    <row r="2352" spans="1:25">
      <c r="C2352" t="s">
        <v>329</v>
      </c>
      <c r="D2352" t="s">
        <v>342</v>
      </c>
      <c r="E2352" t="s">
        <v>343</v>
      </c>
      <c r="F2352">
        <v>1</v>
      </c>
      <c r="G2352" s="42">
        <v>45209</v>
      </c>
      <c r="H2352">
        <v>76</v>
      </c>
      <c r="I2352">
        <v>-12.812200000000001</v>
      </c>
      <c r="J2352">
        <v>30.191800000000001</v>
      </c>
      <c r="K2352">
        <v>17.3796</v>
      </c>
      <c r="L2352" t="s">
        <v>323</v>
      </c>
      <c r="N2352" s="42">
        <v>44967</v>
      </c>
      <c r="O2352" t="s">
        <v>346</v>
      </c>
      <c r="P2352" s="42">
        <v>44967</v>
      </c>
      <c r="Q2352" t="s">
        <v>346</v>
      </c>
      <c r="R2352" t="s">
        <v>329</v>
      </c>
      <c r="S2352" t="s">
        <v>323</v>
      </c>
      <c r="T2352">
        <v>7.6</v>
      </c>
      <c r="W2352" t="s">
        <v>330</v>
      </c>
      <c r="Y2352" s="42">
        <v>44971</v>
      </c>
    </row>
    <row r="2353" spans="14:25">
      <c r="N2353" s="42">
        <v>44953</v>
      </c>
      <c r="O2353" t="s">
        <v>346</v>
      </c>
      <c r="P2353" s="42">
        <v>44953</v>
      </c>
      <c r="Q2353" t="s">
        <v>346</v>
      </c>
      <c r="R2353" t="s">
        <v>320</v>
      </c>
      <c r="S2353" t="s">
        <v>323</v>
      </c>
      <c r="T2353">
        <v>7.6</v>
      </c>
      <c r="Y2353" s="42">
        <v>44957</v>
      </c>
    </row>
    <row r="2354" spans="14:25">
      <c r="N2354" s="42">
        <v>44952</v>
      </c>
      <c r="O2354" t="s">
        <v>324</v>
      </c>
      <c r="P2354" s="42">
        <v>44952</v>
      </c>
      <c r="Q2354" t="s">
        <v>324</v>
      </c>
      <c r="R2354" t="s">
        <v>320</v>
      </c>
      <c r="S2354" t="s">
        <v>323</v>
      </c>
      <c r="U2354">
        <v>7.6</v>
      </c>
    </row>
    <row r="2355" spans="14:25">
      <c r="N2355" s="42">
        <v>44951</v>
      </c>
      <c r="O2355" t="s">
        <v>328</v>
      </c>
      <c r="P2355" s="42">
        <v>44951</v>
      </c>
      <c r="Q2355" t="s">
        <v>328</v>
      </c>
      <c r="R2355" t="s">
        <v>320</v>
      </c>
      <c r="S2355" t="s">
        <v>323</v>
      </c>
      <c r="T2355">
        <v>7.6</v>
      </c>
      <c r="Y2355" s="42">
        <v>44957</v>
      </c>
    </row>
    <row r="2356" spans="14:25">
      <c r="N2356" s="42">
        <v>44950</v>
      </c>
      <c r="O2356" t="s">
        <v>333</v>
      </c>
      <c r="P2356" s="42">
        <v>44950</v>
      </c>
      <c r="Q2356" t="s">
        <v>333</v>
      </c>
      <c r="R2356" t="s">
        <v>320</v>
      </c>
      <c r="S2356" t="s">
        <v>323</v>
      </c>
      <c r="T2356">
        <v>7.6</v>
      </c>
      <c r="Y2356" s="42">
        <v>44957</v>
      </c>
    </row>
    <row r="2357" spans="14:25">
      <c r="N2357" s="42">
        <v>44949</v>
      </c>
      <c r="O2357" t="s">
        <v>345</v>
      </c>
      <c r="P2357" s="42">
        <v>44949</v>
      </c>
      <c r="Q2357" t="s">
        <v>345</v>
      </c>
      <c r="R2357" t="s">
        <v>320</v>
      </c>
      <c r="S2357" t="s">
        <v>323</v>
      </c>
      <c r="T2357">
        <v>7.6</v>
      </c>
      <c r="Y2357" s="42">
        <v>44957</v>
      </c>
    </row>
    <row r="2358" spans="14:25">
      <c r="N2358" s="42">
        <v>44946</v>
      </c>
      <c r="O2358" t="s">
        <v>346</v>
      </c>
      <c r="P2358" s="42">
        <v>44946</v>
      </c>
      <c r="Q2358" t="s">
        <v>346</v>
      </c>
      <c r="R2358" t="s">
        <v>320</v>
      </c>
      <c r="S2358" t="s">
        <v>323</v>
      </c>
      <c r="T2358">
        <v>7.6</v>
      </c>
      <c r="Y2358" s="42">
        <v>44957</v>
      </c>
    </row>
    <row r="2359" spans="14:25">
      <c r="N2359" s="42">
        <v>44945</v>
      </c>
      <c r="O2359" t="s">
        <v>324</v>
      </c>
      <c r="P2359" s="42">
        <v>44945</v>
      </c>
      <c r="Q2359" t="s">
        <v>324</v>
      </c>
      <c r="R2359" t="s">
        <v>320</v>
      </c>
      <c r="S2359" t="s">
        <v>323</v>
      </c>
      <c r="T2359">
        <v>7.6</v>
      </c>
      <c r="Y2359" s="42">
        <v>44957</v>
      </c>
    </row>
    <row r="2360" spans="14:25">
      <c r="N2360" s="42">
        <v>44944</v>
      </c>
      <c r="O2360" t="s">
        <v>328</v>
      </c>
      <c r="P2360" s="42">
        <v>44944</v>
      </c>
      <c r="Q2360" t="s">
        <v>328</v>
      </c>
      <c r="R2360" t="s">
        <v>320</v>
      </c>
      <c r="S2360" t="s">
        <v>323</v>
      </c>
      <c r="T2360">
        <v>7.6</v>
      </c>
      <c r="Y2360" s="42">
        <v>44957</v>
      </c>
    </row>
    <row r="2361" spans="14:25">
      <c r="N2361" s="42">
        <v>44943</v>
      </c>
      <c r="O2361" t="s">
        <v>333</v>
      </c>
      <c r="P2361" s="42">
        <v>44943</v>
      </c>
      <c r="Q2361" t="s">
        <v>333</v>
      </c>
      <c r="R2361" t="s">
        <v>320</v>
      </c>
      <c r="S2361" t="s">
        <v>323</v>
      </c>
      <c r="T2361">
        <v>7.6</v>
      </c>
      <c r="Y2361" s="42">
        <v>44943</v>
      </c>
    </row>
    <row r="2362" spans="14:25">
      <c r="N2362" s="42">
        <v>44942</v>
      </c>
      <c r="O2362" t="s">
        <v>345</v>
      </c>
      <c r="P2362" s="42">
        <v>44942</v>
      </c>
      <c r="Q2362" t="s">
        <v>345</v>
      </c>
      <c r="R2362" t="s">
        <v>320</v>
      </c>
      <c r="S2362" t="s">
        <v>323</v>
      </c>
      <c r="T2362">
        <v>7.6</v>
      </c>
      <c r="Y2362" s="42">
        <v>44943</v>
      </c>
    </row>
    <row r="2363" spans="14:25">
      <c r="N2363" s="42">
        <v>44939</v>
      </c>
      <c r="O2363" t="s">
        <v>346</v>
      </c>
      <c r="P2363" s="42">
        <v>44939</v>
      </c>
      <c r="Q2363" t="s">
        <v>346</v>
      </c>
      <c r="R2363" t="s">
        <v>320</v>
      </c>
      <c r="S2363" t="s">
        <v>323</v>
      </c>
      <c r="T2363">
        <v>7.6</v>
      </c>
      <c r="Y2363" s="42">
        <v>44943</v>
      </c>
    </row>
    <row r="2364" spans="14:25">
      <c r="N2364" s="42">
        <v>44938</v>
      </c>
      <c r="O2364" t="s">
        <v>324</v>
      </c>
      <c r="P2364" s="42">
        <v>44938</v>
      </c>
      <c r="Q2364" t="s">
        <v>324</v>
      </c>
      <c r="R2364" t="s">
        <v>320</v>
      </c>
      <c r="S2364" t="s">
        <v>323</v>
      </c>
      <c r="T2364">
        <v>7.6</v>
      </c>
      <c r="Y2364" s="42">
        <v>44943</v>
      </c>
    </row>
    <row r="2365" spans="14:25">
      <c r="N2365" s="42">
        <v>44937</v>
      </c>
      <c r="O2365" t="s">
        <v>328</v>
      </c>
      <c r="P2365" s="42">
        <v>44937</v>
      </c>
      <c r="Q2365" t="s">
        <v>328</v>
      </c>
      <c r="R2365" t="s">
        <v>320</v>
      </c>
      <c r="S2365" t="s">
        <v>323</v>
      </c>
      <c r="T2365">
        <v>7.6</v>
      </c>
      <c r="Y2365" s="42">
        <v>44943</v>
      </c>
    </row>
    <row r="2366" spans="14:25">
      <c r="N2366" s="42">
        <v>44936</v>
      </c>
      <c r="O2366" t="s">
        <v>333</v>
      </c>
      <c r="P2366" s="42">
        <v>44936</v>
      </c>
      <c r="Q2366" t="s">
        <v>333</v>
      </c>
      <c r="R2366" t="s">
        <v>320</v>
      </c>
      <c r="S2366" t="s">
        <v>323</v>
      </c>
      <c r="T2366">
        <v>7.6</v>
      </c>
      <c r="Y2366" s="42">
        <v>44943</v>
      </c>
    </row>
    <row r="2367" spans="14:25">
      <c r="N2367" s="42">
        <v>44935</v>
      </c>
      <c r="O2367" t="s">
        <v>345</v>
      </c>
      <c r="P2367" s="42">
        <v>44935</v>
      </c>
      <c r="Q2367" t="s">
        <v>345</v>
      </c>
      <c r="R2367" t="s">
        <v>320</v>
      </c>
      <c r="S2367" t="s">
        <v>323</v>
      </c>
      <c r="T2367">
        <v>7.6</v>
      </c>
      <c r="Y2367" s="42">
        <v>44943</v>
      </c>
    </row>
    <row r="2368" spans="14:25">
      <c r="N2368" s="42">
        <v>44932</v>
      </c>
      <c r="O2368" t="s">
        <v>346</v>
      </c>
      <c r="P2368" s="42">
        <v>44932</v>
      </c>
      <c r="Q2368" t="s">
        <v>346</v>
      </c>
      <c r="R2368" t="s">
        <v>320</v>
      </c>
      <c r="S2368" t="s">
        <v>323</v>
      </c>
      <c r="T2368">
        <v>7.6</v>
      </c>
      <c r="Y2368" s="42">
        <v>44943</v>
      </c>
    </row>
    <row r="2369" spans="14:25">
      <c r="N2369" s="42">
        <v>44931</v>
      </c>
      <c r="O2369" t="s">
        <v>324</v>
      </c>
      <c r="P2369" s="42">
        <v>44931</v>
      </c>
      <c r="Q2369" t="s">
        <v>324</v>
      </c>
      <c r="R2369" t="s">
        <v>320</v>
      </c>
      <c r="S2369" t="s">
        <v>323</v>
      </c>
      <c r="T2369">
        <v>7.6</v>
      </c>
      <c r="Y2369" s="42">
        <v>44943</v>
      </c>
    </row>
    <row r="2370" spans="14:25">
      <c r="N2370" s="42">
        <v>44930</v>
      </c>
      <c r="O2370" t="s">
        <v>328</v>
      </c>
      <c r="P2370" s="42">
        <v>44930</v>
      </c>
      <c r="Q2370" t="s">
        <v>328</v>
      </c>
      <c r="R2370" t="s">
        <v>320</v>
      </c>
      <c r="S2370" t="s">
        <v>323</v>
      </c>
      <c r="T2370">
        <v>7.6</v>
      </c>
      <c r="Y2370" s="42">
        <v>44943</v>
      </c>
    </row>
    <row r="2371" spans="14:25">
      <c r="N2371" s="42">
        <v>44929</v>
      </c>
      <c r="O2371" t="s">
        <v>333</v>
      </c>
      <c r="P2371" s="42">
        <v>44929</v>
      </c>
      <c r="Q2371" t="s">
        <v>333</v>
      </c>
      <c r="R2371" t="s">
        <v>320</v>
      </c>
      <c r="S2371" t="s">
        <v>323</v>
      </c>
      <c r="T2371">
        <v>7.6</v>
      </c>
      <c r="Y2371" s="42">
        <v>44929</v>
      </c>
    </row>
    <row r="2372" spans="14:25">
      <c r="N2372" s="42">
        <v>44928</v>
      </c>
      <c r="O2372" t="s">
        <v>345</v>
      </c>
      <c r="P2372" s="42">
        <v>44928</v>
      </c>
      <c r="Q2372" t="s">
        <v>345</v>
      </c>
      <c r="R2372" t="s">
        <v>320</v>
      </c>
      <c r="S2372" t="s">
        <v>323</v>
      </c>
      <c r="U2372">
        <v>7.6</v>
      </c>
    </row>
    <row r="2373" spans="14:25">
      <c r="N2373" s="42">
        <v>44922</v>
      </c>
      <c r="O2373" t="s">
        <v>333</v>
      </c>
      <c r="P2373" s="42">
        <v>44922</v>
      </c>
      <c r="Q2373" t="s">
        <v>333</v>
      </c>
      <c r="R2373" t="s">
        <v>320</v>
      </c>
      <c r="S2373" t="s">
        <v>323</v>
      </c>
      <c r="U2373">
        <v>7.6</v>
      </c>
    </row>
    <row r="2374" spans="14:25">
      <c r="N2374" s="42">
        <v>44921</v>
      </c>
      <c r="O2374" t="s">
        <v>345</v>
      </c>
      <c r="P2374" s="42">
        <v>44921</v>
      </c>
      <c r="Q2374" t="s">
        <v>345</v>
      </c>
      <c r="R2374" t="s">
        <v>320</v>
      </c>
      <c r="S2374" t="s">
        <v>323</v>
      </c>
      <c r="U2374">
        <v>7.6</v>
      </c>
    </row>
    <row r="2375" spans="14:25">
      <c r="N2375" s="42">
        <v>44917</v>
      </c>
      <c r="O2375" t="s">
        <v>324</v>
      </c>
      <c r="P2375" s="42">
        <v>44917</v>
      </c>
      <c r="Q2375" t="s">
        <v>324</v>
      </c>
      <c r="R2375" t="s">
        <v>329</v>
      </c>
      <c r="S2375" t="s">
        <v>323</v>
      </c>
      <c r="T2375">
        <v>1.5</v>
      </c>
      <c r="W2375" t="s">
        <v>330</v>
      </c>
      <c r="Y2375" s="42">
        <v>44929</v>
      </c>
    </row>
    <row r="2376" spans="14:25">
      <c r="N2376" s="42">
        <v>44889</v>
      </c>
      <c r="O2376" t="s">
        <v>324</v>
      </c>
      <c r="P2376" s="42">
        <v>44889</v>
      </c>
      <c r="Q2376" t="s">
        <v>324</v>
      </c>
      <c r="R2376" t="s">
        <v>329</v>
      </c>
      <c r="S2376" t="s">
        <v>323</v>
      </c>
      <c r="T2376">
        <v>1</v>
      </c>
      <c r="W2376" t="s">
        <v>330</v>
      </c>
      <c r="Y2376" s="42">
        <v>44901</v>
      </c>
    </row>
    <row r="2377" spans="14:25">
      <c r="N2377" s="42">
        <v>44886</v>
      </c>
      <c r="O2377" t="s">
        <v>345</v>
      </c>
      <c r="P2377" s="42">
        <v>44886</v>
      </c>
      <c r="Q2377" t="s">
        <v>345</v>
      </c>
      <c r="R2377" t="s">
        <v>329</v>
      </c>
      <c r="S2377" t="s">
        <v>323</v>
      </c>
      <c r="T2377">
        <v>7.6</v>
      </c>
      <c r="W2377" t="s">
        <v>330</v>
      </c>
      <c r="Y2377" s="42">
        <v>44887</v>
      </c>
    </row>
    <row r="2378" spans="14:25">
      <c r="N2378" s="42">
        <v>44866</v>
      </c>
      <c r="O2378" t="s">
        <v>333</v>
      </c>
      <c r="P2378" s="42">
        <v>44866</v>
      </c>
      <c r="Q2378" t="s">
        <v>333</v>
      </c>
      <c r="R2378" t="s">
        <v>329</v>
      </c>
      <c r="S2378" t="s">
        <v>323</v>
      </c>
      <c r="T2378">
        <v>1.25</v>
      </c>
      <c r="W2378" t="s">
        <v>330</v>
      </c>
      <c r="Y2378" s="42">
        <v>44873</v>
      </c>
    </row>
    <row r="2379" spans="14:25">
      <c r="N2379" s="42">
        <v>44865</v>
      </c>
      <c r="O2379" t="s">
        <v>345</v>
      </c>
      <c r="P2379" s="42">
        <v>44865</v>
      </c>
      <c r="Q2379" t="s">
        <v>345</v>
      </c>
      <c r="R2379" t="s">
        <v>329</v>
      </c>
      <c r="S2379" t="s">
        <v>323</v>
      </c>
      <c r="T2379">
        <v>1.25</v>
      </c>
      <c r="W2379" t="s">
        <v>330</v>
      </c>
      <c r="Y2379" s="42">
        <v>44873</v>
      </c>
    </row>
    <row r="2380" spans="14:25">
      <c r="N2380" s="42">
        <v>44833</v>
      </c>
      <c r="O2380" t="s">
        <v>324</v>
      </c>
      <c r="P2380" s="42">
        <v>44833</v>
      </c>
      <c r="Q2380" t="s">
        <v>324</v>
      </c>
      <c r="R2380" t="s">
        <v>329</v>
      </c>
      <c r="S2380" t="s">
        <v>323</v>
      </c>
      <c r="T2380">
        <v>5.5</v>
      </c>
      <c r="W2380" t="s">
        <v>330</v>
      </c>
      <c r="Y2380" s="42">
        <v>44845</v>
      </c>
    </row>
    <row r="2381" spans="14:25">
      <c r="N2381" s="42">
        <v>44832</v>
      </c>
      <c r="O2381" t="s">
        <v>328</v>
      </c>
      <c r="P2381" s="42">
        <v>44832</v>
      </c>
      <c r="Q2381" t="s">
        <v>328</v>
      </c>
      <c r="R2381" t="s">
        <v>329</v>
      </c>
      <c r="S2381" t="s">
        <v>323</v>
      </c>
      <c r="T2381">
        <v>7.6</v>
      </c>
      <c r="W2381" t="s">
        <v>330</v>
      </c>
      <c r="Y2381" s="42">
        <v>44845</v>
      </c>
    </row>
    <row r="2382" spans="14:25">
      <c r="N2382" s="42">
        <v>44830</v>
      </c>
      <c r="O2382" t="s">
        <v>345</v>
      </c>
      <c r="P2382" s="42">
        <v>44830</v>
      </c>
      <c r="Q2382" t="s">
        <v>345</v>
      </c>
      <c r="R2382" t="s">
        <v>320</v>
      </c>
      <c r="S2382" t="s">
        <v>323</v>
      </c>
      <c r="U2382">
        <v>7.6</v>
      </c>
    </row>
    <row r="2383" spans="14:25">
      <c r="N2383" s="42">
        <v>44826</v>
      </c>
      <c r="O2383" t="s">
        <v>324</v>
      </c>
      <c r="P2383" s="42">
        <v>44826</v>
      </c>
      <c r="Q2383" t="s">
        <v>324</v>
      </c>
      <c r="R2383" t="s">
        <v>320</v>
      </c>
      <c r="S2383" t="s">
        <v>323</v>
      </c>
      <c r="U2383">
        <v>7.6</v>
      </c>
    </row>
    <row r="2384" spans="14:25">
      <c r="N2384" s="42">
        <v>44805</v>
      </c>
      <c r="O2384" t="s">
        <v>324</v>
      </c>
      <c r="P2384" s="42">
        <v>44805</v>
      </c>
      <c r="Q2384" t="s">
        <v>324</v>
      </c>
      <c r="R2384" t="s">
        <v>329</v>
      </c>
      <c r="S2384" t="s">
        <v>323</v>
      </c>
      <c r="T2384">
        <v>1</v>
      </c>
      <c r="W2384" t="s">
        <v>330</v>
      </c>
      <c r="Y2384" s="42">
        <v>44817</v>
      </c>
    </row>
    <row r="2385" spans="14:25">
      <c r="N2385" s="42">
        <v>44781</v>
      </c>
      <c r="O2385" t="s">
        <v>345</v>
      </c>
      <c r="P2385" s="42">
        <v>44781</v>
      </c>
      <c r="Q2385" t="s">
        <v>345</v>
      </c>
      <c r="R2385" t="s">
        <v>329</v>
      </c>
      <c r="S2385" t="s">
        <v>323</v>
      </c>
      <c r="T2385">
        <v>1.25</v>
      </c>
      <c r="W2385" t="s">
        <v>330</v>
      </c>
      <c r="Y2385" s="42">
        <v>44789</v>
      </c>
    </row>
    <row r="2386" spans="14:25">
      <c r="N2386" s="42">
        <v>44774</v>
      </c>
      <c r="O2386" t="s">
        <v>345</v>
      </c>
      <c r="P2386" s="42">
        <v>44774</v>
      </c>
      <c r="Q2386" t="s">
        <v>345</v>
      </c>
      <c r="R2386" t="s">
        <v>329</v>
      </c>
      <c r="S2386" t="s">
        <v>323</v>
      </c>
      <c r="T2386">
        <v>7.6</v>
      </c>
      <c r="W2386" t="s">
        <v>330</v>
      </c>
      <c r="Y2386" s="42">
        <v>44775</v>
      </c>
    </row>
    <row r="2387" spans="14:25">
      <c r="N2387" s="42">
        <v>44756</v>
      </c>
      <c r="O2387" t="s">
        <v>324</v>
      </c>
      <c r="P2387" s="42">
        <v>44756</v>
      </c>
      <c r="Q2387" t="s">
        <v>324</v>
      </c>
      <c r="R2387" t="s">
        <v>329</v>
      </c>
      <c r="S2387" t="s">
        <v>323</v>
      </c>
      <c r="T2387">
        <v>7.6</v>
      </c>
      <c r="W2387" t="s">
        <v>330</v>
      </c>
      <c r="Y2387" s="42">
        <v>44761</v>
      </c>
    </row>
    <row r="2388" spans="14:25">
      <c r="N2388" s="42">
        <v>44743</v>
      </c>
      <c r="O2388" t="s">
        <v>346</v>
      </c>
      <c r="P2388" s="42">
        <v>44743</v>
      </c>
      <c r="Q2388" t="s">
        <v>346</v>
      </c>
      <c r="R2388" t="s">
        <v>320</v>
      </c>
      <c r="S2388" t="s">
        <v>323</v>
      </c>
      <c r="T2388">
        <v>7.6</v>
      </c>
      <c r="Y2388" s="42">
        <v>44747</v>
      </c>
    </row>
    <row r="2389" spans="14:25">
      <c r="N2389" s="42">
        <v>44742</v>
      </c>
      <c r="O2389" t="s">
        <v>324</v>
      </c>
      <c r="P2389" s="42">
        <v>44742</v>
      </c>
      <c r="Q2389" t="s">
        <v>324</v>
      </c>
      <c r="R2389" t="s">
        <v>320</v>
      </c>
      <c r="S2389" t="s">
        <v>323</v>
      </c>
      <c r="T2389">
        <v>7.6</v>
      </c>
      <c r="Y2389" s="42">
        <v>44747</v>
      </c>
    </row>
    <row r="2390" spans="14:25">
      <c r="N2390" s="42">
        <v>44741</v>
      </c>
      <c r="O2390" t="s">
        <v>328</v>
      </c>
      <c r="P2390" s="42">
        <v>44741</v>
      </c>
      <c r="Q2390" t="s">
        <v>328</v>
      </c>
      <c r="R2390" t="s">
        <v>320</v>
      </c>
      <c r="S2390" t="s">
        <v>323</v>
      </c>
      <c r="T2390">
        <v>7.6</v>
      </c>
      <c r="Y2390" s="42">
        <v>44747</v>
      </c>
    </row>
    <row r="2391" spans="14:25">
      <c r="N2391" s="42">
        <v>44740</v>
      </c>
      <c r="O2391" t="s">
        <v>333</v>
      </c>
      <c r="P2391" s="42">
        <v>44740</v>
      </c>
      <c r="Q2391" t="s">
        <v>333</v>
      </c>
      <c r="R2391" t="s">
        <v>320</v>
      </c>
      <c r="S2391" t="s">
        <v>323</v>
      </c>
      <c r="T2391">
        <v>7.6</v>
      </c>
      <c r="Y2391" s="42">
        <v>44747</v>
      </c>
    </row>
    <row r="2392" spans="14:25">
      <c r="N2392" s="42">
        <v>44739</v>
      </c>
      <c r="O2392" t="s">
        <v>345</v>
      </c>
      <c r="P2392" s="42">
        <v>44739</v>
      </c>
      <c r="Q2392" t="s">
        <v>345</v>
      </c>
      <c r="R2392" t="s">
        <v>320</v>
      </c>
      <c r="S2392" t="s">
        <v>323</v>
      </c>
      <c r="T2392">
        <v>7.6</v>
      </c>
      <c r="Y2392" s="42">
        <v>44747</v>
      </c>
    </row>
    <row r="2393" spans="14:25">
      <c r="N2393" s="42">
        <v>44736</v>
      </c>
      <c r="O2393" t="s">
        <v>346</v>
      </c>
      <c r="P2393" s="42">
        <v>44736</v>
      </c>
      <c r="Q2393" t="s">
        <v>346</v>
      </c>
      <c r="R2393" t="s">
        <v>320</v>
      </c>
      <c r="S2393" t="s">
        <v>323</v>
      </c>
      <c r="T2393">
        <v>7.6</v>
      </c>
      <c r="Y2393" s="42">
        <v>44747</v>
      </c>
    </row>
    <row r="2394" spans="14:25">
      <c r="N2394" s="42">
        <v>44735</v>
      </c>
      <c r="O2394" t="s">
        <v>324</v>
      </c>
      <c r="P2394" s="42">
        <v>44735</v>
      </c>
      <c r="Q2394" t="s">
        <v>324</v>
      </c>
      <c r="R2394" t="s">
        <v>320</v>
      </c>
      <c r="S2394" t="s">
        <v>323</v>
      </c>
      <c r="T2394">
        <v>7.6</v>
      </c>
      <c r="Y2394" s="42">
        <v>44747</v>
      </c>
    </row>
    <row r="2395" spans="14:25">
      <c r="N2395" s="42">
        <v>44734</v>
      </c>
      <c r="O2395" t="s">
        <v>328</v>
      </c>
      <c r="P2395" s="42">
        <v>44734</v>
      </c>
      <c r="Q2395" t="s">
        <v>328</v>
      </c>
      <c r="R2395" t="s">
        <v>320</v>
      </c>
      <c r="S2395" t="s">
        <v>323</v>
      </c>
      <c r="T2395">
        <v>7.6</v>
      </c>
      <c r="Y2395" s="42">
        <v>44747</v>
      </c>
    </row>
    <row r="2396" spans="14:25">
      <c r="N2396" s="42">
        <v>44733</v>
      </c>
      <c r="O2396" t="s">
        <v>333</v>
      </c>
      <c r="P2396" s="42">
        <v>44733</v>
      </c>
      <c r="Q2396" t="s">
        <v>333</v>
      </c>
      <c r="R2396" t="s">
        <v>320</v>
      </c>
      <c r="S2396" t="s">
        <v>323</v>
      </c>
      <c r="T2396">
        <v>7.6</v>
      </c>
      <c r="Y2396" s="42">
        <v>44733</v>
      </c>
    </row>
    <row r="2397" spans="14:25">
      <c r="N2397" s="42">
        <v>44732</v>
      </c>
      <c r="O2397" t="s">
        <v>345</v>
      </c>
      <c r="P2397" s="42">
        <v>44732</v>
      </c>
      <c r="Q2397" t="s">
        <v>345</v>
      </c>
      <c r="R2397" t="s">
        <v>320</v>
      </c>
      <c r="S2397" t="s">
        <v>323</v>
      </c>
      <c r="T2397">
        <v>7.6</v>
      </c>
      <c r="Y2397" s="42">
        <v>44733</v>
      </c>
    </row>
    <row r="2398" spans="14:25">
      <c r="N2398" s="42">
        <v>44725</v>
      </c>
      <c r="O2398" t="s">
        <v>345</v>
      </c>
      <c r="P2398" s="42">
        <v>44725</v>
      </c>
      <c r="Q2398" t="s">
        <v>345</v>
      </c>
      <c r="R2398" t="s">
        <v>329</v>
      </c>
      <c r="S2398" t="s">
        <v>323</v>
      </c>
      <c r="T2398">
        <v>7.6</v>
      </c>
      <c r="W2398" t="s">
        <v>330</v>
      </c>
      <c r="Y2398" s="42">
        <v>44733</v>
      </c>
    </row>
    <row r="2399" spans="14:25">
      <c r="N2399" s="42">
        <v>44718</v>
      </c>
      <c r="O2399" t="s">
        <v>345</v>
      </c>
      <c r="P2399" s="42">
        <v>44718</v>
      </c>
      <c r="Q2399" t="s">
        <v>345</v>
      </c>
      <c r="R2399" t="s">
        <v>320</v>
      </c>
      <c r="S2399" t="s">
        <v>323</v>
      </c>
      <c r="U2399">
        <v>7.6</v>
      </c>
    </row>
    <row r="2400" spans="14:25">
      <c r="N2400" s="42">
        <v>44687</v>
      </c>
      <c r="O2400" t="s">
        <v>346</v>
      </c>
      <c r="P2400" s="42">
        <v>44687</v>
      </c>
      <c r="Q2400" t="s">
        <v>346</v>
      </c>
      <c r="R2400" t="s">
        <v>329</v>
      </c>
      <c r="S2400" t="s">
        <v>323</v>
      </c>
      <c r="T2400">
        <v>7.6</v>
      </c>
      <c r="W2400" t="s">
        <v>330</v>
      </c>
      <c r="Y2400" s="42">
        <v>44691</v>
      </c>
    </row>
    <row r="2401" spans="14:25">
      <c r="N2401" s="42">
        <v>44676</v>
      </c>
      <c r="O2401" t="s">
        <v>345</v>
      </c>
      <c r="P2401" s="42">
        <v>44676</v>
      </c>
      <c r="Q2401" t="s">
        <v>345</v>
      </c>
      <c r="R2401" t="s">
        <v>320</v>
      </c>
      <c r="S2401" t="s">
        <v>323</v>
      </c>
      <c r="U2401">
        <v>7.6</v>
      </c>
    </row>
    <row r="2402" spans="14:25">
      <c r="N2402" s="42">
        <v>44669</v>
      </c>
      <c r="O2402" t="s">
        <v>345</v>
      </c>
      <c r="P2402" s="42">
        <v>44669</v>
      </c>
      <c r="Q2402" t="s">
        <v>345</v>
      </c>
      <c r="R2402" t="s">
        <v>320</v>
      </c>
      <c r="S2402" t="s">
        <v>323</v>
      </c>
      <c r="U2402">
        <v>7.6</v>
      </c>
    </row>
    <row r="2403" spans="14:25">
      <c r="N2403" s="42">
        <v>44666</v>
      </c>
      <c r="O2403" t="s">
        <v>346</v>
      </c>
      <c r="P2403" s="42">
        <v>44666</v>
      </c>
      <c r="Q2403" t="s">
        <v>346</v>
      </c>
      <c r="R2403" t="s">
        <v>320</v>
      </c>
      <c r="S2403" t="s">
        <v>323</v>
      </c>
      <c r="U2403">
        <v>7.6</v>
      </c>
    </row>
    <row r="2404" spans="14:25">
      <c r="N2404" s="42">
        <v>44663</v>
      </c>
      <c r="O2404" t="s">
        <v>333</v>
      </c>
      <c r="P2404" s="42">
        <v>44663</v>
      </c>
      <c r="Q2404" t="s">
        <v>333</v>
      </c>
      <c r="R2404" t="s">
        <v>329</v>
      </c>
      <c r="S2404" t="s">
        <v>323</v>
      </c>
      <c r="T2404">
        <v>4.5167000000000002</v>
      </c>
      <c r="W2404" t="s">
        <v>330</v>
      </c>
      <c r="Y2404" s="42">
        <v>44663</v>
      </c>
    </row>
    <row r="2405" spans="14:25">
      <c r="N2405" s="42">
        <v>44645</v>
      </c>
      <c r="O2405" t="s">
        <v>346</v>
      </c>
      <c r="P2405" s="42">
        <v>44645</v>
      </c>
      <c r="Q2405" t="s">
        <v>346</v>
      </c>
      <c r="R2405" t="s">
        <v>320</v>
      </c>
      <c r="S2405" t="s">
        <v>323</v>
      </c>
      <c r="T2405">
        <v>7.6</v>
      </c>
      <c r="Y2405" s="42">
        <v>44649</v>
      </c>
    </row>
    <row r="2406" spans="14:25">
      <c r="N2406" s="42">
        <v>44644</v>
      </c>
      <c r="O2406" t="s">
        <v>324</v>
      </c>
      <c r="P2406" s="42">
        <v>44644</v>
      </c>
      <c r="Q2406" t="s">
        <v>324</v>
      </c>
      <c r="R2406" t="s">
        <v>320</v>
      </c>
      <c r="S2406" t="s">
        <v>323</v>
      </c>
      <c r="T2406">
        <v>7.6</v>
      </c>
      <c r="Y2406" s="42">
        <v>44649</v>
      </c>
    </row>
    <row r="2407" spans="14:25">
      <c r="N2407" s="42">
        <v>44643</v>
      </c>
      <c r="O2407" t="s">
        <v>328</v>
      </c>
      <c r="P2407" s="42">
        <v>44643</v>
      </c>
      <c r="Q2407" t="s">
        <v>328</v>
      </c>
      <c r="R2407" t="s">
        <v>320</v>
      </c>
      <c r="S2407" t="s">
        <v>323</v>
      </c>
      <c r="T2407">
        <v>7.6</v>
      </c>
      <c r="Y2407" s="42">
        <v>44649</v>
      </c>
    </row>
    <row r="2408" spans="14:25">
      <c r="N2408" s="42">
        <v>44641</v>
      </c>
      <c r="O2408" t="s">
        <v>345</v>
      </c>
      <c r="P2408" s="42">
        <v>44641</v>
      </c>
      <c r="Q2408" t="s">
        <v>345</v>
      </c>
      <c r="R2408" t="s">
        <v>329</v>
      </c>
      <c r="S2408" t="s">
        <v>323</v>
      </c>
      <c r="T2408">
        <v>7.6</v>
      </c>
      <c r="W2408" t="s">
        <v>330</v>
      </c>
      <c r="Y2408" s="42">
        <v>44649</v>
      </c>
    </row>
    <row r="2409" spans="14:25">
      <c r="N2409" s="42">
        <v>44627</v>
      </c>
      <c r="O2409" t="s">
        <v>345</v>
      </c>
      <c r="P2409" s="42">
        <v>44627</v>
      </c>
      <c r="Q2409" t="s">
        <v>345</v>
      </c>
      <c r="R2409" t="s">
        <v>320</v>
      </c>
      <c r="S2409" t="s">
        <v>323</v>
      </c>
      <c r="U2409">
        <v>7.6</v>
      </c>
    </row>
    <row r="2410" spans="14:25">
      <c r="N2410" s="42">
        <v>44599</v>
      </c>
      <c r="O2410" t="s">
        <v>345</v>
      </c>
      <c r="P2410" s="42">
        <v>44599</v>
      </c>
      <c r="Q2410" t="s">
        <v>345</v>
      </c>
      <c r="R2410" t="s">
        <v>329</v>
      </c>
      <c r="S2410" t="s">
        <v>323</v>
      </c>
      <c r="T2410">
        <v>7.6</v>
      </c>
      <c r="W2410" t="s">
        <v>330</v>
      </c>
      <c r="Y2410" s="42">
        <v>44607</v>
      </c>
    </row>
    <row r="2411" spans="14:25">
      <c r="N2411" s="42">
        <v>44587</v>
      </c>
      <c r="O2411" t="s">
        <v>328</v>
      </c>
      <c r="P2411" s="42">
        <v>44587</v>
      </c>
      <c r="Q2411" t="s">
        <v>328</v>
      </c>
      <c r="R2411" t="s">
        <v>320</v>
      </c>
      <c r="S2411" t="s">
        <v>323</v>
      </c>
      <c r="U2411">
        <v>7.6</v>
      </c>
    </row>
    <row r="2412" spans="14:25">
      <c r="N2412" s="42">
        <v>44575</v>
      </c>
      <c r="O2412" t="s">
        <v>346</v>
      </c>
      <c r="P2412" s="42">
        <v>44575</v>
      </c>
      <c r="Q2412" t="s">
        <v>346</v>
      </c>
      <c r="R2412" t="s">
        <v>320</v>
      </c>
      <c r="S2412" t="s">
        <v>323</v>
      </c>
      <c r="T2412">
        <v>7.6</v>
      </c>
      <c r="Y2412" s="42">
        <v>44579</v>
      </c>
    </row>
    <row r="2413" spans="14:25">
      <c r="N2413" s="42">
        <v>44574</v>
      </c>
      <c r="O2413" t="s">
        <v>324</v>
      </c>
      <c r="P2413" s="42">
        <v>44574</v>
      </c>
      <c r="Q2413" t="s">
        <v>324</v>
      </c>
      <c r="R2413" t="s">
        <v>320</v>
      </c>
      <c r="S2413" t="s">
        <v>323</v>
      </c>
      <c r="T2413">
        <v>7.6</v>
      </c>
      <c r="Y2413" s="42">
        <v>44579</v>
      </c>
    </row>
    <row r="2414" spans="14:25">
      <c r="N2414" s="42">
        <v>44573</v>
      </c>
      <c r="O2414" t="s">
        <v>328</v>
      </c>
      <c r="P2414" s="42">
        <v>44573</v>
      </c>
      <c r="Q2414" t="s">
        <v>328</v>
      </c>
      <c r="R2414" t="s">
        <v>320</v>
      </c>
      <c r="S2414" t="s">
        <v>323</v>
      </c>
      <c r="T2414">
        <v>7.6</v>
      </c>
      <c r="Y2414" s="42">
        <v>44579</v>
      </c>
    </row>
    <row r="2415" spans="14:25">
      <c r="N2415" s="42">
        <v>44572</v>
      </c>
      <c r="O2415" t="s">
        <v>333</v>
      </c>
      <c r="P2415" s="42">
        <v>44572</v>
      </c>
      <c r="Q2415" t="s">
        <v>333</v>
      </c>
      <c r="R2415" t="s">
        <v>320</v>
      </c>
      <c r="S2415" t="s">
        <v>323</v>
      </c>
      <c r="T2415">
        <v>7.6</v>
      </c>
      <c r="Y2415" s="42">
        <v>44579</v>
      </c>
    </row>
    <row r="2416" spans="14:25">
      <c r="N2416" s="42">
        <v>44571</v>
      </c>
      <c r="O2416" t="s">
        <v>345</v>
      </c>
      <c r="P2416" s="42">
        <v>44571</v>
      </c>
      <c r="Q2416" t="s">
        <v>345</v>
      </c>
      <c r="R2416" t="s">
        <v>320</v>
      </c>
      <c r="S2416" t="s">
        <v>323</v>
      </c>
      <c r="T2416">
        <v>7.6</v>
      </c>
      <c r="Y2416" s="42">
        <v>44579</v>
      </c>
    </row>
    <row r="2417" spans="14:25">
      <c r="N2417" s="42">
        <v>44568</v>
      </c>
      <c r="O2417" t="s">
        <v>346</v>
      </c>
      <c r="P2417" s="42">
        <v>44568</v>
      </c>
      <c r="Q2417" t="s">
        <v>346</v>
      </c>
      <c r="R2417" t="s">
        <v>320</v>
      </c>
      <c r="S2417" t="s">
        <v>323</v>
      </c>
      <c r="T2417">
        <v>7.6</v>
      </c>
      <c r="Y2417" s="42">
        <v>44579</v>
      </c>
    </row>
    <row r="2418" spans="14:25">
      <c r="N2418" s="42">
        <v>44567</v>
      </c>
      <c r="O2418" t="s">
        <v>324</v>
      </c>
      <c r="P2418" s="42">
        <v>44567</v>
      </c>
      <c r="Q2418" t="s">
        <v>324</v>
      </c>
      <c r="R2418" t="s">
        <v>320</v>
      </c>
      <c r="S2418" t="s">
        <v>323</v>
      </c>
      <c r="T2418">
        <v>7.6</v>
      </c>
      <c r="Y2418" s="42">
        <v>44579</v>
      </c>
    </row>
    <row r="2419" spans="14:25">
      <c r="N2419" s="42">
        <v>44566</v>
      </c>
      <c r="O2419" t="s">
        <v>328</v>
      </c>
      <c r="P2419" s="42">
        <v>44566</v>
      </c>
      <c r="Q2419" t="s">
        <v>328</v>
      </c>
      <c r="R2419" t="s">
        <v>320</v>
      </c>
      <c r="S2419" t="s">
        <v>323</v>
      </c>
      <c r="T2419">
        <v>7.6</v>
      </c>
      <c r="Y2419" s="42">
        <v>44579</v>
      </c>
    </row>
    <row r="2420" spans="14:25">
      <c r="N2420" s="42">
        <v>44565</v>
      </c>
      <c r="O2420" t="s">
        <v>333</v>
      </c>
      <c r="P2420" s="42">
        <v>44565</v>
      </c>
      <c r="Q2420" t="s">
        <v>333</v>
      </c>
      <c r="R2420" t="s">
        <v>320</v>
      </c>
      <c r="S2420" t="s">
        <v>323</v>
      </c>
      <c r="T2420">
        <v>7.6</v>
      </c>
      <c r="Y2420" s="42">
        <v>44565</v>
      </c>
    </row>
    <row r="2421" spans="14:25">
      <c r="N2421" s="42">
        <v>44564</v>
      </c>
      <c r="O2421" t="s">
        <v>345</v>
      </c>
      <c r="P2421" s="42">
        <v>44564</v>
      </c>
      <c r="Q2421" t="s">
        <v>345</v>
      </c>
      <c r="R2421" t="s">
        <v>320</v>
      </c>
      <c r="S2421" t="s">
        <v>323</v>
      </c>
      <c r="U2421">
        <v>7.6</v>
      </c>
    </row>
    <row r="2422" spans="14:25">
      <c r="N2422" s="42">
        <v>44558</v>
      </c>
      <c r="O2422" t="s">
        <v>333</v>
      </c>
      <c r="P2422" s="42">
        <v>44558</v>
      </c>
      <c r="Q2422" t="s">
        <v>333</v>
      </c>
      <c r="R2422" t="s">
        <v>320</v>
      </c>
      <c r="S2422" t="s">
        <v>323</v>
      </c>
      <c r="U2422">
        <v>7.6</v>
      </c>
    </row>
    <row r="2423" spans="14:25">
      <c r="N2423" s="42">
        <v>44557</v>
      </c>
      <c r="O2423" t="s">
        <v>345</v>
      </c>
      <c r="P2423" s="42">
        <v>44557</v>
      </c>
      <c r="Q2423" t="s">
        <v>345</v>
      </c>
      <c r="R2423" t="s">
        <v>320</v>
      </c>
      <c r="S2423" t="s">
        <v>323</v>
      </c>
      <c r="U2423">
        <v>7.6</v>
      </c>
    </row>
    <row r="2424" spans="14:25">
      <c r="N2424" s="42">
        <v>44545</v>
      </c>
      <c r="O2424" t="s">
        <v>328</v>
      </c>
      <c r="P2424" s="42">
        <v>44545</v>
      </c>
      <c r="Q2424" t="s">
        <v>328</v>
      </c>
      <c r="R2424" t="s">
        <v>329</v>
      </c>
      <c r="S2424" t="s">
        <v>323</v>
      </c>
      <c r="T2424">
        <v>2.5</v>
      </c>
      <c r="W2424" t="s">
        <v>330</v>
      </c>
      <c r="Y2424" s="42">
        <v>44551</v>
      </c>
    </row>
    <row r="2425" spans="14:25">
      <c r="N2425" s="42">
        <v>44519</v>
      </c>
      <c r="O2425" t="s">
        <v>346</v>
      </c>
      <c r="P2425" s="42">
        <v>44519</v>
      </c>
      <c r="Q2425" t="s">
        <v>346</v>
      </c>
      <c r="R2425" t="s">
        <v>329</v>
      </c>
      <c r="S2425" t="s">
        <v>323</v>
      </c>
      <c r="T2425">
        <v>4.5</v>
      </c>
      <c r="W2425" t="s">
        <v>330</v>
      </c>
      <c r="Y2425" s="42">
        <v>44523</v>
      </c>
    </row>
    <row r="2426" spans="14:25">
      <c r="N2426" s="42">
        <v>44498</v>
      </c>
      <c r="O2426" t="s">
        <v>346</v>
      </c>
      <c r="P2426" s="42">
        <v>44498</v>
      </c>
      <c r="Q2426" t="s">
        <v>346</v>
      </c>
      <c r="R2426" t="s">
        <v>329</v>
      </c>
      <c r="S2426" t="s">
        <v>323</v>
      </c>
      <c r="T2426">
        <v>7.6</v>
      </c>
      <c r="W2426" t="s">
        <v>330</v>
      </c>
      <c r="Y2426" s="42">
        <v>44509</v>
      </c>
    </row>
    <row r="2427" spans="14:25">
      <c r="N2427" s="42">
        <v>44491</v>
      </c>
      <c r="O2427" t="s">
        <v>346</v>
      </c>
      <c r="P2427" s="42">
        <v>44491</v>
      </c>
      <c r="Q2427" t="s">
        <v>346</v>
      </c>
      <c r="R2427" t="s">
        <v>329</v>
      </c>
      <c r="S2427" t="s">
        <v>323</v>
      </c>
      <c r="T2427">
        <v>3.25</v>
      </c>
      <c r="W2427" t="s">
        <v>330</v>
      </c>
      <c r="Y2427" s="42">
        <v>44495</v>
      </c>
    </row>
    <row r="2428" spans="14:25">
      <c r="N2428" s="42">
        <v>44484</v>
      </c>
      <c r="O2428" t="s">
        <v>346</v>
      </c>
      <c r="P2428" s="42">
        <v>44484</v>
      </c>
      <c r="Q2428" t="s">
        <v>346</v>
      </c>
      <c r="R2428" t="s">
        <v>320</v>
      </c>
      <c r="S2428" t="s">
        <v>323</v>
      </c>
      <c r="T2428">
        <v>7.6</v>
      </c>
      <c r="Y2428" s="42">
        <v>44495</v>
      </c>
    </row>
    <row r="2429" spans="14:25">
      <c r="N2429" s="42">
        <v>44474</v>
      </c>
      <c r="O2429" t="s">
        <v>333</v>
      </c>
      <c r="P2429" s="42">
        <v>44474</v>
      </c>
      <c r="Q2429" t="s">
        <v>333</v>
      </c>
      <c r="R2429" t="s">
        <v>320</v>
      </c>
      <c r="S2429" t="s">
        <v>323</v>
      </c>
      <c r="T2429">
        <v>7.6</v>
      </c>
      <c r="Y2429" s="42">
        <v>44481</v>
      </c>
    </row>
    <row r="2430" spans="14:25">
      <c r="N2430" s="42">
        <v>44473</v>
      </c>
      <c r="O2430" t="s">
        <v>345</v>
      </c>
      <c r="P2430" s="42">
        <v>44473</v>
      </c>
      <c r="Q2430" t="s">
        <v>345</v>
      </c>
      <c r="R2430" t="s">
        <v>320</v>
      </c>
      <c r="S2430" t="s">
        <v>323</v>
      </c>
      <c r="T2430">
        <v>7.6</v>
      </c>
      <c r="Y2430" s="42">
        <v>44481</v>
      </c>
    </row>
    <row r="2431" spans="14:25">
      <c r="N2431" s="42">
        <v>44470</v>
      </c>
      <c r="O2431" t="s">
        <v>346</v>
      </c>
      <c r="P2431" s="42">
        <v>44470</v>
      </c>
      <c r="Q2431" t="s">
        <v>346</v>
      </c>
      <c r="R2431" t="s">
        <v>320</v>
      </c>
      <c r="S2431" t="s">
        <v>323</v>
      </c>
      <c r="T2431">
        <v>7.6</v>
      </c>
      <c r="Y2431" s="42">
        <v>44481</v>
      </c>
    </row>
    <row r="2432" spans="14:25">
      <c r="N2432" s="42">
        <v>44453</v>
      </c>
      <c r="O2432" t="s">
        <v>333</v>
      </c>
      <c r="P2432" s="42">
        <v>44453</v>
      </c>
      <c r="Q2432" t="s">
        <v>333</v>
      </c>
      <c r="R2432" t="s">
        <v>329</v>
      </c>
      <c r="S2432" t="s">
        <v>323</v>
      </c>
      <c r="T2432">
        <v>7.6</v>
      </c>
      <c r="W2432" t="s">
        <v>330</v>
      </c>
      <c r="Y2432" s="42">
        <v>44453</v>
      </c>
    </row>
    <row r="2433" spans="14:25">
      <c r="N2433" s="42">
        <v>44452</v>
      </c>
      <c r="O2433" t="s">
        <v>345</v>
      </c>
      <c r="P2433" s="42">
        <v>44452</v>
      </c>
      <c r="Q2433" t="s">
        <v>345</v>
      </c>
      <c r="R2433" t="s">
        <v>329</v>
      </c>
      <c r="S2433" t="s">
        <v>323</v>
      </c>
      <c r="T2433">
        <v>7.6</v>
      </c>
      <c r="W2433" t="s">
        <v>330</v>
      </c>
      <c r="Y2433" s="42">
        <v>44453</v>
      </c>
    </row>
    <row r="2434" spans="14:25">
      <c r="N2434" s="42">
        <v>44442</v>
      </c>
      <c r="O2434" t="s">
        <v>346</v>
      </c>
      <c r="P2434" s="42">
        <v>44442</v>
      </c>
      <c r="Q2434" t="s">
        <v>346</v>
      </c>
      <c r="R2434" t="s">
        <v>320</v>
      </c>
      <c r="S2434" t="s">
        <v>323</v>
      </c>
      <c r="T2434">
        <v>7.6</v>
      </c>
      <c r="Y2434" s="42">
        <v>44453</v>
      </c>
    </row>
    <row r="2435" spans="14:25">
      <c r="N2435" s="42">
        <v>44424</v>
      </c>
      <c r="O2435" t="s">
        <v>345</v>
      </c>
      <c r="P2435" s="42">
        <v>44424</v>
      </c>
      <c r="Q2435" t="s">
        <v>345</v>
      </c>
      <c r="R2435" t="s">
        <v>329</v>
      </c>
      <c r="S2435" t="s">
        <v>323</v>
      </c>
      <c r="T2435">
        <v>7.6</v>
      </c>
      <c r="W2435" t="s">
        <v>330</v>
      </c>
      <c r="Y2435" s="42">
        <v>44425</v>
      </c>
    </row>
    <row r="2436" spans="14:25">
      <c r="N2436" s="42">
        <v>44358</v>
      </c>
      <c r="O2436" t="s">
        <v>346</v>
      </c>
      <c r="P2436" s="42">
        <v>44358</v>
      </c>
      <c r="Q2436" t="s">
        <v>346</v>
      </c>
      <c r="R2436" t="s">
        <v>329</v>
      </c>
      <c r="S2436" t="s">
        <v>323</v>
      </c>
      <c r="T2436">
        <v>17.399999999999999</v>
      </c>
      <c r="W2436" t="s">
        <v>330</v>
      </c>
      <c r="Y2436" s="42">
        <v>44369</v>
      </c>
    </row>
    <row r="2437" spans="14:25">
      <c r="N2437" s="42">
        <v>44354</v>
      </c>
      <c r="O2437" t="s">
        <v>345</v>
      </c>
      <c r="P2437" s="42">
        <v>44354</v>
      </c>
      <c r="Q2437" t="s">
        <v>345</v>
      </c>
      <c r="R2437" t="s">
        <v>320</v>
      </c>
      <c r="S2437" t="s">
        <v>323</v>
      </c>
      <c r="U2437">
        <v>7.6</v>
      </c>
    </row>
    <row r="2438" spans="14:25">
      <c r="N2438" s="42">
        <v>44312</v>
      </c>
      <c r="O2438" t="s">
        <v>345</v>
      </c>
      <c r="P2438" s="42">
        <v>44312</v>
      </c>
      <c r="Q2438" t="s">
        <v>345</v>
      </c>
      <c r="R2438" t="s">
        <v>320</v>
      </c>
      <c r="S2438" t="s">
        <v>323</v>
      </c>
      <c r="U2438">
        <v>7.6</v>
      </c>
    </row>
    <row r="2439" spans="14:25">
      <c r="N2439" s="42">
        <v>44295</v>
      </c>
      <c r="O2439" t="s">
        <v>346</v>
      </c>
      <c r="P2439" s="42">
        <v>44295</v>
      </c>
      <c r="Q2439" t="s">
        <v>346</v>
      </c>
      <c r="R2439" t="s">
        <v>320</v>
      </c>
      <c r="S2439" t="s">
        <v>323</v>
      </c>
      <c r="T2439">
        <v>7.6</v>
      </c>
      <c r="Y2439" s="42">
        <v>44299</v>
      </c>
    </row>
    <row r="2440" spans="14:25">
      <c r="N2440" s="42">
        <v>44294</v>
      </c>
      <c r="O2440" t="s">
        <v>324</v>
      </c>
      <c r="P2440" s="42">
        <v>44294</v>
      </c>
      <c r="Q2440" t="s">
        <v>324</v>
      </c>
      <c r="R2440" t="s">
        <v>320</v>
      </c>
      <c r="S2440" t="s">
        <v>323</v>
      </c>
      <c r="T2440">
        <v>7.6</v>
      </c>
      <c r="Y2440" s="42">
        <v>44299</v>
      </c>
    </row>
    <row r="2441" spans="14:25">
      <c r="N2441" s="42">
        <v>44293</v>
      </c>
      <c r="O2441" t="s">
        <v>328</v>
      </c>
      <c r="P2441" s="42">
        <v>44293</v>
      </c>
      <c r="Q2441" t="s">
        <v>328</v>
      </c>
      <c r="R2441" t="s">
        <v>320</v>
      </c>
      <c r="S2441" t="s">
        <v>323</v>
      </c>
      <c r="T2441">
        <v>7.6</v>
      </c>
      <c r="Y2441" s="42">
        <v>44299</v>
      </c>
    </row>
    <row r="2442" spans="14:25">
      <c r="N2442" s="42">
        <v>44292</v>
      </c>
      <c r="O2442" t="s">
        <v>333</v>
      </c>
      <c r="P2442" s="42">
        <v>44292</v>
      </c>
      <c r="Q2442" t="s">
        <v>333</v>
      </c>
      <c r="R2442" t="s">
        <v>320</v>
      </c>
      <c r="S2442" t="s">
        <v>323</v>
      </c>
      <c r="T2442">
        <v>7.6</v>
      </c>
      <c r="Y2442" s="42">
        <v>44299</v>
      </c>
    </row>
    <row r="2443" spans="14:25">
      <c r="N2443" s="42">
        <v>44291</v>
      </c>
      <c r="O2443" t="s">
        <v>345</v>
      </c>
      <c r="P2443" s="42">
        <v>44291</v>
      </c>
      <c r="Q2443" t="s">
        <v>345</v>
      </c>
      <c r="R2443" t="s">
        <v>320</v>
      </c>
      <c r="S2443" t="s">
        <v>323</v>
      </c>
      <c r="U2443">
        <v>7.6</v>
      </c>
    </row>
    <row r="2444" spans="14:25">
      <c r="N2444" s="42">
        <v>44288</v>
      </c>
      <c r="O2444" t="s">
        <v>346</v>
      </c>
      <c r="P2444" s="42">
        <v>44288</v>
      </c>
      <c r="Q2444" t="s">
        <v>346</v>
      </c>
      <c r="R2444" t="s">
        <v>320</v>
      </c>
      <c r="S2444" t="s">
        <v>323</v>
      </c>
      <c r="U2444">
        <v>7.6</v>
      </c>
    </row>
    <row r="2445" spans="14:25">
      <c r="N2445" s="42">
        <v>44278</v>
      </c>
      <c r="O2445" t="s">
        <v>333</v>
      </c>
      <c r="P2445" s="42">
        <v>44278</v>
      </c>
      <c r="Q2445" t="s">
        <v>333</v>
      </c>
      <c r="R2445" t="s">
        <v>329</v>
      </c>
      <c r="S2445" t="s">
        <v>323</v>
      </c>
      <c r="T2445">
        <v>1</v>
      </c>
      <c r="W2445" t="s">
        <v>330</v>
      </c>
      <c r="Y2445" s="42">
        <v>44285</v>
      </c>
    </row>
    <row r="2446" spans="14:25">
      <c r="N2446" s="42">
        <v>44271</v>
      </c>
      <c r="O2446" t="s">
        <v>333</v>
      </c>
      <c r="P2446" s="42">
        <v>44271</v>
      </c>
      <c r="Q2446" t="s">
        <v>333</v>
      </c>
      <c r="R2446" t="s">
        <v>329</v>
      </c>
      <c r="S2446" t="s">
        <v>323</v>
      </c>
      <c r="T2446">
        <v>2.3332999999999999</v>
      </c>
      <c r="W2446" t="s">
        <v>330</v>
      </c>
      <c r="Y2446" s="42">
        <v>44271</v>
      </c>
    </row>
    <row r="2447" spans="14:25">
      <c r="N2447" s="42">
        <v>44256</v>
      </c>
      <c r="O2447" t="s">
        <v>345</v>
      </c>
      <c r="P2447" s="42">
        <v>44256</v>
      </c>
      <c r="Q2447" t="s">
        <v>345</v>
      </c>
      <c r="R2447" t="s">
        <v>320</v>
      </c>
      <c r="S2447" t="s">
        <v>323</v>
      </c>
      <c r="U2447">
        <v>7.6</v>
      </c>
    </row>
    <row r="2448" spans="14:25">
      <c r="N2448" s="42">
        <v>44252</v>
      </c>
      <c r="O2448" t="s">
        <v>324</v>
      </c>
      <c r="P2448" s="42">
        <v>44252</v>
      </c>
      <c r="Q2448" t="s">
        <v>324</v>
      </c>
      <c r="R2448" t="s">
        <v>329</v>
      </c>
      <c r="S2448" t="s">
        <v>323</v>
      </c>
      <c r="T2448">
        <v>7.6</v>
      </c>
      <c r="W2448" t="s">
        <v>330</v>
      </c>
      <c r="Y2448" s="42">
        <v>44271</v>
      </c>
    </row>
    <row r="2449" spans="14:25">
      <c r="N2449" s="42">
        <v>44250</v>
      </c>
      <c r="O2449" t="s">
        <v>333</v>
      </c>
      <c r="P2449" s="42">
        <v>44250</v>
      </c>
      <c r="Q2449" t="s">
        <v>333</v>
      </c>
      <c r="R2449" t="s">
        <v>329</v>
      </c>
      <c r="S2449" t="s">
        <v>323</v>
      </c>
      <c r="T2449">
        <v>1.3</v>
      </c>
      <c r="W2449" t="s">
        <v>330</v>
      </c>
      <c r="Y2449" s="42">
        <v>44257</v>
      </c>
    </row>
    <row r="2450" spans="14:25">
      <c r="N2450" s="42">
        <v>44249</v>
      </c>
      <c r="O2450" t="s">
        <v>345</v>
      </c>
      <c r="P2450" s="42">
        <v>44249</v>
      </c>
      <c r="Q2450" t="s">
        <v>345</v>
      </c>
      <c r="R2450" t="s">
        <v>329</v>
      </c>
      <c r="S2450" t="s">
        <v>323</v>
      </c>
      <c r="T2450">
        <v>2.5</v>
      </c>
      <c r="W2450" t="s">
        <v>330</v>
      </c>
      <c r="Y2450" s="42">
        <v>44257</v>
      </c>
    </row>
    <row r="2451" spans="14:25">
      <c r="N2451" s="42">
        <v>44222</v>
      </c>
      <c r="O2451" t="s">
        <v>333</v>
      </c>
      <c r="P2451" s="42">
        <v>44222</v>
      </c>
      <c r="Q2451" t="s">
        <v>333</v>
      </c>
      <c r="R2451" t="s">
        <v>320</v>
      </c>
      <c r="S2451" t="s">
        <v>323</v>
      </c>
      <c r="U2451">
        <v>7.6</v>
      </c>
    </row>
    <row r="2452" spans="14:25">
      <c r="N2452" s="42">
        <v>44218</v>
      </c>
      <c r="O2452" t="s">
        <v>346</v>
      </c>
      <c r="P2452" s="42">
        <v>44218</v>
      </c>
      <c r="Q2452" t="s">
        <v>346</v>
      </c>
      <c r="R2452" t="s">
        <v>329</v>
      </c>
      <c r="S2452" t="s">
        <v>323</v>
      </c>
      <c r="T2452">
        <v>6</v>
      </c>
      <c r="W2452" t="s">
        <v>330</v>
      </c>
      <c r="Y2452" s="42">
        <v>44229</v>
      </c>
    </row>
    <row r="2453" spans="14:25">
      <c r="N2453" s="42">
        <v>44207</v>
      </c>
      <c r="O2453" t="s">
        <v>345</v>
      </c>
      <c r="P2453" s="42">
        <v>44207</v>
      </c>
      <c r="Q2453" t="s">
        <v>345</v>
      </c>
      <c r="R2453" t="s">
        <v>320</v>
      </c>
      <c r="S2453" t="s">
        <v>323</v>
      </c>
      <c r="T2453">
        <v>7.6</v>
      </c>
      <c r="Y2453" s="42">
        <v>44215</v>
      </c>
    </row>
    <row r="2454" spans="14:25">
      <c r="N2454" s="42">
        <v>44204</v>
      </c>
      <c r="O2454" t="s">
        <v>346</v>
      </c>
      <c r="P2454" s="42">
        <v>44204</v>
      </c>
      <c r="Q2454" t="s">
        <v>346</v>
      </c>
      <c r="R2454" t="s">
        <v>320</v>
      </c>
      <c r="S2454" t="s">
        <v>323</v>
      </c>
      <c r="T2454">
        <v>7.6</v>
      </c>
      <c r="Y2454" s="42">
        <v>44215</v>
      </c>
    </row>
    <row r="2455" spans="14:25">
      <c r="N2455" s="42">
        <v>44203</v>
      </c>
      <c r="O2455" t="s">
        <v>324</v>
      </c>
      <c r="P2455" s="42">
        <v>44203</v>
      </c>
      <c r="Q2455" t="s">
        <v>324</v>
      </c>
      <c r="R2455" t="s">
        <v>320</v>
      </c>
      <c r="S2455" t="s">
        <v>323</v>
      </c>
      <c r="T2455">
        <v>7.6</v>
      </c>
      <c r="Y2455" s="42">
        <v>44215</v>
      </c>
    </row>
    <row r="2456" spans="14:25">
      <c r="N2456" s="42">
        <v>44202</v>
      </c>
      <c r="O2456" t="s">
        <v>328</v>
      </c>
      <c r="P2456" s="42">
        <v>44202</v>
      </c>
      <c r="Q2456" t="s">
        <v>328</v>
      </c>
      <c r="R2456" t="s">
        <v>320</v>
      </c>
      <c r="S2456" t="s">
        <v>323</v>
      </c>
      <c r="T2456">
        <v>7.6</v>
      </c>
      <c r="Y2456" s="42">
        <v>44215</v>
      </c>
    </row>
    <row r="2457" spans="14:25">
      <c r="N2457" s="42">
        <v>44201</v>
      </c>
      <c r="O2457" t="s">
        <v>333</v>
      </c>
      <c r="P2457" s="42">
        <v>44201</v>
      </c>
      <c r="Q2457" t="s">
        <v>333</v>
      </c>
      <c r="R2457" t="s">
        <v>320</v>
      </c>
      <c r="S2457" t="s">
        <v>323</v>
      </c>
      <c r="T2457">
        <v>7.6</v>
      </c>
      <c r="Y2457" s="42">
        <v>44201</v>
      </c>
    </row>
    <row r="2458" spans="14:25">
      <c r="N2458" s="42">
        <v>44200</v>
      </c>
      <c r="O2458" t="s">
        <v>345</v>
      </c>
      <c r="P2458" s="42">
        <v>44200</v>
      </c>
      <c r="Q2458" t="s">
        <v>345</v>
      </c>
      <c r="R2458" t="s">
        <v>320</v>
      </c>
      <c r="S2458" t="s">
        <v>323</v>
      </c>
      <c r="T2458">
        <v>7.6</v>
      </c>
      <c r="Y2458" s="42">
        <v>44201</v>
      </c>
    </row>
    <row r="2459" spans="14:25">
      <c r="N2459" s="42">
        <v>44197</v>
      </c>
      <c r="O2459" t="s">
        <v>346</v>
      </c>
      <c r="P2459" s="42">
        <v>44197</v>
      </c>
      <c r="Q2459" t="s">
        <v>346</v>
      </c>
      <c r="R2459" t="s">
        <v>320</v>
      </c>
      <c r="S2459" t="s">
        <v>323</v>
      </c>
      <c r="U2459">
        <v>7.6</v>
      </c>
    </row>
    <row r="2460" spans="14:25">
      <c r="N2460" s="42">
        <v>44196</v>
      </c>
      <c r="O2460" t="s">
        <v>324</v>
      </c>
      <c r="P2460" s="42">
        <v>44196</v>
      </c>
      <c r="Q2460" t="s">
        <v>324</v>
      </c>
      <c r="R2460" t="s">
        <v>320</v>
      </c>
      <c r="S2460" t="s">
        <v>323</v>
      </c>
      <c r="T2460">
        <v>7.6</v>
      </c>
      <c r="Y2460" s="42">
        <v>44201</v>
      </c>
    </row>
    <row r="2461" spans="14:25">
      <c r="N2461" s="42">
        <v>44195</v>
      </c>
      <c r="O2461" t="s">
        <v>328</v>
      </c>
      <c r="P2461" s="42">
        <v>44195</v>
      </c>
      <c r="Q2461" t="s">
        <v>328</v>
      </c>
      <c r="R2461" t="s">
        <v>320</v>
      </c>
      <c r="S2461" t="s">
        <v>323</v>
      </c>
      <c r="T2461">
        <v>7.6</v>
      </c>
      <c r="Y2461" s="42">
        <v>44201</v>
      </c>
    </row>
    <row r="2462" spans="14:25">
      <c r="N2462" s="42">
        <v>44194</v>
      </c>
      <c r="O2462" t="s">
        <v>333</v>
      </c>
      <c r="P2462" s="42">
        <v>44194</v>
      </c>
      <c r="Q2462" t="s">
        <v>333</v>
      </c>
      <c r="R2462" t="s">
        <v>320</v>
      </c>
      <c r="S2462" t="s">
        <v>323</v>
      </c>
      <c r="T2462">
        <v>7.6</v>
      </c>
      <c r="Y2462" s="42">
        <v>44201</v>
      </c>
    </row>
    <row r="2463" spans="14:25">
      <c r="N2463" s="42">
        <v>44193</v>
      </c>
      <c r="O2463" t="s">
        <v>345</v>
      </c>
      <c r="P2463" s="42">
        <v>44193</v>
      </c>
      <c r="Q2463" t="s">
        <v>345</v>
      </c>
      <c r="R2463" t="s">
        <v>320</v>
      </c>
      <c r="S2463" t="s">
        <v>323</v>
      </c>
      <c r="U2463">
        <v>7.6</v>
      </c>
    </row>
    <row r="2464" spans="14:25">
      <c r="N2464" s="42">
        <v>44190</v>
      </c>
      <c r="O2464" t="s">
        <v>346</v>
      </c>
      <c r="P2464" s="42">
        <v>44190</v>
      </c>
      <c r="Q2464" t="s">
        <v>346</v>
      </c>
      <c r="R2464" t="s">
        <v>320</v>
      </c>
      <c r="S2464" t="s">
        <v>323</v>
      </c>
      <c r="U2464">
        <v>7.6</v>
      </c>
    </row>
    <row r="2465" spans="14:25">
      <c r="N2465" s="42">
        <v>44179</v>
      </c>
      <c r="O2465" t="s">
        <v>345</v>
      </c>
      <c r="P2465" s="42">
        <v>44179</v>
      </c>
      <c r="Q2465" t="s">
        <v>345</v>
      </c>
      <c r="R2465" t="s">
        <v>329</v>
      </c>
      <c r="S2465" t="s">
        <v>323</v>
      </c>
      <c r="T2465">
        <v>7.6</v>
      </c>
      <c r="W2465" t="s">
        <v>330</v>
      </c>
      <c r="Y2465" s="42">
        <v>44187</v>
      </c>
    </row>
    <row r="2466" spans="14:25">
      <c r="N2466" s="42">
        <v>44175</v>
      </c>
      <c r="O2466" t="s">
        <v>324</v>
      </c>
      <c r="P2466" s="42">
        <v>44175</v>
      </c>
      <c r="Q2466" t="s">
        <v>324</v>
      </c>
      <c r="R2466" t="s">
        <v>329</v>
      </c>
      <c r="S2466" t="s">
        <v>323</v>
      </c>
      <c r="T2466">
        <v>7.6</v>
      </c>
      <c r="W2466" t="s">
        <v>330</v>
      </c>
      <c r="Y2466" s="42">
        <v>44187</v>
      </c>
    </row>
    <row r="2467" spans="14:25">
      <c r="N2467" s="42">
        <v>44174</v>
      </c>
      <c r="O2467" t="s">
        <v>328</v>
      </c>
      <c r="P2467" s="42">
        <v>44174</v>
      </c>
      <c r="Q2467" t="s">
        <v>328</v>
      </c>
      <c r="R2467" t="s">
        <v>329</v>
      </c>
      <c r="S2467" t="s">
        <v>323</v>
      </c>
      <c r="T2467">
        <v>2.5</v>
      </c>
      <c r="W2467" t="s">
        <v>330</v>
      </c>
      <c r="Y2467" s="42">
        <v>44187</v>
      </c>
    </row>
    <row r="2468" spans="14:25">
      <c r="N2468" s="42">
        <v>44166</v>
      </c>
      <c r="O2468" t="s">
        <v>333</v>
      </c>
      <c r="P2468" s="42">
        <v>44166</v>
      </c>
      <c r="Q2468" t="s">
        <v>333</v>
      </c>
      <c r="R2468" t="s">
        <v>329</v>
      </c>
      <c r="S2468" t="s">
        <v>323</v>
      </c>
      <c r="T2468">
        <v>0.91669999999999996</v>
      </c>
      <c r="W2468" t="s">
        <v>330</v>
      </c>
      <c r="Y2468" s="42">
        <v>44173</v>
      </c>
    </row>
    <row r="2469" spans="14:25">
      <c r="N2469" s="42">
        <v>44165</v>
      </c>
      <c r="O2469" t="s">
        <v>345</v>
      </c>
      <c r="P2469" s="42">
        <v>44165</v>
      </c>
      <c r="Q2469" t="s">
        <v>345</v>
      </c>
      <c r="R2469" t="s">
        <v>329</v>
      </c>
      <c r="S2469" t="s">
        <v>323</v>
      </c>
      <c r="T2469">
        <v>1</v>
      </c>
      <c r="W2469" t="s">
        <v>330</v>
      </c>
      <c r="Y2469" s="42">
        <v>44173</v>
      </c>
    </row>
    <row r="2470" spans="14:25">
      <c r="N2470" s="42">
        <v>44154</v>
      </c>
      <c r="O2470" t="s">
        <v>324</v>
      </c>
      <c r="P2470" s="42">
        <v>44154</v>
      </c>
      <c r="Q2470" t="s">
        <v>324</v>
      </c>
      <c r="R2470" t="s">
        <v>329</v>
      </c>
      <c r="S2470" t="s">
        <v>323</v>
      </c>
      <c r="T2470">
        <v>3</v>
      </c>
      <c r="W2470" t="s">
        <v>330</v>
      </c>
      <c r="Y2470" s="42">
        <v>44159</v>
      </c>
    </row>
    <row r="2471" spans="14:25">
      <c r="N2471" s="42">
        <v>44140</v>
      </c>
      <c r="O2471" t="s">
        <v>324</v>
      </c>
      <c r="P2471" s="42">
        <v>44140</v>
      </c>
      <c r="Q2471" t="s">
        <v>324</v>
      </c>
      <c r="R2471" t="s">
        <v>329</v>
      </c>
      <c r="S2471" t="s">
        <v>323</v>
      </c>
      <c r="T2471">
        <v>7.6</v>
      </c>
      <c r="W2471" t="s">
        <v>330</v>
      </c>
      <c r="Y2471" s="42">
        <v>44145</v>
      </c>
    </row>
    <row r="2472" spans="14:25">
      <c r="N2472" s="42">
        <v>44139</v>
      </c>
      <c r="O2472" t="s">
        <v>328</v>
      </c>
      <c r="P2472" s="42">
        <v>44139</v>
      </c>
      <c r="Q2472" t="s">
        <v>328</v>
      </c>
      <c r="R2472" t="s">
        <v>329</v>
      </c>
      <c r="S2472" t="s">
        <v>323</v>
      </c>
      <c r="T2472">
        <v>7.6</v>
      </c>
      <c r="W2472" t="s">
        <v>330</v>
      </c>
      <c r="Y2472" s="42">
        <v>44145</v>
      </c>
    </row>
    <row r="2473" spans="14:25">
      <c r="N2473" s="42">
        <v>44131</v>
      </c>
      <c r="O2473" t="s">
        <v>333</v>
      </c>
      <c r="P2473" s="42">
        <v>44131</v>
      </c>
      <c r="Q2473" t="s">
        <v>333</v>
      </c>
      <c r="R2473" t="s">
        <v>329</v>
      </c>
      <c r="S2473" t="s">
        <v>323</v>
      </c>
      <c r="T2473">
        <v>1.3332999999999999</v>
      </c>
      <c r="W2473" t="s">
        <v>330</v>
      </c>
      <c r="Y2473" s="42">
        <v>44131</v>
      </c>
    </row>
    <row r="2474" spans="14:25">
      <c r="N2474" s="42">
        <v>44113</v>
      </c>
      <c r="O2474" t="s">
        <v>346</v>
      </c>
      <c r="P2474" s="42">
        <v>44113</v>
      </c>
      <c r="Q2474" t="s">
        <v>346</v>
      </c>
      <c r="R2474" t="s">
        <v>320</v>
      </c>
      <c r="S2474" t="s">
        <v>323</v>
      </c>
      <c r="T2474">
        <v>7.6</v>
      </c>
      <c r="Y2474" s="42">
        <v>44117</v>
      </c>
    </row>
    <row r="2475" spans="14:25">
      <c r="N2475" s="42">
        <v>44112</v>
      </c>
      <c r="O2475" t="s">
        <v>324</v>
      </c>
      <c r="P2475" s="42">
        <v>44112</v>
      </c>
      <c r="Q2475" t="s">
        <v>324</v>
      </c>
      <c r="R2475" t="s">
        <v>320</v>
      </c>
      <c r="S2475" t="s">
        <v>323</v>
      </c>
      <c r="T2475">
        <v>7.6</v>
      </c>
      <c r="Y2475" s="42">
        <v>44117</v>
      </c>
    </row>
    <row r="2476" spans="14:25">
      <c r="N2476" s="42">
        <v>44111</v>
      </c>
      <c r="O2476" t="s">
        <v>328</v>
      </c>
      <c r="P2476" s="42">
        <v>44111</v>
      </c>
      <c r="Q2476" t="s">
        <v>328</v>
      </c>
      <c r="R2476" t="s">
        <v>320</v>
      </c>
      <c r="S2476" t="s">
        <v>323</v>
      </c>
      <c r="T2476">
        <v>7.6</v>
      </c>
      <c r="Y2476" s="42">
        <v>44117</v>
      </c>
    </row>
    <row r="2477" spans="14:25">
      <c r="N2477" s="42">
        <v>44110</v>
      </c>
      <c r="O2477" t="s">
        <v>333</v>
      </c>
      <c r="P2477" s="42">
        <v>44110</v>
      </c>
      <c r="Q2477" t="s">
        <v>333</v>
      </c>
      <c r="R2477" t="s">
        <v>329</v>
      </c>
      <c r="S2477" t="s">
        <v>323</v>
      </c>
      <c r="T2477">
        <v>2</v>
      </c>
      <c r="W2477" t="s">
        <v>330</v>
      </c>
      <c r="Y2477" s="42">
        <v>44117</v>
      </c>
    </row>
    <row r="2478" spans="14:25">
      <c r="N2478" s="42">
        <v>44102</v>
      </c>
      <c r="O2478" t="s">
        <v>345</v>
      </c>
      <c r="P2478" s="42">
        <v>44102</v>
      </c>
      <c r="Q2478" t="s">
        <v>345</v>
      </c>
      <c r="R2478" t="s">
        <v>320</v>
      </c>
      <c r="S2478" t="s">
        <v>323</v>
      </c>
      <c r="U2478">
        <v>7.6</v>
      </c>
    </row>
    <row r="2479" spans="14:25">
      <c r="N2479" s="42">
        <v>44082</v>
      </c>
      <c r="O2479" t="s">
        <v>333</v>
      </c>
      <c r="P2479" s="42">
        <v>44082</v>
      </c>
      <c r="Q2479" t="s">
        <v>333</v>
      </c>
      <c r="R2479" t="s">
        <v>329</v>
      </c>
      <c r="S2479" t="s">
        <v>323</v>
      </c>
      <c r="T2479">
        <v>2</v>
      </c>
      <c r="W2479" t="s">
        <v>330</v>
      </c>
      <c r="Y2479" s="42">
        <v>44089</v>
      </c>
    </row>
    <row r="2480" spans="14:25">
      <c r="N2480" s="42">
        <v>44035</v>
      </c>
      <c r="O2480" t="s">
        <v>324</v>
      </c>
      <c r="P2480" s="42">
        <v>44036</v>
      </c>
      <c r="Q2480" t="s">
        <v>346</v>
      </c>
      <c r="R2480" t="s">
        <v>320</v>
      </c>
      <c r="S2480" t="s">
        <v>323</v>
      </c>
      <c r="T2480">
        <v>15.2</v>
      </c>
      <c r="Y2480" s="42">
        <v>44061</v>
      </c>
    </row>
    <row r="2481" spans="14:25">
      <c r="N2481" s="42">
        <v>44029</v>
      </c>
      <c r="O2481" t="s">
        <v>346</v>
      </c>
      <c r="P2481" s="42">
        <v>44029</v>
      </c>
      <c r="Q2481" t="s">
        <v>346</v>
      </c>
      <c r="R2481" t="s">
        <v>320</v>
      </c>
      <c r="S2481" t="s">
        <v>323</v>
      </c>
      <c r="T2481">
        <v>7.6</v>
      </c>
      <c r="Y2481" s="42">
        <v>44033</v>
      </c>
    </row>
    <row r="2482" spans="14:25">
      <c r="N2482" s="42">
        <v>43990</v>
      </c>
      <c r="O2482" t="s">
        <v>345</v>
      </c>
      <c r="P2482" s="42">
        <v>43990</v>
      </c>
      <c r="Q2482" t="s">
        <v>345</v>
      </c>
      <c r="R2482" t="s">
        <v>329</v>
      </c>
      <c r="S2482" t="s">
        <v>323</v>
      </c>
      <c r="T2482">
        <v>2.4333</v>
      </c>
      <c r="W2482" t="s">
        <v>330</v>
      </c>
      <c r="Y2482" s="42">
        <v>43991</v>
      </c>
    </row>
    <row r="2483" spans="14:25">
      <c r="N2483" s="42">
        <v>43964</v>
      </c>
      <c r="O2483" t="s">
        <v>328</v>
      </c>
      <c r="P2483" s="42">
        <v>43964</v>
      </c>
      <c r="Q2483" t="s">
        <v>328</v>
      </c>
      <c r="R2483" t="s">
        <v>329</v>
      </c>
      <c r="S2483" t="s">
        <v>323</v>
      </c>
      <c r="T2483">
        <v>6.9</v>
      </c>
      <c r="W2483" t="s">
        <v>330</v>
      </c>
      <c r="Y2483" s="42">
        <v>43977</v>
      </c>
    </row>
    <row r="2484" spans="14:25">
      <c r="N2484" s="42">
        <v>43955</v>
      </c>
      <c r="O2484" t="s">
        <v>345</v>
      </c>
      <c r="P2484" s="42">
        <v>43955</v>
      </c>
      <c r="Q2484" t="s">
        <v>345</v>
      </c>
      <c r="R2484" t="s">
        <v>329</v>
      </c>
      <c r="S2484" t="s">
        <v>323</v>
      </c>
      <c r="T2484">
        <v>3.0167000000000002</v>
      </c>
      <c r="W2484" t="s">
        <v>330</v>
      </c>
      <c r="Y2484" s="42">
        <v>43963</v>
      </c>
    </row>
    <row r="2485" spans="14:25">
      <c r="N2485" s="42">
        <v>43852</v>
      </c>
      <c r="O2485" t="s">
        <v>328</v>
      </c>
      <c r="P2485" s="42">
        <v>43852</v>
      </c>
      <c r="Q2485" t="s">
        <v>328</v>
      </c>
      <c r="R2485" t="s">
        <v>329</v>
      </c>
      <c r="S2485" t="s">
        <v>323</v>
      </c>
      <c r="T2485">
        <v>7.6</v>
      </c>
      <c r="W2485" t="s">
        <v>330</v>
      </c>
      <c r="Y2485" s="42">
        <v>43865</v>
      </c>
    </row>
    <row r="2486" spans="14:25">
      <c r="N2486" s="42">
        <v>43810</v>
      </c>
      <c r="O2486" t="s">
        <v>328</v>
      </c>
      <c r="P2486" s="42">
        <v>43810</v>
      </c>
      <c r="Q2486" t="s">
        <v>328</v>
      </c>
      <c r="R2486" t="s">
        <v>329</v>
      </c>
      <c r="S2486" t="s">
        <v>323</v>
      </c>
      <c r="T2486">
        <v>4</v>
      </c>
      <c r="W2486" t="s">
        <v>330</v>
      </c>
      <c r="Y2486" s="42">
        <v>43837</v>
      </c>
    </row>
    <row r="2487" spans="14:25">
      <c r="N2487" s="42">
        <v>43756</v>
      </c>
      <c r="O2487" t="s">
        <v>346</v>
      </c>
      <c r="P2487" s="42">
        <v>43756</v>
      </c>
      <c r="Q2487" t="s">
        <v>346</v>
      </c>
      <c r="R2487" t="s">
        <v>338</v>
      </c>
      <c r="S2487" t="s">
        <v>323</v>
      </c>
      <c r="T2487">
        <v>7.6</v>
      </c>
      <c r="W2487" t="s">
        <v>330</v>
      </c>
      <c r="Y2487" s="42">
        <v>43767</v>
      </c>
    </row>
    <row r="2488" spans="14:25">
      <c r="N2488" s="42">
        <v>43755</v>
      </c>
      <c r="O2488" t="s">
        <v>324</v>
      </c>
      <c r="P2488" s="42">
        <v>43755</v>
      </c>
      <c r="Q2488" t="s">
        <v>324</v>
      </c>
      <c r="R2488" t="s">
        <v>320</v>
      </c>
      <c r="S2488" t="s">
        <v>323</v>
      </c>
      <c r="T2488">
        <v>7.6</v>
      </c>
      <c r="Y2488" s="42">
        <v>43767</v>
      </c>
    </row>
    <row r="2489" spans="14:25">
      <c r="N2489" s="42">
        <v>43754</v>
      </c>
      <c r="O2489" t="s">
        <v>328</v>
      </c>
      <c r="P2489" s="42">
        <v>43754</v>
      </c>
      <c r="Q2489" t="s">
        <v>328</v>
      </c>
      <c r="R2489" t="s">
        <v>320</v>
      </c>
      <c r="S2489" t="s">
        <v>323</v>
      </c>
      <c r="T2489">
        <v>7.6</v>
      </c>
      <c r="Y2489" s="42">
        <v>43767</v>
      </c>
    </row>
    <row r="2490" spans="14:25">
      <c r="N2490" s="42">
        <v>43753</v>
      </c>
      <c r="O2490" t="s">
        <v>333</v>
      </c>
      <c r="P2490" s="42">
        <v>43753</v>
      </c>
      <c r="Q2490" t="s">
        <v>333</v>
      </c>
      <c r="R2490" t="s">
        <v>320</v>
      </c>
      <c r="S2490" t="s">
        <v>323</v>
      </c>
      <c r="T2490">
        <v>7.6</v>
      </c>
      <c r="Y2490" s="42">
        <v>43753</v>
      </c>
    </row>
    <row r="2491" spans="14:25">
      <c r="N2491" s="42">
        <v>43752</v>
      </c>
      <c r="O2491" t="s">
        <v>345</v>
      </c>
      <c r="P2491" s="42">
        <v>43752</v>
      </c>
      <c r="Q2491" t="s">
        <v>345</v>
      </c>
      <c r="R2491" t="s">
        <v>320</v>
      </c>
      <c r="S2491" t="s">
        <v>323</v>
      </c>
      <c r="T2491">
        <v>7.6</v>
      </c>
      <c r="Y2491" s="42">
        <v>43753</v>
      </c>
    </row>
    <row r="2492" spans="14:25">
      <c r="N2492" s="42">
        <v>43749</v>
      </c>
      <c r="O2492" t="s">
        <v>346</v>
      </c>
      <c r="P2492" s="42">
        <v>43749</v>
      </c>
      <c r="Q2492" t="s">
        <v>346</v>
      </c>
      <c r="R2492" t="s">
        <v>320</v>
      </c>
      <c r="S2492" t="s">
        <v>323</v>
      </c>
      <c r="T2492">
        <v>7.6</v>
      </c>
      <c r="Y2492" s="42">
        <v>43753</v>
      </c>
    </row>
    <row r="2493" spans="14:25">
      <c r="N2493" s="42">
        <v>43748</v>
      </c>
      <c r="O2493" t="s">
        <v>324</v>
      </c>
      <c r="P2493" s="42">
        <v>43748</v>
      </c>
      <c r="Q2493" t="s">
        <v>324</v>
      </c>
      <c r="R2493" t="s">
        <v>320</v>
      </c>
      <c r="S2493" t="s">
        <v>323</v>
      </c>
      <c r="T2493">
        <v>7.6</v>
      </c>
      <c r="Y2493" s="42">
        <v>43753</v>
      </c>
    </row>
    <row r="2494" spans="14:25">
      <c r="N2494" s="42">
        <v>43747</v>
      </c>
      <c r="O2494" t="s">
        <v>328</v>
      </c>
      <c r="P2494" s="42">
        <v>43747</v>
      </c>
      <c r="Q2494" t="s">
        <v>328</v>
      </c>
      <c r="R2494" t="s">
        <v>320</v>
      </c>
      <c r="S2494" t="s">
        <v>323</v>
      </c>
      <c r="T2494">
        <v>7.6</v>
      </c>
      <c r="Y2494" s="42">
        <v>43753</v>
      </c>
    </row>
    <row r="2495" spans="14:25">
      <c r="N2495" s="42">
        <v>43746</v>
      </c>
      <c r="O2495" t="s">
        <v>333</v>
      </c>
      <c r="P2495" s="42">
        <v>43746</v>
      </c>
      <c r="Q2495" t="s">
        <v>333</v>
      </c>
      <c r="R2495" t="s">
        <v>320</v>
      </c>
      <c r="S2495" t="s">
        <v>323</v>
      </c>
      <c r="T2495">
        <v>7.6</v>
      </c>
      <c r="Y2495" s="42">
        <v>43753</v>
      </c>
    </row>
    <row r="2496" spans="14:25">
      <c r="N2496" s="42">
        <v>43745</v>
      </c>
      <c r="O2496" t="s">
        <v>345</v>
      </c>
      <c r="P2496" s="42">
        <v>43745</v>
      </c>
      <c r="Q2496" t="s">
        <v>345</v>
      </c>
      <c r="R2496" t="s">
        <v>320</v>
      </c>
      <c r="S2496" t="s">
        <v>323</v>
      </c>
      <c r="T2496">
        <v>7.6</v>
      </c>
      <c r="Y2496" s="42">
        <v>43753</v>
      </c>
    </row>
    <row r="2497" spans="1:25">
      <c r="N2497" s="42">
        <v>43742</v>
      </c>
      <c r="O2497" t="s">
        <v>346</v>
      </c>
      <c r="P2497" s="42">
        <v>43742</v>
      </c>
      <c r="Q2497" t="s">
        <v>346</v>
      </c>
      <c r="R2497" t="s">
        <v>320</v>
      </c>
      <c r="S2497" t="s">
        <v>323</v>
      </c>
      <c r="T2497">
        <v>7.6</v>
      </c>
      <c r="Y2497" s="42">
        <v>43753</v>
      </c>
    </row>
    <row r="2498" spans="1:25">
      <c r="N2498" s="42">
        <v>43741</v>
      </c>
      <c r="O2498" t="s">
        <v>324</v>
      </c>
      <c r="P2498" s="42">
        <v>43741</v>
      </c>
      <c r="Q2498" t="s">
        <v>324</v>
      </c>
      <c r="R2498" t="s">
        <v>320</v>
      </c>
      <c r="S2498" t="s">
        <v>323</v>
      </c>
      <c r="T2498">
        <v>7.6</v>
      </c>
      <c r="Y2498" s="42">
        <v>43753</v>
      </c>
    </row>
    <row r="2499" spans="1:25">
      <c r="N2499" s="42">
        <v>43740</v>
      </c>
      <c r="O2499" t="s">
        <v>328</v>
      </c>
      <c r="P2499" s="42">
        <v>43740</v>
      </c>
      <c r="Q2499" t="s">
        <v>328</v>
      </c>
      <c r="R2499" t="s">
        <v>320</v>
      </c>
      <c r="S2499" t="s">
        <v>323</v>
      </c>
      <c r="T2499">
        <v>7.6</v>
      </c>
      <c r="Y2499" s="42">
        <v>43753</v>
      </c>
    </row>
    <row r="2500" spans="1:25">
      <c r="N2500" s="42">
        <v>43728</v>
      </c>
      <c r="O2500" t="s">
        <v>346</v>
      </c>
      <c r="P2500" s="42">
        <v>43739</v>
      </c>
      <c r="Q2500" t="s">
        <v>333</v>
      </c>
      <c r="R2500" t="s">
        <v>320</v>
      </c>
      <c r="S2500" t="s">
        <v>323</v>
      </c>
      <c r="T2500">
        <v>53.2</v>
      </c>
      <c r="Y2500" s="42">
        <v>43739</v>
      </c>
    </row>
    <row r="2501" spans="1:25">
      <c r="N2501" s="42">
        <v>43707</v>
      </c>
      <c r="O2501" t="s">
        <v>346</v>
      </c>
      <c r="P2501" s="42">
        <v>43707</v>
      </c>
      <c r="Q2501" t="s">
        <v>346</v>
      </c>
      <c r="R2501" t="s">
        <v>329</v>
      </c>
      <c r="S2501" t="s">
        <v>323</v>
      </c>
      <c r="T2501">
        <v>5</v>
      </c>
      <c r="W2501" t="s">
        <v>330</v>
      </c>
      <c r="Y2501" s="42">
        <v>43711</v>
      </c>
    </row>
    <row r="2502" spans="1:25">
      <c r="N2502" s="42">
        <v>43682</v>
      </c>
      <c r="O2502" t="s">
        <v>345</v>
      </c>
      <c r="P2502" s="42">
        <v>43683</v>
      </c>
      <c r="Q2502" t="s">
        <v>333</v>
      </c>
      <c r="R2502" t="s">
        <v>329</v>
      </c>
      <c r="S2502" t="s">
        <v>323</v>
      </c>
      <c r="T2502">
        <v>15.2</v>
      </c>
      <c r="W2502" t="s">
        <v>330</v>
      </c>
      <c r="Y2502" s="42">
        <v>43683</v>
      </c>
    </row>
    <row r="2503" spans="1:25">
      <c r="N2503" s="42">
        <v>43657</v>
      </c>
      <c r="O2503" t="s">
        <v>324</v>
      </c>
      <c r="P2503" s="42">
        <v>43657</v>
      </c>
      <c r="Q2503" t="s">
        <v>324</v>
      </c>
      <c r="R2503" t="s">
        <v>329</v>
      </c>
      <c r="S2503" t="s">
        <v>323</v>
      </c>
      <c r="T2503">
        <v>7.6</v>
      </c>
      <c r="W2503" t="s">
        <v>330</v>
      </c>
      <c r="Y2503" s="42">
        <v>43669</v>
      </c>
    </row>
    <row r="2504" spans="1:25">
      <c r="N2504" s="42">
        <v>43651</v>
      </c>
      <c r="O2504" t="s">
        <v>346</v>
      </c>
      <c r="P2504" s="42">
        <v>43651</v>
      </c>
      <c r="Q2504" t="s">
        <v>346</v>
      </c>
      <c r="R2504" t="s">
        <v>347</v>
      </c>
      <c r="S2504" t="s">
        <v>323</v>
      </c>
      <c r="T2504">
        <v>1.4</v>
      </c>
      <c r="W2504" t="s">
        <v>330</v>
      </c>
      <c r="Y2504" s="42">
        <v>43655</v>
      </c>
    </row>
    <row r="2505" spans="1:25">
      <c r="N2505" s="42">
        <v>43630</v>
      </c>
      <c r="O2505" t="s">
        <v>346</v>
      </c>
      <c r="P2505" s="42">
        <v>43630</v>
      </c>
      <c r="Q2505" t="s">
        <v>346</v>
      </c>
      <c r="R2505" t="s">
        <v>329</v>
      </c>
      <c r="S2505" t="s">
        <v>323</v>
      </c>
      <c r="T2505">
        <v>7.6</v>
      </c>
      <c r="W2505" t="s">
        <v>330</v>
      </c>
      <c r="Y2505" s="42">
        <v>43641</v>
      </c>
    </row>
    <row r="2506" spans="1:25">
      <c r="N2506" s="42">
        <v>43627</v>
      </c>
      <c r="O2506" t="s">
        <v>333</v>
      </c>
      <c r="P2506" s="42">
        <v>43627</v>
      </c>
      <c r="Q2506" t="s">
        <v>333</v>
      </c>
      <c r="R2506" t="s">
        <v>329</v>
      </c>
      <c r="S2506" t="s">
        <v>323</v>
      </c>
      <c r="T2506">
        <v>7.6</v>
      </c>
      <c r="W2506" t="s">
        <v>330</v>
      </c>
      <c r="Y2506" s="42">
        <v>43641</v>
      </c>
    </row>
    <row r="2507" spans="1:25">
      <c r="A2507">
        <v>18581</v>
      </c>
      <c r="B2507" t="s">
        <v>385</v>
      </c>
      <c r="C2507" t="s">
        <v>320</v>
      </c>
      <c r="D2507" t="s">
        <v>336</v>
      </c>
      <c r="E2507" t="s">
        <v>337</v>
      </c>
      <c r="F2507">
        <v>1</v>
      </c>
      <c r="G2507" s="42">
        <v>45018</v>
      </c>
      <c r="H2507">
        <v>152</v>
      </c>
      <c r="I2507">
        <v>73.249300000000005</v>
      </c>
      <c r="J2507">
        <v>139.92330000000001</v>
      </c>
      <c r="K2507">
        <v>213.17259999999999</v>
      </c>
      <c r="L2507" t="s">
        <v>323</v>
      </c>
      <c r="M2507" s="43">
        <v>0.38263888888888892</v>
      </c>
      <c r="N2507" s="42">
        <v>44993</v>
      </c>
      <c r="O2507" t="s">
        <v>328</v>
      </c>
      <c r="P2507" s="42">
        <v>44993</v>
      </c>
      <c r="Q2507" t="s">
        <v>328</v>
      </c>
      <c r="R2507" t="s">
        <v>320</v>
      </c>
      <c r="S2507" t="s">
        <v>323</v>
      </c>
      <c r="T2507">
        <v>7.6</v>
      </c>
      <c r="V2507">
        <v>0</v>
      </c>
    </row>
    <row r="2508" spans="1:25">
      <c r="C2508" t="s">
        <v>325</v>
      </c>
      <c r="D2508" t="s">
        <v>352</v>
      </c>
      <c r="E2508" t="s">
        <v>353</v>
      </c>
      <c r="F2508">
        <v>1</v>
      </c>
      <c r="G2508" s="42">
        <v>45018</v>
      </c>
      <c r="H2508">
        <v>329.18060000000003</v>
      </c>
      <c r="I2508">
        <v>0</v>
      </c>
      <c r="J2508">
        <v>326.56529999999998</v>
      </c>
      <c r="K2508">
        <v>326.56529999999998</v>
      </c>
      <c r="L2508" t="s">
        <v>323</v>
      </c>
      <c r="N2508" s="42">
        <v>44980</v>
      </c>
      <c r="O2508" t="s">
        <v>324</v>
      </c>
      <c r="P2508" s="42">
        <v>44980</v>
      </c>
      <c r="Q2508" t="s">
        <v>324</v>
      </c>
      <c r="R2508" t="s">
        <v>320</v>
      </c>
      <c r="S2508" t="s">
        <v>323</v>
      </c>
      <c r="T2508">
        <v>7.6</v>
      </c>
      <c r="V2508">
        <v>0</v>
      </c>
      <c r="Y2508" s="42">
        <v>44985</v>
      </c>
    </row>
    <row r="2509" spans="1:25">
      <c r="C2509" t="s">
        <v>329</v>
      </c>
      <c r="D2509" t="s">
        <v>342</v>
      </c>
      <c r="E2509" t="s">
        <v>343</v>
      </c>
      <c r="F2509">
        <v>1</v>
      </c>
      <c r="G2509" s="42">
        <v>45018</v>
      </c>
      <c r="H2509">
        <v>76</v>
      </c>
      <c r="I2509">
        <v>15.925800000000001</v>
      </c>
      <c r="J2509">
        <v>69.961600000000004</v>
      </c>
      <c r="K2509">
        <v>85.8874</v>
      </c>
      <c r="L2509" t="s">
        <v>323</v>
      </c>
      <c r="N2509" s="42">
        <v>44972</v>
      </c>
      <c r="O2509" t="s">
        <v>328</v>
      </c>
      <c r="P2509" s="42">
        <v>44972</v>
      </c>
      <c r="Q2509" t="s">
        <v>328</v>
      </c>
      <c r="R2509" t="s">
        <v>320</v>
      </c>
      <c r="S2509" t="s">
        <v>323</v>
      </c>
      <c r="T2509">
        <v>7.6</v>
      </c>
      <c r="V2509">
        <v>0</v>
      </c>
      <c r="Y2509" s="42">
        <v>44985</v>
      </c>
    </row>
    <row r="2510" spans="1:25">
      <c r="N2510" s="42">
        <v>44963</v>
      </c>
      <c r="O2510" t="s">
        <v>345</v>
      </c>
      <c r="P2510" s="42">
        <v>44963</v>
      </c>
      <c r="Q2510" t="s">
        <v>345</v>
      </c>
      <c r="R2510" t="s">
        <v>329</v>
      </c>
      <c r="S2510" t="s">
        <v>323</v>
      </c>
      <c r="T2510">
        <v>7.6</v>
      </c>
      <c r="W2510" t="s">
        <v>339</v>
      </c>
      <c r="Y2510" s="42">
        <v>44971</v>
      </c>
    </row>
    <row r="2511" spans="1:25">
      <c r="N2511" s="42">
        <v>44952</v>
      </c>
      <c r="O2511" t="s">
        <v>324</v>
      </c>
      <c r="P2511" s="42">
        <v>44952</v>
      </c>
      <c r="Q2511" t="s">
        <v>324</v>
      </c>
      <c r="R2511" t="s">
        <v>320</v>
      </c>
      <c r="S2511" t="s">
        <v>323</v>
      </c>
      <c r="U2511">
        <v>7.6</v>
      </c>
      <c r="Y2511" s="42">
        <v>44957</v>
      </c>
    </row>
    <row r="2512" spans="1:25">
      <c r="N2512" s="42">
        <v>44945</v>
      </c>
      <c r="O2512" t="s">
        <v>324</v>
      </c>
      <c r="P2512" s="42">
        <v>44945</v>
      </c>
      <c r="Q2512" t="s">
        <v>324</v>
      </c>
      <c r="R2512" t="s">
        <v>329</v>
      </c>
      <c r="S2512" t="s">
        <v>323</v>
      </c>
      <c r="T2512">
        <v>7.6</v>
      </c>
      <c r="W2512" t="s">
        <v>339</v>
      </c>
      <c r="Y2512" s="42">
        <v>44957</v>
      </c>
    </row>
    <row r="2513" spans="14:25">
      <c r="N2513" s="42">
        <v>44937</v>
      </c>
      <c r="O2513" t="s">
        <v>328</v>
      </c>
      <c r="P2513" s="42">
        <v>44937</v>
      </c>
      <c r="Q2513" t="s">
        <v>328</v>
      </c>
      <c r="R2513" t="s">
        <v>329</v>
      </c>
      <c r="S2513" t="s">
        <v>323</v>
      </c>
      <c r="T2513">
        <v>7.6</v>
      </c>
      <c r="W2513" t="s">
        <v>339</v>
      </c>
      <c r="Y2513" s="42">
        <v>44943</v>
      </c>
    </row>
    <row r="2514" spans="14:25">
      <c r="N2514" s="42">
        <v>44929</v>
      </c>
      <c r="O2514" t="s">
        <v>333</v>
      </c>
      <c r="P2514" s="42">
        <v>44929</v>
      </c>
      <c r="Q2514" t="s">
        <v>333</v>
      </c>
      <c r="R2514" t="s">
        <v>320</v>
      </c>
      <c r="S2514" t="s">
        <v>323</v>
      </c>
      <c r="T2514">
        <v>7.6</v>
      </c>
      <c r="V2514">
        <v>0</v>
      </c>
      <c r="Y2514" s="42">
        <v>44929</v>
      </c>
    </row>
    <row r="2515" spans="14:25">
      <c r="N2515" s="42">
        <v>44928</v>
      </c>
      <c r="O2515" t="s">
        <v>345</v>
      </c>
      <c r="P2515" s="42">
        <v>44928</v>
      </c>
      <c r="Q2515" t="s">
        <v>345</v>
      </c>
      <c r="R2515" t="s">
        <v>320</v>
      </c>
      <c r="S2515" t="s">
        <v>323</v>
      </c>
      <c r="U2515">
        <v>7.6</v>
      </c>
      <c r="Y2515" s="42">
        <v>44929</v>
      </c>
    </row>
    <row r="2516" spans="14:25">
      <c r="N2516" s="42">
        <v>44922</v>
      </c>
      <c r="O2516" t="s">
        <v>333</v>
      </c>
      <c r="P2516" s="42">
        <v>44922</v>
      </c>
      <c r="Q2516" t="s">
        <v>333</v>
      </c>
      <c r="R2516" t="s">
        <v>320</v>
      </c>
      <c r="S2516" t="s">
        <v>323</v>
      </c>
      <c r="U2516">
        <v>7.6</v>
      </c>
      <c r="Y2516" s="42">
        <v>44929</v>
      </c>
    </row>
    <row r="2517" spans="14:25">
      <c r="N2517" s="42">
        <v>44921</v>
      </c>
      <c r="O2517" t="s">
        <v>345</v>
      </c>
      <c r="P2517" s="42">
        <v>44921</v>
      </c>
      <c r="Q2517" t="s">
        <v>345</v>
      </c>
      <c r="R2517" t="s">
        <v>320</v>
      </c>
      <c r="S2517" t="s">
        <v>323</v>
      </c>
      <c r="U2517">
        <v>7.6</v>
      </c>
      <c r="Y2517" s="42">
        <v>44929</v>
      </c>
    </row>
    <row r="2518" spans="14:25">
      <c r="N2518" s="42">
        <v>44914</v>
      </c>
      <c r="O2518" t="s">
        <v>345</v>
      </c>
      <c r="P2518" s="42">
        <v>44914</v>
      </c>
      <c r="Q2518" t="s">
        <v>345</v>
      </c>
      <c r="R2518" t="s">
        <v>320</v>
      </c>
      <c r="S2518" t="s">
        <v>323</v>
      </c>
      <c r="T2518">
        <v>7.6</v>
      </c>
      <c r="V2518">
        <v>0</v>
      </c>
      <c r="Y2518" s="42">
        <v>44915</v>
      </c>
    </row>
    <row r="2519" spans="14:25">
      <c r="N2519" s="42">
        <v>44910</v>
      </c>
      <c r="O2519" t="s">
        <v>324</v>
      </c>
      <c r="P2519" s="42">
        <v>44910</v>
      </c>
      <c r="Q2519" t="s">
        <v>324</v>
      </c>
      <c r="R2519" t="s">
        <v>329</v>
      </c>
      <c r="S2519" t="s">
        <v>323</v>
      </c>
      <c r="T2519">
        <v>1.5</v>
      </c>
      <c r="W2519" t="s">
        <v>339</v>
      </c>
      <c r="Y2519" s="42">
        <v>44915</v>
      </c>
    </row>
    <row r="2520" spans="14:25">
      <c r="N2520" s="42">
        <v>44907</v>
      </c>
      <c r="O2520" t="s">
        <v>345</v>
      </c>
      <c r="P2520" s="42">
        <v>44907</v>
      </c>
      <c r="Q2520" t="s">
        <v>345</v>
      </c>
      <c r="R2520" t="s">
        <v>329</v>
      </c>
      <c r="S2520" t="s">
        <v>323</v>
      </c>
      <c r="T2520">
        <v>3.5</v>
      </c>
      <c r="W2520" t="s">
        <v>339</v>
      </c>
      <c r="Y2520" s="42">
        <v>44915</v>
      </c>
    </row>
    <row r="2521" spans="14:25">
      <c r="N2521" s="42">
        <v>44880</v>
      </c>
      <c r="O2521" t="s">
        <v>333</v>
      </c>
      <c r="P2521" s="42">
        <v>44881</v>
      </c>
      <c r="Q2521" t="s">
        <v>328</v>
      </c>
      <c r="R2521" t="s">
        <v>329</v>
      </c>
      <c r="S2521" t="s">
        <v>323</v>
      </c>
      <c r="T2521">
        <v>15.2</v>
      </c>
      <c r="W2521" t="s">
        <v>339</v>
      </c>
      <c r="Y2521" s="42">
        <v>44901</v>
      </c>
    </row>
    <row r="2522" spans="14:25">
      <c r="N2522" s="42">
        <v>44874</v>
      </c>
      <c r="O2522" t="s">
        <v>328</v>
      </c>
      <c r="P2522" s="42">
        <v>44874</v>
      </c>
      <c r="Q2522" t="s">
        <v>328</v>
      </c>
      <c r="R2522" t="s">
        <v>320</v>
      </c>
      <c r="S2522" t="s">
        <v>323</v>
      </c>
      <c r="T2522">
        <v>7.6</v>
      </c>
      <c r="Y2522" s="42">
        <v>44887</v>
      </c>
    </row>
    <row r="2523" spans="14:25">
      <c r="N2523" s="42">
        <v>44873</v>
      </c>
      <c r="O2523" t="s">
        <v>333</v>
      </c>
      <c r="P2523" s="42">
        <v>44873</v>
      </c>
      <c r="Q2523" t="s">
        <v>333</v>
      </c>
      <c r="R2523" t="s">
        <v>320</v>
      </c>
      <c r="S2523" t="s">
        <v>323</v>
      </c>
      <c r="T2523">
        <v>7.6</v>
      </c>
      <c r="Y2523" s="42">
        <v>44873</v>
      </c>
    </row>
    <row r="2524" spans="14:25">
      <c r="N2524" s="42">
        <v>44872</v>
      </c>
      <c r="O2524" t="s">
        <v>345</v>
      </c>
      <c r="P2524" s="42">
        <v>44872</v>
      </c>
      <c r="Q2524" t="s">
        <v>345</v>
      </c>
      <c r="R2524" t="s">
        <v>320</v>
      </c>
      <c r="S2524" t="s">
        <v>323</v>
      </c>
      <c r="T2524">
        <v>7.6</v>
      </c>
      <c r="Y2524" s="42">
        <v>44873</v>
      </c>
    </row>
    <row r="2525" spans="14:25">
      <c r="N2525" s="42">
        <v>44869</v>
      </c>
      <c r="O2525" t="s">
        <v>346</v>
      </c>
      <c r="P2525" s="42">
        <v>44869</v>
      </c>
      <c r="Q2525" t="s">
        <v>346</v>
      </c>
      <c r="R2525" t="s">
        <v>320</v>
      </c>
      <c r="S2525" t="s">
        <v>323</v>
      </c>
      <c r="T2525">
        <v>7.6</v>
      </c>
      <c r="Y2525" s="42">
        <v>44873</v>
      </c>
    </row>
    <row r="2526" spans="14:25">
      <c r="N2526" s="42">
        <v>44868</v>
      </c>
      <c r="O2526" t="s">
        <v>324</v>
      </c>
      <c r="P2526" s="42">
        <v>44868</v>
      </c>
      <c r="Q2526" t="s">
        <v>324</v>
      </c>
      <c r="R2526" t="s">
        <v>320</v>
      </c>
      <c r="S2526" t="s">
        <v>323</v>
      </c>
      <c r="T2526">
        <v>7.6</v>
      </c>
      <c r="Y2526" s="42">
        <v>44873</v>
      </c>
    </row>
    <row r="2527" spans="14:25">
      <c r="N2527" s="42">
        <v>44837</v>
      </c>
      <c r="O2527" t="s">
        <v>345</v>
      </c>
      <c r="P2527" s="42">
        <v>44837</v>
      </c>
      <c r="Q2527" t="s">
        <v>345</v>
      </c>
      <c r="R2527" t="s">
        <v>320</v>
      </c>
      <c r="S2527" t="s">
        <v>323</v>
      </c>
      <c r="U2527">
        <v>7.6</v>
      </c>
      <c r="Y2527" s="42">
        <v>44845</v>
      </c>
    </row>
    <row r="2528" spans="14:25">
      <c r="N2528" s="42">
        <v>44832</v>
      </c>
      <c r="O2528" t="s">
        <v>328</v>
      </c>
      <c r="P2528" s="42">
        <v>44832</v>
      </c>
      <c r="Q2528" t="s">
        <v>328</v>
      </c>
      <c r="R2528" t="s">
        <v>320</v>
      </c>
      <c r="S2528" t="s">
        <v>323</v>
      </c>
      <c r="T2528">
        <v>7.6</v>
      </c>
      <c r="Y2528" s="42">
        <v>44845</v>
      </c>
    </row>
    <row r="2529" spans="14:25">
      <c r="N2529" s="42">
        <v>44826</v>
      </c>
      <c r="O2529" t="s">
        <v>324</v>
      </c>
      <c r="P2529" s="42">
        <v>44826</v>
      </c>
      <c r="Q2529" t="s">
        <v>324</v>
      </c>
      <c r="R2529" t="s">
        <v>320</v>
      </c>
      <c r="S2529" t="s">
        <v>323</v>
      </c>
      <c r="U2529">
        <v>7.6</v>
      </c>
      <c r="Y2529" s="42">
        <v>44831</v>
      </c>
    </row>
    <row r="2530" spans="14:25">
      <c r="N2530" s="42">
        <v>44823</v>
      </c>
      <c r="O2530" t="s">
        <v>345</v>
      </c>
      <c r="P2530" s="42">
        <v>44823</v>
      </c>
      <c r="Q2530" t="s">
        <v>345</v>
      </c>
      <c r="R2530" t="s">
        <v>320</v>
      </c>
      <c r="S2530" t="s">
        <v>323</v>
      </c>
      <c r="T2530">
        <v>7.6</v>
      </c>
      <c r="Y2530" s="42">
        <v>44831</v>
      </c>
    </row>
    <row r="2531" spans="14:25">
      <c r="N2531" s="42">
        <v>44820</v>
      </c>
      <c r="O2531" t="s">
        <v>346</v>
      </c>
      <c r="P2531" s="42">
        <v>44820</v>
      </c>
      <c r="Q2531" t="s">
        <v>346</v>
      </c>
      <c r="R2531" t="s">
        <v>320</v>
      </c>
      <c r="S2531" t="s">
        <v>323</v>
      </c>
      <c r="T2531">
        <v>7.6</v>
      </c>
      <c r="Y2531" s="42">
        <v>44831</v>
      </c>
    </row>
    <row r="2532" spans="14:25">
      <c r="N2532" s="42">
        <v>44819</v>
      </c>
      <c r="O2532" t="s">
        <v>324</v>
      </c>
      <c r="P2532" s="42">
        <v>44819</v>
      </c>
      <c r="Q2532" t="s">
        <v>324</v>
      </c>
      <c r="R2532" t="s">
        <v>320</v>
      </c>
      <c r="S2532" t="s">
        <v>323</v>
      </c>
      <c r="T2532">
        <v>7.6</v>
      </c>
      <c r="Y2532" s="42">
        <v>44831</v>
      </c>
    </row>
    <row r="2533" spans="14:25">
      <c r="N2533" s="42">
        <v>44809</v>
      </c>
      <c r="O2533" t="s">
        <v>345</v>
      </c>
      <c r="P2533" s="42">
        <v>44809</v>
      </c>
      <c r="Q2533" t="s">
        <v>345</v>
      </c>
      <c r="R2533" t="s">
        <v>329</v>
      </c>
      <c r="S2533" t="s">
        <v>323</v>
      </c>
      <c r="T2533">
        <v>3</v>
      </c>
      <c r="W2533" t="s">
        <v>330</v>
      </c>
      <c r="Y2533" s="42">
        <v>44817</v>
      </c>
    </row>
    <row r="2534" spans="14:25">
      <c r="N2534" s="42">
        <v>44806</v>
      </c>
      <c r="O2534" t="s">
        <v>346</v>
      </c>
      <c r="P2534" s="42">
        <v>44806</v>
      </c>
      <c r="Q2534" t="s">
        <v>346</v>
      </c>
      <c r="R2534" t="s">
        <v>329</v>
      </c>
      <c r="S2534" t="s">
        <v>323</v>
      </c>
      <c r="T2534">
        <v>7.6</v>
      </c>
      <c r="W2534" t="s">
        <v>330</v>
      </c>
      <c r="Y2534" s="42">
        <v>44817</v>
      </c>
    </row>
    <row r="2535" spans="14:25">
      <c r="N2535" s="42">
        <v>44795</v>
      </c>
      <c r="O2535" t="s">
        <v>345</v>
      </c>
      <c r="P2535" s="42">
        <v>44795</v>
      </c>
      <c r="Q2535" t="s">
        <v>345</v>
      </c>
      <c r="R2535" t="s">
        <v>329</v>
      </c>
      <c r="S2535" t="s">
        <v>323</v>
      </c>
      <c r="T2535">
        <v>0.75</v>
      </c>
      <c r="W2535" t="s">
        <v>330</v>
      </c>
      <c r="Y2535" s="42">
        <v>44803</v>
      </c>
    </row>
    <row r="2536" spans="14:25">
      <c r="N2536" s="42">
        <v>44778</v>
      </c>
      <c r="O2536" t="s">
        <v>346</v>
      </c>
      <c r="P2536" s="42">
        <v>44778</v>
      </c>
      <c r="Q2536" t="s">
        <v>346</v>
      </c>
      <c r="R2536" t="s">
        <v>329</v>
      </c>
      <c r="S2536" t="s">
        <v>323</v>
      </c>
      <c r="T2536">
        <v>3</v>
      </c>
      <c r="W2536" t="s">
        <v>330</v>
      </c>
      <c r="Y2536" s="42">
        <v>44789</v>
      </c>
    </row>
    <row r="2537" spans="14:25">
      <c r="N2537" s="42">
        <v>44743</v>
      </c>
      <c r="O2537" t="s">
        <v>346</v>
      </c>
      <c r="P2537" s="42">
        <v>44743</v>
      </c>
      <c r="Q2537" t="s">
        <v>346</v>
      </c>
      <c r="R2537" t="s">
        <v>329</v>
      </c>
      <c r="S2537" t="s">
        <v>323</v>
      </c>
      <c r="T2537">
        <v>7.6</v>
      </c>
      <c r="W2537" t="s">
        <v>330</v>
      </c>
      <c r="Y2537" s="42">
        <v>44747</v>
      </c>
    </row>
    <row r="2538" spans="14:25">
      <c r="N2538" s="42">
        <v>44725</v>
      </c>
      <c r="O2538" t="s">
        <v>345</v>
      </c>
      <c r="P2538" s="42">
        <v>44725</v>
      </c>
      <c r="Q2538" t="s">
        <v>345</v>
      </c>
      <c r="R2538" t="s">
        <v>320</v>
      </c>
      <c r="S2538" t="s">
        <v>323</v>
      </c>
      <c r="U2538">
        <v>7.6</v>
      </c>
      <c r="Y2538" s="42">
        <v>44733</v>
      </c>
    </row>
    <row r="2539" spans="14:25">
      <c r="N2539" s="42">
        <v>44722</v>
      </c>
      <c r="O2539" t="s">
        <v>346</v>
      </c>
      <c r="P2539" s="42">
        <v>44722</v>
      </c>
      <c r="Q2539" t="s">
        <v>346</v>
      </c>
      <c r="R2539" t="s">
        <v>320</v>
      </c>
      <c r="S2539" t="s">
        <v>323</v>
      </c>
      <c r="T2539">
        <v>7.6</v>
      </c>
      <c r="Y2539" s="42">
        <v>44733</v>
      </c>
    </row>
    <row r="2540" spans="14:25">
      <c r="N2540" s="42">
        <v>44721</v>
      </c>
      <c r="O2540" t="s">
        <v>324</v>
      </c>
      <c r="P2540" s="42">
        <v>44721</v>
      </c>
      <c r="Q2540" t="s">
        <v>324</v>
      </c>
      <c r="R2540" t="s">
        <v>320</v>
      </c>
      <c r="S2540" t="s">
        <v>323</v>
      </c>
      <c r="T2540">
        <v>7.6</v>
      </c>
      <c r="Y2540" s="42">
        <v>44733</v>
      </c>
    </row>
    <row r="2541" spans="14:25">
      <c r="N2541" s="42">
        <v>44713</v>
      </c>
      <c r="O2541" t="s">
        <v>328</v>
      </c>
      <c r="P2541" s="42">
        <v>44713</v>
      </c>
      <c r="Q2541" t="s">
        <v>328</v>
      </c>
      <c r="R2541" t="s">
        <v>320</v>
      </c>
      <c r="S2541" t="s">
        <v>323</v>
      </c>
      <c r="T2541">
        <v>7.6</v>
      </c>
      <c r="Y2541" s="42">
        <v>44719</v>
      </c>
    </row>
    <row r="2542" spans="14:25">
      <c r="N2542" s="42">
        <v>44694</v>
      </c>
      <c r="O2542" t="s">
        <v>346</v>
      </c>
      <c r="P2542" s="42">
        <v>44694</v>
      </c>
      <c r="Q2542" t="s">
        <v>346</v>
      </c>
      <c r="R2542" t="s">
        <v>329</v>
      </c>
      <c r="S2542" t="s">
        <v>323</v>
      </c>
      <c r="T2542">
        <v>7.6</v>
      </c>
      <c r="W2542" t="s">
        <v>330</v>
      </c>
      <c r="Y2542" s="42">
        <v>44705</v>
      </c>
    </row>
    <row r="2543" spans="14:25">
      <c r="N2543" s="42">
        <v>44685</v>
      </c>
      <c r="O2543" t="s">
        <v>328</v>
      </c>
      <c r="P2543" s="42">
        <v>44685</v>
      </c>
      <c r="Q2543" t="s">
        <v>328</v>
      </c>
      <c r="R2543" t="s">
        <v>329</v>
      </c>
      <c r="S2543" t="s">
        <v>323</v>
      </c>
      <c r="T2543">
        <v>7.6</v>
      </c>
      <c r="W2543" t="s">
        <v>330</v>
      </c>
      <c r="Y2543" s="42">
        <v>44691</v>
      </c>
    </row>
    <row r="2544" spans="14:25">
      <c r="N2544" s="42">
        <v>44676</v>
      </c>
      <c r="O2544" t="s">
        <v>345</v>
      </c>
      <c r="P2544" s="42">
        <v>44676</v>
      </c>
      <c r="Q2544" t="s">
        <v>345</v>
      </c>
      <c r="R2544" t="s">
        <v>320</v>
      </c>
      <c r="S2544" t="s">
        <v>323</v>
      </c>
      <c r="U2544">
        <v>7.6</v>
      </c>
      <c r="Y2544" s="42">
        <v>44677</v>
      </c>
    </row>
    <row r="2545" spans="14:25">
      <c r="N2545" s="42">
        <v>44669</v>
      </c>
      <c r="O2545" t="s">
        <v>345</v>
      </c>
      <c r="P2545" s="42">
        <v>44669</v>
      </c>
      <c r="Q2545" t="s">
        <v>345</v>
      </c>
      <c r="R2545" t="s">
        <v>320</v>
      </c>
      <c r="S2545" t="s">
        <v>323</v>
      </c>
      <c r="U2545">
        <v>7.6</v>
      </c>
      <c r="Y2545" s="42">
        <v>44677</v>
      </c>
    </row>
    <row r="2546" spans="14:25">
      <c r="N2546" s="42">
        <v>44666</v>
      </c>
      <c r="O2546" t="s">
        <v>346</v>
      </c>
      <c r="P2546" s="42">
        <v>44666</v>
      </c>
      <c r="Q2546" t="s">
        <v>346</v>
      </c>
      <c r="R2546" t="s">
        <v>320</v>
      </c>
      <c r="S2546" t="s">
        <v>323</v>
      </c>
      <c r="U2546">
        <v>7.6</v>
      </c>
      <c r="Y2546" s="42">
        <v>44677</v>
      </c>
    </row>
    <row r="2547" spans="14:25">
      <c r="N2547" s="42">
        <v>44659</v>
      </c>
      <c r="O2547" t="s">
        <v>346</v>
      </c>
      <c r="P2547" s="42">
        <v>44659</v>
      </c>
      <c r="Q2547" t="s">
        <v>346</v>
      </c>
      <c r="R2547" t="s">
        <v>329</v>
      </c>
      <c r="S2547" t="s">
        <v>323</v>
      </c>
      <c r="T2547">
        <v>7.6</v>
      </c>
      <c r="W2547" t="s">
        <v>330</v>
      </c>
      <c r="Y2547" s="42">
        <v>44663</v>
      </c>
    </row>
    <row r="2548" spans="14:25">
      <c r="N2548" s="42">
        <v>44658</v>
      </c>
      <c r="O2548" t="s">
        <v>324</v>
      </c>
      <c r="P2548" s="42">
        <v>44658</v>
      </c>
      <c r="Q2548" t="s">
        <v>324</v>
      </c>
      <c r="R2548" t="s">
        <v>329</v>
      </c>
      <c r="S2548" t="s">
        <v>323</v>
      </c>
      <c r="T2548">
        <v>7.6</v>
      </c>
      <c r="W2548" t="s">
        <v>330</v>
      </c>
      <c r="Y2548" s="42">
        <v>44663</v>
      </c>
    </row>
    <row r="2549" spans="14:25">
      <c r="N2549" s="42">
        <v>44644</v>
      </c>
      <c r="O2549" t="s">
        <v>324</v>
      </c>
      <c r="P2549" s="42">
        <v>44644</v>
      </c>
      <c r="Q2549" t="s">
        <v>324</v>
      </c>
      <c r="R2549" t="s">
        <v>329</v>
      </c>
      <c r="S2549" t="s">
        <v>323</v>
      </c>
      <c r="T2549">
        <v>3</v>
      </c>
      <c r="W2549" t="s">
        <v>330</v>
      </c>
      <c r="Y2549" s="42">
        <v>44649</v>
      </c>
    </row>
    <row r="2550" spans="14:25">
      <c r="N2550" s="42">
        <v>44638</v>
      </c>
      <c r="O2550" t="s">
        <v>346</v>
      </c>
      <c r="P2550" s="42">
        <v>44638</v>
      </c>
      <c r="Q2550" t="s">
        <v>346</v>
      </c>
      <c r="R2550" t="s">
        <v>329</v>
      </c>
      <c r="S2550" t="s">
        <v>323</v>
      </c>
      <c r="T2550">
        <v>1.5</v>
      </c>
      <c r="W2550" t="s">
        <v>330</v>
      </c>
      <c r="Y2550" s="42">
        <v>44649</v>
      </c>
    </row>
    <row r="2551" spans="14:25">
      <c r="N2551" s="42">
        <v>44631</v>
      </c>
      <c r="O2551" t="s">
        <v>346</v>
      </c>
      <c r="P2551" s="42">
        <v>44631</v>
      </c>
      <c r="Q2551" t="s">
        <v>346</v>
      </c>
      <c r="R2551" t="s">
        <v>320</v>
      </c>
      <c r="S2551" t="s">
        <v>323</v>
      </c>
      <c r="T2551">
        <v>7.6</v>
      </c>
      <c r="Y2551" s="42">
        <v>44635</v>
      </c>
    </row>
    <row r="2552" spans="14:25">
      <c r="N2552" s="42">
        <v>44630</v>
      </c>
      <c r="O2552" t="s">
        <v>324</v>
      </c>
      <c r="P2552" s="42">
        <v>44630</v>
      </c>
      <c r="Q2552" t="s">
        <v>324</v>
      </c>
      <c r="R2552" t="s">
        <v>320</v>
      </c>
      <c r="S2552" t="s">
        <v>323</v>
      </c>
      <c r="T2552">
        <v>7.6</v>
      </c>
      <c r="Y2552" s="42">
        <v>44635</v>
      </c>
    </row>
    <row r="2553" spans="14:25">
      <c r="N2553" s="42">
        <v>44629</v>
      </c>
      <c r="O2553" t="s">
        <v>328</v>
      </c>
      <c r="P2553" s="42">
        <v>44629</v>
      </c>
      <c r="Q2553" t="s">
        <v>328</v>
      </c>
      <c r="R2553" t="s">
        <v>329</v>
      </c>
      <c r="S2553" t="s">
        <v>323</v>
      </c>
      <c r="T2553">
        <v>7.6</v>
      </c>
      <c r="W2553" t="s">
        <v>330</v>
      </c>
      <c r="Y2553" s="42">
        <v>44635</v>
      </c>
    </row>
    <row r="2554" spans="14:25">
      <c r="N2554" s="42">
        <v>44613</v>
      </c>
      <c r="O2554" t="s">
        <v>345</v>
      </c>
      <c r="P2554" s="42">
        <v>44613</v>
      </c>
      <c r="Q2554" t="s">
        <v>345</v>
      </c>
      <c r="R2554" t="s">
        <v>329</v>
      </c>
      <c r="S2554" t="s">
        <v>323</v>
      </c>
      <c r="T2554">
        <v>7.6</v>
      </c>
      <c r="W2554" t="s">
        <v>330</v>
      </c>
      <c r="Y2554" s="42">
        <v>44621</v>
      </c>
    </row>
    <row r="2555" spans="14:25">
      <c r="N2555" s="42">
        <v>44601</v>
      </c>
      <c r="O2555" t="s">
        <v>328</v>
      </c>
      <c r="P2555" s="42">
        <v>44601</v>
      </c>
      <c r="Q2555" t="s">
        <v>328</v>
      </c>
      <c r="R2555" t="s">
        <v>329</v>
      </c>
      <c r="S2555" t="s">
        <v>323</v>
      </c>
      <c r="T2555">
        <v>7.6</v>
      </c>
      <c r="W2555" t="s">
        <v>330</v>
      </c>
      <c r="Y2555" s="42">
        <v>44607</v>
      </c>
    </row>
    <row r="2556" spans="14:25">
      <c r="N2556" s="42">
        <v>44600</v>
      </c>
      <c r="O2556" t="s">
        <v>333</v>
      </c>
      <c r="P2556" s="42">
        <v>44600</v>
      </c>
      <c r="Q2556" t="s">
        <v>333</v>
      </c>
      <c r="R2556" t="s">
        <v>329</v>
      </c>
      <c r="S2556" t="s">
        <v>323</v>
      </c>
      <c r="T2556">
        <v>7.6</v>
      </c>
      <c r="W2556" t="s">
        <v>330</v>
      </c>
      <c r="Y2556" s="42">
        <v>44607</v>
      </c>
    </row>
    <row r="2557" spans="14:25">
      <c r="N2557" s="42">
        <v>44599</v>
      </c>
      <c r="O2557" t="s">
        <v>345</v>
      </c>
      <c r="P2557" s="42">
        <v>44599</v>
      </c>
      <c r="Q2557" t="s">
        <v>345</v>
      </c>
      <c r="R2557" t="s">
        <v>329</v>
      </c>
      <c r="S2557" t="s">
        <v>323</v>
      </c>
      <c r="T2557">
        <v>7.6</v>
      </c>
      <c r="W2557" t="s">
        <v>330</v>
      </c>
      <c r="Y2557" s="42">
        <v>44607</v>
      </c>
    </row>
    <row r="2558" spans="14:25">
      <c r="N2558" s="42">
        <v>44593</v>
      </c>
      <c r="O2558" t="s">
        <v>333</v>
      </c>
      <c r="P2558" s="42">
        <v>44593</v>
      </c>
      <c r="Q2558" t="s">
        <v>333</v>
      </c>
      <c r="R2558" t="s">
        <v>320</v>
      </c>
      <c r="S2558" t="s">
        <v>323</v>
      </c>
      <c r="T2558">
        <v>7.6</v>
      </c>
      <c r="Y2558" s="42">
        <v>44593</v>
      </c>
    </row>
    <row r="2559" spans="14:25">
      <c r="N2559" s="42">
        <v>44592</v>
      </c>
      <c r="O2559" t="s">
        <v>345</v>
      </c>
      <c r="P2559" s="42">
        <v>44592</v>
      </c>
      <c r="Q2559" t="s">
        <v>345</v>
      </c>
      <c r="R2559" t="s">
        <v>320</v>
      </c>
      <c r="S2559" t="s">
        <v>323</v>
      </c>
      <c r="T2559">
        <v>7.6</v>
      </c>
      <c r="Y2559" s="42">
        <v>44593</v>
      </c>
    </row>
    <row r="2560" spans="14:25">
      <c r="N2560" s="42">
        <v>44587</v>
      </c>
      <c r="O2560" t="s">
        <v>328</v>
      </c>
      <c r="P2560" s="42">
        <v>44587</v>
      </c>
      <c r="Q2560" t="s">
        <v>328</v>
      </c>
      <c r="R2560" t="s">
        <v>320</v>
      </c>
      <c r="S2560" t="s">
        <v>323</v>
      </c>
      <c r="U2560">
        <v>7.6</v>
      </c>
      <c r="Y2560" s="42">
        <v>44593</v>
      </c>
    </row>
    <row r="2561" spans="14:25">
      <c r="N2561" s="42">
        <v>44582</v>
      </c>
      <c r="O2561" t="s">
        <v>346</v>
      </c>
      <c r="P2561" s="42">
        <v>44582</v>
      </c>
      <c r="Q2561" t="s">
        <v>346</v>
      </c>
      <c r="R2561" t="s">
        <v>329</v>
      </c>
      <c r="S2561" t="s">
        <v>323</v>
      </c>
      <c r="T2561">
        <v>4.5</v>
      </c>
      <c r="W2561" t="s">
        <v>330</v>
      </c>
      <c r="Y2561" s="42">
        <v>44593</v>
      </c>
    </row>
    <row r="2562" spans="14:25">
      <c r="N2562" s="42">
        <v>44564</v>
      </c>
      <c r="O2562" t="s">
        <v>345</v>
      </c>
      <c r="P2562" s="42">
        <v>44564</v>
      </c>
      <c r="Q2562" t="s">
        <v>345</v>
      </c>
      <c r="R2562" t="s">
        <v>320</v>
      </c>
      <c r="S2562" t="s">
        <v>323</v>
      </c>
      <c r="U2562">
        <v>-7.6</v>
      </c>
    </row>
    <row r="2563" spans="14:25">
      <c r="N2563" s="42">
        <v>44564</v>
      </c>
      <c r="O2563" t="s">
        <v>345</v>
      </c>
      <c r="P2563" s="42">
        <v>44564</v>
      </c>
      <c r="Q2563" t="s">
        <v>345</v>
      </c>
      <c r="R2563" t="s">
        <v>320</v>
      </c>
      <c r="S2563" t="s">
        <v>323</v>
      </c>
      <c r="U2563">
        <v>7.6</v>
      </c>
    </row>
    <row r="2564" spans="14:25">
      <c r="N2564" s="42">
        <v>44564</v>
      </c>
      <c r="O2564" t="s">
        <v>345</v>
      </c>
      <c r="P2564" s="42">
        <v>44564</v>
      </c>
      <c r="Q2564" t="s">
        <v>345</v>
      </c>
      <c r="R2564" t="s">
        <v>320</v>
      </c>
      <c r="S2564" t="s">
        <v>323</v>
      </c>
      <c r="U2564">
        <v>7.6</v>
      </c>
      <c r="Y2564" s="42">
        <v>44565</v>
      </c>
    </row>
    <row r="2565" spans="14:25">
      <c r="N2565" s="42">
        <v>44561</v>
      </c>
      <c r="O2565" t="s">
        <v>346</v>
      </c>
      <c r="P2565" s="42">
        <v>44561</v>
      </c>
      <c r="Q2565" t="s">
        <v>346</v>
      </c>
      <c r="R2565" t="s">
        <v>320</v>
      </c>
      <c r="S2565" t="s">
        <v>323</v>
      </c>
      <c r="T2565">
        <v>7.6</v>
      </c>
      <c r="Y2565" s="42">
        <v>44565</v>
      </c>
    </row>
    <row r="2566" spans="14:25">
      <c r="N2566" s="42">
        <v>44560</v>
      </c>
      <c r="O2566" t="s">
        <v>324</v>
      </c>
      <c r="P2566" s="42">
        <v>44560</v>
      </c>
      <c r="Q2566" t="s">
        <v>324</v>
      </c>
      <c r="R2566" t="s">
        <v>320</v>
      </c>
      <c r="S2566" t="s">
        <v>323</v>
      </c>
      <c r="T2566">
        <v>7.6</v>
      </c>
      <c r="Y2566" s="42">
        <v>44565</v>
      </c>
    </row>
    <row r="2567" spans="14:25">
      <c r="N2567" s="42">
        <v>44559</v>
      </c>
      <c r="O2567" t="s">
        <v>328</v>
      </c>
      <c r="P2567" s="42">
        <v>44559</v>
      </c>
      <c r="Q2567" t="s">
        <v>328</v>
      </c>
      <c r="R2567" t="s">
        <v>320</v>
      </c>
      <c r="S2567" t="s">
        <v>323</v>
      </c>
      <c r="T2567">
        <v>7.6</v>
      </c>
      <c r="Y2567" s="42">
        <v>44565</v>
      </c>
    </row>
    <row r="2568" spans="14:25">
      <c r="N2568" s="42">
        <v>44558</v>
      </c>
      <c r="O2568" t="s">
        <v>333</v>
      </c>
      <c r="P2568" s="42">
        <v>44558</v>
      </c>
      <c r="Q2568" t="s">
        <v>333</v>
      </c>
      <c r="R2568" t="s">
        <v>320</v>
      </c>
      <c r="S2568" t="s">
        <v>323</v>
      </c>
      <c r="U2568">
        <v>7.6</v>
      </c>
    </row>
    <row r="2569" spans="14:25">
      <c r="N2569" s="42">
        <v>44558</v>
      </c>
      <c r="O2569" t="s">
        <v>333</v>
      </c>
      <c r="P2569" s="42">
        <v>44558</v>
      </c>
      <c r="Q2569" t="s">
        <v>333</v>
      </c>
      <c r="R2569" t="s">
        <v>320</v>
      </c>
      <c r="S2569" t="s">
        <v>323</v>
      </c>
      <c r="U2569">
        <v>7.6</v>
      </c>
      <c r="Y2569" s="42">
        <v>44565</v>
      </c>
    </row>
    <row r="2570" spans="14:25">
      <c r="N2570" s="42">
        <v>44557</v>
      </c>
      <c r="O2570" t="s">
        <v>345</v>
      </c>
      <c r="P2570" s="42">
        <v>44557</v>
      </c>
      <c r="Q2570" t="s">
        <v>345</v>
      </c>
      <c r="R2570" t="s">
        <v>320</v>
      </c>
      <c r="S2570" t="s">
        <v>323</v>
      </c>
      <c r="U2570">
        <v>-7.6</v>
      </c>
    </row>
    <row r="2571" spans="14:25">
      <c r="N2571" s="42">
        <v>44557</v>
      </c>
      <c r="O2571" t="s">
        <v>345</v>
      </c>
      <c r="P2571" s="42">
        <v>44557</v>
      </c>
      <c r="Q2571" t="s">
        <v>345</v>
      </c>
      <c r="R2571" t="s">
        <v>320</v>
      </c>
      <c r="S2571" t="s">
        <v>323</v>
      </c>
      <c r="U2571">
        <v>7.6</v>
      </c>
    </row>
    <row r="2572" spans="14:25">
      <c r="N2572" s="42">
        <v>44557</v>
      </c>
      <c r="O2572" t="s">
        <v>345</v>
      </c>
      <c r="P2572" s="42">
        <v>44557</v>
      </c>
      <c r="Q2572" t="s">
        <v>345</v>
      </c>
      <c r="R2572" t="s">
        <v>320</v>
      </c>
      <c r="S2572" t="s">
        <v>323</v>
      </c>
      <c r="U2572">
        <v>7.6</v>
      </c>
      <c r="Y2572" s="42">
        <v>44565</v>
      </c>
    </row>
    <row r="2573" spans="14:25">
      <c r="N2573" s="42">
        <v>44556</v>
      </c>
      <c r="O2573" t="s">
        <v>344</v>
      </c>
      <c r="P2573" s="42">
        <v>44556</v>
      </c>
      <c r="Q2573" t="s">
        <v>344</v>
      </c>
      <c r="R2573" t="s">
        <v>320</v>
      </c>
      <c r="S2573" t="s">
        <v>323</v>
      </c>
      <c r="U2573">
        <v>-7.6</v>
      </c>
    </row>
    <row r="2574" spans="14:25">
      <c r="N2574" s="42">
        <v>44553</v>
      </c>
      <c r="O2574" t="s">
        <v>324</v>
      </c>
      <c r="P2574" s="42">
        <v>44553</v>
      </c>
      <c r="Q2574" t="s">
        <v>324</v>
      </c>
      <c r="R2574" t="s">
        <v>329</v>
      </c>
      <c r="S2574" t="s">
        <v>323</v>
      </c>
      <c r="T2574">
        <v>5</v>
      </c>
      <c r="W2574" t="s">
        <v>330</v>
      </c>
      <c r="Y2574" s="42">
        <v>44565</v>
      </c>
    </row>
    <row r="2575" spans="14:25">
      <c r="N2575" s="42">
        <v>44550</v>
      </c>
      <c r="O2575" t="s">
        <v>345</v>
      </c>
      <c r="P2575" s="42">
        <v>44550</v>
      </c>
      <c r="Q2575" t="s">
        <v>345</v>
      </c>
      <c r="R2575" t="s">
        <v>320</v>
      </c>
      <c r="S2575" t="s">
        <v>323</v>
      </c>
      <c r="T2575">
        <v>7.6</v>
      </c>
      <c r="Y2575" s="42">
        <v>44551</v>
      </c>
    </row>
    <row r="2576" spans="14:25">
      <c r="N2576" s="42">
        <v>44546</v>
      </c>
      <c r="O2576" t="s">
        <v>324</v>
      </c>
      <c r="P2576" s="42">
        <v>44546</v>
      </c>
      <c r="Q2576" t="s">
        <v>324</v>
      </c>
      <c r="R2576" t="s">
        <v>329</v>
      </c>
      <c r="S2576" t="s">
        <v>323</v>
      </c>
      <c r="T2576">
        <v>7.6</v>
      </c>
      <c r="W2576" t="s">
        <v>330</v>
      </c>
      <c r="Y2576" s="42">
        <v>44551</v>
      </c>
    </row>
    <row r="2577" spans="14:25">
      <c r="N2577" s="42">
        <v>44543</v>
      </c>
      <c r="O2577" t="s">
        <v>345</v>
      </c>
      <c r="P2577" s="42">
        <v>44543</v>
      </c>
      <c r="Q2577" t="s">
        <v>345</v>
      </c>
      <c r="R2577" t="s">
        <v>320</v>
      </c>
      <c r="S2577" t="s">
        <v>323</v>
      </c>
      <c r="T2577">
        <v>7.6</v>
      </c>
      <c r="Y2577" s="42">
        <v>44551</v>
      </c>
    </row>
    <row r="2578" spans="14:25">
      <c r="N2578" s="42">
        <v>44537</v>
      </c>
      <c r="O2578" t="s">
        <v>333</v>
      </c>
      <c r="P2578" s="42">
        <v>44537</v>
      </c>
      <c r="Q2578" t="s">
        <v>333</v>
      </c>
      <c r="R2578" t="s">
        <v>329</v>
      </c>
      <c r="S2578" t="s">
        <v>323</v>
      </c>
      <c r="T2578">
        <v>3</v>
      </c>
      <c r="W2578" t="s">
        <v>330</v>
      </c>
      <c r="Y2578" s="42">
        <v>44537</v>
      </c>
    </row>
    <row r="2579" spans="14:25">
      <c r="N2579" s="42">
        <v>44536</v>
      </c>
      <c r="O2579" t="s">
        <v>345</v>
      </c>
      <c r="P2579" s="42">
        <v>44536</v>
      </c>
      <c r="Q2579" t="s">
        <v>345</v>
      </c>
      <c r="R2579" t="s">
        <v>320</v>
      </c>
      <c r="S2579" t="s">
        <v>323</v>
      </c>
      <c r="T2579">
        <v>7.6</v>
      </c>
      <c r="Y2579" s="42">
        <v>44537</v>
      </c>
    </row>
    <row r="2580" spans="14:25">
      <c r="N2580" s="42">
        <v>44532</v>
      </c>
      <c r="O2580" t="s">
        <v>324</v>
      </c>
      <c r="P2580" s="42">
        <v>44532</v>
      </c>
      <c r="Q2580" t="s">
        <v>324</v>
      </c>
      <c r="R2580" t="s">
        <v>329</v>
      </c>
      <c r="S2580" t="s">
        <v>323</v>
      </c>
      <c r="T2580">
        <v>3.5</v>
      </c>
      <c r="W2580" t="s">
        <v>330</v>
      </c>
      <c r="Y2580" s="42">
        <v>44537</v>
      </c>
    </row>
    <row r="2581" spans="14:25">
      <c r="N2581" s="42">
        <v>44516</v>
      </c>
      <c r="O2581" t="s">
        <v>333</v>
      </c>
      <c r="P2581" s="42">
        <v>44516</v>
      </c>
      <c r="Q2581" t="s">
        <v>333</v>
      </c>
      <c r="R2581" t="s">
        <v>329</v>
      </c>
      <c r="S2581" t="s">
        <v>323</v>
      </c>
      <c r="T2581">
        <v>7.6</v>
      </c>
      <c r="W2581" t="s">
        <v>330</v>
      </c>
      <c r="Y2581" s="42">
        <v>44523</v>
      </c>
    </row>
    <row r="2582" spans="14:25">
      <c r="N2582" s="42">
        <v>44502</v>
      </c>
      <c r="O2582" t="s">
        <v>333</v>
      </c>
      <c r="P2582" s="42">
        <v>44502</v>
      </c>
      <c r="Q2582" t="s">
        <v>333</v>
      </c>
      <c r="R2582" t="s">
        <v>329</v>
      </c>
      <c r="S2582" t="s">
        <v>323</v>
      </c>
      <c r="T2582">
        <v>4.7832999999999997</v>
      </c>
      <c r="W2582" t="s">
        <v>330</v>
      </c>
      <c r="Y2582" s="42">
        <v>44509</v>
      </c>
    </row>
    <row r="2583" spans="14:25">
      <c r="N2583" s="42">
        <v>44501</v>
      </c>
      <c r="O2583" t="s">
        <v>345</v>
      </c>
      <c r="P2583" s="42">
        <v>44501</v>
      </c>
      <c r="Q2583" t="s">
        <v>345</v>
      </c>
      <c r="R2583" t="s">
        <v>320</v>
      </c>
      <c r="S2583" t="s">
        <v>323</v>
      </c>
      <c r="T2583">
        <v>7.6</v>
      </c>
      <c r="Y2583" s="42">
        <v>44509</v>
      </c>
    </row>
    <row r="2584" spans="14:25">
      <c r="N2584" s="42">
        <v>44495</v>
      </c>
      <c r="O2584" t="s">
        <v>333</v>
      </c>
      <c r="P2584" s="42">
        <v>44495</v>
      </c>
      <c r="Q2584" t="s">
        <v>333</v>
      </c>
      <c r="R2584" t="s">
        <v>329</v>
      </c>
      <c r="S2584" t="s">
        <v>323</v>
      </c>
      <c r="T2584">
        <v>3</v>
      </c>
      <c r="W2584" t="s">
        <v>330</v>
      </c>
      <c r="Y2584" s="42">
        <v>44495</v>
      </c>
    </row>
    <row r="2585" spans="14:25">
      <c r="N2585" s="42">
        <v>44489</v>
      </c>
      <c r="O2585" t="s">
        <v>328</v>
      </c>
      <c r="P2585" s="42">
        <v>44489</v>
      </c>
      <c r="Q2585" t="s">
        <v>328</v>
      </c>
      <c r="R2585" t="s">
        <v>329</v>
      </c>
      <c r="S2585" t="s">
        <v>323</v>
      </c>
      <c r="T2585">
        <v>7.6</v>
      </c>
      <c r="W2585" t="s">
        <v>330</v>
      </c>
      <c r="Y2585" s="42">
        <v>44495</v>
      </c>
    </row>
    <row r="2586" spans="14:25">
      <c r="N2586" s="42">
        <v>44474</v>
      </c>
      <c r="O2586" t="s">
        <v>333</v>
      </c>
      <c r="P2586" s="42">
        <v>44474</v>
      </c>
      <c r="Q2586" t="s">
        <v>333</v>
      </c>
      <c r="R2586" t="s">
        <v>329</v>
      </c>
      <c r="S2586" t="s">
        <v>323</v>
      </c>
      <c r="T2586">
        <v>3</v>
      </c>
      <c r="W2586" t="s">
        <v>330</v>
      </c>
      <c r="Y2586" s="42">
        <v>44481</v>
      </c>
    </row>
    <row r="2587" spans="14:25">
      <c r="N2587" s="42">
        <v>44473</v>
      </c>
      <c r="O2587" t="s">
        <v>345</v>
      </c>
      <c r="P2587" s="42">
        <v>44473</v>
      </c>
      <c r="Q2587" t="s">
        <v>345</v>
      </c>
      <c r="R2587" t="s">
        <v>320</v>
      </c>
      <c r="S2587" t="s">
        <v>323</v>
      </c>
      <c r="U2587">
        <v>7.6</v>
      </c>
    </row>
    <row r="2588" spans="14:25">
      <c r="N2588" s="42">
        <v>44473</v>
      </c>
      <c r="O2588" t="s">
        <v>345</v>
      </c>
      <c r="P2588" s="42">
        <v>44473</v>
      </c>
      <c r="Q2588" t="s">
        <v>345</v>
      </c>
      <c r="R2588" t="s">
        <v>320</v>
      </c>
      <c r="S2588" t="s">
        <v>323</v>
      </c>
      <c r="U2588">
        <v>7.6</v>
      </c>
      <c r="Y2588" s="42">
        <v>44481</v>
      </c>
    </row>
    <row r="2589" spans="14:25">
      <c r="N2589" s="42">
        <v>44467</v>
      </c>
      <c r="O2589" t="s">
        <v>333</v>
      </c>
      <c r="P2589" s="42">
        <v>44467</v>
      </c>
      <c r="Q2589" t="s">
        <v>333</v>
      </c>
      <c r="R2589" t="s">
        <v>329</v>
      </c>
      <c r="S2589" t="s">
        <v>323</v>
      </c>
      <c r="T2589">
        <v>7.6</v>
      </c>
      <c r="W2589" t="s">
        <v>330</v>
      </c>
      <c r="Y2589" s="42">
        <v>44467</v>
      </c>
    </row>
    <row r="2590" spans="14:25">
      <c r="N2590" s="42">
        <v>44449</v>
      </c>
      <c r="O2590" t="s">
        <v>346</v>
      </c>
      <c r="P2590" s="42">
        <v>44449</v>
      </c>
      <c r="Q2590" t="s">
        <v>346</v>
      </c>
      <c r="R2590" t="s">
        <v>320</v>
      </c>
      <c r="S2590" t="s">
        <v>323</v>
      </c>
      <c r="T2590">
        <v>7.6</v>
      </c>
      <c r="Y2590" s="42">
        <v>44453</v>
      </c>
    </row>
    <row r="2591" spans="14:25">
      <c r="N2591" s="42">
        <v>44448</v>
      </c>
      <c r="O2591" t="s">
        <v>324</v>
      </c>
      <c r="P2591" s="42">
        <v>44448</v>
      </c>
      <c r="Q2591" t="s">
        <v>324</v>
      </c>
      <c r="R2591" t="s">
        <v>320</v>
      </c>
      <c r="S2591" t="s">
        <v>323</v>
      </c>
      <c r="T2591">
        <v>7.6</v>
      </c>
      <c r="Y2591" s="42">
        <v>44453</v>
      </c>
    </row>
    <row r="2592" spans="14:25">
      <c r="N2592" s="42">
        <v>44447</v>
      </c>
      <c r="O2592" t="s">
        <v>328</v>
      </c>
      <c r="P2592" s="42">
        <v>44447</v>
      </c>
      <c r="Q2592" t="s">
        <v>328</v>
      </c>
      <c r="R2592" t="s">
        <v>320</v>
      </c>
      <c r="S2592" t="s">
        <v>323</v>
      </c>
      <c r="T2592">
        <v>7.6</v>
      </c>
      <c r="Y2592" s="42">
        <v>44453</v>
      </c>
    </row>
    <row r="2593" spans="14:25">
      <c r="N2593" s="42">
        <v>44446</v>
      </c>
      <c r="O2593" t="s">
        <v>333</v>
      </c>
      <c r="P2593" s="42">
        <v>44446</v>
      </c>
      <c r="Q2593" t="s">
        <v>333</v>
      </c>
      <c r="R2593" t="s">
        <v>320</v>
      </c>
      <c r="S2593" t="s">
        <v>323</v>
      </c>
      <c r="T2593">
        <v>7.6</v>
      </c>
      <c r="Y2593" s="42">
        <v>44453</v>
      </c>
    </row>
    <row r="2594" spans="14:25">
      <c r="N2594" s="42">
        <v>44445</v>
      </c>
      <c r="O2594" t="s">
        <v>345</v>
      </c>
      <c r="P2594" s="42">
        <v>44445</v>
      </c>
      <c r="Q2594" t="s">
        <v>345</v>
      </c>
      <c r="R2594" t="s">
        <v>320</v>
      </c>
      <c r="S2594" t="s">
        <v>323</v>
      </c>
      <c r="T2594">
        <v>7.6</v>
      </c>
      <c r="Y2594" s="42">
        <v>44453</v>
      </c>
    </row>
    <row r="2595" spans="14:25">
      <c r="N2595" s="42">
        <v>44435</v>
      </c>
      <c r="O2595" t="s">
        <v>346</v>
      </c>
      <c r="P2595" s="42">
        <v>44435</v>
      </c>
      <c r="Q2595" t="s">
        <v>346</v>
      </c>
      <c r="R2595" t="s">
        <v>329</v>
      </c>
      <c r="S2595" t="s">
        <v>323</v>
      </c>
      <c r="T2595">
        <v>2.5</v>
      </c>
      <c r="W2595" t="s">
        <v>330</v>
      </c>
      <c r="Y2595" s="42">
        <v>44439</v>
      </c>
    </row>
    <row r="2596" spans="14:25">
      <c r="N2596" s="42">
        <v>44428</v>
      </c>
      <c r="O2596" t="s">
        <v>346</v>
      </c>
      <c r="P2596" s="42">
        <v>44428</v>
      </c>
      <c r="Q2596" t="s">
        <v>346</v>
      </c>
      <c r="R2596" t="s">
        <v>329</v>
      </c>
      <c r="S2596" t="s">
        <v>323</v>
      </c>
      <c r="T2596">
        <v>7.6</v>
      </c>
      <c r="W2596" t="s">
        <v>330</v>
      </c>
      <c r="Y2596" s="42">
        <v>44439</v>
      </c>
    </row>
    <row r="2597" spans="14:25">
      <c r="N2597" s="42">
        <v>44427</v>
      </c>
      <c r="O2597" t="s">
        <v>324</v>
      </c>
      <c r="P2597" s="42">
        <v>44427</v>
      </c>
      <c r="Q2597" t="s">
        <v>324</v>
      </c>
      <c r="R2597" t="s">
        <v>329</v>
      </c>
      <c r="S2597" t="s">
        <v>323</v>
      </c>
      <c r="T2597">
        <v>7.6</v>
      </c>
      <c r="W2597" t="s">
        <v>330</v>
      </c>
      <c r="Y2597" s="42">
        <v>44439</v>
      </c>
    </row>
    <row r="2598" spans="14:25">
      <c r="N2598" s="42">
        <v>44397</v>
      </c>
      <c r="O2598" t="s">
        <v>333</v>
      </c>
      <c r="P2598" s="42">
        <v>44397</v>
      </c>
      <c r="Q2598" t="s">
        <v>333</v>
      </c>
      <c r="R2598" t="s">
        <v>329</v>
      </c>
      <c r="S2598" t="s">
        <v>323</v>
      </c>
      <c r="T2598">
        <v>3.5</v>
      </c>
      <c r="W2598" t="s">
        <v>330</v>
      </c>
      <c r="Y2598" s="42">
        <v>44397</v>
      </c>
    </row>
    <row r="2599" spans="14:25">
      <c r="N2599" s="42">
        <v>44393</v>
      </c>
      <c r="O2599" t="s">
        <v>346</v>
      </c>
      <c r="P2599" s="42">
        <v>44393</v>
      </c>
      <c r="Q2599" t="s">
        <v>346</v>
      </c>
      <c r="R2599" t="s">
        <v>329</v>
      </c>
      <c r="S2599" t="s">
        <v>323</v>
      </c>
      <c r="T2599">
        <v>7.6</v>
      </c>
      <c r="W2599" t="s">
        <v>330</v>
      </c>
      <c r="Y2599" s="42">
        <v>44397</v>
      </c>
    </row>
    <row r="2600" spans="14:25">
      <c r="N2600" s="42">
        <v>44365</v>
      </c>
      <c r="O2600" t="s">
        <v>346</v>
      </c>
      <c r="P2600" s="42">
        <v>44365</v>
      </c>
      <c r="Q2600" t="s">
        <v>346</v>
      </c>
      <c r="R2600" t="s">
        <v>320</v>
      </c>
      <c r="S2600" t="s">
        <v>323</v>
      </c>
      <c r="T2600">
        <v>7.6</v>
      </c>
      <c r="Y2600" s="42">
        <v>44369</v>
      </c>
    </row>
    <row r="2601" spans="14:25">
      <c r="N2601" s="42">
        <v>44364</v>
      </c>
      <c r="O2601" t="s">
        <v>324</v>
      </c>
      <c r="P2601" s="42">
        <v>44364</v>
      </c>
      <c r="Q2601" t="s">
        <v>324</v>
      </c>
      <c r="R2601" t="s">
        <v>320</v>
      </c>
      <c r="S2601" t="s">
        <v>323</v>
      </c>
      <c r="T2601">
        <v>7.6</v>
      </c>
      <c r="Y2601" s="42">
        <v>44369</v>
      </c>
    </row>
    <row r="2602" spans="14:25">
      <c r="N2602" s="42">
        <v>44363</v>
      </c>
      <c r="O2602" t="s">
        <v>328</v>
      </c>
      <c r="P2602" s="42">
        <v>44363</v>
      </c>
      <c r="Q2602" t="s">
        <v>328</v>
      </c>
      <c r="R2602" t="s">
        <v>320</v>
      </c>
      <c r="S2602" t="s">
        <v>323</v>
      </c>
      <c r="T2602">
        <v>7.6</v>
      </c>
      <c r="Y2602" s="42">
        <v>44369</v>
      </c>
    </row>
    <row r="2603" spans="14:25">
      <c r="N2603" s="42">
        <v>44362</v>
      </c>
      <c r="O2603" t="s">
        <v>333</v>
      </c>
      <c r="P2603" s="42">
        <v>44362</v>
      </c>
      <c r="Q2603" t="s">
        <v>333</v>
      </c>
      <c r="R2603" t="s">
        <v>320</v>
      </c>
      <c r="S2603" t="s">
        <v>323</v>
      </c>
      <c r="T2603">
        <v>7.6</v>
      </c>
      <c r="Y2603" s="42">
        <v>44369</v>
      </c>
    </row>
    <row r="2604" spans="14:25">
      <c r="N2604" s="42">
        <v>44361</v>
      </c>
      <c r="O2604" t="s">
        <v>345</v>
      </c>
      <c r="P2604" s="42">
        <v>44361</v>
      </c>
      <c r="Q2604" t="s">
        <v>345</v>
      </c>
      <c r="R2604" t="s">
        <v>320</v>
      </c>
      <c r="S2604" t="s">
        <v>323</v>
      </c>
      <c r="U2604">
        <v>7.6</v>
      </c>
    </row>
    <row r="2605" spans="14:25">
      <c r="N2605" s="42">
        <v>44341</v>
      </c>
      <c r="O2605" t="s">
        <v>333</v>
      </c>
      <c r="P2605" s="42">
        <v>44341</v>
      </c>
      <c r="Q2605" t="s">
        <v>333</v>
      </c>
      <c r="R2605" t="s">
        <v>329</v>
      </c>
      <c r="S2605" t="s">
        <v>323</v>
      </c>
      <c r="T2605">
        <v>2</v>
      </c>
      <c r="W2605" t="s">
        <v>330</v>
      </c>
      <c r="Y2605" s="42">
        <v>44341</v>
      </c>
    </row>
    <row r="2606" spans="14:25">
      <c r="N2606" s="42">
        <v>44313</v>
      </c>
      <c r="O2606" t="s">
        <v>333</v>
      </c>
      <c r="P2606" s="42">
        <v>44313</v>
      </c>
      <c r="Q2606" t="s">
        <v>333</v>
      </c>
      <c r="R2606" t="s">
        <v>329</v>
      </c>
      <c r="S2606" t="s">
        <v>323</v>
      </c>
      <c r="T2606">
        <v>1.75</v>
      </c>
      <c r="W2606" t="s">
        <v>330</v>
      </c>
      <c r="Y2606" s="42">
        <v>44313</v>
      </c>
    </row>
    <row r="2607" spans="14:25">
      <c r="N2607" s="42">
        <v>44291</v>
      </c>
      <c r="O2607" t="s">
        <v>345</v>
      </c>
      <c r="P2607" s="42">
        <v>44291</v>
      </c>
      <c r="Q2607" t="s">
        <v>345</v>
      </c>
      <c r="R2607" t="s">
        <v>320</v>
      </c>
      <c r="S2607" t="s">
        <v>323</v>
      </c>
      <c r="U2607">
        <v>7.6</v>
      </c>
    </row>
    <row r="2608" spans="14:25">
      <c r="N2608" s="42">
        <v>44288</v>
      </c>
      <c r="O2608" t="s">
        <v>346</v>
      </c>
      <c r="P2608" s="42">
        <v>44288</v>
      </c>
      <c r="Q2608" t="s">
        <v>346</v>
      </c>
      <c r="R2608" t="s">
        <v>320</v>
      </c>
      <c r="S2608" t="s">
        <v>323</v>
      </c>
      <c r="U2608">
        <v>7.6</v>
      </c>
    </row>
    <row r="2609" spans="14:25">
      <c r="N2609" s="42">
        <v>44284</v>
      </c>
      <c r="O2609" t="s">
        <v>345</v>
      </c>
      <c r="P2609" s="42">
        <v>44284</v>
      </c>
      <c r="Q2609" t="s">
        <v>345</v>
      </c>
      <c r="R2609" t="s">
        <v>329</v>
      </c>
      <c r="S2609" t="s">
        <v>323</v>
      </c>
      <c r="T2609">
        <v>7.6</v>
      </c>
      <c r="W2609" t="s">
        <v>330</v>
      </c>
      <c r="Y2609" s="42">
        <v>44285</v>
      </c>
    </row>
    <row r="2610" spans="14:25">
      <c r="N2610" s="42">
        <v>44271</v>
      </c>
      <c r="O2610" t="s">
        <v>333</v>
      </c>
      <c r="P2610" s="42">
        <v>44271</v>
      </c>
      <c r="Q2610" t="s">
        <v>333</v>
      </c>
      <c r="R2610" t="s">
        <v>329</v>
      </c>
      <c r="S2610" t="s">
        <v>323</v>
      </c>
      <c r="T2610">
        <v>7.6</v>
      </c>
      <c r="W2610" t="s">
        <v>330</v>
      </c>
      <c r="Y2610" s="42">
        <v>44271</v>
      </c>
    </row>
    <row r="2611" spans="14:25">
      <c r="N2611" s="42">
        <v>44267</v>
      </c>
      <c r="O2611" t="s">
        <v>346</v>
      </c>
      <c r="P2611" s="42">
        <v>44267</v>
      </c>
      <c r="Q2611" t="s">
        <v>346</v>
      </c>
      <c r="R2611" t="s">
        <v>320</v>
      </c>
      <c r="S2611" t="s">
        <v>323</v>
      </c>
      <c r="T2611">
        <v>7.6</v>
      </c>
      <c r="Y2611" s="42">
        <v>44271</v>
      </c>
    </row>
    <row r="2612" spans="14:25">
      <c r="N2612" s="42">
        <v>44266</v>
      </c>
      <c r="O2612" t="s">
        <v>324</v>
      </c>
      <c r="P2612" s="42">
        <v>44266</v>
      </c>
      <c r="Q2612" t="s">
        <v>324</v>
      </c>
      <c r="R2612" t="s">
        <v>320</v>
      </c>
      <c r="S2612" t="s">
        <v>323</v>
      </c>
      <c r="T2612">
        <v>7.6</v>
      </c>
      <c r="Y2612" s="42">
        <v>44271</v>
      </c>
    </row>
    <row r="2613" spans="14:25">
      <c r="N2613" s="42">
        <v>44265</v>
      </c>
      <c r="O2613" t="s">
        <v>328</v>
      </c>
      <c r="P2613" s="42">
        <v>44265</v>
      </c>
      <c r="Q2613" t="s">
        <v>328</v>
      </c>
      <c r="R2613" t="s">
        <v>320</v>
      </c>
      <c r="S2613" t="s">
        <v>323</v>
      </c>
      <c r="T2613">
        <v>7.6</v>
      </c>
      <c r="Y2613" s="42">
        <v>44271</v>
      </c>
    </row>
    <row r="2614" spans="14:25">
      <c r="N2614" s="42">
        <v>44264</v>
      </c>
      <c r="O2614" t="s">
        <v>333</v>
      </c>
      <c r="P2614" s="42">
        <v>44264</v>
      </c>
      <c r="Q2614" t="s">
        <v>333</v>
      </c>
      <c r="R2614" t="s">
        <v>320</v>
      </c>
      <c r="S2614" t="s">
        <v>323</v>
      </c>
      <c r="T2614">
        <v>7.6</v>
      </c>
      <c r="Y2614" s="42">
        <v>44271</v>
      </c>
    </row>
    <row r="2615" spans="14:25">
      <c r="N2615" s="42">
        <v>44263</v>
      </c>
      <c r="O2615" t="s">
        <v>345</v>
      </c>
      <c r="P2615" s="42">
        <v>44263</v>
      </c>
      <c r="Q2615" t="s">
        <v>345</v>
      </c>
      <c r="R2615" t="s">
        <v>320</v>
      </c>
      <c r="S2615" t="s">
        <v>323</v>
      </c>
      <c r="T2615">
        <v>7.6</v>
      </c>
      <c r="Y2615" s="42">
        <v>44271</v>
      </c>
    </row>
    <row r="2616" spans="14:25">
      <c r="N2616" s="42">
        <v>44229</v>
      </c>
      <c r="O2616" t="s">
        <v>333</v>
      </c>
      <c r="P2616" s="42">
        <v>44229</v>
      </c>
      <c r="Q2616" t="s">
        <v>333</v>
      </c>
      <c r="R2616" t="s">
        <v>329</v>
      </c>
      <c r="S2616" t="s">
        <v>323</v>
      </c>
      <c r="T2616">
        <v>7.6</v>
      </c>
      <c r="W2616" t="s">
        <v>330</v>
      </c>
      <c r="Y2616" s="42">
        <v>44229</v>
      </c>
    </row>
    <row r="2617" spans="14:25">
      <c r="N2617" s="42">
        <v>44222</v>
      </c>
      <c r="O2617" t="s">
        <v>333</v>
      </c>
      <c r="P2617" s="42">
        <v>44222</v>
      </c>
      <c r="Q2617" t="s">
        <v>333</v>
      </c>
      <c r="R2617" t="s">
        <v>320</v>
      </c>
      <c r="S2617" t="s">
        <v>323</v>
      </c>
      <c r="U2617">
        <v>7.6</v>
      </c>
    </row>
    <row r="2618" spans="14:25">
      <c r="N2618" s="42">
        <v>44214</v>
      </c>
      <c r="O2618" t="s">
        <v>345</v>
      </c>
      <c r="P2618" s="42">
        <v>44214</v>
      </c>
      <c r="Q2618" t="s">
        <v>345</v>
      </c>
      <c r="R2618" t="s">
        <v>320</v>
      </c>
      <c r="S2618" t="s">
        <v>323</v>
      </c>
      <c r="T2618">
        <v>7.6</v>
      </c>
      <c r="Y2618" s="42">
        <v>44215</v>
      </c>
    </row>
    <row r="2619" spans="14:25">
      <c r="N2619" s="42">
        <v>44204</v>
      </c>
      <c r="O2619" t="s">
        <v>346</v>
      </c>
      <c r="P2619" s="42">
        <v>44204</v>
      </c>
      <c r="Q2619" t="s">
        <v>346</v>
      </c>
      <c r="R2619" t="s">
        <v>329</v>
      </c>
      <c r="S2619" t="s">
        <v>323</v>
      </c>
      <c r="T2619">
        <v>7.6</v>
      </c>
      <c r="W2619" t="s">
        <v>330</v>
      </c>
      <c r="Y2619" s="42">
        <v>44215</v>
      </c>
    </row>
    <row r="2620" spans="14:25">
      <c r="N2620" s="42">
        <v>44200</v>
      </c>
      <c r="O2620" t="s">
        <v>345</v>
      </c>
      <c r="P2620" s="42">
        <v>44200</v>
      </c>
      <c r="Q2620" t="s">
        <v>345</v>
      </c>
      <c r="R2620" t="s">
        <v>320</v>
      </c>
      <c r="S2620" t="s">
        <v>323</v>
      </c>
      <c r="T2620">
        <v>7.6</v>
      </c>
      <c r="Y2620" s="42">
        <v>44201</v>
      </c>
    </row>
    <row r="2621" spans="14:25">
      <c r="N2621" s="42">
        <v>44197</v>
      </c>
      <c r="O2621" t="s">
        <v>346</v>
      </c>
      <c r="P2621" s="42">
        <v>44197</v>
      </c>
      <c r="Q2621" t="s">
        <v>346</v>
      </c>
      <c r="R2621" t="s">
        <v>320</v>
      </c>
      <c r="S2621" t="s">
        <v>323</v>
      </c>
      <c r="U2621">
        <v>7.6</v>
      </c>
    </row>
    <row r="2622" spans="14:25">
      <c r="N2622" s="42">
        <v>44193</v>
      </c>
      <c r="O2622" t="s">
        <v>345</v>
      </c>
      <c r="P2622" s="42">
        <v>44193</v>
      </c>
      <c r="Q2622" t="s">
        <v>345</v>
      </c>
      <c r="R2622" t="s">
        <v>320</v>
      </c>
      <c r="S2622" t="s">
        <v>323</v>
      </c>
      <c r="U2622">
        <v>7.6</v>
      </c>
    </row>
    <row r="2623" spans="14:25">
      <c r="N2623" s="42">
        <v>44190</v>
      </c>
      <c r="O2623" t="s">
        <v>346</v>
      </c>
      <c r="P2623" s="42">
        <v>44190</v>
      </c>
      <c r="Q2623" t="s">
        <v>346</v>
      </c>
      <c r="R2623" t="s">
        <v>320</v>
      </c>
      <c r="S2623" t="s">
        <v>323</v>
      </c>
      <c r="U2623">
        <v>7.6</v>
      </c>
    </row>
    <row r="2624" spans="14:25">
      <c r="N2624" s="42">
        <v>44173</v>
      </c>
      <c r="O2624" t="s">
        <v>333</v>
      </c>
      <c r="P2624" s="42">
        <v>44173</v>
      </c>
      <c r="Q2624" t="s">
        <v>333</v>
      </c>
      <c r="R2624" t="s">
        <v>329</v>
      </c>
      <c r="S2624" t="s">
        <v>323</v>
      </c>
      <c r="T2624">
        <v>7.6</v>
      </c>
      <c r="W2624" t="s">
        <v>330</v>
      </c>
      <c r="Y2624" s="42">
        <v>44173</v>
      </c>
    </row>
    <row r="2625" spans="14:25">
      <c r="N2625" s="42">
        <v>44165</v>
      </c>
      <c r="O2625" t="s">
        <v>345</v>
      </c>
      <c r="P2625" s="42">
        <v>44165</v>
      </c>
      <c r="Q2625" t="s">
        <v>345</v>
      </c>
      <c r="R2625" t="s">
        <v>329</v>
      </c>
      <c r="S2625" t="s">
        <v>323</v>
      </c>
      <c r="T2625">
        <v>3</v>
      </c>
      <c r="W2625" t="s">
        <v>330</v>
      </c>
      <c r="Y2625" s="42">
        <v>44173</v>
      </c>
    </row>
    <row r="2626" spans="14:25">
      <c r="N2626" s="42">
        <v>44160</v>
      </c>
      <c r="O2626" t="s">
        <v>328</v>
      </c>
      <c r="P2626" s="42">
        <v>44160</v>
      </c>
      <c r="Q2626" t="s">
        <v>328</v>
      </c>
      <c r="R2626" t="s">
        <v>329</v>
      </c>
      <c r="S2626" t="s">
        <v>323</v>
      </c>
      <c r="T2626">
        <v>3</v>
      </c>
      <c r="W2626" t="s">
        <v>330</v>
      </c>
      <c r="Y2626" s="42">
        <v>44173</v>
      </c>
    </row>
    <row r="2627" spans="14:25">
      <c r="N2627" s="42">
        <v>44117</v>
      </c>
      <c r="O2627" t="s">
        <v>333</v>
      </c>
      <c r="P2627" s="42">
        <v>44117</v>
      </c>
      <c r="Q2627" t="s">
        <v>333</v>
      </c>
      <c r="R2627" t="s">
        <v>320</v>
      </c>
      <c r="S2627" t="s">
        <v>323</v>
      </c>
      <c r="T2627">
        <v>7.6</v>
      </c>
      <c r="Y2627" s="42">
        <v>44117</v>
      </c>
    </row>
    <row r="2628" spans="14:25">
      <c r="N2628" s="42">
        <v>44116</v>
      </c>
      <c r="O2628" t="s">
        <v>345</v>
      </c>
      <c r="P2628" s="42">
        <v>44116</v>
      </c>
      <c r="Q2628" t="s">
        <v>345</v>
      </c>
      <c r="R2628" t="s">
        <v>320</v>
      </c>
      <c r="S2628" t="s">
        <v>323</v>
      </c>
      <c r="T2628">
        <v>7.6</v>
      </c>
      <c r="Y2628" s="42">
        <v>44117</v>
      </c>
    </row>
    <row r="2629" spans="14:25">
      <c r="N2629" s="42">
        <v>44113</v>
      </c>
      <c r="O2629" t="s">
        <v>346</v>
      </c>
      <c r="P2629" s="42">
        <v>44113</v>
      </c>
      <c r="Q2629" t="s">
        <v>346</v>
      </c>
      <c r="R2629" t="s">
        <v>329</v>
      </c>
      <c r="S2629" t="s">
        <v>323</v>
      </c>
      <c r="T2629">
        <v>5</v>
      </c>
      <c r="W2629" t="s">
        <v>330</v>
      </c>
      <c r="Y2629" s="42">
        <v>44117</v>
      </c>
    </row>
    <row r="2630" spans="14:25">
      <c r="N2630" s="42">
        <v>44109</v>
      </c>
      <c r="O2630" t="s">
        <v>345</v>
      </c>
      <c r="P2630" s="42">
        <v>44109</v>
      </c>
      <c r="Q2630" t="s">
        <v>345</v>
      </c>
      <c r="R2630" t="s">
        <v>320</v>
      </c>
      <c r="S2630" t="s">
        <v>323</v>
      </c>
      <c r="U2630">
        <v>7.6</v>
      </c>
      <c r="Y2630" s="42">
        <v>44117</v>
      </c>
    </row>
    <row r="2631" spans="14:25">
      <c r="N2631" s="42">
        <v>44082</v>
      </c>
      <c r="O2631" t="s">
        <v>333</v>
      </c>
      <c r="P2631" s="42">
        <v>44082</v>
      </c>
      <c r="Q2631" t="s">
        <v>333</v>
      </c>
      <c r="R2631" t="s">
        <v>329</v>
      </c>
      <c r="S2631" t="s">
        <v>323</v>
      </c>
      <c r="T2631">
        <v>7.6</v>
      </c>
      <c r="W2631" t="s">
        <v>330</v>
      </c>
      <c r="Y2631" s="42">
        <v>44089</v>
      </c>
    </row>
    <row r="2632" spans="14:25">
      <c r="N2632" s="42">
        <v>44075</v>
      </c>
      <c r="O2632" t="s">
        <v>333</v>
      </c>
      <c r="P2632" s="42">
        <v>44075</v>
      </c>
      <c r="Q2632" t="s">
        <v>333</v>
      </c>
      <c r="R2632" t="s">
        <v>329</v>
      </c>
      <c r="S2632" t="s">
        <v>323</v>
      </c>
      <c r="T2632">
        <v>7.6</v>
      </c>
      <c r="W2632" t="s">
        <v>330</v>
      </c>
      <c r="Y2632" s="42">
        <v>44075</v>
      </c>
    </row>
    <row r="2633" spans="14:25">
      <c r="N2633" s="42">
        <v>44074</v>
      </c>
      <c r="O2633" t="s">
        <v>345</v>
      </c>
      <c r="P2633" s="42">
        <v>44074</v>
      </c>
      <c r="Q2633" t="s">
        <v>345</v>
      </c>
      <c r="R2633" t="s">
        <v>329</v>
      </c>
      <c r="S2633" t="s">
        <v>323</v>
      </c>
      <c r="T2633">
        <v>7.6</v>
      </c>
      <c r="W2633" t="s">
        <v>330</v>
      </c>
      <c r="Y2633" s="42">
        <v>44075</v>
      </c>
    </row>
    <row r="2634" spans="14:25">
      <c r="N2634" s="42">
        <v>44053</v>
      </c>
      <c r="O2634" t="s">
        <v>345</v>
      </c>
      <c r="P2634" s="42">
        <v>44053</v>
      </c>
      <c r="Q2634" t="s">
        <v>345</v>
      </c>
      <c r="R2634" t="s">
        <v>320</v>
      </c>
      <c r="S2634" t="s">
        <v>323</v>
      </c>
      <c r="T2634">
        <v>7.6</v>
      </c>
      <c r="Y2634" s="42">
        <v>44061</v>
      </c>
    </row>
    <row r="2635" spans="14:25">
      <c r="N2635" s="42">
        <v>44047</v>
      </c>
      <c r="O2635" t="s">
        <v>333</v>
      </c>
      <c r="P2635" s="42">
        <v>44047</v>
      </c>
      <c r="Q2635" t="s">
        <v>333</v>
      </c>
      <c r="R2635" t="s">
        <v>329</v>
      </c>
      <c r="S2635" t="s">
        <v>323</v>
      </c>
      <c r="T2635">
        <v>7.6</v>
      </c>
      <c r="W2635" t="s">
        <v>330</v>
      </c>
      <c r="Y2635" s="42">
        <v>44047</v>
      </c>
    </row>
    <row r="2636" spans="14:25">
      <c r="N2636" s="42">
        <v>44026</v>
      </c>
      <c r="O2636" t="s">
        <v>333</v>
      </c>
      <c r="P2636" s="42">
        <v>44026</v>
      </c>
      <c r="Q2636" t="s">
        <v>333</v>
      </c>
      <c r="R2636" t="s">
        <v>320</v>
      </c>
      <c r="S2636" t="s">
        <v>323</v>
      </c>
      <c r="T2636">
        <v>7.6</v>
      </c>
      <c r="Y2636" s="42">
        <v>44033</v>
      </c>
    </row>
    <row r="2637" spans="14:25">
      <c r="N2637" s="42">
        <v>44012</v>
      </c>
      <c r="O2637" t="s">
        <v>333</v>
      </c>
      <c r="P2637" s="42">
        <v>44012</v>
      </c>
      <c r="Q2637" t="s">
        <v>333</v>
      </c>
      <c r="R2637" t="s">
        <v>329</v>
      </c>
      <c r="S2637" t="s">
        <v>323</v>
      </c>
      <c r="T2637">
        <v>7.6</v>
      </c>
      <c r="W2637" t="s">
        <v>330</v>
      </c>
      <c r="Y2637" s="42">
        <v>44019</v>
      </c>
    </row>
    <row r="2638" spans="14:25">
      <c r="N2638" s="42">
        <v>43992</v>
      </c>
      <c r="O2638" t="s">
        <v>328</v>
      </c>
      <c r="P2638" s="42">
        <v>43992</v>
      </c>
      <c r="Q2638" t="s">
        <v>328</v>
      </c>
      <c r="R2638" t="s">
        <v>320</v>
      </c>
      <c r="S2638" t="s">
        <v>323</v>
      </c>
      <c r="T2638">
        <v>7.6</v>
      </c>
      <c r="Y2638" s="42">
        <v>44005</v>
      </c>
    </row>
    <row r="2639" spans="14:25">
      <c r="N2639" s="42">
        <v>43991</v>
      </c>
      <c r="O2639" t="s">
        <v>333</v>
      </c>
      <c r="P2639" s="42">
        <v>43991</v>
      </c>
      <c r="Q2639" t="s">
        <v>333</v>
      </c>
      <c r="R2639" t="s">
        <v>320</v>
      </c>
      <c r="S2639" t="s">
        <v>323</v>
      </c>
      <c r="T2639">
        <v>7.6</v>
      </c>
      <c r="Y2639" s="42">
        <v>43991</v>
      </c>
    </row>
    <row r="2640" spans="14:25">
      <c r="N2640" s="42">
        <v>43980</v>
      </c>
      <c r="O2640" t="s">
        <v>346</v>
      </c>
      <c r="P2640" s="42">
        <v>43980</v>
      </c>
      <c r="Q2640" t="s">
        <v>346</v>
      </c>
      <c r="R2640" t="s">
        <v>329</v>
      </c>
      <c r="S2640" t="s">
        <v>323</v>
      </c>
      <c r="T2640">
        <v>7.6</v>
      </c>
      <c r="W2640" t="s">
        <v>330</v>
      </c>
      <c r="Y2640" s="42">
        <v>43991</v>
      </c>
    </row>
    <row r="2641" spans="14:25">
      <c r="N2641" s="42">
        <v>43971</v>
      </c>
      <c r="O2641" t="s">
        <v>328</v>
      </c>
      <c r="P2641" s="42">
        <v>43971</v>
      </c>
      <c r="Q2641" t="s">
        <v>328</v>
      </c>
      <c r="R2641" t="s">
        <v>320</v>
      </c>
      <c r="S2641" t="s">
        <v>323</v>
      </c>
      <c r="T2641">
        <v>7.6</v>
      </c>
      <c r="Y2641" s="42">
        <v>43977</v>
      </c>
    </row>
    <row r="2642" spans="14:25">
      <c r="N2642" s="42">
        <v>43970</v>
      </c>
      <c r="O2642" t="s">
        <v>333</v>
      </c>
      <c r="P2642" s="42">
        <v>43970</v>
      </c>
      <c r="Q2642" t="s">
        <v>333</v>
      </c>
      <c r="R2642" t="s">
        <v>320</v>
      </c>
      <c r="S2642" t="s">
        <v>323</v>
      </c>
      <c r="T2642">
        <v>7.6</v>
      </c>
      <c r="Y2642" s="42">
        <v>43977</v>
      </c>
    </row>
    <row r="2643" spans="14:25">
      <c r="N2643" s="42">
        <v>43969</v>
      </c>
      <c r="O2643" t="s">
        <v>345</v>
      </c>
      <c r="P2643" s="42">
        <v>43969</v>
      </c>
      <c r="Q2643" t="s">
        <v>345</v>
      </c>
      <c r="R2643" t="s">
        <v>320</v>
      </c>
      <c r="S2643" t="s">
        <v>323</v>
      </c>
      <c r="T2643">
        <v>7.6</v>
      </c>
      <c r="Y2643" s="42">
        <v>43977</v>
      </c>
    </row>
    <row r="2644" spans="14:25">
      <c r="N2644" s="42">
        <v>43949</v>
      </c>
      <c r="O2644" t="s">
        <v>333</v>
      </c>
      <c r="P2644" s="42">
        <v>43949</v>
      </c>
      <c r="Q2644" t="s">
        <v>333</v>
      </c>
      <c r="R2644" t="s">
        <v>329</v>
      </c>
      <c r="S2644" t="s">
        <v>323</v>
      </c>
      <c r="T2644">
        <v>7.6</v>
      </c>
      <c r="W2644" t="s">
        <v>330</v>
      </c>
      <c r="Y2644" s="42">
        <v>43949</v>
      </c>
    </row>
    <row r="2645" spans="14:25">
      <c r="N2645" s="42">
        <v>43916</v>
      </c>
      <c r="O2645" t="s">
        <v>324</v>
      </c>
      <c r="P2645" s="42">
        <v>43916</v>
      </c>
      <c r="Q2645" t="s">
        <v>324</v>
      </c>
      <c r="R2645" t="s">
        <v>329</v>
      </c>
      <c r="S2645" t="s">
        <v>323</v>
      </c>
      <c r="T2645">
        <v>7.6</v>
      </c>
      <c r="W2645" t="s">
        <v>330</v>
      </c>
      <c r="Y2645" s="42">
        <v>43921</v>
      </c>
    </row>
    <row r="2646" spans="14:25">
      <c r="N2646" s="42">
        <v>43893</v>
      </c>
      <c r="O2646" t="s">
        <v>333</v>
      </c>
      <c r="P2646" s="42">
        <v>43893</v>
      </c>
      <c r="Q2646" t="s">
        <v>333</v>
      </c>
      <c r="R2646" t="s">
        <v>329</v>
      </c>
      <c r="S2646" t="s">
        <v>323</v>
      </c>
      <c r="T2646">
        <v>7.6</v>
      </c>
      <c r="W2646" t="s">
        <v>330</v>
      </c>
      <c r="Y2646" s="42">
        <v>43893</v>
      </c>
    </row>
    <row r="2647" spans="14:25">
      <c r="N2647" s="42">
        <v>43865</v>
      </c>
      <c r="O2647" t="s">
        <v>333</v>
      </c>
      <c r="P2647" s="42">
        <v>43865</v>
      </c>
      <c r="Q2647" t="s">
        <v>333</v>
      </c>
      <c r="R2647" t="s">
        <v>329</v>
      </c>
      <c r="S2647" t="s">
        <v>323</v>
      </c>
      <c r="T2647">
        <v>3</v>
      </c>
      <c r="W2647" t="s">
        <v>330</v>
      </c>
      <c r="Y2647" s="42">
        <v>43865</v>
      </c>
    </row>
    <row r="2648" spans="14:25">
      <c r="N2648" s="42">
        <v>43837</v>
      </c>
      <c r="O2648" t="s">
        <v>333</v>
      </c>
      <c r="P2648" s="42">
        <v>43837</v>
      </c>
      <c r="Q2648" t="s">
        <v>333</v>
      </c>
      <c r="R2648" t="s">
        <v>329</v>
      </c>
      <c r="S2648" t="s">
        <v>323</v>
      </c>
      <c r="T2648">
        <v>3</v>
      </c>
      <c r="W2648" t="s">
        <v>330</v>
      </c>
      <c r="Y2648" s="42">
        <v>43837</v>
      </c>
    </row>
    <row r="2649" spans="14:25">
      <c r="N2649" s="42">
        <v>43831</v>
      </c>
      <c r="O2649" t="s">
        <v>328</v>
      </c>
      <c r="P2649" s="42">
        <v>43831</v>
      </c>
      <c r="Q2649" t="s">
        <v>328</v>
      </c>
      <c r="R2649" t="s">
        <v>320</v>
      </c>
      <c r="S2649" t="s">
        <v>323</v>
      </c>
      <c r="T2649">
        <v>0</v>
      </c>
      <c r="U2649">
        <v>7.6</v>
      </c>
      <c r="Y2649" s="42">
        <v>43837</v>
      </c>
    </row>
    <row r="2650" spans="14:25">
      <c r="N2650" s="42">
        <v>43826</v>
      </c>
      <c r="O2650" t="s">
        <v>346</v>
      </c>
      <c r="P2650" s="42">
        <v>43826</v>
      </c>
      <c r="Q2650" t="s">
        <v>346</v>
      </c>
      <c r="R2650" t="s">
        <v>320</v>
      </c>
      <c r="S2650" t="s">
        <v>323</v>
      </c>
      <c r="T2650">
        <v>7.6</v>
      </c>
      <c r="Y2650" s="42">
        <v>43837</v>
      </c>
    </row>
    <row r="2651" spans="14:25">
      <c r="N2651" s="42">
        <v>43824</v>
      </c>
      <c r="O2651" t="s">
        <v>328</v>
      </c>
      <c r="P2651" s="42">
        <v>43825</v>
      </c>
      <c r="Q2651" t="s">
        <v>324</v>
      </c>
      <c r="R2651" t="s">
        <v>320</v>
      </c>
      <c r="S2651" t="s">
        <v>323</v>
      </c>
      <c r="T2651">
        <v>0</v>
      </c>
      <c r="U2651">
        <v>15.2</v>
      </c>
      <c r="Y2651" s="42">
        <v>43837</v>
      </c>
    </row>
    <row r="2652" spans="14:25">
      <c r="N2652" s="42">
        <v>43805</v>
      </c>
      <c r="O2652" t="s">
        <v>346</v>
      </c>
      <c r="P2652" s="42">
        <v>43805</v>
      </c>
      <c r="Q2652" t="s">
        <v>346</v>
      </c>
      <c r="R2652" t="s">
        <v>329</v>
      </c>
      <c r="S2652" t="s">
        <v>323</v>
      </c>
      <c r="T2652">
        <v>7.6</v>
      </c>
      <c r="W2652" t="s">
        <v>330</v>
      </c>
      <c r="Y2652" s="42">
        <v>43809</v>
      </c>
    </row>
    <row r="2653" spans="14:25">
      <c r="N2653" s="42">
        <v>43752</v>
      </c>
      <c r="O2653" t="s">
        <v>345</v>
      </c>
      <c r="P2653" s="42">
        <v>43752</v>
      </c>
      <c r="Q2653" t="s">
        <v>345</v>
      </c>
      <c r="R2653" t="s">
        <v>329</v>
      </c>
      <c r="S2653" t="s">
        <v>323</v>
      </c>
      <c r="T2653">
        <v>3</v>
      </c>
      <c r="W2653" t="s">
        <v>330</v>
      </c>
      <c r="Y2653" s="42">
        <v>43753</v>
      </c>
    </row>
    <row r="2654" spans="14:25">
      <c r="N2654" s="42">
        <v>43742</v>
      </c>
      <c r="O2654" t="s">
        <v>346</v>
      </c>
      <c r="P2654" s="42">
        <v>43742</v>
      </c>
      <c r="Q2654" t="s">
        <v>346</v>
      </c>
      <c r="R2654" t="s">
        <v>320</v>
      </c>
      <c r="S2654" t="s">
        <v>323</v>
      </c>
      <c r="T2654">
        <v>7.6</v>
      </c>
      <c r="Y2654" s="42">
        <v>43753</v>
      </c>
    </row>
    <row r="2655" spans="14:25">
      <c r="N2655" s="42">
        <v>43741</v>
      </c>
      <c r="O2655" t="s">
        <v>324</v>
      </c>
      <c r="P2655" s="42">
        <v>43741</v>
      </c>
      <c r="Q2655" t="s">
        <v>324</v>
      </c>
      <c r="R2655" t="s">
        <v>320</v>
      </c>
      <c r="S2655" t="s">
        <v>323</v>
      </c>
      <c r="T2655">
        <v>7.6</v>
      </c>
      <c r="Y2655" s="42">
        <v>43753</v>
      </c>
    </row>
    <row r="2656" spans="14:25">
      <c r="N2656" s="42">
        <v>43740</v>
      </c>
      <c r="O2656" t="s">
        <v>328</v>
      </c>
      <c r="P2656" s="42">
        <v>43740</v>
      </c>
      <c r="Q2656" t="s">
        <v>328</v>
      </c>
      <c r="R2656" t="s">
        <v>320</v>
      </c>
      <c r="S2656" t="s">
        <v>323</v>
      </c>
      <c r="T2656">
        <v>7.6</v>
      </c>
      <c r="Y2656" s="42">
        <v>43753</v>
      </c>
    </row>
    <row r="2657" spans="1:25">
      <c r="N2657" s="42">
        <v>43739</v>
      </c>
      <c r="O2657" t="s">
        <v>333</v>
      </c>
      <c r="P2657" s="42">
        <v>43739</v>
      </c>
      <c r="Q2657" t="s">
        <v>333</v>
      </c>
      <c r="R2657" t="s">
        <v>320</v>
      </c>
      <c r="S2657" t="s">
        <v>323</v>
      </c>
      <c r="T2657">
        <v>7.6</v>
      </c>
      <c r="Y2657" s="42">
        <v>43739</v>
      </c>
    </row>
    <row r="2658" spans="1:25">
      <c r="N2658" s="42">
        <v>43738</v>
      </c>
      <c r="O2658" t="s">
        <v>345</v>
      </c>
      <c r="P2658" s="42">
        <v>43738</v>
      </c>
      <c r="Q2658" t="s">
        <v>345</v>
      </c>
      <c r="R2658" t="s">
        <v>320</v>
      </c>
      <c r="S2658" t="s">
        <v>323</v>
      </c>
      <c r="T2658">
        <v>7.6</v>
      </c>
      <c r="Y2658" s="42">
        <v>43739</v>
      </c>
    </row>
    <row r="2659" spans="1:25">
      <c r="N2659" s="42">
        <v>43733</v>
      </c>
      <c r="O2659" t="s">
        <v>328</v>
      </c>
      <c r="P2659" s="42">
        <v>43733</v>
      </c>
      <c r="Q2659" t="s">
        <v>328</v>
      </c>
      <c r="R2659" t="s">
        <v>329</v>
      </c>
      <c r="S2659" t="s">
        <v>323</v>
      </c>
      <c r="T2659">
        <v>7.6</v>
      </c>
      <c r="W2659" t="s">
        <v>330</v>
      </c>
      <c r="Y2659" s="42">
        <v>43739</v>
      </c>
    </row>
    <row r="2660" spans="1:25">
      <c r="N2660" s="42">
        <v>43721</v>
      </c>
      <c r="O2660" t="s">
        <v>346</v>
      </c>
      <c r="P2660" s="42">
        <v>43721</v>
      </c>
      <c r="Q2660" t="s">
        <v>346</v>
      </c>
      <c r="R2660" t="s">
        <v>320</v>
      </c>
      <c r="S2660" t="s">
        <v>323</v>
      </c>
      <c r="T2660">
        <v>2.75</v>
      </c>
      <c r="Y2660" s="42">
        <v>43725</v>
      </c>
    </row>
    <row r="2661" spans="1:25">
      <c r="N2661" s="42">
        <v>43713</v>
      </c>
      <c r="O2661" t="s">
        <v>324</v>
      </c>
      <c r="P2661" s="42">
        <v>43713</v>
      </c>
      <c r="Q2661" t="s">
        <v>324</v>
      </c>
      <c r="R2661" t="s">
        <v>329</v>
      </c>
      <c r="S2661" t="s">
        <v>323</v>
      </c>
      <c r="T2661">
        <v>5.5</v>
      </c>
      <c r="W2661" t="s">
        <v>330</v>
      </c>
      <c r="Y2661" s="42">
        <v>43725</v>
      </c>
    </row>
    <row r="2662" spans="1:25">
      <c r="N2662" s="42">
        <v>43682</v>
      </c>
      <c r="O2662" t="s">
        <v>345</v>
      </c>
      <c r="P2662" s="42">
        <v>43682</v>
      </c>
      <c r="Q2662" t="s">
        <v>345</v>
      </c>
      <c r="R2662" t="s">
        <v>329</v>
      </c>
      <c r="S2662" t="s">
        <v>323</v>
      </c>
      <c r="T2662">
        <v>3</v>
      </c>
      <c r="W2662" t="s">
        <v>330</v>
      </c>
      <c r="Y2662" s="42">
        <v>43683</v>
      </c>
    </row>
    <row r="2663" spans="1:25">
      <c r="A2663">
        <v>18589</v>
      </c>
      <c r="B2663" t="s">
        <v>386</v>
      </c>
      <c r="C2663" t="s">
        <v>320</v>
      </c>
      <c r="D2663" t="s">
        <v>336</v>
      </c>
      <c r="E2663" t="s">
        <v>337</v>
      </c>
      <c r="F2663">
        <v>1</v>
      </c>
      <c r="G2663" s="42">
        <v>45075</v>
      </c>
      <c r="H2663">
        <v>152</v>
      </c>
      <c r="I2663">
        <v>25.021699999999999</v>
      </c>
      <c r="J2663">
        <v>116.1863</v>
      </c>
      <c r="K2663">
        <v>141.208</v>
      </c>
      <c r="L2663" t="s">
        <v>323</v>
      </c>
      <c r="M2663" s="43">
        <v>0.38125000000000003</v>
      </c>
      <c r="N2663" s="42">
        <v>44952</v>
      </c>
      <c r="O2663" t="s">
        <v>324</v>
      </c>
      <c r="P2663" s="42">
        <v>44952</v>
      </c>
      <c r="Q2663" t="s">
        <v>324</v>
      </c>
      <c r="R2663" t="s">
        <v>320</v>
      </c>
      <c r="S2663" t="s">
        <v>323</v>
      </c>
      <c r="U2663">
        <v>7.6</v>
      </c>
    </row>
    <row r="2664" spans="1:25">
      <c r="C2664" t="s">
        <v>325</v>
      </c>
      <c r="D2664" t="s">
        <v>352</v>
      </c>
      <c r="E2664" t="s">
        <v>353</v>
      </c>
      <c r="F2664">
        <v>1</v>
      </c>
      <c r="G2664" s="42">
        <v>45075</v>
      </c>
      <c r="H2664">
        <v>312.78070000000002</v>
      </c>
      <c r="I2664">
        <v>0</v>
      </c>
      <c r="J2664">
        <v>305.02499999999998</v>
      </c>
      <c r="K2664">
        <v>305.02499999999998</v>
      </c>
      <c r="L2664" t="s">
        <v>323</v>
      </c>
      <c r="N2664" s="42">
        <v>44951</v>
      </c>
      <c r="O2664" t="s">
        <v>328</v>
      </c>
      <c r="P2664" s="42">
        <v>44951</v>
      </c>
      <c r="Q2664" t="s">
        <v>328</v>
      </c>
      <c r="R2664" t="s">
        <v>320</v>
      </c>
      <c r="S2664" t="s">
        <v>323</v>
      </c>
      <c r="T2664">
        <v>7.6</v>
      </c>
      <c r="Y2664" s="42">
        <v>44957</v>
      </c>
    </row>
    <row r="2665" spans="1:25">
      <c r="C2665" t="s">
        <v>329</v>
      </c>
      <c r="D2665" t="s">
        <v>342</v>
      </c>
      <c r="E2665" t="s">
        <v>343</v>
      </c>
      <c r="F2665">
        <v>1</v>
      </c>
      <c r="G2665" s="42">
        <v>45075</v>
      </c>
      <c r="H2665">
        <v>76</v>
      </c>
      <c r="I2665">
        <v>-38.503</v>
      </c>
      <c r="J2665">
        <v>58.093200000000003</v>
      </c>
      <c r="K2665">
        <v>19.590199999999999</v>
      </c>
      <c r="L2665" t="s">
        <v>323</v>
      </c>
      <c r="N2665" s="42">
        <v>44950</v>
      </c>
      <c r="O2665" t="s">
        <v>333</v>
      </c>
      <c r="P2665" s="42">
        <v>44950</v>
      </c>
      <c r="Q2665" t="s">
        <v>333</v>
      </c>
      <c r="R2665" t="s">
        <v>320</v>
      </c>
      <c r="S2665" t="s">
        <v>323</v>
      </c>
      <c r="T2665">
        <v>7.6</v>
      </c>
      <c r="Y2665" s="42">
        <v>44957</v>
      </c>
    </row>
    <row r="2666" spans="1:25">
      <c r="N2666" s="42">
        <v>44949</v>
      </c>
      <c r="O2666" t="s">
        <v>345</v>
      </c>
      <c r="P2666" s="42">
        <v>44949</v>
      </c>
      <c r="Q2666" t="s">
        <v>345</v>
      </c>
      <c r="R2666" t="s">
        <v>320</v>
      </c>
      <c r="S2666" t="s">
        <v>323</v>
      </c>
      <c r="T2666">
        <v>7.6</v>
      </c>
      <c r="Y2666" s="42">
        <v>44957</v>
      </c>
    </row>
    <row r="2667" spans="1:25">
      <c r="N2667" s="42">
        <v>44948</v>
      </c>
      <c r="O2667" t="s">
        <v>344</v>
      </c>
      <c r="P2667" s="42">
        <v>44948</v>
      </c>
      <c r="Q2667" t="s">
        <v>344</v>
      </c>
      <c r="R2667" t="s">
        <v>320</v>
      </c>
      <c r="S2667" t="s">
        <v>323</v>
      </c>
      <c r="T2667">
        <v>7.6</v>
      </c>
      <c r="Y2667" s="42">
        <v>44957</v>
      </c>
    </row>
    <row r="2668" spans="1:25">
      <c r="N2668" s="42">
        <v>44945</v>
      </c>
      <c r="O2668" t="s">
        <v>324</v>
      </c>
      <c r="P2668" s="42">
        <v>44945</v>
      </c>
      <c r="Q2668" t="s">
        <v>324</v>
      </c>
      <c r="R2668" t="s">
        <v>320</v>
      </c>
      <c r="S2668" t="s">
        <v>323</v>
      </c>
      <c r="T2668">
        <v>7.6</v>
      </c>
      <c r="Y2668" s="42">
        <v>44957</v>
      </c>
    </row>
    <row r="2669" spans="1:25">
      <c r="N2669" s="42">
        <v>44944</v>
      </c>
      <c r="O2669" t="s">
        <v>328</v>
      </c>
      <c r="P2669" s="42">
        <v>44944</v>
      </c>
      <c r="Q2669" t="s">
        <v>328</v>
      </c>
      <c r="R2669" t="s">
        <v>320</v>
      </c>
      <c r="S2669" t="s">
        <v>323</v>
      </c>
      <c r="T2669">
        <v>7.6</v>
      </c>
      <c r="Y2669" s="42">
        <v>44957</v>
      </c>
    </row>
    <row r="2670" spans="1:25">
      <c r="N2670" s="42">
        <v>44943</v>
      </c>
      <c r="O2670" t="s">
        <v>333</v>
      </c>
      <c r="P2670" s="42">
        <v>44943</v>
      </c>
      <c r="Q2670" t="s">
        <v>333</v>
      </c>
      <c r="R2670" t="s">
        <v>320</v>
      </c>
      <c r="S2670" t="s">
        <v>323</v>
      </c>
      <c r="T2670">
        <v>7.6</v>
      </c>
      <c r="Y2670" s="42">
        <v>44943</v>
      </c>
    </row>
    <row r="2671" spans="1:25">
      <c r="N2671" s="42">
        <v>44942</v>
      </c>
      <c r="O2671" t="s">
        <v>345</v>
      </c>
      <c r="P2671" s="42">
        <v>44942</v>
      </c>
      <c r="Q2671" t="s">
        <v>345</v>
      </c>
      <c r="R2671" t="s">
        <v>320</v>
      </c>
      <c r="S2671" t="s">
        <v>323</v>
      </c>
      <c r="T2671">
        <v>7.6</v>
      </c>
      <c r="Y2671" s="42">
        <v>44943</v>
      </c>
    </row>
    <row r="2672" spans="1:25">
      <c r="N2672" s="42">
        <v>44928</v>
      </c>
      <c r="O2672" t="s">
        <v>345</v>
      </c>
      <c r="P2672" s="42">
        <v>44928</v>
      </c>
      <c r="Q2672" t="s">
        <v>345</v>
      </c>
      <c r="R2672" t="s">
        <v>320</v>
      </c>
      <c r="S2672" t="s">
        <v>323</v>
      </c>
      <c r="U2672">
        <v>7.6</v>
      </c>
    </row>
    <row r="2673" spans="14:25">
      <c r="N2673" s="42">
        <v>44927</v>
      </c>
      <c r="O2673" t="s">
        <v>344</v>
      </c>
      <c r="P2673" s="42">
        <v>44927</v>
      </c>
      <c r="Q2673" t="s">
        <v>344</v>
      </c>
      <c r="R2673" t="s">
        <v>320</v>
      </c>
      <c r="S2673" t="s">
        <v>323</v>
      </c>
      <c r="U2673">
        <v>7.6</v>
      </c>
    </row>
    <row r="2674" spans="14:25">
      <c r="N2674" s="42">
        <v>44922</v>
      </c>
      <c r="O2674" t="s">
        <v>333</v>
      </c>
      <c r="P2674" s="42">
        <v>44922</v>
      </c>
      <c r="Q2674" t="s">
        <v>333</v>
      </c>
      <c r="R2674" t="s">
        <v>320</v>
      </c>
      <c r="S2674" t="s">
        <v>323</v>
      </c>
      <c r="U2674">
        <v>7.6</v>
      </c>
    </row>
    <row r="2675" spans="14:25">
      <c r="N2675" s="42">
        <v>44921</v>
      </c>
      <c r="O2675" t="s">
        <v>345</v>
      </c>
      <c r="P2675" s="42">
        <v>44921</v>
      </c>
      <c r="Q2675" t="s">
        <v>345</v>
      </c>
      <c r="R2675" t="s">
        <v>320</v>
      </c>
      <c r="S2675" t="s">
        <v>323</v>
      </c>
      <c r="U2675">
        <v>7.6</v>
      </c>
    </row>
    <row r="2676" spans="14:25">
      <c r="N2676" s="42">
        <v>44920</v>
      </c>
      <c r="O2676" t="s">
        <v>344</v>
      </c>
      <c r="P2676" s="42">
        <v>44920</v>
      </c>
      <c r="Q2676" t="s">
        <v>344</v>
      </c>
      <c r="R2676" t="s">
        <v>320</v>
      </c>
      <c r="S2676" t="s">
        <v>323</v>
      </c>
      <c r="U2676">
        <v>7.6</v>
      </c>
    </row>
    <row r="2677" spans="14:25">
      <c r="N2677" s="42">
        <v>44902</v>
      </c>
      <c r="O2677" t="s">
        <v>328</v>
      </c>
      <c r="P2677" s="42">
        <v>44902</v>
      </c>
      <c r="Q2677" t="s">
        <v>328</v>
      </c>
      <c r="R2677" t="s">
        <v>329</v>
      </c>
      <c r="S2677" t="s">
        <v>323</v>
      </c>
      <c r="T2677">
        <v>6.6</v>
      </c>
      <c r="W2677" t="s">
        <v>330</v>
      </c>
      <c r="Y2677" s="42">
        <v>44915</v>
      </c>
    </row>
    <row r="2678" spans="14:25">
      <c r="N2678" s="42">
        <v>44887</v>
      </c>
      <c r="O2678" t="s">
        <v>333</v>
      </c>
      <c r="P2678" s="42">
        <v>44887</v>
      </c>
      <c r="Q2678" t="s">
        <v>333</v>
      </c>
      <c r="R2678" t="s">
        <v>320</v>
      </c>
      <c r="S2678" t="s">
        <v>323</v>
      </c>
      <c r="T2678">
        <v>7.6</v>
      </c>
      <c r="Y2678" s="42">
        <v>44887</v>
      </c>
    </row>
    <row r="2679" spans="14:25">
      <c r="N2679" s="42">
        <v>44882</v>
      </c>
      <c r="O2679" t="s">
        <v>324</v>
      </c>
      <c r="P2679" s="42">
        <v>44882</v>
      </c>
      <c r="Q2679" t="s">
        <v>324</v>
      </c>
      <c r="R2679" t="s">
        <v>320</v>
      </c>
      <c r="S2679" t="s">
        <v>323</v>
      </c>
      <c r="T2679">
        <v>7.6</v>
      </c>
      <c r="Y2679" s="42">
        <v>44887</v>
      </c>
    </row>
    <row r="2680" spans="14:25">
      <c r="N2680" s="42">
        <v>44881</v>
      </c>
      <c r="O2680" t="s">
        <v>328</v>
      </c>
      <c r="P2680" s="42">
        <v>44881</v>
      </c>
      <c r="Q2680" t="s">
        <v>328</v>
      </c>
      <c r="R2680" t="s">
        <v>329</v>
      </c>
      <c r="S2680" t="s">
        <v>323</v>
      </c>
      <c r="T2680">
        <v>7.6</v>
      </c>
      <c r="W2680" t="s">
        <v>330</v>
      </c>
      <c r="Y2680" s="42">
        <v>44887</v>
      </c>
    </row>
    <row r="2681" spans="14:25">
      <c r="N2681" s="42">
        <v>44864</v>
      </c>
      <c r="O2681" t="s">
        <v>344</v>
      </c>
      <c r="P2681" s="42">
        <v>44864</v>
      </c>
      <c r="Q2681" t="s">
        <v>344</v>
      </c>
      <c r="R2681" t="s">
        <v>320</v>
      </c>
      <c r="S2681" t="s">
        <v>323</v>
      </c>
      <c r="T2681">
        <v>7.6</v>
      </c>
      <c r="Y2681" s="42">
        <v>44873</v>
      </c>
    </row>
    <row r="2682" spans="14:25">
      <c r="N2682" s="42">
        <v>44861</v>
      </c>
      <c r="O2682" t="s">
        <v>324</v>
      </c>
      <c r="P2682" s="42">
        <v>44861</v>
      </c>
      <c r="Q2682" t="s">
        <v>324</v>
      </c>
      <c r="R2682" t="s">
        <v>320</v>
      </c>
      <c r="S2682" t="s">
        <v>323</v>
      </c>
      <c r="T2682">
        <v>7.6</v>
      </c>
      <c r="Y2682" s="42">
        <v>44873</v>
      </c>
    </row>
    <row r="2683" spans="14:25">
      <c r="N2683" s="42">
        <v>44853</v>
      </c>
      <c r="O2683" t="s">
        <v>328</v>
      </c>
      <c r="P2683" s="42">
        <v>44853</v>
      </c>
      <c r="Q2683" t="s">
        <v>328</v>
      </c>
      <c r="R2683" t="s">
        <v>329</v>
      </c>
      <c r="S2683" t="s">
        <v>323</v>
      </c>
      <c r="T2683">
        <v>7.6</v>
      </c>
      <c r="W2683" t="s">
        <v>330</v>
      </c>
      <c r="Y2683" s="42">
        <v>44859</v>
      </c>
    </row>
    <row r="2684" spans="14:25">
      <c r="N2684" s="42">
        <v>44837</v>
      </c>
      <c r="O2684" t="s">
        <v>345</v>
      </c>
      <c r="P2684" s="42">
        <v>44837</v>
      </c>
      <c r="Q2684" t="s">
        <v>345</v>
      </c>
      <c r="R2684" t="s">
        <v>320</v>
      </c>
      <c r="S2684" t="s">
        <v>323</v>
      </c>
      <c r="U2684">
        <v>7.6</v>
      </c>
    </row>
    <row r="2685" spans="14:25">
      <c r="N2685" s="42">
        <v>44833</v>
      </c>
      <c r="O2685" t="s">
        <v>324</v>
      </c>
      <c r="P2685" s="42">
        <v>44833</v>
      </c>
      <c r="Q2685" t="s">
        <v>324</v>
      </c>
      <c r="R2685" t="s">
        <v>320</v>
      </c>
      <c r="S2685" t="s">
        <v>323</v>
      </c>
      <c r="T2685">
        <v>7.6</v>
      </c>
      <c r="Y2685" s="42">
        <v>44845</v>
      </c>
    </row>
    <row r="2686" spans="14:25">
      <c r="N2686" s="42">
        <v>44832</v>
      </c>
      <c r="O2686" t="s">
        <v>328</v>
      </c>
      <c r="P2686" s="42">
        <v>44832</v>
      </c>
      <c r="Q2686" t="s">
        <v>328</v>
      </c>
      <c r="R2686" t="s">
        <v>320</v>
      </c>
      <c r="S2686" t="s">
        <v>323</v>
      </c>
      <c r="T2686">
        <v>7.6</v>
      </c>
      <c r="Y2686" s="42">
        <v>44845</v>
      </c>
    </row>
    <row r="2687" spans="14:25">
      <c r="N2687" s="42">
        <v>44831</v>
      </c>
      <c r="O2687" t="s">
        <v>333</v>
      </c>
      <c r="P2687" s="42">
        <v>44831</v>
      </c>
      <c r="Q2687" t="s">
        <v>333</v>
      </c>
      <c r="R2687" t="s">
        <v>320</v>
      </c>
      <c r="S2687" t="s">
        <v>323</v>
      </c>
      <c r="T2687">
        <v>7.6</v>
      </c>
      <c r="Y2687" s="42">
        <v>44831</v>
      </c>
    </row>
    <row r="2688" spans="14:25">
      <c r="N2688" s="42">
        <v>44830</v>
      </c>
      <c r="O2688" t="s">
        <v>345</v>
      </c>
      <c r="P2688" s="42">
        <v>44830</v>
      </c>
      <c r="Q2688" t="s">
        <v>345</v>
      </c>
      <c r="R2688" t="s">
        <v>320</v>
      </c>
      <c r="S2688" t="s">
        <v>323</v>
      </c>
      <c r="T2688">
        <v>7.6</v>
      </c>
      <c r="Y2688" s="42">
        <v>44831</v>
      </c>
    </row>
    <row r="2689" spans="14:25">
      <c r="N2689" s="42">
        <v>44826</v>
      </c>
      <c r="O2689" t="s">
        <v>324</v>
      </c>
      <c r="P2689" s="42">
        <v>44826</v>
      </c>
      <c r="Q2689" t="s">
        <v>324</v>
      </c>
      <c r="R2689" t="s">
        <v>320</v>
      </c>
      <c r="S2689" t="s">
        <v>323</v>
      </c>
      <c r="U2689">
        <v>7.6</v>
      </c>
    </row>
    <row r="2690" spans="14:25">
      <c r="N2690" s="42">
        <v>44803</v>
      </c>
      <c r="O2690" t="s">
        <v>333</v>
      </c>
      <c r="P2690" s="42">
        <v>44803</v>
      </c>
      <c r="Q2690" t="s">
        <v>333</v>
      </c>
      <c r="R2690" t="s">
        <v>329</v>
      </c>
      <c r="S2690" t="s">
        <v>323</v>
      </c>
      <c r="T2690">
        <v>7.6</v>
      </c>
      <c r="W2690" t="s">
        <v>330</v>
      </c>
      <c r="Y2690" s="42">
        <v>44803</v>
      </c>
    </row>
    <row r="2691" spans="14:25">
      <c r="N2691" s="42">
        <v>44787</v>
      </c>
      <c r="O2691" t="s">
        <v>344</v>
      </c>
      <c r="P2691" s="42">
        <v>44787</v>
      </c>
      <c r="Q2691" t="s">
        <v>344</v>
      </c>
      <c r="R2691" t="s">
        <v>320</v>
      </c>
      <c r="S2691" t="s">
        <v>323</v>
      </c>
      <c r="T2691">
        <v>7.6</v>
      </c>
      <c r="Y2691" s="42">
        <v>44789</v>
      </c>
    </row>
    <row r="2692" spans="14:25">
      <c r="N2692" s="42">
        <v>44728</v>
      </c>
      <c r="O2692" t="s">
        <v>324</v>
      </c>
      <c r="P2692" s="42">
        <v>44728</v>
      </c>
      <c r="Q2692" t="s">
        <v>324</v>
      </c>
      <c r="R2692" t="s">
        <v>329</v>
      </c>
      <c r="S2692" t="s">
        <v>323</v>
      </c>
      <c r="T2692">
        <v>7.6</v>
      </c>
      <c r="W2692" t="s">
        <v>330</v>
      </c>
      <c r="Y2692" s="42">
        <v>44733</v>
      </c>
    </row>
    <row r="2693" spans="14:25">
      <c r="N2693" s="42">
        <v>44727</v>
      </c>
      <c r="O2693" t="s">
        <v>328</v>
      </c>
      <c r="P2693" s="42">
        <v>44727</v>
      </c>
      <c r="Q2693" t="s">
        <v>328</v>
      </c>
      <c r="R2693" t="s">
        <v>329</v>
      </c>
      <c r="S2693" t="s">
        <v>323</v>
      </c>
      <c r="T2693">
        <v>3</v>
      </c>
      <c r="W2693" t="s">
        <v>330</v>
      </c>
      <c r="Y2693" s="42">
        <v>44733</v>
      </c>
    </row>
    <row r="2694" spans="14:25">
      <c r="N2694" s="42">
        <v>44726</v>
      </c>
      <c r="O2694" t="s">
        <v>333</v>
      </c>
      <c r="P2694" s="42">
        <v>44726</v>
      </c>
      <c r="Q2694" t="s">
        <v>333</v>
      </c>
      <c r="R2694" t="s">
        <v>329</v>
      </c>
      <c r="S2694" t="s">
        <v>323</v>
      </c>
      <c r="T2694">
        <v>4</v>
      </c>
      <c r="W2694" t="s">
        <v>330</v>
      </c>
      <c r="Y2694" s="42">
        <v>44733</v>
      </c>
    </row>
    <row r="2695" spans="14:25">
      <c r="N2695" s="42">
        <v>44725</v>
      </c>
      <c r="O2695" t="s">
        <v>345</v>
      </c>
      <c r="P2695" s="42">
        <v>44725</v>
      </c>
      <c r="Q2695" t="s">
        <v>345</v>
      </c>
      <c r="R2695" t="s">
        <v>320</v>
      </c>
      <c r="S2695" t="s">
        <v>323</v>
      </c>
      <c r="U2695">
        <v>7.6</v>
      </c>
    </row>
    <row r="2696" spans="14:25">
      <c r="N2696" s="42">
        <v>44724</v>
      </c>
      <c r="O2696" t="s">
        <v>344</v>
      </c>
      <c r="P2696" s="42">
        <v>44724</v>
      </c>
      <c r="Q2696" t="s">
        <v>344</v>
      </c>
      <c r="R2696" t="s">
        <v>320</v>
      </c>
      <c r="S2696" t="s">
        <v>323</v>
      </c>
      <c r="T2696">
        <v>7.6</v>
      </c>
      <c r="Y2696" s="42">
        <v>44733</v>
      </c>
    </row>
    <row r="2697" spans="14:25">
      <c r="N2697" s="42">
        <v>44706</v>
      </c>
      <c r="O2697" t="s">
        <v>328</v>
      </c>
      <c r="P2697" s="42">
        <v>44706</v>
      </c>
      <c r="Q2697" t="s">
        <v>328</v>
      </c>
      <c r="R2697" t="s">
        <v>329</v>
      </c>
      <c r="S2697" t="s">
        <v>323</v>
      </c>
      <c r="T2697">
        <v>7.6</v>
      </c>
      <c r="W2697" t="s">
        <v>330</v>
      </c>
      <c r="Y2697" s="42">
        <v>44719</v>
      </c>
    </row>
    <row r="2698" spans="14:25">
      <c r="N2698" s="42">
        <v>44676</v>
      </c>
      <c r="O2698" t="s">
        <v>345</v>
      </c>
      <c r="P2698" s="42">
        <v>44676</v>
      </c>
      <c r="Q2698" t="s">
        <v>345</v>
      </c>
      <c r="R2698" t="s">
        <v>320</v>
      </c>
      <c r="S2698" t="s">
        <v>323</v>
      </c>
      <c r="U2698">
        <v>7.6</v>
      </c>
    </row>
    <row r="2699" spans="14:25">
      <c r="N2699" s="42">
        <v>44669</v>
      </c>
      <c r="O2699" t="s">
        <v>345</v>
      </c>
      <c r="P2699" s="42">
        <v>44669</v>
      </c>
      <c r="Q2699" t="s">
        <v>345</v>
      </c>
      <c r="R2699" t="s">
        <v>320</v>
      </c>
      <c r="S2699" t="s">
        <v>323</v>
      </c>
      <c r="U2699">
        <v>7.6</v>
      </c>
    </row>
    <row r="2700" spans="14:25">
      <c r="N2700" s="42">
        <v>44668</v>
      </c>
      <c r="O2700" t="s">
        <v>344</v>
      </c>
      <c r="P2700" s="42">
        <v>44668</v>
      </c>
      <c r="Q2700" t="s">
        <v>344</v>
      </c>
      <c r="R2700" t="s">
        <v>320</v>
      </c>
      <c r="S2700" t="s">
        <v>323</v>
      </c>
      <c r="U2700">
        <v>7.6</v>
      </c>
    </row>
    <row r="2701" spans="14:25">
      <c r="N2701" s="42">
        <v>44665</v>
      </c>
      <c r="O2701" t="s">
        <v>324</v>
      </c>
      <c r="P2701" s="42">
        <v>44665</v>
      </c>
      <c r="Q2701" t="s">
        <v>324</v>
      </c>
      <c r="R2701" t="s">
        <v>320</v>
      </c>
      <c r="S2701" t="s">
        <v>323</v>
      </c>
      <c r="T2701">
        <v>7.6</v>
      </c>
      <c r="Y2701" s="42">
        <v>44677</v>
      </c>
    </row>
    <row r="2702" spans="14:25">
      <c r="N2702" s="42">
        <v>44664</v>
      </c>
      <c r="O2702" t="s">
        <v>328</v>
      </c>
      <c r="P2702" s="42">
        <v>44664</v>
      </c>
      <c r="Q2702" t="s">
        <v>328</v>
      </c>
      <c r="R2702" t="s">
        <v>320</v>
      </c>
      <c r="S2702" t="s">
        <v>323</v>
      </c>
      <c r="T2702">
        <v>7.6</v>
      </c>
      <c r="Y2702" s="42">
        <v>44677</v>
      </c>
    </row>
    <row r="2703" spans="14:25">
      <c r="N2703" s="42">
        <v>44647</v>
      </c>
      <c r="O2703" t="s">
        <v>344</v>
      </c>
      <c r="P2703" s="42">
        <v>44647</v>
      </c>
      <c r="Q2703" t="s">
        <v>344</v>
      </c>
      <c r="R2703" t="s">
        <v>320</v>
      </c>
      <c r="S2703" t="s">
        <v>323</v>
      </c>
      <c r="T2703">
        <v>7.6</v>
      </c>
      <c r="Y2703" s="42">
        <v>44649</v>
      </c>
    </row>
    <row r="2704" spans="14:25">
      <c r="N2704" s="42">
        <v>44644</v>
      </c>
      <c r="O2704" t="s">
        <v>324</v>
      </c>
      <c r="P2704" s="42">
        <v>44644</v>
      </c>
      <c r="Q2704" t="s">
        <v>324</v>
      </c>
      <c r="R2704" t="s">
        <v>320</v>
      </c>
      <c r="S2704" t="s">
        <v>323</v>
      </c>
      <c r="T2704">
        <v>7.6</v>
      </c>
      <c r="Y2704" s="42">
        <v>44649</v>
      </c>
    </row>
    <row r="2705" spans="14:25">
      <c r="N2705" s="42">
        <v>44643</v>
      </c>
      <c r="O2705" t="s">
        <v>328</v>
      </c>
      <c r="P2705" s="42">
        <v>44643</v>
      </c>
      <c r="Q2705" t="s">
        <v>328</v>
      </c>
      <c r="R2705" t="s">
        <v>329</v>
      </c>
      <c r="S2705" t="s">
        <v>323</v>
      </c>
      <c r="T2705">
        <v>7.6</v>
      </c>
      <c r="W2705" t="s">
        <v>330</v>
      </c>
      <c r="Y2705" s="42">
        <v>44649</v>
      </c>
    </row>
    <row r="2706" spans="14:25">
      <c r="N2706" s="42">
        <v>44635</v>
      </c>
      <c r="O2706" t="s">
        <v>333</v>
      </c>
      <c r="P2706" s="42">
        <v>44635</v>
      </c>
      <c r="Q2706" t="s">
        <v>333</v>
      </c>
      <c r="R2706" t="s">
        <v>329</v>
      </c>
      <c r="S2706" t="s">
        <v>323</v>
      </c>
      <c r="T2706">
        <v>7.6</v>
      </c>
      <c r="W2706" t="s">
        <v>330</v>
      </c>
      <c r="Y2706" s="42">
        <v>44635</v>
      </c>
    </row>
    <row r="2707" spans="14:25">
      <c r="N2707" s="42">
        <v>44623</v>
      </c>
      <c r="O2707" t="s">
        <v>324</v>
      </c>
      <c r="P2707" s="42">
        <v>44623</v>
      </c>
      <c r="Q2707" t="s">
        <v>324</v>
      </c>
      <c r="R2707" t="s">
        <v>329</v>
      </c>
      <c r="S2707" t="s">
        <v>323</v>
      </c>
      <c r="T2707">
        <v>3</v>
      </c>
      <c r="W2707" t="s">
        <v>330</v>
      </c>
      <c r="Y2707" s="42">
        <v>44635</v>
      </c>
    </row>
    <row r="2708" spans="14:25">
      <c r="N2708" s="42">
        <v>44607</v>
      </c>
      <c r="O2708" t="s">
        <v>333</v>
      </c>
      <c r="P2708" s="42">
        <v>44607</v>
      </c>
      <c r="Q2708" t="s">
        <v>333</v>
      </c>
      <c r="R2708" t="s">
        <v>329</v>
      </c>
      <c r="S2708" t="s">
        <v>323</v>
      </c>
      <c r="T2708">
        <v>7.6</v>
      </c>
      <c r="W2708" t="s">
        <v>330</v>
      </c>
      <c r="Y2708" s="42">
        <v>44607</v>
      </c>
    </row>
    <row r="2709" spans="14:25">
      <c r="N2709" s="42">
        <v>44587</v>
      </c>
      <c r="O2709" t="s">
        <v>328</v>
      </c>
      <c r="P2709" s="42">
        <v>44587</v>
      </c>
      <c r="Q2709" t="s">
        <v>328</v>
      </c>
      <c r="R2709" t="s">
        <v>320</v>
      </c>
      <c r="S2709" t="s">
        <v>323</v>
      </c>
      <c r="U2709">
        <v>7.6</v>
      </c>
    </row>
    <row r="2710" spans="14:25">
      <c r="N2710" s="42">
        <v>44574</v>
      </c>
      <c r="O2710" t="s">
        <v>324</v>
      </c>
      <c r="P2710" s="42">
        <v>44574</v>
      </c>
      <c r="Q2710" t="s">
        <v>324</v>
      </c>
      <c r="R2710" t="s">
        <v>320</v>
      </c>
      <c r="S2710" t="s">
        <v>323</v>
      </c>
      <c r="T2710">
        <v>7.6</v>
      </c>
      <c r="Y2710" s="42">
        <v>44579</v>
      </c>
    </row>
    <row r="2711" spans="14:25">
      <c r="N2711" s="42">
        <v>44573</v>
      </c>
      <c r="O2711" t="s">
        <v>328</v>
      </c>
      <c r="P2711" s="42">
        <v>44573</v>
      </c>
      <c r="Q2711" t="s">
        <v>328</v>
      </c>
      <c r="R2711" t="s">
        <v>320</v>
      </c>
      <c r="S2711" t="s">
        <v>323</v>
      </c>
      <c r="T2711">
        <v>7.6</v>
      </c>
      <c r="Y2711" s="42">
        <v>44579</v>
      </c>
    </row>
    <row r="2712" spans="14:25">
      <c r="N2712" s="42">
        <v>44572</v>
      </c>
      <c r="O2712" t="s">
        <v>333</v>
      </c>
      <c r="P2712" s="42">
        <v>44572</v>
      </c>
      <c r="Q2712" t="s">
        <v>333</v>
      </c>
      <c r="R2712" t="s">
        <v>320</v>
      </c>
      <c r="S2712" t="s">
        <v>323</v>
      </c>
      <c r="T2712">
        <v>7.6</v>
      </c>
      <c r="Y2712" s="42">
        <v>44579</v>
      </c>
    </row>
    <row r="2713" spans="14:25">
      <c r="N2713" s="42">
        <v>44571</v>
      </c>
      <c r="O2713" t="s">
        <v>345</v>
      </c>
      <c r="P2713" s="42">
        <v>44571</v>
      </c>
      <c r="Q2713" t="s">
        <v>345</v>
      </c>
      <c r="R2713" t="s">
        <v>320</v>
      </c>
      <c r="S2713" t="s">
        <v>323</v>
      </c>
      <c r="T2713">
        <v>7.6</v>
      </c>
      <c r="Y2713" s="42">
        <v>44579</v>
      </c>
    </row>
    <row r="2714" spans="14:25">
      <c r="N2714" s="42">
        <v>44570</v>
      </c>
      <c r="O2714" t="s">
        <v>344</v>
      </c>
      <c r="P2714" s="42">
        <v>44570</v>
      </c>
      <c r="Q2714" t="s">
        <v>344</v>
      </c>
      <c r="R2714" t="s">
        <v>329</v>
      </c>
      <c r="S2714" t="s">
        <v>323</v>
      </c>
      <c r="T2714">
        <v>7.6</v>
      </c>
      <c r="W2714" t="s">
        <v>330</v>
      </c>
      <c r="Y2714" s="42">
        <v>44579</v>
      </c>
    </row>
    <row r="2715" spans="14:25">
      <c r="N2715" s="42">
        <v>44567</v>
      </c>
      <c r="O2715" t="s">
        <v>324</v>
      </c>
      <c r="P2715" s="42">
        <v>44567</v>
      </c>
      <c r="Q2715" t="s">
        <v>324</v>
      </c>
      <c r="R2715" t="s">
        <v>329</v>
      </c>
      <c r="S2715" t="s">
        <v>323</v>
      </c>
      <c r="T2715">
        <v>7.6</v>
      </c>
      <c r="W2715" t="s">
        <v>330</v>
      </c>
      <c r="Y2715" s="42">
        <v>44579</v>
      </c>
    </row>
    <row r="2716" spans="14:25">
      <c r="N2716" s="42">
        <v>44566</v>
      </c>
      <c r="O2716" t="s">
        <v>328</v>
      </c>
      <c r="P2716" s="42">
        <v>44566</v>
      </c>
      <c r="Q2716" t="s">
        <v>328</v>
      </c>
      <c r="R2716" t="s">
        <v>329</v>
      </c>
      <c r="S2716" t="s">
        <v>323</v>
      </c>
      <c r="T2716">
        <v>7.6</v>
      </c>
      <c r="W2716" t="s">
        <v>330</v>
      </c>
      <c r="Y2716" s="42">
        <v>44579</v>
      </c>
    </row>
    <row r="2717" spans="14:25">
      <c r="N2717" s="42">
        <v>44564</v>
      </c>
      <c r="O2717" t="s">
        <v>345</v>
      </c>
      <c r="P2717" s="42">
        <v>44564</v>
      </c>
      <c r="Q2717" t="s">
        <v>345</v>
      </c>
      <c r="R2717" t="s">
        <v>320</v>
      </c>
      <c r="S2717" t="s">
        <v>323</v>
      </c>
      <c r="U2717">
        <v>7.6</v>
      </c>
    </row>
    <row r="2718" spans="14:25">
      <c r="N2718" s="42">
        <v>44560</v>
      </c>
      <c r="O2718" t="s">
        <v>324</v>
      </c>
      <c r="P2718" s="42">
        <v>44560</v>
      </c>
      <c r="Q2718" t="s">
        <v>324</v>
      </c>
      <c r="R2718" t="s">
        <v>320</v>
      </c>
      <c r="S2718" t="s">
        <v>323</v>
      </c>
      <c r="T2718">
        <v>7.6</v>
      </c>
      <c r="Y2718" s="42">
        <v>44565</v>
      </c>
    </row>
    <row r="2719" spans="14:25">
      <c r="N2719" s="42">
        <v>44559</v>
      </c>
      <c r="O2719" t="s">
        <v>328</v>
      </c>
      <c r="P2719" s="42">
        <v>44559</v>
      </c>
      <c r="Q2719" t="s">
        <v>328</v>
      </c>
      <c r="R2719" t="s">
        <v>320</v>
      </c>
      <c r="S2719" t="s">
        <v>323</v>
      </c>
      <c r="T2719">
        <v>7.6</v>
      </c>
      <c r="Y2719" s="42">
        <v>44565</v>
      </c>
    </row>
    <row r="2720" spans="14:25">
      <c r="N2720" s="42">
        <v>44558</v>
      </c>
      <c r="O2720" t="s">
        <v>333</v>
      </c>
      <c r="P2720" s="42">
        <v>44558</v>
      </c>
      <c r="Q2720" t="s">
        <v>333</v>
      </c>
      <c r="R2720" t="s">
        <v>320</v>
      </c>
      <c r="S2720" t="s">
        <v>323</v>
      </c>
      <c r="U2720">
        <v>7.6</v>
      </c>
    </row>
    <row r="2721" spans="14:25">
      <c r="N2721" s="42">
        <v>44557</v>
      </c>
      <c r="O2721" t="s">
        <v>345</v>
      </c>
      <c r="P2721" s="42">
        <v>44557</v>
      </c>
      <c r="Q2721" t="s">
        <v>345</v>
      </c>
      <c r="R2721" t="s">
        <v>320</v>
      </c>
      <c r="S2721" t="s">
        <v>323</v>
      </c>
      <c r="U2721">
        <v>7.6</v>
      </c>
    </row>
    <row r="2722" spans="14:25">
      <c r="N2722" s="42">
        <v>44556</v>
      </c>
      <c r="O2722" t="s">
        <v>344</v>
      </c>
      <c r="P2722" s="42">
        <v>44556</v>
      </c>
      <c r="Q2722" t="s">
        <v>344</v>
      </c>
      <c r="R2722" t="s">
        <v>320</v>
      </c>
      <c r="S2722" t="s">
        <v>323</v>
      </c>
      <c r="U2722">
        <v>7.6</v>
      </c>
    </row>
    <row r="2723" spans="14:25">
      <c r="N2723" s="42">
        <v>44553</v>
      </c>
      <c r="O2723" t="s">
        <v>324</v>
      </c>
      <c r="P2723" s="42">
        <v>44553</v>
      </c>
      <c r="Q2723" t="s">
        <v>324</v>
      </c>
      <c r="R2723" t="s">
        <v>320</v>
      </c>
      <c r="S2723" t="s">
        <v>323</v>
      </c>
      <c r="T2723">
        <v>7.6</v>
      </c>
      <c r="Y2723" s="42">
        <v>44565</v>
      </c>
    </row>
    <row r="2724" spans="14:25">
      <c r="N2724" s="42">
        <v>44552</v>
      </c>
      <c r="O2724" t="s">
        <v>328</v>
      </c>
      <c r="P2724" s="42">
        <v>44552</v>
      </c>
      <c r="Q2724" t="s">
        <v>328</v>
      </c>
      <c r="R2724" t="s">
        <v>320</v>
      </c>
      <c r="S2724" t="s">
        <v>323</v>
      </c>
      <c r="T2724">
        <v>7.6</v>
      </c>
      <c r="Y2724" s="42">
        <v>44565</v>
      </c>
    </row>
    <row r="2725" spans="14:25">
      <c r="N2725" s="42">
        <v>44551</v>
      </c>
      <c r="O2725" t="s">
        <v>333</v>
      </c>
      <c r="P2725" s="42">
        <v>44551</v>
      </c>
      <c r="Q2725" t="s">
        <v>333</v>
      </c>
      <c r="R2725" t="s">
        <v>320</v>
      </c>
      <c r="S2725" t="s">
        <v>323</v>
      </c>
      <c r="T2725">
        <v>7.6</v>
      </c>
      <c r="Y2725" s="42">
        <v>44551</v>
      </c>
    </row>
    <row r="2726" spans="14:25">
      <c r="N2726" s="42">
        <v>44550</v>
      </c>
      <c r="O2726" t="s">
        <v>345</v>
      </c>
      <c r="P2726" s="42">
        <v>44550</v>
      </c>
      <c r="Q2726" t="s">
        <v>345</v>
      </c>
      <c r="R2726" t="s">
        <v>320</v>
      </c>
      <c r="S2726" t="s">
        <v>323</v>
      </c>
      <c r="T2726">
        <v>7.6</v>
      </c>
      <c r="Y2726" s="42">
        <v>44551</v>
      </c>
    </row>
    <row r="2727" spans="14:25">
      <c r="N2727" s="42">
        <v>44539</v>
      </c>
      <c r="O2727" t="s">
        <v>324</v>
      </c>
      <c r="P2727" s="42">
        <v>44539</v>
      </c>
      <c r="Q2727" t="s">
        <v>324</v>
      </c>
      <c r="R2727" t="s">
        <v>329</v>
      </c>
      <c r="S2727" t="s">
        <v>323</v>
      </c>
      <c r="T2727">
        <v>7.6</v>
      </c>
      <c r="W2727" t="s">
        <v>330</v>
      </c>
      <c r="Y2727" s="42">
        <v>44551</v>
      </c>
    </row>
    <row r="2728" spans="14:25">
      <c r="N2728" s="42">
        <v>44510</v>
      </c>
      <c r="O2728" t="s">
        <v>328</v>
      </c>
      <c r="P2728" s="42">
        <v>44510</v>
      </c>
      <c r="Q2728" t="s">
        <v>328</v>
      </c>
      <c r="R2728" t="s">
        <v>329</v>
      </c>
      <c r="S2728" t="s">
        <v>323</v>
      </c>
      <c r="T2728">
        <v>7.6</v>
      </c>
      <c r="W2728" t="s">
        <v>330</v>
      </c>
      <c r="Y2728" s="42">
        <v>44523</v>
      </c>
    </row>
    <row r="2729" spans="14:25">
      <c r="N2729" s="42">
        <v>44509</v>
      </c>
      <c r="O2729" t="s">
        <v>333</v>
      </c>
      <c r="P2729" s="42">
        <v>44509</v>
      </c>
      <c r="Q2729" t="s">
        <v>333</v>
      </c>
      <c r="R2729" t="s">
        <v>329</v>
      </c>
      <c r="S2729" t="s">
        <v>323</v>
      </c>
      <c r="T2729">
        <v>7.6</v>
      </c>
      <c r="W2729" t="s">
        <v>330</v>
      </c>
      <c r="Y2729" s="42">
        <v>44509</v>
      </c>
    </row>
    <row r="2730" spans="14:25">
      <c r="N2730" s="42">
        <v>44508</v>
      </c>
      <c r="O2730" t="s">
        <v>345</v>
      </c>
      <c r="P2730" s="42">
        <v>44508</v>
      </c>
      <c r="Q2730" t="s">
        <v>345</v>
      </c>
      <c r="R2730" t="s">
        <v>320</v>
      </c>
      <c r="S2730" t="s">
        <v>323</v>
      </c>
      <c r="T2730">
        <v>7.6</v>
      </c>
      <c r="Y2730" s="42">
        <v>44509</v>
      </c>
    </row>
    <row r="2731" spans="14:25">
      <c r="N2731" s="42">
        <v>44474</v>
      </c>
      <c r="O2731" t="s">
        <v>333</v>
      </c>
      <c r="P2731" s="42">
        <v>44474</v>
      </c>
      <c r="Q2731" t="s">
        <v>333</v>
      </c>
      <c r="R2731" t="s">
        <v>320</v>
      </c>
      <c r="S2731" t="s">
        <v>323</v>
      </c>
      <c r="T2731">
        <v>7.6</v>
      </c>
      <c r="Y2731" s="42">
        <v>44481</v>
      </c>
    </row>
    <row r="2732" spans="14:25">
      <c r="N2732" s="42">
        <v>44473</v>
      </c>
      <c r="O2732" t="s">
        <v>345</v>
      </c>
      <c r="P2732" s="42">
        <v>44473</v>
      </c>
      <c r="Q2732" t="s">
        <v>345</v>
      </c>
      <c r="R2732" t="s">
        <v>320</v>
      </c>
      <c r="S2732" t="s">
        <v>323</v>
      </c>
      <c r="U2732">
        <v>7.6</v>
      </c>
    </row>
    <row r="2733" spans="14:25">
      <c r="N2733" s="42">
        <v>44426</v>
      </c>
      <c r="O2733" t="s">
        <v>328</v>
      </c>
      <c r="P2733" s="42">
        <v>44426</v>
      </c>
      <c r="Q2733" t="s">
        <v>328</v>
      </c>
      <c r="R2733" t="s">
        <v>329</v>
      </c>
      <c r="S2733" t="s">
        <v>323</v>
      </c>
      <c r="T2733">
        <v>7.6</v>
      </c>
      <c r="W2733" t="s">
        <v>330</v>
      </c>
      <c r="Y2733" s="42">
        <v>44439</v>
      </c>
    </row>
    <row r="2734" spans="14:25">
      <c r="N2734" s="42">
        <v>44425</v>
      </c>
      <c r="O2734" t="s">
        <v>333</v>
      </c>
      <c r="P2734" s="42">
        <v>44425</v>
      </c>
      <c r="Q2734" t="s">
        <v>333</v>
      </c>
      <c r="R2734" t="s">
        <v>329</v>
      </c>
      <c r="S2734" t="s">
        <v>323</v>
      </c>
      <c r="T2734">
        <v>7.6</v>
      </c>
      <c r="W2734" t="s">
        <v>330</v>
      </c>
      <c r="Y2734" s="42">
        <v>44425</v>
      </c>
    </row>
    <row r="2735" spans="14:25">
      <c r="N2735" s="42">
        <v>44409</v>
      </c>
      <c r="O2735" t="s">
        <v>344</v>
      </c>
      <c r="P2735" s="42">
        <v>44409</v>
      </c>
      <c r="Q2735" t="s">
        <v>344</v>
      </c>
      <c r="R2735" t="s">
        <v>329</v>
      </c>
      <c r="S2735" t="s">
        <v>323</v>
      </c>
      <c r="T2735">
        <v>7.6</v>
      </c>
      <c r="W2735" t="s">
        <v>330</v>
      </c>
      <c r="Y2735" s="42">
        <v>44411</v>
      </c>
    </row>
    <row r="2736" spans="14:25">
      <c r="N2736" s="42">
        <v>44406</v>
      </c>
      <c r="O2736" t="s">
        <v>324</v>
      </c>
      <c r="P2736" s="42">
        <v>44406</v>
      </c>
      <c r="Q2736" t="s">
        <v>324</v>
      </c>
      <c r="R2736" t="s">
        <v>320</v>
      </c>
      <c r="S2736" t="s">
        <v>323</v>
      </c>
      <c r="T2736">
        <v>7.6</v>
      </c>
      <c r="Y2736" s="42">
        <v>44411</v>
      </c>
    </row>
    <row r="2737" spans="14:25">
      <c r="N2737" s="42">
        <v>44405</v>
      </c>
      <c r="O2737" t="s">
        <v>328</v>
      </c>
      <c r="P2737" s="42">
        <v>44405</v>
      </c>
      <c r="Q2737" t="s">
        <v>328</v>
      </c>
      <c r="R2737" t="s">
        <v>320</v>
      </c>
      <c r="S2737" t="s">
        <v>323</v>
      </c>
      <c r="T2737">
        <v>7.6</v>
      </c>
      <c r="Y2737" s="42">
        <v>44411</v>
      </c>
    </row>
    <row r="2738" spans="14:25">
      <c r="N2738" s="42">
        <v>44385</v>
      </c>
      <c r="O2738" t="s">
        <v>324</v>
      </c>
      <c r="P2738" s="42">
        <v>44385</v>
      </c>
      <c r="Q2738" t="s">
        <v>324</v>
      </c>
      <c r="R2738" t="s">
        <v>320</v>
      </c>
      <c r="S2738" t="s">
        <v>323</v>
      </c>
      <c r="T2738">
        <v>7.6</v>
      </c>
      <c r="Y2738" s="42">
        <v>44397</v>
      </c>
    </row>
    <row r="2739" spans="14:25">
      <c r="N2739" s="42">
        <v>44378</v>
      </c>
      <c r="O2739" t="s">
        <v>324</v>
      </c>
      <c r="P2739" s="42">
        <v>44378</v>
      </c>
      <c r="Q2739" t="s">
        <v>324</v>
      </c>
      <c r="R2739" t="s">
        <v>320</v>
      </c>
      <c r="S2739" t="s">
        <v>323</v>
      </c>
      <c r="T2739">
        <v>7.6</v>
      </c>
      <c r="Y2739" s="42">
        <v>44383</v>
      </c>
    </row>
    <row r="2740" spans="14:25">
      <c r="N2740" s="42">
        <v>44377</v>
      </c>
      <c r="O2740" t="s">
        <v>328</v>
      </c>
      <c r="P2740" s="42">
        <v>44377</v>
      </c>
      <c r="Q2740" t="s">
        <v>328</v>
      </c>
      <c r="R2740" t="s">
        <v>320</v>
      </c>
      <c r="S2740" t="s">
        <v>323</v>
      </c>
      <c r="T2740">
        <v>7.6</v>
      </c>
      <c r="Y2740" s="42">
        <v>44383</v>
      </c>
    </row>
    <row r="2741" spans="14:25">
      <c r="N2741" s="42">
        <v>44376</v>
      </c>
      <c r="O2741" t="s">
        <v>333</v>
      </c>
      <c r="P2741" s="42">
        <v>44376</v>
      </c>
      <c r="Q2741" t="s">
        <v>333</v>
      </c>
      <c r="R2741" t="s">
        <v>320</v>
      </c>
      <c r="S2741" t="s">
        <v>323</v>
      </c>
      <c r="T2741">
        <v>7.6</v>
      </c>
      <c r="Y2741" s="42">
        <v>44383</v>
      </c>
    </row>
    <row r="2742" spans="14:25">
      <c r="N2742" s="42">
        <v>44371</v>
      </c>
      <c r="O2742" t="s">
        <v>324</v>
      </c>
      <c r="P2742" s="42">
        <v>44371</v>
      </c>
      <c r="Q2742" t="s">
        <v>324</v>
      </c>
      <c r="R2742" t="s">
        <v>329</v>
      </c>
      <c r="S2742" t="s">
        <v>323</v>
      </c>
      <c r="T2742">
        <v>7.6</v>
      </c>
      <c r="W2742" t="s">
        <v>330</v>
      </c>
      <c r="Y2742" s="42">
        <v>44383</v>
      </c>
    </row>
    <row r="2743" spans="14:25">
      <c r="N2743" s="42">
        <v>44370</v>
      </c>
      <c r="O2743" t="s">
        <v>328</v>
      </c>
      <c r="P2743" s="42">
        <v>44370</v>
      </c>
      <c r="Q2743" t="s">
        <v>328</v>
      </c>
      <c r="R2743" t="s">
        <v>329</v>
      </c>
      <c r="S2743" t="s">
        <v>323</v>
      </c>
      <c r="T2743">
        <v>7.6</v>
      </c>
      <c r="W2743" t="s">
        <v>330</v>
      </c>
      <c r="Y2743" s="42">
        <v>44383</v>
      </c>
    </row>
    <row r="2744" spans="14:25">
      <c r="N2744" s="42">
        <v>44362</v>
      </c>
      <c r="O2744" t="s">
        <v>333</v>
      </c>
      <c r="P2744" s="42">
        <v>44362</v>
      </c>
      <c r="Q2744" t="s">
        <v>333</v>
      </c>
      <c r="R2744" t="s">
        <v>320</v>
      </c>
      <c r="S2744" t="s">
        <v>323</v>
      </c>
      <c r="T2744">
        <v>2.2332999999999998</v>
      </c>
      <c r="Y2744" s="42">
        <v>44369</v>
      </c>
    </row>
    <row r="2745" spans="14:25">
      <c r="N2745" s="42">
        <v>44361</v>
      </c>
      <c r="O2745" t="s">
        <v>345</v>
      </c>
      <c r="P2745" s="42">
        <v>44361</v>
      </c>
      <c r="Q2745" t="s">
        <v>345</v>
      </c>
      <c r="R2745" t="s">
        <v>320</v>
      </c>
      <c r="S2745" t="s">
        <v>323</v>
      </c>
      <c r="U2745">
        <v>7.6</v>
      </c>
    </row>
    <row r="2746" spans="14:25">
      <c r="N2746" s="42">
        <v>44326</v>
      </c>
      <c r="O2746" t="s">
        <v>345</v>
      </c>
      <c r="P2746" s="42">
        <v>44326</v>
      </c>
      <c r="Q2746" t="s">
        <v>345</v>
      </c>
      <c r="R2746" t="s">
        <v>329</v>
      </c>
      <c r="S2746" t="s">
        <v>323</v>
      </c>
      <c r="T2746">
        <v>7.6</v>
      </c>
      <c r="W2746" t="s">
        <v>330</v>
      </c>
      <c r="Y2746" s="42">
        <v>44327</v>
      </c>
    </row>
    <row r="2747" spans="14:25">
      <c r="N2747" s="42">
        <v>44311</v>
      </c>
      <c r="O2747" t="s">
        <v>344</v>
      </c>
      <c r="P2747" s="42">
        <v>44311</v>
      </c>
      <c r="Q2747" t="s">
        <v>344</v>
      </c>
      <c r="R2747" t="s">
        <v>320</v>
      </c>
      <c r="S2747" t="s">
        <v>323</v>
      </c>
      <c r="U2747">
        <v>7.6</v>
      </c>
    </row>
    <row r="2748" spans="14:25">
      <c r="N2748" s="42">
        <v>44294</v>
      </c>
      <c r="O2748" t="s">
        <v>324</v>
      </c>
      <c r="P2748" s="42">
        <v>44294</v>
      </c>
      <c r="Q2748" t="s">
        <v>324</v>
      </c>
      <c r="R2748" t="s">
        <v>320</v>
      </c>
      <c r="S2748" t="s">
        <v>323</v>
      </c>
      <c r="T2748">
        <v>7.6</v>
      </c>
      <c r="Y2748" s="42">
        <v>44299</v>
      </c>
    </row>
    <row r="2749" spans="14:25">
      <c r="N2749" s="42">
        <v>44293</v>
      </c>
      <c r="O2749" t="s">
        <v>328</v>
      </c>
      <c r="P2749" s="42">
        <v>44293</v>
      </c>
      <c r="Q2749" t="s">
        <v>328</v>
      </c>
      <c r="R2749" t="s">
        <v>320</v>
      </c>
      <c r="S2749" t="s">
        <v>323</v>
      </c>
      <c r="T2749">
        <v>7.6</v>
      </c>
      <c r="Y2749" s="42">
        <v>44299</v>
      </c>
    </row>
    <row r="2750" spans="14:25">
      <c r="N2750" s="42">
        <v>44292</v>
      </c>
      <c r="O2750" t="s">
        <v>333</v>
      </c>
      <c r="P2750" s="42">
        <v>44292</v>
      </c>
      <c r="Q2750" t="s">
        <v>333</v>
      </c>
      <c r="R2750" t="s">
        <v>320</v>
      </c>
      <c r="S2750" t="s">
        <v>323</v>
      </c>
      <c r="T2750">
        <v>7.6</v>
      </c>
      <c r="Y2750" s="42">
        <v>44299</v>
      </c>
    </row>
    <row r="2751" spans="14:25">
      <c r="N2751" s="42">
        <v>44291</v>
      </c>
      <c r="O2751" t="s">
        <v>345</v>
      </c>
      <c r="P2751" s="42">
        <v>44291</v>
      </c>
      <c r="Q2751" t="s">
        <v>345</v>
      </c>
      <c r="R2751" t="s">
        <v>320</v>
      </c>
      <c r="S2751" t="s">
        <v>323</v>
      </c>
      <c r="U2751">
        <v>7.6</v>
      </c>
    </row>
    <row r="2752" spans="14:25">
      <c r="N2752" s="42">
        <v>44290</v>
      </c>
      <c r="O2752" t="s">
        <v>344</v>
      </c>
      <c r="P2752" s="42">
        <v>44290</v>
      </c>
      <c r="Q2752" t="s">
        <v>344</v>
      </c>
      <c r="R2752" t="s">
        <v>320</v>
      </c>
      <c r="S2752" t="s">
        <v>323</v>
      </c>
      <c r="U2752">
        <v>7.6</v>
      </c>
    </row>
    <row r="2753" spans="14:25">
      <c r="N2753" s="42">
        <v>44238</v>
      </c>
      <c r="O2753" t="s">
        <v>324</v>
      </c>
      <c r="P2753" s="42">
        <v>44238</v>
      </c>
      <c r="Q2753" t="s">
        <v>324</v>
      </c>
      <c r="R2753" t="s">
        <v>329</v>
      </c>
      <c r="S2753" t="s">
        <v>323</v>
      </c>
      <c r="T2753">
        <v>7.6</v>
      </c>
      <c r="W2753" t="s">
        <v>330</v>
      </c>
      <c r="Y2753" s="42">
        <v>44243</v>
      </c>
    </row>
    <row r="2754" spans="14:25">
      <c r="N2754" s="42">
        <v>44229</v>
      </c>
      <c r="O2754" t="s">
        <v>333</v>
      </c>
      <c r="P2754" s="42">
        <v>44229</v>
      </c>
      <c r="Q2754" t="s">
        <v>333</v>
      </c>
      <c r="R2754" t="s">
        <v>320</v>
      </c>
      <c r="S2754" t="s">
        <v>323</v>
      </c>
      <c r="T2754">
        <v>7.6</v>
      </c>
      <c r="Y2754" s="42">
        <v>44229</v>
      </c>
    </row>
    <row r="2755" spans="14:25">
      <c r="N2755" s="42">
        <v>44228</v>
      </c>
      <c r="O2755" t="s">
        <v>345</v>
      </c>
      <c r="P2755" s="42">
        <v>44228</v>
      </c>
      <c r="Q2755" t="s">
        <v>345</v>
      </c>
      <c r="R2755" t="s">
        <v>320</v>
      </c>
      <c r="S2755" t="s">
        <v>323</v>
      </c>
      <c r="T2755">
        <v>7.6</v>
      </c>
      <c r="Y2755" s="42">
        <v>44229</v>
      </c>
    </row>
    <row r="2756" spans="14:25">
      <c r="N2756" s="42">
        <v>44222</v>
      </c>
      <c r="O2756" t="s">
        <v>333</v>
      </c>
      <c r="P2756" s="42">
        <v>44222</v>
      </c>
      <c r="Q2756" t="s">
        <v>333</v>
      </c>
      <c r="R2756" t="s">
        <v>320</v>
      </c>
      <c r="S2756" t="s">
        <v>323</v>
      </c>
      <c r="U2756">
        <v>7.6</v>
      </c>
    </row>
    <row r="2757" spans="14:25">
      <c r="N2757" s="42">
        <v>44193</v>
      </c>
      <c r="O2757" t="s">
        <v>345</v>
      </c>
      <c r="P2757" s="42">
        <v>44193</v>
      </c>
      <c r="Q2757" t="s">
        <v>345</v>
      </c>
      <c r="R2757" t="s">
        <v>320</v>
      </c>
      <c r="S2757" t="s">
        <v>323</v>
      </c>
      <c r="U2757">
        <v>7.6</v>
      </c>
    </row>
    <row r="2758" spans="14:25">
      <c r="N2758" s="42">
        <v>44192</v>
      </c>
      <c r="O2758" t="s">
        <v>344</v>
      </c>
      <c r="P2758" s="42">
        <v>44192</v>
      </c>
      <c r="Q2758" t="s">
        <v>344</v>
      </c>
      <c r="R2758" t="s">
        <v>320</v>
      </c>
      <c r="S2758" t="s">
        <v>323</v>
      </c>
      <c r="T2758">
        <v>7.6</v>
      </c>
      <c r="Y2758" s="42">
        <v>44201</v>
      </c>
    </row>
    <row r="2759" spans="14:25">
      <c r="N2759" s="42">
        <v>44189</v>
      </c>
      <c r="O2759" t="s">
        <v>324</v>
      </c>
      <c r="P2759" s="42">
        <v>44189</v>
      </c>
      <c r="Q2759" t="s">
        <v>324</v>
      </c>
      <c r="R2759" t="s">
        <v>320</v>
      </c>
      <c r="S2759" t="s">
        <v>323</v>
      </c>
      <c r="T2759">
        <v>7.6</v>
      </c>
      <c r="Y2759" s="42">
        <v>44201</v>
      </c>
    </row>
    <row r="2760" spans="14:25">
      <c r="N2760" s="42">
        <v>44188</v>
      </c>
      <c r="O2760" t="s">
        <v>328</v>
      </c>
      <c r="P2760" s="42">
        <v>44188</v>
      </c>
      <c r="Q2760" t="s">
        <v>328</v>
      </c>
      <c r="R2760" t="s">
        <v>320</v>
      </c>
      <c r="S2760" t="s">
        <v>323</v>
      </c>
      <c r="T2760">
        <v>7.6</v>
      </c>
      <c r="Y2760" s="42">
        <v>44201</v>
      </c>
    </row>
    <row r="2761" spans="14:25">
      <c r="N2761" s="42">
        <v>44187</v>
      </c>
      <c r="O2761" t="s">
        <v>333</v>
      </c>
      <c r="P2761" s="42">
        <v>44187</v>
      </c>
      <c r="Q2761" t="s">
        <v>333</v>
      </c>
      <c r="R2761" t="s">
        <v>320</v>
      </c>
      <c r="S2761" t="s">
        <v>323</v>
      </c>
      <c r="T2761">
        <v>7.6</v>
      </c>
      <c r="Y2761" s="42">
        <v>44187</v>
      </c>
    </row>
    <row r="2762" spans="14:25">
      <c r="N2762" s="42">
        <v>44186</v>
      </c>
      <c r="O2762" t="s">
        <v>345</v>
      </c>
      <c r="P2762" s="42">
        <v>44186</v>
      </c>
      <c r="Q2762" t="s">
        <v>345</v>
      </c>
      <c r="R2762" t="s">
        <v>320</v>
      </c>
      <c r="S2762" t="s">
        <v>323</v>
      </c>
      <c r="T2762">
        <v>7.6</v>
      </c>
      <c r="Y2762" s="42">
        <v>44187</v>
      </c>
    </row>
    <row r="2763" spans="14:25">
      <c r="N2763" s="42">
        <v>44151</v>
      </c>
      <c r="O2763" t="s">
        <v>345</v>
      </c>
      <c r="P2763" s="42">
        <v>44151</v>
      </c>
      <c r="Q2763" t="s">
        <v>345</v>
      </c>
      <c r="R2763" t="s">
        <v>320</v>
      </c>
      <c r="S2763" t="s">
        <v>323</v>
      </c>
      <c r="T2763">
        <v>7.6</v>
      </c>
      <c r="Y2763" s="42">
        <v>44159</v>
      </c>
    </row>
    <row r="2764" spans="14:25">
      <c r="N2764" s="42">
        <v>44144</v>
      </c>
      <c r="O2764" t="s">
        <v>345</v>
      </c>
      <c r="P2764" s="42">
        <v>44144</v>
      </c>
      <c r="Q2764" t="s">
        <v>345</v>
      </c>
      <c r="R2764" t="s">
        <v>329</v>
      </c>
      <c r="S2764" t="s">
        <v>323</v>
      </c>
      <c r="T2764">
        <v>7.6</v>
      </c>
      <c r="W2764" t="s">
        <v>330</v>
      </c>
      <c r="Y2764" s="42">
        <v>44145</v>
      </c>
    </row>
    <row r="2765" spans="14:25">
      <c r="N2765" s="42">
        <v>44109</v>
      </c>
      <c r="O2765" t="s">
        <v>345</v>
      </c>
      <c r="P2765" s="42">
        <v>44109</v>
      </c>
      <c r="Q2765" t="s">
        <v>345</v>
      </c>
      <c r="R2765" t="s">
        <v>320</v>
      </c>
      <c r="S2765" t="s">
        <v>323</v>
      </c>
      <c r="U2765">
        <v>7.6</v>
      </c>
    </row>
    <row r="2766" spans="14:25">
      <c r="N2766" s="42">
        <v>44102</v>
      </c>
      <c r="O2766" t="s">
        <v>345</v>
      </c>
      <c r="P2766" s="42">
        <v>44102</v>
      </c>
      <c r="Q2766" t="s">
        <v>345</v>
      </c>
      <c r="R2766" t="s">
        <v>320</v>
      </c>
      <c r="S2766" t="s">
        <v>323</v>
      </c>
      <c r="T2766">
        <v>7.6</v>
      </c>
      <c r="Y2766" s="42">
        <v>44103</v>
      </c>
    </row>
    <row r="2767" spans="14:25">
      <c r="N2767" s="42">
        <v>44101</v>
      </c>
      <c r="O2767" t="s">
        <v>344</v>
      </c>
      <c r="P2767" s="42">
        <v>44101</v>
      </c>
      <c r="Q2767" t="s">
        <v>344</v>
      </c>
      <c r="R2767" t="s">
        <v>320</v>
      </c>
      <c r="S2767" t="s">
        <v>323</v>
      </c>
      <c r="T2767">
        <v>7.6</v>
      </c>
      <c r="Y2767" s="42">
        <v>44103</v>
      </c>
    </row>
    <row r="2768" spans="14:25">
      <c r="N2768" s="42">
        <v>44098</v>
      </c>
      <c r="O2768" t="s">
        <v>324</v>
      </c>
      <c r="P2768" s="42">
        <v>44098</v>
      </c>
      <c r="Q2768" t="s">
        <v>324</v>
      </c>
      <c r="R2768" t="s">
        <v>320</v>
      </c>
      <c r="S2768" t="s">
        <v>323</v>
      </c>
      <c r="T2768">
        <v>7.6</v>
      </c>
      <c r="Y2768" s="42">
        <v>44103</v>
      </c>
    </row>
    <row r="2769" spans="14:25">
      <c r="N2769" s="42">
        <v>44070</v>
      </c>
      <c r="O2769" t="s">
        <v>324</v>
      </c>
      <c r="P2769" s="42">
        <v>44070</v>
      </c>
      <c r="Q2769" t="s">
        <v>324</v>
      </c>
      <c r="R2769" t="s">
        <v>320</v>
      </c>
      <c r="S2769" t="s">
        <v>323</v>
      </c>
      <c r="T2769">
        <v>7.6</v>
      </c>
      <c r="Y2769" s="42">
        <v>44075</v>
      </c>
    </row>
    <row r="2770" spans="14:25">
      <c r="N2770" s="42">
        <v>44069</v>
      </c>
      <c r="O2770" t="s">
        <v>328</v>
      </c>
      <c r="P2770" s="42">
        <v>44069</v>
      </c>
      <c r="Q2770" t="s">
        <v>328</v>
      </c>
      <c r="R2770" t="s">
        <v>320</v>
      </c>
      <c r="S2770" t="s">
        <v>323</v>
      </c>
      <c r="T2770">
        <v>7.6</v>
      </c>
      <c r="Y2770" s="42">
        <v>44075</v>
      </c>
    </row>
    <row r="2771" spans="14:25">
      <c r="N2771" s="42">
        <v>44068</v>
      </c>
      <c r="O2771" t="s">
        <v>333</v>
      </c>
      <c r="P2771" s="42">
        <v>44068</v>
      </c>
      <c r="Q2771" t="s">
        <v>333</v>
      </c>
      <c r="R2771" t="s">
        <v>329</v>
      </c>
      <c r="S2771" t="s">
        <v>323</v>
      </c>
      <c r="T2771">
        <v>7.6</v>
      </c>
      <c r="W2771" t="s">
        <v>330</v>
      </c>
      <c r="Y2771" s="42">
        <v>44075</v>
      </c>
    </row>
    <row r="2772" spans="14:25">
      <c r="N2772" s="42">
        <v>44067</v>
      </c>
      <c r="O2772" t="s">
        <v>345</v>
      </c>
      <c r="P2772" s="42">
        <v>44067</v>
      </c>
      <c r="Q2772" t="s">
        <v>345</v>
      </c>
      <c r="R2772" t="s">
        <v>329</v>
      </c>
      <c r="S2772" t="s">
        <v>323</v>
      </c>
      <c r="T2772">
        <v>7.6</v>
      </c>
      <c r="W2772" t="s">
        <v>330</v>
      </c>
      <c r="Y2772" s="42">
        <v>44075</v>
      </c>
    </row>
    <row r="2773" spans="14:25">
      <c r="N2773" s="42">
        <v>44056</v>
      </c>
      <c r="O2773" t="s">
        <v>324</v>
      </c>
      <c r="P2773" s="42">
        <v>44056</v>
      </c>
      <c r="Q2773" t="s">
        <v>324</v>
      </c>
      <c r="R2773" t="s">
        <v>329</v>
      </c>
      <c r="S2773" t="s">
        <v>323</v>
      </c>
      <c r="T2773">
        <v>7.6</v>
      </c>
      <c r="W2773" t="s">
        <v>330</v>
      </c>
      <c r="Y2773" s="42">
        <v>44061</v>
      </c>
    </row>
    <row r="2774" spans="14:25">
      <c r="N2774" s="42">
        <v>44020</v>
      </c>
      <c r="O2774" t="s">
        <v>328</v>
      </c>
      <c r="P2774" s="42">
        <v>44020</v>
      </c>
      <c r="Q2774" t="s">
        <v>328</v>
      </c>
      <c r="R2774" t="s">
        <v>383</v>
      </c>
      <c r="S2774" t="s">
        <v>323</v>
      </c>
      <c r="T2774">
        <v>68.400000000000006</v>
      </c>
      <c r="W2774" t="s">
        <v>339</v>
      </c>
      <c r="Y2774" s="42">
        <v>44033</v>
      </c>
    </row>
    <row r="2775" spans="14:25">
      <c r="N2775" s="42">
        <v>44019</v>
      </c>
      <c r="O2775" t="s">
        <v>333</v>
      </c>
      <c r="P2775" s="42">
        <v>44019</v>
      </c>
      <c r="Q2775" t="s">
        <v>333</v>
      </c>
      <c r="R2775" t="s">
        <v>329</v>
      </c>
      <c r="S2775" t="s">
        <v>323</v>
      </c>
      <c r="T2775">
        <v>7.6</v>
      </c>
      <c r="W2775" t="s">
        <v>330</v>
      </c>
      <c r="Y2775" s="42">
        <v>44019</v>
      </c>
    </row>
    <row r="2776" spans="14:25">
      <c r="N2776" s="42">
        <v>44018</v>
      </c>
      <c r="O2776" t="s">
        <v>345</v>
      </c>
      <c r="P2776" s="42">
        <v>44018</v>
      </c>
      <c r="Q2776" t="s">
        <v>345</v>
      </c>
      <c r="R2776" t="s">
        <v>329</v>
      </c>
      <c r="S2776" t="s">
        <v>323</v>
      </c>
      <c r="T2776">
        <v>7.6</v>
      </c>
      <c r="W2776" t="s">
        <v>330</v>
      </c>
      <c r="Y2776" s="42">
        <v>44019</v>
      </c>
    </row>
    <row r="2777" spans="14:25">
      <c r="N2777" s="42">
        <v>44007</v>
      </c>
      <c r="O2777" t="s">
        <v>324</v>
      </c>
      <c r="P2777" s="42">
        <v>44007</v>
      </c>
      <c r="Q2777" t="s">
        <v>324</v>
      </c>
      <c r="R2777" t="s">
        <v>320</v>
      </c>
      <c r="S2777" t="s">
        <v>323</v>
      </c>
      <c r="T2777">
        <v>7.6</v>
      </c>
      <c r="Y2777" s="42">
        <v>44019</v>
      </c>
    </row>
    <row r="2778" spans="14:25">
      <c r="N2778" s="42">
        <v>43993</v>
      </c>
      <c r="O2778" t="s">
        <v>324</v>
      </c>
      <c r="P2778" s="42">
        <v>43993</v>
      </c>
      <c r="Q2778" t="s">
        <v>324</v>
      </c>
      <c r="R2778" t="s">
        <v>320</v>
      </c>
      <c r="S2778" t="s">
        <v>323</v>
      </c>
      <c r="T2778">
        <v>7.6</v>
      </c>
      <c r="Y2778" s="42">
        <v>44005</v>
      </c>
    </row>
    <row r="2779" spans="14:25">
      <c r="N2779" s="42">
        <v>43986</v>
      </c>
      <c r="O2779" t="s">
        <v>324</v>
      </c>
      <c r="P2779" s="42">
        <v>43986</v>
      </c>
      <c r="Q2779" t="s">
        <v>324</v>
      </c>
      <c r="R2779" t="s">
        <v>320</v>
      </c>
      <c r="S2779" t="s">
        <v>323</v>
      </c>
      <c r="T2779">
        <v>7.6</v>
      </c>
      <c r="Y2779" s="42">
        <v>43991</v>
      </c>
    </row>
    <row r="2780" spans="14:25">
      <c r="N2780" s="42">
        <v>43979</v>
      </c>
      <c r="O2780" t="s">
        <v>324</v>
      </c>
      <c r="P2780" s="42">
        <v>43979</v>
      </c>
      <c r="Q2780" t="s">
        <v>324</v>
      </c>
      <c r="R2780" t="s">
        <v>320</v>
      </c>
      <c r="S2780" t="s">
        <v>323</v>
      </c>
      <c r="T2780">
        <v>7.6</v>
      </c>
      <c r="Y2780" s="42">
        <v>43991</v>
      </c>
    </row>
    <row r="2781" spans="14:25">
      <c r="N2781" s="42">
        <v>43972</v>
      </c>
      <c r="O2781" t="s">
        <v>324</v>
      </c>
      <c r="P2781" s="42">
        <v>43972</v>
      </c>
      <c r="Q2781" t="s">
        <v>324</v>
      </c>
      <c r="R2781" t="s">
        <v>320</v>
      </c>
      <c r="S2781" t="s">
        <v>323</v>
      </c>
      <c r="T2781">
        <v>7.6</v>
      </c>
      <c r="Y2781" s="42">
        <v>43977</v>
      </c>
    </row>
    <row r="2782" spans="14:25">
      <c r="N2782" s="42">
        <v>43944</v>
      </c>
      <c r="O2782" t="s">
        <v>324</v>
      </c>
      <c r="P2782" s="42">
        <v>43944</v>
      </c>
      <c r="Q2782" t="s">
        <v>324</v>
      </c>
      <c r="R2782" t="s">
        <v>329</v>
      </c>
      <c r="S2782" t="s">
        <v>323</v>
      </c>
      <c r="T2782">
        <v>7.6</v>
      </c>
      <c r="W2782" t="s">
        <v>330</v>
      </c>
      <c r="Y2782" s="42">
        <v>43949</v>
      </c>
    </row>
    <row r="2783" spans="14:25">
      <c r="N2783" s="42">
        <v>43943</v>
      </c>
      <c r="O2783" t="s">
        <v>328</v>
      </c>
      <c r="P2783" s="42">
        <v>43943</v>
      </c>
      <c r="Q2783" t="s">
        <v>328</v>
      </c>
      <c r="R2783" t="s">
        <v>329</v>
      </c>
      <c r="S2783" t="s">
        <v>323</v>
      </c>
      <c r="T2783">
        <v>7.6</v>
      </c>
      <c r="W2783" t="s">
        <v>330</v>
      </c>
      <c r="Y2783" s="42">
        <v>43949</v>
      </c>
    </row>
    <row r="2784" spans="14:25">
      <c r="N2784" s="42">
        <v>43942</v>
      </c>
      <c r="O2784" t="s">
        <v>333</v>
      </c>
      <c r="P2784" s="42">
        <v>43942</v>
      </c>
      <c r="Q2784" t="s">
        <v>333</v>
      </c>
      <c r="R2784" t="s">
        <v>329</v>
      </c>
      <c r="S2784" t="s">
        <v>323</v>
      </c>
      <c r="T2784">
        <v>7.6</v>
      </c>
      <c r="W2784" t="s">
        <v>330</v>
      </c>
      <c r="Y2784" s="42">
        <v>43949</v>
      </c>
    </row>
    <row r="2785" spans="14:25">
      <c r="N2785" s="42">
        <v>43930</v>
      </c>
      <c r="O2785" t="s">
        <v>324</v>
      </c>
      <c r="P2785" s="42">
        <v>43930</v>
      </c>
      <c r="Q2785" t="s">
        <v>324</v>
      </c>
      <c r="R2785" t="s">
        <v>320</v>
      </c>
      <c r="S2785" t="s">
        <v>323</v>
      </c>
      <c r="T2785">
        <v>7.6</v>
      </c>
      <c r="Y2785" s="42">
        <v>43935</v>
      </c>
    </row>
    <row r="2786" spans="14:25">
      <c r="N2786" s="42">
        <v>43929</v>
      </c>
      <c r="O2786" t="s">
        <v>328</v>
      </c>
      <c r="P2786" s="42">
        <v>43929</v>
      </c>
      <c r="Q2786" t="s">
        <v>328</v>
      </c>
      <c r="R2786" t="s">
        <v>320</v>
      </c>
      <c r="S2786" t="s">
        <v>323</v>
      </c>
      <c r="T2786">
        <v>7.6</v>
      </c>
      <c r="Y2786" s="42">
        <v>43935</v>
      </c>
    </row>
    <row r="2787" spans="14:25">
      <c r="N2787" s="42">
        <v>43928</v>
      </c>
      <c r="O2787" t="s">
        <v>333</v>
      </c>
      <c r="P2787" s="42">
        <v>43928</v>
      </c>
      <c r="Q2787" t="s">
        <v>333</v>
      </c>
      <c r="R2787" t="s">
        <v>320</v>
      </c>
      <c r="S2787" t="s">
        <v>323</v>
      </c>
      <c r="T2787">
        <v>7.6</v>
      </c>
      <c r="Y2787" s="42">
        <v>43935</v>
      </c>
    </row>
    <row r="2788" spans="14:25">
      <c r="N2788" s="42">
        <v>43880</v>
      </c>
      <c r="O2788" t="s">
        <v>328</v>
      </c>
      <c r="P2788" s="42">
        <v>43880</v>
      </c>
      <c r="Q2788" t="s">
        <v>328</v>
      </c>
      <c r="R2788" t="s">
        <v>329</v>
      </c>
      <c r="S2788" t="s">
        <v>323</v>
      </c>
      <c r="T2788">
        <v>7.6</v>
      </c>
      <c r="W2788" t="s">
        <v>330</v>
      </c>
      <c r="Y2788" s="42">
        <v>43893</v>
      </c>
    </row>
    <row r="2789" spans="14:25">
      <c r="N2789" s="42">
        <v>43879</v>
      </c>
      <c r="O2789" t="s">
        <v>333</v>
      </c>
      <c r="P2789" s="42">
        <v>43879</v>
      </c>
      <c r="Q2789" t="s">
        <v>333</v>
      </c>
      <c r="R2789" t="s">
        <v>329</v>
      </c>
      <c r="S2789" t="s">
        <v>323</v>
      </c>
      <c r="T2789">
        <v>7.6</v>
      </c>
      <c r="W2789" t="s">
        <v>330</v>
      </c>
      <c r="Y2789" s="42">
        <v>43879</v>
      </c>
    </row>
    <row r="2790" spans="14:25">
      <c r="N2790" s="42">
        <v>43832</v>
      </c>
      <c r="O2790" t="s">
        <v>324</v>
      </c>
      <c r="P2790" s="42">
        <v>43832</v>
      </c>
      <c r="Q2790" t="s">
        <v>324</v>
      </c>
      <c r="R2790" t="s">
        <v>329</v>
      </c>
      <c r="S2790" t="s">
        <v>323</v>
      </c>
      <c r="T2790">
        <v>7.6</v>
      </c>
      <c r="W2790" t="s">
        <v>330</v>
      </c>
      <c r="Y2790" s="42">
        <v>43837</v>
      </c>
    </row>
    <row r="2791" spans="14:25">
      <c r="N2791" s="42">
        <v>43817</v>
      </c>
      <c r="O2791" t="s">
        <v>328</v>
      </c>
      <c r="P2791" s="42">
        <v>43817</v>
      </c>
      <c r="Q2791" t="s">
        <v>328</v>
      </c>
      <c r="R2791" t="s">
        <v>320</v>
      </c>
      <c r="S2791" t="s">
        <v>323</v>
      </c>
      <c r="T2791">
        <v>7.6</v>
      </c>
      <c r="Y2791" s="42">
        <v>43823</v>
      </c>
    </row>
    <row r="2792" spans="14:25">
      <c r="N2792" s="42">
        <v>43747</v>
      </c>
      <c r="O2792" t="s">
        <v>328</v>
      </c>
      <c r="P2792" s="42">
        <v>43747</v>
      </c>
      <c r="Q2792" t="s">
        <v>328</v>
      </c>
      <c r="R2792" t="s">
        <v>320</v>
      </c>
      <c r="S2792" t="s">
        <v>323</v>
      </c>
      <c r="T2792">
        <v>7.6</v>
      </c>
      <c r="Y2792" s="42">
        <v>43753</v>
      </c>
    </row>
    <row r="2793" spans="14:25">
      <c r="N2793" s="42">
        <v>43746</v>
      </c>
      <c r="O2793" t="s">
        <v>333</v>
      </c>
      <c r="P2793" s="42">
        <v>43746</v>
      </c>
      <c r="Q2793" t="s">
        <v>333</v>
      </c>
      <c r="R2793" t="s">
        <v>320</v>
      </c>
      <c r="S2793" t="s">
        <v>323</v>
      </c>
      <c r="T2793">
        <v>7.6</v>
      </c>
      <c r="Y2793" s="42">
        <v>43753</v>
      </c>
    </row>
    <row r="2794" spans="14:25">
      <c r="N2794" s="42">
        <v>43744</v>
      </c>
      <c r="O2794" t="s">
        <v>344</v>
      </c>
      <c r="P2794" s="42">
        <v>43744</v>
      </c>
      <c r="Q2794" t="s">
        <v>344</v>
      </c>
      <c r="R2794" t="s">
        <v>320</v>
      </c>
      <c r="S2794" t="s">
        <v>323</v>
      </c>
      <c r="T2794">
        <v>7.6</v>
      </c>
      <c r="Y2794" s="42">
        <v>43753</v>
      </c>
    </row>
    <row r="2795" spans="14:25">
      <c r="N2795" s="42">
        <v>43740</v>
      </c>
      <c r="O2795" t="s">
        <v>328</v>
      </c>
      <c r="P2795" s="42">
        <v>43740</v>
      </c>
      <c r="Q2795" t="s">
        <v>328</v>
      </c>
      <c r="R2795" t="s">
        <v>329</v>
      </c>
      <c r="S2795" t="s">
        <v>323</v>
      </c>
      <c r="T2795">
        <v>7.6</v>
      </c>
      <c r="W2795" t="s">
        <v>330</v>
      </c>
      <c r="Y2795" s="42">
        <v>43753</v>
      </c>
    </row>
    <row r="2796" spans="14:25">
      <c r="N2796" s="42">
        <v>43727</v>
      </c>
      <c r="O2796" t="s">
        <v>324</v>
      </c>
      <c r="P2796" s="42">
        <v>43727</v>
      </c>
      <c r="Q2796" t="s">
        <v>324</v>
      </c>
      <c r="R2796" t="s">
        <v>329</v>
      </c>
      <c r="S2796" t="s">
        <v>323</v>
      </c>
      <c r="T2796">
        <v>7.6</v>
      </c>
      <c r="W2796" t="s">
        <v>330</v>
      </c>
      <c r="Y2796" s="42">
        <v>43739</v>
      </c>
    </row>
    <row r="2797" spans="14:25">
      <c r="N2797" s="42">
        <v>43726</v>
      </c>
      <c r="O2797" t="s">
        <v>328</v>
      </c>
      <c r="P2797" s="42">
        <v>43726</v>
      </c>
      <c r="Q2797" t="s">
        <v>328</v>
      </c>
      <c r="R2797" t="s">
        <v>329</v>
      </c>
      <c r="S2797" t="s">
        <v>323</v>
      </c>
      <c r="T2797">
        <v>7.6</v>
      </c>
      <c r="W2797" t="s">
        <v>330</v>
      </c>
      <c r="Y2797" s="42">
        <v>43739</v>
      </c>
    </row>
    <row r="2798" spans="14:25">
      <c r="N2798" s="42">
        <v>43711</v>
      </c>
      <c r="O2798" t="s">
        <v>333</v>
      </c>
      <c r="P2798" s="42">
        <v>43711</v>
      </c>
      <c r="Q2798" t="s">
        <v>333</v>
      </c>
      <c r="R2798" t="s">
        <v>329</v>
      </c>
      <c r="S2798" t="s">
        <v>323</v>
      </c>
      <c r="T2798">
        <v>7.6</v>
      </c>
      <c r="W2798" t="s">
        <v>330</v>
      </c>
      <c r="Y2798" s="42">
        <v>43711</v>
      </c>
    </row>
    <row r="2799" spans="14:25">
      <c r="N2799" s="42">
        <v>43696</v>
      </c>
      <c r="O2799" t="s">
        <v>345</v>
      </c>
      <c r="P2799" s="42">
        <v>43696</v>
      </c>
      <c r="Q2799" t="s">
        <v>345</v>
      </c>
      <c r="R2799" t="s">
        <v>329</v>
      </c>
      <c r="S2799" t="s">
        <v>323</v>
      </c>
      <c r="T2799">
        <v>7.6</v>
      </c>
      <c r="W2799" t="s">
        <v>330</v>
      </c>
      <c r="Y2799" s="42">
        <v>43697</v>
      </c>
    </row>
    <row r="2800" spans="14:25">
      <c r="N2800" s="42">
        <v>43690</v>
      </c>
      <c r="O2800" t="s">
        <v>333</v>
      </c>
      <c r="P2800" s="42">
        <v>43690</v>
      </c>
      <c r="Q2800" t="s">
        <v>333</v>
      </c>
      <c r="R2800" t="s">
        <v>329</v>
      </c>
      <c r="S2800" t="s">
        <v>323</v>
      </c>
      <c r="T2800">
        <v>7.6</v>
      </c>
      <c r="W2800" t="s">
        <v>330</v>
      </c>
      <c r="Y2800" s="42">
        <v>43697</v>
      </c>
    </row>
    <row r="2801" spans="1:25">
      <c r="N2801" s="42">
        <v>43648</v>
      </c>
      <c r="O2801" t="s">
        <v>333</v>
      </c>
      <c r="P2801" s="42">
        <v>43648</v>
      </c>
      <c r="Q2801" t="s">
        <v>333</v>
      </c>
      <c r="R2801" t="s">
        <v>320</v>
      </c>
      <c r="S2801" t="s">
        <v>323</v>
      </c>
      <c r="T2801">
        <v>7.6</v>
      </c>
      <c r="Y2801" s="42">
        <v>43655</v>
      </c>
    </row>
    <row r="2802" spans="1:25">
      <c r="A2802">
        <v>18607</v>
      </c>
      <c r="B2802" t="s">
        <v>387</v>
      </c>
      <c r="C2802" t="s">
        <v>320</v>
      </c>
      <c r="D2802" t="s">
        <v>336</v>
      </c>
      <c r="E2802" t="s">
        <v>337</v>
      </c>
      <c r="F2802">
        <v>1</v>
      </c>
      <c r="G2802" s="42">
        <v>45264</v>
      </c>
      <c r="H2802">
        <v>91.2</v>
      </c>
      <c r="I2802">
        <v>10.6493</v>
      </c>
      <c r="J2802">
        <v>22.4877</v>
      </c>
      <c r="K2802">
        <v>33.137</v>
      </c>
      <c r="L2802" t="s">
        <v>323</v>
      </c>
      <c r="M2802" s="43">
        <v>0.37708333333333338</v>
      </c>
      <c r="N2802" s="42">
        <v>44952</v>
      </c>
      <c r="O2802" t="s">
        <v>324</v>
      </c>
      <c r="P2802" s="42">
        <v>44952</v>
      </c>
      <c r="Q2802" t="s">
        <v>324</v>
      </c>
      <c r="R2802" t="s">
        <v>320</v>
      </c>
      <c r="S2802" t="s">
        <v>323</v>
      </c>
      <c r="U2802">
        <v>7.6</v>
      </c>
    </row>
    <row r="2803" spans="1:25">
      <c r="C2803" t="s">
        <v>325</v>
      </c>
      <c r="D2803" t="s">
        <v>340</v>
      </c>
      <c r="E2803" t="s">
        <v>341</v>
      </c>
      <c r="F2803">
        <v>2</v>
      </c>
      <c r="G2803" s="42">
        <v>45264</v>
      </c>
      <c r="H2803">
        <v>19.7608</v>
      </c>
      <c r="I2803">
        <v>182.89699999999999</v>
      </c>
      <c r="J2803">
        <v>4.8724999999999996</v>
      </c>
      <c r="K2803">
        <v>187.76949999999999</v>
      </c>
      <c r="L2803" t="s">
        <v>323</v>
      </c>
      <c r="N2803" s="42">
        <v>44928</v>
      </c>
      <c r="O2803" t="s">
        <v>345</v>
      </c>
      <c r="P2803" s="42">
        <v>44928</v>
      </c>
      <c r="Q2803" t="s">
        <v>345</v>
      </c>
      <c r="R2803" t="s">
        <v>320</v>
      </c>
      <c r="S2803" t="s">
        <v>323</v>
      </c>
      <c r="U2803">
        <v>7.6</v>
      </c>
    </row>
    <row r="2804" spans="1:25">
      <c r="C2804" t="s">
        <v>329</v>
      </c>
      <c r="D2804" t="s">
        <v>342</v>
      </c>
      <c r="E2804" t="s">
        <v>343</v>
      </c>
      <c r="F2804">
        <v>1</v>
      </c>
      <c r="G2804" s="42">
        <v>45264</v>
      </c>
      <c r="H2804">
        <v>45.6</v>
      </c>
      <c r="I2804">
        <v>3.7141000000000002</v>
      </c>
      <c r="J2804">
        <v>11.2438</v>
      </c>
      <c r="K2804">
        <v>14.9579</v>
      </c>
      <c r="L2804" t="s">
        <v>323</v>
      </c>
      <c r="N2804" s="42">
        <v>44927</v>
      </c>
      <c r="O2804" t="s">
        <v>344</v>
      </c>
      <c r="P2804" s="42">
        <v>44927</v>
      </c>
      <c r="Q2804" t="s">
        <v>344</v>
      </c>
      <c r="R2804" t="s">
        <v>320</v>
      </c>
      <c r="S2804" t="s">
        <v>323</v>
      </c>
      <c r="U2804">
        <v>7.6</v>
      </c>
    </row>
    <row r="2805" spans="1:25">
      <c r="N2805" s="42">
        <v>44921</v>
      </c>
      <c r="O2805" t="s">
        <v>345</v>
      </c>
      <c r="P2805" s="42">
        <v>44921</v>
      </c>
      <c r="Q2805" t="s">
        <v>345</v>
      </c>
      <c r="R2805" t="s">
        <v>320</v>
      </c>
      <c r="S2805" t="s">
        <v>323</v>
      </c>
      <c r="U2805">
        <v>7.6</v>
      </c>
    </row>
    <row r="2806" spans="1:25">
      <c r="N2806" s="42">
        <v>44920</v>
      </c>
      <c r="O2806" t="s">
        <v>344</v>
      </c>
      <c r="P2806" s="42">
        <v>44920</v>
      </c>
      <c r="Q2806" t="s">
        <v>344</v>
      </c>
      <c r="R2806" t="s">
        <v>320</v>
      </c>
      <c r="S2806" t="s">
        <v>323</v>
      </c>
      <c r="U2806">
        <v>7.6</v>
      </c>
    </row>
    <row r="2807" spans="1:25">
      <c r="N2807" s="42">
        <v>44918</v>
      </c>
      <c r="O2807" t="s">
        <v>346</v>
      </c>
      <c r="P2807" s="42">
        <v>44918</v>
      </c>
      <c r="Q2807" t="s">
        <v>346</v>
      </c>
      <c r="R2807" t="s">
        <v>320</v>
      </c>
      <c r="S2807" t="s">
        <v>323</v>
      </c>
      <c r="T2807">
        <v>7.6</v>
      </c>
      <c r="Y2807" s="42">
        <v>44929</v>
      </c>
    </row>
    <row r="2808" spans="1:25">
      <c r="N2808" s="42">
        <v>44917</v>
      </c>
      <c r="O2808" t="s">
        <v>324</v>
      </c>
      <c r="P2808" s="42">
        <v>44917</v>
      </c>
      <c r="Q2808" t="s">
        <v>324</v>
      </c>
      <c r="R2808" t="s">
        <v>320</v>
      </c>
      <c r="S2808" t="s">
        <v>323</v>
      </c>
      <c r="T2808">
        <v>7.6</v>
      </c>
      <c r="Y2808" s="42">
        <v>44929</v>
      </c>
    </row>
    <row r="2809" spans="1:25">
      <c r="N2809" s="42">
        <v>44914</v>
      </c>
      <c r="O2809" t="s">
        <v>345</v>
      </c>
      <c r="P2809" s="42">
        <v>44914</v>
      </c>
      <c r="Q2809" t="s">
        <v>345</v>
      </c>
      <c r="R2809" t="s">
        <v>320</v>
      </c>
      <c r="S2809" t="s">
        <v>323</v>
      </c>
      <c r="T2809">
        <v>7.6</v>
      </c>
      <c r="Y2809" s="42">
        <v>44915</v>
      </c>
    </row>
    <row r="2810" spans="1:25">
      <c r="N2810" s="42">
        <v>44913</v>
      </c>
      <c r="O2810" t="s">
        <v>344</v>
      </c>
      <c r="P2810" s="42">
        <v>44913</v>
      </c>
      <c r="Q2810" t="s">
        <v>344</v>
      </c>
      <c r="R2810" t="s">
        <v>320</v>
      </c>
      <c r="S2810" t="s">
        <v>323</v>
      </c>
      <c r="T2810">
        <v>7.6</v>
      </c>
      <c r="Y2810" s="42">
        <v>44915</v>
      </c>
    </row>
    <row r="2811" spans="1:25">
      <c r="N2811" s="42">
        <v>44911</v>
      </c>
      <c r="O2811" t="s">
        <v>346</v>
      </c>
      <c r="P2811" s="42">
        <v>44911</v>
      </c>
      <c r="Q2811" t="s">
        <v>346</v>
      </c>
      <c r="R2811" t="s">
        <v>320</v>
      </c>
      <c r="S2811" t="s">
        <v>323</v>
      </c>
      <c r="T2811">
        <v>7.6</v>
      </c>
      <c r="Y2811" s="42">
        <v>44915</v>
      </c>
    </row>
    <row r="2812" spans="1:25">
      <c r="N2812" s="42">
        <v>44910</v>
      </c>
      <c r="O2812" t="s">
        <v>324</v>
      </c>
      <c r="P2812" s="42">
        <v>44910</v>
      </c>
      <c r="Q2812" t="s">
        <v>324</v>
      </c>
      <c r="R2812" t="s">
        <v>320</v>
      </c>
      <c r="S2812" t="s">
        <v>323</v>
      </c>
      <c r="T2812">
        <v>7.6</v>
      </c>
      <c r="Y2812" s="42">
        <v>44915</v>
      </c>
    </row>
    <row r="2813" spans="1:25">
      <c r="N2813" s="42">
        <v>44907</v>
      </c>
      <c r="O2813" t="s">
        <v>345</v>
      </c>
      <c r="P2813" s="42">
        <v>44907</v>
      </c>
      <c r="Q2813" t="s">
        <v>345</v>
      </c>
      <c r="R2813" t="s">
        <v>320</v>
      </c>
      <c r="S2813" t="s">
        <v>323</v>
      </c>
      <c r="T2813">
        <v>7.6</v>
      </c>
      <c r="Y2813" s="42">
        <v>44915</v>
      </c>
    </row>
    <row r="2814" spans="1:25">
      <c r="N2814" s="42">
        <v>44906</v>
      </c>
      <c r="O2814" t="s">
        <v>344</v>
      </c>
      <c r="P2814" s="42">
        <v>44906</v>
      </c>
      <c r="Q2814" t="s">
        <v>344</v>
      </c>
      <c r="R2814" t="s">
        <v>320</v>
      </c>
      <c r="S2814" t="s">
        <v>323</v>
      </c>
      <c r="T2814">
        <v>7.6</v>
      </c>
      <c r="Y2814" s="42">
        <v>44915</v>
      </c>
    </row>
    <row r="2815" spans="1:25">
      <c r="N2815" s="42">
        <v>44904</v>
      </c>
      <c r="O2815" t="s">
        <v>346</v>
      </c>
      <c r="P2815" s="42">
        <v>44904</v>
      </c>
      <c r="Q2815" t="s">
        <v>346</v>
      </c>
      <c r="R2815" t="s">
        <v>320</v>
      </c>
      <c r="S2815" t="s">
        <v>323</v>
      </c>
      <c r="T2815">
        <v>7.6</v>
      </c>
      <c r="Y2815" s="42">
        <v>44915</v>
      </c>
    </row>
    <row r="2816" spans="1:25">
      <c r="N2816" s="42">
        <v>44903</v>
      </c>
      <c r="O2816" t="s">
        <v>324</v>
      </c>
      <c r="P2816" s="42">
        <v>44903</v>
      </c>
      <c r="Q2816" t="s">
        <v>324</v>
      </c>
      <c r="R2816" t="s">
        <v>320</v>
      </c>
      <c r="S2816" t="s">
        <v>323</v>
      </c>
      <c r="T2816">
        <v>7.6</v>
      </c>
      <c r="Y2816" s="42">
        <v>44915</v>
      </c>
    </row>
    <row r="2817" spans="14:25">
      <c r="N2817" s="42">
        <v>44900</v>
      </c>
      <c r="O2817" t="s">
        <v>345</v>
      </c>
      <c r="P2817" s="42">
        <v>44900</v>
      </c>
      <c r="Q2817" t="s">
        <v>345</v>
      </c>
      <c r="R2817" t="s">
        <v>320</v>
      </c>
      <c r="S2817" t="s">
        <v>323</v>
      </c>
      <c r="T2817">
        <v>7.6</v>
      </c>
      <c r="Y2817" s="42">
        <v>44901</v>
      </c>
    </row>
    <row r="2818" spans="14:25">
      <c r="N2818" s="42">
        <v>44899</v>
      </c>
      <c r="O2818" t="s">
        <v>344</v>
      </c>
      <c r="P2818" s="42">
        <v>44899</v>
      </c>
      <c r="Q2818" t="s">
        <v>344</v>
      </c>
      <c r="R2818" t="s">
        <v>320</v>
      </c>
      <c r="S2818" t="s">
        <v>323</v>
      </c>
      <c r="T2818">
        <v>7.6</v>
      </c>
      <c r="Y2818" s="42">
        <v>44901</v>
      </c>
    </row>
    <row r="2819" spans="14:25">
      <c r="N2819" s="42">
        <v>44897</v>
      </c>
      <c r="O2819" t="s">
        <v>346</v>
      </c>
      <c r="P2819" s="42">
        <v>44897</v>
      </c>
      <c r="Q2819" t="s">
        <v>346</v>
      </c>
      <c r="R2819" t="s">
        <v>320</v>
      </c>
      <c r="S2819" t="s">
        <v>323</v>
      </c>
      <c r="T2819">
        <v>7.6</v>
      </c>
      <c r="Y2819" s="42">
        <v>44901</v>
      </c>
    </row>
    <row r="2820" spans="14:25">
      <c r="N2820" s="42">
        <v>44896</v>
      </c>
      <c r="O2820" t="s">
        <v>324</v>
      </c>
      <c r="P2820" s="42">
        <v>44896</v>
      </c>
      <c r="Q2820" t="s">
        <v>324</v>
      </c>
      <c r="R2820" t="s">
        <v>320</v>
      </c>
      <c r="S2820" t="s">
        <v>323</v>
      </c>
      <c r="T2820">
        <v>7.6</v>
      </c>
      <c r="Y2820" s="42">
        <v>44901</v>
      </c>
    </row>
    <row r="2821" spans="14:25">
      <c r="N2821" s="42">
        <v>44893</v>
      </c>
      <c r="O2821" t="s">
        <v>345</v>
      </c>
      <c r="P2821" s="42">
        <v>44893</v>
      </c>
      <c r="Q2821" t="s">
        <v>345</v>
      </c>
      <c r="R2821" t="s">
        <v>320</v>
      </c>
      <c r="S2821" t="s">
        <v>323</v>
      </c>
      <c r="T2821">
        <v>7.6</v>
      </c>
      <c r="Y2821" s="42">
        <v>44901</v>
      </c>
    </row>
    <row r="2822" spans="14:25">
      <c r="N2822" s="42">
        <v>44892</v>
      </c>
      <c r="O2822" t="s">
        <v>344</v>
      </c>
      <c r="P2822" s="42">
        <v>44892</v>
      </c>
      <c r="Q2822" t="s">
        <v>344</v>
      </c>
      <c r="R2822" t="s">
        <v>320</v>
      </c>
      <c r="S2822" t="s">
        <v>323</v>
      </c>
      <c r="T2822">
        <v>7.6</v>
      </c>
      <c r="Y2822" s="42">
        <v>44901</v>
      </c>
    </row>
    <row r="2823" spans="14:25">
      <c r="N2823" s="42">
        <v>44890</v>
      </c>
      <c r="O2823" t="s">
        <v>346</v>
      </c>
      <c r="P2823" s="42">
        <v>44890</v>
      </c>
      <c r="Q2823" t="s">
        <v>346</v>
      </c>
      <c r="R2823" t="s">
        <v>320</v>
      </c>
      <c r="S2823" t="s">
        <v>323</v>
      </c>
      <c r="T2823">
        <v>7.6</v>
      </c>
      <c r="Y2823" s="42">
        <v>44901</v>
      </c>
    </row>
    <row r="2824" spans="14:25">
      <c r="N2824" s="42">
        <v>44889</v>
      </c>
      <c r="O2824" t="s">
        <v>324</v>
      </c>
      <c r="P2824" s="42">
        <v>44889</v>
      </c>
      <c r="Q2824" t="s">
        <v>324</v>
      </c>
      <c r="R2824" t="s">
        <v>320</v>
      </c>
      <c r="S2824" t="s">
        <v>323</v>
      </c>
      <c r="T2824">
        <v>7.6</v>
      </c>
      <c r="Y2824" s="42">
        <v>44901</v>
      </c>
    </row>
    <row r="2825" spans="14:25">
      <c r="N2825" s="42">
        <v>44886</v>
      </c>
      <c r="O2825" t="s">
        <v>345</v>
      </c>
      <c r="P2825" s="42">
        <v>44886</v>
      </c>
      <c r="Q2825" t="s">
        <v>345</v>
      </c>
      <c r="R2825" t="s">
        <v>320</v>
      </c>
      <c r="S2825" t="s">
        <v>323</v>
      </c>
      <c r="T2825">
        <v>7.6</v>
      </c>
      <c r="Y2825" s="42">
        <v>44887</v>
      </c>
    </row>
    <row r="2826" spans="14:25">
      <c r="N2826" s="42">
        <v>44885</v>
      </c>
      <c r="O2826" t="s">
        <v>344</v>
      </c>
      <c r="P2826" s="42">
        <v>44885</v>
      </c>
      <c r="Q2826" t="s">
        <v>344</v>
      </c>
      <c r="R2826" t="s">
        <v>320</v>
      </c>
      <c r="S2826" t="s">
        <v>323</v>
      </c>
      <c r="T2826">
        <v>7.6</v>
      </c>
      <c r="Y2826" s="42">
        <v>44887</v>
      </c>
    </row>
    <row r="2827" spans="14:25">
      <c r="N2827" s="42">
        <v>44883</v>
      </c>
      <c r="O2827" t="s">
        <v>346</v>
      </c>
      <c r="P2827" s="42">
        <v>44883</v>
      </c>
      <c r="Q2827" t="s">
        <v>346</v>
      </c>
      <c r="R2827" t="s">
        <v>320</v>
      </c>
      <c r="S2827" t="s">
        <v>323</v>
      </c>
      <c r="T2827">
        <v>7.6</v>
      </c>
      <c r="Y2827" s="42">
        <v>44887</v>
      </c>
    </row>
    <row r="2828" spans="14:25">
      <c r="N2828" s="42">
        <v>44882</v>
      </c>
      <c r="O2828" t="s">
        <v>324</v>
      </c>
      <c r="P2828" s="42">
        <v>44882</v>
      </c>
      <c r="Q2828" t="s">
        <v>324</v>
      </c>
      <c r="R2828" t="s">
        <v>320</v>
      </c>
      <c r="S2828" t="s">
        <v>323</v>
      </c>
      <c r="T2828">
        <v>7.6</v>
      </c>
      <c r="Y2828" s="42">
        <v>44887</v>
      </c>
    </row>
    <row r="2829" spans="14:25">
      <c r="N2829" s="42">
        <v>44872</v>
      </c>
      <c r="O2829" t="s">
        <v>345</v>
      </c>
      <c r="P2829" s="42">
        <v>44872</v>
      </c>
      <c r="Q2829" t="s">
        <v>345</v>
      </c>
      <c r="R2829" t="s">
        <v>329</v>
      </c>
      <c r="S2829" t="s">
        <v>323</v>
      </c>
      <c r="T2829">
        <v>7.6</v>
      </c>
      <c r="W2829" t="s">
        <v>330</v>
      </c>
      <c r="Y2829" s="42">
        <v>44873</v>
      </c>
    </row>
    <row r="2830" spans="14:25">
      <c r="N2830" s="42">
        <v>44826</v>
      </c>
      <c r="O2830" t="s">
        <v>324</v>
      </c>
      <c r="P2830" s="42">
        <v>44826</v>
      </c>
      <c r="Q2830" t="s">
        <v>324</v>
      </c>
      <c r="R2830" t="s">
        <v>320</v>
      </c>
      <c r="S2830" t="s">
        <v>323</v>
      </c>
      <c r="U2830">
        <v>7.6</v>
      </c>
    </row>
    <row r="2831" spans="14:25">
      <c r="N2831" s="42">
        <v>44813</v>
      </c>
      <c r="O2831" t="s">
        <v>346</v>
      </c>
      <c r="P2831" s="42">
        <v>44813</v>
      </c>
      <c r="Q2831" t="s">
        <v>346</v>
      </c>
      <c r="R2831" t="s">
        <v>329</v>
      </c>
      <c r="S2831" t="s">
        <v>323</v>
      </c>
      <c r="T2831">
        <v>7.6</v>
      </c>
      <c r="W2831" t="s">
        <v>330</v>
      </c>
      <c r="Y2831" s="42">
        <v>44817</v>
      </c>
    </row>
    <row r="2832" spans="14:25">
      <c r="N2832" s="42">
        <v>44812</v>
      </c>
      <c r="O2832" t="s">
        <v>324</v>
      </c>
      <c r="P2832" s="42">
        <v>44812</v>
      </c>
      <c r="Q2832" t="s">
        <v>324</v>
      </c>
      <c r="R2832" t="s">
        <v>329</v>
      </c>
      <c r="S2832" t="s">
        <v>323</v>
      </c>
      <c r="T2832">
        <v>7.6</v>
      </c>
      <c r="W2832" t="s">
        <v>330</v>
      </c>
      <c r="Y2832" s="42">
        <v>44817</v>
      </c>
    </row>
    <row r="2833" spans="14:25">
      <c r="N2833" s="42">
        <v>44736</v>
      </c>
      <c r="O2833" t="s">
        <v>346</v>
      </c>
      <c r="P2833" s="42">
        <v>44736</v>
      </c>
      <c r="Q2833" t="s">
        <v>346</v>
      </c>
      <c r="R2833" t="s">
        <v>320</v>
      </c>
      <c r="S2833" t="s">
        <v>323</v>
      </c>
      <c r="T2833">
        <v>7.6</v>
      </c>
      <c r="Y2833" s="42">
        <v>44747</v>
      </c>
    </row>
    <row r="2834" spans="14:25">
      <c r="N2834" s="42">
        <v>44735</v>
      </c>
      <c r="O2834" t="s">
        <v>324</v>
      </c>
      <c r="P2834" s="42">
        <v>44735</v>
      </c>
      <c r="Q2834" t="s">
        <v>324</v>
      </c>
      <c r="R2834" t="s">
        <v>320</v>
      </c>
      <c r="S2834" t="s">
        <v>323</v>
      </c>
      <c r="T2834">
        <v>7.6</v>
      </c>
      <c r="Y2834" s="42">
        <v>44747</v>
      </c>
    </row>
    <row r="2835" spans="14:25">
      <c r="N2835" s="42">
        <v>44715</v>
      </c>
      <c r="O2835" t="s">
        <v>346</v>
      </c>
      <c r="P2835" s="42">
        <v>44715</v>
      </c>
      <c r="Q2835" t="s">
        <v>346</v>
      </c>
      <c r="R2835" t="s">
        <v>320</v>
      </c>
      <c r="S2835" t="s">
        <v>323</v>
      </c>
      <c r="T2835">
        <v>7.6</v>
      </c>
      <c r="Y2835" s="42">
        <v>44719</v>
      </c>
    </row>
    <row r="2836" spans="14:25">
      <c r="N2836" s="42">
        <v>44714</v>
      </c>
      <c r="O2836" t="s">
        <v>324</v>
      </c>
      <c r="P2836" s="42">
        <v>44714</v>
      </c>
      <c r="Q2836" t="s">
        <v>324</v>
      </c>
      <c r="R2836" t="s">
        <v>320</v>
      </c>
      <c r="S2836" t="s">
        <v>323</v>
      </c>
      <c r="T2836">
        <v>7.6</v>
      </c>
      <c r="Y2836" s="42">
        <v>44719</v>
      </c>
    </row>
    <row r="2837" spans="14:25">
      <c r="N2837" s="42">
        <v>44712</v>
      </c>
      <c r="O2837" t="s">
        <v>333</v>
      </c>
      <c r="P2837" s="42">
        <v>44712</v>
      </c>
      <c r="Q2837" t="s">
        <v>333</v>
      </c>
      <c r="R2837" t="s">
        <v>320</v>
      </c>
      <c r="S2837" t="s">
        <v>323</v>
      </c>
      <c r="T2837">
        <v>7.6</v>
      </c>
      <c r="Y2837" s="42">
        <v>44719</v>
      </c>
    </row>
    <row r="2838" spans="14:25">
      <c r="N2838" s="42">
        <v>44708</v>
      </c>
      <c r="O2838" t="s">
        <v>346</v>
      </c>
      <c r="P2838" s="42">
        <v>44708</v>
      </c>
      <c r="Q2838" t="s">
        <v>346</v>
      </c>
      <c r="R2838" t="s">
        <v>320</v>
      </c>
      <c r="S2838" t="s">
        <v>323</v>
      </c>
      <c r="T2838">
        <v>7.6</v>
      </c>
      <c r="Y2838" s="42">
        <v>44719</v>
      </c>
    </row>
    <row r="2839" spans="14:25">
      <c r="N2839" s="42">
        <v>44707</v>
      </c>
      <c r="O2839" t="s">
        <v>324</v>
      </c>
      <c r="P2839" s="42">
        <v>44707</v>
      </c>
      <c r="Q2839" t="s">
        <v>324</v>
      </c>
      <c r="R2839" t="s">
        <v>329</v>
      </c>
      <c r="S2839" t="s">
        <v>323</v>
      </c>
      <c r="T2839">
        <v>7.6</v>
      </c>
      <c r="W2839" t="s">
        <v>330</v>
      </c>
      <c r="Y2839" s="42">
        <v>44719</v>
      </c>
    </row>
    <row r="2840" spans="14:25">
      <c r="N2840" s="42">
        <v>44677</v>
      </c>
      <c r="O2840" t="s">
        <v>333</v>
      </c>
      <c r="P2840" s="42">
        <v>44677</v>
      </c>
      <c r="Q2840" t="s">
        <v>333</v>
      </c>
      <c r="R2840" t="s">
        <v>329</v>
      </c>
      <c r="S2840" t="s">
        <v>323</v>
      </c>
      <c r="T2840">
        <v>7.5</v>
      </c>
      <c r="W2840" t="s">
        <v>330</v>
      </c>
      <c r="Y2840" s="42">
        <v>44677</v>
      </c>
    </row>
    <row r="2841" spans="14:25">
      <c r="N2841" s="42">
        <v>44666</v>
      </c>
      <c r="O2841" t="s">
        <v>346</v>
      </c>
      <c r="P2841" s="42">
        <v>44666</v>
      </c>
      <c r="Q2841" t="s">
        <v>346</v>
      </c>
      <c r="R2841" t="s">
        <v>320</v>
      </c>
      <c r="S2841" t="s">
        <v>323</v>
      </c>
      <c r="U2841">
        <v>7.6</v>
      </c>
    </row>
    <row r="2842" spans="14:25">
      <c r="N2842" s="42">
        <v>44665</v>
      </c>
      <c r="O2842" t="s">
        <v>324</v>
      </c>
      <c r="P2842" s="42">
        <v>44665</v>
      </c>
      <c r="Q2842" t="s">
        <v>324</v>
      </c>
      <c r="R2842" t="s">
        <v>320</v>
      </c>
      <c r="S2842" t="s">
        <v>323</v>
      </c>
      <c r="T2842">
        <v>7.6</v>
      </c>
      <c r="Y2842" s="42">
        <v>44677</v>
      </c>
    </row>
    <row r="2843" spans="14:25">
      <c r="N2843" s="42">
        <v>44642</v>
      </c>
      <c r="O2843" t="s">
        <v>333</v>
      </c>
      <c r="P2843" s="42">
        <v>44642</v>
      </c>
      <c r="Q2843" t="s">
        <v>333</v>
      </c>
      <c r="R2843" t="s">
        <v>320</v>
      </c>
      <c r="S2843" t="s">
        <v>323</v>
      </c>
      <c r="T2843">
        <v>2.5</v>
      </c>
      <c r="Y2843" s="42">
        <v>44649</v>
      </c>
    </row>
    <row r="2844" spans="14:25">
      <c r="N2844" s="42">
        <v>44628</v>
      </c>
      <c r="O2844" t="s">
        <v>333</v>
      </c>
      <c r="P2844" s="42">
        <v>44628</v>
      </c>
      <c r="Q2844" t="s">
        <v>333</v>
      </c>
      <c r="R2844" t="s">
        <v>329</v>
      </c>
      <c r="S2844" t="s">
        <v>323</v>
      </c>
      <c r="T2844">
        <v>7.6</v>
      </c>
      <c r="W2844" t="s">
        <v>330</v>
      </c>
      <c r="Y2844" s="42">
        <v>44635</v>
      </c>
    </row>
    <row r="2845" spans="14:25">
      <c r="N2845" s="42">
        <v>44624</v>
      </c>
      <c r="O2845" t="s">
        <v>346</v>
      </c>
      <c r="P2845" s="42">
        <v>44624</v>
      </c>
      <c r="Q2845" t="s">
        <v>346</v>
      </c>
      <c r="R2845" t="s">
        <v>320</v>
      </c>
      <c r="S2845" t="s">
        <v>323</v>
      </c>
      <c r="T2845">
        <v>3</v>
      </c>
      <c r="Y2845" s="42">
        <v>44635</v>
      </c>
    </row>
    <row r="2846" spans="14:25">
      <c r="N2846" s="42">
        <v>44603</v>
      </c>
      <c r="O2846" t="s">
        <v>346</v>
      </c>
      <c r="P2846" s="42">
        <v>44603</v>
      </c>
      <c r="Q2846" t="s">
        <v>346</v>
      </c>
      <c r="R2846" t="s">
        <v>329</v>
      </c>
      <c r="S2846" t="s">
        <v>323</v>
      </c>
      <c r="T2846">
        <v>7.6</v>
      </c>
      <c r="W2846" t="s">
        <v>330</v>
      </c>
      <c r="Y2846" s="42">
        <v>44607</v>
      </c>
    </row>
    <row r="2847" spans="14:25">
      <c r="N2847" s="42">
        <v>44602</v>
      </c>
      <c r="O2847" t="s">
        <v>324</v>
      </c>
      <c r="P2847" s="42">
        <v>44602</v>
      </c>
      <c r="Q2847" t="s">
        <v>324</v>
      </c>
      <c r="R2847" t="s">
        <v>329</v>
      </c>
      <c r="S2847" t="s">
        <v>323</v>
      </c>
      <c r="T2847">
        <v>7.6</v>
      </c>
      <c r="W2847" t="s">
        <v>330</v>
      </c>
      <c r="Y2847" s="42">
        <v>44607</v>
      </c>
    </row>
    <row r="2848" spans="14:25">
      <c r="N2848" s="42">
        <v>44600</v>
      </c>
      <c r="O2848" t="s">
        <v>333</v>
      </c>
      <c r="P2848" s="42">
        <v>44600</v>
      </c>
      <c r="Q2848" t="s">
        <v>333</v>
      </c>
      <c r="R2848" t="s">
        <v>329</v>
      </c>
      <c r="S2848" t="s">
        <v>323</v>
      </c>
      <c r="T2848">
        <v>4.5</v>
      </c>
      <c r="W2848" t="s">
        <v>330</v>
      </c>
      <c r="Y2848" s="42">
        <v>44607</v>
      </c>
    </row>
    <row r="2849" spans="14:25">
      <c r="N2849" s="42">
        <v>44593</v>
      </c>
      <c r="O2849" t="s">
        <v>333</v>
      </c>
      <c r="P2849" s="42">
        <v>44593</v>
      </c>
      <c r="Q2849" t="s">
        <v>333</v>
      </c>
      <c r="R2849" t="s">
        <v>320</v>
      </c>
      <c r="S2849" t="s">
        <v>323</v>
      </c>
      <c r="T2849">
        <v>7.6</v>
      </c>
      <c r="Y2849" s="42">
        <v>44593</v>
      </c>
    </row>
    <row r="2850" spans="14:25">
      <c r="N2850" s="42">
        <v>44585</v>
      </c>
      <c r="O2850" t="s">
        <v>345</v>
      </c>
      <c r="P2850" s="42">
        <v>44593</v>
      </c>
      <c r="Q2850" t="s">
        <v>333</v>
      </c>
      <c r="R2850" t="s">
        <v>383</v>
      </c>
      <c r="S2850" t="s">
        <v>323</v>
      </c>
      <c r="T2850">
        <v>53.2</v>
      </c>
      <c r="W2850" t="s">
        <v>339</v>
      </c>
      <c r="Y2850" s="42">
        <v>44593</v>
      </c>
    </row>
    <row r="2851" spans="14:25">
      <c r="N2851" s="42">
        <v>44567</v>
      </c>
      <c r="O2851" t="s">
        <v>324</v>
      </c>
      <c r="P2851" s="42">
        <v>44567</v>
      </c>
      <c r="Q2851" t="s">
        <v>324</v>
      </c>
      <c r="R2851" t="s">
        <v>320</v>
      </c>
      <c r="S2851" t="s">
        <v>323</v>
      </c>
      <c r="T2851">
        <v>7.6</v>
      </c>
      <c r="Y2851" s="42">
        <v>44579</v>
      </c>
    </row>
    <row r="2852" spans="14:25">
      <c r="N2852" s="42">
        <v>44565</v>
      </c>
      <c r="O2852" t="s">
        <v>333</v>
      </c>
      <c r="P2852" s="42">
        <v>44565</v>
      </c>
      <c r="Q2852" t="s">
        <v>333</v>
      </c>
      <c r="R2852" t="s">
        <v>320</v>
      </c>
      <c r="S2852" t="s">
        <v>323</v>
      </c>
      <c r="T2852">
        <v>7.6</v>
      </c>
      <c r="Y2852" s="42">
        <v>44565</v>
      </c>
    </row>
    <row r="2853" spans="14:25">
      <c r="N2853" s="42">
        <v>44561</v>
      </c>
      <c r="O2853" t="s">
        <v>346</v>
      </c>
      <c r="P2853" s="42">
        <v>44561</v>
      </c>
      <c r="Q2853" t="s">
        <v>346</v>
      </c>
      <c r="R2853" t="s">
        <v>320</v>
      </c>
      <c r="S2853" t="s">
        <v>323</v>
      </c>
      <c r="T2853">
        <v>7.6</v>
      </c>
      <c r="Y2853" s="42">
        <v>44565</v>
      </c>
    </row>
    <row r="2854" spans="14:25">
      <c r="N2854" s="42">
        <v>44558</v>
      </c>
      <c r="O2854" t="s">
        <v>333</v>
      </c>
      <c r="P2854" s="42">
        <v>44558</v>
      </c>
      <c r="Q2854" t="s">
        <v>333</v>
      </c>
      <c r="R2854" t="s">
        <v>320</v>
      </c>
      <c r="S2854" t="s">
        <v>323</v>
      </c>
      <c r="U2854">
        <v>7.6</v>
      </c>
    </row>
    <row r="2855" spans="14:25">
      <c r="N2855" s="42">
        <v>44502</v>
      </c>
      <c r="O2855" t="s">
        <v>333</v>
      </c>
      <c r="P2855" s="42">
        <v>44502</v>
      </c>
      <c r="Q2855" t="s">
        <v>333</v>
      </c>
      <c r="R2855" t="s">
        <v>320</v>
      </c>
      <c r="S2855" t="s">
        <v>323</v>
      </c>
      <c r="U2855">
        <v>7.6</v>
      </c>
    </row>
    <row r="2856" spans="14:25">
      <c r="N2856" s="42">
        <v>44498</v>
      </c>
      <c r="O2856" t="s">
        <v>346</v>
      </c>
      <c r="P2856" s="42">
        <v>44498</v>
      </c>
      <c r="Q2856" t="s">
        <v>346</v>
      </c>
      <c r="R2856" t="s">
        <v>329</v>
      </c>
      <c r="S2856" t="s">
        <v>323</v>
      </c>
      <c r="T2856">
        <v>7.6</v>
      </c>
      <c r="W2856" t="s">
        <v>330</v>
      </c>
      <c r="Y2856" s="42">
        <v>44509</v>
      </c>
    </row>
    <row r="2857" spans="14:25">
      <c r="N2857" s="42">
        <v>44497</v>
      </c>
      <c r="O2857" t="s">
        <v>324</v>
      </c>
      <c r="P2857" s="42">
        <v>44497</v>
      </c>
      <c r="Q2857" t="s">
        <v>324</v>
      </c>
      <c r="R2857" t="s">
        <v>329</v>
      </c>
      <c r="S2857" t="s">
        <v>323</v>
      </c>
      <c r="T2857">
        <v>7.6</v>
      </c>
      <c r="W2857" t="s">
        <v>330</v>
      </c>
      <c r="Y2857" s="42">
        <v>44509</v>
      </c>
    </row>
    <row r="2858" spans="14:25">
      <c r="N2858" s="42">
        <v>44495</v>
      </c>
      <c r="O2858" t="s">
        <v>333</v>
      </c>
      <c r="P2858" s="42">
        <v>44495</v>
      </c>
      <c r="Q2858" t="s">
        <v>333</v>
      </c>
      <c r="R2858" t="s">
        <v>329</v>
      </c>
      <c r="S2858" t="s">
        <v>323</v>
      </c>
      <c r="T2858">
        <v>7.6</v>
      </c>
      <c r="W2858" t="s">
        <v>330</v>
      </c>
      <c r="Y2858" s="42">
        <v>44495</v>
      </c>
    </row>
    <row r="2859" spans="14:25">
      <c r="N2859" s="42">
        <v>44491</v>
      </c>
      <c r="O2859" t="s">
        <v>346</v>
      </c>
      <c r="P2859" s="42">
        <v>44491</v>
      </c>
      <c r="Q2859" t="s">
        <v>346</v>
      </c>
      <c r="R2859" t="s">
        <v>329</v>
      </c>
      <c r="S2859" t="s">
        <v>323</v>
      </c>
      <c r="T2859">
        <v>7.6</v>
      </c>
      <c r="W2859" t="s">
        <v>330</v>
      </c>
      <c r="Y2859" s="42">
        <v>44495</v>
      </c>
    </row>
    <row r="2860" spans="14:25">
      <c r="N2860" s="42">
        <v>44490</v>
      </c>
      <c r="O2860" t="s">
        <v>324</v>
      </c>
      <c r="P2860" s="42">
        <v>44490</v>
      </c>
      <c r="Q2860" t="s">
        <v>324</v>
      </c>
      <c r="R2860" t="s">
        <v>329</v>
      </c>
      <c r="S2860" t="s">
        <v>323</v>
      </c>
      <c r="T2860">
        <v>7.6</v>
      </c>
      <c r="W2860" t="s">
        <v>330</v>
      </c>
      <c r="Y2860" s="42">
        <v>44495</v>
      </c>
    </row>
    <row r="2861" spans="14:25">
      <c r="N2861" s="42">
        <v>44470</v>
      </c>
      <c r="O2861" t="s">
        <v>346</v>
      </c>
      <c r="P2861" s="42">
        <v>44470</v>
      </c>
      <c r="Q2861" t="s">
        <v>346</v>
      </c>
      <c r="R2861" t="s">
        <v>329</v>
      </c>
      <c r="S2861" t="s">
        <v>323</v>
      </c>
      <c r="T2861">
        <v>7.6</v>
      </c>
      <c r="W2861" t="s">
        <v>330</v>
      </c>
      <c r="Y2861" s="42">
        <v>44481</v>
      </c>
    </row>
    <row r="2862" spans="14:25">
      <c r="N2862" s="42">
        <v>44463</v>
      </c>
      <c r="O2862" t="s">
        <v>346</v>
      </c>
      <c r="P2862" s="42">
        <v>44463</v>
      </c>
      <c r="Q2862" t="s">
        <v>346</v>
      </c>
      <c r="R2862" t="s">
        <v>320</v>
      </c>
      <c r="S2862" t="s">
        <v>323</v>
      </c>
      <c r="U2862">
        <v>7.6</v>
      </c>
    </row>
    <row r="2863" spans="14:25">
      <c r="N2863" s="42">
        <v>44435</v>
      </c>
      <c r="O2863" t="s">
        <v>346</v>
      </c>
      <c r="P2863" s="42">
        <v>44435</v>
      </c>
      <c r="Q2863" t="s">
        <v>346</v>
      </c>
      <c r="R2863" t="s">
        <v>320</v>
      </c>
      <c r="S2863" t="s">
        <v>323</v>
      </c>
      <c r="T2863">
        <v>7.6</v>
      </c>
      <c r="Y2863" s="42">
        <v>44439</v>
      </c>
    </row>
    <row r="2864" spans="14:25">
      <c r="N2864" s="42">
        <v>44393</v>
      </c>
      <c r="O2864" t="s">
        <v>346</v>
      </c>
      <c r="P2864" s="42">
        <v>44393</v>
      </c>
      <c r="Q2864" t="s">
        <v>346</v>
      </c>
      <c r="R2864" t="s">
        <v>329</v>
      </c>
      <c r="S2864" t="s">
        <v>323</v>
      </c>
      <c r="T2864">
        <v>7.6</v>
      </c>
      <c r="W2864" t="s">
        <v>330</v>
      </c>
      <c r="Y2864" s="42">
        <v>44397</v>
      </c>
    </row>
    <row r="2865" spans="14:25">
      <c r="N2865" s="42">
        <v>44386</v>
      </c>
      <c r="O2865" t="s">
        <v>346</v>
      </c>
      <c r="P2865" s="42">
        <v>44386</v>
      </c>
      <c r="Q2865" t="s">
        <v>346</v>
      </c>
      <c r="R2865" t="s">
        <v>320</v>
      </c>
      <c r="S2865" t="s">
        <v>323</v>
      </c>
      <c r="T2865">
        <v>7.6</v>
      </c>
      <c r="Y2865" s="42">
        <v>44397</v>
      </c>
    </row>
    <row r="2866" spans="14:25">
      <c r="N2866" s="42">
        <v>44385</v>
      </c>
      <c r="O2866" t="s">
        <v>324</v>
      </c>
      <c r="P2866" s="42">
        <v>44385</v>
      </c>
      <c r="Q2866" t="s">
        <v>324</v>
      </c>
      <c r="R2866" t="s">
        <v>320</v>
      </c>
      <c r="S2866" t="s">
        <v>323</v>
      </c>
      <c r="T2866">
        <v>7.6</v>
      </c>
      <c r="Y2866" s="42">
        <v>44397</v>
      </c>
    </row>
    <row r="2867" spans="14:25">
      <c r="N2867" s="42">
        <v>44376</v>
      </c>
      <c r="O2867" t="s">
        <v>333</v>
      </c>
      <c r="P2867" s="42">
        <v>44376</v>
      </c>
      <c r="Q2867" t="s">
        <v>333</v>
      </c>
      <c r="R2867" t="s">
        <v>320</v>
      </c>
      <c r="S2867" t="s">
        <v>323</v>
      </c>
      <c r="T2867">
        <v>7.6</v>
      </c>
      <c r="Y2867" s="42">
        <v>44383</v>
      </c>
    </row>
    <row r="2868" spans="14:25">
      <c r="N2868" s="42">
        <v>44372</v>
      </c>
      <c r="O2868" t="s">
        <v>346</v>
      </c>
      <c r="P2868" s="42">
        <v>44372</v>
      </c>
      <c r="Q2868" t="s">
        <v>346</v>
      </c>
      <c r="R2868" t="s">
        <v>329</v>
      </c>
      <c r="S2868" t="s">
        <v>323</v>
      </c>
      <c r="T2868">
        <v>6</v>
      </c>
      <c r="W2868" t="s">
        <v>330</v>
      </c>
      <c r="Y2868" s="42">
        <v>44383</v>
      </c>
    </row>
    <row r="2869" spans="14:25">
      <c r="N2869" s="42">
        <v>44334</v>
      </c>
      <c r="O2869" t="s">
        <v>333</v>
      </c>
      <c r="P2869" s="42">
        <v>44334</v>
      </c>
      <c r="Q2869" t="s">
        <v>333</v>
      </c>
      <c r="R2869" t="s">
        <v>329</v>
      </c>
      <c r="S2869" t="s">
        <v>323</v>
      </c>
      <c r="T2869">
        <v>7.6</v>
      </c>
      <c r="W2869" t="s">
        <v>330</v>
      </c>
      <c r="Y2869" s="42">
        <v>44341</v>
      </c>
    </row>
    <row r="2870" spans="14:25">
      <c r="N2870" s="42">
        <v>44302</v>
      </c>
      <c r="O2870" t="s">
        <v>346</v>
      </c>
      <c r="P2870" s="42">
        <v>44302</v>
      </c>
      <c r="Q2870" t="s">
        <v>346</v>
      </c>
      <c r="R2870" t="s">
        <v>329</v>
      </c>
      <c r="S2870" t="s">
        <v>323</v>
      </c>
      <c r="T2870">
        <v>7.6</v>
      </c>
      <c r="W2870" t="s">
        <v>330</v>
      </c>
      <c r="Y2870" s="42">
        <v>44313</v>
      </c>
    </row>
    <row r="2871" spans="14:25">
      <c r="N2871" s="42">
        <v>44288</v>
      </c>
      <c r="O2871" t="s">
        <v>346</v>
      </c>
      <c r="P2871" s="42">
        <v>44288</v>
      </c>
      <c r="Q2871" t="s">
        <v>346</v>
      </c>
      <c r="R2871" t="s">
        <v>320</v>
      </c>
      <c r="S2871" t="s">
        <v>323</v>
      </c>
      <c r="U2871">
        <v>7.6</v>
      </c>
    </row>
    <row r="2872" spans="14:25">
      <c r="N2872" s="42">
        <v>44239</v>
      </c>
      <c r="O2872" t="s">
        <v>346</v>
      </c>
      <c r="P2872" s="42">
        <v>44239</v>
      </c>
      <c r="Q2872" t="s">
        <v>346</v>
      </c>
      <c r="R2872" t="s">
        <v>329</v>
      </c>
      <c r="S2872" t="s">
        <v>323</v>
      </c>
      <c r="T2872">
        <v>3</v>
      </c>
      <c r="W2872" t="s">
        <v>330</v>
      </c>
      <c r="Y2872" s="42">
        <v>44243</v>
      </c>
    </row>
    <row r="2873" spans="14:25">
      <c r="N2873" s="42">
        <v>44232</v>
      </c>
      <c r="O2873" t="s">
        <v>346</v>
      </c>
      <c r="P2873" s="42">
        <v>44232</v>
      </c>
      <c r="Q2873" t="s">
        <v>346</v>
      </c>
      <c r="R2873" t="s">
        <v>320</v>
      </c>
      <c r="S2873" t="s">
        <v>323</v>
      </c>
      <c r="T2873">
        <v>7.6</v>
      </c>
      <c r="Y2873" s="42">
        <v>44243</v>
      </c>
    </row>
    <row r="2874" spans="14:25">
      <c r="N2874" s="42">
        <v>44229</v>
      </c>
      <c r="O2874" t="s">
        <v>333</v>
      </c>
      <c r="P2874" s="42">
        <v>44229</v>
      </c>
      <c r="Q2874" t="s">
        <v>333</v>
      </c>
      <c r="R2874" t="s">
        <v>320</v>
      </c>
      <c r="S2874" t="s">
        <v>323</v>
      </c>
      <c r="T2874">
        <v>7.6</v>
      </c>
      <c r="Y2874" s="42">
        <v>44229</v>
      </c>
    </row>
    <row r="2875" spans="14:25">
      <c r="N2875" s="42">
        <v>44224</v>
      </c>
      <c r="O2875" t="s">
        <v>324</v>
      </c>
      <c r="P2875" s="42">
        <v>44224</v>
      </c>
      <c r="Q2875" t="s">
        <v>324</v>
      </c>
      <c r="R2875" t="s">
        <v>354</v>
      </c>
      <c r="S2875" t="s">
        <v>323</v>
      </c>
      <c r="T2875">
        <v>7.6</v>
      </c>
      <c r="W2875" t="s">
        <v>339</v>
      </c>
      <c r="Y2875" s="42">
        <v>44229</v>
      </c>
    </row>
    <row r="2876" spans="14:25">
      <c r="N2876" s="42">
        <v>44222</v>
      </c>
      <c r="O2876" t="s">
        <v>333</v>
      </c>
      <c r="P2876" s="42">
        <v>44222</v>
      </c>
      <c r="Q2876" t="s">
        <v>333</v>
      </c>
      <c r="R2876" t="s">
        <v>320</v>
      </c>
      <c r="S2876" t="s">
        <v>323</v>
      </c>
      <c r="U2876">
        <v>7.6</v>
      </c>
    </row>
    <row r="2877" spans="14:25">
      <c r="N2877" s="42">
        <v>44197</v>
      </c>
      <c r="O2877" t="s">
        <v>346</v>
      </c>
      <c r="P2877" s="42">
        <v>44197</v>
      </c>
      <c r="Q2877" t="s">
        <v>346</v>
      </c>
      <c r="R2877" t="s">
        <v>320</v>
      </c>
      <c r="S2877" t="s">
        <v>323</v>
      </c>
      <c r="U2877">
        <v>7.6</v>
      </c>
    </row>
    <row r="2878" spans="14:25">
      <c r="N2878" s="42">
        <v>44196</v>
      </c>
      <c r="O2878" t="s">
        <v>324</v>
      </c>
      <c r="P2878" s="42">
        <v>44196</v>
      </c>
      <c r="Q2878" t="s">
        <v>324</v>
      </c>
      <c r="R2878" t="s">
        <v>320</v>
      </c>
      <c r="S2878" t="s">
        <v>323</v>
      </c>
      <c r="T2878">
        <v>7.6</v>
      </c>
      <c r="Y2878" s="42">
        <v>44201</v>
      </c>
    </row>
    <row r="2879" spans="14:25">
      <c r="N2879" s="42">
        <v>44194</v>
      </c>
      <c r="O2879" t="s">
        <v>333</v>
      </c>
      <c r="P2879" s="42">
        <v>44194</v>
      </c>
      <c r="Q2879" t="s">
        <v>333</v>
      </c>
      <c r="R2879" t="s">
        <v>320</v>
      </c>
      <c r="S2879" t="s">
        <v>323</v>
      </c>
      <c r="T2879">
        <v>7.6</v>
      </c>
      <c r="Y2879" s="42">
        <v>44201</v>
      </c>
    </row>
    <row r="2880" spans="14:25">
      <c r="N2880" s="42">
        <v>44190</v>
      </c>
      <c r="O2880" t="s">
        <v>346</v>
      </c>
      <c r="P2880" s="42">
        <v>44190</v>
      </c>
      <c r="Q2880" t="s">
        <v>346</v>
      </c>
      <c r="R2880" t="s">
        <v>320</v>
      </c>
      <c r="S2880" t="s">
        <v>323</v>
      </c>
      <c r="U2880">
        <v>7.6</v>
      </c>
    </row>
    <row r="2881" spans="14:25">
      <c r="N2881" s="42">
        <v>44189</v>
      </c>
      <c r="O2881" t="s">
        <v>324</v>
      </c>
      <c r="P2881" s="42">
        <v>44189</v>
      </c>
      <c r="Q2881" t="s">
        <v>324</v>
      </c>
      <c r="R2881" t="s">
        <v>320</v>
      </c>
      <c r="S2881" t="s">
        <v>323</v>
      </c>
      <c r="T2881">
        <v>7.6</v>
      </c>
      <c r="Y2881" s="42">
        <v>44201</v>
      </c>
    </row>
    <row r="2882" spans="14:25">
      <c r="N2882" s="42">
        <v>44138</v>
      </c>
      <c r="O2882" t="s">
        <v>333</v>
      </c>
      <c r="P2882" s="42">
        <v>44138</v>
      </c>
      <c r="Q2882" t="s">
        <v>333</v>
      </c>
      <c r="R2882" t="s">
        <v>320</v>
      </c>
      <c r="S2882" t="s">
        <v>323</v>
      </c>
      <c r="U2882">
        <v>7.6</v>
      </c>
    </row>
    <row r="2883" spans="14:25">
      <c r="N2883" s="42">
        <v>44127</v>
      </c>
      <c r="O2883" t="s">
        <v>346</v>
      </c>
      <c r="P2883" s="42">
        <v>44127</v>
      </c>
      <c r="Q2883" t="s">
        <v>346</v>
      </c>
      <c r="R2883" t="s">
        <v>320</v>
      </c>
      <c r="S2883" t="s">
        <v>323</v>
      </c>
      <c r="U2883">
        <v>7.6</v>
      </c>
    </row>
    <row r="2884" spans="14:25">
      <c r="N2884" s="42">
        <v>44120</v>
      </c>
      <c r="O2884" t="s">
        <v>346</v>
      </c>
      <c r="P2884" s="42">
        <v>44120</v>
      </c>
      <c r="Q2884" t="s">
        <v>346</v>
      </c>
      <c r="R2884" t="s">
        <v>329</v>
      </c>
      <c r="S2884" t="s">
        <v>323</v>
      </c>
      <c r="T2884">
        <v>7.6</v>
      </c>
      <c r="W2884" t="s">
        <v>330</v>
      </c>
      <c r="Y2884" s="42">
        <v>44131</v>
      </c>
    </row>
    <row r="2885" spans="14:25">
      <c r="N2885" s="42">
        <v>44119</v>
      </c>
      <c r="O2885" t="s">
        <v>324</v>
      </c>
      <c r="P2885" s="42">
        <v>44119</v>
      </c>
      <c r="Q2885" t="s">
        <v>324</v>
      </c>
      <c r="R2885" t="s">
        <v>329</v>
      </c>
      <c r="S2885" t="s">
        <v>323</v>
      </c>
      <c r="T2885">
        <v>7.6</v>
      </c>
      <c r="W2885" t="s">
        <v>330</v>
      </c>
      <c r="Y2885" s="42">
        <v>44131</v>
      </c>
    </row>
    <row r="2886" spans="14:25">
      <c r="N2886" s="42">
        <v>44117</v>
      </c>
      <c r="O2886" t="s">
        <v>333</v>
      </c>
      <c r="P2886" s="42">
        <v>44117</v>
      </c>
      <c r="Q2886" t="s">
        <v>333</v>
      </c>
      <c r="R2886" t="s">
        <v>329</v>
      </c>
      <c r="S2886" t="s">
        <v>323</v>
      </c>
      <c r="T2886">
        <v>7.6</v>
      </c>
      <c r="W2886" t="s">
        <v>330</v>
      </c>
      <c r="Y2886" s="42">
        <v>44117</v>
      </c>
    </row>
    <row r="2887" spans="14:25">
      <c r="N2887" s="42">
        <v>44009</v>
      </c>
      <c r="O2887" t="s">
        <v>359</v>
      </c>
      <c r="P2887" s="42">
        <v>44009</v>
      </c>
      <c r="Q2887" t="s">
        <v>359</v>
      </c>
      <c r="R2887" t="s">
        <v>320</v>
      </c>
      <c r="S2887" t="s">
        <v>323</v>
      </c>
      <c r="T2887">
        <v>7.6</v>
      </c>
      <c r="Y2887" s="42">
        <v>44019</v>
      </c>
    </row>
    <row r="2888" spans="14:25">
      <c r="N2888" s="42">
        <v>44008</v>
      </c>
      <c r="O2888" t="s">
        <v>346</v>
      </c>
      <c r="P2888" s="42">
        <v>44008</v>
      </c>
      <c r="Q2888" t="s">
        <v>346</v>
      </c>
      <c r="R2888" t="s">
        <v>320</v>
      </c>
      <c r="S2888" t="s">
        <v>323</v>
      </c>
      <c r="T2888">
        <v>7.6</v>
      </c>
      <c r="Y2888" s="42">
        <v>44019</v>
      </c>
    </row>
    <row r="2889" spans="14:25">
      <c r="N2889" s="42">
        <v>44001</v>
      </c>
      <c r="O2889" t="s">
        <v>346</v>
      </c>
      <c r="P2889" s="42">
        <v>44001</v>
      </c>
      <c r="Q2889" t="s">
        <v>346</v>
      </c>
      <c r="R2889" t="s">
        <v>329</v>
      </c>
      <c r="S2889" t="s">
        <v>323</v>
      </c>
      <c r="T2889">
        <v>7.6</v>
      </c>
      <c r="W2889" t="s">
        <v>330</v>
      </c>
      <c r="Y2889" s="42">
        <v>44005</v>
      </c>
    </row>
    <row r="2890" spans="14:25">
      <c r="N2890" s="42">
        <v>43999</v>
      </c>
      <c r="O2890" t="s">
        <v>328</v>
      </c>
      <c r="P2890" s="42">
        <v>43999</v>
      </c>
      <c r="Q2890" t="s">
        <v>328</v>
      </c>
      <c r="R2890" t="s">
        <v>329</v>
      </c>
      <c r="S2890" t="s">
        <v>323</v>
      </c>
      <c r="T2890">
        <v>7.6</v>
      </c>
      <c r="W2890" t="s">
        <v>330</v>
      </c>
      <c r="Y2890" s="42">
        <v>44005</v>
      </c>
    </row>
    <row r="2891" spans="14:25">
      <c r="N2891" s="42">
        <v>43994</v>
      </c>
      <c r="O2891" t="s">
        <v>346</v>
      </c>
      <c r="P2891" s="42">
        <v>43994</v>
      </c>
      <c r="Q2891" t="s">
        <v>346</v>
      </c>
      <c r="R2891" t="s">
        <v>320</v>
      </c>
      <c r="S2891" t="s">
        <v>323</v>
      </c>
      <c r="T2891">
        <v>7.6</v>
      </c>
      <c r="Y2891" s="42">
        <v>44005</v>
      </c>
    </row>
    <row r="2892" spans="14:25">
      <c r="N2892" s="42">
        <v>43992</v>
      </c>
      <c r="O2892" t="s">
        <v>328</v>
      </c>
      <c r="P2892" s="42">
        <v>43992</v>
      </c>
      <c r="Q2892" t="s">
        <v>328</v>
      </c>
      <c r="R2892" t="s">
        <v>320</v>
      </c>
      <c r="S2892" t="s">
        <v>323</v>
      </c>
      <c r="T2892">
        <v>7.6</v>
      </c>
      <c r="Y2892" s="42">
        <v>44005</v>
      </c>
    </row>
    <row r="2893" spans="14:25">
      <c r="N2893" s="42">
        <v>43973</v>
      </c>
      <c r="O2893" t="s">
        <v>346</v>
      </c>
      <c r="P2893" s="42">
        <v>43973</v>
      </c>
      <c r="Q2893" t="s">
        <v>346</v>
      </c>
      <c r="R2893" t="s">
        <v>320</v>
      </c>
      <c r="S2893" t="s">
        <v>323</v>
      </c>
      <c r="T2893">
        <v>7.6</v>
      </c>
      <c r="Y2893" s="42">
        <v>43977</v>
      </c>
    </row>
    <row r="2894" spans="14:25">
      <c r="N2894" s="42">
        <v>43936</v>
      </c>
      <c r="O2894" t="s">
        <v>328</v>
      </c>
      <c r="P2894" s="42">
        <v>43936</v>
      </c>
      <c r="Q2894" t="s">
        <v>328</v>
      </c>
      <c r="R2894" t="s">
        <v>329</v>
      </c>
      <c r="S2894" t="s">
        <v>323</v>
      </c>
      <c r="T2894">
        <v>7.6</v>
      </c>
      <c r="W2894" t="s">
        <v>330</v>
      </c>
      <c r="Y2894" s="42">
        <v>43949</v>
      </c>
    </row>
    <row r="2895" spans="14:25">
      <c r="N2895" s="42">
        <v>43896</v>
      </c>
      <c r="O2895" t="s">
        <v>346</v>
      </c>
      <c r="P2895" s="42">
        <v>43896</v>
      </c>
      <c r="Q2895" t="s">
        <v>346</v>
      </c>
      <c r="R2895" t="s">
        <v>320</v>
      </c>
      <c r="S2895" t="s">
        <v>323</v>
      </c>
      <c r="T2895">
        <v>7.6</v>
      </c>
      <c r="Y2895" s="42">
        <v>43907</v>
      </c>
    </row>
    <row r="2896" spans="14:25">
      <c r="N2896" s="42">
        <v>43894</v>
      </c>
      <c r="O2896" t="s">
        <v>328</v>
      </c>
      <c r="P2896" s="42">
        <v>43894</v>
      </c>
      <c r="Q2896" t="s">
        <v>328</v>
      </c>
      <c r="R2896" t="s">
        <v>329</v>
      </c>
      <c r="S2896" t="s">
        <v>323</v>
      </c>
      <c r="T2896">
        <v>7.6</v>
      </c>
      <c r="W2896" t="s">
        <v>330</v>
      </c>
      <c r="Y2896" s="42">
        <v>43907</v>
      </c>
    </row>
    <row r="2897" spans="1:25">
      <c r="N2897" s="42">
        <v>43855</v>
      </c>
      <c r="O2897" t="s">
        <v>359</v>
      </c>
      <c r="P2897" s="42">
        <v>43855</v>
      </c>
      <c r="Q2897" t="s">
        <v>359</v>
      </c>
      <c r="R2897" t="s">
        <v>329</v>
      </c>
      <c r="S2897" t="s">
        <v>323</v>
      </c>
      <c r="T2897">
        <v>7.6</v>
      </c>
      <c r="W2897" t="s">
        <v>330</v>
      </c>
      <c r="Y2897" s="42">
        <v>43865</v>
      </c>
    </row>
    <row r="2898" spans="1:25">
      <c r="N2898" s="42">
        <v>43854</v>
      </c>
      <c r="O2898" t="s">
        <v>346</v>
      </c>
      <c r="P2898" s="42">
        <v>43854</v>
      </c>
      <c r="Q2898" t="s">
        <v>346</v>
      </c>
      <c r="R2898" t="s">
        <v>329</v>
      </c>
      <c r="S2898" t="s">
        <v>323</v>
      </c>
      <c r="T2898">
        <v>7.6</v>
      </c>
      <c r="W2898" t="s">
        <v>330</v>
      </c>
      <c r="Y2898" s="42">
        <v>43865</v>
      </c>
    </row>
    <row r="2899" spans="1:25">
      <c r="N2899" s="42">
        <v>43826</v>
      </c>
      <c r="O2899" t="s">
        <v>346</v>
      </c>
      <c r="P2899" s="42">
        <v>43826</v>
      </c>
      <c r="Q2899" t="s">
        <v>346</v>
      </c>
      <c r="R2899" t="s">
        <v>320</v>
      </c>
      <c r="S2899" t="s">
        <v>323</v>
      </c>
      <c r="T2899">
        <v>7.6</v>
      </c>
      <c r="Y2899" s="42">
        <v>43837</v>
      </c>
    </row>
    <row r="2900" spans="1:25">
      <c r="N2900" s="42">
        <v>43789</v>
      </c>
      <c r="O2900" t="s">
        <v>328</v>
      </c>
      <c r="P2900" s="42">
        <v>43789</v>
      </c>
      <c r="Q2900" t="s">
        <v>328</v>
      </c>
      <c r="R2900" t="s">
        <v>329</v>
      </c>
      <c r="S2900" t="s">
        <v>323</v>
      </c>
      <c r="T2900">
        <v>7.6</v>
      </c>
      <c r="W2900" t="s">
        <v>330</v>
      </c>
      <c r="Y2900" s="42">
        <v>43795</v>
      </c>
    </row>
    <row r="2901" spans="1:25">
      <c r="N2901" s="42">
        <v>43770</v>
      </c>
      <c r="O2901" t="s">
        <v>346</v>
      </c>
      <c r="P2901" s="42">
        <v>43770</v>
      </c>
      <c r="Q2901" t="s">
        <v>346</v>
      </c>
      <c r="R2901" t="s">
        <v>329</v>
      </c>
      <c r="S2901" t="s">
        <v>323</v>
      </c>
      <c r="T2901">
        <v>7.6</v>
      </c>
      <c r="W2901" t="s">
        <v>330</v>
      </c>
      <c r="Y2901" s="42">
        <v>43781</v>
      </c>
    </row>
    <row r="2902" spans="1:25">
      <c r="N2902" s="42">
        <v>43757</v>
      </c>
      <c r="O2902" t="s">
        <v>359</v>
      </c>
      <c r="P2902" s="42">
        <v>43757</v>
      </c>
      <c r="Q2902" t="s">
        <v>359</v>
      </c>
      <c r="R2902" t="s">
        <v>320</v>
      </c>
      <c r="S2902" t="s">
        <v>323</v>
      </c>
      <c r="T2902">
        <v>7.6</v>
      </c>
      <c r="Y2902" s="42">
        <v>43767</v>
      </c>
    </row>
    <row r="2903" spans="1:25">
      <c r="N2903" s="42">
        <v>43714</v>
      </c>
      <c r="O2903" t="s">
        <v>346</v>
      </c>
      <c r="P2903" s="42">
        <v>43714</v>
      </c>
      <c r="Q2903" t="s">
        <v>346</v>
      </c>
      <c r="R2903" t="s">
        <v>329</v>
      </c>
      <c r="S2903" t="s">
        <v>323</v>
      </c>
      <c r="T2903">
        <v>7.6</v>
      </c>
      <c r="W2903" t="s">
        <v>330</v>
      </c>
      <c r="Y2903" s="42">
        <v>43725</v>
      </c>
    </row>
    <row r="2904" spans="1:25">
      <c r="N2904" s="42">
        <v>43665</v>
      </c>
      <c r="O2904" t="s">
        <v>346</v>
      </c>
      <c r="P2904" s="42">
        <v>43666</v>
      </c>
      <c r="Q2904" t="s">
        <v>359</v>
      </c>
      <c r="R2904" t="s">
        <v>329</v>
      </c>
      <c r="S2904" t="s">
        <v>323</v>
      </c>
      <c r="T2904">
        <v>12.76</v>
      </c>
      <c r="W2904" t="s">
        <v>330</v>
      </c>
      <c r="Y2904" s="42">
        <v>43669</v>
      </c>
    </row>
    <row r="2905" spans="1:25">
      <c r="N2905" s="42">
        <v>43637</v>
      </c>
      <c r="O2905" t="s">
        <v>346</v>
      </c>
      <c r="P2905" s="42">
        <v>43637</v>
      </c>
      <c r="Q2905" t="s">
        <v>346</v>
      </c>
      <c r="R2905" t="s">
        <v>329</v>
      </c>
      <c r="S2905" t="s">
        <v>323</v>
      </c>
      <c r="T2905">
        <v>7.6</v>
      </c>
      <c r="W2905" t="s">
        <v>330</v>
      </c>
      <c r="Y2905" s="42">
        <v>43655</v>
      </c>
    </row>
    <row r="2906" spans="1:25">
      <c r="A2906">
        <v>18619</v>
      </c>
      <c r="B2906" t="s">
        <v>388</v>
      </c>
      <c r="C2906" t="s">
        <v>320</v>
      </c>
      <c r="D2906" t="s">
        <v>336</v>
      </c>
      <c r="E2906" t="s">
        <v>337</v>
      </c>
      <c r="F2906">
        <v>1</v>
      </c>
      <c r="G2906" s="42">
        <v>45002</v>
      </c>
      <c r="H2906">
        <v>152</v>
      </c>
      <c r="I2906">
        <v>-40.220700000000001</v>
      </c>
      <c r="J2906">
        <v>146.58629999999999</v>
      </c>
      <c r="K2906">
        <v>106.3656</v>
      </c>
      <c r="L2906" t="s">
        <v>323</v>
      </c>
      <c r="M2906" s="43">
        <v>0.34097222222222223</v>
      </c>
      <c r="N2906" s="42">
        <v>44980</v>
      </c>
      <c r="O2906" t="s">
        <v>324</v>
      </c>
      <c r="P2906" s="42">
        <v>44980</v>
      </c>
      <c r="Q2906" t="s">
        <v>324</v>
      </c>
      <c r="R2906" t="s">
        <v>329</v>
      </c>
      <c r="S2906" t="s">
        <v>323</v>
      </c>
      <c r="T2906">
        <v>7.6</v>
      </c>
      <c r="W2906" t="s">
        <v>339</v>
      </c>
      <c r="Y2906" s="42">
        <v>44985</v>
      </c>
    </row>
    <row r="2907" spans="1:25">
      <c r="C2907" t="s">
        <v>325</v>
      </c>
      <c r="D2907" t="s">
        <v>352</v>
      </c>
      <c r="E2907" t="s">
        <v>353</v>
      </c>
      <c r="F2907">
        <v>1</v>
      </c>
      <c r="G2907" s="42">
        <v>45368</v>
      </c>
      <c r="H2907">
        <v>329.2056</v>
      </c>
      <c r="I2907">
        <v>0</v>
      </c>
      <c r="J2907">
        <v>295.03579999999999</v>
      </c>
      <c r="K2907">
        <v>295.03579999999999</v>
      </c>
      <c r="L2907" t="s">
        <v>323</v>
      </c>
      <c r="N2907" s="42">
        <v>44953</v>
      </c>
      <c r="O2907" t="s">
        <v>346</v>
      </c>
      <c r="P2907" s="42">
        <v>44955</v>
      </c>
      <c r="Q2907" t="s">
        <v>344</v>
      </c>
      <c r="R2907" t="s">
        <v>320</v>
      </c>
      <c r="S2907" t="s">
        <v>323</v>
      </c>
      <c r="T2907">
        <v>7.6</v>
      </c>
      <c r="V2907">
        <v>0</v>
      </c>
      <c r="Y2907" s="42">
        <v>44957</v>
      </c>
    </row>
    <row r="2908" spans="1:25">
      <c r="C2908" t="s">
        <v>329</v>
      </c>
      <c r="D2908" t="s">
        <v>342</v>
      </c>
      <c r="E2908" t="s">
        <v>343</v>
      </c>
      <c r="F2908">
        <v>1</v>
      </c>
      <c r="G2908" s="42">
        <v>45002</v>
      </c>
      <c r="H2908">
        <v>76</v>
      </c>
      <c r="I2908">
        <v>159.9391</v>
      </c>
      <c r="J2908">
        <v>73.293199999999999</v>
      </c>
      <c r="K2908">
        <v>233.23230000000001</v>
      </c>
      <c r="L2908" t="s">
        <v>323</v>
      </c>
      <c r="N2908" s="42">
        <v>44952</v>
      </c>
      <c r="O2908" t="s">
        <v>324</v>
      </c>
      <c r="P2908" s="42">
        <v>44952</v>
      </c>
      <c r="Q2908" t="s">
        <v>324</v>
      </c>
      <c r="R2908" t="s">
        <v>320</v>
      </c>
      <c r="S2908" t="s">
        <v>323</v>
      </c>
      <c r="U2908">
        <v>7.6</v>
      </c>
      <c r="Y2908" s="42">
        <v>44957</v>
      </c>
    </row>
    <row r="2909" spans="1:25">
      <c r="N2909" s="42">
        <v>44928</v>
      </c>
      <c r="O2909" t="s">
        <v>345</v>
      </c>
      <c r="P2909" s="42">
        <v>44928</v>
      </c>
      <c r="Q2909" t="s">
        <v>345</v>
      </c>
      <c r="R2909" t="s">
        <v>320</v>
      </c>
      <c r="S2909" t="s">
        <v>323</v>
      </c>
      <c r="U2909">
        <v>7.6</v>
      </c>
      <c r="Y2909" s="42">
        <v>44929</v>
      </c>
    </row>
    <row r="2910" spans="1:25">
      <c r="N2910" s="42">
        <v>44916</v>
      </c>
      <c r="O2910" t="s">
        <v>328</v>
      </c>
      <c r="P2910" s="42">
        <v>44923</v>
      </c>
      <c r="Q2910" t="s">
        <v>328</v>
      </c>
      <c r="R2910" t="s">
        <v>320</v>
      </c>
      <c r="S2910" t="s">
        <v>323</v>
      </c>
      <c r="T2910">
        <v>30.4</v>
      </c>
      <c r="U2910">
        <v>15.2</v>
      </c>
      <c r="V2910">
        <v>0</v>
      </c>
      <c r="Y2910" s="42">
        <v>44929</v>
      </c>
    </row>
    <row r="2911" spans="1:25">
      <c r="N2911" s="42">
        <v>44907</v>
      </c>
      <c r="O2911" t="s">
        <v>345</v>
      </c>
      <c r="P2911" s="42">
        <v>44915</v>
      </c>
      <c r="Q2911" t="s">
        <v>333</v>
      </c>
      <c r="R2911" t="s">
        <v>320</v>
      </c>
      <c r="S2911" t="s">
        <v>323</v>
      </c>
      <c r="T2911">
        <v>53.2</v>
      </c>
      <c r="U2911">
        <v>0</v>
      </c>
      <c r="V2911">
        <v>0</v>
      </c>
      <c r="Y2911" s="42">
        <v>44915</v>
      </c>
    </row>
    <row r="2912" spans="1:25">
      <c r="N2912" s="42">
        <v>44883</v>
      </c>
      <c r="O2912" t="s">
        <v>346</v>
      </c>
      <c r="P2912" s="42">
        <v>44883</v>
      </c>
      <c r="Q2912" t="s">
        <v>346</v>
      </c>
      <c r="R2912" t="s">
        <v>320</v>
      </c>
      <c r="S2912" t="s">
        <v>323</v>
      </c>
      <c r="T2912">
        <v>7.6</v>
      </c>
      <c r="U2912">
        <v>0</v>
      </c>
    </row>
    <row r="2913" spans="14:25">
      <c r="N2913" s="42">
        <v>44858</v>
      </c>
      <c r="O2913" t="s">
        <v>345</v>
      </c>
      <c r="P2913" s="42">
        <v>44859</v>
      </c>
      <c r="Q2913" t="s">
        <v>333</v>
      </c>
      <c r="R2913" t="s">
        <v>320</v>
      </c>
      <c r="S2913" t="s">
        <v>323</v>
      </c>
      <c r="T2913">
        <v>15.2</v>
      </c>
      <c r="V2913">
        <v>0</v>
      </c>
      <c r="Y2913" s="42">
        <v>44859</v>
      </c>
    </row>
    <row r="2914" spans="14:25">
      <c r="N2914" s="42">
        <v>44837</v>
      </c>
      <c r="O2914" t="s">
        <v>345</v>
      </c>
      <c r="P2914" s="42">
        <v>44837</v>
      </c>
      <c r="Q2914" t="s">
        <v>345</v>
      </c>
      <c r="R2914" t="s">
        <v>320</v>
      </c>
      <c r="S2914" t="s">
        <v>323</v>
      </c>
      <c r="U2914">
        <v>7.6</v>
      </c>
      <c r="Y2914" s="42">
        <v>44845</v>
      </c>
    </row>
    <row r="2915" spans="14:25">
      <c r="N2915" s="42">
        <v>44826</v>
      </c>
      <c r="O2915" t="s">
        <v>324</v>
      </c>
      <c r="P2915" s="42">
        <v>44826</v>
      </c>
      <c r="Q2915" t="s">
        <v>324</v>
      </c>
      <c r="R2915" t="s">
        <v>320</v>
      </c>
      <c r="S2915" t="s">
        <v>323</v>
      </c>
      <c r="U2915">
        <v>7.6</v>
      </c>
      <c r="Y2915" s="42">
        <v>44831</v>
      </c>
    </row>
    <row r="2916" spans="14:25">
      <c r="N2916" s="42">
        <v>44813</v>
      </c>
      <c r="O2916" t="s">
        <v>346</v>
      </c>
      <c r="P2916" s="42">
        <v>44813</v>
      </c>
      <c r="Q2916" t="s">
        <v>346</v>
      </c>
      <c r="R2916" t="s">
        <v>320</v>
      </c>
      <c r="S2916" t="s">
        <v>323</v>
      </c>
      <c r="T2916">
        <v>7.6</v>
      </c>
      <c r="V2916">
        <v>0</v>
      </c>
      <c r="Y2916" s="42">
        <v>44817</v>
      </c>
    </row>
    <row r="2917" spans="14:25">
      <c r="N2917" s="42">
        <v>44809</v>
      </c>
      <c r="O2917" t="s">
        <v>345</v>
      </c>
      <c r="P2917" s="42">
        <v>44809</v>
      </c>
      <c r="Q2917" t="s">
        <v>345</v>
      </c>
      <c r="R2917" t="s">
        <v>320</v>
      </c>
      <c r="S2917" t="s">
        <v>323</v>
      </c>
      <c r="T2917">
        <v>7.6</v>
      </c>
      <c r="V2917">
        <v>0</v>
      </c>
      <c r="Y2917" s="42">
        <v>44817</v>
      </c>
    </row>
    <row r="2918" spans="14:25">
      <c r="N2918" s="42">
        <v>44802</v>
      </c>
      <c r="O2918" t="s">
        <v>345</v>
      </c>
      <c r="P2918" s="42">
        <v>44802</v>
      </c>
      <c r="Q2918" t="s">
        <v>345</v>
      </c>
      <c r="R2918" t="s">
        <v>329</v>
      </c>
      <c r="S2918" t="s">
        <v>323</v>
      </c>
      <c r="T2918">
        <v>7.6</v>
      </c>
      <c r="W2918" t="s">
        <v>339</v>
      </c>
      <c r="Y2918" s="42">
        <v>44803</v>
      </c>
    </row>
    <row r="2919" spans="14:25">
      <c r="N2919" s="42">
        <v>44764</v>
      </c>
      <c r="O2919" t="s">
        <v>346</v>
      </c>
      <c r="P2919" s="42">
        <v>44767</v>
      </c>
      <c r="Q2919" t="s">
        <v>345</v>
      </c>
      <c r="R2919" t="s">
        <v>320</v>
      </c>
      <c r="S2919" t="s">
        <v>323</v>
      </c>
      <c r="T2919">
        <v>15.2</v>
      </c>
      <c r="V2919">
        <v>0</v>
      </c>
      <c r="Y2919" s="42">
        <v>44775</v>
      </c>
    </row>
    <row r="2920" spans="14:25">
      <c r="N2920" s="42">
        <v>44746</v>
      </c>
      <c r="O2920" t="s">
        <v>345</v>
      </c>
      <c r="P2920" s="42">
        <v>44746</v>
      </c>
      <c r="Q2920" t="s">
        <v>345</v>
      </c>
      <c r="R2920" t="s">
        <v>329</v>
      </c>
      <c r="S2920" t="s">
        <v>323</v>
      </c>
      <c r="T2920">
        <v>7.6</v>
      </c>
      <c r="W2920" t="s">
        <v>339</v>
      </c>
      <c r="Y2920" s="42">
        <v>44747</v>
      </c>
    </row>
    <row r="2921" spans="14:25">
      <c r="N2921" s="42">
        <v>44726</v>
      </c>
      <c r="O2921" t="s">
        <v>333</v>
      </c>
      <c r="P2921" s="42">
        <v>44726</v>
      </c>
      <c r="Q2921" t="s">
        <v>333</v>
      </c>
      <c r="R2921" t="s">
        <v>320</v>
      </c>
      <c r="S2921" t="s">
        <v>323</v>
      </c>
      <c r="T2921">
        <v>4</v>
      </c>
      <c r="Y2921" s="42">
        <v>44733</v>
      </c>
    </row>
    <row r="2922" spans="14:25">
      <c r="N2922" s="42">
        <v>44725</v>
      </c>
      <c r="O2922" t="s">
        <v>345</v>
      </c>
      <c r="P2922" s="42">
        <v>44725</v>
      </c>
      <c r="Q2922" t="s">
        <v>345</v>
      </c>
      <c r="R2922" t="s">
        <v>320</v>
      </c>
      <c r="S2922" t="s">
        <v>323</v>
      </c>
      <c r="U2922">
        <v>7.6</v>
      </c>
      <c r="Y2922" s="42">
        <v>44733</v>
      </c>
    </row>
    <row r="2923" spans="14:25">
      <c r="N2923" s="42">
        <v>44685</v>
      </c>
      <c r="O2923" t="s">
        <v>328</v>
      </c>
      <c r="P2923" s="42">
        <v>44685</v>
      </c>
      <c r="Q2923" t="s">
        <v>328</v>
      </c>
      <c r="R2923" t="s">
        <v>320</v>
      </c>
      <c r="S2923" t="s">
        <v>323</v>
      </c>
      <c r="T2923">
        <v>7.6</v>
      </c>
      <c r="V2923">
        <v>0</v>
      </c>
      <c r="Y2923" s="42">
        <v>44691</v>
      </c>
    </row>
    <row r="2924" spans="14:25">
      <c r="N2924" s="42">
        <v>44676</v>
      </c>
      <c r="O2924" t="s">
        <v>345</v>
      </c>
      <c r="P2924" s="42">
        <v>44676</v>
      </c>
      <c r="Q2924" t="s">
        <v>345</v>
      </c>
      <c r="R2924" t="s">
        <v>320</v>
      </c>
      <c r="S2924" t="s">
        <v>323</v>
      </c>
      <c r="U2924">
        <v>7.6</v>
      </c>
      <c r="Y2924" s="42">
        <v>44677</v>
      </c>
    </row>
    <row r="2925" spans="14:25">
      <c r="N2925" s="42">
        <v>44673</v>
      </c>
      <c r="O2925" t="s">
        <v>346</v>
      </c>
      <c r="P2925" s="42">
        <v>44673</v>
      </c>
      <c r="Q2925" t="s">
        <v>346</v>
      </c>
      <c r="R2925" t="s">
        <v>320</v>
      </c>
      <c r="S2925" t="s">
        <v>323</v>
      </c>
      <c r="T2925">
        <v>7.6</v>
      </c>
      <c r="V2925">
        <v>0</v>
      </c>
      <c r="Y2925" s="42">
        <v>44677</v>
      </c>
    </row>
    <row r="2926" spans="14:25">
      <c r="N2926" s="42">
        <v>44669</v>
      </c>
      <c r="O2926" t="s">
        <v>345</v>
      </c>
      <c r="P2926" s="42">
        <v>44669</v>
      </c>
      <c r="Q2926" t="s">
        <v>345</v>
      </c>
      <c r="R2926" t="s">
        <v>320</v>
      </c>
      <c r="S2926" t="s">
        <v>323</v>
      </c>
      <c r="U2926">
        <v>7.6</v>
      </c>
      <c r="Y2926" s="42">
        <v>44677</v>
      </c>
    </row>
    <row r="2927" spans="14:25">
      <c r="N2927" s="42">
        <v>44666</v>
      </c>
      <c r="O2927" t="s">
        <v>346</v>
      </c>
      <c r="P2927" s="42">
        <v>44666</v>
      </c>
      <c r="Q2927" t="s">
        <v>346</v>
      </c>
      <c r="R2927" t="s">
        <v>320</v>
      </c>
      <c r="S2927" t="s">
        <v>323</v>
      </c>
      <c r="U2927">
        <v>7.6</v>
      </c>
      <c r="Y2927" s="42">
        <v>44677</v>
      </c>
    </row>
    <row r="2928" spans="14:25">
      <c r="N2928" s="42">
        <v>44656</v>
      </c>
      <c r="O2928" t="s">
        <v>333</v>
      </c>
      <c r="P2928" s="42">
        <v>44657</v>
      </c>
      <c r="Q2928" t="s">
        <v>328</v>
      </c>
      <c r="R2928" t="s">
        <v>329</v>
      </c>
      <c r="S2928" t="s">
        <v>323</v>
      </c>
      <c r="T2928">
        <v>11.6</v>
      </c>
      <c r="W2928" t="s">
        <v>339</v>
      </c>
      <c r="Y2928" s="42">
        <v>44663</v>
      </c>
    </row>
    <row r="2929" spans="14:25">
      <c r="N2929" s="42">
        <v>44587</v>
      </c>
      <c r="O2929" t="s">
        <v>328</v>
      </c>
      <c r="P2929" s="42">
        <v>44587</v>
      </c>
      <c r="Q2929" t="s">
        <v>328</v>
      </c>
      <c r="R2929" t="s">
        <v>320</v>
      </c>
      <c r="S2929" t="s">
        <v>323</v>
      </c>
      <c r="U2929">
        <v>7.6</v>
      </c>
      <c r="Y2929" s="42">
        <v>44593</v>
      </c>
    </row>
    <row r="2930" spans="14:25">
      <c r="N2930" s="42">
        <v>44582</v>
      </c>
      <c r="O2930" t="s">
        <v>346</v>
      </c>
      <c r="P2930" s="42">
        <v>44586</v>
      </c>
      <c r="Q2930" t="s">
        <v>333</v>
      </c>
      <c r="R2930" t="s">
        <v>320</v>
      </c>
      <c r="S2930" t="s">
        <v>323</v>
      </c>
      <c r="T2930">
        <v>22.8</v>
      </c>
      <c r="V2930">
        <v>0</v>
      </c>
      <c r="Y2930" s="42">
        <v>44593</v>
      </c>
    </row>
    <row r="2931" spans="14:25">
      <c r="N2931" s="42">
        <v>44564</v>
      </c>
      <c r="O2931" t="s">
        <v>345</v>
      </c>
      <c r="P2931" s="42">
        <v>44564</v>
      </c>
      <c r="Q2931" t="s">
        <v>345</v>
      </c>
      <c r="R2931" t="s">
        <v>320</v>
      </c>
      <c r="S2931" t="s">
        <v>323</v>
      </c>
      <c r="U2931">
        <v>7.6</v>
      </c>
      <c r="Y2931" s="42">
        <v>44565</v>
      </c>
    </row>
    <row r="2932" spans="14:25">
      <c r="N2932" s="42">
        <v>44552</v>
      </c>
      <c r="O2932" t="s">
        <v>328</v>
      </c>
      <c r="P2932" s="42">
        <v>44561</v>
      </c>
      <c r="Q2932" t="s">
        <v>346</v>
      </c>
      <c r="R2932" t="s">
        <v>320</v>
      </c>
      <c r="S2932" t="s">
        <v>323</v>
      </c>
      <c r="T2932">
        <v>45.6</v>
      </c>
      <c r="U2932">
        <v>15.2</v>
      </c>
      <c r="V2932">
        <v>0</v>
      </c>
      <c r="Y2932" s="42">
        <v>44565</v>
      </c>
    </row>
    <row r="2933" spans="14:25">
      <c r="N2933" s="42">
        <v>44550</v>
      </c>
      <c r="O2933" t="s">
        <v>345</v>
      </c>
      <c r="P2933" s="42">
        <v>44551</v>
      </c>
      <c r="Q2933" t="s">
        <v>333</v>
      </c>
      <c r="R2933" t="s">
        <v>320</v>
      </c>
      <c r="S2933" t="s">
        <v>323</v>
      </c>
      <c r="T2933">
        <v>15.2</v>
      </c>
      <c r="U2933">
        <v>0</v>
      </c>
      <c r="V2933">
        <v>0</v>
      </c>
      <c r="Y2933" s="42">
        <v>44551</v>
      </c>
    </row>
    <row r="2934" spans="14:25">
      <c r="N2934" s="42">
        <v>44504</v>
      </c>
      <c r="O2934" t="s">
        <v>324</v>
      </c>
      <c r="P2934" s="42">
        <v>44504</v>
      </c>
      <c r="Q2934" t="s">
        <v>324</v>
      </c>
      <c r="R2934" t="s">
        <v>320</v>
      </c>
      <c r="S2934" t="s">
        <v>323</v>
      </c>
      <c r="T2934">
        <v>7.6</v>
      </c>
      <c r="V2934">
        <v>0</v>
      </c>
      <c r="Y2934" s="42">
        <v>44509</v>
      </c>
    </row>
    <row r="2935" spans="14:25">
      <c r="N2935" s="42">
        <v>44495</v>
      </c>
      <c r="O2935" t="s">
        <v>333</v>
      </c>
      <c r="P2935" s="42">
        <v>44495</v>
      </c>
      <c r="Q2935" t="s">
        <v>333</v>
      </c>
      <c r="R2935" t="s">
        <v>320</v>
      </c>
      <c r="S2935" t="s">
        <v>323</v>
      </c>
      <c r="T2935">
        <v>7.6</v>
      </c>
      <c r="V2935">
        <v>0</v>
      </c>
      <c r="Y2935" s="42">
        <v>44495</v>
      </c>
    </row>
    <row r="2936" spans="14:25">
      <c r="N2936" s="42">
        <v>44473</v>
      </c>
      <c r="O2936" t="s">
        <v>345</v>
      </c>
      <c r="P2936" s="42">
        <v>44473</v>
      </c>
      <c r="Q2936" t="s">
        <v>345</v>
      </c>
      <c r="R2936" t="s">
        <v>320</v>
      </c>
      <c r="S2936" t="s">
        <v>323</v>
      </c>
      <c r="U2936">
        <v>7.6</v>
      </c>
      <c r="Y2936" s="42">
        <v>44481</v>
      </c>
    </row>
    <row r="2937" spans="14:25">
      <c r="N2937" s="42">
        <v>44468</v>
      </c>
      <c r="O2937" t="s">
        <v>328</v>
      </c>
      <c r="P2937" s="42">
        <v>44468</v>
      </c>
      <c r="Q2937" t="s">
        <v>328</v>
      </c>
      <c r="R2937" t="s">
        <v>320</v>
      </c>
      <c r="S2937" t="s">
        <v>323</v>
      </c>
      <c r="T2937">
        <v>7.6</v>
      </c>
      <c r="U2937">
        <v>0</v>
      </c>
      <c r="V2937">
        <v>0</v>
      </c>
      <c r="Y2937" s="42">
        <v>44481</v>
      </c>
    </row>
    <row r="2938" spans="14:25">
      <c r="N2938" s="42">
        <v>44467</v>
      </c>
      <c r="O2938" t="s">
        <v>333</v>
      </c>
      <c r="P2938" s="42">
        <v>44467</v>
      </c>
      <c r="Q2938" t="s">
        <v>333</v>
      </c>
      <c r="R2938" t="s">
        <v>320</v>
      </c>
      <c r="S2938" t="s">
        <v>323</v>
      </c>
      <c r="T2938">
        <v>7.6</v>
      </c>
      <c r="U2938">
        <v>0</v>
      </c>
      <c r="V2938">
        <v>0</v>
      </c>
      <c r="Y2938" s="42">
        <v>44467</v>
      </c>
    </row>
    <row r="2939" spans="14:25">
      <c r="N2939" s="42">
        <v>44400</v>
      </c>
      <c r="O2939" t="s">
        <v>346</v>
      </c>
      <c r="P2939" s="42">
        <v>44400</v>
      </c>
      <c r="Q2939" t="s">
        <v>346</v>
      </c>
      <c r="R2939" t="s">
        <v>320</v>
      </c>
      <c r="S2939" t="s">
        <v>323</v>
      </c>
      <c r="T2939">
        <v>7.6</v>
      </c>
      <c r="V2939">
        <v>0</v>
      </c>
      <c r="Y2939" s="42">
        <v>44411</v>
      </c>
    </row>
    <row r="2940" spans="14:25">
      <c r="N2940" s="42">
        <v>44368</v>
      </c>
      <c r="O2940" t="s">
        <v>345</v>
      </c>
      <c r="P2940" s="42">
        <v>44368</v>
      </c>
      <c r="Q2940" t="s">
        <v>345</v>
      </c>
      <c r="R2940" t="s">
        <v>320</v>
      </c>
      <c r="S2940" t="s">
        <v>323</v>
      </c>
      <c r="T2940">
        <v>7.6</v>
      </c>
      <c r="V2940">
        <v>0</v>
      </c>
      <c r="Y2940" s="42">
        <v>44369</v>
      </c>
    </row>
    <row r="2941" spans="14:25">
      <c r="N2941" s="42">
        <v>44364</v>
      </c>
      <c r="O2941" t="s">
        <v>324</v>
      </c>
      <c r="P2941" s="42">
        <v>44367</v>
      </c>
      <c r="Q2941" t="s">
        <v>344</v>
      </c>
      <c r="R2941" t="s">
        <v>320</v>
      </c>
      <c r="S2941" t="s">
        <v>323</v>
      </c>
      <c r="T2941">
        <v>15.2</v>
      </c>
      <c r="V2941">
        <v>0</v>
      </c>
      <c r="Y2941" s="42">
        <v>44369</v>
      </c>
    </row>
    <row r="2942" spans="14:25">
      <c r="N2942" s="42">
        <v>44361</v>
      </c>
      <c r="O2942" t="s">
        <v>345</v>
      </c>
      <c r="P2942" s="42">
        <v>44361</v>
      </c>
      <c r="Q2942" t="s">
        <v>345</v>
      </c>
      <c r="R2942" t="s">
        <v>320</v>
      </c>
      <c r="S2942" t="s">
        <v>323</v>
      </c>
      <c r="U2942">
        <v>7.6</v>
      </c>
      <c r="Y2942" s="42">
        <v>44369</v>
      </c>
    </row>
    <row r="2943" spans="14:25">
      <c r="N2943" s="42">
        <v>44326</v>
      </c>
      <c r="O2943" t="s">
        <v>345</v>
      </c>
      <c r="P2943" s="42">
        <v>44327</v>
      </c>
      <c r="Q2943" t="s">
        <v>333</v>
      </c>
      <c r="R2943" t="s">
        <v>329</v>
      </c>
      <c r="S2943" t="s">
        <v>323</v>
      </c>
      <c r="T2943">
        <v>15.2</v>
      </c>
      <c r="W2943" t="s">
        <v>339</v>
      </c>
      <c r="Y2943" s="42">
        <v>44327</v>
      </c>
    </row>
    <row r="2944" spans="14:25">
      <c r="N2944" s="42">
        <v>44305</v>
      </c>
      <c r="O2944" t="s">
        <v>345</v>
      </c>
      <c r="P2944" s="42">
        <v>44305</v>
      </c>
      <c r="Q2944" t="s">
        <v>345</v>
      </c>
      <c r="R2944" t="s">
        <v>320</v>
      </c>
      <c r="S2944" t="s">
        <v>323</v>
      </c>
      <c r="T2944">
        <v>7.6</v>
      </c>
      <c r="V2944">
        <v>0</v>
      </c>
      <c r="Y2944" s="42">
        <v>44313</v>
      </c>
    </row>
    <row r="2945" spans="14:25">
      <c r="N2945" s="42">
        <v>44291</v>
      </c>
      <c r="O2945" t="s">
        <v>345</v>
      </c>
      <c r="P2945" s="42">
        <v>44291</v>
      </c>
      <c r="Q2945" t="s">
        <v>345</v>
      </c>
      <c r="R2945" t="s">
        <v>320</v>
      </c>
      <c r="S2945" t="s">
        <v>323</v>
      </c>
      <c r="U2945">
        <v>7.6</v>
      </c>
    </row>
    <row r="2946" spans="14:25">
      <c r="N2946" s="42">
        <v>44288</v>
      </c>
      <c r="O2946" t="s">
        <v>346</v>
      </c>
      <c r="P2946" s="42">
        <v>44288</v>
      </c>
      <c r="Q2946" t="s">
        <v>346</v>
      </c>
      <c r="R2946" t="s">
        <v>320</v>
      </c>
      <c r="S2946" t="s">
        <v>323</v>
      </c>
      <c r="U2946">
        <v>7.6</v>
      </c>
    </row>
    <row r="2947" spans="14:25">
      <c r="N2947" s="42">
        <v>44279</v>
      </c>
      <c r="O2947" t="s">
        <v>328</v>
      </c>
      <c r="P2947" s="42">
        <v>44279</v>
      </c>
      <c r="Q2947" t="s">
        <v>328</v>
      </c>
      <c r="R2947" t="s">
        <v>329</v>
      </c>
      <c r="S2947" t="s">
        <v>323</v>
      </c>
      <c r="T2947">
        <v>7.6</v>
      </c>
      <c r="W2947" t="s">
        <v>339</v>
      </c>
      <c r="Y2947" s="42">
        <v>44285</v>
      </c>
    </row>
    <row r="2948" spans="14:25">
      <c r="N2948" s="42">
        <v>44252</v>
      </c>
      <c r="O2948" t="s">
        <v>324</v>
      </c>
      <c r="P2948" s="42">
        <v>44253</v>
      </c>
      <c r="Q2948" t="s">
        <v>346</v>
      </c>
      <c r="R2948" t="s">
        <v>320</v>
      </c>
      <c r="S2948" t="s">
        <v>323</v>
      </c>
      <c r="T2948">
        <v>15.2</v>
      </c>
      <c r="V2948">
        <v>0</v>
      </c>
      <c r="Y2948" s="42">
        <v>44257</v>
      </c>
    </row>
    <row r="2949" spans="14:25">
      <c r="N2949" s="42">
        <v>44222</v>
      </c>
      <c r="O2949" t="s">
        <v>333</v>
      </c>
      <c r="P2949" s="42">
        <v>44222</v>
      </c>
      <c r="Q2949" t="s">
        <v>333</v>
      </c>
      <c r="R2949" t="s">
        <v>320</v>
      </c>
      <c r="S2949" t="s">
        <v>323</v>
      </c>
      <c r="U2949">
        <v>7.6</v>
      </c>
    </row>
    <row r="2950" spans="14:25">
      <c r="N2950" s="42">
        <v>44197</v>
      </c>
      <c r="O2950" t="s">
        <v>346</v>
      </c>
      <c r="P2950" s="42">
        <v>44197</v>
      </c>
      <c r="Q2950" t="s">
        <v>346</v>
      </c>
      <c r="R2950" t="s">
        <v>320</v>
      </c>
      <c r="S2950" t="s">
        <v>323</v>
      </c>
      <c r="U2950">
        <v>7.6</v>
      </c>
    </row>
    <row r="2951" spans="14:25">
      <c r="N2951" s="42">
        <v>44193</v>
      </c>
      <c r="O2951" t="s">
        <v>345</v>
      </c>
      <c r="P2951" s="42">
        <v>44193</v>
      </c>
      <c r="Q2951" t="s">
        <v>345</v>
      </c>
      <c r="R2951" t="s">
        <v>320</v>
      </c>
      <c r="S2951" t="s">
        <v>323</v>
      </c>
      <c r="U2951">
        <v>7.6</v>
      </c>
    </row>
    <row r="2952" spans="14:25">
      <c r="N2952" s="42">
        <v>44190</v>
      </c>
      <c r="O2952" t="s">
        <v>346</v>
      </c>
      <c r="P2952" s="42">
        <v>44190</v>
      </c>
      <c r="Q2952" t="s">
        <v>346</v>
      </c>
      <c r="R2952" t="s">
        <v>320</v>
      </c>
      <c r="S2952" t="s">
        <v>323</v>
      </c>
      <c r="U2952">
        <v>7.6</v>
      </c>
    </row>
    <row r="2953" spans="14:25">
      <c r="N2953" s="42">
        <v>44188</v>
      </c>
      <c r="O2953" t="s">
        <v>328</v>
      </c>
      <c r="P2953" s="42">
        <v>44189</v>
      </c>
      <c r="Q2953" t="s">
        <v>324</v>
      </c>
      <c r="R2953" t="s">
        <v>320</v>
      </c>
      <c r="S2953" t="s">
        <v>323</v>
      </c>
      <c r="T2953">
        <v>15.2</v>
      </c>
      <c r="U2953">
        <v>0</v>
      </c>
      <c r="V2953">
        <v>0</v>
      </c>
      <c r="Y2953" s="42">
        <v>44201</v>
      </c>
    </row>
    <row r="2954" spans="14:25">
      <c r="N2954" s="42">
        <v>44181</v>
      </c>
      <c r="O2954" t="s">
        <v>328</v>
      </c>
      <c r="P2954" s="42">
        <v>44187</v>
      </c>
      <c r="Q2954" t="s">
        <v>333</v>
      </c>
      <c r="R2954" t="s">
        <v>320</v>
      </c>
      <c r="S2954" t="s">
        <v>323</v>
      </c>
      <c r="T2954">
        <v>38</v>
      </c>
      <c r="U2954">
        <v>0</v>
      </c>
      <c r="V2954">
        <v>0</v>
      </c>
      <c r="Y2954" s="42">
        <v>44187</v>
      </c>
    </row>
    <row r="2955" spans="14:25">
      <c r="N2955" s="42">
        <v>44176</v>
      </c>
      <c r="O2955" t="s">
        <v>346</v>
      </c>
      <c r="P2955" s="42">
        <v>44176</v>
      </c>
      <c r="Q2955" t="s">
        <v>346</v>
      </c>
      <c r="R2955" t="s">
        <v>320</v>
      </c>
      <c r="S2955" t="s">
        <v>323</v>
      </c>
      <c r="T2955">
        <v>7.6</v>
      </c>
      <c r="V2955">
        <v>0</v>
      </c>
      <c r="Y2955" s="42">
        <v>44187</v>
      </c>
    </row>
    <row r="2956" spans="14:25">
      <c r="N2956" s="42">
        <v>44161</v>
      </c>
      <c r="O2956" t="s">
        <v>324</v>
      </c>
      <c r="P2956" s="42">
        <v>44161</v>
      </c>
      <c r="Q2956" t="s">
        <v>324</v>
      </c>
      <c r="R2956" t="s">
        <v>329</v>
      </c>
      <c r="S2956" t="s">
        <v>323</v>
      </c>
      <c r="T2956">
        <v>5</v>
      </c>
      <c r="W2956" t="s">
        <v>339</v>
      </c>
      <c r="Y2956" s="42">
        <v>44173</v>
      </c>
    </row>
    <row r="2957" spans="14:25">
      <c r="N2957" s="42">
        <v>44147</v>
      </c>
      <c r="O2957" t="s">
        <v>324</v>
      </c>
      <c r="P2957" s="42">
        <v>44148</v>
      </c>
      <c r="Q2957" t="s">
        <v>346</v>
      </c>
      <c r="R2957" t="s">
        <v>320</v>
      </c>
      <c r="S2957" t="s">
        <v>323</v>
      </c>
      <c r="T2957">
        <v>15.2</v>
      </c>
      <c r="V2957">
        <v>0</v>
      </c>
      <c r="Y2957" s="42">
        <v>44159</v>
      </c>
    </row>
    <row r="2958" spans="14:25">
      <c r="N2958" s="42">
        <v>44144</v>
      </c>
      <c r="O2958" t="s">
        <v>345</v>
      </c>
      <c r="P2958" s="42">
        <v>44144</v>
      </c>
      <c r="Q2958" t="s">
        <v>345</v>
      </c>
      <c r="R2958" t="s">
        <v>320</v>
      </c>
      <c r="S2958" t="s">
        <v>323</v>
      </c>
      <c r="T2958">
        <v>7.6</v>
      </c>
      <c r="V2958">
        <v>0</v>
      </c>
      <c r="Y2958" s="42">
        <v>44145</v>
      </c>
    </row>
    <row r="2959" spans="14:25">
      <c r="N2959" s="42">
        <v>44109</v>
      </c>
      <c r="O2959" t="s">
        <v>345</v>
      </c>
      <c r="P2959" s="42">
        <v>44109</v>
      </c>
      <c r="Q2959" t="s">
        <v>345</v>
      </c>
      <c r="R2959" t="s">
        <v>320</v>
      </c>
      <c r="S2959" t="s">
        <v>323</v>
      </c>
      <c r="U2959">
        <v>7.6</v>
      </c>
    </row>
    <row r="2960" spans="14:25">
      <c r="N2960" s="42">
        <v>44099</v>
      </c>
      <c r="O2960" t="s">
        <v>346</v>
      </c>
      <c r="P2960" s="42">
        <v>44099</v>
      </c>
      <c r="Q2960" t="s">
        <v>346</v>
      </c>
      <c r="R2960" t="s">
        <v>320</v>
      </c>
      <c r="S2960" t="s">
        <v>323</v>
      </c>
      <c r="T2960">
        <v>7.6</v>
      </c>
      <c r="V2960">
        <v>0</v>
      </c>
      <c r="Y2960" s="42">
        <v>44103</v>
      </c>
    </row>
    <row r="2961" spans="14:25">
      <c r="N2961" s="42">
        <v>44035</v>
      </c>
      <c r="O2961" t="s">
        <v>324</v>
      </c>
      <c r="P2961" s="42">
        <v>44036</v>
      </c>
      <c r="Q2961" t="s">
        <v>346</v>
      </c>
      <c r="R2961" t="s">
        <v>320</v>
      </c>
      <c r="S2961" t="s">
        <v>323</v>
      </c>
      <c r="T2961">
        <v>15.2</v>
      </c>
      <c r="V2961">
        <v>0</v>
      </c>
      <c r="Y2961" s="42">
        <v>44047</v>
      </c>
    </row>
    <row r="2962" spans="14:25">
      <c r="N2962" s="42">
        <v>43978</v>
      </c>
      <c r="O2962" t="s">
        <v>328</v>
      </c>
      <c r="P2962" s="42">
        <v>43978</v>
      </c>
      <c r="Q2962" t="s">
        <v>328</v>
      </c>
      <c r="R2962" t="s">
        <v>320</v>
      </c>
      <c r="S2962" t="s">
        <v>323</v>
      </c>
      <c r="T2962">
        <v>7.6</v>
      </c>
      <c r="U2962">
        <v>0</v>
      </c>
      <c r="V2962">
        <v>0</v>
      </c>
      <c r="Y2962" s="42">
        <v>43991</v>
      </c>
    </row>
    <row r="2963" spans="14:25">
      <c r="N2963" s="42">
        <v>43976</v>
      </c>
      <c r="O2963" t="s">
        <v>345</v>
      </c>
      <c r="P2963" s="42">
        <v>43977</v>
      </c>
      <c r="Q2963" t="s">
        <v>333</v>
      </c>
      <c r="R2963" t="s">
        <v>320</v>
      </c>
      <c r="S2963" t="s">
        <v>323</v>
      </c>
      <c r="T2963">
        <v>15.2</v>
      </c>
      <c r="U2963">
        <v>0</v>
      </c>
      <c r="V2963">
        <v>0</v>
      </c>
      <c r="Y2963" s="42">
        <v>43977</v>
      </c>
    </row>
    <row r="2964" spans="14:25">
      <c r="N2964" s="42">
        <v>43957</v>
      </c>
      <c r="O2964" t="s">
        <v>328</v>
      </c>
      <c r="P2964" s="42">
        <v>43957</v>
      </c>
      <c r="Q2964" t="s">
        <v>328</v>
      </c>
      <c r="R2964" t="s">
        <v>320</v>
      </c>
      <c r="S2964" t="s">
        <v>323</v>
      </c>
      <c r="T2964">
        <v>7.6</v>
      </c>
      <c r="V2964">
        <v>0</v>
      </c>
      <c r="Y2964" s="42">
        <v>43963</v>
      </c>
    </row>
    <row r="2965" spans="14:25">
      <c r="N2965" s="42">
        <v>43871</v>
      </c>
      <c r="O2965" t="s">
        <v>345</v>
      </c>
      <c r="P2965" s="42">
        <v>43873</v>
      </c>
      <c r="Q2965" t="s">
        <v>328</v>
      </c>
      <c r="R2965" t="s">
        <v>329</v>
      </c>
      <c r="S2965" t="s">
        <v>323</v>
      </c>
      <c r="T2965">
        <v>22.8</v>
      </c>
      <c r="W2965" t="s">
        <v>330</v>
      </c>
      <c r="X2965" t="s">
        <v>330</v>
      </c>
      <c r="Y2965" s="42">
        <v>43879</v>
      </c>
    </row>
    <row r="2966" spans="14:25">
      <c r="N2966" s="42">
        <v>43826</v>
      </c>
      <c r="O2966" t="s">
        <v>346</v>
      </c>
      <c r="P2966" s="42">
        <v>43836</v>
      </c>
      <c r="Q2966" t="s">
        <v>345</v>
      </c>
      <c r="R2966" t="s">
        <v>320</v>
      </c>
      <c r="S2966" t="s">
        <v>323</v>
      </c>
      <c r="T2966">
        <v>45.6</v>
      </c>
      <c r="Y2966" s="42">
        <v>43837</v>
      </c>
    </row>
    <row r="2967" spans="14:25">
      <c r="N2967" s="42">
        <v>43822</v>
      </c>
      <c r="O2967" t="s">
        <v>345</v>
      </c>
      <c r="P2967" s="42">
        <v>43823</v>
      </c>
      <c r="Q2967" t="s">
        <v>333</v>
      </c>
      <c r="R2967" t="s">
        <v>320</v>
      </c>
      <c r="S2967" t="s">
        <v>323</v>
      </c>
      <c r="T2967">
        <v>15.2</v>
      </c>
      <c r="U2967">
        <v>0</v>
      </c>
      <c r="V2967">
        <v>0</v>
      </c>
      <c r="Y2967" s="42">
        <v>43823</v>
      </c>
    </row>
    <row r="2968" spans="14:25">
      <c r="N2968" s="42">
        <v>43795</v>
      </c>
      <c r="O2968" t="s">
        <v>333</v>
      </c>
      <c r="P2968" s="42">
        <v>43795</v>
      </c>
      <c r="Q2968" t="s">
        <v>333</v>
      </c>
      <c r="R2968" t="s">
        <v>329</v>
      </c>
      <c r="S2968" t="s">
        <v>323</v>
      </c>
      <c r="T2968">
        <v>7.6</v>
      </c>
      <c r="W2968" t="s">
        <v>330</v>
      </c>
      <c r="Y2968" s="42">
        <v>43795</v>
      </c>
    </row>
    <row r="2969" spans="14:25">
      <c r="N2969" s="42">
        <v>43766</v>
      </c>
      <c r="O2969" t="s">
        <v>345</v>
      </c>
      <c r="P2969" s="42">
        <v>43766</v>
      </c>
      <c r="Q2969" t="s">
        <v>345</v>
      </c>
      <c r="R2969" t="s">
        <v>320</v>
      </c>
      <c r="S2969" t="s">
        <v>323</v>
      </c>
      <c r="T2969">
        <v>7.6</v>
      </c>
      <c r="Y2969" s="42">
        <v>43767</v>
      </c>
    </row>
    <row r="2970" spans="14:25">
      <c r="N2970" s="42">
        <v>43752</v>
      </c>
      <c r="O2970" t="s">
        <v>345</v>
      </c>
      <c r="P2970" s="42">
        <v>43752</v>
      </c>
      <c r="Q2970" t="s">
        <v>345</v>
      </c>
      <c r="R2970" t="s">
        <v>329</v>
      </c>
      <c r="S2970" t="s">
        <v>323</v>
      </c>
      <c r="T2970">
        <v>7.6</v>
      </c>
      <c r="W2970" t="s">
        <v>330</v>
      </c>
      <c r="Y2970" s="42">
        <v>43753</v>
      </c>
    </row>
    <row r="2971" spans="14:25">
      <c r="N2971" s="42">
        <v>43749</v>
      </c>
      <c r="O2971" t="s">
        <v>346</v>
      </c>
      <c r="P2971" s="42">
        <v>43749</v>
      </c>
      <c r="Q2971" t="s">
        <v>346</v>
      </c>
      <c r="R2971" t="s">
        <v>320</v>
      </c>
      <c r="S2971" t="s">
        <v>323</v>
      </c>
      <c r="T2971">
        <v>-7.6</v>
      </c>
      <c r="Y2971" s="42">
        <v>44607</v>
      </c>
    </row>
    <row r="2972" spans="14:25">
      <c r="N2972" s="42">
        <v>43749</v>
      </c>
      <c r="O2972" t="s">
        <v>346</v>
      </c>
      <c r="P2972" s="42">
        <v>43749</v>
      </c>
      <c r="Q2972" t="s">
        <v>346</v>
      </c>
      <c r="R2972" t="s">
        <v>320</v>
      </c>
      <c r="S2972" t="s">
        <v>323</v>
      </c>
      <c r="T2972">
        <v>7.6</v>
      </c>
      <c r="Y2972" s="42">
        <v>43753</v>
      </c>
    </row>
    <row r="2973" spans="14:25">
      <c r="N2973" s="42">
        <v>43749</v>
      </c>
      <c r="O2973" t="s">
        <v>346</v>
      </c>
      <c r="P2973" s="42">
        <v>43749</v>
      </c>
      <c r="Q2973" t="s">
        <v>346</v>
      </c>
      <c r="R2973" t="s">
        <v>320</v>
      </c>
      <c r="S2973" t="s">
        <v>323</v>
      </c>
      <c r="T2973">
        <v>7.6</v>
      </c>
      <c r="V2973">
        <v>0</v>
      </c>
      <c r="Y2973" s="42">
        <v>43753</v>
      </c>
    </row>
    <row r="2974" spans="14:25">
      <c r="N2974" s="42">
        <v>43720</v>
      </c>
      <c r="O2974" t="s">
        <v>324</v>
      </c>
      <c r="P2974" s="42">
        <v>43720</v>
      </c>
      <c r="Q2974" t="s">
        <v>324</v>
      </c>
      <c r="R2974" t="s">
        <v>329</v>
      </c>
      <c r="S2974" t="s">
        <v>323</v>
      </c>
      <c r="T2974">
        <v>6.25</v>
      </c>
      <c r="W2974" t="s">
        <v>330</v>
      </c>
      <c r="Y2974" s="42">
        <v>43725</v>
      </c>
    </row>
    <row r="2975" spans="14:25">
      <c r="N2975" s="42">
        <v>43696</v>
      </c>
      <c r="O2975" t="s">
        <v>345</v>
      </c>
      <c r="P2975" s="42">
        <v>43696</v>
      </c>
      <c r="Q2975" t="s">
        <v>345</v>
      </c>
      <c r="R2975" t="s">
        <v>320</v>
      </c>
      <c r="S2975" t="s">
        <v>323</v>
      </c>
      <c r="T2975">
        <v>7.6</v>
      </c>
      <c r="Y2975" s="42">
        <v>43697</v>
      </c>
    </row>
    <row r="2976" spans="14:25">
      <c r="N2976" s="42">
        <v>43693</v>
      </c>
      <c r="O2976" t="s">
        <v>346</v>
      </c>
      <c r="P2976" s="42">
        <v>43693</v>
      </c>
      <c r="Q2976" t="s">
        <v>346</v>
      </c>
      <c r="R2976" t="s">
        <v>320</v>
      </c>
      <c r="S2976" t="s">
        <v>323</v>
      </c>
      <c r="T2976">
        <v>7.6</v>
      </c>
      <c r="Y2976" s="42">
        <v>43697</v>
      </c>
    </row>
    <row r="2977" spans="1:25">
      <c r="N2977" s="42">
        <v>43692</v>
      </c>
      <c r="O2977" t="s">
        <v>324</v>
      </c>
      <c r="P2977" s="42">
        <v>43692</v>
      </c>
      <c r="Q2977" t="s">
        <v>324</v>
      </c>
      <c r="R2977" t="s">
        <v>320</v>
      </c>
      <c r="S2977" t="s">
        <v>323</v>
      </c>
      <c r="T2977">
        <v>7.6</v>
      </c>
      <c r="Y2977" s="42">
        <v>43697</v>
      </c>
    </row>
    <row r="2978" spans="1:25">
      <c r="N2978" s="42">
        <v>43691</v>
      </c>
      <c r="O2978" t="s">
        <v>328</v>
      </c>
      <c r="P2978" s="42">
        <v>43691</v>
      </c>
      <c r="Q2978" t="s">
        <v>328</v>
      </c>
      <c r="R2978" t="s">
        <v>320</v>
      </c>
      <c r="S2978" t="s">
        <v>323</v>
      </c>
      <c r="T2978">
        <v>7.6</v>
      </c>
      <c r="Y2978" s="42">
        <v>43697</v>
      </c>
    </row>
    <row r="2979" spans="1:25">
      <c r="A2979">
        <v>18626</v>
      </c>
      <c r="B2979" t="s">
        <v>389</v>
      </c>
      <c r="C2979" t="s">
        <v>320</v>
      </c>
      <c r="D2979" t="s">
        <v>336</v>
      </c>
      <c r="E2979" t="s">
        <v>337</v>
      </c>
      <c r="F2979">
        <v>1</v>
      </c>
      <c r="G2979" s="42">
        <v>45115</v>
      </c>
      <c r="H2979">
        <v>152</v>
      </c>
      <c r="I2979">
        <v>79.639300000000006</v>
      </c>
      <c r="J2979">
        <v>99.528800000000004</v>
      </c>
      <c r="K2979">
        <v>179.16810000000001</v>
      </c>
      <c r="L2979" t="s">
        <v>323</v>
      </c>
      <c r="M2979" s="43">
        <v>0.33819444444444446</v>
      </c>
      <c r="N2979" s="42">
        <v>45014</v>
      </c>
      <c r="O2979" t="s">
        <v>328</v>
      </c>
      <c r="P2979" s="42">
        <v>45021</v>
      </c>
      <c r="Q2979" t="s">
        <v>328</v>
      </c>
      <c r="R2979" t="s">
        <v>320</v>
      </c>
      <c r="S2979" t="s">
        <v>323</v>
      </c>
      <c r="T2979">
        <v>45.6</v>
      </c>
      <c r="U2979">
        <v>0</v>
      </c>
      <c r="V2979">
        <v>0</v>
      </c>
    </row>
    <row r="2980" spans="1:25">
      <c r="C2980" t="s">
        <v>325</v>
      </c>
      <c r="D2980" t="s">
        <v>340</v>
      </c>
      <c r="E2980" t="s">
        <v>341</v>
      </c>
      <c r="F2980">
        <v>2</v>
      </c>
      <c r="G2980" s="42">
        <v>45115</v>
      </c>
      <c r="H2980">
        <v>32.934600000000003</v>
      </c>
      <c r="I2980">
        <v>263.47840000000002</v>
      </c>
      <c r="J2980">
        <v>21.5654</v>
      </c>
      <c r="K2980">
        <v>285.04379999999998</v>
      </c>
      <c r="L2980" t="s">
        <v>323</v>
      </c>
      <c r="N2980" s="42">
        <v>45005</v>
      </c>
      <c r="O2980" t="s">
        <v>345</v>
      </c>
      <c r="P2980" s="42">
        <v>45013</v>
      </c>
      <c r="Q2980" t="s">
        <v>333</v>
      </c>
      <c r="R2980" t="s">
        <v>320</v>
      </c>
      <c r="S2980" t="s">
        <v>323</v>
      </c>
      <c r="T2980">
        <v>53.2</v>
      </c>
      <c r="U2980">
        <v>0</v>
      </c>
      <c r="V2980">
        <v>0</v>
      </c>
    </row>
    <row r="2981" spans="1:25">
      <c r="C2981" t="s">
        <v>329</v>
      </c>
      <c r="D2981" t="s">
        <v>342</v>
      </c>
      <c r="E2981" t="s">
        <v>343</v>
      </c>
      <c r="F2981">
        <v>1</v>
      </c>
      <c r="G2981" s="42">
        <v>45115</v>
      </c>
      <c r="H2981">
        <v>76</v>
      </c>
      <c r="I2981">
        <v>310.23919999999998</v>
      </c>
      <c r="J2981">
        <v>49.764400000000002</v>
      </c>
      <c r="K2981">
        <v>360.00360000000001</v>
      </c>
      <c r="L2981" t="s">
        <v>323</v>
      </c>
      <c r="N2981" s="42">
        <v>44952</v>
      </c>
      <c r="O2981" t="s">
        <v>324</v>
      </c>
      <c r="P2981" s="42">
        <v>44952</v>
      </c>
      <c r="Q2981" t="s">
        <v>324</v>
      </c>
      <c r="R2981" t="s">
        <v>320</v>
      </c>
      <c r="S2981" t="s">
        <v>323</v>
      </c>
      <c r="U2981">
        <v>7.6</v>
      </c>
      <c r="Y2981" s="42">
        <v>44957</v>
      </c>
    </row>
    <row r="2982" spans="1:25">
      <c r="N2982" s="42">
        <v>44930</v>
      </c>
      <c r="O2982" t="s">
        <v>328</v>
      </c>
      <c r="P2982" s="42">
        <v>44930</v>
      </c>
      <c r="Q2982" t="s">
        <v>328</v>
      </c>
      <c r="R2982" t="s">
        <v>320</v>
      </c>
      <c r="S2982" t="s">
        <v>323</v>
      </c>
      <c r="T2982">
        <v>7.6</v>
      </c>
      <c r="U2982">
        <v>0</v>
      </c>
      <c r="V2982">
        <v>0</v>
      </c>
      <c r="Y2982" s="42">
        <v>44943</v>
      </c>
    </row>
    <row r="2983" spans="1:25">
      <c r="N2983" s="42">
        <v>44929</v>
      </c>
      <c r="O2983" t="s">
        <v>333</v>
      </c>
      <c r="P2983" s="42">
        <v>44929</v>
      </c>
      <c r="Q2983" t="s">
        <v>333</v>
      </c>
      <c r="R2983" t="s">
        <v>320</v>
      </c>
      <c r="S2983" t="s">
        <v>323</v>
      </c>
      <c r="T2983">
        <v>7.6</v>
      </c>
      <c r="U2983">
        <v>0</v>
      </c>
      <c r="V2983">
        <v>0</v>
      </c>
      <c r="Y2983" s="42">
        <v>44929</v>
      </c>
    </row>
    <row r="2984" spans="1:25">
      <c r="N2984" s="42">
        <v>44928</v>
      </c>
      <c r="O2984" t="s">
        <v>345</v>
      </c>
      <c r="P2984" s="42">
        <v>44928</v>
      </c>
      <c r="Q2984" t="s">
        <v>345</v>
      </c>
      <c r="R2984" t="s">
        <v>320</v>
      </c>
      <c r="S2984" t="s">
        <v>323</v>
      </c>
      <c r="U2984">
        <v>7.6</v>
      </c>
      <c r="Y2984" s="42">
        <v>44929</v>
      </c>
    </row>
    <row r="2985" spans="1:25">
      <c r="N2985" s="42">
        <v>44923</v>
      </c>
      <c r="O2985" t="s">
        <v>328</v>
      </c>
      <c r="P2985" s="42">
        <v>44925</v>
      </c>
      <c r="Q2985" t="s">
        <v>346</v>
      </c>
      <c r="R2985" t="s">
        <v>320</v>
      </c>
      <c r="S2985" t="s">
        <v>323</v>
      </c>
      <c r="T2985">
        <v>22.8</v>
      </c>
      <c r="V2985">
        <v>0</v>
      </c>
      <c r="Y2985" s="42">
        <v>44929</v>
      </c>
    </row>
    <row r="2986" spans="1:25">
      <c r="N2986" s="42">
        <v>44922</v>
      </c>
      <c r="O2986" t="s">
        <v>333</v>
      </c>
      <c r="P2986" s="42">
        <v>44922</v>
      </c>
      <c r="Q2986" t="s">
        <v>333</v>
      </c>
      <c r="R2986" t="s">
        <v>320</v>
      </c>
      <c r="S2986" t="s">
        <v>323</v>
      </c>
      <c r="U2986">
        <v>7.6</v>
      </c>
      <c r="Y2986" s="42">
        <v>44929</v>
      </c>
    </row>
    <row r="2987" spans="1:25">
      <c r="N2987" s="42">
        <v>44921</v>
      </c>
      <c r="O2987" t="s">
        <v>345</v>
      </c>
      <c r="P2987" s="42">
        <v>44921</v>
      </c>
      <c r="Q2987" t="s">
        <v>345</v>
      </c>
      <c r="R2987" t="s">
        <v>320</v>
      </c>
      <c r="S2987" t="s">
        <v>323</v>
      </c>
      <c r="U2987">
        <v>7.6</v>
      </c>
      <c r="Y2987" s="42">
        <v>44929</v>
      </c>
    </row>
    <row r="2988" spans="1:25">
      <c r="N2988" s="42">
        <v>44866</v>
      </c>
      <c r="O2988" t="s">
        <v>333</v>
      </c>
      <c r="P2988" s="42">
        <v>44866</v>
      </c>
      <c r="Q2988" t="s">
        <v>333</v>
      </c>
      <c r="R2988" t="s">
        <v>320</v>
      </c>
      <c r="S2988" t="s">
        <v>323</v>
      </c>
      <c r="U2988">
        <v>7.6</v>
      </c>
      <c r="Y2988" s="42">
        <v>44873</v>
      </c>
    </row>
    <row r="2989" spans="1:25">
      <c r="N2989" s="42">
        <v>44826</v>
      </c>
      <c r="O2989" t="s">
        <v>324</v>
      </c>
      <c r="P2989" s="42">
        <v>44827</v>
      </c>
      <c r="Q2989" t="s">
        <v>346</v>
      </c>
      <c r="R2989" t="s">
        <v>320</v>
      </c>
      <c r="S2989" t="s">
        <v>323</v>
      </c>
      <c r="T2989">
        <v>0</v>
      </c>
      <c r="U2989">
        <v>15.2</v>
      </c>
    </row>
    <row r="2990" spans="1:25">
      <c r="N2990" s="42">
        <v>44826</v>
      </c>
      <c r="O2990" t="s">
        <v>324</v>
      </c>
      <c r="P2990" s="42">
        <v>44827</v>
      </c>
      <c r="Q2990" t="s">
        <v>346</v>
      </c>
      <c r="R2990" t="s">
        <v>320</v>
      </c>
      <c r="S2990" t="s">
        <v>323</v>
      </c>
      <c r="T2990">
        <v>-15.2</v>
      </c>
      <c r="U2990">
        <v>0</v>
      </c>
    </row>
    <row r="2991" spans="1:25">
      <c r="N2991" s="42">
        <v>44818</v>
      </c>
      <c r="O2991" t="s">
        <v>328</v>
      </c>
      <c r="P2991" s="42">
        <v>44827</v>
      </c>
      <c r="Q2991" t="s">
        <v>346</v>
      </c>
      <c r="R2991" t="s">
        <v>320</v>
      </c>
      <c r="S2991" t="s">
        <v>323</v>
      </c>
      <c r="T2991">
        <v>60.8</v>
      </c>
      <c r="U2991">
        <v>0</v>
      </c>
      <c r="V2991">
        <v>0</v>
      </c>
      <c r="Y2991" s="42">
        <v>44831</v>
      </c>
    </row>
    <row r="2992" spans="1:25">
      <c r="N2992" s="42">
        <v>44804</v>
      </c>
      <c r="O2992" t="s">
        <v>328</v>
      </c>
      <c r="P2992" s="42">
        <v>44817</v>
      </c>
      <c r="Q2992" t="s">
        <v>333</v>
      </c>
      <c r="R2992" t="s">
        <v>320</v>
      </c>
      <c r="S2992" t="s">
        <v>323</v>
      </c>
      <c r="T2992">
        <v>76</v>
      </c>
      <c r="U2992">
        <v>0</v>
      </c>
      <c r="V2992">
        <v>0</v>
      </c>
      <c r="Y2992" s="42">
        <v>44817</v>
      </c>
    </row>
    <row r="2993" spans="14:25">
      <c r="N2993" s="42">
        <v>44795</v>
      </c>
      <c r="O2993" t="s">
        <v>345</v>
      </c>
      <c r="P2993" s="42">
        <v>44803</v>
      </c>
      <c r="Q2993" t="s">
        <v>333</v>
      </c>
      <c r="R2993" t="s">
        <v>320</v>
      </c>
      <c r="S2993" t="s">
        <v>323</v>
      </c>
      <c r="T2993">
        <v>53.2</v>
      </c>
      <c r="U2993">
        <v>0</v>
      </c>
      <c r="V2993">
        <v>0</v>
      </c>
      <c r="Y2993" s="42">
        <v>44803</v>
      </c>
    </row>
    <row r="2994" spans="14:25">
      <c r="N2994" s="42">
        <v>44725</v>
      </c>
      <c r="O2994" t="s">
        <v>345</v>
      </c>
      <c r="P2994" s="42">
        <v>44725</v>
      </c>
      <c r="Q2994" t="s">
        <v>345</v>
      </c>
      <c r="R2994" t="s">
        <v>320</v>
      </c>
      <c r="S2994" t="s">
        <v>323</v>
      </c>
      <c r="U2994">
        <v>7.6</v>
      </c>
      <c r="Y2994" s="42">
        <v>44733</v>
      </c>
    </row>
    <row r="2995" spans="14:25">
      <c r="N2995" s="42">
        <v>44690</v>
      </c>
      <c r="O2995" t="s">
        <v>345</v>
      </c>
      <c r="P2995" s="42">
        <v>44690</v>
      </c>
      <c r="Q2995" t="s">
        <v>345</v>
      </c>
      <c r="R2995" t="s">
        <v>329</v>
      </c>
      <c r="S2995" t="s">
        <v>323</v>
      </c>
      <c r="T2995">
        <v>7.6</v>
      </c>
      <c r="W2995" t="s">
        <v>339</v>
      </c>
      <c r="Y2995" s="42">
        <v>44691</v>
      </c>
    </row>
    <row r="2996" spans="14:25">
      <c r="N2996" s="42">
        <v>44676</v>
      </c>
      <c r="O2996" t="s">
        <v>345</v>
      </c>
      <c r="P2996" s="42">
        <v>44676</v>
      </c>
      <c r="Q2996" t="s">
        <v>345</v>
      </c>
      <c r="R2996" t="s">
        <v>320</v>
      </c>
      <c r="S2996" t="s">
        <v>323</v>
      </c>
      <c r="U2996">
        <v>7.6</v>
      </c>
      <c r="Y2996" s="42">
        <v>44677</v>
      </c>
    </row>
    <row r="2997" spans="14:25">
      <c r="N2997" s="42">
        <v>44669</v>
      </c>
      <c r="O2997" t="s">
        <v>345</v>
      </c>
      <c r="P2997" s="42">
        <v>44669</v>
      </c>
      <c r="Q2997" t="s">
        <v>345</v>
      </c>
      <c r="R2997" t="s">
        <v>320</v>
      </c>
      <c r="S2997" t="s">
        <v>323</v>
      </c>
      <c r="U2997">
        <v>7.6</v>
      </c>
      <c r="Y2997" s="42">
        <v>44677</v>
      </c>
    </row>
    <row r="2998" spans="14:25">
      <c r="N2998" s="42">
        <v>44666</v>
      </c>
      <c r="O2998" t="s">
        <v>346</v>
      </c>
      <c r="P2998" s="42">
        <v>44666</v>
      </c>
      <c r="Q2998" t="s">
        <v>346</v>
      </c>
      <c r="R2998" t="s">
        <v>320</v>
      </c>
      <c r="S2998" t="s">
        <v>323</v>
      </c>
      <c r="U2998">
        <v>7.6</v>
      </c>
      <c r="Y2998" s="42">
        <v>44677</v>
      </c>
    </row>
    <row r="2999" spans="14:25">
      <c r="N2999" s="42">
        <v>44634</v>
      </c>
      <c r="O2999" t="s">
        <v>345</v>
      </c>
      <c r="P2999" s="42">
        <v>44634</v>
      </c>
      <c r="Q2999" t="s">
        <v>345</v>
      </c>
      <c r="R2999" t="s">
        <v>320</v>
      </c>
      <c r="S2999" t="s">
        <v>323</v>
      </c>
      <c r="U2999">
        <v>7.6</v>
      </c>
    </row>
    <row r="3000" spans="14:25">
      <c r="N3000" s="42">
        <v>44634</v>
      </c>
      <c r="O3000" t="s">
        <v>345</v>
      </c>
      <c r="P3000" s="42">
        <v>44634</v>
      </c>
      <c r="Q3000" t="s">
        <v>345</v>
      </c>
      <c r="R3000" t="s">
        <v>320</v>
      </c>
      <c r="S3000" t="s">
        <v>323</v>
      </c>
      <c r="U3000">
        <v>7.6</v>
      </c>
      <c r="Y3000" s="42">
        <v>44635</v>
      </c>
    </row>
    <row r="3001" spans="14:25">
      <c r="N3001" s="42">
        <v>44587</v>
      </c>
      <c r="O3001" t="s">
        <v>328</v>
      </c>
      <c r="P3001" s="42">
        <v>44587</v>
      </c>
      <c r="Q3001" t="s">
        <v>328</v>
      </c>
      <c r="R3001" t="s">
        <v>320</v>
      </c>
      <c r="S3001" t="s">
        <v>323</v>
      </c>
      <c r="U3001">
        <v>7.6</v>
      </c>
      <c r="Y3001" s="42">
        <v>44593</v>
      </c>
    </row>
    <row r="3002" spans="14:25">
      <c r="N3002" s="42">
        <v>44566</v>
      </c>
      <c r="O3002" t="s">
        <v>328</v>
      </c>
      <c r="P3002" s="42">
        <v>44568</v>
      </c>
      <c r="Q3002" t="s">
        <v>346</v>
      </c>
      <c r="R3002" t="s">
        <v>320</v>
      </c>
      <c r="S3002" t="s">
        <v>323</v>
      </c>
      <c r="T3002">
        <v>22.8</v>
      </c>
      <c r="U3002">
        <v>0</v>
      </c>
      <c r="V3002">
        <v>0</v>
      </c>
      <c r="Y3002" s="42">
        <v>44579</v>
      </c>
    </row>
    <row r="3003" spans="14:25">
      <c r="N3003" s="42">
        <v>44565</v>
      </c>
      <c r="O3003" t="s">
        <v>333</v>
      </c>
      <c r="P3003" s="42">
        <v>44565</v>
      </c>
      <c r="Q3003" t="s">
        <v>333</v>
      </c>
      <c r="R3003" t="s">
        <v>320</v>
      </c>
      <c r="S3003" t="s">
        <v>323</v>
      </c>
      <c r="T3003">
        <v>7.6</v>
      </c>
      <c r="U3003">
        <v>0</v>
      </c>
      <c r="V3003">
        <v>0</v>
      </c>
      <c r="Y3003" s="42">
        <v>44565</v>
      </c>
    </row>
    <row r="3004" spans="14:25">
      <c r="N3004" s="42">
        <v>44564</v>
      </c>
      <c r="O3004" t="s">
        <v>345</v>
      </c>
      <c r="P3004" s="42">
        <v>44564</v>
      </c>
      <c r="Q3004" t="s">
        <v>345</v>
      </c>
      <c r="R3004" t="s">
        <v>320</v>
      </c>
      <c r="S3004" t="s">
        <v>323</v>
      </c>
      <c r="U3004">
        <v>-7.6</v>
      </c>
    </row>
    <row r="3005" spans="14:25">
      <c r="N3005" s="42">
        <v>44564</v>
      </c>
      <c r="O3005" t="s">
        <v>345</v>
      </c>
      <c r="P3005" s="42">
        <v>44564</v>
      </c>
      <c r="Q3005" t="s">
        <v>345</v>
      </c>
      <c r="R3005" t="s">
        <v>320</v>
      </c>
      <c r="S3005" t="s">
        <v>323</v>
      </c>
      <c r="U3005">
        <v>7.6</v>
      </c>
    </row>
    <row r="3006" spans="14:25">
      <c r="N3006" s="42">
        <v>44564</v>
      </c>
      <c r="O3006" t="s">
        <v>345</v>
      </c>
      <c r="P3006" s="42">
        <v>44564</v>
      </c>
      <c r="Q3006" t="s">
        <v>345</v>
      </c>
      <c r="R3006" t="s">
        <v>320</v>
      </c>
      <c r="S3006" t="s">
        <v>323</v>
      </c>
      <c r="U3006">
        <v>7.6</v>
      </c>
      <c r="Y3006" s="42">
        <v>44565</v>
      </c>
    </row>
    <row r="3007" spans="14:25">
      <c r="N3007" s="42">
        <v>44558</v>
      </c>
      <c r="O3007" t="s">
        <v>333</v>
      </c>
      <c r="P3007" s="42">
        <v>44558</v>
      </c>
      <c r="Q3007" t="s">
        <v>333</v>
      </c>
      <c r="R3007" t="s">
        <v>320</v>
      </c>
      <c r="S3007" t="s">
        <v>323</v>
      </c>
      <c r="U3007">
        <v>-7.6</v>
      </c>
    </row>
    <row r="3008" spans="14:25">
      <c r="N3008" s="42">
        <v>44558</v>
      </c>
      <c r="O3008" t="s">
        <v>333</v>
      </c>
      <c r="P3008" s="42">
        <v>44558</v>
      </c>
      <c r="Q3008" t="s">
        <v>333</v>
      </c>
      <c r="R3008" t="s">
        <v>320</v>
      </c>
      <c r="S3008" t="s">
        <v>323</v>
      </c>
      <c r="U3008">
        <v>7.6</v>
      </c>
    </row>
    <row r="3009" spans="14:25">
      <c r="N3009" s="42">
        <v>44558</v>
      </c>
      <c r="O3009" t="s">
        <v>333</v>
      </c>
      <c r="P3009" s="42">
        <v>44558</v>
      </c>
      <c r="Q3009" t="s">
        <v>333</v>
      </c>
      <c r="R3009" t="s">
        <v>320</v>
      </c>
      <c r="S3009" t="s">
        <v>323</v>
      </c>
      <c r="U3009">
        <v>7.6</v>
      </c>
      <c r="Y3009" s="42">
        <v>44565</v>
      </c>
    </row>
    <row r="3010" spans="14:25">
      <c r="N3010" s="42">
        <v>44557</v>
      </c>
      <c r="O3010" t="s">
        <v>345</v>
      </c>
      <c r="P3010" s="42">
        <v>44557</v>
      </c>
      <c r="Q3010" t="s">
        <v>345</v>
      </c>
      <c r="R3010" t="s">
        <v>320</v>
      </c>
      <c r="S3010" t="s">
        <v>323</v>
      </c>
      <c r="U3010">
        <v>-7.6</v>
      </c>
    </row>
    <row r="3011" spans="14:25">
      <c r="N3011" s="42">
        <v>44557</v>
      </c>
      <c r="O3011" t="s">
        <v>345</v>
      </c>
      <c r="P3011" s="42">
        <v>44557</v>
      </c>
      <c r="Q3011" t="s">
        <v>345</v>
      </c>
      <c r="R3011" t="s">
        <v>320</v>
      </c>
      <c r="S3011" t="s">
        <v>323</v>
      </c>
      <c r="U3011">
        <v>7.6</v>
      </c>
    </row>
    <row r="3012" spans="14:25">
      <c r="N3012" s="42">
        <v>44557</v>
      </c>
      <c r="O3012" t="s">
        <v>345</v>
      </c>
      <c r="P3012" s="42">
        <v>44557</v>
      </c>
      <c r="Q3012" t="s">
        <v>345</v>
      </c>
      <c r="R3012" t="s">
        <v>320</v>
      </c>
      <c r="S3012" t="s">
        <v>323</v>
      </c>
      <c r="U3012">
        <v>7.6</v>
      </c>
      <c r="Y3012" s="42">
        <v>44565</v>
      </c>
    </row>
    <row r="3013" spans="14:25">
      <c r="N3013" s="42">
        <v>44502</v>
      </c>
      <c r="O3013" t="s">
        <v>333</v>
      </c>
      <c r="P3013" s="42">
        <v>44502</v>
      </c>
      <c r="Q3013" t="s">
        <v>333</v>
      </c>
      <c r="R3013" t="s">
        <v>320</v>
      </c>
      <c r="S3013" t="s">
        <v>323</v>
      </c>
      <c r="U3013">
        <v>7.6</v>
      </c>
    </row>
    <row r="3014" spans="14:25">
      <c r="N3014" s="42">
        <v>44463</v>
      </c>
      <c r="O3014" t="s">
        <v>346</v>
      </c>
      <c r="P3014" s="42">
        <v>44463</v>
      </c>
      <c r="Q3014" t="s">
        <v>346</v>
      </c>
      <c r="R3014" t="s">
        <v>320</v>
      </c>
      <c r="S3014" t="s">
        <v>323</v>
      </c>
      <c r="U3014">
        <v>7.6</v>
      </c>
    </row>
    <row r="3015" spans="14:25">
      <c r="N3015" s="42">
        <v>44449</v>
      </c>
      <c r="O3015" t="s">
        <v>346</v>
      </c>
      <c r="P3015" s="42">
        <v>44449</v>
      </c>
      <c r="Q3015" t="s">
        <v>346</v>
      </c>
      <c r="R3015" t="s">
        <v>329</v>
      </c>
      <c r="S3015" t="s">
        <v>323</v>
      </c>
      <c r="T3015">
        <v>7.6</v>
      </c>
      <c r="W3015" t="s">
        <v>330</v>
      </c>
      <c r="Y3015" s="42">
        <v>44453</v>
      </c>
    </row>
    <row r="3016" spans="14:25">
      <c r="N3016" s="42">
        <v>44448</v>
      </c>
      <c r="O3016" t="s">
        <v>324</v>
      </c>
      <c r="P3016" s="42">
        <v>44448</v>
      </c>
      <c r="Q3016" t="s">
        <v>324</v>
      </c>
      <c r="R3016" t="s">
        <v>329</v>
      </c>
      <c r="S3016" t="s">
        <v>323</v>
      </c>
      <c r="T3016">
        <v>7.6</v>
      </c>
      <c r="W3016" t="s">
        <v>330</v>
      </c>
      <c r="Y3016" s="42">
        <v>44453</v>
      </c>
    </row>
    <row r="3017" spans="14:25">
      <c r="N3017" s="42">
        <v>44447</v>
      </c>
      <c r="O3017" t="s">
        <v>328</v>
      </c>
      <c r="P3017" s="42">
        <v>44447</v>
      </c>
      <c r="Q3017" t="s">
        <v>328</v>
      </c>
      <c r="R3017" t="s">
        <v>334</v>
      </c>
      <c r="S3017" t="s">
        <v>323</v>
      </c>
      <c r="T3017">
        <v>7.6</v>
      </c>
      <c r="W3017" t="s">
        <v>330</v>
      </c>
      <c r="Y3017" s="42">
        <v>44453</v>
      </c>
    </row>
    <row r="3018" spans="14:25">
      <c r="N3018" s="42">
        <v>44446</v>
      </c>
      <c r="O3018" t="s">
        <v>333</v>
      </c>
      <c r="P3018" s="42">
        <v>44446</v>
      </c>
      <c r="Q3018" t="s">
        <v>333</v>
      </c>
      <c r="R3018" t="s">
        <v>334</v>
      </c>
      <c r="S3018" t="s">
        <v>323</v>
      </c>
      <c r="T3018">
        <v>7.6</v>
      </c>
      <c r="W3018" t="s">
        <v>330</v>
      </c>
      <c r="Y3018" s="42">
        <v>44453</v>
      </c>
    </row>
    <row r="3019" spans="14:25">
      <c r="N3019" s="42">
        <v>44445</v>
      </c>
      <c r="O3019" t="s">
        <v>345</v>
      </c>
      <c r="P3019" s="42">
        <v>44445</v>
      </c>
      <c r="Q3019" t="s">
        <v>345</v>
      </c>
      <c r="R3019" t="s">
        <v>334</v>
      </c>
      <c r="S3019" t="s">
        <v>323</v>
      </c>
      <c r="T3019">
        <v>7.6</v>
      </c>
      <c r="W3019" t="s">
        <v>330</v>
      </c>
      <c r="Y3019" s="42">
        <v>44453</v>
      </c>
    </row>
    <row r="3020" spans="14:25">
      <c r="N3020" s="42">
        <v>44398</v>
      </c>
      <c r="O3020" t="s">
        <v>328</v>
      </c>
      <c r="P3020" s="42">
        <v>44411</v>
      </c>
      <c r="Q3020" t="s">
        <v>333</v>
      </c>
      <c r="R3020" t="s">
        <v>383</v>
      </c>
      <c r="S3020" t="s">
        <v>323</v>
      </c>
      <c r="T3020">
        <v>76</v>
      </c>
      <c r="W3020" t="s">
        <v>339</v>
      </c>
      <c r="Y3020" s="42">
        <v>44411</v>
      </c>
    </row>
    <row r="3021" spans="14:25">
      <c r="N3021" s="42">
        <v>44390</v>
      </c>
      <c r="O3021" t="s">
        <v>333</v>
      </c>
      <c r="P3021" s="42">
        <v>44390</v>
      </c>
      <c r="Q3021" t="s">
        <v>333</v>
      </c>
      <c r="R3021" t="s">
        <v>329</v>
      </c>
      <c r="S3021" t="s">
        <v>323</v>
      </c>
      <c r="T3021">
        <v>7.6</v>
      </c>
      <c r="W3021" t="s">
        <v>330</v>
      </c>
      <c r="Y3021" s="42">
        <v>44397</v>
      </c>
    </row>
    <row r="3022" spans="14:25">
      <c r="N3022" s="42">
        <v>44361</v>
      </c>
      <c r="O3022" t="s">
        <v>345</v>
      </c>
      <c r="P3022" s="42">
        <v>44361</v>
      </c>
      <c r="Q3022" t="s">
        <v>345</v>
      </c>
      <c r="R3022" t="s">
        <v>320</v>
      </c>
      <c r="S3022" t="s">
        <v>323</v>
      </c>
      <c r="U3022">
        <v>7.6</v>
      </c>
    </row>
    <row r="3023" spans="14:25">
      <c r="N3023" s="42">
        <v>44305</v>
      </c>
      <c r="O3023" t="s">
        <v>345</v>
      </c>
      <c r="P3023" s="42">
        <v>44305</v>
      </c>
      <c r="Q3023" t="s">
        <v>345</v>
      </c>
      <c r="R3023" t="s">
        <v>320</v>
      </c>
      <c r="S3023" t="s">
        <v>323</v>
      </c>
      <c r="T3023">
        <v>7.6</v>
      </c>
      <c r="Y3023" s="42">
        <v>44313</v>
      </c>
    </row>
    <row r="3024" spans="14:25">
      <c r="N3024" s="42">
        <v>44295</v>
      </c>
      <c r="O3024" t="s">
        <v>346</v>
      </c>
      <c r="P3024" s="42">
        <v>44295</v>
      </c>
      <c r="Q3024" t="s">
        <v>346</v>
      </c>
      <c r="R3024" t="s">
        <v>320</v>
      </c>
      <c r="S3024" t="s">
        <v>323</v>
      </c>
      <c r="T3024">
        <v>7.6</v>
      </c>
      <c r="Y3024" s="42">
        <v>44299</v>
      </c>
    </row>
    <row r="3025" spans="14:25">
      <c r="N3025" s="42">
        <v>44294</v>
      </c>
      <c r="O3025" t="s">
        <v>324</v>
      </c>
      <c r="P3025" s="42">
        <v>44294</v>
      </c>
      <c r="Q3025" t="s">
        <v>324</v>
      </c>
      <c r="R3025" t="s">
        <v>320</v>
      </c>
      <c r="S3025" t="s">
        <v>323</v>
      </c>
      <c r="T3025">
        <v>7.6</v>
      </c>
      <c r="Y3025" s="42">
        <v>44299</v>
      </c>
    </row>
    <row r="3026" spans="14:25">
      <c r="N3026" s="42">
        <v>44293</v>
      </c>
      <c r="O3026" t="s">
        <v>328</v>
      </c>
      <c r="P3026" s="42">
        <v>44293</v>
      </c>
      <c r="Q3026" t="s">
        <v>328</v>
      </c>
      <c r="R3026" t="s">
        <v>320</v>
      </c>
      <c r="S3026" t="s">
        <v>323</v>
      </c>
      <c r="T3026">
        <v>7.6</v>
      </c>
      <c r="Y3026" s="42">
        <v>44299</v>
      </c>
    </row>
    <row r="3027" spans="14:25">
      <c r="N3027" s="42">
        <v>44292</v>
      </c>
      <c r="O3027" t="s">
        <v>333</v>
      </c>
      <c r="P3027" s="42">
        <v>44292</v>
      </c>
      <c r="Q3027" t="s">
        <v>333</v>
      </c>
      <c r="R3027" t="s">
        <v>320</v>
      </c>
      <c r="S3027" t="s">
        <v>323</v>
      </c>
      <c r="T3027">
        <v>7.6</v>
      </c>
      <c r="Y3027" s="42">
        <v>44299</v>
      </c>
    </row>
    <row r="3028" spans="14:25">
      <c r="N3028" s="42">
        <v>44291</v>
      </c>
      <c r="O3028" t="s">
        <v>345</v>
      </c>
      <c r="P3028" s="42">
        <v>44291</v>
      </c>
      <c r="Q3028" t="s">
        <v>345</v>
      </c>
      <c r="R3028" t="s">
        <v>320</v>
      </c>
      <c r="S3028" t="s">
        <v>323</v>
      </c>
      <c r="U3028">
        <v>7.6</v>
      </c>
    </row>
    <row r="3029" spans="14:25">
      <c r="N3029" s="42">
        <v>44288</v>
      </c>
      <c r="O3029" t="s">
        <v>346</v>
      </c>
      <c r="P3029" s="42">
        <v>44288</v>
      </c>
      <c r="Q3029" t="s">
        <v>346</v>
      </c>
      <c r="R3029" t="s">
        <v>320</v>
      </c>
      <c r="S3029" t="s">
        <v>323</v>
      </c>
      <c r="U3029">
        <v>7.6</v>
      </c>
    </row>
    <row r="3030" spans="14:25">
      <c r="N3030" s="42">
        <v>44263</v>
      </c>
      <c r="O3030" t="s">
        <v>345</v>
      </c>
      <c r="P3030" s="42">
        <v>44263</v>
      </c>
      <c r="Q3030" t="s">
        <v>345</v>
      </c>
      <c r="R3030" t="s">
        <v>320</v>
      </c>
      <c r="S3030" t="s">
        <v>323</v>
      </c>
      <c r="U3030">
        <v>7.6</v>
      </c>
    </row>
    <row r="3031" spans="14:25">
      <c r="N3031" s="42">
        <v>44222</v>
      </c>
      <c r="O3031" t="s">
        <v>333</v>
      </c>
      <c r="P3031" s="42">
        <v>44222</v>
      </c>
      <c r="Q3031" t="s">
        <v>333</v>
      </c>
      <c r="R3031" t="s">
        <v>320</v>
      </c>
      <c r="S3031" t="s">
        <v>323</v>
      </c>
      <c r="U3031">
        <v>7.6</v>
      </c>
    </row>
    <row r="3032" spans="14:25">
      <c r="N3032" s="42">
        <v>44216</v>
      </c>
      <c r="O3032" t="s">
        <v>328</v>
      </c>
      <c r="P3032" s="42">
        <v>44216</v>
      </c>
      <c r="Q3032" t="s">
        <v>328</v>
      </c>
      <c r="R3032" t="s">
        <v>329</v>
      </c>
      <c r="S3032" t="s">
        <v>323</v>
      </c>
      <c r="T3032">
        <v>7.6</v>
      </c>
      <c r="W3032" t="s">
        <v>330</v>
      </c>
      <c r="Y3032" s="42">
        <v>44229</v>
      </c>
    </row>
    <row r="3033" spans="14:25">
      <c r="N3033" s="42">
        <v>44197</v>
      </c>
      <c r="O3033" t="s">
        <v>346</v>
      </c>
      <c r="P3033" s="42">
        <v>44197</v>
      </c>
      <c r="Q3033" t="s">
        <v>346</v>
      </c>
      <c r="R3033" t="s">
        <v>320</v>
      </c>
      <c r="S3033" t="s">
        <v>323</v>
      </c>
      <c r="U3033">
        <v>7.6</v>
      </c>
    </row>
    <row r="3034" spans="14:25">
      <c r="N3034" s="42">
        <v>44196</v>
      </c>
      <c r="O3034" t="s">
        <v>324</v>
      </c>
      <c r="P3034" s="42">
        <v>44196</v>
      </c>
      <c r="Q3034" t="s">
        <v>324</v>
      </c>
      <c r="R3034" t="s">
        <v>320</v>
      </c>
      <c r="S3034" t="s">
        <v>323</v>
      </c>
      <c r="T3034">
        <v>7.6</v>
      </c>
      <c r="Y3034" s="42">
        <v>44201</v>
      </c>
    </row>
    <row r="3035" spans="14:25">
      <c r="N3035" s="42">
        <v>44195</v>
      </c>
      <c r="O3035" t="s">
        <v>328</v>
      </c>
      <c r="P3035" s="42">
        <v>44195</v>
      </c>
      <c r="Q3035" t="s">
        <v>328</v>
      </c>
      <c r="R3035" t="s">
        <v>320</v>
      </c>
      <c r="S3035" t="s">
        <v>323</v>
      </c>
      <c r="T3035">
        <v>7.6</v>
      </c>
      <c r="Y3035" s="42">
        <v>44201</v>
      </c>
    </row>
    <row r="3036" spans="14:25">
      <c r="N3036" s="42">
        <v>44194</v>
      </c>
      <c r="O3036" t="s">
        <v>333</v>
      </c>
      <c r="P3036" s="42">
        <v>44194</v>
      </c>
      <c r="Q3036" t="s">
        <v>333</v>
      </c>
      <c r="R3036" t="s">
        <v>320</v>
      </c>
      <c r="S3036" t="s">
        <v>323</v>
      </c>
      <c r="T3036">
        <v>7.6</v>
      </c>
      <c r="Y3036" s="42">
        <v>44201</v>
      </c>
    </row>
    <row r="3037" spans="14:25">
      <c r="N3037" s="42">
        <v>44193</v>
      </c>
      <c r="O3037" t="s">
        <v>345</v>
      </c>
      <c r="P3037" s="42">
        <v>44193</v>
      </c>
      <c r="Q3037" t="s">
        <v>345</v>
      </c>
      <c r="R3037" t="s">
        <v>320</v>
      </c>
      <c r="S3037" t="s">
        <v>323</v>
      </c>
      <c r="U3037">
        <v>7.6</v>
      </c>
    </row>
    <row r="3038" spans="14:25">
      <c r="N3038" s="42">
        <v>44190</v>
      </c>
      <c r="O3038" t="s">
        <v>346</v>
      </c>
      <c r="P3038" s="42">
        <v>44190</v>
      </c>
      <c r="Q3038" t="s">
        <v>346</v>
      </c>
      <c r="R3038" t="s">
        <v>320</v>
      </c>
      <c r="S3038" t="s">
        <v>323</v>
      </c>
      <c r="U3038">
        <v>7.6</v>
      </c>
    </row>
    <row r="3039" spans="14:25">
      <c r="N3039" s="42">
        <v>44153</v>
      </c>
      <c r="O3039" t="s">
        <v>328</v>
      </c>
      <c r="P3039" s="42">
        <v>44153</v>
      </c>
      <c r="Q3039" t="s">
        <v>328</v>
      </c>
      <c r="R3039" t="s">
        <v>329</v>
      </c>
      <c r="S3039" t="s">
        <v>323</v>
      </c>
      <c r="T3039">
        <v>7.6</v>
      </c>
      <c r="W3039" t="s">
        <v>330</v>
      </c>
      <c r="Y3039" s="42">
        <v>44159</v>
      </c>
    </row>
    <row r="3040" spans="14:25">
      <c r="N3040" s="42">
        <v>44138</v>
      </c>
      <c r="O3040" t="s">
        <v>333</v>
      </c>
      <c r="P3040" s="42">
        <v>44138</v>
      </c>
      <c r="Q3040" t="s">
        <v>333</v>
      </c>
      <c r="R3040" t="s">
        <v>320</v>
      </c>
      <c r="S3040" t="s">
        <v>323</v>
      </c>
      <c r="U3040">
        <v>7.6</v>
      </c>
    </row>
    <row r="3041" spans="14:25">
      <c r="N3041" s="42">
        <v>44127</v>
      </c>
      <c r="O3041" t="s">
        <v>346</v>
      </c>
      <c r="P3041" s="42">
        <v>44127</v>
      </c>
      <c r="Q3041" t="s">
        <v>346</v>
      </c>
      <c r="R3041" t="s">
        <v>320</v>
      </c>
      <c r="S3041" t="s">
        <v>323</v>
      </c>
      <c r="U3041">
        <v>7.6</v>
      </c>
    </row>
    <row r="3042" spans="14:25">
      <c r="N3042" s="42">
        <v>44090</v>
      </c>
      <c r="O3042" t="s">
        <v>328</v>
      </c>
      <c r="P3042" s="42">
        <v>44090</v>
      </c>
      <c r="Q3042" t="s">
        <v>328</v>
      </c>
      <c r="R3042" t="s">
        <v>383</v>
      </c>
      <c r="S3042" t="s">
        <v>323</v>
      </c>
      <c r="T3042">
        <v>76</v>
      </c>
      <c r="W3042" t="s">
        <v>339</v>
      </c>
      <c r="Y3042" s="42">
        <v>44103</v>
      </c>
    </row>
    <row r="3043" spans="14:25">
      <c r="N3043" s="42">
        <v>44041</v>
      </c>
      <c r="O3043" t="s">
        <v>328</v>
      </c>
      <c r="P3043" s="42">
        <v>44041</v>
      </c>
      <c r="Q3043" t="s">
        <v>328</v>
      </c>
      <c r="R3043" t="s">
        <v>320</v>
      </c>
      <c r="S3043" t="s">
        <v>323</v>
      </c>
      <c r="T3043">
        <v>7.6</v>
      </c>
      <c r="Y3043" s="42">
        <v>44047</v>
      </c>
    </row>
    <row r="3044" spans="14:25">
      <c r="N3044" s="42">
        <v>44028</v>
      </c>
      <c r="O3044" t="s">
        <v>324</v>
      </c>
      <c r="P3044" s="42">
        <v>44028</v>
      </c>
      <c r="Q3044" t="s">
        <v>324</v>
      </c>
      <c r="R3044" t="s">
        <v>320</v>
      </c>
      <c r="S3044" t="s">
        <v>323</v>
      </c>
      <c r="T3044">
        <v>7.6</v>
      </c>
      <c r="Y3044" s="42">
        <v>44033</v>
      </c>
    </row>
    <row r="3045" spans="14:25">
      <c r="N3045" s="42">
        <v>44027</v>
      </c>
      <c r="O3045" t="s">
        <v>328</v>
      </c>
      <c r="P3045" s="42">
        <v>44027</v>
      </c>
      <c r="Q3045" t="s">
        <v>328</v>
      </c>
      <c r="R3045" t="s">
        <v>320</v>
      </c>
      <c r="S3045" t="s">
        <v>323</v>
      </c>
      <c r="T3045">
        <v>7.6</v>
      </c>
      <c r="Y3045" s="42">
        <v>44033</v>
      </c>
    </row>
    <row r="3046" spans="14:25">
      <c r="N3046" s="42">
        <v>44021</v>
      </c>
      <c r="O3046" t="s">
        <v>324</v>
      </c>
      <c r="P3046" s="42">
        <v>44021</v>
      </c>
      <c r="Q3046" t="s">
        <v>324</v>
      </c>
      <c r="R3046" t="s">
        <v>320</v>
      </c>
      <c r="S3046" t="s">
        <v>323</v>
      </c>
      <c r="T3046">
        <v>7.6</v>
      </c>
      <c r="Y3046" s="42">
        <v>44033</v>
      </c>
    </row>
    <row r="3047" spans="14:25">
      <c r="N3047" s="42">
        <v>44013</v>
      </c>
      <c r="O3047" t="s">
        <v>328</v>
      </c>
      <c r="P3047" s="42">
        <v>44013</v>
      </c>
      <c r="Q3047" t="s">
        <v>328</v>
      </c>
      <c r="R3047" t="s">
        <v>320</v>
      </c>
      <c r="S3047" t="s">
        <v>323</v>
      </c>
      <c r="T3047">
        <v>7.6</v>
      </c>
      <c r="Y3047" s="42">
        <v>44019</v>
      </c>
    </row>
    <row r="3048" spans="14:25">
      <c r="N3048" s="42">
        <v>44006</v>
      </c>
      <c r="O3048" t="s">
        <v>328</v>
      </c>
      <c r="P3048" s="42">
        <v>44006</v>
      </c>
      <c r="Q3048" t="s">
        <v>328</v>
      </c>
      <c r="R3048" t="s">
        <v>320</v>
      </c>
      <c r="S3048" t="s">
        <v>323</v>
      </c>
      <c r="T3048">
        <v>7.6</v>
      </c>
      <c r="Y3048" s="42">
        <v>44019</v>
      </c>
    </row>
    <row r="3049" spans="14:25">
      <c r="N3049" s="42">
        <v>43991</v>
      </c>
      <c r="O3049" t="s">
        <v>333</v>
      </c>
      <c r="P3049" s="42">
        <v>43991</v>
      </c>
      <c r="Q3049" t="s">
        <v>333</v>
      </c>
      <c r="R3049" t="s">
        <v>320</v>
      </c>
      <c r="S3049" t="s">
        <v>323</v>
      </c>
      <c r="T3049">
        <v>7.6</v>
      </c>
      <c r="Y3049" s="42">
        <v>43991</v>
      </c>
    </row>
    <row r="3050" spans="14:25">
      <c r="N3050" s="42">
        <v>43826</v>
      </c>
      <c r="O3050" t="s">
        <v>346</v>
      </c>
      <c r="P3050" s="42">
        <v>43826</v>
      </c>
      <c r="Q3050" t="s">
        <v>346</v>
      </c>
      <c r="R3050" t="s">
        <v>320</v>
      </c>
      <c r="S3050" t="s">
        <v>323</v>
      </c>
      <c r="T3050">
        <v>7.6</v>
      </c>
      <c r="Y3050" s="42">
        <v>43837</v>
      </c>
    </row>
    <row r="3051" spans="14:25">
      <c r="N3051" s="42">
        <v>43768</v>
      </c>
      <c r="O3051" t="s">
        <v>328</v>
      </c>
      <c r="P3051" s="42">
        <v>43768</v>
      </c>
      <c r="Q3051" t="s">
        <v>328</v>
      </c>
      <c r="R3051" t="s">
        <v>329</v>
      </c>
      <c r="S3051" t="s">
        <v>323</v>
      </c>
      <c r="T3051">
        <v>7.6</v>
      </c>
      <c r="W3051" t="s">
        <v>330</v>
      </c>
      <c r="Y3051" s="42">
        <v>43781</v>
      </c>
    </row>
    <row r="3052" spans="14:25">
      <c r="N3052" s="42">
        <v>43754</v>
      </c>
      <c r="O3052" t="s">
        <v>328</v>
      </c>
      <c r="P3052" s="42">
        <v>43754</v>
      </c>
      <c r="Q3052" t="s">
        <v>328</v>
      </c>
      <c r="R3052" t="s">
        <v>320</v>
      </c>
      <c r="S3052" t="s">
        <v>323</v>
      </c>
      <c r="T3052">
        <v>7.6</v>
      </c>
      <c r="Y3052" s="42">
        <v>43767</v>
      </c>
    </row>
    <row r="3053" spans="14:25">
      <c r="N3053" s="42">
        <v>43721</v>
      </c>
      <c r="O3053" t="s">
        <v>346</v>
      </c>
      <c r="P3053" s="42">
        <v>43721</v>
      </c>
      <c r="Q3053" t="s">
        <v>346</v>
      </c>
      <c r="R3053" t="s">
        <v>320</v>
      </c>
      <c r="S3053" t="s">
        <v>323</v>
      </c>
      <c r="T3053">
        <v>7.6</v>
      </c>
      <c r="Y3053" s="42">
        <v>43725</v>
      </c>
    </row>
    <row r="3054" spans="14:25">
      <c r="N3054" s="42">
        <v>43704</v>
      </c>
      <c r="O3054" t="s">
        <v>333</v>
      </c>
      <c r="P3054" s="42">
        <v>43704</v>
      </c>
      <c r="Q3054" t="s">
        <v>333</v>
      </c>
      <c r="R3054" t="s">
        <v>329</v>
      </c>
      <c r="S3054" t="s">
        <v>323</v>
      </c>
      <c r="T3054">
        <v>7.6</v>
      </c>
      <c r="W3054" t="s">
        <v>330</v>
      </c>
      <c r="Y3054" s="42">
        <v>43725</v>
      </c>
    </row>
    <row r="3055" spans="14:25">
      <c r="N3055" s="42">
        <v>43699</v>
      </c>
      <c r="O3055" t="s">
        <v>324</v>
      </c>
      <c r="P3055" s="42">
        <v>43699</v>
      </c>
      <c r="Q3055" t="s">
        <v>324</v>
      </c>
      <c r="R3055" t="s">
        <v>329</v>
      </c>
      <c r="S3055" t="s">
        <v>323</v>
      </c>
      <c r="T3055">
        <v>7.6</v>
      </c>
      <c r="W3055" t="s">
        <v>330</v>
      </c>
      <c r="Y3055" s="42">
        <v>43711</v>
      </c>
    </row>
    <row r="3056" spans="14:25">
      <c r="N3056" s="42">
        <v>43697</v>
      </c>
      <c r="O3056" t="s">
        <v>333</v>
      </c>
      <c r="P3056" s="42">
        <v>43697</v>
      </c>
      <c r="Q3056" t="s">
        <v>333</v>
      </c>
      <c r="R3056" t="s">
        <v>329</v>
      </c>
      <c r="S3056" t="s">
        <v>323</v>
      </c>
      <c r="T3056">
        <v>7.6</v>
      </c>
      <c r="W3056" t="s">
        <v>330</v>
      </c>
      <c r="Y3056" s="42">
        <v>43697</v>
      </c>
    </row>
    <row r="3057" spans="1:25">
      <c r="N3057" s="42">
        <v>43696</v>
      </c>
      <c r="O3057" t="s">
        <v>345</v>
      </c>
      <c r="P3057" s="42">
        <v>43696</v>
      </c>
      <c r="Q3057" t="s">
        <v>345</v>
      </c>
      <c r="R3057" t="s">
        <v>329</v>
      </c>
      <c r="S3057" t="s">
        <v>323</v>
      </c>
      <c r="T3057">
        <v>7.6</v>
      </c>
      <c r="W3057" t="s">
        <v>330</v>
      </c>
      <c r="Y3057" s="42">
        <v>43697</v>
      </c>
    </row>
    <row r="3058" spans="1:25">
      <c r="N3058" s="42">
        <v>43630</v>
      </c>
      <c r="O3058" t="s">
        <v>346</v>
      </c>
      <c r="P3058" s="42">
        <v>43630</v>
      </c>
      <c r="Q3058" t="s">
        <v>346</v>
      </c>
      <c r="R3058" t="s">
        <v>329</v>
      </c>
      <c r="S3058" t="s">
        <v>323</v>
      </c>
      <c r="T3058">
        <v>7.6</v>
      </c>
      <c r="W3058" t="s">
        <v>330</v>
      </c>
      <c r="Y3058" s="42">
        <v>43641</v>
      </c>
    </row>
    <row r="3059" spans="1:25">
      <c r="A3059">
        <v>18631</v>
      </c>
      <c r="B3059" t="s">
        <v>390</v>
      </c>
      <c r="C3059" t="s">
        <v>320</v>
      </c>
      <c r="D3059" t="s">
        <v>336</v>
      </c>
      <c r="E3059" t="s">
        <v>337</v>
      </c>
      <c r="F3059">
        <v>1</v>
      </c>
      <c r="G3059" s="42">
        <v>45157</v>
      </c>
      <c r="H3059">
        <v>91.2</v>
      </c>
      <c r="I3059">
        <v>24.7974</v>
      </c>
      <c r="J3059">
        <v>49.222999999999999</v>
      </c>
      <c r="K3059">
        <v>74.020399999999995</v>
      </c>
      <c r="L3059" t="s">
        <v>323</v>
      </c>
      <c r="M3059" s="43">
        <v>0.29791666666666666</v>
      </c>
      <c r="N3059" s="42">
        <v>44968</v>
      </c>
      <c r="O3059" t="s">
        <v>359</v>
      </c>
      <c r="P3059" s="42">
        <v>44968</v>
      </c>
      <c r="Q3059" t="s">
        <v>359</v>
      </c>
      <c r="R3059" t="s">
        <v>320</v>
      </c>
      <c r="S3059" t="s">
        <v>323</v>
      </c>
      <c r="T3059">
        <v>7.6</v>
      </c>
      <c r="Y3059" s="42">
        <v>44971</v>
      </c>
    </row>
    <row r="3060" spans="1:25">
      <c r="C3060" t="s">
        <v>325</v>
      </c>
      <c r="D3060" t="s">
        <v>352</v>
      </c>
      <c r="E3060" t="s">
        <v>353</v>
      </c>
      <c r="F3060">
        <v>1</v>
      </c>
      <c r="G3060" s="42">
        <v>45523</v>
      </c>
      <c r="H3060">
        <v>242.71969999999999</v>
      </c>
      <c r="I3060">
        <v>0</v>
      </c>
      <c r="J3060">
        <v>213.83320000000001</v>
      </c>
      <c r="K3060">
        <v>213.83320000000001</v>
      </c>
      <c r="L3060" t="s">
        <v>323</v>
      </c>
      <c r="N3060" s="42">
        <v>44963</v>
      </c>
      <c r="O3060" t="s">
        <v>345</v>
      </c>
      <c r="P3060" s="42">
        <v>44963</v>
      </c>
      <c r="Q3060" t="s">
        <v>345</v>
      </c>
      <c r="R3060" t="s">
        <v>329</v>
      </c>
      <c r="S3060" t="s">
        <v>323</v>
      </c>
      <c r="T3060">
        <v>7.6</v>
      </c>
      <c r="W3060" t="s">
        <v>330</v>
      </c>
      <c r="Y3060" s="42">
        <v>44971</v>
      </c>
    </row>
    <row r="3061" spans="1:25">
      <c r="C3061" t="s">
        <v>329</v>
      </c>
      <c r="D3061" t="s">
        <v>342</v>
      </c>
      <c r="E3061" t="s">
        <v>343</v>
      </c>
      <c r="F3061">
        <v>1</v>
      </c>
      <c r="G3061" s="42">
        <v>45157</v>
      </c>
      <c r="H3061">
        <v>45.6</v>
      </c>
      <c r="I3061">
        <v>12.8752</v>
      </c>
      <c r="J3061">
        <v>24.611499999999999</v>
      </c>
      <c r="K3061">
        <v>37.486699999999999</v>
      </c>
      <c r="L3061" t="s">
        <v>323</v>
      </c>
      <c r="N3061" s="42">
        <v>44928</v>
      </c>
      <c r="O3061" t="s">
        <v>345</v>
      </c>
      <c r="P3061" s="42">
        <v>44928</v>
      </c>
      <c r="Q3061" t="s">
        <v>345</v>
      </c>
      <c r="R3061" t="s">
        <v>320</v>
      </c>
      <c r="S3061" t="s">
        <v>323</v>
      </c>
      <c r="U3061">
        <v>7.6</v>
      </c>
    </row>
    <row r="3062" spans="1:25">
      <c r="N3062" s="42">
        <v>44926</v>
      </c>
      <c r="O3062" t="s">
        <v>359</v>
      </c>
      <c r="P3062" s="42">
        <v>44926</v>
      </c>
      <c r="Q3062" t="s">
        <v>359</v>
      </c>
      <c r="R3062" t="s">
        <v>320</v>
      </c>
      <c r="S3062" t="s">
        <v>323</v>
      </c>
      <c r="T3062">
        <v>7.6</v>
      </c>
      <c r="Y3062" s="42">
        <v>44929</v>
      </c>
    </row>
    <row r="3063" spans="1:25">
      <c r="N3063" s="42">
        <v>44921</v>
      </c>
      <c r="O3063" t="s">
        <v>345</v>
      </c>
      <c r="P3063" s="42">
        <v>44921</v>
      </c>
      <c r="Q3063" t="s">
        <v>345</v>
      </c>
      <c r="R3063" t="s">
        <v>320</v>
      </c>
      <c r="S3063" t="s">
        <v>323</v>
      </c>
      <c r="U3063">
        <v>7.6</v>
      </c>
    </row>
    <row r="3064" spans="1:25">
      <c r="N3064" s="42">
        <v>44907</v>
      </c>
      <c r="O3064" t="s">
        <v>345</v>
      </c>
      <c r="P3064" s="42">
        <v>44907</v>
      </c>
      <c r="Q3064" t="s">
        <v>345</v>
      </c>
      <c r="R3064" t="s">
        <v>320</v>
      </c>
      <c r="S3064" t="s">
        <v>323</v>
      </c>
      <c r="T3064">
        <v>2</v>
      </c>
      <c r="Y3064" s="42">
        <v>44915</v>
      </c>
    </row>
    <row r="3065" spans="1:25">
      <c r="N3065" s="42">
        <v>44902</v>
      </c>
      <c r="O3065" t="s">
        <v>328</v>
      </c>
      <c r="P3065" s="42">
        <v>44902</v>
      </c>
      <c r="Q3065" t="s">
        <v>328</v>
      </c>
      <c r="R3065" t="s">
        <v>320</v>
      </c>
      <c r="S3065" t="s">
        <v>323</v>
      </c>
      <c r="T3065">
        <v>2.6</v>
      </c>
      <c r="Y3065" s="42">
        <v>44915</v>
      </c>
    </row>
    <row r="3066" spans="1:25">
      <c r="N3066" s="42">
        <v>44877</v>
      </c>
      <c r="O3066" t="s">
        <v>359</v>
      </c>
      <c r="P3066" s="42">
        <v>44877</v>
      </c>
      <c r="Q3066" t="s">
        <v>359</v>
      </c>
      <c r="R3066" t="s">
        <v>320</v>
      </c>
      <c r="S3066" t="s">
        <v>323</v>
      </c>
      <c r="T3066">
        <v>7.6</v>
      </c>
      <c r="Y3066" s="42">
        <v>44887</v>
      </c>
    </row>
    <row r="3067" spans="1:25">
      <c r="N3067" s="42">
        <v>44872</v>
      </c>
      <c r="O3067" t="s">
        <v>345</v>
      </c>
      <c r="P3067" s="42">
        <v>44872</v>
      </c>
      <c r="Q3067" t="s">
        <v>345</v>
      </c>
      <c r="R3067" t="s">
        <v>329</v>
      </c>
      <c r="S3067" t="s">
        <v>323</v>
      </c>
      <c r="T3067">
        <v>7.6</v>
      </c>
      <c r="W3067" t="s">
        <v>330</v>
      </c>
      <c r="Y3067" s="42">
        <v>44873</v>
      </c>
    </row>
    <row r="3068" spans="1:25">
      <c r="N3068" s="42">
        <v>44867</v>
      </c>
      <c r="O3068" t="s">
        <v>328</v>
      </c>
      <c r="P3068" s="42">
        <v>44867</v>
      </c>
      <c r="Q3068" t="s">
        <v>328</v>
      </c>
      <c r="R3068" t="s">
        <v>329</v>
      </c>
      <c r="S3068" t="s">
        <v>323</v>
      </c>
      <c r="T3068">
        <v>1</v>
      </c>
      <c r="W3068" t="s">
        <v>330</v>
      </c>
      <c r="Y3068" s="42">
        <v>44873</v>
      </c>
    </row>
    <row r="3069" spans="1:25">
      <c r="N3069" s="42">
        <v>44865</v>
      </c>
      <c r="O3069" t="s">
        <v>345</v>
      </c>
      <c r="P3069" s="42">
        <v>44865</v>
      </c>
      <c r="Q3069" t="s">
        <v>345</v>
      </c>
      <c r="R3069" t="s">
        <v>329</v>
      </c>
      <c r="S3069" t="s">
        <v>323</v>
      </c>
      <c r="T3069">
        <v>1.5</v>
      </c>
      <c r="W3069" t="s">
        <v>330</v>
      </c>
      <c r="Y3069" s="42">
        <v>44873</v>
      </c>
    </row>
    <row r="3070" spans="1:25">
      <c r="N3070" s="42">
        <v>44837</v>
      </c>
      <c r="O3070" t="s">
        <v>345</v>
      </c>
      <c r="P3070" s="42">
        <v>44837</v>
      </c>
      <c r="Q3070" t="s">
        <v>345</v>
      </c>
      <c r="R3070" t="s">
        <v>320</v>
      </c>
      <c r="S3070" t="s">
        <v>323</v>
      </c>
      <c r="U3070">
        <v>7.6</v>
      </c>
    </row>
    <row r="3071" spans="1:25">
      <c r="N3071" s="42">
        <v>44760</v>
      </c>
      <c r="O3071" t="s">
        <v>345</v>
      </c>
      <c r="P3071" s="42">
        <v>44760</v>
      </c>
      <c r="Q3071" t="s">
        <v>345</v>
      </c>
      <c r="R3071" t="s">
        <v>329</v>
      </c>
      <c r="S3071" t="s">
        <v>323</v>
      </c>
      <c r="T3071">
        <v>7.6</v>
      </c>
      <c r="W3071" t="s">
        <v>330</v>
      </c>
      <c r="Y3071" s="42">
        <v>44761</v>
      </c>
    </row>
    <row r="3072" spans="1:25">
      <c r="N3072" s="42">
        <v>44725</v>
      </c>
      <c r="O3072" t="s">
        <v>345</v>
      </c>
      <c r="P3072" s="42">
        <v>44725</v>
      </c>
      <c r="Q3072" t="s">
        <v>345</v>
      </c>
      <c r="R3072" t="s">
        <v>320</v>
      </c>
      <c r="S3072" t="s">
        <v>323</v>
      </c>
      <c r="U3072">
        <v>7.6</v>
      </c>
    </row>
    <row r="3073" spans="14:25">
      <c r="N3073" s="42">
        <v>44676</v>
      </c>
      <c r="O3073" t="s">
        <v>345</v>
      </c>
      <c r="P3073" s="42">
        <v>44676</v>
      </c>
      <c r="Q3073" t="s">
        <v>345</v>
      </c>
      <c r="R3073" t="s">
        <v>320</v>
      </c>
      <c r="S3073" t="s">
        <v>323</v>
      </c>
      <c r="U3073">
        <v>7.6</v>
      </c>
    </row>
    <row r="3074" spans="14:25">
      <c r="N3074" s="42">
        <v>44669</v>
      </c>
      <c r="O3074" t="s">
        <v>345</v>
      </c>
      <c r="P3074" s="42">
        <v>44669</v>
      </c>
      <c r="Q3074" t="s">
        <v>345</v>
      </c>
      <c r="R3074" t="s">
        <v>320</v>
      </c>
      <c r="S3074" t="s">
        <v>323</v>
      </c>
      <c r="U3074">
        <v>7.6</v>
      </c>
    </row>
    <row r="3075" spans="14:25">
      <c r="N3075" s="42">
        <v>44668</v>
      </c>
      <c r="O3075" t="s">
        <v>344</v>
      </c>
      <c r="P3075" s="42">
        <v>44668</v>
      </c>
      <c r="Q3075" t="s">
        <v>344</v>
      </c>
      <c r="R3075" t="s">
        <v>320</v>
      </c>
      <c r="S3075" t="s">
        <v>323</v>
      </c>
      <c r="U3075">
        <v>7.6</v>
      </c>
    </row>
    <row r="3076" spans="14:25">
      <c r="N3076" s="42">
        <v>44473</v>
      </c>
      <c r="O3076" t="s">
        <v>345</v>
      </c>
      <c r="P3076" s="42">
        <v>44473</v>
      </c>
      <c r="Q3076" t="s">
        <v>345</v>
      </c>
      <c r="R3076" t="s">
        <v>320</v>
      </c>
      <c r="S3076" t="s">
        <v>323</v>
      </c>
      <c r="U3076">
        <v>7.6</v>
      </c>
    </row>
    <row r="3077" spans="14:25">
      <c r="N3077" s="42">
        <v>44292</v>
      </c>
      <c r="O3077" t="s">
        <v>333</v>
      </c>
      <c r="P3077" s="42">
        <v>44292</v>
      </c>
      <c r="Q3077" t="s">
        <v>333</v>
      </c>
      <c r="R3077" t="s">
        <v>370</v>
      </c>
      <c r="S3077" t="s">
        <v>323</v>
      </c>
      <c r="T3077">
        <v>7.6</v>
      </c>
      <c r="W3077" t="s">
        <v>330</v>
      </c>
      <c r="Y3077" s="42">
        <v>44299</v>
      </c>
    </row>
    <row r="3078" spans="14:25">
      <c r="N3078" s="42">
        <v>44291</v>
      </c>
      <c r="O3078" t="s">
        <v>345</v>
      </c>
      <c r="P3078" s="42">
        <v>44291</v>
      </c>
      <c r="Q3078" t="s">
        <v>345</v>
      </c>
      <c r="R3078" t="s">
        <v>370</v>
      </c>
      <c r="S3078" t="s">
        <v>323</v>
      </c>
      <c r="T3078">
        <v>7.6</v>
      </c>
      <c r="W3078" t="s">
        <v>330</v>
      </c>
      <c r="Y3078" s="42">
        <v>44299</v>
      </c>
    </row>
    <row r="3079" spans="14:25">
      <c r="N3079" s="42">
        <v>44290</v>
      </c>
      <c r="O3079" t="s">
        <v>344</v>
      </c>
      <c r="P3079" s="42">
        <v>44290</v>
      </c>
      <c r="Q3079" t="s">
        <v>344</v>
      </c>
      <c r="R3079" t="s">
        <v>370</v>
      </c>
      <c r="S3079" t="s">
        <v>323</v>
      </c>
      <c r="T3079">
        <v>7.6</v>
      </c>
      <c r="W3079" t="s">
        <v>330</v>
      </c>
      <c r="Y3079" s="42">
        <v>44299</v>
      </c>
    </row>
    <row r="3080" spans="14:25">
      <c r="N3080" s="42">
        <v>44287</v>
      </c>
      <c r="O3080" t="s">
        <v>324</v>
      </c>
      <c r="P3080" s="42">
        <v>44287</v>
      </c>
      <c r="Q3080" t="s">
        <v>324</v>
      </c>
      <c r="R3080" t="s">
        <v>370</v>
      </c>
      <c r="S3080" t="s">
        <v>323</v>
      </c>
      <c r="T3080">
        <v>7.6</v>
      </c>
      <c r="W3080" t="s">
        <v>330</v>
      </c>
      <c r="Y3080" s="42">
        <v>44299</v>
      </c>
    </row>
    <row r="3081" spans="14:25">
      <c r="N3081" s="42">
        <v>44286</v>
      </c>
      <c r="O3081" t="s">
        <v>328</v>
      </c>
      <c r="P3081" s="42">
        <v>44286</v>
      </c>
      <c r="Q3081" t="s">
        <v>328</v>
      </c>
      <c r="R3081" t="s">
        <v>370</v>
      </c>
      <c r="S3081" t="s">
        <v>323</v>
      </c>
      <c r="T3081">
        <v>7.6</v>
      </c>
      <c r="W3081" t="s">
        <v>330</v>
      </c>
      <c r="Y3081" s="42">
        <v>44299</v>
      </c>
    </row>
    <row r="3082" spans="14:25">
      <c r="N3082" s="42">
        <v>44285</v>
      </c>
      <c r="O3082" t="s">
        <v>333</v>
      </c>
      <c r="P3082" s="42">
        <v>44285</v>
      </c>
      <c r="Q3082" t="s">
        <v>333</v>
      </c>
      <c r="R3082" t="s">
        <v>370</v>
      </c>
      <c r="S3082" t="s">
        <v>323</v>
      </c>
      <c r="T3082">
        <v>7.6</v>
      </c>
      <c r="W3082" t="s">
        <v>330</v>
      </c>
      <c r="Y3082" s="42">
        <v>44285</v>
      </c>
    </row>
    <row r="3083" spans="14:25">
      <c r="N3083" s="42">
        <v>44284</v>
      </c>
      <c r="O3083" t="s">
        <v>345</v>
      </c>
      <c r="P3083" s="42">
        <v>44284</v>
      </c>
      <c r="Q3083" t="s">
        <v>345</v>
      </c>
      <c r="R3083" t="s">
        <v>370</v>
      </c>
      <c r="S3083" t="s">
        <v>323</v>
      </c>
      <c r="T3083">
        <v>7.6</v>
      </c>
      <c r="W3083" t="s">
        <v>330</v>
      </c>
      <c r="Y3083" s="42">
        <v>44285</v>
      </c>
    </row>
    <row r="3084" spans="14:25">
      <c r="N3084" s="42">
        <v>44283</v>
      </c>
      <c r="O3084" t="s">
        <v>344</v>
      </c>
      <c r="P3084" s="42">
        <v>44283</v>
      </c>
      <c r="Q3084" t="s">
        <v>344</v>
      </c>
      <c r="R3084" t="s">
        <v>370</v>
      </c>
      <c r="S3084" t="s">
        <v>323</v>
      </c>
      <c r="T3084">
        <v>7.6</v>
      </c>
      <c r="W3084" t="s">
        <v>330</v>
      </c>
      <c r="Y3084" s="42">
        <v>44285</v>
      </c>
    </row>
    <row r="3085" spans="14:25">
      <c r="N3085" s="42">
        <v>44280</v>
      </c>
      <c r="O3085" t="s">
        <v>324</v>
      </c>
      <c r="P3085" s="42">
        <v>44280</v>
      </c>
      <c r="Q3085" t="s">
        <v>324</v>
      </c>
      <c r="R3085" t="s">
        <v>370</v>
      </c>
      <c r="S3085" t="s">
        <v>323</v>
      </c>
      <c r="T3085">
        <v>7.6</v>
      </c>
      <c r="W3085" t="s">
        <v>330</v>
      </c>
      <c r="Y3085" s="42">
        <v>44285</v>
      </c>
    </row>
    <row r="3086" spans="14:25">
      <c r="N3086" s="42">
        <v>44279</v>
      </c>
      <c r="O3086" t="s">
        <v>328</v>
      </c>
      <c r="P3086" s="42">
        <v>44279</v>
      </c>
      <c r="Q3086" t="s">
        <v>328</v>
      </c>
      <c r="R3086" t="s">
        <v>370</v>
      </c>
      <c r="S3086" t="s">
        <v>323</v>
      </c>
      <c r="T3086">
        <v>7.6</v>
      </c>
      <c r="W3086" t="s">
        <v>330</v>
      </c>
      <c r="Y3086" s="42">
        <v>44285</v>
      </c>
    </row>
    <row r="3087" spans="14:25">
      <c r="N3087" s="42">
        <v>44278</v>
      </c>
      <c r="O3087" t="s">
        <v>333</v>
      </c>
      <c r="P3087" s="42">
        <v>44278</v>
      </c>
      <c r="Q3087" t="s">
        <v>333</v>
      </c>
      <c r="R3087" t="s">
        <v>370</v>
      </c>
      <c r="S3087" t="s">
        <v>323</v>
      </c>
      <c r="T3087">
        <v>7.6</v>
      </c>
      <c r="W3087" t="s">
        <v>330</v>
      </c>
      <c r="Y3087" s="42">
        <v>44285</v>
      </c>
    </row>
    <row r="3088" spans="14:25">
      <c r="N3088" s="42">
        <v>44277</v>
      </c>
      <c r="O3088" t="s">
        <v>345</v>
      </c>
      <c r="P3088" s="42">
        <v>44277</v>
      </c>
      <c r="Q3088" t="s">
        <v>345</v>
      </c>
      <c r="R3088" t="s">
        <v>370</v>
      </c>
      <c r="S3088" t="s">
        <v>323</v>
      </c>
      <c r="T3088">
        <v>7.6</v>
      </c>
      <c r="W3088" t="s">
        <v>330</v>
      </c>
      <c r="Y3088" s="42">
        <v>44285</v>
      </c>
    </row>
    <row r="3089" spans="14:25">
      <c r="N3089" s="42">
        <v>44276</v>
      </c>
      <c r="O3089" t="s">
        <v>344</v>
      </c>
      <c r="P3089" s="42">
        <v>44276</v>
      </c>
      <c r="Q3089" t="s">
        <v>344</v>
      </c>
      <c r="R3089" t="s">
        <v>370</v>
      </c>
      <c r="S3089" t="s">
        <v>323</v>
      </c>
      <c r="T3089">
        <v>7.6</v>
      </c>
      <c r="W3089" t="s">
        <v>330</v>
      </c>
      <c r="Y3089" s="42">
        <v>44285</v>
      </c>
    </row>
    <row r="3090" spans="14:25">
      <c r="N3090" s="42">
        <v>44273</v>
      </c>
      <c r="O3090" t="s">
        <v>324</v>
      </c>
      <c r="P3090" s="42">
        <v>44273</v>
      </c>
      <c r="Q3090" t="s">
        <v>324</v>
      </c>
      <c r="R3090" t="s">
        <v>370</v>
      </c>
      <c r="S3090" t="s">
        <v>323</v>
      </c>
      <c r="T3090">
        <v>7.6</v>
      </c>
      <c r="W3090" t="s">
        <v>330</v>
      </c>
      <c r="Y3090" s="42">
        <v>44285</v>
      </c>
    </row>
    <row r="3091" spans="14:25">
      <c r="N3091" s="42">
        <v>44272</v>
      </c>
      <c r="O3091" t="s">
        <v>328</v>
      </c>
      <c r="P3091" s="42">
        <v>44272</v>
      </c>
      <c r="Q3091" t="s">
        <v>328</v>
      </c>
      <c r="R3091" t="s">
        <v>370</v>
      </c>
      <c r="S3091" t="s">
        <v>323</v>
      </c>
      <c r="T3091">
        <v>7.6</v>
      </c>
      <c r="W3091" t="s">
        <v>330</v>
      </c>
      <c r="Y3091" s="42">
        <v>44285</v>
      </c>
    </row>
    <row r="3092" spans="14:25">
      <c r="N3092" s="42">
        <v>44271</v>
      </c>
      <c r="O3092" t="s">
        <v>333</v>
      </c>
      <c r="P3092" s="42">
        <v>44271</v>
      </c>
      <c r="Q3092" t="s">
        <v>333</v>
      </c>
      <c r="R3092" t="s">
        <v>370</v>
      </c>
      <c r="S3092" t="s">
        <v>323</v>
      </c>
      <c r="T3092">
        <v>7.6</v>
      </c>
      <c r="W3092" t="s">
        <v>330</v>
      </c>
      <c r="Y3092" s="42">
        <v>44271</v>
      </c>
    </row>
    <row r="3093" spans="14:25">
      <c r="N3093" s="42">
        <v>44270</v>
      </c>
      <c r="O3093" t="s">
        <v>345</v>
      </c>
      <c r="P3093" s="42">
        <v>44270</v>
      </c>
      <c r="Q3093" t="s">
        <v>345</v>
      </c>
      <c r="R3093" t="s">
        <v>370</v>
      </c>
      <c r="S3093" t="s">
        <v>323</v>
      </c>
      <c r="T3093">
        <v>7.6</v>
      </c>
      <c r="W3093" t="s">
        <v>330</v>
      </c>
      <c r="Y3093" s="42">
        <v>44271</v>
      </c>
    </row>
    <row r="3094" spans="14:25">
      <c r="N3094" s="42">
        <v>44269</v>
      </c>
      <c r="O3094" t="s">
        <v>344</v>
      </c>
      <c r="P3094" s="42">
        <v>44269</v>
      </c>
      <c r="Q3094" t="s">
        <v>344</v>
      </c>
      <c r="R3094" t="s">
        <v>370</v>
      </c>
      <c r="S3094" t="s">
        <v>323</v>
      </c>
      <c r="T3094">
        <v>7.6</v>
      </c>
      <c r="W3094" t="s">
        <v>330</v>
      </c>
      <c r="Y3094" s="42">
        <v>44271</v>
      </c>
    </row>
    <row r="3095" spans="14:25">
      <c r="N3095" s="42">
        <v>44266</v>
      </c>
      <c r="O3095" t="s">
        <v>324</v>
      </c>
      <c r="P3095" s="42">
        <v>44266</v>
      </c>
      <c r="Q3095" t="s">
        <v>324</v>
      </c>
      <c r="R3095" t="s">
        <v>370</v>
      </c>
      <c r="S3095" t="s">
        <v>323</v>
      </c>
      <c r="T3095">
        <v>7.6</v>
      </c>
      <c r="W3095" t="s">
        <v>330</v>
      </c>
      <c r="Y3095" s="42">
        <v>44271</v>
      </c>
    </row>
    <row r="3096" spans="14:25">
      <c r="N3096" s="42">
        <v>44265</v>
      </c>
      <c r="O3096" t="s">
        <v>328</v>
      </c>
      <c r="P3096" s="42">
        <v>44265</v>
      </c>
      <c r="Q3096" t="s">
        <v>328</v>
      </c>
      <c r="R3096" t="s">
        <v>370</v>
      </c>
      <c r="S3096" t="s">
        <v>323</v>
      </c>
      <c r="T3096">
        <v>7.6</v>
      </c>
      <c r="W3096" t="s">
        <v>330</v>
      </c>
      <c r="Y3096" s="42">
        <v>44271</v>
      </c>
    </row>
    <row r="3097" spans="14:25">
      <c r="N3097" s="42">
        <v>44264</v>
      </c>
      <c r="O3097" t="s">
        <v>333</v>
      </c>
      <c r="P3097" s="42">
        <v>44264</v>
      </c>
      <c r="Q3097" t="s">
        <v>333</v>
      </c>
      <c r="R3097" t="s">
        <v>370</v>
      </c>
      <c r="S3097" t="s">
        <v>323</v>
      </c>
      <c r="T3097">
        <v>7.6</v>
      </c>
      <c r="W3097" t="s">
        <v>330</v>
      </c>
      <c r="Y3097" s="42">
        <v>44271</v>
      </c>
    </row>
    <row r="3098" spans="14:25">
      <c r="N3098" s="42">
        <v>44263</v>
      </c>
      <c r="O3098" t="s">
        <v>345</v>
      </c>
      <c r="P3098" s="42">
        <v>44263</v>
      </c>
      <c r="Q3098" t="s">
        <v>345</v>
      </c>
      <c r="R3098" t="s">
        <v>370</v>
      </c>
      <c r="S3098" t="s">
        <v>323</v>
      </c>
      <c r="T3098">
        <v>7.6</v>
      </c>
      <c r="W3098" t="s">
        <v>330</v>
      </c>
      <c r="Y3098" s="42">
        <v>44271</v>
      </c>
    </row>
    <row r="3099" spans="14:25">
      <c r="N3099" s="42">
        <v>44262</v>
      </c>
      <c r="O3099" t="s">
        <v>344</v>
      </c>
      <c r="P3099" s="42">
        <v>44262</v>
      </c>
      <c r="Q3099" t="s">
        <v>344</v>
      </c>
      <c r="R3099" t="s">
        <v>370</v>
      </c>
      <c r="S3099" t="s">
        <v>323</v>
      </c>
      <c r="T3099">
        <v>7.6</v>
      </c>
      <c r="W3099" t="s">
        <v>330</v>
      </c>
      <c r="Y3099" s="42">
        <v>44271</v>
      </c>
    </row>
    <row r="3100" spans="14:25">
      <c r="N3100" s="42">
        <v>44259</v>
      </c>
      <c r="O3100" t="s">
        <v>324</v>
      </c>
      <c r="P3100" s="42">
        <v>44259</v>
      </c>
      <c r="Q3100" t="s">
        <v>324</v>
      </c>
      <c r="R3100" t="s">
        <v>370</v>
      </c>
      <c r="S3100" t="s">
        <v>323</v>
      </c>
      <c r="T3100">
        <v>7.6</v>
      </c>
      <c r="W3100" t="s">
        <v>330</v>
      </c>
      <c r="Y3100" s="42">
        <v>44271</v>
      </c>
    </row>
    <row r="3101" spans="14:25">
      <c r="N3101" s="42">
        <v>44258</v>
      </c>
      <c r="O3101" t="s">
        <v>328</v>
      </c>
      <c r="P3101" s="42">
        <v>44258</v>
      </c>
      <c r="Q3101" t="s">
        <v>328</v>
      </c>
      <c r="R3101" t="s">
        <v>370</v>
      </c>
      <c r="S3101" t="s">
        <v>323</v>
      </c>
      <c r="T3101">
        <v>7.6</v>
      </c>
      <c r="W3101" t="s">
        <v>330</v>
      </c>
      <c r="Y3101" s="42">
        <v>44271</v>
      </c>
    </row>
    <row r="3102" spans="14:25">
      <c r="N3102" s="42">
        <v>44257</v>
      </c>
      <c r="O3102" t="s">
        <v>333</v>
      </c>
      <c r="P3102" s="42">
        <v>44257</v>
      </c>
      <c r="Q3102" t="s">
        <v>333</v>
      </c>
      <c r="R3102" t="s">
        <v>370</v>
      </c>
      <c r="S3102" t="s">
        <v>323</v>
      </c>
      <c r="T3102">
        <v>7.6</v>
      </c>
      <c r="W3102" t="s">
        <v>330</v>
      </c>
      <c r="Y3102" s="42">
        <v>44257</v>
      </c>
    </row>
    <row r="3103" spans="14:25">
      <c r="N3103" s="42">
        <v>44256</v>
      </c>
      <c r="O3103" t="s">
        <v>345</v>
      </c>
      <c r="P3103" s="42">
        <v>44256</v>
      </c>
      <c r="Q3103" t="s">
        <v>345</v>
      </c>
      <c r="R3103" t="s">
        <v>370</v>
      </c>
      <c r="S3103" t="s">
        <v>323</v>
      </c>
      <c r="T3103">
        <v>7.6</v>
      </c>
      <c r="W3103" t="s">
        <v>330</v>
      </c>
      <c r="Y3103" s="42">
        <v>44257</v>
      </c>
    </row>
    <row r="3104" spans="14:25">
      <c r="N3104" s="42">
        <v>44255</v>
      </c>
      <c r="O3104" t="s">
        <v>344</v>
      </c>
      <c r="P3104" s="42">
        <v>44255</v>
      </c>
      <c r="Q3104" t="s">
        <v>344</v>
      </c>
      <c r="R3104" t="s">
        <v>370</v>
      </c>
      <c r="S3104" t="s">
        <v>323</v>
      </c>
      <c r="T3104">
        <v>7.6</v>
      </c>
      <c r="W3104" t="s">
        <v>330</v>
      </c>
      <c r="Y3104" s="42">
        <v>44257</v>
      </c>
    </row>
    <row r="3105" spans="14:25">
      <c r="N3105" s="42">
        <v>44252</v>
      </c>
      <c r="O3105" t="s">
        <v>324</v>
      </c>
      <c r="P3105" s="42">
        <v>44252</v>
      </c>
      <c r="Q3105" t="s">
        <v>324</v>
      </c>
      <c r="R3105" t="s">
        <v>370</v>
      </c>
      <c r="S3105" t="s">
        <v>323</v>
      </c>
      <c r="T3105">
        <v>7.6</v>
      </c>
      <c r="W3105" t="s">
        <v>330</v>
      </c>
      <c r="Y3105" s="42">
        <v>44257</v>
      </c>
    </row>
    <row r="3106" spans="14:25">
      <c r="N3106" s="42">
        <v>44251</v>
      </c>
      <c r="O3106" t="s">
        <v>328</v>
      </c>
      <c r="P3106" s="42">
        <v>44251</v>
      </c>
      <c r="Q3106" t="s">
        <v>328</v>
      </c>
      <c r="R3106" t="s">
        <v>370</v>
      </c>
      <c r="S3106" t="s">
        <v>323</v>
      </c>
      <c r="T3106">
        <v>7.6</v>
      </c>
      <c r="W3106" t="s">
        <v>330</v>
      </c>
      <c r="Y3106" s="42">
        <v>44257</v>
      </c>
    </row>
    <row r="3107" spans="14:25">
      <c r="N3107" s="42">
        <v>44250</v>
      </c>
      <c r="O3107" t="s">
        <v>333</v>
      </c>
      <c r="P3107" s="42">
        <v>44250</v>
      </c>
      <c r="Q3107" t="s">
        <v>333</v>
      </c>
      <c r="R3107" t="s">
        <v>370</v>
      </c>
      <c r="S3107" t="s">
        <v>323</v>
      </c>
      <c r="T3107">
        <v>7.6</v>
      </c>
      <c r="W3107" t="s">
        <v>330</v>
      </c>
      <c r="Y3107" s="42">
        <v>44257</v>
      </c>
    </row>
    <row r="3108" spans="14:25">
      <c r="N3108" s="42">
        <v>44249</v>
      </c>
      <c r="O3108" t="s">
        <v>345</v>
      </c>
      <c r="P3108" s="42">
        <v>44249</v>
      </c>
      <c r="Q3108" t="s">
        <v>345</v>
      </c>
      <c r="R3108" t="s">
        <v>370</v>
      </c>
      <c r="S3108" t="s">
        <v>323</v>
      </c>
      <c r="T3108">
        <v>7.6</v>
      </c>
      <c r="W3108" t="s">
        <v>330</v>
      </c>
      <c r="Y3108" s="42">
        <v>44257</v>
      </c>
    </row>
    <row r="3109" spans="14:25">
      <c r="N3109" s="42">
        <v>44248</v>
      </c>
      <c r="O3109" t="s">
        <v>344</v>
      </c>
      <c r="P3109" s="42">
        <v>44248</v>
      </c>
      <c r="Q3109" t="s">
        <v>344</v>
      </c>
      <c r="R3109" t="s">
        <v>370</v>
      </c>
      <c r="S3109" t="s">
        <v>323</v>
      </c>
      <c r="T3109">
        <v>7.6</v>
      </c>
      <c r="W3109" t="s">
        <v>330</v>
      </c>
      <c r="Y3109" s="42">
        <v>44257</v>
      </c>
    </row>
    <row r="3110" spans="14:25">
      <c r="N3110" s="42">
        <v>44245</v>
      </c>
      <c r="O3110" t="s">
        <v>324</v>
      </c>
      <c r="P3110" s="42">
        <v>44245</v>
      </c>
      <c r="Q3110" t="s">
        <v>324</v>
      </c>
      <c r="R3110" t="s">
        <v>370</v>
      </c>
      <c r="S3110" t="s">
        <v>323</v>
      </c>
      <c r="T3110">
        <v>7.6</v>
      </c>
      <c r="W3110" t="s">
        <v>330</v>
      </c>
      <c r="Y3110" s="42">
        <v>44257</v>
      </c>
    </row>
    <row r="3111" spans="14:25">
      <c r="N3111" s="42">
        <v>44244</v>
      </c>
      <c r="O3111" t="s">
        <v>328</v>
      </c>
      <c r="P3111" s="42">
        <v>44244</v>
      </c>
      <c r="Q3111" t="s">
        <v>328</v>
      </c>
      <c r="R3111" t="s">
        <v>370</v>
      </c>
      <c r="S3111" t="s">
        <v>323</v>
      </c>
      <c r="T3111">
        <v>7.6</v>
      </c>
      <c r="W3111" t="s">
        <v>330</v>
      </c>
      <c r="Y3111" s="42">
        <v>44257</v>
      </c>
    </row>
    <row r="3112" spans="14:25">
      <c r="N3112" s="42">
        <v>44243</v>
      </c>
      <c r="O3112" t="s">
        <v>333</v>
      </c>
      <c r="P3112" s="42">
        <v>44243</v>
      </c>
      <c r="Q3112" t="s">
        <v>333</v>
      </c>
      <c r="R3112" t="s">
        <v>370</v>
      </c>
      <c r="S3112" t="s">
        <v>323</v>
      </c>
      <c r="T3112">
        <v>7.6</v>
      </c>
      <c r="W3112" t="s">
        <v>330</v>
      </c>
      <c r="Y3112" s="42">
        <v>44243</v>
      </c>
    </row>
    <row r="3113" spans="14:25">
      <c r="N3113" s="42">
        <v>44242</v>
      </c>
      <c r="O3113" t="s">
        <v>345</v>
      </c>
      <c r="P3113" s="42">
        <v>44242</v>
      </c>
      <c r="Q3113" t="s">
        <v>345</v>
      </c>
      <c r="R3113" t="s">
        <v>370</v>
      </c>
      <c r="S3113" t="s">
        <v>323</v>
      </c>
      <c r="T3113">
        <v>7.6</v>
      </c>
      <c r="W3113" t="s">
        <v>330</v>
      </c>
      <c r="Y3113" s="42">
        <v>44243</v>
      </c>
    </row>
    <row r="3114" spans="14:25">
      <c r="N3114" s="42">
        <v>44241</v>
      </c>
      <c r="O3114" t="s">
        <v>344</v>
      </c>
      <c r="P3114" s="42">
        <v>44241</v>
      </c>
      <c r="Q3114" t="s">
        <v>344</v>
      </c>
      <c r="R3114" t="s">
        <v>370</v>
      </c>
      <c r="S3114" t="s">
        <v>323</v>
      </c>
      <c r="T3114">
        <v>7.6</v>
      </c>
      <c r="W3114" t="s">
        <v>330</v>
      </c>
      <c r="Y3114" s="42">
        <v>44243</v>
      </c>
    </row>
    <row r="3115" spans="14:25">
      <c r="N3115" s="42">
        <v>44238</v>
      </c>
      <c r="O3115" t="s">
        <v>324</v>
      </c>
      <c r="P3115" s="42">
        <v>44238</v>
      </c>
      <c r="Q3115" t="s">
        <v>324</v>
      </c>
      <c r="R3115" t="s">
        <v>370</v>
      </c>
      <c r="S3115" t="s">
        <v>323</v>
      </c>
      <c r="T3115">
        <v>7.6</v>
      </c>
      <c r="W3115" t="s">
        <v>330</v>
      </c>
      <c r="Y3115" s="42">
        <v>44243</v>
      </c>
    </row>
    <row r="3116" spans="14:25">
      <c r="N3116" s="42">
        <v>44237</v>
      </c>
      <c r="O3116" t="s">
        <v>328</v>
      </c>
      <c r="P3116" s="42">
        <v>44237</v>
      </c>
      <c r="Q3116" t="s">
        <v>328</v>
      </c>
      <c r="R3116" t="s">
        <v>370</v>
      </c>
      <c r="S3116" t="s">
        <v>323</v>
      </c>
      <c r="T3116">
        <v>7.6</v>
      </c>
      <c r="W3116" t="s">
        <v>330</v>
      </c>
      <c r="Y3116" s="42">
        <v>44243</v>
      </c>
    </row>
    <row r="3117" spans="14:25">
      <c r="N3117" s="42">
        <v>44236</v>
      </c>
      <c r="O3117" t="s">
        <v>333</v>
      </c>
      <c r="P3117" s="42">
        <v>44236</v>
      </c>
      <c r="Q3117" t="s">
        <v>333</v>
      </c>
      <c r="R3117" t="s">
        <v>370</v>
      </c>
      <c r="S3117" t="s">
        <v>323</v>
      </c>
      <c r="T3117">
        <v>7.6</v>
      </c>
      <c r="W3117" t="s">
        <v>330</v>
      </c>
      <c r="Y3117" s="42">
        <v>44243</v>
      </c>
    </row>
    <row r="3118" spans="14:25">
      <c r="N3118" s="42">
        <v>44235</v>
      </c>
      <c r="O3118" t="s">
        <v>345</v>
      </c>
      <c r="P3118" s="42">
        <v>44235</v>
      </c>
      <c r="Q3118" t="s">
        <v>345</v>
      </c>
      <c r="R3118" t="s">
        <v>370</v>
      </c>
      <c r="S3118" t="s">
        <v>323</v>
      </c>
      <c r="T3118">
        <v>7.6</v>
      </c>
      <c r="W3118" t="s">
        <v>330</v>
      </c>
      <c r="Y3118" s="42">
        <v>44243</v>
      </c>
    </row>
    <row r="3119" spans="14:25">
      <c r="N3119" s="42">
        <v>44234</v>
      </c>
      <c r="O3119" t="s">
        <v>344</v>
      </c>
      <c r="P3119" s="42">
        <v>44234</v>
      </c>
      <c r="Q3119" t="s">
        <v>344</v>
      </c>
      <c r="R3119" t="s">
        <v>370</v>
      </c>
      <c r="S3119" t="s">
        <v>323</v>
      </c>
      <c r="T3119">
        <v>7.6</v>
      </c>
      <c r="W3119" t="s">
        <v>330</v>
      </c>
      <c r="Y3119" s="42">
        <v>44243</v>
      </c>
    </row>
    <row r="3120" spans="14:25">
      <c r="N3120" s="42">
        <v>44231</v>
      </c>
      <c r="O3120" t="s">
        <v>324</v>
      </c>
      <c r="P3120" s="42">
        <v>44231</v>
      </c>
      <c r="Q3120" t="s">
        <v>324</v>
      </c>
      <c r="R3120" t="s">
        <v>370</v>
      </c>
      <c r="S3120" t="s">
        <v>323</v>
      </c>
      <c r="T3120">
        <v>7.6</v>
      </c>
      <c r="W3120" t="s">
        <v>330</v>
      </c>
      <c r="Y3120" s="42">
        <v>44243</v>
      </c>
    </row>
    <row r="3121" spans="14:25">
      <c r="N3121" s="42">
        <v>44230</v>
      </c>
      <c r="O3121" t="s">
        <v>328</v>
      </c>
      <c r="P3121" s="42">
        <v>44230</v>
      </c>
      <c r="Q3121" t="s">
        <v>328</v>
      </c>
      <c r="R3121" t="s">
        <v>370</v>
      </c>
      <c r="S3121" t="s">
        <v>323</v>
      </c>
      <c r="T3121">
        <v>7.6</v>
      </c>
      <c r="W3121" t="s">
        <v>330</v>
      </c>
      <c r="Y3121" s="42">
        <v>44243</v>
      </c>
    </row>
    <row r="3122" spans="14:25">
      <c r="N3122" s="42">
        <v>44229</v>
      </c>
      <c r="O3122" t="s">
        <v>333</v>
      </c>
      <c r="P3122" s="42">
        <v>44229</v>
      </c>
      <c r="Q3122" t="s">
        <v>333</v>
      </c>
      <c r="R3122" t="s">
        <v>370</v>
      </c>
      <c r="S3122" t="s">
        <v>323</v>
      </c>
      <c r="T3122">
        <v>7.6</v>
      </c>
      <c r="W3122" t="s">
        <v>330</v>
      </c>
      <c r="Y3122" s="42">
        <v>44229</v>
      </c>
    </row>
    <row r="3123" spans="14:25">
      <c r="N3123" s="42">
        <v>44228</v>
      </c>
      <c r="O3123" t="s">
        <v>345</v>
      </c>
      <c r="P3123" s="42">
        <v>44228</v>
      </c>
      <c r="Q3123" t="s">
        <v>345</v>
      </c>
      <c r="R3123" t="s">
        <v>370</v>
      </c>
      <c r="S3123" t="s">
        <v>323</v>
      </c>
      <c r="T3123">
        <v>7.6</v>
      </c>
      <c r="W3123" t="s">
        <v>330</v>
      </c>
      <c r="Y3123" s="42">
        <v>44229</v>
      </c>
    </row>
    <row r="3124" spans="14:25">
      <c r="N3124" s="42">
        <v>44227</v>
      </c>
      <c r="O3124" t="s">
        <v>344</v>
      </c>
      <c r="P3124" s="42">
        <v>44227</v>
      </c>
      <c r="Q3124" t="s">
        <v>344</v>
      </c>
      <c r="R3124" t="s">
        <v>370</v>
      </c>
      <c r="S3124" t="s">
        <v>323</v>
      </c>
      <c r="T3124">
        <v>7.6</v>
      </c>
      <c r="W3124" t="s">
        <v>330</v>
      </c>
      <c r="Y3124" s="42">
        <v>44229</v>
      </c>
    </row>
    <row r="3125" spans="14:25">
      <c r="N3125" s="42">
        <v>44224</v>
      </c>
      <c r="O3125" t="s">
        <v>324</v>
      </c>
      <c r="P3125" s="42">
        <v>44224</v>
      </c>
      <c r="Q3125" t="s">
        <v>324</v>
      </c>
      <c r="R3125" t="s">
        <v>370</v>
      </c>
      <c r="S3125" t="s">
        <v>323</v>
      </c>
      <c r="T3125">
        <v>7.6</v>
      </c>
      <c r="W3125" t="s">
        <v>330</v>
      </c>
      <c r="Y3125" s="42">
        <v>44229</v>
      </c>
    </row>
    <row r="3126" spans="14:25">
      <c r="N3126" s="42">
        <v>44223</v>
      </c>
      <c r="O3126" t="s">
        <v>328</v>
      </c>
      <c r="P3126" s="42">
        <v>44223</v>
      </c>
      <c r="Q3126" t="s">
        <v>328</v>
      </c>
      <c r="R3126" t="s">
        <v>370</v>
      </c>
      <c r="S3126" t="s">
        <v>323</v>
      </c>
      <c r="T3126">
        <v>7.6</v>
      </c>
      <c r="W3126" t="s">
        <v>330</v>
      </c>
      <c r="Y3126" s="42">
        <v>44229</v>
      </c>
    </row>
    <row r="3127" spans="14:25">
      <c r="N3127" s="42">
        <v>44222</v>
      </c>
      <c r="O3127" t="s">
        <v>333</v>
      </c>
      <c r="P3127" s="42">
        <v>44222</v>
      </c>
      <c r="Q3127" t="s">
        <v>333</v>
      </c>
      <c r="R3127" t="s">
        <v>370</v>
      </c>
      <c r="S3127" t="s">
        <v>323</v>
      </c>
      <c r="T3127">
        <v>7.6</v>
      </c>
      <c r="W3127" t="s">
        <v>330</v>
      </c>
      <c r="Y3127" s="42">
        <v>44229</v>
      </c>
    </row>
    <row r="3128" spans="14:25">
      <c r="N3128" s="42">
        <v>44221</v>
      </c>
      <c r="O3128" t="s">
        <v>345</v>
      </c>
      <c r="P3128" s="42">
        <v>44221</v>
      </c>
      <c r="Q3128" t="s">
        <v>345</v>
      </c>
      <c r="R3128" t="s">
        <v>370</v>
      </c>
      <c r="S3128" t="s">
        <v>323</v>
      </c>
      <c r="T3128">
        <v>7.6</v>
      </c>
      <c r="W3128" t="s">
        <v>330</v>
      </c>
      <c r="Y3128" s="42">
        <v>44229</v>
      </c>
    </row>
    <row r="3129" spans="14:25">
      <c r="N3129" s="42">
        <v>44220</v>
      </c>
      <c r="O3129" t="s">
        <v>344</v>
      </c>
      <c r="P3129" s="42">
        <v>44220</v>
      </c>
      <c r="Q3129" t="s">
        <v>344</v>
      </c>
      <c r="R3129" t="s">
        <v>370</v>
      </c>
      <c r="S3129" t="s">
        <v>323</v>
      </c>
      <c r="T3129">
        <v>7.6</v>
      </c>
      <c r="W3129" t="s">
        <v>330</v>
      </c>
      <c r="Y3129" s="42">
        <v>44229</v>
      </c>
    </row>
    <row r="3130" spans="14:25">
      <c r="N3130" s="42">
        <v>44217</v>
      </c>
      <c r="O3130" t="s">
        <v>324</v>
      </c>
      <c r="P3130" s="42">
        <v>44217</v>
      </c>
      <c r="Q3130" t="s">
        <v>324</v>
      </c>
      <c r="R3130" t="s">
        <v>370</v>
      </c>
      <c r="S3130" t="s">
        <v>323</v>
      </c>
      <c r="T3130">
        <v>7.6</v>
      </c>
      <c r="W3130" t="s">
        <v>330</v>
      </c>
      <c r="Y3130" s="42">
        <v>44229</v>
      </c>
    </row>
    <row r="3131" spans="14:25">
      <c r="N3131" s="42">
        <v>44216</v>
      </c>
      <c r="O3131" t="s">
        <v>328</v>
      </c>
      <c r="P3131" s="42">
        <v>44216</v>
      </c>
      <c r="Q3131" t="s">
        <v>328</v>
      </c>
      <c r="R3131" t="s">
        <v>370</v>
      </c>
      <c r="S3131" t="s">
        <v>323</v>
      </c>
      <c r="T3131">
        <v>7.6</v>
      </c>
      <c r="W3131" t="s">
        <v>330</v>
      </c>
      <c r="Y3131" s="42">
        <v>44229</v>
      </c>
    </row>
    <row r="3132" spans="14:25">
      <c r="N3132" s="42">
        <v>44215</v>
      </c>
      <c r="O3132" t="s">
        <v>333</v>
      </c>
      <c r="P3132" s="42">
        <v>44215</v>
      </c>
      <c r="Q3132" t="s">
        <v>333</v>
      </c>
      <c r="R3132" t="s">
        <v>370</v>
      </c>
      <c r="S3132" t="s">
        <v>323</v>
      </c>
      <c r="T3132">
        <v>7.6</v>
      </c>
      <c r="W3132" t="s">
        <v>330</v>
      </c>
      <c r="Y3132" s="42">
        <v>44215</v>
      </c>
    </row>
    <row r="3133" spans="14:25">
      <c r="N3133" s="42">
        <v>44214</v>
      </c>
      <c r="O3133" t="s">
        <v>345</v>
      </c>
      <c r="P3133" s="42">
        <v>44214</v>
      </c>
      <c r="Q3133" t="s">
        <v>345</v>
      </c>
      <c r="R3133" t="s">
        <v>370</v>
      </c>
      <c r="S3133" t="s">
        <v>323</v>
      </c>
      <c r="T3133">
        <v>7.6</v>
      </c>
      <c r="W3133" t="s">
        <v>330</v>
      </c>
      <c r="Y3133" s="42">
        <v>44215</v>
      </c>
    </row>
    <row r="3134" spans="14:25">
      <c r="N3134" s="42">
        <v>44213</v>
      </c>
      <c r="O3134" t="s">
        <v>344</v>
      </c>
      <c r="P3134" s="42">
        <v>44213</v>
      </c>
      <c r="Q3134" t="s">
        <v>344</v>
      </c>
      <c r="R3134" t="s">
        <v>370</v>
      </c>
      <c r="S3134" t="s">
        <v>323</v>
      </c>
      <c r="T3134">
        <v>7.6</v>
      </c>
      <c r="W3134" t="s">
        <v>330</v>
      </c>
      <c r="Y3134" s="42">
        <v>44215</v>
      </c>
    </row>
    <row r="3135" spans="14:25">
      <c r="N3135" s="42">
        <v>44210</v>
      </c>
      <c r="O3135" t="s">
        <v>324</v>
      </c>
      <c r="P3135" s="42">
        <v>44210</v>
      </c>
      <c r="Q3135" t="s">
        <v>324</v>
      </c>
      <c r="R3135" t="s">
        <v>370</v>
      </c>
      <c r="S3135" t="s">
        <v>323</v>
      </c>
      <c r="T3135">
        <v>7.6</v>
      </c>
      <c r="W3135" t="s">
        <v>330</v>
      </c>
      <c r="Y3135" s="42">
        <v>44215</v>
      </c>
    </row>
    <row r="3136" spans="14:25">
      <c r="N3136" s="42">
        <v>44209</v>
      </c>
      <c r="O3136" t="s">
        <v>328</v>
      </c>
      <c r="P3136" s="42">
        <v>44209</v>
      </c>
      <c r="Q3136" t="s">
        <v>328</v>
      </c>
      <c r="R3136" t="s">
        <v>370</v>
      </c>
      <c r="S3136" t="s">
        <v>323</v>
      </c>
      <c r="T3136">
        <v>7.6</v>
      </c>
      <c r="W3136" t="s">
        <v>330</v>
      </c>
      <c r="Y3136" s="42">
        <v>44215</v>
      </c>
    </row>
    <row r="3137" spans="14:25">
      <c r="N3137" s="42">
        <v>44208</v>
      </c>
      <c r="O3137" t="s">
        <v>333</v>
      </c>
      <c r="P3137" s="42">
        <v>44208</v>
      </c>
      <c r="Q3137" t="s">
        <v>333</v>
      </c>
      <c r="R3137" t="s">
        <v>370</v>
      </c>
      <c r="S3137" t="s">
        <v>323</v>
      </c>
      <c r="T3137">
        <v>7.6</v>
      </c>
      <c r="W3137" t="s">
        <v>330</v>
      </c>
      <c r="Y3137" s="42">
        <v>44215</v>
      </c>
    </row>
    <row r="3138" spans="14:25">
      <c r="N3138" s="42">
        <v>44207</v>
      </c>
      <c r="O3138" t="s">
        <v>345</v>
      </c>
      <c r="P3138" s="42">
        <v>44207</v>
      </c>
      <c r="Q3138" t="s">
        <v>345</v>
      </c>
      <c r="R3138" t="s">
        <v>370</v>
      </c>
      <c r="S3138" t="s">
        <v>323</v>
      </c>
      <c r="T3138">
        <v>7.6</v>
      </c>
      <c r="W3138" t="s">
        <v>330</v>
      </c>
      <c r="Y3138" s="42">
        <v>44215</v>
      </c>
    </row>
    <row r="3139" spans="14:25">
      <c r="N3139" s="42">
        <v>44206</v>
      </c>
      <c r="O3139" t="s">
        <v>344</v>
      </c>
      <c r="P3139" s="42">
        <v>44206</v>
      </c>
      <c r="Q3139" t="s">
        <v>344</v>
      </c>
      <c r="R3139" t="s">
        <v>370</v>
      </c>
      <c r="S3139" t="s">
        <v>323</v>
      </c>
      <c r="T3139">
        <v>7.6</v>
      </c>
      <c r="W3139" t="s">
        <v>330</v>
      </c>
      <c r="Y3139" s="42">
        <v>44215</v>
      </c>
    </row>
    <row r="3140" spans="14:25">
      <c r="N3140" s="42">
        <v>44203</v>
      </c>
      <c r="O3140" t="s">
        <v>324</v>
      </c>
      <c r="P3140" s="42">
        <v>44203</v>
      </c>
      <c r="Q3140" t="s">
        <v>324</v>
      </c>
      <c r="R3140" t="s">
        <v>370</v>
      </c>
      <c r="S3140" t="s">
        <v>323</v>
      </c>
      <c r="T3140">
        <v>7.6</v>
      </c>
      <c r="W3140" t="s">
        <v>330</v>
      </c>
      <c r="Y3140" s="42">
        <v>44215</v>
      </c>
    </row>
    <row r="3141" spans="14:25">
      <c r="N3141" s="42">
        <v>44202</v>
      </c>
      <c r="O3141" t="s">
        <v>328</v>
      </c>
      <c r="P3141" s="42">
        <v>44202</v>
      </c>
      <c r="Q3141" t="s">
        <v>328</v>
      </c>
      <c r="R3141" t="s">
        <v>370</v>
      </c>
      <c r="S3141" t="s">
        <v>323</v>
      </c>
      <c r="T3141">
        <v>7.6</v>
      </c>
      <c r="W3141" t="s">
        <v>330</v>
      </c>
      <c r="Y3141" s="42">
        <v>44215</v>
      </c>
    </row>
    <row r="3142" spans="14:25">
      <c r="N3142" s="42">
        <v>44201</v>
      </c>
      <c r="O3142" t="s">
        <v>333</v>
      </c>
      <c r="P3142" s="42">
        <v>44201</v>
      </c>
      <c r="Q3142" t="s">
        <v>333</v>
      </c>
      <c r="R3142" t="s">
        <v>370</v>
      </c>
      <c r="S3142" t="s">
        <v>323</v>
      </c>
      <c r="T3142">
        <v>7.6</v>
      </c>
      <c r="W3142" t="s">
        <v>330</v>
      </c>
      <c r="Y3142" s="42">
        <v>44201</v>
      </c>
    </row>
    <row r="3143" spans="14:25">
      <c r="N3143" s="42">
        <v>44200</v>
      </c>
      <c r="O3143" t="s">
        <v>345</v>
      </c>
      <c r="P3143" s="42">
        <v>44200</v>
      </c>
      <c r="Q3143" t="s">
        <v>345</v>
      </c>
      <c r="R3143" t="s">
        <v>370</v>
      </c>
      <c r="S3143" t="s">
        <v>323</v>
      </c>
      <c r="T3143">
        <v>7.6</v>
      </c>
      <c r="W3143" t="s">
        <v>330</v>
      </c>
      <c r="Y3143" s="42">
        <v>44201</v>
      </c>
    </row>
    <row r="3144" spans="14:25">
      <c r="N3144" s="42">
        <v>44199</v>
      </c>
      <c r="O3144" t="s">
        <v>344</v>
      </c>
      <c r="P3144" s="42">
        <v>44199</v>
      </c>
      <c r="Q3144" t="s">
        <v>344</v>
      </c>
      <c r="R3144" t="s">
        <v>370</v>
      </c>
      <c r="S3144" t="s">
        <v>323</v>
      </c>
      <c r="T3144">
        <v>7.6</v>
      </c>
      <c r="W3144" t="s">
        <v>330</v>
      </c>
      <c r="Y3144" s="42">
        <v>44201</v>
      </c>
    </row>
    <row r="3145" spans="14:25">
      <c r="N3145" s="42">
        <v>44196</v>
      </c>
      <c r="O3145" t="s">
        <v>324</v>
      </c>
      <c r="P3145" s="42">
        <v>44196</v>
      </c>
      <c r="Q3145" t="s">
        <v>324</v>
      </c>
      <c r="R3145" t="s">
        <v>370</v>
      </c>
      <c r="S3145" t="s">
        <v>323</v>
      </c>
      <c r="T3145">
        <v>7.6</v>
      </c>
      <c r="W3145" t="s">
        <v>330</v>
      </c>
      <c r="Y3145" s="42">
        <v>44201</v>
      </c>
    </row>
    <row r="3146" spans="14:25">
      <c r="N3146" s="42">
        <v>44195</v>
      </c>
      <c r="O3146" t="s">
        <v>328</v>
      </c>
      <c r="P3146" s="42">
        <v>44195</v>
      </c>
      <c r="Q3146" t="s">
        <v>328</v>
      </c>
      <c r="R3146" t="s">
        <v>370</v>
      </c>
      <c r="S3146" t="s">
        <v>323</v>
      </c>
      <c r="T3146">
        <v>7.6</v>
      </c>
      <c r="W3146" t="s">
        <v>330</v>
      </c>
      <c r="Y3146" s="42">
        <v>44201</v>
      </c>
    </row>
    <row r="3147" spans="14:25">
      <c r="N3147" s="42">
        <v>44194</v>
      </c>
      <c r="O3147" t="s">
        <v>333</v>
      </c>
      <c r="P3147" s="42">
        <v>44194</v>
      </c>
      <c r="Q3147" t="s">
        <v>333</v>
      </c>
      <c r="R3147" t="s">
        <v>370</v>
      </c>
      <c r="S3147" t="s">
        <v>323</v>
      </c>
      <c r="T3147">
        <v>7.6</v>
      </c>
      <c r="W3147" t="s">
        <v>330</v>
      </c>
      <c r="Y3147" s="42">
        <v>44201</v>
      </c>
    </row>
    <row r="3148" spans="14:25">
      <c r="N3148" s="42">
        <v>44192</v>
      </c>
      <c r="O3148" t="s">
        <v>344</v>
      </c>
      <c r="P3148" s="42">
        <v>44192</v>
      </c>
      <c r="Q3148" t="s">
        <v>344</v>
      </c>
      <c r="R3148" t="s">
        <v>370</v>
      </c>
      <c r="S3148" t="s">
        <v>323</v>
      </c>
      <c r="T3148">
        <v>7.6</v>
      </c>
      <c r="W3148" t="s">
        <v>330</v>
      </c>
      <c r="Y3148" s="42">
        <v>44201</v>
      </c>
    </row>
    <row r="3149" spans="14:25">
      <c r="N3149" s="42">
        <v>44189</v>
      </c>
      <c r="O3149" t="s">
        <v>324</v>
      </c>
      <c r="P3149" s="42">
        <v>44189</v>
      </c>
      <c r="Q3149" t="s">
        <v>324</v>
      </c>
      <c r="R3149" t="s">
        <v>370</v>
      </c>
      <c r="S3149" t="s">
        <v>323</v>
      </c>
      <c r="T3149">
        <v>7.6</v>
      </c>
      <c r="W3149" t="s">
        <v>330</v>
      </c>
      <c r="Y3149" s="42">
        <v>44201</v>
      </c>
    </row>
    <row r="3150" spans="14:25">
      <c r="N3150" s="42">
        <v>44188</v>
      </c>
      <c r="O3150" t="s">
        <v>328</v>
      </c>
      <c r="P3150" s="42">
        <v>44188</v>
      </c>
      <c r="Q3150" t="s">
        <v>328</v>
      </c>
      <c r="R3150" t="s">
        <v>370</v>
      </c>
      <c r="S3150" t="s">
        <v>323</v>
      </c>
      <c r="T3150">
        <v>7.6</v>
      </c>
      <c r="W3150" t="s">
        <v>330</v>
      </c>
      <c r="Y3150" s="42">
        <v>44201</v>
      </c>
    </row>
    <row r="3151" spans="14:25">
      <c r="N3151" s="42">
        <v>44187</v>
      </c>
      <c r="O3151" t="s">
        <v>333</v>
      </c>
      <c r="P3151" s="42">
        <v>44187</v>
      </c>
      <c r="Q3151" t="s">
        <v>333</v>
      </c>
      <c r="R3151" t="s">
        <v>370</v>
      </c>
      <c r="S3151" t="s">
        <v>323</v>
      </c>
      <c r="T3151">
        <v>7.6</v>
      </c>
      <c r="W3151" t="s">
        <v>330</v>
      </c>
      <c r="Y3151" s="42">
        <v>44187</v>
      </c>
    </row>
    <row r="3152" spans="14:25">
      <c r="N3152" s="42">
        <v>44186</v>
      </c>
      <c r="O3152" t="s">
        <v>345</v>
      </c>
      <c r="P3152" s="42">
        <v>44186</v>
      </c>
      <c r="Q3152" t="s">
        <v>345</v>
      </c>
      <c r="R3152" t="s">
        <v>370</v>
      </c>
      <c r="S3152" t="s">
        <v>323</v>
      </c>
      <c r="T3152">
        <v>7.6</v>
      </c>
      <c r="W3152" t="s">
        <v>330</v>
      </c>
      <c r="Y3152" s="42">
        <v>44187</v>
      </c>
    </row>
    <row r="3153" spans="14:25">
      <c r="N3153" s="42">
        <v>44185</v>
      </c>
      <c r="O3153" t="s">
        <v>344</v>
      </c>
      <c r="P3153" s="42">
        <v>44185</v>
      </c>
      <c r="Q3153" t="s">
        <v>344</v>
      </c>
      <c r="R3153" t="s">
        <v>370</v>
      </c>
      <c r="S3153" t="s">
        <v>323</v>
      </c>
      <c r="T3153">
        <v>7.6</v>
      </c>
      <c r="W3153" t="s">
        <v>330</v>
      </c>
      <c r="Y3153" s="42">
        <v>44187</v>
      </c>
    </row>
    <row r="3154" spans="14:25">
      <c r="N3154" s="42">
        <v>44182</v>
      </c>
      <c r="O3154" t="s">
        <v>324</v>
      </c>
      <c r="P3154" s="42">
        <v>44182</v>
      </c>
      <c r="Q3154" t="s">
        <v>324</v>
      </c>
      <c r="R3154" t="s">
        <v>370</v>
      </c>
      <c r="S3154" t="s">
        <v>323</v>
      </c>
      <c r="T3154">
        <v>7.6</v>
      </c>
      <c r="W3154" t="s">
        <v>330</v>
      </c>
      <c r="Y3154" s="42">
        <v>44187</v>
      </c>
    </row>
    <row r="3155" spans="14:25">
      <c r="N3155" s="42">
        <v>44181</v>
      </c>
      <c r="O3155" t="s">
        <v>328</v>
      </c>
      <c r="P3155" s="42">
        <v>44181</v>
      </c>
      <c r="Q3155" t="s">
        <v>328</v>
      </c>
      <c r="R3155" t="s">
        <v>370</v>
      </c>
      <c r="S3155" t="s">
        <v>323</v>
      </c>
      <c r="T3155">
        <v>7.6</v>
      </c>
      <c r="W3155" t="s">
        <v>330</v>
      </c>
      <c r="Y3155" s="42">
        <v>44187</v>
      </c>
    </row>
    <row r="3156" spans="14:25">
      <c r="N3156" s="42">
        <v>44180</v>
      </c>
      <c r="O3156" t="s">
        <v>333</v>
      </c>
      <c r="P3156" s="42">
        <v>44180</v>
      </c>
      <c r="Q3156" t="s">
        <v>333</v>
      </c>
      <c r="R3156" t="s">
        <v>370</v>
      </c>
      <c r="S3156" t="s">
        <v>323</v>
      </c>
      <c r="T3156">
        <v>7.6</v>
      </c>
      <c r="W3156" t="s">
        <v>330</v>
      </c>
      <c r="Y3156" s="42">
        <v>44187</v>
      </c>
    </row>
    <row r="3157" spans="14:25">
      <c r="N3157" s="42">
        <v>44179</v>
      </c>
      <c r="O3157" t="s">
        <v>345</v>
      </c>
      <c r="P3157" s="42">
        <v>44179</v>
      </c>
      <c r="Q3157" t="s">
        <v>345</v>
      </c>
      <c r="R3157" t="s">
        <v>370</v>
      </c>
      <c r="S3157" t="s">
        <v>323</v>
      </c>
      <c r="T3157">
        <v>7.6</v>
      </c>
      <c r="W3157" t="s">
        <v>330</v>
      </c>
      <c r="Y3157" s="42">
        <v>44187</v>
      </c>
    </row>
    <row r="3158" spans="14:25">
      <c r="N3158" s="42">
        <v>44178</v>
      </c>
      <c r="O3158" t="s">
        <v>344</v>
      </c>
      <c r="P3158" s="42">
        <v>44178</v>
      </c>
      <c r="Q3158" t="s">
        <v>344</v>
      </c>
      <c r="R3158" t="s">
        <v>370</v>
      </c>
      <c r="S3158" t="s">
        <v>323</v>
      </c>
      <c r="T3158">
        <v>7.6</v>
      </c>
      <c r="W3158" t="s">
        <v>330</v>
      </c>
      <c r="Y3158" s="42">
        <v>44187</v>
      </c>
    </row>
    <row r="3159" spans="14:25">
      <c r="N3159" s="42">
        <v>44175</v>
      </c>
      <c r="O3159" t="s">
        <v>324</v>
      </c>
      <c r="P3159" s="42">
        <v>44175</v>
      </c>
      <c r="Q3159" t="s">
        <v>324</v>
      </c>
      <c r="R3159" t="s">
        <v>370</v>
      </c>
      <c r="S3159" t="s">
        <v>323</v>
      </c>
      <c r="T3159">
        <v>7.6</v>
      </c>
      <c r="W3159" t="s">
        <v>330</v>
      </c>
      <c r="Y3159" s="42">
        <v>44187</v>
      </c>
    </row>
    <row r="3160" spans="14:25">
      <c r="N3160" s="42">
        <v>44174</v>
      </c>
      <c r="O3160" t="s">
        <v>328</v>
      </c>
      <c r="P3160" s="42">
        <v>44174</v>
      </c>
      <c r="Q3160" t="s">
        <v>328</v>
      </c>
      <c r="R3160" t="s">
        <v>370</v>
      </c>
      <c r="S3160" t="s">
        <v>323</v>
      </c>
      <c r="T3160">
        <v>7.6</v>
      </c>
      <c r="W3160" t="s">
        <v>330</v>
      </c>
      <c r="Y3160" s="42">
        <v>44187</v>
      </c>
    </row>
    <row r="3161" spans="14:25">
      <c r="N3161" s="42">
        <v>44174</v>
      </c>
      <c r="O3161" t="s">
        <v>328</v>
      </c>
      <c r="P3161" s="42">
        <v>44187</v>
      </c>
      <c r="Q3161" t="s">
        <v>333</v>
      </c>
      <c r="R3161" t="s">
        <v>370</v>
      </c>
      <c r="S3161" t="s">
        <v>323</v>
      </c>
      <c r="T3161">
        <v>76</v>
      </c>
      <c r="W3161" t="s">
        <v>330</v>
      </c>
      <c r="Y3161" s="42">
        <v>44187</v>
      </c>
    </row>
    <row r="3162" spans="14:25">
      <c r="N3162" s="42">
        <v>44173</v>
      </c>
      <c r="O3162" t="s">
        <v>333</v>
      </c>
      <c r="P3162" s="42">
        <v>44173</v>
      </c>
      <c r="Q3162" t="s">
        <v>333</v>
      </c>
      <c r="R3162" t="s">
        <v>370</v>
      </c>
      <c r="S3162" t="s">
        <v>323</v>
      </c>
      <c r="T3162">
        <v>7.6</v>
      </c>
      <c r="W3162" t="s">
        <v>330</v>
      </c>
      <c r="Y3162" s="42">
        <v>44173</v>
      </c>
    </row>
    <row r="3163" spans="14:25">
      <c r="N3163" s="42">
        <v>44172</v>
      </c>
      <c r="O3163" t="s">
        <v>345</v>
      </c>
      <c r="P3163" s="42">
        <v>44172</v>
      </c>
      <c r="Q3163" t="s">
        <v>345</v>
      </c>
      <c r="R3163" t="s">
        <v>370</v>
      </c>
      <c r="S3163" t="s">
        <v>323</v>
      </c>
      <c r="T3163">
        <v>7.6</v>
      </c>
      <c r="W3163" t="s">
        <v>330</v>
      </c>
      <c r="Y3163" s="42">
        <v>44173</v>
      </c>
    </row>
    <row r="3164" spans="14:25">
      <c r="N3164" s="42">
        <v>44171</v>
      </c>
      <c r="O3164" t="s">
        <v>344</v>
      </c>
      <c r="P3164" s="42">
        <v>44171</v>
      </c>
      <c r="Q3164" t="s">
        <v>344</v>
      </c>
      <c r="R3164" t="s">
        <v>370</v>
      </c>
      <c r="S3164" t="s">
        <v>323</v>
      </c>
      <c r="T3164">
        <v>7.6</v>
      </c>
      <c r="W3164" t="s">
        <v>330</v>
      </c>
      <c r="Y3164" s="42">
        <v>44173</v>
      </c>
    </row>
    <row r="3165" spans="14:25">
      <c r="N3165" s="42">
        <v>44168</v>
      </c>
      <c r="O3165" t="s">
        <v>324</v>
      </c>
      <c r="P3165" s="42">
        <v>44168</v>
      </c>
      <c r="Q3165" t="s">
        <v>324</v>
      </c>
      <c r="R3165" t="s">
        <v>370</v>
      </c>
      <c r="S3165" t="s">
        <v>323</v>
      </c>
      <c r="T3165">
        <v>7.6</v>
      </c>
      <c r="W3165" t="s">
        <v>330</v>
      </c>
      <c r="Y3165" s="42">
        <v>44173</v>
      </c>
    </row>
    <row r="3166" spans="14:25">
      <c r="N3166" s="42">
        <v>44167</v>
      </c>
      <c r="O3166" t="s">
        <v>328</v>
      </c>
      <c r="P3166" s="42">
        <v>44167</v>
      </c>
      <c r="Q3166" t="s">
        <v>328</v>
      </c>
      <c r="R3166" t="s">
        <v>370</v>
      </c>
      <c r="S3166" t="s">
        <v>323</v>
      </c>
      <c r="T3166">
        <v>7.6</v>
      </c>
      <c r="W3166" t="s">
        <v>330</v>
      </c>
      <c r="Y3166" s="42">
        <v>44173</v>
      </c>
    </row>
    <row r="3167" spans="14:25">
      <c r="N3167" s="42">
        <v>44166</v>
      </c>
      <c r="O3167" t="s">
        <v>333</v>
      </c>
      <c r="P3167" s="42">
        <v>44166</v>
      </c>
      <c r="Q3167" t="s">
        <v>333</v>
      </c>
      <c r="R3167" t="s">
        <v>370</v>
      </c>
      <c r="S3167" t="s">
        <v>323</v>
      </c>
      <c r="T3167">
        <v>7.6</v>
      </c>
      <c r="W3167" t="s">
        <v>330</v>
      </c>
      <c r="Y3167" s="42">
        <v>44173</v>
      </c>
    </row>
    <row r="3168" spans="14:25">
      <c r="N3168" s="42">
        <v>44165</v>
      </c>
      <c r="O3168" t="s">
        <v>345</v>
      </c>
      <c r="P3168" s="42">
        <v>44165</v>
      </c>
      <c r="Q3168" t="s">
        <v>345</v>
      </c>
      <c r="R3168" t="s">
        <v>370</v>
      </c>
      <c r="S3168" t="s">
        <v>323</v>
      </c>
      <c r="T3168">
        <v>7.6</v>
      </c>
      <c r="W3168" t="s">
        <v>330</v>
      </c>
      <c r="Y3168" s="42">
        <v>44173</v>
      </c>
    </row>
    <row r="3169" spans="14:25">
      <c r="N3169" s="42">
        <v>44164</v>
      </c>
      <c r="O3169" t="s">
        <v>344</v>
      </c>
      <c r="P3169" s="42">
        <v>44164</v>
      </c>
      <c r="Q3169" t="s">
        <v>344</v>
      </c>
      <c r="R3169" t="s">
        <v>370</v>
      </c>
      <c r="S3169" t="s">
        <v>323</v>
      </c>
      <c r="T3169">
        <v>7.6</v>
      </c>
      <c r="W3169" t="s">
        <v>330</v>
      </c>
      <c r="Y3169" s="42">
        <v>44173</v>
      </c>
    </row>
    <row r="3170" spans="14:25">
      <c r="N3170" s="42">
        <v>44161</v>
      </c>
      <c r="O3170" t="s">
        <v>324</v>
      </c>
      <c r="P3170" s="42">
        <v>44161</v>
      </c>
      <c r="Q3170" t="s">
        <v>324</v>
      </c>
      <c r="R3170" t="s">
        <v>370</v>
      </c>
      <c r="S3170" t="s">
        <v>323</v>
      </c>
      <c r="T3170">
        <v>7.6</v>
      </c>
      <c r="W3170" t="s">
        <v>330</v>
      </c>
      <c r="Y3170" s="42">
        <v>44173</v>
      </c>
    </row>
    <row r="3171" spans="14:25">
      <c r="N3171" s="42">
        <v>44160</v>
      </c>
      <c r="O3171" t="s">
        <v>328</v>
      </c>
      <c r="P3171" s="42">
        <v>44160</v>
      </c>
      <c r="Q3171" t="s">
        <v>328</v>
      </c>
      <c r="R3171" t="s">
        <v>370</v>
      </c>
      <c r="S3171" t="s">
        <v>323</v>
      </c>
      <c r="T3171">
        <v>7.6</v>
      </c>
      <c r="W3171" t="s">
        <v>330</v>
      </c>
      <c r="Y3171" s="42">
        <v>44173</v>
      </c>
    </row>
    <row r="3172" spans="14:25">
      <c r="N3172" s="42">
        <v>44160</v>
      </c>
      <c r="O3172" t="s">
        <v>328</v>
      </c>
      <c r="P3172" s="42">
        <v>44173</v>
      </c>
      <c r="Q3172" t="s">
        <v>333</v>
      </c>
      <c r="R3172" t="s">
        <v>370</v>
      </c>
      <c r="S3172" t="s">
        <v>323</v>
      </c>
      <c r="T3172">
        <v>76</v>
      </c>
      <c r="W3172" t="s">
        <v>330</v>
      </c>
      <c r="Y3172" s="42">
        <v>44173</v>
      </c>
    </row>
    <row r="3173" spans="14:25">
      <c r="N3173" s="42">
        <v>44159</v>
      </c>
      <c r="O3173" t="s">
        <v>333</v>
      </c>
      <c r="P3173" s="42">
        <v>44159</v>
      </c>
      <c r="Q3173" t="s">
        <v>333</v>
      </c>
      <c r="R3173" t="s">
        <v>370</v>
      </c>
      <c r="S3173" t="s">
        <v>323</v>
      </c>
      <c r="T3173">
        <v>7.6</v>
      </c>
      <c r="W3173" t="s">
        <v>330</v>
      </c>
      <c r="Y3173" s="42">
        <v>44159</v>
      </c>
    </row>
    <row r="3174" spans="14:25">
      <c r="N3174" s="42">
        <v>44158</v>
      </c>
      <c r="O3174" t="s">
        <v>345</v>
      </c>
      <c r="P3174" s="42">
        <v>44158</v>
      </c>
      <c r="Q3174" t="s">
        <v>345</v>
      </c>
      <c r="R3174" t="s">
        <v>370</v>
      </c>
      <c r="S3174" t="s">
        <v>323</v>
      </c>
      <c r="T3174">
        <v>7.6</v>
      </c>
      <c r="W3174" t="s">
        <v>330</v>
      </c>
      <c r="Y3174" s="42">
        <v>44159</v>
      </c>
    </row>
    <row r="3175" spans="14:25">
      <c r="N3175" s="42">
        <v>44157</v>
      </c>
      <c r="O3175" t="s">
        <v>344</v>
      </c>
      <c r="P3175" s="42">
        <v>44157</v>
      </c>
      <c r="Q3175" t="s">
        <v>344</v>
      </c>
      <c r="R3175" t="s">
        <v>370</v>
      </c>
      <c r="S3175" t="s">
        <v>323</v>
      </c>
      <c r="T3175">
        <v>7.6</v>
      </c>
      <c r="W3175" t="s">
        <v>330</v>
      </c>
      <c r="Y3175" s="42">
        <v>44159</v>
      </c>
    </row>
    <row r="3176" spans="14:25">
      <c r="N3176" s="42">
        <v>44154</v>
      </c>
      <c r="O3176" t="s">
        <v>324</v>
      </c>
      <c r="P3176" s="42">
        <v>44154</v>
      </c>
      <c r="Q3176" t="s">
        <v>324</v>
      </c>
      <c r="R3176" t="s">
        <v>370</v>
      </c>
      <c r="S3176" t="s">
        <v>323</v>
      </c>
      <c r="T3176">
        <v>7.6</v>
      </c>
      <c r="W3176" t="s">
        <v>330</v>
      </c>
      <c r="Y3176" s="42">
        <v>44159</v>
      </c>
    </row>
    <row r="3177" spans="14:25">
      <c r="N3177" s="42">
        <v>44153</v>
      </c>
      <c r="O3177" t="s">
        <v>328</v>
      </c>
      <c r="P3177" s="42">
        <v>44153</v>
      </c>
      <c r="Q3177" t="s">
        <v>328</v>
      </c>
      <c r="R3177" t="s">
        <v>370</v>
      </c>
      <c r="S3177" t="s">
        <v>323</v>
      </c>
      <c r="T3177">
        <v>7.6</v>
      </c>
      <c r="W3177" t="s">
        <v>330</v>
      </c>
      <c r="Y3177" s="42">
        <v>44159</v>
      </c>
    </row>
    <row r="3178" spans="14:25">
      <c r="N3178" s="42">
        <v>44152</v>
      </c>
      <c r="O3178" t="s">
        <v>333</v>
      </c>
      <c r="P3178" s="42">
        <v>44152</v>
      </c>
      <c r="Q3178" t="s">
        <v>333</v>
      </c>
      <c r="R3178" t="s">
        <v>370</v>
      </c>
      <c r="S3178" t="s">
        <v>323</v>
      </c>
      <c r="T3178">
        <v>7.6</v>
      </c>
      <c r="W3178" t="s">
        <v>330</v>
      </c>
      <c r="Y3178" s="42">
        <v>44159</v>
      </c>
    </row>
    <row r="3179" spans="14:25">
      <c r="N3179" s="42">
        <v>44151</v>
      </c>
      <c r="O3179" t="s">
        <v>345</v>
      </c>
      <c r="P3179" s="42">
        <v>44151</v>
      </c>
      <c r="Q3179" t="s">
        <v>345</v>
      </c>
      <c r="R3179" t="s">
        <v>370</v>
      </c>
      <c r="S3179" t="s">
        <v>323</v>
      </c>
      <c r="T3179">
        <v>7.6</v>
      </c>
      <c r="W3179" t="s">
        <v>330</v>
      </c>
      <c r="Y3179" s="42">
        <v>44159</v>
      </c>
    </row>
    <row r="3180" spans="14:25">
      <c r="N3180" s="42">
        <v>44150</v>
      </c>
      <c r="O3180" t="s">
        <v>344</v>
      </c>
      <c r="P3180" s="42">
        <v>44150</v>
      </c>
      <c r="Q3180" t="s">
        <v>344</v>
      </c>
      <c r="R3180" t="s">
        <v>370</v>
      </c>
      <c r="S3180" t="s">
        <v>323</v>
      </c>
      <c r="T3180">
        <v>7.6</v>
      </c>
      <c r="W3180" t="s">
        <v>330</v>
      </c>
      <c r="Y3180" s="42">
        <v>44159</v>
      </c>
    </row>
    <row r="3181" spans="14:25">
      <c r="N3181" s="42">
        <v>44147</v>
      </c>
      <c r="O3181" t="s">
        <v>324</v>
      </c>
      <c r="P3181" s="42">
        <v>44147</v>
      </c>
      <c r="Q3181" t="s">
        <v>324</v>
      </c>
      <c r="R3181" t="s">
        <v>370</v>
      </c>
      <c r="S3181" t="s">
        <v>323</v>
      </c>
      <c r="T3181">
        <v>7.6</v>
      </c>
      <c r="W3181" t="s">
        <v>330</v>
      </c>
      <c r="Y3181" s="42">
        <v>44159</v>
      </c>
    </row>
    <row r="3182" spans="14:25">
      <c r="N3182" s="42">
        <v>44146</v>
      </c>
      <c r="O3182" t="s">
        <v>328</v>
      </c>
      <c r="P3182" s="42">
        <v>44146</v>
      </c>
      <c r="Q3182" t="s">
        <v>328</v>
      </c>
      <c r="R3182" t="s">
        <v>370</v>
      </c>
      <c r="S3182" t="s">
        <v>323</v>
      </c>
      <c r="T3182">
        <v>7.6</v>
      </c>
      <c r="W3182" t="s">
        <v>330</v>
      </c>
      <c r="Y3182" s="42">
        <v>44159</v>
      </c>
    </row>
    <row r="3183" spans="14:25">
      <c r="N3183" s="42">
        <v>44145</v>
      </c>
      <c r="O3183" t="s">
        <v>333</v>
      </c>
      <c r="P3183" s="42">
        <v>44145</v>
      </c>
      <c r="Q3183" t="s">
        <v>333</v>
      </c>
      <c r="R3183" t="s">
        <v>370</v>
      </c>
      <c r="S3183" t="s">
        <v>323</v>
      </c>
      <c r="T3183">
        <v>7.6</v>
      </c>
      <c r="W3183" t="s">
        <v>330</v>
      </c>
      <c r="Y3183" s="42">
        <v>44145</v>
      </c>
    </row>
    <row r="3184" spans="14:25">
      <c r="N3184" s="42">
        <v>44144</v>
      </c>
      <c r="O3184" t="s">
        <v>345</v>
      </c>
      <c r="P3184" s="42">
        <v>44144</v>
      </c>
      <c r="Q3184" t="s">
        <v>345</v>
      </c>
      <c r="R3184" t="s">
        <v>370</v>
      </c>
      <c r="S3184" t="s">
        <v>323</v>
      </c>
      <c r="T3184">
        <v>7.6</v>
      </c>
      <c r="W3184" t="s">
        <v>330</v>
      </c>
      <c r="Y3184" s="42">
        <v>44145</v>
      </c>
    </row>
    <row r="3185" spans="14:25">
      <c r="N3185" s="42">
        <v>44143</v>
      </c>
      <c r="O3185" t="s">
        <v>344</v>
      </c>
      <c r="P3185" s="42">
        <v>44143</v>
      </c>
      <c r="Q3185" t="s">
        <v>344</v>
      </c>
      <c r="R3185" t="s">
        <v>370</v>
      </c>
      <c r="S3185" t="s">
        <v>323</v>
      </c>
      <c r="T3185">
        <v>7.6</v>
      </c>
      <c r="W3185" t="s">
        <v>330</v>
      </c>
      <c r="Y3185" s="42">
        <v>44145</v>
      </c>
    </row>
    <row r="3186" spans="14:25">
      <c r="N3186" s="42">
        <v>44140</v>
      </c>
      <c r="O3186" t="s">
        <v>324</v>
      </c>
      <c r="P3186" s="42">
        <v>44140</v>
      </c>
      <c r="Q3186" t="s">
        <v>324</v>
      </c>
      <c r="R3186" t="s">
        <v>370</v>
      </c>
      <c r="S3186" t="s">
        <v>323</v>
      </c>
      <c r="T3186">
        <v>7.6</v>
      </c>
      <c r="W3186" t="s">
        <v>330</v>
      </c>
      <c r="Y3186" s="42">
        <v>44145</v>
      </c>
    </row>
    <row r="3187" spans="14:25">
      <c r="N3187" s="42">
        <v>44139</v>
      </c>
      <c r="O3187" t="s">
        <v>328</v>
      </c>
      <c r="P3187" s="42">
        <v>44139</v>
      </c>
      <c r="Q3187" t="s">
        <v>328</v>
      </c>
      <c r="R3187" t="s">
        <v>370</v>
      </c>
      <c r="S3187" t="s">
        <v>323</v>
      </c>
      <c r="T3187">
        <v>7.6</v>
      </c>
      <c r="W3187" t="s">
        <v>330</v>
      </c>
      <c r="Y3187" s="42">
        <v>44145</v>
      </c>
    </row>
    <row r="3188" spans="14:25">
      <c r="N3188" s="42">
        <v>44138</v>
      </c>
      <c r="O3188" t="s">
        <v>333</v>
      </c>
      <c r="P3188" s="42">
        <v>44138</v>
      </c>
      <c r="Q3188" t="s">
        <v>333</v>
      </c>
      <c r="R3188" t="s">
        <v>370</v>
      </c>
      <c r="S3188" t="s">
        <v>323</v>
      </c>
      <c r="T3188">
        <v>7.6</v>
      </c>
      <c r="W3188" t="s">
        <v>330</v>
      </c>
      <c r="Y3188" s="42">
        <v>44145</v>
      </c>
    </row>
    <row r="3189" spans="14:25">
      <c r="N3189" s="42">
        <v>44137</v>
      </c>
      <c r="O3189" t="s">
        <v>345</v>
      </c>
      <c r="P3189" s="42">
        <v>44137</v>
      </c>
      <c r="Q3189" t="s">
        <v>345</v>
      </c>
      <c r="R3189" t="s">
        <v>370</v>
      </c>
      <c r="S3189" t="s">
        <v>323</v>
      </c>
      <c r="T3189">
        <v>7.6</v>
      </c>
      <c r="W3189" t="s">
        <v>330</v>
      </c>
      <c r="Y3189" s="42">
        <v>44145</v>
      </c>
    </row>
    <row r="3190" spans="14:25">
      <c r="N3190" s="42">
        <v>44136</v>
      </c>
      <c r="O3190" t="s">
        <v>344</v>
      </c>
      <c r="P3190" s="42">
        <v>44136</v>
      </c>
      <c r="Q3190" t="s">
        <v>344</v>
      </c>
      <c r="R3190" t="s">
        <v>370</v>
      </c>
      <c r="S3190" t="s">
        <v>323</v>
      </c>
      <c r="T3190">
        <v>7.6</v>
      </c>
      <c r="W3190" t="s">
        <v>330</v>
      </c>
      <c r="Y3190" s="42">
        <v>44145</v>
      </c>
    </row>
    <row r="3191" spans="14:25">
      <c r="N3191" s="42">
        <v>44133</v>
      </c>
      <c r="O3191" t="s">
        <v>324</v>
      </c>
      <c r="P3191" s="42">
        <v>44133</v>
      </c>
      <c r="Q3191" t="s">
        <v>324</v>
      </c>
      <c r="R3191" t="s">
        <v>370</v>
      </c>
      <c r="S3191" t="s">
        <v>323</v>
      </c>
      <c r="T3191">
        <v>7.6</v>
      </c>
      <c r="W3191" t="s">
        <v>330</v>
      </c>
      <c r="Y3191" s="42">
        <v>44145</v>
      </c>
    </row>
    <row r="3192" spans="14:25">
      <c r="N3192" s="42">
        <v>44132</v>
      </c>
      <c r="O3192" t="s">
        <v>328</v>
      </c>
      <c r="P3192" s="42">
        <v>44132</v>
      </c>
      <c r="Q3192" t="s">
        <v>328</v>
      </c>
      <c r="R3192" t="s">
        <v>370</v>
      </c>
      <c r="S3192" t="s">
        <v>323</v>
      </c>
      <c r="T3192">
        <v>7.6</v>
      </c>
      <c r="W3192" t="s">
        <v>330</v>
      </c>
      <c r="Y3192" s="42">
        <v>44145</v>
      </c>
    </row>
    <row r="3193" spans="14:25">
      <c r="N3193" s="42">
        <v>44131</v>
      </c>
      <c r="O3193" t="s">
        <v>333</v>
      </c>
      <c r="P3193" s="42">
        <v>44131</v>
      </c>
      <c r="Q3193" t="s">
        <v>333</v>
      </c>
      <c r="R3193" t="s">
        <v>370</v>
      </c>
      <c r="S3193" t="s">
        <v>323</v>
      </c>
      <c r="T3193">
        <v>7.6</v>
      </c>
      <c r="W3193" t="s">
        <v>330</v>
      </c>
      <c r="Y3193" s="42">
        <v>44131</v>
      </c>
    </row>
    <row r="3194" spans="14:25">
      <c r="N3194" s="42">
        <v>44130</v>
      </c>
      <c r="O3194" t="s">
        <v>345</v>
      </c>
      <c r="P3194" s="42">
        <v>44130</v>
      </c>
      <c r="Q3194" t="s">
        <v>345</v>
      </c>
      <c r="R3194" t="s">
        <v>370</v>
      </c>
      <c r="S3194" t="s">
        <v>323</v>
      </c>
      <c r="T3194">
        <v>7.6</v>
      </c>
      <c r="W3194" t="s">
        <v>330</v>
      </c>
      <c r="Y3194" s="42">
        <v>44131</v>
      </c>
    </row>
    <row r="3195" spans="14:25">
      <c r="N3195" s="42">
        <v>44129</v>
      </c>
      <c r="O3195" t="s">
        <v>344</v>
      </c>
      <c r="P3195" s="42">
        <v>44129</v>
      </c>
      <c r="Q3195" t="s">
        <v>344</v>
      </c>
      <c r="R3195" t="s">
        <v>370</v>
      </c>
      <c r="S3195" t="s">
        <v>323</v>
      </c>
      <c r="T3195">
        <v>7.6</v>
      </c>
      <c r="W3195" t="s">
        <v>330</v>
      </c>
      <c r="Y3195" s="42">
        <v>44131</v>
      </c>
    </row>
    <row r="3196" spans="14:25">
      <c r="N3196" s="42">
        <v>44126</v>
      </c>
      <c r="O3196" t="s">
        <v>324</v>
      </c>
      <c r="P3196" s="42">
        <v>44126</v>
      </c>
      <c r="Q3196" t="s">
        <v>324</v>
      </c>
      <c r="R3196" t="s">
        <v>370</v>
      </c>
      <c r="S3196" t="s">
        <v>323</v>
      </c>
      <c r="T3196">
        <v>7.6</v>
      </c>
      <c r="W3196" t="s">
        <v>330</v>
      </c>
      <c r="Y3196" s="42">
        <v>44131</v>
      </c>
    </row>
    <row r="3197" spans="14:25">
      <c r="N3197" s="42">
        <v>44125</v>
      </c>
      <c r="O3197" t="s">
        <v>328</v>
      </c>
      <c r="P3197" s="42">
        <v>44125</v>
      </c>
      <c r="Q3197" t="s">
        <v>328</v>
      </c>
      <c r="R3197" t="s">
        <v>370</v>
      </c>
      <c r="S3197" t="s">
        <v>323</v>
      </c>
      <c r="T3197">
        <v>7.6</v>
      </c>
      <c r="W3197" t="s">
        <v>330</v>
      </c>
      <c r="Y3197" s="42">
        <v>44131</v>
      </c>
    </row>
    <row r="3198" spans="14:25">
      <c r="N3198" s="42">
        <v>44124</v>
      </c>
      <c r="O3198" t="s">
        <v>333</v>
      </c>
      <c r="P3198" s="42">
        <v>44124</v>
      </c>
      <c r="Q3198" t="s">
        <v>333</v>
      </c>
      <c r="R3198" t="s">
        <v>370</v>
      </c>
      <c r="S3198" t="s">
        <v>323</v>
      </c>
      <c r="T3198">
        <v>7.6</v>
      </c>
      <c r="W3198" t="s">
        <v>330</v>
      </c>
      <c r="Y3198" s="42">
        <v>44131</v>
      </c>
    </row>
    <row r="3199" spans="14:25">
      <c r="N3199" s="42">
        <v>44123</v>
      </c>
      <c r="O3199" t="s">
        <v>345</v>
      </c>
      <c r="P3199" s="42">
        <v>44123</v>
      </c>
      <c r="Q3199" t="s">
        <v>345</v>
      </c>
      <c r="R3199" t="s">
        <v>370</v>
      </c>
      <c r="S3199" t="s">
        <v>323</v>
      </c>
      <c r="T3199">
        <v>7.6</v>
      </c>
      <c r="W3199" t="s">
        <v>330</v>
      </c>
      <c r="Y3199" s="42">
        <v>44131</v>
      </c>
    </row>
    <row r="3200" spans="14:25">
      <c r="N3200" s="42">
        <v>44122</v>
      </c>
      <c r="O3200" t="s">
        <v>344</v>
      </c>
      <c r="P3200" s="42">
        <v>44122</v>
      </c>
      <c r="Q3200" t="s">
        <v>344</v>
      </c>
      <c r="R3200" t="s">
        <v>370</v>
      </c>
      <c r="S3200" t="s">
        <v>323</v>
      </c>
      <c r="T3200">
        <v>7.6</v>
      </c>
      <c r="W3200" t="s">
        <v>330</v>
      </c>
      <c r="Y3200" s="42">
        <v>44131</v>
      </c>
    </row>
    <row r="3201" spans="14:25">
      <c r="N3201" s="42">
        <v>44119</v>
      </c>
      <c r="O3201" t="s">
        <v>324</v>
      </c>
      <c r="P3201" s="42">
        <v>44119</v>
      </c>
      <c r="Q3201" t="s">
        <v>324</v>
      </c>
      <c r="R3201" t="s">
        <v>370</v>
      </c>
      <c r="S3201" t="s">
        <v>323</v>
      </c>
      <c r="T3201">
        <v>7.6</v>
      </c>
      <c r="W3201" t="s">
        <v>330</v>
      </c>
      <c r="Y3201" s="42">
        <v>44131</v>
      </c>
    </row>
    <row r="3202" spans="14:25">
      <c r="N3202" s="42">
        <v>44118</v>
      </c>
      <c r="O3202" t="s">
        <v>328</v>
      </c>
      <c r="P3202" s="42">
        <v>44118</v>
      </c>
      <c r="Q3202" t="s">
        <v>328</v>
      </c>
      <c r="R3202" t="s">
        <v>370</v>
      </c>
      <c r="S3202" t="s">
        <v>323</v>
      </c>
      <c r="T3202">
        <v>7.6</v>
      </c>
      <c r="W3202" t="s">
        <v>330</v>
      </c>
      <c r="Y3202" s="42">
        <v>44131</v>
      </c>
    </row>
    <row r="3203" spans="14:25">
      <c r="N3203" s="42">
        <v>44117</v>
      </c>
      <c r="O3203" t="s">
        <v>333</v>
      </c>
      <c r="P3203" s="42">
        <v>44117</v>
      </c>
      <c r="Q3203" t="s">
        <v>333</v>
      </c>
      <c r="R3203" t="s">
        <v>370</v>
      </c>
      <c r="S3203" t="s">
        <v>323</v>
      </c>
      <c r="T3203">
        <v>7.6</v>
      </c>
      <c r="W3203" t="s">
        <v>330</v>
      </c>
      <c r="Y3203" s="42">
        <v>44117</v>
      </c>
    </row>
    <row r="3204" spans="14:25">
      <c r="N3204" s="42">
        <v>44116</v>
      </c>
      <c r="O3204" t="s">
        <v>345</v>
      </c>
      <c r="P3204" s="42">
        <v>44116</v>
      </c>
      <c r="Q3204" t="s">
        <v>345</v>
      </c>
      <c r="R3204" t="s">
        <v>370</v>
      </c>
      <c r="S3204" t="s">
        <v>323</v>
      </c>
      <c r="T3204">
        <v>7.6</v>
      </c>
      <c r="W3204" t="s">
        <v>330</v>
      </c>
      <c r="Y3204" s="42">
        <v>44117</v>
      </c>
    </row>
    <row r="3205" spans="14:25">
      <c r="N3205" s="42">
        <v>44115</v>
      </c>
      <c r="O3205" t="s">
        <v>344</v>
      </c>
      <c r="P3205" s="42">
        <v>44115</v>
      </c>
      <c r="Q3205" t="s">
        <v>344</v>
      </c>
      <c r="R3205" t="s">
        <v>370</v>
      </c>
      <c r="S3205" t="s">
        <v>323</v>
      </c>
      <c r="T3205">
        <v>7.6</v>
      </c>
      <c r="W3205" t="s">
        <v>330</v>
      </c>
      <c r="Y3205" s="42">
        <v>44117</v>
      </c>
    </row>
    <row r="3206" spans="14:25">
      <c r="N3206" s="42">
        <v>44112</v>
      </c>
      <c r="O3206" t="s">
        <v>324</v>
      </c>
      <c r="P3206" s="42">
        <v>44112</v>
      </c>
      <c r="Q3206" t="s">
        <v>324</v>
      </c>
      <c r="R3206" t="s">
        <v>370</v>
      </c>
      <c r="S3206" t="s">
        <v>323</v>
      </c>
      <c r="T3206">
        <v>7.6</v>
      </c>
      <c r="W3206" t="s">
        <v>330</v>
      </c>
      <c r="Y3206" s="42">
        <v>44117</v>
      </c>
    </row>
    <row r="3207" spans="14:25">
      <c r="N3207" s="42">
        <v>44111</v>
      </c>
      <c r="O3207" t="s">
        <v>328</v>
      </c>
      <c r="P3207" s="42">
        <v>44111</v>
      </c>
      <c r="Q3207" t="s">
        <v>328</v>
      </c>
      <c r="R3207" t="s">
        <v>370</v>
      </c>
      <c r="S3207" t="s">
        <v>323</v>
      </c>
      <c r="T3207">
        <v>7.6</v>
      </c>
      <c r="W3207" t="s">
        <v>330</v>
      </c>
      <c r="Y3207" s="42">
        <v>44117</v>
      </c>
    </row>
    <row r="3208" spans="14:25">
      <c r="N3208" s="42">
        <v>44110</v>
      </c>
      <c r="O3208" t="s">
        <v>333</v>
      </c>
      <c r="P3208" s="42">
        <v>44110</v>
      </c>
      <c r="Q3208" t="s">
        <v>333</v>
      </c>
      <c r="R3208" t="s">
        <v>370</v>
      </c>
      <c r="S3208" t="s">
        <v>323</v>
      </c>
      <c r="T3208">
        <v>7.6</v>
      </c>
      <c r="W3208" t="s">
        <v>330</v>
      </c>
      <c r="Y3208" s="42">
        <v>44117</v>
      </c>
    </row>
    <row r="3209" spans="14:25">
      <c r="N3209" s="42">
        <v>44108</v>
      </c>
      <c r="O3209" t="s">
        <v>344</v>
      </c>
      <c r="P3209" s="42">
        <v>44108</v>
      </c>
      <c r="Q3209" t="s">
        <v>344</v>
      </c>
      <c r="R3209" t="s">
        <v>370</v>
      </c>
      <c r="S3209" t="s">
        <v>323</v>
      </c>
      <c r="T3209">
        <v>7.6</v>
      </c>
      <c r="W3209" t="s">
        <v>330</v>
      </c>
      <c r="Y3209" s="42">
        <v>44117</v>
      </c>
    </row>
    <row r="3210" spans="14:25">
      <c r="N3210" s="42">
        <v>44105</v>
      </c>
      <c r="O3210" t="s">
        <v>324</v>
      </c>
      <c r="P3210" s="42">
        <v>44105</v>
      </c>
      <c r="Q3210" t="s">
        <v>324</v>
      </c>
      <c r="R3210" t="s">
        <v>370</v>
      </c>
      <c r="S3210" t="s">
        <v>323</v>
      </c>
      <c r="T3210">
        <v>7.6</v>
      </c>
      <c r="W3210" t="s">
        <v>330</v>
      </c>
      <c r="Y3210" s="42">
        <v>44117</v>
      </c>
    </row>
    <row r="3211" spans="14:25">
      <c r="N3211" s="42">
        <v>44104</v>
      </c>
      <c r="O3211" t="s">
        <v>328</v>
      </c>
      <c r="P3211" s="42">
        <v>44104</v>
      </c>
      <c r="Q3211" t="s">
        <v>328</v>
      </c>
      <c r="R3211" t="s">
        <v>370</v>
      </c>
      <c r="S3211" t="s">
        <v>323</v>
      </c>
      <c r="T3211">
        <v>7.6</v>
      </c>
      <c r="W3211" t="s">
        <v>330</v>
      </c>
      <c r="Y3211" s="42">
        <v>44117</v>
      </c>
    </row>
    <row r="3212" spans="14:25">
      <c r="N3212" s="42">
        <v>44103</v>
      </c>
      <c r="O3212" t="s">
        <v>333</v>
      </c>
      <c r="P3212" s="42">
        <v>44103</v>
      </c>
      <c r="Q3212" t="s">
        <v>333</v>
      </c>
      <c r="R3212" t="s">
        <v>370</v>
      </c>
      <c r="S3212" t="s">
        <v>323</v>
      </c>
      <c r="T3212">
        <v>7.6</v>
      </c>
      <c r="W3212" t="s">
        <v>330</v>
      </c>
      <c r="Y3212" s="42">
        <v>44103</v>
      </c>
    </row>
    <row r="3213" spans="14:25">
      <c r="N3213" s="42">
        <v>44102</v>
      </c>
      <c r="O3213" t="s">
        <v>345</v>
      </c>
      <c r="P3213" s="42">
        <v>44102</v>
      </c>
      <c r="Q3213" t="s">
        <v>345</v>
      </c>
      <c r="R3213" t="s">
        <v>370</v>
      </c>
      <c r="S3213" t="s">
        <v>323</v>
      </c>
      <c r="T3213">
        <v>7.6</v>
      </c>
      <c r="W3213" t="s">
        <v>330</v>
      </c>
      <c r="Y3213" s="42">
        <v>44103</v>
      </c>
    </row>
    <row r="3214" spans="14:25">
      <c r="N3214" s="42">
        <v>44101</v>
      </c>
      <c r="O3214" t="s">
        <v>344</v>
      </c>
      <c r="P3214" s="42">
        <v>44101</v>
      </c>
      <c r="Q3214" t="s">
        <v>344</v>
      </c>
      <c r="R3214" t="s">
        <v>370</v>
      </c>
      <c r="S3214" t="s">
        <v>323</v>
      </c>
      <c r="T3214">
        <v>7.6</v>
      </c>
      <c r="W3214" t="s">
        <v>330</v>
      </c>
      <c r="Y3214" s="42">
        <v>44103</v>
      </c>
    </row>
    <row r="3215" spans="14:25">
      <c r="N3215" s="42">
        <v>44098</v>
      </c>
      <c r="O3215" t="s">
        <v>324</v>
      </c>
      <c r="P3215" s="42">
        <v>44098</v>
      </c>
      <c r="Q3215" t="s">
        <v>324</v>
      </c>
      <c r="R3215" t="s">
        <v>370</v>
      </c>
      <c r="S3215" t="s">
        <v>323</v>
      </c>
      <c r="T3215">
        <v>7.6</v>
      </c>
      <c r="W3215" t="s">
        <v>330</v>
      </c>
      <c r="Y3215" s="42">
        <v>44103</v>
      </c>
    </row>
    <row r="3216" spans="14:25">
      <c r="N3216" s="42">
        <v>44097</v>
      </c>
      <c r="O3216" t="s">
        <v>328</v>
      </c>
      <c r="P3216" s="42">
        <v>44097</v>
      </c>
      <c r="Q3216" t="s">
        <v>328</v>
      </c>
      <c r="R3216" t="s">
        <v>370</v>
      </c>
      <c r="S3216" t="s">
        <v>323</v>
      </c>
      <c r="T3216">
        <v>7.6</v>
      </c>
      <c r="W3216" t="s">
        <v>330</v>
      </c>
      <c r="Y3216" s="42">
        <v>44103</v>
      </c>
    </row>
    <row r="3217" spans="14:25">
      <c r="N3217" s="42">
        <v>44096</v>
      </c>
      <c r="O3217" t="s">
        <v>333</v>
      </c>
      <c r="P3217" s="42">
        <v>44096</v>
      </c>
      <c r="Q3217" t="s">
        <v>333</v>
      </c>
      <c r="R3217" t="s">
        <v>370</v>
      </c>
      <c r="S3217" t="s">
        <v>323</v>
      </c>
      <c r="T3217">
        <v>7.6</v>
      </c>
      <c r="W3217" t="s">
        <v>330</v>
      </c>
      <c r="Y3217" s="42">
        <v>44103</v>
      </c>
    </row>
    <row r="3218" spans="14:25">
      <c r="N3218" s="42">
        <v>44095</v>
      </c>
      <c r="O3218" t="s">
        <v>345</v>
      </c>
      <c r="P3218" s="42">
        <v>44095</v>
      </c>
      <c r="Q3218" t="s">
        <v>345</v>
      </c>
      <c r="R3218" t="s">
        <v>370</v>
      </c>
      <c r="S3218" t="s">
        <v>323</v>
      </c>
      <c r="T3218">
        <v>7.6</v>
      </c>
      <c r="W3218" t="s">
        <v>330</v>
      </c>
      <c r="Y3218" s="42">
        <v>44103</v>
      </c>
    </row>
    <row r="3219" spans="14:25">
      <c r="N3219" s="42">
        <v>44094</v>
      </c>
      <c r="O3219" t="s">
        <v>344</v>
      </c>
      <c r="P3219" s="42">
        <v>44094</v>
      </c>
      <c r="Q3219" t="s">
        <v>344</v>
      </c>
      <c r="R3219" t="s">
        <v>370</v>
      </c>
      <c r="S3219" t="s">
        <v>323</v>
      </c>
      <c r="T3219">
        <v>7.6</v>
      </c>
      <c r="W3219" t="s">
        <v>330</v>
      </c>
      <c r="Y3219" s="42">
        <v>44103</v>
      </c>
    </row>
    <row r="3220" spans="14:25">
      <c r="N3220" s="42">
        <v>44091</v>
      </c>
      <c r="O3220" t="s">
        <v>324</v>
      </c>
      <c r="P3220" s="42">
        <v>44091</v>
      </c>
      <c r="Q3220" t="s">
        <v>324</v>
      </c>
      <c r="R3220" t="s">
        <v>370</v>
      </c>
      <c r="S3220" t="s">
        <v>323</v>
      </c>
      <c r="T3220">
        <v>7.6</v>
      </c>
      <c r="W3220" t="s">
        <v>330</v>
      </c>
      <c r="Y3220" s="42">
        <v>44103</v>
      </c>
    </row>
    <row r="3221" spans="14:25">
      <c r="N3221" s="42">
        <v>44090</v>
      </c>
      <c r="O3221" t="s">
        <v>328</v>
      </c>
      <c r="P3221" s="42">
        <v>44090</v>
      </c>
      <c r="Q3221" t="s">
        <v>328</v>
      </c>
      <c r="R3221" t="s">
        <v>370</v>
      </c>
      <c r="S3221" t="s">
        <v>323</v>
      </c>
      <c r="T3221">
        <v>7.6</v>
      </c>
      <c r="W3221" t="s">
        <v>330</v>
      </c>
      <c r="Y3221" s="42">
        <v>44103</v>
      </c>
    </row>
    <row r="3222" spans="14:25">
      <c r="N3222" s="42">
        <v>44089</v>
      </c>
      <c r="O3222" t="s">
        <v>333</v>
      </c>
      <c r="P3222" s="42">
        <v>44089</v>
      </c>
      <c r="Q3222" t="s">
        <v>333</v>
      </c>
      <c r="R3222" t="s">
        <v>370</v>
      </c>
      <c r="S3222" t="s">
        <v>323</v>
      </c>
      <c r="T3222">
        <v>7.6</v>
      </c>
      <c r="W3222" t="s">
        <v>330</v>
      </c>
      <c r="Y3222" s="42">
        <v>44089</v>
      </c>
    </row>
    <row r="3223" spans="14:25">
      <c r="N3223" s="42">
        <v>44088</v>
      </c>
      <c r="O3223" t="s">
        <v>345</v>
      </c>
      <c r="P3223" s="42">
        <v>44088</v>
      </c>
      <c r="Q3223" t="s">
        <v>345</v>
      </c>
      <c r="R3223" t="s">
        <v>370</v>
      </c>
      <c r="S3223" t="s">
        <v>323</v>
      </c>
      <c r="T3223">
        <v>7.6</v>
      </c>
      <c r="W3223" t="s">
        <v>330</v>
      </c>
      <c r="Y3223" s="42">
        <v>44089</v>
      </c>
    </row>
    <row r="3224" spans="14:25">
      <c r="N3224" s="42">
        <v>44087</v>
      </c>
      <c r="O3224" t="s">
        <v>344</v>
      </c>
      <c r="P3224" s="42">
        <v>44087</v>
      </c>
      <c r="Q3224" t="s">
        <v>344</v>
      </c>
      <c r="R3224" t="s">
        <v>370</v>
      </c>
      <c r="S3224" t="s">
        <v>323</v>
      </c>
      <c r="T3224">
        <v>7.6</v>
      </c>
      <c r="W3224" t="s">
        <v>330</v>
      </c>
      <c r="Y3224" s="42">
        <v>44089</v>
      </c>
    </row>
    <row r="3225" spans="14:25">
      <c r="N3225" s="42">
        <v>44084</v>
      </c>
      <c r="O3225" t="s">
        <v>324</v>
      </c>
      <c r="P3225" s="42">
        <v>44084</v>
      </c>
      <c r="Q3225" t="s">
        <v>324</v>
      </c>
      <c r="R3225" t="s">
        <v>370</v>
      </c>
      <c r="S3225" t="s">
        <v>323</v>
      </c>
      <c r="T3225">
        <v>7.6</v>
      </c>
      <c r="W3225" t="s">
        <v>330</v>
      </c>
      <c r="Y3225" s="42">
        <v>44089</v>
      </c>
    </row>
    <row r="3226" spans="14:25">
      <c r="N3226" s="42">
        <v>44083</v>
      </c>
      <c r="O3226" t="s">
        <v>328</v>
      </c>
      <c r="P3226" s="42">
        <v>44083</v>
      </c>
      <c r="Q3226" t="s">
        <v>328</v>
      </c>
      <c r="R3226" t="s">
        <v>370</v>
      </c>
      <c r="S3226" t="s">
        <v>323</v>
      </c>
      <c r="T3226">
        <v>7.6</v>
      </c>
      <c r="W3226" t="s">
        <v>330</v>
      </c>
      <c r="Y3226" s="42">
        <v>44089</v>
      </c>
    </row>
    <row r="3227" spans="14:25">
      <c r="N3227" s="42">
        <v>44082</v>
      </c>
      <c r="O3227" t="s">
        <v>333</v>
      </c>
      <c r="P3227" s="42">
        <v>44082</v>
      </c>
      <c r="Q3227" t="s">
        <v>333</v>
      </c>
      <c r="R3227" t="s">
        <v>370</v>
      </c>
      <c r="S3227" t="s">
        <v>323</v>
      </c>
      <c r="T3227">
        <v>7.6</v>
      </c>
      <c r="W3227" t="s">
        <v>330</v>
      </c>
      <c r="Y3227" s="42">
        <v>44089</v>
      </c>
    </row>
    <row r="3228" spans="14:25">
      <c r="N3228" s="42">
        <v>44081</v>
      </c>
      <c r="O3228" t="s">
        <v>345</v>
      </c>
      <c r="P3228" s="42">
        <v>44081</v>
      </c>
      <c r="Q3228" t="s">
        <v>345</v>
      </c>
      <c r="R3228" t="s">
        <v>370</v>
      </c>
      <c r="S3228" t="s">
        <v>323</v>
      </c>
      <c r="T3228">
        <v>7.6</v>
      </c>
      <c r="W3228" t="s">
        <v>330</v>
      </c>
      <c r="Y3228" s="42">
        <v>44089</v>
      </c>
    </row>
    <row r="3229" spans="14:25">
      <c r="N3229" s="42">
        <v>44080</v>
      </c>
      <c r="O3229" t="s">
        <v>344</v>
      </c>
      <c r="P3229" s="42">
        <v>44080</v>
      </c>
      <c r="Q3229" t="s">
        <v>344</v>
      </c>
      <c r="R3229" t="s">
        <v>370</v>
      </c>
      <c r="S3229" t="s">
        <v>323</v>
      </c>
      <c r="T3229">
        <v>7.6</v>
      </c>
      <c r="W3229" t="s">
        <v>330</v>
      </c>
      <c r="Y3229" s="42">
        <v>44089</v>
      </c>
    </row>
    <row r="3230" spans="14:25">
      <c r="N3230" s="42">
        <v>44077</v>
      </c>
      <c r="O3230" t="s">
        <v>324</v>
      </c>
      <c r="P3230" s="42">
        <v>44077</v>
      </c>
      <c r="Q3230" t="s">
        <v>324</v>
      </c>
      <c r="R3230" t="s">
        <v>370</v>
      </c>
      <c r="S3230" t="s">
        <v>323</v>
      </c>
      <c r="T3230">
        <v>7.6</v>
      </c>
      <c r="W3230" t="s">
        <v>330</v>
      </c>
      <c r="Y3230" s="42">
        <v>44089</v>
      </c>
    </row>
    <row r="3231" spans="14:25">
      <c r="N3231" s="42">
        <v>44076</v>
      </c>
      <c r="O3231" t="s">
        <v>328</v>
      </c>
      <c r="P3231" s="42">
        <v>44076</v>
      </c>
      <c r="Q3231" t="s">
        <v>328</v>
      </c>
      <c r="R3231" t="s">
        <v>370</v>
      </c>
      <c r="S3231" t="s">
        <v>323</v>
      </c>
      <c r="T3231">
        <v>7.6</v>
      </c>
      <c r="W3231" t="s">
        <v>330</v>
      </c>
      <c r="Y3231" s="42">
        <v>44089</v>
      </c>
    </row>
    <row r="3232" spans="14:25">
      <c r="N3232" s="42">
        <v>44075</v>
      </c>
      <c r="O3232" t="s">
        <v>333</v>
      </c>
      <c r="P3232" s="42">
        <v>44075</v>
      </c>
      <c r="Q3232" t="s">
        <v>333</v>
      </c>
      <c r="R3232" t="s">
        <v>370</v>
      </c>
      <c r="S3232" t="s">
        <v>323</v>
      </c>
      <c r="T3232">
        <v>7.6</v>
      </c>
      <c r="W3232" t="s">
        <v>330</v>
      </c>
      <c r="Y3232" s="42">
        <v>44075</v>
      </c>
    </row>
    <row r="3233" spans="14:25">
      <c r="N3233" s="42">
        <v>44074</v>
      </c>
      <c r="O3233" t="s">
        <v>345</v>
      </c>
      <c r="P3233" s="42">
        <v>44074</v>
      </c>
      <c r="Q3233" t="s">
        <v>345</v>
      </c>
      <c r="R3233" t="s">
        <v>370</v>
      </c>
      <c r="S3233" t="s">
        <v>323</v>
      </c>
      <c r="T3233">
        <v>7.6</v>
      </c>
      <c r="W3233" t="s">
        <v>330</v>
      </c>
      <c r="Y3233" s="42">
        <v>44075</v>
      </c>
    </row>
    <row r="3234" spans="14:25">
      <c r="N3234" s="42">
        <v>44073</v>
      </c>
      <c r="O3234" t="s">
        <v>344</v>
      </c>
      <c r="P3234" s="42">
        <v>44073</v>
      </c>
      <c r="Q3234" t="s">
        <v>344</v>
      </c>
      <c r="R3234" t="s">
        <v>370</v>
      </c>
      <c r="S3234" t="s">
        <v>323</v>
      </c>
      <c r="T3234">
        <v>7.6</v>
      </c>
      <c r="W3234" t="s">
        <v>330</v>
      </c>
      <c r="Y3234" s="42">
        <v>44075</v>
      </c>
    </row>
    <row r="3235" spans="14:25">
      <c r="N3235" s="42">
        <v>44070</v>
      </c>
      <c r="O3235" t="s">
        <v>324</v>
      </c>
      <c r="P3235" s="42">
        <v>44070</v>
      </c>
      <c r="Q3235" t="s">
        <v>324</v>
      </c>
      <c r="R3235" t="s">
        <v>370</v>
      </c>
      <c r="S3235" t="s">
        <v>323</v>
      </c>
      <c r="T3235">
        <v>7.6</v>
      </c>
      <c r="W3235" t="s">
        <v>330</v>
      </c>
      <c r="Y3235" s="42">
        <v>44075</v>
      </c>
    </row>
    <row r="3236" spans="14:25">
      <c r="N3236" s="42">
        <v>44069</v>
      </c>
      <c r="O3236" t="s">
        <v>328</v>
      </c>
      <c r="P3236" s="42">
        <v>44069</v>
      </c>
      <c r="Q3236" t="s">
        <v>328</v>
      </c>
      <c r="R3236" t="s">
        <v>370</v>
      </c>
      <c r="S3236" t="s">
        <v>323</v>
      </c>
      <c r="T3236">
        <v>7.6</v>
      </c>
      <c r="W3236" t="s">
        <v>330</v>
      </c>
      <c r="Y3236" s="42">
        <v>44075</v>
      </c>
    </row>
    <row r="3237" spans="14:25">
      <c r="N3237" s="42">
        <v>44068</v>
      </c>
      <c r="O3237" t="s">
        <v>333</v>
      </c>
      <c r="P3237" s="42">
        <v>44068</v>
      </c>
      <c r="Q3237" t="s">
        <v>333</v>
      </c>
      <c r="R3237" t="s">
        <v>370</v>
      </c>
      <c r="S3237" t="s">
        <v>323</v>
      </c>
      <c r="T3237">
        <v>7.6</v>
      </c>
      <c r="W3237" t="s">
        <v>330</v>
      </c>
      <c r="Y3237" s="42">
        <v>44075</v>
      </c>
    </row>
    <row r="3238" spans="14:25">
      <c r="N3238" s="42">
        <v>44067</v>
      </c>
      <c r="O3238" t="s">
        <v>345</v>
      </c>
      <c r="P3238" s="42">
        <v>44067</v>
      </c>
      <c r="Q3238" t="s">
        <v>345</v>
      </c>
      <c r="R3238" t="s">
        <v>370</v>
      </c>
      <c r="S3238" t="s">
        <v>323</v>
      </c>
      <c r="T3238">
        <v>7.6</v>
      </c>
      <c r="W3238" t="s">
        <v>330</v>
      </c>
      <c r="Y3238" s="42">
        <v>44075</v>
      </c>
    </row>
    <row r="3239" spans="14:25">
      <c r="N3239" s="42">
        <v>44066</v>
      </c>
      <c r="O3239" t="s">
        <v>344</v>
      </c>
      <c r="P3239" s="42">
        <v>44066</v>
      </c>
      <c r="Q3239" t="s">
        <v>344</v>
      </c>
      <c r="R3239" t="s">
        <v>370</v>
      </c>
      <c r="S3239" t="s">
        <v>323</v>
      </c>
      <c r="T3239">
        <v>7.6</v>
      </c>
      <c r="W3239" t="s">
        <v>330</v>
      </c>
      <c r="Y3239" s="42">
        <v>44075</v>
      </c>
    </row>
    <row r="3240" spans="14:25">
      <c r="N3240" s="42">
        <v>44063</v>
      </c>
      <c r="O3240" t="s">
        <v>324</v>
      </c>
      <c r="P3240" s="42">
        <v>44063</v>
      </c>
      <c r="Q3240" t="s">
        <v>324</v>
      </c>
      <c r="R3240" t="s">
        <v>370</v>
      </c>
      <c r="S3240" t="s">
        <v>323</v>
      </c>
      <c r="T3240">
        <v>7.6</v>
      </c>
      <c r="W3240" t="s">
        <v>330</v>
      </c>
      <c r="Y3240" s="42">
        <v>44075</v>
      </c>
    </row>
    <row r="3241" spans="14:25">
      <c r="N3241" s="42">
        <v>44062</v>
      </c>
      <c r="O3241" t="s">
        <v>328</v>
      </c>
      <c r="P3241" s="42">
        <v>44062</v>
      </c>
      <c r="Q3241" t="s">
        <v>328</v>
      </c>
      <c r="R3241" t="s">
        <v>370</v>
      </c>
      <c r="S3241" t="s">
        <v>323</v>
      </c>
      <c r="T3241">
        <v>7.6</v>
      </c>
      <c r="W3241" t="s">
        <v>330</v>
      </c>
      <c r="Y3241" s="42">
        <v>44075</v>
      </c>
    </row>
    <row r="3242" spans="14:25">
      <c r="N3242" s="42">
        <v>44061</v>
      </c>
      <c r="O3242" t="s">
        <v>333</v>
      </c>
      <c r="P3242" s="42">
        <v>44061</v>
      </c>
      <c r="Q3242" t="s">
        <v>333</v>
      </c>
      <c r="R3242" t="s">
        <v>370</v>
      </c>
      <c r="S3242" t="s">
        <v>323</v>
      </c>
      <c r="T3242">
        <v>7.6</v>
      </c>
      <c r="W3242" t="s">
        <v>330</v>
      </c>
      <c r="Y3242" s="42">
        <v>44061</v>
      </c>
    </row>
    <row r="3243" spans="14:25">
      <c r="N3243" s="42">
        <v>44060</v>
      </c>
      <c r="O3243" t="s">
        <v>345</v>
      </c>
      <c r="P3243" s="42">
        <v>44060</v>
      </c>
      <c r="Q3243" t="s">
        <v>345</v>
      </c>
      <c r="R3243" t="s">
        <v>370</v>
      </c>
      <c r="S3243" t="s">
        <v>323</v>
      </c>
      <c r="T3243">
        <v>7.6</v>
      </c>
      <c r="W3243" t="s">
        <v>330</v>
      </c>
      <c r="Y3243" s="42">
        <v>44061</v>
      </c>
    </row>
    <row r="3244" spans="14:25">
      <c r="N3244" s="42">
        <v>44059</v>
      </c>
      <c r="O3244" t="s">
        <v>344</v>
      </c>
      <c r="P3244" s="42">
        <v>44059</v>
      </c>
      <c r="Q3244" t="s">
        <v>344</v>
      </c>
      <c r="R3244" t="s">
        <v>370</v>
      </c>
      <c r="S3244" t="s">
        <v>323</v>
      </c>
      <c r="T3244">
        <v>7.6</v>
      </c>
      <c r="W3244" t="s">
        <v>330</v>
      </c>
      <c r="Y3244" s="42">
        <v>44061</v>
      </c>
    </row>
    <row r="3245" spans="14:25">
      <c r="N3245" s="42">
        <v>44056</v>
      </c>
      <c r="O3245" t="s">
        <v>324</v>
      </c>
      <c r="P3245" s="42">
        <v>44056</v>
      </c>
      <c r="Q3245" t="s">
        <v>324</v>
      </c>
      <c r="R3245" t="s">
        <v>370</v>
      </c>
      <c r="S3245" t="s">
        <v>323</v>
      </c>
      <c r="T3245">
        <v>7.6</v>
      </c>
      <c r="W3245" t="s">
        <v>330</v>
      </c>
      <c r="Y3245" s="42">
        <v>44061</v>
      </c>
    </row>
    <row r="3246" spans="14:25">
      <c r="N3246" s="42">
        <v>44055</v>
      </c>
      <c r="O3246" t="s">
        <v>328</v>
      </c>
      <c r="P3246" s="42">
        <v>44055</v>
      </c>
      <c r="Q3246" t="s">
        <v>328</v>
      </c>
      <c r="R3246" t="s">
        <v>370</v>
      </c>
      <c r="S3246" t="s">
        <v>323</v>
      </c>
      <c r="T3246">
        <v>7.6</v>
      </c>
      <c r="W3246" t="s">
        <v>330</v>
      </c>
      <c r="Y3246" s="42">
        <v>44061</v>
      </c>
    </row>
    <row r="3247" spans="14:25">
      <c r="N3247" s="42">
        <v>44054</v>
      </c>
      <c r="O3247" t="s">
        <v>333</v>
      </c>
      <c r="P3247" s="42">
        <v>44054</v>
      </c>
      <c r="Q3247" t="s">
        <v>333</v>
      </c>
      <c r="R3247" t="s">
        <v>370</v>
      </c>
      <c r="S3247" t="s">
        <v>323</v>
      </c>
      <c r="T3247">
        <v>7.6</v>
      </c>
      <c r="W3247" t="s">
        <v>330</v>
      </c>
      <c r="Y3247" s="42">
        <v>44061</v>
      </c>
    </row>
    <row r="3248" spans="14:25">
      <c r="N3248" s="42">
        <v>44053</v>
      </c>
      <c r="O3248" t="s">
        <v>345</v>
      </c>
      <c r="P3248" s="42">
        <v>44053</v>
      </c>
      <c r="Q3248" t="s">
        <v>345</v>
      </c>
      <c r="R3248" t="s">
        <v>370</v>
      </c>
      <c r="S3248" t="s">
        <v>323</v>
      </c>
      <c r="T3248">
        <v>7.6</v>
      </c>
      <c r="W3248" t="s">
        <v>330</v>
      </c>
      <c r="Y3248" s="42">
        <v>44061</v>
      </c>
    </row>
    <row r="3249" spans="14:25">
      <c r="N3249" s="42">
        <v>44052</v>
      </c>
      <c r="O3249" t="s">
        <v>344</v>
      </c>
      <c r="P3249" s="42">
        <v>44052</v>
      </c>
      <c r="Q3249" t="s">
        <v>344</v>
      </c>
      <c r="R3249" t="s">
        <v>370</v>
      </c>
      <c r="S3249" t="s">
        <v>323</v>
      </c>
      <c r="T3249">
        <v>7.6</v>
      </c>
      <c r="W3249" t="s">
        <v>330</v>
      </c>
      <c r="Y3249" s="42">
        <v>44061</v>
      </c>
    </row>
    <row r="3250" spans="14:25">
      <c r="N3250" s="42">
        <v>44049</v>
      </c>
      <c r="O3250" t="s">
        <v>324</v>
      </c>
      <c r="P3250" s="42">
        <v>44049</v>
      </c>
      <c r="Q3250" t="s">
        <v>324</v>
      </c>
      <c r="R3250" t="s">
        <v>370</v>
      </c>
      <c r="S3250" t="s">
        <v>323</v>
      </c>
      <c r="T3250">
        <v>7.6</v>
      </c>
      <c r="W3250" t="s">
        <v>330</v>
      </c>
      <c r="Y3250" s="42">
        <v>44061</v>
      </c>
    </row>
    <row r="3251" spans="14:25">
      <c r="N3251" s="42">
        <v>44048</v>
      </c>
      <c r="O3251" t="s">
        <v>328</v>
      </c>
      <c r="P3251" s="42">
        <v>44048</v>
      </c>
      <c r="Q3251" t="s">
        <v>328</v>
      </c>
      <c r="R3251" t="s">
        <v>370</v>
      </c>
      <c r="S3251" t="s">
        <v>323</v>
      </c>
      <c r="T3251">
        <v>7.6</v>
      </c>
      <c r="W3251" t="s">
        <v>330</v>
      </c>
      <c r="Y3251" s="42">
        <v>44061</v>
      </c>
    </row>
    <row r="3252" spans="14:25">
      <c r="N3252" s="42">
        <v>44047</v>
      </c>
      <c r="O3252" t="s">
        <v>333</v>
      </c>
      <c r="P3252" s="42">
        <v>44047</v>
      </c>
      <c r="Q3252" t="s">
        <v>333</v>
      </c>
      <c r="R3252" t="s">
        <v>370</v>
      </c>
      <c r="S3252" t="s">
        <v>323</v>
      </c>
      <c r="T3252">
        <v>7.6</v>
      </c>
      <c r="W3252" t="s">
        <v>330</v>
      </c>
      <c r="Y3252" s="42">
        <v>44047</v>
      </c>
    </row>
    <row r="3253" spans="14:25">
      <c r="N3253" s="42">
        <v>44046</v>
      </c>
      <c r="O3253" t="s">
        <v>345</v>
      </c>
      <c r="P3253" s="42">
        <v>44046</v>
      </c>
      <c r="Q3253" t="s">
        <v>345</v>
      </c>
      <c r="R3253" t="s">
        <v>370</v>
      </c>
      <c r="S3253" t="s">
        <v>323</v>
      </c>
      <c r="T3253">
        <v>7.6</v>
      </c>
      <c r="W3253" t="s">
        <v>330</v>
      </c>
      <c r="Y3253" s="42">
        <v>44047</v>
      </c>
    </row>
    <row r="3254" spans="14:25">
      <c r="N3254" s="42">
        <v>44045</v>
      </c>
      <c r="O3254" t="s">
        <v>344</v>
      </c>
      <c r="P3254" s="42">
        <v>44045</v>
      </c>
      <c r="Q3254" t="s">
        <v>344</v>
      </c>
      <c r="R3254" t="s">
        <v>370</v>
      </c>
      <c r="S3254" t="s">
        <v>323</v>
      </c>
      <c r="T3254">
        <v>7.6</v>
      </c>
      <c r="W3254" t="s">
        <v>330</v>
      </c>
      <c r="Y3254" s="42">
        <v>44047</v>
      </c>
    </row>
    <row r="3255" spans="14:25">
      <c r="N3255" s="42">
        <v>44042</v>
      </c>
      <c r="O3255" t="s">
        <v>324</v>
      </c>
      <c r="P3255" s="42">
        <v>44042</v>
      </c>
      <c r="Q3255" t="s">
        <v>324</v>
      </c>
      <c r="R3255" t="s">
        <v>370</v>
      </c>
      <c r="S3255" t="s">
        <v>323</v>
      </c>
      <c r="T3255">
        <v>7.6</v>
      </c>
      <c r="W3255" t="s">
        <v>330</v>
      </c>
      <c r="Y3255" s="42">
        <v>44047</v>
      </c>
    </row>
    <row r="3256" spans="14:25">
      <c r="N3256" s="42">
        <v>44041</v>
      </c>
      <c r="O3256" t="s">
        <v>328</v>
      </c>
      <c r="P3256" s="42">
        <v>44041</v>
      </c>
      <c r="Q3256" t="s">
        <v>328</v>
      </c>
      <c r="R3256" t="s">
        <v>370</v>
      </c>
      <c r="S3256" t="s">
        <v>323</v>
      </c>
      <c r="T3256">
        <v>7.6</v>
      </c>
      <c r="W3256" t="s">
        <v>330</v>
      </c>
      <c r="Y3256" s="42">
        <v>44047</v>
      </c>
    </row>
    <row r="3257" spans="14:25">
      <c r="N3257" s="42">
        <v>44040</v>
      </c>
      <c r="O3257" t="s">
        <v>333</v>
      </c>
      <c r="P3257" s="42">
        <v>44040</v>
      </c>
      <c r="Q3257" t="s">
        <v>333</v>
      </c>
      <c r="R3257" t="s">
        <v>370</v>
      </c>
      <c r="S3257" t="s">
        <v>323</v>
      </c>
      <c r="T3257">
        <v>7.6</v>
      </c>
      <c r="W3257" t="s">
        <v>330</v>
      </c>
      <c r="Y3257" s="42">
        <v>44047</v>
      </c>
    </row>
    <row r="3258" spans="14:25">
      <c r="N3258" s="42">
        <v>44039</v>
      </c>
      <c r="O3258" t="s">
        <v>345</v>
      </c>
      <c r="P3258" s="42">
        <v>44039</v>
      </c>
      <c r="Q3258" t="s">
        <v>345</v>
      </c>
      <c r="R3258" t="s">
        <v>370</v>
      </c>
      <c r="S3258" t="s">
        <v>323</v>
      </c>
      <c r="T3258">
        <v>7.6</v>
      </c>
      <c r="W3258" t="s">
        <v>330</v>
      </c>
      <c r="Y3258" s="42">
        <v>44047</v>
      </c>
    </row>
    <row r="3259" spans="14:25">
      <c r="N3259" s="42">
        <v>44038</v>
      </c>
      <c r="O3259" t="s">
        <v>344</v>
      </c>
      <c r="P3259" s="42">
        <v>44038</v>
      </c>
      <c r="Q3259" t="s">
        <v>344</v>
      </c>
      <c r="R3259" t="s">
        <v>370</v>
      </c>
      <c r="S3259" t="s">
        <v>323</v>
      </c>
      <c r="T3259">
        <v>7.6</v>
      </c>
      <c r="W3259" t="s">
        <v>330</v>
      </c>
      <c r="Y3259" s="42">
        <v>44047</v>
      </c>
    </row>
    <row r="3260" spans="14:25">
      <c r="N3260" s="42">
        <v>44035</v>
      </c>
      <c r="O3260" t="s">
        <v>324</v>
      </c>
      <c r="P3260" s="42">
        <v>44035</v>
      </c>
      <c r="Q3260" t="s">
        <v>324</v>
      </c>
      <c r="R3260" t="s">
        <v>370</v>
      </c>
      <c r="S3260" t="s">
        <v>323</v>
      </c>
      <c r="T3260">
        <v>7.6</v>
      </c>
      <c r="W3260" t="s">
        <v>330</v>
      </c>
      <c r="Y3260" s="42">
        <v>44047</v>
      </c>
    </row>
    <row r="3261" spans="14:25">
      <c r="N3261" s="42">
        <v>44034</v>
      </c>
      <c r="O3261" t="s">
        <v>328</v>
      </c>
      <c r="P3261" s="42">
        <v>44034</v>
      </c>
      <c r="Q3261" t="s">
        <v>328</v>
      </c>
      <c r="R3261" t="s">
        <v>370</v>
      </c>
      <c r="S3261" t="s">
        <v>323</v>
      </c>
      <c r="T3261">
        <v>7.6</v>
      </c>
      <c r="W3261" t="s">
        <v>330</v>
      </c>
      <c r="Y3261" s="42">
        <v>44047</v>
      </c>
    </row>
    <row r="3262" spans="14:25">
      <c r="N3262" s="42">
        <v>44033</v>
      </c>
      <c r="O3262" t="s">
        <v>333</v>
      </c>
      <c r="P3262" s="42">
        <v>44033</v>
      </c>
      <c r="Q3262" t="s">
        <v>333</v>
      </c>
      <c r="R3262" t="s">
        <v>370</v>
      </c>
      <c r="S3262" t="s">
        <v>323</v>
      </c>
      <c r="T3262">
        <v>7.6</v>
      </c>
      <c r="W3262" t="s">
        <v>330</v>
      </c>
      <c r="Y3262" s="42">
        <v>44033</v>
      </c>
    </row>
    <row r="3263" spans="14:25">
      <c r="N3263" s="42">
        <v>44032</v>
      </c>
      <c r="O3263" t="s">
        <v>345</v>
      </c>
      <c r="P3263" s="42">
        <v>44032</v>
      </c>
      <c r="Q3263" t="s">
        <v>345</v>
      </c>
      <c r="R3263" t="s">
        <v>370</v>
      </c>
      <c r="S3263" t="s">
        <v>323</v>
      </c>
      <c r="T3263">
        <v>7.6</v>
      </c>
      <c r="W3263" t="s">
        <v>330</v>
      </c>
      <c r="Y3263" s="42">
        <v>44033</v>
      </c>
    </row>
    <row r="3264" spans="14:25">
      <c r="N3264" s="42">
        <v>44031</v>
      </c>
      <c r="O3264" t="s">
        <v>344</v>
      </c>
      <c r="P3264" s="42">
        <v>44031</v>
      </c>
      <c r="Q3264" t="s">
        <v>344</v>
      </c>
      <c r="R3264" t="s">
        <v>370</v>
      </c>
      <c r="S3264" t="s">
        <v>323</v>
      </c>
      <c r="T3264">
        <v>7.6</v>
      </c>
      <c r="W3264" t="s">
        <v>330</v>
      </c>
      <c r="Y3264" s="42">
        <v>44033</v>
      </c>
    </row>
    <row r="3265" spans="14:25">
      <c r="N3265" s="42">
        <v>44028</v>
      </c>
      <c r="O3265" t="s">
        <v>324</v>
      </c>
      <c r="P3265" s="42">
        <v>44028</v>
      </c>
      <c r="Q3265" t="s">
        <v>324</v>
      </c>
      <c r="R3265" t="s">
        <v>370</v>
      </c>
      <c r="S3265" t="s">
        <v>323</v>
      </c>
      <c r="T3265">
        <v>7.6</v>
      </c>
      <c r="W3265" t="s">
        <v>330</v>
      </c>
      <c r="Y3265" s="42">
        <v>44033</v>
      </c>
    </row>
    <row r="3266" spans="14:25">
      <c r="N3266" s="42">
        <v>44027</v>
      </c>
      <c r="O3266" t="s">
        <v>328</v>
      </c>
      <c r="P3266" s="42">
        <v>44027</v>
      </c>
      <c r="Q3266" t="s">
        <v>328</v>
      </c>
      <c r="R3266" t="s">
        <v>370</v>
      </c>
      <c r="S3266" t="s">
        <v>323</v>
      </c>
      <c r="T3266">
        <v>7.6</v>
      </c>
      <c r="W3266" t="s">
        <v>330</v>
      </c>
      <c r="Y3266" s="42">
        <v>44033</v>
      </c>
    </row>
    <row r="3267" spans="14:25">
      <c r="N3267" s="42">
        <v>44026</v>
      </c>
      <c r="O3267" t="s">
        <v>333</v>
      </c>
      <c r="P3267" s="42">
        <v>44026</v>
      </c>
      <c r="Q3267" t="s">
        <v>333</v>
      </c>
      <c r="R3267" t="s">
        <v>370</v>
      </c>
      <c r="S3267" t="s">
        <v>323</v>
      </c>
      <c r="T3267">
        <v>7.6</v>
      </c>
      <c r="W3267" t="s">
        <v>330</v>
      </c>
      <c r="Y3267" s="42">
        <v>44033</v>
      </c>
    </row>
    <row r="3268" spans="14:25">
      <c r="N3268" s="42">
        <v>44025</v>
      </c>
      <c r="O3268" t="s">
        <v>345</v>
      </c>
      <c r="P3268" s="42">
        <v>44025</v>
      </c>
      <c r="Q3268" t="s">
        <v>345</v>
      </c>
      <c r="R3268" t="s">
        <v>370</v>
      </c>
      <c r="S3268" t="s">
        <v>323</v>
      </c>
      <c r="T3268">
        <v>7.6</v>
      </c>
      <c r="W3268" t="s">
        <v>330</v>
      </c>
      <c r="Y3268" s="42">
        <v>44033</v>
      </c>
    </row>
    <row r="3269" spans="14:25">
      <c r="N3269" s="42">
        <v>44024</v>
      </c>
      <c r="O3269" t="s">
        <v>344</v>
      </c>
      <c r="P3269" s="42">
        <v>44024</v>
      </c>
      <c r="Q3269" t="s">
        <v>344</v>
      </c>
      <c r="R3269" t="s">
        <v>370</v>
      </c>
      <c r="S3269" t="s">
        <v>323</v>
      </c>
      <c r="T3269">
        <v>7.6</v>
      </c>
      <c r="W3269" t="s">
        <v>330</v>
      </c>
      <c r="Y3269" s="42">
        <v>44033</v>
      </c>
    </row>
    <row r="3270" spans="14:25">
      <c r="N3270" s="42">
        <v>44021</v>
      </c>
      <c r="O3270" t="s">
        <v>324</v>
      </c>
      <c r="P3270" s="42">
        <v>44021</v>
      </c>
      <c r="Q3270" t="s">
        <v>324</v>
      </c>
      <c r="R3270" t="s">
        <v>370</v>
      </c>
      <c r="S3270" t="s">
        <v>323</v>
      </c>
      <c r="T3270">
        <v>7.6</v>
      </c>
      <c r="W3270" t="s">
        <v>330</v>
      </c>
      <c r="Y3270" s="42">
        <v>44033</v>
      </c>
    </row>
    <row r="3271" spans="14:25">
      <c r="N3271" s="42">
        <v>44020</v>
      </c>
      <c r="O3271" t="s">
        <v>328</v>
      </c>
      <c r="P3271" s="42">
        <v>44020</v>
      </c>
      <c r="Q3271" t="s">
        <v>328</v>
      </c>
      <c r="R3271" t="s">
        <v>370</v>
      </c>
      <c r="S3271" t="s">
        <v>323</v>
      </c>
      <c r="T3271">
        <v>7.6</v>
      </c>
      <c r="W3271" t="s">
        <v>330</v>
      </c>
      <c r="Y3271" s="42">
        <v>44033</v>
      </c>
    </row>
    <row r="3272" spans="14:25">
      <c r="N3272" s="42">
        <v>44019</v>
      </c>
      <c r="O3272" t="s">
        <v>333</v>
      </c>
      <c r="P3272" s="42">
        <v>44019</v>
      </c>
      <c r="Q3272" t="s">
        <v>333</v>
      </c>
      <c r="R3272" t="s">
        <v>370</v>
      </c>
      <c r="S3272" t="s">
        <v>323</v>
      </c>
      <c r="T3272">
        <v>7.6</v>
      </c>
      <c r="W3272" t="s">
        <v>330</v>
      </c>
      <c r="Y3272" s="42">
        <v>44019</v>
      </c>
    </row>
    <row r="3273" spans="14:25">
      <c r="N3273" s="42">
        <v>44018</v>
      </c>
      <c r="O3273" t="s">
        <v>345</v>
      </c>
      <c r="P3273" s="42">
        <v>44018</v>
      </c>
      <c r="Q3273" t="s">
        <v>345</v>
      </c>
      <c r="R3273" t="s">
        <v>370</v>
      </c>
      <c r="S3273" t="s">
        <v>323</v>
      </c>
      <c r="T3273">
        <v>7.6</v>
      </c>
      <c r="W3273" t="s">
        <v>330</v>
      </c>
      <c r="Y3273" s="42">
        <v>44019</v>
      </c>
    </row>
    <row r="3274" spans="14:25">
      <c r="N3274" s="42">
        <v>44017</v>
      </c>
      <c r="O3274" t="s">
        <v>344</v>
      </c>
      <c r="P3274" s="42">
        <v>44017</v>
      </c>
      <c r="Q3274" t="s">
        <v>344</v>
      </c>
      <c r="R3274" t="s">
        <v>370</v>
      </c>
      <c r="S3274" t="s">
        <v>323</v>
      </c>
      <c r="T3274">
        <v>7.6</v>
      </c>
      <c r="W3274" t="s">
        <v>330</v>
      </c>
      <c r="Y3274" s="42">
        <v>44019</v>
      </c>
    </row>
    <row r="3275" spans="14:25">
      <c r="N3275" s="42">
        <v>44014</v>
      </c>
      <c r="O3275" t="s">
        <v>324</v>
      </c>
      <c r="P3275" s="42">
        <v>44014</v>
      </c>
      <c r="Q3275" t="s">
        <v>324</v>
      </c>
      <c r="R3275" t="s">
        <v>370</v>
      </c>
      <c r="S3275" t="s">
        <v>323</v>
      </c>
      <c r="T3275">
        <v>7.6</v>
      </c>
      <c r="W3275" t="s">
        <v>330</v>
      </c>
      <c r="Y3275" s="42">
        <v>44019</v>
      </c>
    </row>
    <row r="3276" spans="14:25">
      <c r="N3276" s="42">
        <v>44013</v>
      </c>
      <c r="O3276" t="s">
        <v>328</v>
      </c>
      <c r="P3276" s="42">
        <v>44013</v>
      </c>
      <c r="Q3276" t="s">
        <v>328</v>
      </c>
      <c r="R3276" t="s">
        <v>370</v>
      </c>
      <c r="S3276" t="s">
        <v>323</v>
      </c>
      <c r="T3276">
        <v>7.6</v>
      </c>
      <c r="W3276" t="s">
        <v>330</v>
      </c>
      <c r="Y3276" s="42">
        <v>44019</v>
      </c>
    </row>
    <row r="3277" spans="14:25">
      <c r="N3277" s="42">
        <v>44012</v>
      </c>
      <c r="O3277" t="s">
        <v>333</v>
      </c>
      <c r="P3277" s="42">
        <v>44012</v>
      </c>
      <c r="Q3277" t="s">
        <v>333</v>
      </c>
      <c r="R3277" t="s">
        <v>370</v>
      </c>
      <c r="S3277" t="s">
        <v>323</v>
      </c>
      <c r="T3277">
        <v>7.6</v>
      </c>
      <c r="W3277" t="s">
        <v>330</v>
      </c>
      <c r="Y3277" s="42">
        <v>44019</v>
      </c>
    </row>
    <row r="3278" spans="14:25">
      <c r="N3278" s="42">
        <v>44011</v>
      </c>
      <c r="O3278" t="s">
        <v>345</v>
      </c>
      <c r="P3278" s="42">
        <v>44011</v>
      </c>
      <c r="Q3278" t="s">
        <v>345</v>
      </c>
      <c r="R3278" t="s">
        <v>370</v>
      </c>
      <c r="S3278" t="s">
        <v>323</v>
      </c>
      <c r="T3278">
        <v>7.6</v>
      </c>
      <c r="W3278" t="s">
        <v>330</v>
      </c>
      <c r="Y3278" s="42">
        <v>44019</v>
      </c>
    </row>
    <row r="3279" spans="14:25">
      <c r="N3279" s="42">
        <v>44010</v>
      </c>
      <c r="O3279" t="s">
        <v>344</v>
      </c>
      <c r="P3279" s="42">
        <v>44010</v>
      </c>
      <c r="Q3279" t="s">
        <v>344</v>
      </c>
      <c r="R3279" t="s">
        <v>370</v>
      </c>
      <c r="S3279" t="s">
        <v>323</v>
      </c>
      <c r="T3279">
        <v>7.6</v>
      </c>
      <c r="W3279" t="s">
        <v>330</v>
      </c>
      <c r="Y3279" s="42">
        <v>44019</v>
      </c>
    </row>
    <row r="3280" spans="14:25">
      <c r="N3280" s="42">
        <v>44007</v>
      </c>
      <c r="O3280" t="s">
        <v>324</v>
      </c>
      <c r="P3280" s="42">
        <v>44007</v>
      </c>
      <c r="Q3280" t="s">
        <v>324</v>
      </c>
      <c r="R3280" t="s">
        <v>370</v>
      </c>
      <c r="S3280" t="s">
        <v>323</v>
      </c>
      <c r="T3280">
        <v>7.6</v>
      </c>
      <c r="W3280" t="s">
        <v>330</v>
      </c>
      <c r="Y3280" s="42">
        <v>44019</v>
      </c>
    </row>
    <row r="3281" spans="14:25">
      <c r="N3281" s="42">
        <v>44006</v>
      </c>
      <c r="O3281" t="s">
        <v>328</v>
      </c>
      <c r="P3281" s="42">
        <v>44006</v>
      </c>
      <c r="Q3281" t="s">
        <v>328</v>
      </c>
      <c r="R3281" t="s">
        <v>370</v>
      </c>
      <c r="S3281" t="s">
        <v>323</v>
      </c>
      <c r="T3281">
        <v>7.6</v>
      </c>
      <c r="W3281" t="s">
        <v>330</v>
      </c>
      <c r="Y3281" s="42">
        <v>44019</v>
      </c>
    </row>
    <row r="3282" spans="14:25">
      <c r="N3282" s="42">
        <v>44005</v>
      </c>
      <c r="O3282" t="s">
        <v>333</v>
      </c>
      <c r="P3282" s="42">
        <v>44005</v>
      </c>
      <c r="Q3282" t="s">
        <v>333</v>
      </c>
      <c r="R3282" t="s">
        <v>370</v>
      </c>
      <c r="S3282" t="s">
        <v>323</v>
      </c>
      <c r="T3282">
        <v>7.6</v>
      </c>
      <c r="W3282" t="s">
        <v>330</v>
      </c>
      <c r="Y3282" s="42">
        <v>44005</v>
      </c>
    </row>
    <row r="3283" spans="14:25">
      <c r="N3283" s="42">
        <v>44004</v>
      </c>
      <c r="O3283" t="s">
        <v>345</v>
      </c>
      <c r="P3283" s="42">
        <v>44004</v>
      </c>
      <c r="Q3283" t="s">
        <v>345</v>
      </c>
      <c r="R3283" t="s">
        <v>370</v>
      </c>
      <c r="S3283" t="s">
        <v>323</v>
      </c>
      <c r="T3283">
        <v>7.6</v>
      </c>
      <c r="W3283" t="s">
        <v>330</v>
      </c>
      <c r="Y3283" s="42">
        <v>44005</v>
      </c>
    </row>
    <row r="3284" spans="14:25">
      <c r="N3284" s="42">
        <v>44003</v>
      </c>
      <c r="O3284" t="s">
        <v>344</v>
      </c>
      <c r="P3284" s="42">
        <v>44003</v>
      </c>
      <c r="Q3284" t="s">
        <v>344</v>
      </c>
      <c r="R3284" t="s">
        <v>370</v>
      </c>
      <c r="S3284" t="s">
        <v>323</v>
      </c>
      <c r="T3284">
        <v>7.6</v>
      </c>
      <c r="W3284" t="s">
        <v>330</v>
      </c>
      <c r="Y3284" s="42">
        <v>44005</v>
      </c>
    </row>
    <row r="3285" spans="14:25">
      <c r="N3285" s="42">
        <v>44000</v>
      </c>
      <c r="O3285" t="s">
        <v>324</v>
      </c>
      <c r="P3285" s="42">
        <v>44000</v>
      </c>
      <c r="Q3285" t="s">
        <v>324</v>
      </c>
      <c r="R3285" t="s">
        <v>370</v>
      </c>
      <c r="S3285" t="s">
        <v>323</v>
      </c>
      <c r="T3285">
        <v>7.6</v>
      </c>
      <c r="W3285" t="s">
        <v>330</v>
      </c>
      <c r="Y3285" s="42">
        <v>44005</v>
      </c>
    </row>
    <row r="3286" spans="14:25">
      <c r="N3286" s="42">
        <v>43999</v>
      </c>
      <c r="O3286" t="s">
        <v>328</v>
      </c>
      <c r="P3286" s="42">
        <v>43999</v>
      </c>
      <c r="Q3286" t="s">
        <v>328</v>
      </c>
      <c r="R3286" t="s">
        <v>370</v>
      </c>
      <c r="S3286" t="s">
        <v>323</v>
      </c>
      <c r="T3286">
        <v>7.6</v>
      </c>
      <c r="W3286" t="s">
        <v>330</v>
      </c>
      <c r="Y3286" s="42">
        <v>44005</v>
      </c>
    </row>
    <row r="3287" spans="14:25">
      <c r="N3287" s="42">
        <v>43998</v>
      </c>
      <c r="O3287" t="s">
        <v>333</v>
      </c>
      <c r="P3287" s="42">
        <v>43998</v>
      </c>
      <c r="Q3287" t="s">
        <v>333</v>
      </c>
      <c r="R3287" t="s">
        <v>370</v>
      </c>
      <c r="S3287" t="s">
        <v>323</v>
      </c>
      <c r="T3287">
        <v>7.6</v>
      </c>
      <c r="W3287" t="s">
        <v>330</v>
      </c>
      <c r="Y3287" s="42">
        <v>44005</v>
      </c>
    </row>
    <row r="3288" spans="14:25">
      <c r="N3288" s="42">
        <v>43997</v>
      </c>
      <c r="O3288" t="s">
        <v>345</v>
      </c>
      <c r="P3288" s="42">
        <v>43997</v>
      </c>
      <c r="Q3288" t="s">
        <v>345</v>
      </c>
      <c r="R3288" t="s">
        <v>370</v>
      </c>
      <c r="S3288" t="s">
        <v>323</v>
      </c>
      <c r="T3288">
        <v>7.6</v>
      </c>
      <c r="W3288" t="s">
        <v>330</v>
      </c>
      <c r="Y3288" s="42">
        <v>44005</v>
      </c>
    </row>
    <row r="3289" spans="14:25">
      <c r="N3289" s="42">
        <v>43996</v>
      </c>
      <c r="O3289" t="s">
        <v>344</v>
      </c>
      <c r="P3289" s="42">
        <v>43996</v>
      </c>
      <c r="Q3289" t="s">
        <v>344</v>
      </c>
      <c r="R3289" t="s">
        <v>370</v>
      </c>
      <c r="S3289" t="s">
        <v>323</v>
      </c>
      <c r="T3289">
        <v>7.6</v>
      </c>
      <c r="W3289" t="s">
        <v>330</v>
      </c>
      <c r="Y3289" s="42">
        <v>44005</v>
      </c>
    </row>
    <row r="3290" spans="14:25">
      <c r="N3290" s="42">
        <v>43993</v>
      </c>
      <c r="O3290" t="s">
        <v>324</v>
      </c>
      <c r="P3290" s="42">
        <v>43993</v>
      </c>
      <c r="Q3290" t="s">
        <v>324</v>
      </c>
      <c r="R3290" t="s">
        <v>370</v>
      </c>
      <c r="S3290" t="s">
        <v>323</v>
      </c>
      <c r="T3290">
        <v>7.6</v>
      </c>
      <c r="W3290" t="s">
        <v>330</v>
      </c>
      <c r="Y3290" s="42">
        <v>44005</v>
      </c>
    </row>
    <row r="3291" spans="14:25">
      <c r="N3291" s="42">
        <v>43992</v>
      </c>
      <c r="O3291" t="s">
        <v>328</v>
      </c>
      <c r="P3291" s="42">
        <v>43992</v>
      </c>
      <c r="Q3291" t="s">
        <v>328</v>
      </c>
      <c r="R3291" t="s">
        <v>370</v>
      </c>
      <c r="S3291" t="s">
        <v>323</v>
      </c>
      <c r="T3291">
        <v>7.6</v>
      </c>
      <c r="W3291" t="s">
        <v>330</v>
      </c>
      <c r="Y3291" s="42">
        <v>44005</v>
      </c>
    </row>
    <row r="3292" spans="14:25">
      <c r="N3292" s="42">
        <v>43991</v>
      </c>
      <c r="O3292" t="s">
        <v>333</v>
      </c>
      <c r="P3292" s="42">
        <v>43991</v>
      </c>
      <c r="Q3292" t="s">
        <v>333</v>
      </c>
      <c r="R3292" t="s">
        <v>370</v>
      </c>
      <c r="S3292" t="s">
        <v>323</v>
      </c>
      <c r="T3292">
        <v>7.6</v>
      </c>
      <c r="W3292" t="s">
        <v>330</v>
      </c>
      <c r="Y3292" s="42">
        <v>43991</v>
      </c>
    </row>
    <row r="3293" spans="14:25">
      <c r="N3293" s="42">
        <v>43989</v>
      </c>
      <c r="O3293" t="s">
        <v>344</v>
      </c>
      <c r="P3293" s="42">
        <v>43989</v>
      </c>
      <c r="Q3293" t="s">
        <v>344</v>
      </c>
      <c r="R3293" t="s">
        <v>370</v>
      </c>
      <c r="S3293" t="s">
        <v>323</v>
      </c>
      <c r="T3293">
        <v>7.6</v>
      </c>
      <c r="W3293" t="s">
        <v>330</v>
      </c>
      <c r="Y3293" s="42">
        <v>43991</v>
      </c>
    </row>
    <row r="3294" spans="14:25">
      <c r="N3294" s="42">
        <v>43986</v>
      </c>
      <c r="O3294" t="s">
        <v>324</v>
      </c>
      <c r="P3294" s="42">
        <v>43986</v>
      </c>
      <c r="Q3294" t="s">
        <v>324</v>
      </c>
      <c r="R3294" t="s">
        <v>370</v>
      </c>
      <c r="S3294" t="s">
        <v>323</v>
      </c>
      <c r="T3294">
        <v>7.6</v>
      </c>
      <c r="W3294" t="s">
        <v>330</v>
      </c>
      <c r="Y3294" s="42">
        <v>43991</v>
      </c>
    </row>
    <row r="3295" spans="14:25">
      <c r="N3295" s="42">
        <v>43985</v>
      </c>
      <c r="O3295" t="s">
        <v>328</v>
      </c>
      <c r="P3295" s="42">
        <v>43985</v>
      </c>
      <c r="Q3295" t="s">
        <v>328</v>
      </c>
      <c r="R3295" t="s">
        <v>370</v>
      </c>
      <c r="S3295" t="s">
        <v>323</v>
      </c>
      <c r="T3295">
        <v>7.6</v>
      </c>
      <c r="W3295" t="s">
        <v>330</v>
      </c>
      <c r="Y3295" s="42">
        <v>43991</v>
      </c>
    </row>
    <row r="3296" spans="14:25">
      <c r="N3296" s="42">
        <v>43984</v>
      </c>
      <c r="O3296" t="s">
        <v>333</v>
      </c>
      <c r="P3296" s="42">
        <v>43984</v>
      </c>
      <c r="Q3296" t="s">
        <v>333</v>
      </c>
      <c r="R3296" t="s">
        <v>370</v>
      </c>
      <c r="S3296" t="s">
        <v>323</v>
      </c>
      <c r="T3296">
        <v>7.6</v>
      </c>
      <c r="W3296" t="s">
        <v>330</v>
      </c>
      <c r="Y3296" s="42">
        <v>43991</v>
      </c>
    </row>
    <row r="3297" spans="14:25">
      <c r="N3297" s="42">
        <v>43983</v>
      </c>
      <c r="O3297" t="s">
        <v>345</v>
      </c>
      <c r="P3297" s="42">
        <v>43983</v>
      </c>
      <c r="Q3297" t="s">
        <v>345</v>
      </c>
      <c r="R3297" t="s">
        <v>370</v>
      </c>
      <c r="S3297" t="s">
        <v>323</v>
      </c>
      <c r="T3297">
        <v>7.6</v>
      </c>
      <c r="W3297" t="s">
        <v>330</v>
      </c>
      <c r="Y3297" s="42">
        <v>43991</v>
      </c>
    </row>
    <row r="3298" spans="14:25">
      <c r="N3298" s="42">
        <v>43982</v>
      </c>
      <c r="O3298" t="s">
        <v>344</v>
      </c>
      <c r="P3298" s="42">
        <v>43982</v>
      </c>
      <c r="Q3298" t="s">
        <v>344</v>
      </c>
      <c r="R3298" t="s">
        <v>370</v>
      </c>
      <c r="S3298" t="s">
        <v>323</v>
      </c>
      <c r="T3298">
        <v>7.6</v>
      </c>
      <c r="W3298" t="s">
        <v>330</v>
      </c>
      <c r="Y3298" s="42">
        <v>43991</v>
      </c>
    </row>
    <row r="3299" spans="14:25">
      <c r="N3299" s="42">
        <v>43979</v>
      </c>
      <c r="O3299" t="s">
        <v>324</v>
      </c>
      <c r="P3299" s="42">
        <v>43979</v>
      </c>
      <c r="Q3299" t="s">
        <v>324</v>
      </c>
      <c r="R3299" t="s">
        <v>370</v>
      </c>
      <c r="S3299" t="s">
        <v>323</v>
      </c>
      <c r="T3299">
        <v>7.6</v>
      </c>
      <c r="W3299" t="s">
        <v>330</v>
      </c>
      <c r="Y3299" s="42">
        <v>43991</v>
      </c>
    </row>
    <row r="3300" spans="14:25">
      <c r="N3300" s="42">
        <v>43978</v>
      </c>
      <c r="O3300" t="s">
        <v>328</v>
      </c>
      <c r="P3300" s="42">
        <v>43978</v>
      </c>
      <c r="Q3300" t="s">
        <v>328</v>
      </c>
      <c r="R3300" t="s">
        <v>370</v>
      </c>
      <c r="S3300" t="s">
        <v>323</v>
      </c>
      <c r="T3300">
        <v>7.6</v>
      </c>
      <c r="W3300" t="s">
        <v>330</v>
      </c>
      <c r="Y3300" s="42">
        <v>43991</v>
      </c>
    </row>
    <row r="3301" spans="14:25">
      <c r="N3301" s="42">
        <v>43964</v>
      </c>
      <c r="O3301" t="s">
        <v>328</v>
      </c>
      <c r="P3301" s="42">
        <v>43977</v>
      </c>
      <c r="Q3301" t="s">
        <v>333</v>
      </c>
      <c r="R3301" t="s">
        <v>370</v>
      </c>
      <c r="S3301" t="s">
        <v>323</v>
      </c>
      <c r="T3301">
        <v>76</v>
      </c>
      <c r="W3301" t="s">
        <v>330</v>
      </c>
      <c r="Y3301" s="42">
        <v>43977</v>
      </c>
    </row>
    <row r="3302" spans="14:25">
      <c r="N3302" s="42">
        <v>43963</v>
      </c>
      <c r="O3302" t="s">
        <v>333</v>
      </c>
      <c r="P3302" s="42">
        <v>43963</v>
      </c>
      <c r="Q3302" t="s">
        <v>333</v>
      </c>
      <c r="R3302" t="s">
        <v>370</v>
      </c>
      <c r="S3302" t="s">
        <v>323</v>
      </c>
      <c r="T3302">
        <v>7.6</v>
      </c>
      <c r="W3302" t="s">
        <v>330</v>
      </c>
      <c r="Y3302" s="42">
        <v>43963</v>
      </c>
    </row>
    <row r="3303" spans="14:25">
      <c r="N3303" s="42">
        <v>43962</v>
      </c>
      <c r="O3303" t="s">
        <v>345</v>
      </c>
      <c r="P3303" s="42">
        <v>43962</v>
      </c>
      <c r="Q3303" t="s">
        <v>345</v>
      </c>
      <c r="R3303" t="s">
        <v>370</v>
      </c>
      <c r="S3303" t="s">
        <v>323</v>
      </c>
      <c r="T3303">
        <v>7.6</v>
      </c>
      <c r="W3303" t="s">
        <v>330</v>
      </c>
      <c r="Y3303" s="42">
        <v>43963</v>
      </c>
    </row>
    <row r="3304" spans="14:25">
      <c r="N3304" s="42">
        <v>43961</v>
      </c>
      <c r="O3304" t="s">
        <v>344</v>
      </c>
      <c r="P3304" s="42">
        <v>43961</v>
      </c>
      <c r="Q3304" t="s">
        <v>344</v>
      </c>
      <c r="R3304" t="s">
        <v>370</v>
      </c>
      <c r="S3304" t="s">
        <v>323</v>
      </c>
      <c r="T3304">
        <v>7.6</v>
      </c>
      <c r="W3304" t="s">
        <v>330</v>
      </c>
      <c r="Y3304" s="42">
        <v>43963</v>
      </c>
    </row>
    <row r="3305" spans="14:25">
      <c r="N3305" s="42">
        <v>43958</v>
      </c>
      <c r="O3305" t="s">
        <v>324</v>
      </c>
      <c r="P3305" s="42">
        <v>43958</v>
      </c>
      <c r="Q3305" t="s">
        <v>324</v>
      </c>
      <c r="R3305" t="s">
        <v>370</v>
      </c>
      <c r="S3305" t="s">
        <v>323</v>
      </c>
      <c r="T3305">
        <v>7.6</v>
      </c>
      <c r="W3305" t="s">
        <v>330</v>
      </c>
      <c r="Y3305" s="42">
        <v>43963</v>
      </c>
    </row>
    <row r="3306" spans="14:25">
      <c r="N3306" s="42">
        <v>43957</v>
      </c>
      <c r="O3306" t="s">
        <v>328</v>
      </c>
      <c r="P3306" s="42">
        <v>43957</v>
      </c>
      <c r="Q3306" t="s">
        <v>328</v>
      </c>
      <c r="R3306" t="s">
        <v>370</v>
      </c>
      <c r="S3306" t="s">
        <v>323</v>
      </c>
      <c r="T3306">
        <v>7.6</v>
      </c>
      <c r="W3306" t="s">
        <v>330</v>
      </c>
      <c r="Y3306" s="42">
        <v>43963</v>
      </c>
    </row>
    <row r="3307" spans="14:25">
      <c r="N3307" s="42">
        <v>43956</v>
      </c>
      <c r="O3307" t="s">
        <v>333</v>
      </c>
      <c r="P3307" s="42">
        <v>43956</v>
      </c>
      <c r="Q3307" t="s">
        <v>333</v>
      </c>
      <c r="R3307" t="s">
        <v>370</v>
      </c>
      <c r="S3307" t="s">
        <v>323</v>
      </c>
      <c r="T3307">
        <v>7.6</v>
      </c>
      <c r="W3307" t="s">
        <v>330</v>
      </c>
      <c r="Y3307" s="42">
        <v>43963</v>
      </c>
    </row>
    <row r="3308" spans="14:25">
      <c r="N3308" s="42">
        <v>43955</v>
      </c>
      <c r="O3308" t="s">
        <v>345</v>
      </c>
      <c r="P3308" s="42">
        <v>43955</v>
      </c>
      <c r="Q3308" t="s">
        <v>345</v>
      </c>
      <c r="R3308" t="s">
        <v>370</v>
      </c>
      <c r="S3308" t="s">
        <v>323</v>
      </c>
      <c r="T3308">
        <v>7.6</v>
      </c>
      <c r="W3308" t="s">
        <v>330</v>
      </c>
      <c r="Y3308" s="42">
        <v>43963</v>
      </c>
    </row>
    <row r="3309" spans="14:25">
      <c r="N3309" s="42">
        <v>43954</v>
      </c>
      <c r="O3309" t="s">
        <v>344</v>
      </c>
      <c r="P3309" s="42">
        <v>43954</v>
      </c>
      <c r="Q3309" t="s">
        <v>344</v>
      </c>
      <c r="R3309" t="s">
        <v>370</v>
      </c>
      <c r="S3309" t="s">
        <v>323</v>
      </c>
      <c r="T3309">
        <v>7.6</v>
      </c>
      <c r="W3309" t="s">
        <v>330</v>
      </c>
      <c r="Y3309" s="42">
        <v>43963</v>
      </c>
    </row>
    <row r="3310" spans="14:25">
      <c r="N3310" s="42">
        <v>43951</v>
      </c>
      <c r="O3310" t="s">
        <v>324</v>
      </c>
      <c r="P3310" s="42">
        <v>43951</v>
      </c>
      <c r="Q3310" t="s">
        <v>324</v>
      </c>
      <c r="R3310" t="s">
        <v>370</v>
      </c>
      <c r="S3310" t="s">
        <v>323</v>
      </c>
      <c r="T3310">
        <v>7.6</v>
      </c>
      <c r="W3310" t="s">
        <v>330</v>
      </c>
      <c r="Y3310" s="42">
        <v>43963</v>
      </c>
    </row>
    <row r="3311" spans="14:25">
      <c r="N3311" s="42">
        <v>43950</v>
      </c>
      <c r="O3311" t="s">
        <v>328</v>
      </c>
      <c r="P3311" s="42">
        <v>43950</v>
      </c>
      <c r="Q3311" t="s">
        <v>328</v>
      </c>
      <c r="R3311" t="s">
        <v>370</v>
      </c>
      <c r="S3311" t="s">
        <v>323</v>
      </c>
      <c r="T3311">
        <v>7.6</v>
      </c>
      <c r="W3311" t="s">
        <v>330</v>
      </c>
      <c r="Y3311" s="42">
        <v>43963</v>
      </c>
    </row>
    <row r="3312" spans="14:25">
      <c r="N3312" s="42">
        <v>43949</v>
      </c>
      <c r="O3312" t="s">
        <v>333</v>
      </c>
      <c r="P3312" s="42">
        <v>43949</v>
      </c>
      <c r="Q3312" t="s">
        <v>333</v>
      </c>
      <c r="R3312" t="s">
        <v>370</v>
      </c>
      <c r="S3312" t="s">
        <v>323</v>
      </c>
      <c r="T3312">
        <v>7.6</v>
      </c>
      <c r="W3312" t="s">
        <v>330</v>
      </c>
      <c r="Y3312" s="42">
        <v>43949</v>
      </c>
    </row>
    <row r="3313" spans="14:25">
      <c r="N3313" s="42">
        <v>43947</v>
      </c>
      <c r="O3313" t="s">
        <v>344</v>
      </c>
      <c r="P3313" s="42">
        <v>43947</v>
      </c>
      <c r="Q3313" t="s">
        <v>344</v>
      </c>
      <c r="R3313" t="s">
        <v>370</v>
      </c>
      <c r="S3313" t="s">
        <v>323</v>
      </c>
      <c r="T3313">
        <v>7.6</v>
      </c>
      <c r="W3313" t="s">
        <v>330</v>
      </c>
      <c r="Y3313" s="42">
        <v>43949</v>
      </c>
    </row>
    <row r="3314" spans="14:25">
      <c r="N3314" s="42">
        <v>43944</v>
      </c>
      <c r="O3314" t="s">
        <v>324</v>
      </c>
      <c r="P3314" s="42">
        <v>43944</v>
      </c>
      <c r="Q3314" t="s">
        <v>324</v>
      </c>
      <c r="R3314" t="s">
        <v>370</v>
      </c>
      <c r="S3314" t="s">
        <v>323</v>
      </c>
      <c r="T3314">
        <v>7.6</v>
      </c>
      <c r="W3314" t="s">
        <v>330</v>
      </c>
      <c r="Y3314" s="42">
        <v>43949</v>
      </c>
    </row>
    <row r="3315" spans="14:25">
      <c r="N3315" s="42">
        <v>43943</v>
      </c>
      <c r="O3315" t="s">
        <v>328</v>
      </c>
      <c r="P3315" s="42">
        <v>43943</v>
      </c>
      <c r="Q3315" t="s">
        <v>328</v>
      </c>
      <c r="R3315" t="s">
        <v>370</v>
      </c>
      <c r="S3315" t="s">
        <v>323</v>
      </c>
      <c r="T3315">
        <v>7.6</v>
      </c>
      <c r="W3315" t="s">
        <v>330</v>
      </c>
      <c r="Y3315" s="42">
        <v>43949</v>
      </c>
    </row>
    <row r="3316" spans="14:25">
      <c r="N3316" s="42">
        <v>43942</v>
      </c>
      <c r="O3316" t="s">
        <v>333</v>
      </c>
      <c r="P3316" s="42">
        <v>43942</v>
      </c>
      <c r="Q3316" t="s">
        <v>333</v>
      </c>
      <c r="R3316" t="s">
        <v>370</v>
      </c>
      <c r="S3316" t="s">
        <v>323</v>
      </c>
      <c r="T3316">
        <v>7.6</v>
      </c>
      <c r="W3316" t="s">
        <v>330</v>
      </c>
      <c r="Y3316" s="42">
        <v>43949</v>
      </c>
    </row>
    <row r="3317" spans="14:25">
      <c r="N3317" s="42">
        <v>43941</v>
      </c>
      <c r="O3317" t="s">
        <v>345</v>
      </c>
      <c r="P3317" s="42">
        <v>43941</v>
      </c>
      <c r="Q3317" t="s">
        <v>345</v>
      </c>
      <c r="R3317" t="s">
        <v>370</v>
      </c>
      <c r="S3317" t="s">
        <v>323</v>
      </c>
      <c r="T3317">
        <v>7.6</v>
      </c>
      <c r="W3317" t="s">
        <v>330</v>
      </c>
      <c r="Y3317" s="42">
        <v>43949</v>
      </c>
    </row>
    <row r="3318" spans="14:25">
      <c r="N3318" s="42">
        <v>43940</v>
      </c>
      <c r="O3318" t="s">
        <v>344</v>
      </c>
      <c r="P3318" s="42">
        <v>43940</v>
      </c>
      <c r="Q3318" t="s">
        <v>344</v>
      </c>
      <c r="R3318" t="s">
        <v>370</v>
      </c>
      <c r="S3318" t="s">
        <v>323</v>
      </c>
      <c r="T3318">
        <v>7.6</v>
      </c>
      <c r="W3318" t="s">
        <v>330</v>
      </c>
      <c r="Y3318" s="42">
        <v>43949</v>
      </c>
    </row>
    <row r="3319" spans="14:25">
      <c r="N3319" s="42">
        <v>43937</v>
      </c>
      <c r="O3319" t="s">
        <v>324</v>
      </c>
      <c r="P3319" s="42">
        <v>43937</v>
      </c>
      <c r="Q3319" t="s">
        <v>324</v>
      </c>
      <c r="R3319" t="s">
        <v>370</v>
      </c>
      <c r="S3319" t="s">
        <v>323</v>
      </c>
      <c r="T3319">
        <v>7.6</v>
      </c>
      <c r="W3319" t="s">
        <v>330</v>
      </c>
      <c r="Y3319" s="42">
        <v>43949</v>
      </c>
    </row>
    <row r="3320" spans="14:25">
      <c r="N3320" s="42">
        <v>43936</v>
      </c>
      <c r="O3320" t="s">
        <v>328</v>
      </c>
      <c r="P3320" s="42">
        <v>43936</v>
      </c>
      <c r="Q3320" t="s">
        <v>328</v>
      </c>
      <c r="R3320" t="s">
        <v>370</v>
      </c>
      <c r="S3320" t="s">
        <v>323</v>
      </c>
      <c r="T3320">
        <v>7.6</v>
      </c>
      <c r="W3320" t="s">
        <v>330</v>
      </c>
      <c r="Y3320" s="42">
        <v>43949</v>
      </c>
    </row>
    <row r="3321" spans="14:25">
      <c r="N3321" s="42">
        <v>43935</v>
      </c>
      <c r="O3321" t="s">
        <v>333</v>
      </c>
      <c r="P3321" s="42">
        <v>43935</v>
      </c>
      <c r="Q3321" t="s">
        <v>333</v>
      </c>
      <c r="R3321" t="s">
        <v>370</v>
      </c>
      <c r="S3321" t="s">
        <v>323</v>
      </c>
      <c r="T3321">
        <v>7.6</v>
      </c>
      <c r="W3321" t="s">
        <v>330</v>
      </c>
      <c r="Y3321" s="42">
        <v>43935</v>
      </c>
    </row>
    <row r="3322" spans="14:25">
      <c r="N3322" s="42">
        <v>43930</v>
      </c>
      <c r="O3322" t="s">
        <v>324</v>
      </c>
      <c r="P3322" s="42">
        <v>43930</v>
      </c>
      <c r="Q3322" t="s">
        <v>324</v>
      </c>
      <c r="R3322" t="s">
        <v>370</v>
      </c>
      <c r="S3322" t="s">
        <v>323</v>
      </c>
      <c r="T3322">
        <v>7.6</v>
      </c>
      <c r="W3322" t="s">
        <v>330</v>
      </c>
      <c r="Y3322" s="42">
        <v>43935</v>
      </c>
    </row>
    <row r="3323" spans="14:25">
      <c r="N3323" s="42">
        <v>43929</v>
      </c>
      <c r="O3323" t="s">
        <v>328</v>
      </c>
      <c r="P3323" s="42">
        <v>43929</v>
      </c>
      <c r="Q3323" t="s">
        <v>328</v>
      </c>
      <c r="R3323" t="s">
        <v>370</v>
      </c>
      <c r="S3323" t="s">
        <v>323</v>
      </c>
      <c r="T3323">
        <v>7.6</v>
      </c>
      <c r="W3323" t="s">
        <v>330</v>
      </c>
      <c r="Y3323" s="42">
        <v>43935</v>
      </c>
    </row>
    <row r="3324" spans="14:25">
      <c r="N3324" s="42">
        <v>43928</v>
      </c>
      <c r="O3324" t="s">
        <v>333</v>
      </c>
      <c r="P3324" s="42">
        <v>43928</v>
      </c>
      <c r="Q3324" t="s">
        <v>333</v>
      </c>
      <c r="R3324" t="s">
        <v>370</v>
      </c>
      <c r="S3324" t="s">
        <v>323</v>
      </c>
      <c r="T3324">
        <v>7.6</v>
      </c>
      <c r="W3324" t="s">
        <v>330</v>
      </c>
      <c r="Y3324" s="42">
        <v>43935</v>
      </c>
    </row>
    <row r="3325" spans="14:25">
      <c r="N3325" s="42">
        <v>43927</v>
      </c>
      <c r="O3325" t="s">
        <v>345</v>
      </c>
      <c r="P3325" s="42">
        <v>43927</v>
      </c>
      <c r="Q3325" t="s">
        <v>345</v>
      </c>
      <c r="R3325" t="s">
        <v>370</v>
      </c>
      <c r="S3325" t="s">
        <v>323</v>
      </c>
      <c r="T3325">
        <v>7.6</v>
      </c>
      <c r="W3325" t="s">
        <v>330</v>
      </c>
      <c r="Y3325" s="42">
        <v>43935</v>
      </c>
    </row>
    <row r="3326" spans="14:25">
      <c r="N3326" s="42">
        <v>43926</v>
      </c>
      <c r="O3326" t="s">
        <v>344</v>
      </c>
      <c r="P3326" s="42">
        <v>43926</v>
      </c>
      <c r="Q3326" t="s">
        <v>344</v>
      </c>
      <c r="R3326" t="s">
        <v>320</v>
      </c>
      <c r="S3326" t="s">
        <v>323</v>
      </c>
      <c r="T3326">
        <v>7.6</v>
      </c>
      <c r="Y3326" s="42">
        <v>43935</v>
      </c>
    </row>
    <row r="3327" spans="14:25">
      <c r="N3327" s="42">
        <v>43923</v>
      </c>
      <c r="O3327" t="s">
        <v>324</v>
      </c>
      <c r="P3327" s="42">
        <v>43923</v>
      </c>
      <c r="Q3327" t="s">
        <v>324</v>
      </c>
      <c r="R3327" t="s">
        <v>320</v>
      </c>
      <c r="S3327" t="s">
        <v>323</v>
      </c>
      <c r="T3327">
        <v>7.6</v>
      </c>
      <c r="Y3327" s="42">
        <v>43935</v>
      </c>
    </row>
    <row r="3328" spans="14:25">
      <c r="N3328" s="42">
        <v>43922</v>
      </c>
      <c r="O3328" t="s">
        <v>328</v>
      </c>
      <c r="P3328" s="42">
        <v>43922</v>
      </c>
      <c r="Q3328" t="s">
        <v>328</v>
      </c>
      <c r="R3328" t="s">
        <v>320</v>
      </c>
      <c r="S3328" t="s">
        <v>323</v>
      </c>
      <c r="T3328">
        <v>7.6</v>
      </c>
      <c r="Y3328" s="42">
        <v>43935</v>
      </c>
    </row>
    <row r="3329" spans="14:25">
      <c r="N3329" s="42">
        <v>43921</v>
      </c>
      <c r="O3329" t="s">
        <v>333</v>
      </c>
      <c r="P3329" s="42">
        <v>43921</v>
      </c>
      <c r="Q3329" t="s">
        <v>333</v>
      </c>
      <c r="R3329" t="s">
        <v>320</v>
      </c>
      <c r="S3329" t="s">
        <v>323</v>
      </c>
      <c r="T3329">
        <v>7.6</v>
      </c>
      <c r="Y3329" s="42">
        <v>43921</v>
      </c>
    </row>
    <row r="3330" spans="14:25">
      <c r="N3330" s="42">
        <v>43920</v>
      </c>
      <c r="O3330" t="s">
        <v>345</v>
      </c>
      <c r="P3330" s="42">
        <v>43920</v>
      </c>
      <c r="Q3330" t="s">
        <v>345</v>
      </c>
      <c r="R3330" t="s">
        <v>320</v>
      </c>
      <c r="S3330" t="s">
        <v>323</v>
      </c>
      <c r="T3330">
        <v>7.6</v>
      </c>
      <c r="Y3330" s="42">
        <v>43921</v>
      </c>
    </row>
    <row r="3331" spans="14:25">
      <c r="N3331" s="42">
        <v>43919</v>
      </c>
      <c r="O3331" t="s">
        <v>344</v>
      </c>
      <c r="P3331" s="42">
        <v>43919</v>
      </c>
      <c r="Q3331" t="s">
        <v>344</v>
      </c>
      <c r="R3331" t="s">
        <v>320</v>
      </c>
      <c r="S3331" t="s">
        <v>323</v>
      </c>
      <c r="T3331">
        <v>7.6</v>
      </c>
      <c r="Y3331" s="42">
        <v>43921</v>
      </c>
    </row>
    <row r="3332" spans="14:25">
      <c r="N3332" s="42">
        <v>43916</v>
      </c>
      <c r="O3332" t="s">
        <v>324</v>
      </c>
      <c r="P3332" s="42">
        <v>43916</v>
      </c>
      <c r="Q3332" t="s">
        <v>324</v>
      </c>
      <c r="R3332" t="s">
        <v>320</v>
      </c>
      <c r="S3332" t="s">
        <v>323</v>
      </c>
      <c r="T3332">
        <v>7.6</v>
      </c>
      <c r="Y3332" s="42">
        <v>43921</v>
      </c>
    </row>
    <row r="3333" spans="14:25">
      <c r="N3333" s="42">
        <v>43915</v>
      </c>
      <c r="O3333" t="s">
        <v>328</v>
      </c>
      <c r="P3333" s="42">
        <v>43915</v>
      </c>
      <c r="Q3333" t="s">
        <v>328</v>
      </c>
      <c r="R3333" t="s">
        <v>320</v>
      </c>
      <c r="S3333" t="s">
        <v>323</v>
      </c>
      <c r="T3333">
        <v>7.6</v>
      </c>
      <c r="Y3333" s="42">
        <v>43921</v>
      </c>
    </row>
    <row r="3334" spans="14:25">
      <c r="N3334" s="42">
        <v>43914</v>
      </c>
      <c r="O3334" t="s">
        <v>333</v>
      </c>
      <c r="P3334" s="42">
        <v>43914</v>
      </c>
      <c r="Q3334" t="s">
        <v>333</v>
      </c>
      <c r="R3334" t="s">
        <v>320</v>
      </c>
      <c r="S3334" t="s">
        <v>323</v>
      </c>
      <c r="T3334">
        <v>7.6</v>
      </c>
      <c r="Y3334" s="42">
        <v>43921</v>
      </c>
    </row>
    <row r="3335" spans="14:25">
      <c r="N3335" s="42">
        <v>43913</v>
      </c>
      <c r="O3335" t="s">
        <v>345</v>
      </c>
      <c r="P3335" s="42">
        <v>43913</v>
      </c>
      <c r="Q3335" t="s">
        <v>345</v>
      </c>
      <c r="R3335" t="s">
        <v>320</v>
      </c>
      <c r="S3335" t="s">
        <v>323</v>
      </c>
      <c r="T3335">
        <v>7.6</v>
      </c>
      <c r="Y3335" s="42">
        <v>43921</v>
      </c>
    </row>
    <row r="3336" spans="14:25">
      <c r="N3336" s="42">
        <v>43912</v>
      </c>
      <c r="O3336" t="s">
        <v>344</v>
      </c>
      <c r="P3336" s="42">
        <v>43912</v>
      </c>
      <c r="Q3336" t="s">
        <v>344</v>
      </c>
      <c r="R3336" t="s">
        <v>320</v>
      </c>
      <c r="S3336" t="s">
        <v>323</v>
      </c>
      <c r="T3336">
        <v>7.6</v>
      </c>
      <c r="Y3336" s="42">
        <v>43921</v>
      </c>
    </row>
    <row r="3337" spans="14:25">
      <c r="N3337" s="42">
        <v>43909</v>
      </c>
      <c r="O3337" t="s">
        <v>324</v>
      </c>
      <c r="P3337" s="42">
        <v>43909</v>
      </c>
      <c r="Q3337" t="s">
        <v>324</v>
      </c>
      <c r="R3337" t="s">
        <v>320</v>
      </c>
      <c r="S3337" t="s">
        <v>323</v>
      </c>
      <c r="T3337">
        <v>7.6</v>
      </c>
      <c r="Y3337" s="42">
        <v>43921</v>
      </c>
    </row>
    <row r="3338" spans="14:25">
      <c r="N3338" s="42">
        <v>43908</v>
      </c>
      <c r="O3338" t="s">
        <v>328</v>
      </c>
      <c r="P3338" s="42">
        <v>43908</v>
      </c>
      <c r="Q3338" t="s">
        <v>328</v>
      </c>
      <c r="R3338" t="s">
        <v>320</v>
      </c>
      <c r="S3338" t="s">
        <v>323</v>
      </c>
      <c r="T3338">
        <v>7.6</v>
      </c>
      <c r="Y3338" s="42">
        <v>43921</v>
      </c>
    </row>
    <row r="3339" spans="14:25">
      <c r="N3339" s="42">
        <v>43907</v>
      </c>
      <c r="O3339" t="s">
        <v>333</v>
      </c>
      <c r="P3339" s="42">
        <v>43907</v>
      </c>
      <c r="Q3339" t="s">
        <v>333</v>
      </c>
      <c r="R3339" t="s">
        <v>320</v>
      </c>
      <c r="S3339" t="s">
        <v>323</v>
      </c>
      <c r="T3339">
        <v>7.6</v>
      </c>
      <c r="Y3339" s="42">
        <v>43907</v>
      </c>
    </row>
    <row r="3340" spans="14:25">
      <c r="N3340" s="42">
        <v>43906</v>
      </c>
      <c r="O3340" t="s">
        <v>345</v>
      </c>
      <c r="P3340" s="42">
        <v>43906</v>
      </c>
      <c r="Q3340" t="s">
        <v>345</v>
      </c>
      <c r="R3340" t="s">
        <v>320</v>
      </c>
      <c r="S3340" t="s">
        <v>323</v>
      </c>
      <c r="T3340">
        <v>7.6</v>
      </c>
      <c r="Y3340" s="42">
        <v>43907</v>
      </c>
    </row>
    <row r="3341" spans="14:25">
      <c r="N3341" s="42">
        <v>43905</v>
      </c>
      <c r="O3341" t="s">
        <v>344</v>
      </c>
      <c r="P3341" s="42">
        <v>43905</v>
      </c>
      <c r="Q3341" t="s">
        <v>344</v>
      </c>
      <c r="R3341" t="s">
        <v>320</v>
      </c>
      <c r="S3341" t="s">
        <v>323</v>
      </c>
      <c r="T3341">
        <v>7.6</v>
      </c>
      <c r="Y3341" s="42">
        <v>43907</v>
      </c>
    </row>
    <row r="3342" spans="14:25">
      <c r="N3342" s="42">
        <v>43902</v>
      </c>
      <c r="O3342" t="s">
        <v>324</v>
      </c>
      <c r="P3342" s="42">
        <v>43902</v>
      </c>
      <c r="Q3342" t="s">
        <v>324</v>
      </c>
      <c r="R3342" t="s">
        <v>320</v>
      </c>
      <c r="S3342" t="s">
        <v>323</v>
      </c>
      <c r="T3342">
        <v>7.6</v>
      </c>
      <c r="Y3342" s="42">
        <v>43907</v>
      </c>
    </row>
    <row r="3343" spans="14:25">
      <c r="N3343" s="42">
        <v>43901</v>
      </c>
      <c r="O3343" t="s">
        <v>328</v>
      </c>
      <c r="P3343" s="42">
        <v>43901</v>
      </c>
      <c r="Q3343" t="s">
        <v>328</v>
      </c>
      <c r="R3343" t="s">
        <v>320</v>
      </c>
      <c r="S3343" t="s">
        <v>323</v>
      </c>
      <c r="T3343">
        <v>7.6</v>
      </c>
      <c r="Y3343" s="42">
        <v>43907</v>
      </c>
    </row>
    <row r="3344" spans="14:25">
      <c r="N3344" s="42">
        <v>43900</v>
      </c>
      <c r="O3344" t="s">
        <v>333</v>
      </c>
      <c r="P3344" s="42">
        <v>43900</v>
      </c>
      <c r="Q3344" t="s">
        <v>333</v>
      </c>
      <c r="R3344" t="s">
        <v>320</v>
      </c>
      <c r="S3344" t="s">
        <v>323</v>
      </c>
      <c r="T3344">
        <v>7.6</v>
      </c>
      <c r="Y3344" s="42">
        <v>43907</v>
      </c>
    </row>
    <row r="3345" spans="14:25">
      <c r="N3345" s="42">
        <v>43899</v>
      </c>
      <c r="O3345" t="s">
        <v>345</v>
      </c>
      <c r="P3345" s="42">
        <v>43899</v>
      </c>
      <c r="Q3345" t="s">
        <v>345</v>
      </c>
      <c r="R3345" t="s">
        <v>320</v>
      </c>
      <c r="S3345" t="s">
        <v>323</v>
      </c>
      <c r="T3345">
        <v>7.6</v>
      </c>
      <c r="Y3345" s="42">
        <v>43907</v>
      </c>
    </row>
    <row r="3346" spans="14:25">
      <c r="N3346" s="42">
        <v>43898</v>
      </c>
      <c r="O3346" t="s">
        <v>344</v>
      </c>
      <c r="P3346" s="42">
        <v>43898</v>
      </c>
      <c r="Q3346" t="s">
        <v>344</v>
      </c>
      <c r="R3346" t="s">
        <v>320</v>
      </c>
      <c r="S3346" t="s">
        <v>323</v>
      </c>
      <c r="T3346">
        <v>7.6</v>
      </c>
      <c r="Y3346" s="42">
        <v>43907</v>
      </c>
    </row>
    <row r="3347" spans="14:25">
      <c r="N3347" s="42">
        <v>43895</v>
      </c>
      <c r="O3347" t="s">
        <v>324</v>
      </c>
      <c r="P3347" s="42">
        <v>43895</v>
      </c>
      <c r="Q3347" t="s">
        <v>324</v>
      </c>
      <c r="R3347" t="s">
        <v>320</v>
      </c>
      <c r="S3347" t="s">
        <v>323</v>
      </c>
      <c r="T3347">
        <v>7.6</v>
      </c>
      <c r="Y3347" s="42">
        <v>43907</v>
      </c>
    </row>
    <row r="3348" spans="14:25">
      <c r="N3348" s="42">
        <v>43894</v>
      </c>
      <c r="O3348" t="s">
        <v>328</v>
      </c>
      <c r="P3348" s="42">
        <v>43894</v>
      </c>
      <c r="Q3348" t="s">
        <v>328</v>
      </c>
      <c r="R3348" t="s">
        <v>320</v>
      </c>
      <c r="S3348" t="s">
        <v>323</v>
      </c>
      <c r="T3348">
        <v>7.6</v>
      </c>
      <c r="Y3348" s="42">
        <v>43907</v>
      </c>
    </row>
    <row r="3349" spans="14:25">
      <c r="N3349" s="42">
        <v>43893</v>
      </c>
      <c r="O3349" t="s">
        <v>333</v>
      </c>
      <c r="P3349" s="42">
        <v>43893</v>
      </c>
      <c r="Q3349" t="s">
        <v>333</v>
      </c>
      <c r="R3349" t="s">
        <v>320</v>
      </c>
      <c r="S3349" t="s">
        <v>323</v>
      </c>
      <c r="T3349">
        <v>7.6</v>
      </c>
      <c r="Y3349" s="42">
        <v>43893</v>
      </c>
    </row>
    <row r="3350" spans="14:25">
      <c r="N3350" s="42">
        <v>43892</v>
      </c>
      <c r="O3350" t="s">
        <v>345</v>
      </c>
      <c r="P3350" s="42">
        <v>43892</v>
      </c>
      <c r="Q3350" t="s">
        <v>345</v>
      </c>
      <c r="R3350" t="s">
        <v>320</v>
      </c>
      <c r="S3350" t="s">
        <v>323</v>
      </c>
      <c r="T3350">
        <v>7.6</v>
      </c>
      <c r="Y3350" s="42">
        <v>43893</v>
      </c>
    </row>
    <row r="3351" spans="14:25">
      <c r="N3351" s="42">
        <v>43891</v>
      </c>
      <c r="O3351" t="s">
        <v>344</v>
      </c>
      <c r="P3351" s="42">
        <v>43891</v>
      </c>
      <c r="Q3351" t="s">
        <v>344</v>
      </c>
      <c r="R3351" t="s">
        <v>329</v>
      </c>
      <c r="S3351" t="s">
        <v>323</v>
      </c>
      <c r="T3351">
        <v>7.6</v>
      </c>
      <c r="W3351" t="s">
        <v>330</v>
      </c>
      <c r="Y3351" s="42">
        <v>43893</v>
      </c>
    </row>
    <row r="3352" spans="14:25">
      <c r="N3352" s="42">
        <v>43881</v>
      </c>
      <c r="O3352" t="s">
        <v>324</v>
      </c>
      <c r="P3352" s="42">
        <v>43881</v>
      </c>
      <c r="Q3352" t="s">
        <v>324</v>
      </c>
      <c r="R3352" t="s">
        <v>329</v>
      </c>
      <c r="S3352" t="s">
        <v>323</v>
      </c>
      <c r="T3352">
        <v>7.6</v>
      </c>
      <c r="W3352" t="s">
        <v>330</v>
      </c>
      <c r="Y3352" s="42">
        <v>43893</v>
      </c>
    </row>
    <row r="3353" spans="14:25">
      <c r="N3353" s="42">
        <v>43880</v>
      </c>
      <c r="O3353" t="s">
        <v>328</v>
      </c>
      <c r="P3353" s="42">
        <v>43880</v>
      </c>
      <c r="Q3353" t="s">
        <v>328</v>
      </c>
      <c r="R3353" t="s">
        <v>329</v>
      </c>
      <c r="S3353" t="s">
        <v>323</v>
      </c>
      <c r="T3353">
        <v>7.6</v>
      </c>
      <c r="W3353" t="s">
        <v>330</v>
      </c>
      <c r="Y3353" s="42">
        <v>43893</v>
      </c>
    </row>
    <row r="3354" spans="14:25">
      <c r="N3354" s="42">
        <v>43837</v>
      </c>
      <c r="O3354" t="s">
        <v>333</v>
      </c>
      <c r="P3354" s="42">
        <v>43837</v>
      </c>
      <c r="Q3354" t="s">
        <v>333</v>
      </c>
      <c r="R3354" t="s">
        <v>329</v>
      </c>
      <c r="S3354" t="s">
        <v>323</v>
      </c>
      <c r="T3354">
        <v>7.6</v>
      </c>
      <c r="W3354" t="s">
        <v>330</v>
      </c>
      <c r="Y3354" s="42">
        <v>43837</v>
      </c>
    </row>
    <row r="3355" spans="14:25">
      <c r="N3355" s="42">
        <v>43818</v>
      </c>
      <c r="O3355" t="s">
        <v>324</v>
      </c>
      <c r="P3355" s="42">
        <v>43818</v>
      </c>
      <c r="Q3355" t="s">
        <v>324</v>
      </c>
      <c r="R3355" t="s">
        <v>320</v>
      </c>
      <c r="S3355" t="s">
        <v>323</v>
      </c>
      <c r="T3355">
        <v>7.6</v>
      </c>
      <c r="Y3355" s="42">
        <v>43823</v>
      </c>
    </row>
    <row r="3356" spans="14:25">
      <c r="N3356" s="42">
        <v>43769</v>
      </c>
      <c r="O3356" t="s">
        <v>324</v>
      </c>
      <c r="P3356" s="42">
        <v>43769</v>
      </c>
      <c r="Q3356" t="s">
        <v>324</v>
      </c>
      <c r="R3356" t="s">
        <v>329</v>
      </c>
      <c r="S3356" t="s">
        <v>323</v>
      </c>
      <c r="T3356">
        <v>7.6</v>
      </c>
      <c r="W3356" t="s">
        <v>330</v>
      </c>
      <c r="Y3356" s="42">
        <v>43781</v>
      </c>
    </row>
    <row r="3357" spans="14:25">
      <c r="N3357" s="42">
        <v>43738</v>
      </c>
      <c r="O3357" t="s">
        <v>345</v>
      </c>
      <c r="P3357" s="42">
        <v>43738</v>
      </c>
      <c r="Q3357" t="s">
        <v>345</v>
      </c>
      <c r="R3357" t="s">
        <v>329</v>
      </c>
      <c r="S3357" t="s">
        <v>323</v>
      </c>
      <c r="T3357">
        <v>7.6</v>
      </c>
      <c r="W3357" t="s">
        <v>330</v>
      </c>
      <c r="Y3357" s="42">
        <v>43739</v>
      </c>
    </row>
    <row r="3358" spans="14:25">
      <c r="N3358" s="42">
        <v>43717</v>
      </c>
      <c r="O3358" t="s">
        <v>345</v>
      </c>
      <c r="P3358" s="42">
        <v>43717</v>
      </c>
      <c r="Q3358" t="s">
        <v>345</v>
      </c>
      <c r="R3358" t="s">
        <v>329</v>
      </c>
      <c r="S3358" t="s">
        <v>323</v>
      </c>
      <c r="T3358">
        <v>7.6</v>
      </c>
      <c r="W3358" t="s">
        <v>330</v>
      </c>
      <c r="Y3358" s="42">
        <v>43725</v>
      </c>
    </row>
    <row r="3359" spans="14:25">
      <c r="N3359" s="42">
        <v>43705</v>
      </c>
      <c r="O3359" t="s">
        <v>328</v>
      </c>
      <c r="P3359" s="42">
        <v>43705</v>
      </c>
      <c r="Q3359" t="s">
        <v>328</v>
      </c>
      <c r="R3359" t="s">
        <v>329</v>
      </c>
      <c r="S3359" t="s">
        <v>323</v>
      </c>
      <c r="T3359">
        <v>7.6</v>
      </c>
      <c r="W3359" t="s">
        <v>330</v>
      </c>
      <c r="Y3359" s="42">
        <v>43711</v>
      </c>
    </row>
    <row r="3360" spans="14:25">
      <c r="N3360" s="42">
        <v>43683</v>
      </c>
      <c r="O3360" t="s">
        <v>333</v>
      </c>
      <c r="P3360" s="42">
        <v>43683</v>
      </c>
      <c r="Q3360" t="s">
        <v>333</v>
      </c>
      <c r="R3360" t="s">
        <v>320</v>
      </c>
      <c r="S3360" t="s">
        <v>323</v>
      </c>
      <c r="T3360">
        <v>2</v>
      </c>
      <c r="Y3360" s="42">
        <v>43683</v>
      </c>
    </row>
    <row r="3361" spans="1:25">
      <c r="N3361" s="42">
        <v>43656</v>
      </c>
      <c r="O3361" t="s">
        <v>328</v>
      </c>
      <c r="P3361" s="42">
        <v>43667</v>
      </c>
      <c r="Q3361" t="s">
        <v>344</v>
      </c>
      <c r="R3361" t="s">
        <v>320</v>
      </c>
      <c r="S3361" t="s">
        <v>323</v>
      </c>
      <c r="T3361">
        <v>60.8</v>
      </c>
      <c r="Y3361" s="42">
        <v>43669</v>
      </c>
    </row>
    <row r="3362" spans="1:25">
      <c r="N3362" s="42">
        <v>43653</v>
      </c>
      <c r="O3362" t="s">
        <v>344</v>
      </c>
      <c r="P3362" s="42">
        <v>43667</v>
      </c>
      <c r="Q3362" t="s">
        <v>344</v>
      </c>
      <c r="R3362" t="s">
        <v>320</v>
      </c>
      <c r="S3362" t="s">
        <v>323</v>
      </c>
      <c r="T3362">
        <v>22.8</v>
      </c>
      <c r="Y3362" s="42">
        <v>43655</v>
      </c>
    </row>
    <row r="3363" spans="1:25">
      <c r="N3363" s="42">
        <v>43636</v>
      </c>
      <c r="O3363" t="s">
        <v>324</v>
      </c>
      <c r="P3363" s="42">
        <v>43636</v>
      </c>
      <c r="Q3363" t="s">
        <v>324</v>
      </c>
      <c r="R3363" t="s">
        <v>329</v>
      </c>
      <c r="S3363" t="s">
        <v>323</v>
      </c>
      <c r="T3363">
        <v>7.6</v>
      </c>
      <c r="W3363" t="s">
        <v>330</v>
      </c>
      <c r="Y3363" s="42">
        <v>43641</v>
      </c>
    </row>
    <row r="3364" spans="1:25">
      <c r="A3364">
        <v>18634</v>
      </c>
      <c r="B3364" t="s">
        <v>391</v>
      </c>
      <c r="C3364" t="s">
        <v>320</v>
      </c>
      <c r="D3364" t="s">
        <v>321</v>
      </c>
      <c r="E3364" t="s">
        <v>322</v>
      </c>
      <c r="F3364">
        <v>1</v>
      </c>
      <c r="G3364" s="42">
        <v>45207</v>
      </c>
      <c r="H3364">
        <v>15.538500000000001</v>
      </c>
      <c r="I3364">
        <v>-2.5301</v>
      </c>
      <c r="J3364">
        <v>15.538500000000001</v>
      </c>
      <c r="K3364">
        <v>13.0084</v>
      </c>
      <c r="L3364" t="s">
        <v>323</v>
      </c>
      <c r="M3364" s="43">
        <v>0.33611111111111108</v>
      </c>
      <c r="N3364" s="42">
        <v>44985</v>
      </c>
      <c r="O3364" t="s">
        <v>333</v>
      </c>
      <c r="P3364" s="42">
        <v>44985</v>
      </c>
      <c r="Q3364" t="s">
        <v>333</v>
      </c>
      <c r="R3364" t="s">
        <v>338</v>
      </c>
      <c r="S3364" t="s">
        <v>323</v>
      </c>
      <c r="T3364">
        <v>4</v>
      </c>
      <c r="W3364" t="s">
        <v>330</v>
      </c>
      <c r="Y3364" s="42">
        <v>44985</v>
      </c>
    </row>
    <row r="3365" spans="1:25">
      <c r="C3365" t="s">
        <v>325</v>
      </c>
      <c r="D3365" t="s">
        <v>366</v>
      </c>
      <c r="E3365" t="s">
        <v>367</v>
      </c>
      <c r="F3365">
        <v>1</v>
      </c>
      <c r="G3365" s="42">
        <v>45585</v>
      </c>
      <c r="H3365">
        <v>176.31120000000001</v>
      </c>
      <c r="I3365">
        <v>0</v>
      </c>
      <c r="J3365">
        <v>154.21250000000001</v>
      </c>
      <c r="K3365">
        <v>154.21250000000001</v>
      </c>
      <c r="L3365" t="s">
        <v>323</v>
      </c>
      <c r="N3365" s="42">
        <v>44984</v>
      </c>
      <c r="O3365" t="s">
        <v>345</v>
      </c>
      <c r="P3365" s="42">
        <v>44984</v>
      </c>
      <c r="Q3365" t="s">
        <v>345</v>
      </c>
      <c r="R3365" t="s">
        <v>338</v>
      </c>
      <c r="S3365" t="s">
        <v>323</v>
      </c>
      <c r="T3365">
        <v>4</v>
      </c>
      <c r="W3365" t="s">
        <v>330</v>
      </c>
      <c r="Y3365" s="42">
        <v>44985</v>
      </c>
    </row>
    <row r="3366" spans="1:25">
      <c r="C3366" t="s">
        <v>329</v>
      </c>
      <c r="D3366" t="s">
        <v>331</v>
      </c>
      <c r="E3366" t="s">
        <v>332</v>
      </c>
      <c r="F3366">
        <v>1</v>
      </c>
      <c r="G3366" s="42">
        <v>45207</v>
      </c>
      <c r="H3366">
        <v>7.7691999999999997</v>
      </c>
      <c r="I3366">
        <v>-2.8820000000000001</v>
      </c>
      <c r="J3366">
        <v>7.7691999999999997</v>
      </c>
      <c r="K3366">
        <v>4.8872</v>
      </c>
      <c r="L3366" t="s">
        <v>323</v>
      </c>
      <c r="N3366" s="42">
        <v>44982</v>
      </c>
      <c r="O3366" t="s">
        <v>359</v>
      </c>
      <c r="P3366" s="42">
        <v>44982</v>
      </c>
      <c r="Q3366" t="s">
        <v>359</v>
      </c>
      <c r="R3366" t="s">
        <v>338</v>
      </c>
      <c r="S3366" t="s">
        <v>323</v>
      </c>
      <c r="T3366">
        <v>7.6</v>
      </c>
      <c r="W3366" t="s">
        <v>330</v>
      </c>
      <c r="Y3366" s="42">
        <v>44985</v>
      </c>
    </row>
    <row r="3367" spans="1:25">
      <c r="N3367" s="42">
        <v>44978</v>
      </c>
      <c r="O3367" t="s">
        <v>333</v>
      </c>
      <c r="P3367" s="42">
        <v>44978</v>
      </c>
      <c r="Q3367" t="s">
        <v>333</v>
      </c>
      <c r="R3367" t="s">
        <v>320</v>
      </c>
      <c r="S3367" t="s">
        <v>323</v>
      </c>
      <c r="T3367">
        <v>4</v>
      </c>
      <c r="Y3367" s="42">
        <v>44985</v>
      </c>
    </row>
    <row r="3368" spans="1:25">
      <c r="N3368" s="42">
        <v>44977</v>
      </c>
      <c r="O3368" t="s">
        <v>345</v>
      </c>
      <c r="P3368" s="42">
        <v>44977</v>
      </c>
      <c r="Q3368" t="s">
        <v>345</v>
      </c>
      <c r="R3368" t="s">
        <v>320</v>
      </c>
      <c r="S3368" t="s">
        <v>323</v>
      </c>
      <c r="T3368">
        <v>4</v>
      </c>
      <c r="Y3368" s="42">
        <v>44985</v>
      </c>
    </row>
    <row r="3369" spans="1:25">
      <c r="N3369" s="42">
        <v>44975</v>
      </c>
      <c r="O3369" t="s">
        <v>359</v>
      </c>
      <c r="P3369" s="42">
        <v>44975</v>
      </c>
      <c r="Q3369" t="s">
        <v>359</v>
      </c>
      <c r="R3369" t="s">
        <v>320</v>
      </c>
      <c r="S3369" t="s">
        <v>323</v>
      </c>
      <c r="T3369">
        <v>7.6</v>
      </c>
      <c r="Y3369" s="42">
        <v>44985</v>
      </c>
    </row>
    <row r="3370" spans="1:25">
      <c r="N3370" s="42">
        <v>44971</v>
      </c>
      <c r="O3370" t="s">
        <v>333</v>
      </c>
      <c r="P3370" s="42">
        <v>44971</v>
      </c>
      <c r="Q3370" t="s">
        <v>333</v>
      </c>
      <c r="R3370" t="s">
        <v>320</v>
      </c>
      <c r="S3370" t="s">
        <v>323</v>
      </c>
      <c r="T3370">
        <v>4</v>
      </c>
      <c r="Y3370" s="42">
        <v>44971</v>
      </c>
    </row>
    <row r="3371" spans="1:25">
      <c r="N3371" s="42">
        <v>44970</v>
      </c>
      <c r="O3371" t="s">
        <v>345</v>
      </c>
      <c r="P3371" s="42">
        <v>44970</v>
      </c>
      <c r="Q3371" t="s">
        <v>345</v>
      </c>
      <c r="R3371" t="s">
        <v>320</v>
      </c>
      <c r="S3371" t="s">
        <v>323</v>
      </c>
      <c r="T3371">
        <v>4</v>
      </c>
      <c r="Y3371" s="42">
        <v>44971</v>
      </c>
    </row>
    <row r="3372" spans="1:25">
      <c r="N3372" s="42">
        <v>44968</v>
      </c>
      <c r="O3372" t="s">
        <v>359</v>
      </c>
      <c r="P3372" s="42">
        <v>44968</v>
      </c>
      <c r="Q3372" t="s">
        <v>359</v>
      </c>
      <c r="R3372" t="s">
        <v>320</v>
      </c>
      <c r="S3372" t="s">
        <v>323</v>
      </c>
      <c r="T3372">
        <v>7.6</v>
      </c>
      <c r="Y3372" s="42">
        <v>44971</v>
      </c>
    </row>
    <row r="3373" spans="1:25">
      <c r="N3373" s="42">
        <v>44964</v>
      </c>
      <c r="O3373" t="s">
        <v>333</v>
      </c>
      <c r="P3373" s="42">
        <v>44964</v>
      </c>
      <c r="Q3373" t="s">
        <v>333</v>
      </c>
      <c r="R3373" t="s">
        <v>320</v>
      </c>
      <c r="S3373" t="s">
        <v>323</v>
      </c>
      <c r="T3373">
        <v>4</v>
      </c>
      <c r="Y3373" s="42">
        <v>44971</v>
      </c>
    </row>
    <row r="3374" spans="1:25">
      <c r="N3374" s="42">
        <v>44963</v>
      </c>
      <c r="O3374" t="s">
        <v>345</v>
      </c>
      <c r="P3374" s="42">
        <v>44963</v>
      </c>
      <c r="Q3374" t="s">
        <v>345</v>
      </c>
      <c r="R3374" t="s">
        <v>320</v>
      </c>
      <c r="S3374" t="s">
        <v>323</v>
      </c>
      <c r="T3374">
        <v>4</v>
      </c>
      <c r="Y3374" s="42">
        <v>44971</v>
      </c>
    </row>
    <row r="3375" spans="1:25">
      <c r="N3375" s="42">
        <v>44961</v>
      </c>
      <c r="O3375" t="s">
        <v>359</v>
      </c>
      <c r="P3375" s="42">
        <v>44961</v>
      </c>
      <c r="Q3375" t="s">
        <v>359</v>
      </c>
      <c r="R3375" t="s">
        <v>320</v>
      </c>
      <c r="S3375" t="s">
        <v>323</v>
      </c>
      <c r="T3375">
        <v>7.6</v>
      </c>
      <c r="Y3375" s="42">
        <v>44971</v>
      </c>
    </row>
    <row r="3376" spans="1:25">
      <c r="N3376" s="42">
        <v>44957</v>
      </c>
      <c r="O3376" t="s">
        <v>333</v>
      </c>
      <c r="P3376" s="42">
        <v>44957</v>
      </c>
      <c r="Q3376" t="s">
        <v>333</v>
      </c>
      <c r="R3376" t="s">
        <v>320</v>
      </c>
      <c r="S3376" t="s">
        <v>323</v>
      </c>
      <c r="T3376">
        <v>4</v>
      </c>
      <c r="Y3376" s="42">
        <v>44957</v>
      </c>
    </row>
    <row r="3377" spans="14:25">
      <c r="N3377" s="42">
        <v>44956</v>
      </c>
      <c r="O3377" t="s">
        <v>345</v>
      </c>
      <c r="P3377" s="42">
        <v>44956</v>
      </c>
      <c r="Q3377" t="s">
        <v>345</v>
      </c>
      <c r="R3377" t="s">
        <v>320</v>
      </c>
      <c r="S3377" t="s">
        <v>323</v>
      </c>
      <c r="T3377">
        <v>4</v>
      </c>
      <c r="Y3377" s="42">
        <v>44957</v>
      </c>
    </row>
    <row r="3378" spans="14:25">
      <c r="N3378" s="42">
        <v>44954</v>
      </c>
      <c r="O3378" t="s">
        <v>359</v>
      </c>
      <c r="P3378" s="42">
        <v>44954</v>
      </c>
      <c r="Q3378" t="s">
        <v>359</v>
      </c>
      <c r="R3378" t="s">
        <v>320</v>
      </c>
      <c r="S3378" t="s">
        <v>323</v>
      </c>
      <c r="T3378">
        <v>7.6</v>
      </c>
      <c r="Y3378" s="42">
        <v>44957</v>
      </c>
    </row>
    <row r="3379" spans="14:25">
      <c r="N3379" s="42">
        <v>44936</v>
      </c>
      <c r="O3379" t="s">
        <v>333</v>
      </c>
      <c r="P3379" s="42">
        <v>44936</v>
      </c>
      <c r="Q3379" t="s">
        <v>333</v>
      </c>
      <c r="R3379" t="s">
        <v>338</v>
      </c>
      <c r="S3379" t="s">
        <v>323</v>
      </c>
      <c r="T3379">
        <v>4</v>
      </c>
      <c r="W3379" t="s">
        <v>330</v>
      </c>
      <c r="Y3379" s="42">
        <v>44943</v>
      </c>
    </row>
    <row r="3380" spans="14:25">
      <c r="N3380" s="42">
        <v>44928</v>
      </c>
      <c r="O3380" t="s">
        <v>345</v>
      </c>
      <c r="P3380" s="42">
        <v>44928</v>
      </c>
      <c r="Q3380" t="s">
        <v>345</v>
      </c>
      <c r="R3380" t="s">
        <v>320</v>
      </c>
      <c r="S3380" t="s">
        <v>323</v>
      </c>
      <c r="U3380">
        <v>4</v>
      </c>
    </row>
    <row r="3381" spans="14:25">
      <c r="N3381" s="42">
        <v>44922</v>
      </c>
      <c r="O3381" t="s">
        <v>333</v>
      </c>
      <c r="P3381" s="42">
        <v>44922</v>
      </c>
      <c r="Q3381" t="s">
        <v>333</v>
      </c>
      <c r="R3381" t="s">
        <v>320</v>
      </c>
      <c r="S3381" t="s">
        <v>323</v>
      </c>
      <c r="U3381">
        <v>4</v>
      </c>
    </row>
    <row r="3382" spans="14:25">
      <c r="N3382" s="42">
        <v>44921</v>
      </c>
      <c r="O3382" t="s">
        <v>345</v>
      </c>
      <c r="P3382" s="42">
        <v>44921</v>
      </c>
      <c r="Q3382" t="s">
        <v>345</v>
      </c>
      <c r="R3382" t="s">
        <v>320</v>
      </c>
      <c r="S3382" t="s">
        <v>323</v>
      </c>
      <c r="U3382">
        <v>4</v>
      </c>
    </row>
    <row r="3383" spans="14:25">
      <c r="N3383" s="42">
        <v>44908</v>
      </c>
      <c r="O3383" t="s">
        <v>333</v>
      </c>
      <c r="P3383" s="42">
        <v>44908</v>
      </c>
      <c r="Q3383" t="s">
        <v>333</v>
      </c>
      <c r="R3383" t="s">
        <v>338</v>
      </c>
      <c r="S3383" t="s">
        <v>323</v>
      </c>
      <c r="T3383">
        <v>4</v>
      </c>
      <c r="W3383" t="s">
        <v>330</v>
      </c>
      <c r="Y3383" s="42">
        <v>44915</v>
      </c>
    </row>
    <row r="3384" spans="14:25">
      <c r="N3384" s="42">
        <v>44907</v>
      </c>
      <c r="O3384" t="s">
        <v>345</v>
      </c>
      <c r="P3384" s="42">
        <v>44907</v>
      </c>
      <c r="Q3384" t="s">
        <v>345</v>
      </c>
      <c r="R3384" t="s">
        <v>329</v>
      </c>
      <c r="S3384" t="s">
        <v>323</v>
      </c>
      <c r="T3384">
        <v>4</v>
      </c>
      <c r="W3384" t="s">
        <v>330</v>
      </c>
      <c r="Y3384" s="42">
        <v>44915</v>
      </c>
    </row>
    <row r="3385" spans="14:25">
      <c r="N3385" s="42">
        <v>44905</v>
      </c>
      <c r="O3385" t="s">
        <v>359</v>
      </c>
      <c r="P3385" s="42">
        <v>44905</v>
      </c>
      <c r="Q3385" t="s">
        <v>359</v>
      </c>
      <c r="R3385" t="s">
        <v>338</v>
      </c>
      <c r="S3385" t="s">
        <v>323</v>
      </c>
      <c r="T3385">
        <v>7.6</v>
      </c>
      <c r="W3385" t="s">
        <v>330</v>
      </c>
      <c r="Y3385" s="42">
        <v>44915</v>
      </c>
    </row>
    <row r="3386" spans="14:25">
      <c r="N3386" s="42">
        <v>44873</v>
      </c>
      <c r="O3386" t="s">
        <v>333</v>
      </c>
      <c r="P3386" s="42">
        <v>44873</v>
      </c>
      <c r="Q3386" t="s">
        <v>333</v>
      </c>
      <c r="R3386" t="s">
        <v>320</v>
      </c>
      <c r="S3386" t="s">
        <v>323</v>
      </c>
      <c r="T3386">
        <v>4</v>
      </c>
      <c r="Y3386" s="42">
        <v>44873</v>
      </c>
    </row>
    <row r="3387" spans="14:25">
      <c r="N3387" s="42">
        <v>44872</v>
      </c>
      <c r="O3387" t="s">
        <v>345</v>
      </c>
      <c r="P3387" s="42">
        <v>44872</v>
      </c>
      <c r="Q3387" t="s">
        <v>345</v>
      </c>
      <c r="R3387" t="s">
        <v>320</v>
      </c>
      <c r="S3387" t="s">
        <v>323</v>
      </c>
      <c r="T3387">
        <v>4</v>
      </c>
      <c r="Y3387" s="42">
        <v>44873</v>
      </c>
    </row>
    <row r="3388" spans="14:25">
      <c r="N3388" s="42">
        <v>44852</v>
      </c>
      <c r="O3388" t="s">
        <v>333</v>
      </c>
      <c r="P3388" s="42">
        <v>44852</v>
      </c>
      <c r="Q3388" t="s">
        <v>333</v>
      </c>
      <c r="R3388" t="s">
        <v>320</v>
      </c>
      <c r="S3388" t="s">
        <v>323</v>
      </c>
      <c r="T3388">
        <v>4</v>
      </c>
      <c r="Y3388" s="42">
        <v>44859</v>
      </c>
    </row>
    <row r="3389" spans="14:25">
      <c r="N3389" s="42">
        <v>44851</v>
      </c>
      <c r="O3389" t="s">
        <v>345</v>
      </c>
      <c r="P3389" s="42">
        <v>44851</v>
      </c>
      <c r="Q3389" t="s">
        <v>345</v>
      </c>
      <c r="R3389" t="s">
        <v>320</v>
      </c>
      <c r="S3389" t="s">
        <v>323</v>
      </c>
      <c r="T3389">
        <v>4</v>
      </c>
      <c r="Y3389" s="42">
        <v>44859</v>
      </c>
    </row>
    <row r="3390" spans="14:25">
      <c r="N3390" s="42">
        <v>44849</v>
      </c>
      <c r="O3390" t="s">
        <v>359</v>
      </c>
      <c r="P3390" s="42">
        <v>44849</v>
      </c>
      <c r="Q3390" t="s">
        <v>359</v>
      </c>
      <c r="R3390" t="s">
        <v>320</v>
      </c>
      <c r="S3390" t="s">
        <v>323</v>
      </c>
      <c r="T3390">
        <v>7.6</v>
      </c>
      <c r="Y3390" s="42">
        <v>44859</v>
      </c>
    </row>
    <row r="3391" spans="14:25">
      <c r="N3391" s="42">
        <v>44845</v>
      </c>
      <c r="O3391" t="s">
        <v>333</v>
      </c>
      <c r="P3391" s="42">
        <v>44845</v>
      </c>
      <c r="Q3391" t="s">
        <v>333</v>
      </c>
      <c r="R3391" t="s">
        <v>320</v>
      </c>
      <c r="S3391" t="s">
        <v>323</v>
      </c>
      <c r="T3391">
        <v>4</v>
      </c>
      <c r="Y3391" s="42">
        <v>44845</v>
      </c>
    </row>
    <row r="3392" spans="14:25">
      <c r="N3392" s="42">
        <v>44844</v>
      </c>
      <c r="O3392" t="s">
        <v>345</v>
      </c>
      <c r="P3392" s="42">
        <v>44844</v>
      </c>
      <c r="Q3392" t="s">
        <v>345</v>
      </c>
      <c r="R3392" t="s">
        <v>320</v>
      </c>
      <c r="S3392" t="s">
        <v>323</v>
      </c>
      <c r="T3392">
        <v>4</v>
      </c>
      <c r="Y3392" s="42">
        <v>44845</v>
      </c>
    </row>
    <row r="3393" spans="14:25">
      <c r="N3393" s="42">
        <v>44842</v>
      </c>
      <c r="O3393" t="s">
        <v>359</v>
      </c>
      <c r="P3393" s="42">
        <v>44842</v>
      </c>
      <c r="Q3393" t="s">
        <v>359</v>
      </c>
      <c r="R3393" t="s">
        <v>320</v>
      </c>
      <c r="S3393" t="s">
        <v>323</v>
      </c>
      <c r="T3393">
        <v>4</v>
      </c>
      <c r="Y3393" s="42">
        <v>44845</v>
      </c>
    </row>
    <row r="3394" spans="14:25">
      <c r="N3394" s="42">
        <v>44838</v>
      </c>
      <c r="O3394" t="s">
        <v>333</v>
      </c>
      <c r="P3394" s="42">
        <v>44838</v>
      </c>
      <c r="Q3394" t="s">
        <v>333</v>
      </c>
      <c r="R3394" t="s">
        <v>320</v>
      </c>
      <c r="S3394" t="s">
        <v>323</v>
      </c>
      <c r="T3394">
        <v>4</v>
      </c>
      <c r="Y3394" s="42">
        <v>44845</v>
      </c>
    </row>
    <row r="3395" spans="14:25">
      <c r="N3395" s="42">
        <v>44837</v>
      </c>
      <c r="O3395" t="s">
        <v>345</v>
      </c>
      <c r="P3395" s="42">
        <v>44837</v>
      </c>
      <c r="Q3395" t="s">
        <v>345</v>
      </c>
      <c r="R3395" t="s">
        <v>320</v>
      </c>
      <c r="S3395" t="s">
        <v>323</v>
      </c>
      <c r="T3395">
        <v>4</v>
      </c>
      <c r="Y3395" s="42">
        <v>44845</v>
      </c>
    </row>
    <row r="3396" spans="14:25">
      <c r="N3396" s="42">
        <v>44835</v>
      </c>
      <c r="O3396" t="s">
        <v>359</v>
      </c>
      <c r="P3396" s="42">
        <v>44835</v>
      </c>
      <c r="Q3396" t="s">
        <v>359</v>
      </c>
      <c r="R3396" t="s">
        <v>320</v>
      </c>
      <c r="S3396" t="s">
        <v>323</v>
      </c>
      <c r="T3396">
        <v>4</v>
      </c>
      <c r="Y3396" s="42">
        <v>44845</v>
      </c>
    </row>
    <row r="3397" spans="14:25">
      <c r="N3397" s="42">
        <v>44831</v>
      </c>
      <c r="O3397" t="s">
        <v>333</v>
      </c>
      <c r="P3397" s="42">
        <v>44831</v>
      </c>
      <c r="Q3397" t="s">
        <v>333</v>
      </c>
      <c r="R3397" t="s">
        <v>320</v>
      </c>
      <c r="S3397" t="s">
        <v>323</v>
      </c>
      <c r="T3397">
        <v>4</v>
      </c>
      <c r="Y3397" s="42">
        <v>44831</v>
      </c>
    </row>
    <row r="3398" spans="14:25">
      <c r="N3398" s="42">
        <v>44830</v>
      </c>
      <c r="O3398" t="s">
        <v>345</v>
      </c>
      <c r="P3398" s="42">
        <v>44830</v>
      </c>
      <c r="Q3398" t="s">
        <v>345</v>
      </c>
      <c r="R3398" t="s">
        <v>320</v>
      </c>
      <c r="S3398" t="s">
        <v>323</v>
      </c>
      <c r="U3398">
        <v>4</v>
      </c>
    </row>
    <row r="3399" spans="14:25">
      <c r="N3399" s="42">
        <v>44828</v>
      </c>
      <c r="O3399" t="s">
        <v>359</v>
      </c>
      <c r="P3399" s="42">
        <v>44828</v>
      </c>
      <c r="Q3399" t="s">
        <v>359</v>
      </c>
      <c r="R3399" t="s">
        <v>320</v>
      </c>
      <c r="S3399" t="s">
        <v>323</v>
      </c>
      <c r="T3399">
        <v>4</v>
      </c>
      <c r="Y3399" s="42">
        <v>44831</v>
      </c>
    </row>
    <row r="3400" spans="14:25">
      <c r="N3400" s="42">
        <v>44824</v>
      </c>
      <c r="O3400" t="s">
        <v>333</v>
      </c>
      <c r="P3400" s="42">
        <v>44824</v>
      </c>
      <c r="Q3400" t="s">
        <v>333</v>
      </c>
      <c r="R3400" t="s">
        <v>320</v>
      </c>
      <c r="S3400" t="s">
        <v>323</v>
      </c>
      <c r="T3400">
        <v>4</v>
      </c>
      <c r="Y3400" s="42">
        <v>44831</v>
      </c>
    </row>
    <row r="3401" spans="14:25">
      <c r="N3401" s="42">
        <v>44823</v>
      </c>
      <c r="O3401" t="s">
        <v>345</v>
      </c>
      <c r="P3401" s="42">
        <v>44823</v>
      </c>
      <c r="Q3401" t="s">
        <v>345</v>
      </c>
      <c r="R3401" t="s">
        <v>320</v>
      </c>
      <c r="S3401" t="s">
        <v>323</v>
      </c>
      <c r="T3401">
        <v>4</v>
      </c>
      <c r="Y3401" s="42">
        <v>44831</v>
      </c>
    </row>
    <row r="3402" spans="14:25">
      <c r="N3402" s="42">
        <v>44789</v>
      </c>
      <c r="O3402" t="s">
        <v>333</v>
      </c>
      <c r="P3402" s="42">
        <v>44789</v>
      </c>
      <c r="Q3402" t="s">
        <v>333</v>
      </c>
      <c r="R3402" t="s">
        <v>329</v>
      </c>
      <c r="S3402" t="s">
        <v>323</v>
      </c>
      <c r="T3402">
        <v>4</v>
      </c>
      <c r="W3402" t="s">
        <v>330</v>
      </c>
      <c r="Y3402" s="42">
        <v>44789</v>
      </c>
    </row>
    <row r="3403" spans="14:25">
      <c r="N3403" s="42">
        <v>44747</v>
      </c>
      <c r="O3403" t="s">
        <v>333</v>
      </c>
      <c r="P3403" s="42">
        <v>44747</v>
      </c>
      <c r="Q3403" t="s">
        <v>333</v>
      </c>
      <c r="R3403" t="s">
        <v>338</v>
      </c>
      <c r="S3403" t="s">
        <v>323</v>
      </c>
      <c r="T3403">
        <v>4</v>
      </c>
      <c r="W3403" t="s">
        <v>330</v>
      </c>
      <c r="Y3403" s="42">
        <v>44747</v>
      </c>
    </row>
    <row r="3404" spans="14:25">
      <c r="N3404" s="42">
        <v>44746</v>
      </c>
      <c r="O3404" t="s">
        <v>345</v>
      </c>
      <c r="P3404" s="42">
        <v>44746</v>
      </c>
      <c r="Q3404" t="s">
        <v>345</v>
      </c>
      <c r="R3404" t="s">
        <v>329</v>
      </c>
      <c r="S3404" t="s">
        <v>323</v>
      </c>
      <c r="T3404">
        <v>4</v>
      </c>
      <c r="W3404" t="s">
        <v>330</v>
      </c>
      <c r="Y3404" s="42">
        <v>44747</v>
      </c>
    </row>
    <row r="3405" spans="14:25">
      <c r="N3405" s="42">
        <v>44744</v>
      </c>
      <c r="O3405" t="s">
        <v>359</v>
      </c>
      <c r="P3405" s="42">
        <v>44744</v>
      </c>
      <c r="Q3405" t="s">
        <v>359</v>
      </c>
      <c r="R3405" t="s">
        <v>338</v>
      </c>
      <c r="S3405" t="s">
        <v>323</v>
      </c>
      <c r="T3405">
        <v>7.6</v>
      </c>
      <c r="W3405" t="s">
        <v>330</v>
      </c>
      <c r="Y3405" s="42">
        <v>44747</v>
      </c>
    </row>
    <row r="3406" spans="14:25">
      <c r="N3406" s="42">
        <v>44718</v>
      </c>
      <c r="O3406" t="s">
        <v>345</v>
      </c>
      <c r="P3406" s="42">
        <v>44718</v>
      </c>
      <c r="Q3406" t="s">
        <v>345</v>
      </c>
      <c r="R3406" t="s">
        <v>320</v>
      </c>
      <c r="S3406" t="s">
        <v>323</v>
      </c>
      <c r="U3406">
        <v>4</v>
      </c>
    </row>
    <row r="3407" spans="14:25">
      <c r="N3407" s="42">
        <v>44705</v>
      </c>
      <c r="O3407" t="s">
        <v>333</v>
      </c>
      <c r="P3407" s="42">
        <v>44705</v>
      </c>
      <c r="Q3407" t="s">
        <v>333</v>
      </c>
      <c r="R3407" t="s">
        <v>320</v>
      </c>
      <c r="S3407" t="s">
        <v>323</v>
      </c>
      <c r="T3407">
        <v>4</v>
      </c>
      <c r="Y3407" s="42">
        <v>44705</v>
      </c>
    </row>
    <row r="3408" spans="14:25">
      <c r="N3408" s="42">
        <v>44704</v>
      </c>
      <c r="O3408" t="s">
        <v>345</v>
      </c>
      <c r="P3408" s="42">
        <v>44704</v>
      </c>
      <c r="Q3408" t="s">
        <v>345</v>
      </c>
      <c r="R3408" t="s">
        <v>329</v>
      </c>
      <c r="S3408" t="s">
        <v>323</v>
      </c>
      <c r="T3408">
        <v>4</v>
      </c>
      <c r="W3408" t="s">
        <v>330</v>
      </c>
      <c r="Y3408" s="42">
        <v>44705</v>
      </c>
    </row>
    <row r="3409" spans="14:25">
      <c r="N3409" s="42">
        <v>44702</v>
      </c>
      <c r="O3409" t="s">
        <v>359</v>
      </c>
      <c r="P3409" s="42">
        <v>44702</v>
      </c>
      <c r="Q3409" t="s">
        <v>359</v>
      </c>
      <c r="R3409" t="s">
        <v>338</v>
      </c>
      <c r="S3409" t="s">
        <v>323</v>
      </c>
      <c r="T3409">
        <v>4</v>
      </c>
      <c r="W3409" t="s">
        <v>330</v>
      </c>
      <c r="Y3409" s="42">
        <v>44705</v>
      </c>
    </row>
    <row r="3410" spans="14:25">
      <c r="N3410" s="42">
        <v>44676</v>
      </c>
      <c r="O3410" t="s">
        <v>345</v>
      </c>
      <c r="P3410" s="42">
        <v>44676</v>
      </c>
      <c r="Q3410" t="s">
        <v>345</v>
      </c>
      <c r="R3410" t="s">
        <v>320</v>
      </c>
      <c r="S3410" t="s">
        <v>323</v>
      </c>
      <c r="U3410">
        <v>4</v>
      </c>
    </row>
    <row r="3411" spans="14:25">
      <c r="N3411" s="42">
        <v>44669</v>
      </c>
      <c r="O3411" t="s">
        <v>345</v>
      </c>
      <c r="P3411" s="42">
        <v>44669</v>
      </c>
      <c r="Q3411" t="s">
        <v>345</v>
      </c>
      <c r="R3411" t="s">
        <v>320</v>
      </c>
      <c r="S3411" t="s">
        <v>323</v>
      </c>
      <c r="U3411">
        <v>4</v>
      </c>
    </row>
    <row r="3412" spans="14:25">
      <c r="N3412" s="42">
        <v>44627</v>
      </c>
      <c r="O3412" t="s">
        <v>345</v>
      </c>
      <c r="P3412" s="42">
        <v>44627</v>
      </c>
      <c r="Q3412" t="s">
        <v>345</v>
      </c>
      <c r="R3412" t="s">
        <v>320</v>
      </c>
      <c r="S3412" t="s">
        <v>323</v>
      </c>
      <c r="U3412">
        <v>4</v>
      </c>
    </row>
    <row r="3413" spans="14:25">
      <c r="N3413" s="42">
        <v>44586</v>
      </c>
      <c r="O3413" t="s">
        <v>333</v>
      </c>
      <c r="P3413" s="42">
        <v>44586</v>
      </c>
      <c r="Q3413" t="s">
        <v>333</v>
      </c>
      <c r="R3413" t="s">
        <v>338</v>
      </c>
      <c r="S3413" t="s">
        <v>323</v>
      </c>
      <c r="T3413">
        <v>4</v>
      </c>
      <c r="W3413" t="s">
        <v>330</v>
      </c>
      <c r="Y3413" s="42">
        <v>44593</v>
      </c>
    </row>
    <row r="3414" spans="14:25">
      <c r="N3414" s="42">
        <v>44585</v>
      </c>
      <c r="O3414" t="s">
        <v>345</v>
      </c>
      <c r="P3414" s="42">
        <v>44585</v>
      </c>
      <c r="Q3414" t="s">
        <v>345</v>
      </c>
      <c r="R3414" t="s">
        <v>338</v>
      </c>
      <c r="S3414" t="s">
        <v>323</v>
      </c>
      <c r="T3414">
        <v>4</v>
      </c>
      <c r="W3414" t="s">
        <v>330</v>
      </c>
      <c r="Y3414" s="42">
        <v>44593</v>
      </c>
    </row>
    <row r="3415" spans="14:25">
      <c r="N3415" s="42">
        <v>44571</v>
      </c>
      <c r="O3415" t="s">
        <v>345</v>
      </c>
      <c r="P3415" s="42">
        <v>44571</v>
      </c>
      <c r="Q3415" t="s">
        <v>345</v>
      </c>
      <c r="R3415" t="s">
        <v>329</v>
      </c>
      <c r="S3415" t="s">
        <v>323</v>
      </c>
      <c r="T3415">
        <v>4</v>
      </c>
      <c r="W3415" t="s">
        <v>330</v>
      </c>
      <c r="Y3415" s="42">
        <v>44579</v>
      </c>
    </row>
    <row r="3416" spans="14:25">
      <c r="N3416" s="42">
        <v>44564</v>
      </c>
      <c r="O3416" t="s">
        <v>345</v>
      </c>
      <c r="P3416" s="42">
        <v>44564</v>
      </c>
      <c r="Q3416" t="s">
        <v>345</v>
      </c>
      <c r="R3416" t="s">
        <v>320</v>
      </c>
      <c r="S3416" t="s">
        <v>323</v>
      </c>
      <c r="U3416">
        <v>4</v>
      </c>
    </row>
    <row r="3417" spans="14:25">
      <c r="N3417" s="42">
        <v>44562</v>
      </c>
      <c r="O3417" t="s">
        <v>359</v>
      </c>
      <c r="P3417" s="42">
        <v>44562</v>
      </c>
      <c r="Q3417" t="s">
        <v>359</v>
      </c>
      <c r="R3417" t="s">
        <v>320</v>
      </c>
      <c r="S3417" t="s">
        <v>323</v>
      </c>
      <c r="U3417">
        <v>4</v>
      </c>
    </row>
    <row r="3418" spans="14:25">
      <c r="N3418" s="42">
        <v>44558</v>
      </c>
      <c r="O3418" t="s">
        <v>333</v>
      </c>
      <c r="P3418" s="42">
        <v>44558</v>
      </c>
      <c r="Q3418" t="s">
        <v>333</v>
      </c>
      <c r="R3418" t="s">
        <v>320</v>
      </c>
      <c r="S3418" t="s">
        <v>323</v>
      </c>
      <c r="U3418">
        <v>4</v>
      </c>
    </row>
    <row r="3419" spans="14:25">
      <c r="N3419" s="42">
        <v>44557</v>
      </c>
      <c r="O3419" t="s">
        <v>345</v>
      </c>
      <c r="P3419" s="42">
        <v>44557</v>
      </c>
      <c r="Q3419" t="s">
        <v>345</v>
      </c>
      <c r="R3419" t="s">
        <v>320</v>
      </c>
      <c r="S3419" t="s">
        <v>323</v>
      </c>
      <c r="U3419">
        <v>4</v>
      </c>
    </row>
    <row r="3420" spans="14:25">
      <c r="N3420" s="42">
        <v>44555</v>
      </c>
      <c r="O3420" t="s">
        <v>359</v>
      </c>
      <c r="P3420" s="42">
        <v>44555</v>
      </c>
      <c r="Q3420" t="s">
        <v>359</v>
      </c>
      <c r="R3420" t="s">
        <v>320</v>
      </c>
      <c r="S3420" t="s">
        <v>323</v>
      </c>
      <c r="U3420">
        <v>4</v>
      </c>
    </row>
    <row r="3421" spans="14:25">
      <c r="N3421" s="42">
        <v>44534</v>
      </c>
      <c r="O3421" t="s">
        <v>359</v>
      </c>
      <c r="P3421" s="42">
        <v>44534</v>
      </c>
      <c r="Q3421" t="s">
        <v>359</v>
      </c>
      <c r="R3421" t="s">
        <v>320</v>
      </c>
      <c r="S3421" t="s">
        <v>323</v>
      </c>
      <c r="T3421">
        <v>4</v>
      </c>
      <c r="Y3421" s="42">
        <v>44537</v>
      </c>
    </row>
    <row r="3422" spans="14:25">
      <c r="N3422" s="42">
        <v>44530</v>
      </c>
      <c r="O3422" t="s">
        <v>333</v>
      </c>
      <c r="P3422" s="42">
        <v>44530</v>
      </c>
      <c r="Q3422" t="s">
        <v>333</v>
      </c>
      <c r="R3422" t="s">
        <v>320</v>
      </c>
      <c r="S3422" t="s">
        <v>323</v>
      </c>
      <c r="T3422">
        <v>4</v>
      </c>
      <c r="Y3422" s="42">
        <v>44537</v>
      </c>
    </row>
    <row r="3423" spans="14:25">
      <c r="N3423" s="42">
        <v>44529</v>
      </c>
      <c r="O3423" t="s">
        <v>345</v>
      </c>
      <c r="P3423" s="42">
        <v>44529</v>
      </c>
      <c r="Q3423" t="s">
        <v>345</v>
      </c>
      <c r="R3423" t="s">
        <v>320</v>
      </c>
      <c r="S3423" t="s">
        <v>323</v>
      </c>
      <c r="T3423">
        <v>4</v>
      </c>
      <c r="Y3423" s="42">
        <v>44537</v>
      </c>
    </row>
    <row r="3424" spans="14:25">
      <c r="N3424" s="42">
        <v>44527</v>
      </c>
      <c r="O3424" t="s">
        <v>359</v>
      </c>
      <c r="P3424" s="42">
        <v>44527</v>
      </c>
      <c r="Q3424" t="s">
        <v>359</v>
      </c>
      <c r="R3424" t="s">
        <v>320</v>
      </c>
      <c r="S3424" t="s">
        <v>323</v>
      </c>
      <c r="T3424">
        <v>4</v>
      </c>
      <c r="Y3424" s="42">
        <v>44537</v>
      </c>
    </row>
    <row r="3425" spans="14:25">
      <c r="N3425" s="42">
        <v>44467</v>
      </c>
      <c r="O3425" t="s">
        <v>333</v>
      </c>
      <c r="P3425" s="42">
        <v>44467</v>
      </c>
      <c r="Q3425" t="s">
        <v>333</v>
      </c>
      <c r="R3425" t="s">
        <v>329</v>
      </c>
      <c r="S3425" t="s">
        <v>323</v>
      </c>
      <c r="T3425">
        <v>4</v>
      </c>
      <c r="W3425" t="s">
        <v>330</v>
      </c>
      <c r="Y3425" s="42">
        <v>44467</v>
      </c>
    </row>
    <row r="3426" spans="14:25">
      <c r="N3426" s="42">
        <v>44466</v>
      </c>
      <c r="O3426" t="s">
        <v>345</v>
      </c>
      <c r="P3426" s="42">
        <v>44466</v>
      </c>
      <c r="Q3426" t="s">
        <v>345</v>
      </c>
      <c r="R3426" t="s">
        <v>320</v>
      </c>
      <c r="S3426" t="s">
        <v>323</v>
      </c>
      <c r="U3426">
        <v>4</v>
      </c>
    </row>
    <row r="3427" spans="14:25">
      <c r="N3427" s="42">
        <v>44417</v>
      </c>
      <c r="O3427" t="s">
        <v>345</v>
      </c>
      <c r="P3427" s="42">
        <v>44417</v>
      </c>
      <c r="Q3427" t="s">
        <v>345</v>
      </c>
      <c r="R3427" t="s">
        <v>329</v>
      </c>
      <c r="S3427" t="s">
        <v>323</v>
      </c>
      <c r="T3427">
        <v>4</v>
      </c>
      <c r="W3427" t="s">
        <v>330</v>
      </c>
      <c r="Y3427" s="42">
        <v>44425</v>
      </c>
    </row>
    <row r="3428" spans="14:25">
      <c r="N3428" s="42">
        <v>44375</v>
      </c>
      <c r="O3428" t="s">
        <v>345</v>
      </c>
      <c r="P3428" s="42">
        <v>44375</v>
      </c>
      <c r="Q3428" t="s">
        <v>345</v>
      </c>
      <c r="R3428" t="s">
        <v>329</v>
      </c>
      <c r="S3428" t="s">
        <v>323</v>
      </c>
      <c r="T3428">
        <v>4</v>
      </c>
      <c r="W3428" t="s">
        <v>330</v>
      </c>
      <c r="Y3428" s="42">
        <v>44383</v>
      </c>
    </row>
    <row r="3429" spans="14:25">
      <c r="N3429" s="42">
        <v>44354</v>
      </c>
      <c r="O3429" t="s">
        <v>345</v>
      </c>
      <c r="P3429" s="42">
        <v>44354</v>
      </c>
      <c r="Q3429" t="s">
        <v>345</v>
      </c>
      <c r="R3429" t="s">
        <v>320</v>
      </c>
      <c r="S3429" t="s">
        <v>323</v>
      </c>
      <c r="U3429">
        <v>4</v>
      </c>
    </row>
    <row r="3430" spans="14:25">
      <c r="N3430" s="42">
        <v>44312</v>
      </c>
      <c r="O3430" t="s">
        <v>345</v>
      </c>
      <c r="P3430" s="42">
        <v>44312</v>
      </c>
      <c r="Q3430" t="s">
        <v>345</v>
      </c>
      <c r="R3430" t="s">
        <v>320</v>
      </c>
      <c r="S3430" t="s">
        <v>323</v>
      </c>
      <c r="U3430">
        <v>4</v>
      </c>
    </row>
    <row r="3431" spans="14:25">
      <c r="N3431" s="42">
        <v>44291</v>
      </c>
      <c r="O3431" t="s">
        <v>345</v>
      </c>
      <c r="P3431" s="42">
        <v>44291</v>
      </c>
      <c r="Q3431" t="s">
        <v>345</v>
      </c>
      <c r="R3431" t="s">
        <v>320</v>
      </c>
      <c r="S3431" t="s">
        <v>323</v>
      </c>
      <c r="U3431">
        <v>4</v>
      </c>
    </row>
    <row r="3432" spans="14:25">
      <c r="N3432" s="42">
        <v>44270</v>
      </c>
      <c r="O3432" t="s">
        <v>345</v>
      </c>
      <c r="P3432" s="42">
        <v>44270</v>
      </c>
      <c r="Q3432" t="s">
        <v>345</v>
      </c>
      <c r="R3432" t="s">
        <v>329</v>
      </c>
      <c r="S3432" t="s">
        <v>323</v>
      </c>
      <c r="T3432">
        <v>0.66669999999999996</v>
      </c>
      <c r="W3432" t="s">
        <v>330</v>
      </c>
      <c r="Y3432" s="42">
        <v>44271</v>
      </c>
    </row>
    <row r="3433" spans="14:25">
      <c r="N3433" s="42">
        <v>44256</v>
      </c>
      <c r="O3433" t="s">
        <v>345</v>
      </c>
      <c r="P3433" s="42">
        <v>44256</v>
      </c>
      <c r="Q3433" t="s">
        <v>345</v>
      </c>
      <c r="R3433" t="s">
        <v>320</v>
      </c>
      <c r="S3433" t="s">
        <v>323</v>
      </c>
      <c r="U3433">
        <v>4</v>
      </c>
    </row>
    <row r="3434" spans="14:25">
      <c r="N3434" s="42">
        <v>44243</v>
      </c>
      <c r="O3434" t="s">
        <v>333</v>
      </c>
      <c r="P3434" s="42">
        <v>44243</v>
      </c>
      <c r="Q3434" t="s">
        <v>333</v>
      </c>
      <c r="R3434" t="s">
        <v>338</v>
      </c>
      <c r="S3434" t="s">
        <v>323</v>
      </c>
      <c r="T3434">
        <v>4</v>
      </c>
      <c r="W3434" t="s">
        <v>330</v>
      </c>
      <c r="Y3434" s="42">
        <v>44243</v>
      </c>
    </row>
    <row r="3435" spans="14:25">
      <c r="N3435" s="42">
        <v>44235</v>
      </c>
      <c r="O3435" t="s">
        <v>345</v>
      </c>
      <c r="P3435" s="42">
        <v>44235</v>
      </c>
      <c r="Q3435" t="s">
        <v>345</v>
      </c>
      <c r="R3435" t="s">
        <v>329</v>
      </c>
      <c r="S3435" t="s">
        <v>323</v>
      </c>
      <c r="T3435">
        <v>4</v>
      </c>
      <c r="W3435" t="s">
        <v>330</v>
      </c>
      <c r="Y3435" s="42">
        <v>44243</v>
      </c>
    </row>
    <row r="3436" spans="14:25">
      <c r="N3436" s="42">
        <v>44222</v>
      </c>
      <c r="O3436" t="s">
        <v>333</v>
      </c>
      <c r="P3436" s="42">
        <v>44222</v>
      </c>
      <c r="Q3436" t="s">
        <v>333</v>
      </c>
      <c r="R3436" t="s">
        <v>320</v>
      </c>
      <c r="S3436" t="s">
        <v>323</v>
      </c>
      <c r="U3436">
        <v>4</v>
      </c>
    </row>
    <row r="3437" spans="14:25">
      <c r="N3437" s="42">
        <v>44193</v>
      </c>
      <c r="O3437" t="s">
        <v>345</v>
      </c>
      <c r="P3437" s="42">
        <v>44193</v>
      </c>
      <c r="Q3437" t="s">
        <v>345</v>
      </c>
      <c r="R3437" t="s">
        <v>320</v>
      </c>
      <c r="S3437" t="s">
        <v>323</v>
      </c>
      <c r="U3437">
        <v>4</v>
      </c>
    </row>
    <row r="3438" spans="14:25">
      <c r="N3438" s="42">
        <v>44117</v>
      </c>
      <c r="O3438" t="s">
        <v>333</v>
      </c>
      <c r="P3438" s="42">
        <v>44117</v>
      </c>
      <c r="Q3438" t="s">
        <v>333</v>
      </c>
      <c r="R3438" t="s">
        <v>329</v>
      </c>
      <c r="S3438" t="s">
        <v>323</v>
      </c>
      <c r="T3438">
        <v>4</v>
      </c>
      <c r="W3438" t="s">
        <v>330</v>
      </c>
      <c r="Y3438" s="42">
        <v>44117</v>
      </c>
    </row>
    <row r="3439" spans="14:25">
      <c r="N3439" s="42">
        <v>44116</v>
      </c>
      <c r="O3439" t="s">
        <v>345</v>
      </c>
      <c r="P3439" s="42">
        <v>44116</v>
      </c>
      <c r="Q3439" t="s">
        <v>345</v>
      </c>
      <c r="R3439" t="s">
        <v>329</v>
      </c>
      <c r="S3439" t="s">
        <v>323</v>
      </c>
      <c r="T3439">
        <v>4</v>
      </c>
      <c r="W3439" t="s">
        <v>330</v>
      </c>
      <c r="Y3439" s="42">
        <v>44117</v>
      </c>
    </row>
    <row r="3440" spans="14:25">
      <c r="N3440" s="42">
        <v>44102</v>
      </c>
      <c r="O3440" t="s">
        <v>345</v>
      </c>
      <c r="P3440" s="42">
        <v>44102</v>
      </c>
      <c r="Q3440" t="s">
        <v>345</v>
      </c>
      <c r="R3440" t="s">
        <v>320</v>
      </c>
      <c r="S3440" t="s">
        <v>323</v>
      </c>
      <c r="U3440">
        <v>4</v>
      </c>
    </row>
    <row r="3441" spans="1:25">
      <c r="A3441">
        <v>18646</v>
      </c>
      <c r="B3441" t="s">
        <v>392</v>
      </c>
      <c r="C3441" t="s">
        <v>320</v>
      </c>
      <c r="D3441" t="s">
        <v>321</v>
      </c>
      <c r="E3441" t="s">
        <v>322</v>
      </c>
      <c r="F3441">
        <v>1</v>
      </c>
      <c r="G3441" s="42">
        <v>45261</v>
      </c>
      <c r="H3441">
        <v>16.473099999999999</v>
      </c>
      <c r="I3441">
        <v>30.0105</v>
      </c>
      <c r="J3441">
        <v>16.473099999999999</v>
      </c>
      <c r="K3441">
        <v>46.483600000000003</v>
      </c>
      <c r="L3441" t="s">
        <v>323</v>
      </c>
      <c r="M3441" s="43">
        <v>0.375</v>
      </c>
      <c r="N3441" s="42">
        <v>44952</v>
      </c>
      <c r="O3441" t="s">
        <v>324</v>
      </c>
      <c r="P3441" s="42">
        <v>44952</v>
      </c>
      <c r="Q3441" t="s">
        <v>324</v>
      </c>
      <c r="R3441" t="s">
        <v>320</v>
      </c>
      <c r="S3441" t="s">
        <v>323</v>
      </c>
      <c r="U3441">
        <v>5</v>
      </c>
    </row>
    <row r="3442" spans="1:25">
      <c r="C3442" t="s">
        <v>325</v>
      </c>
      <c r="D3442" t="s">
        <v>393</v>
      </c>
      <c r="E3442" t="s">
        <v>394</v>
      </c>
      <c r="F3442">
        <v>1</v>
      </c>
      <c r="G3442" s="42">
        <v>45628</v>
      </c>
      <c r="H3442">
        <v>160.49189999999999</v>
      </c>
      <c r="I3442">
        <v>0</v>
      </c>
      <c r="J3442">
        <v>160.49189999999999</v>
      </c>
      <c r="K3442">
        <v>160.49189999999999</v>
      </c>
      <c r="L3442" t="s">
        <v>323</v>
      </c>
      <c r="N3442" s="42">
        <v>44927</v>
      </c>
      <c r="O3442" t="s">
        <v>344</v>
      </c>
      <c r="P3442" s="42">
        <v>44927</v>
      </c>
      <c r="Q3442" t="s">
        <v>344</v>
      </c>
      <c r="R3442" t="s">
        <v>320</v>
      </c>
      <c r="S3442" t="s">
        <v>323</v>
      </c>
      <c r="U3442">
        <v>7.6</v>
      </c>
    </row>
    <row r="3443" spans="1:25">
      <c r="C3443" t="s">
        <v>329</v>
      </c>
      <c r="D3443" t="s">
        <v>331</v>
      </c>
      <c r="E3443" t="s">
        <v>332</v>
      </c>
      <c r="F3443">
        <v>1</v>
      </c>
      <c r="G3443" s="42">
        <v>45261</v>
      </c>
      <c r="H3443">
        <v>8.2364999999999995</v>
      </c>
      <c r="I3443">
        <v>2.5051000000000001</v>
      </c>
      <c r="J3443">
        <v>8.2364999999999995</v>
      </c>
      <c r="K3443">
        <v>10.7416</v>
      </c>
      <c r="L3443" t="s">
        <v>323</v>
      </c>
      <c r="N3443" s="42">
        <v>44926</v>
      </c>
      <c r="O3443" t="s">
        <v>359</v>
      </c>
      <c r="P3443" s="42">
        <v>44926</v>
      </c>
      <c r="Q3443" t="s">
        <v>359</v>
      </c>
      <c r="R3443" t="s">
        <v>320</v>
      </c>
      <c r="S3443" t="s">
        <v>323</v>
      </c>
      <c r="T3443">
        <v>7.6</v>
      </c>
      <c r="Y3443" s="42">
        <v>44929</v>
      </c>
    </row>
    <row r="3444" spans="1:25">
      <c r="N3444" s="42">
        <v>44925</v>
      </c>
      <c r="O3444" t="s">
        <v>346</v>
      </c>
      <c r="P3444" s="42">
        <v>44925</v>
      </c>
      <c r="Q3444" t="s">
        <v>346</v>
      </c>
      <c r="R3444" t="s">
        <v>320</v>
      </c>
      <c r="S3444" t="s">
        <v>323</v>
      </c>
      <c r="T3444">
        <v>7.6</v>
      </c>
      <c r="Y3444" s="42">
        <v>44929</v>
      </c>
    </row>
    <row r="3445" spans="1:25">
      <c r="N3445" s="42">
        <v>44924</v>
      </c>
      <c r="O3445" t="s">
        <v>324</v>
      </c>
      <c r="P3445" s="42">
        <v>44924</v>
      </c>
      <c r="Q3445" t="s">
        <v>324</v>
      </c>
      <c r="R3445" t="s">
        <v>320</v>
      </c>
      <c r="S3445" t="s">
        <v>323</v>
      </c>
      <c r="T3445">
        <v>5</v>
      </c>
      <c r="Y3445" s="42">
        <v>44929</v>
      </c>
    </row>
    <row r="3446" spans="1:25">
      <c r="N3446" s="42">
        <v>44920</v>
      </c>
      <c r="O3446" t="s">
        <v>344</v>
      </c>
      <c r="P3446" s="42">
        <v>44920</v>
      </c>
      <c r="Q3446" t="s">
        <v>344</v>
      </c>
      <c r="R3446" t="s">
        <v>320</v>
      </c>
      <c r="S3446" t="s">
        <v>323</v>
      </c>
      <c r="U3446">
        <v>7.6</v>
      </c>
    </row>
    <row r="3447" spans="1:25">
      <c r="N3447" s="42">
        <v>44919</v>
      </c>
      <c r="O3447" t="s">
        <v>359</v>
      </c>
      <c r="P3447" s="42">
        <v>44919</v>
      </c>
      <c r="Q3447" t="s">
        <v>359</v>
      </c>
      <c r="R3447" t="s">
        <v>320</v>
      </c>
      <c r="S3447" t="s">
        <v>323</v>
      </c>
      <c r="U3447">
        <v>7.6</v>
      </c>
    </row>
    <row r="3448" spans="1:25">
      <c r="N3448" s="42">
        <v>44904</v>
      </c>
      <c r="O3448" t="s">
        <v>346</v>
      </c>
      <c r="P3448" s="42">
        <v>44904</v>
      </c>
      <c r="Q3448" t="s">
        <v>346</v>
      </c>
      <c r="R3448" t="s">
        <v>329</v>
      </c>
      <c r="S3448" t="s">
        <v>323</v>
      </c>
      <c r="T3448">
        <v>7.6</v>
      </c>
      <c r="W3448" t="s">
        <v>330</v>
      </c>
      <c r="Y3448" s="42">
        <v>44915</v>
      </c>
    </row>
    <row r="3449" spans="1:25">
      <c r="N3449" s="42">
        <v>44892</v>
      </c>
      <c r="O3449" t="s">
        <v>344</v>
      </c>
      <c r="P3449" s="42">
        <v>44892</v>
      </c>
      <c r="Q3449" t="s">
        <v>344</v>
      </c>
      <c r="R3449" t="s">
        <v>320</v>
      </c>
      <c r="S3449" t="s">
        <v>323</v>
      </c>
      <c r="T3449">
        <v>7.6</v>
      </c>
      <c r="Y3449" s="42">
        <v>44901</v>
      </c>
    </row>
    <row r="3450" spans="1:25">
      <c r="N3450" s="42">
        <v>44870</v>
      </c>
      <c r="O3450" t="s">
        <v>359</v>
      </c>
      <c r="P3450" s="42">
        <v>44870</v>
      </c>
      <c r="Q3450" t="s">
        <v>359</v>
      </c>
      <c r="R3450" t="s">
        <v>329</v>
      </c>
      <c r="S3450" t="s">
        <v>323</v>
      </c>
      <c r="T3450">
        <v>3</v>
      </c>
      <c r="W3450" t="s">
        <v>330</v>
      </c>
      <c r="Y3450" s="42">
        <v>44873</v>
      </c>
    </row>
    <row r="3451" spans="1:25">
      <c r="N3451" s="42">
        <v>44835</v>
      </c>
      <c r="O3451" t="s">
        <v>359</v>
      </c>
      <c r="P3451" s="42">
        <v>44835</v>
      </c>
      <c r="Q3451" t="s">
        <v>359</v>
      </c>
      <c r="R3451" t="s">
        <v>320</v>
      </c>
      <c r="S3451" t="s">
        <v>323</v>
      </c>
      <c r="T3451">
        <v>7.6</v>
      </c>
      <c r="Y3451" s="42">
        <v>44845</v>
      </c>
    </row>
    <row r="3452" spans="1:25">
      <c r="N3452" s="42">
        <v>44826</v>
      </c>
      <c r="O3452" t="s">
        <v>324</v>
      </c>
      <c r="P3452" s="42">
        <v>44826</v>
      </c>
      <c r="Q3452" t="s">
        <v>324</v>
      </c>
      <c r="R3452" t="s">
        <v>320</v>
      </c>
      <c r="S3452" t="s">
        <v>323</v>
      </c>
      <c r="U3452">
        <v>5</v>
      </c>
    </row>
    <row r="3453" spans="1:25">
      <c r="N3453" s="42">
        <v>44764</v>
      </c>
      <c r="O3453" t="s">
        <v>346</v>
      </c>
      <c r="P3453" s="42">
        <v>44764</v>
      </c>
      <c r="Q3453" t="s">
        <v>346</v>
      </c>
      <c r="R3453" t="s">
        <v>329</v>
      </c>
      <c r="S3453" t="s">
        <v>323</v>
      </c>
      <c r="T3453">
        <v>7.6</v>
      </c>
      <c r="W3453" t="s">
        <v>330</v>
      </c>
      <c r="Y3453" s="42">
        <v>44775</v>
      </c>
    </row>
    <row r="3454" spans="1:25">
      <c r="N3454" s="42">
        <v>44744</v>
      </c>
      <c r="O3454" t="s">
        <v>359</v>
      </c>
      <c r="P3454" s="42">
        <v>44744</v>
      </c>
      <c r="Q3454" t="s">
        <v>359</v>
      </c>
      <c r="R3454" t="s">
        <v>320</v>
      </c>
      <c r="S3454" t="s">
        <v>323</v>
      </c>
      <c r="T3454">
        <v>7.6</v>
      </c>
      <c r="Y3454" s="42">
        <v>44747</v>
      </c>
    </row>
    <row r="3455" spans="1:25">
      <c r="N3455" s="42">
        <v>44709</v>
      </c>
      <c r="O3455" t="s">
        <v>359</v>
      </c>
      <c r="P3455" s="42">
        <v>44709</v>
      </c>
      <c r="Q3455" t="s">
        <v>359</v>
      </c>
      <c r="R3455" t="s">
        <v>320</v>
      </c>
      <c r="S3455" t="s">
        <v>323</v>
      </c>
      <c r="T3455">
        <v>7.6</v>
      </c>
      <c r="Y3455" s="42">
        <v>44719</v>
      </c>
    </row>
    <row r="3456" spans="1:25">
      <c r="N3456" s="42">
        <v>44708</v>
      </c>
      <c r="O3456" t="s">
        <v>346</v>
      </c>
      <c r="P3456" s="42">
        <v>44708</v>
      </c>
      <c r="Q3456" t="s">
        <v>346</v>
      </c>
      <c r="R3456" t="s">
        <v>320</v>
      </c>
      <c r="S3456" t="s">
        <v>323</v>
      </c>
      <c r="T3456">
        <v>7.6</v>
      </c>
      <c r="Y3456" s="42">
        <v>44719</v>
      </c>
    </row>
    <row r="3457" spans="14:25">
      <c r="N3457" s="42">
        <v>44707</v>
      </c>
      <c r="O3457" t="s">
        <v>324</v>
      </c>
      <c r="P3457" s="42">
        <v>44707</v>
      </c>
      <c r="Q3457" t="s">
        <v>324</v>
      </c>
      <c r="R3457" t="s">
        <v>320</v>
      </c>
      <c r="S3457" t="s">
        <v>323</v>
      </c>
      <c r="T3457">
        <v>5</v>
      </c>
      <c r="Y3457" s="42">
        <v>44719</v>
      </c>
    </row>
    <row r="3458" spans="14:25">
      <c r="N3458" s="42">
        <v>44667</v>
      </c>
      <c r="O3458" t="s">
        <v>359</v>
      </c>
      <c r="P3458" s="42">
        <v>44667</v>
      </c>
      <c r="Q3458" t="s">
        <v>359</v>
      </c>
      <c r="R3458" t="s">
        <v>320</v>
      </c>
      <c r="S3458" t="s">
        <v>323</v>
      </c>
      <c r="U3458">
        <v>7.6</v>
      </c>
    </row>
    <row r="3459" spans="14:25">
      <c r="N3459" s="42">
        <v>44666</v>
      </c>
      <c r="O3459" t="s">
        <v>346</v>
      </c>
      <c r="P3459" s="42">
        <v>44666</v>
      </c>
      <c r="Q3459" t="s">
        <v>346</v>
      </c>
      <c r="R3459" t="s">
        <v>320</v>
      </c>
      <c r="S3459" t="s">
        <v>323</v>
      </c>
      <c r="U3459">
        <v>7.6</v>
      </c>
    </row>
    <row r="3460" spans="14:25">
      <c r="N3460" s="42">
        <v>44660</v>
      </c>
      <c r="O3460" t="s">
        <v>359</v>
      </c>
      <c r="P3460" s="42">
        <v>44660</v>
      </c>
      <c r="Q3460" t="s">
        <v>359</v>
      </c>
      <c r="R3460" t="s">
        <v>320</v>
      </c>
      <c r="S3460" t="s">
        <v>323</v>
      </c>
      <c r="T3460">
        <v>7.6</v>
      </c>
      <c r="Y3460" s="42">
        <v>44663</v>
      </c>
    </row>
    <row r="3461" spans="14:25">
      <c r="N3461" s="42">
        <v>44646</v>
      </c>
      <c r="O3461" t="s">
        <v>359</v>
      </c>
      <c r="P3461" s="42">
        <v>44646</v>
      </c>
      <c r="Q3461" t="s">
        <v>359</v>
      </c>
      <c r="R3461" t="s">
        <v>329</v>
      </c>
      <c r="S3461" t="s">
        <v>323</v>
      </c>
      <c r="T3461">
        <v>7.6</v>
      </c>
      <c r="W3461" t="s">
        <v>330</v>
      </c>
      <c r="Y3461" s="42">
        <v>44649</v>
      </c>
    </row>
    <row r="3462" spans="14:25">
      <c r="N3462" s="42">
        <v>44645</v>
      </c>
      <c r="O3462" t="s">
        <v>346</v>
      </c>
      <c r="P3462" s="42">
        <v>44645</v>
      </c>
      <c r="Q3462" t="s">
        <v>346</v>
      </c>
      <c r="R3462" t="s">
        <v>338</v>
      </c>
      <c r="S3462" t="s">
        <v>323</v>
      </c>
      <c r="T3462">
        <v>7.6</v>
      </c>
      <c r="W3462" t="s">
        <v>330</v>
      </c>
      <c r="Y3462" s="42">
        <v>44649</v>
      </c>
    </row>
    <row r="3463" spans="14:25">
      <c r="N3463" s="42">
        <v>44595</v>
      </c>
      <c r="O3463" t="s">
        <v>324</v>
      </c>
      <c r="P3463" s="42">
        <v>44595</v>
      </c>
      <c r="Q3463" t="s">
        <v>324</v>
      </c>
      <c r="R3463" t="s">
        <v>329</v>
      </c>
      <c r="S3463" t="s">
        <v>323</v>
      </c>
      <c r="T3463">
        <v>5</v>
      </c>
      <c r="W3463" t="s">
        <v>330</v>
      </c>
      <c r="Y3463" s="42">
        <v>44607</v>
      </c>
    </row>
    <row r="3464" spans="14:25">
      <c r="N3464" s="42">
        <v>44562</v>
      </c>
      <c r="O3464" t="s">
        <v>359</v>
      </c>
      <c r="P3464" s="42">
        <v>44562</v>
      </c>
      <c r="Q3464" t="s">
        <v>359</v>
      </c>
      <c r="R3464" t="s">
        <v>320</v>
      </c>
      <c r="S3464" t="s">
        <v>323</v>
      </c>
      <c r="U3464">
        <v>7.6</v>
      </c>
    </row>
    <row r="3465" spans="14:25">
      <c r="N3465" s="42">
        <v>44555</v>
      </c>
      <c r="O3465" t="s">
        <v>359</v>
      </c>
      <c r="P3465" s="42">
        <v>44555</v>
      </c>
      <c r="Q3465" t="s">
        <v>359</v>
      </c>
      <c r="R3465" t="s">
        <v>320</v>
      </c>
      <c r="S3465" t="s">
        <v>323</v>
      </c>
      <c r="U3465">
        <v>7.6</v>
      </c>
    </row>
    <row r="3466" spans="14:25">
      <c r="N3466" s="42">
        <v>44534</v>
      </c>
      <c r="O3466" t="s">
        <v>359</v>
      </c>
      <c r="P3466" s="42">
        <v>44534</v>
      </c>
      <c r="Q3466" t="s">
        <v>359</v>
      </c>
      <c r="R3466" t="s">
        <v>320</v>
      </c>
      <c r="S3466" t="s">
        <v>323</v>
      </c>
      <c r="T3466">
        <v>4.5</v>
      </c>
      <c r="Y3466" s="42">
        <v>44537</v>
      </c>
    </row>
    <row r="3467" spans="14:25">
      <c r="N3467" s="42">
        <v>44518</v>
      </c>
      <c r="O3467" t="s">
        <v>324</v>
      </c>
      <c r="P3467" s="42">
        <v>44518</v>
      </c>
      <c r="Q3467" t="s">
        <v>324</v>
      </c>
      <c r="R3467" t="s">
        <v>320</v>
      </c>
      <c r="S3467" t="s">
        <v>323</v>
      </c>
      <c r="T3467">
        <v>5</v>
      </c>
      <c r="Y3467" s="42">
        <v>44523</v>
      </c>
    </row>
    <row r="3468" spans="14:25">
      <c r="N3468" s="42">
        <v>44498</v>
      </c>
      <c r="O3468" t="s">
        <v>346</v>
      </c>
      <c r="P3468" s="42">
        <v>44498</v>
      </c>
      <c r="Q3468" t="s">
        <v>346</v>
      </c>
      <c r="R3468" t="s">
        <v>320</v>
      </c>
      <c r="S3468" t="s">
        <v>323</v>
      </c>
      <c r="U3468">
        <v>7.6</v>
      </c>
    </row>
    <row r="3469" spans="14:25">
      <c r="N3469" s="42">
        <v>44471</v>
      </c>
      <c r="O3469" t="s">
        <v>359</v>
      </c>
      <c r="P3469" s="42">
        <v>44471</v>
      </c>
      <c r="Q3469" t="s">
        <v>359</v>
      </c>
      <c r="R3469" t="s">
        <v>329</v>
      </c>
      <c r="S3469" t="s">
        <v>323</v>
      </c>
      <c r="T3469">
        <v>7.6</v>
      </c>
      <c r="W3469" t="s">
        <v>330</v>
      </c>
      <c r="Y3469" s="42">
        <v>44481</v>
      </c>
    </row>
    <row r="3470" spans="14:25">
      <c r="N3470" s="42">
        <v>44470</v>
      </c>
      <c r="O3470" t="s">
        <v>346</v>
      </c>
      <c r="P3470" s="42">
        <v>44470</v>
      </c>
      <c r="Q3470" t="s">
        <v>346</v>
      </c>
      <c r="R3470" t="s">
        <v>329</v>
      </c>
      <c r="S3470" t="s">
        <v>323</v>
      </c>
      <c r="T3470">
        <v>7.6</v>
      </c>
      <c r="W3470" t="s">
        <v>330</v>
      </c>
      <c r="Y3470" s="42">
        <v>44481</v>
      </c>
    </row>
    <row r="3471" spans="14:25">
      <c r="N3471" s="42">
        <v>44469</v>
      </c>
      <c r="O3471" t="s">
        <v>324</v>
      </c>
      <c r="P3471" s="42">
        <v>44469</v>
      </c>
      <c r="Q3471" t="s">
        <v>324</v>
      </c>
      <c r="R3471" t="s">
        <v>329</v>
      </c>
      <c r="S3471" t="s">
        <v>323</v>
      </c>
      <c r="T3471">
        <v>5</v>
      </c>
      <c r="W3471" t="s">
        <v>330</v>
      </c>
      <c r="Y3471" s="42">
        <v>44481</v>
      </c>
    </row>
    <row r="3472" spans="14:25">
      <c r="N3472" s="42">
        <v>44372</v>
      </c>
      <c r="O3472" t="s">
        <v>346</v>
      </c>
      <c r="P3472" s="42">
        <v>44372</v>
      </c>
      <c r="Q3472" t="s">
        <v>346</v>
      </c>
      <c r="R3472" t="s">
        <v>320</v>
      </c>
      <c r="S3472" t="s">
        <v>323</v>
      </c>
      <c r="T3472">
        <v>15.2</v>
      </c>
      <c r="Y3472" s="42">
        <v>44383</v>
      </c>
    </row>
    <row r="3473" spans="14:25">
      <c r="N3473" s="42">
        <v>44330</v>
      </c>
      <c r="O3473" t="s">
        <v>346</v>
      </c>
      <c r="P3473" s="42">
        <v>44330</v>
      </c>
      <c r="Q3473" t="s">
        <v>346</v>
      </c>
      <c r="R3473" t="s">
        <v>320</v>
      </c>
      <c r="S3473" t="s">
        <v>323</v>
      </c>
      <c r="T3473">
        <v>7.6</v>
      </c>
      <c r="Y3473" s="42">
        <v>44341</v>
      </c>
    </row>
    <row r="3474" spans="14:25">
      <c r="N3474" s="42">
        <v>44329</v>
      </c>
      <c r="O3474" t="s">
        <v>324</v>
      </c>
      <c r="P3474" s="42">
        <v>44329</v>
      </c>
      <c r="Q3474" t="s">
        <v>324</v>
      </c>
      <c r="R3474" t="s">
        <v>320</v>
      </c>
      <c r="S3474" t="s">
        <v>323</v>
      </c>
      <c r="T3474">
        <v>5</v>
      </c>
      <c r="Y3474" s="42">
        <v>44341</v>
      </c>
    </row>
    <row r="3475" spans="14:25">
      <c r="N3475" s="42">
        <v>44317</v>
      </c>
      <c r="O3475" t="s">
        <v>359</v>
      </c>
      <c r="P3475" s="42">
        <v>44317</v>
      </c>
      <c r="Q3475" t="s">
        <v>359</v>
      </c>
      <c r="R3475" t="s">
        <v>329</v>
      </c>
      <c r="S3475" t="s">
        <v>323</v>
      </c>
      <c r="T3475">
        <v>7.6</v>
      </c>
      <c r="W3475" t="s">
        <v>330</v>
      </c>
      <c r="Y3475" s="42">
        <v>44327</v>
      </c>
    </row>
    <row r="3476" spans="14:25">
      <c r="N3476" s="42">
        <v>44289</v>
      </c>
      <c r="O3476" t="s">
        <v>359</v>
      </c>
      <c r="P3476" s="42">
        <v>44289</v>
      </c>
      <c r="Q3476" t="s">
        <v>359</v>
      </c>
      <c r="R3476" t="s">
        <v>320</v>
      </c>
      <c r="S3476" t="s">
        <v>323</v>
      </c>
      <c r="U3476">
        <v>7.6</v>
      </c>
    </row>
    <row r="3477" spans="14:25">
      <c r="N3477" s="42">
        <v>44288</v>
      </c>
      <c r="O3477" t="s">
        <v>346</v>
      </c>
      <c r="P3477" s="42">
        <v>44288</v>
      </c>
      <c r="Q3477" t="s">
        <v>346</v>
      </c>
      <c r="R3477" t="s">
        <v>320</v>
      </c>
      <c r="S3477" t="s">
        <v>323</v>
      </c>
      <c r="U3477">
        <v>7.6</v>
      </c>
    </row>
    <row r="3478" spans="14:25">
      <c r="N3478" s="42">
        <v>44282</v>
      </c>
      <c r="O3478" t="s">
        <v>359</v>
      </c>
      <c r="P3478" s="42">
        <v>44282</v>
      </c>
      <c r="Q3478" t="s">
        <v>359</v>
      </c>
      <c r="R3478" t="s">
        <v>329</v>
      </c>
      <c r="S3478" t="s">
        <v>323</v>
      </c>
      <c r="T3478">
        <v>7.6</v>
      </c>
      <c r="W3478" t="s">
        <v>330</v>
      </c>
      <c r="Y3478" s="42">
        <v>44285</v>
      </c>
    </row>
    <row r="3479" spans="14:25">
      <c r="N3479" s="42">
        <v>44281</v>
      </c>
      <c r="O3479" t="s">
        <v>346</v>
      </c>
      <c r="P3479" s="42">
        <v>44281</v>
      </c>
      <c r="Q3479" t="s">
        <v>346</v>
      </c>
      <c r="R3479" t="s">
        <v>329</v>
      </c>
      <c r="S3479" t="s">
        <v>323</v>
      </c>
      <c r="T3479">
        <v>7.6</v>
      </c>
      <c r="W3479" t="s">
        <v>330</v>
      </c>
      <c r="Y3479" s="42">
        <v>44285</v>
      </c>
    </row>
    <row r="3480" spans="14:25">
      <c r="N3480" s="42">
        <v>44280</v>
      </c>
      <c r="O3480" t="s">
        <v>324</v>
      </c>
      <c r="P3480" s="42">
        <v>44280</v>
      </c>
      <c r="Q3480" t="s">
        <v>324</v>
      </c>
      <c r="R3480" t="s">
        <v>329</v>
      </c>
      <c r="S3480" t="s">
        <v>323</v>
      </c>
      <c r="T3480">
        <v>5</v>
      </c>
      <c r="W3480" t="s">
        <v>330</v>
      </c>
      <c r="Y3480" s="42">
        <v>44285</v>
      </c>
    </row>
    <row r="3481" spans="14:25">
      <c r="N3481" s="42">
        <v>44214</v>
      </c>
      <c r="O3481" t="s">
        <v>345</v>
      </c>
      <c r="P3481" s="42">
        <v>44214</v>
      </c>
      <c r="Q3481" t="s">
        <v>345</v>
      </c>
      <c r="R3481" t="s">
        <v>320</v>
      </c>
      <c r="S3481" t="s">
        <v>323</v>
      </c>
      <c r="T3481">
        <v>4</v>
      </c>
      <c r="Y3481" s="42">
        <v>44215</v>
      </c>
    </row>
    <row r="3482" spans="14:25">
      <c r="N3482" s="42">
        <v>44212</v>
      </c>
      <c r="O3482" t="s">
        <v>359</v>
      </c>
      <c r="P3482" s="42">
        <v>44212</v>
      </c>
      <c r="Q3482" t="s">
        <v>359</v>
      </c>
      <c r="R3482" t="s">
        <v>320</v>
      </c>
      <c r="S3482" t="s">
        <v>323</v>
      </c>
      <c r="T3482">
        <v>6</v>
      </c>
      <c r="Y3482" s="42">
        <v>44215</v>
      </c>
    </row>
    <row r="3483" spans="14:25">
      <c r="N3483" s="42">
        <v>44211</v>
      </c>
      <c r="O3483" t="s">
        <v>346</v>
      </c>
      <c r="P3483" s="42">
        <v>44211</v>
      </c>
      <c r="Q3483" t="s">
        <v>346</v>
      </c>
      <c r="R3483" t="s">
        <v>320</v>
      </c>
      <c r="S3483" t="s">
        <v>323</v>
      </c>
      <c r="T3483">
        <v>6</v>
      </c>
      <c r="Y3483" s="42">
        <v>44215</v>
      </c>
    </row>
    <row r="3484" spans="14:25">
      <c r="N3484" s="42">
        <v>44210</v>
      </c>
      <c r="O3484" t="s">
        <v>324</v>
      </c>
      <c r="P3484" s="42">
        <v>44210</v>
      </c>
      <c r="Q3484" t="s">
        <v>324</v>
      </c>
      <c r="R3484" t="s">
        <v>320</v>
      </c>
      <c r="S3484" t="s">
        <v>323</v>
      </c>
      <c r="T3484">
        <v>4</v>
      </c>
      <c r="Y3484" s="42">
        <v>44215</v>
      </c>
    </row>
    <row r="3485" spans="14:25">
      <c r="N3485" s="42">
        <v>44207</v>
      </c>
      <c r="O3485" t="s">
        <v>345</v>
      </c>
      <c r="P3485" s="42">
        <v>44207</v>
      </c>
      <c r="Q3485" t="s">
        <v>345</v>
      </c>
      <c r="R3485" t="s">
        <v>320</v>
      </c>
      <c r="S3485" t="s">
        <v>323</v>
      </c>
      <c r="T3485">
        <v>4</v>
      </c>
      <c r="Y3485" s="42">
        <v>44215</v>
      </c>
    </row>
    <row r="3486" spans="14:25">
      <c r="N3486" s="42">
        <v>44205</v>
      </c>
      <c r="O3486" t="s">
        <v>359</v>
      </c>
      <c r="P3486" s="42">
        <v>44205</v>
      </c>
      <c r="Q3486" t="s">
        <v>359</v>
      </c>
      <c r="R3486" t="s">
        <v>320</v>
      </c>
      <c r="S3486" t="s">
        <v>323</v>
      </c>
      <c r="T3486">
        <v>6</v>
      </c>
      <c r="Y3486" s="42">
        <v>44215</v>
      </c>
    </row>
    <row r="3487" spans="14:25">
      <c r="N3487" s="42">
        <v>44204</v>
      </c>
      <c r="O3487" t="s">
        <v>346</v>
      </c>
      <c r="P3487" s="42">
        <v>44204</v>
      </c>
      <c r="Q3487" t="s">
        <v>346</v>
      </c>
      <c r="R3487" t="s">
        <v>320</v>
      </c>
      <c r="S3487" t="s">
        <v>323</v>
      </c>
      <c r="T3487">
        <v>6</v>
      </c>
      <c r="Y3487" s="42">
        <v>44215</v>
      </c>
    </row>
    <row r="3488" spans="14:25">
      <c r="N3488" s="42">
        <v>44203</v>
      </c>
      <c r="O3488" t="s">
        <v>324</v>
      </c>
      <c r="P3488" s="42">
        <v>44203</v>
      </c>
      <c r="Q3488" t="s">
        <v>324</v>
      </c>
      <c r="R3488" t="s">
        <v>320</v>
      </c>
      <c r="S3488" t="s">
        <v>323</v>
      </c>
      <c r="T3488">
        <v>4</v>
      </c>
      <c r="Y3488" s="42">
        <v>44215</v>
      </c>
    </row>
    <row r="3489" spans="14:25">
      <c r="N3489" s="42">
        <v>44200</v>
      </c>
      <c r="O3489" t="s">
        <v>345</v>
      </c>
      <c r="P3489" s="42">
        <v>44200</v>
      </c>
      <c r="Q3489" t="s">
        <v>345</v>
      </c>
      <c r="R3489" t="s">
        <v>320</v>
      </c>
      <c r="S3489" t="s">
        <v>323</v>
      </c>
      <c r="T3489">
        <v>4</v>
      </c>
      <c r="Y3489" s="42">
        <v>44201</v>
      </c>
    </row>
    <row r="3490" spans="14:25">
      <c r="N3490" s="42">
        <v>44197</v>
      </c>
      <c r="O3490" t="s">
        <v>346</v>
      </c>
      <c r="P3490" s="42">
        <v>44197</v>
      </c>
      <c r="Q3490" t="s">
        <v>346</v>
      </c>
      <c r="R3490" t="s">
        <v>320</v>
      </c>
      <c r="S3490" t="s">
        <v>323</v>
      </c>
      <c r="U3490">
        <v>6</v>
      </c>
    </row>
    <row r="3491" spans="14:25">
      <c r="N3491" s="42">
        <v>44193</v>
      </c>
      <c r="O3491" t="s">
        <v>345</v>
      </c>
      <c r="P3491" s="42">
        <v>44193</v>
      </c>
      <c r="Q3491" t="s">
        <v>345</v>
      </c>
      <c r="R3491" t="s">
        <v>320</v>
      </c>
      <c r="S3491" t="s">
        <v>323</v>
      </c>
      <c r="U3491">
        <v>4</v>
      </c>
    </row>
    <row r="3492" spans="14:25">
      <c r="N3492" s="42">
        <v>44190</v>
      </c>
      <c r="O3492" t="s">
        <v>346</v>
      </c>
      <c r="P3492" s="42">
        <v>44190</v>
      </c>
      <c r="Q3492" t="s">
        <v>346</v>
      </c>
      <c r="R3492" t="s">
        <v>320</v>
      </c>
      <c r="S3492" t="s">
        <v>323</v>
      </c>
      <c r="U3492">
        <v>6</v>
      </c>
    </row>
    <row r="3493" spans="14:25">
      <c r="N3493" s="42">
        <v>44172</v>
      </c>
      <c r="O3493" t="s">
        <v>345</v>
      </c>
      <c r="P3493" s="42">
        <v>44172</v>
      </c>
      <c r="Q3493" t="s">
        <v>345</v>
      </c>
      <c r="R3493" t="s">
        <v>329</v>
      </c>
      <c r="S3493" t="s">
        <v>323</v>
      </c>
      <c r="T3493">
        <v>4</v>
      </c>
      <c r="W3493" t="s">
        <v>330</v>
      </c>
      <c r="Y3493" s="42">
        <v>44173</v>
      </c>
    </row>
    <row r="3494" spans="14:25">
      <c r="N3494" s="42">
        <v>44134</v>
      </c>
      <c r="O3494" t="s">
        <v>346</v>
      </c>
      <c r="P3494" s="42">
        <v>44134</v>
      </c>
      <c r="Q3494" t="s">
        <v>346</v>
      </c>
      <c r="R3494" t="s">
        <v>329</v>
      </c>
      <c r="S3494" t="s">
        <v>323</v>
      </c>
      <c r="T3494">
        <v>6</v>
      </c>
      <c r="W3494" t="s">
        <v>330</v>
      </c>
      <c r="Y3494" s="42">
        <v>44145</v>
      </c>
    </row>
    <row r="3495" spans="14:25">
      <c r="N3495" s="42">
        <v>44121</v>
      </c>
      <c r="O3495" t="s">
        <v>359</v>
      </c>
      <c r="P3495" s="42">
        <v>44121</v>
      </c>
      <c r="Q3495" t="s">
        <v>359</v>
      </c>
      <c r="R3495" t="s">
        <v>329</v>
      </c>
      <c r="S3495" t="s">
        <v>323</v>
      </c>
      <c r="T3495">
        <v>5.5</v>
      </c>
      <c r="W3495" t="s">
        <v>330</v>
      </c>
      <c r="Y3495" s="42">
        <v>44131</v>
      </c>
    </row>
    <row r="3496" spans="14:25">
      <c r="N3496" s="42">
        <v>44120</v>
      </c>
      <c r="O3496" t="s">
        <v>346</v>
      </c>
      <c r="P3496" s="42">
        <v>44120</v>
      </c>
      <c r="Q3496" t="s">
        <v>346</v>
      </c>
      <c r="R3496" t="s">
        <v>329</v>
      </c>
      <c r="S3496" t="s">
        <v>323</v>
      </c>
      <c r="T3496">
        <v>6.5</v>
      </c>
      <c r="W3496" t="s">
        <v>330</v>
      </c>
      <c r="Y3496" s="42">
        <v>44131</v>
      </c>
    </row>
    <row r="3497" spans="14:25">
      <c r="N3497" s="42">
        <v>44119</v>
      </c>
      <c r="O3497" t="s">
        <v>324</v>
      </c>
      <c r="P3497" s="42">
        <v>44119</v>
      </c>
      <c r="Q3497" t="s">
        <v>324</v>
      </c>
      <c r="R3497" t="s">
        <v>329</v>
      </c>
      <c r="S3497" t="s">
        <v>323</v>
      </c>
      <c r="T3497">
        <v>4</v>
      </c>
      <c r="W3497" t="s">
        <v>330</v>
      </c>
      <c r="Y3497" s="42">
        <v>44131</v>
      </c>
    </row>
    <row r="3498" spans="14:25">
      <c r="N3498" s="42">
        <v>44116</v>
      </c>
      <c r="O3498" t="s">
        <v>345</v>
      </c>
      <c r="P3498" s="42">
        <v>44116</v>
      </c>
      <c r="Q3498" t="s">
        <v>345</v>
      </c>
      <c r="R3498" t="s">
        <v>329</v>
      </c>
      <c r="S3498" t="s">
        <v>323</v>
      </c>
      <c r="T3498">
        <v>4</v>
      </c>
      <c r="W3498" t="s">
        <v>330</v>
      </c>
      <c r="Y3498" s="42">
        <v>44117</v>
      </c>
    </row>
    <row r="3499" spans="14:25">
      <c r="N3499" s="42">
        <v>44114</v>
      </c>
      <c r="O3499" t="s">
        <v>359</v>
      </c>
      <c r="P3499" s="42">
        <v>44114</v>
      </c>
      <c r="Q3499" t="s">
        <v>359</v>
      </c>
      <c r="R3499" t="s">
        <v>329</v>
      </c>
      <c r="S3499" t="s">
        <v>323</v>
      </c>
      <c r="T3499">
        <v>6.5</v>
      </c>
      <c r="W3499" t="s">
        <v>330</v>
      </c>
      <c r="Y3499" s="42">
        <v>44117</v>
      </c>
    </row>
    <row r="3500" spans="14:25">
      <c r="N3500" s="42">
        <v>44113</v>
      </c>
      <c r="O3500" t="s">
        <v>346</v>
      </c>
      <c r="P3500" s="42">
        <v>44113</v>
      </c>
      <c r="Q3500" t="s">
        <v>346</v>
      </c>
      <c r="R3500" t="s">
        <v>329</v>
      </c>
      <c r="S3500" t="s">
        <v>323</v>
      </c>
      <c r="T3500">
        <v>6.5</v>
      </c>
      <c r="W3500" t="s">
        <v>330</v>
      </c>
      <c r="Y3500" s="42">
        <v>44117</v>
      </c>
    </row>
    <row r="3501" spans="14:25">
      <c r="N3501" s="42">
        <v>44112</v>
      </c>
      <c r="O3501" t="s">
        <v>324</v>
      </c>
      <c r="P3501" s="42">
        <v>44112</v>
      </c>
      <c r="Q3501" t="s">
        <v>324</v>
      </c>
      <c r="R3501" t="s">
        <v>329</v>
      </c>
      <c r="S3501" t="s">
        <v>323</v>
      </c>
      <c r="T3501">
        <v>4</v>
      </c>
      <c r="W3501" t="s">
        <v>330</v>
      </c>
      <c r="Y3501" s="42">
        <v>44117</v>
      </c>
    </row>
    <row r="3502" spans="14:25">
      <c r="N3502" s="42">
        <v>44109</v>
      </c>
      <c r="O3502" t="s">
        <v>345</v>
      </c>
      <c r="P3502" s="42">
        <v>44109</v>
      </c>
      <c r="Q3502" t="s">
        <v>345</v>
      </c>
      <c r="R3502" t="s">
        <v>320</v>
      </c>
      <c r="S3502" t="s">
        <v>323</v>
      </c>
      <c r="U3502">
        <v>4</v>
      </c>
    </row>
    <row r="3503" spans="14:25">
      <c r="N3503" s="42">
        <v>44106</v>
      </c>
      <c r="O3503" t="s">
        <v>346</v>
      </c>
      <c r="P3503" s="42">
        <v>44106</v>
      </c>
      <c r="Q3503" t="s">
        <v>346</v>
      </c>
      <c r="R3503" t="s">
        <v>329</v>
      </c>
      <c r="S3503" t="s">
        <v>323</v>
      </c>
      <c r="T3503">
        <v>6.5</v>
      </c>
      <c r="W3503" t="s">
        <v>330</v>
      </c>
      <c r="Y3503" s="42">
        <v>44117</v>
      </c>
    </row>
    <row r="3504" spans="14:25">
      <c r="N3504" s="42">
        <v>44105</v>
      </c>
      <c r="O3504" t="s">
        <v>324</v>
      </c>
      <c r="P3504" s="42">
        <v>44105</v>
      </c>
      <c r="Q3504" t="s">
        <v>324</v>
      </c>
      <c r="R3504" t="s">
        <v>329</v>
      </c>
      <c r="S3504" t="s">
        <v>323</v>
      </c>
      <c r="T3504">
        <v>4</v>
      </c>
      <c r="W3504" t="s">
        <v>330</v>
      </c>
      <c r="Y3504" s="42">
        <v>44117</v>
      </c>
    </row>
    <row r="3505" spans="14:25">
      <c r="N3505" s="42">
        <v>44102</v>
      </c>
      <c r="O3505" t="s">
        <v>345</v>
      </c>
      <c r="P3505" s="42">
        <v>44102</v>
      </c>
      <c r="Q3505" t="s">
        <v>345</v>
      </c>
      <c r="R3505" t="s">
        <v>329</v>
      </c>
      <c r="S3505" t="s">
        <v>323</v>
      </c>
      <c r="T3505">
        <v>4</v>
      </c>
      <c r="W3505" t="s">
        <v>330</v>
      </c>
      <c r="Y3505" s="42">
        <v>44103</v>
      </c>
    </row>
    <row r="3506" spans="14:25">
      <c r="N3506" s="42">
        <v>44099</v>
      </c>
      <c r="O3506" t="s">
        <v>346</v>
      </c>
      <c r="P3506" s="42">
        <v>44099</v>
      </c>
      <c r="Q3506" t="s">
        <v>346</v>
      </c>
      <c r="R3506" t="s">
        <v>329</v>
      </c>
      <c r="S3506" t="s">
        <v>323</v>
      </c>
      <c r="T3506">
        <v>6.5</v>
      </c>
      <c r="W3506" t="s">
        <v>330</v>
      </c>
      <c r="Y3506" s="42">
        <v>44103</v>
      </c>
    </row>
    <row r="3507" spans="14:25">
      <c r="N3507" s="42">
        <v>44098</v>
      </c>
      <c r="O3507" t="s">
        <v>324</v>
      </c>
      <c r="P3507" s="42">
        <v>44098</v>
      </c>
      <c r="Q3507" t="s">
        <v>324</v>
      </c>
      <c r="R3507" t="s">
        <v>329</v>
      </c>
      <c r="S3507" t="s">
        <v>323</v>
      </c>
      <c r="T3507">
        <v>4</v>
      </c>
      <c r="W3507" t="s">
        <v>330</v>
      </c>
      <c r="Y3507" s="42">
        <v>44103</v>
      </c>
    </row>
    <row r="3508" spans="14:25">
      <c r="N3508" s="42">
        <v>44095</v>
      </c>
      <c r="O3508" t="s">
        <v>345</v>
      </c>
      <c r="P3508" s="42">
        <v>44095</v>
      </c>
      <c r="Q3508" t="s">
        <v>345</v>
      </c>
      <c r="R3508" t="s">
        <v>329</v>
      </c>
      <c r="S3508" t="s">
        <v>323</v>
      </c>
      <c r="T3508">
        <v>4</v>
      </c>
      <c r="W3508" t="s">
        <v>330</v>
      </c>
      <c r="Y3508" s="42">
        <v>44103</v>
      </c>
    </row>
    <row r="3509" spans="14:25">
      <c r="N3509" s="42">
        <v>44021</v>
      </c>
      <c r="O3509" t="s">
        <v>324</v>
      </c>
      <c r="P3509" s="42">
        <v>44021</v>
      </c>
      <c r="Q3509" t="s">
        <v>324</v>
      </c>
      <c r="R3509" t="s">
        <v>329</v>
      </c>
      <c r="S3509" t="s">
        <v>323</v>
      </c>
      <c r="T3509">
        <v>4</v>
      </c>
      <c r="W3509" t="s">
        <v>330</v>
      </c>
      <c r="Y3509" s="42">
        <v>44033</v>
      </c>
    </row>
    <row r="3510" spans="14:25">
      <c r="N3510" s="42">
        <v>44014</v>
      </c>
      <c r="O3510" t="s">
        <v>324</v>
      </c>
      <c r="P3510" s="42">
        <v>44014</v>
      </c>
      <c r="Q3510" t="s">
        <v>324</v>
      </c>
      <c r="R3510" t="s">
        <v>329</v>
      </c>
      <c r="S3510" t="s">
        <v>323</v>
      </c>
      <c r="T3510">
        <v>4</v>
      </c>
      <c r="W3510" t="s">
        <v>330</v>
      </c>
      <c r="Y3510" s="42">
        <v>44019</v>
      </c>
    </row>
    <row r="3511" spans="14:25">
      <c r="N3511" s="42">
        <v>43976</v>
      </c>
      <c r="O3511" t="s">
        <v>345</v>
      </c>
      <c r="P3511" s="42">
        <v>43976</v>
      </c>
      <c r="Q3511" t="s">
        <v>345</v>
      </c>
      <c r="R3511" t="s">
        <v>320</v>
      </c>
      <c r="S3511" t="s">
        <v>323</v>
      </c>
      <c r="T3511">
        <v>4</v>
      </c>
      <c r="Y3511" s="42">
        <v>43977</v>
      </c>
    </row>
    <row r="3512" spans="14:25">
      <c r="N3512" s="42">
        <v>43974</v>
      </c>
      <c r="O3512" t="s">
        <v>359</v>
      </c>
      <c r="P3512" s="42">
        <v>43974</v>
      </c>
      <c r="Q3512" t="s">
        <v>359</v>
      </c>
      <c r="R3512" t="s">
        <v>320</v>
      </c>
      <c r="S3512" t="s">
        <v>323</v>
      </c>
      <c r="T3512">
        <v>6.5</v>
      </c>
      <c r="Y3512" s="42">
        <v>43977</v>
      </c>
    </row>
    <row r="3513" spans="14:25">
      <c r="N3513" s="42">
        <v>43951</v>
      </c>
      <c r="O3513" t="s">
        <v>324</v>
      </c>
      <c r="P3513" s="42">
        <v>43951</v>
      </c>
      <c r="Q3513" t="s">
        <v>324</v>
      </c>
      <c r="R3513" t="s">
        <v>329</v>
      </c>
      <c r="S3513" t="s">
        <v>323</v>
      </c>
      <c r="T3513">
        <v>0.5</v>
      </c>
      <c r="W3513" t="s">
        <v>330</v>
      </c>
      <c r="Y3513" s="42">
        <v>43963</v>
      </c>
    </row>
    <row r="3514" spans="14:25">
      <c r="N3514" s="42">
        <v>43838</v>
      </c>
      <c r="O3514" t="s">
        <v>328</v>
      </c>
      <c r="P3514" s="42">
        <v>43851</v>
      </c>
      <c r="Q3514" t="s">
        <v>333</v>
      </c>
      <c r="R3514" t="s">
        <v>320</v>
      </c>
      <c r="S3514" t="s">
        <v>323</v>
      </c>
      <c r="T3514">
        <v>40</v>
      </c>
      <c r="Y3514" s="42">
        <v>43851</v>
      </c>
    </row>
    <row r="3515" spans="14:25">
      <c r="N3515" s="42">
        <v>43836</v>
      </c>
      <c r="O3515" t="s">
        <v>345</v>
      </c>
      <c r="P3515" s="42">
        <v>43836</v>
      </c>
      <c r="Q3515" t="s">
        <v>345</v>
      </c>
      <c r="R3515" t="s">
        <v>320</v>
      </c>
      <c r="S3515" t="s">
        <v>323</v>
      </c>
      <c r="T3515">
        <v>5</v>
      </c>
      <c r="Y3515" s="42">
        <v>43837</v>
      </c>
    </row>
    <row r="3516" spans="14:25">
      <c r="N3516" s="42">
        <v>43804</v>
      </c>
      <c r="O3516" t="s">
        <v>324</v>
      </c>
      <c r="P3516" s="42">
        <v>43804</v>
      </c>
      <c r="Q3516" t="s">
        <v>324</v>
      </c>
      <c r="R3516" t="s">
        <v>329</v>
      </c>
      <c r="S3516" t="s">
        <v>323</v>
      </c>
      <c r="T3516">
        <v>4</v>
      </c>
      <c r="W3516" t="s">
        <v>330</v>
      </c>
      <c r="Y3516" s="42">
        <v>43809</v>
      </c>
    </row>
    <row r="3517" spans="14:25">
      <c r="N3517" s="42">
        <v>43759</v>
      </c>
      <c r="O3517" t="s">
        <v>345</v>
      </c>
      <c r="P3517" s="42">
        <v>43759</v>
      </c>
      <c r="Q3517" t="s">
        <v>345</v>
      </c>
      <c r="R3517" t="s">
        <v>329</v>
      </c>
      <c r="S3517" t="s">
        <v>323</v>
      </c>
      <c r="T3517">
        <v>5</v>
      </c>
      <c r="W3517" t="s">
        <v>330</v>
      </c>
      <c r="Y3517" s="42">
        <v>43767</v>
      </c>
    </row>
    <row r="3518" spans="14:25">
      <c r="N3518" s="42">
        <v>43722</v>
      </c>
      <c r="O3518" t="s">
        <v>359</v>
      </c>
      <c r="P3518" s="42">
        <v>43722</v>
      </c>
      <c r="Q3518" t="s">
        <v>359</v>
      </c>
      <c r="R3518" t="s">
        <v>320</v>
      </c>
      <c r="S3518" t="s">
        <v>323</v>
      </c>
      <c r="T3518">
        <v>5</v>
      </c>
      <c r="Y3518" s="42">
        <v>43725</v>
      </c>
    </row>
    <row r="3519" spans="14:25">
      <c r="N3519" s="42">
        <v>43721</v>
      </c>
      <c r="O3519" t="s">
        <v>346</v>
      </c>
      <c r="P3519" s="42">
        <v>43721</v>
      </c>
      <c r="Q3519" t="s">
        <v>346</v>
      </c>
      <c r="R3519" t="s">
        <v>320</v>
      </c>
      <c r="S3519" t="s">
        <v>323</v>
      </c>
      <c r="T3519">
        <v>6</v>
      </c>
      <c r="Y3519" s="42">
        <v>43725</v>
      </c>
    </row>
    <row r="3520" spans="14:25">
      <c r="N3520" s="42">
        <v>43672</v>
      </c>
      <c r="O3520" t="s">
        <v>346</v>
      </c>
      <c r="P3520" s="42">
        <v>43673</v>
      </c>
      <c r="Q3520" t="s">
        <v>359</v>
      </c>
      <c r="R3520" t="s">
        <v>329</v>
      </c>
      <c r="S3520" t="s">
        <v>323</v>
      </c>
      <c r="T3520">
        <v>11</v>
      </c>
      <c r="W3520" t="s">
        <v>330</v>
      </c>
      <c r="Y3520" s="42">
        <v>43683</v>
      </c>
    </row>
    <row r="3521" spans="1:25">
      <c r="N3521" s="42">
        <v>43652</v>
      </c>
      <c r="O3521" t="s">
        <v>359</v>
      </c>
      <c r="P3521" s="42">
        <v>43652</v>
      </c>
      <c r="Q3521" t="s">
        <v>359</v>
      </c>
      <c r="R3521" t="s">
        <v>329</v>
      </c>
      <c r="S3521" t="s">
        <v>323</v>
      </c>
      <c r="T3521">
        <v>5.5</v>
      </c>
      <c r="W3521" t="s">
        <v>330</v>
      </c>
      <c r="Y3521" s="42">
        <v>43655</v>
      </c>
    </row>
    <row r="3522" spans="1:25">
      <c r="A3522">
        <v>18649</v>
      </c>
      <c r="B3522" t="s">
        <v>397</v>
      </c>
      <c r="C3522" t="s">
        <v>320</v>
      </c>
      <c r="D3522" t="s">
        <v>321</v>
      </c>
      <c r="E3522" t="s">
        <v>322</v>
      </c>
      <c r="F3522">
        <v>1</v>
      </c>
      <c r="G3522" s="42">
        <v>45261</v>
      </c>
      <c r="H3522">
        <v>40.923099999999998</v>
      </c>
      <c r="I3522">
        <v>70.310100000000006</v>
      </c>
      <c r="J3522">
        <v>40.923099999999998</v>
      </c>
      <c r="K3522">
        <v>111.2332</v>
      </c>
      <c r="L3522" t="s">
        <v>323</v>
      </c>
      <c r="M3522" s="43">
        <v>0.33888888888888885</v>
      </c>
      <c r="N3522" s="42">
        <v>44952</v>
      </c>
      <c r="O3522" t="s">
        <v>324</v>
      </c>
      <c r="P3522" s="42">
        <v>44952</v>
      </c>
      <c r="Q3522" t="s">
        <v>324</v>
      </c>
      <c r="R3522" t="s">
        <v>320</v>
      </c>
      <c r="S3522" t="s">
        <v>323</v>
      </c>
      <c r="U3522">
        <v>7.6</v>
      </c>
      <c r="Y3522" s="42">
        <v>44957</v>
      </c>
    </row>
    <row r="3523" spans="1:25">
      <c r="C3523" t="s">
        <v>325</v>
      </c>
      <c r="D3523" t="s">
        <v>393</v>
      </c>
      <c r="E3523" t="s">
        <v>394</v>
      </c>
      <c r="F3523">
        <v>1</v>
      </c>
      <c r="G3523" s="42">
        <v>45627</v>
      </c>
      <c r="H3523">
        <v>314.7371</v>
      </c>
      <c r="I3523">
        <v>0</v>
      </c>
      <c r="J3523">
        <v>314.7371</v>
      </c>
      <c r="K3523">
        <v>314.7371</v>
      </c>
      <c r="L3523" t="s">
        <v>323</v>
      </c>
      <c r="N3523" s="42">
        <v>44928</v>
      </c>
      <c r="O3523" t="s">
        <v>345</v>
      </c>
      <c r="P3523" s="42">
        <v>44928</v>
      </c>
      <c r="Q3523" t="s">
        <v>345</v>
      </c>
      <c r="R3523" t="s">
        <v>320</v>
      </c>
      <c r="S3523" t="s">
        <v>323</v>
      </c>
      <c r="U3523">
        <v>7.6</v>
      </c>
      <c r="Y3523" s="42">
        <v>44929</v>
      </c>
    </row>
    <row r="3524" spans="1:25">
      <c r="C3524" t="s">
        <v>329</v>
      </c>
      <c r="D3524" t="s">
        <v>331</v>
      </c>
      <c r="E3524" t="s">
        <v>332</v>
      </c>
      <c r="F3524">
        <v>1</v>
      </c>
      <c r="G3524" s="42">
        <v>45261</v>
      </c>
      <c r="H3524">
        <v>20.461500000000001</v>
      </c>
      <c r="I3524">
        <v>197.6645</v>
      </c>
      <c r="J3524">
        <v>20.461500000000001</v>
      </c>
      <c r="K3524">
        <v>218.126</v>
      </c>
      <c r="L3524" t="s">
        <v>323</v>
      </c>
      <c r="N3524" s="42">
        <v>44922</v>
      </c>
      <c r="O3524" t="s">
        <v>333</v>
      </c>
      <c r="P3524" s="42">
        <v>44922</v>
      </c>
      <c r="Q3524" t="s">
        <v>333</v>
      </c>
      <c r="R3524" t="s">
        <v>320</v>
      </c>
      <c r="S3524" t="s">
        <v>323</v>
      </c>
      <c r="U3524">
        <v>7.6</v>
      </c>
      <c r="Y3524" s="42">
        <v>44929</v>
      </c>
    </row>
    <row r="3525" spans="1:25">
      <c r="N3525" s="42">
        <v>44921</v>
      </c>
      <c r="O3525" t="s">
        <v>345</v>
      </c>
      <c r="P3525" s="42">
        <v>44921</v>
      </c>
      <c r="Q3525" t="s">
        <v>345</v>
      </c>
      <c r="R3525" t="s">
        <v>320</v>
      </c>
      <c r="S3525" t="s">
        <v>323</v>
      </c>
      <c r="U3525">
        <v>7.6</v>
      </c>
      <c r="Y3525" s="42">
        <v>44929</v>
      </c>
    </row>
    <row r="3526" spans="1:25">
      <c r="N3526" s="42">
        <v>44893</v>
      </c>
      <c r="O3526" t="s">
        <v>345</v>
      </c>
      <c r="P3526" s="42">
        <v>44895</v>
      </c>
      <c r="Q3526" t="s">
        <v>328</v>
      </c>
      <c r="R3526" t="s">
        <v>320</v>
      </c>
      <c r="S3526" t="s">
        <v>323</v>
      </c>
      <c r="T3526">
        <v>22.8</v>
      </c>
      <c r="V3526">
        <v>0</v>
      </c>
      <c r="Y3526" s="42">
        <v>44901</v>
      </c>
    </row>
    <row r="3527" spans="1:25">
      <c r="N3527" s="42">
        <v>44874</v>
      </c>
      <c r="O3527" t="s">
        <v>328</v>
      </c>
      <c r="P3527" s="42">
        <v>44874</v>
      </c>
      <c r="Q3527" t="s">
        <v>328</v>
      </c>
      <c r="R3527" t="s">
        <v>329</v>
      </c>
      <c r="S3527" t="s">
        <v>323</v>
      </c>
      <c r="T3527">
        <v>7.6</v>
      </c>
      <c r="W3527" t="s">
        <v>339</v>
      </c>
      <c r="Y3527" s="42">
        <v>44901</v>
      </c>
    </row>
    <row r="3528" spans="1:25">
      <c r="N3528" s="42">
        <v>44832</v>
      </c>
      <c r="O3528" t="s">
        <v>328</v>
      </c>
      <c r="P3528" s="42">
        <v>44840</v>
      </c>
      <c r="Q3528" t="s">
        <v>324</v>
      </c>
      <c r="R3528" t="s">
        <v>320</v>
      </c>
      <c r="S3528" t="s">
        <v>323</v>
      </c>
      <c r="T3528">
        <v>30.4</v>
      </c>
      <c r="U3528">
        <v>7.6</v>
      </c>
      <c r="V3528">
        <v>0</v>
      </c>
      <c r="Y3528" s="42">
        <v>44845</v>
      </c>
    </row>
    <row r="3529" spans="1:25">
      <c r="N3529" s="42">
        <v>44818</v>
      </c>
      <c r="O3529" t="s">
        <v>328</v>
      </c>
      <c r="P3529" s="42">
        <v>44831</v>
      </c>
      <c r="Q3529" t="s">
        <v>333</v>
      </c>
      <c r="R3529" t="s">
        <v>320</v>
      </c>
      <c r="S3529" t="s">
        <v>323</v>
      </c>
      <c r="T3529">
        <v>76</v>
      </c>
      <c r="U3529">
        <v>0</v>
      </c>
      <c r="V3529">
        <v>0</v>
      </c>
      <c r="Y3529" s="42">
        <v>44831</v>
      </c>
    </row>
    <row r="3530" spans="1:25">
      <c r="N3530" s="42">
        <v>44783</v>
      </c>
      <c r="O3530" t="s">
        <v>328</v>
      </c>
      <c r="P3530" s="42">
        <v>44783</v>
      </c>
      <c r="Q3530" t="s">
        <v>328</v>
      </c>
      <c r="R3530" t="s">
        <v>320</v>
      </c>
      <c r="S3530" t="s">
        <v>323</v>
      </c>
      <c r="U3530">
        <v>7.6</v>
      </c>
      <c r="Y3530" s="42">
        <v>44789</v>
      </c>
    </row>
    <row r="3531" spans="1:25">
      <c r="N3531" s="42">
        <v>44706</v>
      </c>
      <c r="O3531" t="s">
        <v>328</v>
      </c>
      <c r="P3531" s="42">
        <v>44717</v>
      </c>
      <c r="Q3531" t="s">
        <v>344</v>
      </c>
      <c r="R3531" t="s">
        <v>320</v>
      </c>
      <c r="S3531" t="s">
        <v>323</v>
      </c>
      <c r="T3531">
        <v>60.8</v>
      </c>
      <c r="U3531">
        <v>0</v>
      </c>
      <c r="V3531">
        <v>0</v>
      </c>
      <c r="Y3531" s="42">
        <v>44719</v>
      </c>
    </row>
    <row r="3532" spans="1:25">
      <c r="N3532" s="42">
        <v>44699</v>
      </c>
      <c r="O3532" t="s">
        <v>328</v>
      </c>
      <c r="P3532" s="42">
        <v>44705</v>
      </c>
      <c r="Q3532" t="s">
        <v>333</v>
      </c>
      <c r="R3532" t="s">
        <v>320</v>
      </c>
      <c r="S3532" t="s">
        <v>323</v>
      </c>
      <c r="T3532">
        <v>38</v>
      </c>
      <c r="U3532">
        <v>0</v>
      </c>
      <c r="V3532">
        <v>0</v>
      </c>
      <c r="Y3532" s="42">
        <v>44705</v>
      </c>
    </row>
    <row r="3533" spans="1:25">
      <c r="N3533" s="42">
        <v>44683</v>
      </c>
      <c r="O3533" t="s">
        <v>345</v>
      </c>
      <c r="P3533" s="42">
        <v>44683</v>
      </c>
      <c r="Q3533" t="s">
        <v>345</v>
      </c>
      <c r="R3533" t="s">
        <v>320</v>
      </c>
      <c r="S3533" t="s">
        <v>323</v>
      </c>
      <c r="U3533">
        <v>7.6</v>
      </c>
      <c r="Y3533" s="42">
        <v>44691</v>
      </c>
    </row>
    <row r="3534" spans="1:25">
      <c r="N3534" s="42">
        <v>44676</v>
      </c>
      <c r="O3534" t="s">
        <v>345</v>
      </c>
      <c r="P3534" s="42">
        <v>44676</v>
      </c>
      <c r="Q3534" t="s">
        <v>345</v>
      </c>
      <c r="R3534" t="s">
        <v>320</v>
      </c>
      <c r="S3534" t="s">
        <v>323</v>
      </c>
      <c r="U3534">
        <v>7.6</v>
      </c>
      <c r="Y3534" s="42">
        <v>44677</v>
      </c>
    </row>
    <row r="3535" spans="1:25">
      <c r="N3535" s="42">
        <v>44669</v>
      </c>
      <c r="O3535" t="s">
        <v>345</v>
      </c>
      <c r="P3535" s="42">
        <v>44669</v>
      </c>
      <c r="Q3535" t="s">
        <v>345</v>
      </c>
      <c r="R3535" t="s">
        <v>320</v>
      </c>
      <c r="S3535" t="s">
        <v>323</v>
      </c>
      <c r="U3535">
        <v>7.6</v>
      </c>
      <c r="Y3535" s="42">
        <v>44677</v>
      </c>
    </row>
    <row r="3536" spans="1:25">
      <c r="N3536" s="42">
        <v>44666</v>
      </c>
      <c r="O3536" t="s">
        <v>346</v>
      </c>
      <c r="P3536" s="42">
        <v>44666</v>
      </c>
      <c r="Q3536" t="s">
        <v>346</v>
      </c>
      <c r="R3536" t="s">
        <v>320</v>
      </c>
      <c r="S3536" t="s">
        <v>323</v>
      </c>
      <c r="U3536">
        <v>7.6</v>
      </c>
      <c r="Y3536" s="42">
        <v>44677</v>
      </c>
    </row>
    <row r="3537" spans="14:25">
      <c r="N3537" s="42">
        <v>44587</v>
      </c>
      <c r="O3537" t="s">
        <v>328</v>
      </c>
      <c r="P3537" s="42">
        <v>44587</v>
      </c>
      <c r="Q3537" t="s">
        <v>328</v>
      </c>
      <c r="R3537" t="s">
        <v>320</v>
      </c>
      <c r="S3537" t="s">
        <v>323</v>
      </c>
      <c r="U3537">
        <v>7.6</v>
      </c>
      <c r="Y3537" s="42">
        <v>44593</v>
      </c>
    </row>
    <row r="3538" spans="14:25">
      <c r="N3538" s="42">
        <v>44571</v>
      </c>
      <c r="O3538" t="s">
        <v>345</v>
      </c>
      <c r="P3538" s="42">
        <v>44574</v>
      </c>
      <c r="Q3538" t="s">
        <v>324</v>
      </c>
      <c r="R3538" t="s">
        <v>320</v>
      </c>
      <c r="S3538" t="s">
        <v>323</v>
      </c>
      <c r="T3538">
        <v>30.4</v>
      </c>
      <c r="V3538">
        <v>0</v>
      </c>
      <c r="Y3538" s="42">
        <v>44579</v>
      </c>
    </row>
    <row r="3539" spans="14:25">
      <c r="N3539" s="42">
        <v>44566</v>
      </c>
      <c r="O3539" t="s">
        <v>328</v>
      </c>
      <c r="P3539" s="42">
        <v>44567</v>
      </c>
      <c r="Q3539" t="s">
        <v>324</v>
      </c>
      <c r="R3539" t="s">
        <v>320</v>
      </c>
      <c r="S3539" t="s">
        <v>323</v>
      </c>
      <c r="T3539">
        <v>15.2</v>
      </c>
      <c r="V3539">
        <v>0</v>
      </c>
      <c r="Y3539" s="42">
        <v>44579</v>
      </c>
    </row>
    <row r="3540" spans="14:25">
      <c r="N3540" s="42">
        <v>44564</v>
      </c>
      <c r="O3540" t="s">
        <v>345</v>
      </c>
      <c r="P3540" s="42">
        <v>44564</v>
      </c>
      <c r="Q3540" t="s">
        <v>345</v>
      </c>
      <c r="R3540" t="s">
        <v>320</v>
      </c>
      <c r="S3540" t="s">
        <v>323</v>
      </c>
      <c r="U3540">
        <v>7.6</v>
      </c>
      <c r="Y3540" s="42">
        <v>44565</v>
      </c>
    </row>
    <row r="3541" spans="14:25">
      <c r="N3541" s="42">
        <v>44559</v>
      </c>
      <c r="O3541" t="s">
        <v>328</v>
      </c>
      <c r="P3541" s="42">
        <v>44560</v>
      </c>
      <c r="Q3541" t="s">
        <v>324</v>
      </c>
      <c r="R3541" t="s">
        <v>320</v>
      </c>
      <c r="S3541" t="s">
        <v>323</v>
      </c>
      <c r="T3541">
        <v>15.2</v>
      </c>
      <c r="V3541">
        <v>0</v>
      </c>
      <c r="Y3541" s="42">
        <v>44565</v>
      </c>
    </row>
    <row r="3542" spans="14:25">
      <c r="N3542" s="42">
        <v>44558</v>
      </c>
      <c r="O3542" t="s">
        <v>333</v>
      </c>
      <c r="P3542" s="42">
        <v>44558</v>
      </c>
      <c r="Q3542" t="s">
        <v>333</v>
      </c>
      <c r="R3542" t="s">
        <v>320</v>
      </c>
      <c r="S3542" t="s">
        <v>323</v>
      </c>
      <c r="U3542">
        <v>7.6</v>
      </c>
      <c r="Y3542" s="42">
        <v>44565</v>
      </c>
    </row>
    <row r="3543" spans="14:25">
      <c r="N3543" s="42">
        <v>44557</v>
      </c>
      <c r="O3543" t="s">
        <v>345</v>
      </c>
      <c r="P3543" s="42">
        <v>44557</v>
      </c>
      <c r="Q3543" t="s">
        <v>345</v>
      </c>
      <c r="R3543" t="s">
        <v>320</v>
      </c>
      <c r="S3543" t="s">
        <v>323</v>
      </c>
      <c r="U3543">
        <v>7.6</v>
      </c>
      <c r="Y3543" s="42">
        <v>44565</v>
      </c>
    </row>
    <row r="3544" spans="14:25">
      <c r="N3544" s="42">
        <v>44515</v>
      </c>
      <c r="O3544" t="s">
        <v>345</v>
      </c>
      <c r="P3544" s="42">
        <v>44515</v>
      </c>
      <c r="Q3544" t="s">
        <v>345</v>
      </c>
      <c r="R3544" t="s">
        <v>320</v>
      </c>
      <c r="S3544" t="s">
        <v>323</v>
      </c>
      <c r="T3544">
        <v>7.6</v>
      </c>
      <c r="V3544">
        <v>0</v>
      </c>
      <c r="Y3544" s="42">
        <v>44523</v>
      </c>
    </row>
    <row r="3545" spans="14:25">
      <c r="N3545" s="42">
        <v>44496</v>
      </c>
      <c r="O3545" t="s">
        <v>328</v>
      </c>
      <c r="P3545" s="42">
        <v>44497</v>
      </c>
      <c r="Q3545" t="s">
        <v>324</v>
      </c>
      <c r="R3545" t="s">
        <v>329</v>
      </c>
      <c r="S3545" t="s">
        <v>323</v>
      </c>
      <c r="T3545">
        <v>15.2</v>
      </c>
      <c r="W3545" t="s">
        <v>339</v>
      </c>
      <c r="Y3545" s="42">
        <v>44509</v>
      </c>
    </row>
    <row r="3546" spans="14:25">
      <c r="N3546" s="42">
        <v>44473</v>
      </c>
      <c r="O3546" t="s">
        <v>345</v>
      </c>
      <c r="P3546" s="42">
        <v>44473</v>
      </c>
      <c r="Q3546" t="s">
        <v>345</v>
      </c>
      <c r="R3546" t="s">
        <v>320</v>
      </c>
      <c r="S3546" t="s">
        <v>323</v>
      </c>
      <c r="U3546">
        <v>7.6</v>
      </c>
      <c r="Y3546" s="42">
        <v>44481</v>
      </c>
    </row>
    <row r="3547" spans="14:25">
      <c r="N3547" s="42">
        <v>44440</v>
      </c>
      <c r="O3547" t="s">
        <v>328</v>
      </c>
      <c r="P3547" s="42">
        <v>44441</v>
      </c>
      <c r="Q3547" t="s">
        <v>324</v>
      </c>
      <c r="R3547" t="s">
        <v>320</v>
      </c>
      <c r="S3547" t="s">
        <v>323</v>
      </c>
      <c r="T3547">
        <v>15.2</v>
      </c>
      <c r="V3547">
        <v>0</v>
      </c>
      <c r="Y3547" s="42">
        <v>44453</v>
      </c>
    </row>
    <row r="3548" spans="14:25">
      <c r="N3548" s="42">
        <v>44433</v>
      </c>
      <c r="O3548" t="s">
        <v>328</v>
      </c>
      <c r="P3548" s="42">
        <v>44434</v>
      </c>
      <c r="Q3548" t="s">
        <v>324</v>
      </c>
      <c r="R3548" t="s">
        <v>320</v>
      </c>
      <c r="S3548" t="s">
        <v>323</v>
      </c>
      <c r="T3548">
        <v>15.2</v>
      </c>
      <c r="V3548">
        <v>0</v>
      </c>
      <c r="Y3548" s="42">
        <v>44439</v>
      </c>
    </row>
    <row r="3549" spans="14:25">
      <c r="N3549" s="42">
        <v>44406</v>
      </c>
      <c r="O3549" t="s">
        <v>324</v>
      </c>
      <c r="P3549" s="42">
        <v>44406</v>
      </c>
      <c r="Q3549" t="s">
        <v>324</v>
      </c>
      <c r="R3549" t="s">
        <v>329</v>
      </c>
      <c r="S3549" t="s">
        <v>323</v>
      </c>
      <c r="T3549">
        <v>7.6</v>
      </c>
      <c r="W3549" t="s">
        <v>339</v>
      </c>
      <c r="Y3549" s="42">
        <v>44411</v>
      </c>
    </row>
    <row r="3550" spans="14:25">
      <c r="N3550" s="42">
        <v>44384</v>
      </c>
      <c r="O3550" t="s">
        <v>328</v>
      </c>
      <c r="P3550" s="42">
        <v>44384</v>
      </c>
      <c r="Q3550" t="s">
        <v>328</v>
      </c>
      <c r="R3550" t="s">
        <v>329</v>
      </c>
      <c r="S3550" t="s">
        <v>323</v>
      </c>
      <c r="T3550">
        <v>7.6</v>
      </c>
      <c r="U3550">
        <v>0</v>
      </c>
      <c r="W3550" t="s">
        <v>339</v>
      </c>
      <c r="Y3550" s="42">
        <v>44397</v>
      </c>
    </row>
    <row r="3551" spans="14:25">
      <c r="N3551" s="42">
        <v>44383</v>
      </c>
      <c r="O3551" t="s">
        <v>333</v>
      </c>
      <c r="P3551" s="42">
        <v>44383</v>
      </c>
      <c r="Q3551" t="s">
        <v>333</v>
      </c>
      <c r="R3551" t="s">
        <v>329</v>
      </c>
      <c r="S3551" t="s">
        <v>323</v>
      </c>
      <c r="T3551">
        <v>7.6</v>
      </c>
      <c r="U3551">
        <v>0</v>
      </c>
      <c r="W3551" t="s">
        <v>339</v>
      </c>
      <c r="Y3551" s="42">
        <v>44383</v>
      </c>
    </row>
    <row r="3552" spans="14:25">
      <c r="N3552" s="42">
        <v>44370</v>
      </c>
      <c r="O3552" t="s">
        <v>328</v>
      </c>
      <c r="P3552" s="42">
        <v>44371</v>
      </c>
      <c r="Q3552" t="s">
        <v>324</v>
      </c>
      <c r="R3552" t="s">
        <v>320</v>
      </c>
      <c r="S3552" t="s">
        <v>323</v>
      </c>
      <c r="T3552">
        <v>15.2</v>
      </c>
      <c r="V3552">
        <v>0</v>
      </c>
      <c r="Y3552" s="42">
        <v>44383</v>
      </c>
    </row>
    <row r="3553" spans="14:25">
      <c r="N3553" s="42">
        <v>44319</v>
      </c>
      <c r="O3553" t="s">
        <v>345</v>
      </c>
      <c r="P3553" s="42">
        <v>44319</v>
      </c>
      <c r="Q3553" t="s">
        <v>345</v>
      </c>
      <c r="R3553" t="s">
        <v>320</v>
      </c>
      <c r="S3553" t="s">
        <v>323</v>
      </c>
      <c r="U3553">
        <v>7.6</v>
      </c>
      <c r="Y3553" s="42">
        <v>44327</v>
      </c>
    </row>
    <row r="3554" spans="14:25">
      <c r="N3554" s="42">
        <v>44314</v>
      </c>
      <c r="O3554" t="s">
        <v>328</v>
      </c>
      <c r="P3554" s="42">
        <v>44315</v>
      </c>
      <c r="Q3554" t="s">
        <v>324</v>
      </c>
      <c r="R3554" t="s">
        <v>354</v>
      </c>
      <c r="S3554" t="s">
        <v>323</v>
      </c>
      <c r="T3554">
        <v>12.4</v>
      </c>
      <c r="U3554">
        <v>0</v>
      </c>
      <c r="W3554" t="s">
        <v>339</v>
      </c>
      <c r="Y3554" s="42">
        <v>44327</v>
      </c>
    </row>
    <row r="3555" spans="14:25">
      <c r="N3555" s="42">
        <v>44313</v>
      </c>
      <c r="O3555" t="s">
        <v>333</v>
      </c>
      <c r="P3555" s="42">
        <v>44313</v>
      </c>
      <c r="Q3555" t="s">
        <v>333</v>
      </c>
      <c r="R3555" t="s">
        <v>354</v>
      </c>
      <c r="S3555" t="s">
        <v>323</v>
      </c>
      <c r="T3555">
        <v>7.6</v>
      </c>
      <c r="U3555">
        <v>0</v>
      </c>
      <c r="W3555" t="s">
        <v>339</v>
      </c>
      <c r="Y3555" s="42">
        <v>44313</v>
      </c>
    </row>
    <row r="3556" spans="14:25">
      <c r="N3556" s="42">
        <v>44312</v>
      </c>
      <c r="O3556" t="s">
        <v>345</v>
      </c>
      <c r="P3556" s="42">
        <v>44312</v>
      </c>
      <c r="Q3556" t="s">
        <v>345</v>
      </c>
      <c r="R3556" t="s">
        <v>320</v>
      </c>
      <c r="S3556" t="s">
        <v>323</v>
      </c>
      <c r="U3556">
        <v>7.6</v>
      </c>
      <c r="Y3556" s="42">
        <v>44313</v>
      </c>
    </row>
    <row r="3557" spans="14:25">
      <c r="N3557" s="42">
        <v>44300</v>
      </c>
      <c r="O3557" t="s">
        <v>328</v>
      </c>
      <c r="P3557" s="42">
        <v>44300</v>
      </c>
      <c r="Q3557" t="s">
        <v>328</v>
      </c>
      <c r="R3557" t="s">
        <v>329</v>
      </c>
      <c r="S3557" t="s">
        <v>323</v>
      </c>
      <c r="T3557">
        <v>7.6</v>
      </c>
      <c r="W3557" t="s">
        <v>339</v>
      </c>
      <c r="Y3557" s="42">
        <v>44313</v>
      </c>
    </row>
    <row r="3558" spans="14:25">
      <c r="N3558" s="42">
        <v>44291</v>
      </c>
      <c r="O3558" t="s">
        <v>345</v>
      </c>
      <c r="P3558" s="42">
        <v>44291</v>
      </c>
      <c r="Q3558" t="s">
        <v>345</v>
      </c>
      <c r="R3558" t="s">
        <v>320</v>
      </c>
      <c r="S3558" t="s">
        <v>323</v>
      </c>
      <c r="U3558">
        <v>7.6</v>
      </c>
      <c r="Y3558" s="42">
        <v>44299</v>
      </c>
    </row>
    <row r="3559" spans="14:25">
      <c r="N3559" s="42">
        <v>44288</v>
      </c>
      <c r="O3559" t="s">
        <v>346</v>
      </c>
      <c r="P3559" s="42">
        <v>44288</v>
      </c>
      <c r="Q3559" t="s">
        <v>346</v>
      </c>
      <c r="R3559" t="s">
        <v>320</v>
      </c>
      <c r="S3559" t="s">
        <v>323</v>
      </c>
      <c r="U3559">
        <v>7.6</v>
      </c>
      <c r="Y3559" s="42">
        <v>44299</v>
      </c>
    </row>
    <row r="3560" spans="14:25">
      <c r="N3560" s="42">
        <v>44230</v>
      </c>
      <c r="O3560" t="s">
        <v>328</v>
      </c>
      <c r="P3560" s="42">
        <v>44231</v>
      </c>
      <c r="Q3560" t="s">
        <v>324</v>
      </c>
      <c r="R3560" t="s">
        <v>329</v>
      </c>
      <c r="S3560" t="s">
        <v>323</v>
      </c>
      <c r="T3560">
        <v>15.2</v>
      </c>
      <c r="U3560">
        <v>0</v>
      </c>
      <c r="W3560" t="s">
        <v>339</v>
      </c>
      <c r="Y3560" s="42">
        <v>44243</v>
      </c>
    </row>
    <row r="3561" spans="14:25">
      <c r="N3561" s="42">
        <v>44228</v>
      </c>
      <c r="O3561" t="s">
        <v>345</v>
      </c>
      <c r="P3561" s="42">
        <v>44231</v>
      </c>
      <c r="Q3561" t="s">
        <v>324</v>
      </c>
      <c r="R3561" t="s">
        <v>329</v>
      </c>
      <c r="S3561" t="s">
        <v>323</v>
      </c>
      <c r="T3561">
        <v>-30.4</v>
      </c>
      <c r="W3561" t="s">
        <v>330</v>
      </c>
      <c r="Y3561" s="42">
        <v>44257</v>
      </c>
    </row>
    <row r="3562" spans="14:25">
      <c r="N3562" s="42">
        <v>44217</v>
      </c>
      <c r="O3562" t="s">
        <v>324</v>
      </c>
      <c r="P3562" s="42">
        <v>44229</v>
      </c>
      <c r="Q3562" t="s">
        <v>333</v>
      </c>
      <c r="R3562" t="s">
        <v>329</v>
      </c>
      <c r="S3562" t="s">
        <v>323</v>
      </c>
      <c r="T3562">
        <v>45.6</v>
      </c>
      <c r="U3562">
        <v>7.6</v>
      </c>
      <c r="W3562" t="s">
        <v>339</v>
      </c>
      <c r="Y3562" s="42">
        <v>44229</v>
      </c>
    </row>
    <row r="3563" spans="14:25">
      <c r="N3563" s="42">
        <v>44202</v>
      </c>
      <c r="O3563" t="s">
        <v>328</v>
      </c>
      <c r="P3563" s="42">
        <v>44206</v>
      </c>
      <c r="Q3563" t="s">
        <v>344</v>
      </c>
      <c r="R3563" t="s">
        <v>320</v>
      </c>
      <c r="S3563" t="s">
        <v>323</v>
      </c>
      <c r="T3563">
        <v>15.2</v>
      </c>
      <c r="U3563">
        <v>0</v>
      </c>
      <c r="V3563">
        <v>0</v>
      </c>
      <c r="Y3563" s="42">
        <v>44215</v>
      </c>
    </row>
    <row r="3564" spans="14:25">
      <c r="N3564" s="42">
        <v>44193</v>
      </c>
      <c r="O3564" t="s">
        <v>345</v>
      </c>
      <c r="P3564" s="42">
        <v>44201</v>
      </c>
      <c r="Q3564" t="s">
        <v>333</v>
      </c>
      <c r="R3564" t="s">
        <v>320</v>
      </c>
      <c r="S3564" t="s">
        <v>323</v>
      </c>
      <c r="T3564">
        <v>38</v>
      </c>
      <c r="U3564">
        <v>7.6</v>
      </c>
      <c r="V3564">
        <v>0</v>
      </c>
      <c r="Y3564" s="42">
        <v>44201</v>
      </c>
    </row>
    <row r="3565" spans="14:25">
      <c r="N3565" s="42">
        <v>44167</v>
      </c>
      <c r="O3565" t="s">
        <v>328</v>
      </c>
      <c r="P3565" s="42">
        <v>44167</v>
      </c>
      <c r="Q3565" t="s">
        <v>328</v>
      </c>
      <c r="R3565" t="s">
        <v>329</v>
      </c>
      <c r="S3565" t="s">
        <v>323</v>
      </c>
      <c r="T3565">
        <v>4</v>
      </c>
      <c r="W3565" t="s">
        <v>339</v>
      </c>
      <c r="Y3565" s="42">
        <v>44173</v>
      </c>
    </row>
    <row r="3566" spans="14:25">
      <c r="N3566" s="42">
        <v>44110</v>
      </c>
      <c r="O3566" t="s">
        <v>333</v>
      </c>
      <c r="P3566" s="42">
        <v>44112</v>
      </c>
      <c r="Q3566" t="s">
        <v>324</v>
      </c>
      <c r="R3566" t="s">
        <v>320</v>
      </c>
      <c r="S3566" t="s">
        <v>323</v>
      </c>
      <c r="T3566">
        <v>22.8</v>
      </c>
      <c r="V3566">
        <v>0</v>
      </c>
      <c r="Y3566" s="42">
        <v>44117</v>
      </c>
    </row>
    <row r="3567" spans="14:25">
      <c r="N3567" s="42">
        <v>44109</v>
      </c>
      <c r="O3567" t="s">
        <v>345</v>
      </c>
      <c r="P3567" s="42">
        <v>44109</v>
      </c>
      <c r="Q3567" t="s">
        <v>345</v>
      </c>
      <c r="R3567" t="s">
        <v>320</v>
      </c>
      <c r="S3567" t="s">
        <v>323</v>
      </c>
      <c r="U3567">
        <v>7.6</v>
      </c>
      <c r="Y3567" s="42">
        <v>44117</v>
      </c>
    </row>
    <row r="3568" spans="14:25">
      <c r="N3568" s="42">
        <v>44039</v>
      </c>
      <c r="O3568" t="s">
        <v>345</v>
      </c>
      <c r="P3568" s="42">
        <v>44040</v>
      </c>
      <c r="Q3568" t="s">
        <v>333</v>
      </c>
      <c r="R3568" t="s">
        <v>320</v>
      </c>
      <c r="S3568" t="s">
        <v>323</v>
      </c>
      <c r="T3568">
        <v>15.2</v>
      </c>
      <c r="V3568">
        <v>0</v>
      </c>
      <c r="Y3568" s="42">
        <v>44047</v>
      </c>
    </row>
    <row r="3569" spans="14:25">
      <c r="N3569" s="42">
        <v>43956</v>
      </c>
      <c r="O3569" t="s">
        <v>333</v>
      </c>
      <c r="P3569" s="42">
        <v>43958</v>
      </c>
      <c r="Q3569" t="s">
        <v>324</v>
      </c>
      <c r="R3569" t="s">
        <v>320</v>
      </c>
      <c r="S3569" t="s">
        <v>323</v>
      </c>
      <c r="T3569">
        <v>22.8</v>
      </c>
      <c r="V3569">
        <v>0</v>
      </c>
      <c r="Y3569" s="42">
        <v>43963</v>
      </c>
    </row>
    <row r="3570" spans="14:25">
      <c r="N3570" s="42">
        <v>43838</v>
      </c>
      <c r="O3570" t="s">
        <v>328</v>
      </c>
      <c r="P3570" s="42">
        <v>43839</v>
      </c>
      <c r="Q3570" t="s">
        <v>324</v>
      </c>
      <c r="R3570" t="s">
        <v>320</v>
      </c>
      <c r="S3570" t="s">
        <v>323</v>
      </c>
      <c r="T3570">
        <v>15.2</v>
      </c>
      <c r="U3570">
        <v>0</v>
      </c>
      <c r="V3570">
        <v>0</v>
      </c>
      <c r="Y3570" s="42">
        <v>43851</v>
      </c>
    </row>
    <row r="3571" spans="14:25">
      <c r="N3571" s="42">
        <v>43826</v>
      </c>
      <c r="O3571" t="s">
        <v>346</v>
      </c>
      <c r="P3571" s="42">
        <v>43837</v>
      </c>
      <c r="Q3571" t="s">
        <v>333</v>
      </c>
      <c r="R3571" t="s">
        <v>320</v>
      </c>
      <c r="S3571" t="s">
        <v>323</v>
      </c>
      <c r="T3571">
        <v>38</v>
      </c>
      <c r="Y3571" s="42">
        <v>43837</v>
      </c>
    </row>
    <row r="3572" spans="14:25">
      <c r="N3572" s="42">
        <v>43796</v>
      </c>
      <c r="O3572" t="s">
        <v>328</v>
      </c>
      <c r="P3572" s="42">
        <v>43797</v>
      </c>
      <c r="Q3572" t="s">
        <v>324</v>
      </c>
      <c r="R3572" t="s">
        <v>329</v>
      </c>
      <c r="S3572" t="s">
        <v>323</v>
      </c>
      <c r="T3572">
        <v>15.2</v>
      </c>
      <c r="W3572" t="s">
        <v>339</v>
      </c>
      <c r="Y3572" s="42">
        <v>43809</v>
      </c>
    </row>
    <row r="3573" spans="14:25">
      <c r="N3573" s="42">
        <v>43795</v>
      </c>
      <c r="O3573" t="s">
        <v>333</v>
      </c>
      <c r="P3573" s="42">
        <v>43795</v>
      </c>
      <c r="Q3573" t="s">
        <v>333</v>
      </c>
      <c r="R3573" t="s">
        <v>329</v>
      </c>
      <c r="S3573" t="s">
        <v>323</v>
      </c>
      <c r="T3573">
        <v>7.6</v>
      </c>
      <c r="W3573" t="s">
        <v>330</v>
      </c>
      <c r="Y3573" s="42">
        <v>43795</v>
      </c>
    </row>
    <row r="3574" spans="14:25">
      <c r="N3574" s="42">
        <v>43794</v>
      </c>
      <c r="O3574" t="s">
        <v>345</v>
      </c>
      <c r="P3574" s="42">
        <v>43794</v>
      </c>
      <c r="Q3574" t="s">
        <v>345</v>
      </c>
      <c r="R3574" t="s">
        <v>329</v>
      </c>
      <c r="S3574" t="s">
        <v>323</v>
      </c>
      <c r="T3574">
        <v>7.6</v>
      </c>
      <c r="W3574" t="s">
        <v>330</v>
      </c>
      <c r="Y3574" s="42">
        <v>43795</v>
      </c>
    </row>
    <row r="3575" spans="14:25">
      <c r="N3575" s="42">
        <v>43790</v>
      </c>
      <c r="O3575" t="s">
        <v>324</v>
      </c>
      <c r="P3575" s="42">
        <v>43790</v>
      </c>
      <c r="Q3575" t="s">
        <v>324</v>
      </c>
      <c r="R3575" t="s">
        <v>329</v>
      </c>
      <c r="S3575" t="s">
        <v>323</v>
      </c>
      <c r="T3575">
        <v>7.6</v>
      </c>
      <c r="W3575" t="s">
        <v>330</v>
      </c>
      <c r="Y3575" s="42">
        <v>43795</v>
      </c>
    </row>
    <row r="3576" spans="14:25">
      <c r="N3576" s="42">
        <v>43789</v>
      </c>
      <c r="O3576" t="s">
        <v>328</v>
      </c>
      <c r="P3576" s="42">
        <v>43789</v>
      </c>
      <c r="Q3576" t="s">
        <v>328</v>
      </c>
      <c r="R3576" t="s">
        <v>329</v>
      </c>
      <c r="S3576" t="s">
        <v>323</v>
      </c>
      <c r="T3576">
        <v>7.6</v>
      </c>
      <c r="W3576" t="s">
        <v>330</v>
      </c>
      <c r="Y3576" s="42">
        <v>43795</v>
      </c>
    </row>
    <row r="3577" spans="14:25">
      <c r="N3577" s="42">
        <v>43755</v>
      </c>
      <c r="O3577" t="s">
        <v>324</v>
      </c>
      <c r="P3577" s="42">
        <v>43755</v>
      </c>
      <c r="Q3577" t="s">
        <v>324</v>
      </c>
      <c r="R3577" t="s">
        <v>329</v>
      </c>
      <c r="S3577" t="s">
        <v>323</v>
      </c>
      <c r="T3577">
        <v>7.6</v>
      </c>
      <c r="W3577" t="s">
        <v>330</v>
      </c>
      <c r="Y3577" s="42">
        <v>43767</v>
      </c>
    </row>
    <row r="3578" spans="14:25">
      <c r="N3578" s="42">
        <v>43741</v>
      </c>
      <c r="O3578" t="s">
        <v>324</v>
      </c>
      <c r="P3578" s="42">
        <v>43741</v>
      </c>
      <c r="Q3578" t="s">
        <v>324</v>
      </c>
      <c r="R3578" t="s">
        <v>320</v>
      </c>
      <c r="S3578" t="s">
        <v>323</v>
      </c>
      <c r="T3578">
        <v>-7.6</v>
      </c>
      <c r="Y3578" s="42">
        <v>44607</v>
      </c>
    </row>
    <row r="3579" spans="14:25">
      <c r="N3579" s="42">
        <v>43741</v>
      </c>
      <c r="O3579" t="s">
        <v>324</v>
      </c>
      <c r="P3579" s="42">
        <v>43741</v>
      </c>
      <c r="Q3579" t="s">
        <v>324</v>
      </c>
      <c r="R3579" t="s">
        <v>320</v>
      </c>
      <c r="S3579" t="s">
        <v>323</v>
      </c>
      <c r="T3579">
        <v>7.6</v>
      </c>
      <c r="Y3579" s="42">
        <v>43753</v>
      </c>
    </row>
    <row r="3580" spans="14:25">
      <c r="N3580" s="42">
        <v>43740</v>
      </c>
      <c r="O3580" t="s">
        <v>328</v>
      </c>
      <c r="P3580" s="42">
        <v>43740</v>
      </c>
      <c r="Q3580" t="s">
        <v>328</v>
      </c>
      <c r="R3580" t="s">
        <v>320</v>
      </c>
      <c r="S3580" t="s">
        <v>323</v>
      </c>
      <c r="T3580">
        <v>-7.6</v>
      </c>
      <c r="Y3580" s="42">
        <v>44607</v>
      </c>
    </row>
    <row r="3581" spans="14:25">
      <c r="N3581" s="42">
        <v>43740</v>
      </c>
      <c r="O3581" t="s">
        <v>328</v>
      </c>
      <c r="P3581" s="42">
        <v>43740</v>
      </c>
      <c r="Q3581" t="s">
        <v>328</v>
      </c>
      <c r="R3581" t="s">
        <v>320</v>
      </c>
      <c r="S3581" t="s">
        <v>323</v>
      </c>
      <c r="T3581">
        <v>7.6</v>
      </c>
      <c r="Y3581" s="42">
        <v>43753</v>
      </c>
    </row>
    <row r="3582" spans="14:25">
      <c r="N3582" s="42">
        <v>43740</v>
      </c>
      <c r="O3582" t="s">
        <v>328</v>
      </c>
      <c r="P3582" s="42">
        <v>43742</v>
      </c>
      <c r="Q3582" t="s">
        <v>346</v>
      </c>
      <c r="R3582" t="s">
        <v>320</v>
      </c>
      <c r="S3582" t="s">
        <v>323</v>
      </c>
      <c r="T3582">
        <v>7.6</v>
      </c>
      <c r="U3582">
        <v>0</v>
      </c>
      <c r="V3582">
        <v>0</v>
      </c>
      <c r="Y3582" s="42">
        <v>43753</v>
      </c>
    </row>
    <row r="3583" spans="14:25">
      <c r="N3583" s="42">
        <v>43739</v>
      </c>
      <c r="O3583" t="s">
        <v>333</v>
      </c>
      <c r="P3583" s="42">
        <v>43739</v>
      </c>
      <c r="Q3583" t="s">
        <v>333</v>
      </c>
      <c r="R3583" t="s">
        <v>320</v>
      </c>
      <c r="S3583" t="s">
        <v>323</v>
      </c>
      <c r="T3583">
        <v>-7.6</v>
      </c>
      <c r="Y3583" s="42">
        <v>44607</v>
      </c>
    </row>
    <row r="3584" spans="14:25">
      <c r="N3584" s="42">
        <v>43739</v>
      </c>
      <c r="O3584" t="s">
        <v>333</v>
      </c>
      <c r="P3584" s="42">
        <v>43739</v>
      </c>
      <c r="Q3584" t="s">
        <v>333</v>
      </c>
      <c r="R3584" t="s">
        <v>320</v>
      </c>
      <c r="S3584" t="s">
        <v>323</v>
      </c>
      <c r="T3584">
        <v>7.6</v>
      </c>
      <c r="Y3584" s="42">
        <v>43739</v>
      </c>
    </row>
    <row r="3585" spans="1:25">
      <c r="N3585" s="42">
        <v>43738</v>
      </c>
      <c r="O3585" t="s">
        <v>345</v>
      </c>
      <c r="P3585" s="42">
        <v>43738</v>
      </c>
      <c r="Q3585" t="s">
        <v>345</v>
      </c>
      <c r="R3585" t="s">
        <v>320</v>
      </c>
      <c r="S3585" t="s">
        <v>323</v>
      </c>
      <c r="T3585">
        <v>-7.6</v>
      </c>
      <c r="Y3585" s="42">
        <v>44607</v>
      </c>
    </row>
    <row r="3586" spans="1:25">
      <c r="N3586" s="42">
        <v>43738</v>
      </c>
      <c r="O3586" t="s">
        <v>345</v>
      </c>
      <c r="P3586" s="42">
        <v>43738</v>
      </c>
      <c r="Q3586" t="s">
        <v>345</v>
      </c>
      <c r="R3586" t="s">
        <v>320</v>
      </c>
      <c r="S3586" t="s">
        <v>323</v>
      </c>
      <c r="T3586">
        <v>7.6</v>
      </c>
      <c r="Y3586" s="42">
        <v>43739</v>
      </c>
    </row>
    <row r="3587" spans="1:25">
      <c r="N3587" s="42">
        <v>43734</v>
      </c>
      <c r="O3587" t="s">
        <v>324</v>
      </c>
      <c r="P3587" s="42">
        <v>43734</v>
      </c>
      <c r="Q3587" t="s">
        <v>324</v>
      </c>
      <c r="R3587" t="s">
        <v>320</v>
      </c>
      <c r="S3587" t="s">
        <v>323</v>
      </c>
      <c r="T3587">
        <v>-7.6</v>
      </c>
      <c r="Y3587" s="42">
        <v>44607</v>
      </c>
    </row>
    <row r="3588" spans="1:25">
      <c r="N3588" s="42">
        <v>43734</v>
      </c>
      <c r="O3588" t="s">
        <v>324</v>
      </c>
      <c r="P3588" s="42">
        <v>43734</v>
      </c>
      <c r="Q3588" t="s">
        <v>324</v>
      </c>
      <c r="R3588" t="s">
        <v>320</v>
      </c>
      <c r="S3588" t="s">
        <v>323</v>
      </c>
      <c r="T3588">
        <v>7.6</v>
      </c>
      <c r="Y3588" s="42">
        <v>43739</v>
      </c>
    </row>
    <row r="3589" spans="1:25">
      <c r="N3589" s="42">
        <v>43734</v>
      </c>
      <c r="O3589" t="s">
        <v>324</v>
      </c>
      <c r="P3589" s="42">
        <v>43739</v>
      </c>
      <c r="Q3589" t="s">
        <v>333</v>
      </c>
      <c r="R3589" t="s">
        <v>320</v>
      </c>
      <c r="S3589" t="s">
        <v>323</v>
      </c>
      <c r="T3589">
        <v>30.4</v>
      </c>
      <c r="U3589">
        <v>0</v>
      </c>
      <c r="V3589">
        <v>0</v>
      </c>
      <c r="Y3589" s="42">
        <v>43739</v>
      </c>
    </row>
    <row r="3590" spans="1:25">
      <c r="A3590">
        <v>18650</v>
      </c>
      <c r="B3590" t="s">
        <v>398</v>
      </c>
      <c r="C3590" t="s">
        <v>320</v>
      </c>
      <c r="D3590" t="s">
        <v>321</v>
      </c>
      <c r="E3590" t="s">
        <v>322</v>
      </c>
      <c r="F3590">
        <v>1</v>
      </c>
      <c r="G3590" s="42">
        <v>45261</v>
      </c>
      <c r="H3590">
        <v>32.393599999999999</v>
      </c>
      <c r="I3590">
        <v>38.481200000000001</v>
      </c>
      <c r="J3590">
        <v>32.393599999999999</v>
      </c>
      <c r="K3590">
        <v>70.874799999999993</v>
      </c>
      <c r="L3590" t="s">
        <v>323</v>
      </c>
      <c r="M3590" s="43">
        <v>0.58611111111111114</v>
      </c>
      <c r="N3590" s="42">
        <v>44970</v>
      </c>
      <c r="O3590" t="s">
        <v>345</v>
      </c>
      <c r="P3590" s="42">
        <v>44970</v>
      </c>
      <c r="Q3590" t="s">
        <v>345</v>
      </c>
      <c r="R3590" t="s">
        <v>329</v>
      </c>
      <c r="S3590" t="s">
        <v>323</v>
      </c>
      <c r="T3590">
        <v>7.6</v>
      </c>
      <c r="W3590" t="s">
        <v>330</v>
      </c>
      <c r="Y3590" s="42">
        <v>44971</v>
      </c>
    </row>
    <row r="3591" spans="1:25">
      <c r="C3591" t="s">
        <v>325</v>
      </c>
      <c r="D3591" t="s">
        <v>393</v>
      </c>
      <c r="E3591" t="s">
        <v>394</v>
      </c>
      <c r="F3591">
        <v>2</v>
      </c>
      <c r="G3591" s="42">
        <v>45210</v>
      </c>
      <c r="H3591">
        <v>11.0488</v>
      </c>
      <c r="I3591">
        <v>242.7653</v>
      </c>
      <c r="J3591">
        <v>11.0488</v>
      </c>
      <c r="K3591">
        <v>253.8141</v>
      </c>
      <c r="L3591" t="s">
        <v>323</v>
      </c>
      <c r="N3591" s="42">
        <v>44967</v>
      </c>
      <c r="O3591" t="s">
        <v>346</v>
      </c>
      <c r="P3591" s="42">
        <v>44967</v>
      </c>
      <c r="Q3591" t="s">
        <v>346</v>
      </c>
      <c r="R3591" t="s">
        <v>320</v>
      </c>
      <c r="S3591" t="s">
        <v>323</v>
      </c>
      <c r="T3591">
        <v>7.6</v>
      </c>
      <c r="Y3591" s="42">
        <v>44971</v>
      </c>
    </row>
    <row r="3592" spans="1:25">
      <c r="C3592" t="s">
        <v>329</v>
      </c>
      <c r="D3592" t="s">
        <v>331</v>
      </c>
      <c r="E3592" t="s">
        <v>332</v>
      </c>
      <c r="F3592">
        <v>1</v>
      </c>
      <c r="G3592" s="42">
        <v>45261</v>
      </c>
      <c r="H3592">
        <v>16.1968</v>
      </c>
      <c r="I3592">
        <v>-9.6301000000000005</v>
      </c>
      <c r="J3592">
        <v>16.1968</v>
      </c>
      <c r="K3592">
        <v>6.5667</v>
      </c>
      <c r="L3592" t="s">
        <v>323</v>
      </c>
      <c r="N3592" s="42">
        <v>44966</v>
      </c>
      <c r="O3592" t="s">
        <v>324</v>
      </c>
      <c r="P3592" s="42">
        <v>44966</v>
      </c>
      <c r="Q3592" t="s">
        <v>324</v>
      </c>
      <c r="R3592" t="s">
        <v>320</v>
      </c>
      <c r="S3592" t="s">
        <v>323</v>
      </c>
      <c r="T3592">
        <v>7.6</v>
      </c>
      <c r="Y3592" s="42">
        <v>44971</v>
      </c>
    </row>
    <row r="3593" spans="1:25">
      <c r="N3593" s="42">
        <v>44952</v>
      </c>
      <c r="O3593" t="s">
        <v>324</v>
      </c>
      <c r="P3593" s="42">
        <v>44952</v>
      </c>
      <c r="Q3593" t="s">
        <v>324</v>
      </c>
      <c r="R3593" t="s">
        <v>320</v>
      </c>
      <c r="S3593" t="s">
        <v>323</v>
      </c>
      <c r="U3593">
        <v>7.6</v>
      </c>
    </row>
    <row r="3594" spans="1:25">
      <c r="N3594" s="42">
        <v>44938</v>
      </c>
      <c r="O3594" t="s">
        <v>324</v>
      </c>
      <c r="P3594" s="42">
        <v>44938</v>
      </c>
      <c r="Q3594" t="s">
        <v>324</v>
      </c>
      <c r="R3594" t="s">
        <v>320</v>
      </c>
      <c r="S3594" t="s">
        <v>323</v>
      </c>
      <c r="T3594">
        <v>7.6</v>
      </c>
      <c r="Y3594" s="42">
        <v>44943</v>
      </c>
    </row>
    <row r="3595" spans="1:25">
      <c r="N3595" s="42">
        <v>44928</v>
      </c>
      <c r="O3595" t="s">
        <v>345</v>
      </c>
      <c r="P3595" s="42">
        <v>44928</v>
      </c>
      <c r="Q3595" t="s">
        <v>345</v>
      </c>
      <c r="R3595" t="s">
        <v>320</v>
      </c>
      <c r="S3595" t="s">
        <v>323</v>
      </c>
      <c r="U3595">
        <v>7.6</v>
      </c>
    </row>
    <row r="3596" spans="1:25">
      <c r="N3596" s="42">
        <v>44925</v>
      </c>
      <c r="O3596" t="s">
        <v>346</v>
      </c>
      <c r="P3596" s="42">
        <v>44925</v>
      </c>
      <c r="Q3596" t="s">
        <v>346</v>
      </c>
      <c r="R3596" t="s">
        <v>320</v>
      </c>
      <c r="S3596" t="s">
        <v>323</v>
      </c>
      <c r="T3596">
        <v>7.6</v>
      </c>
      <c r="Y3596" s="42">
        <v>44929</v>
      </c>
    </row>
    <row r="3597" spans="1:25">
      <c r="N3597" s="42">
        <v>44924</v>
      </c>
      <c r="O3597" t="s">
        <v>324</v>
      </c>
      <c r="P3597" s="42">
        <v>44924</v>
      </c>
      <c r="Q3597" t="s">
        <v>324</v>
      </c>
      <c r="R3597" t="s">
        <v>320</v>
      </c>
      <c r="S3597" t="s">
        <v>323</v>
      </c>
      <c r="T3597">
        <v>7.6</v>
      </c>
      <c r="Y3597" s="42">
        <v>44929</v>
      </c>
    </row>
    <row r="3598" spans="1:25">
      <c r="N3598" s="42">
        <v>44922</v>
      </c>
      <c r="O3598" t="s">
        <v>333</v>
      </c>
      <c r="P3598" s="42">
        <v>44922</v>
      </c>
      <c r="Q3598" t="s">
        <v>333</v>
      </c>
      <c r="R3598" t="s">
        <v>320</v>
      </c>
      <c r="S3598" t="s">
        <v>323</v>
      </c>
      <c r="T3598">
        <v>7.6</v>
      </c>
      <c r="Y3598" s="42">
        <v>44929</v>
      </c>
    </row>
    <row r="3599" spans="1:25">
      <c r="N3599" s="42">
        <v>44922</v>
      </c>
      <c r="O3599" t="s">
        <v>333</v>
      </c>
      <c r="P3599" s="42">
        <v>44922</v>
      </c>
      <c r="Q3599" t="s">
        <v>333</v>
      </c>
      <c r="R3599" t="s">
        <v>320</v>
      </c>
      <c r="S3599" t="s">
        <v>323</v>
      </c>
      <c r="U3599">
        <v>7.6</v>
      </c>
    </row>
    <row r="3600" spans="1:25">
      <c r="N3600" s="42">
        <v>44921</v>
      </c>
      <c r="O3600" t="s">
        <v>345</v>
      </c>
      <c r="P3600" s="42">
        <v>44921</v>
      </c>
      <c r="Q3600" t="s">
        <v>345</v>
      </c>
      <c r="R3600" t="s">
        <v>320</v>
      </c>
      <c r="S3600" t="s">
        <v>323</v>
      </c>
      <c r="U3600">
        <v>7.6</v>
      </c>
    </row>
    <row r="3601" spans="14:25">
      <c r="N3601" s="42">
        <v>44918</v>
      </c>
      <c r="O3601" t="s">
        <v>346</v>
      </c>
      <c r="P3601" s="42">
        <v>44918</v>
      </c>
      <c r="Q3601" t="s">
        <v>346</v>
      </c>
      <c r="R3601" t="s">
        <v>329</v>
      </c>
      <c r="S3601" t="s">
        <v>323</v>
      </c>
      <c r="T3601">
        <v>7.6</v>
      </c>
      <c r="W3601" t="s">
        <v>330</v>
      </c>
      <c r="Y3601" s="42">
        <v>44929</v>
      </c>
    </row>
    <row r="3602" spans="14:25">
      <c r="N3602" s="42">
        <v>44917</v>
      </c>
      <c r="O3602" t="s">
        <v>324</v>
      </c>
      <c r="P3602" s="42">
        <v>44917</v>
      </c>
      <c r="Q3602" t="s">
        <v>324</v>
      </c>
      <c r="R3602" t="s">
        <v>329</v>
      </c>
      <c r="S3602" t="s">
        <v>323</v>
      </c>
      <c r="T3602">
        <v>7.6</v>
      </c>
      <c r="W3602" t="s">
        <v>330</v>
      </c>
      <c r="Y3602" s="42">
        <v>44929</v>
      </c>
    </row>
    <row r="3603" spans="14:25">
      <c r="N3603" s="42">
        <v>44903</v>
      </c>
      <c r="O3603" t="s">
        <v>324</v>
      </c>
      <c r="P3603" s="42">
        <v>44903</v>
      </c>
      <c r="Q3603" t="s">
        <v>324</v>
      </c>
      <c r="R3603" t="s">
        <v>320</v>
      </c>
      <c r="S3603" t="s">
        <v>323</v>
      </c>
      <c r="T3603">
        <v>7.6</v>
      </c>
      <c r="Y3603" s="42">
        <v>44915</v>
      </c>
    </row>
    <row r="3604" spans="14:25">
      <c r="N3604" s="42">
        <v>44886</v>
      </c>
      <c r="O3604" t="s">
        <v>345</v>
      </c>
      <c r="P3604" s="42">
        <v>44886</v>
      </c>
      <c r="Q3604" t="s">
        <v>345</v>
      </c>
      <c r="R3604" t="s">
        <v>320</v>
      </c>
      <c r="S3604" t="s">
        <v>323</v>
      </c>
      <c r="T3604">
        <v>7.6</v>
      </c>
      <c r="Y3604" s="42">
        <v>44887</v>
      </c>
    </row>
    <row r="3605" spans="14:25">
      <c r="N3605" s="42">
        <v>44876</v>
      </c>
      <c r="O3605" t="s">
        <v>346</v>
      </c>
      <c r="P3605" s="42">
        <v>44876</v>
      </c>
      <c r="Q3605" t="s">
        <v>346</v>
      </c>
      <c r="R3605" t="s">
        <v>320</v>
      </c>
      <c r="S3605" t="s">
        <v>323</v>
      </c>
      <c r="T3605">
        <v>7.6</v>
      </c>
      <c r="Y3605" s="42">
        <v>44887</v>
      </c>
    </row>
    <row r="3606" spans="14:25">
      <c r="N3606" s="42">
        <v>44875</v>
      </c>
      <c r="O3606" t="s">
        <v>324</v>
      </c>
      <c r="P3606" s="42">
        <v>44875</v>
      </c>
      <c r="Q3606" t="s">
        <v>324</v>
      </c>
      <c r="R3606" t="s">
        <v>320</v>
      </c>
      <c r="S3606" t="s">
        <v>323</v>
      </c>
      <c r="T3606">
        <v>7.6</v>
      </c>
      <c r="Y3606" s="42">
        <v>44887</v>
      </c>
    </row>
    <row r="3607" spans="14:25">
      <c r="N3607" s="42">
        <v>44873</v>
      </c>
      <c r="O3607" t="s">
        <v>333</v>
      </c>
      <c r="P3607" s="42">
        <v>44873</v>
      </c>
      <c r="Q3607" t="s">
        <v>333</v>
      </c>
      <c r="R3607" t="s">
        <v>320</v>
      </c>
      <c r="S3607" t="s">
        <v>323</v>
      </c>
      <c r="T3607">
        <v>7.6</v>
      </c>
      <c r="Y3607" s="42">
        <v>44873</v>
      </c>
    </row>
    <row r="3608" spans="14:25">
      <c r="N3608" s="42">
        <v>44872</v>
      </c>
      <c r="O3608" t="s">
        <v>345</v>
      </c>
      <c r="P3608" s="42">
        <v>44872</v>
      </c>
      <c r="Q3608" t="s">
        <v>345</v>
      </c>
      <c r="R3608" t="s">
        <v>320</v>
      </c>
      <c r="S3608" t="s">
        <v>323</v>
      </c>
      <c r="T3608">
        <v>7.6</v>
      </c>
      <c r="Y3608" s="42">
        <v>44873</v>
      </c>
    </row>
    <row r="3609" spans="14:25">
      <c r="N3609" s="42">
        <v>44851</v>
      </c>
      <c r="O3609" t="s">
        <v>345</v>
      </c>
      <c r="P3609" s="42">
        <v>44851</v>
      </c>
      <c r="Q3609" t="s">
        <v>345</v>
      </c>
      <c r="R3609" t="s">
        <v>320</v>
      </c>
      <c r="S3609" t="s">
        <v>323</v>
      </c>
      <c r="T3609">
        <v>7.6</v>
      </c>
      <c r="Y3609" s="42">
        <v>44859</v>
      </c>
    </row>
    <row r="3610" spans="14:25">
      <c r="N3610" s="42">
        <v>44837</v>
      </c>
      <c r="O3610" t="s">
        <v>345</v>
      </c>
      <c r="P3610" s="42">
        <v>44837</v>
      </c>
      <c r="Q3610" t="s">
        <v>345</v>
      </c>
      <c r="R3610" t="s">
        <v>320</v>
      </c>
      <c r="S3610" t="s">
        <v>323</v>
      </c>
      <c r="U3610">
        <v>7.6</v>
      </c>
    </row>
    <row r="3611" spans="14:25">
      <c r="N3611" s="42">
        <v>44834</v>
      </c>
      <c r="O3611" t="s">
        <v>346</v>
      </c>
      <c r="P3611" s="42">
        <v>44834</v>
      </c>
      <c r="Q3611" t="s">
        <v>346</v>
      </c>
      <c r="R3611" t="s">
        <v>329</v>
      </c>
      <c r="S3611" t="s">
        <v>323</v>
      </c>
      <c r="T3611">
        <v>7.6</v>
      </c>
      <c r="W3611" t="s">
        <v>330</v>
      </c>
      <c r="Y3611" s="42">
        <v>44845</v>
      </c>
    </row>
    <row r="3612" spans="14:25">
      <c r="N3612" s="42">
        <v>44833</v>
      </c>
      <c r="O3612" t="s">
        <v>324</v>
      </c>
      <c r="P3612" s="42">
        <v>44833</v>
      </c>
      <c r="Q3612" t="s">
        <v>324</v>
      </c>
      <c r="R3612" t="s">
        <v>329</v>
      </c>
      <c r="S3612" t="s">
        <v>323</v>
      </c>
      <c r="T3612">
        <v>7.6</v>
      </c>
      <c r="W3612" t="s">
        <v>330</v>
      </c>
      <c r="Y3612" s="42">
        <v>44845</v>
      </c>
    </row>
    <row r="3613" spans="14:25">
      <c r="N3613" s="42">
        <v>44830</v>
      </c>
      <c r="O3613" t="s">
        <v>345</v>
      </c>
      <c r="P3613" s="42">
        <v>44830</v>
      </c>
      <c r="Q3613" t="s">
        <v>345</v>
      </c>
      <c r="R3613" t="s">
        <v>329</v>
      </c>
      <c r="S3613" t="s">
        <v>323</v>
      </c>
      <c r="T3613">
        <v>7.6</v>
      </c>
      <c r="W3613" t="s">
        <v>330</v>
      </c>
      <c r="Y3613" s="42">
        <v>44831</v>
      </c>
    </row>
    <row r="3614" spans="14:25">
      <c r="N3614" s="42">
        <v>44826</v>
      </c>
      <c r="O3614" t="s">
        <v>324</v>
      </c>
      <c r="P3614" s="42">
        <v>44826</v>
      </c>
      <c r="Q3614" t="s">
        <v>324</v>
      </c>
      <c r="R3614" t="s">
        <v>320</v>
      </c>
      <c r="S3614" t="s">
        <v>323</v>
      </c>
      <c r="U3614">
        <v>7.6</v>
      </c>
    </row>
    <row r="3615" spans="14:25">
      <c r="N3615" s="42">
        <v>44802</v>
      </c>
      <c r="O3615" t="s">
        <v>345</v>
      </c>
      <c r="P3615" s="42">
        <v>44802</v>
      </c>
      <c r="Q3615" t="s">
        <v>345</v>
      </c>
      <c r="R3615" t="s">
        <v>329</v>
      </c>
      <c r="S3615" t="s">
        <v>323</v>
      </c>
      <c r="T3615">
        <v>7.6</v>
      </c>
      <c r="W3615" t="s">
        <v>330</v>
      </c>
      <c r="Y3615" s="42">
        <v>44803</v>
      </c>
    </row>
    <row r="3616" spans="14:25">
      <c r="N3616" s="42">
        <v>44775</v>
      </c>
      <c r="O3616" t="s">
        <v>333</v>
      </c>
      <c r="P3616" s="42">
        <v>44775</v>
      </c>
      <c r="Q3616" t="s">
        <v>333</v>
      </c>
      <c r="R3616" t="s">
        <v>320</v>
      </c>
      <c r="S3616" t="s">
        <v>323</v>
      </c>
      <c r="T3616">
        <v>4</v>
      </c>
      <c r="Y3616" s="42">
        <v>44775</v>
      </c>
    </row>
    <row r="3617" spans="14:25">
      <c r="N3617" s="42">
        <v>44774</v>
      </c>
      <c r="O3617" t="s">
        <v>345</v>
      </c>
      <c r="P3617" s="42">
        <v>44774</v>
      </c>
      <c r="Q3617" t="s">
        <v>345</v>
      </c>
      <c r="R3617" t="s">
        <v>320</v>
      </c>
      <c r="S3617" t="s">
        <v>323</v>
      </c>
      <c r="T3617">
        <v>3</v>
      </c>
      <c r="Y3617" s="42">
        <v>44775</v>
      </c>
    </row>
    <row r="3618" spans="14:25">
      <c r="N3618" s="42">
        <v>44761</v>
      </c>
      <c r="O3618" t="s">
        <v>333</v>
      </c>
      <c r="P3618" s="42">
        <v>44761</v>
      </c>
      <c r="Q3618" t="s">
        <v>333</v>
      </c>
      <c r="R3618" t="s">
        <v>325</v>
      </c>
      <c r="S3618" t="s">
        <v>323</v>
      </c>
      <c r="T3618">
        <v>15.1188</v>
      </c>
      <c r="Y3618" s="42">
        <v>44761</v>
      </c>
    </row>
    <row r="3619" spans="14:25">
      <c r="N3619" s="42">
        <v>44761</v>
      </c>
      <c r="O3619" t="s">
        <v>333</v>
      </c>
      <c r="P3619" s="42">
        <v>44761</v>
      </c>
      <c r="Q3619" t="s">
        <v>333</v>
      </c>
      <c r="R3619" t="s">
        <v>325</v>
      </c>
      <c r="S3619" t="s">
        <v>323</v>
      </c>
      <c r="T3619">
        <v>66.466800000000006</v>
      </c>
      <c r="Y3619" s="42">
        <v>44761</v>
      </c>
    </row>
    <row r="3620" spans="14:25">
      <c r="N3620" s="42">
        <v>44753</v>
      </c>
      <c r="O3620" t="s">
        <v>345</v>
      </c>
      <c r="P3620" s="42">
        <v>44753</v>
      </c>
      <c r="Q3620" t="s">
        <v>345</v>
      </c>
      <c r="R3620" t="s">
        <v>320</v>
      </c>
      <c r="S3620" t="s">
        <v>323</v>
      </c>
      <c r="T3620">
        <v>7.6</v>
      </c>
      <c r="Y3620" s="42">
        <v>44761</v>
      </c>
    </row>
    <row r="3621" spans="14:25">
      <c r="N3621" s="42">
        <v>44739</v>
      </c>
      <c r="O3621" t="s">
        <v>345</v>
      </c>
      <c r="P3621" s="42">
        <v>44739</v>
      </c>
      <c r="Q3621" t="s">
        <v>345</v>
      </c>
      <c r="R3621" t="s">
        <v>329</v>
      </c>
      <c r="S3621" t="s">
        <v>323</v>
      </c>
      <c r="T3621">
        <v>7.6</v>
      </c>
      <c r="W3621" t="s">
        <v>330</v>
      </c>
      <c r="Y3621" s="42">
        <v>44747</v>
      </c>
    </row>
    <row r="3622" spans="14:25">
      <c r="N3622" s="42">
        <v>44736</v>
      </c>
      <c r="O3622" t="s">
        <v>346</v>
      </c>
      <c r="P3622" s="42">
        <v>44736</v>
      </c>
      <c r="Q3622" t="s">
        <v>346</v>
      </c>
      <c r="R3622" t="s">
        <v>329</v>
      </c>
      <c r="S3622" t="s">
        <v>323</v>
      </c>
      <c r="T3622">
        <v>7.6</v>
      </c>
      <c r="W3622" t="s">
        <v>330</v>
      </c>
      <c r="Y3622" s="42">
        <v>44747</v>
      </c>
    </row>
    <row r="3623" spans="14:25">
      <c r="N3623" s="42">
        <v>44735</v>
      </c>
      <c r="O3623" t="s">
        <v>324</v>
      </c>
      <c r="P3623" s="42">
        <v>44735</v>
      </c>
      <c r="Q3623" t="s">
        <v>324</v>
      </c>
      <c r="R3623" t="s">
        <v>329</v>
      </c>
      <c r="S3623" t="s">
        <v>323</v>
      </c>
      <c r="T3623">
        <v>7.6</v>
      </c>
      <c r="W3623" t="s">
        <v>330</v>
      </c>
      <c r="Y3623" s="42">
        <v>44747</v>
      </c>
    </row>
    <row r="3624" spans="14:25">
      <c r="N3624" s="42">
        <v>44733</v>
      </c>
      <c r="O3624" t="s">
        <v>333</v>
      </c>
      <c r="P3624" s="42">
        <v>44733</v>
      </c>
      <c r="Q3624" t="s">
        <v>333</v>
      </c>
      <c r="R3624" t="s">
        <v>329</v>
      </c>
      <c r="S3624" t="s">
        <v>323</v>
      </c>
      <c r="T3624">
        <v>7.6</v>
      </c>
      <c r="W3624" t="s">
        <v>330</v>
      </c>
      <c r="Y3624" s="42">
        <v>44733</v>
      </c>
    </row>
    <row r="3625" spans="14:25">
      <c r="N3625" s="42">
        <v>44690</v>
      </c>
      <c r="O3625" t="s">
        <v>345</v>
      </c>
      <c r="P3625" s="42">
        <v>44690</v>
      </c>
      <c r="Q3625" t="s">
        <v>345</v>
      </c>
      <c r="R3625" t="s">
        <v>329</v>
      </c>
      <c r="S3625" t="s">
        <v>323</v>
      </c>
      <c r="T3625">
        <v>6.25</v>
      </c>
      <c r="W3625" t="s">
        <v>330</v>
      </c>
      <c r="Y3625" s="42">
        <v>44691</v>
      </c>
    </row>
    <row r="3626" spans="14:25">
      <c r="N3626" s="42">
        <v>44683</v>
      </c>
      <c r="O3626" t="s">
        <v>345</v>
      </c>
      <c r="P3626" s="42">
        <v>44683</v>
      </c>
      <c r="Q3626" t="s">
        <v>345</v>
      </c>
      <c r="R3626" t="s">
        <v>320</v>
      </c>
      <c r="S3626" t="s">
        <v>323</v>
      </c>
      <c r="U3626">
        <v>6.25</v>
      </c>
    </row>
    <row r="3627" spans="14:25">
      <c r="N3627" s="42">
        <v>44676</v>
      </c>
      <c r="O3627" t="s">
        <v>345</v>
      </c>
      <c r="P3627" s="42">
        <v>44676</v>
      </c>
      <c r="Q3627" t="s">
        <v>345</v>
      </c>
      <c r="R3627" t="s">
        <v>320</v>
      </c>
      <c r="S3627" t="s">
        <v>323</v>
      </c>
      <c r="U3627">
        <v>6.25</v>
      </c>
    </row>
    <row r="3628" spans="14:25">
      <c r="N3628" s="42">
        <v>44669</v>
      </c>
      <c r="O3628" t="s">
        <v>345</v>
      </c>
      <c r="P3628" s="42">
        <v>44669</v>
      </c>
      <c r="Q3628" t="s">
        <v>345</v>
      </c>
      <c r="R3628" t="s">
        <v>320</v>
      </c>
      <c r="S3628" t="s">
        <v>323</v>
      </c>
      <c r="U3628">
        <v>6.25</v>
      </c>
    </row>
    <row r="3629" spans="14:25">
      <c r="N3629" s="42">
        <v>44666</v>
      </c>
      <c r="O3629" t="s">
        <v>346</v>
      </c>
      <c r="P3629" s="42">
        <v>44666</v>
      </c>
      <c r="Q3629" t="s">
        <v>346</v>
      </c>
      <c r="R3629" t="s">
        <v>320</v>
      </c>
      <c r="S3629" t="s">
        <v>323</v>
      </c>
      <c r="U3629">
        <v>6.25</v>
      </c>
    </row>
    <row r="3630" spans="14:25">
      <c r="N3630" s="42">
        <v>44659</v>
      </c>
      <c r="O3630" t="s">
        <v>346</v>
      </c>
      <c r="P3630" s="42">
        <v>44659</v>
      </c>
      <c r="Q3630" t="s">
        <v>346</v>
      </c>
      <c r="R3630" t="s">
        <v>329</v>
      </c>
      <c r="S3630" t="s">
        <v>323</v>
      </c>
      <c r="T3630">
        <v>1</v>
      </c>
      <c r="W3630" t="s">
        <v>330</v>
      </c>
      <c r="Y3630" s="42">
        <v>44663</v>
      </c>
    </row>
    <row r="3631" spans="14:25">
      <c r="N3631" s="42">
        <v>44657</v>
      </c>
      <c r="O3631" t="s">
        <v>328</v>
      </c>
      <c r="P3631" s="42">
        <v>44657</v>
      </c>
      <c r="Q3631" t="s">
        <v>328</v>
      </c>
      <c r="R3631" t="s">
        <v>329</v>
      </c>
      <c r="S3631" t="s">
        <v>323</v>
      </c>
      <c r="T3631">
        <v>6.25</v>
      </c>
      <c r="W3631" t="s">
        <v>330</v>
      </c>
      <c r="Y3631" s="42">
        <v>44663</v>
      </c>
    </row>
    <row r="3632" spans="14:25">
      <c r="N3632" s="42">
        <v>44650</v>
      </c>
      <c r="O3632" t="s">
        <v>328</v>
      </c>
      <c r="P3632" s="42">
        <v>44650</v>
      </c>
      <c r="Q3632" t="s">
        <v>328</v>
      </c>
      <c r="R3632" t="s">
        <v>329</v>
      </c>
      <c r="S3632" t="s">
        <v>323</v>
      </c>
      <c r="T3632">
        <v>2</v>
      </c>
      <c r="W3632" t="s">
        <v>330</v>
      </c>
      <c r="Y3632" s="42">
        <v>44663</v>
      </c>
    </row>
    <row r="3633" spans="14:25">
      <c r="N3633" s="42">
        <v>44643</v>
      </c>
      <c r="O3633" t="s">
        <v>328</v>
      </c>
      <c r="P3633" s="42">
        <v>44643</v>
      </c>
      <c r="Q3633" t="s">
        <v>328</v>
      </c>
      <c r="R3633" t="s">
        <v>329</v>
      </c>
      <c r="S3633" t="s">
        <v>323</v>
      </c>
      <c r="T3633">
        <v>6.25</v>
      </c>
      <c r="W3633" t="s">
        <v>330</v>
      </c>
      <c r="Y3633" s="42">
        <v>44649</v>
      </c>
    </row>
    <row r="3634" spans="14:25">
      <c r="N3634" s="42">
        <v>44631</v>
      </c>
      <c r="O3634" t="s">
        <v>346</v>
      </c>
      <c r="P3634" s="42">
        <v>44631</v>
      </c>
      <c r="Q3634" t="s">
        <v>346</v>
      </c>
      <c r="R3634" t="s">
        <v>329</v>
      </c>
      <c r="S3634" t="s">
        <v>323</v>
      </c>
      <c r="T3634">
        <v>7.6</v>
      </c>
      <c r="W3634" t="s">
        <v>330</v>
      </c>
      <c r="Y3634" s="42">
        <v>44635</v>
      </c>
    </row>
    <row r="3635" spans="14:25">
      <c r="N3635" s="42">
        <v>44630</v>
      </c>
      <c r="O3635" t="s">
        <v>324</v>
      </c>
      <c r="P3635" s="42">
        <v>44630</v>
      </c>
      <c r="Q3635" t="s">
        <v>324</v>
      </c>
      <c r="R3635" t="s">
        <v>329</v>
      </c>
      <c r="S3635" t="s">
        <v>323</v>
      </c>
      <c r="T3635">
        <v>7.6</v>
      </c>
      <c r="W3635" t="s">
        <v>330</v>
      </c>
      <c r="Y3635" s="42">
        <v>44635</v>
      </c>
    </row>
    <row r="3636" spans="14:25">
      <c r="N3636" s="42">
        <v>44624</v>
      </c>
      <c r="O3636" t="s">
        <v>346</v>
      </c>
      <c r="P3636" s="42">
        <v>44624</v>
      </c>
      <c r="Q3636" t="s">
        <v>346</v>
      </c>
      <c r="R3636" t="s">
        <v>329</v>
      </c>
      <c r="S3636" t="s">
        <v>323</v>
      </c>
      <c r="T3636">
        <v>5.7167000000000003</v>
      </c>
      <c r="W3636" t="s">
        <v>330</v>
      </c>
      <c r="Y3636" s="42">
        <v>44635</v>
      </c>
    </row>
    <row r="3637" spans="14:25">
      <c r="N3637" s="42">
        <v>44603</v>
      </c>
      <c r="O3637" t="s">
        <v>346</v>
      </c>
      <c r="P3637" s="42">
        <v>44603</v>
      </c>
      <c r="Q3637" t="s">
        <v>346</v>
      </c>
      <c r="R3637" t="s">
        <v>320</v>
      </c>
      <c r="S3637" t="s">
        <v>323</v>
      </c>
      <c r="T3637">
        <v>6.25</v>
      </c>
      <c r="Y3637" s="42">
        <v>44607</v>
      </c>
    </row>
    <row r="3638" spans="14:25">
      <c r="N3638" s="42">
        <v>44602</v>
      </c>
      <c r="O3638" t="s">
        <v>324</v>
      </c>
      <c r="P3638" s="42">
        <v>44602</v>
      </c>
      <c r="Q3638" t="s">
        <v>324</v>
      </c>
      <c r="R3638" t="s">
        <v>320</v>
      </c>
      <c r="S3638" t="s">
        <v>323</v>
      </c>
      <c r="T3638">
        <v>6.25</v>
      </c>
      <c r="Y3638" s="42">
        <v>44607</v>
      </c>
    </row>
    <row r="3639" spans="14:25">
      <c r="N3639" s="42">
        <v>44601</v>
      </c>
      <c r="O3639" t="s">
        <v>328</v>
      </c>
      <c r="P3639" s="42">
        <v>44601</v>
      </c>
      <c r="Q3639" t="s">
        <v>328</v>
      </c>
      <c r="R3639" t="s">
        <v>320</v>
      </c>
      <c r="S3639" t="s">
        <v>323</v>
      </c>
      <c r="T3639">
        <v>6.25</v>
      </c>
      <c r="Y3639" s="42">
        <v>44607</v>
      </c>
    </row>
    <row r="3640" spans="14:25">
      <c r="N3640" s="42">
        <v>44600</v>
      </c>
      <c r="O3640" t="s">
        <v>333</v>
      </c>
      <c r="P3640" s="42">
        <v>44600</v>
      </c>
      <c r="Q3640" t="s">
        <v>333</v>
      </c>
      <c r="R3640" t="s">
        <v>320</v>
      </c>
      <c r="S3640" t="s">
        <v>323</v>
      </c>
      <c r="T3640">
        <v>6.25</v>
      </c>
      <c r="Y3640" s="42">
        <v>44607</v>
      </c>
    </row>
    <row r="3641" spans="14:25">
      <c r="N3641" s="42">
        <v>44599</v>
      </c>
      <c r="O3641" t="s">
        <v>345</v>
      </c>
      <c r="P3641" s="42">
        <v>44599</v>
      </c>
      <c r="Q3641" t="s">
        <v>345</v>
      </c>
      <c r="R3641" t="s">
        <v>320</v>
      </c>
      <c r="S3641" t="s">
        <v>323</v>
      </c>
      <c r="T3641">
        <v>6.25</v>
      </c>
      <c r="Y3641" s="42">
        <v>44607</v>
      </c>
    </row>
    <row r="3642" spans="14:25">
      <c r="N3642" s="42">
        <v>44587</v>
      </c>
      <c r="O3642" t="s">
        <v>328</v>
      </c>
      <c r="P3642" s="42">
        <v>44587</v>
      </c>
      <c r="Q3642" t="s">
        <v>328</v>
      </c>
      <c r="R3642" t="s">
        <v>320</v>
      </c>
      <c r="S3642" t="s">
        <v>323</v>
      </c>
      <c r="U3642">
        <v>6.25</v>
      </c>
    </row>
    <row r="3643" spans="14:25">
      <c r="N3643" s="42">
        <v>44564</v>
      </c>
      <c r="O3643" t="s">
        <v>345</v>
      </c>
      <c r="P3643" s="42">
        <v>44564</v>
      </c>
      <c r="Q3643" t="s">
        <v>345</v>
      </c>
      <c r="R3643" t="s">
        <v>320</v>
      </c>
      <c r="S3643" t="s">
        <v>323</v>
      </c>
      <c r="U3643">
        <v>6.25</v>
      </c>
    </row>
    <row r="3644" spans="14:25">
      <c r="N3644" s="42">
        <v>44558</v>
      </c>
      <c r="O3644" t="s">
        <v>333</v>
      </c>
      <c r="P3644" s="42">
        <v>44558</v>
      </c>
      <c r="Q3644" t="s">
        <v>333</v>
      </c>
      <c r="R3644" t="s">
        <v>320</v>
      </c>
      <c r="S3644" t="s">
        <v>323</v>
      </c>
      <c r="U3644">
        <v>6.25</v>
      </c>
    </row>
    <row r="3645" spans="14:25">
      <c r="N3645" s="42">
        <v>44557</v>
      </c>
      <c r="O3645" t="s">
        <v>345</v>
      </c>
      <c r="P3645" s="42">
        <v>44557</v>
      </c>
      <c r="Q3645" t="s">
        <v>345</v>
      </c>
      <c r="R3645" t="s">
        <v>320</v>
      </c>
      <c r="S3645" t="s">
        <v>323</v>
      </c>
      <c r="U3645">
        <v>6.25</v>
      </c>
    </row>
    <row r="3646" spans="14:25">
      <c r="N3646" s="42">
        <v>44547</v>
      </c>
      <c r="O3646" t="s">
        <v>346</v>
      </c>
      <c r="P3646" s="42">
        <v>44547</v>
      </c>
      <c r="Q3646" t="s">
        <v>346</v>
      </c>
      <c r="R3646" t="s">
        <v>320</v>
      </c>
      <c r="S3646" t="s">
        <v>323</v>
      </c>
      <c r="T3646">
        <v>6.25</v>
      </c>
      <c r="Y3646" s="42">
        <v>44551</v>
      </c>
    </row>
    <row r="3647" spans="14:25">
      <c r="N3647" s="42">
        <v>44533</v>
      </c>
      <c r="O3647" t="s">
        <v>346</v>
      </c>
      <c r="P3647" s="42">
        <v>44533</v>
      </c>
      <c r="Q3647" t="s">
        <v>346</v>
      </c>
      <c r="R3647" t="s">
        <v>329</v>
      </c>
      <c r="S3647" t="s">
        <v>323</v>
      </c>
      <c r="T3647">
        <v>7.3</v>
      </c>
      <c r="W3647" t="s">
        <v>330</v>
      </c>
      <c r="Y3647" s="42">
        <v>44537</v>
      </c>
    </row>
    <row r="3648" spans="14:25">
      <c r="N3648" s="42">
        <v>44505</v>
      </c>
      <c r="O3648" t="s">
        <v>346</v>
      </c>
      <c r="P3648" s="42">
        <v>44505</v>
      </c>
      <c r="Q3648" t="s">
        <v>346</v>
      </c>
      <c r="R3648" t="s">
        <v>320</v>
      </c>
      <c r="S3648" t="s">
        <v>323</v>
      </c>
      <c r="T3648">
        <v>6.25</v>
      </c>
      <c r="Y3648" s="42">
        <v>44509</v>
      </c>
    </row>
    <row r="3649" spans="14:25">
      <c r="N3649" s="42">
        <v>44504</v>
      </c>
      <c r="O3649" t="s">
        <v>324</v>
      </c>
      <c r="P3649" s="42">
        <v>44504</v>
      </c>
      <c r="Q3649" t="s">
        <v>324</v>
      </c>
      <c r="R3649" t="s">
        <v>320</v>
      </c>
      <c r="S3649" t="s">
        <v>323</v>
      </c>
      <c r="T3649">
        <v>6.25</v>
      </c>
      <c r="Y3649" s="42">
        <v>44509</v>
      </c>
    </row>
    <row r="3650" spans="14:25">
      <c r="N3650" s="42">
        <v>44502</v>
      </c>
      <c r="O3650" t="s">
        <v>333</v>
      </c>
      <c r="P3650" s="42">
        <v>44502</v>
      </c>
      <c r="Q3650" t="s">
        <v>333</v>
      </c>
      <c r="R3650" t="s">
        <v>320</v>
      </c>
      <c r="S3650" t="s">
        <v>323</v>
      </c>
      <c r="T3650">
        <v>6.25</v>
      </c>
      <c r="Y3650" s="42">
        <v>44509</v>
      </c>
    </row>
    <row r="3651" spans="14:25">
      <c r="N3651" s="42">
        <v>44501</v>
      </c>
      <c r="O3651" t="s">
        <v>345</v>
      </c>
      <c r="P3651" s="42">
        <v>44501</v>
      </c>
      <c r="Q3651" t="s">
        <v>345</v>
      </c>
      <c r="R3651" t="s">
        <v>320</v>
      </c>
      <c r="S3651" t="s">
        <v>323</v>
      </c>
      <c r="T3651">
        <v>6.25</v>
      </c>
      <c r="Y3651" s="42">
        <v>44509</v>
      </c>
    </row>
    <row r="3652" spans="14:25">
      <c r="N3652" s="42">
        <v>44498</v>
      </c>
      <c r="O3652" t="s">
        <v>346</v>
      </c>
      <c r="P3652" s="42">
        <v>44498</v>
      </c>
      <c r="Q3652" t="s">
        <v>346</v>
      </c>
      <c r="R3652" t="s">
        <v>320</v>
      </c>
      <c r="S3652" t="s">
        <v>323</v>
      </c>
      <c r="U3652">
        <v>6.25</v>
      </c>
    </row>
    <row r="3653" spans="14:25">
      <c r="N3653" s="42">
        <v>44497</v>
      </c>
      <c r="O3653" t="s">
        <v>324</v>
      </c>
      <c r="P3653" s="42">
        <v>44497</v>
      </c>
      <c r="Q3653" t="s">
        <v>324</v>
      </c>
      <c r="R3653" t="s">
        <v>320</v>
      </c>
      <c r="S3653" t="s">
        <v>323</v>
      </c>
      <c r="T3653">
        <v>6.25</v>
      </c>
      <c r="Y3653" s="42">
        <v>44509</v>
      </c>
    </row>
    <row r="3654" spans="14:25">
      <c r="N3654" s="42">
        <v>44495</v>
      </c>
      <c r="O3654" t="s">
        <v>333</v>
      </c>
      <c r="P3654" s="42">
        <v>44495</v>
      </c>
      <c r="Q3654" t="s">
        <v>333</v>
      </c>
      <c r="R3654" t="s">
        <v>320</v>
      </c>
      <c r="S3654" t="s">
        <v>323</v>
      </c>
      <c r="T3654">
        <v>6.25</v>
      </c>
      <c r="Y3654" s="42">
        <v>44495</v>
      </c>
    </row>
    <row r="3655" spans="14:25">
      <c r="N3655" s="42">
        <v>44494</v>
      </c>
      <c r="O3655" t="s">
        <v>345</v>
      </c>
      <c r="P3655" s="42">
        <v>44494</v>
      </c>
      <c r="Q3655" t="s">
        <v>345</v>
      </c>
      <c r="R3655" t="s">
        <v>320</v>
      </c>
      <c r="S3655" t="s">
        <v>323</v>
      </c>
      <c r="T3655">
        <v>6.25</v>
      </c>
      <c r="Y3655" s="42">
        <v>44495</v>
      </c>
    </row>
    <row r="3656" spans="14:25">
      <c r="N3656" s="42">
        <v>44473</v>
      </c>
      <c r="O3656" t="s">
        <v>345</v>
      </c>
      <c r="P3656" s="42">
        <v>44473</v>
      </c>
      <c r="Q3656" t="s">
        <v>345</v>
      </c>
      <c r="R3656" t="s">
        <v>320</v>
      </c>
      <c r="S3656" t="s">
        <v>323</v>
      </c>
      <c r="U3656">
        <v>6.25</v>
      </c>
    </row>
    <row r="3657" spans="14:25">
      <c r="N3657" s="42">
        <v>44456</v>
      </c>
      <c r="O3657" t="s">
        <v>346</v>
      </c>
      <c r="P3657" s="42">
        <v>44456</v>
      </c>
      <c r="Q3657" t="s">
        <v>346</v>
      </c>
      <c r="R3657" t="s">
        <v>329</v>
      </c>
      <c r="S3657" t="s">
        <v>323</v>
      </c>
      <c r="T3657">
        <v>6.25</v>
      </c>
      <c r="W3657" t="s">
        <v>330</v>
      </c>
      <c r="Y3657" s="42">
        <v>44467</v>
      </c>
    </row>
    <row r="3658" spans="14:25">
      <c r="N3658" s="42">
        <v>44438</v>
      </c>
      <c r="O3658" t="s">
        <v>345</v>
      </c>
      <c r="P3658" s="42">
        <v>44438</v>
      </c>
      <c r="Q3658" t="s">
        <v>345</v>
      </c>
      <c r="R3658" t="s">
        <v>329</v>
      </c>
      <c r="S3658" t="s">
        <v>323</v>
      </c>
      <c r="T3658">
        <v>6.25</v>
      </c>
      <c r="W3658" t="s">
        <v>330</v>
      </c>
      <c r="Y3658" s="42">
        <v>44439</v>
      </c>
    </row>
    <row r="3659" spans="14:25">
      <c r="N3659" s="42">
        <v>44421</v>
      </c>
      <c r="O3659" t="s">
        <v>346</v>
      </c>
      <c r="P3659" s="42">
        <v>44421</v>
      </c>
      <c r="Q3659" t="s">
        <v>346</v>
      </c>
      <c r="R3659" t="s">
        <v>329</v>
      </c>
      <c r="S3659" t="s">
        <v>323</v>
      </c>
      <c r="T3659">
        <v>6.25</v>
      </c>
      <c r="W3659" t="s">
        <v>330</v>
      </c>
      <c r="Y3659" s="42">
        <v>44425</v>
      </c>
    </row>
    <row r="3660" spans="14:25">
      <c r="N3660" s="42">
        <v>44403</v>
      </c>
      <c r="O3660" t="s">
        <v>345</v>
      </c>
      <c r="P3660" s="42">
        <v>44403</v>
      </c>
      <c r="Q3660" t="s">
        <v>345</v>
      </c>
      <c r="R3660" t="s">
        <v>329</v>
      </c>
      <c r="S3660" t="s">
        <v>323</v>
      </c>
      <c r="T3660">
        <v>6.25</v>
      </c>
      <c r="W3660" t="s">
        <v>330</v>
      </c>
      <c r="Y3660" s="42">
        <v>44411</v>
      </c>
    </row>
    <row r="3661" spans="14:25">
      <c r="N3661" s="42">
        <v>44389</v>
      </c>
      <c r="O3661" t="s">
        <v>345</v>
      </c>
      <c r="P3661" s="42">
        <v>44389</v>
      </c>
      <c r="Q3661" t="s">
        <v>345</v>
      </c>
      <c r="R3661" t="s">
        <v>320</v>
      </c>
      <c r="S3661" t="s">
        <v>323</v>
      </c>
      <c r="T3661">
        <v>6.25</v>
      </c>
      <c r="Y3661" s="42">
        <v>44397</v>
      </c>
    </row>
    <row r="3662" spans="14:25">
      <c r="N3662" s="42">
        <v>44371</v>
      </c>
      <c r="O3662" t="s">
        <v>324</v>
      </c>
      <c r="P3662" s="42">
        <v>44371</v>
      </c>
      <c r="Q3662" t="s">
        <v>324</v>
      </c>
      <c r="R3662" t="s">
        <v>329</v>
      </c>
      <c r="S3662" t="s">
        <v>323</v>
      </c>
      <c r="T3662">
        <v>2.6333000000000002</v>
      </c>
      <c r="W3662" t="s">
        <v>330</v>
      </c>
      <c r="Y3662" s="42">
        <v>44383</v>
      </c>
    </row>
    <row r="3663" spans="14:25">
      <c r="N3663" s="42">
        <v>44365</v>
      </c>
      <c r="O3663" t="s">
        <v>346</v>
      </c>
      <c r="P3663" s="42">
        <v>44365</v>
      </c>
      <c r="Q3663" t="s">
        <v>346</v>
      </c>
      <c r="R3663" t="s">
        <v>320</v>
      </c>
      <c r="S3663" t="s">
        <v>323</v>
      </c>
      <c r="T3663">
        <v>6.25</v>
      </c>
      <c r="Y3663" s="42">
        <v>44369</v>
      </c>
    </row>
    <row r="3664" spans="14:25">
      <c r="N3664" s="42">
        <v>44358</v>
      </c>
      <c r="O3664" t="s">
        <v>346</v>
      </c>
      <c r="P3664" s="42">
        <v>44358</v>
      </c>
      <c r="Q3664" t="s">
        <v>346</v>
      </c>
      <c r="R3664" t="s">
        <v>320</v>
      </c>
      <c r="S3664" t="s">
        <v>323</v>
      </c>
      <c r="T3664">
        <v>6.25</v>
      </c>
      <c r="Y3664" s="42">
        <v>44369</v>
      </c>
    </row>
    <row r="3665" spans="14:25">
      <c r="N3665" s="42">
        <v>44351</v>
      </c>
      <c r="O3665" t="s">
        <v>346</v>
      </c>
      <c r="P3665" s="42">
        <v>44351</v>
      </c>
      <c r="Q3665" t="s">
        <v>346</v>
      </c>
      <c r="R3665" t="s">
        <v>329</v>
      </c>
      <c r="S3665" t="s">
        <v>323</v>
      </c>
      <c r="T3665">
        <v>2</v>
      </c>
      <c r="W3665" t="s">
        <v>330</v>
      </c>
      <c r="Y3665" s="42">
        <v>44355</v>
      </c>
    </row>
    <row r="3666" spans="14:25">
      <c r="N3666" s="42">
        <v>44341</v>
      </c>
      <c r="O3666" t="s">
        <v>333</v>
      </c>
      <c r="P3666" s="42">
        <v>44341</v>
      </c>
      <c r="Q3666" t="s">
        <v>333</v>
      </c>
      <c r="R3666" t="s">
        <v>329</v>
      </c>
      <c r="S3666" t="s">
        <v>323</v>
      </c>
      <c r="T3666">
        <v>6.25</v>
      </c>
      <c r="W3666" t="s">
        <v>330</v>
      </c>
      <c r="Y3666" s="42">
        <v>44341</v>
      </c>
    </row>
    <row r="3667" spans="14:25">
      <c r="N3667" s="42">
        <v>44340</v>
      </c>
      <c r="O3667" t="s">
        <v>345</v>
      </c>
      <c r="P3667" s="42">
        <v>44340</v>
      </c>
      <c r="Q3667" t="s">
        <v>345</v>
      </c>
      <c r="R3667" t="s">
        <v>329</v>
      </c>
      <c r="S3667" t="s">
        <v>323</v>
      </c>
      <c r="T3667">
        <v>6.25</v>
      </c>
      <c r="W3667" t="s">
        <v>330</v>
      </c>
      <c r="Y3667" s="42">
        <v>44341</v>
      </c>
    </row>
    <row r="3668" spans="14:25">
      <c r="N3668" s="42">
        <v>44319</v>
      </c>
      <c r="O3668" t="s">
        <v>345</v>
      </c>
      <c r="P3668" s="42">
        <v>44319</v>
      </c>
      <c r="Q3668" t="s">
        <v>345</v>
      </c>
      <c r="R3668" t="s">
        <v>320</v>
      </c>
      <c r="S3668" t="s">
        <v>323</v>
      </c>
      <c r="U3668">
        <v>6.25</v>
      </c>
    </row>
    <row r="3669" spans="14:25">
      <c r="N3669" s="42">
        <v>44316</v>
      </c>
      <c r="O3669" t="s">
        <v>346</v>
      </c>
      <c r="P3669" s="42">
        <v>44316</v>
      </c>
      <c r="Q3669" t="s">
        <v>346</v>
      </c>
      <c r="R3669" t="s">
        <v>320</v>
      </c>
      <c r="S3669" t="s">
        <v>323</v>
      </c>
      <c r="T3669">
        <v>6.25</v>
      </c>
      <c r="Y3669" s="42">
        <v>44327</v>
      </c>
    </row>
    <row r="3670" spans="14:25">
      <c r="N3670" s="42">
        <v>44312</v>
      </c>
      <c r="O3670" t="s">
        <v>345</v>
      </c>
      <c r="P3670" s="42">
        <v>44312</v>
      </c>
      <c r="Q3670" t="s">
        <v>345</v>
      </c>
      <c r="R3670" t="s">
        <v>320</v>
      </c>
      <c r="S3670" t="s">
        <v>323</v>
      </c>
      <c r="U3670">
        <v>6.25</v>
      </c>
    </row>
    <row r="3671" spans="14:25">
      <c r="N3671" s="42">
        <v>44298</v>
      </c>
      <c r="O3671" t="s">
        <v>345</v>
      </c>
      <c r="P3671" s="42">
        <v>44298</v>
      </c>
      <c r="Q3671" t="s">
        <v>345</v>
      </c>
      <c r="R3671" t="s">
        <v>329</v>
      </c>
      <c r="S3671" t="s">
        <v>323</v>
      </c>
      <c r="T3671">
        <v>3</v>
      </c>
      <c r="W3671" t="s">
        <v>330</v>
      </c>
      <c r="Y3671" s="42">
        <v>44299</v>
      </c>
    </row>
    <row r="3672" spans="14:25">
      <c r="N3672" s="42">
        <v>44291</v>
      </c>
      <c r="O3672" t="s">
        <v>345</v>
      </c>
      <c r="P3672" s="42">
        <v>44291</v>
      </c>
      <c r="Q3672" t="s">
        <v>345</v>
      </c>
      <c r="R3672" t="s">
        <v>320</v>
      </c>
      <c r="S3672" t="s">
        <v>323</v>
      </c>
      <c r="U3672">
        <v>6.25</v>
      </c>
    </row>
    <row r="3673" spans="14:25">
      <c r="N3673" s="42">
        <v>44288</v>
      </c>
      <c r="O3673" t="s">
        <v>346</v>
      </c>
      <c r="P3673" s="42">
        <v>44288</v>
      </c>
      <c r="Q3673" t="s">
        <v>346</v>
      </c>
      <c r="R3673" t="s">
        <v>320</v>
      </c>
      <c r="S3673" t="s">
        <v>323</v>
      </c>
      <c r="U3673">
        <v>6.25</v>
      </c>
    </row>
    <row r="3674" spans="14:25">
      <c r="N3674" s="42">
        <v>44265</v>
      </c>
      <c r="O3674" t="s">
        <v>328</v>
      </c>
      <c r="P3674" s="42">
        <v>44265</v>
      </c>
      <c r="Q3674" t="s">
        <v>328</v>
      </c>
      <c r="R3674" t="s">
        <v>329</v>
      </c>
      <c r="S3674" t="s">
        <v>323</v>
      </c>
      <c r="T3674">
        <v>7</v>
      </c>
      <c r="W3674" t="s">
        <v>330</v>
      </c>
      <c r="Y3674" s="42">
        <v>44271</v>
      </c>
    </row>
    <row r="3675" spans="14:25">
      <c r="N3675" s="42">
        <v>44242</v>
      </c>
      <c r="O3675" t="s">
        <v>345</v>
      </c>
      <c r="P3675" s="42">
        <v>44242</v>
      </c>
      <c r="Q3675" t="s">
        <v>345</v>
      </c>
      <c r="R3675" t="s">
        <v>320</v>
      </c>
      <c r="S3675" t="s">
        <v>323</v>
      </c>
      <c r="T3675">
        <v>6</v>
      </c>
      <c r="Y3675" s="42">
        <v>44243</v>
      </c>
    </row>
    <row r="3676" spans="14:25">
      <c r="N3676" s="42">
        <v>44239</v>
      </c>
      <c r="O3676" t="s">
        <v>346</v>
      </c>
      <c r="P3676" s="42">
        <v>44239</v>
      </c>
      <c r="Q3676" t="s">
        <v>346</v>
      </c>
      <c r="R3676" t="s">
        <v>320</v>
      </c>
      <c r="S3676" t="s">
        <v>323</v>
      </c>
      <c r="T3676">
        <v>6</v>
      </c>
      <c r="Y3676" s="42">
        <v>44243</v>
      </c>
    </row>
    <row r="3677" spans="14:25">
      <c r="N3677" s="42">
        <v>44238</v>
      </c>
      <c r="O3677" t="s">
        <v>324</v>
      </c>
      <c r="P3677" s="42">
        <v>44238</v>
      </c>
      <c r="Q3677" t="s">
        <v>324</v>
      </c>
      <c r="R3677" t="s">
        <v>320</v>
      </c>
      <c r="S3677" t="s">
        <v>323</v>
      </c>
      <c r="T3677">
        <v>6</v>
      </c>
      <c r="Y3677" s="42">
        <v>44243</v>
      </c>
    </row>
    <row r="3678" spans="14:25">
      <c r="N3678" s="42">
        <v>44237</v>
      </c>
      <c r="O3678" t="s">
        <v>328</v>
      </c>
      <c r="P3678" s="42">
        <v>44237</v>
      </c>
      <c r="Q3678" t="s">
        <v>328</v>
      </c>
      <c r="R3678" t="s">
        <v>320</v>
      </c>
      <c r="S3678" t="s">
        <v>323</v>
      </c>
      <c r="T3678">
        <v>7</v>
      </c>
      <c r="Y3678" s="42">
        <v>44243</v>
      </c>
    </row>
    <row r="3679" spans="14:25">
      <c r="N3679" s="42">
        <v>44236</v>
      </c>
      <c r="O3679" t="s">
        <v>333</v>
      </c>
      <c r="P3679" s="42">
        <v>44236</v>
      </c>
      <c r="Q3679" t="s">
        <v>333</v>
      </c>
      <c r="R3679" t="s">
        <v>320</v>
      </c>
      <c r="S3679" t="s">
        <v>323</v>
      </c>
      <c r="T3679">
        <v>6</v>
      </c>
      <c r="Y3679" s="42">
        <v>44243</v>
      </c>
    </row>
    <row r="3680" spans="14:25">
      <c r="N3680" s="42">
        <v>44235</v>
      </c>
      <c r="O3680" t="s">
        <v>345</v>
      </c>
      <c r="P3680" s="42">
        <v>44235</v>
      </c>
      <c r="Q3680" t="s">
        <v>345</v>
      </c>
      <c r="R3680" t="s">
        <v>320</v>
      </c>
      <c r="S3680" t="s">
        <v>323</v>
      </c>
      <c r="T3680">
        <v>6</v>
      </c>
      <c r="Y3680" s="42">
        <v>44243</v>
      </c>
    </row>
    <row r="3681" spans="14:25">
      <c r="N3681" s="42">
        <v>44223</v>
      </c>
      <c r="O3681" t="s">
        <v>328</v>
      </c>
      <c r="P3681" s="42">
        <v>44223</v>
      </c>
      <c r="Q3681" t="s">
        <v>328</v>
      </c>
      <c r="R3681" t="s">
        <v>329</v>
      </c>
      <c r="S3681" t="s">
        <v>323</v>
      </c>
      <c r="T3681">
        <v>7</v>
      </c>
      <c r="W3681" t="s">
        <v>330</v>
      </c>
      <c r="Y3681" s="42">
        <v>44229</v>
      </c>
    </row>
    <row r="3682" spans="14:25">
      <c r="N3682" s="42">
        <v>44222</v>
      </c>
      <c r="O3682" t="s">
        <v>333</v>
      </c>
      <c r="P3682" s="42">
        <v>44222</v>
      </c>
      <c r="Q3682" t="s">
        <v>333</v>
      </c>
      <c r="R3682" t="s">
        <v>320</v>
      </c>
      <c r="S3682" t="s">
        <v>323</v>
      </c>
      <c r="U3682">
        <v>6</v>
      </c>
    </row>
    <row r="3683" spans="14:25">
      <c r="N3683" s="42">
        <v>44197</v>
      </c>
      <c r="O3683" t="s">
        <v>346</v>
      </c>
      <c r="P3683" s="42">
        <v>44197</v>
      </c>
      <c r="Q3683" t="s">
        <v>346</v>
      </c>
      <c r="R3683" t="s">
        <v>320</v>
      </c>
      <c r="S3683" t="s">
        <v>323</v>
      </c>
      <c r="U3683">
        <v>6</v>
      </c>
    </row>
    <row r="3684" spans="14:25">
      <c r="N3684" s="42">
        <v>44196</v>
      </c>
      <c r="O3684" t="s">
        <v>324</v>
      </c>
      <c r="P3684" s="42">
        <v>44196</v>
      </c>
      <c r="Q3684" t="s">
        <v>324</v>
      </c>
      <c r="R3684" t="s">
        <v>320</v>
      </c>
      <c r="S3684" t="s">
        <v>323</v>
      </c>
      <c r="T3684">
        <v>2</v>
      </c>
      <c r="Y3684" s="42">
        <v>44201</v>
      </c>
    </row>
    <row r="3685" spans="14:25">
      <c r="N3685" s="42">
        <v>44195</v>
      </c>
      <c r="O3685" t="s">
        <v>328</v>
      </c>
      <c r="P3685" s="42">
        <v>44195</v>
      </c>
      <c r="Q3685" t="s">
        <v>328</v>
      </c>
      <c r="R3685" t="s">
        <v>320</v>
      </c>
      <c r="S3685" t="s">
        <v>323</v>
      </c>
      <c r="T3685">
        <v>7</v>
      </c>
      <c r="Y3685" s="42">
        <v>44201</v>
      </c>
    </row>
    <row r="3686" spans="14:25">
      <c r="N3686" s="42">
        <v>44194</v>
      </c>
      <c r="O3686" t="s">
        <v>333</v>
      </c>
      <c r="P3686" s="42">
        <v>44194</v>
      </c>
      <c r="Q3686" t="s">
        <v>333</v>
      </c>
      <c r="R3686" t="s">
        <v>320</v>
      </c>
      <c r="S3686" t="s">
        <v>323</v>
      </c>
      <c r="T3686">
        <v>3</v>
      </c>
      <c r="Y3686" s="42">
        <v>44201</v>
      </c>
    </row>
    <row r="3687" spans="14:25">
      <c r="N3687" s="42">
        <v>44193</v>
      </c>
      <c r="O3687" t="s">
        <v>345</v>
      </c>
      <c r="P3687" s="42">
        <v>44193</v>
      </c>
      <c r="Q3687" t="s">
        <v>345</v>
      </c>
      <c r="R3687" t="s">
        <v>320</v>
      </c>
      <c r="S3687" t="s">
        <v>323</v>
      </c>
      <c r="U3687">
        <v>6</v>
      </c>
    </row>
    <row r="3688" spans="14:25">
      <c r="N3688" s="42">
        <v>44190</v>
      </c>
      <c r="O3688" t="s">
        <v>346</v>
      </c>
      <c r="P3688" s="42">
        <v>44190</v>
      </c>
      <c r="Q3688" t="s">
        <v>346</v>
      </c>
      <c r="R3688" t="s">
        <v>320</v>
      </c>
      <c r="S3688" t="s">
        <v>323</v>
      </c>
      <c r="U3688">
        <v>6</v>
      </c>
    </row>
    <row r="3689" spans="14:25">
      <c r="N3689" s="42">
        <v>44155</v>
      </c>
      <c r="O3689" t="s">
        <v>346</v>
      </c>
      <c r="P3689" s="42">
        <v>44155</v>
      </c>
      <c r="Q3689" t="s">
        <v>346</v>
      </c>
      <c r="R3689" t="s">
        <v>320</v>
      </c>
      <c r="S3689" t="s">
        <v>323</v>
      </c>
      <c r="T3689">
        <v>6</v>
      </c>
      <c r="Y3689" s="42">
        <v>44159</v>
      </c>
    </row>
    <row r="3690" spans="14:25">
      <c r="N3690" s="42">
        <v>44152</v>
      </c>
      <c r="O3690" t="s">
        <v>333</v>
      </c>
      <c r="P3690" s="42">
        <v>44152</v>
      </c>
      <c r="Q3690" t="s">
        <v>333</v>
      </c>
      <c r="R3690" t="s">
        <v>320</v>
      </c>
      <c r="S3690" t="s">
        <v>323</v>
      </c>
      <c r="T3690">
        <v>6</v>
      </c>
      <c r="Y3690" s="42">
        <v>44159</v>
      </c>
    </row>
    <row r="3691" spans="14:25">
      <c r="N3691" s="42">
        <v>44127</v>
      </c>
      <c r="O3691" t="s">
        <v>346</v>
      </c>
      <c r="P3691" s="42">
        <v>44127</v>
      </c>
      <c r="Q3691" t="s">
        <v>346</v>
      </c>
      <c r="R3691" t="s">
        <v>320</v>
      </c>
      <c r="S3691" t="s">
        <v>323</v>
      </c>
      <c r="T3691">
        <v>6</v>
      </c>
      <c r="Y3691" s="42">
        <v>44131</v>
      </c>
    </row>
    <row r="3692" spans="14:25">
      <c r="N3692" s="42">
        <v>44126</v>
      </c>
      <c r="O3692" t="s">
        <v>324</v>
      </c>
      <c r="P3692" s="42">
        <v>44126</v>
      </c>
      <c r="Q3692" t="s">
        <v>324</v>
      </c>
      <c r="R3692" t="s">
        <v>320</v>
      </c>
      <c r="S3692" t="s">
        <v>323</v>
      </c>
      <c r="T3692">
        <v>6</v>
      </c>
      <c r="Y3692" s="42">
        <v>44131</v>
      </c>
    </row>
    <row r="3693" spans="14:25">
      <c r="N3693" s="42">
        <v>44125</v>
      </c>
      <c r="O3693" t="s">
        <v>328</v>
      </c>
      <c r="P3693" s="42">
        <v>44125</v>
      </c>
      <c r="Q3693" t="s">
        <v>328</v>
      </c>
      <c r="R3693" t="s">
        <v>320</v>
      </c>
      <c r="S3693" t="s">
        <v>323</v>
      </c>
      <c r="T3693">
        <v>7</v>
      </c>
      <c r="Y3693" s="42">
        <v>44131</v>
      </c>
    </row>
    <row r="3694" spans="14:25">
      <c r="N3694" s="42">
        <v>44124</v>
      </c>
      <c r="O3694" t="s">
        <v>333</v>
      </c>
      <c r="P3694" s="42">
        <v>44124</v>
      </c>
      <c r="Q3694" t="s">
        <v>333</v>
      </c>
      <c r="R3694" t="s">
        <v>320</v>
      </c>
      <c r="S3694" t="s">
        <v>323</v>
      </c>
      <c r="T3694">
        <v>6</v>
      </c>
      <c r="Y3694" s="42">
        <v>44131</v>
      </c>
    </row>
    <row r="3695" spans="14:25">
      <c r="N3695" s="42">
        <v>44123</v>
      </c>
      <c r="O3695" t="s">
        <v>345</v>
      </c>
      <c r="P3695" s="42">
        <v>44123</v>
      </c>
      <c r="Q3695" t="s">
        <v>345</v>
      </c>
      <c r="R3695" t="s">
        <v>320</v>
      </c>
      <c r="S3695" t="s">
        <v>323</v>
      </c>
      <c r="T3695">
        <v>6</v>
      </c>
      <c r="Y3695" s="42">
        <v>44131</v>
      </c>
    </row>
    <row r="3696" spans="14:25">
      <c r="N3696" s="42">
        <v>44117</v>
      </c>
      <c r="O3696" t="s">
        <v>333</v>
      </c>
      <c r="P3696" s="42">
        <v>44117</v>
      </c>
      <c r="Q3696" t="s">
        <v>333</v>
      </c>
      <c r="R3696" t="s">
        <v>329</v>
      </c>
      <c r="S3696" t="s">
        <v>323</v>
      </c>
      <c r="T3696">
        <v>6</v>
      </c>
      <c r="W3696" t="s">
        <v>330</v>
      </c>
      <c r="Y3696" s="42">
        <v>44117</v>
      </c>
    </row>
    <row r="3697" spans="14:25">
      <c r="N3697" s="42">
        <v>44109</v>
      </c>
      <c r="O3697" t="s">
        <v>345</v>
      </c>
      <c r="P3697" s="42">
        <v>44109</v>
      </c>
      <c r="Q3697" t="s">
        <v>345</v>
      </c>
      <c r="R3697" t="s">
        <v>320</v>
      </c>
      <c r="S3697" t="s">
        <v>323</v>
      </c>
      <c r="U3697">
        <v>6</v>
      </c>
    </row>
    <row r="3698" spans="14:25">
      <c r="N3698" s="42">
        <v>44103</v>
      </c>
      <c r="O3698" t="s">
        <v>333</v>
      </c>
      <c r="P3698" s="42">
        <v>44103</v>
      </c>
      <c r="Q3698" t="s">
        <v>333</v>
      </c>
      <c r="R3698" t="s">
        <v>320</v>
      </c>
      <c r="S3698" t="s">
        <v>323</v>
      </c>
      <c r="T3698">
        <v>6</v>
      </c>
      <c r="Y3698" s="42">
        <v>44103</v>
      </c>
    </row>
    <row r="3699" spans="14:25">
      <c r="N3699" s="42">
        <v>44083</v>
      </c>
      <c r="O3699" t="s">
        <v>328</v>
      </c>
      <c r="P3699" s="42">
        <v>44083</v>
      </c>
      <c r="Q3699" t="s">
        <v>328</v>
      </c>
      <c r="R3699" t="s">
        <v>320</v>
      </c>
      <c r="S3699" t="s">
        <v>323</v>
      </c>
      <c r="T3699">
        <v>7</v>
      </c>
      <c r="Y3699" s="42">
        <v>44089</v>
      </c>
    </row>
    <row r="3700" spans="14:25">
      <c r="N3700" s="42">
        <v>44046</v>
      </c>
      <c r="O3700" t="s">
        <v>345</v>
      </c>
      <c r="P3700" s="42">
        <v>44046</v>
      </c>
      <c r="Q3700" t="s">
        <v>345</v>
      </c>
      <c r="R3700" t="s">
        <v>329</v>
      </c>
      <c r="S3700" t="s">
        <v>323</v>
      </c>
      <c r="T3700">
        <v>6</v>
      </c>
      <c r="W3700" t="s">
        <v>330</v>
      </c>
      <c r="Y3700" s="42">
        <v>44047</v>
      </c>
    </row>
    <row r="3701" spans="14:25">
      <c r="N3701" s="42">
        <v>44041</v>
      </c>
      <c r="O3701" t="s">
        <v>328</v>
      </c>
      <c r="P3701" s="42">
        <v>44041</v>
      </c>
      <c r="Q3701" t="s">
        <v>328</v>
      </c>
      <c r="R3701" t="s">
        <v>320</v>
      </c>
      <c r="S3701" t="s">
        <v>323</v>
      </c>
      <c r="T3701">
        <v>7</v>
      </c>
      <c r="Y3701" s="42">
        <v>44047</v>
      </c>
    </row>
    <row r="3702" spans="14:25">
      <c r="N3702" s="42">
        <v>44021</v>
      </c>
      <c r="O3702" t="s">
        <v>324</v>
      </c>
      <c r="P3702" s="42">
        <v>44021</v>
      </c>
      <c r="Q3702" t="s">
        <v>324</v>
      </c>
      <c r="R3702" t="s">
        <v>329</v>
      </c>
      <c r="S3702" t="s">
        <v>323</v>
      </c>
      <c r="T3702">
        <v>6</v>
      </c>
      <c r="W3702" t="s">
        <v>330</v>
      </c>
      <c r="Y3702" s="42">
        <v>44033</v>
      </c>
    </row>
    <row r="3703" spans="14:25">
      <c r="N3703" s="42">
        <v>44008</v>
      </c>
      <c r="O3703" t="s">
        <v>346</v>
      </c>
      <c r="P3703" s="42">
        <v>44008</v>
      </c>
      <c r="Q3703" t="s">
        <v>346</v>
      </c>
      <c r="R3703" t="s">
        <v>329</v>
      </c>
      <c r="S3703" t="s">
        <v>323</v>
      </c>
      <c r="T3703">
        <v>6</v>
      </c>
      <c r="W3703" t="s">
        <v>330</v>
      </c>
      <c r="Y3703" s="42">
        <v>44019</v>
      </c>
    </row>
    <row r="3704" spans="14:25">
      <c r="N3704" s="42">
        <v>43998</v>
      </c>
      <c r="O3704" t="s">
        <v>333</v>
      </c>
      <c r="P3704" s="42">
        <v>43998</v>
      </c>
      <c r="Q3704" t="s">
        <v>333</v>
      </c>
      <c r="R3704" t="s">
        <v>320</v>
      </c>
      <c r="S3704" t="s">
        <v>323</v>
      </c>
      <c r="T3704">
        <v>6</v>
      </c>
      <c r="Y3704" s="42">
        <v>44005</v>
      </c>
    </row>
    <row r="3705" spans="14:25">
      <c r="N3705" s="42">
        <v>43997</v>
      </c>
      <c r="O3705" t="s">
        <v>345</v>
      </c>
      <c r="P3705" s="42">
        <v>43997</v>
      </c>
      <c r="Q3705" t="s">
        <v>345</v>
      </c>
      <c r="R3705" t="s">
        <v>320</v>
      </c>
      <c r="S3705" t="s">
        <v>323</v>
      </c>
      <c r="T3705">
        <v>6</v>
      </c>
      <c r="Y3705" s="42">
        <v>44005</v>
      </c>
    </row>
    <row r="3706" spans="14:25">
      <c r="N3706" s="42">
        <v>43994</v>
      </c>
      <c r="O3706" t="s">
        <v>346</v>
      </c>
      <c r="P3706" s="42">
        <v>43994</v>
      </c>
      <c r="Q3706" t="s">
        <v>346</v>
      </c>
      <c r="R3706" t="s">
        <v>320</v>
      </c>
      <c r="S3706" t="s">
        <v>323</v>
      </c>
      <c r="T3706">
        <v>6</v>
      </c>
      <c r="Y3706" s="42">
        <v>44005</v>
      </c>
    </row>
    <row r="3707" spans="14:25">
      <c r="N3707" s="42">
        <v>43993</v>
      </c>
      <c r="O3707" t="s">
        <v>324</v>
      </c>
      <c r="P3707" s="42">
        <v>43993</v>
      </c>
      <c r="Q3707" t="s">
        <v>324</v>
      </c>
      <c r="R3707" t="s">
        <v>320</v>
      </c>
      <c r="S3707" t="s">
        <v>323</v>
      </c>
      <c r="T3707">
        <v>6</v>
      </c>
      <c r="Y3707" s="42">
        <v>44005</v>
      </c>
    </row>
    <row r="3708" spans="14:25">
      <c r="N3708" s="42">
        <v>43991</v>
      </c>
      <c r="O3708" t="s">
        <v>333</v>
      </c>
      <c r="P3708" s="42">
        <v>43991</v>
      </c>
      <c r="Q3708" t="s">
        <v>333</v>
      </c>
      <c r="R3708" t="s">
        <v>320</v>
      </c>
      <c r="S3708" t="s">
        <v>323</v>
      </c>
      <c r="T3708">
        <v>6</v>
      </c>
      <c r="Y3708" s="42">
        <v>43991</v>
      </c>
    </row>
    <row r="3709" spans="14:25">
      <c r="N3709" s="42">
        <v>43990</v>
      </c>
      <c r="O3709" t="s">
        <v>345</v>
      </c>
      <c r="P3709" s="42">
        <v>43990</v>
      </c>
      <c r="Q3709" t="s">
        <v>345</v>
      </c>
      <c r="R3709" t="s">
        <v>320</v>
      </c>
      <c r="S3709" t="s">
        <v>323</v>
      </c>
      <c r="T3709">
        <v>6</v>
      </c>
      <c r="Y3709" s="42">
        <v>43991</v>
      </c>
    </row>
    <row r="3710" spans="14:25">
      <c r="N3710" s="42">
        <v>43977</v>
      </c>
      <c r="O3710" t="s">
        <v>333</v>
      </c>
      <c r="P3710" s="42">
        <v>43977</v>
      </c>
      <c r="Q3710" t="s">
        <v>333</v>
      </c>
      <c r="R3710" t="s">
        <v>329</v>
      </c>
      <c r="S3710" t="s">
        <v>323</v>
      </c>
      <c r="T3710">
        <v>6</v>
      </c>
      <c r="W3710" t="s">
        <v>330</v>
      </c>
      <c r="Y3710" s="42">
        <v>43977</v>
      </c>
    </row>
    <row r="3711" spans="14:25">
      <c r="N3711" s="42">
        <v>43966</v>
      </c>
      <c r="O3711" t="s">
        <v>346</v>
      </c>
      <c r="P3711" s="42">
        <v>43966</v>
      </c>
      <c r="Q3711" t="s">
        <v>346</v>
      </c>
      <c r="R3711" t="s">
        <v>320</v>
      </c>
      <c r="S3711" t="s">
        <v>323</v>
      </c>
      <c r="T3711">
        <v>6</v>
      </c>
      <c r="Y3711" s="42">
        <v>43977</v>
      </c>
    </row>
    <row r="3712" spans="14:25">
      <c r="N3712" s="42">
        <v>43965</v>
      </c>
      <c r="O3712" t="s">
        <v>324</v>
      </c>
      <c r="P3712" s="42">
        <v>43965</v>
      </c>
      <c r="Q3712" t="s">
        <v>324</v>
      </c>
      <c r="R3712" t="s">
        <v>320</v>
      </c>
      <c r="S3712" t="s">
        <v>323</v>
      </c>
      <c r="T3712">
        <v>6</v>
      </c>
      <c r="Y3712" s="42">
        <v>43977</v>
      </c>
    </row>
    <row r="3713" spans="1:25">
      <c r="N3713" s="42">
        <v>43917</v>
      </c>
      <c r="O3713" t="s">
        <v>346</v>
      </c>
      <c r="P3713" s="42">
        <v>43917</v>
      </c>
      <c r="Q3713" t="s">
        <v>346</v>
      </c>
      <c r="R3713" t="s">
        <v>329</v>
      </c>
      <c r="S3713" t="s">
        <v>323</v>
      </c>
      <c r="T3713">
        <v>2</v>
      </c>
      <c r="W3713" t="s">
        <v>330</v>
      </c>
      <c r="Y3713" s="42">
        <v>43921</v>
      </c>
    </row>
    <row r="3714" spans="1:25">
      <c r="N3714" s="42">
        <v>43889</v>
      </c>
      <c r="O3714" t="s">
        <v>346</v>
      </c>
      <c r="P3714" s="42">
        <v>43889</v>
      </c>
      <c r="Q3714" t="s">
        <v>346</v>
      </c>
      <c r="R3714" t="s">
        <v>320</v>
      </c>
      <c r="S3714" t="s">
        <v>323</v>
      </c>
      <c r="T3714">
        <v>6</v>
      </c>
      <c r="Y3714" s="42">
        <v>43893</v>
      </c>
    </row>
    <row r="3715" spans="1:25">
      <c r="N3715" s="42">
        <v>43888</v>
      </c>
      <c r="O3715" t="s">
        <v>324</v>
      </c>
      <c r="P3715" s="42">
        <v>43888</v>
      </c>
      <c r="Q3715" t="s">
        <v>324</v>
      </c>
      <c r="R3715" t="s">
        <v>320</v>
      </c>
      <c r="S3715" t="s">
        <v>323</v>
      </c>
      <c r="T3715">
        <v>6</v>
      </c>
      <c r="Y3715" s="42">
        <v>43893</v>
      </c>
    </row>
    <row r="3716" spans="1:25">
      <c r="N3716" s="42">
        <v>43867</v>
      </c>
      <c r="O3716" t="s">
        <v>324</v>
      </c>
      <c r="P3716" s="42">
        <v>43867</v>
      </c>
      <c r="Q3716" t="s">
        <v>324</v>
      </c>
      <c r="R3716" t="s">
        <v>329</v>
      </c>
      <c r="S3716" t="s">
        <v>323</v>
      </c>
      <c r="T3716">
        <v>6</v>
      </c>
      <c r="W3716" t="s">
        <v>330</v>
      </c>
      <c r="Y3716" s="42">
        <v>43879</v>
      </c>
    </row>
    <row r="3717" spans="1:25">
      <c r="N3717" s="42">
        <v>43830</v>
      </c>
      <c r="O3717" t="s">
        <v>333</v>
      </c>
      <c r="P3717" s="42">
        <v>43830</v>
      </c>
      <c r="Q3717" t="s">
        <v>333</v>
      </c>
      <c r="R3717" t="s">
        <v>338</v>
      </c>
      <c r="S3717" t="s">
        <v>323</v>
      </c>
      <c r="T3717">
        <v>6</v>
      </c>
      <c r="W3717" t="s">
        <v>330</v>
      </c>
      <c r="Y3717" s="42">
        <v>43837</v>
      </c>
    </row>
    <row r="3718" spans="1:25">
      <c r="N3718" s="42">
        <v>43796</v>
      </c>
      <c r="O3718" t="s">
        <v>328</v>
      </c>
      <c r="P3718" s="42">
        <v>43796</v>
      </c>
      <c r="Q3718" t="s">
        <v>328</v>
      </c>
      <c r="R3718" t="s">
        <v>329</v>
      </c>
      <c r="S3718" t="s">
        <v>323</v>
      </c>
      <c r="T3718">
        <v>7</v>
      </c>
      <c r="W3718" t="s">
        <v>330</v>
      </c>
      <c r="Y3718" s="42">
        <v>43809</v>
      </c>
    </row>
    <row r="3719" spans="1:25">
      <c r="N3719" s="42">
        <v>43791</v>
      </c>
      <c r="O3719" t="s">
        <v>346</v>
      </c>
      <c r="P3719" s="42">
        <v>43791</v>
      </c>
      <c r="Q3719" t="s">
        <v>346</v>
      </c>
      <c r="R3719" t="s">
        <v>320</v>
      </c>
      <c r="S3719" t="s">
        <v>323</v>
      </c>
      <c r="T3719">
        <v>5.5</v>
      </c>
      <c r="Y3719" s="42">
        <v>43795</v>
      </c>
    </row>
    <row r="3720" spans="1:25">
      <c r="N3720" s="42">
        <v>43790</v>
      </c>
      <c r="O3720" t="s">
        <v>324</v>
      </c>
      <c r="P3720" s="42">
        <v>43790</v>
      </c>
      <c r="Q3720" t="s">
        <v>324</v>
      </c>
      <c r="R3720" t="s">
        <v>320</v>
      </c>
      <c r="S3720" t="s">
        <v>323</v>
      </c>
      <c r="T3720">
        <v>5.5</v>
      </c>
      <c r="Y3720" s="42">
        <v>43795</v>
      </c>
    </row>
    <row r="3721" spans="1:25">
      <c r="N3721" s="42">
        <v>43753</v>
      </c>
      <c r="O3721" t="s">
        <v>333</v>
      </c>
      <c r="P3721" s="42">
        <v>43753</v>
      </c>
      <c r="Q3721" t="s">
        <v>333</v>
      </c>
      <c r="R3721" t="s">
        <v>338</v>
      </c>
      <c r="S3721" t="s">
        <v>323</v>
      </c>
      <c r="T3721">
        <v>5.5</v>
      </c>
      <c r="W3721" t="s">
        <v>330</v>
      </c>
      <c r="Y3721" s="42">
        <v>43753</v>
      </c>
    </row>
    <row r="3722" spans="1:25">
      <c r="N3722" s="42">
        <v>43734</v>
      </c>
      <c r="O3722" t="s">
        <v>324</v>
      </c>
      <c r="P3722" s="42">
        <v>43734</v>
      </c>
      <c r="Q3722" t="s">
        <v>324</v>
      </c>
      <c r="R3722" t="s">
        <v>338</v>
      </c>
      <c r="S3722" t="s">
        <v>323</v>
      </c>
      <c r="T3722">
        <v>5.5</v>
      </c>
      <c r="W3722" t="s">
        <v>330</v>
      </c>
      <c r="Y3722" s="42">
        <v>43739</v>
      </c>
    </row>
    <row r="3723" spans="1:25">
      <c r="N3723" s="42">
        <v>43705</v>
      </c>
      <c r="O3723" t="s">
        <v>328</v>
      </c>
      <c r="P3723" s="42">
        <v>43705</v>
      </c>
      <c r="Q3723" t="s">
        <v>328</v>
      </c>
      <c r="R3723" t="s">
        <v>338</v>
      </c>
      <c r="S3723" t="s">
        <v>323</v>
      </c>
      <c r="T3723">
        <v>5.5</v>
      </c>
      <c r="W3723" t="s">
        <v>330</v>
      </c>
      <c r="Y3723" s="42">
        <v>43711</v>
      </c>
    </row>
    <row r="3724" spans="1:25">
      <c r="N3724" s="42">
        <v>43704</v>
      </c>
      <c r="O3724" t="s">
        <v>333</v>
      </c>
      <c r="P3724" s="42">
        <v>43704</v>
      </c>
      <c r="Q3724" t="s">
        <v>333</v>
      </c>
      <c r="R3724" t="s">
        <v>338</v>
      </c>
      <c r="S3724" t="s">
        <v>323</v>
      </c>
      <c r="T3724">
        <v>5.5</v>
      </c>
      <c r="W3724" t="s">
        <v>330</v>
      </c>
      <c r="Y3724" s="42">
        <v>43711</v>
      </c>
    </row>
    <row r="3725" spans="1:25">
      <c r="N3725" s="42">
        <v>43675</v>
      </c>
      <c r="O3725" t="s">
        <v>345</v>
      </c>
      <c r="P3725" s="42">
        <v>43676</v>
      </c>
      <c r="Q3725" t="s">
        <v>333</v>
      </c>
      <c r="R3725" t="s">
        <v>329</v>
      </c>
      <c r="S3725" t="s">
        <v>323</v>
      </c>
      <c r="T3725">
        <v>12</v>
      </c>
      <c r="W3725" t="s">
        <v>330</v>
      </c>
      <c r="Y3725" s="42">
        <v>43683</v>
      </c>
    </row>
    <row r="3726" spans="1:25">
      <c r="N3726" s="42">
        <v>43643</v>
      </c>
      <c r="O3726" t="s">
        <v>324</v>
      </c>
      <c r="P3726" s="42">
        <v>43644</v>
      </c>
      <c r="Q3726" t="s">
        <v>346</v>
      </c>
      <c r="R3726" t="s">
        <v>320</v>
      </c>
      <c r="S3726" t="s">
        <v>323</v>
      </c>
      <c r="T3726">
        <v>12</v>
      </c>
      <c r="Y3726" s="42">
        <v>43655</v>
      </c>
    </row>
    <row r="3727" spans="1:25">
      <c r="A3727">
        <v>18659</v>
      </c>
      <c r="B3727" t="s">
        <v>399</v>
      </c>
      <c r="C3727" t="s">
        <v>320</v>
      </c>
      <c r="D3727" t="s">
        <v>336</v>
      </c>
      <c r="E3727" t="s">
        <v>337</v>
      </c>
      <c r="F3727">
        <v>1</v>
      </c>
      <c r="G3727" s="42">
        <v>45303</v>
      </c>
      <c r="H3727">
        <v>152</v>
      </c>
      <c r="I3727">
        <v>136.79920000000001</v>
      </c>
      <c r="J3727">
        <v>21.238399999999999</v>
      </c>
      <c r="K3727">
        <v>158.0376</v>
      </c>
      <c r="L3727" t="s">
        <v>323</v>
      </c>
      <c r="M3727" s="43">
        <v>0.33402777777777781</v>
      </c>
      <c r="N3727" s="42">
        <v>44981</v>
      </c>
      <c r="O3727" t="s">
        <v>346</v>
      </c>
      <c r="P3727" s="42">
        <v>44981</v>
      </c>
      <c r="Q3727" t="s">
        <v>346</v>
      </c>
      <c r="R3727" t="s">
        <v>320</v>
      </c>
      <c r="S3727" t="s">
        <v>323</v>
      </c>
      <c r="T3727">
        <v>7.6</v>
      </c>
      <c r="Y3727" s="42">
        <v>44985</v>
      </c>
    </row>
    <row r="3728" spans="1:25">
      <c r="C3728" t="s">
        <v>325</v>
      </c>
      <c r="D3728" t="s">
        <v>352</v>
      </c>
      <c r="E3728" t="s">
        <v>353</v>
      </c>
      <c r="F3728">
        <v>1</v>
      </c>
      <c r="G3728" s="42">
        <v>45669</v>
      </c>
      <c r="H3728">
        <v>329.22770000000003</v>
      </c>
      <c r="I3728">
        <v>0</v>
      </c>
      <c r="J3728">
        <v>267.9205</v>
      </c>
      <c r="K3728">
        <v>267.9205</v>
      </c>
      <c r="L3728" t="s">
        <v>323</v>
      </c>
      <c r="N3728" s="42">
        <v>44970</v>
      </c>
      <c r="O3728" t="s">
        <v>345</v>
      </c>
      <c r="P3728" s="42">
        <v>44970</v>
      </c>
      <c r="Q3728" t="s">
        <v>345</v>
      </c>
      <c r="R3728" t="s">
        <v>329</v>
      </c>
      <c r="S3728" t="s">
        <v>323</v>
      </c>
      <c r="T3728">
        <v>3</v>
      </c>
      <c r="W3728" t="s">
        <v>330</v>
      </c>
      <c r="Y3728" s="42">
        <v>44971</v>
      </c>
    </row>
    <row r="3729" spans="3:25">
      <c r="C3729" t="s">
        <v>329</v>
      </c>
      <c r="D3729" t="s">
        <v>342</v>
      </c>
      <c r="E3729" t="s">
        <v>343</v>
      </c>
      <c r="F3729">
        <v>1</v>
      </c>
      <c r="G3729" s="42">
        <v>45303</v>
      </c>
      <c r="H3729">
        <v>76</v>
      </c>
      <c r="I3729">
        <v>268.27910000000003</v>
      </c>
      <c r="J3729">
        <v>10.619199999999999</v>
      </c>
      <c r="K3729">
        <v>278.89830000000001</v>
      </c>
      <c r="L3729" t="s">
        <v>323</v>
      </c>
      <c r="N3729" s="42">
        <v>44960</v>
      </c>
      <c r="O3729" t="s">
        <v>346</v>
      </c>
      <c r="P3729" s="42">
        <v>44960</v>
      </c>
      <c r="Q3729" t="s">
        <v>346</v>
      </c>
      <c r="R3729" t="s">
        <v>320</v>
      </c>
      <c r="S3729" t="s">
        <v>323</v>
      </c>
      <c r="T3729">
        <v>7.6</v>
      </c>
      <c r="Y3729" s="42">
        <v>44971</v>
      </c>
    </row>
    <row r="3730" spans="3:25">
      <c r="N3730" s="42">
        <v>44959</v>
      </c>
      <c r="O3730" t="s">
        <v>324</v>
      </c>
      <c r="P3730" s="42">
        <v>44959</v>
      </c>
      <c r="Q3730" t="s">
        <v>324</v>
      </c>
      <c r="R3730" t="s">
        <v>320</v>
      </c>
      <c r="S3730" t="s">
        <v>323</v>
      </c>
      <c r="T3730">
        <v>7.6</v>
      </c>
      <c r="Y3730" s="42">
        <v>44971</v>
      </c>
    </row>
    <row r="3731" spans="3:25">
      <c r="N3731" s="42">
        <v>44958</v>
      </c>
      <c r="O3731" t="s">
        <v>328</v>
      </c>
      <c r="P3731" s="42">
        <v>44958</v>
      </c>
      <c r="Q3731" t="s">
        <v>328</v>
      </c>
      <c r="R3731" t="s">
        <v>320</v>
      </c>
      <c r="S3731" t="s">
        <v>323</v>
      </c>
      <c r="T3731">
        <v>7.6</v>
      </c>
      <c r="Y3731" s="42">
        <v>44971</v>
      </c>
    </row>
    <row r="3732" spans="3:25">
      <c r="N3732" s="42">
        <v>44957</v>
      </c>
      <c r="O3732" t="s">
        <v>333</v>
      </c>
      <c r="P3732" s="42">
        <v>44957</v>
      </c>
      <c r="Q3732" t="s">
        <v>333</v>
      </c>
      <c r="R3732" t="s">
        <v>320</v>
      </c>
      <c r="S3732" t="s">
        <v>323</v>
      </c>
      <c r="T3732">
        <v>7.6</v>
      </c>
      <c r="Y3732" s="42">
        <v>44957</v>
      </c>
    </row>
    <row r="3733" spans="3:25">
      <c r="N3733" s="42">
        <v>44956</v>
      </c>
      <c r="O3733" t="s">
        <v>345</v>
      </c>
      <c r="P3733" s="42">
        <v>44956</v>
      </c>
      <c r="Q3733" t="s">
        <v>345</v>
      </c>
      <c r="R3733" t="s">
        <v>320</v>
      </c>
      <c r="S3733" t="s">
        <v>323</v>
      </c>
      <c r="T3733">
        <v>7.6</v>
      </c>
      <c r="Y3733" s="42">
        <v>44957</v>
      </c>
    </row>
    <row r="3734" spans="3:25">
      <c r="N3734" s="42">
        <v>44953</v>
      </c>
      <c r="O3734" t="s">
        <v>346</v>
      </c>
      <c r="P3734" s="42">
        <v>44953</v>
      </c>
      <c r="Q3734" t="s">
        <v>346</v>
      </c>
      <c r="R3734" t="s">
        <v>320</v>
      </c>
      <c r="S3734" t="s">
        <v>323</v>
      </c>
      <c r="T3734">
        <v>7.6</v>
      </c>
      <c r="Y3734" s="42">
        <v>44957</v>
      </c>
    </row>
    <row r="3735" spans="3:25">
      <c r="N3735" s="42">
        <v>44952</v>
      </c>
      <c r="O3735" t="s">
        <v>324</v>
      </c>
      <c r="P3735" s="42">
        <v>44952</v>
      </c>
      <c r="Q3735" t="s">
        <v>324</v>
      </c>
      <c r="R3735" t="s">
        <v>320</v>
      </c>
      <c r="S3735" t="s">
        <v>323</v>
      </c>
      <c r="U3735">
        <v>7.6</v>
      </c>
    </row>
    <row r="3736" spans="3:25">
      <c r="N3736" s="42">
        <v>44951</v>
      </c>
      <c r="O3736" t="s">
        <v>328</v>
      </c>
      <c r="P3736" s="42">
        <v>44951</v>
      </c>
      <c r="Q3736" t="s">
        <v>328</v>
      </c>
      <c r="R3736" t="s">
        <v>320</v>
      </c>
      <c r="S3736" t="s">
        <v>323</v>
      </c>
      <c r="T3736">
        <v>7.6</v>
      </c>
      <c r="Y3736" s="42">
        <v>44957</v>
      </c>
    </row>
    <row r="3737" spans="3:25">
      <c r="N3737" s="42">
        <v>44950</v>
      </c>
      <c r="O3737" t="s">
        <v>333</v>
      </c>
      <c r="P3737" s="42">
        <v>44950</v>
      </c>
      <c r="Q3737" t="s">
        <v>333</v>
      </c>
      <c r="R3737" t="s">
        <v>320</v>
      </c>
      <c r="S3737" t="s">
        <v>323</v>
      </c>
      <c r="T3737">
        <v>7.6</v>
      </c>
      <c r="Y3737" s="42">
        <v>44957</v>
      </c>
    </row>
    <row r="3738" spans="3:25">
      <c r="N3738" s="42">
        <v>44949</v>
      </c>
      <c r="O3738" t="s">
        <v>345</v>
      </c>
      <c r="P3738" s="42">
        <v>44949</v>
      </c>
      <c r="Q3738" t="s">
        <v>345</v>
      </c>
      <c r="R3738" t="s">
        <v>320</v>
      </c>
      <c r="S3738" t="s">
        <v>323</v>
      </c>
      <c r="T3738">
        <v>7.6</v>
      </c>
      <c r="Y3738" s="42">
        <v>44957</v>
      </c>
    </row>
    <row r="3739" spans="3:25">
      <c r="N3739" s="42">
        <v>44946</v>
      </c>
      <c r="O3739" t="s">
        <v>346</v>
      </c>
      <c r="P3739" s="42">
        <v>44946</v>
      </c>
      <c r="Q3739" t="s">
        <v>346</v>
      </c>
      <c r="R3739" t="s">
        <v>320</v>
      </c>
      <c r="S3739" t="s">
        <v>323</v>
      </c>
      <c r="T3739">
        <v>7.6</v>
      </c>
      <c r="Y3739" s="42">
        <v>44957</v>
      </c>
    </row>
    <row r="3740" spans="3:25">
      <c r="N3740" s="42">
        <v>44945</v>
      </c>
      <c r="O3740" t="s">
        <v>324</v>
      </c>
      <c r="P3740" s="42">
        <v>44945</v>
      </c>
      <c r="Q3740" t="s">
        <v>324</v>
      </c>
      <c r="R3740" t="s">
        <v>320</v>
      </c>
      <c r="S3740" t="s">
        <v>323</v>
      </c>
      <c r="T3740">
        <v>7.6</v>
      </c>
      <c r="Y3740" s="42">
        <v>44957</v>
      </c>
    </row>
    <row r="3741" spans="3:25">
      <c r="N3741" s="42">
        <v>44944</v>
      </c>
      <c r="O3741" t="s">
        <v>328</v>
      </c>
      <c r="P3741" s="42">
        <v>44944</v>
      </c>
      <c r="Q3741" t="s">
        <v>328</v>
      </c>
      <c r="R3741" t="s">
        <v>320</v>
      </c>
      <c r="S3741" t="s">
        <v>323</v>
      </c>
      <c r="T3741">
        <v>7.6</v>
      </c>
      <c r="Y3741" s="42">
        <v>44957</v>
      </c>
    </row>
    <row r="3742" spans="3:25">
      <c r="N3742" s="42">
        <v>44943</v>
      </c>
      <c r="O3742" t="s">
        <v>333</v>
      </c>
      <c r="P3742" s="42">
        <v>44943</v>
      </c>
      <c r="Q3742" t="s">
        <v>333</v>
      </c>
      <c r="R3742" t="s">
        <v>320</v>
      </c>
      <c r="S3742" t="s">
        <v>323</v>
      </c>
      <c r="T3742">
        <v>7.6</v>
      </c>
      <c r="Y3742" s="42">
        <v>44943</v>
      </c>
    </row>
    <row r="3743" spans="3:25">
      <c r="N3743" s="42">
        <v>44942</v>
      </c>
      <c r="O3743" t="s">
        <v>345</v>
      </c>
      <c r="P3743" s="42">
        <v>44942</v>
      </c>
      <c r="Q3743" t="s">
        <v>345</v>
      </c>
      <c r="R3743" t="s">
        <v>320</v>
      </c>
      <c r="S3743" t="s">
        <v>323</v>
      </c>
      <c r="T3743">
        <v>7.6</v>
      </c>
      <c r="Y3743" s="42">
        <v>44943</v>
      </c>
    </row>
    <row r="3744" spans="3:25">
      <c r="N3744" s="42">
        <v>44939</v>
      </c>
      <c r="O3744" t="s">
        <v>346</v>
      </c>
      <c r="P3744" s="42">
        <v>44939</v>
      </c>
      <c r="Q3744" t="s">
        <v>346</v>
      </c>
      <c r="R3744" t="s">
        <v>320</v>
      </c>
      <c r="S3744" t="s">
        <v>323</v>
      </c>
      <c r="T3744">
        <v>7.6</v>
      </c>
      <c r="Y3744" s="42">
        <v>44943</v>
      </c>
    </row>
    <row r="3745" spans="14:25">
      <c r="N3745" s="42">
        <v>44938</v>
      </c>
      <c r="O3745" t="s">
        <v>324</v>
      </c>
      <c r="P3745" s="42">
        <v>44938</v>
      </c>
      <c r="Q3745" t="s">
        <v>324</v>
      </c>
      <c r="R3745" t="s">
        <v>320</v>
      </c>
      <c r="S3745" t="s">
        <v>323</v>
      </c>
      <c r="T3745">
        <v>7.6</v>
      </c>
      <c r="Y3745" s="42">
        <v>44943</v>
      </c>
    </row>
    <row r="3746" spans="14:25">
      <c r="N3746" s="42">
        <v>44937</v>
      </c>
      <c r="O3746" t="s">
        <v>328</v>
      </c>
      <c r="P3746" s="42">
        <v>44937</v>
      </c>
      <c r="Q3746" t="s">
        <v>328</v>
      </c>
      <c r="R3746" t="s">
        <v>320</v>
      </c>
      <c r="S3746" t="s">
        <v>323</v>
      </c>
      <c r="T3746">
        <v>7.6</v>
      </c>
      <c r="Y3746" s="42">
        <v>44943</v>
      </c>
    </row>
    <row r="3747" spans="14:25">
      <c r="N3747" s="42">
        <v>44936</v>
      </c>
      <c r="O3747" t="s">
        <v>333</v>
      </c>
      <c r="P3747" s="42">
        <v>44936</v>
      </c>
      <c r="Q3747" t="s">
        <v>333</v>
      </c>
      <c r="R3747" t="s">
        <v>320</v>
      </c>
      <c r="S3747" t="s">
        <v>323</v>
      </c>
      <c r="T3747">
        <v>7.6</v>
      </c>
      <c r="Y3747" s="42">
        <v>44943</v>
      </c>
    </row>
    <row r="3748" spans="14:25">
      <c r="N3748" s="42">
        <v>44935</v>
      </c>
      <c r="O3748" t="s">
        <v>345</v>
      </c>
      <c r="P3748" s="42">
        <v>44935</v>
      </c>
      <c r="Q3748" t="s">
        <v>345</v>
      </c>
      <c r="R3748" t="s">
        <v>320</v>
      </c>
      <c r="S3748" t="s">
        <v>323</v>
      </c>
      <c r="T3748">
        <v>7.6</v>
      </c>
      <c r="Y3748" s="42">
        <v>44943</v>
      </c>
    </row>
    <row r="3749" spans="14:25">
      <c r="N3749" s="42">
        <v>44932</v>
      </c>
      <c r="O3749" t="s">
        <v>346</v>
      </c>
      <c r="P3749" s="42">
        <v>44932</v>
      </c>
      <c r="Q3749" t="s">
        <v>346</v>
      </c>
      <c r="R3749" t="s">
        <v>320</v>
      </c>
      <c r="S3749" t="s">
        <v>323</v>
      </c>
      <c r="T3749">
        <v>7.6</v>
      </c>
      <c r="Y3749" s="42">
        <v>44943</v>
      </c>
    </row>
    <row r="3750" spans="14:25">
      <c r="N3750" s="42">
        <v>44931</v>
      </c>
      <c r="O3750" t="s">
        <v>324</v>
      </c>
      <c r="P3750" s="42">
        <v>44931</v>
      </c>
      <c r="Q3750" t="s">
        <v>324</v>
      </c>
      <c r="R3750" t="s">
        <v>320</v>
      </c>
      <c r="S3750" t="s">
        <v>323</v>
      </c>
      <c r="T3750">
        <v>7.6</v>
      </c>
      <c r="Y3750" s="42">
        <v>44943</v>
      </c>
    </row>
    <row r="3751" spans="14:25">
      <c r="N3751" s="42">
        <v>44930</v>
      </c>
      <c r="O3751" t="s">
        <v>328</v>
      </c>
      <c r="P3751" s="42">
        <v>44930</v>
      </c>
      <c r="Q3751" t="s">
        <v>328</v>
      </c>
      <c r="R3751" t="s">
        <v>320</v>
      </c>
      <c r="S3751" t="s">
        <v>323</v>
      </c>
      <c r="T3751">
        <v>7.6</v>
      </c>
      <c r="Y3751" s="42">
        <v>44943</v>
      </c>
    </row>
    <row r="3752" spans="14:25">
      <c r="N3752" s="42">
        <v>44929</v>
      </c>
      <c r="O3752" t="s">
        <v>333</v>
      </c>
      <c r="P3752" s="42">
        <v>44929</v>
      </c>
      <c r="Q3752" t="s">
        <v>333</v>
      </c>
      <c r="R3752" t="s">
        <v>320</v>
      </c>
      <c r="S3752" t="s">
        <v>323</v>
      </c>
      <c r="T3752">
        <v>7.6</v>
      </c>
      <c r="Y3752" s="42">
        <v>44929</v>
      </c>
    </row>
    <row r="3753" spans="14:25">
      <c r="N3753" s="42">
        <v>44928</v>
      </c>
      <c r="O3753" t="s">
        <v>345</v>
      </c>
      <c r="P3753" s="42">
        <v>44928</v>
      </c>
      <c r="Q3753" t="s">
        <v>345</v>
      </c>
      <c r="R3753" t="s">
        <v>320</v>
      </c>
      <c r="S3753" t="s">
        <v>323</v>
      </c>
      <c r="U3753">
        <v>7.6</v>
      </c>
    </row>
    <row r="3754" spans="14:25">
      <c r="N3754" s="42">
        <v>44925</v>
      </c>
      <c r="O3754" t="s">
        <v>346</v>
      </c>
      <c r="P3754" s="42">
        <v>44925</v>
      </c>
      <c r="Q3754" t="s">
        <v>346</v>
      </c>
      <c r="R3754" t="s">
        <v>320</v>
      </c>
      <c r="S3754" t="s">
        <v>323</v>
      </c>
      <c r="T3754">
        <v>7.6</v>
      </c>
      <c r="Y3754" s="42">
        <v>44929</v>
      </c>
    </row>
    <row r="3755" spans="14:25">
      <c r="N3755" s="42">
        <v>44924</v>
      </c>
      <c r="O3755" t="s">
        <v>324</v>
      </c>
      <c r="P3755" s="42">
        <v>44924</v>
      </c>
      <c r="Q3755" t="s">
        <v>324</v>
      </c>
      <c r="R3755" t="s">
        <v>320</v>
      </c>
      <c r="S3755" t="s">
        <v>323</v>
      </c>
      <c r="T3755">
        <v>7.6</v>
      </c>
      <c r="Y3755" s="42">
        <v>44929</v>
      </c>
    </row>
    <row r="3756" spans="14:25">
      <c r="N3756" s="42">
        <v>44923</v>
      </c>
      <c r="O3756" t="s">
        <v>328</v>
      </c>
      <c r="P3756" s="42">
        <v>44923</v>
      </c>
      <c r="Q3756" t="s">
        <v>328</v>
      </c>
      <c r="R3756" t="s">
        <v>320</v>
      </c>
      <c r="S3756" t="s">
        <v>323</v>
      </c>
      <c r="T3756">
        <v>7.6</v>
      </c>
      <c r="Y3756" s="42">
        <v>44929</v>
      </c>
    </row>
    <row r="3757" spans="14:25">
      <c r="N3757" s="42">
        <v>44922</v>
      </c>
      <c r="O3757" t="s">
        <v>333</v>
      </c>
      <c r="P3757" s="42">
        <v>44922</v>
      </c>
      <c r="Q3757" t="s">
        <v>333</v>
      </c>
      <c r="R3757" t="s">
        <v>320</v>
      </c>
      <c r="S3757" t="s">
        <v>323</v>
      </c>
      <c r="U3757">
        <v>7.6</v>
      </c>
    </row>
    <row r="3758" spans="14:25">
      <c r="N3758" s="42">
        <v>44921</v>
      </c>
      <c r="O3758" t="s">
        <v>345</v>
      </c>
      <c r="P3758" s="42">
        <v>44921</v>
      </c>
      <c r="Q3758" t="s">
        <v>345</v>
      </c>
      <c r="R3758" t="s">
        <v>320</v>
      </c>
      <c r="S3758" t="s">
        <v>323</v>
      </c>
      <c r="U3758">
        <v>7.6</v>
      </c>
    </row>
    <row r="3759" spans="14:25">
      <c r="N3759" s="42">
        <v>44916</v>
      </c>
      <c r="O3759" t="s">
        <v>328</v>
      </c>
      <c r="P3759" s="42">
        <v>44916</v>
      </c>
      <c r="Q3759" t="s">
        <v>328</v>
      </c>
      <c r="R3759" t="s">
        <v>329</v>
      </c>
      <c r="S3759" t="s">
        <v>323</v>
      </c>
      <c r="T3759">
        <v>3</v>
      </c>
      <c r="W3759" t="s">
        <v>330</v>
      </c>
      <c r="Y3759" s="42">
        <v>44929</v>
      </c>
    </row>
    <row r="3760" spans="14:25">
      <c r="N3760" s="42">
        <v>44897</v>
      </c>
      <c r="O3760" t="s">
        <v>346</v>
      </c>
      <c r="P3760" s="42">
        <v>44897</v>
      </c>
      <c r="Q3760" t="s">
        <v>346</v>
      </c>
      <c r="R3760" t="s">
        <v>329</v>
      </c>
      <c r="S3760" t="s">
        <v>323</v>
      </c>
      <c r="T3760">
        <v>1</v>
      </c>
      <c r="W3760" t="s">
        <v>330</v>
      </c>
      <c r="Y3760" s="42">
        <v>44901</v>
      </c>
    </row>
    <row r="3761" spans="14:25">
      <c r="N3761" s="42">
        <v>44888</v>
      </c>
      <c r="O3761" t="s">
        <v>328</v>
      </c>
      <c r="P3761" s="42">
        <v>44888</v>
      </c>
      <c r="Q3761" t="s">
        <v>328</v>
      </c>
      <c r="R3761" t="s">
        <v>329</v>
      </c>
      <c r="S3761" t="s">
        <v>323</v>
      </c>
      <c r="T3761">
        <v>2</v>
      </c>
      <c r="W3761" t="s">
        <v>330</v>
      </c>
      <c r="Y3761" s="42">
        <v>44901</v>
      </c>
    </row>
    <row r="3762" spans="14:25">
      <c r="N3762" s="42">
        <v>44861</v>
      </c>
      <c r="O3762" t="s">
        <v>324</v>
      </c>
      <c r="P3762" s="42">
        <v>44861</v>
      </c>
      <c r="Q3762" t="s">
        <v>324</v>
      </c>
      <c r="R3762" t="s">
        <v>320</v>
      </c>
      <c r="S3762" t="s">
        <v>323</v>
      </c>
      <c r="T3762">
        <v>7.6</v>
      </c>
      <c r="Y3762" s="42">
        <v>44873</v>
      </c>
    </row>
    <row r="3763" spans="14:25">
      <c r="N3763" s="42">
        <v>44858</v>
      </c>
      <c r="O3763" t="s">
        <v>345</v>
      </c>
      <c r="P3763" s="42">
        <v>44858</v>
      </c>
      <c r="Q3763" t="s">
        <v>345</v>
      </c>
      <c r="R3763" t="s">
        <v>329</v>
      </c>
      <c r="S3763" t="s">
        <v>323</v>
      </c>
      <c r="T3763">
        <v>6.25</v>
      </c>
      <c r="W3763" t="s">
        <v>330</v>
      </c>
      <c r="Y3763" s="42">
        <v>44859</v>
      </c>
    </row>
    <row r="3764" spans="14:25">
      <c r="N3764" s="42">
        <v>44847</v>
      </c>
      <c r="O3764" t="s">
        <v>324</v>
      </c>
      <c r="P3764" s="42">
        <v>44847</v>
      </c>
      <c r="Q3764" t="s">
        <v>324</v>
      </c>
      <c r="R3764" t="s">
        <v>329</v>
      </c>
      <c r="S3764" t="s">
        <v>323</v>
      </c>
      <c r="T3764">
        <v>1.5</v>
      </c>
      <c r="W3764" t="s">
        <v>330</v>
      </c>
      <c r="Y3764" s="42">
        <v>44859</v>
      </c>
    </row>
    <row r="3765" spans="14:25">
      <c r="N3765" s="42">
        <v>44837</v>
      </c>
      <c r="O3765" t="s">
        <v>345</v>
      </c>
      <c r="P3765" s="42">
        <v>44837</v>
      </c>
      <c r="Q3765" t="s">
        <v>345</v>
      </c>
      <c r="R3765" t="s">
        <v>320</v>
      </c>
      <c r="S3765" t="s">
        <v>323</v>
      </c>
      <c r="U3765">
        <v>7.6</v>
      </c>
    </row>
    <row r="3766" spans="14:25">
      <c r="N3766" s="42">
        <v>44826</v>
      </c>
      <c r="O3766" t="s">
        <v>324</v>
      </c>
      <c r="P3766" s="42">
        <v>44826</v>
      </c>
      <c r="Q3766" t="s">
        <v>324</v>
      </c>
      <c r="R3766" t="s">
        <v>320</v>
      </c>
      <c r="S3766" t="s">
        <v>323</v>
      </c>
      <c r="U3766">
        <v>7.6</v>
      </c>
    </row>
    <row r="3767" spans="14:25">
      <c r="N3767" s="42">
        <v>44795</v>
      </c>
      <c r="O3767" t="s">
        <v>345</v>
      </c>
      <c r="P3767" s="42">
        <v>44795</v>
      </c>
      <c r="Q3767" t="s">
        <v>345</v>
      </c>
      <c r="R3767" t="s">
        <v>320</v>
      </c>
      <c r="S3767" t="s">
        <v>323</v>
      </c>
      <c r="T3767">
        <v>7.6</v>
      </c>
      <c r="Y3767" s="42">
        <v>44803</v>
      </c>
    </row>
    <row r="3768" spans="14:25">
      <c r="N3768" s="42">
        <v>44774</v>
      </c>
      <c r="O3768" t="s">
        <v>345</v>
      </c>
      <c r="P3768" s="42">
        <v>44774</v>
      </c>
      <c r="Q3768" t="s">
        <v>345</v>
      </c>
      <c r="R3768" t="s">
        <v>329</v>
      </c>
      <c r="S3768" t="s">
        <v>323</v>
      </c>
      <c r="T3768">
        <v>7.6</v>
      </c>
      <c r="W3768" t="s">
        <v>330</v>
      </c>
      <c r="Y3768" s="42">
        <v>44775</v>
      </c>
    </row>
    <row r="3769" spans="14:25">
      <c r="N3769" s="42">
        <v>44725</v>
      </c>
      <c r="O3769" t="s">
        <v>345</v>
      </c>
      <c r="P3769" s="42">
        <v>44725</v>
      </c>
      <c r="Q3769" t="s">
        <v>345</v>
      </c>
      <c r="R3769" t="s">
        <v>320</v>
      </c>
      <c r="S3769" t="s">
        <v>323</v>
      </c>
      <c r="U3769">
        <v>7.6</v>
      </c>
    </row>
    <row r="3770" spans="14:25">
      <c r="N3770" s="42">
        <v>44698</v>
      </c>
      <c r="O3770" t="s">
        <v>333</v>
      </c>
      <c r="P3770" s="42">
        <v>44698</v>
      </c>
      <c r="Q3770" t="s">
        <v>333</v>
      </c>
      <c r="R3770" t="s">
        <v>329</v>
      </c>
      <c r="S3770" t="s">
        <v>323</v>
      </c>
      <c r="T3770">
        <v>7.6</v>
      </c>
      <c r="W3770" t="s">
        <v>330</v>
      </c>
      <c r="Y3770" s="42">
        <v>44705</v>
      </c>
    </row>
    <row r="3771" spans="14:25">
      <c r="N3771" s="42">
        <v>44685</v>
      </c>
      <c r="O3771" t="s">
        <v>328</v>
      </c>
      <c r="P3771" s="42">
        <v>44685</v>
      </c>
      <c r="Q3771" t="s">
        <v>328</v>
      </c>
      <c r="R3771" t="s">
        <v>329</v>
      </c>
      <c r="S3771" t="s">
        <v>323</v>
      </c>
      <c r="T3771">
        <v>7.6</v>
      </c>
      <c r="W3771" t="s">
        <v>330</v>
      </c>
      <c r="Y3771" s="42">
        <v>44691</v>
      </c>
    </row>
    <row r="3772" spans="14:25">
      <c r="N3772" s="42">
        <v>44676</v>
      </c>
      <c r="O3772" t="s">
        <v>345</v>
      </c>
      <c r="P3772" s="42">
        <v>44676</v>
      </c>
      <c r="Q3772" t="s">
        <v>345</v>
      </c>
      <c r="R3772" t="s">
        <v>320</v>
      </c>
      <c r="S3772" t="s">
        <v>323</v>
      </c>
      <c r="U3772">
        <v>7.6</v>
      </c>
    </row>
    <row r="3773" spans="14:25">
      <c r="N3773" s="42">
        <v>44669</v>
      </c>
      <c r="O3773" t="s">
        <v>345</v>
      </c>
      <c r="P3773" s="42">
        <v>44669</v>
      </c>
      <c r="Q3773" t="s">
        <v>345</v>
      </c>
      <c r="R3773" t="s">
        <v>320</v>
      </c>
      <c r="S3773" t="s">
        <v>323</v>
      </c>
      <c r="U3773">
        <v>7.6</v>
      </c>
    </row>
    <row r="3774" spans="14:25">
      <c r="N3774" s="42">
        <v>44666</v>
      </c>
      <c r="O3774" t="s">
        <v>346</v>
      </c>
      <c r="P3774" s="42">
        <v>44666</v>
      </c>
      <c r="Q3774" t="s">
        <v>346</v>
      </c>
      <c r="R3774" t="s">
        <v>320</v>
      </c>
      <c r="S3774" t="s">
        <v>323</v>
      </c>
      <c r="U3774">
        <v>7.6</v>
      </c>
    </row>
    <row r="3775" spans="14:25">
      <c r="N3775" s="42">
        <v>44645</v>
      </c>
      <c r="O3775" t="s">
        <v>346</v>
      </c>
      <c r="P3775" s="42">
        <v>44645</v>
      </c>
      <c r="Q3775" t="s">
        <v>346</v>
      </c>
      <c r="R3775" t="s">
        <v>320</v>
      </c>
      <c r="S3775" t="s">
        <v>323</v>
      </c>
      <c r="T3775">
        <v>7.6</v>
      </c>
      <c r="Y3775" s="42">
        <v>44649</v>
      </c>
    </row>
    <row r="3776" spans="14:25">
      <c r="N3776" s="42">
        <v>44644</v>
      </c>
      <c r="O3776" t="s">
        <v>324</v>
      </c>
      <c r="P3776" s="42">
        <v>44644</v>
      </c>
      <c r="Q3776" t="s">
        <v>324</v>
      </c>
      <c r="R3776" t="s">
        <v>320</v>
      </c>
      <c r="S3776" t="s">
        <v>323</v>
      </c>
      <c r="T3776">
        <v>7.6</v>
      </c>
      <c r="Y3776" s="42">
        <v>44649</v>
      </c>
    </row>
    <row r="3777" spans="14:25">
      <c r="N3777" s="42">
        <v>44643</v>
      </c>
      <c r="O3777" t="s">
        <v>328</v>
      </c>
      <c r="P3777" s="42">
        <v>44643</v>
      </c>
      <c r="Q3777" t="s">
        <v>328</v>
      </c>
      <c r="R3777" t="s">
        <v>320</v>
      </c>
      <c r="S3777" t="s">
        <v>323</v>
      </c>
      <c r="T3777">
        <v>7.6</v>
      </c>
      <c r="Y3777" s="42">
        <v>44649</v>
      </c>
    </row>
    <row r="3778" spans="14:25">
      <c r="N3778" s="42">
        <v>44642</v>
      </c>
      <c r="O3778" t="s">
        <v>333</v>
      </c>
      <c r="P3778" s="42">
        <v>44642</v>
      </c>
      <c r="Q3778" t="s">
        <v>333</v>
      </c>
      <c r="R3778" t="s">
        <v>320</v>
      </c>
      <c r="S3778" t="s">
        <v>323</v>
      </c>
      <c r="T3778">
        <v>7.6</v>
      </c>
      <c r="Y3778" s="42">
        <v>44649</v>
      </c>
    </row>
    <row r="3779" spans="14:25">
      <c r="N3779" s="42">
        <v>44641</v>
      </c>
      <c r="O3779" t="s">
        <v>345</v>
      </c>
      <c r="P3779" s="42">
        <v>44641</v>
      </c>
      <c r="Q3779" t="s">
        <v>345</v>
      </c>
      <c r="R3779" t="s">
        <v>320</v>
      </c>
      <c r="S3779" t="s">
        <v>323</v>
      </c>
      <c r="T3779">
        <v>7.6</v>
      </c>
      <c r="Y3779" s="42">
        <v>44649</v>
      </c>
    </row>
    <row r="3780" spans="14:25">
      <c r="N3780" s="42">
        <v>44613</v>
      </c>
      <c r="O3780" t="s">
        <v>345</v>
      </c>
      <c r="P3780" s="42">
        <v>44613</v>
      </c>
      <c r="Q3780" t="s">
        <v>345</v>
      </c>
      <c r="R3780" t="s">
        <v>329</v>
      </c>
      <c r="S3780" t="s">
        <v>323</v>
      </c>
      <c r="T3780">
        <v>7.6</v>
      </c>
      <c r="W3780" t="s">
        <v>330</v>
      </c>
      <c r="Y3780" s="42">
        <v>44621</v>
      </c>
    </row>
    <row r="3781" spans="14:25">
      <c r="N3781" s="42">
        <v>44603</v>
      </c>
      <c r="O3781" t="s">
        <v>346</v>
      </c>
      <c r="P3781" s="42">
        <v>44603</v>
      </c>
      <c r="Q3781" t="s">
        <v>346</v>
      </c>
      <c r="R3781" t="s">
        <v>320</v>
      </c>
      <c r="S3781" t="s">
        <v>323</v>
      </c>
      <c r="T3781">
        <v>7.6</v>
      </c>
      <c r="Y3781" s="42">
        <v>44607</v>
      </c>
    </row>
    <row r="3782" spans="14:25">
      <c r="N3782" s="42">
        <v>44596</v>
      </c>
      <c r="O3782" t="s">
        <v>346</v>
      </c>
      <c r="P3782" s="42">
        <v>44596</v>
      </c>
      <c r="Q3782" t="s">
        <v>346</v>
      </c>
      <c r="R3782" t="s">
        <v>320</v>
      </c>
      <c r="S3782" t="s">
        <v>323</v>
      </c>
      <c r="T3782">
        <v>7.6</v>
      </c>
      <c r="Y3782" s="42">
        <v>44607</v>
      </c>
    </row>
    <row r="3783" spans="14:25">
      <c r="N3783" s="42">
        <v>44587</v>
      </c>
      <c r="O3783" t="s">
        <v>328</v>
      </c>
      <c r="P3783" s="42">
        <v>44587</v>
      </c>
      <c r="Q3783" t="s">
        <v>328</v>
      </c>
      <c r="R3783" t="s">
        <v>320</v>
      </c>
      <c r="S3783" t="s">
        <v>323</v>
      </c>
      <c r="U3783">
        <v>7.6</v>
      </c>
    </row>
    <row r="3784" spans="14:25">
      <c r="N3784" s="42">
        <v>44564</v>
      </c>
      <c r="O3784" t="s">
        <v>345</v>
      </c>
      <c r="P3784" s="42">
        <v>44564</v>
      </c>
      <c r="Q3784" t="s">
        <v>345</v>
      </c>
      <c r="R3784" t="s">
        <v>320</v>
      </c>
      <c r="S3784" t="s">
        <v>323</v>
      </c>
      <c r="U3784">
        <v>7.6</v>
      </c>
    </row>
    <row r="3785" spans="14:25">
      <c r="N3785" s="42">
        <v>44561</v>
      </c>
      <c r="O3785" t="s">
        <v>346</v>
      </c>
      <c r="P3785" s="42">
        <v>44561</v>
      </c>
      <c r="Q3785" t="s">
        <v>346</v>
      </c>
      <c r="R3785" t="s">
        <v>320</v>
      </c>
      <c r="S3785" t="s">
        <v>323</v>
      </c>
      <c r="T3785">
        <v>7.6</v>
      </c>
      <c r="Y3785" s="42">
        <v>44565</v>
      </c>
    </row>
    <row r="3786" spans="14:25">
      <c r="N3786" s="42">
        <v>44560</v>
      </c>
      <c r="O3786" t="s">
        <v>324</v>
      </c>
      <c r="P3786" s="42">
        <v>44560</v>
      </c>
      <c r="Q3786" t="s">
        <v>324</v>
      </c>
      <c r="R3786" t="s">
        <v>320</v>
      </c>
      <c r="S3786" t="s">
        <v>323</v>
      </c>
      <c r="T3786">
        <v>7.6</v>
      </c>
      <c r="Y3786" s="42">
        <v>44565</v>
      </c>
    </row>
    <row r="3787" spans="14:25">
      <c r="N3787" s="42">
        <v>44559</v>
      </c>
      <c r="O3787" t="s">
        <v>328</v>
      </c>
      <c r="P3787" s="42">
        <v>44559</v>
      </c>
      <c r="Q3787" t="s">
        <v>328</v>
      </c>
      <c r="R3787" t="s">
        <v>320</v>
      </c>
      <c r="S3787" t="s">
        <v>323</v>
      </c>
      <c r="T3787">
        <v>7.6</v>
      </c>
      <c r="Y3787" s="42">
        <v>44565</v>
      </c>
    </row>
    <row r="3788" spans="14:25">
      <c r="N3788" s="42">
        <v>44558</v>
      </c>
      <c r="O3788" t="s">
        <v>333</v>
      </c>
      <c r="P3788" s="42">
        <v>44558</v>
      </c>
      <c r="Q3788" t="s">
        <v>333</v>
      </c>
      <c r="R3788" t="s">
        <v>320</v>
      </c>
      <c r="S3788" t="s">
        <v>323</v>
      </c>
      <c r="U3788">
        <v>7.6</v>
      </c>
    </row>
    <row r="3789" spans="14:25">
      <c r="N3789" s="42">
        <v>44557</v>
      </c>
      <c r="O3789" t="s">
        <v>345</v>
      </c>
      <c r="P3789" s="42">
        <v>44557</v>
      </c>
      <c r="Q3789" t="s">
        <v>345</v>
      </c>
      <c r="R3789" t="s">
        <v>320</v>
      </c>
      <c r="S3789" t="s">
        <v>323</v>
      </c>
      <c r="U3789">
        <v>7.6</v>
      </c>
    </row>
    <row r="3790" spans="14:25">
      <c r="N3790" s="42">
        <v>44550</v>
      </c>
      <c r="O3790" t="s">
        <v>345</v>
      </c>
      <c r="P3790" s="42">
        <v>44550</v>
      </c>
      <c r="Q3790" t="s">
        <v>345</v>
      </c>
      <c r="R3790" t="s">
        <v>320</v>
      </c>
      <c r="S3790" t="s">
        <v>323</v>
      </c>
      <c r="T3790">
        <v>7.6</v>
      </c>
      <c r="Y3790" s="42">
        <v>44551</v>
      </c>
    </row>
    <row r="3791" spans="14:25">
      <c r="N3791" s="42">
        <v>44543</v>
      </c>
      <c r="O3791" t="s">
        <v>345</v>
      </c>
      <c r="P3791" s="42">
        <v>44543</v>
      </c>
      <c r="Q3791" t="s">
        <v>345</v>
      </c>
      <c r="R3791" t="s">
        <v>320</v>
      </c>
      <c r="S3791" t="s">
        <v>323</v>
      </c>
      <c r="T3791">
        <v>7.6</v>
      </c>
      <c r="Y3791" s="42">
        <v>44551</v>
      </c>
    </row>
    <row r="3792" spans="14:25">
      <c r="N3792" s="42">
        <v>44536</v>
      </c>
      <c r="O3792" t="s">
        <v>345</v>
      </c>
      <c r="P3792" s="42">
        <v>44536</v>
      </c>
      <c r="Q3792" t="s">
        <v>345</v>
      </c>
      <c r="R3792" t="s">
        <v>320</v>
      </c>
      <c r="S3792" t="s">
        <v>323</v>
      </c>
      <c r="T3792">
        <v>7.6</v>
      </c>
      <c r="Y3792" s="42">
        <v>44537</v>
      </c>
    </row>
    <row r="3793" spans="14:25">
      <c r="N3793" s="42">
        <v>44522</v>
      </c>
      <c r="O3793" t="s">
        <v>345</v>
      </c>
      <c r="P3793" s="42">
        <v>44522</v>
      </c>
      <c r="Q3793" t="s">
        <v>345</v>
      </c>
      <c r="R3793" t="s">
        <v>320</v>
      </c>
      <c r="S3793" t="s">
        <v>323</v>
      </c>
      <c r="T3793">
        <v>7.6</v>
      </c>
      <c r="Y3793" s="42">
        <v>44523</v>
      </c>
    </row>
    <row r="3794" spans="14:25">
      <c r="N3794" s="42">
        <v>44488</v>
      </c>
      <c r="O3794" t="s">
        <v>333</v>
      </c>
      <c r="P3794" s="42">
        <v>44488</v>
      </c>
      <c r="Q3794" t="s">
        <v>333</v>
      </c>
      <c r="R3794" t="s">
        <v>320</v>
      </c>
      <c r="S3794" t="s">
        <v>323</v>
      </c>
      <c r="T3794">
        <v>7.6</v>
      </c>
      <c r="Y3794" s="42">
        <v>44495</v>
      </c>
    </row>
    <row r="3795" spans="14:25">
      <c r="N3795" s="42">
        <v>44473</v>
      </c>
      <c r="O3795" t="s">
        <v>345</v>
      </c>
      <c r="P3795" s="42">
        <v>44473</v>
      </c>
      <c r="Q3795" t="s">
        <v>345</v>
      </c>
      <c r="R3795" t="s">
        <v>320</v>
      </c>
      <c r="S3795" t="s">
        <v>323</v>
      </c>
      <c r="U3795">
        <v>7.6</v>
      </c>
    </row>
    <row r="3796" spans="14:25">
      <c r="N3796" s="42">
        <v>44467</v>
      </c>
      <c r="O3796" t="s">
        <v>333</v>
      </c>
      <c r="P3796" s="42">
        <v>44467</v>
      </c>
      <c r="Q3796" t="s">
        <v>333</v>
      </c>
      <c r="R3796" t="s">
        <v>320</v>
      </c>
      <c r="S3796" t="s">
        <v>323</v>
      </c>
      <c r="T3796">
        <v>7.6</v>
      </c>
      <c r="Y3796" s="42">
        <v>44467</v>
      </c>
    </row>
    <row r="3797" spans="14:25">
      <c r="N3797" s="42">
        <v>44386</v>
      </c>
      <c r="O3797" t="s">
        <v>346</v>
      </c>
      <c r="P3797" s="42">
        <v>44386</v>
      </c>
      <c r="Q3797" t="s">
        <v>346</v>
      </c>
      <c r="R3797" t="s">
        <v>320</v>
      </c>
      <c r="S3797" t="s">
        <v>323</v>
      </c>
      <c r="T3797">
        <v>7.6</v>
      </c>
      <c r="Y3797" s="42">
        <v>44397</v>
      </c>
    </row>
    <row r="3798" spans="14:25">
      <c r="N3798" s="42">
        <v>44385</v>
      </c>
      <c r="O3798" t="s">
        <v>324</v>
      </c>
      <c r="P3798" s="42">
        <v>44385</v>
      </c>
      <c r="Q3798" t="s">
        <v>324</v>
      </c>
      <c r="R3798" t="s">
        <v>320</v>
      </c>
      <c r="S3798" t="s">
        <v>323</v>
      </c>
      <c r="T3798">
        <v>7.6</v>
      </c>
      <c r="Y3798" s="42">
        <v>44397</v>
      </c>
    </row>
    <row r="3799" spans="14:25">
      <c r="N3799" s="42">
        <v>44384</v>
      </c>
      <c r="O3799" t="s">
        <v>328</v>
      </c>
      <c r="P3799" s="42">
        <v>44384</v>
      </c>
      <c r="Q3799" t="s">
        <v>328</v>
      </c>
      <c r="R3799" t="s">
        <v>320</v>
      </c>
      <c r="S3799" t="s">
        <v>323</v>
      </c>
      <c r="T3799">
        <v>7.6</v>
      </c>
      <c r="Y3799" s="42">
        <v>44397</v>
      </c>
    </row>
    <row r="3800" spans="14:25">
      <c r="N3800" s="42">
        <v>44382</v>
      </c>
      <c r="O3800" t="s">
        <v>345</v>
      </c>
      <c r="P3800" s="42">
        <v>44382</v>
      </c>
      <c r="Q3800" t="s">
        <v>345</v>
      </c>
      <c r="R3800" t="s">
        <v>320</v>
      </c>
      <c r="S3800" t="s">
        <v>323</v>
      </c>
      <c r="T3800">
        <v>15.2</v>
      </c>
      <c r="Y3800" s="42">
        <v>44383</v>
      </c>
    </row>
    <row r="3801" spans="14:25">
      <c r="N3801" s="42">
        <v>44361</v>
      </c>
      <c r="O3801" t="s">
        <v>345</v>
      </c>
      <c r="P3801" s="42">
        <v>44361</v>
      </c>
      <c r="Q3801" t="s">
        <v>345</v>
      </c>
      <c r="R3801" t="s">
        <v>320</v>
      </c>
      <c r="S3801" t="s">
        <v>323</v>
      </c>
      <c r="U3801">
        <v>7.6</v>
      </c>
    </row>
    <row r="3802" spans="14:25">
      <c r="N3802" s="42">
        <v>44336</v>
      </c>
      <c r="O3802" t="s">
        <v>324</v>
      </c>
      <c r="P3802" s="42">
        <v>44336</v>
      </c>
      <c r="Q3802" t="s">
        <v>324</v>
      </c>
      <c r="R3802" t="s">
        <v>329</v>
      </c>
      <c r="S3802" t="s">
        <v>323</v>
      </c>
      <c r="T3802">
        <v>7.6</v>
      </c>
      <c r="W3802" t="s">
        <v>330</v>
      </c>
      <c r="Y3802" s="42">
        <v>44341</v>
      </c>
    </row>
    <row r="3803" spans="14:25">
      <c r="N3803" s="42">
        <v>44313</v>
      </c>
      <c r="O3803" t="s">
        <v>333</v>
      </c>
      <c r="P3803" s="42">
        <v>44313</v>
      </c>
      <c r="Q3803" t="s">
        <v>333</v>
      </c>
      <c r="R3803" t="s">
        <v>329</v>
      </c>
      <c r="S3803" t="s">
        <v>323</v>
      </c>
      <c r="T3803">
        <v>7.6</v>
      </c>
      <c r="W3803" t="s">
        <v>330</v>
      </c>
      <c r="Y3803" s="42">
        <v>44313</v>
      </c>
    </row>
    <row r="3804" spans="14:25">
      <c r="N3804" s="42">
        <v>44291</v>
      </c>
      <c r="O3804" t="s">
        <v>345</v>
      </c>
      <c r="P3804" s="42">
        <v>44291</v>
      </c>
      <c r="Q3804" t="s">
        <v>345</v>
      </c>
      <c r="R3804" t="s">
        <v>320</v>
      </c>
      <c r="S3804" t="s">
        <v>323</v>
      </c>
      <c r="U3804">
        <v>7.6</v>
      </c>
    </row>
    <row r="3805" spans="14:25">
      <c r="N3805" s="42">
        <v>44288</v>
      </c>
      <c r="O3805" t="s">
        <v>346</v>
      </c>
      <c r="P3805" s="42">
        <v>44288</v>
      </c>
      <c r="Q3805" t="s">
        <v>346</v>
      </c>
      <c r="R3805" t="s">
        <v>320</v>
      </c>
      <c r="S3805" t="s">
        <v>323</v>
      </c>
      <c r="U3805">
        <v>7.6</v>
      </c>
    </row>
    <row r="3806" spans="14:25">
      <c r="N3806" s="42">
        <v>44279</v>
      </c>
      <c r="O3806" t="s">
        <v>328</v>
      </c>
      <c r="P3806" s="42">
        <v>44279</v>
      </c>
      <c r="Q3806" t="s">
        <v>328</v>
      </c>
      <c r="R3806" t="s">
        <v>329</v>
      </c>
      <c r="S3806" t="s">
        <v>323</v>
      </c>
      <c r="T3806">
        <v>3</v>
      </c>
      <c r="W3806" t="s">
        <v>330</v>
      </c>
      <c r="Y3806" s="42">
        <v>44285</v>
      </c>
    </row>
    <row r="3807" spans="14:25">
      <c r="N3807" s="42">
        <v>44272</v>
      </c>
      <c r="O3807" t="s">
        <v>328</v>
      </c>
      <c r="P3807" s="42">
        <v>44272</v>
      </c>
      <c r="Q3807" t="s">
        <v>328</v>
      </c>
      <c r="R3807" t="s">
        <v>329</v>
      </c>
      <c r="S3807" t="s">
        <v>323</v>
      </c>
      <c r="T3807">
        <v>7.6</v>
      </c>
      <c r="W3807" t="s">
        <v>330</v>
      </c>
      <c r="Y3807" s="42">
        <v>44285</v>
      </c>
    </row>
    <row r="3808" spans="14:25">
      <c r="N3808" s="42">
        <v>44222</v>
      </c>
      <c r="O3808" t="s">
        <v>333</v>
      </c>
      <c r="P3808" s="42">
        <v>44222</v>
      </c>
      <c r="Q3808" t="s">
        <v>333</v>
      </c>
      <c r="R3808" t="s">
        <v>320</v>
      </c>
      <c r="S3808" t="s">
        <v>323</v>
      </c>
      <c r="U3808">
        <v>7.6</v>
      </c>
    </row>
    <row r="3809" spans="14:25">
      <c r="N3809" s="42">
        <v>44221</v>
      </c>
      <c r="O3809" t="s">
        <v>345</v>
      </c>
      <c r="P3809" s="42">
        <v>44221</v>
      </c>
      <c r="Q3809" t="s">
        <v>345</v>
      </c>
      <c r="R3809" t="s">
        <v>320</v>
      </c>
      <c r="S3809" t="s">
        <v>323</v>
      </c>
      <c r="T3809">
        <v>7.6</v>
      </c>
      <c r="Y3809" s="42">
        <v>44229</v>
      </c>
    </row>
    <row r="3810" spans="14:25">
      <c r="N3810" s="42">
        <v>44218</v>
      </c>
      <c r="O3810" t="s">
        <v>346</v>
      </c>
      <c r="P3810" s="42">
        <v>44218</v>
      </c>
      <c r="Q3810" t="s">
        <v>346</v>
      </c>
      <c r="R3810" t="s">
        <v>320</v>
      </c>
      <c r="S3810" t="s">
        <v>323</v>
      </c>
      <c r="T3810">
        <v>7.6</v>
      </c>
      <c r="Y3810" s="42">
        <v>44229</v>
      </c>
    </row>
    <row r="3811" spans="14:25">
      <c r="N3811" s="42">
        <v>44197</v>
      </c>
      <c r="O3811" t="s">
        <v>346</v>
      </c>
      <c r="P3811" s="42">
        <v>44197</v>
      </c>
      <c r="Q3811" t="s">
        <v>346</v>
      </c>
      <c r="R3811" t="s">
        <v>320</v>
      </c>
      <c r="S3811" t="s">
        <v>323</v>
      </c>
      <c r="U3811">
        <v>7.6</v>
      </c>
    </row>
    <row r="3812" spans="14:25">
      <c r="N3812" s="42">
        <v>44193</v>
      </c>
      <c r="O3812" t="s">
        <v>345</v>
      </c>
      <c r="P3812" s="42">
        <v>44193</v>
      </c>
      <c r="Q3812" t="s">
        <v>345</v>
      </c>
      <c r="R3812" t="s">
        <v>320</v>
      </c>
      <c r="S3812" t="s">
        <v>323</v>
      </c>
      <c r="U3812">
        <v>7.6</v>
      </c>
    </row>
    <row r="3813" spans="14:25">
      <c r="N3813" s="42">
        <v>44190</v>
      </c>
      <c r="O3813" t="s">
        <v>346</v>
      </c>
      <c r="P3813" s="42">
        <v>44190</v>
      </c>
      <c r="Q3813" t="s">
        <v>346</v>
      </c>
      <c r="R3813" t="s">
        <v>320</v>
      </c>
      <c r="S3813" t="s">
        <v>323</v>
      </c>
      <c r="U3813">
        <v>7.6</v>
      </c>
    </row>
    <row r="3814" spans="14:25">
      <c r="N3814" s="42">
        <v>44109</v>
      </c>
      <c r="O3814" t="s">
        <v>345</v>
      </c>
      <c r="P3814" s="42">
        <v>44109</v>
      </c>
      <c r="Q3814" t="s">
        <v>345</v>
      </c>
      <c r="R3814" t="s">
        <v>320</v>
      </c>
      <c r="S3814" t="s">
        <v>323</v>
      </c>
      <c r="U3814">
        <v>7.6</v>
      </c>
    </row>
    <row r="3815" spans="14:25">
      <c r="N3815" s="42">
        <v>44081</v>
      </c>
      <c r="O3815" t="s">
        <v>345</v>
      </c>
      <c r="P3815" s="42">
        <v>44081</v>
      </c>
      <c r="Q3815" t="s">
        <v>345</v>
      </c>
      <c r="R3815" t="s">
        <v>320</v>
      </c>
      <c r="S3815" t="s">
        <v>323</v>
      </c>
      <c r="T3815">
        <v>7.6</v>
      </c>
      <c r="Y3815" s="42">
        <v>44089</v>
      </c>
    </row>
    <row r="3816" spans="14:25">
      <c r="N3816" s="42">
        <v>44067</v>
      </c>
      <c r="O3816" t="s">
        <v>345</v>
      </c>
      <c r="P3816" s="42">
        <v>44067</v>
      </c>
      <c r="Q3816" t="s">
        <v>345</v>
      </c>
      <c r="R3816" t="s">
        <v>320</v>
      </c>
      <c r="S3816" t="s">
        <v>323</v>
      </c>
      <c r="T3816">
        <v>7.6</v>
      </c>
      <c r="Y3816" s="42">
        <v>44075</v>
      </c>
    </row>
    <row r="3817" spans="14:25">
      <c r="N3817" s="42">
        <v>44025</v>
      </c>
      <c r="O3817" t="s">
        <v>345</v>
      </c>
      <c r="P3817" s="42">
        <v>44025</v>
      </c>
      <c r="Q3817" t="s">
        <v>345</v>
      </c>
      <c r="R3817" t="s">
        <v>329</v>
      </c>
      <c r="S3817" t="s">
        <v>323</v>
      </c>
      <c r="T3817">
        <v>7.6</v>
      </c>
      <c r="W3817" t="s">
        <v>330</v>
      </c>
      <c r="Y3817" s="42">
        <v>44033</v>
      </c>
    </row>
    <row r="3818" spans="14:25">
      <c r="N3818" s="42">
        <v>43956</v>
      </c>
      <c r="O3818" t="s">
        <v>333</v>
      </c>
      <c r="P3818" s="42">
        <v>43956</v>
      </c>
      <c r="Q3818" t="s">
        <v>333</v>
      </c>
      <c r="R3818" t="s">
        <v>329</v>
      </c>
      <c r="S3818" t="s">
        <v>323</v>
      </c>
      <c r="T3818">
        <v>7.6</v>
      </c>
      <c r="W3818" t="s">
        <v>330</v>
      </c>
      <c r="Y3818" s="42">
        <v>43963</v>
      </c>
    </row>
    <row r="3819" spans="14:25">
      <c r="N3819" s="42">
        <v>43955</v>
      </c>
      <c r="O3819" t="s">
        <v>345</v>
      </c>
      <c r="P3819" s="42">
        <v>43955</v>
      </c>
      <c r="Q3819" t="s">
        <v>345</v>
      </c>
      <c r="R3819" t="s">
        <v>329</v>
      </c>
      <c r="S3819" t="s">
        <v>323</v>
      </c>
      <c r="T3819">
        <v>7.6</v>
      </c>
      <c r="W3819" t="s">
        <v>330</v>
      </c>
      <c r="Y3819" s="42">
        <v>43963</v>
      </c>
    </row>
    <row r="3820" spans="14:25">
      <c r="N3820" s="42">
        <v>43920</v>
      </c>
      <c r="O3820" t="s">
        <v>345</v>
      </c>
      <c r="P3820" s="42">
        <v>43920</v>
      </c>
      <c r="Q3820" t="s">
        <v>345</v>
      </c>
      <c r="R3820" t="s">
        <v>329</v>
      </c>
      <c r="S3820" t="s">
        <v>323</v>
      </c>
      <c r="T3820">
        <v>7.6</v>
      </c>
      <c r="W3820" t="s">
        <v>330</v>
      </c>
      <c r="Y3820" s="42">
        <v>43921</v>
      </c>
    </row>
    <row r="3821" spans="14:25">
      <c r="N3821" s="42">
        <v>43850</v>
      </c>
      <c r="O3821" t="s">
        <v>345</v>
      </c>
      <c r="P3821" s="42">
        <v>43850</v>
      </c>
      <c r="Q3821" t="s">
        <v>345</v>
      </c>
      <c r="R3821" t="s">
        <v>329</v>
      </c>
      <c r="S3821" t="s">
        <v>323</v>
      </c>
      <c r="T3821">
        <v>7.6</v>
      </c>
      <c r="W3821" t="s">
        <v>330</v>
      </c>
      <c r="Y3821" s="42">
        <v>43851</v>
      </c>
    </row>
    <row r="3822" spans="14:25">
      <c r="N3822" s="42">
        <v>43811</v>
      </c>
      <c r="O3822" t="s">
        <v>324</v>
      </c>
      <c r="P3822" s="42">
        <v>43811</v>
      </c>
      <c r="Q3822" t="s">
        <v>324</v>
      </c>
      <c r="R3822" t="s">
        <v>329</v>
      </c>
      <c r="S3822" t="s">
        <v>323</v>
      </c>
      <c r="T3822">
        <v>7.6</v>
      </c>
      <c r="W3822" t="s">
        <v>330</v>
      </c>
      <c r="Y3822" s="42">
        <v>43823</v>
      </c>
    </row>
    <row r="3823" spans="14:25">
      <c r="N3823" s="42">
        <v>43763</v>
      </c>
      <c r="O3823" t="s">
        <v>346</v>
      </c>
      <c r="P3823" s="42">
        <v>43763</v>
      </c>
      <c r="Q3823" t="s">
        <v>346</v>
      </c>
      <c r="R3823" t="s">
        <v>329</v>
      </c>
      <c r="S3823" t="s">
        <v>323</v>
      </c>
      <c r="T3823">
        <v>7.6</v>
      </c>
      <c r="W3823" t="s">
        <v>330</v>
      </c>
      <c r="Y3823" s="42">
        <v>43767</v>
      </c>
    </row>
    <row r="3824" spans="14:25">
      <c r="N3824" s="42">
        <v>43747</v>
      </c>
      <c r="O3824" t="s">
        <v>328</v>
      </c>
      <c r="P3824" s="42">
        <v>43747</v>
      </c>
      <c r="Q3824" t="s">
        <v>328</v>
      </c>
      <c r="R3824" t="s">
        <v>329</v>
      </c>
      <c r="S3824" t="s">
        <v>323</v>
      </c>
      <c r="T3824">
        <v>1.5</v>
      </c>
      <c r="W3824" t="s">
        <v>330</v>
      </c>
      <c r="Y3824" s="42">
        <v>43753</v>
      </c>
    </row>
    <row r="3825" spans="1:25">
      <c r="N3825" s="42">
        <v>43728</v>
      </c>
      <c r="O3825" t="s">
        <v>346</v>
      </c>
      <c r="P3825" s="42">
        <v>43728</v>
      </c>
      <c r="Q3825" t="s">
        <v>346</v>
      </c>
      <c r="R3825" t="s">
        <v>329</v>
      </c>
      <c r="S3825" t="s">
        <v>323</v>
      </c>
      <c r="T3825">
        <v>7.6</v>
      </c>
      <c r="W3825" t="s">
        <v>330</v>
      </c>
      <c r="Y3825" s="42">
        <v>43739</v>
      </c>
    </row>
    <row r="3826" spans="1:25">
      <c r="N3826" s="42">
        <v>43707</v>
      </c>
      <c r="O3826" t="s">
        <v>346</v>
      </c>
      <c r="P3826" s="42">
        <v>43707</v>
      </c>
      <c r="Q3826" t="s">
        <v>346</v>
      </c>
      <c r="R3826" t="s">
        <v>329</v>
      </c>
      <c r="S3826" t="s">
        <v>323</v>
      </c>
      <c r="T3826">
        <v>1</v>
      </c>
      <c r="W3826" t="s">
        <v>330</v>
      </c>
      <c r="Y3826" s="42">
        <v>43711</v>
      </c>
    </row>
    <row r="3827" spans="1:25">
      <c r="N3827" s="42">
        <v>43700</v>
      </c>
      <c r="O3827" t="s">
        <v>346</v>
      </c>
      <c r="P3827" s="42">
        <v>43700</v>
      </c>
      <c r="Q3827" t="s">
        <v>346</v>
      </c>
      <c r="R3827" t="s">
        <v>329</v>
      </c>
      <c r="S3827" t="s">
        <v>323</v>
      </c>
      <c r="T3827">
        <v>3.5</v>
      </c>
      <c r="W3827" t="s">
        <v>330</v>
      </c>
      <c r="Y3827" s="42">
        <v>43711</v>
      </c>
    </row>
    <row r="3828" spans="1:25">
      <c r="N3828" s="42">
        <v>43686</v>
      </c>
      <c r="O3828" t="s">
        <v>346</v>
      </c>
      <c r="P3828" s="42">
        <v>43686</v>
      </c>
      <c r="Q3828" t="s">
        <v>346</v>
      </c>
      <c r="R3828" t="s">
        <v>320</v>
      </c>
      <c r="S3828" t="s">
        <v>323</v>
      </c>
      <c r="T3828">
        <v>7.6</v>
      </c>
      <c r="Y3828" s="42">
        <v>43697</v>
      </c>
    </row>
    <row r="3829" spans="1:25">
      <c r="N3829" s="42">
        <v>43685</v>
      </c>
      <c r="O3829" t="s">
        <v>324</v>
      </c>
      <c r="P3829" s="42">
        <v>43685</v>
      </c>
      <c r="Q3829" t="s">
        <v>324</v>
      </c>
      <c r="R3829" t="s">
        <v>320</v>
      </c>
      <c r="S3829" t="s">
        <v>323</v>
      </c>
      <c r="T3829">
        <v>7.6</v>
      </c>
      <c r="Y3829" s="42">
        <v>43697</v>
      </c>
    </row>
    <row r="3830" spans="1:25">
      <c r="N3830" s="42">
        <v>43684</v>
      </c>
      <c r="O3830" t="s">
        <v>328</v>
      </c>
      <c r="P3830" s="42">
        <v>43684</v>
      </c>
      <c r="Q3830" t="s">
        <v>328</v>
      </c>
      <c r="R3830" t="s">
        <v>320</v>
      </c>
      <c r="S3830" t="s">
        <v>323</v>
      </c>
      <c r="T3830">
        <v>7.6</v>
      </c>
      <c r="Y3830" s="42">
        <v>43697</v>
      </c>
    </row>
    <row r="3831" spans="1:25">
      <c r="N3831" s="42">
        <v>43670</v>
      </c>
      <c r="O3831" t="s">
        <v>328</v>
      </c>
      <c r="P3831" s="42">
        <v>43683</v>
      </c>
      <c r="Q3831" t="s">
        <v>333</v>
      </c>
      <c r="R3831" t="s">
        <v>320</v>
      </c>
      <c r="S3831" t="s">
        <v>323</v>
      </c>
      <c r="T3831">
        <v>53.2</v>
      </c>
      <c r="Y3831" s="42">
        <v>43683</v>
      </c>
    </row>
    <row r="3832" spans="1:25">
      <c r="N3832" s="42">
        <v>43656</v>
      </c>
      <c r="O3832" t="s">
        <v>328</v>
      </c>
      <c r="P3832" s="42">
        <v>43656</v>
      </c>
      <c r="Q3832" t="s">
        <v>328</v>
      </c>
      <c r="R3832" t="s">
        <v>329</v>
      </c>
      <c r="S3832" t="s">
        <v>323</v>
      </c>
      <c r="T3832">
        <v>7.6</v>
      </c>
      <c r="W3832" t="s">
        <v>330</v>
      </c>
      <c r="Y3832" s="42">
        <v>43669</v>
      </c>
    </row>
    <row r="3833" spans="1:25">
      <c r="A3833">
        <v>18679</v>
      </c>
      <c r="B3833" t="s">
        <v>400</v>
      </c>
      <c r="C3833" t="s">
        <v>320</v>
      </c>
      <c r="D3833" t="s">
        <v>321</v>
      </c>
      <c r="E3833" t="s">
        <v>322</v>
      </c>
      <c r="F3833">
        <v>1</v>
      </c>
      <c r="G3833" s="42">
        <v>45079</v>
      </c>
      <c r="H3833">
        <v>116.0667</v>
      </c>
      <c r="I3833">
        <v>-64.805800000000005</v>
      </c>
      <c r="J3833">
        <v>116.0667</v>
      </c>
      <c r="K3833">
        <v>51.260899999999999</v>
      </c>
      <c r="L3833" t="s">
        <v>323</v>
      </c>
      <c r="M3833" s="43">
        <v>0.29791666666666666</v>
      </c>
      <c r="N3833" s="42">
        <v>44952</v>
      </c>
      <c r="O3833" t="s">
        <v>324</v>
      </c>
      <c r="P3833" s="42">
        <v>44952</v>
      </c>
      <c r="Q3833" t="s">
        <v>324</v>
      </c>
      <c r="R3833" t="s">
        <v>320</v>
      </c>
      <c r="S3833" t="s">
        <v>323</v>
      </c>
      <c r="U3833">
        <v>7.6</v>
      </c>
    </row>
    <row r="3834" spans="1:25">
      <c r="C3834" t="s">
        <v>325</v>
      </c>
      <c r="D3834" t="s">
        <v>349</v>
      </c>
      <c r="E3834" t="s">
        <v>350</v>
      </c>
      <c r="F3834">
        <v>1</v>
      </c>
      <c r="G3834" s="42">
        <v>45079</v>
      </c>
      <c r="H3834">
        <v>18.276399999999999</v>
      </c>
      <c r="I3834">
        <v>170.0789</v>
      </c>
      <c r="J3834">
        <v>18.276399999999999</v>
      </c>
      <c r="K3834">
        <v>188.3553</v>
      </c>
      <c r="L3834" t="s">
        <v>323</v>
      </c>
      <c r="N3834" s="42">
        <v>44939</v>
      </c>
      <c r="O3834" t="s">
        <v>346</v>
      </c>
      <c r="P3834" s="42">
        <v>44939</v>
      </c>
      <c r="Q3834" t="s">
        <v>346</v>
      </c>
      <c r="R3834" t="s">
        <v>320</v>
      </c>
      <c r="S3834" t="s">
        <v>323</v>
      </c>
      <c r="T3834">
        <v>7.6</v>
      </c>
      <c r="Y3834" s="42">
        <v>44943</v>
      </c>
    </row>
    <row r="3835" spans="1:25">
      <c r="C3835" t="s">
        <v>329</v>
      </c>
      <c r="D3835" t="s">
        <v>331</v>
      </c>
      <c r="E3835" t="s">
        <v>332</v>
      </c>
      <c r="F3835">
        <v>1</v>
      </c>
      <c r="G3835" s="42">
        <v>45079</v>
      </c>
      <c r="H3835">
        <v>58.033299999999997</v>
      </c>
      <c r="I3835">
        <v>142.42599999999999</v>
      </c>
      <c r="J3835">
        <v>58.033299999999997</v>
      </c>
      <c r="K3835">
        <v>200.45930000000001</v>
      </c>
      <c r="L3835" t="s">
        <v>323</v>
      </c>
      <c r="N3835" s="42">
        <v>44938</v>
      </c>
      <c r="O3835" t="s">
        <v>324</v>
      </c>
      <c r="P3835" s="42">
        <v>44938</v>
      </c>
      <c r="Q3835" t="s">
        <v>324</v>
      </c>
      <c r="R3835" t="s">
        <v>320</v>
      </c>
      <c r="S3835" t="s">
        <v>323</v>
      </c>
      <c r="T3835">
        <v>7.6</v>
      </c>
      <c r="Y3835" s="42">
        <v>44943</v>
      </c>
    </row>
    <row r="3836" spans="1:25">
      <c r="N3836" s="42">
        <v>44937</v>
      </c>
      <c r="O3836" t="s">
        <v>328</v>
      </c>
      <c r="P3836" s="42">
        <v>44937</v>
      </c>
      <c r="Q3836" t="s">
        <v>328</v>
      </c>
      <c r="R3836" t="s">
        <v>320</v>
      </c>
      <c r="S3836" t="s">
        <v>323</v>
      </c>
      <c r="T3836">
        <v>7.6</v>
      </c>
      <c r="Y3836" s="42">
        <v>44943</v>
      </c>
    </row>
    <row r="3837" spans="1:25">
      <c r="N3837" s="42">
        <v>44936</v>
      </c>
      <c r="O3837" t="s">
        <v>333</v>
      </c>
      <c r="P3837" s="42">
        <v>44936</v>
      </c>
      <c r="Q3837" t="s">
        <v>333</v>
      </c>
      <c r="R3837" t="s">
        <v>320</v>
      </c>
      <c r="S3837" t="s">
        <v>323</v>
      </c>
      <c r="T3837">
        <v>7.6</v>
      </c>
      <c r="Y3837" s="42">
        <v>44943</v>
      </c>
    </row>
    <row r="3838" spans="1:25">
      <c r="N3838" s="42">
        <v>44935</v>
      </c>
      <c r="O3838" t="s">
        <v>345</v>
      </c>
      <c r="P3838" s="42">
        <v>44935</v>
      </c>
      <c r="Q3838" t="s">
        <v>345</v>
      </c>
      <c r="R3838" t="s">
        <v>320</v>
      </c>
      <c r="S3838" t="s">
        <v>323</v>
      </c>
      <c r="T3838">
        <v>7.6</v>
      </c>
      <c r="Y3838" s="42">
        <v>44943</v>
      </c>
    </row>
    <row r="3839" spans="1:25">
      <c r="N3839" s="42">
        <v>44932</v>
      </c>
      <c r="O3839" t="s">
        <v>346</v>
      </c>
      <c r="P3839" s="42">
        <v>44932</v>
      </c>
      <c r="Q3839" t="s">
        <v>346</v>
      </c>
      <c r="R3839" t="s">
        <v>320</v>
      </c>
      <c r="S3839" t="s">
        <v>323</v>
      </c>
      <c r="T3839">
        <v>7.6</v>
      </c>
      <c r="Y3839" s="42">
        <v>44943</v>
      </c>
    </row>
    <row r="3840" spans="1:25">
      <c r="N3840" s="42">
        <v>44931</v>
      </c>
      <c r="O3840" t="s">
        <v>324</v>
      </c>
      <c r="P3840" s="42">
        <v>44931</v>
      </c>
      <c r="Q3840" t="s">
        <v>324</v>
      </c>
      <c r="R3840" t="s">
        <v>320</v>
      </c>
      <c r="S3840" t="s">
        <v>323</v>
      </c>
      <c r="T3840">
        <v>7.6</v>
      </c>
      <c r="Y3840" s="42">
        <v>44943</v>
      </c>
    </row>
    <row r="3841" spans="14:25">
      <c r="N3841" s="42">
        <v>44930</v>
      </c>
      <c r="O3841" t="s">
        <v>328</v>
      </c>
      <c r="P3841" s="42">
        <v>44930</v>
      </c>
      <c r="Q3841" t="s">
        <v>328</v>
      </c>
      <c r="R3841" t="s">
        <v>320</v>
      </c>
      <c r="S3841" t="s">
        <v>323</v>
      </c>
      <c r="T3841">
        <v>7.6</v>
      </c>
      <c r="Y3841" s="42">
        <v>44943</v>
      </c>
    </row>
    <row r="3842" spans="14:25">
      <c r="N3842" s="42">
        <v>44929</v>
      </c>
      <c r="O3842" t="s">
        <v>333</v>
      </c>
      <c r="P3842" s="42">
        <v>44929</v>
      </c>
      <c r="Q3842" t="s">
        <v>333</v>
      </c>
      <c r="R3842" t="s">
        <v>320</v>
      </c>
      <c r="S3842" t="s">
        <v>323</v>
      </c>
      <c r="T3842">
        <v>7.6</v>
      </c>
      <c r="Y3842" s="42">
        <v>44929</v>
      </c>
    </row>
    <row r="3843" spans="14:25">
      <c r="N3843" s="42">
        <v>44928</v>
      </c>
      <c r="O3843" t="s">
        <v>345</v>
      </c>
      <c r="P3843" s="42">
        <v>44928</v>
      </c>
      <c r="Q3843" t="s">
        <v>345</v>
      </c>
      <c r="R3843" t="s">
        <v>320</v>
      </c>
      <c r="S3843" t="s">
        <v>323</v>
      </c>
      <c r="U3843">
        <v>7.6</v>
      </c>
    </row>
    <row r="3844" spans="14:25">
      <c r="N3844" s="42">
        <v>44925</v>
      </c>
      <c r="O3844" t="s">
        <v>346</v>
      </c>
      <c r="P3844" s="42">
        <v>44925</v>
      </c>
      <c r="Q3844" t="s">
        <v>346</v>
      </c>
      <c r="R3844" t="s">
        <v>320</v>
      </c>
      <c r="S3844" t="s">
        <v>323</v>
      </c>
      <c r="T3844">
        <v>7.6</v>
      </c>
      <c r="Y3844" s="42">
        <v>44929</v>
      </c>
    </row>
    <row r="3845" spans="14:25">
      <c r="N3845" s="42">
        <v>44924</v>
      </c>
      <c r="O3845" t="s">
        <v>324</v>
      </c>
      <c r="P3845" s="42">
        <v>44924</v>
      </c>
      <c r="Q3845" t="s">
        <v>324</v>
      </c>
      <c r="R3845" t="s">
        <v>320</v>
      </c>
      <c r="S3845" t="s">
        <v>323</v>
      </c>
      <c r="T3845">
        <v>7.6</v>
      </c>
      <c r="Y3845" s="42">
        <v>44929</v>
      </c>
    </row>
    <row r="3846" spans="14:25">
      <c r="N3846" s="42">
        <v>44923</v>
      </c>
      <c r="O3846" t="s">
        <v>328</v>
      </c>
      <c r="P3846" s="42">
        <v>44923</v>
      </c>
      <c r="Q3846" t="s">
        <v>328</v>
      </c>
      <c r="R3846" t="s">
        <v>320</v>
      </c>
      <c r="S3846" t="s">
        <v>323</v>
      </c>
      <c r="T3846">
        <v>7.6</v>
      </c>
      <c r="Y3846" s="42">
        <v>44929</v>
      </c>
    </row>
    <row r="3847" spans="14:25">
      <c r="N3847" s="42">
        <v>44922</v>
      </c>
      <c r="O3847" t="s">
        <v>333</v>
      </c>
      <c r="P3847" s="42">
        <v>44922</v>
      </c>
      <c r="Q3847" t="s">
        <v>333</v>
      </c>
      <c r="R3847" t="s">
        <v>320</v>
      </c>
      <c r="S3847" t="s">
        <v>323</v>
      </c>
      <c r="U3847">
        <v>7.6</v>
      </c>
    </row>
    <row r="3848" spans="14:25">
      <c r="N3848" s="42">
        <v>44921</v>
      </c>
      <c r="O3848" t="s">
        <v>345</v>
      </c>
      <c r="P3848" s="42">
        <v>44921</v>
      </c>
      <c r="Q3848" t="s">
        <v>345</v>
      </c>
      <c r="R3848" t="s">
        <v>320</v>
      </c>
      <c r="S3848" t="s">
        <v>323</v>
      </c>
      <c r="U3848">
        <v>7.6</v>
      </c>
    </row>
    <row r="3849" spans="14:25">
      <c r="N3849" s="42">
        <v>44911</v>
      </c>
      <c r="O3849" t="s">
        <v>346</v>
      </c>
      <c r="P3849" s="42">
        <v>44911</v>
      </c>
      <c r="Q3849" t="s">
        <v>346</v>
      </c>
      <c r="R3849" t="s">
        <v>329</v>
      </c>
      <c r="S3849" t="s">
        <v>323</v>
      </c>
      <c r="T3849">
        <v>7.6</v>
      </c>
      <c r="W3849" t="s">
        <v>330</v>
      </c>
      <c r="Y3849" s="42">
        <v>44915</v>
      </c>
    </row>
    <row r="3850" spans="14:25">
      <c r="N3850" s="42">
        <v>44910</v>
      </c>
      <c r="O3850" t="s">
        <v>324</v>
      </c>
      <c r="P3850" s="42">
        <v>44910</v>
      </c>
      <c r="Q3850" t="s">
        <v>324</v>
      </c>
      <c r="R3850" t="s">
        <v>329</v>
      </c>
      <c r="S3850" t="s">
        <v>323</v>
      </c>
      <c r="T3850">
        <v>7.6</v>
      </c>
      <c r="W3850" t="s">
        <v>330</v>
      </c>
      <c r="Y3850" s="42">
        <v>44915</v>
      </c>
    </row>
    <row r="3851" spans="14:25">
      <c r="N3851" s="42">
        <v>44909</v>
      </c>
      <c r="O3851" t="s">
        <v>328</v>
      </c>
      <c r="P3851" s="42">
        <v>44909</v>
      </c>
      <c r="Q3851" t="s">
        <v>328</v>
      </c>
      <c r="R3851" t="s">
        <v>329</v>
      </c>
      <c r="S3851" t="s">
        <v>323</v>
      </c>
      <c r="T3851">
        <v>7.6</v>
      </c>
      <c r="W3851" t="s">
        <v>330</v>
      </c>
      <c r="Y3851" s="42">
        <v>44915</v>
      </c>
    </row>
    <row r="3852" spans="14:25">
      <c r="N3852" s="42">
        <v>44908</v>
      </c>
      <c r="O3852" t="s">
        <v>333</v>
      </c>
      <c r="P3852" s="42">
        <v>44908</v>
      </c>
      <c r="Q3852" t="s">
        <v>333</v>
      </c>
      <c r="R3852" t="s">
        <v>329</v>
      </c>
      <c r="S3852" t="s">
        <v>323</v>
      </c>
      <c r="T3852">
        <v>7.6</v>
      </c>
      <c r="W3852" t="s">
        <v>330</v>
      </c>
      <c r="Y3852" s="42">
        <v>44915</v>
      </c>
    </row>
    <row r="3853" spans="14:25">
      <c r="N3853" s="42">
        <v>44866</v>
      </c>
      <c r="O3853" t="s">
        <v>333</v>
      </c>
      <c r="P3853" s="42">
        <v>44866</v>
      </c>
      <c r="Q3853" t="s">
        <v>333</v>
      </c>
      <c r="R3853" t="s">
        <v>320</v>
      </c>
      <c r="S3853" t="s">
        <v>323</v>
      </c>
      <c r="U3853">
        <v>7.6</v>
      </c>
    </row>
    <row r="3854" spans="14:25">
      <c r="N3854" s="42">
        <v>44826</v>
      </c>
      <c r="O3854" t="s">
        <v>324</v>
      </c>
      <c r="P3854" s="42">
        <v>44826</v>
      </c>
      <c r="Q3854" t="s">
        <v>324</v>
      </c>
      <c r="R3854" t="s">
        <v>320</v>
      </c>
      <c r="S3854" t="s">
        <v>323</v>
      </c>
      <c r="U3854">
        <v>7.6</v>
      </c>
    </row>
    <row r="3855" spans="14:25">
      <c r="N3855" s="42">
        <v>44799</v>
      </c>
      <c r="O3855" t="s">
        <v>346</v>
      </c>
      <c r="P3855" s="42">
        <v>44799</v>
      </c>
      <c r="Q3855" t="s">
        <v>346</v>
      </c>
      <c r="R3855" t="s">
        <v>320</v>
      </c>
      <c r="S3855" t="s">
        <v>323</v>
      </c>
      <c r="T3855">
        <v>7.6</v>
      </c>
      <c r="Y3855" s="42">
        <v>44803</v>
      </c>
    </row>
    <row r="3856" spans="14:25">
      <c r="N3856" s="42">
        <v>44798</v>
      </c>
      <c r="O3856" t="s">
        <v>324</v>
      </c>
      <c r="P3856" s="42">
        <v>44798</v>
      </c>
      <c r="Q3856" t="s">
        <v>324</v>
      </c>
      <c r="R3856" t="s">
        <v>320</v>
      </c>
      <c r="S3856" t="s">
        <v>323</v>
      </c>
      <c r="T3856">
        <v>7.6</v>
      </c>
      <c r="Y3856" s="42">
        <v>44803</v>
      </c>
    </row>
    <row r="3857" spans="14:25">
      <c r="N3857" s="42">
        <v>44797</v>
      </c>
      <c r="O3857" t="s">
        <v>328</v>
      </c>
      <c r="P3857" s="42">
        <v>44797</v>
      </c>
      <c r="Q3857" t="s">
        <v>328</v>
      </c>
      <c r="R3857" t="s">
        <v>320</v>
      </c>
      <c r="S3857" t="s">
        <v>323</v>
      </c>
      <c r="T3857">
        <v>7.6</v>
      </c>
      <c r="Y3857" s="42">
        <v>44803</v>
      </c>
    </row>
    <row r="3858" spans="14:25">
      <c r="N3858" s="42">
        <v>44796</v>
      </c>
      <c r="O3858" t="s">
        <v>333</v>
      </c>
      <c r="P3858" s="42">
        <v>44796</v>
      </c>
      <c r="Q3858" t="s">
        <v>333</v>
      </c>
      <c r="R3858" t="s">
        <v>320</v>
      </c>
      <c r="S3858" t="s">
        <v>323</v>
      </c>
      <c r="T3858">
        <v>7.6</v>
      </c>
      <c r="Y3858" s="42">
        <v>44803</v>
      </c>
    </row>
    <row r="3859" spans="14:25">
      <c r="N3859" s="42">
        <v>44795</v>
      </c>
      <c r="O3859" t="s">
        <v>345</v>
      </c>
      <c r="P3859" s="42">
        <v>44795</v>
      </c>
      <c r="Q3859" t="s">
        <v>345</v>
      </c>
      <c r="R3859" t="s">
        <v>320</v>
      </c>
      <c r="S3859" t="s">
        <v>323</v>
      </c>
      <c r="T3859">
        <v>7.6</v>
      </c>
      <c r="Y3859" s="42">
        <v>44803</v>
      </c>
    </row>
    <row r="3860" spans="14:25">
      <c r="N3860" s="42">
        <v>44792</v>
      </c>
      <c r="O3860" t="s">
        <v>346</v>
      </c>
      <c r="P3860" s="42">
        <v>44792</v>
      </c>
      <c r="Q3860" t="s">
        <v>346</v>
      </c>
      <c r="R3860" t="s">
        <v>320</v>
      </c>
      <c r="S3860" t="s">
        <v>323</v>
      </c>
      <c r="T3860">
        <v>7.6</v>
      </c>
      <c r="Y3860" s="42">
        <v>44803</v>
      </c>
    </row>
    <row r="3861" spans="14:25">
      <c r="N3861" s="42">
        <v>44791</v>
      </c>
      <c r="O3861" t="s">
        <v>324</v>
      </c>
      <c r="P3861" s="42">
        <v>44791</v>
      </c>
      <c r="Q3861" t="s">
        <v>324</v>
      </c>
      <c r="R3861" t="s">
        <v>320</v>
      </c>
      <c r="S3861" t="s">
        <v>323</v>
      </c>
      <c r="T3861">
        <v>7.6</v>
      </c>
      <c r="Y3861" s="42">
        <v>44803</v>
      </c>
    </row>
    <row r="3862" spans="14:25">
      <c r="N3862" s="42">
        <v>44790</v>
      </c>
      <c r="O3862" t="s">
        <v>328</v>
      </c>
      <c r="P3862" s="42">
        <v>44790</v>
      </c>
      <c r="Q3862" t="s">
        <v>328</v>
      </c>
      <c r="R3862" t="s">
        <v>320</v>
      </c>
      <c r="S3862" t="s">
        <v>323</v>
      </c>
      <c r="T3862">
        <v>7.6</v>
      </c>
      <c r="Y3862" s="42">
        <v>44803</v>
      </c>
    </row>
    <row r="3863" spans="14:25">
      <c r="N3863" s="42">
        <v>44789</v>
      </c>
      <c r="O3863" t="s">
        <v>333</v>
      </c>
      <c r="P3863" s="42">
        <v>44789</v>
      </c>
      <c r="Q3863" t="s">
        <v>333</v>
      </c>
      <c r="R3863" t="s">
        <v>320</v>
      </c>
      <c r="S3863" t="s">
        <v>323</v>
      </c>
      <c r="T3863">
        <v>7.6</v>
      </c>
      <c r="Y3863" s="42">
        <v>44789</v>
      </c>
    </row>
    <row r="3864" spans="14:25">
      <c r="N3864" s="42">
        <v>44788</v>
      </c>
      <c r="O3864" t="s">
        <v>345</v>
      </c>
      <c r="P3864" s="42">
        <v>44788</v>
      </c>
      <c r="Q3864" t="s">
        <v>345</v>
      </c>
      <c r="R3864" t="s">
        <v>320</v>
      </c>
      <c r="S3864" t="s">
        <v>323</v>
      </c>
      <c r="T3864">
        <v>7.6</v>
      </c>
      <c r="Y3864" s="42">
        <v>44789</v>
      </c>
    </row>
    <row r="3865" spans="14:25">
      <c r="N3865" s="42">
        <v>44778</v>
      </c>
      <c r="O3865" t="s">
        <v>346</v>
      </c>
      <c r="P3865" s="42">
        <v>44778</v>
      </c>
      <c r="Q3865" t="s">
        <v>346</v>
      </c>
      <c r="R3865" t="s">
        <v>329</v>
      </c>
      <c r="S3865" t="s">
        <v>323</v>
      </c>
      <c r="T3865">
        <v>7.6</v>
      </c>
      <c r="W3865" t="s">
        <v>330</v>
      </c>
      <c r="Y3865" s="42">
        <v>44789</v>
      </c>
    </row>
    <row r="3866" spans="14:25">
      <c r="N3866" s="42">
        <v>44725</v>
      </c>
      <c r="O3866" t="s">
        <v>345</v>
      </c>
      <c r="P3866" s="42">
        <v>44725</v>
      </c>
      <c r="Q3866" t="s">
        <v>345</v>
      </c>
      <c r="R3866" t="s">
        <v>320</v>
      </c>
      <c r="S3866" t="s">
        <v>323</v>
      </c>
      <c r="U3866">
        <v>7.6</v>
      </c>
    </row>
    <row r="3867" spans="14:25">
      <c r="N3867" s="42">
        <v>44719</v>
      </c>
      <c r="O3867" t="s">
        <v>333</v>
      </c>
      <c r="P3867" s="42">
        <v>44719</v>
      </c>
      <c r="Q3867" t="s">
        <v>333</v>
      </c>
      <c r="R3867" t="s">
        <v>320</v>
      </c>
      <c r="S3867" t="s">
        <v>323</v>
      </c>
      <c r="T3867">
        <v>7.6</v>
      </c>
      <c r="Y3867" s="42">
        <v>44719</v>
      </c>
    </row>
    <row r="3868" spans="14:25">
      <c r="N3868" s="42">
        <v>44685</v>
      </c>
      <c r="O3868" t="s">
        <v>328</v>
      </c>
      <c r="P3868" s="42">
        <v>44685</v>
      </c>
      <c r="Q3868" t="s">
        <v>328</v>
      </c>
      <c r="R3868" t="s">
        <v>329</v>
      </c>
      <c r="S3868" t="s">
        <v>323</v>
      </c>
      <c r="T3868">
        <v>7.6</v>
      </c>
      <c r="W3868" t="s">
        <v>330</v>
      </c>
      <c r="Y3868" s="42">
        <v>44691</v>
      </c>
    </row>
    <row r="3869" spans="14:25">
      <c r="N3869" s="42">
        <v>44684</v>
      </c>
      <c r="O3869" t="s">
        <v>333</v>
      </c>
      <c r="P3869" s="42">
        <v>44684</v>
      </c>
      <c r="Q3869" t="s">
        <v>333</v>
      </c>
      <c r="R3869" t="s">
        <v>329</v>
      </c>
      <c r="S3869" t="s">
        <v>323</v>
      </c>
      <c r="T3869">
        <v>7.6</v>
      </c>
      <c r="W3869" t="s">
        <v>330</v>
      </c>
      <c r="Y3869" s="42">
        <v>44691</v>
      </c>
    </row>
    <row r="3870" spans="14:25">
      <c r="N3870" s="42">
        <v>44683</v>
      </c>
      <c r="O3870" t="s">
        <v>345</v>
      </c>
      <c r="P3870" s="42">
        <v>44683</v>
      </c>
      <c r="Q3870" t="s">
        <v>345</v>
      </c>
      <c r="R3870" t="s">
        <v>329</v>
      </c>
      <c r="S3870" t="s">
        <v>323</v>
      </c>
      <c r="T3870">
        <v>7.6</v>
      </c>
      <c r="W3870" t="s">
        <v>330</v>
      </c>
      <c r="Y3870" s="42">
        <v>44691</v>
      </c>
    </row>
    <row r="3871" spans="14:25">
      <c r="N3871" s="42">
        <v>44676</v>
      </c>
      <c r="O3871" t="s">
        <v>345</v>
      </c>
      <c r="P3871" s="42">
        <v>44676</v>
      </c>
      <c r="Q3871" t="s">
        <v>345</v>
      </c>
      <c r="R3871" t="s">
        <v>320</v>
      </c>
      <c r="S3871" t="s">
        <v>323</v>
      </c>
      <c r="U3871">
        <v>7.6</v>
      </c>
    </row>
    <row r="3872" spans="14:25">
      <c r="N3872" s="42">
        <v>44669</v>
      </c>
      <c r="O3872" t="s">
        <v>345</v>
      </c>
      <c r="P3872" s="42">
        <v>44669</v>
      </c>
      <c r="Q3872" t="s">
        <v>345</v>
      </c>
      <c r="R3872" t="s">
        <v>320</v>
      </c>
      <c r="S3872" t="s">
        <v>323</v>
      </c>
      <c r="U3872">
        <v>7.6</v>
      </c>
    </row>
    <row r="3873" spans="14:25">
      <c r="N3873" s="42">
        <v>44666</v>
      </c>
      <c r="O3873" t="s">
        <v>346</v>
      </c>
      <c r="P3873" s="42">
        <v>44666</v>
      </c>
      <c r="Q3873" t="s">
        <v>346</v>
      </c>
      <c r="R3873" t="s">
        <v>320</v>
      </c>
      <c r="S3873" t="s">
        <v>323</v>
      </c>
      <c r="U3873">
        <v>7.6</v>
      </c>
    </row>
    <row r="3874" spans="14:25">
      <c r="N3874" s="42">
        <v>44656</v>
      </c>
      <c r="O3874" t="s">
        <v>333</v>
      </c>
      <c r="P3874" s="42">
        <v>44656</v>
      </c>
      <c r="Q3874" t="s">
        <v>333</v>
      </c>
      <c r="R3874" t="s">
        <v>329</v>
      </c>
      <c r="S3874" t="s">
        <v>323</v>
      </c>
      <c r="T3874">
        <v>7.6</v>
      </c>
      <c r="W3874" t="s">
        <v>330</v>
      </c>
      <c r="Y3874" s="42">
        <v>44663</v>
      </c>
    </row>
    <row r="3875" spans="14:25">
      <c r="N3875" s="42">
        <v>44634</v>
      </c>
      <c r="O3875" t="s">
        <v>345</v>
      </c>
      <c r="P3875" s="42">
        <v>44634</v>
      </c>
      <c r="Q3875" t="s">
        <v>345</v>
      </c>
      <c r="R3875" t="s">
        <v>320</v>
      </c>
      <c r="S3875" t="s">
        <v>323</v>
      </c>
      <c r="U3875">
        <v>7.6</v>
      </c>
    </row>
    <row r="3876" spans="14:25">
      <c r="N3876" s="42">
        <v>44587</v>
      </c>
      <c r="O3876" t="s">
        <v>328</v>
      </c>
      <c r="P3876" s="42">
        <v>44587</v>
      </c>
      <c r="Q3876" t="s">
        <v>328</v>
      </c>
      <c r="R3876" t="s">
        <v>320</v>
      </c>
      <c r="S3876" t="s">
        <v>323</v>
      </c>
      <c r="U3876">
        <v>7.6</v>
      </c>
    </row>
    <row r="3877" spans="14:25">
      <c r="N3877" s="42">
        <v>44582</v>
      </c>
      <c r="O3877" t="s">
        <v>346</v>
      </c>
      <c r="P3877" s="42">
        <v>44582</v>
      </c>
      <c r="Q3877" t="s">
        <v>346</v>
      </c>
      <c r="R3877" t="s">
        <v>329</v>
      </c>
      <c r="S3877" t="s">
        <v>323</v>
      </c>
      <c r="T3877">
        <v>7.6</v>
      </c>
      <c r="W3877" t="s">
        <v>330</v>
      </c>
      <c r="Y3877" s="42">
        <v>44593</v>
      </c>
    </row>
    <row r="3878" spans="14:25">
      <c r="N3878" s="42">
        <v>44568</v>
      </c>
      <c r="O3878" t="s">
        <v>346</v>
      </c>
      <c r="P3878" s="42">
        <v>44568</v>
      </c>
      <c r="Q3878" t="s">
        <v>346</v>
      </c>
      <c r="R3878" t="s">
        <v>320</v>
      </c>
      <c r="S3878" t="s">
        <v>323</v>
      </c>
      <c r="T3878">
        <v>7.6</v>
      </c>
      <c r="Y3878" s="42">
        <v>44579</v>
      </c>
    </row>
    <row r="3879" spans="14:25">
      <c r="N3879" s="42">
        <v>44567</v>
      </c>
      <c r="O3879" t="s">
        <v>324</v>
      </c>
      <c r="P3879" s="42">
        <v>44567</v>
      </c>
      <c r="Q3879" t="s">
        <v>324</v>
      </c>
      <c r="R3879" t="s">
        <v>320</v>
      </c>
      <c r="S3879" t="s">
        <v>323</v>
      </c>
      <c r="T3879">
        <v>7.6</v>
      </c>
      <c r="Y3879" s="42">
        <v>44579</v>
      </c>
    </row>
    <row r="3880" spans="14:25">
      <c r="N3880" s="42">
        <v>44566</v>
      </c>
      <c r="O3880" t="s">
        <v>328</v>
      </c>
      <c r="P3880" s="42">
        <v>44566</v>
      </c>
      <c r="Q3880" t="s">
        <v>328</v>
      </c>
      <c r="R3880" t="s">
        <v>320</v>
      </c>
      <c r="S3880" t="s">
        <v>323</v>
      </c>
      <c r="T3880">
        <v>7.6</v>
      </c>
      <c r="Y3880" s="42">
        <v>44579</v>
      </c>
    </row>
    <row r="3881" spans="14:25">
      <c r="N3881" s="42">
        <v>44565</v>
      </c>
      <c r="O3881" t="s">
        <v>333</v>
      </c>
      <c r="P3881" s="42">
        <v>44565</v>
      </c>
      <c r="Q3881" t="s">
        <v>333</v>
      </c>
      <c r="R3881" t="s">
        <v>320</v>
      </c>
      <c r="S3881" t="s">
        <v>323</v>
      </c>
      <c r="T3881">
        <v>7.6</v>
      </c>
      <c r="Y3881" s="42">
        <v>44565</v>
      </c>
    </row>
    <row r="3882" spans="14:25">
      <c r="N3882" s="42">
        <v>44564</v>
      </c>
      <c r="O3882" t="s">
        <v>345</v>
      </c>
      <c r="P3882" s="42">
        <v>44564</v>
      </c>
      <c r="Q3882" t="s">
        <v>345</v>
      </c>
      <c r="R3882" t="s">
        <v>320</v>
      </c>
      <c r="S3882" t="s">
        <v>323</v>
      </c>
      <c r="U3882">
        <v>7.6</v>
      </c>
    </row>
    <row r="3883" spans="14:25">
      <c r="N3883" s="42">
        <v>44561</v>
      </c>
      <c r="O3883" t="s">
        <v>346</v>
      </c>
      <c r="P3883" s="42">
        <v>44561</v>
      </c>
      <c r="Q3883" t="s">
        <v>346</v>
      </c>
      <c r="R3883" t="s">
        <v>320</v>
      </c>
      <c r="S3883" t="s">
        <v>323</v>
      </c>
      <c r="T3883">
        <v>7.6</v>
      </c>
      <c r="Y3883" s="42">
        <v>44565</v>
      </c>
    </row>
    <row r="3884" spans="14:25">
      <c r="N3884" s="42">
        <v>44560</v>
      </c>
      <c r="O3884" t="s">
        <v>324</v>
      </c>
      <c r="P3884" s="42">
        <v>44560</v>
      </c>
      <c r="Q3884" t="s">
        <v>324</v>
      </c>
      <c r="R3884" t="s">
        <v>320</v>
      </c>
      <c r="S3884" t="s">
        <v>323</v>
      </c>
      <c r="T3884">
        <v>7.6</v>
      </c>
      <c r="Y3884" s="42">
        <v>44565</v>
      </c>
    </row>
    <row r="3885" spans="14:25">
      <c r="N3885" s="42">
        <v>44559</v>
      </c>
      <c r="O3885" t="s">
        <v>328</v>
      </c>
      <c r="P3885" s="42">
        <v>44559</v>
      </c>
      <c r="Q3885" t="s">
        <v>328</v>
      </c>
      <c r="R3885" t="s">
        <v>320</v>
      </c>
      <c r="S3885" t="s">
        <v>323</v>
      </c>
      <c r="T3885">
        <v>7.6</v>
      </c>
      <c r="Y3885" s="42">
        <v>44565</v>
      </c>
    </row>
    <row r="3886" spans="14:25">
      <c r="N3886" s="42">
        <v>44558</v>
      </c>
      <c r="O3886" t="s">
        <v>333</v>
      </c>
      <c r="P3886" s="42">
        <v>44558</v>
      </c>
      <c r="Q3886" t="s">
        <v>333</v>
      </c>
      <c r="R3886" t="s">
        <v>320</v>
      </c>
      <c r="S3886" t="s">
        <v>323</v>
      </c>
      <c r="U3886">
        <v>7.6</v>
      </c>
    </row>
    <row r="3887" spans="14:25">
      <c r="N3887" s="42">
        <v>44557</v>
      </c>
      <c r="O3887" t="s">
        <v>345</v>
      </c>
      <c r="P3887" s="42">
        <v>44557</v>
      </c>
      <c r="Q3887" t="s">
        <v>345</v>
      </c>
      <c r="R3887" t="s">
        <v>320</v>
      </c>
      <c r="S3887" t="s">
        <v>323</v>
      </c>
      <c r="U3887">
        <v>7.6</v>
      </c>
    </row>
    <row r="3888" spans="14:25">
      <c r="N3888" s="42">
        <v>44554</v>
      </c>
      <c r="O3888" t="s">
        <v>346</v>
      </c>
      <c r="P3888" s="42">
        <v>44554</v>
      </c>
      <c r="Q3888" t="s">
        <v>346</v>
      </c>
      <c r="R3888" t="s">
        <v>320</v>
      </c>
      <c r="S3888" t="s">
        <v>323</v>
      </c>
      <c r="T3888">
        <v>7.6</v>
      </c>
      <c r="Y3888" s="42">
        <v>44565</v>
      </c>
    </row>
    <row r="3889" spans="14:25">
      <c r="N3889" s="42">
        <v>44553</v>
      </c>
      <c r="O3889" t="s">
        <v>324</v>
      </c>
      <c r="P3889" s="42">
        <v>44553</v>
      </c>
      <c r="Q3889" t="s">
        <v>324</v>
      </c>
      <c r="R3889" t="s">
        <v>320</v>
      </c>
      <c r="S3889" t="s">
        <v>323</v>
      </c>
      <c r="T3889">
        <v>7.6</v>
      </c>
      <c r="Y3889" s="42">
        <v>44565</v>
      </c>
    </row>
    <row r="3890" spans="14:25">
      <c r="N3890" s="42">
        <v>44552</v>
      </c>
      <c r="O3890" t="s">
        <v>328</v>
      </c>
      <c r="P3890" s="42">
        <v>44552</v>
      </c>
      <c r="Q3890" t="s">
        <v>328</v>
      </c>
      <c r="R3890" t="s">
        <v>320</v>
      </c>
      <c r="S3890" t="s">
        <v>323</v>
      </c>
      <c r="T3890">
        <v>7.6</v>
      </c>
      <c r="Y3890" s="42">
        <v>44565</v>
      </c>
    </row>
    <row r="3891" spans="14:25">
      <c r="N3891" s="42">
        <v>44551</v>
      </c>
      <c r="O3891" t="s">
        <v>333</v>
      </c>
      <c r="P3891" s="42">
        <v>44551</v>
      </c>
      <c r="Q3891" t="s">
        <v>333</v>
      </c>
      <c r="R3891" t="s">
        <v>320</v>
      </c>
      <c r="S3891" t="s">
        <v>323</v>
      </c>
      <c r="T3891">
        <v>7.6</v>
      </c>
      <c r="Y3891" s="42">
        <v>44551</v>
      </c>
    </row>
    <row r="3892" spans="14:25">
      <c r="N3892" s="42">
        <v>44550</v>
      </c>
      <c r="O3892" t="s">
        <v>345</v>
      </c>
      <c r="P3892" s="42">
        <v>44550</v>
      </c>
      <c r="Q3892" t="s">
        <v>345</v>
      </c>
      <c r="R3892" t="s">
        <v>320</v>
      </c>
      <c r="S3892" t="s">
        <v>323</v>
      </c>
      <c r="T3892">
        <v>7.6</v>
      </c>
      <c r="Y3892" s="42">
        <v>44551</v>
      </c>
    </row>
    <row r="3893" spans="14:25">
      <c r="N3893" s="42">
        <v>44502</v>
      </c>
      <c r="O3893" t="s">
        <v>333</v>
      </c>
      <c r="P3893" s="42">
        <v>44502</v>
      </c>
      <c r="Q3893" t="s">
        <v>333</v>
      </c>
      <c r="R3893" t="s">
        <v>320</v>
      </c>
      <c r="S3893" t="s">
        <v>323</v>
      </c>
      <c r="U3893">
        <v>7.6</v>
      </c>
    </row>
    <row r="3894" spans="14:25">
      <c r="N3894" s="42">
        <v>44489</v>
      </c>
      <c r="O3894" t="s">
        <v>328</v>
      </c>
      <c r="P3894" s="42">
        <v>44489</v>
      </c>
      <c r="Q3894" t="s">
        <v>328</v>
      </c>
      <c r="R3894" t="s">
        <v>329</v>
      </c>
      <c r="S3894" t="s">
        <v>323</v>
      </c>
      <c r="T3894">
        <v>7.6</v>
      </c>
      <c r="W3894" t="s">
        <v>330</v>
      </c>
      <c r="Y3894" s="42">
        <v>44495</v>
      </c>
    </row>
    <row r="3895" spans="14:25">
      <c r="N3895" s="42">
        <v>44463</v>
      </c>
      <c r="O3895" t="s">
        <v>346</v>
      </c>
      <c r="P3895" s="42">
        <v>44463</v>
      </c>
      <c r="Q3895" t="s">
        <v>346</v>
      </c>
      <c r="R3895" t="s">
        <v>320</v>
      </c>
      <c r="S3895" t="s">
        <v>323</v>
      </c>
      <c r="U3895">
        <v>7.6</v>
      </c>
    </row>
    <row r="3896" spans="14:25">
      <c r="N3896" s="42">
        <v>44431</v>
      </c>
      <c r="O3896" t="s">
        <v>345</v>
      </c>
      <c r="P3896" s="42">
        <v>44431</v>
      </c>
      <c r="Q3896" t="s">
        <v>345</v>
      </c>
      <c r="R3896" t="s">
        <v>329</v>
      </c>
      <c r="S3896" t="s">
        <v>323</v>
      </c>
      <c r="T3896">
        <v>7.6</v>
      </c>
      <c r="W3896" t="s">
        <v>330</v>
      </c>
      <c r="Y3896" s="42">
        <v>44439</v>
      </c>
    </row>
    <row r="3897" spans="14:25">
      <c r="N3897" s="42">
        <v>44414</v>
      </c>
      <c r="O3897" t="s">
        <v>346</v>
      </c>
      <c r="P3897" s="42">
        <v>44414</v>
      </c>
      <c r="Q3897" t="s">
        <v>346</v>
      </c>
      <c r="R3897" t="s">
        <v>320</v>
      </c>
      <c r="S3897" t="s">
        <v>323</v>
      </c>
      <c r="T3897">
        <v>7.6</v>
      </c>
      <c r="Y3897" s="42">
        <v>44425</v>
      </c>
    </row>
    <row r="3898" spans="14:25">
      <c r="N3898" s="42">
        <v>44407</v>
      </c>
      <c r="O3898" t="s">
        <v>346</v>
      </c>
      <c r="P3898" s="42">
        <v>44407</v>
      </c>
      <c r="Q3898" t="s">
        <v>346</v>
      </c>
      <c r="R3898" t="s">
        <v>329</v>
      </c>
      <c r="S3898" t="s">
        <v>323</v>
      </c>
      <c r="T3898">
        <v>7.6</v>
      </c>
      <c r="W3898" t="s">
        <v>330</v>
      </c>
      <c r="Y3898" s="42">
        <v>44411</v>
      </c>
    </row>
    <row r="3899" spans="14:25">
      <c r="N3899" s="42">
        <v>44406</v>
      </c>
      <c r="O3899" t="s">
        <v>324</v>
      </c>
      <c r="P3899" s="42">
        <v>44406</v>
      </c>
      <c r="Q3899" t="s">
        <v>324</v>
      </c>
      <c r="R3899" t="s">
        <v>329</v>
      </c>
      <c r="S3899" t="s">
        <v>323</v>
      </c>
      <c r="T3899">
        <v>7.6</v>
      </c>
      <c r="W3899" t="s">
        <v>330</v>
      </c>
      <c r="Y3899" s="42">
        <v>44411</v>
      </c>
    </row>
    <row r="3900" spans="14:25">
      <c r="N3900" s="42">
        <v>44405</v>
      </c>
      <c r="O3900" t="s">
        <v>328</v>
      </c>
      <c r="P3900" s="42">
        <v>44405</v>
      </c>
      <c r="Q3900" t="s">
        <v>328</v>
      </c>
      <c r="R3900" t="s">
        <v>329</v>
      </c>
      <c r="S3900" t="s">
        <v>323</v>
      </c>
      <c r="T3900">
        <v>7.6</v>
      </c>
      <c r="W3900" t="s">
        <v>330</v>
      </c>
      <c r="Y3900" s="42">
        <v>44411</v>
      </c>
    </row>
    <row r="3901" spans="14:25">
      <c r="N3901" s="42">
        <v>44404</v>
      </c>
      <c r="O3901" t="s">
        <v>333</v>
      </c>
      <c r="P3901" s="42">
        <v>44404</v>
      </c>
      <c r="Q3901" t="s">
        <v>333</v>
      </c>
      <c r="R3901" t="s">
        <v>329</v>
      </c>
      <c r="S3901" t="s">
        <v>323</v>
      </c>
      <c r="T3901">
        <v>7.6</v>
      </c>
      <c r="W3901" t="s">
        <v>330</v>
      </c>
      <c r="Y3901" s="42">
        <v>44411</v>
      </c>
    </row>
    <row r="3902" spans="14:25">
      <c r="N3902" s="42">
        <v>44403</v>
      </c>
      <c r="O3902" t="s">
        <v>345</v>
      </c>
      <c r="P3902" s="42">
        <v>44403</v>
      </c>
      <c r="Q3902" t="s">
        <v>345</v>
      </c>
      <c r="R3902" t="s">
        <v>329</v>
      </c>
      <c r="S3902" t="s">
        <v>323</v>
      </c>
      <c r="T3902">
        <v>7.6</v>
      </c>
      <c r="W3902" t="s">
        <v>330</v>
      </c>
      <c r="Y3902" s="42">
        <v>44411</v>
      </c>
    </row>
    <row r="3903" spans="14:25">
      <c r="N3903" s="42">
        <v>44361</v>
      </c>
      <c r="O3903" t="s">
        <v>345</v>
      </c>
      <c r="P3903" s="42">
        <v>44361</v>
      </c>
      <c r="Q3903" t="s">
        <v>345</v>
      </c>
      <c r="R3903" t="s">
        <v>320</v>
      </c>
      <c r="S3903" t="s">
        <v>323</v>
      </c>
      <c r="U3903">
        <v>7.6</v>
      </c>
    </row>
    <row r="3904" spans="14:25">
      <c r="N3904" s="42">
        <v>44344</v>
      </c>
      <c r="O3904" t="s">
        <v>346</v>
      </c>
      <c r="P3904" s="42">
        <v>44344</v>
      </c>
      <c r="Q3904" t="s">
        <v>346</v>
      </c>
      <c r="R3904" t="s">
        <v>320</v>
      </c>
      <c r="S3904" t="s">
        <v>323</v>
      </c>
      <c r="T3904">
        <v>7.6</v>
      </c>
      <c r="Y3904" s="42">
        <v>44355</v>
      </c>
    </row>
    <row r="3905" spans="14:25">
      <c r="N3905" s="42">
        <v>44343</v>
      </c>
      <c r="O3905" t="s">
        <v>324</v>
      </c>
      <c r="P3905" s="42">
        <v>44343</v>
      </c>
      <c r="Q3905" t="s">
        <v>324</v>
      </c>
      <c r="R3905" t="s">
        <v>320</v>
      </c>
      <c r="S3905" t="s">
        <v>323</v>
      </c>
      <c r="T3905">
        <v>7.6</v>
      </c>
      <c r="Y3905" s="42">
        <v>44355</v>
      </c>
    </row>
    <row r="3906" spans="14:25">
      <c r="N3906" s="42">
        <v>44342</v>
      </c>
      <c r="O3906" t="s">
        <v>328</v>
      </c>
      <c r="P3906" s="42">
        <v>44342</v>
      </c>
      <c r="Q3906" t="s">
        <v>328</v>
      </c>
      <c r="R3906" t="s">
        <v>320</v>
      </c>
      <c r="S3906" t="s">
        <v>323</v>
      </c>
      <c r="T3906">
        <v>7.6</v>
      </c>
      <c r="Y3906" s="42">
        <v>44355</v>
      </c>
    </row>
    <row r="3907" spans="14:25">
      <c r="N3907" s="42">
        <v>44341</v>
      </c>
      <c r="O3907" t="s">
        <v>333</v>
      </c>
      <c r="P3907" s="42">
        <v>44341</v>
      </c>
      <c r="Q3907" t="s">
        <v>333</v>
      </c>
      <c r="R3907" t="s">
        <v>320</v>
      </c>
      <c r="S3907" t="s">
        <v>323</v>
      </c>
      <c r="T3907">
        <v>7.6</v>
      </c>
      <c r="Y3907" s="42">
        <v>44341</v>
      </c>
    </row>
    <row r="3908" spans="14:25">
      <c r="N3908" s="42">
        <v>44340</v>
      </c>
      <c r="O3908" t="s">
        <v>345</v>
      </c>
      <c r="P3908" s="42">
        <v>44340</v>
      </c>
      <c r="Q3908" t="s">
        <v>345</v>
      </c>
      <c r="R3908" t="s">
        <v>320</v>
      </c>
      <c r="S3908" t="s">
        <v>323</v>
      </c>
      <c r="T3908">
        <v>7.6</v>
      </c>
      <c r="Y3908" s="42">
        <v>44341</v>
      </c>
    </row>
    <row r="3909" spans="14:25">
      <c r="N3909" s="42">
        <v>44337</v>
      </c>
      <c r="O3909" t="s">
        <v>346</v>
      </c>
      <c r="P3909" s="42">
        <v>44337</v>
      </c>
      <c r="Q3909" t="s">
        <v>346</v>
      </c>
      <c r="R3909" t="s">
        <v>320</v>
      </c>
      <c r="S3909" t="s">
        <v>323</v>
      </c>
      <c r="T3909">
        <v>7.6</v>
      </c>
      <c r="Y3909" s="42">
        <v>44341</v>
      </c>
    </row>
    <row r="3910" spans="14:25">
      <c r="N3910" s="42">
        <v>44336</v>
      </c>
      <c r="O3910" t="s">
        <v>324</v>
      </c>
      <c r="P3910" s="42">
        <v>44336</v>
      </c>
      <c r="Q3910" t="s">
        <v>324</v>
      </c>
      <c r="R3910" t="s">
        <v>320</v>
      </c>
      <c r="S3910" t="s">
        <v>323</v>
      </c>
      <c r="T3910">
        <v>7.6</v>
      </c>
      <c r="Y3910" s="42">
        <v>44341</v>
      </c>
    </row>
    <row r="3911" spans="14:25">
      <c r="N3911" s="42">
        <v>44335</v>
      </c>
      <c r="O3911" t="s">
        <v>328</v>
      </c>
      <c r="P3911" s="42">
        <v>44335</v>
      </c>
      <c r="Q3911" t="s">
        <v>328</v>
      </c>
      <c r="R3911" t="s">
        <v>320</v>
      </c>
      <c r="S3911" t="s">
        <v>323</v>
      </c>
      <c r="T3911">
        <v>7.6</v>
      </c>
      <c r="Y3911" s="42">
        <v>44341</v>
      </c>
    </row>
    <row r="3912" spans="14:25">
      <c r="N3912" s="42">
        <v>44334</v>
      </c>
      <c r="O3912" t="s">
        <v>333</v>
      </c>
      <c r="P3912" s="42">
        <v>44334</v>
      </c>
      <c r="Q3912" t="s">
        <v>333</v>
      </c>
      <c r="R3912" t="s">
        <v>320</v>
      </c>
      <c r="S3912" t="s">
        <v>323</v>
      </c>
      <c r="T3912">
        <v>7.6</v>
      </c>
      <c r="Y3912" s="42">
        <v>44341</v>
      </c>
    </row>
    <row r="3913" spans="14:25">
      <c r="N3913" s="42">
        <v>44333</v>
      </c>
      <c r="O3913" t="s">
        <v>345</v>
      </c>
      <c r="P3913" s="42">
        <v>44333</v>
      </c>
      <c r="Q3913" t="s">
        <v>345</v>
      </c>
      <c r="R3913" t="s">
        <v>320</v>
      </c>
      <c r="S3913" t="s">
        <v>323</v>
      </c>
      <c r="T3913">
        <v>7.6</v>
      </c>
      <c r="Y3913" s="42">
        <v>44341</v>
      </c>
    </row>
    <row r="3914" spans="14:25">
      <c r="N3914" s="42">
        <v>44330</v>
      </c>
      <c r="O3914" t="s">
        <v>346</v>
      </c>
      <c r="P3914" s="42">
        <v>44330</v>
      </c>
      <c r="Q3914" t="s">
        <v>346</v>
      </c>
      <c r="R3914" t="s">
        <v>320</v>
      </c>
      <c r="S3914" t="s">
        <v>323</v>
      </c>
      <c r="T3914">
        <v>7.6</v>
      </c>
      <c r="Y3914" s="42">
        <v>44341</v>
      </c>
    </row>
    <row r="3915" spans="14:25">
      <c r="N3915" s="42">
        <v>44329</v>
      </c>
      <c r="O3915" t="s">
        <v>324</v>
      </c>
      <c r="P3915" s="42">
        <v>44329</v>
      </c>
      <c r="Q3915" t="s">
        <v>324</v>
      </c>
      <c r="R3915" t="s">
        <v>320</v>
      </c>
      <c r="S3915" t="s">
        <v>323</v>
      </c>
      <c r="T3915">
        <v>7.6</v>
      </c>
      <c r="Y3915" s="42">
        <v>44341</v>
      </c>
    </row>
    <row r="3916" spans="14:25">
      <c r="N3916" s="42">
        <v>44328</v>
      </c>
      <c r="O3916" t="s">
        <v>328</v>
      </c>
      <c r="P3916" s="42">
        <v>44328</v>
      </c>
      <c r="Q3916" t="s">
        <v>328</v>
      </c>
      <c r="R3916" t="s">
        <v>320</v>
      </c>
      <c r="S3916" t="s">
        <v>323</v>
      </c>
      <c r="T3916">
        <v>7.6</v>
      </c>
      <c r="Y3916" s="42">
        <v>44341</v>
      </c>
    </row>
    <row r="3917" spans="14:25">
      <c r="N3917" s="42">
        <v>44327</v>
      </c>
      <c r="O3917" t="s">
        <v>333</v>
      </c>
      <c r="P3917" s="42">
        <v>44327</v>
      </c>
      <c r="Q3917" t="s">
        <v>333</v>
      </c>
      <c r="R3917" t="s">
        <v>320</v>
      </c>
      <c r="S3917" t="s">
        <v>323</v>
      </c>
      <c r="T3917">
        <v>7.6</v>
      </c>
      <c r="Y3917" s="42">
        <v>44327</v>
      </c>
    </row>
    <row r="3918" spans="14:25">
      <c r="N3918" s="42">
        <v>44326</v>
      </c>
      <c r="O3918" t="s">
        <v>345</v>
      </c>
      <c r="P3918" s="42">
        <v>44326</v>
      </c>
      <c r="Q3918" t="s">
        <v>345</v>
      </c>
      <c r="R3918" t="s">
        <v>320</v>
      </c>
      <c r="S3918" t="s">
        <v>323</v>
      </c>
      <c r="T3918">
        <v>7.6</v>
      </c>
      <c r="Y3918" s="42">
        <v>44327</v>
      </c>
    </row>
    <row r="3919" spans="14:25">
      <c r="N3919" s="42">
        <v>44323</v>
      </c>
      <c r="O3919" t="s">
        <v>346</v>
      </c>
      <c r="P3919" s="42">
        <v>44323</v>
      </c>
      <c r="Q3919" t="s">
        <v>346</v>
      </c>
      <c r="R3919" t="s">
        <v>320</v>
      </c>
      <c r="S3919" t="s">
        <v>323</v>
      </c>
      <c r="T3919">
        <v>7.6</v>
      </c>
      <c r="Y3919" s="42">
        <v>44327</v>
      </c>
    </row>
    <row r="3920" spans="14:25">
      <c r="N3920" s="42">
        <v>44322</v>
      </c>
      <c r="O3920" t="s">
        <v>324</v>
      </c>
      <c r="P3920" s="42">
        <v>44322</v>
      </c>
      <c r="Q3920" t="s">
        <v>324</v>
      </c>
      <c r="R3920" t="s">
        <v>320</v>
      </c>
      <c r="S3920" t="s">
        <v>323</v>
      </c>
      <c r="T3920">
        <v>7.6</v>
      </c>
      <c r="Y3920" s="42">
        <v>44327</v>
      </c>
    </row>
    <row r="3921" spans="14:25">
      <c r="N3921" s="42">
        <v>44321</v>
      </c>
      <c r="O3921" t="s">
        <v>328</v>
      </c>
      <c r="P3921" s="42">
        <v>44321</v>
      </c>
      <c r="Q3921" t="s">
        <v>328</v>
      </c>
      <c r="R3921" t="s">
        <v>320</v>
      </c>
      <c r="S3921" t="s">
        <v>323</v>
      </c>
      <c r="T3921">
        <v>7.6</v>
      </c>
      <c r="Y3921" s="42">
        <v>44327</v>
      </c>
    </row>
    <row r="3922" spans="14:25">
      <c r="N3922" s="42">
        <v>44320</v>
      </c>
      <c r="O3922" t="s">
        <v>333</v>
      </c>
      <c r="P3922" s="42">
        <v>44320</v>
      </c>
      <c r="Q3922" t="s">
        <v>333</v>
      </c>
      <c r="R3922" t="s">
        <v>320</v>
      </c>
      <c r="S3922" t="s">
        <v>323</v>
      </c>
      <c r="T3922">
        <v>7.6</v>
      </c>
      <c r="Y3922" s="42">
        <v>44327</v>
      </c>
    </row>
    <row r="3923" spans="14:25">
      <c r="N3923" s="42">
        <v>44319</v>
      </c>
      <c r="O3923" t="s">
        <v>345</v>
      </c>
      <c r="P3923" s="42">
        <v>44319</v>
      </c>
      <c r="Q3923" t="s">
        <v>345</v>
      </c>
      <c r="R3923" t="s">
        <v>320</v>
      </c>
      <c r="S3923" t="s">
        <v>323</v>
      </c>
      <c r="T3923">
        <v>7.6</v>
      </c>
      <c r="Y3923" s="42">
        <v>44327</v>
      </c>
    </row>
    <row r="3924" spans="14:25">
      <c r="N3924" s="42">
        <v>44291</v>
      </c>
      <c r="O3924" t="s">
        <v>345</v>
      </c>
      <c r="P3924" s="42">
        <v>44291</v>
      </c>
      <c r="Q3924" t="s">
        <v>345</v>
      </c>
      <c r="R3924" t="s">
        <v>320</v>
      </c>
      <c r="S3924" t="s">
        <v>323</v>
      </c>
      <c r="U3924">
        <v>7.6</v>
      </c>
    </row>
    <row r="3925" spans="14:25">
      <c r="N3925" s="42">
        <v>44288</v>
      </c>
      <c r="O3925" t="s">
        <v>346</v>
      </c>
      <c r="P3925" s="42">
        <v>44288</v>
      </c>
      <c r="Q3925" t="s">
        <v>346</v>
      </c>
      <c r="R3925" t="s">
        <v>320</v>
      </c>
      <c r="S3925" t="s">
        <v>323</v>
      </c>
      <c r="U3925">
        <v>7.6</v>
      </c>
    </row>
    <row r="3926" spans="14:25">
      <c r="N3926" s="42">
        <v>44280</v>
      </c>
      <c r="O3926" t="s">
        <v>324</v>
      </c>
      <c r="P3926" s="42">
        <v>44280</v>
      </c>
      <c r="Q3926" t="s">
        <v>324</v>
      </c>
      <c r="R3926" t="s">
        <v>329</v>
      </c>
      <c r="S3926" t="s">
        <v>323</v>
      </c>
      <c r="T3926">
        <v>7.6</v>
      </c>
      <c r="W3926" t="s">
        <v>330</v>
      </c>
      <c r="Y3926" s="42">
        <v>44285</v>
      </c>
    </row>
    <row r="3927" spans="14:25">
      <c r="N3927" s="42">
        <v>44265</v>
      </c>
      <c r="O3927" t="s">
        <v>328</v>
      </c>
      <c r="P3927" s="42">
        <v>44265</v>
      </c>
      <c r="Q3927" t="s">
        <v>328</v>
      </c>
      <c r="R3927" t="s">
        <v>320</v>
      </c>
      <c r="S3927" t="s">
        <v>323</v>
      </c>
      <c r="T3927">
        <v>7.6</v>
      </c>
      <c r="Y3927" s="42">
        <v>44271</v>
      </c>
    </row>
    <row r="3928" spans="14:25">
      <c r="N3928" s="42">
        <v>44263</v>
      </c>
      <c r="O3928" t="s">
        <v>345</v>
      </c>
      <c r="P3928" s="42">
        <v>44263</v>
      </c>
      <c r="Q3928" t="s">
        <v>345</v>
      </c>
      <c r="R3928" t="s">
        <v>320</v>
      </c>
      <c r="S3928" t="s">
        <v>323</v>
      </c>
      <c r="U3928">
        <v>7.6</v>
      </c>
    </row>
    <row r="3929" spans="14:25">
      <c r="N3929" s="42">
        <v>44222</v>
      </c>
      <c r="O3929" t="s">
        <v>333</v>
      </c>
      <c r="P3929" s="42">
        <v>44222</v>
      </c>
      <c r="Q3929" t="s">
        <v>333</v>
      </c>
      <c r="R3929" t="s">
        <v>320</v>
      </c>
      <c r="S3929" t="s">
        <v>323</v>
      </c>
      <c r="U3929">
        <v>7.6</v>
      </c>
    </row>
    <row r="3930" spans="14:25">
      <c r="N3930" s="42">
        <v>44204</v>
      </c>
      <c r="O3930" t="s">
        <v>346</v>
      </c>
      <c r="P3930" s="42">
        <v>44204</v>
      </c>
      <c r="Q3930" t="s">
        <v>346</v>
      </c>
      <c r="R3930" t="s">
        <v>320</v>
      </c>
      <c r="S3930" t="s">
        <v>323</v>
      </c>
      <c r="T3930">
        <v>7.6</v>
      </c>
      <c r="Y3930" s="42">
        <v>44215</v>
      </c>
    </row>
    <row r="3931" spans="14:25">
      <c r="N3931" s="42">
        <v>44203</v>
      </c>
      <c r="O3931" t="s">
        <v>324</v>
      </c>
      <c r="P3931" s="42">
        <v>44203</v>
      </c>
      <c r="Q3931" t="s">
        <v>324</v>
      </c>
      <c r="R3931" t="s">
        <v>320</v>
      </c>
      <c r="S3931" t="s">
        <v>323</v>
      </c>
      <c r="T3931">
        <v>7.6</v>
      </c>
      <c r="Y3931" s="42">
        <v>44215</v>
      </c>
    </row>
    <row r="3932" spans="14:25">
      <c r="N3932" s="42">
        <v>44202</v>
      </c>
      <c r="O3932" t="s">
        <v>328</v>
      </c>
      <c r="P3932" s="42">
        <v>44202</v>
      </c>
      <c r="Q3932" t="s">
        <v>328</v>
      </c>
      <c r="R3932" t="s">
        <v>320</v>
      </c>
      <c r="S3932" t="s">
        <v>323</v>
      </c>
      <c r="T3932">
        <v>7.6</v>
      </c>
      <c r="Y3932" s="42">
        <v>44215</v>
      </c>
    </row>
    <row r="3933" spans="14:25">
      <c r="N3933" s="42">
        <v>44201</v>
      </c>
      <c r="O3933" t="s">
        <v>333</v>
      </c>
      <c r="P3933" s="42">
        <v>44201</v>
      </c>
      <c r="Q3933" t="s">
        <v>333</v>
      </c>
      <c r="R3933" t="s">
        <v>320</v>
      </c>
      <c r="S3933" t="s">
        <v>323</v>
      </c>
      <c r="T3933">
        <v>7.6</v>
      </c>
      <c r="Y3933" s="42">
        <v>44201</v>
      </c>
    </row>
    <row r="3934" spans="14:25">
      <c r="N3934" s="42">
        <v>44200</v>
      </c>
      <c r="O3934" t="s">
        <v>345</v>
      </c>
      <c r="P3934" s="42">
        <v>44200</v>
      </c>
      <c r="Q3934" t="s">
        <v>345</v>
      </c>
      <c r="R3934" t="s">
        <v>320</v>
      </c>
      <c r="S3934" t="s">
        <v>323</v>
      </c>
      <c r="T3934">
        <v>7.6</v>
      </c>
      <c r="Y3934" s="42">
        <v>44201</v>
      </c>
    </row>
    <row r="3935" spans="14:25">
      <c r="N3935" s="42">
        <v>44197</v>
      </c>
      <c r="O3935" t="s">
        <v>346</v>
      </c>
      <c r="P3935" s="42">
        <v>44197</v>
      </c>
      <c r="Q3935" t="s">
        <v>346</v>
      </c>
      <c r="R3935" t="s">
        <v>320</v>
      </c>
      <c r="S3935" t="s">
        <v>323</v>
      </c>
      <c r="U3935">
        <v>7.6</v>
      </c>
    </row>
    <row r="3936" spans="14:25">
      <c r="N3936" s="42">
        <v>44196</v>
      </c>
      <c r="O3936" t="s">
        <v>324</v>
      </c>
      <c r="P3936" s="42">
        <v>44196</v>
      </c>
      <c r="Q3936" t="s">
        <v>324</v>
      </c>
      <c r="R3936" t="s">
        <v>320</v>
      </c>
      <c r="S3936" t="s">
        <v>323</v>
      </c>
      <c r="T3936">
        <v>7.6</v>
      </c>
      <c r="Y3936" s="42">
        <v>44201</v>
      </c>
    </row>
    <row r="3937" spans="14:25">
      <c r="N3937" s="42">
        <v>44195</v>
      </c>
      <c r="O3937" t="s">
        <v>328</v>
      </c>
      <c r="P3937" s="42">
        <v>44195</v>
      </c>
      <c r="Q3937" t="s">
        <v>328</v>
      </c>
      <c r="R3937" t="s">
        <v>320</v>
      </c>
      <c r="S3937" t="s">
        <v>323</v>
      </c>
      <c r="T3937">
        <v>7.6</v>
      </c>
      <c r="Y3937" s="42">
        <v>44201</v>
      </c>
    </row>
    <row r="3938" spans="14:25">
      <c r="N3938" s="42">
        <v>44194</v>
      </c>
      <c r="O3938" t="s">
        <v>333</v>
      </c>
      <c r="P3938" s="42">
        <v>44194</v>
      </c>
      <c r="Q3938" t="s">
        <v>333</v>
      </c>
      <c r="R3938" t="s">
        <v>320</v>
      </c>
      <c r="S3938" t="s">
        <v>323</v>
      </c>
      <c r="T3938">
        <v>7.6</v>
      </c>
      <c r="Y3938" s="42">
        <v>44201</v>
      </c>
    </row>
    <row r="3939" spans="14:25">
      <c r="N3939" s="42">
        <v>44193</v>
      </c>
      <c r="O3939" t="s">
        <v>345</v>
      </c>
      <c r="P3939" s="42">
        <v>44193</v>
      </c>
      <c r="Q3939" t="s">
        <v>345</v>
      </c>
      <c r="R3939" t="s">
        <v>320</v>
      </c>
      <c r="S3939" t="s">
        <v>323</v>
      </c>
      <c r="U3939">
        <v>7.6</v>
      </c>
    </row>
    <row r="3940" spans="14:25">
      <c r="N3940" s="42">
        <v>44190</v>
      </c>
      <c r="O3940" t="s">
        <v>346</v>
      </c>
      <c r="P3940" s="42">
        <v>44190</v>
      </c>
      <c r="Q3940" t="s">
        <v>346</v>
      </c>
      <c r="R3940" t="s">
        <v>320</v>
      </c>
      <c r="S3940" t="s">
        <v>323</v>
      </c>
      <c r="U3940">
        <v>7.6</v>
      </c>
    </row>
    <row r="3941" spans="14:25">
      <c r="N3941" s="42">
        <v>44189</v>
      </c>
      <c r="O3941" t="s">
        <v>324</v>
      </c>
      <c r="P3941" s="42">
        <v>44189</v>
      </c>
      <c r="Q3941" t="s">
        <v>324</v>
      </c>
      <c r="R3941" t="s">
        <v>320</v>
      </c>
      <c r="S3941" t="s">
        <v>323</v>
      </c>
      <c r="T3941">
        <v>7.6</v>
      </c>
      <c r="Y3941" s="42">
        <v>44201</v>
      </c>
    </row>
    <row r="3942" spans="14:25">
      <c r="N3942" s="42">
        <v>44188</v>
      </c>
      <c r="O3942" t="s">
        <v>328</v>
      </c>
      <c r="P3942" s="42">
        <v>44188</v>
      </c>
      <c r="Q3942" t="s">
        <v>328</v>
      </c>
      <c r="R3942" t="s">
        <v>320</v>
      </c>
      <c r="S3942" t="s">
        <v>323</v>
      </c>
      <c r="T3942">
        <v>7.6</v>
      </c>
      <c r="Y3942" s="42">
        <v>44201</v>
      </c>
    </row>
    <row r="3943" spans="14:25">
      <c r="N3943" s="42">
        <v>44187</v>
      </c>
      <c r="O3943" t="s">
        <v>333</v>
      </c>
      <c r="P3943" s="42">
        <v>44187</v>
      </c>
      <c r="Q3943" t="s">
        <v>333</v>
      </c>
      <c r="R3943" t="s">
        <v>320</v>
      </c>
      <c r="S3943" t="s">
        <v>323</v>
      </c>
      <c r="T3943">
        <v>7.6</v>
      </c>
      <c r="Y3943" s="42">
        <v>44187</v>
      </c>
    </row>
    <row r="3944" spans="14:25">
      <c r="N3944" s="42">
        <v>44186</v>
      </c>
      <c r="O3944" t="s">
        <v>345</v>
      </c>
      <c r="P3944" s="42">
        <v>44186</v>
      </c>
      <c r="Q3944" t="s">
        <v>345</v>
      </c>
      <c r="R3944" t="s">
        <v>320</v>
      </c>
      <c r="S3944" t="s">
        <v>323</v>
      </c>
      <c r="T3944">
        <v>7.6</v>
      </c>
      <c r="Y3944" s="42">
        <v>44187</v>
      </c>
    </row>
    <row r="3945" spans="14:25">
      <c r="N3945" s="42">
        <v>44161</v>
      </c>
      <c r="O3945" t="s">
        <v>324</v>
      </c>
      <c r="P3945" s="42">
        <v>44161</v>
      </c>
      <c r="Q3945" t="s">
        <v>324</v>
      </c>
      <c r="R3945" t="s">
        <v>329</v>
      </c>
      <c r="S3945" t="s">
        <v>323</v>
      </c>
      <c r="T3945">
        <v>7.6</v>
      </c>
      <c r="W3945" t="s">
        <v>330</v>
      </c>
      <c r="Y3945" s="42">
        <v>44173</v>
      </c>
    </row>
    <row r="3946" spans="14:25">
      <c r="N3946" s="42">
        <v>44138</v>
      </c>
      <c r="O3946" t="s">
        <v>333</v>
      </c>
      <c r="P3946" s="42">
        <v>44138</v>
      </c>
      <c r="Q3946" t="s">
        <v>333</v>
      </c>
      <c r="R3946" t="s">
        <v>320</v>
      </c>
      <c r="S3946" t="s">
        <v>323</v>
      </c>
      <c r="U3946">
        <v>7.6</v>
      </c>
    </row>
    <row r="3947" spans="14:25">
      <c r="N3947" s="42">
        <v>44137</v>
      </c>
      <c r="O3947" t="s">
        <v>345</v>
      </c>
      <c r="P3947" s="42">
        <v>44137</v>
      </c>
      <c r="Q3947" t="s">
        <v>345</v>
      </c>
      <c r="R3947" t="s">
        <v>320</v>
      </c>
      <c r="S3947" t="s">
        <v>323</v>
      </c>
      <c r="T3947">
        <v>7.6</v>
      </c>
      <c r="Y3947" s="42">
        <v>44145</v>
      </c>
    </row>
    <row r="3948" spans="14:25">
      <c r="N3948" s="42">
        <v>44127</v>
      </c>
      <c r="O3948" t="s">
        <v>346</v>
      </c>
      <c r="P3948" s="42">
        <v>44127</v>
      </c>
      <c r="Q3948" t="s">
        <v>346</v>
      </c>
      <c r="R3948" t="s">
        <v>320</v>
      </c>
      <c r="S3948" t="s">
        <v>323</v>
      </c>
      <c r="U3948">
        <v>7.6</v>
      </c>
    </row>
    <row r="3949" spans="14:25">
      <c r="N3949" s="42">
        <v>44092</v>
      </c>
      <c r="O3949" t="s">
        <v>346</v>
      </c>
      <c r="P3949" s="42">
        <v>44092</v>
      </c>
      <c r="Q3949" t="s">
        <v>346</v>
      </c>
      <c r="R3949" t="s">
        <v>329</v>
      </c>
      <c r="S3949" t="s">
        <v>323</v>
      </c>
      <c r="T3949">
        <v>7.6</v>
      </c>
      <c r="W3949" t="s">
        <v>330</v>
      </c>
      <c r="Y3949" s="42">
        <v>44103</v>
      </c>
    </row>
    <row r="3950" spans="14:25">
      <c r="N3950" s="42">
        <v>44091</v>
      </c>
      <c r="O3950" t="s">
        <v>324</v>
      </c>
      <c r="P3950" s="42">
        <v>44091</v>
      </c>
      <c r="Q3950" t="s">
        <v>324</v>
      </c>
      <c r="R3950" t="s">
        <v>329</v>
      </c>
      <c r="S3950" t="s">
        <v>323</v>
      </c>
      <c r="T3950">
        <v>7.6</v>
      </c>
      <c r="W3950" t="s">
        <v>330</v>
      </c>
      <c r="Y3950" s="42">
        <v>44103</v>
      </c>
    </row>
    <row r="3951" spans="14:25">
      <c r="N3951" s="42">
        <v>44090</v>
      </c>
      <c r="O3951" t="s">
        <v>328</v>
      </c>
      <c r="P3951" s="42">
        <v>44090</v>
      </c>
      <c r="Q3951" t="s">
        <v>328</v>
      </c>
      <c r="R3951" t="s">
        <v>329</v>
      </c>
      <c r="S3951" t="s">
        <v>323</v>
      </c>
      <c r="T3951">
        <v>7.6</v>
      </c>
      <c r="W3951" t="s">
        <v>330</v>
      </c>
      <c r="Y3951" s="42">
        <v>44103</v>
      </c>
    </row>
    <row r="3952" spans="14:25">
      <c r="N3952" s="42">
        <v>44089</v>
      </c>
      <c r="O3952" t="s">
        <v>333</v>
      </c>
      <c r="P3952" s="42">
        <v>44089</v>
      </c>
      <c r="Q3952" t="s">
        <v>333</v>
      </c>
      <c r="R3952" t="s">
        <v>329</v>
      </c>
      <c r="S3952" t="s">
        <v>323</v>
      </c>
      <c r="T3952">
        <v>7.6</v>
      </c>
      <c r="W3952" t="s">
        <v>330</v>
      </c>
      <c r="Y3952" s="42">
        <v>44089</v>
      </c>
    </row>
    <row r="3953" spans="14:25">
      <c r="N3953" s="42">
        <v>44085</v>
      </c>
      <c r="O3953" t="s">
        <v>346</v>
      </c>
      <c r="P3953" s="42">
        <v>44085</v>
      </c>
      <c r="Q3953" t="s">
        <v>346</v>
      </c>
      <c r="R3953" t="s">
        <v>329</v>
      </c>
      <c r="S3953" t="s">
        <v>323</v>
      </c>
      <c r="T3953">
        <v>7.6</v>
      </c>
      <c r="W3953" t="s">
        <v>330</v>
      </c>
      <c r="Y3953" s="42">
        <v>44089</v>
      </c>
    </row>
    <row r="3954" spans="14:25">
      <c r="N3954" s="42">
        <v>44084</v>
      </c>
      <c r="O3954" t="s">
        <v>324</v>
      </c>
      <c r="P3954" s="42">
        <v>44084</v>
      </c>
      <c r="Q3954" t="s">
        <v>324</v>
      </c>
      <c r="R3954" t="s">
        <v>329</v>
      </c>
      <c r="S3954" t="s">
        <v>323</v>
      </c>
      <c r="T3954">
        <v>7.6</v>
      </c>
      <c r="W3954" t="s">
        <v>330</v>
      </c>
      <c r="Y3954" s="42">
        <v>44089</v>
      </c>
    </row>
    <row r="3955" spans="14:25">
      <c r="N3955" s="42">
        <v>44083</v>
      </c>
      <c r="O3955" t="s">
        <v>328</v>
      </c>
      <c r="P3955" s="42">
        <v>44083</v>
      </c>
      <c r="Q3955" t="s">
        <v>328</v>
      </c>
      <c r="R3955" t="s">
        <v>329</v>
      </c>
      <c r="S3955" t="s">
        <v>323</v>
      </c>
      <c r="T3955">
        <v>7.6</v>
      </c>
      <c r="W3955" t="s">
        <v>330</v>
      </c>
      <c r="Y3955" s="42">
        <v>44089</v>
      </c>
    </row>
    <row r="3956" spans="14:25">
      <c r="N3956" s="42">
        <v>44082</v>
      </c>
      <c r="O3956" t="s">
        <v>333</v>
      </c>
      <c r="P3956" s="42">
        <v>44082</v>
      </c>
      <c r="Q3956" t="s">
        <v>333</v>
      </c>
      <c r="R3956" t="s">
        <v>329</v>
      </c>
      <c r="S3956" t="s">
        <v>323</v>
      </c>
      <c r="T3956">
        <v>7.6</v>
      </c>
      <c r="W3956" t="s">
        <v>330</v>
      </c>
      <c r="Y3956" s="42">
        <v>44089</v>
      </c>
    </row>
    <row r="3957" spans="14:25">
      <c r="N3957" s="42">
        <v>44081</v>
      </c>
      <c r="O3957" t="s">
        <v>345</v>
      </c>
      <c r="P3957" s="42">
        <v>44081</v>
      </c>
      <c r="Q3957" t="s">
        <v>345</v>
      </c>
      <c r="R3957" t="s">
        <v>329</v>
      </c>
      <c r="S3957" t="s">
        <v>323</v>
      </c>
      <c r="T3957">
        <v>7.6</v>
      </c>
      <c r="W3957" t="s">
        <v>330</v>
      </c>
      <c r="Y3957" s="42">
        <v>44089</v>
      </c>
    </row>
    <row r="3958" spans="14:25">
      <c r="N3958" s="42">
        <v>43991</v>
      </c>
      <c r="O3958" t="s">
        <v>333</v>
      </c>
      <c r="P3958" s="42">
        <v>43991</v>
      </c>
      <c r="Q3958" t="s">
        <v>333</v>
      </c>
      <c r="R3958" t="s">
        <v>320</v>
      </c>
      <c r="S3958" t="s">
        <v>323</v>
      </c>
      <c r="T3958">
        <v>7.6</v>
      </c>
      <c r="Y3958" s="42">
        <v>43991</v>
      </c>
    </row>
    <row r="3959" spans="14:25">
      <c r="N3959" s="42">
        <v>43987</v>
      </c>
      <c r="O3959" t="s">
        <v>346</v>
      </c>
      <c r="P3959" s="42">
        <v>43987</v>
      </c>
      <c r="Q3959" t="s">
        <v>346</v>
      </c>
      <c r="R3959" t="s">
        <v>320</v>
      </c>
      <c r="S3959" t="s">
        <v>323</v>
      </c>
      <c r="T3959">
        <v>7.6</v>
      </c>
      <c r="Y3959" s="42">
        <v>43991</v>
      </c>
    </row>
    <row r="3960" spans="14:25">
      <c r="N3960" s="42">
        <v>43986</v>
      </c>
      <c r="O3960" t="s">
        <v>324</v>
      </c>
      <c r="P3960" s="42">
        <v>43986</v>
      </c>
      <c r="Q3960" t="s">
        <v>324</v>
      </c>
      <c r="R3960" t="s">
        <v>320</v>
      </c>
      <c r="S3960" t="s">
        <v>323</v>
      </c>
      <c r="T3960">
        <v>7.6</v>
      </c>
      <c r="Y3960" s="42">
        <v>43991</v>
      </c>
    </row>
    <row r="3961" spans="14:25">
      <c r="N3961" s="42">
        <v>43985</v>
      </c>
      <c r="O3961" t="s">
        <v>328</v>
      </c>
      <c r="P3961" s="42">
        <v>43985</v>
      </c>
      <c r="Q3961" t="s">
        <v>328</v>
      </c>
      <c r="R3961" t="s">
        <v>320</v>
      </c>
      <c r="S3961" t="s">
        <v>323</v>
      </c>
      <c r="T3961">
        <v>7.6</v>
      </c>
      <c r="Y3961" s="42">
        <v>43991</v>
      </c>
    </row>
    <row r="3962" spans="14:25">
      <c r="N3962" s="42">
        <v>43984</v>
      </c>
      <c r="O3962" t="s">
        <v>333</v>
      </c>
      <c r="P3962" s="42">
        <v>43984</v>
      </c>
      <c r="Q3962" t="s">
        <v>333</v>
      </c>
      <c r="R3962" t="s">
        <v>320</v>
      </c>
      <c r="S3962" t="s">
        <v>323</v>
      </c>
      <c r="T3962">
        <v>7.6</v>
      </c>
      <c r="Y3962" s="42">
        <v>43991</v>
      </c>
    </row>
    <row r="3963" spans="14:25">
      <c r="N3963" s="42">
        <v>43983</v>
      </c>
      <c r="O3963" t="s">
        <v>345</v>
      </c>
      <c r="P3963" s="42">
        <v>43983</v>
      </c>
      <c r="Q3963" t="s">
        <v>345</v>
      </c>
      <c r="R3963" t="s">
        <v>320</v>
      </c>
      <c r="S3963" t="s">
        <v>323</v>
      </c>
      <c r="T3963">
        <v>7.6</v>
      </c>
      <c r="Y3963" s="42">
        <v>43991</v>
      </c>
    </row>
    <row r="3964" spans="14:25">
      <c r="N3964" s="42">
        <v>43889</v>
      </c>
      <c r="O3964" t="s">
        <v>346</v>
      </c>
      <c r="P3964" s="42">
        <v>43889</v>
      </c>
      <c r="Q3964" t="s">
        <v>346</v>
      </c>
      <c r="R3964" t="s">
        <v>320</v>
      </c>
      <c r="S3964" t="s">
        <v>323</v>
      </c>
      <c r="T3964">
        <v>7.6</v>
      </c>
      <c r="Y3964" s="42">
        <v>43893</v>
      </c>
    </row>
    <row r="3965" spans="14:25">
      <c r="N3965" s="42">
        <v>43888</v>
      </c>
      <c r="O3965" t="s">
        <v>324</v>
      </c>
      <c r="P3965" s="42">
        <v>43888</v>
      </c>
      <c r="Q3965" t="s">
        <v>324</v>
      </c>
      <c r="R3965" t="s">
        <v>320</v>
      </c>
      <c r="S3965" t="s">
        <v>323</v>
      </c>
      <c r="T3965">
        <v>7.6</v>
      </c>
      <c r="Y3965" s="42">
        <v>43893</v>
      </c>
    </row>
    <row r="3966" spans="14:25">
      <c r="N3966" s="42">
        <v>43887</v>
      </c>
      <c r="O3966" t="s">
        <v>328</v>
      </c>
      <c r="P3966" s="42">
        <v>43887</v>
      </c>
      <c r="Q3966" t="s">
        <v>328</v>
      </c>
      <c r="R3966" t="s">
        <v>320</v>
      </c>
      <c r="S3966" t="s">
        <v>323</v>
      </c>
      <c r="T3966">
        <v>7.6</v>
      </c>
      <c r="Y3966" s="42">
        <v>43893</v>
      </c>
    </row>
    <row r="3967" spans="14:25">
      <c r="N3967" s="42">
        <v>43886</v>
      </c>
      <c r="O3967" t="s">
        <v>333</v>
      </c>
      <c r="P3967" s="42">
        <v>43886</v>
      </c>
      <c r="Q3967" t="s">
        <v>333</v>
      </c>
      <c r="R3967" t="s">
        <v>320</v>
      </c>
      <c r="S3967" t="s">
        <v>323</v>
      </c>
      <c r="T3967">
        <v>7.6</v>
      </c>
      <c r="Y3967" s="42">
        <v>43893</v>
      </c>
    </row>
    <row r="3968" spans="14:25">
      <c r="N3968" s="42">
        <v>43885</v>
      </c>
      <c r="O3968" t="s">
        <v>345</v>
      </c>
      <c r="P3968" s="42">
        <v>43885</v>
      </c>
      <c r="Q3968" t="s">
        <v>345</v>
      </c>
      <c r="R3968" t="s">
        <v>320</v>
      </c>
      <c r="S3968" t="s">
        <v>323</v>
      </c>
      <c r="T3968">
        <v>7.6</v>
      </c>
      <c r="Y3968" s="42">
        <v>43893</v>
      </c>
    </row>
    <row r="3969" spans="1:25">
      <c r="N3969" s="42">
        <v>43882</v>
      </c>
      <c r="O3969" t="s">
        <v>346</v>
      </c>
      <c r="P3969" s="42">
        <v>43882</v>
      </c>
      <c r="Q3969" t="s">
        <v>346</v>
      </c>
      <c r="R3969" t="s">
        <v>320</v>
      </c>
      <c r="S3969" t="s">
        <v>323</v>
      </c>
      <c r="T3969">
        <v>7.6</v>
      </c>
      <c r="Y3969" s="42">
        <v>43893</v>
      </c>
    </row>
    <row r="3970" spans="1:25">
      <c r="N3970" s="42">
        <v>43881</v>
      </c>
      <c r="O3970" t="s">
        <v>324</v>
      </c>
      <c r="P3970" s="42">
        <v>43881</v>
      </c>
      <c r="Q3970" t="s">
        <v>324</v>
      </c>
      <c r="R3970" t="s">
        <v>320</v>
      </c>
      <c r="S3970" t="s">
        <v>323</v>
      </c>
      <c r="T3970">
        <v>7.6</v>
      </c>
      <c r="Y3970" s="42">
        <v>43893</v>
      </c>
    </row>
    <row r="3971" spans="1:25">
      <c r="N3971" s="42">
        <v>43880</v>
      </c>
      <c r="O3971" t="s">
        <v>328</v>
      </c>
      <c r="P3971" s="42">
        <v>43880</v>
      </c>
      <c r="Q3971" t="s">
        <v>328</v>
      </c>
      <c r="R3971" t="s">
        <v>320</v>
      </c>
      <c r="S3971" t="s">
        <v>323</v>
      </c>
      <c r="T3971">
        <v>7.6</v>
      </c>
      <c r="Y3971" s="42">
        <v>43893</v>
      </c>
    </row>
    <row r="3972" spans="1:25">
      <c r="N3972" s="42">
        <v>43879</v>
      </c>
      <c r="O3972" t="s">
        <v>333</v>
      </c>
      <c r="P3972" s="42">
        <v>43879</v>
      </c>
      <c r="Q3972" t="s">
        <v>333</v>
      </c>
      <c r="R3972" t="s">
        <v>320</v>
      </c>
      <c r="S3972" t="s">
        <v>323</v>
      </c>
      <c r="T3972">
        <v>7.6</v>
      </c>
      <c r="Y3972" s="42">
        <v>43879</v>
      </c>
    </row>
    <row r="3973" spans="1:25">
      <c r="N3973" s="42">
        <v>43878</v>
      </c>
      <c r="O3973" t="s">
        <v>345</v>
      </c>
      <c r="P3973" s="42">
        <v>43878</v>
      </c>
      <c r="Q3973" t="s">
        <v>345</v>
      </c>
      <c r="R3973" t="s">
        <v>320</v>
      </c>
      <c r="S3973" t="s">
        <v>323</v>
      </c>
      <c r="T3973">
        <v>7.6</v>
      </c>
      <c r="Y3973" s="42">
        <v>43879</v>
      </c>
    </row>
    <row r="3974" spans="1:25">
      <c r="N3974" s="42">
        <v>43875</v>
      </c>
      <c r="O3974" t="s">
        <v>346</v>
      </c>
      <c r="P3974" s="42">
        <v>43875</v>
      </c>
      <c r="Q3974" t="s">
        <v>346</v>
      </c>
      <c r="R3974" t="s">
        <v>320</v>
      </c>
      <c r="S3974" t="s">
        <v>323</v>
      </c>
      <c r="T3974">
        <v>7.6</v>
      </c>
      <c r="Y3974" s="42">
        <v>43879</v>
      </c>
    </row>
    <row r="3975" spans="1:25">
      <c r="N3975" s="42">
        <v>43874</v>
      </c>
      <c r="O3975" t="s">
        <v>324</v>
      </c>
      <c r="P3975" s="42">
        <v>43874</v>
      </c>
      <c r="Q3975" t="s">
        <v>324</v>
      </c>
      <c r="R3975" t="s">
        <v>320</v>
      </c>
      <c r="S3975" t="s">
        <v>323</v>
      </c>
      <c r="T3975">
        <v>7.6</v>
      </c>
      <c r="Y3975" s="42">
        <v>43879</v>
      </c>
    </row>
    <row r="3976" spans="1:25">
      <c r="N3976" s="42">
        <v>43873</v>
      </c>
      <c r="O3976" t="s">
        <v>328</v>
      </c>
      <c r="P3976" s="42">
        <v>43873</v>
      </c>
      <c r="Q3976" t="s">
        <v>328</v>
      </c>
      <c r="R3976" t="s">
        <v>320</v>
      </c>
      <c r="S3976" t="s">
        <v>323</v>
      </c>
      <c r="T3976">
        <v>7.6</v>
      </c>
      <c r="Y3976" s="42">
        <v>43879</v>
      </c>
    </row>
    <row r="3977" spans="1:25">
      <c r="N3977" s="42">
        <v>43872</v>
      </c>
      <c r="O3977" t="s">
        <v>333</v>
      </c>
      <c r="P3977" s="42">
        <v>43872</v>
      </c>
      <c r="Q3977" t="s">
        <v>333</v>
      </c>
      <c r="R3977" t="s">
        <v>320</v>
      </c>
      <c r="S3977" t="s">
        <v>323</v>
      </c>
      <c r="T3977">
        <v>7.6</v>
      </c>
      <c r="Y3977" s="42">
        <v>43879</v>
      </c>
    </row>
    <row r="3978" spans="1:25">
      <c r="N3978" s="42">
        <v>43871</v>
      </c>
      <c r="O3978" t="s">
        <v>345</v>
      </c>
      <c r="P3978" s="42">
        <v>43871</v>
      </c>
      <c r="Q3978" t="s">
        <v>345</v>
      </c>
      <c r="R3978" t="s">
        <v>320</v>
      </c>
      <c r="S3978" t="s">
        <v>323</v>
      </c>
      <c r="T3978">
        <v>7.6</v>
      </c>
      <c r="Y3978" s="42">
        <v>43879</v>
      </c>
    </row>
    <row r="3979" spans="1:25">
      <c r="N3979" s="42">
        <v>43808</v>
      </c>
      <c r="O3979" t="s">
        <v>345</v>
      </c>
      <c r="P3979" s="42">
        <v>43808</v>
      </c>
      <c r="Q3979" t="s">
        <v>345</v>
      </c>
      <c r="R3979" t="s">
        <v>329</v>
      </c>
      <c r="S3979" t="s">
        <v>323</v>
      </c>
      <c r="T3979">
        <v>7.6</v>
      </c>
      <c r="W3979" t="s">
        <v>330</v>
      </c>
      <c r="Y3979" s="42">
        <v>43809</v>
      </c>
    </row>
    <row r="3980" spans="1:25">
      <c r="N3980" s="42">
        <v>43781</v>
      </c>
      <c r="O3980" t="s">
        <v>333</v>
      </c>
      <c r="P3980" s="42">
        <v>43781</v>
      </c>
      <c r="Q3980" t="s">
        <v>333</v>
      </c>
      <c r="R3980" t="s">
        <v>329</v>
      </c>
      <c r="S3980" t="s">
        <v>323</v>
      </c>
      <c r="T3980">
        <v>7.6</v>
      </c>
      <c r="W3980" t="s">
        <v>330</v>
      </c>
      <c r="Y3980" s="42">
        <v>43781</v>
      </c>
    </row>
    <row r="3981" spans="1:25">
      <c r="N3981" s="42">
        <v>43669</v>
      </c>
      <c r="O3981" t="s">
        <v>333</v>
      </c>
      <c r="P3981" s="42">
        <v>43669</v>
      </c>
      <c r="Q3981" t="s">
        <v>333</v>
      </c>
      <c r="R3981" t="s">
        <v>320</v>
      </c>
      <c r="S3981" t="s">
        <v>323</v>
      </c>
      <c r="T3981">
        <v>7.6</v>
      </c>
      <c r="Y3981" s="42">
        <v>43669</v>
      </c>
    </row>
    <row r="3982" spans="1:25">
      <c r="A3982">
        <v>18687</v>
      </c>
      <c r="B3982" t="s">
        <v>401</v>
      </c>
      <c r="C3982" t="s">
        <v>320</v>
      </c>
      <c r="D3982" t="s">
        <v>336</v>
      </c>
      <c r="E3982" t="s">
        <v>337</v>
      </c>
      <c r="F3982">
        <v>1</v>
      </c>
      <c r="G3982" s="42">
        <v>45141</v>
      </c>
      <c r="H3982">
        <v>152</v>
      </c>
      <c r="I3982">
        <v>113.99930000000001</v>
      </c>
      <c r="J3982">
        <v>88.701400000000007</v>
      </c>
      <c r="K3982">
        <v>202.70070000000001</v>
      </c>
      <c r="L3982" t="s">
        <v>323</v>
      </c>
      <c r="M3982" s="43">
        <v>0.29652777777777778</v>
      </c>
      <c r="N3982" s="42">
        <v>44952</v>
      </c>
      <c r="O3982" t="s">
        <v>324</v>
      </c>
      <c r="P3982" s="42">
        <v>44952</v>
      </c>
      <c r="Q3982" t="s">
        <v>324</v>
      </c>
      <c r="R3982" t="s">
        <v>320</v>
      </c>
      <c r="S3982" t="s">
        <v>323</v>
      </c>
      <c r="U3982">
        <v>7.6</v>
      </c>
    </row>
    <row r="3983" spans="1:25">
      <c r="C3983" t="s">
        <v>325</v>
      </c>
      <c r="D3983" t="s">
        <v>352</v>
      </c>
      <c r="E3983" t="s">
        <v>353</v>
      </c>
      <c r="F3983">
        <v>1</v>
      </c>
      <c r="G3983" s="42">
        <v>45872</v>
      </c>
      <c r="H3983">
        <v>329.24259999999998</v>
      </c>
      <c r="I3983">
        <v>0</v>
      </c>
      <c r="J3983">
        <v>249.63339999999999</v>
      </c>
      <c r="K3983">
        <v>249.63339999999999</v>
      </c>
      <c r="L3983" t="s">
        <v>323</v>
      </c>
      <c r="N3983" s="42">
        <v>44946</v>
      </c>
      <c r="O3983" t="s">
        <v>346</v>
      </c>
      <c r="P3983" s="42">
        <v>44946</v>
      </c>
      <c r="Q3983" t="s">
        <v>346</v>
      </c>
      <c r="R3983" t="s">
        <v>320</v>
      </c>
      <c r="S3983" t="s">
        <v>323</v>
      </c>
      <c r="T3983">
        <v>7.6</v>
      </c>
      <c r="Y3983" s="42">
        <v>44957</v>
      </c>
    </row>
    <row r="3984" spans="1:25">
      <c r="C3984" t="s">
        <v>329</v>
      </c>
      <c r="D3984" t="s">
        <v>342</v>
      </c>
      <c r="E3984" t="s">
        <v>343</v>
      </c>
      <c r="F3984">
        <v>1</v>
      </c>
      <c r="G3984" s="42">
        <v>45141</v>
      </c>
      <c r="H3984">
        <v>76</v>
      </c>
      <c r="I3984">
        <v>314.69920000000002</v>
      </c>
      <c r="J3984">
        <v>44.350700000000003</v>
      </c>
      <c r="K3984">
        <v>359.04989999999998</v>
      </c>
      <c r="L3984" t="s">
        <v>323</v>
      </c>
      <c r="N3984" s="42">
        <v>44945</v>
      </c>
      <c r="O3984" t="s">
        <v>324</v>
      </c>
      <c r="P3984" s="42">
        <v>44945</v>
      </c>
      <c r="Q3984" t="s">
        <v>324</v>
      </c>
      <c r="R3984" t="s">
        <v>320</v>
      </c>
      <c r="S3984" t="s">
        <v>323</v>
      </c>
      <c r="T3984">
        <v>7.6</v>
      </c>
      <c r="Y3984" s="42">
        <v>44957</v>
      </c>
    </row>
    <row r="3985" spans="14:25">
      <c r="N3985" s="42">
        <v>44944</v>
      </c>
      <c r="O3985" t="s">
        <v>328</v>
      </c>
      <c r="P3985" s="42">
        <v>44944</v>
      </c>
      <c r="Q3985" t="s">
        <v>328</v>
      </c>
      <c r="R3985" t="s">
        <v>320</v>
      </c>
      <c r="S3985" t="s">
        <v>323</v>
      </c>
      <c r="T3985">
        <v>7.6</v>
      </c>
      <c r="Y3985" s="42">
        <v>44957</v>
      </c>
    </row>
    <row r="3986" spans="14:25">
      <c r="N3986" s="42">
        <v>44942</v>
      </c>
      <c r="O3986" t="s">
        <v>345</v>
      </c>
      <c r="P3986" s="42">
        <v>44942</v>
      </c>
      <c r="Q3986" t="s">
        <v>345</v>
      </c>
      <c r="R3986" t="s">
        <v>320</v>
      </c>
      <c r="S3986" t="s">
        <v>323</v>
      </c>
      <c r="T3986">
        <v>7.6</v>
      </c>
      <c r="Y3986" s="42">
        <v>44943</v>
      </c>
    </row>
    <row r="3987" spans="14:25">
      <c r="N3987" s="42">
        <v>44931</v>
      </c>
      <c r="O3987" t="s">
        <v>324</v>
      </c>
      <c r="P3987" s="42">
        <v>44931</v>
      </c>
      <c r="Q3987" t="s">
        <v>324</v>
      </c>
      <c r="R3987" t="s">
        <v>329</v>
      </c>
      <c r="S3987" t="s">
        <v>323</v>
      </c>
      <c r="T3987">
        <v>7.6</v>
      </c>
      <c r="W3987" t="s">
        <v>330</v>
      </c>
      <c r="Y3987" s="42">
        <v>44943</v>
      </c>
    </row>
    <row r="3988" spans="14:25">
      <c r="N3988" s="42">
        <v>44928</v>
      </c>
      <c r="O3988" t="s">
        <v>345</v>
      </c>
      <c r="P3988" s="42">
        <v>44928</v>
      </c>
      <c r="Q3988" t="s">
        <v>345</v>
      </c>
      <c r="R3988" t="s">
        <v>320</v>
      </c>
      <c r="S3988" t="s">
        <v>323</v>
      </c>
      <c r="U3988">
        <v>7.6</v>
      </c>
    </row>
    <row r="3989" spans="14:25">
      <c r="N3989" s="42">
        <v>44922</v>
      </c>
      <c r="O3989" t="s">
        <v>333</v>
      </c>
      <c r="P3989" s="42">
        <v>44922</v>
      </c>
      <c r="Q3989" t="s">
        <v>333</v>
      </c>
      <c r="R3989" t="s">
        <v>320</v>
      </c>
      <c r="S3989" t="s">
        <v>323</v>
      </c>
      <c r="U3989">
        <v>7.6</v>
      </c>
    </row>
    <row r="3990" spans="14:25">
      <c r="N3990" s="42">
        <v>44921</v>
      </c>
      <c r="O3990" t="s">
        <v>345</v>
      </c>
      <c r="P3990" s="42">
        <v>44921</v>
      </c>
      <c r="Q3990" t="s">
        <v>345</v>
      </c>
      <c r="R3990" t="s">
        <v>320</v>
      </c>
      <c r="S3990" t="s">
        <v>323</v>
      </c>
      <c r="U3990">
        <v>7.6</v>
      </c>
    </row>
    <row r="3991" spans="14:25">
      <c r="N3991" s="42">
        <v>44911</v>
      </c>
      <c r="O3991" t="s">
        <v>346</v>
      </c>
      <c r="P3991" s="42">
        <v>44911</v>
      </c>
      <c r="Q3991" t="s">
        <v>346</v>
      </c>
      <c r="R3991" t="s">
        <v>320</v>
      </c>
      <c r="S3991" t="s">
        <v>323</v>
      </c>
      <c r="T3991">
        <v>7.6</v>
      </c>
      <c r="Y3991" s="42">
        <v>44915</v>
      </c>
    </row>
    <row r="3992" spans="14:25">
      <c r="N3992" s="42">
        <v>44907</v>
      </c>
      <c r="O3992" t="s">
        <v>345</v>
      </c>
      <c r="P3992" s="42">
        <v>44907</v>
      </c>
      <c r="Q3992" t="s">
        <v>345</v>
      </c>
      <c r="R3992" t="s">
        <v>320</v>
      </c>
      <c r="S3992" t="s">
        <v>323</v>
      </c>
      <c r="T3992">
        <v>7.6</v>
      </c>
      <c r="Y3992" s="42">
        <v>44915</v>
      </c>
    </row>
    <row r="3993" spans="14:25">
      <c r="N3993" s="42">
        <v>44904</v>
      </c>
      <c r="O3993" t="s">
        <v>346</v>
      </c>
      <c r="P3993" s="42">
        <v>44904</v>
      </c>
      <c r="Q3993" t="s">
        <v>346</v>
      </c>
      <c r="R3993" t="s">
        <v>320</v>
      </c>
      <c r="S3993" t="s">
        <v>323</v>
      </c>
      <c r="T3993">
        <v>7.6</v>
      </c>
      <c r="Y3993" s="42">
        <v>44915</v>
      </c>
    </row>
    <row r="3994" spans="14:25">
      <c r="N3994" s="42">
        <v>44895</v>
      </c>
      <c r="O3994" t="s">
        <v>328</v>
      </c>
      <c r="P3994" s="42">
        <v>44895</v>
      </c>
      <c r="Q3994" t="s">
        <v>328</v>
      </c>
      <c r="R3994" t="s">
        <v>320</v>
      </c>
      <c r="S3994" t="s">
        <v>323</v>
      </c>
      <c r="T3994">
        <v>7.6</v>
      </c>
      <c r="Y3994" s="42">
        <v>44901</v>
      </c>
    </row>
    <row r="3995" spans="14:25">
      <c r="N3995" s="42">
        <v>44894</v>
      </c>
      <c r="O3995" t="s">
        <v>333</v>
      </c>
      <c r="P3995" s="42">
        <v>44894</v>
      </c>
      <c r="Q3995" t="s">
        <v>333</v>
      </c>
      <c r="R3995" t="s">
        <v>320</v>
      </c>
      <c r="S3995" t="s">
        <v>323</v>
      </c>
      <c r="T3995">
        <v>7.6</v>
      </c>
      <c r="Y3995" s="42">
        <v>44901</v>
      </c>
    </row>
    <row r="3996" spans="14:25">
      <c r="N3996" s="42">
        <v>44893</v>
      </c>
      <c r="O3996" t="s">
        <v>345</v>
      </c>
      <c r="P3996" s="42">
        <v>44893</v>
      </c>
      <c r="Q3996" t="s">
        <v>345</v>
      </c>
      <c r="R3996" t="s">
        <v>320</v>
      </c>
      <c r="S3996" t="s">
        <v>323</v>
      </c>
      <c r="T3996">
        <v>7.6</v>
      </c>
      <c r="Y3996" s="42">
        <v>44901</v>
      </c>
    </row>
    <row r="3997" spans="14:25">
      <c r="N3997" s="42">
        <v>44890</v>
      </c>
      <c r="O3997" t="s">
        <v>346</v>
      </c>
      <c r="P3997" s="42">
        <v>44890</v>
      </c>
      <c r="Q3997" t="s">
        <v>346</v>
      </c>
      <c r="R3997" t="s">
        <v>320</v>
      </c>
      <c r="S3997" t="s">
        <v>323</v>
      </c>
      <c r="T3997">
        <v>7.6</v>
      </c>
      <c r="Y3997" s="42">
        <v>44901</v>
      </c>
    </row>
    <row r="3998" spans="14:25">
      <c r="N3998" s="42">
        <v>44889</v>
      </c>
      <c r="O3998" t="s">
        <v>324</v>
      </c>
      <c r="P3998" s="42">
        <v>44889</v>
      </c>
      <c r="Q3998" t="s">
        <v>324</v>
      </c>
      <c r="R3998" t="s">
        <v>320</v>
      </c>
      <c r="S3998" t="s">
        <v>323</v>
      </c>
      <c r="T3998">
        <v>7.6</v>
      </c>
      <c r="Y3998" s="42">
        <v>44901</v>
      </c>
    </row>
    <row r="3999" spans="14:25">
      <c r="N3999" s="42">
        <v>44883</v>
      </c>
      <c r="O3999" t="s">
        <v>346</v>
      </c>
      <c r="P3999" s="42">
        <v>44883</v>
      </c>
      <c r="Q3999" t="s">
        <v>346</v>
      </c>
      <c r="R3999" t="s">
        <v>320</v>
      </c>
      <c r="S3999" t="s">
        <v>323</v>
      </c>
      <c r="T3999">
        <v>7.6</v>
      </c>
      <c r="Y3999" s="42">
        <v>44887</v>
      </c>
    </row>
    <row r="4000" spans="14:25">
      <c r="N4000" s="42">
        <v>44873</v>
      </c>
      <c r="O4000" t="s">
        <v>333</v>
      </c>
      <c r="P4000" s="42">
        <v>44873</v>
      </c>
      <c r="Q4000" t="s">
        <v>333</v>
      </c>
      <c r="R4000" t="s">
        <v>383</v>
      </c>
      <c r="S4000" t="s">
        <v>323</v>
      </c>
      <c r="T4000">
        <v>76</v>
      </c>
      <c r="W4000" t="s">
        <v>339</v>
      </c>
      <c r="Y4000" s="42">
        <v>44873</v>
      </c>
    </row>
    <row r="4001" spans="14:25">
      <c r="N4001" s="42">
        <v>44840</v>
      </c>
      <c r="O4001" t="s">
        <v>324</v>
      </c>
      <c r="P4001" s="42">
        <v>44840</v>
      </c>
      <c r="Q4001" t="s">
        <v>324</v>
      </c>
      <c r="R4001" t="s">
        <v>329</v>
      </c>
      <c r="S4001" t="s">
        <v>323</v>
      </c>
      <c r="T4001">
        <v>7.6</v>
      </c>
      <c r="W4001" t="s">
        <v>330</v>
      </c>
      <c r="Y4001" s="42">
        <v>44845</v>
      </c>
    </row>
    <row r="4002" spans="14:25">
      <c r="N4002" s="42">
        <v>44837</v>
      </c>
      <c r="O4002" t="s">
        <v>345</v>
      </c>
      <c r="P4002" s="42">
        <v>44837</v>
      </c>
      <c r="Q4002" t="s">
        <v>345</v>
      </c>
      <c r="R4002" t="s">
        <v>320</v>
      </c>
      <c r="S4002" t="s">
        <v>323</v>
      </c>
      <c r="U4002">
        <v>7.6</v>
      </c>
    </row>
    <row r="4003" spans="14:25">
      <c r="N4003" s="42">
        <v>44833</v>
      </c>
      <c r="O4003" t="s">
        <v>324</v>
      </c>
      <c r="P4003" s="42">
        <v>44833</v>
      </c>
      <c r="Q4003" t="s">
        <v>324</v>
      </c>
      <c r="R4003" t="s">
        <v>329</v>
      </c>
      <c r="S4003" t="s">
        <v>323</v>
      </c>
      <c r="T4003">
        <v>7.6</v>
      </c>
      <c r="W4003" t="s">
        <v>330</v>
      </c>
      <c r="Y4003" s="42">
        <v>44845</v>
      </c>
    </row>
    <row r="4004" spans="14:25">
      <c r="N4004" s="42">
        <v>44826</v>
      </c>
      <c r="O4004" t="s">
        <v>324</v>
      </c>
      <c r="P4004" s="42">
        <v>44826</v>
      </c>
      <c r="Q4004" t="s">
        <v>324</v>
      </c>
      <c r="R4004" t="s">
        <v>320</v>
      </c>
      <c r="S4004" t="s">
        <v>323</v>
      </c>
      <c r="U4004">
        <v>7.6</v>
      </c>
    </row>
    <row r="4005" spans="14:25">
      <c r="N4005" s="42">
        <v>44812</v>
      </c>
      <c r="O4005" t="s">
        <v>324</v>
      </c>
      <c r="P4005" s="42">
        <v>44812</v>
      </c>
      <c r="Q4005" t="s">
        <v>324</v>
      </c>
      <c r="R4005" t="s">
        <v>329</v>
      </c>
      <c r="S4005" t="s">
        <v>323</v>
      </c>
      <c r="T4005">
        <v>7.6</v>
      </c>
      <c r="W4005" t="s">
        <v>330</v>
      </c>
      <c r="Y4005" s="42">
        <v>44817</v>
      </c>
    </row>
    <row r="4006" spans="14:25">
      <c r="N4006" s="42">
        <v>44781</v>
      </c>
      <c r="O4006" t="s">
        <v>345</v>
      </c>
      <c r="P4006" s="42">
        <v>44781</v>
      </c>
      <c r="Q4006" t="s">
        <v>345</v>
      </c>
      <c r="R4006" t="s">
        <v>329</v>
      </c>
      <c r="S4006" t="s">
        <v>323</v>
      </c>
      <c r="T4006">
        <v>7.6</v>
      </c>
      <c r="W4006" t="s">
        <v>330</v>
      </c>
      <c r="Y4006" s="42">
        <v>44789</v>
      </c>
    </row>
    <row r="4007" spans="14:25">
      <c r="N4007" s="42">
        <v>44760</v>
      </c>
      <c r="O4007" t="s">
        <v>345</v>
      </c>
      <c r="P4007" s="42">
        <v>44760</v>
      </c>
      <c r="Q4007" t="s">
        <v>345</v>
      </c>
      <c r="R4007" t="s">
        <v>329</v>
      </c>
      <c r="S4007" t="s">
        <v>323</v>
      </c>
      <c r="T4007">
        <v>7.6</v>
      </c>
      <c r="W4007" t="s">
        <v>330</v>
      </c>
      <c r="Y4007" s="42">
        <v>44761</v>
      </c>
    </row>
    <row r="4008" spans="14:25">
      <c r="N4008" s="42">
        <v>44757</v>
      </c>
      <c r="O4008" t="s">
        <v>346</v>
      </c>
      <c r="P4008" s="42">
        <v>44757</v>
      </c>
      <c r="Q4008" t="s">
        <v>346</v>
      </c>
      <c r="R4008" t="s">
        <v>329</v>
      </c>
      <c r="S4008" t="s">
        <v>323</v>
      </c>
      <c r="T4008">
        <v>7.6</v>
      </c>
      <c r="W4008" t="s">
        <v>330</v>
      </c>
      <c r="Y4008" s="42">
        <v>44761</v>
      </c>
    </row>
    <row r="4009" spans="14:25">
      <c r="N4009" s="42">
        <v>44756</v>
      </c>
      <c r="O4009" t="s">
        <v>324</v>
      </c>
      <c r="P4009" s="42">
        <v>44756</v>
      </c>
      <c r="Q4009" t="s">
        <v>324</v>
      </c>
      <c r="R4009" t="s">
        <v>329</v>
      </c>
      <c r="S4009" t="s">
        <v>323</v>
      </c>
      <c r="T4009">
        <v>7.6</v>
      </c>
      <c r="W4009" t="s">
        <v>330</v>
      </c>
      <c r="Y4009" s="42">
        <v>44761</v>
      </c>
    </row>
    <row r="4010" spans="14:25">
      <c r="N4010" s="42">
        <v>44755</v>
      </c>
      <c r="O4010" t="s">
        <v>328</v>
      </c>
      <c r="P4010" s="42">
        <v>44755</v>
      </c>
      <c r="Q4010" t="s">
        <v>328</v>
      </c>
      <c r="R4010" t="s">
        <v>329</v>
      </c>
      <c r="S4010" t="s">
        <v>323</v>
      </c>
      <c r="T4010">
        <v>7.6</v>
      </c>
      <c r="W4010" t="s">
        <v>330</v>
      </c>
      <c r="Y4010" s="42">
        <v>44761</v>
      </c>
    </row>
    <row r="4011" spans="14:25">
      <c r="N4011" s="42">
        <v>44754</v>
      </c>
      <c r="O4011" t="s">
        <v>333</v>
      </c>
      <c r="P4011" s="42">
        <v>44754</v>
      </c>
      <c r="Q4011" t="s">
        <v>333</v>
      </c>
      <c r="R4011" t="s">
        <v>329</v>
      </c>
      <c r="S4011" t="s">
        <v>323</v>
      </c>
      <c r="T4011">
        <v>7.6</v>
      </c>
      <c r="W4011" t="s">
        <v>330</v>
      </c>
      <c r="Y4011" s="42">
        <v>44761</v>
      </c>
    </row>
    <row r="4012" spans="14:25">
      <c r="N4012" s="42">
        <v>44753</v>
      </c>
      <c r="O4012" t="s">
        <v>345</v>
      </c>
      <c r="P4012" s="42">
        <v>44753</v>
      </c>
      <c r="Q4012" t="s">
        <v>345</v>
      </c>
      <c r="R4012" t="s">
        <v>329</v>
      </c>
      <c r="S4012" t="s">
        <v>323</v>
      </c>
      <c r="T4012">
        <v>7.6</v>
      </c>
      <c r="W4012" t="s">
        <v>330</v>
      </c>
      <c r="Y4012" s="42">
        <v>44761</v>
      </c>
    </row>
    <row r="4013" spans="14:25">
      <c r="N4013" s="42">
        <v>44728</v>
      </c>
      <c r="O4013" t="s">
        <v>324</v>
      </c>
      <c r="P4013" s="42">
        <v>44728</v>
      </c>
      <c r="Q4013" t="s">
        <v>324</v>
      </c>
      <c r="R4013" t="s">
        <v>329</v>
      </c>
      <c r="S4013" t="s">
        <v>323</v>
      </c>
      <c r="T4013">
        <v>7.6</v>
      </c>
      <c r="W4013" t="s">
        <v>330</v>
      </c>
      <c r="Y4013" s="42">
        <v>44733</v>
      </c>
    </row>
    <row r="4014" spans="14:25">
      <c r="N4014" s="42">
        <v>44725</v>
      </c>
      <c r="O4014" t="s">
        <v>345</v>
      </c>
      <c r="P4014" s="42">
        <v>44725</v>
      </c>
      <c r="Q4014" t="s">
        <v>345</v>
      </c>
      <c r="R4014" t="s">
        <v>320</v>
      </c>
      <c r="S4014" t="s">
        <v>323</v>
      </c>
      <c r="U4014">
        <v>7.6</v>
      </c>
    </row>
    <row r="4015" spans="14:25">
      <c r="N4015" s="42">
        <v>44714</v>
      </c>
      <c r="O4015" t="s">
        <v>324</v>
      </c>
      <c r="P4015" s="42">
        <v>44714</v>
      </c>
      <c r="Q4015" t="s">
        <v>324</v>
      </c>
      <c r="R4015" t="s">
        <v>329</v>
      </c>
      <c r="S4015" t="s">
        <v>323</v>
      </c>
      <c r="T4015">
        <v>7.6</v>
      </c>
      <c r="W4015" t="s">
        <v>330</v>
      </c>
      <c r="Y4015" s="42">
        <v>44719</v>
      </c>
    </row>
    <row r="4016" spans="14:25">
      <c r="N4016" s="42">
        <v>44684</v>
      </c>
      <c r="O4016" t="s">
        <v>333</v>
      </c>
      <c r="P4016" s="42">
        <v>44684</v>
      </c>
      <c r="Q4016" t="s">
        <v>333</v>
      </c>
      <c r="R4016" t="s">
        <v>329</v>
      </c>
      <c r="S4016" t="s">
        <v>323</v>
      </c>
      <c r="T4016">
        <v>7.6</v>
      </c>
      <c r="W4016" t="s">
        <v>330</v>
      </c>
      <c r="Y4016" s="42">
        <v>44691</v>
      </c>
    </row>
    <row r="4017" spans="14:25">
      <c r="N4017" s="42">
        <v>44676</v>
      </c>
      <c r="O4017" t="s">
        <v>345</v>
      </c>
      <c r="P4017" s="42">
        <v>44676</v>
      </c>
      <c r="Q4017" t="s">
        <v>345</v>
      </c>
      <c r="R4017" t="s">
        <v>320</v>
      </c>
      <c r="S4017" t="s">
        <v>323</v>
      </c>
      <c r="U4017">
        <v>7.6</v>
      </c>
    </row>
    <row r="4018" spans="14:25">
      <c r="N4018" s="42">
        <v>44673</v>
      </c>
      <c r="O4018" t="s">
        <v>346</v>
      </c>
      <c r="P4018" s="42">
        <v>44673</v>
      </c>
      <c r="Q4018" t="s">
        <v>346</v>
      </c>
      <c r="R4018" t="s">
        <v>320</v>
      </c>
      <c r="S4018" t="s">
        <v>323</v>
      </c>
      <c r="T4018">
        <v>7.6</v>
      </c>
      <c r="Y4018" s="42">
        <v>44677</v>
      </c>
    </row>
    <row r="4019" spans="14:25">
      <c r="N4019" s="42">
        <v>44669</v>
      </c>
      <c r="O4019" t="s">
        <v>345</v>
      </c>
      <c r="P4019" s="42">
        <v>44669</v>
      </c>
      <c r="Q4019" t="s">
        <v>345</v>
      </c>
      <c r="R4019" t="s">
        <v>320</v>
      </c>
      <c r="S4019" t="s">
        <v>323</v>
      </c>
      <c r="U4019">
        <v>7.6</v>
      </c>
    </row>
    <row r="4020" spans="14:25">
      <c r="N4020" s="42">
        <v>44666</v>
      </c>
      <c r="O4020" t="s">
        <v>346</v>
      </c>
      <c r="P4020" s="42">
        <v>44666</v>
      </c>
      <c r="Q4020" t="s">
        <v>346</v>
      </c>
      <c r="R4020" t="s">
        <v>320</v>
      </c>
      <c r="S4020" t="s">
        <v>323</v>
      </c>
      <c r="U4020">
        <v>7.6</v>
      </c>
    </row>
    <row r="4021" spans="14:25">
      <c r="N4021" s="42">
        <v>44665</v>
      </c>
      <c r="O4021" t="s">
        <v>324</v>
      </c>
      <c r="P4021" s="42">
        <v>44665</v>
      </c>
      <c r="Q4021" t="s">
        <v>324</v>
      </c>
      <c r="R4021" t="s">
        <v>320</v>
      </c>
      <c r="S4021" t="s">
        <v>323</v>
      </c>
      <c r="T4021">
        <v>7.6</v>
      </c>
      <c r="Y4021" s="42">
        <v>44677</v>
      </c>
    </row>
    <row r="4022" spans="14:25">
      <c r="N4022" s="42">
        <v>44664</v>
      </c>
      <c r="O4022" t="s">
        <v>328</v>
      </c>
      <c r="P4022" s="42">
        <v>44664</v>
      </c>
      <c r="Q4022" t="s">
        <v>328</v>
      </c>
      <c r="R4022" t="s">
        <v>320</v>
      </c>
      <c r="S4022" t="s">
        <v>323</v>
      </c>
      <c r="T4022">
        <v>7.6</v>
      </c>
      <c r="Y4022" s="42">
        <v>44677</v>
      </c>
    </row>
    <row r="4023" spans="14:25">
      <c r="N4023" s="42">
        <v>44663</v>
      </c>
      <c r="O4023" t="s">
        <v>333</v>
      </c>
      <c r="P4023" s="42">
        <v>44663</v>
      </c>
      <c r="Q4023" t="s">
        <v>333</v>
      </c>
      <c r="R4023" t="s">
        <v>320</v>
      </c>
      <c r="S4023" t="s">
        <v>323</v>
      </c>
      <c r="T4023">
        <v>7.6</v>
      </c>
      <c r="Y4023" s="42">
        <v>44663</v>
      </c>
    </row>
    <row r="4024" spans="14:25">
      <c r="N4024" s="42">
        <v>44662</v>
      </c>
      <c r="O4024" t="s">
        <v>345</v>
      </c>
      <c r="P4024" s="42">
        <v>44662</v>
      </c>
      <c r="Q4024" t="s">
        <v>345</v>
      </c>
      <c r="R4024" t="s">
        <v>320</v>
      </c>
      <c r="S4024" t="s">
        <v>323</v>
      </c>
      <c r="T4024">
        <v>7.6</v>
      </c>
      <c r="Y4024" s="42">
        <v>44663</v>
      </c>
    </row>
    <row r="4025" spans="14:25">
      <c r="N4025" s="42">
        <v>44635</v>
      </c>
      <c r="O4025" t="s">
        <v>333</v>
      </c>
      <c r="P4025" s="42">
        <v>44635</v>
      </c>
      <c r="Q4025" t="s">
        <v>333</v>
      </c>
      <c r="R4025" t="s">
        <v>320</v>
      </c>
      <c r="S4025" t="s">
        <v>323</v>
      </c>
      <c r="T4025">
        <v>7.6</v>
      </c>
      <c r="Y4025" s="42">
        <v>44635</v>
      </c>
    </row>
    <row r="4026" spans="14:25">
      <c r="N4026" s="42">
        <v>44634</v>
      </c>
      <c r="O4026" t="s">
        <v>345</v>
      </c>
      <c r="P4026" s="42">
        <v>44634</v>
      </c>
      <c r="Q4026" t="s">
        <v>345</v>
      </c>
      <c r="R4026" t="s">
        <v>320</v>
      </c>
      <c r="S4026" t="s">
        <v>323</v>
      </c>
      <c r="T4026">
        <v>7.6</v>
      </c>
      <c r="Y4026" s="42">
        <v>44635</v>
      </c>
    </row>
    <row r="4027" spans="14:25">
      <c r="N4027" s="42">
        <v>44592</v>
      </c>
      <c r="O4027" t="s">
        <v>345</v>
      </c>
      <c r="P4027" s="42">
        <v>44592</v>
      </c>
      <c r="Q4027" t="s">
        <v>345</v>
      </c>
      <c r="R4027" t="s">
        <v>329</v>
      </c>
      <c r="S4027" t="s">
        <v>323</v>
      </c>
      <c r="T4027">
        <v>7.6</v>
      </c>
      <c r="W4027" t="s">
        <v>330</v>
      </c>
      <c r="Y4027" s="42">
        <v>44593</v>
      </c>
    </row>
    <row r="4028" spans="14:25">
      <c r="N4028" s="42">
        <v>44587</v>
      </c>
      <c r="O4028" t="s">
        <v>328</v>
      </c>
      <c r="P4028" s="42">
        <v>44587</v>
      </c>
      <c r="Q4028" t="s">
        <v>328</v>
      </c>
      <c r="R4028" t="s">
        <v>320</v>
      </c>
      <c r="S4028" t="s">
        <v>323</v>
      </c>
      <c r="U4028">
        <v>7.6</v>
      </c>
    </row>
    <row r="4029" spans="14:25">
      <c r="N4029" s="42">
        <v>44582</v>
      </c>
      <c r="O4029" t="s">
        <v>346</v>
      </c>
      <c r="P4029" s="42">
        <v>44582</v>
      </c>
      <c r="Q4029" t="s">
        <v>346</v>
      </c>
      <c r="R4029" t="s">
        <v>320</v>
      </c>
      <c r="S4029" t="s">
        <v>323</v>
      </c>
      <c r="T4029">
        <v>7.6</v>
      </c>
      <c r="Y4029" s="42">
        <v>44593</v>
      </c>
    </row>
    <row r="4030" spans="14:25">
      <c r="N4030" s="42">
        <v>44581</v>
      </c>
      <c r="O4030" t="s">
        <v>324</v>
      </c>
      <c r="P4030" s="42">
        <v>44581</v>
      </c>
      <c r="Q4030" t="s">
        <v>324</v>
      </c>
      <c r="R4030" t="s">
        <v>320</v>
      </c>
      <c r="S4030" t="s">
        <v>323</v>
      </c>
      <c r="T4030">
        <v>7.6</v>
      </c>
      <c r="Y4030" s="42">
        <v>44593</v>
      </c>
    </row>
    <row r="4031" spans="14:25">
      <c r="N4031" s="42">
        <v>44580</v>
      </c>
      <c r="O4031" t="s">
        <v>328</v>
      </c>
      <c r="P4031" s="42">
        <v>44580</v>
      </c>
      <c r="Q4031" t="s">
        <v>328</v>
      </c>
      <c r="R4031" t="s">
        <v>320</v>
      </c>
      <c r="S4031" t="s">
        <v>323</v>
      </c>
      <c r="T4031">
        <v>7.6</v>
      </c>
      <c r="Y4031" s="42">
        <v>44593</v>
      </c>
    </row>
    <row r="4032" spans="14:25">
      <c r="N4032" s="42">
        <v>44579</v>
      </c>
      <c r="O4032" t="s">
        <v>333</v>
      </c>
      <c r="P4032" s="42">
        <v>44579</v>
      </c>
      <c r="Q4032" t="s">
        <v>333</v>
      </c>
      <c r="R4032" t="s">
        <v>320</v>
      </c>
      <c r="S4032" t="s">
        <v>323</v>
      </c>
      <c r="T4032">
        <v>7.6</v>
      </c>
      <c r="Y4032" s="42">
        <v>44579</v>
      </c>
    </row>
    <row r="4033" spans="14:25">
      <c r="N4033" s="42">
        <v>44578</v>
      </c>
      <c r="O4033" t="s">
        <v>345</v>
      </c>
      <c r="P4033" s="42">
        <v>44578</v>
      </c>
      <c r="Q4033" t="s">
        <v>345</v>
      </c>
      <c r="R4033" t="s">
        <v>320</v>
      </c>
      <c r="S4033" t="s">
        <v>323</v>
      </c>
      <c r="T4033">
        <v>7.6</v>
      </c>
      <c r="Y4033" s="42">
        <v>44579</v>
      </c>
    </row>
    <row r="4034" spans="14:25">
      <c r="N4034" s="42">
        <v>44568</v>
      </c>
      <c r="O4034" t="s">
        <v>346</v>
      </c>
      <c r="P4034" s="42">
        <v>44568</v>
      </c>
      <c r="Q4034" t="s">
        <v>346</v>
      </c>
      <c r="R4034" t="s">
        <v>320</v>
      </c>
      <c r="S4034" t="s">
        <v>323</v>
      </c>
      <c r="T4034">
        <v>7.6</v>
      </c>
      <c r="Y4034" s="42">
        <v>44579</v>
      </c>
    </row>
    <row r="4035" spans="14:25">
      <c r="N4035" s="42">
        <v>44567</v>
      </c>
      <c r="O4035" t="s">
        <v>324</v>
      </c>
      <c r="P4035" s="42">
        <v>44567</v>
      </c>
      <c r="Q4035" t="s">
        <v>324</v>
      </c>
      <c r="R4035" t="s">
        <v>320</v>
      </c>
      <c r="S4035" t="s">
        <v>323</v>
      </c>
      <c r="T4035">
        <v>7.6</v>
      </c>
      <c r="Y4035" s="42">
        <v>44579</v>
      </c>
    </row>
    <row r="4036" spans="14:25">
      <c r="N4036" s="42">
        <v>44566</v>
      </c>
      <c r="O4036" t="s">
        <v>328</v>
      </c>
      <c r="P4036" s="42">
        <v>44566</v>
      </c>
      <c r="Q4036" t="s">
        <v>328</v>
      </c>
      <c r="R4036" t="s">
        <v>320</v>
      </c>
      <c r="S4036" t="s">
        <v>323</v>
      </c>
      <c r="T4036">
        <v>7.6</v>
      </c>
      <c r="Y4036" s="42">
        <v>44579</v>
      </c>
    </row>
    <row r="4037" spans="14:25">
      <c r="N4037" s="42">
        <v>44565</v>
      </c>
      <c r="O4037" t="s">
        <v>333</v>
      </c>
      <c r="P4037" s="42">
        <v>44565</v>
      </c>
      <c r="Q4037" t="s">
        <v>333</v>
      </c>
      <c r="R4037" t="s">
        <v>320</v>
      </c>
      <c r="S4037" t="s">
        <v>323</v>
      </c>
      <c r="T4037">
        <v>7.6</v>
      </c>
      <c r="Y4037" s="42">
        <v>44565</v>
      </c>
    </row>
    <row r="4038" spans="14:25">
      <c r="N4038" s="42">
        <v>44564</v>
      </c>
      <c r="O4038" t="s">
        <v>345</v>
      </c>
      <c r="P4038" s="42">
        <v>44564</v>
      </c>
      <c r="Q4038" t="s">
        <v>345</v>
      </c>
      <c r="R4038" t="s">
        <v>320</v>
      </c>
      <c r="S4038" t="s">
        <v>323</v>
      </c>
      <c r="U4038">
        <v>7.6</v>
      </c>
    </row>
    <row r="4039" spans="14:25">
      <c r="N4039" s="42">
        <v>44559</v>
      </c>
      <c r="O4039" t="s">
        <v>328</v>
      </c>
      <c r="P4039" s="42">
        <v>44559</v>
      </c>
      <c r="Q4039" t="s">
        <v>328</v>
      </c>
      <c r="R4039" t="s">
        <v>329</v>
      </c>
      <c r="S4039" t="s">
        <v>323</v>
      </c>
      <c r="T4039">
        <v>7.6</v>
      </c>
      <c r="W4039" t="s">
        <v>330</v>
      </c>
      <c r="Y4039" s="42">
        <v>44565</v>
      </c>
    </row>
    <row r="4040" spans="14:25">
      <c r="N4040" s="42">
        <v>44558</v>
      </c>
      <c r="O4040" t="s">
        <v>333</v>
      </c>
      <c r="P4040" s="42">
        <v>44558</v>
      </c>
      <c r="Q4040" t="s">
        <v>333</v>
      </c>
      <c r="R4040" t="s">
        <v>320</v>
      </c>
      <c r="S4040" t="s">
        <v>323</v>
      </c>
      <c r="U4040">
        <v>7.6</v>
      </c>
    </row>
    <row r="4041" spans="14:25">
      <c r="N4041" s="42">
        <v>44557</v>
      </c>
      <c r="O4041" t="s">
        <v>345</v>
      </c>
      <c r="P4041" s="42">
        <v>44557</v>
      </c>
      <c r="Q4041" t="s">
        <v>345</v>
      </c>
      <c r="R4041" t="s">
        <v>320</v>
      </c>
      <c r="S4041" t="s">
        <v>323</v>
      </c>
      <c r="U4041">
        <v>7.6</v>
      </c>
    </row>
    <row r="4042" spans="14:25">
      <c r="N4042" s="42">
        <v>44554</v>
      </c>
      <c r="O4042" t="s">
        <v>346</v>
      </c>
      <c r="P4042" s="42">
        <v>44554</v>
      </c>
      <c r="Q4042" t="s">
        <v>346</v>
      </c>
      <c r="R4042" t="s">
        <v>329</v>
      </c>
      <c r="S4042" t="s">
        <v>323</v>
      </c>
      <c r="T4042">
        <v>7.6</v>
      </c>
      <c r="W4042" t="s">
        <v>330</v>
      </c>
      <c r="Y4042" s="42">
        <v>44565</v>
      </c>
    </row>
    <row r="4043" spans="14:25">
      <c r="N4043" s="42">
        <v>44488</v>
      </c>
      <c r="O4043" t="s">
        <v>333</v>
      </c>
      <c r="P4043" s="42">
        <v>44488</v>
      </c>
      <c r="Q4043" t="s">
        <v>333</v>
      </c>
      <c r="R4043" t="s">
        <v>329</v>
      </c>
      <c r="S4043" t="s">
        <v>323</v>
      </c>
      <c r="T4043">
        <v>7.6</v>
      </c>
      <c r="W4043" t="s">
        <v>330</v>
      </c>
      <c r="Y4043" s="42">
        <v>44495</v>
      </c>
    </row>
    <row r="4044" spans="14:25">
      <c r="N4044" s="42">
        <v>44483</v>
      </c>
      <c r="O4044" t="s">
        <v>324</v>
      </c>
      <c r="P4044" s="42">
        <v>44483</v>
      </c>
      <c r="Q4044" t="s">
        <v>324</v>
      </c>
      <c r="R4044" t="s">
        <v>329</v>
      </c>
      <c r="S4044" t="s">
        <v>323</v>
      </c>
      <c r="T4044">
        <v>7.6</v>
      </c>
      <c r="W4044" t="s">
        <v>330</v>
      </c>
      <c r="Y4044" s="42">
        <v>44495</v>
      </c>
    </row>
    <row r="4045" spans="14:25">
      <c r="N4045" s="42">
        <v>44473</v>
      </c>
      <c r="O4045" t="s">
        <v>345</v>
      </c>
      <c r="P4045" s="42">
        <v>44473</v>
      </c>
      <c r="Q4045" t="s">
        <v>345</v>
      </c>
      <c r="R4045" t="s">
        <v>320</v>
      </c>
      <c r="S4045" t="s">
        <v>323</v>
      </c>
      <c r="U4045">
        <v>7.6</v>
      </c>
    </row>
    <row r="4046" spans="14:25">
      <c r="N4046" s="42">
        <v>44426</v>
      </c>
      <c r="O4046" t="s">
        <v>328</v>
      </c>
      <c r="P4046" s="42">
        <v>44426</v>
      </c>
      <c r="Q4046" t="s">
        <v>328</v>
      </c>
      <c r="R4046" t="s">
        <v>320</v>
      </c>
      <c r="S4046" t="s">
        <v>323</v>
      </c>
      <c r="T4046">
        <v>7.6</v>
      </c>
      <c r="Y4046" s="42">
        <v>44439</v>
      </c>
    </row>
    <row r="4047" spans="14:25">
      <c r="N4047" s="42">
        <v>44361</v>
      </c>
      <c r="O4047" t="s">
        <v>345</v>
      </c>
      <c r="P4047" s="42">
        <v>44361</v>
      </c>
      <c r="Q4047" t="s">
        <v>345</v>
      </c>
      <c r="R4047" t="s">
        <v>320</v>
      </c>
      <c r="S4047" t="s">
        <v>323</v>
      </c>
      <c r="U4047">
        <v>7.6</v>
      </c>
    </row>
    <row r="4048" spans="14:25">
      <c r="N4048" s="42">
        <v>44308</v>
      </c>
      <c r="O4048" t="s">
        <v>324</v>
      </c>
      <c r="P4048" s="42">
        <v>44308</v>
      </c>
      <c r="Q4048" t="s">
        <v>324</v>
      </c>
      <c r="R4048" t="s">
        <v>320</v>
      </c>
      <c r="S4048" t="s">
        <v>323</v>
      </c>
      <c r="T4048">
        <v>7.6</v>
      </c>
      <c r="Y4048" s="42">
        <v>44313</v>
      </c>
    </row>
    <row r="4049" spans="14:25">
      <c r="N4049" s="42">
        <v>44302</v>
      </c>
      <c r="O4049" t="s">
        <v>346</v>
      </c>
      <c r="P4049" s="42">
        <v>44302</v>
      </c>
      <c r="Q4049" t="s">
        <v>346</v>
      </c>
      <c r="R4049" t="s">
        <v>320</v>
      </c>
      <c r="S4049" t="s">
        <v>323</v>
      </c>
      <c r="T4049">
        <v>7.6</v>
      </c>
      <c r="Y4049" s="42">
        <v>44313</v>
      </c>
    </row>
    <row r="4050" spans="14:25">
      <c r="N4050" s="42">
        <v>44301</v>
      </c>
      <c r="O4050" t="s">
        <v>324</v>
      </c>
      <c r="P4050" s="42">
        <v>44301</v>
      </c>
      <c r="Q4050" t="s">
        <v>324</v>
      </c>
      <c r="R4050" t="s">
        <v>320</v>
      </c>
      <c r="S4050" t="s">
        <v>323</v>
      </c>
      <c r="T4050">
        <v>7.6</v>
      </c>
      <c r="Y4050" s="42">
        <v>44313</v>
      </c>
    </row>
    <row r="4051" spans="14:25">
      <c r="N4051" s="42">
        <v>44300</v>
      </c>
      <c r="O4051" t="s">
        <v>328</v>
      </c>
      <c r="P4051" s="42">
        <v>44300</v>
      </c>
      <c r="Q4051" t="s">
        <v>328</v>
      </c>
      <c r="R4051" t="s">
        <v>320</v>
      </c>
      <c r="S4051" t="s">
        <v>323</v>
      </c>
      <c r="T4051">
        <v>7.6</v>
      </c>
      <c r="Y4051" s="42">
        <v>44313</v>
      </c>
    </row>
    <row r="4052" spans="14:25">
      <c r="N4052" s="42">
        <v>44299</v>
      </c>
      <c r="O4052" t="s">
        <v>333</v>
      </c>
      <c r="P4052" s="42">
        <v>44299</v>
      </c>
      <c r="Q4052" t="s">
        <v>333</v>
      </c>
      <c r="R4052" t="s">
        <v>320</v>
      </c>
      <c r="S4052" t="s">
        <v>323</v>
      </c>
      <c r="T4052">
        <v>7.6</v>
      </c>
      <c r="Y4052" s="42">
        <v>44299</v>
      </c>
    </row>
    <row r="4053" spans="14:25">
      <c r="N4053" s="42">
        <v>44291</v>
      </c>
      <c r="O4053" t="s">
        <v>345</v>
      </c>
      <c r="P4053" s="42">
        <v>44291</v>
      </c>
      <c r="Q4053" t="s">
        <v>345</v>
      </c>
      <c r="R4053" t="s">
        <v>320</v>
      </c>
      <c r="S4053" t="s">
        <v>323</v>
      </c>
      <c r="U4053">
        <v>7.6</v>
      </c>
    </row>
    <row r="4054" spans="14:25">
      <c r="N4054" s="42">
        <v>44288</v>
      </c>
      <c r="O4054" t="s">
        <v>346</v>
      </c>
      <c r="P4054" s="42">
        <v>44288</v>
      </c>
      <c r="Q4054" t="s">
        <v>346</v>
      </c>
      <c r="R4054" t="s">
        <v>320</v>
      </c>
      <c r="S4054" t="s">
        <v>323</v>
      </c>
      <c r="U4054">
        <v>7.6</v>
      </c>
    </row>
    <row r="4055" spans="14:25">
      <c r="N4055" s="42">
        <v>44222</v>
      </c>
      <c r="O4055" t="s">
        <v>333</v>
      </c>
      <c r="P4055" s="42">
        <v>44222</v>
      </c>
      <c r="Q4055" t="s">
        <v>333</v>
      </c>
      <c r="R4055" t="s">
        <v>320</v>
      </c>
      <c r="S4055" t="s">
        <v>323</v>
      </c>
      <c r="U4055">
        <v>7.6</v>
      </c>
    </row>
    <row r="4056" spans="14:25">
      <c r="N4056" s="42">
        <v>44209</v>
      </c>
      <c r="O4056" t="s">
        <v>328</v>
      </c>
      <c r="P4056" s="42">
        <v>44209</v>
      </c>
      <c r="Q4056" t="s">
        <v>328</v>
      </c>
      <c r="R4056" t="s">
        <v>320</v>
      </c>
      <c r="S4056" t="s">
        <v>323</v>
      </c>
      <c r="T4056">
        <v>7.6</v>
      </c>
      <c r="Y4056" s="42">
        <v>44215</v>
      </c>
    </row>
    <row r="4057" spans="14:25">
      <c r="N4057" s="42">
        <v>44208</v>
      </c>
      <c r="O4057" t="s">
        <v>333</v>
      </c>
      <c r="P4057" s="42">
        <v>44208</v>
      </c>
      <c r="Q4057" t="s">
        <v>333</v>
      </c>
      <c r="R4057" t="s">
        <v>320</v>
      </c>
      <c r="S4057" t="s">
        <v>323</v>
      </c>
      <c r="T4057">
        <v>7.6</v>
      </c>
      <c r="Y4057" s="42">
        <v>44215</v>
      </c>
    </row>
    <row r="4058" spans="14:25">
      <c r="N4058" s="42">
        <v>44207</v>
      </c>
      <c r="O4058" t="s">
        <v>345</v>
      </c>
      <c r="P4058" s="42">
        <v>44207</v>
      </c>
      <c r="Q4058" t="s">
        <v>345</v>
      </c>
      <c r="R4058" t="s">
        <v>320</v>
      </c>
      <c r="S4058" t="s">
        <v>323</v>
      </c>
      <c r="T4058">
        <v>7.6</v>
      </c>
      <c r="Y4058" s="42">
        <v>44215</v>
      </c>
    </row>
    <row r="4059" spans="14:25">
      <c r="N4059" s="42">
        <v>44197</v>
      </c>
      <c r="O4059" t="s">
        <v>346</v>
      </c>
      <c r="P4059" s="42">
        <v>44197</v>
      </c>
      <c r="Q4059" t="s">
        <v>346</v>
      </c>
      <c r="R4059" t="s">
        <v>320</v>
      </c>
      <c r="S4059" t="s">
        <v>323</v>
      </c>
      <c r="U4059">
        <v>7.6</v>
      </c>
    </row>
    <row r="4060" spans="14:25">
      <c r="N4060" s="42">
        <v>44193</v>
      </c>
      <c r="O4060" t="s">
        <v>345</v>
      </c>
      <c r="P4060" s="42">
        <v>44193</v>
      </c>
      <c r="Q4060" t="s">
        <v>345</v>
      </c>
      <c r="R4060" t="s">
        <v>320</v>
      </c>
      <c r="S4060" t="s">
        <v>323</v>
      </c>
      <c r="U4060">
        <v>7.6</v>
      </c>
    </row>
    <row r="4061" spans="14:25">
      <c r="N4061" s="42">
        <v>44190</v>
      </c>
      <c r="O4061" t="s">
        <v>346</v>
      </c>
      <c r="P4061" s="42">
        <v>44190</v>
      </c>
      <c r="Q4061" t="s">
        <v>346</v>
      </c>
      <c r="R4061" t="s">
        <v>320</v>
      </c>
      <c r="S4061" t="s">
        <v>323</v>
      </c>
      <c r="U4061">
        <v>7.6</v>
      </c>
    </row>
    <row r="4062" spans="14:25">
      <c r="N4062" s="42">
        <v>44109</v>
      </c>
      <c r="O4062" t="s">
        <v>345</v>
      </c>
      <c r="P4062" s="42">
        <v>44109</v>
      </c>
      <c r="Q4062" t="s">
        <v>345</v>
      </c>
      <c r="R4062" t="s">
        <v>320</v>
      </c>
      <c r="S4062" t="s">
        <v>323</v>
      </c>
      <c r="U4062">
        <v>7.6</v>
      </c>
    </row>
    <row r="4063" spans="14:25">
      <c r="N4063" s="42">
        <v>43840</v>
      </c>
      <c r="O4063" t="s">
        <v>346</v>
      </c>
      <c r="P4063" s="42">
        <v>43840</v>
      </c>
      <c r="Q4063" t="s">
        <v>346</v>
      </c>
      <c r="R4063" t="s">
        <v>329</v>
      </c>
      <c r="S4063" t="s">
        <v>323</v>
      </c>
      <c r="T4063">
        <v>2.6</v>
      </c>
      <c r="W4063" t="s">
        <v>330</v>
      </c>
      <c r="Y4063" s="42">
        <v>43851</v>
      </c>
    </row>
    <row r="4064" spans="14:25">
      <c r="N4064" s="42">
        <v>43833</v>
      </c>
      <c r="O4064" t="s">
        <v>346</v>
      </c>
      <c r="P4064" s="42">
        <v>43833</v>
      </c>
      <c r="Q4064" t="s">
        <v>346</v>
      </c>
      <c r="R4064" t="s">
        <v>320</v>
      </c>
      <c r="S4064" t="s">
        <v>323</v>
      </c>
      <c r="T4064">
        <v>7.6</v>
      </c>
      <c r="Y4064" s="42">
        <v>43837</v>
      </c>
    </row>
    <row r="4065" spans="1:25">
      <c r="N4065" s="42">
        <v>43832</v>
      </c>
      <c r="O4065" t="s">
        <v>324</v>
      </c>
      <c r="P4065" s="42">
        <v>43832</v>
      </c>
      <c r="Q4065" t="s">
        <v>324</v>
      </c>
      <c r="R4065" t="s">
        <v>320</v>
      </c>
      <c r="S4065" t="s">
        <v>323</v>
      </c>
      <c r="T4065">
        <v>7.6</v>
      </c>
      <c r="Y4065" s="42">
        <v>43837</v>
      </c>
    </row>
    <row r="4066" spans="1:25">
      <c r="N4066" s="42">
        <v>43830</v>
      </c>
      <c r="O4066" t="s">
        <v>333</v>
      </c>
      <c r="P4066" s="42">
        <v>43830</v>
      </c>
      <c r="Q4066" t="s">
        <v>333</v>
      </c>
      <c r="R4066" t="s">
        <v>320</v>
      </c>
      <c r="S4066" t="s">
        <v>323</v>
      </c>
      <c r="T4066">
        <v>7.6</v>
      </c>
      <c r="Y4066" s="42">
        <v>43837</v>
      </c>
    </row>
    <row r="4067" spans="1:25">
      <c r="N4067" s="42">
        <v>43829</v>
      </c>
      <c r="O4067" t="s">
        <v>345</v>
      </c>
      <c r="P4067" s="42">
        <v>43829</v>
      </c>
      <c r="Q4067" t="s">
        <v>345</v>
      </c>
      <c r="R4067" t="s">
        <v>320</v>
      </c>
      <c r="S4067" t="s">
        <v>323</v>
      </c>
      <c r="T4067">
        <v>7.6</v>
      </c>
      <c r="Y4067" s="42">
        <v>43837</v>
      </c>
    </row>
    <row r="4068" spans="1:25">
      <c r="N4068" s="42">
        <v>43797</v>
      </c>
      <c r="O4068" t="s">
        <v>324</v>
      </c>
      <c r="P4068" s="42">
        <v>43797</v>
      </c>
      <c r="Q4068" t="s">
        <v>324</v>
      </c>
      <c r="R4068" t="s">
        <v>329</v>
      </c>
      <c r="S4068" t="s">
        <v>323</v>
      </c>
      <c r="T4068">
        <v>7.6</v>
      </c>
      <c r="W4068" t="s">
        <v>330</v>
      </c>
      <c r="Y4068" s="42">
        <v>43809</v>
      </c>
    </row>
    <row r="4069" spans="1:25">
      <c r="N4069" s="42">
        <v>43725</v>
      </c>
      <c r="O4069" t="s">
        <v>333</v>
      </c>
      <c r="P4069" s="42">
        <v>43725</v>
      </c>
      <c r="Q4069" t="s">
        <v>333</v>
      </c>
      <c r="R4069" t="s">
        <v>329</v>
      </c>
      <c r="S4069" t="s">
        <v>323</v>
      </c>
      <c r="T4069">
        <v>7.6</v>
      </c>
      <c r="W4069" t="s">
        <v>330</v>
      </c>
      <c r="Y4069" s="42">
        <v>43725</v>
      </c>
    </row>
    <row r="4070" spans="1:25">
      <c r="N4070" s="42">
        <v>43711</v>
      </c>
      <c r="O4070" t="s">
        <v>333</v>
      </c>
      <c r="P4070" s="42">
        <v>43711</v>
      </c>
      <c r="Q4070" t="s">
        <v>333</v>
      </c>
      <c r="R4070" t="s">
        <v>329</v>
      </c>
      <c r="S4070" t="s">
        <v>323</v>
      </c>
      <c r="T4070">
        <v>7.6</v>
      </c>
      <c r="W4070" t="s">
        <v>330</v>
      </c>
      <c r="Y4070" s="42">
        <v>43711</v>
      </c>
    </row>
    <row r="4071" spans="1:25">
      <c r="N4071" s="42">
        <v>43693</v>
      </c>
      <c r="O4071" t="s">
        <v>346</v>
      </c>
      <c r="P4071" s="42">
        <v>43693</v>
      </c>
      <c r="Q4071" t="s">
        <v>346</v>
      </c>
      <c r="R4071" t="s">
        <v>320</v>
      </c>
      <c r="S4071" t="s">
        <v>323</v>
      </c>
      <c r="T4071">
        <v>7.6</v>
      </c>
      <c r="Y4071" s="42">
        <v>43697</v>
      </c>
    </row>
    <row r="4072" spans="1:25">
      <c r="N4072" s="42">
        <v>43664</v>
      </c>
      <c r="O4072" t="s">
        <v>324</v>
      </c>
      <c r="P4072" s="42">
        <v>43665</v>
      </c>
      <c r="Q4072" t="s">
        <v>346</v>
      </c>
      <c r="R4072" t="s">
        <v>320</v>
      </c>
      <c r="S4072" t="s">
        <v>323</v>
      </c>
      <c r="T4072">
        <v>15.2</v>
      </c>
      <c r="Y4072" s="42">
        <v>43669</v>
      </c>
    </row>
    <row r="4073" spans="1:25">
      <c r="N4073" s="42">
        <v>43642</v>
      </c>
      <c r="O4073" t="s">
        <v>328</v>
      </c>
      <c r="P4073" s="42">
        <v>43653</v>
      </c>
      <c r="Q4073" t="s">
        <v>344</v>
      </c>
      <c r="R4073" t="s">
        <v>320</v>
      </c>
      <c r="S4073" t="s">
        <v>323</v>
      </c>
      <c r="T4073">
        <v>60.8</v>
      </c>
      <c r="Y4073" s="42">
        <v>43655</v>
      </c>
    </row>
    <row r="4074" spans="1:25">
      <c r="N4074" s="42">
        <v>43628</v>
      </c>
      <c r="O4074" t="s">
        <v>328</v>
      </c>
      <c r="P4074" s="42">
        <v>43641</v>
      </c>
      <c r="Q4074" t="s">
        <v>333</v>
      </c>
      <c r="R4074" t="s">
        <v>320</v>
      </c>
      <c r="S4074" t="s">
        <v>323</v>
      </c>
      <c r="T4074">
        <v>76</v>
      </c>
      <c r="Y4074" s="42">
        <v>43641</v>
      </c>
    </row>
    <row r="4075" spans="1:25">
      <c r="A4075">
        <v>18703</v>
      </c>
      <c r="B4075" t="s">
        <v>402</v>
      </c>
      <c r="C4075" t="s">
        <v>320</v>
      </c>
      <c r="D4075" t="s">
        <v>336</v>
      </c>
      <c r="E4075" t="s">
        <v>337</v>
      </c>
      <c r="F4075">
        <v>1</v>
      </c>
      <c r="G4075" s="42">
        <v>45211</v>
      </c>
      <c r="H4075">
        <v>152</v>
      </c>
      <c r="I4075">
        <v>39.799399999999999</v>
      </c>
      <c r="J4075">
        <v>59.550699999999999</v>
      </c>
      <c r="K4075">
        <v>99.350099999999998</v>
      </c>
      <c r="L4075" t="s">
        <v>323</v>
      </c>
      <c r="M4075" s="43">
        <v>0.29444444444444445</v>
      </c>
      <c r="N4075" s="42">
        <v>44985</v>
      </c>
      <c r="O4075" t="s">
        <v>333</v>
      </c>
      <c r="P4075" s="42">
        <v>44985</v>
      </c>
      <c r="Q4075" t="s">
        <v>333</v>
      </c>
      <c r="R4075" t="s">
        <v>329</v>
      </c>
      <c r="S4075" t="s">
        <v>323</v>
      </c>
      <c r="T4075">
        <v>7.6</v>
      </c>
      <c r="W4075" t="s">
        <v>330</v>
      </c>
      <c r="Y4075" s="42">
        <v>44985</v>
      </c>
    </row>
    <row r="4076" spans="1:25">
      <c r="C4076" t="s">
        <v>325</v>
      </c>
      <c r="D4076" t="s">
        <v>395</v>
      </c>
      <c r="E4076" t="s">
        <v>396</v>
      </c>
      <c r="F4076">
        <v>1</v>
      </c>
      <c r="G4076" s="42">
        <v>45942</v>
      </c>
      <c r="H4076">
        <v>389.69069999999999</v>
      </c>
      <c r="I4076">
        <v>0</v>
      </c>
      <c r="J4076">
        <v>303.77379999999999</v>
      </c>
      <c r="K4076">
        <v>303.77379999999999</v>
      </c>
      <c r="L4076" t="s">
        <v>323</v>
      </c>
      <c r="N4076" s="42">
        <v>44952</v>
      </c>
      <c r="O4076" t="s">
        <v>324</v>
      </c>
      <c r="P4076" s="42">
        <v>44952</v>
      </c>
      <c r="Q4076" t="s">
        <v>324</v>
      </c>
      <c r="R4076" t="s">
        <v>320</v>
      </c>
      <c r="S4076" t="s">
        <v>323</v>
      </c>
      <c r="U4076">
        <v>7.6</v>
      </c>
    </row>
    <row r="4077" spans="1:25">
      <c r="C4077" t="s">
        <v>329</v>
      </c>
      <c r="D4077" t="s">
        <v>342</v>
      </c>
      <c r="E4077" t="s">
        <v>343</v>
      </c>
      <c r="F4077">
        <v>1</v>
      </c>
      <c r="G4077" s="42">
        <v>45211</v>
      </c>
      <c r="H4077">
        <v>76</v>
      </c>
      <c r="I4077">
        <v>117.94929999999999</v>
      </c>
      <c r="J4077">
        <v>29.775300000000001</v>
      </c>
      <c r="K4077">
        <v>147.72460000000001</v>
      </c>
      <c r="L4077" t="s">
        <v>323</v>
      </c>
      <c r="N4077" s="42">
        <v>44928</v>
      </c>
      <c r="O4077" t="s">
        <v>345</v>
      </c>
      <c r="P4077" s="42">
        <v>44928</v>
      </c>
      <c r="Q4077" t="s">
        <v>345</v>
      </c>
      <c r="R4077" t="s">
        <v>320</v>
      </c>
      <c r="S4077" t="s">
        <v>323</v>
      </c>
      <c r="U4077">
        <v>7.6</v>
      </c>
    </row>
    <row r="4078" spans="1:25">
      <c r="N4078" s="42">
        <v>44922</v>
      </c>
      <c r="O4078" t="s">
        <v>333</v>
      </c>
      <c r="P4078" s="42">
        <v>44922</v>
      </c>
      <c r="Q4078" t="s">
        <v>333</v>
      </c>
      <c r="R4078" t="s">
        <v>320</v>
      </c>
      <c r="S4078" t="s">
        <v>323</v>
      </c>
      <c r="U4078">
        <v>7.6</v>
      </c>
    </row>
    <row r="4079" spans="1:25">
      <c r="N4079" s="42">
        <v>44921</v>
      </c>
      <c r="O4079" t="s">
        <v>345</v>
      </c>
      <c r="P4079" s="42">
        <v>44921</v>
      </c>
      <c r="Q4079" t="s">
        <v>345</v>
      </c>
      <c r="R4079" t="s">
        <v>320</v>
      </c>
      <c r="S4079" t="s">
        <v>323</v>
      </c>
      <c r="U4079">
        <v>7.6</v>
      </c>
    </row>
    <row r="4080" spans="1:25">
      <c r="N4080" s="42">
        <v>44918</v>
      </c>
      <c r="O4080" t="s">
        <v>346</v>
      </c>
      <c r="P4080" s="42">
        <v>44918</v>
      </c>
      <c r="Q4080" t="s">
        <v>346</v>
      </c>
      <c r="R4080" t="s">
        <v>320</v>
      </c>
      <c r="S4080" t="s">
        <v>323</v>
      </c>
      <c r="T4080">
        <v>7.6</v>
      </c>
      <c r="Y4080" s="42">
        <v>44929</v>
      </c>
    </row>
    <row r="4081" spans="14:25">
      <c r="N4081" s="42">
        <v>44917</v>
      </c>
      <c r="O4081" t="s">
        <v>324</v>
      </c>
      <c r="P4081" s="42">
        <v>44917</v>
      </c>
      <c r="Q4081" t="s">
        <v>324</v>
      </c>
      <c r="R4081" t="s">
        <v>320</v>
      </c>
      <c r="S4081" t="s">
        <v>323</v>
      </c>
      <c r="T4081">
        <v>7.6</v>
      </c>
      <c r="Y4081" s="42">
        <v>44929</v>
      </c>
    </row>
    <row r="4082" spans="14:25">
      <c r="N4082" s="42">
        <v>44916</v>
      </c>
      <c r="O4082" t="s">
        <v>328</v>
      </c>
      <c r="P4082" s="42">
        <v>44916</v>
      </c>
      <c r="Q4082" t="s">
        <v>328</v>
      </c>
      <c r="R4082" t="s">
        <v>320</v>
      </c>
      <c r="S4082" t="s">
        <v>323</v>
      </c>
      <c r="T4082">
        <v>7.6</v>
      </c>
      <c r="Y4082" s="42">
        <v>44929</v>
      </c>
    </row>
    <row r="4083" spans="14:25">
      <c r="N4083" s="42">
        <v>44890</v>
      </c>
      <c r="O4083" t="s">
        <v>346</v>
      </c>
      <c r="P4083" s="42">
        <v>44890</v>
      </c>
      <c r="Q4083" t="s">
        <v>346</v>
      </c>
      <c r="R4083" t="s">
        <v>320</v>
      </c>
      <c r="S4083" t="s">
        <v>323</v>
      </c>
      <c r="T4083">
        <v>7.6</v>
      </c>
      <c r="Y4083" s="42">
        <v>44901</v>
      </c>
    </row>
    <row r="4084" spans="14:25">
      <c r="N4084" s="42">
        <v>44889</v>
      </c>
      <c r="O4084" t="s">
        <v>324</v>
      </c>
      <c r="P4084" s="42">
        <v>44889</v>
      </c>
      <c r="Q4084" t="s">
        <v>324</v>
      </c>
      <c r="R4084" t="s">
        <v>320</v>
      </c>
      <c r="S4084" t="s">
        <v>323</v>
      </c>
      <c r="T4084">
        <v>7.6</v>
      </c>
      <c r="Y4084" s="42">
        <v>44901</v>
      </c>
    </row>
    <row r="4085" spans="14:25">
      <c r="N4085" s="42">
        <v>44888</v>
      </c>
      <c r="O4085" t="s">
        <v>328</v>
      </c>
      <c r="P4085" s="42">
        <v>44888</v>
      </c>
      <c r="Q4085" t="s">
        <v>328</v>
      </c>
      <c r="R4085" t="s">
        <v>320</v>
      </c>
      <c r="S4085" t="s">
        <v>323</v>
      </c>
      <c r="T4085">
        <v>7.6</v>
      </c>
      <c r="Y4085" s="42">
        <v>44901</v>
      </c>
    </row>
    <row r="4086" spans="14:25">
      <c r="N4086" s="42">
        <v>44887</v>
      </c>
      <c r="O4086" t="s">
        <v>333</v>
      </c>
      <c r="P4086" s="42">
        <v>44887</v>
      </c>
      <c r="Q4086" t="s">
        <v>333</v>
      </c>
      <c r="R4086" t="s">
        <v>320</v>
      </c>
      <c r="S4086" t="s">
        <v>323</v>
      </c>
      <c r="T4086">
        <v>7.6</v>
      </c>
      <c r="Y4086" s="42">
        <v>44887</v>
      </c>
    </row>
    <row r="4087" spans="14:25">
      <c r="N4087" s="42">
        <v>44886</v>
      </c>
      <c r="O4087" t="s">
        <v>345</v>
      </c>
      <c r="P4087" s="42">
        <v>44886</v>
      </c>
      <c r="Q4087" t="s">
        <v>345</v>
      </c>
      <c r="R4087" t="s">
        <v>320</v>
      </c>
      <c r="S4087" t="s">
        <v>323</v>
      </c>
      <c r="T4087">
        <v>7.6</v>
      </c>
      <c r="Y4087" s="42">
        <v>44887</v>
      </c>
    </row>
    <row r="4088" spans="14:25">
      <c r="N4088" s="42">
        <v>44845</v>
      </c>
      <c r="O4088" t="s">
        <v>333</v>
      </c>
      <c r="P4088" s="42">
        <v>44845</v>
      </c>
      <c r="Q4088" t="s">
        <v>333</v>
      </c>
      <c r="R4088" t="s">
        <v>329</v>
      </c>
      <c r="S4088" t="s">
        <v>323</v>
      </c>
      <c r="T4088">
        <v>7.6</v>
      </c>
      <c r="W4088" t="s">
        <v>330</v>
      </c>
      <c r="Y4088" s="42">
        <v>44845</v>
      </c>
    </row>
    <row r="4089" spans="14:25">
      <c r="N4089" s="42">
        <v>44837</v>
      </c>
      <c r="O4089" t="s">
        <v>345</v>
      </c>
      <c r="P4089" s="42">
        <v>44837</v>
      </c>
      <c r="Q4089" t="s">
        <v>345</v>
      </c>
      <c r="R4089" t="s">
        <v>320</v>
      </c>
      <c r="S4089" t="s">
        <v>323</v>
      </c>
      <c r="U4089">
        <v>7.6</v>
      </c>
    </row>
    <row r="4090" spans="14:25">
      <c r="N4090" s="42">
        <v>44826</v>
      </c>
      <c r="O4090" t="s">
        <v>324</v>
      </c>
      <c r="P4090" s="42">
        <v>44826</v>
      </c>
      <c r="Q4090" t="s">
        <v>324</v>
      </c>
      <c r="R4090" t="s">
        <v>320</v>
      </c>
      <c r="S4090" t="s">
        <v>323</v>
      </c>
      <c r="U4090">
        <v>7.6</v>
      </c>
    </row>
    <row r="4091" spans="14:25">
      <c r="N4091" s="42">
        <v>44785</v>
      </c>
      <c r="O4091" t="s">
        <v>346</v>
      </c>
      <c r="P4091" s="42">
        <v>44785</v>
      </c>
      <c r="Q4091" t="s">
        <v>346</v>
      </c>
      <c r="R4091" t="s">
        <v>329</v>
      </c>
      <c r="S4091" t="s">
        <v>323</v>
      </c>
      <c r="T4091">
        <v>7.6</v>
      </c>
      <c r="W4091" t="s">
        <v>330</v>
      </c>
      <c r="Y4091" s="42">
        <v>44789</v>
      </c>
    </row>
    <row r="4092" spans="14:25">
      <c r="N4092" s="42">
        <v>44784</v>
      </c>
      <c r="O4092" t="s">
        <v>324</v>
      </c>
      <c r="P4092" s="42">
        <v>44784</v>
      </c>
      <c r="Q4092" t="s">
        <v>324</v>
      </c>
      <c r="R4092" t="s">
        <v>329</v>
      </c>
      <c r="S4092" t="s">
        <v>323</v>
      </c>
      <c r="T4092">
        <v>7.6</v>
      </c>
      <c r="W4092" t="s">
        <v>330</v>
      </c>
      <c r="Y4092" s="42">
        <v>44789</v>
      </c>
    </row>
    <row r="4093" spans="14:25">
      <c r="N4093" s="42">
        <v>44783</v>
      </c>
      <c r="O4093" t="s">
        <v>328</v>
      </c>
      <c r="P4093" s="42">
        <v>44783</v>
      </c>
      <c r="Q4093" t="s">
        <v>328</v>
      </c>
      <c r="R4093" t="s">
        <v>320</v>
      </c>
      <c r="S4093" t="s">
        <v>323</v>
      </c>
      <c r="U4093">
        <v>7.6</v>
      </c>
    </row>
    <row r="4094" spans="14:25">
      <c r="N4094" s="42">
        <v>44757</v>
      </c>
      <c r="O4094" t="s">
        <v>346</v>
      </c>
      <c r="P4094" s="42">
        <v>44757</v>
      </c>
      <c r="Q4094" t="s">
        <v>346</v>
      </c>
      <c r="R4094" t="s">
        <v>320</v>
      </c>
      <c r="S4094" t="s">
        <v>323</v>
      </c>
      <c r="T4094">
        <v>7.6</v>
      </c>
      <c r="Y4094" s="42">
        <v>44761</v>
      </c>
    </row>
    <row r="4095" spans="14:25">
      <c r="N4095" s="42">
        <v>44756</v>
      </c>
      <c r="O4095" t="s">
        <v>324</v>
      </c>
      <c r="P4095" s="42">
        <v>44756</v>
      </c>
      <c r="Q4095" t="s">
        <v>324</v>
      </c>
      <c r="R4095" t="s">
        <v>320</v>
      </c>
      <c r="S4095" t="s">
        <v>323</v>
      </c>
      <c r="T4095">
        <v>7.6</v>
      </c>
      <c r="Y4095" s="42">
        <v>44761</v>
      </c>
    </row>
    <row r="4096" spans="14:25">
      <c r="N4096" s="42">
        <v>44755</v>
      </c>
      <c r="O4096" t="s">
        <v>328</v>
      </c>
      <c r="P4096" s="42">
        <v>44755</v>
      </c>
      <c r="Q4096" t="s">
        <v>328</v>
      </c>
      <c r="R4096" t="s">
        <v>320</v>
      </c>
      <c r="S4096" t="s">
        <v>323</v>
      </c>
      <c r="T4096">
        <v>7.6</v>
      </c>
      <c r="Y4096" s="42">
        <v>44761</v>
      </c>
    </row>
    <row r="4097" spans="14:25">
      <c r="N4097" s="42">
        <v>44754</v>
      </c>
      <c r="O4097" t="s">
        <v>333</v>
      </c>
      <c r="P4097" s="42">
        <v>44754</v>
      </c>
      <c r="Q4097" t="s">
        <v>333</v>
      </c>
      <c r="R4097" t="s">
        <v>320</v>
      </c>
      <c r="S4097" t="s">
        <v>323</v>
      </c>
      <c r="T4097">
        <v>7.6</v>
      </c>
      <c r="Y4097" s="42">
        <v>44761</v>
      </c>
    </row>
    <row r="4098" spans="14:25">
      <c r="N4098" s="42">
        <v>44753</v>
      </c>
      <c r="O4098" t="s">
        <v>345</v>
      </c>
      <c r="P4098" s="42">
        <v>44753</v>
      </c>
      <c r="Q4098" t="s">
        <v>345</v>
      </c>
      <c r="R4098" t="s">
        <v>320</v>
      </c>
      <c r="S4098" t="s">
        <v>323</v>
      </c>
      <c r="T4098">
        <v>7.6</v>
      </c>
      <c r="Y4098" s="42">
        <v>44761</v>
      </c>
    </row>
    <row r="4099" spans="14:25">
      <c r="N4099" s="42">
        <v>44708</v>
      </c>
      <c r="O4099" t="s">
        <v>346</v>
      </c>
      <c r="P4099" s="42">
        <v>44708</v>
      </c>
      <c r="Q4099" t="s">
        <v>346</v>
      </c>
      <c r="R4099" t="s">
        <v>329</v>
      </c>
      <c r="S4099" t="s">
        <v>323</v>
      </c>
      <c r="T4099">
        <v>7.6</v>
      </c>
      <c r="W4099" t="s">
        <v>330</v>
      </c>
      <c r="Y4099" s="42">
        <v>44719</v>
      </c>
    </row>
    <row r="4100" spans="14:25">
      <c r="N4100" s="42">
        <v>44707</v>
      </c>
      <c r="O4100" t="s">
        <v>324</v>
      </c>
      <c r="P4100" s="42">
        <v>44707</v>
      </c>
      <c r="Q4100" t="s">
        <v>324</v>
      </c>
      <c r="R4100" t="s">
        <v>329</v>
      </c>
      <c r="S4100" t="s">
        <v>323</v>
      </c>
      <c r="T4100">
        <v>7.6</v>
      </c>
      <c r="W4100" t="s">
        <v>330</v>
      </c>
      <c r="Y4100" s="42">
        <v>44719</v>
      </c>
    </row>
    <row r="4101" spans="14:25">
      <c r="N4101" s="42">
        <v>44705</v>
      </c>
      <c r="O4101" t="s">
        <v>333</v>
      </c>
      <c r="P4101" s="42">
        <v>44705</v>
      </c>
      <c r="Q4101" t="s">
        <v>333</v>
      </c>
      <c r="R4101" t="s">
        <v>329</v>
      </c>
      <c r="S4101" t="s">
        <v>323</v>
      </c>
      <c r="T4101">
        <v>7.6</v>
      </c>
      <c r="W4101" t="s">
        <v>330</v>
      </c>
      <c r="Y4101" s="42">
        <v>44705</v>
      </c>
    </row>
    <row r="4102" spans="14:25">
      <c r="N4102" s="42">
        <v>44683</v>
      </c>
      <c r="O4102" t="s">
        <v>345</v>
      </c>
      <c r="P4102" s="42">
        <v>44683</v>
      </c>
      <c r="Q4102" t="s">
        <v>345</v>
      </c>
      <c r="R4102" t="s">
        <v>320</v>
      </c>
      <c r="S4102" t="s">
        <v>323</v>
      </c>
      <c r="U4102">
        <v>7.6</v>
      </c>
    </row>
    <row r="4103" spans="14:25">
      <c r="N4103" s="42">
        <v>44679</v>
      </c>
      <c r="O4103" t="s">
        <v>324</v>
      </c>
      <c r="P4103" s="42">
        <v>44679</v>
      </c>
      <c r="Q4103" t="s">
        <v>324</v>
      </c>
      <c r="R4103" t="s">
        <v>329</v>
      </c>
      <c r="S4103" t="s">
        <v>323</v>
      </c>
      <c r="T4103">
        <v>7.6</v>
      </c>
      <c r="W4103" t="s">
        <v>330</v>
      </c>
      <c r="Y4103" s="42">
        <v>44691</v>
      </c>
    </row>
    <row r="4104" spans="14:25">
      <c r="N4104" s="42">
        <v>44678</v>
      </c>
      <c r="O4104" t="s">
        <v>328</v>
      </c>
      <c r="P4104" s="42">
        <v>44678</v>
      </c>
      <c r="Q4104" t="s">
        <v>328</v>
      </c>
      <c r="R4104" t="s">
        <v>329</v>
      </c>
      <c r="S4104" t="s">
        <v>323</v>
      </c>
      <c r="T4104">
        <v>7.6</v>
      </c>
      <c r="W4104" t="s">
        <v>330</v>
      </c>
      <c r="Y4104" s="42">
        <v>44691</v>
      </c>
    </row>
    <row r="4105" spans="14:25">
      <c r="N4105" s="42">
        <v>44677</v>
      </c>
      <c r="O4105" t="s">
        <v>333</v>
      </c>
      <c r="P4105" s="42">
        <v>44677</v>
      </c>
      <c r="Q4105" t="s">
        <v>333</v>
      </c>
      <c r="R4105" t="s">
        <v>329</v>
      </c>
      <c r="S4105" t="s">
        <v>323</v>
      </c>
      <c r="T4105">
        <v>7.6</v>
      </c>
      <c r="W4105" t="s">
        <v>330</v>
      </c>
      <c r="Y4105" s="42">
        <v>44677</v>
      </c>
    </row>
    <row r="4106" spans="14:25">
      <c r="N4106" s="42">
        <v>44676</v>
      </c>
      <c r="O4106" t="s">
        <v>345</v>
      </c>
      <c r="P4106" s="42">
        <v>44676</v>
      </c>
      <c r="Q4106" t="s">
        <v>345</v>
      </c>
      <c r="R4106" t="s">
        <v>320</v>
      </c>
      <c r="S4106" t="s">
        <v>323</v>
      </c>
      <c r="U4106">
        <v>7.6</v>
      </c>
    </row>
    <row r="4107" spans="14:25">
      <c r="N4107" s="42">
        <v>44669</v>
      </c>
      <c r="O4107" t="s">
        <v>345</v>
      </c>
      <c r="P4107" s="42">
        <v>44669</v>
      </c>
      <c r="Q4107" t="s">
        <v>345</v>
      </c>
      <c r="R4107" t="s">
        <v>320</v>
      </c>
      <c r="S4107" t="s">
        <v>323</v>
      </c>
      <c r="U4107">
        <v>7.6</v>
      </c>
    </row>
    <row r="4108" spans="14:25">
      <c r="N4108" s="42">
        <v>44666</v>
      </c>
      <c r="O4108" t="s">
        <v>346</v>
      </c>
      <c r="P4108" s="42">
        <v>44666</v>
      </c>
      <c r="Q4108" t="s">
        <v>346</v>
      </c>
      <c r="R4108" t="s">
        <v>320</v>
      </c>
      <c r="S4108" t="s">
        <v>323</v>
      </c>
      <c r="U4108">
        <v>7.6</v>
      </c>
    </row>
    <row r="4109" spans="14:25">
      <c r="N4109" s="42">
        <v>44658</v>
      </c>
      <c r="O4109" t="s">
        <v>324</v>
      </c>
      <c r="P4109" s="42">
        <v>44658</v>
      </c>
      <c r="Q4109" t="s">
        <v>324</v>
      </c>
      <c r="R4109" t="s">
        <v>329</v>
      </c>
      <c r="S4109" t="s">
        <v>323</v>
      </c>
      <c r="T4109">
        <v>7.6</v>
      </c>
      <c r="W4109" t="s">
        <v>330</v>
      </c>
      <c r="Y4109" s="42">
        <v>44663</v>
      </c>
    </row>
    <row r="4110" spans="14:25">
      <c r="N4110" s="42">
        <v>44657</v>
      </c>
      <c r="O4110" t="s">
        <v>328</v>
      </c>
      <c r="P4110" s="42">
        <v>44657</v>
      </c>
      <c r="Q4110" t="s">
        <v>328</v>
      </c>
      <c r="R4110" t="s">
        <v>329</v>
      </c>
      <c r="S4110" t="s">
        <v>323</v>
      </c>
      <c r="T4110">
        <v>7.6</v>
      </c>
      <c r="W4110" t="s">
        <v>330</v>
      </c>
      <c r="Y4110" s="42">
        <v>44663</v>
      </c>
    </row>
    <row r="4111" spans="14:25">
      <c r="N4111" s="42">
        <v>44656</v>
      </c>
      <c r="O4111" t="s">
        <v>333</v>
      </c>
      <c r="P4111" s="42">
        <v>44656</v>
      </c>
      <c r="Q4111" t="s">
        <v>333</v>
      </c>
      <c r="R4111" t="s">
        <v>329</v>
      </c>
      <c r="S4111" t="s">
        <v>323</v>
      </c>
      <c r="T4111">
        <v>2.75</v>
      </c>
      <c r="W4111" t="s">
        <v>330</v>
      </c>
      <c r="Y4111" s="42">
        <v>44663</v>
      </c>
    </row>
    <row r="4112" spans="14:25">
      <c r="N4112" s="42">
        <v>44648</v>
      </c>
      <c r="O4112" t="s">
        <v>345</v>
      </c>
      <c r="P4112" s="42">
        <v>44648</v>
      </c>
      <c r="Q4112" t="s">
        <v>345</v>
      </c>
      <c r="R4112" t="s">
        <v>329</v>
      </c>
      <c r="S4112" t="s">
        <v>323</v>
      </c>
      <c r="T4112">
        <v>7.6</v>
      </c>
      <c r="W4112" t="s">
        <v>330</v>
      </c>
      <c r="Y4112" s="42">
        <v>44649</v>
      </c>
    </row>
    <row r="4113" spans="14:25">
      <c r="N4113" s="42">
        <v>44587</v>
      </c>
      <c r="O4113" t="s">
        <v>328</v>
      </c>
      <c r="P4113" s="42">
        <v>44587</v>
      </c>
      <c r="Q4113" t="s">
        <v>328</v>
      </c>
      <c r="R4113" t="s">
        <v>320</v>
      </c>
      <c r="S4113" t="s">
        <v>323</v>
      </c>
      <c r="U4113">
        <v>7.6</v>
      </c>
    </row>
    <row r="4114" spans="14:25">
      <c r="N4114" s="42">
        <v>44586</v>
      </c>
      <c r="O4114" t="s">
        <v>333</v>
      </c>
      <c r="P4114" s="42">
        <v>44586</v>
      </c>
      <c r="Q4114" t="s">
        <v>333</v>
      </c>
      <c r="R4114" t="s">
        <v>329</v>
      </c>
      <c r="S4114" t="s">
        <v>323</v>
      </c>
      <c r="T4114">
        <v>7.6</v>
      </c>
      <c r="W4114" t="s">
        <v>330</v>
      </c>
      <c r="Y4114" s="42">
        <v>44593</v>
      </c>
    </row>
    <row r="4115" spans="14:25">
      <c r="N4115" s="42">
        <v>44585</v>
      </c>
      <c r="O4115" t="s">
        <v>345</v>
      </c>
      <c r="P4115" s="42">
        <v>44585</v>
      </c>
      <c r="Q4115" t="s">
        <v>345</v>
      </c>
      <c r="R4115" t="s">
        <v>329</v>
      </c>
      <c r="S4115" t="s">
        <v>323</v>
      </c>
      <c r="T4115">
        <v>7.6</v>
      </c>
      <c r="W4115" t="s">
        <v>330</v>
      </c>
      <c r="Y4115" s="42">
        <v>44593</v>
      </c>
    </row>
    <row r="4116" spans="14:25">
      <c r="N4116" s="42">
        <v>44564</v>
      </c>
      <c r="O4116" t="s">
        <v>345</v>
      </c>
      <c r="P4116" s="42">
        <v>44564</v>
      </c>
      <c r="Q4116" t="s">
        <v>345</v>
      </c>
      <c r="R4116" t="s">
        <v>320</v>
      </c>
      <c r="S4116" t="s">
        <v>323</v>
      </c>
      <c r="U4116">
        <v>7.6</v>
      </c>
    </row>
    <row r="4117" spans="14:25">
      <c r="N4117" s="42">
        <v>44561</v>
      </c>
      <c r="O4117" t="s">
        <v>346</v>
      </c>
      <c r="P4117" s="42">
        <v>44561</v>
      </c>
      <c r="Q4117" t="s">
        <v>346</v>
      </c>
      <c r="R4117" t="s">
        <v>320</v>
      </c>
      <c r="S4117" t="s">
        <v>323</v>
      </c>
      <c r="T4117">
        <v>7.6</v>
      </c>
      <c r="Y4117" s="42">
        <v>44565</v>
      </c>
    </row>
    <row r="4118" spans="14:25">
      <c r="N4118" s="42">
        <v>44560</v>
      </c>
      <c r="O4118" t="s">
        <v>324</v>
      </c>
      <c r="P4118" s="42">
        <v>44560</v>
      </c>
      <c r="Q4118" t="s">
        <v>324</v>
      </c>
      <c r="R4118" t="s">
        <v>320</v>
      </c>
      <c r="S4118" t="s">
        <v>323</v>
      </c>
      <c r="T4118">
        <v>7.6</v>
      </c>
      <c r="Y4118" s="42">
        <v>44565</v>
      </c>
    </row>
    <row r="4119" spans="14:25">
      <c r="N4119" s="42">
        <v>44559</v>
      </c>
      <c r="O4119" t="s">
        <v>328</v>
      </c>
      <c r="P4119" s="42">
        <v>44559</v>
      </c>
      <c r="Q4119" t="s">
        <v>328</v>
      </c>
      <c r="R4119" t="s">
        <v>320</v>
      </c>
      <c r="S4119" t="s">
        <v>323</v>
      </c>
      <c r="T4119">
        <v>7.6</v>
      </c>
      <c r="Y4119" s="42">
        <v>44565</v>
      </c>
    </row>
    <row r="4120" spans="14:25">
      <c r="N4120" s="42">
        <v>44558</v>
      </c>
      <c r="O4120" t="s">
        <v>333</v>
      </c>
      <c r="P4120" s="42">
        <v>44558</v>
      </c>
      <c r="Q4120" t="s">
        <v>333</v>
      </c>
      <c r="R4120" t="s">
        <v>320</v>
      </c>
      <c r="S4120" t="s">
        <v>323</v>
      </c>
      <c r="U4120">
        <v>7.6</v>
      </c>
    </row>
    <row r="4121" spans="14:25">
      <c r="N4121" s="42">
        <v>44557</v>
      </c>
      <c r="O4121" t="s">
        <v>345</v>
      </c>
      <c r="P4121" s="42">
        <v>44557</v>
      </c>
      <c r="Q4121" t="s">
        <v>345</v>
      </c>
      <c r="R4121" t="s">
        <v>320</v>
      </c>
      <c r="S4121" t="s">
        <v>323</v>
      </c>
      <c r="U4121">
        <v>7.6</v>
      </c>
    </row>
    <row r="4122" spans="14:25">
      <c r="N4122" s="42">
        <v>44554</v>
      </c>
      <c r="O4122" t="s">
        <v>346</v>
      </c>
      <c r="P4122" s="42">
        <v>44554</v>
      </c>
      <c r="Q4122" t="s">
        <v>346</v>
      </c>
      <c r="R4122" t="s">
        <v>320</v>
      </c>
      <c r="S4122" t="s">
        <v>323</v>
      </c>
      <c r="T4122">
        <v>7.6</v>
      </c>
      <c r="Y4122" s="42">
        <v>44565</v>
      </c>
    </row>
    <row r="4123" spans="14:25">
      <c r="N4123" s="42">
        <v>44553</v>
      </c>
      <c r="O4123" t="s">
        <v>324</v>
      </c>
      <c r="P4123" s="42">
        <v>44553</v>
      </c>
      <c r="Q4123" t="s">
        <v>324</v>
      </c>
      <c r="R4123" t="s">
        <v>320</v>
      </c>
      <c r="S4123" t="s">
        <v>323</v>
      </c>
      <c r="T4123">
        <v>7.6</v>
      </c>
      <c r="Y4123" s="42">
        <v>44565</v>
      </c>
    </row>
    <row r="4124" spans="14:25">
      <c r="N4124" s="42">
        <v>44552</v>
      </c>
      <c r="O4124" t="s">
        <v>328</v>
      </c>
      <c r="P4124" s="42">
        <v>44552</v>
      </c>
      <c r="Q4124" t="s">
        <v>328</v>
      </c>
      <c r="R4124" t="s">
        <v>320</v>
      </c>
      <c r="S4124" t="s">
        <v>323</v>
      </c>
      <c r="T4124">
        <v>7.6</v>
      </c>
      <c r="Y4124" s="42">
        <v>44565</v>
      </c>
    </row>
    <row r="4125" spans="14:25">
      <c r="N4125" s="42">
        <v>44551</v>
      </c>
      <c r="O4125" t="s">
        <v>333</v>
      </c>
      <c r="P4125" s="42">
        <v>44551</v>
      </c>
      <c r="Q4125" t="s">
        <v>333</v>
      </c>
      <c r="R4125" t="s">
        <v>320</v>
      </c>
      <c r="S4125" t="s">
        <v>323</v>
      </c>
      <c r="T4125">
        <v>7.6</v>
      </c>
      <c r="Y4125" s="42">
        <v>44551</v>
      </c>
    </row>
    <row r="4126" spans="14:25">
      <c r="N4126" s="42">
        <v>44550</v>
      </c>
      <c r="O4126" t="s">
        <v>345</v>
      </c>
      <c r="P4126" s="42">
        <v>44550</v>
      </c>
      <c r="Q4126" t="s">
        <v>345</v>
      </c>
      <c r="R4126" t="s">
        <v>320</v>
      </c>
      <c r="S4126" t="s">
        <v>323</v>
      </c>
      <c r="T4126">
        <v>7.6</v>
      </c>
      <c r="Y4126" s="42">
        <v>44551</v>
      </c>
    </row>
    <row r="4127" spans="14:25">
      <c r="N4127" s="42">
        <v>44498</v>
      </c>
      <c r="O4127" t="s">
        <v>346</v>
      </c>
      <c r="P4127" s="42">
        <v>44498</v>
      </c>
      <c r="Q4127" t="s">
        <v>346</v>
      </c>
      <c r="R4127" t="s">
        <v>320</v>
      </c>
      <c r="S4127" t="s">
        <v>323</v>
      </c>
      <c r="U4127">
        <v>7.6</v>
      </c>
    </row>
    <row r="4128" spans="14:25">
      <c r="N4128" s="42">
        <v>44491</v>
      </c>
      <c r="O4128" t="s">
        <v>346</v>
      </c>
      <c r="P4128" s="42">
        <v>44491</v>
      </c>
      <c r="Q4128" t="s">
        <v>346</v>
      </c>
      <c r="R4128" t="s">
        <v>329</v>
      </c>
      <c r="S4128" t="s">
        <v>323</v>
      </c>
      <c r="T4128">
        <v>7.6</v>
      </c>
      <c r="W4128" t="s">
        <v>330</v>
      </c>
      <c r="Y4128" s="42">
        <v>44495</v>
      </c>
    </row>
    <row r="4129" spans="14:25">
      <c r="N4129" s="42">
        <v>44487</v>
      </c>
      <c r="O4129" t="s">
        <v>345</v>
      </c>
      <c r="P4129" s="42">
        <v>44487</v>
      </c>
      <c r="Q4129" t="s">
        <v>345</v>
      </c>
      <c r="R4129" t="s">
        <v>320</v>
      </c>
      <c r="S4129" t="s">
        <v>323</v>
      </c>
      <c r="T4129">
        <v>7.6</v>
      </c>
      <c r="Y4129" s="42">
        <v>44495</v>
      </c>
    </row>
    <row r="4130" spans="14:25">
      <c r="N4130" s="42">
        <v>44473</v>
      </c>
      <c r="O4130" t="s">
        <v>345</v>
      </c>
      <c r="P4130" s="42">
        <v>44473</v>
      </c>
      <c r="Q4130" t="s">
        <v>345</v>
      </c>
      <c r="R4130" t="s">
        <v>320</v>
      </c>
      <c r="S4130" t="s">
        <v>323</v>
      </c>
      <c r="U4130">
        <v>7.6</v>
      </c>
    </row>
    <row r="4131" spans="14:25">
      <c r="N4131" s="42">
        <v>44460</v>
      </c>
      <c r="O4131" t="s">
        <v>333</v>
      </c>
      <c r="P4131" s="42">
        <v>44460</v>
      </c>
      <c r="Q4131" t="s">
        <v>333</v>
      </c>
      <c r="R4131" t="s">
        <v>329</v>
      </c>
      <c r="S4131" t="s">
        <v>323</v>
      </c>
      <c r="T4131">
        <v>5</v>
      </c>
      <c r="W4131" t="s">
        <v>330</v>
      </c>
      <c r="Y4131" s="42">
        <v>44467</v>
      </c>
    </row>
    <row r="4132" spans="14:25">
      <c r="N4132" s="42">
        <v>44453</v>
      </c>
      <c r="O4132" t="s">
        <v>333</v>
      </c>
      <c r="P4132" s="42">
        <v>44453</v>
      </c>
      <c r="Q4132" t="s">
        <v>333</v>
      </c>
      <c r="R4132" t="s">
        <v>329</v>
      </c>
      <c r="S4132" t="s">
        <v>323</v>
      </c>
      <c r="T4132">
        <v>7.6</v>
      </c>
      <c r="W4132" t="s">
        <v>330</v>
      </c>
      <c r="Y4132" s="42">
        <v>44453</v>
      </c>
    </row>
    <row r="4133" spans="14:25">
      <c r="N4133" s="42">
        <v>44431</v>
      </c>
      <c r="O4133" t="s">
        <v>345</v>
      </c>
      <c r="P4133" s="42">
        <v>44431</v>
      </c>
      <c r="Q4133" t="s">
        <v>345</v>
      </c>
      <c r="R4133" t="s">
        <v>329</v>
      </c>
      <c r="S4133" t="s">
        <v>323</v>
      </c>
      <c r="T4133">
        <v>3.5</v>
      </c>
      <c r="W4133" t="s">
        <v>330</v>
      </c>
      <c r="Y4133" s="42">
        <v>44439</v>
      </c>
    </row>
    <row r="4134" spans="14:25">
      <c r="N4134" s="42">
        <v>44364</v>
      </c>
      <c r="O4134" t="s">
        <v>324</v>
      </c>
      <c r="P4134" s="42">
        <v>44364</v>
      </c>
      <c r="Q4134" t="s">
        <v>324</v>
      </c>
      <c r="R4134" t="s">
        <v>320</v>
      </c>
      <c r="S4134" t="s">
        <v>323</v>
      </c>
      <c r="T4134">
        <v>7.6</v>
      </c>
      <c r="Y4134" s="42">
        <v>44369</v>
      </c>
    </row>
    <row r="4135" spans="14:25">
      <c r="N4135" s="42">
        <v>44363</v>
      </c>
      <c r="O4135" t="s">
        <v>328</v>
      </c>
      <c r="P4135" s="42">
        <v>44363</v>
      </c>
      <c r="Q4135" t="s">
        <v>328</v>
      </c>
      <c r="R4135" t="s">
        <v>320</v>
      </c>
      <c r="S4135" t="s">
        <v>323</v>
      </c>
      <c r="T4135">
        <v>7.6</v>
      </c>
      <c r="Y4135" s="42">
        <v>44369</v>
      </c>
    </row>
    <row r="4136" spans="14:25">
      <c r="N4136" s="42">
        <v>44362</v>
      </c>
      <c r="O4136" t="s">
        <v>333</v>
      </c>
      <c r="P4136" s="42">
        <v>44362</v>
      </c>
      <c r="Q4136" t="s">
        <v>333</v>
      </c>
      <c r="R4136" t="s">
        <v>320</v>
      </c>
      <c r="S4136" t="s">
        <v>323</v>
      </c>
      <c r="T4136">
        <v>7.6</v>
      </c>
      <c r="Y4136" s="42">
        <v>44369</v>
      </c>
    </row>
    <row r="4137" spans="14:25">
      <c r="N4137" s="42">
        <v>44361</v>
      </c>
      <c r="O4137" t="s">
        <v>345</v>
      </c>
      <c r="P4137" s="42">
        <v>44361</v>
      </c>
      <c r="Q4137" t="s">
        <v>345</v>
      </c>
      <c r="R4137" t="s">
        <v>320</v>
      </c>
      <c r="S4137" t="s">
        <v>323</v>
      </c>
      <c r="T4137">
        <v>7.6</v>
      </c>
      <c r="Y4137" s="42">
        <v>44369</v>
      </c>
    </row>
    <row r="4138" spans="14:25">
      <c r="N4138" s="42">
        <v>44358</v>
      </c>
      <c r="O4138" t="s">
        <v>346</v>
      </c>
      <c r="P4138" s="42">
        <v>44358</v>
      </c>
      <c r="Q4138" t="s">
        <v>346</v>
      </c>
      <c r="R4138" t="s">
        <v>320</v>
      </c>
      <c r="S4138" t="s">
        <v>323</v>
      </c>
      <c r="T4138">
        <v>7.6</v>
      </c>
      <c r="Y4138" s="42">
        <v>44369</v>
      </c>
    </row>
    <row r="4139" spans="14:25">
      <c r="N4139" s="42">
        <v>44357</v>
      </c>
      <c r="O4139" t="s">
        <v>324</v>
      </c>
      <c r="P4139" s="42">
        <v>44357</v>
      </c>
      <c r="Q4139" t="s">
        <v>324</v>
      </c>
      <c r="R4139" t="s">
        <v>320</v>
      </c>
      <c r="S4139" t="s">
        <v>323</v>
      </c>
      <c r="T4139">
        <v>7.6</v>
      </c>
      <c r="Y4139" s="42">
        <v>44369</v>
      </c>
    </row>
    <row r="4140" spans="14:25">
      <c r="N4140" s="42">
        <v>44356</v>
      </c>
      <c r="O4140" t="s">
        <v>328</v>
      </c>
      <c r="P4140" s="42">
        <v>44356</v>
      </c>
      <c r="Q4140" t="s">
        <v>328</v>
      </c>
      <c r="R4140" t="s">
        <v>320</v>
      </c>
      <c r="S4140" t="s">
        <v>323</v>
      </c>
      <c r="T4140">
        <v>7.6</v>
      </c>
      <c r="Y4140" s="42">
        <v>44369</v>
      </c>
    </row>
    <row r="4141" spans="14:25">
      <c r="N4141" s="42">
        <v>44355</v>
      </c>
      <c r="O4141" t="s">
        <v>333</v>
      </c>
      <c r="P4141" s="42">
        <v>44355</v>
      </c>
      <c r="Q4141" t="s">
        <v>333</v>
      </c>
      <c r="R4141" t="s">
        <v>320</v>
      </c>
      <c r="S4141" t="s">
        <v>323</v>
      </c>
      <c r="T4141">
        <v>7.6</v>
      </c>
      <c r="Y4141" s="42">
        <v>44355</v>
      </c>
    </row>
    <row r="4142" spans="14:25">
      <c r="N4142" s="42">
        <v>44354</v>
      </c>
      <c r="O4142" t="s">
        <v>345</v>
      </c>
      <c r="P4142" s="42">
        <v>44354</v>
      </c>
      <c r="Q4142" t="s">
        <v>345</v>
      </c>
      <c r="R4142" t="s">
        <v>320</v>
      </c>
      <c r="S4142" t="s">
        <v>323</v>
      </c>
      <c r="T4142">
        <v>7.6</v>
      </c>
      <c r="Y4142" s="42">
        <v>44355</v>
      </c>
    </row>
    <row r="4143" spans="14:25">
      <c r="N4143" s="42">
        <v>44334</v>
      </c>
      <c r="O4143" t="s">
        <v>333</v>
      </c>
      <c r="P4143" s="42">
        <v>44334</v>
      </c>
      <c r="Q4143" t="s">
        <v>333</v>
      </c>
      <c r="R4143" t="s">
        <v>329</v>
      </c>
      <c r="S4143" t="s">
        <v>323</v>
      </c>
      <c r="T4143">
        <v>7.6</v>
      </c>
      <c r="W4143" t="s">
        <v>330</v>
      </c>
      <c r="Y4143" s="42">
        <v>44341</v>
      </c>
    </row>
    <row r="4144" spans="14:25">
      <c r="N4144" s="42">
        <v>44322</v>
      </c>
      <c r="O4144" t="s">
        <v>324</v>
      </c>
      <c r="P4144" s="42">
        <v>44322</v>
      </c>
      <c r="Q4144" t="s">
        <v>324</v>
      </c>
      <c r="R4144" t="s">
        <v>329</v>
      </c>
      <c r="S4144" t="s">
        <v>323</v>
      </c>
      <c r="T4144">
        <v>7.6</v>
      </c>
      <c r="W4144" t="s">
        <v>330</v>
      </c>
      <c r="Y4144" s="42">
        <v>44327</v>
      </c>
    </row>
    <row r="4145" spans="14:25">
      <c r="N4145" s="42">
        <v>44319</v>
      </c>
      <c r="O4145" t="s">
        <v>345</v>
      </c>
      <c r="P4145" s="42">
        <v>44319</v>
      </c>
      <c r="Q4145" t="s">
        <v>345</v>
      </c>
      <c r="R4145" t="s">
        <v>320</v>
      </c>
      <c r="S4145" t="s">
        <v>323</v>
      </c>
      <c r="U4145">
        <v>7.6</v>
      </c>
    </row>
    <row r="4146" spans="14:25">
      <c r="N4146" s="42">
        <v>44312</v>
      </c>
      <c r="O4146" t="s">
        <v>345</v>
      </c>
      <c r="P4146" s="42">
        <v>44312</v>
      </c>
      <c r="Q4146" t="s">
        <v>345</v>
      </c>
      <c r="R4146" t="s">
        <v>320</v>
      </c>
      <c r="S4146" t="s">
        <v>323</v>
      </c>
      <c r="U4146">
        <v>7.6</v>
      </c>
    </row>
    <row r="4147" spans="14:25">
      <c r="N4147" s="42">
        <v>44291</v>
      </c>
      <c r="O4147" t="s">
        <v>345</v>
      </c>
      <c r="P4147" s="42">
        <v>44291</v>
      </c>
      <c r="Q4147" t="s">
        <v>345</v>
      </c>
      <c r="R4147" t="s">
        <v>320</v>
      </c>
      <c r="S4147" t="s">
        <v>323</v>
      </c>
      <c r="U4147">
        <v>7.6</v>
      </c>
    </row>
    <row r="4148" spans="14:25">
      <c r="N4148" s="42">
        <v>44288</v>
      </c>
      <c r="O4148" t="s">
        <v>346</v>
      </c>
      <c r="P4148" s="42">
        <v>44288</v>
      </c>
      <c r="Q4148" t="s">
        <v>346</v>
      </c>
      <c r="R4148" t="s">
        <v>320</v>
      </c>
      <c r="S4148" t="s">
        <v>323</v>
      </c>
      <c r="U4148">
        <v>7.6</v>
      </c>
    </row>
    <row r="4149" spans="14:25">
      <c r="N4149" s="42">
        <v>44280</v>
      </c>
      <c r="O4149" t="s">
        <v>324</v>
      </c>
      <c r="P4149" s="42">
        <v>44280</v>
      </c>
      <c r="Q4149" t="s">
        <v>324</v>
      </c>
      <c r="R4149" t="s">
        <v>329</v>
      </c>
      <c r="S4149" t="s">
        <v>323</v>
      </c>
      <c r="T4149">
        <v>7.6</v>
      </c>
      <c r="W4149" t="s">
        <v>330</v>
      </c>
      <c r="Y4149" s="42">
        <v>44285</v>
      </c>
    </row>
    <row r="4150" spans="14:25">
      <c r="N4150" s="42">
        <v>44256</v>
      </c>
      <c r="O4150" t="s">
        <v>345</v>
      </c>
      <c r="P4150" s="42">
        <v>44256</v>
      </c>
      <c r="Q4150" t="s">
        <v>345</v>
      </c>
      <c r="R4150" t="s">
        <v>329</v>
      </c>
      <c r="S4150" t="s">
        <v>323</v>
      </c>
      <c r="T4150">
        <v>7.6</v>
      </c>
      <c r="W4150" t="s">
        <v>330</v>
      </c>
      <c r="Y4150" s="42">
        <v>44257</v>
      </c>
    </row>
    <row r="4151" spans="14:25">
      <c r="N4151" s="42">
        <v>44223</v>
      </c>
      <c r="O4151" t="s">
        <v>328</v>
      </c>
      <c r="P4151" s="42">
        <v>44223</v>
      </c>
      <c r="Q4151" t="s">
        <v>328</v>
      </c>
      <c r="R4151" t="s">
        <v>329</v>
      </c>
      <c r="S4151" t="s">
        <v>323</v>
      </c>
      <c r="T4151">
        <v>7.6</v>
      </c>
      <c r="W4151" t="s">
        <v>330</v>
      </c>
      <c r="Y4151" s="42">
        <v>44229</v>
      </c>
    </row>
    <row r="4152" spans="14:25">
      <c r="N4152" s="42">
        <v>44222</v>
      </c>
      <c r="O4152" t="s">
        <v>333</v>
      </c>
      <c r="P4152" s="42">
        <v>44222</v>
      </c>
      <c r="Q4152" t="s">
        <v>333</v>
      </c>
      <c r="R4152" t="s">
        <v>320</v>
      </c>
      <c r="S4152" t="s">
        <v>323</v>
      </c>
      <c r="U4152">
        <v>7.6</v>
      </c>
    </row>
    <row r="4153" spans="14:25">
      <c r="N4153" s="42">
        <v>44204</v>
      </c>
      <c r="O4153" t="s">
        <v>346</v>
      </c>
      <c r="P4153" s="42">
        <v>44204</v>
      </c>
      <c r="Q4153" t="s">
        <v>346</v>
      </c>
      <c r="R4153" t="s">
        <v>320</v>
      </c>
      <c r="S4153" t="s">
        <v>323</v>
      </c>
      <c r="T4153">
        <v>7.6</v>
      </c>
      <c r="Y4153" s="42">
        <v>44215</v>
      </c>
    </row>
    <row r="4154" spans="14:25">
      <c r="N4154" s="42">
        <v>44203</v>
      </c>
      <c r="O4154" t="s">
        <v>324</v>
      </c>
      <c r="P4154" s="42">
        <v>44203</v>
      </c>
      <c r="Q4154" t="s">
        <v>324</v>
      </c>
      <c r="R4154" t="s">
        <v>320</v>
      </c>
      <c r="S4154" t="s">
        <v>323</v>
      </c>
      <c r="T4154">
        <v>7.6</v>
      </c>
      <c r="Y4154" s="42">
        <v>44215</v>
      </c>
    </row>
    <row r="4155" spans="14:25">
      <c r="N4155" s="42">
        <v>44202</v>
      </c>
      <c r="O4155" t="s">
        <v>328</v>
      </c>
      <c r="P4155" s="42">
        <v>44202</v>
      </c>
      <c r="Q4155" t="s">
        <v>328</v>
      </c>
      <c r="R4155" t="s">
        <v>320</v>
      </c>
      <c r="S4155" t="s">
        <v>323</v>
      </c>
      <c r="T4155">
        <v>7.6</v>
      </c>
      <c r="Y4155" s="42">
        <v>44215</v>
      </c>
    </row>
    <row r="4156" spans="14:25">
      <c r="N4156" s="42">
        <v>44201</v>
      </c>
      <c r="O4156" t="s">
        <v>333</v>
      </c>
      <c r="P4156" s="42">
        <v>44201</v>
      </c>
      <c r="Q4156" t="s">
        <v>333</v>
      </c>
      <c r="R4156" t="s">
        <v>320</v>
      </c>
      <c r="S4156" t="s">
        <v>323</v>
      </c>
      <c r="T4156">
        <v>7.6</v>
      </c>
      <c r="Y4156" s="42">
        <v>44201</v>
      </c>
    </row>
    <row r="4157" spans="14:25">
      <c r="N4157" s="42">
        <v>44200</v>
      </c>
      <c r="O4157" t="s">
        <v>345</v>
      </c>
      <c r="P4157" s="42">
        <v>44200</v>
      </c>
      <c r="Q4157" t="s">
        <v>345</v>
      </c>
      <c r="R4157" t="s">
        <v>320</v>
      </c>
      <c r="S4157" t="s">
        <v>323</v>
      </c>
      <c r="T4157">
        <v>7.6</v>
      </c>
      <c r="Y4157" s="42">
        <v>44201</v>
      </c>
    </row>
    <row r="4158" spans="14:25">
      <c r="N4158" s="42">
        <v>44197</v>
      </c>
      <c r="O4158" t="s">
        <v>346</v>
      </c>
      <c r="P4158" s="42">
        <v>44197</v>
      </c>
      <c r="Q4158" t="s">
        <v>346</v>
      </c>
      <c r="R4158" t="s">
        <v>320</v>
      </c>
      <c r="S4158" t="s">
        <v>323</v>
      </c>
      <c r="U4158">
        <v>7.6</v>
      </c>
    </row>
    <row r="4159" spans="14:25">
      <c r="N4159" s="42">
        <v>44196</v>
      </c>
      <c r="O4159" t="s">
        <v>324</v>
      </c>
      <c r="P4159" s="42">
        <v>44196</v>
      </c>
      <c r="Q4159" t="s">
        <v>324</v>
      </c>
      <c r="R4159" t="s">
        <v>320</v>
      </c>
      <c r="S4159" t="s">
        <v>323</v>
      </c>
      <c r="T4159">
        <v>7.6</v>
      </c>
      <c r="Y4159" s="42">
        <v>44201</v>
      </c>
    </row>
    <row r="4160" spans="14:25">
      <c r="N4160" s="42">
        <v>44195</v>
      </c>
      <c r="O4160" t="s">
        <v>328</v>
      </c>
      <c r="P4160" s="42">
        <v>44195</v>
      </c>
      <c r="Q4160" t="s">
        <v>328</v>
      </c>
      <c r="R4160" t="s">
        <v>320</v>
      </c>
      <c r="S4160" t="s">
        <v>323</v>
      </c>
      <c r="T4160">
        <v>7.6</v>
      </c>
      <c r="Y4160" s="42">
        <v>44201</v>
      </c>
    </row>
    <row r="4161" spans="14:25">
      <c r="N4161" s="42">
        <v>44194</v>
      </c>
      <c r="O4161" t="s">
        <v>333</v>
      </c>
      <c r="P4161" s="42">
        <v>44194</v>
      </c>
      <c r="Q4161" t="s">
        <v>333</v>
      </c>
      <c r="R4161" t="s">
        <v>320</v>
      </c>
      <c r="S4161" t="s">
        <v>323</v>
      </c>
      <c r="T4161">
        <v>7.6</v>
      </c>
      <c r="Y4161" s="42">
        <v>44201</v>
      </c>
    </row>
    <row r="4162" spans="14:25">
      <c r="N4162" s="42">
        <v>44193</v>
      </c>
      <c r="O4162" t="s">
        <v>345</v>
      </c>
      <c r="P4162" s="42">
        <v>44193</v>
      </c>
      <c r="Q4162" t="s">
        <v>345</v>
      </c>
      <c r="R4162" t="s">
        <v>320</v>
      </c>
      <c r="S4162" t="s">
        <v>323</v>
      </c>
      <c r="U4162">
        <v>7.6</v>
      </c>
    </row>
    <row r="4163" spans="14:25">
      <c r="N4163" s="42">
        <v>44190</v>
      </c>
      <c r="O4163" t="s">
        <v>346</v>
      </c>
      <c r="P4163" s="42">
        <v>44190</v>
      </c>
      <c r="Q4163" t="s">
        <v>346</v>
      </c>
      <c r="R4163" t="s">
        <v>320</v>
      </c>
      <c r="S4163" t="s">
        <v>323</v>
      </c>
      <c r="U4163">
        <v>7.6</v>
      </c>
    </row>
    <row r="4164" spans="14:25">
      <c r="N4164" s="42">
        <v>44189</v>
      </c>
      <c r="O4164" t="s">
        <v>324</v>
      </c>
      <c r="P4164" s="42">
        <v>44189</v>
      </c>
      <c r="Q4164" t="s">
        <v>324</v>
      </c>
      <c r="R4164" t="s">
        <v>320</v>
      </c>
      <c r="S4164" t="s">
        <v>323</v>
      </c>
      <c r="T4164">
        <v>7.6</v>
      </c>
      <c r="Y4164" s="42">
        <v>44201</v>
      </c>
    </row>
    <row r="4165" spans="14:25">
      <c r="N4165" s="42">
        <v>44188</v>
      </c>
      <c r="O4165" t="s">
        <v>328</v>
      </c>
      <c r="P4165" s="42">
        <v>44188</v>
      </c>
      <c r="Q4165" t="s">
        <v>328</v>
      </c>
      <c r="R4165" t="s">
        <v>320</v>
      </c>
      <c r="S4165" t="s">
        <v>323</v>
      </c>
      <c r="T4165">
        <v>7.6</v>
      </c>
      <c r="Y4165" s="42">
        <v>44201</v>
      </c>
    </row>
    <row r="4166" spans="14:25">
      <c r="N4166" s="42">
        <v>44187</v>
      </c>
      <c r="O4166" t="s">
        <v>333</v>
      </c>
      <c r="P4166" s="42">
        <v>44187</v>
      </c>
      <c r="Q4166" t="s">
        <v>333</v>
      </c>
      <c r="R4166" t="s">
        <v>320</v>
      </c>
      <c r="S4166" t="s">
        <v>323</v>
      </c>
      <c r="T4166">
        <v>7.6</v>
      </c>
      <c r="Y4166" s="42">
        <v>44187</v>
      </c>
    </row>
    <row r="4167" spans="14:25">
      <c r="N4167" s="42">
        <v>44186</v>
      </c>
      <c r="O4167" t="s">
        <v>345</v>
      </c>
      <c r="P4167" s="42">
        <v>44186</v>
      </c>
      <c r="Q4167" t="s">
        <v>345</v>
      </c>
      <c r="R4167" t="s">
        <v>320</v>
      </c>
      <c r="S4167" t="s">
        <v>323</v>
      </c>
      <c r="T4167">
        <v>7.6</v>
      </c>
      <c r="Y4167" s="42">
        <v>44187</v>
      </c>
    </row>
    <row r="4168" spans="14:25">
      <c r="N4168" s="42">
        <v>44118</v>
      </c>
      <c r="O4168" t="s">
        <v>328</v>
      </c>
      <c r="P4168" s="42">
        <v>44118</v>
      </c>
      <c r="Q4168" t="s">
        <v>328</v>
      </c>
      <c r="R4168" t="s">
        <v>329</v>
      </c>
      <c r="S4168" t="s">
        <v>323</v>
      </c>
      <c r="T4168">
        <v>7.6</v>
      </c>
      <c r="W4168" t="s">
        <v>330</v>
      </c>
      <c r="Y4168" s="42">
        <v>44131</v>
      </c>
    </row>
    <row r="4169" spans="14:25">
      <c r="N4169" s="42">
        <v>44117</v>
      </c>
      <c r="O4169" t="s">
        <v>333</v>
      </c>
      <c r="P4169" s="42">
        <v>44117</v>
      </c>
      <c r="Q4169" t="s">
        <v>333</v>
      </c>
      <c r="R4169" t="s">
        <v>329</v>
      </c>
      <c r="S4169" t="s">
        <v>323</v>
      </c>
      <c r="T4169">
        <v>7.6</v>
      </c>
      <c r="W4169" t="s">
        <v>330</v>
      </c>
      <c r="Y4169" s="42">
        <v>44117</v>
      </c>
    </row>
    <row r="4170" spans="14:25">
      <c r="N4170" s="42">
        <v>44116</v>
      </c>
      <c r="O4170" t="s">
        <v>345</v>
      </c>
      <c r="P4170" s="42">
        <v>44116</v>
      </c>
      <c r="Q4170" t="s">
        <v>345</v>
      </c>
      <c r="R4170" t="s">
        <v>329</v>
      </c>
      <c r="S4170" t="s">
        <v>323</v>
      </c>
      <c r="T4170">
        <v>7.6</v>
      </c>
      <c r="W4170" t="s">
        <v>330</v>
      </c>
      <c r="Y4170" s="42">
        <v>44117</v>
      </c>
    </row>
    <row r="4171" spans="14:25">
      <c r="N4171" s="42">
        <v>44113</v>
      </c>
      <c r="O4171" t="s">
        <v>346</v>
      </c>
      <c r="P4171" s="42">
        <v>44113</v>
      </c>
      <c r="Q4171" t="s">
        <v>346</v>
      </c>
      <c r="R4171" t="s">
        <v>320</v>
      </c>
      <c r="S4171" t="s">
        <v>323</v>
      </c>
      <c r="T4171">
        <v>7.6</v>
      </c>
      <c r="Y4171" s="42">
        <v>44117</v>
      </c>
    </row>
    <row r="4172" spans="14:25">
      <c r="N4172" s="42">
        <v>44112</v>
      </c>
      <c r="O4172" t="s">
        <v>324</v>
      </c>
      <c r="P4172" s="42">
        <v>44112</v>
      </c>
      <c r="Q4172" t="s">
        <v>324</v>
      </c>
      <c r="R4172" t="s">
        <v>320</v>
      </c>
      <c r="S4172" t="s">
        <v>323</v>
      </c>
      <c r="T4172">
        <v>7.6</v>
      </c>
      <c r="Y4172" s="42">
        <v>44117</v>
      </c>
    </row>
    <row r="4173" spans="14:25">
      <c r="N4173" s="42">
        <v>44109</v>
      </c>
      <c r="O4173" t="s">
        <v>345</v>
      </c>
      <c r="P4173" s="42">
        <v>44109</v>
      </c>
      <c r="Q4173" t="s">
        <v>345</v>
      </c>
      <c r="R4173" t="s">
        <v>320</v>
      </c>
      <c r="S4173" t="s">
        <v>323</v>
      </c>
      <c r="U4173">
        <v>7.6</v>
      </c>
    </row>
    <row r="4174" spans="14:25">
      <c r="N4174" s="42">
        <v>44097</v>
      </c>
      <c r="O4174" t="s">
        <v>328</v>
      </c>
      <c r="P4174" s="42">
        <v>44097</v>
      </c>
      <c r="Q4174" t="s">
        <v>328</v>
      </c>
      <c r="R4174" t="s">
        <v>329</v>
      </c>
      <c r="S4174" t="s">
        <v>323</v>
      </c>
      <c r="T4174">
        <v>7.6</v>
      </c>
      <c r="W4174" t="s">
        <v>330</v>
      </c>
      <c r="Y4174" s="42">
        <v>44103</v>
      </c>
    </row>
    <row r="4175" spans="14:25">
      <c r="N4175" s="42">
        <v>44095</v>
      </c>
      <c r="O4175" t="s">
        <v>345</v>
      </c>
      <c r="P4175" s="42">
        <v>44095</v>
      </c>
      <c r="Q4175" t="s">
        <v>345</v>
      </c>
      <c r="R4175" t="s">
        <v>329</v>
      </c>
      <c r="S4175" t="s">
        <v>323</v>
      </c>
      <c r="T4175">
        <v>2</v>
      </c>
      <c r="W4175" t="s">
        <v>330</v>
      </c>
      <c r="Y4175" s="42">
        <v>44103</v>
      </c>
    </row>
    <row r="4176" spans="14:25">
      <c r="N4176" s="42">
        <v>44063</v>
      </c>
      <c r="O4176" t="s">
        <v>324</v>
      </c>
      <c r="P4176" s="42">
        <v>44063</v>
      </c>
      <c r="Q4176" t="s">
        <v>324</v>
      </c>
      <c r="R4176" t="s">
        <v>329</v>
      </c>
      <c r="S4176" t="s">
        <v>323</v>
      </c>
      <c r="T4176">
        <v>7.6</v>
      </c>
      <c r="W4176" t="s">
        <v>330</v>
      </c>
      <c r="Y4176" s="42">
        <v>44075</v>
      </c>
    </row>
    <row r="4177" spans="14:25">
      <c r="N4177" s="42">
        <v>44062</v>
      </c>
      <c r="O4177" t="s">
        <v>328</v>
      </c>
      <c r="P4177" s="42">
        <v>44062</v>
      </c>
      <c r="Q4177" t="s">
        <v>328</v>
      </c>
      <c r="R4177" t="s">
        <v>329</v>
      </c>
      <c r="S4177" t="s">
        <v>323</v>
      </c>
      <c r="T4177">
        <v>7.6</v>
      </c>
      <c r="W4177" t="s">
        <v>330</v>
      </c>
      <c r="Y4177" s="42">
        <v>44075</v>
      </c>
    </row>
    <row r="4178" spans="14:25">
      <c r="N4178" s="42">
        <v>44061</v>
      </c>
      <c r="O4178" t="s">
        <v>333</v>
      </c>
      <c r="P4178" s="42">
        <v>44061</v>
      </c>
      <c r="Q4178" t="s">
        <v>333</v>
      </c>
      <c r="R4178" t="s">
        <v>329</v>
      </c>
      <c r="S4178" t="s">
        <v>323</v>
      </c>
      <c r="T4178">
        <v>7.6</v>
      </c>
      <c r="W4178" t="s">
        <v>330</v>
      </c>
      <c r="Y4178" s="42">
        <v>44061</v>
      </c>
    </row>
    <row r="4179" spans="14:25">
      <c r="N4179" s="42">
        <v>44027</v>
      </c>
      <c r="O4179" t="s">
        <v>328</v>
      </c>
      <c r="P4179" s="42">
        <v>44027</v>
      </c>
      <c r="Q4179" t="s">
        <v>328</v>
      </c>
      <c r="R4179" t="s">
        <v>329</v>
      </c>
      <c r="S4179" t="s">
        <v>323</v>
      </c>
      <c r="T4179">
        <v>7.6</v>
      </c>
      <c r="W4179" t="s">
        <v>330</v>
      </c>
      <c r="Y4179" s="42">
        <v>44033</v>
      </c>
    </row>
    <row r="4180" spans="14:25">
      <c r="N4180" s="42">
        <v>44015</v>
      </c>
      <c r="O4180" t="s">
        <v>346</v>
      </c>
      <c r="P4180" s="42">
        <v>44015</v>
      </c>
      <c r="Q4180" t="s">
        <v>346</v>
      </c>
      <c r="R4180" t="s">
        <v>320</v>
      </c>
      <c r="S4180" t="s">
        <v>323</v>
      </c>
      <c r="T4180">
        <v>7.6</v>
      </c>
      <c r="Y4180" s="42">
        <v>44019</v>
      </c>
    </row>
    <row r="4181" spans="14:25">
      <c r="N4181" s="42">
        <v>44014</v>
      </c>
      <c r="O4181" t="s">
        <v>324</v>
      </c>
      <c r="P4181" s="42">
        <v>44014</v>
      </c>
      <c r="Q4181" t="s">
        <v>324</v>
      </c>
      <c r="R4181" t="s">
        <v>320</v>
      </c>
      <c r="S4181" t="s">
        <v>323</v>
      </c>
      <c r="T4181">
        <v>7.6</v>
      </c>
      <c r="Y4181" s="42">
        <v>44019</v>
      </c>
    </row>
    <row r="4182" spans="14:25">
      <c r="N4182" s="42">
        <v>44013</v>
      </c>
      <c r="O4182" t="s">
        <v>328</v>
      </c>
      <c r="P4182" s="42">
        <v>44013</v>
      </c>
      <c r="Q4182" t="s">
        <v>328</v>
      </c>
      <c r="R4182" t="s">
        <v>320</v>
      </c>
      <c r="S4182" t="s">
        <v>323</v>
      </c>
      <c r="T4182">
        <v>7.6</v>
      </c>
      <c r="Y4182" s="42">
        <v>44019</v>
      </c>
    </row>
    <row r="4183" spans="14:25">
      <c r="N4183" s="42">
        <v>44012</v>
      </c>
      <c r="O4183" t="s">
        <v>333</v>
      </c>
      <c r="P4183" s="42">
        <v>44012</v>
      </c>
      <c r="Q4183" t="s">
        <v>333</v>
      </c>
      <c r="R4183" t="s">
        <v>320</v>
      </c>
      <c r="S4183" t="s">
        <v>323</v>
      </c>
      <c r="T4183">
        <v>7.6</v>
      </c>
      <c r="Y4183" s="42">
        <v>44019</v>
      </c>
    </row>
    <row r="4184" spans="14:25">
      <c r="N4184" s="42">
        <v>44011</v>
      </c>
      <c r="O4184" t="s">
        <v>345</v>
      </c>
      <c r="P4184" s="42">
        <v>44011</v>
      </c>
      <c r="Q4184" t="s">
        <v>345</v>
      </c>
      <c r="R4184" t="s">
        <v>320</v>
      </c>
      <c r="S4184" t="s">
        <v>323</v>
      </c>
      <c r="T4184">
        <v>7.6</v>
      </c>
      <c r="Y4184" s="42">
        <v>44019</v>
      </c>
    </row>
    <row r="4185" spans="14:25">
      <c r="N4185" s="42">
        <v>44008</v>
      </c>
      <c r="O4185" t="s">
        <v>346</v>
      </c>
      <c r="P4185" s="42">
        <v>44008</v>
      </c>
      <c r="Q4185" t="s">
        <v>346</v>
      </c>
      <c r="R4185" t="s">
        <v>320</v>
      </c>
      <c r="S4185" t="s">
        <v>323</v>
      </c>
      <c r="T4185">
        <v>7.6</v>
      </c>
      <c r="Y4185" s="42">
        <v>44019</v>
      </c>
    </row>
    <row r="4186" spans="14:25">
      <c r="N4186" s="42">
        <v>43941</v>
      </c>
      <c r="O4186" t="s">
        <v>345</v>
      </c>
      <c r="P4186" s="42">
        <v>43941</v>
      </c>
      <c r="Q4186" t="s">
        <v>345</v>
      </c>
      <c r="R4186" t="s">
        <v>329</v>
      </c>
      <c r="S4186" t="s">
        <v>323</v>
      </c>
      <c r="T4186">
        <v>7.6</v>
      </c>
      <c r="W4186" t="s">
        <v>330</v>
      </c>
      <c r="Y4186" s="42">
        <v>43949</v>
      </c>
    </row>
    <row r="4187" spans="14:25">
      <c r="N4187" s="42">
        <v>43921</v>
      </c>
      <c r="O4187" t="s">
        <v>333</v>
      </c>
      <c r="P4187" s="42">
        <v>43921</v>
      </c>
      <c r="Q4187" t="s">
        <v>333</v>
      </c>
      <c r="R4187" t="s">
        <v>329</v>
      </c>
      <c r="S4187" t="s">
        <v>323</v>
      </c>
      <c r="T4187">
        <v>7.6</v>
      </c>
      <c r="W4187" t="s">
        <v>330</v>
      </c>
      <c r="Y4187" s="42">
        <v>43921</v>
      </c>
    </row>
    <row r="4188" spans="14:25">
      <c r="N4188" s="42">
        <v>43885</v>
      </c>
      <c r="O4188" t="s">
        <v>345</v>
      </c>
      <c r="P4188" s="42">
        <v>43885</v>
      </c>
      <c r="Q4188" t="s">
        <v>345</v>
      </c>
      <c r="R4188" t="s">
        <v>329</v>
      </c>
      <c r="S4188" t="s">
        <v>323</v>
      </c>
      <c r="T4188">
        <v>7.6</v>
      </c>
      <c r="W4188" t="s">
        <v>330</v>
      </c>
      <c r="Y4188" s="42">
        <v>43907</v>
      </c>
    </row>
    <row r="4189" spans="14:25">
      <c r="N4189" s="42">
        <v>43844</v>
      </c>
      <c r="O4189" t="s">
        <v>333</v>
      </c>
      <c r="P4189" s="42">
        <v>43844</v>
      </c>
      <c r="Q4189" t="s">
        <v>333</v>
      </c>
      <c r="R4189" t="s">
        <v>329</v>
      </c>
      <c r="S4189" t="s">
        <v>323</v>
      </c>
      <c r="T4189">
        <v>3.68</v>
      </c>
      <c r="W4189" t="s">
        <v>330</v>
      </c>
      <c r="Y4189" s="42">
        <v>43851</v>
      </c>
    </row>
    <row r="4190" spans="14:25">
      <c r="N4190" s="42">
        <v>43843</v>
      </c>
      <c r="O4190" t="s">
        <v>345</v>
      </c>
      <c r="P4190" s="42">
        <v>43843</v>
      </c>
      <c r="Q4190" t="s">
        <v>345</v>
      </c>
      <c r="R4190" t="s">
        <v>329</v>
      </c>
      <c r="S4190" t="s">
        <v>323</v>
      </c>
      <c r="T4190">
        <v>0.38</v>
      </c>
      <c r="W4190" t="s">
        <v>330</v>
      </c>
      <c r="Y4190" s="42">
        <v>43851</v>
      </c>
    </row>
    <row r="4191" spans="14:25">
      <c r="N4191" s="42">
        <v>43833</v>
      </c>
      <c r="O4191" t="s">
        <v>346</v>
      </c>
      <c r="P4191" s="42">
        <v>43833</v>
      </c>
      <c r="Q4191" t="s">
        <v>346</v>
      </c>
      <c r="R4191" t="s">
        <v>320</v>
      </c>
      <c r="S4191" t="s">
        <v>323</v>
      </c>
      <c r="T4191">
        <v>7.6</v>
      </c>
      <c r="Y4191" s="42">
        <v>43837</v>
      </c>
    </row>
    <row r="4192" spans="14:25">
      <c r="N4192" s="42">
        <v>43832</v>
      </c>
      <c r="O4192" t="s">
        <v>324</v>
      </c>
      <c r="P4192" s="42">
        <v>43832</v>
      </c>
      <c r="Q4192" t="s">
        <v>324</v>
      </c>
      <c r="R4192" t="s">
        <v>320</v>
      </c>
      <c r="S4192" t="s">
        <v>323</v>
      </c>
      <c r="T4192">
        <v>7.6</v>
      </c>
      <c r="Y4192" s="42">
        <v>43837</v>
      </c>
    </row>
    <row r="4193" spans="1:25">
      <c r="N4193" s="42">
        <v>43830</v>
      </c>
      <c r="O4193" t="s">
        <v>333</v>
      </c>
      <c r="P4193" s="42">
        <v>43830</v>
      </c>
      <c r="Q4193" t="s">
        <v>333</v>
      </c>
      <c r="R4193" t="s">
        <v>320</v>
      </c>
      <c r="S4193" t="s">
        <v>323</v>
      </c>
      <c r="T4193">
        <v>7.6</v>
      </c>
      <c r="Y4193" s="42">
        <v>43837</v>
      </c>
    </row>
    <row r="4194" spans="1:25">
      <c r="N4194" s="42">
        <v>43829</v>
      </c>
      <c r="O4194" t="s">
        <v>345</v>
      </c>
      <c r="P4194" s="42">
        <v>43829</v>
      </c>
      <c r="Q4194" t="s">
        <v>345</v>
      </c>
      <c r="R4194" t="s">
        <v>320</v>
      </c>
      <c r="S4194" t="s">
        <v>323</v>
      </c>
      <c r="T4194">
        <v>7.6</v>
      </c>
      <c r="Y4194" s="42">
        <v>43837</v>
      </c>
    </row>
    <row r="4195" spans="1:25">
      <c r="N4195" s="42">
        <v>43826</v>
      </c>
      <c r="O4195" t="s">
        <v>346</v>
      </c>
      <c r="P4195" s="42">
        <v>43826</v>
      </c>
      <c r="Q4195" t="s">
        <v>346</v>
      </c>
      <c r="R4195" t="s">
        <v>320</v>
      </c>
      <c r="S4195" t="s">
        <v>323</v>
      </c>
      <c r="T4195">
        <v>7.6</v>
      </c>
      <c r="Y4195" s="42">
        <v>43837</v>
      </c>
    </row>
    <row r="4196" spans="1:25">
      <c r="N4196" s="42">
        <v>43810</v>
      </c>
      <c r="O4196" t="s">
        <v>328</v>
      </c>
      <c r="P4196" s="42">
        <v>43823</v>
      </c>
      <c r="Q4196" t="s">
        <v>333</v>
      </c>
      <c r="R4196" t="s">
        <v>320</v>
      </c>
      <c r="S4196" t="s">
        <v>323</v>
      </c>
      <c r="T4196">
        <v>76</v>
      </c>
      <c r="Y4196" s="42">
        <v>43823</v>
      </c>
    </row>
    <row r="4197" spans="1:25">
      <c r="N4197" s="42">
        <v>43809</v>
      </c>
      <c r="O4197" t="s">
        <v>333</v>
      </c>
      <c r="P4197" s="42">
        <v>43809</v>
      </c>
      <c r="Q4197" t="s">
        <v>333</v>
      </c>
      <c r="R4197" t="s">
        <v>320</v>
      </c>
      <c r="S4197" t="s">
        <v>323</v>
      </c>
      <c r="T4197">
        <v>7.6</v>
      </c>
      <c r="Y4197" s="42">
        <v>43809</v>
      </c>
    </row>
    <row r="4198" spans="1:25">
      <c r="N4198" s="42">
        <v>43808</v>
      </c>
      <c r="O4198" t="s">
        <v>345</v>
      </c>
      <c r="P4198" s="42">
        <v>43808</v>
      </c>
      <c r="Q4198" t="s">
        <v>345</v>
      </c>
      <c r="R4198" t="s">
        <v>320</v>
      </c>
      <c r="S4198" t="s">
        <v>323</v>
      </c>
      <c r="T4198">
        <v>7.6</v>
      </c>
      <c r="Y4198" s="42">
        <v>43809</v>
      </c>
    </row>
    <row r="4199" spans="1:25">
      <c r="N4199" s="42">
        <v>43805</v>
      </c>
      <c r="O4199" t="s">
        <v>346</v>
      </c>
      <c r="P4199" s="42">
        <v>43805</v>
      </c>
      <c r="Q4199" t="s">
        <v>346</v>
      </c>
      <c r="R4199" t="s">
        <v>320</v>
      </c>
      <c r="S4199" t="s">
        <v>323</v>
      </c>
      <c r="T4199">
        <v>7.6</v>
      </c>
      <c r="Y4199" s="42">
        <v>43809</v>
      </c>
    </row>
    <row r="4200" spans="1:25">
      <c r="N4200" s="42">
        <v>43804</v>
      </c>
      <c r="O4200" t="s">
        <v>324</v>
      </c>
      <c r="P4200" s="42">
        <v>43804</v>
      </c>
      <c r="Q4200" t="s">
        <v>324</v>
      </c>
      <c r="R4200" t="s">
        <v>320</v>
      </c>
      <c r="S4200" t="s">
        <v>323</v>
      </c>
      <c r="T4200">
        <v>7.6</v>
      </c>
      <c r="Y4200" s="42">
        <v>43809</v>
      </c>
    </row>
    <row r="4201" spans="1:25">
      <c r="N4201" s="42">
        <v>43803</v>
      </c>
      <c r="O4201" t="s">
        <v>328</v>
      </c>
      <c r="P4201" s="42">
        <v>43803</v>
      </c>
      <c r="Q4201" t="s">
        <v>328</v>
      </c>
      <c r="R4201" t="s">
        <v>320</v>
      </c>
      <c r="S4201" t="s">
        <v>323</v>
      </c>
      <c r="T4201">
        <v>7.6</v>
      </c>
      <c r="Y4201" s="42">
        <v>43809</v>
      </c>
    </row>
    <row r="4202" spans="1:25">
      <c r="N4202" s="42">
        <v>43766</v>
      </c>
      <c r="O4202" t="s">
        <v>345</v>
      </c>
      <c r="P4202" s="42">
        <v>43766</v>
      </c>
      <c r="Q4202" t="s">
        <v>345</v>
      </c>
      <c r="R4202" t="s">
        <v>329</v>
      </c>
      <c r="S4202" t="s">
        <v>323</v>
      </c>
      <c r="T4202">
        <v>7.6</v>
      </c>
      <c r="W4202" t="s">
        <v>330</v>
      </c>
      <c r="Y4202" s="42">
        <v>43767</v>
      </c>
    </row>
    <row r="4203" spans="1:25">
      <c r="N4203" s="42">
        <v>43718</v>
      </c>
      <c r="O4203" t="s">
        <v>333</v>
      </c>
      <c r="P4203" s="42">
        <v>43718</v>
      </c>
      <c r="Q4203" t="s">
        <v>333</v>
      </c>
      <c r="R4203" t="s">
        <v>329</v>
      </c>
      <c r="S4203" t="s">
        <v>323</v>
      </c>
      <c r="T4203">
        <v>7.6</v>
      </c>
      <c r="W4203" t="s">
        <v>330</v>
      </c>
      <c r="Y4203" s="42">
        <v>43725</v>
      </c>
    </row>
    <row r="4204" spans="1:25">
      <c r="N4204" s="42">
        <v>43717</v>
      </c>
      <c r="O4204" t="s">
        <v>345</v>
      </c>
      <c r="P4204" s="42">
        <v>43717</v>
      </c>
      <c r="Q4204" t="s">
        <v>345</v>
      </c>
      <c r="R4204" t="s">
        <v>329</v>
      </c>
      <c r="S4204" t="s">
        <v>323</v>
      </c>
      <c r="T4204">
        <v>7.6</v>
      </c>
      <c r="W4204" t="s">
        <v>330</v>
      </c>
      <c r="Y4204" s="42">
        <v>43725</v>
      </c>
    </row>
    <row r="4205" spans="1:25">
      <c r="A4205">
        <v>18713</v>
      </c>
      <c r="B4205" t="s">
        <v>403</v>
      </c>
      <c r="C4205" t="s">
        <v>320</v>
      </c>
      <c r="D4205" t="s">
        <v>336</v>
      </c>
      <c r="E4205" t="s">
        <v>337</v>
      </c>
      <c r="F4205">
        <v>1</v>
      </c>
      <c r="G4205" s="42">
        <v>45274</v>
      </c>
      <c r="H4205">
        <v>152</v>
      </c>
      <c r="I4205">
        <v>125.1994</v>
      </c>
      <c r="J4205">
        <v>33.315100000000001</v>
      </c>
      <c r="K4205">
        <v>158.5145</v>
      </c>
      <c r="L4205" t="s">
        <v>323</v>
      </c>
      <c r="M4205" s="43">
        <v>0.29305555555555557</v>
      </c>
      <c r="N4205" s="42">
        <v>44952</v>
      </c>
      <c r="O4205" t="s">
        <v>324</v>
      </c>
      <c r="P4205" s="42">
        <v>44952</v>
      </c>
      <c r="Q4205" t="s">
        <v>324</v>
      </c>
      <c r="R4205" t="s">
        <v>320</v>
      </c>
      <c r="S4205" t="s">
        <v>323</v>
      </c>
      <c r="U4205">
        <v>7.6</v>
      </c>
      <c r="Y4205" s="42">
        <v>44957</v>
      </c>
    </row>
    <row r="4206" spans="1:25">
      <c r="C4206" t="s">
        <v>325</v>
      </c>
      <c r="D4206" t="s">
        <v>395</v>
      </c>
      <c r="E4206" t="s">
        <v>396</v>
      </c>
      <c r="F4206">
        <v>1</v>
      </c>
      <c r="G4206" s="42">
        <v>46005</v>
      </c>
      <c r="H4206">
        <v>386.85090000000002</v>
      </c>
      <c r="I4206">
        <v>0</v>
      </c>
      <c r="J4206">
        <v>295.2543</v>
      </c>
      <c r="K4206">
        <v>295.2543</v>
      </c>
      <c r="L4206" t="s">
        <v>323</v>
      </c>
      <c r="N4206" s="42">
        <v>44944</v>
      </c>
      <c r="O4206" t="s">
        <v>328</v>
      </c>
      <c r="P4206" s="42">
        <v>44950</v>
      </c>
      <c r="Q4206" t="s">
        <v>333</v>
      </c>
      <c r="R4206" t="s">
        <v>320</v>
      </c>
      <c r="S4206" t="s">
        <v>323</v>
      </c>
      <c r="T4206">
        <v>38</v>
      </c>
      <c r="U4206">
        <v>0</v>
      </c>
      <c r="V4206">
        <v>0</v>
      </c>
      <c r="Y4206" s="42">
        <v>44957</v>
      </c>
    </row>
    <row r="4207" spans="1:25">
      <c r="C4207" t="s">
        <v>329</v>
      </c>
      <c r="D4207" t="s">
        <v>342</v>
      </c>
      <c r="E4207" t="s">
        <v>343</v>
      </c>
      <c r="F4207">
        <v>1</v>
      </c>
      <c r="G4207" s="42">
        <v>45274</v>
      </c>
      <c r="H4207">
        <v>76</v>
      </c>
      <c r="I4207">
        <v>207.72929999999999</v>
      </c>
      <c r="J4207">
        <v>16.657499999999999</v>
      </c>
      <c r="K4207">
        <v>224.38679999999999</v>
      </c>
      <c r="L4207" t="s">
        <v>323</v>
      </c>
      <c r="N4207" s="42">
        <v>44942</v>
      </c>
      <c r="O4207" t="s">
        <v>345</v>
      </c>
      <c r="P4207" s="42">
        <v>44943</v>
      </c>
      <c r="Q4207" t="s">
        <v>333</v>
      </c>
      <c r="R4207" t="s">
        <v>354</v>
      </c>
      <c r="S4207" t="s">
        <v>323</v>
      </c>
      <c r="T4207">
        <v>15.2</v>
      </c>
      <c r="W4207" t="s">
        <v>339</v>
      </c>
      <c r="Y4207" s="42">
        <v>44943</v>
      </c>
    </row>
    <row r="4208" spans="1:25">
      <c r="N4208" s="42">
        <v>44931</v>
      </c>
      <c r="O4208" t="s">
        <v>324</v>
      </c>
      <c r="P4208" s="42">
        <v>44932</v>
      </c>
      <c r="Q4208" t="s">
        <v>346</v>
      </c>
      <c r="R4208" t="s">
        <v>320</v>
      </c>
      <c r="S4208" t="s">
        <v>323</v>
      </c>
      <c r="T4208">
        <v>15.2</v>
      </c>
      <c r="V4208">
        <v>0</v>
      </c>
      <c r="Y4208" s="42">
        <v>44943</v>
      </c>
    </row>
    <row r="4209" spans="14:25">
      <c r="N4209" s="42">
        <v>44928</v>
      </c>
      <c r="O4209" t="s">
        <v>345</v>
      </c>
      <c r="P4209" s="42">
        <v>44928</v>
      </c>
      <c r="Q4209" t="s">
        <v>345</v>
      </c>
      <c r="R4209" t="s">
        <v>320</v>
      </c>
      <c r="S4209" t="s">
        <v>323</v>
      </c>
      <c r="U4209">
        <v>7.6</v>
      </c>
      <c r="Y4209" s="42">
        <v>44929</v>
      </c>
    </row>
    <row r="4210" spans="14:25">
      <c r="N4210" s="42">
        <v>44922</v>
      </c>
      <c r="O4210" t="s">
        <v>333</v>
      </c>
      <c r="P4210" s="42">
        <v>44922</v>
      </c>
      <c r="Q4210" t="s">
        <v>333</v>
      </c>
      <c r="R4210" t="s">
        <v>320</v>
      </c>
      <c r="S4210" t="s">
        <v>323</v>
      </c>
      <c r="U4210">
        <v>7.6</v>
      </c>
      <c r="Y4210" s="42">
        <v>44929</v>
      </c>
    </row>
    <row r="4211" spans="14:25">
      <c r="N4211" s="42">
        <v>44921</v>
      </c>
      <c r="O4211" t="s">
        <v>345</v>
      </c>
      <c r="P4211" s="42">
        <v>44921</v>
      </c>
      <c r="Q4211" t="s">
        <v>345</v>
      </c>
      <c r="R4211" t="s">
        <v>320</v>
      </c>
      <c r="S4211" t="s">
        <v>323</v>
      </c>
      <c r="U4211">
        <v>7.6</v>
      </c>
      <c r="Y4211" s="42">
        <v>44929</v>
      </c>
    </row>
    <row r="4212" spans="14:25">
      <c r="N4212" s="42">
        <v>44915</v>
      </c>
      <c r="O4212" t="s">
        <v>333</v>
      </c>
      <c r="P4212" s="42">
        <v>44915</v>
      </c>
      <c r="Q4212" t="s">
        <v>333</v>
      </c>
      <c r="R4212" t="s">
        <v>347</v>
      </c>
      <c r="S4212" t="s">
        <v>323</v>
      </c>
      <c r="T4212">
        <v>7.6</v>
      </c>
      <c r="W4212" t="s">
        <v>339</v>
      </c>
      <c r="Y4212" s="42">
        <v>44915</v>
      </c>
    </row>
    <row r="4213" spans="14:25">
      <c r="N4213" s="42">
        <v>44911</v>
      </c>
      <c r="O4213" t="s">
        <v>346</v>
      </c>
      <c r="P4213" s="42">
        <v>44911</v>
      </c>
      <c r="Q4213" t="s">
        <v>346</v>
      </c>
      <c r="R4213" t="s">
        <v>329</v>
      </c>
      <c r="S4213" t="s">
        <v>323</v>
      </c>
      <c r="T4213">
        <v>7.6</v>
      </c>
      <c r="W4213" t="s">
        <v>339</v>
      </c>
      <c r="Y4213" s="42">
        <v>44915</v>
      </c>
    </row>
    <row r="4214" spans="14:25">
      <c r="N4214" s="42">
        <v>44895</v>
      </c>
      <c r="O4214" t="s">
        <v>328</v>
      </c>
      <c r="P4214" s="42">
        <v>44897</v>
      </c>
      <c r="Q4214" t="s">
        <v>346</v>
      </c>
      <c r="R4214" t="s">
        <v>320</v>
      </c>
      <c r="S4214" t="s">
        <v>323</v>
      </c>
      <c r="T4214">
        <v>22.8</v>
      </c>
      <c r="V4214">
        <v>0</v>
      </c>
      <c r="Y4214" s="42">
        <v>44901</v>
      </c>
    </row>
    <row r="4215" spans="14:25">
      <c r="N4215" s="42">
        <v>44846</v>
      </c>
      <c r="O4215" t="s">
        <v>328</v>
      </c>
      <c r="P4215" s="42">
        <v>44846</v>
      </c>
      <c r="Q4215" t="s">
        <v>328</v>
      </c>
      <c r="R4215" t="s">
        <v>329</v>
      </c>
      <c r="S4215" t="s">
        <v>323</v>
      </c>
      <c r="T4215">
        <v>7.6</v>
      </c>
      <c r="W4215" t="s">
        <v>339</v>
      </c>
      <c r="Y4215" s="42">
        <v>44859</v>
      </c>
    </row>
    <row r="4216" spans="14:25">
      <c r="N4216" s="42">
        <v>44837</v>
      </c>
      <c r="O4216" t="s">
        <v>345</v>
      </c>
      <c r="P4216" s="42">
        <v>44837</v>
      </c>
      <c r="Q4216" t="s">
        <v>345</v>
      </c>
      <c r="R4216" t="s">
        <v>320</v>
      </c>
      <c r="S4216" t="s">
        <v>323</v>
      </c>
      <c r="U4216">
        <v>7.6</v>
      </c>
      <c r="Y4216" s="42">
        <v>44845</v>
      </c>
    </row>
    <row r="4217" spans="14:25">
      <c r="N4217" s="42">
        <v>44826</v>
      </c>
      <c r="O4217" t="s">
        <v>324</v>
      </c>
      <c r="P4217" s="42">
        <v>44826</v>
      </c>
      <c r="Q4217" t="s">
        <v>324</v>
      </c>
      <c r="R4217" t="s">
        <v>320</v>
      </c>
      <c r="S4217" t="s">
        <v>323</v>
      </c>
      <c r="U4217">
        <v>7.6</v>
      </c>
      <c r="Y4217" s="42">
        <v>44831</v>
      </c>
    </row>
    <row r="4218" spans="14:25">
      <c r="N4218" s="42">
        <v>44820</v>
      </c>
      <c r="O4218" t="s">
        <v>346</v>
      </c>
      <c r="P4218" s="42">
        <v>44825</v>
      </c>
      <c r="Q4218" t="s">
        <v>328</v>
      </c>
      <c r="R4218" t="s">
        <v>320</v>
      </c>
      <c r="S4218" t="s">
        <v>323</v>
      </c>
      <c r="T4218">
        <v>30.4</v>
      </c>
      <c r="V4218">
        <v>0</v>
      </c>
      <c r="Y4218" s="42">
        <v>44831</v>
      </c>
    </row>
    <row r="4219" spans="14:25">
      <c r="N4219" s="42">
        <v>44783</v>
      </c>
      <c r="O4219" t="s">
        <v>328</v>
      </c>
      <c r="P4219" s="42">
        <v>44783</v>
      </c>
      <c r="Q4219" t="s">
        <v>328</v>
      </c>
      <c r="R4219" t="s">
        <v>320</v>
      </c>
      <c r="S4219" t="s">
        <v>323</v>
      </c>
      <c r="U4219">
        <v>7.6</v>
      </c>
      <c r="Y4219" s="42">
        <v>44789</v>
      </c>
    </row>
    <row r="4220" spans="14:25">
      <c r="N4220" s="42">
        <v>44762</v>
      </c>
      <c r="O4220" t="s">
        <v>328</v>
      </c>
      <c r="P4220" s="42">
        <v>44762</v>
      </c>
      <c r="Q4220" t="s">
        <v>328</v>
      </c>
      <c r="R4220" t="s">
        <v>347</v>
      </c>
      <c r="S4220" t="s">
        <v>323</v>
      </c>
      <c r="T4220">
        <v>7.6</v>
      </c>
      <c r="W4220" t="s">
        <v>339</v>
      </c>
      <c r="Y4220" s="42">
        <v>44775</v>
      </c>
    </row>
    <row r="4221" spans="14:25">
      <c r="N4221" s="42">
        <v>44684</v>
      </c>
      <c r="O4221" t="s">
        <v>333</v>
      </c>
      <c r="P4221" s="42">
        <v>44685</v>
      </c>
      <c r="Q4221" t="s">
        <v>328</v>
      </c>
      <c r="R4221" t="s">
        <v>320</v>
      </c>
      <c r="S4221" t="s">
        <v>323</v>
      </c>
      <c r="T4221">
        <v>15.2</v>
      </c>
      <c r="V4221">
        <v>0</v>
      </c>
      <c r="Y4221" s="42">
        <v>44691</v>
      </c>
    </row>
    <row r="4222" spans="14:25">
      <c r="N4222" s="42">
        <v>44683</v>
      </c>
      <c r="O4222" t="s">
        <v>345</v>
      </c>
      <c r="P4222" s="42">
        <v>44683</v>
      </c>
      <c r="Q4222" t="s">
        <v>345</v>
      </c>
      <c r="R4222" t="s">
        <v>320</v>
      </c>
      <c r="S4222" t="s">
        <v>323</v>
      </c>
      <c r="U4222">
        <v>7.6</v>
      </c>
      <c r="Y4222" s="42">
        <v>44691</v>
      </c>
    </row>
    <row r="4223" spans="14:25">
      <c r="N4223" s="42">
        <v>44676</v>
      </c>
      <c r="O4223" t="s">
        <v>345</v>
      </c>
      <c r="P4223" s="42">
        <v>44676</v>
      </c>
      <c r="Q4223" t="s">
        <v>345</v>
      </c>
      <c r="R4223" t="s">
        <v>320</v>
      </c>
      <c r="S4223" t="s">
        <v>323</v>
      </c>
      <c r="U4223">
        <v>7.6</v>
      </c>
      <c r="Y4223" s="42">
        <v>44677</v>
      </c>
    </row>
    <row r="4224" spans="14:25">
      <c r="N4224" s="42">
        <v>44669</v>
      </c>
      <c r="O4224" t="s">
        <v>345</v>
      </c>
      <c r="P4224" s="42">
        <v>44669</v>
      </c>
      <c r="Q4224" t="s">
        <v>345</v>
      </c>
      <c r="R4224" t="s">
        <v>320</v>
      </c>
      <c r="S4224" t="s">
        <v>323</v>
      </c>
      <c r="U4224">
        <v>7.6</v>
      </c>
      <c r="Y4224" s="42">
        <v>44677</v>
      </c>
    </row>
    <row r="4225" spans="14:25">
      <c r="N4225" s="42">
        <v>44666</v>
      </c>
      <c r="O4225" t="s">
        <v>346</v>
      </c>
      <c r="P4225" s="42">
        <v>44666</v>
      </c>
      <c r="Q4225" t="s">
        <v>346</v>
      </c>
      <c r="R4225" t="s">
        <v>320</v>
      </c>
      <c r="S4225" t="s">
        <v>323</v>
      </c>
      <c r="U4225">
        <v>7.6</v>
      </c>
      <c r="Y4225" s="42">
        <v>44677</v>
      </c>
    </row>
    <row r="4226" spans="14:25">
      <c r="N4226" s="42">
        <v>44662</v>
      </c>
      <c r="O4226" t="s">
        <v>345</v>
      </c>
      <c r="P4226" s="42">
        <v>44663</v>
      </c>
      <c r="Q4226" t="s">
        <v>333</v>
      </c>
      <c r="R4226" t="s">
        <v>320</v>
      </c>
      <c r="S4226" t="s">
        <v>323</v>
      </c>
      <c r="T4226">
        <v>15.2</v>
      </c>
      <c r="V4226">
        <v>0</v>
      </c>
      <c r="Y4226" s="42">
        <v>44663</v>
      </c>
    </row>
    <row r="4227" spans="14:25">
      <c r="N4227" s="42">
        <v>44655</v>
      </c>
      <c r="O4227" t="s">
        <v>345</v>
      </c>
      <c r="P4227" s="42">
        <v>44656</v>
      </c>
      <c r="Q4227" t="s">
        <v>333</v>
      </c>
      <c r="R4227" t="s">
        <v>354</v>
      </c>
      <c r="S4227" t="s">
        <v>323</v>
      </c>
      <c r="T4227">
        <v>15.2</v>
      </c>
      <c r="W4227" t="s">
        <v>339</v>
      </c>
      <c r="Y4227" s="42">
        <v>44663</v>
      </c>
    </row>
    <row r="4228" spans="14:25">
      <c r="N4228" s="42">
        <v>44592</v>
      </c>
      <c r="O4228" t="s">
        <v>345</v>
      </c>
      <c r="P4228" s="42">
        <v>44593</v>
      </c>
      <c r="Q4228" t="s">
        <v>333</v>
      </c>
      <c r="R4228" t="s">
        <v>329</v>
      </c>
      <c r="S4228" t="s">
        <v>323</v>
      </c>
      <c r="T4228">
        <v>15.2</v>
      </c>
      <c r="W4228" t="s">
        <v>339</v>
      </c>
      <c r="Y4228" s="42">
        <v>44593</v>
      </c>
    </row>
    <row r="4229" spans="14:25">
      <c r="N4229" s="42">
        <v>44587</v>
      </c>
      <c r="O4229" t="s">
        <v>328</v>
      </c>
      <c r="P4229" s="42">
        <v>44587</v>
      </c>
      <c r="Q4229" t="s">
        <v>328</v>
      </c>
      <c r="R4229" t="s">
        <v>320</v>
      </c>
      <c r="S4229" t="s">
        <v>323</v>
      </c>
      <c r="U4229">
        <v>7.6</v>
      </c>
      <c r="Y4229" s="42">
        <v>44593</v>
      </c>
    </row>
    <row r="4230" spans="14:25">
      <c r="N4230" s="42">
        <v>44566</v>
      </c>
      <c r="O4230" t="s">
        <v>328</v>
      </c>
      <c r="P4230" s="42">
        <v>44568</v>
      </c>
      <c r="Q4230" t="s">
        <v>346</v>
      </c>
      <c r="R4230" t="s">
        <v>320</v>
      </c>
      <c r="S4230" t="s">
        <v>323</v>
      </c>
      <c r="T4230">
        <v>22.8</v>
      </c>
      <c r="U4230">
        <v>0</v>
      </c>
      <c r="V4230">
        <v>0</v>
      </c>
      <c r="Y4230" s="42">
        <v>44579</v>
      </c>
    </row>
    <row r="4231" spans="14:25">
      <c r="N4231" s="42">
        <v>44565</v>
      </c>
      <c r="O4231" t="s">
        <v>333</v>
      </c>
      <c r="P4231" s="42">
        <v>44565</v>
      </c>
      <c r="Q4231" t="s">
        <v>333</v>
      </c>
      <c r="R4231" t="s">
        <v>320</v>
      </c>
      <c r="S4231" t="s">
        <v>323</v>
      </c>
      <c r="T4231">
        <v>7.6</v>
      </c>
      <c r="U4231">
        <v>0</v>
      </c>
      <c r="V4231">
        <v>0</v>
      </c>
      <c r="Y4231" s="42">
        <v>44565</v>
      </c>
    </row>
    <row r="4232" spans="14:25">
      <c r="N4232" s="42">
        <v>44564</v>
      </c>
      <c r="O4232" t="s">
        <v>345</v>
      </c>
      <c r="P4232" s="42">
        <v>44564</v>
      </c>
      <c r="Q4232" t="s">
        <v>345</v>
      </c>
      <c r="R4232" t="s">
        <v>320</v>
      </c>
      <c r="S4232" t="s">
        <v>323</v>
      </c>
      <c r="U4232">
        <v>7.6</v>
      </c>
      <c r="Y4232" s="42">
        <v>44565</v>
      </c>
    </row>
    <row r="4233" spans="14:25">
      <c r="N4233" s="42">
        <v>44558</v>
      </c>
      <c r="O4233" t="s">
        <v>333</v>
      </c>
      <c r="P4233" s="42">
        <v>44558</v>
      </c>
      <c r="Q4233" t="s">
        <v>333</v>
      </c>
      <c r="R4233" t="s">
        <v>320</v>
      </c>
      <c r="S4233" t="s">
        <v>323</v>
      </c>
      <c r="U4233">
        <v>7.6</v>
      </c>
      <c r="Y4233" s="42">
        <v>44565</v>
      </c>
    </row>
    <row r="4234" spans="14:25">
      <c r="N4234" s="42">
        <v>44557</v>
      </c>
      <c r="O4234" t="s">
        <v>345</v>
      </c>
      <c r="P4234" s="42">
        <v>44557</v>
      </c>
      <c r="Q4234" t="s">
        <v>345</v>
      </c>
      <c r="R4234" t="s">
        <v>320</v>
      </c>
      <c r="S4234" t="s">
        <v>323</v>
      </c>
      <c r="U4234">
        <v>7.6</v>
      </c>
      <c r="Y4234" s="42">
        <v>44565</v>
      </c>
    </row>
    <row r="4235" spans="14:25">
      <c r="N4235" s="42">
        <v>44546</v>
      </c>
      <c r="O4235" t="s">
        <v>324</v>
      </c>
      <c r="P4235" s="42">
        <v>44547</v>
      </c>
      <c r="Q4235" t="s">
        <v>346</v>
      </c>
      <c r="R4235" t="s">
        <v>320</v>
      </c>
      <c r="S4235" t="s">
        <v>323</v>
      </c>
      <c r="T4235">
        <v>15.2</v>
      </c>
      <c r="V4235">
        <v>0</v>
      </c>
      <c r="Y4235" s="42">
        <v>44551</v>
      </c>
    </row>
    <row r="4236" spans="14:25">
      <c r="N4236" s="42">
        <v>44487</v>
      </c>
      <c r="O4236" t="s">
        <v>345</v>
      </c>
      <c r="P4236" s="42">
        <v>44491</v>
      </c>
      <c r="Q4236" t="s">
        <v>346</v>
      </c>
      <c r="R4236" t="s">
        <v>320</v>
      </c>
      <c r="S4236" t="s">
        <v>323</v>
      </c>
      <c r="T4236">
        <v>38</v>
      </c>
      <c r="V4236">
        <v>0</v>
      </c>
      <c r="Y4236" s="42">
        <v>44495</v>
      </c>
    </row>
    <row r="4237" spans="14:25">
      <c r="N4237" s="42">
        <v>44483</v>
      </c>
      <c r="O4237" t="s">
        <v>324</v>
      </c>
      <c r="P4237" s="42">
        <v>44484</v>
      </c>
      <c r="Q4237" t="s">
        <v>346</v>
      </c>
      <c r="R4237" t="s">
        <v>320</v>
      </c>
      <c r="S4237" t="s">
        <v>323</v>
      </c>
      <c r="T4237">
        <v>15.2</v>
      </c>
      <c r="V4237">
        <v>0</v>
      </c>
      <c r="Y4237" s="42">
        <v>44495</v>
      </c>
    </row>
    <row r="4238" spans="14:25">
      <c r="N4238" s="42">
        <v>44473</v>
      </c>
      <c r="O4238" t="s">
        <v>345</v>
      </c>
      <c r="P4238" s="42">
        <v>44473</v>
      </c>
      <c r="Q4238" t="s">
        <v>345</v>
      </c>
      <c r="R4238" t="s">
        <v>320</v>
      </c>
      <c r="S4238" t="s">
        <v>323</v>
      </c>
      <c r="U4238">
        <v>7.6</v>
      </c>
      <c r="Y4238" s="42">
        <v>44481</v>
      </c>
    </row>
    <row r="4239" spans="14:25">
      <c r="N4239" s="42">
        <v>44462</v>
      </c>
      <c r="O4239" t="s">
        <v>324</v>
      </c>
      <c r="P4239" s="42">
        <v>44463</v>
      </c>
      <c r="Q4239" t="s">
        <v>346</v>
      </c>
      <c r="R4239" t="s">
        <v>320</v>
      </c>
      <c r="S4239" t="s">
        <v>323</v>
      </c>
      <c r="T4239">
        <v>15.2</v>
      </c>
      <c r="V4239">
        <v>0</v>
      </c>
      <c r="Y4239" s="42">
        <v>44467</v>
      </c>
    </row>
    <row r="4240" spans="14:25">
      <c r="N4240" s="42">
        <v>44424</v>
      </c>
      <c r="O4240" t="s">
        <v>345</v>
      </c>
      <c r="P4240" s="42">
        <v>44424</v>
      </c>
      <c r="Q4240" t="s">
        <v>345</v>
      </c>
      <c r="R4240" t="s">
        <v>347</v>
      </c>
      <c r="S4240" t="s">
        <v>323</v>
      </c>
      <c r="T4240">
        <v>7.6</v>
      </c>
      <c r="W4240" t="s">
        <v>339</v>
      </c>
      <c r="Y4240" s="42">
        <v>44425</v>
      </c>
    </row>
    <row r="4241" spans="14:25">
      <c r="N4241" s="42">
        <v>44350</v>
      </c>
      <c r="O4241" t="s">
        <v>324</v>
      </c>
      <c r="P4241" s="42">
        <v>44351</v>
      </c>
      <c r="Q4241" t="s">
        <v>346</v>
      </c>
      <c r="R4241" t="s">
        <v>320</v>
      </c>
      <c r="S4241" t="s">
        <v>323</v>
      </c>
      <c r="T4241">
        <v>15.2</v>
      </c>
      <c r="V4241">
        <v>0</v>
      </c>
      <c r="Y4241" s="42">
        <v>44355</v>
      </c>
    </row>
    <row r="4242" spans="14:25">
      <c r="N4242" s="42">
        <v>44319</v>
      </c>
      <c r="O4242" t="s">
        <v>345</v>
      </c>
      <c r="P4242" s="42">
        <v>44319</v>
      </c>
      <c r="Q4242" t="s">
        <v>345</v>
      </c>
      <c r="R4242" t="s">
        <v>320</v>
      </c>
      <c r="S4242" t="s">
        <v>323</v>
      </c>
      <c r="U4242">
        <v>7.6</v>
      </c>
      <c r="Y4242" s="42">
        <v>44327</v>
      </c>
    </row>
    <row r="4243" spans="14:25">
      <c r="N4243" s="42">
        <v>44312</v>
      </c>
      <c r="O4243" t="s">
        <v>345</v>
      </c>
      <c r="P4243" s="42">
        <v>44312</v>
      </c>
      <c r="Q4243" t="s">
        <v>345</v>
      </c>
      <c r="R4243" t="s">
        <v>320</v>
      </c>
      <c r="S4243" t="s">
        <v>323</v>
      </c>
      <c r="U4243">
        <v>7.6</v>
      </c>
      <c r="Y4243" s="42">
        <v>44313</v>
      </c>
    </row>
    <row r="4244" spans="14:25">
      <c r="N4244" s="42">
        <v>44301</v>
      </c>
      <c r="O4244" t="s">
        <v>324</v>
      </c>
      <c r="P4244" s="42">
        <v>44302</v>
      </c>
      <c r="Q4244" t="s">
        <v>346</v>
      </c>
      <c r="R4244" t="s">
        <v>354</v>
      </c>
      <c r="S4244" t="s">
        <v>323</v>
      </c>
      <c r="T4244">
        <v>15.2</v>
      </c>
      <c r="W4244" t="s">
        <v>339</v>
      </c>
      <c r="Y4244" s="42">
        <v>44313</v>
      </c>
    </row>
    <row r="4245" spans="14:25">
      <c r="N4245" s="42">
        <v>44291</v>
      </c>
      <c r="O4245" t="s">
        <v>345</v>
      </c>
      <c r="P4245" s="42">
        <v>44291</v>
      </c>
      <c r="Q4245" t="s">
        <v>345</v>
      </c>
      <c r="R4245" t="s">
        <v>320</v>
      </c>
      <c r="S4245" t="s">
        <v>323</v>
      </c>
      <c r="U4245">
        <v>7.6</v>
      </c>
    </row>
    <row r="4246" spans="14:25">
      <c r="N4246" s="42">
        <v>44288</v>
      </c>
      <c r="O4246" t="s">
        <v>346</v>
      </c>
      <c r="P4246" s="42">
        <v>44288</v>
      </c>
      <c r="Q4246" t="s">
        <v>346</v>
      </c>
      <c r="R4246" t="s">
        <v>320</v>
      </c>
      <c r="S4246" t="s">
        <v>323</v>
      </c>
      <c r="U4246">
        <v>7.6</v>
      </c>
    </row>
    <row r="4247" spans="14:25">
      <c r="N4247" s="42">
        <v>44281</v>
      </c>
      <c r="O4247" t="s">
        <v>346</v>
      </c>
      <c r="P4247" s="42">
        <v>44281</v>
      </c>
      <c r="Q4247" t="s">
        <v>346</v>
      </c>
      <c r="R4247" t="s">
        <v>354</v>
      </c>
      <c r="S4247" t="s">
        <v>323</v>
      </c>
      <c r="T4247">
        <v>7.6</v>
      </c>
      <c r="W4247" t="s">
        <v>339</v>
      </c>
      <c r="Y4247" s="42">
        <v>44285</v>
      </c>
    </row>
    <row r="4248" spans="14:25">
      <c r="N4248" s="42">
        <v>44222</v>
      </c>
      <c r="O4248" t="s">
        <v>333</v>
      </c>
      <c r="P4248" s="42">
        <v>44222</v>
      </c>
      <c r="Q4248" t="s">
        <v>333</v>
      </c>
      <c r="R4248" t="s">
        <v>320</v>
      </c>
      <c r="S4248" t="s">
        <v>323</v>
      </c>
      <c r="U4248">
        <v>7.6</v>
      </c>
      <c r="Y4248" s="42">
        <v>44229</v>
      </c>
    </row>
    <row r="4249" spans="14:25">
      <c r="N4249" s="42">
        <v>44216</v>
      </c>
      <c r="O4249" t="s">
        <v>328</v>
      </c>
      <c r="P4249" s="42">
        <v>44218</v>
      </c>
      <c r="Q4249" t="s">
        <v>346</v>
      </c>
      <c r="R4249" t="s">
        <v>320</v>
      </c>
      <c r="S4249" t="s">
        <v>323</v>
      </c>
      <c r="T4249">
        <v>22.8</v>
      </c>
      <c r="U4249">
        <v>0</v>
      </c>
      <c r="V4249">
        <v>0</v>
      </c>
      <c r="Y4249" s="42">
        <v>44229</v>
      </c>
    </row>
    <row r="4250" spans="14:25">
      <c r="N4250" s="42">
        <v>44207</v>
      </c>
      <c r="O4250" t="s">
        <v>345</v>
      </c>
      <c r="P4250" s="42">
        <v>44215</v>
      </c>
      <c r="Q4250" t="s">
        <v>333</v>
      </c>
      <c r="R4250" t="s">
        <v>320</v>
      </c>
      <c r="S4250" t="s">
        <v>323</v>
      </c>
      <c r="T4250">
        <v>53.2</v>
      </c>
      <c r="U4250">
        <v>0</v>
      </c>
      <c r="V4250">
        <v>0</v>
      </c>
      <c r="Y4250" s="42">
        <v>44215</v>
      </c>
    </row>
    <row r="4251" spans="14:25">
      <c r="N4251" s="42">
        <v>44197</v>
      </c>
      <c r="O4251" t="s">
        <v>346</v>
      </c>
      <c r="P4251" s="42">
        <v>44197</v>
      </c>
      <c r="Q4251" t="s">
        <v>346</v>
      </c>
      <c r="R4251" t="s">
        <v>320</v>
      </c>
      <c r="S4251" t="s">
        <v>323</v>
      </c>
      <c r="U4251">
        <v>7.6</v>
      </c>
    </row>
    <row r="4252" spans="14:25">
      <c r="N4252" s="42">
        <v>44193</v>
      </c>
      <c r="O4252" t="s">
        <v>345</v>
      </c>
      <c r="P4252" s="42">
        <v>44193</v>
      </c>
      <c r="Q4252" t="s">
        <v>345</v>
      </c>
      <c r="R4252" t="s">
        <v>320</v>
      </c>
      <c r="S4252" t="s">
        <v>323</v>
      </c>
      <c r="U4252">
        <v>7.6</v>
      </c>
    </row>
    <row r="4253" spans="14:25">
      <c r="N4253" s="42">
        <v>44190</v>
      </c>
      <c r="O4253" t="s">
        <v>346</v>
      </c>
      <c r="P4253" s="42">
        <v>44190</v>
      </c>
      <c r="Q4253" t="s">
        <v>346</v>
      </c>
      <c r="R4253" t="s">
        <v>320</v>
      </c>
      <c r="S4253" t="s">
        <v>323</v>
      </c>
      <c r="U4253">
        <v>7.6</v>
      </c>
    </row>
    <row r="4254" spans="14:25">
      <c r="N4254" s="42">
        <v>44167</v>
      </c>
      <c r="O4254" t="s">
        <v>328</v>
      </c>
      <c r="P4254" s="42">
        <v>44169</v>
      </c>
      <c r="Q4254" t="s">
        <v>346</v>
      </c>
      <c r="R4254" t="s">
        <v>320</v>
      </c>
      <c r="S4254" t="s">
        <v>323</v>
      </c>
      <c r="T4254">
        <v>22.8</v>
      </c>
      <c r="V4254">
        <v>0</v>
      </c>
      <c r="Y4254" s="42">
        <v>44173</v>
      </c>
    </row>
    <row r="4255" spans="14:25">
      <c r="N4255" s="42">
        <v>44130</v>
      </c>
      <c r="O4255" t="s">
        <v>345</v>
      </c>
      <c r="P4255" s="42">
        <v>44130</v>
      </c>
      <c r="Q4255" t="s">
        <v>345</v>
      </c>
      <c r="R4255" t="s">
        <v>354</v>
      </c>
      <c r="S4255" t="s">
        <v>323</v>
      </c>
      <c r="T4255">
        <v>7.6</v>
      </c>
      <c r="W4255" t="s">
        <v>339</v>
      </c>
      <c r="Y4255" s="42">
        <v>44131</v>
      </c>
    </row>
    <row r="4256" spans="14:25">
      <c r="N4256" s="42">
        <v>44109</v>
      </c>
      <c r="O4256" t="s">
        <v>345</v>
      </c>
      <c r="P4256" s="42">
        <v>44109</v>
      </c>
      <c r="Q4256" t="s">
        <v>345</v>
      </c>
      <c r="R4256" t="s">
        <v>320</v>
      </c>
      <c r="S4256" t="s">
        <v>323</v>
      </c>
      <c r="U4256">
        <v>7.6</v>
      </c>
      <c r="Y4256" s="42">
        <v>44117</v>
      </c>
    </row>
    <row r="4257" spans="14:25">
      <c r="N4257" s="42">
        <v>44064</v>
      </c>
      <c r="O4257" t="s">
        <v>346</v>
      </c>
      <c r="P4257" s="42">
        <v>44064</v>
      </c>
      <c r="Q4257" t="s">
        <v>346</v>
      </c>
      <c r="R4257" t="s">
        <v>329</v>
      </c>
      <c r="S4257" t="s">
        <v>323</v>
      </c>
      <c r="T4257">
        <v>7.6</v>
      </c>
      <c r="W4257" t="s">
        <v>339</v>
      </c>
      <c r="Y4257" s="42">
        <v>44075</v>
      </c>
    </row>
    <row r="4258" spans="14:25">
      <c r="N4258" s="42">
        <v>44048</v>
      </c>
      <c r="O4258" t="s">
        <v>328</v>
      </c>
      <c r="P4258" s="42">
        <v>44048</v>
      </c>
      <c r="Q4258" t="s">
        <v>328</v>
      </c>
      <c r="R4258" t="s">
        <v>320</v>
      </c>
      <c r="S4258" t="s">
        <v>323</v>
      </c>
      <c r="T4258">
        <v>7.6</v>
      </c>
      <c r="U4258">
        <v>0</v>
      </c>
      <c r="V4258">
        <v>0</v>
      </c>
      <c r="Y4258" s="42">
        <v>44061</v>
      </c>
    </row>
    <row r="4259" spans="14:25">
      <c r="N4259" s="42">
        <v>44046</v>
      </c>
      <c r="O4259" t="s">
        <v>345</v>
      </c>
      <c r="P4259" s="42">
        <v>44047</v>
      </c>
      <c r="Q4259" t="s">
        <v>333</v>
      </c>
      <c r="R4259" t="s">
        <v>320</v>
      </c>
      <c r="S4259" t="s">
        <v>323</v>
      </c>
      <c r="T4259">
        <v>15.2</v>
      </c>
      <c r="U4259">
        <v>0</v>
      </c>
      <c r="V4259">
        <v>0</v>
      </c>
      <c r="Y4259" s="42">
        <v>44047</v>
      </c>
    </row>
    <row r="4260" spans="14:25">
      <c r="N4260" s="42">
        <v>43991</v>
      </c>
      <c r="O4260" t="s">
        <v>333</v>
      </c>
      <c r="P4260" s="42">
        <v>43991</v>
      </c>
      <c r="Q4260" t="s">
        <v>333</v>
      </c>
      <c r="R4260" t="s">
        <v>354</v>
      </c>
      <c r="S4260" t="s">
        <v>323</v>
      </c>
      <c r="T4260">
        <v>7.6</v>
      </c>
      <c r="W4260" t="s">
        <v>339</v>
      </c>
      <c r="Y4260" s="42">
        <v>43991</v>
      </c>
    </row>
    <row r="4261" spans="14:25">
      <c r="N4261" s="42">
        <v>43986</v>
      </c>
      <c r="O4261" t="s">
        <v>324</v>
      </c>
      <c r="P4261" s="42">
        <v>43986</v>
      </c>
      <c r="Q4261" t="s">
        <v>324</v>
      </c>
      <c r="R4261" t="s">
        <v>354</v>
      </c>
      <c r="S4261" t="s">
        <v>323</v>
      </c>
      <c r="T4261">
        <v>7.6</v>
      </c>
      <c r="W4261" t="s">
        <v>339</v>
      </c>
      <c r="Y4261" s="42">
        <v>43991</v>
      </c>
    </row>
    <row r="4262" spans="14:25">
      <c r="N4262" s="42">
        <v>43964</v>
      </c>
      <c r="O4262" t="s">
        <v>328</v>
      </c>
      <c r="P4262" s="42">
        <v>43973</v>
      </c>
      <c r="Q4262" t="s">
        <v>346</v>
      </c>
      <c r="R4262" t="s">
        <v>329</v>
      </c>
      <c r="S4262" t="s">
        <v>323</v>
      </c>
      <c r="T4262">
        <v>60.8</v>
      </c>
      <c r="U4262">
        <v>0</v>
      </c>
      <c r="W4262" t="s">
        <v>339</v>
      </c>
      <c r="Y4262" s="42">
        <v>43977</v>
      </c>
    </row>
    <row r="4263" spans="14:25">
      <c r="N4263" s="42">
        <v>43958</v>
      </c>
      <c r="O4263" t="s">
        <v>324</v>
      </c>
      <c r="P4263" s="42">
        <v>43963</v>
      </c>
      <c r="Q4263" t="s">
        <v>333</v>
      </c>
      <c r="R4263" t="s">
        <v>329</v>
      </c>
      <c r="S4263" t="s">
        <v>323</v>
      </c>
      <c r="T4263">
        <v>30.4</v>
      </c>
      <c r="U4263">
        <v>0</v>
      </c>
      <c r="W4263" t="s">
        <v>339</v>
      </c>
      <c r="Y4263" s="42">
        <v>43963</v>
      </c>
    </row>
    <row r="4264" spans="14:25">
      <c r="N4264" s="42">
        <v>43938</v>
      </c>
      <c r="O4264" t="s">
        <v>346</v>
      </c>
      <c r="P4264" s="42">
        <v>43938</v>
      </c>
      <c r="Q4264" t="s">
        <v>346</v>
      </c>
      <c r="R4264" t="s">
        <v>329</v>
      </c>
      <c r="S4264" t="s">
        <v>323</v>
      </c>
      <c r="T4264">
        <v>7.6</v>
      </c>
      <c r="W4264" t="s">
        <v>339</v>
      </c>
      <c r="Y4264" s="42">
        <v>43949</v>
      </c>
    </row>
    <row r="4265" spans="14:25">
      <c r="N4265" s="42">
        <v>43847</v>
      </c>
      <c r="O4265" t="s">
        <v>346</v>
      </c>
      <c r="P4265" s="42">
        <v>43847</v>
      </c>
      <c r="Q4265" t="s">
        <v>346</v>
      </c>
      <c r="R4265" t="s">
        <v>320</v>
      </c>
      <c r="S4265" t="s">
        <v>323</v>
      </c>
      <c r="T4265">
        <v>7.6</v>
      </c>
      <c r="Y4265" s="42">
        <v>43851</v>
      </c>
    </row>
    <row r="4266" spans="14:25">
      <c r="N4266" s="42">
        <v>43846</v>
      </c>
      <c r="O4266" t="s">
        <v>324</v>
      </c>
      <c r="P4266" s="42">
        <v>43846</v>
      </c>
      <c r="Q4266" t="s">
        <v>324</v>
      </c>
      <c r="R4266" t="s">
        <v>320</v>
      </c>
      <c r="S4266" t="s">
        <v>323</v>
      </c>
      <c r="T4266">
        <v>7.6</v>
      </c>
      <c r="Y4266" s="42">
        <v>43851</v>
      </c>
    </row>
    <row r="4267" spans="14:25">
      <c r="N4267" s="42">
        <v>43845</v>
      </c>
      <c r="O4267" t="s">
        <v>328</v>
      </c>
      <c r="P4267" s="42">
        <v>43845</v>
      </c>
      <c r="Q4267" t="s">
        <v>328</v>
      </c>
      <c r="R4267" t="s">
        <v>320</v>
      </c>
      <c r="S4267" t="s">
        <v>323</v>
      </c>
      <c r="T4267">
        <v>7.6</v>
      </c>
      <c r="Y4267" s="42">
        <v>43851</v>
      </c>
    </row>
    <row r="4268" spans="14:25">
      <c r="N4268" s="42">
        <v>43844</v>
      </c>
      <c r="O4268" t="s">
        <v>333</v>
      </c>
      <c r="P4268" s="42">
        <v>43844</v>
      </c>
      <c r="Q4268" t="s">
        <v>333</v>
      </c>
      <c r="R4268" t="s">
        <v>320</v>
      </c>
      <c r="S4268" t="s">
        <v>323</v>
      </c>
      <c r="T4268">
        <v>7.6</v>
      </c>
      <c r="Y4268" s="42">
        <v>43851</v>
      </c>
    </row>
    <row r="4269" spans="14:25">
      <c r="N4269" s="42">
        <v>43843</v>
      </c>
      <c r="O4269" t="s">
        <v>345</v>
      </c>
      <c r="P4269" s="42">
        <v>43843</v>
      </c>
      <c r="Q4269" t="s">
        <v>345</v>
      </c>
      <c r="R4269" t="s">
        <v>320</v>
      </c>
      <c r="S4269" t="s">
        <v>323</v>
      </c>
      <c r="T4269">
        <v>7.6</v>
      </c>
      <c r="Y4269" s="42">
        <v>43851</v>
      </c>
    </row>
    <row r="4270" spans="14:25">
      <c r="N4270" s="42">
        <v>43840</v>
      </c>
      <c r="O4270" t="s">
        <v>346</v>
      </c>
      <c r="P4270" s="42">
        <v>43840</v>
      </c>
      <c r="Q4270" t="s">
        <v>346</v>
      </c>
      <c r="R4270" t="s">
        <v>320</v>
      </c>
      <c r="S4270" t="s">
        <v>323</v>
      </c>
      <c r="T4270">
        <v>7.6</v>
      </c>
      <c r="Y4270" s="42">
        <v>43851</v>
      </c>
    </row>
    <row r="4271" spans="14:25">
      <c r="N4271" s="42">
        <v>43839</v>
      </c>
      <c r="O4271" t="s">
        <v>324</v>
      </c>
      <c r="P4271" s="42">
        <v>43839</v>
      </c>
      <c r="Q4271" t="s">
        <v>324</v>
      </c>
      <c r="R4271" t="s">
        <v>320</v>
      </c>
      <c r="S4271" t="s">
        <v>323</v>
      </c>
      <c r="T4271">
        <v>7.6</v>
      </c>
      <c r="Y4271" s="42">
        <v>43851</v>
      </c>
    </row>
    <row r="4272" spans="14:25">
      <c r="N4272" s="42">
        <v>43838</v>
      </c>
      <c r="O4272" t="s">
        <v>328</v>
      </c>
      <c r="P4272" s="42">
        <v>43838</v>
      </c>
      <c r="Q4272" t="s">
        <v>328</v>
      </c>
      <c r="R4272" t="s">
        <v>320</v>
      </c>
      <c r="S4272" t="s">
        <v>323</v>
      </c>
      <c r="T4272">
        <v>7.6</v>
      </c>
      <c r="Y4272" s="42">
        <v>43851</v>
      </c>
    </row>
    <row r="4273" spans="1:25">
      <c r="N4273" s="42">
        <v>43837</v>
      </c>
      <c r="O4273" t="s">
        <v>333</v>
      </c>
      <c r="P4273" s="42">
        <v>43837</v>
      </c>
      <c r="Q4273" t="s">
        <v>333</v>
      </c>
      <c r="R4273" t="s">
        <v>320</v>
      </c>
      <c r="S4273" t="s">
        <v>323</v>
      </c>
      <c r="T4273">
        <v>7.6</v>
      </c>
      <c r="Y4273" s="42">
        <v>43837</v>
      </c>
    </row>
    <row r="4274" spans="1:25">
      <c r="N4274" s="42">
        <v>43836</v>
      </c>
      <c r="O4274" t="s">
        <v>345</v>
      </c>
      <c r="P4274" s="42">
        <v>43836</v>
      </c>
      <c r="Q4274" t="s">
        <v>345</v>
      </c>
      <c r="R4274" t="s">
        <v>320</v>
      </c>
      <c r="S4274" t="s">
        <v>323</v>
      </c>
      <c r="T4274">
        <v>7.6</v>
      </c>
      <c r="Y4274" s="42">
        <v>43837</v>
      </c>
    </row>
    <row r="4275" spans="1:25">
      <c r="N4275" s="42">
        <v>43831</v>
      </c>
      <c r="O4275" t="s">
        <v>328</v>
      </c>
      <c r="P4275" s="42">
        <v>43831</v>
      </c>
      <c r="Q4275" t="s">
        <v>328</v>
      </c>
      <c r="R4275" t="s">
        <v>320</v>
      </c>
      <c r="S4275" t="s">
        <v>323</v>
      </c>
      <c r="T4275">
        <v>0</v>
      </c>
      <c r="U4275">
        <v>7.6</v>
      </c>
      <c r="Y4275" s="42">
        <v>43837</v>
      </c>
    </row>
    <row r="4276" spans="1:25">
      <c r="N4276" s="42">
        <v>43824</v>
      </c>
      <c r="O4276" t="s">
        <v>328</v>
      </c>
      <c r="P4276" s="42">
        <v>43825</v>
      </c>
      <c r="Q4276" t="s">
        <v>324</v>
      </c>
      <c r="R4276" t="s">
        <v>320</v>
      </c>
      <c r="S4276" t="s">
        <v>323</v>
      </c>
      <c r="T4276">
        <v>0</v>
      </c>
      <c r="U4276">
        <v>15.2</v>
      </c>
      <c r="Y4276" s="42">
        <v>43837</v>
      </c>
    </row>
    <row r="4277" spans="1:25">
      <c r="N4277" s="42">
        <v>43791</v>
      </c>
      <c r="O4277" t="s">
        <v>346</v>
      </c>
      <c r="P4277" s="42">
        <v>43791</v>
      </c>
      <c r="Q4277" t="s">
        <v>346</v>
      </c>
      <c r="R4277" t="s">
        <v>329</v>
      </c>
      <c r="S4277" t="s">
        <v>323</v>
      </c>
      <c r="T4277">
        <v>7.6</v>
      </c>
      <c r="W4277" t="s">
        <v>330</v>
      </c>
      <c r="Y4277" s="42">
        <v>43795</v>
      </c>
    </row>
    <row r="4278" spans="1:25">
      <c r="N4278" s="42">
        <v>43790</v>
      </c>
      <c r="O4278" t="s">
        <v>324</v>
      </c>
      <c r="P4278" s="42">
        <v>43790</v>
      </c>
      <c r="Q4278" t="s">
        <v>324</v>
      </c>
      <c r="R4278" t="s">
        <v>329</v>
      </c>
      <c r="S4278" t="s">
        <v>323</v>
      </c>
      <c r="T4278">
        <v>7.6</v>
      </c>
      <c r="W4278" t="s">
        <v>330</v>
      </c>
      <c r="Y4278" s="42">
        <v>43795</v>
      </c>
    </row>
    <row r="4279" spans="1:25">
      <c r="N4279" s="42">
        <v>43721</v>
      </c>
      <c r="O4279" t="s">
        <v>346</v>
      </c>
      <c r="P4279" s="42">
        <v>43721</v>
      </c>
      <c r="Q4279" t="s">
        <v>346</v>
      </c>
      <c r="R4279" t="s">
        <v>329</v>
      </c>
      <c r="S4279" t="s">
        <v>323</v>
      </c>
      <c r="T4279">
        <v>7.6</v>
      </c>
      <c r="W4279" t="s">
        <v>330</v>
      </c>
      <c r="Y4279" s="42">
        <v>43725</v>
      </c>
    </row>
    <row r="4280" spans="1:25">
      <c r="N4280" s="42">
        <v>43720</v>
      </c>
      <c r="O4280" t="s">
        <v>324</v>
      </c>
      <c r="P4280" s="42">
        <v>43720</v>
      </c>
      <c r="Q4280" t="s">
        <v>324</v>
      </c>
      <c r="R4280" t="s">
        <v>329</v>
      </c>
      <c r="S4280" t="s">
        <v>323</v>
      </c>
      <c r="T4280">
        <v>7.6</v>
      </c>
      <c r="W4280" t="s">
        <v>330</v>
      </c>
      <c r="Y4280" s="42">
        <v>43725</v>
      </c>
    </row>
    <row r="4281" spans="1:25">
      <c r="N4281" s="42">
        <v>43720</v>
      </c>
      <c r="O4281" t="s">
        <v>324</v>
      </c>
      <c r="P4281" s="42">
        <v>43721</v>
      </c>
      <c r="Q4281" t="s">
        <v>346</v>
      </c>
      <c r="R4281" t="s">
        <v>329</v>
      </c>
      <c r="S4281" t="s">
        <v>323</v>
      </c>
      <c r="T4281">
        <v>15.2</v>
      </c>
      <c r="W4281" t="s">
        <v>339</v>
      </c>
      <c r="Y4281" s="42">
        <v>43725</v>
      </c>
    </row>
    <row r="4282" spans="1:25">
      <c r="N4282" s="42">
        <v>43706</v>
      </c>
      <c r="O4282" t="s">
        <v>324</v>
      </c>
      <c r="P4282" s="42">
        <v>43706</v>
      </c>
      <c r="Q4282" t="s">
        <v>324</v>
      </c>
      <c r="R4282" t="s">
        <v>329</v>
      </c>
      <c r="S4282" t="s">
        <v>323</v>
      </c>
      <c r="T4282">
        <v>7.6</v>
      </c>
      <c r="W4282" t="s">
        <v>330</v>
      </c>
      <c r="Y4282" s="42">
        <v>43711</v>
      </c>
    </row>
    <row r="4283" spans="1:25">
      <c r="N4283" s="42">
        <v>43700</v>
      </c>
      <c r="O4283" t="s">
        <v>346</v>
      </c>
      <c r="P4283" s="42">
        <v>43700</v>
      </c>
      <c r="Q4283" t="s">
        <v>346</v>
      </c>
      <c r="R4283" t="s">
        <v>320</v>
      </c>
      <c r="S4283" t="s">
        <v>323</v>
      </c>
      <c r="T4283">
        <v>4</v>
      </c>
      <c r="Y4283" s="42">
        <v>43711</v>
      </c>
    </row>
    <row r="4284" spans="1:25">
      <c r="N4284" s="42">
        <v>43656</v>
      </c>
      <c r="O4284" t="s">
        <v>328</v>
      </c>
      <c r="P4284" s="42">
        <v>43661</v>
      </c>
      <c r="Q4284" t="s">
        <v>345</v>
      </c>
      <c r="R4284" t="s">
        <v>320</v>
      </c>
      <c r="S4284" t="s">
        <v>323</v>
      </c>
      <c r="T4284">
        <v>30.4</v>
      </c>
      <c r="Y4284" s="42">
        <v>43669</v>
      </c>
    </row>
    <row r="4285" spans="1:25">
      <c r="N4285" s="42">
        <v>43647</v>
      </c>
      <c r="O4285" t="s">
        <v>345</v>
      </c>
      <c r="P4285" s="42">
        <v>43655</v>
      </c>
      <c r="Q4285" t="s">
        <v>333</v>
      </c>
      <c r="R4285" t="s">
        <v>320</v>
      </c>
      <c r="S4285" t="s">
        <v>323</v>
      </c>
      <c r="T4285">
        <v>53.2</v>
      </c>
      <c r="Y4285" s="42">
        <v>43655</v>
      </c>
    </row>
    <row r="4286" spans="1:25">
      <c r="N4286" s="42">
        <v>43641</v>
      </c>
      <c r="O4286" t="s">
        <v>333</v>
      </c>
      <c r="P4286" s="42">
        <v>43641</v>
      </c>
      <c r="Q4286" t="s">
        <v>333</v>
      </c>
      <c r="R4286" t="s">
        <v>329</v>
      </c>
      <c r="S4286" t="s">
        <v>323</v>
      </c>
      <c r="T4286">
        <v>7.6</v>
      </c>
      <c r="W4286" t="s">
        <v>330</v>
      </c>
      <c r="Y4286" s="42">
        <v>43641</v>
      </c>
    </row>
    <row r="4287" spans="1:25">
      <c r="N4287" s="42">
        <v>43628</v>
      </c>
      <c r="O4287" t="s">
        <v>328</v>
      </c>
      <c r="P4287" s="42">
        <v>43628</v>
      </c>
      <c r="Q4287" t="s">
        <v>328</v>
      </c>
      <c r="R4287" t="s">
        <v>329</v>
      </c>
      <c r="S4287" t="s">
        <v>323</v>
      </c>
      <c r="T4287">
        <v>7.6</v>
      </c>
      <c r="W4287" t="s">
        <v>330</v>
      </c>
      <c r="Y4287" s="42">
        <v>43641</v>
      </c>
    </row>
    <row r="4288" spans="1:25">
      <c r="A4288">
        <v>18716</v>
      </c>
      <c r="B4288" t="s">
        <v>404</v>
      </c>
      <c r="C4288" t="s">
        <v>320</v>
      </c>
      <c r="D4288" t="s">
        <v>336</v>
      </c>
      <c r="E4288" t="s">
        <v>337</v>
      </c>
      <c r="F4288">
        <v>1</v>
      </c>
      <c r="G4288" s="42">
        <v>45302</v>
      </c>
      <c r="H4288">
        <v>152</v>
      </c>
      <c r="I4288">
        <v>140.5994</v>
      </c>
      <c r="J4288">
        <v>21.654800000000002</v>
      </c>
      <c r="K4288">
        <v>162.2542</v>
      </c>
      <c r="L4288" t="s">
        <v>323</v>
      </c>
      <c r="M4288" s="43">
        <v>0.29236111111111113</v>
      </c>
      <c r="N4288" s="42">
        <v>44977</v>
      </c>
      <c r="O4288" t="s">
        <v>345</v>
      </c>
      <c r="P4288" s="42">
        <v>44977</v>
      </c>
      <c r="Q4288" t="s">
        <v>345</v>
      </c>
      <c r="R4288" t="s">
        <v>320</v>
      </c>
      <c r="S4288" t="s">
        <v>323</v>
      </c>
      <c r="T4288">
        <v>3.8</v>
      </c>
      <c r="V4288">
        <v>0</v>
      </c>
      <c r="Y4288" s="42">
        <v>44985</v>
      </c>
    </row>
    <row r="4289" spans="3:25">
      <c r="C4289" t="s">
        <v>325</v>
      </c>
      <c r="D4289" t="s">
        <v>395</v>
      </c>
      <c r="E4289" t="s">
        <v>396</v>
      </c>
      <c r="F4289">
        <v>1</v>
      </c>
      <c r="G4289" s="42">
        <v>46033</v>
      </c>
      <c r="H4289">
        <v>385.58879999999999</v>
      </c>
      <c r="I4289">
        <v>0</v>
      </c>
      <c r="J4289">
        <v>291.46780000000001</v>
      </c>
      <c r="K4289">
        <v>291.46780000000001</v>
      </c>
      <c r="L4289" t="s">
        <v>323</v>
      </c>
      <c r="N4289" s="42">
        <v>44953</v>
      </c>
      <c r="O4289" t="s">
        <v>346</v>
      </c>
      <c r="P4289" s="42">
        <v>44953</v>
      </c>
      <c r="Q4289" t="s">
        <v>346</v>
      </c>
      <c r="R4289" t="s">
        <v>320</v>
      </c>
      <c r="S4289" t="s">
        <v>323</v>
      </c>
      <c r="T4289">
        <v>7.6</v>
      </c>
      <c r="V4289">
        <v>0</v>
      </c>
      <c r="Y4289" s="42">
        <v>44957</v>
      </c>
    </row>
    <row r="4290" spans="3:25">
      <c r="C4290" t="s">
        <v>329</v>
      </c>
      <c r="D4290" t="s">
        <v>342</v>
      </c>
      <c r="E4290" t="s">
        <v>343</v>
      </c>
      <c r="F4290">
        <v>1</v>
      </c>
      <c r="G4290" s="42">
        <v>45302</v>
      </c>
      <c r="H4290">
        <v>76</v>
      </c>
      <c r="I4290">
        <v>516.79939999999999</v>
      </c>
      <c r="J4290">
        <v>10.827400000000001</v>
      </c>
      <c r="K4290">
        <v>527.6268</v>
      </c>
      <c r="L4290" t="s">
        <v>323</v>
      </c>
      <c r="N4290" s="42">
        <v>44952</v>
      </c>
      <c r="O4290" t="s">
        <v>324</v>
      </c>
      <c r="P4290" s="42">
        <v>44952</v>
      </c>
      <c r="Q4290" t="s">
        <v>324</v>
      </c>
      <c r="R4290" t="s">
        <v>320</v>
      </c>
      <c r="S4290" t="s">
        <v>323</v>
      </c>
      <c r="U4290">
        <v>7.6</v>
      </c>
      <c r="Y4290" s="42">
        <v>44957</v>
      </c>
    </row>
    <row r="4291" spans="3:25">
      <c r="N4291" s="42">
        <v>44928</v>
      </c>
      <c r="O4291" t="s">
        <v>345</v>
      </c>
      <c r="P4291" s="42">
        <v>44928</v>
      </c>
      <c r="Q4291" t="s">
        <v>345</v>
      </c>
      <c r="R4291" t="s">
        <v>320</v>
      </c>
      <c r="S4291" t="s">
        <v>323</v>
      </c>
      <c r="U4291">
        <v>7.6</v>
      </c>
      <c r="Y4291" s="42">
        <v>44929</v>
      </c>
    </row>
    <row r="4292" spans="3:25">
      <c r="N4292" s="42">
        <v>44916</v>
      </c>
      <c r="O4292" t="s">
        <v>328</v>
      </c>
      <c r="P4292" s="42">
        <v>44925</v>
      </c>
      <c r="Q4292" t="s">
        <v>346</v>
      </c>
      <c r="R4292" t="s">
        <v>320</v>
      </c>
      <c r="S4292" t="s">
        <v>323</v>
      </c>
      <c r="T4292">
        <v>45.6</v>
      </c>
      <c r="U4292">
        <v>15.2</v>
      </c>
      <c r="V4292">
        <v>0</v>
      </c>
      <c r="Y4292" s="42">
        <v>44929</v>
      </c>
    </row>
    <row r="4293" spans="3:25">
      <c r="N4293" s="42">
        <v>44914</v>
      </c>
      <c r="O4293" t="s">
        <v>345</v>
      </c>
      <c r="P4293" s="42">
        <v>44915</v>
      </c>
      <c r="Q4293" t="s">
        <v>333</v>
      </c>
      <c r="R4293" t="s">
        <v>320</v>
      </c>
      <c r="S4293" t="s">
        <v>323</v>
      </c>
      <c r="T4293">
        <v>15.2</v>
      </c>
      <c r="U4293">
        <v>0</v>
      </c>
      <c r="V4293">
        <v>0</v>
      </c>
      <c r="Y4293" s="42">
        <v>44915</v>
      </c>
    </row>
    <row r="4294" spans="3:25">
      <c r="N4294" s="42">
        <v>44896</v>
      </c>
      <c r="O4294" t="s">
        <v>324</v>
      </c>
      <c r="P4294" s="42">
        <v>44897</v>
      </c>
      <c r="Q4294" t="s">
        <v>346</v>
      </c>
      <c r="R4294" t="s">
        <v>320</v>
      </c>
      <c r="S4294" t="s">
        <v>323</v>
      </c>
      <c r="T4294">
        <v>15.2</v>
      </c>
      <c r="V4294">
        <v>0</v>
      </c>
      <c r="Y4294" s="42">
        <v>44901</v>
      </c>
    </row>
    <row r="4295" spans="3:25">
      <c r="N4295" s="42">
        <v>44882</v>
      </c>
      <c r="O4295" t="s">
        <v>324</v>
      </c>
      <c r="P4295" s="42">
        <v>44883</v>
      </c>
      <c r="Q4295" t="s">
        <v>346</v>
      </c>
      <c r="R4295" t="s">
        <v>320</v>
      </c>
      <c r="S4295" t="s">
        <v>323</v>
      </c>
      <c r="T4295">
        <v>15.2</v>
      </c>
      <c r="U4295">
        <v>0</v>
      </c>
    </row>
    <row r="4296" spans="3:25">
      <c r="N4296" s="42">
        <v>44858</v>
      </c>
      <c r="O4296" t="s">
        <v>345</v>
      </c>
      <c r="P4296" s="42">
        <v>44858</v>
      </c>
      <c r="Q4296" t="s">
        <v>345</v>
      </c>
      <c r="R4296" t="s">
        <v>320</v>
      </c>
      <c r="S4296" t="s">
        <v>323</v>
      </c>
      <c r="T4296">
        <v>3.8</v>
      </c>
      <c r="V4296">
        <v>0</v>
      </c>
      <c r="Y4296" s="42">
        <v>44859</v>
      </c>
    </row>
    <row r="4297" spans="3:25">
      <c r="N4297" s="42">
        <v>44837</v>
      </c>
      <c r="O4297" t="s">
        <v>345</v>
      </c>
      <c r="P4297" s="42">
        <v>44837</v>
      </c>
      <c r="Q4297" t="s">
        <v>345</v>
      </c>
      <c r="R4297" t="s">
        <v>320</v>
      </c>
      <c r="S4297" t="s">
        <v>323</v>
      </c>
      <c r="U4297">
        <v>7.6</v>
      </c>
      <c r="Y4297" s="42">
        <v>44845</v>
      </c>
    </row>
    <row r="4298" spans="3:25">
      <c r="N4298" s="42">
        <v>44827</v>
      </c>
      <c r="O4298" t="s">
        <v>346</v>
      </c>
      <c r="P4298" s="42">
        <v>44827</v>
      </c>
      <c r="Q4298" t="s">
        <v>346</v>
      </c>
      <c r="R4298" t="s">
        <v>320</v>
      </c>
      <c r="S4298" t="s">
        <v>323</v>
      </c>
      <c r="T4298">
        <v>7.6</v>
      </c>
      <c r="V4298">
        <v>0</v>
      </c>
      <c r="Y4298" s="42">
        <v>44831</v>
      </c>
    </row>
    <row r="4299" spans="3:25">
      <c r="N4299" s="42">
        <v>44826</v>
      </c>
      <c r="O4299" t="s">
        <v>324</v>
      </c>
      <c r="P4299" s="42">
        <v>44826</v>
      </c>
      <c r="Q4299" t="s">
        <v>324</v>
      </c>
      <c r="R4299" t="s">
        <v>320</v>
      </c>
      <c r="S4299" t="s">
        <v>323</v>
      </c>
      <c r="U4299">
        <v>7.6</v>
      </c>
      <c r="Y4299" s="42">
        <v>44831</v>
      </c>
    </row>
    <row r="4300" spans="3:25">
      <c r="N4300" s="42">
        <v>44783</v>
      </c>
      <c r="O4300" t="s">
        <v>328</v>
      </c>
      <c r="P4300" s="42">
        <v>44783</v>
      </c>
      <c r="Q4300" t="s">
        <v>328</v>
      </c>
      <c r="R4300" t="s">
        <v>320</v>
      </c>
      <c r="S4300" t="s">
        <v>323</v>
      </c>
      <c r="U4300">
        <v>7.6</v>
      </c>
      <c r="Y4300" s="42">
        <v>44789</v>
      </c>
    </row>
    <row r="4301" spans="3:25">
      <c r="N4301" s="42">
        <v>44768</v>
      </c>
      <c r="O4301" t="s">
        <v>333</v>
      </c>
      <c r="P4301" s="42">
        <v>44768</v>
      </c>
      <c r="Q4301" t="s">
        <v>333</v>
      </c>
      <c r="R4301" t="s">
        <v>320</v>
      </c>
      <c r="S4301" t="s">
        <v>323</v>
      </c>
      <c r="T4301">
        <v>7.6</v>
      </c>
      <c r="V4301">
        <v>0</v>
      </c>
      <c r="Y4301" s="42">
        <v>44775</v>
      </c>
    </row>
    <row r="4302" spans="3:25">
      <c r="N4302" s="42">
        <v>44683</v>
      </c>
      <c r="O4302" t="s">
        <v>345</v>
      </c>
      <c r="P4302" s="42">
        <v>44683</v>
      </c>
      <c r="Q4302" t="s">
        <v>345</v>
      </c>
      <c r="R4302" t="s">
        <v>320</v>
      </c>
      <c r="S4302" t="s">
        <v>323</v>
      </c>
      <c r="U4302">
        <v>7.6</v>
      </c>
      <c r="Y4302" s="42">
        <v>44691</v>
      </c>
    </row>
    <row r="4303" spans="3:25">
      <c r="N4303" s="42">
        <v>44676</v>
      </c>
      <c r="O4303" t="s">
        <v>345</v>
      </c>
      <c r="P4303" s="42">
        <v>44676</v>
      </c>
      <c r="Q4303" t="s">
        <v>345</v>
      </c>
      <c r="R4303" t="s">
        <v>320</v>
      </c>
      <c r="S4303" t="s">
        <v>323</v>
      </c>
      <c r="U4303">
        <v>7.6</v>
      </c>
      <c r="Y4303" s="42">
        <v>44677</v>
      </c>
    </row>
    <row r="4304" spans="3:25">
      <c r="N4304" s="42">
        <v>44673</v>
      </c>
      <c r="O4304" t="s">
        <v>346</v>
      </c>
      <c r="P4304" s="42">
        <v>44673</v>
      </c>
      <c r="Q4304" t="s">
        <v>346</v>
      </c>
      <c r="R4304" t="s">
        <v>320</v>
      </c>
      <c r="S4304" t="s">
        <v>323</v>
      </c>
      <c r="T4304">
        <v>7.6</v>
      </c>
      <c r="V4304">
        <v>0</v>
      </c>
      <c r="Y4304" s="42">
        <v>44677</v>
      </c>
    </row>
    <row r="4305" spans="14:25">
      <c r="N4305" s="42">
        <v>44669</v>
      </c>
      <c r="O4305" t="s">
        <v>345</v>
      </c>
      <c r="P4305" s="42">
        <v>44669</v>
      </c>
      <c r="Q4305" t="s">
        <v>345</v>
      </c>
      <c r="R4305" t="s">
        <v>320</v>
      </c>
      <c r="S4305" t="s">
        <v>323</v>
      </c>
      <c r="U4305">
        <v>7.6</v>
      </c>
      <c r="Y4305" s="42">
        <v>44677</v>
      </c>
    </row>
    <row r="4306" spans="14:25">
      <c r="N4306" s="42">
        <v>44666</v>
      </c>
      <c r="O4306" t="s">
        <v>346</v>
      </c>
      <c r="P4306" s="42">
        <v>44666</v>
      </c>
      <c r="Q4306" t="s">
        <v>346</v>
      </c>
      <c r="R4306" t="s">
        <v>320</v>
      </c>
      <c r="S4306" t="s">
        <v>323</v>
      </c>
      <c r="U4306">
        <v>7.6</v>
      </c>
      <c r="Y4306" s="42">
        <v>44677</v>
      </c>
    </row>
    <row r="4307" spans="14:25">
      <c r="N4307" s="42">
        <v>44638</v>
      </c>
      <c r="O4307" t="s">
        <v>346</v>
      </c>
      <c r="P4307" s="42">
        <v>44641</v>
      </c>
      <c r="Q4307" t="s">
        <v>345</v>
      </c>
      <c r="R4307" t="s">
        <v>320</v>
      </c>
      <c r="S4307" t="s">
        <v>323</v>
      </c>
      <c r="T4307">
        <v>15.2</v>
      </c>
      <c r="V4307">
        <v>0</v>
      </c>
      <c r="Y4307" s="42">
        <v>44649</v>
      </c>
    </row>
    <row r="4308" spans="14:25">
      <c r="N4308" s="42">
        <v>44606</v>
      </c>
      <c r="O4308" t="s">
        <v>345</v>
      </c>
      <c r="P4308" s="42">
        <v>44606</v>
      </c>
      <c r="Q4308" t="s">
        <v>345</v>
      </c>
      <c r="R4308" t="s">
        <v>320</v>
      </c>
      <c r="S4308" t="s">
        <v>323</v>
      </c>
      <c r="T4308">
        <v>7.6</v>
      </c>
      <c r="V4308">
        <v>0</v>
      </c>
      <c r="Y4308" s="42">
        <v>44607</v>
      </c>
    </row>
    <row r="4309" spans="14:25">
      <c r="N4309" s="42">
        <v>44587</v>
      </c>
      <c r="O4309" t="s">
        <v>328</v>
      </c>
      <c r="P4309" s="42">
        <v>44587</v>
      </c>
      <c r="Q4309" t="s">
        <v>328</v>
      </c>
      <c r="R4309" t="s">
        <v>320</v>
      </c>
      <c r="S4309" t="s">
        <v>323</v>
      </c>
      <c r="U4309">
        <v>7.6</v>
      </c>
      <c r="Y4309" s="42">
        <v>44593</v>
      </c>
    </row>
    <row r="4310" spans="14:25">
      <c r="N4310" s="42">
        <v>44564</v>
      </c>
      <c r="O4310" t="s">
        <v>345</v>
      </c>
      <c r="P4310" s="42">
        <v>44564</v>
      </c>
      <c r="Q4310" t="s">
        <v>345</v>
      </c>
      <c r="R4310" t="s">
        <v>320</v>
      </c>
      <c r="S4310" t="s">
        <v>323</v>
      </c>
      <c r="U4310">
        <v>7.6</v>
      </c>
      <c r="Y4310" s="42">
        <v>44565</v>
      </c>
    </row>
    <row r="4311" spans="14:25">
      <c r="N4311" s="42">
        <v>44552</v>
      </c>
      <c r="O4311" t="s">
        <v>328</v>
      </c>
      <c r="P4311" s="42">
        <v>44561</v>
      </c>
      <c r="Q4311" t="s">
        <v>346</v>
      </c>
      <c r="R4311" t="s">
        <v>320</v>
      </c>
      <c r="S4311" t="s">
        <v>323</v>
      </c>
      <c r="T4311">
        <v>45.6</v>
      </c>
      <c r="U4311">
        <v>15.2</v>
      </c>
      <c r="V4311">
        <v>0</v>
      </c>
      <c r="Y4311" s="42">
        <v>44565</v>
      </c>
    </row>
    <row r="4312" spans="14:25">
      <c r="N4312" s="42">
        <v>44550</v>
      </c>
      <c r="O4312" t="s">
        <v>345</v>
      </c>
      <c r="P4312" s="42">
        <v>44551</v>
      </c>
      <c r="Q4312" t="s">
        <v>333</v>
      </c>
      <c r="R4312" t="s">
        <v>320</v>
      </c>
      <c r="S4312" t="s">
        <v>323</v>
      </c>
      <c r="T4312">
        <v>15.2</v>
      </c>
      <c r="U4312">
        <v>0</v>
      </c>
      <c r="V4312">
        <v>0</v>
      </c>
      <c r="Y4312" s="42">
        <v>44551</v>
      </c>
    </row>
    <row r="4313" spans="14:25">
      <c r="N4313" s="42">
        <v>44504</v>
      </c>
      <c r="O4313" t="s">
        <v>324</v>
      </c>
      <c r="P4313" s="42">
        <v>44504</v>
      </c>
      <c r="Q4313" t="s">
        <v>324</v>
      </c>
      <c r="R4313" t="s">
        <v>320</v>
      </c>
      <c r="S4313" t="s">
        <v>323</v>
      </c>
      <c r="T4313">
        <v>7.6</v>
      </c>
      <c r="V4313">
        <v>0</v>
      </c>
      <c r="Y4313" s="42">
        <v>44509</v>
      </c>
    </row>
    <row r="4314" spans="14:25">
      <c r="N4314" s="42">
        <v>44473</v>
      </c>
      <c r="O4314" t="s">
        <v>345</v>
      </c>
      <c r="P4314" s="42">
        <v>44473</v>
      </c>
      <c r="Q4314" t="s">
        <v>345</v>
      </c>
      <c r="R4314" t="s">
        <v>320</v>
      </c>
      <c r="S4314" t="s">
        <v>323</v>
      </c>
      <c r="U4314">
        <v>7.6</v>
      </c>
      <c r="Y4314" s="42">
        <v>44481</v>
      </c>
    </row>
    <row r="4315" spans="14:25">
      <c r="N4315" s="42">
        <v>44470</v>
      </c>
      <c r="O4315" t="s">
        <v>346</v>
      </c>
      <c r="P4315" s="42">
        <v>44470</v>
      </c>
      <c r="Q4315" t="s">
        <v>346</v>
      </c>
      <c r="R4315" t="s">
        <v>320</v>
      </c>
      <c r="S4315" t="s">
        <v>323</v>
      </c>
      <c r="T4315">
        <v>7.6</v>
      </c>
      <c r="V4315">
        <v>0</v>
      </c>
      <c r="Y4315" s="42">
        <v>44481</v>
      </c>
    </row>
    <row r="4316" spans="14:25">
      <c r="N4316" s="42">
        <v>44407</v>
      </c>
      <c r="O4316" t="s">
        <v>346</v>
      </c>
      <c r="P4316" s="42">
        <v>44407</v>
      </c>
      <c r="Q4316" t="s">
        <v>346</v>
      </c>
      <c r="R4316" t="s">
        <v>320</v>
      </c>
      <c r="S4316" t="s">
        <v>323</v>
      </c>
      <c r="T4316">
        <v>7.6</v>
      </c>
      <c r="V4316">
        <v>0</v>
      </c>
      <c r="Y4316" s="42">
        <v>44411</v>
      </c>
    </row>
    <row r="4317" spans="14:25">
      <c r="N4317" s="42">
        <v>44322</v>
      </c>
      <c r="O4317" t="s">
        <v>324</v>
      </c>
      <c r="P4317" s="42">
        <v>44322</v>
      </c>
      <c r="Q4317" t="s">
        <v>324</v>
      </c>
      <c r="R4317" t="s">
        <v>347</v>
      </c>
      <c r="S4317" t="s">
        <v>323</v>
      </c>
      <c r="T4317">
        <v>7.6</v>
      </c>
      <c r="W4317" t="s">
        <v>339</v>
      </c>
      <c r="Y4317" s="42">
        <v>44327</v>
      </c>
    </row>
    <row r="4318" spans="14:25">
      <c r="N4318" s="42">
        <v>44319</v>
      </c>
      <c r="O4318" t="s">
        <v>345</v>
      </c>
      <c r="P4318" s="42">
        <v>44319</v>
      </c>
      <c r="Q4318" t="s">
        <v>345</v>
      </c>
      <c r="R4318" t="s">
        <v>320</v>
      </c>
      <c r="S4318" t="s">
        <v>323</v>
      </c>
      <c r="U4318">
        <v>7.6</v>
      </c>
      <c r="Y4318" s="42">
        <v>44327</v>
      </c>
    </row>
    <row r="4319" spans="14:25">
      <c r="N4319" s="42">
        <v>44312</v>
      </c>
      <c r="O4319" t="s">
        <v>345</v>
      </c>
      <c r="P4319" s="42">
        <v>44312</v>
      </c>
      <c r="Q4319" t="s">
        <v>345</v>
      </c>
      <c r="R4319" t="s">
        <v>320</v>
      </c>
      <c r="S4319" t="s">
        <v>323</v>
      </c>
      <c r="U4319">
        <v>7.6</v>
      </c>
      <c r="Y4319" s="42">
        <v>44313</v>
      </c>
    </row>
    <row r="4320" spans="14:25">
      <c r="N4320" s="42">
        <v>44300</v>
      </c>
      <c r="O4320" t="s">
        <v>328</v>
      </c>
      <c r="P4320" s="42">
        <v>44300</v>
      </c>
      <c r="Q4320" t="s">
        <v>328</v>
      </c>
      <c r="R4320" t="s">
        <v>320</v>
      </c>
      <c r="S4320" t="s">
        <v>323</v>
      </c>
      <c r="T4320">
        <v>7.6</v>
      </c>
      <c r="V4320">
        <v>0</v>
      </c>
      <c r="Y4320" s="42">
        <v>44313</v>
      </c>
    </row>
    <row r="4321" spans="14:25">
      <c r="N4321" s="42">
        <v>44295</v>
      </c>
      <c r="O4321" t="s">
        <v>346</v>
      </c>
      <c r="P4321" s="42">
        <v>44295</v>
      </c>
      <c r="Q4321" t="s">
        <v>346</v>
      </c>
      <c r="R4321" t="s">
        <v>320</v>
      </c>
      <c r="S4321" t="s">
        <v>323</v>
      </c>
      <c r="T4321">
        <v>7.6</v>
      </c>
      <c r="V4321">
        <v>0</v>
      </c>
      <c r="Y4321" s="42">
        <v>44299</v>
      </c>
    </row>
    <row r="4322" spans="14:25">
      <c r="N4322" s="42">
        <v>44291</v>
      </c>
      <c r="O4322" t="s">
        <v>345</v>
      </c>
      <c r="P4322" s="42">
        <v>44291</v>
      </c>
      <c r="Q4322" t="s">
        <v>345</v>
      </c>
      <c r="R4322" t="s">
        <v>320</v>
      </c>
      <c r="S4322" t="s">
        <v>323</v>
      </c>
      <c r="U4322">
        <v>7.6</v>
      </c>
      <c r="Y4322" s="42">
        <v>44299</v>
      </c>
    </row>
    <row r="4323" spans="14:25">
      <c r="N4323" s="42">
        <v>44288</v>
      </c>
      <c r="O4323" t="s">
        <v>346</v>
      </c>
      <c r="P4323" s="42">
        <v>44288</v>
      </c>
      <c r="Q4323" t="s">
        <v>346</v>
      </c>
      <c r="R4323" t="s">
        <v>320</v>
      </c>
      <c r="S4323" t="s">
        <v>323</v>
      </c>
      <c r="U4323">
        <v>7.6</v>
      </c>
      <c r="Y4323" s="42">
        <v>44299</v>
      </c>
    </row>
    <row r="4324" spans="14:25">
      <c r="N4324" s="42">
        <v>44249</v>
      </c>
      <c r="O4324" t="s">
        <v>345</v>
      </c>
      <c r="P4324" s="42">
        <v>44253</v>
      </c>
      <c r="Q4324" t="s">
        <v>346</v>
      </c>
      <c r="R4324" t="s">
        <v>320</v>
      </c>
      <c r="S4324" t="s">
        <v>323</v>
      </c>
      <c r="T4324">
        <v>38</v>
      </c>
      <c r="V4324">
        <v>0</v>
      </c>
      <c r="Y4324" s="42">
        <v>44257</v>
      </c>
    </row>
    <row r="4325" spans="14:25">
      <c r="N4325" s="42">
        <v>44222</v>
      </c>
      <c r="O4325" t="s">
        <v>333</v>
      </c>
      <c r="P4325" s="42">
        <v>44222</v>
      </c>
      <c r="Q4325" t="s">
        <v>333</v>
      </c>
      <c r="R4325" t="s">
        <v>320</v>
      </c>
      <c r="S4325" t="s">
        <v>323</v>
      </c>
      <c r="U4325">
        <v>7.6</v>
      </c>
      <c r="Y4325" s="42">
        <v>44229</v>
      </c>
    </row>
    <row r="4326" spans="14:25">
      <c r="N4326" s="42">
        <v>44221</v>
      </c>
      <c r="O4326" t="s">
        <v>345</v>
      </c>
      <c r="P4326" s="42">
        <v>44221</v>
      </c>
      <c r="Q4326" t="s">
        <v>345</v>
      </c>
      <c r="R4326" t="s">
        <v>320</v>
      </c>
      <c r="S4326" t="s">
        <v>323</v>
      </c>
      <c r="T4326">
        <v>7.6</v>
      </c>
      <c r="V4326">
        <v>0</v>
      </c>
      <c r="Y4326" s="42">
        <v>44229</v>
      </c>
    </row>
    <row r="4327" spans="14:25">
      <c r="N4327" s="42">
        <v>44188</v>
      </c>
      <c r="O4327" t="s">
        <v>328</v>
      </c>
      <c r="P4327" s="42">
        <v>44197</v>
      </c>
      <c r="Q4327" t="s">
        <v>346</v>
      </c>
      <c r="R4327" t="s">
        <v>320</v>
      </c>
      <c r="S4327" t="s">
        <v>323</v>
      </c>
      <c r="T4327">
        <v>38</v>
      </c>
      <c r="U4327">
        <v>22.8</v>
      </c>
      <c r="V4327">
        <v>0</v>
      </c>
      <c r="Y4327" s="42">
        <v>44201</v>
      </c>
    </row>
    <row r="4328" spans="14:25">
      <c r="N4328" s="42">
        <v>44186</v>
      </c>
      <c r="O4328" t="s">
        <v>345</v>
      </c>
      <c r="P4328" s="42">
        <v>44187</v>
      </c>
      <c r="Q4328" t="s">
        <v>333</v>
      </c>
      <c r="R4328" t="s">
        <v>320</v>
      </c>
      <c r="S4328" t="s">
        <v>323</v>
      </c>
      <c r="T4328">
        <v>15.2</v>
      </c>
      <c r="U4328">
        <v>0</v>
      </c>
      <c r="V4328">
        <v>0</v>
      </c>
      <c r="Y4328" s="42">
        <v>44187</v>
      </c>
    </row>
    <row r="4329" spans="14:25">
      <c r="N4329" s="42">
        <v>44106</v>
      </c>
      <c r="O4329" t="s">
        <v>346</v>
      </c>
      <c r="P4329" s="42">
        <v>44109</v>
      </c>
      <c r="Q4329" t="s">
        <v>345</v>
      </c>
      <c r="R4329" t="s">
        <v>320</v>
      </c>
      <c r="S4329" t="s">
        <v>323</v>
      </c>
      <c r="T4329">
        <v>7.6</v>
      </c>
      <c r="U4329">
        <v>7.6</v>
      </c>
      <c r="V4329">
        <v>0</v>
      </c>
      <c r="Y4329" s="42">
        <v>44117</v>
      </c>
    </row>
    <row r="4330" spans="14:25">
      <c r="N4330" s="42">
        <v>44057</v>
      </c>
      <c r="O4330" t="s">
        <v>346</v>
      </c>
      <c r="P4330" s="42">
        <v>44057</v>
      </c>
      <c r="Q4330" t="s">
        <v>346</v>
      </c>
      <c r="R4330" t="s">
        <v>320</v>
      </c>
      <c r="S4330" t="s">
        <v>323</v>
      </c>
      <c r="T4330">
        <v>7.6</v>
      </c>
      <c r="Y4330" s="42">
        <v>44061</v>
      </c>
    </row>
    <row r="4331" spans="14:25">
      <c r="N4331" s="42">
        <v>44039</v>
      </c>
      <c r="O4331" t="s">
        <v>345</v>
      </c>
      <c r="P4331" s="42">
        <v>44039</v>
      </c>
      <c r="Q4331" t="s">
        <v>345</v>
      </c>
      <c r="R4331" t="s">
        <v>320</v>
      </c>
      <c r="S4331" t="s">
        <v>323</v>
      </c>
      <c r="T4331">
        <v>7.6</v>
      </c>
      <c r="V4331">
        <v>0</v>
      </c>
      <c r="Y4331" s="42">
        <v>44047</v>
      </c>
    </row>
    <row r="4332" spans="14:25">
      <c r="N4332" s="42">
        <v>43999</v>
      </c>
      <c r="O4332" t="s">
        <v>328</v>
      </c>
      <c r="P4332" s="42">
        <v>43999</v>
      </c>
      <c r="Q4332" t="s">
        <v>328</v>
      </c>
      <c r="R4332" t="s">
        <v>347</v>
      </c>
      <c r="S4332" t="s">
        <v>323</v>
      </c>
      <c r="T4332">
        <v>7.6</v>
      </c>
      <c r="W4332" t="s">
        <v>339</v>
      </c>
      <c r="Y4332" s="42">
        <v>44005</v>
      </c>
    </row>
    <row r="4333" spans="14:25">
      <c r="N4333" s="42">
        <v>43983</v>
      </c>
      <c r="O4333" t="s">
        <v>345</v>
      </c>
      <c r="P4333" s="42">
        <v>43983</v>
      </c>
      <c r="Q4333" t="s">
        <v>345</v>
      </c>
      <c r="R4333" t="s">
        <v>320</v>
      </c>
      <c r="S4333" t="s">
        <v>323</v>
      </c>
      <c r="T4333">
        <v>7.6</v>
      </c>
      <c r="V4333">
        <v>0</v>
      </c>
      <c r="Y4333" s="42">
        <v>43991</v>
      </c>
    </row>
    <row r="4334" spans="14:25">
      <c r="N4334" s="42">
        <v>43973</v>
      </c>
      <c r="O4334" t="s">
        <v>346</v>
      </c>
      <c r="P4334" s="42">
        <v>43976</v>
      </c>
      <c r="Q4334" t="s">
        <v>345</v>
      </c>
      <c r="R4334" t="s">
        <v>320</v>
      </c>
      <c r="S4334" t="s">
        <v>323</v>
      </c>
      <c r="T4334">
        <v>15.2</v>
      </c>
      <c r="V4334">
        <v>0</v>
      </c>
      <c r="Y4334" s="42">
        <v>43977</v>
      </c>
    </row>
    <row r="4335" spans="14:25">
      <c r="N4335" s="42">
        <v>43952</v>
      </c>
      <c r="O4335" t="s">
        <v>346</v>
      </c>
      <c r="P4335" s="42">
        <v>43952</v>
      </c>
      <c r="Q4335" t="s">
        <v>346</v>
      </c>
      <c r="R4335" t="s">
        <v>320</v>
      </c>
      <c r="S4335" t="s">
        <v>323</v>
      </c>
      <c r="T4335">
        <v>7.6</v>
      </c>
      <c r="V4335">
        <v>0</v>
      </c>
      <c r="Y4335" s="42">
        <v>43963</v>
      </c>
    </row>
    <row r="4336" spans="14:25">
      <c r="N4336" s="42">
        <v>43944</v>
      </c>
      <c r="O4336" t="s">
        <v>324</v>
      </c>
      <c r="P4336" s="42">
        <v>43945</v>
      </c>
      <c r="Q4336" t="s">
        <v>346</v>
      </c>
      <c r="R4336" t="s">
        <v>320</v>
      </c>
      <c r="S4336" t="s">
        <v>323</v>
      </c>
      <c r="T4336">
        <v>15.2</v>
      </c>
      <c r="V4336">
        <v>0</v>
      </c>
      <c r="Y4336" s="42">
        <v>43949</v>
      </c>
    </row>
    <row r="4337" spans="1:25">
      <c r="N4337" s="42">
        <v>43934</v>
      </c>
      <c r="O4337" t="s">
        <v>345</v>
      </c>
      <c r="P4337" s="42">
        <v>43934</v>
      </c>
      <c r="Q4337" t="s">
        <v>345</v>
      </c>
      <c r="R4337" t="s">
        <v>320</v>
      </c>
      <c r="S4337" t="s">
        <v>323</v>
      </c>
      <c r="T4337">
        <v>0</v>
      </c>
      <c r="U4337">
        <v>7.6</v>
      </c>
      <c r="Y4337" s="42">
        <v>43935</v>
      </c>
    </row>
    <row r="4338" spans="1:25">
      <c r="N4338" s="42">
        <v>43931</v>
      </c>
      <c r="O4338" t="s">
        <v>346</v>
      </c>
      <c r="P4338" s="42">
        <v>43931</v>
      </c>
      <c r="Q4338" t="s">
        <v>346</v>
      </c>
      <c r="R4338" t="s">
        <v>320</v>
      </c>
      <c r="S4338" t="s">
        <v>323</v>
      </c>
      <c r="T4338">
        <v>0</v>
      </c>
      <c r="U4338">
        <v>7.6</v>
      </c>
      <c r="Y4338" s="42">
        <v>43935</v>
      </c>
    </row>
    <row r="4339" spans="1:25">
      <c r="N4339" s="42">
        <v>43866</v>
      </c>
      <c r="O4339" t="s">
        <v>328</v>
      </c>
      <c r="P4339" s="42">
        <v>43868</v>
      </c>
      <c r="Q4339" t="s">
        <v>346</v>
      </c>
      <c r="R4339" t="s">
        <v>320</v>
      </c>
      <c r="S4339" t="s">
        <v>323</v>
      </c>
      <c r="T4339">
        <v>22.8</v>
      </c>
      <c r="U4339">
        <v>0</v>
      </c>
      <c r="V4339">
        <v>0</v>
      </c>
      <c r="Y4339" s="42">
        <v>43879</v>
      </c>
    </row>
    <row r="4340" spans="1:25">
      <c r="N4340" s="42">
        <v>43860</v>
      </c>
      <c r="O4340" t="s">
        <v>324</v>
      </c>
      <c r="P4340" s="42">
        <v>43865</v>
      </c>
      <c r="Q4340" t="s">
        <v>333</v>
      </c>
      <c r="R4340" t="s">
        <v>320</v>
      </c>
      <c r="S4340" t="s">
        <v>323</v>
      </c>
      <c r="T4340">
        <v>30.4</v>
      </c>
      <c r="U4340">
        <v>0</v>
      </c>
      <c r="V4340">
        <v>0</v>
      </c>
      <c r="Y4340" s="42">
        <v>43865</v>
      </c>
    </row>
    <row r="4341" spans="1:25">
      <c r="N4341" s="42">
        <v>43857</v>
      </c>
      <c r="O4341" t="s">
        <v>345</v>
      </c>
      <c r="P4341" s="42">
        <v>43857</v>
      </c>
      <c r="Q4341" t="s">
        <v>345</v>
      </c>
      <c r="R4341" t="s">
        <v>320</v>
      </c>
      <c r="S4341" t="s">
        <v>323</v>
      </c>
      <c r="T4341">
        <v>0</v>
      </c>
      <c r="U4341">
        <v>7.6</v>
      </c>
      <c r="Y4341" s="42">
        <v>43865</v>
      </c>
    </row>
    <row r="4342" spans="1:25">
      <c r="N4342" s="42">
        <v>43824</v>
      </c>
      <c r="O4342" t="s">
        <v>328</v>
      </c>
      <c r="P4342" s="42">
        <v>43833</v>
      </c>
      <c r="Q4342" t="s">
        <v>346</v>
      </c>
      <c r="R4342" t="s">
        <v>320</v>
      </c>
      <c r="S4342" t="s">
        <v>323</v>
      </c>
      <c r="T4342">
        <v>38</v>
      </c>
      <c r="U4342">
        <v>22.8</v>
      </c>
      <c r="V4342">
        <v>0</v>
      </c>
      <c r="Y4342" s="42">
        <v>43837</v>
      </c>
    </row>
    <row r="4343" spans="1:25">
      <c r="N4343" s="42">
        <v>43822</v>
      </c>
      <c r="O4343" t="s">
        <v>345</v>
      </c>
      <c r="P4343" s="42">
        <v>43823</v>
      </c>
      <c r="Q4343" t="s">
        <v>333</v>
      </c>
      <c r="R4343" t="s">
        <v>320</v>
      </c>
      <c r="S4343" t="s">
        <v>323</v>
      </c>
      <c r="T4343">
        <v>15.2</v>
      </c>
      <c r="U4343">
        <v>0</v>
      </c>
      <c r="V4343">
        <v>0</v>
      </c>
      <c r="Y4343" s="42">
        <v>43823</v>
      </c>
    </row>
    <row r="4344" spans="1:25">
      <c r="N4344" s="42">
        <v>43726</v>
      </c>
      <c r="O4344" t="s">
        <v>328</v>
      </c>
      <c r="P4344" s="42">
        <v>43728</v>
      </c>
      <c r="Q4344" t="s">
        <v>346</v>
      </c>
      <c r="R4344" t="s">
        <v>320</v>
      </c>
      <c r="S4344" t="s">
        <v>323</v>
      </c>
      <c r="T4344">
        <v>22.8</v>
      </c>
      <c r="U4344">
        <v>0</v>
      </c>
      <c r="V4344">
        <v>0</v>
      </c>
      <c r="Y4344" s="42">
        <v>43739</v>
      </c>
    </row>
    <row r="4345" spans="1:25">
      <c r="N4345" s="42">
        <v>43714</v>
      </c>
      <c r="O4345" t="s">
        <v>346</v>
      </c>
      <c r="P4345" s="42">
        <v>43725</v>
      </c>
      <c r="Q4345" t="s">
        <v>333</v>
      </c>
      <c r="R4345" t="s">
        <v>320</v>
      </c>
      <c r="S4345" t="s">
        <v>323</v>
      </c>
      <c r="T4345">
        <v>60.8</v>
      </c>
      <c r="U4345">
        <v>0</v>
      </c>
      <c r="V4345">
        <v>0</v>
      </c>
      <c r="Y4345" s="42">
        <v>43725</v>
      </c>
    </row>
    <row r="4346" spans="1:25">
      <c r="A4346">
        <v>18721</v>
      </c>
      <c r="B4346" t="s">
        <v>405</v>
      </c>
      <c r="C4346" t="s">
        <v>320</v>
      </c>
      <c r="D4346" t="s">
        <v>321</v>
      </c>
      <c r="E4346" t="s">
        <v>322</v>
      </c>
      <c r="F4346">
        <v>1</v>
      </c>
      <c r="G4346" s="42">
        <v>45337</v>
      </c>
      <c r="H4346">
        <v>5.8461999999999996</v>
      </c>
      <c r="I4346">
        <v>44.077800000000003</v>
      </c>
      <c r="J4346">
        <v>5.8461999999999996</v>
      </c>
      <c r="K4346">
        <v>49.923999999999999</v>
      </c>
      <c r="L4346" t="s">
        <v>323</v>
      </c>
      <c r="M4346" s="43">
        <v>0.29166666666666669</v>
      </c>
      <c r="N4346" s="42">
        <v>45098</v>
      </c>
      <c r="O4346" t="s">
        <v>328</v>
      </c>
      <c r="P4346" s="42">
        <v>45100</v>
      </c>
      <c r="Q4346" t="s">
        <v>346</v>
      </c>
      <c r="R4346" t="s">
        <v>320</v>
      </c>
      <c r="S4346" t="s">
        <v>323</v>
      </c>
      <c r="T4346">
        <v>22.8</v>
      </c>
      <c r="U4346">
        <v>0</v>
      </c>
      <c r="V4346">
        <v>0</v>
      </c>
    </row>
    <row r="4347" spans="1:25">
      <c r="C4347" t="s">
        <v>325</v>
      </c>
      <c r="D4347" t="s">
        <v>349</v>
      </c>
      <c r="E4347" t="s">
        <v>350</v>
      </c>
      <c r="F4347">
        <v>1</v>
      </c>
      <c r="G4347" s="42">
        <v>45337</v>
      </c>
      <c r="H4347">
        <v>0.92059999999999997</v>
      </c>
      <c r="I4347">
        <v>223.25319999999999</v>
      </c>
      <c r="J4347">
        <v>0.92059999999999997</v>
      </c>
      <c r="K4347">
        <v>224.1738</v>
      </c>
      <c r="L4347" t="s">
        <v>323</v>
      </c>
      <c r="N4347" s="42">
        <v>45096</v>
      </c>
      <c r="O4347" t="s">
        <v>345</v>
      </c>
      <c r="P4347" s="42">
        <v>45097</v>
      </c>
      <c r="Q4347" t="s">
        <v>333</v>
      </c>
      <c r="R4347" t="s">
        <v>320</v>
      </c>
      <c r="S4347" t="s">
        <v>323</v>
      </c>
      <c r="T4347">
        <v>15.2</v>
      </c>
      <c r="U4347">
        <v>0</v>
      </c>
      <c r="V4347">
        <v>0</v>
      </c>
    </row>
    <row r="4348" spans="1:25">
      <c r="C4348" t="s">
        <v>329</v>
      </c>
      <c r="D4348" t="s">
        <v>331</v>
      </c>
      <c r="E4348" t="s">
        <v>332</v>
      </c>
      <c r="F4348">
        <v>1</v>
      </c>
      <c r="G4348" s="42">
        <v>45337</v>
      </c>
      <c r="H4348">
        <v>2.9230999999999998</v>
      </c>
      <c r="I4348">
        <v>294.0686</v>
      </c>
      <c r="J4348">
        <v>2.9230999999999998</v>
      </c>
      <c r="K4348">
        <v>296.99169999999998</v>
      </c>
      <c r="L4348" t="s">
        <v>323</v>
      </c>
      <c r="N4348" s="42">
        <v>44972</v>
      </c>
      <c r="O4348" t="s">
        <v>328</v>
      </c>
      <c r="P4348" s="42">
        <v>44980</v>
      </c>
      <c r="Q4348" t="s">
        <v>324</v>
      </c>
      <c r="R4348" t="s">
        <v>320</v>
      </c>
      <c r="S4348" t="s">
        <v>323</v>
      </c>
      <c r="T4348">
        <v>53.2</v>
      </c>
      <c r="U4348">
        <v>0</v>
      </c>
      <c r="V4348">
        <v>0</v>
      </c>
      <c r="Y4348" s="42">
        <v>44985</v>
      </c>
    </row>
    <row r="4349" spans="1:25">
      <c r="N4349" s="42">
        <v>44958</v>
      </c>
      <c r="O4349" t="s">
        <v>328</v>
      </c>
      <c r="P4349" s="42">
        <v>44971</v>
      </c>
      <c r="Q4349" t="s">
        <v>333</v>
      </c>
      <c r="R4349" t="s">
        <v>320</v>
      </c>
      <c r="S4349" t="s">
        <v>323</v>
      </c>
      <c r="T4349">
        <v>76</v>
      </c>
      <c r="U4349">
        <v>0</v>
      </c>
      <c r="V4349">
        <v>0</v>
      </c>
      <c r="Y4349" s="42">
        <v>44971</v>
      </c>
    </row>
    <row r="4350" spans="1:25">
      <c r="N4350" s="42">
        <v>44953</v>
      </c>
      <c r="O4350" t="s">
        <v>346</v>
      </c>
      <c r="P4350" s="42">
        <v>44957</v>
      </c>
      <c r="Q4350" t="s">
        <v>333</v>
      </c>
      <c r="R4350" t="s">
        <v>320</v>
      </c>
      <c r="S4350" t="s">
        <v>323</v>
      </c>
      <c r="T4350">
        <v>22.8</v>
      </c>
      <c r="U4350">
        <v>0</v>
      </c>
      <c r="V4350">
        <v>0</v>
      </c>
      <c r="Y4350" s="42">
        <v>44957</v>
      </c>
    </row>
    <row r="4351" spans="1:25">
      <c r="N4351" s="42">
        <v>44952</v>
      </c>
      <c r="O4351" t="s">
        <v>324</v>
      </c>
      <c r="P4351" s="42">
        <v>44952</v>
      </c>
      <c r="Q4351" t="s">
        <v>324</v>
      </c>
      <c r="R4351" t="s">
        <v>320</v>
      </c>
      <c r="S4351" t="s">
        <v>323</v>
      </c>
      <c r="U4351">
        <v>7.6</v>
      </c>
      <c r="Y4351" s="42">
        <v>44957</v>
      </c>
    </row>
    <row r="4352" spans="1:25">
      <c r="N4352" s="42">
        <v>44928</v>
      </c>
      <c r="O4352" t="s">
        <v>345</v>
      </c>
      <c r="P4352" s="42">
        <v>44928</v>
      </c>
      <c r="Q4352" t="s">
        <v>345</v>
      </c>
      <c r="R4352" t="s">
        <v>320</v>
      </c>
      <c r="S4352" t="s">
        <v>323</v>
      </c>
      <c r="U4352">
        <v>7.6</v>
      </c>
      <c r="Y4352" s="42">
        <v>44929</v>
      </c>
    </row>
    <row r="4353" spans="14:25">
      <c r="N4353" s="42">
        <v>44918</v>
      </c>
      <c r="O4353" t="s">
        <v>346</v>
      </c>
      <c r="P4353" s="42">
        <v>44924</v>
      </c>
      <c r="Q4353" t="s">
        <v>324</v>
      </c>
      <c r="R4353" t="s">
        <v>320</v>
      </c>
      <c r="S4353" t="s">
        <v>323</v>
      </c>
      <c r="T4353">
        <v>22.8</v>
      </c>
      <c r="U4353">
        <v>15.2</v>
      </c>
      <c r="V4353">
        <v>0</v>
      </c>
      <c r="Y4353" s="42">
        <v>44929</v>
      </c>
    </row>
    <row r="4354" spans="14:25">
      <c r="N4354" s="42">
        <v>44866</v>
      </c>
      <c r="O4354" t="s">
        <v>333</v>
      </c>
      <c r="P4354" s="42">
        <v>44866</v>
      </c>
      <c r="Q4354" t="s">
        <v>333</v>
      </c>
      <c r="R4354" t="s">
        <v>320</v>
      </c>
      <c r="S4354" t="s">
        <v>323</v>
      </c>
      <c r="U4354">
        <v>7.6</v>
      </c>
      <c r="Y4354" s="42">
        <v>44873</v>
      </c>
    </row>
    <row r="4355" spans="14:25">
      <c r="N4355" s="42">
        <v>44827</v>
      </c>
      <c r="O4355" t="s">
        <v>346</v>
      </c>
      <c r="P4355" s="42">
        <v>44827</v>
      </c>
      <c r="Q4355" t="s">
        <v>346</v>
      </c>
      <c r="R4355" t="s">
        <v>320</v>
      </c>
      <c r="S4355" t="s">
        <v>323</v>
      </c>
      <c r="U4355">
        <v>7.6</v>
      </c>
      <c r="Y4355" s="42">
        <v>44831</v>
      </c>
    </row>
    <row r="4356" spans="14:25">
      <c r="N4356" s="42">
        <v>44826</v>
      </c>
      <c r="O4356" t="s">
        <v>324</v>
      </c>
      <c r="P4356" s="42">
        <v>44826</v>
      </c>
      <c r="Q4356" t="s">
        <v>324</v>
      </c>
      <c r="R4356" t="s">
        <v>320</v>
      </c>
      <c r="S4356" t="s">
        <v>323</v>
      </c>
      <c r="U4356">
        <v>7.6</v>
      </c>
      <c r="Y4356" s="42">
        <v>44831</v>
      </c>
    </row>
    <row r="4357" spans="14:25">
      <c r="N4357" s="42">
        <v>44734</v>
      </c>
      <c r="O4357" t="s">
        <v>328</v>
      </c>
      <c r="P4357" s="42">
        <v>44736</v>
      </c>
      <c r="Q4357" t="s">
        <v>346</v>
      </c>
      <c r="R4357" t="s">
        <v>320</v>
      </c>
      <c r="S4357" t="s">
        <v>323</v>
      </c>
      <c r="T4357">
        <v>22.8</v>
      </c>
      <c r="V4357">
        <v>0</v>
      </c>
      <c r="Y4357" s="42">
        <v>44747</v>
      </c>
    </row>
    <row r="4358" spans="14:25">
      <c r="N4358" s="42">
        <v>44725</v>
      </c>
      <c r="O4358" t="s">
        <v>345</v>
      </c>
      <c r="P4358" s="42">
        <v>44725</v>
      </c>
      <c r="Q4358" t="s">
        <v>345</v>
      </c>
      <c r="R4358" t="s">
        <v>320</v>
      </c>
      <c r="S4358" t="s">
        <v>323</v>
      </c>
      <c r="U4358">
        <v>7.6</v>
      </c>
      <c r="Y4358" s="42">
        <v>44733</v>
      </c>
    </row>
    <row r="4359" spans="14:25">
      <c r="N4359" s="42">
        <v>44676</v>
      </c>
      <c r="O4359" t="s">
        <v>345</v>
      </c>
      <c r="P4359" s="42">
        <v>44676</v>
      </c>
      <c r="Q4359" t="s">
        <v>345</v>
      </c>
      <c r="R4359" t="s">
        <v>320</v>
      </c>
      <c r="S4359" t="s">
        <v>323</v>
      </c>
      <c r="U4359">
        <v>7.6</v>
      </c>
      <c r="Y4359" s="42">
        <v>44677</v>
      </c>
    </row>
    <row r="4360" spans="14:25">
      <c r="N4360" s="42">
        <v>44669</v>
      </c>
      <c r="O4360" t="s">
        <v>345</v>
      </c>
      <c r="P4360" s="42">
        <v>44669</v>
      </c>
      <c r="Q4360" t="s">
        <v>345</v>
      </c>
      <c r="R4360" t="s">
        <v>320</v>
      </c>
      <c r="S4360" t="s">
        <v>323</v>
      </c>
      <c r="U4360">
        <v>7.6</v>
      </c>
      <c r="Y4360" s="42">
        <v>44677</v>
      </c>
    </row>
    <row r="4361" spans="14:25">
      <c r="N4361" s="42">
        <v>44666</v>
      </c>
      <c r="O4361" t="s">
        <v>346</v>
      </c>
      <c r="P4361" s="42">
        <v>44666</v>
      </c>
      <c r="Q4361" t="s">
        <v>346</v>
      </c>
      <c r="R4361" t="s">
        <v>320</v>
      </c>
      <c r="S4361" t="s">
        <v>323</v>
      </c>
      <c r="U4361">
        <v>7.6</v>
      </c>
      <c r="Y4361" s="42">
        <v>44677</v>
      </c>
    </row>
    <row r="4362" spans="14:25">
      <c r="N4362" s="42">
        <v>44634</v>
      </c>
      <c r="O4362" t="s">
        <v>345</v>
      </c>
      <c r="P4362" s="42">
        <v>44634</v>
      </c>
      <c r="Q4362" t="s">
        <v>345</v>
      </c>
      <c r="R4362" t="s">
        <v>320</v>
      </c>
      <c r="S4362" t="s">
        <v>323</v>
      </c>
      <c r="U4362">
        <v>7.6</v>
      </c>
      <c r="Y4362" s="42">
        <v>44635</v>
      </c>
    </row>
    <row r="4363" spans="14:25">
      <c r="N4363" s="42">
        <v>44587</v>
      </c>
      <c r="O4363" t="s">
        <v>328</v>
      </c>
      <c r="P4363" s="42">
        <v>44587</v>
      </c>
      <c r="Q4363" t="s">
        <v>328</v>
      </c>
      <c r="R4363" t="s">
        <v>320</v>
      </c>
      <c r="S4363" t="s">
        <v>323</v>
      </c>
      <c r="U4363">
        <v>7.6</v>
      </c>
      <c r="Y4363" s="42">
        <v>44593</v>
      </c>
    </row>
    <row r="4364" spans="14:25">
      <c r="N4364" s="42">
        <v>44566</v>
      </c>
      <c r="O4364" t="s">
        <v>328</v>
      </c>
      <c r="P4364" s="42">
        <v>44575</v>
      </c>
      <c r="Q4364" t="s">
        <v>346</v>
      </c>
      <c r="R4364" t="s">
        <v>320</v>
      </c>
      <c r="S4364" t="s">
        <v>323</v>
      </c>
      <c r="T4364">
        <v>60.8</v>
      </c>
      <c r="U4364">
        <v>0</v>
      </c>
      <c r="V4364">
        <v>0</v>
      </c>
      <c r="Y4364" s="42">
        <v>44579</v>
      </c>
    </row>
    <row r="4365" spans="14:25">
      <c r="N4365" s="42">
        <v>44552</v>
      </c>
      <c r="O4365" t="s">
        <v>328</v>
      </c>
      <c r="P4365" s="42">
        <v>44565</v>
      </c>
      <c r="Q4365" t="s">
        <v>333</v>
      </c>
      <c r="R4365" t="s">
        <v>320</v>
      </c>
      <c r="S4365" t="s">
        <v>323</v>
      </c>
      <c r="T4365">
        <v>53.2</v>
      </c>
      <c r="U4365">
        <v>22.8</v>
      </c>
      <c r="V4365">
        <v>0</v>
      </c>
      <c r="Y4365" s="42">
        <v>44565</v>
      </c>
    </row>
    <row r="4366" spans="14:25">
      <c r="N4366" s="42">
        <v>44550</v>
      </c>
      <c r="O4366" t="s">
        <v>345</v>
      </c>
      <c r="P4366" s="42">
        <v>44551</v>
      </c>
      <c r="Q4366" t="s">
        <v>333</v>
      </c>
      <c r="R4366" t="s">
        <v>320</v>
      </c>
      <c r="S4366" t="s">
        <v>323</v>
      </c>
      <c r="T4366">
        <v>15.2</v>
      </c>
      <c r="U4366">
        <v>0</v>
      </c>
      <c r="V4366">
        <v>0</v>
      </c>
      <c r="Y4366" s="42">
        <v>44551</v>
      </c>
    </row>
    <row r="4367" spans="14:25">
      <c r="N4367" s="42">
        <v>44502</v>
      </c>
      <c r="O4367" t="s">
        <v>333</v>
      </c>
      <c r="P4367" s="42">
        <v>44502</v>
      </c>
      <c r="Q4367" t="s">
        <v>333</v>
      </c>
      <c r="R4367" t="s">
        <v>320</v>
      </c>
      <c r="S4367" t="s">
        <v>323</v>
      </c>
      <c r="U4367">
        <v>7.6</v>
      </c>
      <c r="Y4367" s="42">
        <v>44509</v>
      </c>
    </row>
    <row r="4368" spans="14:25">
      <c r="N4368" s="42">
        <v>44463</v>
      </c>
      <c r="O4368" t="s">
        <v>346</v>
      </c>
      <c r="P4368" s="42">
        <v>44463</v>
      </c>
      <c r="Q4368" t="s">
        <v>346</v>
      </c>
      <c r="R4368" t="s">
        <v>320</v>
      </c>
      <c r="S4368" t="s">
        <v>323</v>
      </c>
      <c r="U4368">
        <v>7.6</v>
      </c>
      <c r="Y4368" s="42">
        <v>44467</v>
      </c>
    </row>
    <row r="4369" spans="14:25">
      <c r="N4369" s="42">
        <v>44370</v>
      </c>
      <c r="O4369" t="s">
        <v>328</v>
      </c>
      <c r="P4369" s="42">
        <v>44370</v>
      </c>
      <c r="Q4369" t="s">
        <v>328</v>
      </c>
      <c r="R4369" t="s">
        <v>320</v>
      </c>
      <c r="S4369" t="s">
        <v>323</v>
      </c>
      <c r="T4369">
        <v>7.6</v>
      </c>
      <c r="V4369">
        <v>0</v>
      </c>
      <c r="Y4369" s="42">
        <v>44383</v>
      </c>
    </row>
    <row r="4370" spans="14:25">
      <c r="N4370" s="42">
        <v>44361</v>
      </c>
      <c r="O4370" t="s">
        <v>345</v>
      </c>
      <c r="P4370" s="42">
        <v>44361</v>
      </c>
      <c r="Q4370" t="s">
        <v>345</v>
      </c>
      <c r="R4370" t="s">
        <v>320</v>
      </c>
      <c r="S4370" t="s">
        <v>323</v>
      </c>
      <c r="U4370">
        <v>7.6</v>
      </c>
      <c r="Y4370" s="42">
        <v>44369</v>
      </c>
    </row>
    <row r="4371" spans="14:25">
      <c r="N4371" s="42">
        <v>44291</v>
      </c>
      <c r="O4371" t="s">
        <v>345</v>
      </c>
      <c r="P4371" s="42">
        <v>44291</v>
      </c>
      <c r="Q4371" t="s">
        <v>345</v>
      </c>
      <c r="R4371" t="s">
        <v>320</v>
      </c>
      <c r="S4371" t="s">
        <v>323</v>
      </c>
      <c r="U4371">
        <v>7.6</v>
      </c>
      <c r="Y4371" s="42">
        <v>44299</v>
      </c>
    </row>
    <row r="4372" spans="14:25">
      <c r="N4372" s="42">
        <v>44288</v>
      </c>
      <c r="O4372" t="s">
        <v>346</v>
      </c>
      <c r="P4372" s="42">
        <v>44288</v>
      </c>
      <c r="Q4372" t="s">
        <v>346</v>
      </c>
      <c r="R4372" t="s">
        <v>320</v>
      </c>
      <c r="S4372" t="s">
        <v>323</v>
      </c>
      <c r="U4372">
        <v>7.6</v>
      </c>
      <c r="Y4372" s="42">
        <v>44299</v>
      </c>
    </row>
    <row r="4373" spans="14:25">
      <c r="N4373" s="42">
        <v>44263</v>
      </c>
      <c r="O4373" t="s">
        <v>345</v>
      </c>
      <c r="P4373" s="42">
        <v>44263</v>
      </c>
      <c r="Q4373" t="s">
        <v>345</v>
      </c>
      <c r="R4373" t="s">
        <v>320</v>
      </c>
      <c r="S4373" t="s">
        <v>323</v>
      </c>
      <c r="U4373">
        <v>7.6</v>
      </c>
      <c r="Y4373" s="42">
        <v>44271</v>
      </c>
    </row>
    <row r="4374" spans="14:25">
      <c r="N4374" s="42">
        <v>44222</v>
      </c>
      <c r="O4374" t="s">
        <v>333</v>
      </c>
      <c r="P4374" s="42">
        <v>44222</v>
      </c>
      <c r="Q4374" t="s">
        <v>333</v>
      </c>
      <c r="R4374" t="s">
        <v>320</v>
      </c>
      <c r="S4374" t="s">
        <v>323</v>
      </c>
      <c r="U4374">
        <v>7.6</v>
      </c>
      <c r="Y4374" s="42">
        <v>44229</v>
      </c>
    </row>
    <row r="4375" spans="14:25">
      <c r="N4375" s="42">
        <v>44221</v>
      </c>
      <c r="O4375" t="s">
        <v>345</v>
      </c>
      <c r="P4375" s="42">
        <v>44221</v>
      </c>
      <c r="Q4375" t="s">
        <v>345</v>
      </c>
      <c r="R4375" t="s">
        <v>320</v>
      </c>
      <c r="S4375" t="s">
        <v>323</v>
      </c>
      <c r="T4375">
        <v>7.6</v>
      </c>
      <c r="V4375">
        <v>0</v>
      </c>
      <c r="Y4375" s="42">
        <v>44229</v>
      </c>
    </row>
    <row r="4376" spans="14:25">
      <c r="N4376" s="42">
        <v>44202</v>
      </c>
      <c r="O4376" t="s">
        <v>328</v>
      </c>
      <c r="P4376" s="42">
        <v>44204</v>
      </c>
      <c r="Q4376" t="s">
        <v>346</v>
      </c>
      <c r="R4376" t="s">
        <v>320</v>
      </c>
      <c r="S4376" t="s">
        <v>323</v>
      </c>
      <c r="T4376">
        <v>15.2</v>
      </c>
      <c r="U4376">
        <v>0</v>
      </c>
      <c r="V4376">
        <v>0</v>
      </c>
      <c r="Y4376" s="42">
        <v>44215</v>
      </c>
    </row>
    <row r="4377" spans="14:25">
      <c r="N4377" s="42">
        <v>44188</v>
      </c>
      <c r="O4377" t="s">
        <v>328</v>
      </c>
      <c r="P4377" s="42">
        <v>44201</v>
      </c>
      <c r="Q4377" t="s">
        <v>333</v>
      </c>
      <c r="R4377" t="s">
        <v>320</v>
      </c>
      <c r="S4377" t="s">
        <v>323</v>
      </c>
      <c r="T4377">
        <v>53.2</v>
      </c>
      <c r="U4377">
        <v>22.8</v>
      </c>
      <c r="V4377">
        <v>0</v>
      </c>
      <c r="Y4377" s="42">
        <v>44201</v>
      </c>
    </row>
    <row r="4378" spans="14:25">
      <c r="N4378" s="42">
        <v>44138</v>
      </c>
      <c r="O4378" t="s">
        <v>333</v>
      </c>
      <c r="P4378" s="42">
        <v>44138</v>
      </c>
      <c r="Q4378" t="s">
        <v>333</v>
      </c>
      <c r="R4378" t="s">
        <v>320</v>
      </c>
      <c r="S4378" t="s">
        <v>323</v>
      </c>
      <c r="U4378">
        <v>7.6</v>
      </c>
      <c r="Y4378" s="42">
        <v>44145</v>
      </c>
    </row>
    <row r="4379" spans="14:25">
      <c r="N4379" s="42">
        <v>44137</v>
      </c>
      <c r="O4379" t="s">
        <v>345</v>
      </c>
      <c r="P4379" s="42">
        <v>44137</v>
      </c>
      <c r="Q4379" t="s">
        <v>345</v>
      </c>
      <c r="R4379" t="s">
        <v>320</v>
      </c>
      <c r="S4379" t="s">
        <v>323</v>
      </c>
      <c r="T4379">
        <v>7.6</v>
      </c>
      <c r="V4379">
        <v>0</v>
      </c>
      <c r="Y4379" s="42">
        <v>44145</v>
      </c>
    </row>
    <row r="4380" spans="14:25">
      <c r="N4380" s="42">
        <v>44127</v>
      </c>
      <c r="O4380" t="s">
        <v>346</v>
      </c>
      <c r="P4380" s="42">
        <v>44127</v>
      </c>
      <c r="Q4380" t="s">
        <v>346</v>
      </c>
      <c r="R4380" t="s">
        <v>320</v>
      </c>
      <c r="S4380" t="s">
        <v>323</v>
      </c>
      <c r="U4380">
        <v>7.6</v>
      </c>
      <c r="Y4380" s="42">
        <v>44131</v>
      </c>
    </row>
    <row r="4381" spans="14:25">
      <c r="N4381" s="42">
        <v>44006</v>
      </c>
      <c r="O4381" t="s">
        <v>328</v>
      </c>
      <c r="P4381" s="42">
        <v>44006</v>
      </c>
      <c r="Q4381" t="s">
        <v>328</v>
      </c>
      <c r="R4381" t="s">
        <v>320</v>
      </c>
      <c r="S4381" t="s">
        <v>323</v>
      </c>
      <c r="T4381">
        <v>7.6</v>
      </c>
      <c r="V4381">
        <v>0</v>
      </c>
      <c r="Y4381" s="42">
        <v>44019</v>
      </c>
    </row>
    <row r="4382" spans="14:25">
      <c r="N4382" s="42">
        <v>43999</v>
      </c>
      <c r="O4382" t="s">
        <v>328</v>
      </c>
      <c r="P4382" s="42">
        <v>43999</v>
      </c>
      <c r="Q4382" t="s">
        <v>328</v>
      </c>
      <c r="R4382" t="s">
        <v>320</v>
      </c>
      <c r="S4382" t="s">
        <v>323</v>
      </c>
      <c r="T4382">
        <v>7.6</v>
      </c>
      <c r="V4382">
        <v>0</v>
      </c>
      <c r="Y4382" s="42">
        <v>44005</v>
      </c>
    </row>
    <row r="4383" spans="14:25">
      <c r="N4383" s="42">
        <v>43990</v>
      </c>
      <c r="O4383" t="s">
        <v>345</v>
      </c>
      <c r="P4383" s="42">
        <v>43990</v>
      </c>
      <c r="Q4383" t="s">
        <v>345</v>
      </c>
      <c r="R4383" t="s">
        <v>320</v>
      </c>
      <c r="S4383" t="s">
        <v>323</v>
      </c>
      <c r="T4383">
        <v>0</v>
      </c>
      <c r="U4383">
        <v>7.6</v>
      </c>
      <c r="Y4383" s="42">
        <v>43991</v>
      </c>
    </row>
    <row r="4384" spans="14:25">
      <c r="N4384" s="42">
        <v>43985</v>
      </c>
      <c r="O4384" t="s">
        <v>328</v>
      </c>
      <c r="P4384" s="42">
        <v>43985</v>
      </c>
      <c r="Q4384" t="s">
        <v>328</v>
      </c>
      <c r="R4384" t="s">
        <v>320</v>
      </c>
      <c r="S4384" t="s">
        <v>323</v>
      </c>
      <c r="T4384">
        <v>7.6</v>
      </c>
      <c r="V4384">
        <v>0</v>
      </c>
      <c r="Y4384" s="42">
        <v>43991</v>
      </c>
    </row>
    <row r="4385" spans="1:25">
      <c r="N4385" s="42">
        <v>43934</v>
      </c>
      <c r="O4385" t="s">
        <v>345</v>
      </c>
      <c r="P4385" s="42">
        <v>43934</v>
      </c>
      <c r="Q4385" t="s">
        <v>345</v>
      </c>
      <c r="R4385" t="s">
        <v>320</v>
      </c>
      <c r="S4385" t="s">
        <v>323</v>
      </c>
      <c r="T4385">
        <v>0</v>
      </c>
      <c r="U4385">
        <v>7.6</v>
      </c>
      <c r="Y4385" s="42">
        <v>43935</v>
      </c>
    </row>
    <row r="4386" spans="1:25">
      <c r="N4386" s="42">
        <v>43931</v>
      </c>
      <c r="O4386" t="s">
        <v>346</v>
      </c>
      <c r="P4386" s="42">
        <v>43931</v>
      </c>
      <c r="Q4386" t="s">
        <v>346</v>
      </c>
      <c r="R4386" t="s">
        <v>320</v>
      </c>
      <c r="S4386" t="s">
        <v>323</v>
      </c>
      <c r="T4386">
        <v>0</v>
      </c>
      <c r="U4386">
        <v>7.6</v>
      </c>
      <c r="Y4386" s="42">
        <v>43935</v>
      </c>
    </row>
    <row r="4387" spans="1:25">
      <c r="N4387" s="42">
        <v>43899</v>
      </c>
      <c r="O4387" t="s">
        <v>345</v>
      </c>
      <c r="P4387" s="42">
        <v>43899</v>
      </c>
      <c r="Q4387" t="s">
        <v>345</v>
      </c>
      <c r="R4387" t="s">
        <v>320</v>
      </c>
      <c r="S4387" t="s">
        <v>323</v>
      </c>
      <c r="T4387">
        <v>0</v>
      </c>
      <c r="U4387">
        <v>7.6</v>
      </c>
      <c r="Y4387" s="42">
        <v>43907</v>
      </c>
    </row>
    <row r="4388" spans="1:25">
      <c r="N4388" s="42">
        <v>43888</v>
      </c>
      <c r="O4388" t="s">
        <v>324</v>
      </c>
      <c r="P4388" s="42">
        <v>43892</v>
      </c>
      <c r="Q4388" t="s">
        <v>345</v>
      </c>
      <c r="R4388" t="s">
        <v>320</v>
      </c>
      <c r="S4388" t="s">
        <v>323</v>
      </c>
      <c r="T4388">
        <v>22.8</v>
      </c>
      <c r="V4388">
        <v>0</v>
      </c>
      <c r="Y4388" s="42">
        <v>43893</v>
      </c>
    </row>
    <row r="4389" spans="1:25">
      <c r="N4389" s="42">
        <v>43864</v>
      </c>
      <c r="O4389" t="s">
        <v>345</v>
      </c>
      <c r="P4389" s="42">
        <v>43864</v>
      </c>
      <c r="Q4389" t="s">
        <v>345</v>
      </c>
      <c r="R4389" t="s">
        <v>329</v>
      </c>
      <c r="S4389" t="s">
        <v>323</v>
      </c>
      <c r="T4389">
        <v>7.6</v>
      </c>
      <c r="W4389" t="s">
        <v>330</v>
      </c>
      <c r="X4389" t="s">
        <v>330</v>
      </c>
      <c r="Y4389" s="42">
        <v>43865</v>
      </c>
    </row>
    <row r="4390" spans="1:25">
      <c r="N4390" s="42">
        <v>43857</v>
      </c>
      <c r="O4390" t="s">
        <v>345</v>
      </c>
      <c r="P4390" s="42">
        <v>43857</v>
      </c>
      <c r="Q4390" t="s">
        <v>345</v>
      </c>
      <c r="R4390" t="s">
        <v>320</v>
      </c>
      <c r="S4390" t="s">
        <v>323</v>
      </c>
      <c r="T4390">
        <v>0</v>
      </c>
      <c r="U4390">
        <v>7.6</v>
      </c>
      <c r="Y4390" s="42">
        <v>43865</v>
      </c>
    </row>
    <row r="4391" spans="1:25">
      <c r="N4391" s="42">
        <v>43826</v>
      </c>
      <c r="O4391" t="s">
        <v>346</v>
      </c>
      <c r="P4391" s="42">
        <v>43837</v>
      </c>
      <c r="Q4391" t="s">
        <v>333</v>
      </c>
      <c r="R4391" t="s">
        <v>320</v>
      </c>
      <c r="S4391" t="s">
        <v>323</v>
      </c>
      <c r="T4391">
        <v>53.2</v>
      </c>
      <c r="Y4391" s="42">
        <v>43837</v>
      </c>
    </row>
    <row r="4392" spans="1:25">
      <c r="N4392" s="42">
        <v>43822</v>
      </c>
      <c r="O4392" t="s">
        <v>345</v>
      </c>
      <c r="P4392" s="42">
        <v>43823</v>
      </c>
      <c r="Q4392" t="s">
        <v>333</v>
      </c>
      <c r="R4392" t="s">
        <v>320</v>
      </c>
      <c r="S4392" t="s">
        <v>323</v>
      </c>
      <c r="T4392">
        <v>15.2</v>
      </c>
      <c r="U4392">
        <v>0</v>
      </c>
      <c r="V4392">
        <v>0</v>
      </c>
      <c r="Y4392" s="42">
        <v>43823</v>
      </c>
    </row>
    <row r="4393" spans="1:25">
      <c r="N4393" s="42">
        <v>43774</v>
      </c>
      <c r="O4393" t="s">
        <v>333</v>
      </c>
      <c r="P4393" s="42">
        <v>43774</v>
      </c>
      <c r="Q4393" t="s">
        <v>333</v>
      </c>
      <c r="R4393" t="s">
        <v>320</v>
      </c>
      <c r="S4393" t="s">
        <v>323</v>
      </c>
      <c r="T4393">
        <v>0</v>
      </c>
      <c r="U4393">
        <v>7.6</v>
      </c>
      <c r="Y4393" s="42">
        <v>43781</v>
      </c>
    </row>
    <row r="4394" spans="1:25">
      <c r="N4394" s="42">
        <v>43644</v>
      </c>
      <c r="O4394" t="s">
        <v>346</v>
      </c>
      <c r="P4394" s="42">
        <v>43644</v>
      </c>
      <c r="Q4394" t="s">
        <v>346</v>
      </c>
      <c r="R4394" t="s">
        <v>329</v>
      </c>
      <c r="S4394" t="s">
        <v>323</v>
      </c>
      <c r="T4394">
        <v>7.6</v>
      </c>
      <c r="W4394" t="s">
        <v>330</v>
      </c>
      <c r="X4394" t="s">
        <v>330</v>
      </c>
      <c r="Y4394" s="42">
        <v>43655</v>
      </c>
    </row>
    <row r="4395" spans="1:25">
      <c r="A4395">
        <v>18733</v>
      </c>
      <c r="B4395" t="s">
        <v>406</v>
      </c>
      <c r="C4395" t="s">
        <v>320</v>
      </c>
      <c r="D4395" t="s">
        <v>336</v>
      </c>
      <c r="E4395" t="s">
        <v>337</v>
      </c>
      <c r="F4395">
        <v>1</v>
      </c>
      <c r="G4395" s="42">
        <v>45118</v>
      </c>
      <c r="H4395">
        <v>152</v>
      </c>
      <c r="I4395">
        <v>-2.1484999999999999</v>
      </c>
      <c r="J4395">
        <v>98.279499999999999</v>
      </c>
      <c r="K4395">
        <v>96.131</v>
      </c>
      <c r="L4395" t="s">
        <v>323</v>
      </c>
      <c r="M4395" s="43">
        <v>0.25486111111111109</v>
      </c>
      <c r="N4395" s="42">
        <v>44960</v>
      </c>
      <c r="O4395" t="s">
        <v>346</v>
      </c>
      <c r="P4395" s="42">
        <v>44960</v>
      </c>
      <c r="Q4395" t="s">
        <v>346</v>
      </c>
      <c r="R4395" t="s">
        <v>320</v>
      </c>
      <c r="S4395" t="s">
        <v>323</v>
      </c>
      <c r="T4395">
        <v>7.6</v>
      </c>
      <c r="Y4395" s="42">
        <v>44971</v>
      </c>
    </row>
    <row r="4396" spans="1:25">
      <c r="C4396" t="s">
        <v>325</v>
      </c>
      <c r="D4396" t="s">
        <v>352</v>
      </c>
      <c r="E4396" t="s">
        <v>353</v>
      </c>
      <c r="F4396">
        <v>1</v>
      </c>
      <c r="G4396" s="42">
        <v>46216</v>
      </c>
      <c r="H4396">
        <v>320.61759999999998</v>
      </c>
      <c r="I4396">
        <v>0</v>
      </c>
      <c r="J4396">
        <v>209.96379999999999</v>
      </c>
      <c r="K4396">
        <v>209.96379999999999</v>
      </c>
      <c r="L4396" t="s">
        <v>323</v>
      </c>
      <c r="N4396" s="42">
        <v>44959</v>
      </c>
      <c r="O4396" t="s">
        <v>324</v>
      </c>
      <c r="P4396" s="42">
        <v>44959</v>
      </c>
      <c r="Q4396" t="s">
        <v>324</v>
      </c>
      <c r="R4396" t="s">
        <v>329</v>
      </c>
      <c r="S4396" t="s">
        <v>323</v>
      </c>
      <c r="T4396">
        <v>7.6</v>
      </c>
      <c r="W4396" t="s">
        <v>330</v>
      </c>
      <c r="Y4396" s="42">
        <v>44971</v>
      </c>
    </row>
    <row r="4397" spans="1:25">
      <c r="C4397" t="s">
        <v>329</v>
      </c>
      <c r="D4397" t="s">
        <v>342</v>
      </c>
      <c r="E4397" t="s">
        <v>343</v>
      </c>
      <c r="F4397">
        <v>1</v>
      </c>
      <c r="G4397" s="42">
        <v>45118</v>
      </c>
      <c r="H4397">
        <v>76</v>
      </c>
      <c r="I4397">
        <v>-43.799599999999998</v>
      </c>
      <c r="J4397">
        <v>49.139699999999998</v>
      </c>
      <c r="K4397">
        <v>5.3400999999999996</v>
      </c>
      <c r="L4397" t="s">
        <v>323</v>
      </c>
      <c r="N4397" s="42">
        <v>44958</v>
      </c>
      <c r="O4397" t="s">
        <v>328</v>
      </c>
      <c r="P4397" s="42">
        <v>44958</v>
      </c>
      <c r="Q4397" t="s">
        <v>328</v>
      </c>
      <c r="R4397" t="s">
        <v>329</v>
      </c>
      <c r="S4397" t="s">
        <v>323</v>
      </c>
      <c r="T4397">
        <v>7.6</v>
      </c>
      <c r="W4397" t="s">
        <v>330</v>
      </c>
      <c r="Y4397" s="42">
        <v>44971</v>
      </c>
    </row>
    <row r="4398" spans="1:25">
      <c r="N4398" s="42">
        <v>44957</v>
      </c>
      <c r="O4398" t="s">
        <v>333</v>
      </c>
      <c r="P4398" s="42">
        <v>44957</v>
      </c>
      <c r="Q4398" t="s">
        <v>333</v>
      </c>
      <c r="R4398" t="s">
        <v>329</v>
      </c>
      <c r="S4398" t="s">
        <v>323</v>
      </c>
      <c r="T4398">
        <v>7.6</v>
      </c>
      <c r="W4398" t="s">
        <v>330</v>
      </c>
      <c r="Y4398" s="42">
        <v>44957</v>
      </c>
    </row>
    <row r="4399" spans="1:25">
      <c r="N4399" s="42">
        <v>44956</v>
      </c>
      <c r="O4399" t="s">
        <v>345</v>
      </c>
      <c r="P4399" s="42">
        <v>44956</v>
      </c>
      <c r="Q4399" t="s">
        <v>345</v>
      </c>
      <c r="R4399" t="s">
        <v>329</v>
      </c>
      <c r="S4399" t="s">
        <v>323</v>
      </c>
      <c r="T4399">
        <v>7.6</v>
      </c>
      <c r="W4399" t="s">
        <v>330</v>
      </c>
      <c r="Y4399" s="42">
        <v>44957</v>
      </c>
    </row>
    <row r="4400" spans="1:25">
      <c r="N4400" s="42">
        <v>44953</v>
      </c>
      <c r="O4400" t="s">
        <v>346</v>
      </c>
      <c r="P4400" s="42">
        <v>44953</v>
      </c>
      <c r="Q4400" t="s">
        <v>346</v>
      </c>
      <c r="R4400" t="s">
        <v>320</v>
      </c>
      <c r="S4400" t="s">
        <v>323</v>
      </c>
      <c r="T4400">
        <v>7.6</v>
      </c>
      <c r="Y4400" s="42">
        <v>44957</v>
      </c>
    </row>
    <row r="4401" spans="14:25">
      <c r="N4401" s="42">
        <v>44952</v>
      </c>
      <c r="O4401" t="s">
        <v>324</v>
      </c>
      <c r="P4401" s="42">
        <v>44952</v>
      </c>
      <c r="Q4401" t="s">
        <v>324</v>
      </c>
      <c r="R4401" t="s">
        <v>320</v>
      </c>
      <c r="S4401" t="s">
        <v>323</v>
      </c>
      <c r="U4401">
        <v>7.6</v>
      </c>
    </row>
    <row r="4402" spans="14:25">
      <c r="N4402" s="42">
        <v>44951</v>
      </c>
      <c r="O4402" t="s">
        <v>328</v>
      </c>
      <c r="P4402" s="42">
        <v>44951</v>
      </c>
      <c r="Q4402" t="s">
        <v>328</v>
      </c>
      <c r="R4402" t="s">
        <v>320</v>
      </c>
      <c r="S4402" t="s">
        <v>323</v>
      </c>
      <c r="T4402">
        <v>7.6</v>
      </c>
      <c r="Y4402" s="42">
        <v>44957</v>
      </c>
    </row>
    <row r="4403" spans="14:25">
      <c r="N4403" s="42">
        <v>44950</v>
      </c>
      <c r="O4403" t="s">
        <v>333</v>
      </c>
      <c r="P4403" s="42">
        <v>44950</v>
      </c>
      <c r="Q4403" t="s">
        <v>333</v>
      </c>
      <c r="R4403" t="s">
        <v>320</v>
      </c>
      <c r="S4403" t="s">
        <v>323</v>
      </c>
      <c r="T4403">
        <v>7.6</v>
      </c>
      <c r="Y4403" s="42">
        <v>44957</v>
      </c>
    </row>
    <row r="4404" spans="14:25">
      <c r="N4404" s="42">
        <v>44949</v>
      </c>
      <c r="O4404" t="s">
        <v>345</v>
      </c>
      <c r="P4404" s="42">
        <v>44949</v>
      </c>
      <c r="Q4404" t="s">
        <v>345</v>
      </c>
      <c r="R4404" t="s">
        <v>320</v>
      </c>
      <c r="S4404" t="s">
        <v>323</v>
      </c>
      <c r="T4404">
        <v>7.6</v>
      </c>
      <c r="Y4404" s="42">
        <v>44957</v>
      </c>
    </row>
    <row r="4405" spans="14:25">
      <c r="N4405" s="42">
        <v>44946</v>
      </c>
      <c r="O4405" t="s">
        <v>346</v>
      </c>
      <c r="P4405" s="42">
        <v>44946</v>
      </c>
      <c r="Q4405" t="s">
        <v>346</v>
      </c>
      <c r="R4405" t="s">
        <v>320</v>
      </c>
      <c r="S4405" t="s">
        <v>323</v>
      </c>
      <c r="T4405">
        <v>7.6</v>
      </c>
      <c r="Y4405" s="42">
        <v>44957</v>
      </c>
    </row>
    <row r="4406" spans="14:25">
      <c r="N4406" s="42">
        <v>44945</v>
      </c>
      <c r="O4406" t="s">
        <v>324</v>
      </c>
      <c r="P4406" s="42">
        <v>44945</v>
      </c>
      <c r="Q4406" t="s">
        <v>324</v>
      </c>
      <c r="R4406" t="s">
        <v>320</v>
      </c>
      <c r="S4406" t="s">
        <v>323</v>
      </c>
      <c r="T4406">
        <v>7.6</v>
      </c>
      <c r="Y4406" s="42">
        <v>44957</v>
      </c>
    </row>
    <row r="4407" spans="14:25">
      <c r="N4407" s="42">
        <v>44944</v>
      </c>
      <c r="O4407" t="s">
        <v>328</v>
      </c>
      <c r="P4407" s="42">
        <v>44944</v>
      </c>
      <c r="Q4407" t="s">
        <v>328</v>
      </c>
      <c r="R4407" t="s">
        <v>320</v>
      </c>
      <c r="S4407" t="s">
        <v>323</v>
      </c>
      <c r="T4407">
        <v>7.6</v>
      </c>
      <c r="Y4407" s="42">
        <v>44957</v>
      </c>
    </row>
    <row r="4408" spans="14:25">
      <c r="N4408" s="42">
        <v>44943</v>
      </c>
      <c r="O4408" t="s">
        <v>333</v>
      </c>
      <c r="P4408" s="42">
        <v>44943</v>
      </c>
      <c r="Q4408" t="s">
        <v>333</v>
      </c>
      <c r="R4408" t="s">
        <v>320</v>
      </c>
      <c r="S4408" t="s">
        <v>323</v>
      </c>
      <c r="T4408">
        <v>7.6</v>
      </c>
      <c r="Y4408" s="42">
        <v>44943</v>
      </c>
    </row>
    <row r="4409" spans="14:25">
      <c r="N4409" s="42">
        <v>44942</v>
      </c>
      <c r="O4409" t="s">
        <v>345</v>
      </c>
      <c r="P4409" s="42">
        <v>44942</v>
      </c>
      <c r="Q4409" t="s">
        <v>345</v>
      </c>
      <c r="R4409" t="s">
        <v>320</v>
      </c>
      <c r="S4409" t="s">
        <v>323</v>
      </c>
      <c r="T4409">
        <v>7.6</v>
      </c>
      <c r="Y4409" s="42">
        <v>44943</v>
      </c>
    </row>
    <row r="4410" spans="14:25">
      <c r="N4410" s="42">
        <v>44939</v>
      </c>
      <c r="O4410" t="s">
        <v>346</v>
      </c>
      <c r="P4410" s="42">
        <v>44939</v>
      </c>
      <c r="Q4410" t="s">
        <v>346</v>
      </c>
      <c r="R4410" t="s">
        <v>320</v>
      </c>
      <c r="S4410" t="s">
        <v>323</v>
      </c>
      <c r="T4410">
        <v>7.6</v>
      </c>
      <c r="Y4410" s="42">
        <v>44943</v>
      </c>
    </row>
    <row r="4411" spans="14:25">
      <c r="N4411" s="42">
        <v>44938</v>
      </c>
      <c r="O4411" t="s">
        <v>324</v>
      </c>
      <c r="P4411" s="42">
        <v>44938</v>
      </c>
      <c r="Q4411" t="s">
        <v>324</v>
      </c>
      <c r="R4411" t="s">
        <v>320</v>
      </c>
      <c r="S4411" t="s">
        <v>323</v>
      </c>
      <c r="T4411">
        <v>7.6</v>
      </c>
      <c r="Y4411" s="42">
        <v>44943</v>
      </c>
    </row>
    <row r="4412" spans="14:25">
      <c r="N4412" s="42">
        <v>44937</v>
      </c>
      <c r="O4412" t="s">
        <v>328</v>
      </c>
      <c r="P4412" s="42">
        <v>44937</v>
      </c>
      <c r="Q4412" t="s">
        <v>328</v>
      </c>
      <c r="R4412" t="s">
        <v>320</v>
      </c>
      <c r="S4412" t="s">
        <v>323</v>
      </c>
      <c r="T4412">
        <v>7.6</v>
      </c>
      <c r="Y4412" s="42">
        <v>44943</v>
      </c>
    </row>
    <row r="4413" spans="14:25">
      <c r="N4413" s="42">
        <v>44936</v>
      </c>
      <c r="O4413" t="s">
        <v>333</v>
      </c>
      <c r="P4413" s="42">
        <v>44936</v>
      </c>
      <c r="Q4413" t="s">
        <v>333</v>
      </c>
      <c r="R4413" t="s">
        <v>320</v>
      </c>
      <c r="S4413" t="s">
        <v>323</v>
      </c>
      <c r="T4413">
        <v>7.6</v>
      </c>
      <c r="Y4413" s="42">
        <v>44943</v>
      </c>
    </row>
    <row r="4414" spans="14:25">
      <c r="N4414" s="42">
        <v>44935</v>
      </c>
      <c r="O4414" t="s">
        <v>345</v>
      </c>
      <c r="P4414" s="42">
        <v>44935</v>
      </c>
      <c r="Q4414" t="s">
        <v>345</v>
      </c>
      <c r="R4414" t="s">
        <v>320</v>
      </c>
      <c r="S4414" t="s">
        <v>323</v>
      </c>
      <c r="T4414">
        <v>7.6</v>
      </c>
      <c r="Y4414" s="42">
        <v>44943</v>
      </c>
    </row>
    <row r="4415" spans="14:25">
      <c r="N4415" s="42">
        <v>44932</v>
      </c>
      <c r="O4415" t="s">
        <v>346</v>
      </c>
      <c r="P4415" s="42">
        <v>44932</v>
      </c>
      <c r="Q4415" t="s">
        <v>346</v>
      </c>
      <c r="R4415" t="s">
        <v>320</v>
      </c>
      <c r="S4415" t="s">
        <v>323</v>
      </c>
      <c r="T4415">
        <v>7.6</v>
      </c>
      <c r="Y4415" s="42">
        <v>44943</v>
      </c>
    </row>
    <row r="4416" spans="14:25">
      <c r="N4416" s="42">
        <v>44931</v>
      </c>
      <c r="O4416" t="s">
        <v>324</v>
      </c>
      <c r="P4416" s="42">
        <v>44931</v>
      </c>
      <c r="Q4416" t="s">
        <v>324</v>
      </c>
      <c r="R4416" t="s">
        <v>320</v>
      </c>
      <c r="S4416" t="s">
        <v>323</v>
      </c>
      <c r="T4416">
        <v>7.6</v>
      </c>
      <c r="Y4416" s="42">
        <v>44943</v>
      </c>
    </row>
    <row r="4417" spans="14:25">
      <c r="N4417" s="42">
        <v>44930</v>
      </c>
      <c r="O4417" t="s">
        <v>328</v>
      </c>
      <c r="P4417" s="42">
        <v>44930</v>
      </c>
      <c r="Q4417" t="s">
        <v>328</v>
      </c>
      <c r="R4417" t="s">
        <v>320</v>
      </c>
      <c r="S4417" t="s">
        <v>323</v>
      </c>
      <c r="T4417">
        <v>7.6</v>
      </c>
      <c r="Y4417" s="42">
        <v>44943</v>
      </c>
    </row>
    <row r="4418" spans="14:25">
      <c r="N4418" s="42">
        <v>44929</v>
      </c>
      <c r="O4418" t="s">
        <v>333</v>
      </c>
      <c r="P4418" s="42">
        <v>44929</v>
      </c>
      <c r="Q4418" t="s">
        <v>333</v>
      </c>
      <c r="R4418" t="s">
        <v>320</v>
      </c>
      <c r="S4418" t="s">
        <v>323</v>
      </c>
      <c r="T4418">
        <v>7.6</v>
      </c>
      <c r="Y4418" s="42">
        <v>44929</v>
      </c>
    </row>
    <row r="4419" spans="14:25">
      <c r="N4419" s="42">
        <v>44928</v>
      </c>
      <c r="O4419" t="s">
        <v>345</v>
      </c>
      <c r="P4419" s="42">
        <v>44928</v>
      </c>
      <c r="Q4419" t="s">
        <v>345</v>
      </c>
      <c r="R4419" t="s">
        <v>320</v>
      </c>
      <c r="S4419" t="s">
        <v>323</v>
      </c>
      <c r="U4419">
        <v>7.6</v>
      </c>
    </row>
    <row r="4420" spans="14:25">
      <c r="N4420" s="42">
        <v>44925</v>
      </c>
      <c r="O4420" t="s">
        <v>346</v>
      </c>
      <c r="P4420" s="42">
        <v>44925</v>
      </c>
      <c r="Q4420" t="s">
        <v>346</v>
      </c>
      <c r="R4420" t="s">
        <v>320</v>
      </c>
      <c r="S4420" t="s">
        <v>323</v>
      </c>
      <c r="T4420">
        <v>7.6</v>
      </c>
      <c r="Y4420" s="42">
        <v>44929</v>
      </c>
    </row>
    <row r="4421" spans="14:25">
      <c r="N4421" s="42">
        <v>44924</v>
      </c>
      <c r="O4421" t="s">
        <v>324</v>
      </c>
      <c r="P4421" s="42">
        <v>44924</v>
      </c>
      <c r="Q4421" t="s">
        <v>324</v>
      </c>
      <c r="R4421" t="s">
        <v>320</v>
      </c>
      <c r="S4421" t="s">
        <v>323</v>
      </c>
      <c r="T4421">
        <v>7.6</v>
      </c>
      <c r="Y4421" s="42">
        <v>44929</v>
      </c>
    </row>
    <row r="4422" spans="14:25">
      <c r="N4422" s="42">
        <v>44923</v>
      </c>
      <c r="O4422" t="s">
        <v>328</v>
      </c>
      <c r="P4422" s="42">
        <v>44923</v>
      </c>
      <c r="Q4422" t="s">
        <v>328</v>
      </c>
      <c r="R4422" t="s">
        <v>320</v>
      </c>
      <c r="S4422" t="s">
        <v>323</v>
      </c>
      <c r="T4422">
        <v>7.6</v>
      </c>
      <c r="Y4422" s="42">
        <v>44929</v>
      </c>
    </row>
    <row r="4423" spans="14:25">
      <c r="N4423" s="42">
        <v>44922</v>
      </c>
      <c r="O4423" t="s">
        <v>333</v>
      </c>
      <c r="P4423" s="42">
        <v>44922</v>
      </c>
      <c r="Q4423" t="s">
        <v>333</v>
      </c>
      <c r="R4423" t="s">
        <v>320</v>
      </c>
      <c r="S4423" t="s">
        <v>323</v>
      </c>
      <c r="U4423">
        <v>7.6</v>
      </c>
    </row>
    <row r="4424" spans="14:25">
      <c r="N4424" s="42">
        <v>44921</v>
      </c>
      <c r="O4424" t="s">
        <v>345</v>
      </c>
      <c r="P4424" s="42">
        <v>44921</v>
      </c>
      <c r="Q4424" t="s">
        <v>345</v>
      </c>
      <c r="R4424" t="s">
        <v>320</v>
      </c>
      <c r="S4424" t="s">
        <v>323</v>
      </c>
      <c r="U4424">
        <v>7.6</v>
      </c>
    </row>
    <row r="4425" spans="14:25">
      <c r="N4425" s="42">
        <v>44918</v>
      </c>
      <c r="O4425" t="s">
        <v>346</v>
      </c>
      <c r="P4425" s="42">
        <v>44918</v>
      </c>
      <c r="Q4425" t="s">
        <v>346</v>
      </c>
      <c r="R4425" t="s">
        <v>320</v>
      </c>
      <c r="S4425" t="s">
        <v>323</v>
      </c>
      <c r="T4425">
        <v>7.6</v>
      </c>
      <c r="Y4425" s="42">
        <v>44929</v>
      </c>
    </row>
    <row r="4426" spans="14:25">
      <c r="N4426" s="42">
        <v>44917</v>
      </c>
      <c r="O4426" t="s">
        <v>324</v>
      </c>
      <c r="P4426" s="42">
        <v>44917</v>
      </c>
      <c r="Q4426" t="s">
        <v>324</v>
      </c>
      <c r="R4426" t="s">
        <v>320</v>
      </c>
      <c r="S4426" t="s">
        <v>323</v>
      </c>
      <c r="T4426">
        <v>7.6</v>
      </c>
      <c r="Y4426" s="42">
        <v>44929</v>
      </c>
    </row>
    <row r="4427" spans="14:25">
      <c r="N4427" s="42">
        <v>44916</v>
      </c>
      <c r="O4427" t="s">
        <v>328</v>
      </c>
      <c r="P4427" s="42">
        <v>44916</v>
      </c>
      <c r="Q4427" t="s">
        <v>328</v>
      </c>
      <c r="R4427" t="s">
        <v>320</v>
      </c>
      <c r="S4427" t="s">
        <v>323</v>
      </c>
      <c r="T4427">
        <v>7.6</v>
      </c>
      <c r="Y4427" s="42">
        <v>44929</v>
      </c>
    </row>
    <row r="4428" spans="14:25">
      <c r="N4428" s="42">
        <v>44915</v>
      </c>
      <c r="O4428" t="s">
        <v>333</v>
      </c>
      <c r="P4428" s="42">
        <v>44915</v>
      </c>
      <c r="Q4428" t="s">
        <v>333</v>
      </c>
      <c r="R4428" t="s">
        <v>320</v>
      </c>
      <c r="S4428" t="s">
        <v>323</v>
      </c>
      <c r="T4428">
        <v>7.6</v>
      </c>
      <c r="Y4428" s="42">
        <v>44915</v>
      </c>
    </row>
    <row r="4429" spans="14:25">
      <c r="N4429" s="42">
        <v>44914</v>
      </c>
      <c r="O4429" t="s">
        <v>345</v>
      </c>
      <c r="P4429" s="42">
        <v>44914</v>
      </c>
      <c r="Q4429" t="s">
        <v>345</v>
      </c>
      <c r="R4429" t="s">
        <v>320</v>
      </c>
      <c r="S4429" t="s">
        <v>323</v>
      </c>
      <c r="T4429">
        <v>7.6</v>
      </c>
      <c r="Y4429" s="42">
        <v>44915</v>
      </c>
    </row>
    <row r="4430" spans="14:25">
      <c r="N4430" s="42">
        <v>44911</v>
      </c>
      <c r="O4430" t="s">
        <v>346</v>
      </c>
      <c r="P4430" s="42">
        <v>44911</v>
      </c>
      <c r="Q4430" t="s">
        <v>346</v>
      </c>
      <c r="R4430" t="s">
        <v>320</v>
      </c>
      <c r="S4430" t="s">
        <v>323</v>
      </c>
      <c r="T4430">
        <v>7.6</v>
      </c>
      <c r="Y4430" s="42">
        <v>44915</v>
      </c>
    </row>
    <row r="4431" spans="14:25">
      <c r="N4431" s="42">
        <v>44858</v>
      </c>
      <c r="O4431" t="s">
        <v>345</v>
      </c>
      <c r="P4431" s="42">
        <v>44858</v>
      </c>
      <c r="Q4431" t="s">
        <v>345</v>
      </c>
      <c r="R4431" t="s">
        <v>320</v>
      </c>
      <c r="S4431" t="s">
        <v>323</v>
      </c>
      <c r="T4431">
        <v>7.6</v>
      </c>
      <c r="Y4431" s="42">
        <v>44859</v>
      </c>
    </row>
    <row r="4432" spans="14:25">
      <c r="N4432" s="42">
        <v>44852</v>
      </c>
      <c r="O4432" t="s">
        <v>333</v>
      </c>
      <c r="P4432" s="42">
        <v>44852</v>
      </c>
      <c r="Q4432" t="s">
        <v>333</v>
      </c>
      <c r="R4432" t="s">
        <v>329</v>
      </c>
      <c r="S4432" t="s">
        <v>323</v>
      </c>
      <c r="T4432">
        <v>7.6</v>
      </c>
      <c r="W4432" t="s">
        <v>330</v>
      </c>
      <c r="Y4432" s="42">
        <v>44859</v>
      </c>
    </row>
    <row r="4433" spans="14:25">
      <c r="N4433" s="42">
        <v>44851</v>
      </c>
      <c r="O4433" t="s">
        <v>345</v>
      </c>
      <c r="P4433" s="42">
        <v>44851</v>
      </c>
      <c r="Q4433" t="s">
        <v>345</v>
      </c>
      <c r="R4433" t="s">
        <v>329</v>
      </c>
      <c r="S4433" t="s">
        <v>323</v>
      </c>
      <c r="T4433">
        <v>7.6</v>
      </c>
      <c r="W4433" t="s">
        <v>330</v>
      </c>
      <c r="Y4433" s="42">
        <v>44859</v>
      </c>
    </row>
    <row r="4434" spans="14:25">
      <c r="N4434" s="42">
        <v>44837</v>
      </c>
      <c r="O4434" t="s">
        <v>345</v>
      </c>
      <c r="P4434" s="42">
        <v>44837</v>
      </c>
      <c r="Q4434" t="s">
        <v>345</v>
      </c>
      <c r="R4434" t="s">
        <v>320</v>
      </c>
      <c r="S4434" t="s">
        <v>323</v>
      </c>
      <c r="U4434">
        <v>7.6</v>
      </c>
    </row>
    <row r="4435" spans="14:25">
      <c r="N4435" s="42">
        <v>44826</v>
      </c>
      <c r="O4435" t="s">
        <v>324</v>
      </c>
      <c r="P4435" s="42">
        <v>44826</v>
      </c>
      <c r="Q4435" t="s">
        <v>324</v>
      </c>
      <c r="R4435" t="s">
        <v>320</v>
      </c>
      <c r="S4435" t="s">
        <v>323</v>
      </c>
      <c r="U4435">
        <v>7.6</v>
      </c>
    </row>
    <row r="4436" spans="14:25">
      <c r="N4436" s="42">
        <v>44809</v>
      </c>
      <c r="O4436" t="s">
        <v>345</v>
      </c>
      <c r="P4436" s="42">
        <v>44809</v>
      </c>
      <c r="Q4436" t="s">
        <v>345</v>
      </c>
      <c r="R4436" t="s">
        <v>329</v>
      </c>
      <c r="S4436" t="s">
        <v>323</v>
      </c>
      <c r="T4436">
        <v>7.6</v>
      </c>
      <c r="W4436" t="s">
        <v>330</v>
      </c>
      <c r="Y4436" s="42">
        <v>44817</v>
      </c>
    </row>
    <row r="4437" spans="14:25">
      <c r="N4437" s="42">
        <v>44804</v>
      </c>
      <c r="O4437" t="s">
        <v>328</v>
      </c>
      <c r="P4437" s="42">
        <v>44804</v>
      </c>
      <c r="Q4437" t="s">
        <v>328</v>
      </c>
      <c r="R4437" t="s">
        <v>320</v>
      </c>
      <c r="S4437" t="s">
        <v>323</v>
      </c>
      <c r="T4437">
        <v>7.6</v>
      </c>
      <c r="Y4437" s="42">
        <v>44817</v>
      </c>
    </row>
    <row r="4438" spans="14:25">
      <c r="N4438" s="42">
        <v>44788</v>
      </c>
      <c r="O4438" t="s">
        <v>345</v>
      </c>
      <c r="P4438" s="42">
        <v>44788</v>
      </c>
      <c r="Q4438" t="s">
        <v>345</v>
      </c>
      <c r="R4438" t="s">
        <v>320</v>
      </c>
      <c r="S4438" t="s">
        <v>323</v>
      </c>
      <c r="T4438">
        <v>7.6</v>
      </c>
      <c r="Y4438" s="42">
        <v>44789</v>
      </c>
    </row>
    <row r="4439" spans="14:25">
      <c r="N4439" s="42">
        <v>44725</v>
      </c>
      <c r="O4439" t="s">
        <v>345</v>
      </c>
      <c r="P4439" s="42">
        <v>44725</v>
      </c>
      <c r="Q4439" t="s">
        <v>345</v>
      </c>
      <c r="R4439" t="s">
        <v>320</v>
      </c>
      <c r="S4439" t="s">
        <v>323</v>
      </c>
      <c r="U4439">
        <v>7.6</v>
      </c>
    </row>
    <row r="4440" spans="14:25">
      <c r="N4440" s="42">
        <v>44708</v>
      </c>
      <c r="O4440" t="s">
        <v>346</v>
      </c>
      <c r="P4440" s="42">
        <v>44708</v>
      </c>
      <c r="Q4440" t="s">
        <v>346</v>
      </c>
      <c r="R4440" t="s">
        <v>320</v>
      </c>
      <c r="S4440" t="s">
        <v>323</v>
      </c>
      <c r="T4440">
        <v>7.6</v>
      </c>
      <c r="Y4440" s="42">
        <v>44719</v>
      </c>
    </row>
    <row r="4441" spans="14:25">
      <c r="N4441" s="42">
        <v>44707</v>
      </c>
      <c r="O4441" t="s">
        <v>324</v>
      </c>
      <c r="P4441" s="42">
        <v>44707</v>
      </c>
      <c r="Q4441" t="s">
        <v>324</v>
      </c>
      <c r="R4441" t="s">
        <v>320</v>
      </c>
      <c r="S4441" t="s">
        <v>323</v>
      </c>
      <c r="T4441">
        <v>7.6</v>
      </c>
      <c r="Y4441" s="42">
        <v>44719</v>
      </c>
    </row>
    <row r="4442" spans="14:25">
      <c r="N4442" s="42">
        <v>44706</v>
      </c>
      <c r="O4442" t="s">
        <v>328</v>
      </c>
      <c r="P4442" s="42">
        <v>44706</v>
      </c>
      <c r="Q4442" t="s">
        <v>328</v>
      </c>
      <c r="R4442" t="s">
        <v>329</v>
      </c>
      <c r="S4442" t="s">
        <v>323</v>
      </c>
      <c r="T4442">
        <v>7.6</v>
      </c>
      <c r="W4442" t="s">
        <v>330</v>
      </c>
      <c r="Y4442" s="42">
        <v>44719</v>
      </c>
    </row>
    <row r="4443" spans="14:25">
      <c r="N4443" s="42">
        <v>44705</v>
      </c>
      <c r="O4443" t="s">
        <v>333</v>
      </c>
      <c r="P4443" s="42">
        <v>44705</v>
      </c>
      <c r="Q4443" t="s">
        <v>333</v>
      </c>
      <c r="R4443" t="s">
        <v>329</v>
      </c>
      <c r="S4443" t="s">
        <v>323</v>
      </c>
      <c r="T4443">
        <v>7.6</v>
      </c>
      <c r="W4443" t="s">
        <v>330</v>
      </c>
      <c r="Y4443" s="42">
        <v>44705</v>
      </c>
    </row>
    <row r="4444" spans="14:25">
      <c r="N4444" s="42">
        <v>44676</v>
      </c>
      <c r="O4444" t="s">
        <v>345</v>
      </c>
      <c r="P4444" s="42">
        <v>44676</v>
      </c>
      <c r="Q4444" t="s">
        <v>345</v>
      </c>
      <c r="R4444" t="s">
        <v>320</v>
      </c>
      <c r="S4444" t="s">
        <v>323</v>
      </c>
      <c r="U4444">
        <v>7.6</v>
      </c>
    </row>
    <row r="4445" spans="14:25">
      <c r="N4445" s="42">
        <v>44669</v>
      </c>
      <c r="O4445" t="s">
        <v>345</v>
      </c>
      <c r="P4445" s="42">
        <v>44669</v>
      </c>
      <c r="Q4445" t="s">
        <v>345</v>
      </c>
      <c r="R4445" t="s">
        <v>320</v>
      </c>
      <c r="S4445" t="s">
        <v>323</v>
      </c>
      <c r="U4445">
        <v>7.6</v>
      </c>
    </row>
    <row r="4446" spans="14:25">
      <c r="N4446" s="42">
        <v>44666</v>
      </c>
      <c r="O4446" t="s">
        <v>346</v>
      </c>
      <c r="P4446" s="42">
        <v>44666</v>
      </c>
      <c r="Q4446" t="s">
        <v>346</v>
      </c>
      <c r="R4446" t="s">
        <v>320</v>
      </c>
      <c r="S4446" t="s">
        <v>323</v>
      </c>
      <c r="U4446">
        <v>7.6</v>
      </c>
    </row>
    <row r="4447" spans="14:25">
      <c r="N4447" s="42">
        <v>44665</v>
      </c>
      <c r="O4447" t="s">
        <v>324</v>
      </c>
      <c r="P4447" s="42">
        <v>44665</v>
      </c>
      <c r="Q4447" t="s">
        <v>324</v>
      </c>
      <c r="R4447" t="s">
        <v>320</v>
      </c>
      <c r="S4447" t="s">
        <v>323</v>
      </c>
      <c r="T4447">
        <v>7.6</v>
      </c>
      <c r="Y4447" s="42">
        <v>44677</v>
      </c>
    </row>
    <row r="4448" spans="14:25">
      <c r="N4448" s="42">
        <v>44664</v>
      </c>
      <c r="O4448" t="s">
        <v>328</v>
      </c>
      <c r="P4448" s="42">
        <v>44664</v>
      </c>
      <c r="Q4448" t="s">
        <v>328</v>
      </c>
      <c r="R4448" t="s">
        <v>320</v>
      </c>
      <c r="S4448" t="s">
        <v>323</v>
      </c>
      <c r="T4448">
        <v>7.6</v>
      </c>
      <c r="Y4448" s="42">
        <v>44677</v>
      </c>
    </row>
    <row r="4449" spans="14:25">
      <c r="N4449" s="42">
        <v>44663</v>
      </c>
      <c r="O4449" t="s">
        <v>333</v>
      </c>
      <c r="P4449" s="42">
        <v>44663</v>
      </c>
      <c r="Q4449" t="s">
        <v>333</v>
      </c>
      <c r="R4449" t="s">
        <v>320</v>
      </c>
      <c r="S4449" t="s">
        <v>323</v>
      </c>
      <c r="T4449">
        <v>7.6</v>
      </c>
      <c r="Y4449" s="42">
        <v>44663</v>
      </c>
    </row>
    <row r="4450" spans="14:25">
      <c r="N4450" s="42">
        <v>44662</v>
      </c>
      <c r="O4450" t="s">
        <v>345</v>
      </c>
      <c r="P4450" s="42">
        <v>44662</v>
      </c>
      <c r="Q4450" t="s">
        <v>345</v>
      </c>
      <c r="R4450" t="s">
        <v>320</v>
      </c>
      <c r="S4450" t="s">
        <v>323</v>
      </c>
      <c r="T4450">
        <v>7.6</v>
      </c>
      <c r="Y4450" s="42">
        <v>44663</v>
      </c>
    </row>
    <row r="4451" spans="14:25">
      <c r="N4451" s="42">
        <v>44657</v>
      </c>
      <c r="O4451" t="s">
        <v>328</v>
      </c>
      <c r="P4451" s="42">
        <v>44657</v>
      </c>
      <c r="Q4451" t="s">
        <v>328</v>
      </c>
      <c r="R4451" t="s">
        <v>329</v>
      </c>
      <c r="S4451" t="s">
        <v>323</v>
      </c>
      <c r="T4451">
        <v>7.6</v>
      </c>
      <c r="W4451" t="s">
        <v>330</v>
      </c>
      <c r="Y4451" s="42">
        <v>44663</v>
      </c>
    </row>
    <row r="4452" spans="14:25">
      <c r="N4452" s="42">
        <v>44656</v>
      </c>
      <c r="O4452" t="s">
        <v>333</v>
      </c>
      <c r="P4452" s="42">
        <v>44656</v>
      </c>
      <c r="Q4452" t="s">
        <v>333</v>
      </c>
      <c r="R4452" t="s">
        <v>329</v>
      </c>
      <c r="S4452" t="s">
        <v>323</v>
      </c>
      <c r="T4452">
        <v>0.5</v>
      </c>
      <c r="W4452" t="s">
        <v>330</v>
      </c>
      <c r="Y4452" s="42">
        <v>44663</v>
      </c>
    </row>
    <row r="4453" spans="14:25">
      <c r="N4453" s="42">
        <v>44655</v>
      </c>
      <c r="O4453" t="s">
        <v>345</v>
      </c>
      <c r="P4453" s="42">
        <v>44655</v>
      </c>
      <c r="Q4453" t="s">
        <v>345</v>
      </c>
      <c r="R4453" t="s">
        <v>329</v>
      </c>
      <c r="S4453" t="s">
        <v>323</v>
      </c>
      <c r="T4453">
        <v>0.75</v>
      </c>
      <c r="W4453" t="s">
        <v>330</v>
      </c>
      <c r="Y4453" s="42">
        <v>44663</v>
      </c>
    </row>
    <row r="4454" spans="14:25">
      <c r="N4454" s="42">
        <v>44643</v>
      </c>
      <c r="O4454" t="s">
        <v>328</v>
      </c>
      <c r="P4454" s="42">
        <v>44643</v>
      </c>
      <c r="Q4454" t="s">
        <v>328</v>
      </c>
      <c r="R4454" t="s">
        <v>329</v>
      </c>
      <c r="S4454" t="s">
        <v>323</v>
      </c>
      <c r="T4454">
        <v>7.6</v>
      </c>
      <c r="W4454" t="s">
        <v>330</v>
      </c>
      <c r="Y4454" s="42">
        <v>44649</v>
      </c>
    </row>
    <row r="4455" spans="14:25">
      <c r="N4455" s="42">
        <v>44642</v>
      </c>
      <c r="O4455" t="s">
        <v>333</v>
      </c>
      <c r="P4455" s="42">
        <v>44642</v>
      </c>
      <c r="Q4455" t="s">
        <v>333</v>
      </c>
      <c r="R4455" t="s">
        <v>329</v>
      </c>
      <c r="S4455" t="s">
        <v>323</v>
      </c>
      <c r="T4455">
        <v>7.6</v>
      </c>
      <c r="W4455" t="s">
        <v>330</v>
      </c>
      <c r="Y4455" s="42">
        <v>44649</v>
      </c>
    </row>
    <row r="4456" spans="14:25">
      <c r="N4456" s="42">
        <v>44641</v>
      </c>
      <c r="O4456" t="s">
        <v>345</v>
      </c>
      <c r="P4456" s="42">
        <v>44641</v>
      </c>
      <c r="Q4456" t="s">
        <v>345</v>
      </c>
      <c r="R4456" t="s">
        <v>329</v>
      </c>
      <c r="S4456" t="s">
        <v>323</v>
      </c>
      <c r="T4456">
        <v>7.6</v>
      </c>
      <c r="W4456" t="s">
        <v>330</v>
      </c>
      <c r="Y4456" s="42">
        <v>44649</v>
      </c>
    </row>
    <row r="4457" spans="14:25">
      <c r="N4457" s="42">
        <v>44587</v>
      </c>
      <c r="O4457" t="s">
        <v>328</v>
      </c>
      <c r="P4457" s="42">
        <v>44587</v>
      </c>
      <c r="Q4457" t="s">
        <v>328</v>
      </c>
      <c r="R4457" t="s">
        <v>320</v>
      </c>
      <c r="S4457" t="s">
        <v>323</v>
      </c>
      <c r="U4457">
        <v>7.6</v>
      </c>
    </row>
    <row r="4458" spans="14:25">
      <c r="N4458" s="42">
        <v>44579</v>
      </c>
      <c r="O4458" t="s">
        <v>333</v>
      </c>
      <c r="P4458" s="42">
        <v>44579</v>
      </c>
      <c r="Q4458" t="s">
        <v>333</v>
      </c>
      <c r="R4458" t="s">
        <v>329</v>
      </c>
      <c r="S4458" t="s">
        <v>323</v>
      </c>
      <c r="T4458">
        <v>7.6</v>
      </c>
      <c r="W4458" t="s">
        <v>330</v>
      </c>
      <c r="Y4458" s="42">
        <v>44579</v>
      </c>
    </row>
    <row r="4459" spans="14:25">
      <c r="N4459" s="42">
        <v>44574</v>
      </c>
      <c r="O4459" t="s">
        <v>324</v>
      </c>
      <c r="P4459" s="42">
        <v>44574</v>
      </c>
      <c r="Q4459" t="s">
        <v>324</v>
      </c>
      <c r="R4459" t="s">
        <v>320</v>
      </c>
      <c r="S4459" t="s">
        <v>323</v>
      </c>
      <c r="T4459">
        <v>7.6</v>
      </c>
      <c r="Y4459" s="42">
        <v>44579</v>
      </c>
    </row>
    <row r="4460" spans="14:25">
      <c r="N4460" s="42">
        <v>44573</v>
      </c>
      <c r="O4460" t="s">
        <v>328</v>
      </c>
      <c r="P4460" s="42">
        <v>44573</v>
      </c>
      <c r="Q4460" t="s">
        <v>328</v>
      </c>
      <c r="R4460" t="s">
        <v>320</v>
      </c>
      <c r="S4460" t="s">
        <v>323</v>
      </c>
      <c r="T4460">
        <v>7.6</v>
      </c>
      <c r="Y4460" s="42">
        <v>44579</v>
      </c>
    </row>
    <row r="4461" spans="14:25">
      <c r="N4461" s="42">
        <v>44572</v>
      </c>
      <c r="O4461" t="s">
        <v>333</v>
      </c>
      <c r="P4461" s="42">
        <v>44572</v>
      </c>
      <c r="Q4461" t="s">
        <v>333</v>
      </c>
      <c r="R4461" t="s">
        <v>320</v>
      </c>
      <c r="S4461" t="s">
        <v>323</v>
      </c>
      <c r="T4461">
        <v>7.6</v>
      </c>
      <c r="Y4461" s="42">
        <v>44579</v>
      </c>
    </row>
    <row r="4462" spans="14:25">
      <c r="N4462" s="42">
        <v>44571</v>
      </c>
      <c r="O4462" t="s">
        <v>345</v>
      </c>
      <c r="P4462" s="42">
        <v>44571</v>
      </c>
      <c r="Q4462" t="s">
        <v>345</v>
      </c>
      <c r="R4462" t="s">
        <v>320</v>
      </c>
      <c r="S4462" t="s">
        <v>323</v>
      </c>
      <c r="T4462">
        <v>7.6</v>
      </c>
      <c r="Y4462" s="42">
        <v>44579</v>
      </c>
    </row>
    <row r="4463" spans="14:25">
      <c r="N4463" s="42">
        <v>44564</v>
      </c>
      <c r="O4463" t="s">
        <v>345</v>
      </c>
      <c r="P4463" s="42">
        <v>44564</v>
      </c>
      <c r="Q4463" t="s">
        <v>345</v>
      </c>
      <c r="R4463" t="s">
        <v>320</v>
      </c>
      <c r="S4463" t="s">
        <v>323</v>
      </c>
      <c r="U4463">
        <v>7.6</v>
      </c>
    </row>
    <row r="4464" spans="14:25">
      <c r="N4464" s="42">
        <v>44561</v>
      </c>
      <c r="O4464" t="s">
        <v>346</v>
      </c>
      <c r="P4464" s="42">
        <v>44561</v>
      </c>
      <c r="Q4464" t="s">
        <v>346</v>
      </c>
      <c r="R4464" t="s">
        <v>320</v>
      </c>
      <c r="S4464" t="s">
        <v>323</v>
      </c>
      <c r="T4464">
        <v>7.6</v>
      </c>
      <c r="Y4464" s="42">
        <v>44565</v>
      </c>
    </row>
    <row r="4465" spans="14:25">
      <c r="N4465" s="42">
        <v>44560</v>
      </c>
      <c r="O4465" t="s">
        <v>324</v>
      </c>
      <c r="P4465" s="42">
        <v>44560</v>
      </c>
      <c r="Q4465" t="s">
        <v>324</v>
      </c>
      <c r="R4465" t="s">
        <v>320</v>
      </c>
      <c r="S4465" t="s">
        <v>323</v>
      </c>
      <c r="T4465">
        <v>7.6</v>
      </c>
      <c r="Y4465" s="42">
        <v>44565</v>
      </c>
    </row>
    <row r="4466" spans="14:25">
      <c r="N4466" s="42">
        <v>44559</v>
      </c>
      <c r="O4466" t="s">
        <v>328</v>
      </c>
      <c r="P4466" s="42">
        <v>44559</v>
      </c>
      <c r="Q4466" t="s">
        <v>328</v>
      </c>
      <c r="R4466" t="s">
        <v>320</v>
      </c>
      <c r="S4466" t="s">
        <v>323</v>
      </c>
      <c r="T4466">
        <v>7.6</v>
      </c>
      <c r="Y4466" s="42">
        <v>44565</v>
      </c>
    </row>
    <row r="4467" spans="14:25">
      <c r="N4467" s="42">
        <v>44558</v>
      </c>
      <c r="O4467" t="s">
        <v>333</v>
      </c>
      <c r="P4467" s="42">
        <v>44558</v>
      </c>
      <c r="Q4467" t="s">
        <v>333</v>
      </c>
      <c r="R4467" t="s">
        <v>320</v>
      </c>
      <c r="S4467" t="s">
        <v>323</v>
      </c>
      <c r="U4467">
        <v>7.6</v>
      </c>
    </row>
    <row r="4468" spans="14:25">
      <c r="N4468" s="42">
        <v>44557</v>
      </c>
      <c r="O4468" t="s">
        <v>345</v>
      </c>
      <c r="P4468" s="42">
        <v>44557</v>
      </c>
      <c r="Q4468" t="s">
        <v>345</v>
      </c>
      <c r="R4468" t="s">
        <v>320</v>
      </c>
      <c r="S4468" t="s">
        <v>323</v>
      </c>
      <c r="U4468">
        <v>7.6</v>
      </c>
    </row>
    <row r="4469" spans="14:25">
      <c r="N4469" s="42">
        <v>44536</v>
      </c>
      <c r="O4469" t="s">
        <v>345</v>
      </c>
      <c r="P4469" s="42">
        <v>44536</v>
      </c>
      <c r="Q4469" t="s">
        <v>345</v>
      </c>
      <c r="R4469" t="s">
        <v>329</v>
      </c>
      <c r="S4469" t="s">
        <v>323</v>
      </c>
      <c r="T4469">
        <v>7.6</v>
      </c>
      <c r="W4469" t="s">
        <v>330</v>
      </c>
      <c r="Y4469" s="42">
        <v>44537</v>
      </c>
    </row>
    <row r="4470" spans="14:25">
      <c r="N4470" s="42">
        <v>44519</v>
      </c>
      <c r="O4470" t="s">
        <v>346</v>
      </c>
      <c r="P4470" s="42">
        <v>44519</v>
      </c>
      <c r="Q4470" t="s">
        <v>346</v>
      </c>
      <c r="R4470" t="s">
        <v>329</v>
      </c>
      <c r="S4470" t="s">
        <v>323</v>
      </c>
      <c r="T4470">
        <v>7.6</v>
      </c>
      <c r="W4470" t="s">
        <v>330</v>
      </c>
      <c r="Y4470" s="42">
        <v>44523</v>
      </c>
    </row>
    <row r="4471" spans="14:25">
      <c r="N4471" s="42">
        <v>44510</v>
      </c>
      <c r="O4471" t="s">
        <v>328</v>
      </c>
      <c r="P4471" s="42">
        <v>44510</v>
      </c>
      <c r="Q4471" t="s">
        <v>328</v>
      </c>
      <c r="R4471" t="s">
        <v>329</v>
      </c>
      <c r="S4471" t="s">
        <v>323</v>
      </c>
      <c r="T4471">
        <v>7.6</v>
      </c>
      <c r="W4471" t="s">
        <v>330</v>
      </c>
      <c r="Y4471" s="42">
        <v>44523</v>
      </c>
    </row>
    <row r="4472" spans="14:25">
      <c r="N4472" s="42">
        <v>44505</v>
      </c>
      <c r="O4472" t="s">
        <v>346</v>
      </c>
      <c r="P4472" s="42">
        <v>44505</v>
      </c>
      <c r="Q4472" t="s">
        <v>346</v>
      </c>
      <c r="R4472" t="s">
        <v>320</v>
      </c>
      <c r="S4472" t="s">
        <v>323</v>
      </c>
      <c r="T4472">
        <v>7.6</v>
      </c>
      <c r="Y4472" s="42">
        <v>44509</v>
      </c>
    </row>
    <row r="4473" spans="14:25">
      <c r="N4473" s="42">
        <v>44504</v>
      </c>
      <c r="O4473" t="s">
        <v>324</v>
      </c>
      <c r="P4473" s="42">
        <v>44504</v>
      </c>
      <c r="Q4473" t="s">
        <v>324</v>
      </c>
      <c r="R4473" t="s">
        <v>320</v>
      </c>
      <c r="S4473" t="s">
        <v>323</v>
      </c>
      <c r="T4473">
        <v>7.6</v>
      </c>
      <c r="Y4473" s="42">
        <v>44509</v>
      </c>
    </row>
    <row r="4474" spans="14:25">
      <c r="N4474" s="42">
        <v>44473</v>
      </c>
      <c r="O4474" t="s">
        <v>345</v>
      </c>
      <c r="P4474" s="42">
        <v>44473</v>
      </c>
      <c r="Q4474" t="s">
        <v>345</v>
      </c>
      <c r="R4474" t="s">
        <v>320</v>
      </c>
      <c r="S4474" t="s">
        <v>323</v>
      </c>
      <c r="U4474">
        <v>7.6</v>
      </c>
    </row>
    <row r="4475" spans="14:25">
      <c r="N4475" s="42">
        <v>44453</v>
      </c>
      <c r="O4475" t="s">
        <v>333</v>
      </c>
      <c r="P4475" s="42">
        <v>44453</v>
      </c>
      <c r="Q4475" t="s">
        <v>333</v>
      </c>
      <c r="R4475" t="s">
        <v>320</v>
      </c>
      <c r="S4475" t="s">
        <v>323</v>
      </c>
      <c r="T4475">
        <v>7.6</v>
      </c>
      <c r="Y4475" s="42">
        <v>44453</v>
      </c>
    </row>
    <row r="4476" spans="14:25">
      <c r="N4476" s="42">
        <v>44452</v>
      </c>
      <c r="O4476" t="s">
        <v>345</v>
      </c>
      <c r="P4476" s="42">
        <v>44452</v>
      </c>
      <c r="Q4476" t="s">
        <v>345</v>
      </c>
      <c r="R4476" t="s">
        <v>320</v>
      </c>
      <c r="S4476" t="s">
        <v>323</v>
      </c>
      <c r="T4476">
        <v>7.6</v>
      </c>
      <c r="Y4476" s="42">
        <v>44453</v>
      </c>
    </row>
    <row r="4477" spans="14:25">
      <c r="N4477" s="42">
        <v>44449</v>
      </c>
      <c r="O4477" t="s">
        <v>346</v>
      </c>
      <c r="P4477" s="42">
        <v>44449</v>
      </c>
      <c r="Q4477" t="s">
        <v>346</v>
      </c>
      <c r="R4477" t="s">
        <v>320</v>
      </c>
      <c r="S4477" t="s">
        <v>323</v>
      </c>
      <c r="T4477">
        <v>7.6</v>
      </c>
      <c r="Y4477" s="42">
        <v>44453</v>
      </c>
    </row>
    <row r="4478" spans="14:25">
      <c r="N4478" s="42">
        <v>44431</v>
      </c>
      <c r="O4478" t="s">
        <v>345</v>
      </c>
      <c r="P4478" s="42">
        <v>44431</v>
      </c>
      <c r="Q4478" t="s">
        <v>345</v>
      </c>
      <c r="R4478" t="s">
        <v>329</v>
      </c>
      <c r="S4478" t="s">
        <v>323</v>
      </c>
      <c r="T4478">
        <v>7.6</v>
      </c>
      <c r="W4478" t="s">
        <v>330</v>
      </c>
      <c r="Y4478" s="42">
        <v>44439</v>
      </c>
    </row>
    <row r="4479" spans="14:25">
      <c r="N4479" s="42">
        <v>44425</v>
      </c>
      <c r="O4479" t="s">
        <v>333</v>
      </c>
      <c r="P4479" s="42">
        <v>44425</v>
      </c>
      <c r="Q4479" t="s">
        <v>333</v>
      </c>
      <c r="R4479" t="s">
        <v>329</v>
      </c>
      <c r="S4479" t="s">
        <v>323</v>
      </c>
      <c r="T4479">
        <v>7.6</v>
      </c>
      <c r="W4479" t="s">
        <v>330</v>
      </c>
      <c r="Y4479" s="42">
        <v>44425</v>
      </c>
    </row>
    <row r="4480" spans="14:25">
      <c r="N4480" s="42">
        <v>44424</v>
      </c>
      <c r="O4480" t="s">
        <v>345</v>
      </c>
      <c r="P4480" s="42">
        <v>44424</v>
      </c>
      <c r="Q4480" t="s">
        <v>345</v>
      </c>
      <c r="R4480" t="s">
        <v>329</v>
      </c>
      <c r="S4480" t="s">
        <v>323</v>
      </c>
      <c r="T4480">
        <v>2</v>
      </c>
      <c r="W4480" t="s">
        <v>330</v>
      </c>
      <c r="Y4480" s="42">
        <v>44425</v>
      </c>
    </row>
    <row r="4481" spans="14:25">
      <c r="N4481" s="42">
        <v>44389</v>
      </c>
      <c r="O4481" t="s">
        <v>345</v>
      </c>
      <c r="P4481" s="42">
        <v>44389</v>
      </c>
      <c r="Q4481" t="s">
        <v>345</v>
      </c>
      <c r="R4481" t="s">
        <v>329</v>
      </c>
      <c r="S4481" t="s">
        <v>323</v>
      </c>
      <c r="T4481">
        <v>7.6</v>
      </c>
      <c r="W4481" t="s">
        <v>330</v>
      </c>
      <c r="Y4481" s="42">
        <v>44397</v>
      </c>
    </row>
    <row r="4482" spans="14:25">
      <c r="N4482" s="42">
        <v>44386</v>
      </c>
      <c r="O4482" t="s">
        <v>346</v>
      </c>
      <c r="P4482" s="42">
        <v>44386</v>
      </c>
      <c r="Q4482" t="s">
        <v>346</v>
      </c>
      <c r="R4482" t="s">
        <v>320</v>
      </c>
      <c r="S4482" t="s">
        <v>323</v>
      </c>
      <c r="T4482">
        <v>7.6</v>
      </c>
      <c r="Y4482" s="42">
        <v>44397</v>
      </c>
    </row>
    <row r="4483" spans="14:25">
      <c r="N4483" s="42">
        <v>44385</v>
      </c>
      <c r="O4483" t="s">
        <v>324</v>
      </c>
      <c r="P4483" s="42">
        <v>44385</v>
      </c>
      <c r="Q4483" t="s">
        <v>324</v>
      </c>
      <c r="R4483" t="s">
        <v>320</v>
      </c>
      <c r="S4483" t="s">
        <v>323</v>
      </c>
      <c r="T4483">
        <v>7.6</v>
      </c>
      <c r="Y4483" s="42">
        <v>44397</v>
      </c>
    </row>
    <row r="4484" spans="14:25">
      <c r="N4484" s="42">
        <v>44384</v>
      </c>
      <c r="O4484" t="s">
        <v>328</v>
      </c>
      <c r="P4484" s="42">
        <v>44384</v>
      </c>
      <c r="Q4484" t="s">
        <v>328</v>
      </c>
      <c r="R4484" t="s">
        <v>320</v>
      </c>
      <c r="S4484" t="s">
        <v>323</v>
      </c>
      <c r="T4484">
        <v>7.6</v>
      </c>
      <c r="Y4484" s="42">
        <v>44397</v>
      </c>
    </row>
    <row r="4485" spans="14:25">
      <c r="N4485" s="42">
        <v>44383</v>
      </c>
      <c r="O4485" t="s">
        <v>333</v>
      </c>
      <c r="P4485" s="42">
        <v>44383</v>
      </c>
      <c r="Q4485" t="s">
        <v>333</v>
      </c>
      <c r="R4485" t="s">
        <v>320</v>
      </c>
      <c r="S4485" t="s">
        <v>323</v>
      </c>
      <c r="T4485">
        <v>7.6</v>
      </c>
      <c r="Y4485" s="42">
        <v>44383</v>
      </c>
    </row>
    <row r="4486" spans="14:25">
      <c r="N4486" s="42">
        <v>44382</v>
      </c>
      <c r="O4486" t="s">
        <v>345</v>
      </c>
      <c r="P4486" s="42">
        <v>44382</v>
      </c>
      <c r="Q4486" t="s">
        <v>345</v>
      </c>
      <c r="R4486" t="s">
        <v>320</v>
      </c>
      <c r="S4486" t="s">
        <v>323</v>
      </c>
      <c r="T4486">
        <v>7.6</v>
      </c>
      <c r="Y4486" s="42">
        <v>44383</v>
      </c>
    </row>
    <row r="4487" spans="14:25">
      <c r="N4487" s="42">
        <v>44361</v>
      </c>
      <c r="O4487" t="s">
        <v>345</v>
      </c>
      <c r="P4487" s="42">
        <v>44361</v>
      </c>
      <c r="Q4487" t="s">
        <v>345</v>
      </c>
      <c r="R4487" t="s">
        <v>320</v>
      </c>
      <c r="S4487" t="s">
        <v>323</v>
      </c>
      <c r="U4487">
        <v>7.6</v>
      </c>
    </row>
    <row r="4488" spans="14:25">
      <c r="N4488" s="42">
        <v>44335</v>
      </c>
      <c r="O4488" t="s">
        <v>328</v>
      </c>
      <c r="P4488" s="42">
        <v>44335</v>
      </c>
      <c r="Q4488" t="s">
        <v>328</v>
      </c>
      <c r="R4488" t="s">
        <v>329</v>
      </c>
      <c r="S4488" t="s">
        <v>323</v>
      </c>
      <c r="T4488">
        <v>7.6</v>
      </c>
      <c r="W4488" t="s">
        <v>330</v>
      </c>
      <c r="Y4488" s="42">
        <v>44341</v>
      </c>
    </row>
    <row r="4489" spans="14:25">
      <c r="N4489" s="42">
        <v>44313</v>
      </c>
      <c r="O4489" t="s">
        <v>333</v>
      </c>
      <c r="P4489" s="42">
        <v>44313</v>
      </c>
      <c r="Q4489" t="s">
        <v>333</v>
      </c>
      <c r="R4489" t="s">
        <v>329</v>
      </c>
      <c r="S4489" t="s">
        <v>323</v>
      </c>
      <c r="T4489">
        <v>7.6</v>
      </c>
      <c r="W4489" t="s">
        <v>330</v>
      </c>
      <c r="Y4489" s="42">
        <v>44313</v>
      </c>
    </row>
    <row r="4490" spans="14:25">
      <c r="N4490" s="42">
        <v>44295</v>
      </c>
      <c r="O4490" t="s">
        <v>346</v>
      </c>
      <c r="P4490" s="42">
        <v>44295</v>
      </c>
      <c r="Q4490" t="s">
        <v>346</v>
      </c>
      <c r="R4490" t="s">
        <v>320</v>
      </c>
      <c r="S4490" t="s">
        <v>323</v>
      </c>
      <c r="T4490">
        <v>7.6</v>
      </c>
      <c r="Y4490" s="42">
        <v>44299</v>
      </c>
    </row>
    <row r="4491" spans="14:25">
      <c r="N4491" s="42">
        <v>44294</v>
      </c>
      <c r="O4491" t="s">
        <v>324</v>
      </c>
      <c r="P4491" s="42">
        <v>44294</v>
      </c>
      <c r="Q4491" t="s">
        <v>324</v>
      </c>
      <c r="R4491" t="s">
        <v>320</v>
      </c>
      <c r="S4491" t="s">
        <v>323</v>
      </c>
      <c r="T4491">
        <v>7.6</v>
      </c>
      <c r="Y4491" s="42">
        <v>44299</v>
      </c>
    </row>
    <row r="4492" spans="14:25">
      <c r="N4492" s="42">
        <v>44293</v>
      </c>
      <c r="O4492" t="s">
        <v>328</v>
      </c>
      <c r="P4492" s="42">
        <v>44293</v>
      </c>
      <c r="Q4492" t="s">
        <v>328</v>
      </c>
      <c r="R4492" t="s">
        <v>320</v>
      </c>
      <c r="S4492" t="s">
        <v>323</v>
      </c>
      <c r="T4492">
        <v>7.6</v>
      </c>
      <c r="Y4492" s="42">
        <v>44299</v>
      </c>
    </row>
    <row r="4493" spans="14:25">
      <c r="N4493" s="42">
        <v>44292</v>
      </c>
      <c r="O4493" t="s">
        <v>333</v>
      </c>
      <c r="P4493" s="42">
        <v>44292</v>
      </c>
      <c r="Q4493" t="s">
        <v>333</v>
      </c>
      <c r="R4493" t="s">
        <v>320</v>
      </c>
      <c r="S4493" t="s">
        <v>323</v>
      </c>
      <c r="T4493">
        <v>7.6</v>
      </c>
      <c r="Y4493" s="42">
        <v>44299</v>
      </c>
    </row>
    <row r="4494" spans="14:25">
      <c r="N4494" s="42">
        <v>44291</v>
      </c>
      <c r="O4494" t="s">
        <v>345</v>
      </c>
      <c r="P4494" s="42">
        <v>44291</v>
      </c>
      <c r="Q4494" t="s">
        <v>345</v>
      </c>
      <c r="R4494" t="s">
        <v>320</v>
      </c>
      <c r="S4494" t="s">
        <v>323</v>
      </c>
      <c r="U4494">
        <v>7.6</v>
      </c>
    </row>
    <row r="4495" spans="14:25">
      <c r="N4495" s="42">
        <v>44288</v>
      </c>
      <c r="O4495" t="s">
        <v>346</v>
      </c>
      <c r="P4495" s="42">
        <v>44288</v>
      </c>
      <c r="Q4495" t="s">
        <v>346</v>
      </c>
      <c r="R4495" t="s">
        <v>320</v>
      </c>
      <c r="S4495" t="s">
        <v>323</v>
      </c>
      <c r="U4495">
        <v>7.6</v>
      </c>
    </row>
    <row r="4496" spans="14:25">
      <c r="N4496" s="42">
        <v>44281</v>
      </c>
      <c r="O4496" t="s">
        <v>346</v>
      </c>
      <c r="P4496" s="42">
        <v>44281</v>
      </c>
      <c r="Q4496" t="s">
        <v>346</v>
      </c>
      <c r="R4496" t="s">
        <v>329</v>
      </c>
      <c r="S4496" t="s">
        <v>323</v>
      </c>
      <c r="T4496">
        <v>7.6</v>
      </c>
      <c r="W4496" t="s">
        <v>330</v>
      </c>
      <c r="Y4496" s="42">
        <v>44285</v>
      </c>
    </row>
    <row r="4497" spans="14:25">
      <c r="N4497" s="42">
        <v>44258</v>
      </c>
      <c r="O4497" t="s">
        <v>328</v>
      </c>
      <c r="P4497" s="42">
        <v>44258</v>
      </c>
      <c r="Q4497" t="s">
        <v>328</v>
      </c>
      <c r="R4497" t="s">
        <v>329</v>
      </c>
      <c r="S4497" t="s">
        <v>323</v>
      </c>
      <c r="T4497">
        <v>1</v>
      </c>
      <c r="W4497" t="s">
        <v>330</v>
      </c>
      <c r="Y4497" s="42">
        <v>44271</v>
      </c>
    </row>
    <row r="4498" spans="14:25">
      <c r="N4498" s="42">
        <v>44222</v>
      </c>
      <c r="O4498" t="s">
        <v>333</v>
      </c>
      <c r="P4498" s="42">
        <v>44222</v>
      </c>
      <c r="Q4498" t="s">
        <v>333</v>
      </c>
      <c r="R4498" t="s">
        <v>320</v>
      </c>
      <c r="S4498" t="s">
        <v>323</v>
      </c>
      <c r="U4498">
        <v>7.6</v>
      </c>
    </row>
    <row r="4499" spans="14:25">
      <c r="N4499" s="42">
        <v>44221</v>
      </c>
      <c r="O4499" t="s">
        <v>345</v>
      </c>
      <c r="P4499" s="42">
        <v>44221</v>
      </c>
      <c r="Q4499" t="s">
        <v>345</v>
      </c>
      <c r="R4499" t="s">
        <v>320</v>
      </c>
      <c r="S4499" t="s">
        <v>323</v>
      </c>
      <c r="T4499">
        <v>7.6</v>
      </c>
      <c r="Y4499" s="42">
        <v>44229</v>
      </c>
    </row>
    <row r="4500" spans="14:25">
      <c r="N4500" s="42">
        <v>44218</v>
      </c>
      <c r="O4500" t="s">
        <v>346</v>
      </c>
      <c r="P4500" s="42">
        <v>44218</v>
      </c>
      <c r="Q4500" t="s">
        <v>346</v>
      </c>
      <c r="R4500" t="s">
        <v>329</v>
      </c>
      <c r="S4500" t="s">
        <v>323</v>
      </c>
      <c r="T4500">
        <v>7.6</v>
      </c>
      <c r="W4500" t="s">
        <v>330</v>
      </c>
      <c r="Y4500" s="42">
        <v>44229</v>
      </c>
    </row>
    <row r="4501" spans="14:25">
      <c r="N4501" s="42">
        <v>44217</v>
      </c>
      <c r="O4501" t="s">
        <v>324</v>
      </c>
      <c r="P4501" s="42">
        <v>44217</v>
      </c>
      <c r="Q4501" t="s">
        <v>324</v>
      </c>
      <c r="R4501" t="s">
        <v>329</v>
      </c>
      <c r="S4501" t="s">
        <v>323</v>
      </c>
      <c r="T4501">
        <v>7.6</v>
      </c>
      <c r="W4501" t="s">
        <v>330</v>
      </c>
      <c r="Y4501" s="42">
        <v>44229</v>
      </c>
    </row>
    <row r="4502" spans="14:25">
      <c r="N4502" s="42">
        <v>44216</v>
      </c>
      <c r="O4502" t="s">
        <v>328</v>
      </c>
      <c r="P4502" s="42">
        <v>44216</v>
      </c>
      <c r="Q4502" t="s">
        <v>328</v>
      </c>
      <c r="R4502" t="s">
        <v>329</v>
      </c>
      <c r="S4502" t="s">
        <v>323</v>
      </c>
      <c r="T4502">
        <v>7.6</v>
      </c>
      <c r="W4502" t="s">
        <v>330</v>
      </c>
      <c r="Y4502" s="42">
        <v>44229</v>
      </c>
    </row>
    <row r="4503" spans="14:25">
      <c r="N4503" s="42">
        <v>44215</v>
      </c>
      <c r="O4503" t="s">
        <v>333</v>
      </c>
      <c r="P4503" s="42">
        <v>44215</v>
      </c>
      <c r="Q4503" t="s">
        <v>333</v>
      </c>
      <c r="R4503" t="s">
        <v>329</v>
      </c>
      <c r="S4503" t="s">
        <v>323</v>
      </c>
      <c r="T4503">
        <v>7.6</v>
      </c>
      <c r="W4503" t="s">
        <v>330</v>
      </c>
      <c r="Y4503" s="42">
        <v>44215</v>
      </c>
    </row>
    <row r="4504" spans="14:25">
      <c r="N4504" s="42">
        <v>44214</v>
      </c>
      <c r="O4504" t="s">
        <v>345</v>
      </c>
      <c r="P4504" s="42">
        <v>44214</v>
      </c>
      <c r="Q4504" t="s">
        <v>345</v>
      </c>
      <c r="R4504" t="s">
        <v>329</v>
      </c>
      <c r="S4504" t="s">
        <v>323</v>
      </c>
      <c r="T4504">
        <v>7.6</v>
      </c>
      <c r="W4504" t="s">
        <v>330</v>
      </c>
      <c r="Y4504" s="42">
        <v>44215</v>
      </c>
    </row>
    <row r="4505" spans="14:25">
      <c r="N4505" s="42">
        <v>44211</v>
      </c>
      <c r="O4505" t="s">
        <v>346</v>
      </c>
      <c r="P4505" s="42">
        <v>44211</v>
      </c>
      <c r="Q4505" t="s">
        <v>346</v>
      </c>
      <c r="R4505" t="s">
        <v>329</v>
      </c>
      <c r="S4505" t="s">
        <v>323</v>
      </c>
      <c r="T4505">
        <v>7.6</v>
      </c>
      <c r="W4505" t="s">
        <v>330</v>
      </c>
      <c r="Y4505" s="42">
        <v>44215</v>
      </c>
    </row>
    <row r="4506" spans="14:25">
      <c r="N4506" s="42">
        <v>44210</v>
      </c>
      <c r="O4506" t="s">
        <v>324</v>
      </c>
      <c r="P4506" s="42">
        <v>44210</v>
      </c>
      <c r="Q4506" t="s">
        <v>324</v>
      </c>
      <c r="R4506" t="s">
        <v>329</v>
      </c>
      <c r="S4506" t="s">
        <v>323</v>
      </c>
      <c r="T4506">
        <v>3</v>
      </c>
      <c r="W4506" t="s">
        <v>330</v>
      </c>
      <c r="Y4506" s="42">
        <v>44215</v>
      </c>
    </row>
    <row r="4507" spans="14:25">
      <c r="N4507" s="42">
        <v>44197</v>
      </c>
      <c r="O4507" t="s">
        <v>346</v>
      </c>
      <c r="P4507" s="42">
        <v>44197</v>
      </c>
      <c r="Q4507" t="s">
        <v>346</v>
      </c>
      <c r="R4507" t="s">
        <v>320</v>
      </c>
      <c r="S4507" t="s">
        <v>323</v>
      </c>
      <c r="U4507">
        <v>7.6</v>
      </c>
    </row>
    <row r="4508" spans="14:25">
      <c r="N4508" s="42">
        <v>44196</v>
      </c>
      <c r="O4508" t="s">
        <v>324</v>
      </c>
      <c r="P4508" s="42">
        <v>44196</v>
      </c>
      <c r="Q4508" t="s">
        <v>324</v>
      </c>
      <c r="R4508" t="s">
        <v>320</v>
      </c>
      <c r="S4508" t="s">
        <v>323</v>
      </c>
      <c r="T4508">
        <v>7.6</v>
      </c>
      <c r="Y4508" s="42">
        <v>44201</v>
      </c>
    </row>
    <row r="4509" spans="14:25">
      <c r="N4509" s="42">
        <v>44195</v>
      </c>
      <c r="O4509" t="s">
        <v>328</v>
      </c>
      <c r="P4509" s="42">
        <v>44195</v>
      </c>
      <c r="Q4509" t="s">
        <v>328</v>
      </c>
      <c r="R4509" t="s">
        <v>320</v>
      </c>
      <c r="S4509" t="s">
        <v>323</v>
      </c>
      <c r="T4509">
        <v>7.6</v>
      </c>
      <c r="Y4509" s="42">
        <v>44201</v>
      </c>
    </row>
    <row r="4510" spans="14:25">
      <c r="N4510" s="42">
        <v>44194</v>
      </c>
      <c r="O4510" t="s">
        <v>333</v>
      </c>
      <c r="P4510" s="42">
        <v>44194</v>
      </c>
      <c r="Q4510" t="s">
        <v>333</v>
      </c>
      <c r="R4510" t="s">
        <v>320</v>
      </c>
      <c r="S4510" t="s">
        <v>323</v>
      </c>
      <c r="T4510">
        <v>7.6</v>
      </c>
      <c r="Y4510" s="42">
        <v>44201</v>
      </c>
    </row>
    <row r="4511" spans="14:25">
      <c r="N4511" s="42">
        <v>44193</v>
      </c>
      <c r="O4511" t="s">
        <v>345</v>
      </c>
      <c r="P4511" s="42">
        <v>44193</v>
      </c>
      <c r="Q4511" t="s">
        <v>345</v>
      </c>
      <c r="R4511" t="s">
        <v>320</v>
      </c>
      <c r="S4511" t="s">
        <v>323</v>
      </c>
      <c r="U4511">
        <v>7.6</v>
      </c>
    </row>
    <row r="4512" spans="14:25">
      <c r="N4512" s="42">
        <v>44190</v>
      </c>
      <c r="O4512" t="s">
        <v>346</v>
      </c>
      <c r="P4512" s="42">
        <v>44190</v>
      </c>
      <c r="Q4512" t="s">
        <v>346</v>
      </c>
      <c r="R4512" t="s">
        <v>320</v>
      </c>
      <c r="S4512" t="s">
        <v>323</v>
      </c>
      <c r="U4512">
        <v>7.6</v>
      </c>
    </row>
    <row r="4513" spans="14:25">
      <c r="N4513" s="42">
        <v>44173</v>
      </c>
      <c r="O4513" t="s">
        <v>333</v>
      </c>
      <c r="P4513" s="42">
        <v>44173</v>
      </c>
      <c r="Q4513" t="s">
        <v>333</v>
      </c>
      <c r="R4513" t="s">
        <v>329</v>
      </c>
      <c r="S4513" t="s">
        <v>323</v>
      </c>
      <c r="T4513">
        <v>7.6</v>
      </c>
      <c r="W4513" t="s">
        <v>330</v>
      </c>
      <c r="Y4513" s="42">
        <v>44173</v>
      </c>
    </row>
    <row r="4514" spans="14:25">
      <c r="N4514" s="42">
        <v>44162</v>
      </c>
      <c r="O4514" t="s">
        <v>346</v>
      </c>
      <c r="P4514" s="42">
        <v>44162</v>
      </c>
      <c r="Q4514" t="s">
        <v>346</v>
      </c>
      <c r="R4514" t="s">
        <v>320</v>
      </c>
      <c r="S4514" t="s">
        <v>323</v>
      </c>
      <c r="T4514">
        <v>5.25</v>
      </c>
      <c r="Y4514" s="42">
        <v>44173</v>
      </c>
    </row>
    <row r="4515" spans="14:25">
      <c r="N4515" s="42">
        <v>44148</v>
      </c>
      <c r="O4515" t="s">
        <v>346</v>
      </c>
      <c r="P4515" s="42">
        <v>44148</v>
      </c>
      <c r="Q4515" t="s">
        <v>346</v>
      </c>
      <c r="R4515" t="s">
        <v>320</v>
      </c>
      <c r="S4515" t="s">
        <v>323</v>
      </c>
      <c r="T4515">
        <v>7.6</v>
      </c>
      <c r="Y4515" s="42">
        <v>44159</v>
      </c>
    </row>
    <row r="4516" spans="14:25">
      <c r="N4516" s="42">
        <v>44116</v>
      </c>
      <c r="O4516" t="s">
        <v>345</v>
      </c>
      <c r="P4516" s="42">
        <v>44116</v>
      </c>
      <c r="Q4516" t="s">
        <v>345</v>
      </c>
      <c r="R4516" t="s">
        <v>329</v>
      </c>
      <c r="S4516" t="s">
        <v>323</v>
      </c>
      <c r="T4516">
        <v>1</v>
      </c>
      <c r="W4516" t="s">
        <v>330</v>
      </c>
      <c r="Y4516" s="42">
        <v>44117</v>
      </c>
    </row>
    <row r="4517" spans="14:25">
      <c r="N4517" s="42">
        <v>44109</v>
      </c>
      <c r="O4517" t="s">
        <v>345</v>
      </c>
      <c r="P4517" s="42">
        <v>44109</v>
      </c>
      <c r="Q4517" t="s">
        <v>345</v>
      </c>
      <c r="R4517" t="s">
        <v>320</v>
      </c>
      <c r="S4517" t="s">
        <v>323</v>
      </c>
      <c r="U4517">
        <v>7.6</v>
      </c>
    </row>
    <row r="4518" spans="14:25">
      <c r="N4518" s="42">
        <v>44070</v>
      </c>
      <c r="O4518" t="s">
        <v>324</v>
      </c>
      <c r="P4518" s="42">
        <v>44070</v>
      </c>
      <c r="Q4518" t="s">
        <v>324</v>
      </c>
      <c r="R4518" t="s">
        <v>320</v>
      </c>
      <c r="S4518" t="s">
        <v>323</v>
      </c>
      <c r="T4518">
        <v>7.6</v>
      </c>
      <c r="Y4518" s="42">
        <v>44075</v>
      </c>
    </row>
    <row r="4519" spans="14:25">
      <c r="N4519" s="42">
        <v>44069</v>
      </c>
      <c r="O4519" t="s">
        <v>328</v>
      </c>
      <c r="P4519" s="42">
        <v>44069</v>
      </c>
      <c r="Q4519" t="s">
        <v>328</v>
      </c>
      <c r="R4519" t="s">
        <v>320</v>
      </c>
      <c r="S4519" t="s">
        <v>323</v>
      </c>
      <c r="T4519">
        <v>7.6</v>
      </c>
      <c r="Y4519" s="42">
        <v>44075</v>
      </c>
    </row>
    <row r="4520" spans="14:25">
      <c r="N4520" s="42">
        <v>44068</v>
      </c>
      <c r="O4520" t="s">
        <v>333</v>
      </c>
      <c r="P4520" s="42">
        <v>44068</v>
      </c>
      <c r="Q4520" t="s">
        <v>333</v>
      </c>
      <c r="R4520" t="s">
        <v>329</v>
      </c>
      <c r="S4520" t="s">
        <v>323</v>
      </c>
      <c r="T4520">
        <v>7.6</v>
      </c>
      <c r="W4520" t="s">
        <v>330</v>
      </c>
      <c r="Y4520" s="42">
        <v>44075</v>
      </c>
    </row>
    <row r="4521" spans="14:25">
      <c r="N4521" s="42">
        <v>44067</v>
      </c>
      <c r="O4521" t="s">
        <v>345</v>
      </c>
      <c r="P4521" s="42">
        <v>44067</v>
      </c>
      <c r="Q4521" t="s">
        <v>345</v>
      </c>
      <c r="R4521" t="s">
        <v>329</v>
      </c>
      <c r="S4521" t="s">
        <v>323</v>
      </c>
      <c r="T4521">
        <v>7.6</v>
      </c>
      <c r="W4521" t="s">
        <v>330</v>
      </c>
      <c r="Y4521" s="42">
        <v>44075</v>
      </c>
    </row>
    <row r="4522" spans="14:25">
      <c r="N4522" s="42">
        <v>44064</v>
      </c>
      <c r="O4522" t="s">
        <v>346</v>
      </c>
      <c r="P4522" s="42">
        <v>44064</v>
      </c>
      <c r="Q4522" t="s">
        <v>346</v>
      </c>
      <c r="R4522" t="s">
        <v>320</v>
      </c>
      <c r="S4522" t="s">
        <v>323</v>
      </c>
      <c r="T4522">
        <v>7.6</v>
      </c>
      <c r="Y4522" s="42">
        <v>44075</v>
      </c>
    </row>
    <row r="4523" spans="14:25">
      <c r="N4523" s="42">
        <v>44063</v>
      </c>
      <c r="O4523" t="s">
        <v>324</v>
      </c>
      <c r="P4523" s="42">
        <v>44063</v>
      </c>
      <c r="Q4523" t="s">
        <v>324</v>
      </c>
      <c r="R4523" t="s">
        <v>329</v>
      </c>
      <c r="S4523" t="s">
        <v>323</v>
      </c>
      <c r="T4523">
        <v>7.6</v>
      </c>
      <c r="W4523" t="s">
        <v>330</v>
      </c>
      <c r="Y4523" s="42">
        <v>44075</v>
      </c>
    </row>
    <row r="4524" spans="14:25">
      <c r="N4524" s="42">
        <v>43972</v>
      </c>
      <c r="O4524" t="s">
        <v>324</v>
      </c>
      <c r="P4524" s="42">
        <v>43973</v>
      </c>
      <c r="Q4524" t="s">
        <v>346</v>
      </c>
      <c r="R4524" t="s">
        <v>329</v>
      </c>
      <c r="S4524" t="s">
        <v>323</v>
      </c>
      <c r="T4524">
        <v>15.2</v>
      </c>
      <c r="W4524" t="s">
        <v>330</v>
      </c>
      <c r="Y4524" s="42">
        <v>43977</v>
      </c>
    </row>
    <row r="4525" spans="14:25">
      <c r="N4525" s="42">
        <v>43957</v>
      </c>
      <c r="O4525" t="s">
        <v>328</v>
      </c>
      <c r="P4525" s="42">
        <v>43957</v>
      </c>
      <c r="Q4525" t="s">
        <v>328</v>
      </c>
      <c r="R4525" t="s">
        <v>329</v>
      </c>
      <c r="S4525" t="s">
        <v>323</v>
      </c>
      <c r="T4525">
        <v>7.6</v>
      </c>
      <c r="W4525" t="s">
        <v>330</v>
      </c>
      <c r="Y4525" s="42">
        <v>43963</v>
      </c>
    </row>
    <row r="4526" spans="14:25">
      <c r="N4526" s="42">
        <v>43943</v>
      </c>
      <c r="O4526" t="s">
        <v>328</v>
      </c>
      <c r="P4526" s="42">
        <v>43943</v>
      </c>
      <c r="Q4526" t="s">
        <v>328</v>
      </c>
      <c r="R4526" t="s">
        <v>370</v>
      </c>
      <c r="S4526" t="s">
        <v>323</v>
      </c>
      <c r="T4526">
        <v>7.6</v>
      </c>
      <c r="W4526" t="s">
        <v>330</v>
      </c>
      <c r="Y4526" s="42">
        <v>43949</v>
      </c>
    </row>
    <row r="4527" spans="14:25">
      <c r="N4527" s="42">
        <v>43942</v>
      </c>
      <c r="O4527" t="s">
        <v>333</v>
      </c>
      <c r="P4527" s="42">
        <v>43943</v>
      </c>
      <c r="Q4527" t="s">
        <v>328</v>
      </c>
      <c r="R4527" t="s">
        <v>329</v>
      </c>
      <c r="S4527" t="s">
        <v>323</v>
      </c>
      <c r="T4527">
        <v>15.2</v>
      </c>
      <c r="W4527" t="s">
        <v>330</v>
      </c>
      <c r="Y4527" s="42">
        <v>43991</v>
      </c>
    </row>
    <row r="4528" spans="14:25">
      <c r="N4528" s="42">
        <v>43942</v>
      </c>
      <c r="O4528" t="s">
        <v>333</v>
      </c>
      <c r="P4528" s="42">
        <v>43943</v>
      </c>
      <c r="Q4528" t="s">
        <v>328</v>
      </c>
      <c r="R4528" t="s">
        <v>370</v>
      </c>
      <c r="S4528" t="s">
        <v>323</v>
      </c>
      <c r="T4528">
        <v>-15.2</v>
      </c>
      <c r="W4528" t="s">
        <v>330</v>
      </c>
      <c r="Y4528" s="42">
        <v>43991</v>
      </c>
    </row>
    <row r="4529" spans="14:25">
      <c r="N4529" s="42">
        <v>43942</v>
      </c>
      <c r="O4529" t="s">
        <v>333</v>
      </c>
      <c r="P4529" s="42">
        <v>43942</v>
      </c>
      <c r="Q4529" t="s">
        <v>333</v>
      </c>
      <c r="R4529" t="s">
        <v>370</v>
      </c>
      <c r="S4529" t="s">
        <v>323</v>
      </c>
      <c r="T4529">
        <v>7.6</v>
      </c>
      <c r="W4529" t="s">
        <v>330</v>
      </c>
      <c r="Y4529" s="42">
        <v>43949</v>
      </c>
    </row>
    <row r="4530" spans="14:25">
      <c r="N4530" s="42">
        <v>43916</v>
      </c>
      <c r="O4530" t="s">
        <v>324</v>
      </c>
      <c r="P4530" s="42">
        <v>43916</v>
      </c>
      <c r="Q4530" t="s">
        <v>324</v>
      </c>
      <c r="R4530" t="s">
        <v>329</v>
      </c>
      <c r="S4530" t="s">
        <v>323</v>
      </c>
      <c r="T4530">
        <v>7.6</v>
      </c>
      <c r="W4530" t="s">
        <v>330</v>
      </c>
      <c r="Y4530" s="42">
        <v>43921</v>
      </c>
    </row>
    <row r="4531" spans="14:25">
      <c r="N4531" s="42">
        <v>43915</v>
      </c>
      <c r="O4531" t="s">
        <v>328</v>
      </c>
      <c r="P4531" s="42">
        <v>43915</v>
      </c>
      <c r="Q4531" t="s">
        <v>328</v>
      </c>
      <c r="R4531" t="s">
        <v>329</v>
      </c>
      <c r="S4531" t="s">
        <v>323</v>
      </c>
      <c r="T4531">
        <v>7.6</v>
      </c>
      <c r="W4531" t="s">
        <v>330</v>
      </c>
      <c r="Y4531" s="42">
        <v>43921</v>
      </c>
    </row>
    <row r="4532" spans="14:25">
      <c r="N4532" s="42">
        <v>43868</v>
      </c>
      <c r="O4532" t="s">
        <v>346</v>
      </c>
      <c r="P4532" s="42">
        <v>43868</v>
      </c>
      <c r="Q4532" t="s">
        <v>346</v>
      </c>
      <c r="R4532" t="s">
        <v>320</v>
      </c>
      <c r="S4532" t="s">
        <v>323</v>
      </c>
      <c r="T4532">
        <v>7.6</v>
      </c>
      <c r="Y4532" s="42">
        <v>43879</v>
      </c>
    </row>
    <row r="4533" spans="14:25">
      <c r="N4533" s="42">
        <v>43867</v>
      </c>
      <c r="O4533" t="s">
        <v>324</v>
      </c>
      <c r="P4533" s="42">
        <v>43867</v>
      </c>
      <c r="Q4533" t="s">
        <v>324</v>
      </c>
      <c r="R4533" t="s">
        <v>320</v>
      </c>
      <c r="S4533" t="s">
        <v>323</v>
      </c>
      <c r="T4533">
        <v>7.6</v>
      </c>
      <c r="Y4533" s="42">
        <v>43879</v>
      </c>
    </row>
    <row r="4534" spans="14:25">
      <c r="N4534" s="42">
        <v>43866</v>
      </c>
      <c r="O4534" t="s">
        <v>328</v>
      </c>
      <c r="P4534" s="42">
        <v>43866</v>
      </c>
      <c r="Q4534" t="s">
        <v>328</v>
      </c>
      <c r="R4534" t="s">
        <v>320</v>
      </c>
      <c r="S4534" t="s">
        <v>323</v>
      </c>
      <c r="T4534">
        <v>7.6</v>
      </c>
      <c r="Y4534" s="42">
        <v>43879</v>
      </c>
    </row>
    <row r="4535" spans="14:25">
      <c r="N4535" s="42">
        <v>43865</v>
      </c>
      <c r="O4535" t="s">
        <v>333</v>
      </c>
      <c r="P4535" s="42">
        <v>43865</v>
      </c>
      <c r="Q4535" t="s">
        <v>333</v>
      </c>
      <c r="R4535" t="s">
        <v>320</v>
      </c>
      <c r="S4535" t="s">
        <v>323</v>
      </c>
      <c r="T4535">
        <v>7.6</v>
      </c>
      <c r="Y4535" s="42">
        <v>43865</v>
      </c>
    </row>
    <row r="4536" spans="14:25">
      <c r="N4536" s="42">
        <v>43864</v>
      </c>
      <c r="O4536" t="s">
        <v>345</v>
      </c>
      <c r="P4536" s="42">
        <v>43864</v>
      </c>
      <c r="Q4536" t="s">
        <v>345</v>
      </c>
      <c r="R4536" t="s">
        <v>320</v>
      </c>
      <c r="S4536" t="s">
        <v>323</v>
      </c>
      <c r="T4536">
        <v>7.6</v>
      </c>
      <c r="Y4536" s="42">
        <v>43865</v>
      </c>
    </row>
    <row r="4537" spans="14:25">
      <c r="N4537" s="42">
        <v>43861</v>
      </c>
      <c r="O4537" t="s">
        <v>346</v>
      </c>
      <c r="P4537" s="42">
        <v>43861</v>
      </c>
      <c r="Q4537" t="s">
        <v>346</v>
      </c>
      <c r="R4537" t="s">
        <v>320</v>
      </c>
      <c r="S4537" t="s">
        <v>323</v>
      </c>
      <c r="T4537">
        <v>7.6</v>
      </c>
      <c r="Y4537" s="42">
        <v>43865</v>
      </c>
    </row>
    <row r="4538" spans="14:25">
      <c r="N4538" s="42">
        <v>43860</v>
      </c>
      <c r="O4538" t="s">
        <v>324</v>
      </c>
      <c r="P4538" s="42">
        <v>43860</v>
      </c>
      <c r="Q4538" t="s">
        <v>324</v>
      </c>
      <c r="R4538" t="s">
        <v>320</v>
      </c>
      <c r="S4538" t="s">
        <v>323</v>
      </c>
      <c r="T4538">
        <v>7.6</v>
      </c>
      <c r="Y4538" s="42">
        <v>43865</v>
      </c>
    </row>
    <row r="4539" spans="14:25">
      <c r="N4539" s="42">
        <v>43859</v>
      </c>
      <c r="O4539" t="s">
        <v>328</v>
      </c>
      <c r="P4539" s="42">
        <v>43859</v>
      </c>
      <c r="Q4539" t="s">
        <v>328</v>
      </c>
      <c r="R4539" t="s">
        <v>320</v>
      </c>
      <c r="S4539" t="s">
        <v>323</v>
      </c>
      <c r="T4539">
        <v>7.6</v>
      </c>
      <c r="Y4539" s="42">
        <v>43865</v>
      </c>
    </row>
    <row r="4540" spans="14:25">
      <c r="N4540" s="42">
        <v>43858</v>
      </c>
      <c r="O4540" t="s">
        <v>333</v>
      </c>
      <c r="P4540" s="42">
        <v>43858</v>
      </c>
      <c r="Q4540" t="s">
        <v>333</v>
      </c>
      <c r="R4540" t="s">
        <v>320</v>
      </c>
      <c r="S4540" t="s">
        <v>323</v>
      </c>
      <c r="T4540">
        <v>7.6</v>
      </c>
      <c r="Y4540" s="42">
        <v>43865</v>
      </c>
    </row>
    <row r="4541" spans="14:25">
      <c r="N4541" s="42">
        <v>43839</v>
      </c>
      <c r="O4541" t="s">
        <v>324</v>
      </c>
      <c r="P4541" s="42">
        <v>43839</v>
      </c>
      <c r="Q4541" t="s">
        <v>324</v>
      </c>
      <c r="R4541" t="s">
        <v>329</v>
      </c>
      <c r="S4541" t="s">
        <v>323</v>
      </c>
      <c r="T4541">
        <v>7.6</v>
      </c>
      <c r="W4541" t="s">
        <v>330</v>
      </c>
      <c r="Y4541" s="42">
        <v>43851</v>
      </c>
    </row>
    <row r="4542" spans="14:25">
      <c r="N4542" s="42">
        <v>43823</v>
      </c>
      <c r="O4542" t="s">
        <v>333</v>
      </c>
      <c r="P4542" s="42">
        <v>43823</v>
      </c>
      <c r="Q4542" t="s">
        <v>333</v>
      </c>
      <c r="R4542" t="s">
        <v>320</v>
      </c>
      <c r="S4542" t="s">
        <v>323</v>
      </c>
      <c r="T4542">
        <v>7.6</v>
      </c>
      <c r="Y4542" s="42">
        <v>43823</v>
      </c>
    </row>
    <row r="4543" spans="14:25">
      <c r="N4543" s="42">
        <v>43803</v>
      </c>
      <c r="O4543" t="s">
        <v>328</v>
      </c>
      <c r="P4543" s="42">
        <v>43803</v>
      </c>
      <c r="Q4543" t="s">
        <v>328</v>
      </c>
      <c r="R4543" t="s">
        <v>320</v>
      </c>
      <c r="S4543" t="s">
        <v>323</v>
      </c>
      <c r="T4543">
        <v>2</v>
      </c>
      <c r="Y4543" s="42">
        <v>43809</v>
      </c>
    </row>
    <row r="4544" spans="14:25">
      <c r="N4544" s="42">
        <v>43766</v>
      </c>
      <c r="O4544" t="s">
        <v>345</v>
      </c>
      <c r="P4544" s="42">
        <v>43766</v>
      </c>
      <c r="Q4544" t="s">
        <v>345</v>
      </c>
      <c r="R4544" t="s">
        <v>329</v>
      </c>
      <c r="S4544" t="s">
        <v>323</v>
      </c>
      <c r="T4544">
        <v>7.6</v>
      </c>
      <c r="W4544" t="s">
        <v>330</v>
      </c>
      <c r="Y4544" s="42">
        <v>43767</v>
      </c>
    </row>
    <row r="4545" spans="1:25">
      <c r="N4545" s="42">
        <v>43733</v>
      </c>
      <c r="O4545" t="s">
        <v>328</v>
      </c>
      <c r="P4545" s="42">
        <v>43733</v>
      </c>
      <c r="Q4545" t="s">
        <v>328</v>
      </c>
      <c r="R4545" t="s">
        <v>329</v>
      </c>
      <c r="S4545" t="s">
        <v>323</v>
      </c>
      <c r="T4545">
        <v>1.25</v>
      </c>
      <c r="W4545" t="s">
        <v>330</v>
      </c>
      <c r="Y4545" s="42">
        <v>43739</v>
      </c>
    </row>
    <row r="4546" spans="1:25">
      <c r="N4546" s="42">
        <v>43706</v>
      </c>
      <c r="O4546" t="s">
        <v>324</v>
      </c>
      <c r="P4546" s="42">
        <v>43706</v>
      </c>
      <c r="Q4546" t="s">
        <v>324</v>
      </c>
      <c r="R4546" t="s">
        <v>329</v>
      </c>
      <c r="S4546" t="s">
        <v>323</v>
      </c>
      <c r="T4546">
        <v>7.6</v>
      </c>
      <c r="W4546" t="s">
        <v>330</v>
      </c>
      <c r="Y4546" s="42">
        <v>43711</v>
      </c>
    </row>
    <row r="4547" spans="1:25">
      <c r="N4547" s="42">
        <v>43665</v>
      </c>
      <c r="O4547" t="s">
        <v>346</v>
      </c>
      <c r="P4547" s="42">
        <v>43668</v>
      </c>
      <c r="Q4547" t="s">
        <v>345</v>
      </c>
      <c r="R4547" t="s">
        <v>320</v>
      </c>
      <c r="S4547" t="s">
        <v>323</v>
      </c>
      <c r="T4547">
        <v>15.2</v>
      </c>
      <c r="Y4547" s="42">
        <v>43669</v>
      </c>
    </row>
    <row r="4548" spans="1:25">
      <c r="A4548">
        <v>18736</v>
      </c>
      <c r="B4548" t="s">
        <v>407</v>
      </c>
      <c r="C4548" t="s">
        <v>320</v>
      </c>
      <c r="D4548" t="s">
        <v>336</v>
      </c>
      <c r="E4548" t="s">
        <v>337</v>
      </c>
      <c r="F4548">
        <v>1</v>
      </c>
      <c r="G4548" s="42">
        <v>45174</v>
      </c>
      <c r="H4548">
        <v>152</v>
      </c>
      <c r="I4548">
        <v>-29.983699999999999</v>
      </c>
      <c r="J4548">
        <v>74.9589</v>
      </c>
      <c r="K4548">
        <v>44.975200000000001</v>
      </c>
      <c r="L4548" t="s">
        <v>323</v>
      </c>
      <c r="M4548" s="43">
        <v>0.25347222222222221</v>
      </c>
      <c r="N4548" s="42">
        <v>44974</v>
      </c>
      <c r="O4548" t="s">
        <v>346</v>
      </c>
      <c r="P4548" s="42">
        <v>44974</v>
      </c>
      <c r="Q4548" t="s">
        <v>346</v>
      </c>
      <c r="R4548" t="s">
        <v>320</v>
      </c>
      <c r="S4548" t="s">
        <v>323</v>
      </c>
      <c r="T4548">
        <v>7.6</v>
      </c>
      <c r="Y4548" s="42">
        <v>44985</v>
      </c>
    </row>
    <row r="4549" spans="1:25">
      <c r="C4549" t="s">
        <v>325</v>
      </c>
      <c r="D4549" t="s">
        <v>340</v>
      </c>
      <c r="E4549" t="s">
        <v>341</v>
      </c>
      <c r="F4549">
        <v>1</v>
      </c>
      <c r="G4549" s="42">
        <v>45174</v>
      </c>
      <c r="H4549">
        <v>230.5241</v>
      </c>
      <c r="I4549">
        <v>0</v>
      </c>
      <c r="J4549">
        <v>213.83770000000001</v>
      </c>
      <c r="K4549">
        <v>213.83770000000001</v>
      </c>
      <c r="L4549" t="s">
        <v>323</v>
      </c>
      <c r="N4549" s="42">
        <v>44973</v>
      </c>
      <c r="O4549" t="s">
        <v>324</v>
      </c>
      <c r="P4549" s="42">
        <v>44973</v>
      </c>
      <c r="Q4549" t="s">
        <v>324</v>
      </c>
      <c r="R4549" t="s">
        <v>320</v>
      </c>
      <c r="S4549" t="s">
        <v>323</v>
      </c>
      <c r="T4549">
        <v>7.6</v>
      </c>
      <c r="Y4549" s="42">
        <v>44985</v>
      </c>
    </row>
    <row r="4550" spans="1:25">
      <c r="C4550" t="s">
        <v>329</v>
      </c>
      <c r="D4550" t="s">
        <v>342</v>
      </c>
      <c r="E4550" t="s">
        <v>343</v>
      </c>
      <c r="F4550">
        <v>1</v>
      </c>
      <c r="G4550" s="42">
        <v>45174</v>
      </c>
      <c r="H4550">
        <v>76</v>
      </c>
      <c r="I4550">
        <v>-15.353999999999999</v>
      </c>
      <c r="J4550">
        <v>37.479500000000002</v>
      </c>
      <c r="K4550">
        <v>22.125499999999999</v>
      </c>
      <c r="L4550" t="s">
        <v>323</v>
      </c>
      <c r="N4550" s="42">
        <v>44972</v>
      </c>
      <c r="O4550" t="s">
        <v>328</v>
      </c>
      <c r="P4550" s="42">
        <v>44972</v>
      </c>
      <c r="Q4550" t="s">
        <v>328</v>
      </c>
      <c r="R4550" t="s">
        <v>320</v>
      </c>
      <c r="S4550" t="s">
        <v>323</v>
      </c>
      <c r="T4550">
        <v>7.6</v>
      </c>
      <c r="Y4550" s="42">
        <v>44985</v>
      </c>
    </row>
    <row r="4551" spans="1:25">
      <c r="N4551" s="42">
        <v>44971</v>
      </c>
      <c r="O4551" t="s">
        <v>333</v>
      </c>
      <c r="P4551" s="42">
        <v>44971</v>
      </c>
      <c r="Q4551" t="s">
        <v>333</v>
      </c>
      <c r="R4551" t="s">
        <v>320</v>
      </c>
      <c r="S4551" t="s">
        <v>323</v>
      </c>
      <c r="T4551">
        <v>7.6</v>
      </c>
      <c r="Y4551" s="42">
        <v>44971</v>
      </c>
    </row>
    <row r="4552" spans="1:25">
      <c r="N4552" s="42">
        <v>44970</v>
      </c>
      <c r="O4552" t="s">
        <v>345</v>
      </c>
      <c r="P4552" s="42">
        <v>44970</v>
      </c>
      <c r="Q4552" t="s">
        <v>345</v>
      </c>
      <c r="R4552" t="s">
        <v>320</v>
      </c>
      <c r="S4552" t="s">
        <v>323</v>
      </c>
      <c r="T4552">
        <v>7.6</v>
      </c>
      <c r="Y4552" s="42">
        <v>44971</v>
      </c>
    </row>
    <row r="4553" spans="1:25">
      <c r="N4553" s="42">
        <v>44967</v>
      </c>
      <c r="O4553" t="s">
        <v>346</v>
      </c>
      <c r="P4553" s="42">
        <v>44967</v>
      </c>
      <c r="Q4553" t="s">
        <v>346</v>
      </c>
      <c r="R4553" t="s">
        <v>320</v>
      </c>
      <c r="S4553" t="s">
        <v>323</v>
      </c>
      <c r="T4553">
        <v>7.6</v>
      </c>
      <c r="Y4553" s="42">
        <v>44971</v>
      </c>
    </row>
    <row r="4554" spans="1:25">
      <c r="N4554" s="42">
        <v>44966</v>
      </c>
      <c r="O4554" t="s">
        <v>324</v>
      </c>
      <c r="P4554" s="42">
        <v>44966</v>
      </c>
      <c r="Q4554" t="s">
        <v>324</v>
      </c>
      <c r="R4554" t="s">
        <v>320</v>
      </c>
      <c r="S4554" t="s">
        <v>323</v>
      </c>
      <c r="T4554">
        <v>7.6</v>
      </c>
      <c r="Y4554" s="42">
        <v>44971</v>
      </c>
    </row>
    <row r="4555" spans="1:25">
      <c r="N4555" s="42">
        <v>44965</v>
      </c>
      <c r="O4555" t="s">
        <v>328</v>
      </c>
      <c r="P4555" s="42">
        <v>44965</v>
      </c>
      <c r="Q4555" t="s">
        <v>328</v>
      </c>
      <c r="R4555" t="s">
        <v>320</v>
      </c>
      <c r="S4555" t="s">
        <v>323</v>
      </c>
      <c r="T4555">
        <v>7.6</v>
      </c>
      <c r="Y4555" s="42">
        <v>44971</v>
      </c>
    </row>
    <row r="4556" spans="1:25">
      <c r="N4556" s="42">
        <v>44964</v>
      </c>
      <c r="O4556" t="s">
        <v>333</v>
      </c>
      <c r="P4556" s="42">
        <v>44964</v>
      </c>
      <c r="Q4556" t="s">
        <v>333</v>
      </c>
      <c r="R4556" t="s">
        <v>320</v>
      </c>
      <c r="S4556" t="s">
        <v>323</v>
      </c>
      <c r="T4556">
        <v>7.6</v>
      </c>
      <c r="Y4556" s="42">
        <v>44971</v>
      </c>
    </row>
    <row r="4557" spans="1:25">
      <c r="N4557" s="42">
        <v>44963</v>
      </c>
      <c r="O4557" t="s">
        <v>345</v>
      </c>
      <c r="P4557" s="42">
        <v>44963</v>
      </c>
      <c r="Q4557" t="s">
        <v>345</v>
      </c>
      <c r="R4557" t="s">
        <v>320</v>
      </c>
      <c r="S4557" t="s">
        <v>323</v>
      </c>
      <c r="T4557">
        <v>7.6</v>
      </c>
      <c r="Y4557" s="42">
        <v>44971</v>
      </c>
    </row>
    <row r="4558" spans="1:25">
      <c r="N4558" s="42">
        <v>44960</v>
      </c>
      <c r="O4558" t="s">
        <v>346</v>
      </c>
      <c r="P4558" s="42">
        <v>44960</v>
      </c>
      <c r="Q4558" t="s">
        <v>346</v>
      </c>
      <c r="R4558" t="s">
        <v>320</v>
      </c>
      <c r="S4558" t="s">
        <v>323</v>
      </c>
      <c r="T4558">
        <v>7.6</v>
      </c>
      <c r="Y4558" s="42">
        <v>44971</v>
      </c>
    </row>
    <row r="4559" spans="1:25">
      <c r="N4559" s="42">
        <v>44959</v>
      </c>
      <c r="O4559" t="s">
        <v>324</v>
      </c>
      <c r="P4559" s="42">
        <v>44959</v>
      </c>
      <c r="Q4559" t="s">
        <v>324</v>
      </c>
      <c r="R4559" t="s">
        <v>320</v>
      </c>
      <c r="S4559" t="s">
        <v>323</v>
      </c>
      <c r="T4559">
        <v>7.6</v>
      </c>
      <c r="Y4559" s="42">
        <v>44971</v>
      </c>
    </row>
    <row r="4560" spans="1:25">
      <c r="N4560" s="42">
        <v>44958</v>
      </c>
      <c r="O4560" t="s">
        <v>328</v>
      </c>
      <c r="P4560" s="42">
        <v>44958</v>
      </c>
      <c r="Q4560" t="s">
        <v>328</v>
      </c>
      <c r="R4560" t="s">
        <v>320</v>
      </c>
      <c r="S4560" t="s">
        <v>323</v>
      </c>
      <c r="T4560">
        <v>7.6</v>
      </c>
      <c r="Y4560" s="42">
        <v>44971</v>
      </c>
    </row>
    <row r="4561" spans="14:25">
      <c r="N4561" s="42">
        <v>44957</v>
      </c>
      <c r="O4561" t="s">
        <v>333</v>
      </c>
      <c r="P4561" s="42">
        <v>44957</v>
      </c>
      <c r="Q4561" t="s">
        <v>333</v>
      </c>
      <c r="R4561" t="s">
        <v>320</v>
      </c>
      <c r="S4561" t="s">
        <v>323</v>
      </c>
      <c r="T4561">
        <v>7.6</v>
      </c>
      <c r="Y4561" s="42">
        <v>44957</v>
      </c>
    </row>
    <row r="4562" spans="14:25">
      <c r="N4562" s="42">
        <v>44956</v>
      </c>
      <c r="O4562" t="s">
        <v>345</v>
      </c>
      <c r="P4562" s="42">
        <v>44956</v>
      </c>
      <c r="Q4562" t="s">
        <v>345</v>
      </c>
      <c r="R4562" t="s">
        <v>320</v>
      </c>
      <c r="S4562" t="s">
        <v>323</v>
      </c>
      <c r="T4562">
        <v>7.6</v>
      </c>
      <c r="Y4562" s="42">
        <v>44957</v>
      </c>
    </row>
    <row r="4563" spans="14:25">
      <c r="N4563" s="42">
        <v>44952</v>
      </c>
      <c r="O4563" t="s">
        <v>324</v>
      </c>
      <c r="P4563" s="42">
        <v>44952</v>
      </c>
      <c r="Q4563" t="s">
        <v>324</v>
      </c>
      <c r="R4563" t="s">
        <v>320</v>
      </c>
      <c r="S4563" t="s">
        <v>323</v>
      </c>
      <c r="U4563">
        <v>7.6</v>
      </c>
    </row>
    <row r="4564" spans="14:25">
      <c r="N4564" s="42">
        <v>44929</v>
      </c>
      <c r="O4564" t="s">
        <v>333</v>
      </c>
      <c r="P4564" s="42">
        <v>44929</v>
      </c>
      <c r="Q4564" t="s">
        <v>333</v>
      </c>
      <c r="R4564" t="s">
        <v>329</v>
      </c>
      <c r="S4564" t="s">
        <v>323</v>
      </c>
      <c r="T4564">
        <v>7.6</v>
      </c>
      <c r="W4564" t="s">
        <v>330</v>
      </c>
      <c r="Y4564" s="42">
        <v>44929</v>
      </c>
    </row>
    <row r="4565" spans="14:25">
      <c r="N4565" s="42">
        <v>44928</v>
      </c>
      <c r="O4565" t="s">
        <v>345</v>
      </c>
      <c r="P4565" s="42">
        <v>44928</v>
      </c>
      <c r="Q4565" t="s">
        <v>345</v>
      </c>
      <c r="R4565" t="s">
        <v>320</v>
      </c>
      <c r="S4565" t="s">
        <v>323</v>
      </c>
      <c r="U4565">
        <v>7.6</v>
      </c>
    </row>
    <row r="4566" spans="14:25">
      <c r="N4566" s="42">
        <v>44922</v>
      </c>
      <c r="O4566" t="s">
        <v>333</v>
      </c>
      <c r="P4566" s="42">
        <v>44922</v>
      </c>
      <c r="Q4566" t="s">
        <v>333</v>
      </c>
      <c r="R4566" t="s">
        <v>320</v>
      </c>
      <c r="S4566" t="s">
        <v>323</v>
      </c>
      <c r="U4566">
        <v>7.6</v>
      </c>
    </row>
    <row r="4567" spans="14:25">
      <c r="N4567" s="42">
        <v>44921</v>
      </c>
      <c r="O4567" t="s">
        <v>345</v>
      </c>
      <c r="P4567" s="42">
        <v>44921</v>
      </c>
      <c r="Q4567" t="s">
        <v>345</v>
      </c>
      <c r="R4567" t="s">
        <v>320</v>
      </c>
      <c r="S4567" t="s">
        <v>323</v>
      </c>
      <c r="U4567">
        <v>7.6</v>
      </c>
    </row>
    <row r="4568" spans="14:25">
      <c r="N4568" s="42">
        <v>44880</v>
      </c>
      <c r="O4568" t="s">
        <v>333</v>
      </c>
      <c r="P4568" s="42">
        <v>44880</v>
      </c>
      <c r="Q4568" t="s">
        <v>333</v>
      </c>
      <c r="R4568" t="s">
        <v>329</v>
      </c>
      <c r="S4568" t="s">
        <v>323</v>
      </c>
      <c r="T4568">
        <v>7.6</v>
      </c>
      <c r="W4568" t="s">
        <v>330</v>
      </c>
      <c r="Y4568" s="42">
        <v>44887</v>
      </c>
    </row>
    <row r="4569" spans="14:25">
      <c r="N4569" s="42">
        <v>44866</v>
      </c>
      <c r="O4569" t="s">
        <v>333</v>
      </c>
      <c r="P4569" s="42">
        <v>44866</v>
      </c>
      <c r="Q4569" t="s">
        <v>333</v>
      </c>
      <c r="R4569" t="s">
        <v>320</v>
      </c>
      <c r="S4569" t="s">
        <v>323</v>
      </c>
      <c r="U4569">
        <v>7.6</v>
      </c>
    </row>
    <row r="4570" spans="14:25">
      <c r="N4570" s="42">
        <v>44865</v>
      </c>
      <c r="O4570" t="s">
        <v>345</v>
      </c>
      <c r="P4570" s="42">
        <v>44865</v>
      </c>
      <c r="Q4570" t="s">
        <v>345</v>
      </c>
      <c r="R4570" t="s">
        <v>320</v>
      </c>
      <c r="S4570" t="s">
        <v>323</v>
      </c>
      <c r="T4570">
        <v>7.6</v>
      </c>
      <c r="Y4570" s="42">
        <v>44873</v>
      </c>
    </row>
    <row r="4571" spans="14:25">
      <c r="N4571" s="42">
        <v>44839</v>
      </c>
      <c r="O4571" t="s">
        <v>328</v>
      </c>
      <c r="P4571" s="42">
        <v>44839</v>
      </c>
      <c r="Q4571" t="s">
        <v>328</v>
      </c>
      <c r="R4571" t="s">
        <v>329</v>
      </c>
      <c r="S4571" t="s">
        <v>323</v>
      </c>
      <c r="T4571">
        <v>4</v>
      </c>
      <c r="W4571" t="s">
        <v>330</v>
      </c>
      <c r="Y4571" s="42">
        <v>44845</v>
      </c>
    </row>
    <row r="4572" spans="14:25">
      <c r="N4572" s="42">
        <v>44826</v>
      </c>
      <c r="O4572" t="s">
        <v>324</v>
      </c>
      <c r="P4572" s="42">
        <v>44826</v>
      </c>
      <c r="Q4572" t="s">
        <v>324</v>
      </c>
      <c r="R4572" t="s">
        <v>320</v>
      </c>
      <c r="S4572" t="s">
        <v>323</v>
      </c>
      <c r="U4572">
        <v>7.6</v>
      </c>
    </row>
    <row r="4573" spans="14:25">
      <c r="N4573" s="42">
        <v>44813</v>
      </c>
      <c r="O4573" t="s">
        <v>346</v>
      </c>
      <c r="P4573" s="42">
        <v>44813</v>
      </c>
      <c r="Q4573" t="s">
        <v>346</v>
      </c>
      <c r="R4573" t="s">
        <v>329</v>
      </c>
      <c r="S4573" t="s">
        <v>323</v>
      </c>
      <c r="T4573">
        <v>7.6</v>
      </c>
      <c r="W4573" t="s">
        <v>330</v>
      </c>
      <c r="Y4573" s="42">
        <v>44817</v>
      </c>
    </row>
    <row r="4574" spans="14:25">
      <c r="N4574" s="42">
        <v>44812</v>
      </c>
      <c r="O4574" t="s">
        <v>324</v>
      </c>
      <c r="P4574" s="42">
        <v>44812</v>
      </c>
      <c r="Q4574" t="s">
        <v>324</v>
      </c>
      <c r="R4574" t="s">
        <v>329</v>
      </c>
      <c r="S4574" t="s">
        <v>323</v>
      </c>
      <c r="T4574">
        <v>7.6</v>
      </c>
      <c r="W4574" t="s">
        <v>330</v>
      </c>
      <c r="Y4574" s="42">
        <v>44817</v>
      </c>
    </row>
    <row r="4575" spans="14:25">
      <c r="N4575" s="42">
        <v>44811</v>
      </c>
      <c r="O4575" t="s">
        <v>328</v>
      </c>
      <c r="P4575" s="42">
        <v>44811</v>
      </c>
      <c r="Q4575" t="s">
        <v>328</v>
      </c>
      <c r="R4575" t="s">
        <v>329</v>
      </c>
      <c r="S4575" t="s">
        <v>323</v>
      </c>
      <c r="T4575">
        <v>7.6</v>
      </c>
      <c r="W4575" t="s">
        <v>330</v>
      </c>
      <c r="Y4575" s="42">
        <v>44817</v>
      </c>
    </row>
    <row r="4576" spans="14:25">
      <c r="N4576" s="42">
        <v>44810</v>
      </c>
      <c r="O4576" t="s">
        <v>333</v>
      </c>
      <c r="P4576" s="42">
        <v>44810</v>
      </c>
      <c r="Q4576" t="s">
        <v>333</v>
      </c>
      <c r="R4576" t="s">
        <v>320</v>
      </c>
      <c r="S4576" t="s">
        <v>323</v>
      </c>
      <c r="T4576">
        <v>7.6</v>
      </c>
      <c r="Y4576" s="42">
        <v>44817</v>
      </c>
    </row>
    <row r="4577" spans="14:25">
      <c r="N4577" s="42">
        <v>44809</v>
      </c>
      <c r="O4577" t="s">
        <v>345</v>
      </c>
      <c r="P4577" s="42">
        <v>44809</v>
      </c>
      <c r="Q4577" t="s">
        <v>345</v>
      </c>
      <c r="R4577" t="s">
        <v>320</v>
      </c>
      <c r="S4577" t="s">
        <v>323</v>
      </c>
      <c r="T4577">
        <v>7.6</v>
      </c>
      <c r="Y4577" s="42">
        <v>44817</v>
      </c>
    </row>
    <row r="4578" spans="14:25">
      <c r="N4578" s="42">
        <v>44806</v>
      </c>
      <c r="O4578" t="s">
        <v>346</v>
      </c>
      <c r="P4578" s="42">
        <v>44806</v>
      </c>
      <c r="Q4578" t="s">
        <v>346</v>
      </c>
      <c r="R4578" t="s">
        <v>320</v>
      </c>
      <c r="S4578" t="s">
        <v>323</v>
      </c>
      <c r="T4578">
        <v>7.6</v>
      </c>
      <c r="Y4578" s="42">
        <v>44817</v>
      </c>
    </row>
    <row r="4579" spans="14:25">
      <c r="N4579" s="42">
        <v>44797</v>
      </c>
      <c r="O4579" t="s">
        <v>328</v>
      </c>
      <c r="P4579" s="42">
        <v>44797</v>
      </c>
      <c r="Q4579" t="s">
        <v>328</v>
      </c>
      <c r="R4579" t="s">
        <v>329</v>
      </c>
      <c r="S4579" t="s">
        <v>323</v>
      </c>
      <c r="T4579">
        <v>7.5332999999999997</v>
      </c>
      <c r="W4579" t="s">
        <v>330</v>
      </c>
      <c r="Y4579" s="42">
        <v>44803</v>
      </c>
    </row>
    <row r="4580" spans="14:25">
      <c r="N4580" s="42">
        <v>44749</v>
      </c>
      <c r="O4580" t="s">
        <v>324</v>
      </c>
      <c r="P4580" s="42">
        <v>44749</v>
      </c>
      <c r="Q4580" t="s">
        <v>324</v>
      </c>
      <c r="R4580" t="s">
        <v>320</v>
      </c>
      <c r="S4580" t="s">
        <v>323</v>
      </c>
      <c r="T4580">
        <v>7.6</v>
      </c>
      <c r="Y4580" s="42">
        <v>44761</v>
      </c>
    </row>
    <row r="4581" spans="14:25">
      <c r="N4581" s="42">
        <v>44748</v>
      </c>
      <c r="O4581" t="s">
        <v>328</v>
      </c>
      <c r="P4581" s="42">
        <v>44748</v>
      </c>
      <c r="Q4581" t="s">
        <v>328</v>
      </c>
      <c r="R4581" t="s">
        <v>320</v>
      </c>
      <c r="S4581" t="s">
        <v>323</v>
      </c>
      <c r="T4581">
        <v>7.6</v>
      </c>
      <c r="Y4581" s="42">
        <v>44761</v>
      </c>
    </row>
    <row r="4582" spans="14:25">
      <c r="N4582" s="42">
        <v>44742</v>
      </c>
      <c r="O4582" t="s">
        <v>324</v>
      </c>
      <c r="P4582" s="42">
        <v>44742</v>
      </c>
      <c r="Q4582" t="s">
        <v>324</v>
      </c>
      <c r="R4582" t="s">
        <v>320</v>
      </c>
      <c r="S4582" t="s">
        <v>323</v>
      </c>
      <c r="T4582">
        <v>7.6</v>
      </c>
      <c r="Y4582" s="42">
        <v>44747</v>
      </c>
    </row>
    <row r="4583" spans="14:25">
      <c r="N4583" s="42">
        <v>44725</v>
      </c>
      <c r="O4583" t="s">
        <v>345</v>
      </c>
      <c r="P4583" s="42">
        <v>44725</v>
      </c>
      <c r="Q4583" t="s">
        <v>345</v>
      </c>
      <c r="R4583" t="s">
        <v>320</v>
      </c>
      <c r="S4583" t="s">
        <v>323</v>
      </c>
      <c r="U4583">
        <v>7.6</v>
      </c>
    </row>
    <row r="4584" spans="14:25">
      <c r="N4584" s="42">
        <v>44722</v>
      </c>
      <c r="O4584" t="s">
        <v>346</v>
      </c>
      <c r="P4584" s="42">
        <v>44722</v>
      </c>
      <c r="Q4584" t="s">
        <v>346</v>
      </c>
      <c r="R4584" t="s">
        <v>320</v>
      </c>
      <c r="S4584" t="s">
        <v>323</v>
      </c>
      <c r="T4584">
        <v>7.6</v>
      </c>
      <c r="Y4584" s="42">
        <v>44733</v>
      </c>
    </row>
    <row r="4585" spans="14:25">
      <c r="N4585" s="42">
        <v>44714</v>
      </c>
      <c r="O4585" t="s">
        <v>324</v>
      </c>
      <c r="P4585" s="42">
        <v>44714</v>
      </c>
      <c r="Q4585" t="s">
        <v>324</v>
      </c>
      <c r="R4585" t="s">
        <v>329</v>
      </c>
      <c r="S4585" t="s">
        <v>323</v>
      </c>
      <c r="T4585">
        <v>3.5</v>
      </c>
      <c r="W4585" t="s">
        <v>330</v>
      </c>
      <c r="Y4585" s="42">
        <v>44719</v>
      </c>
    </row>
    <row r="4586" spans="14:25">
      <c r="N4586" s="42">
        <v>44704</v>
      </c>
      <c r="O4586" t="s">
        <v>345</v>
      </c>
      <c r="P4586" s="42">
        <v>44704</v>
      </c>
      <c r="Q4586" t="s">
        <v>345</v>
      </c>
      <c r="R4586" t="s">
        <v>320</v>
      </c>
      <c r="S4586" t="s">
        <v>323</v>
      </c>
      <c r="T4586">
        <v>7.6</v>
      </c>
      <c r="Y4586" s="42">
        <v>44705</v>
      </c>
    </row>
    <row r="4587" spans="14:25">
      <c r="N4587" s="42">
        <v>44685</v>
      </c>
      <c r="O4587" t="s">
        <v>328</v>
      </c>
      <c r="P4587" s="42">
        <v>44685</v>
      </c>
      <c r="Q4587" t="s">
        <v>328</v>
      </c>
      <c r="R4587" t="s">
        <v>329</v>
      </c>
      <c r="S4587" t="s">
        <v>323</v>
      </c>
      <c r="T4587">
        <v>7.6</v>
      </c>
      <c r="W4587" t="s">
        <v>330</v>
      </c>
      <c r="Y4587" s="42">
        <v>44691</v>
      </c>
    </row>
    <row r="4588" spans="14:25">
      <c r="N4588" s="42">
        <v>44676</v>
      </c>
      <c r="O4588" t="s">
        <v>345</v>
      </c>
      <c r="P4588" s="42">
        <v>44676</v>
      </c>
      <c r="Q4588" t="s">
        <v>345</v>
      </c>
      <c r="R4588" t="s">
        <v>320</v>
      </c>
      <c r="S4588" t="s">
        <v>323</v>
      </c>
      <c r="U4588">
        <v>7.6</v>
      </c>
    </row>
    <row r="4589" spans="14:25">
      <c r="N4589" s="42">
        <v>44669</v>
      </c>
      <c r="O4589" t="s">
        <v>345</v>
      </c>
      <c r="P4589" s="42">
        <v>44669</v>
      </c>
      <c r="Q4589" t="s">
        <v>345</v>
      </c>
      <c r="R4589" t="s">
        <v>320</v>
      </c>
      <c r="S4589" t="s">
        <v>323</v>
      </c>
      <c r="U4589">
        <v>7.6</v>
      </c>
    </row>
    <row r="4590" spans="14:25">
      <c r="N4590" s="42">
        <v>44666</v>
      </c>
      <c r="O4590" t="s">
        <v>346</v>
      </c>
      <c r="P4590" s="42">
        <v>44666</v>
      </c>
      <c r="Q4590" t="s">
        <v>346</v>
      </c>
      <c r="R4590" t="s">
        <v>320</v>
      </c>
      <c r="S4590" t="s">
        <v>323</v>
      </c>
      <c r="U4590">
        <v>7.6</v>
      </c>
    </row>
    <row r="4591" spans="14:25">
      <c r="N4591" s="42">
        <v>44649</v>
      </c>
      <c r="O4591" t="s">
        <v>333</v>
      </c>
      <c r="P4591" s="42">
        <v>44649</v>
      </c>
      <c r="Q4591" t="s">
        <v>333</v>
      </c>
      <c r="R4591" t="s">
        <v>329</v>
      </c>
      <c r="S4591" t="s">
        <v>323</v>
      </c>
      <c r="T4591">
        <v>7.6</v>
      </c>
      <c r="W4591" t="s">
        <v>330</v>
      </c>
      <c r="Y4591" s="42">
        <v>44649</v>
      </c>
    </row>
    <row r="4592" spans="14:25">
      <c r="N4592" s="42">
        <v>44634</v>
      </c>
      <c r="O4592" t="s">
        <v>345</v>
      </c>
      <c r="P4592" s="42">
        <v>44634</v>
      </c>
      <c r="Q4592" t="s">
        <v>345</v>
      </c>
      <c r="R4592" t="s">
        <v>320</v>
      </c>
      <c r="S4592" t="s">
        <v>323</v>
      </c>
      <c r="U4592">
        <v>7.6</v>
      </c>
    </row>
    <row r="4593" spans="14:25">
      <c r="N4593" s="42">
        <v>44617</v>
      </c>
      <c r="O4593" t="s">
        <v>346</v>
      </c>
      <c r="P4593" s="42">
        <v>44617</v>
      </c>
      <c r="Q4593" t="s">
        <v>346</v>
      </c>
      <c r="R4593" t="s">
        <v>320</v>
      </c>
      <c r="S4593" t="s">
        <v>323</v>
      </c>
      <c r="T4593">
        <v>7.6</v>
      </c>
      <c r="Y4593" s="42">
        <v>44621</v>
      </c>
    </row>
    <row r="4594" spans="14:25">
      <c r="N4594" s="42">
        <v>44616</v>
      </c>
      <c r="O4594" t="s">
        <v>324</v>
      </c>
      <c r="P4594" s="42">
        <v>44616</v>
      </c>
      <c r="Q4594" t="s">
        <v>324</v>
      </c>
      <c r="R4594" t="s">
        <v>320</v>
      </c>
      <c r="S4594" t="s">
        <v>323</v>
      </c>
      <c r="T4594">
        <v>7.6</v>
      </c>
      <c r="Y4594" s="42">
        <v>44621</v>
      </c>
    </row>
    <row r="4595" spans="14:25">
      <c r="N4595" s="42">
        <v>44615</v>
      </c>
      <c r="O4595" t="s">
        <v>328</v>
      </c>
      <c r="P4595" s="42">
        <v>44615</v>
      </c>
      <c r="Q4595" t="s">
        <v>328</v>
      </c>
      <c r="R4595" t="s">
        <v>320</v>
      </c>
      <c r="S4595" t="s">
        <v>323</v>
      </c>
      <c r="T4595">
        <v>7.6</v>
      </c>
      <c r="Y4595" s="42">
        <v>44621</v>
      </c>
    </row>
    <row r="4596" spans="14:25">
      <c r="N4596" s="42">
        <v>44614</v>
      </c>
      <c r="O4596" t="s">
        <v>333</v>
      </c>
      <c r="P4596" s="42">
        <v>44614</v>
      </c>
      <c r="Q4596" t="s">
        <v>333</v>
      </c>
      <c r="R4596" t="s">
        <v>320</v>
      </c>
      <c r="S4596" t="s">
        <v>323</v>
      </c>
      <c r="T4596">
        <v>7.6</v>
      </c>
      <c r="Y4596" s="42">
        <v>44621</v>
      </c>
    </row>
    <row r="4597" spans="14:25">
      <c r="N4597" s="42">
        <v>44613</v>
      </c>
      <c r="O4597" t="s">
        <v>345</v>
      </c>
      <c r="P4597" s="42">
        <v>44613</v>
      </c>
      <c r="Q4597" t="s">
        <v>345</v>
      </c>
      <c r="R4597" t="s">
        <v>320</v>
      </c>
      <c r="S4597" t="s">
        <v>323</v>
      </c>
      <c r="T4597">
        <v>7.6</v>
      </c>
      <c r="Y4597" s="42">
        <v>44621</v>
      </c>
    </row>
    <row r="4598" spans="14:25">
      <c r="N4598" s="42">
        <v>44610</v>
      </c>
      <c r="O4598" t="s">
        <v>346</v>
      </c>
      <c r="P4598" s="42">
        <v>44610</v>
      </c>
      <c r="Q4598" t="s">
        <v>346</v>
      </c>
      <c r="R4598" t="s">
        <v>320</v>
      </c>
      <c r="S4598" t="s">
        <v>323</v>
      </c>
      <c r="T4598">
        <v>7.6</v>
      </c>
      <c r="Y4598" s="42">
        <v>44621</v>
      </c>
    </row>
    <row r="4599" spans="14:25">
      <c r="N4599" s="42">
        <v>44609</v>
      </c>
      <c r="O4599" t="s">
        <v>324</v>
      </c>
      <c r="P4599" s="42">
        <v>44609</v>
      </c>
      <c r="Q4599" t="s">
        <v>324</v>
      </c>
      <c r="R4599" t="s">
        <v>320</v>
      </c>
      <c r="S4599" t="s">
        <v>323</v>
      </c>
      <c r="T4599">
        <v>7.6</v>
      </c>
      <c r="Y4599" s="42">
        <v>44621</v>
      </c>
    </row>
    <row r="4600" spans="14:25">
      <c r="N4600" s="42">
        <v>44608</v>
      </c>
      <c r="O4600" t="s">
        <v>328</v>
      </c>
      <c r="P4600" s="42">
        <v>44608</v>
      </c>
      <c r="Q4600" t="s">
        <v>328</v>
      </c>
      <c r="R4600" t="s">
        <v>320</v>
      </c>
      <c r="S4600" t="s">
        <v>323</v>
      </c>
      <c r="T4600">
        <v>7.6</v>
      </c>
      <c r="Y4600" s="42">
        <v>44621</v>
      </c>
    </row>
    <row r="4601" spans="14:25">
      <c r="N4601" s="42">
        <v>44607</v>
      </c>
      <c r="O4601" t="s">
        <v>333</v>
      </c>
      <c r="P4601" s="42">
        <v>44607</v>
      </c>
      <c r="Q4601" t="s">
        <v>333</v>
      </c>
      <c r="R4601" t="s">
        <v>320</v>
      </c>
      <c r="S4601" t="s">
        <v>323</v>
      </c>
      <c r="T4601">
        <v>7.6</v>
      </c>
      <c r="Y4601" s="42">
        <v>44607</v>
      </c>
    </row>
    <row r="4602" spans="14:25">
      <c r="N4602" s="42">
        <v>44606</v>
      </c>
      <c r="O4602" t="s">
        <v>345</v>
      </c>
      <c r="P4602" s="42">
        <v>44606</v>
      </c>
      <c r="Q4602" t="s">
        <v>345</v>
      </c>
      <c r="R4602" t="s">
        <v>320</v>
      </c>
      <c r="S4602" t="s">
        <v>323</v>
      </c>
      <c r="T4602">
        <v>7.6</v>
      </c>
      <c r="Y4602" s="42">
        <v>44607</v>
      </c>
    </row>
    <row r="4603" spans="14:25">
      <c r="N4603" s="42">
        <v>44603</v>
      </c>
      <c r="O4603" t="s">
        <v>346</v>
      </c>
      <c r="P4603" s="42">
        <v>44603</v>
      </c>
      <c r="Q4603" t="s">
        <v>346</v>
      </c>
      <c r="R4603" t="s">
        <v>320</v>
      </c>
      <c r="S4603" t="s">
        <v>323</v>
      </c>
      <c r="T4603">
        <v>7.6</v>
      </c>
      <c r="Y4603" s="42">
        <v>44607</v>
      </c>
    </row>
    <row r="4604" spans="14:25">
      <c r="N4604" s="42">
        <v>44602</v>
      </c>
      <c r="O4604" t="s">
        <v>324</v>
      </c>
      <c r="P4604" s="42">
        <v>44602</v>
      </c>
      <c r="Q4604" t="s">
        <v>324</v>
      </c>
      <c r="R4604" t="s">
        <v>320</v>
      </c>
      <c r="S4604" t="s">
        <v>323</v>
      </c>
      <c r="T4604">
        <v>7.6</v>
      </c>
      <c r="Y4604" s="42">
        <v>44607</v>
      </c>
    </row>
    <row r="4605" spans="14:25">
      <c r="N4605" s="42">
        <v>44601</v>
      </c>
      <c r="O4605" t="s">
        <v>328</v>
      </c>
      <c r="P4605" s="42">
        <v>44601</v>
      </c>
      <c r="Q4605" t="s">
        <v>328</v>
      </c>
      <c r="R4605" t="s">
        <v>320</v>
      </c>
      <c r="S4605" t="s">
        <v>323</v>
      </c>
      <c r="T4605">
        <v>7.6</v>
      </c>
      <c r="Y4605" s="42">
        <v>44607</v>
      </c>
    </row>
    <row r="4606" spans="14:25">
      <c r="N4606" s="42">
        <v>44600</v>
      </c>
      <c r="O4606" t="s">
        <v>333</v>
      </c>
      <c r="P4606" s="42">
        <v>44600</v>
      </c>
      <c r="Q4606" t="s">
        <v>333</v>
      </c>
      <c r="R4606" t="s">
        <v>320</v>
      </c>
      <c r="S4606" t="s">
        <v>323</v>
      </c>
      <c r="T4606">
        <v>7.6</v>
      </c>
      <c r="Y4606" s="42">
        <v>44607</v>
      </c>
    </row>
    <row r="4607" spans="14:25">
      <c r="N4607" s="42">
        <v>44599</v>
      </c>
      <c r="O4607" t="s">
        <v>345</v>
      </c>
      <c r="P4607" s="42">
        <v>44599</v>
      </c>
      <c r="Q4607" t="s">
        <v>345</v>
      </c>
      <c r="R4607" t="s">
        <v>320</v>
      </c>
      <c r="S4607" t="s">
        <v>323</v>
      </c>
      <c r="T4607">
        <v>7.6</v>
      </c>
      <c r="Y4607" s="42">
        <v>44607</v>
      </c>
    </row>
    <row r="4608" spans="14:25">
      <c r="N4608" s="42">
        <v>44587</v>
      </c>
      <c r="O4608" t="s">
        <v>328</v>
      </c>
      <c r="P4608" s="42">
        <v>44587</v>
      </c>
      <c r="Q4608" t="s">
        <v>328</v>
      </c>
      <c r="R4608" t="s">
        <v>320</v>
      </c>
      <c r="S4608" t="s">
        <v>323</v>
      </c>
      <c r="U4608">
        <v>7.6</v>
      </c>
    </row>
    <row r="4609" spans="14:25">
      <c r="N4609" s="42">
        <v>44586</v>
      </c>
      <c r="O4609" t="s">
        <v>333</v>
      </c>
      <c r="P4609" s="42">
        <v>44586</v>
      </c>
      <c r="Q4609" t="s">
        <v>333</v>
      </c>
      <c r="R4609" t="s">
        <v>320</v>
      </c>
      <c r="S4609" t="s">
        <v>323</v>
      </c>
      <c r="T4609">
        <v>7.6</v>
      </c>
      <c r="Y4609" s="42">
        <v>44593</v>
      </c>
    </row>
    <row r="4610" spans="14:25">
      <c r="N4610" s="42">
        <v>44573</v>
      </c>
      <c r="O4610" t="s">
        <v>328</v>
      </c>
      <c r="P4610" s="42">
        <v>44573</v>
      </c>
      <c r="Q4610" t="s">
        <v>328</v>
      </c>
      <c r="R4610" t="s">
        <v>320</v>
      </c>
      <c r="S4610" t="s">
        <v>323</v>
      </c>
      <c r="T4610">
        <v>7.6</v>
      </c>
      <c r="Y4610" s="42">
        <v>44579</v>
      </c>
    </row>
    <row r="4611" spans="14:25">
      <c r="N4611" s="42">
        <v>44572</v>
      </c>
      <c r="O4611" t="s">
        <v>333</v>
      </c>
      <c r="P4611" s="42">
        <v>44572</v>
      </c>
      <c r="Q4611" t="s">
        <v>333</v>
      </c>
      <c r="R4611" t="s">
        <v>320</v>
      </c>
      <c r="S4611" t="s">
        <v>323</v>
      </c>
      <c r="T4611">
        <v>7.6</v>
      </c>
      <c r="Y4611" s="42">
        <v>44579</v>
      </c>
    </row>
    <row r="4612" spans="14:25">
      <c r="N4612" s="42">
        <v>44567</v>
      </c>
      <c r="O4612" t="s">
        <v>324</v>
      </c>
      <c r="P4612" s="42">
        <v>44567</v>
      </c>
      <c r="Q4612" t="s">
        <v>324</v>
      </c>
      <c r="R4612" t="s">
        <v>329</v>
      </c>
      <c r="S4612" t="s">
        <v>323</v>
      </c>
      <c r="T4612">
        <v>7.6</v>
      </c>
      <c r="W4612" t="s">
        <v>330</v>
      </c>
      <c r="Y4612" s="42">
        <v>44579</v>
      </c>
    </row>
    <row r="4613" spans="14:25">
      <c r="N4613" s="42">
        <v>44564</v>
      </c>
      <c r="O4613" t="s">
        <v>345</v>
      </c>
      <c r="P4613" s="42">
        <v>44564</v>
      </c>
      <c r="Q4613" t="s">
        <v>345</v>
      </c>
      <c r="R4613" t="s">
        <v>320</v>
      </c>
      <c r="S4613" t="s">
        <v>323</v>
      </c>
      <c r="U4613">
        <v>7.6</v>
      </c>
    </row>
    <row r="4614" spans="14:25">
      <c r="N4614" s="42">
        <v>44559</v>
      </c>
      <c r="O4614" t="s">
        <v>328</v>
      </c>
      <c r="P4614" s="42">
        <v>44559</v>
      </c>
      <c r="Q4614" t="s">
        <v>328</v>
      </c>
      <c r="R4614" t="s">
        <v>320</v>
      </c>
      <c r="S4614" t="s">
        <v>323</v>
      </c>
      <c r="T4614">
        <v>7.6</v>
      </c>
      <c r="Y4614" s="42">
        <v>44565</v>
      </c>
    </row>
    <row r="4615" spans="14:25">
      <c r="N4615" s="42">
        <v>44558</v>
      </c>
      <c r="O4615" t="s">
        <v>333</v>
      </c>
      <c r="P4615" s="42">
        <v>44558</v>
      </c>
      <c r="Q4615" t="s">
        <v>333</v>
      </c>
      <c r="R4615" t="s">
        <v>320</v>
      </c>
      <c r="S4615" t="s">
        <v>323</v>
      </c>
      <c r="U4615">
        <v>7.6</v>
      </c>
    </row>
    <row r="4616" spans="14:25">
      <c r="N4616" s="42">
        <v>44557</v>
      </c>
      <c r="O4616" t="s">
        <v>345</v>
      </c>
      <c r="P4616" s="42">
        <v>44557</v>
      </c>
      <c r="Q4616" t="s">
        <v>345</v>
      </c>
      <c r="R4616" t="s">
        <v>320</v>
      </c>
      <c r="S4616" t="s">
        <v>323</v>
      </c>
      <c r="U4616">
        <v>7.6</v>
      </c>
    </row>
    <row r="4617" spans="14:25">
      <c r="N4617" s="42">
        <v>44544</v>
      </c>
      <c r="O4617" t="s">
        <v>333</v>
      </c>
      <c r="P4617" s="42">
        <v>44544</v>
      </c>
      <c r="Q4617" t="s">
        <v>333</v>
      </c>
      <c r="R4617" t="s">
        <v>329</v>
      </c>
      <c r="S4617" t="s">
        <v>323</v>
      </c>
      <c r="T4617">
        <v>7.6</v>
      </c>
      <c r="W4617" t="s">
        <v>330</v>
      </c>
      <c r="Y4617" s="42">
        <v>44551</v>
      </c>
    </row>
    <row r="4618" spans="14:25">
      <c r="N4618" s="42">
        <v>44543</v>
      </c>
      <c r="O4618" t="s">
        <v>345</v>
      </c>
      <c r="P4618" s="42">
        <v>44543</v>
      </c>
      <c r="Q4618" t="s">
        <v>345</v>
      </c>
      <c r="R4618" t="s">
        <v>329</v>
      </c>
      <c r="S4618" t="s">
        <v>323</v>
      </c>
      <c r="T4618">
        <v>5</v>
      </c>
      <c r="W4618" t="s">
        <v>330</v>
      </c>
      <c r="Y4618" s="42">
        <v>44551</v>
      </c>
    </row>
    <row r="4619" spans="14:25">
      <c r="N4619" s="42">
        <v>44502</v>
      </c>
      <c r="O4619" t="s">
        <v>333</v>
      </c>
      <c r="P4619" s="42">
        <v>44502</v>
      </c>
      <c r="Q4619" t="s">
        <v>333</v>
      </c>
      <c r="R4619" t="s">
        <v>320</v>
      </c>
      <c r="S4619" t="s">
        <v>323</v>
      </c>
      <c r="U4619">
        <v>7.6</v>
      </c>
    </row>
    <row r="4620" spans="14:25">
      <c r="N4620" s="42">
        <v>44489</v>
      </c>
      <c r="O4620" t="s">
        <v>328</v>
      </c>
      <c r="P4620" s="42">
        <v>44489</v>
      </c>
      <c r="Q4620" t="s">
        <v>328</v>
      </c>
      <c r="R4620" t="s">
        <v>320</v>
      </c>
      <c r="S4620" t="s">
        <v>323</v>
      </c>
      <c r="T4620">
        <v>7.6</v>
      </c>
      <c r="Y4620" s="42">
        <v>44495</v>
      </c>
    </row>
    <row r="4621" spans="14:25">
      <c r="N4621" s="42">
        <v>44480</v>
      </c>
      <c r="O4621" t="s">
        <v>345</v>
      </c>
      <c r="P4621" s="42">
        <v>44480</v>
      </c>
      <c r="Q4621" t="s">
        <v>345</v>
      </c>
      <c r="R4621" t="s">
        <v>329</v>
      </c>
      <c r="S4621" t="s">
        <v>323</v>
      </c>
      <c r="T4621">
        <v>7.6</v>
      </c>
      <c r="W4621" t="s">
        <v>330</v>
      </c>
      <c r="Y4621" s="42">
        <v>44481</v>
      </c>
    </row>
    <row r="4622" spans="14:25">
      <c r="N4622" s="42">
        <v>44463</v>
      </c>
      <c r="O4622" t="s">
        <v>346</v>
      </c>
      <c r="P4622" s="42">
        <v>44463</v>
      </c>
      <c r="Q4622" t="s">
        <v>346</v>
      </c>
      <c r="R4622" t="s">
        <v>320</v>
      </c>
      <c r="S4622" t="s">
        <v>323</v>
      </c>
      <c r="U4622">
        <v>7.6</v>
      </c>
    </row>
    <row r="4623" spans="14:25">
      <c r="N4623" s="42">
        <v>44424</v>
      </c>
      <c r="O4623" t="s">
        <v>345</v>
      </c>
      <c r="P4623" s="42">
        <v>44424</v>
      </c>
      <c r="Q4623" t="s">
        <v>345</v>
      </c>
      <c r="R4623" t="s">
        <v>329</v>
      </c>
      <c r="S4623" t="s">
        <v>323</v>
      </c>
      <c r="T4623">
        <v>7.6</v>
      </c>
      <c r="W4623" t="s">
        <v>330</v>
      </c>
      <c r="Y4623" s="42">
        <v>44425</v>
      </c>
    </row>
    <row r="4624" spans="14:25">
      <c r="N4624" s="42">
        <v>44400</v>
      </c>
      <c r="O4624" t="s">
        <v>346</v>
      </c>
      <c r="P4624" s="42">
        <v>44400</v>
      </c>
      <c r="Q4624" t="s">
        <v>346</v>
      </c>
      <c r="R4624" t="s">
        <v>329</v>
      </c>
      <c r="S4624" t="s">
        <v>323</v>
      </c>
      <c r="T4624">
        <v>7.6</v>
      </c>
      <c r="W4624" t="s">
        <v>330</v>
      </c>
      <c r="Y4624" s="42">
        <v>44411</v>
      </c>
    </row>
    <row r="4625" spans="14:25">
      <c r="N4625" s="42">
        <v>44372</v>
      </c>
      <c r="O4625" t="s">
        <v>346</v>
      </c>
      <c r="P4625" s="42">
        <v>44372</v>
      </c>
      <c r="Q4625" t="s">
        <v>346</v>
      </c>
      <c r="R4625" t="s">
        <v>329</v>
      </c>
      <c r="S4625" t="s">
        <v>323</v>
      </c>
      <c r="T4625">
        <v>7.6</v>
      </c>
      <c r="W4625" t="s">
        <v>330</v>
      </c>
      <c r="Y4625" s="42">
        <v>44383</v>
      </c>
    </row>
    <row r="4626" spans="14:25">
      <c r="N4626" s="42">
        <v>44371</v>
      </c>
      <c r="O4626" t="s">
        <v>324</v>
      </c>
      <c r="P4626" s="42">
        <v>44371</v>
      </c>
      <c r="Q4626" t="s">
        <v>324</v>
      </c>
      <c r="R4626" t="s">
        <v>320</v>
      </c>
      <c r="S4626" t="s">
        <v>323</v>
      </c>
      <c r="T4626">
        <v>1</v>
      </c>
      <c r="Y4626" s="42">
        <v>44383</v>
      </c>
    </row>
    <row r="4627" spans="14:25">
      <c r="N4627" s="42">
        <v>44370</v>
      </c>
      <c r="O4627" t="s">
        <v>328</v>
      </c>
      <c r="P4627" s="42">
        <v>44370</v>
      </c>
      <c r="Q4627" t="s">
        <v>328</v>
      </c>
      <c r="R4627" t="s">
        <v>329</v>
      </c>
      <c r="S4627" t="s">
        <v>323</v>
      </c>
      <c r="T4627">
        <v>7.6</v>
      </c>
      <c r="W4627" t="s">
        <v>330</v>
      </c>
      <c r="Y4627" s="42">
        <v>44383</v>
      </c>
    </row>
    <row r="4628" spans="14:25">
      <c r="N4628" s="42">
        <v>44365</v>
      </c>
      <c r="O4628" t="s">
        <v>346</v>
      </c>
      <c r="P4628" s="42">
        <v>44365</v>
      </c>
      <c r="Q4628" t="s">
        <v>346</v>
      </c>
      <c r="R4628" t="s">
        <v>329</v>
      </c>
      <c r="S4628" t="s">
        <v>323</v>
      </c>
      <c r="T4628">
        <v>3.63</v>
      </c>
      <c r="W4628" t="s">
        <v>330</v>
      </c>
      <c r="Y4628" s="42">
        <v>44369</v>
      </c>
    </row>
    <row r="4629" spans="14:25">
      <c r="N4629" s="42">
        <v>44361</v>
      </c>
      <c r="O4629" t="s">
        <v>345</v>
      </c>
      <c r="P4629" s="42">
        <v>44361</v>
      </c>
      <c r="Q4629" t="s">
        <v>345</v>
      </c>
      <c r="R4629" t="s">
        <v>320</v>
      </c>
      <c r="S4629" t="s">
        <v>323</v>
      </c>
      <c r="U4629">
        <v>7.6</v>
      </c>
    </row>
    <row r="4630" spans="14:25">
      <c r="N4630" s="42">
        <v>44327</v>
      </c>
      <c r="O4630" t="s">
        <v>333</v>
      </c>
      <c r="P4630" s="42">
        <v>44327</v>
      </c>
      <c r="Q4630" t="s">
        <v>333</v>
      </c>
      <c r="R4630" t="s">
        <v>329</v>
      </c>
      <c r="S4630" t="s">
        <v>323</v>
      </c>
      <c r="T4630">
        <v>7.6</v>
      </c>
      <c r="W4630" t="s">
        <v>330</v>
      </c>
      <c r="Y4630" s="42">
        <v>44327</v>
      </c>
    </row>
    <row r="4631" spans="14:25">
      <c r="N4631" s="42">
        <v>44302</v>
      </c>
      <c r="O4631" t="s">
        <v>346</v>
      </c>
      <c r="P4631" s="42">
        <v>44302</v>
      </c>
      <c r="Q4631" t="s">
        <v>346</v>
      </c>
      <c r="R4631" t="s">
        <v>320</v>
      </c>
      <c r="S4631" t="s">
        <v>323</v>
      </c>
      <c r="T4631">
        <v>7.6</v>
      </c>
      <c r="Y4631" s="42">
        <v>44313</v>
      </c>
    </row>
    <row r="4632" spans="14:25">
      <c r="N4632" s="42">
        <v>44301</v>
      </c>
      <c r="O4632" t="s">
        <v>324</v>
      </c>
      <c r="P4632" s="42">
        <v>44301</v>
      </c>
      <c r="Q4632" t="s">
        <v>324</v>
      </c>
      <c r="R4632" t="s">
        <v>320</v>
      </c>
      <c r="S4632" t="s">
        <v>323</v>
      </c>
      <c r="T4632">
        <v>7.6</v>
      </c>
      <c r="Y4632" s="42">
        <v>44313</v>
      </c>
    </row>
    <row r="4633" spans="14:25">
      <c r="N4633" s="42">
        <v>44300</v>
      </c>
      <c r="O4633" t="s">
        <v>328</v>
      </c>
      <c r="P4633" s="42">
        <v>44300</v>
      </c>
      <c r="Q4633" t="s">
        <v>328</v>
      </c>
      <c r="R4633" t="s">
        <v>320</v>
      </c>
      <c r="S4633" t="s">
        <v>323</v>
      </c>
      <c r="T4633">
        <v>2.5832999999999999</v>
      </c>
      <c r="Y4633" s="42">
        <v>44313</v>
      </c>
    </row>
    <row r="4634" spans="14:25">
      <c r="N4634" s="42">
        <v>44299</v>
      </c>
      <c r="O4634" t="s">
        <v>333</v>
      </c>
      <c r="P4634" s="42">
        <v>44299</v>
      </c>
      <c r="Q4634" t="s">
        <v>333</v>
      </c>
      <c r="R4634" t="s">
        <v>329</v>
      </c>
      <c r="S4634" t="s">
        <v>323</v>
      </c>
      <c r="T4634">
        <v>7.6</v>
      </c>
      <c r="W4634" t="s">
        <v>330</v>
      </c>
      <c r="Y4634" s="42">
        <v>44299</v>
      </c>
    </row>
    <row r="4635" spans="14:25">
      <c r="N4635" s="42">
        <v>44298</v>
      </c>
      <c r="O4635" t="s">
        <v>345</v>
      </c>
      <c r="P4635" s="42">
        <v>44298</v>
      </c>
      <c r="Q4635" t="s">
        <v>345</v>
      </c>
      <c r="R4635" t="s">
        <v>329</v>
      </c>
      <c r="S4635" t="s">
        <v>323</v>
      </c>
      <c r="T4635">
        <v>7.6</v>
      </c>
      <c r="W4635" t="s">
        <v>330</v>
      </c>
      <c r="Y4635" s="42">
        <v>44299</v>
      </c>
    </row>
    <row r="4636" spans="14:25">
      <c r="N4636" s="42">
        <v>44295</v>
      </c>
      <c r="O4636" t="s">
        <v>346</v>
      </c>
      <c r="P4636" s="42">
        <v>44295</v>
      </c>
      <c r="Q4636" t="s">
        <v>346</v>
      </c>
      <c r="R4636" t="s">
        <v>320</v>
      </c>
      <c r="S4636" t="s">
        <v>323</v>
      </c>
      <c r="T4636">
        <v>7.6</v>
      </c>
      <c r="Y4636" s="42">
        <v>44299</v>
      </c>
    </row>
    <row r="4637" spans="14:25">
      <c r="N4637" s="42">
        <v>44294</v>
      </c>
      <c r="O4637" t="s">
        <v>324</v>
      </c>
      <c r="P4637" s="42">
        <v>44294</v>
      </c>
      <c r="Q4637" t="s">
        <v>324</v>
      </c>
      <c r="R4637" t="s">
        <v>320</v>
      </c>
      <c r="S4637" t="s">
        <v>323</v>
      </c>
      <c r="T4637">
        <v>7.6</v>
      </c>
      <c r="Y4637" s="42">
        <v>44299</v>
      </c>
    </row>
    <row r="4638" spans="14:25">
      <c r="N4638" s="42">
        <v>44293</v>
      </c>
      <c r="O4638" t="s">
        <v>328</v>
      </c>
      <c r="P4638" s="42">
        <v>44293</v>
      </c>
      <c r="Q4638" t="s">
        <v>328</v>
      </c>
      <c r="R4638" t="s">
        <v>320</v>
      </c>
      <c r="S4638" t="s">
        <v>323</v>
      </c>
      <c r="T4638">
        <v>7.6</v>
      </c>
      <c r="Y4638" s="42">
        <v>44299</v>
      </c>
    </row>
    <row r="4639" spans="14:25">
      <c r="N4639" s="42">
        <v>44292</v>
      </c>
      <c r="O4639" t="s">
        <v>333</v>
      </c>
      <c r="P4639" s="42">
        <v>44292</v>
      </c>
      <c r="Q4639" t="s">
        <v>333</v>
      </c>
      <c r="R4639" t="s">
        <v>320</v>
      </c>
      <c r="S4639" t="s">
        <v>323</v>
      </c>
      <c r="T4639">
        <v>7.6</v>
      </c>
      <c r="Y4639" s="42">
        <v>44299</v>
      </c>
    </row>
    <row r="4640" spans="14:25">
      <c r="N4640" s="42">
        <v>44291</v>
      </c>
      <c r="O4640" t="s">
        <v>345</v>
      </c>
      <c r="P4640" s="42">
        <v>44291</v>
      </c>
      <c r="Q4640" t="s">
        <v>345</v>
      </c>
      <c r="R4640" t="s">
        <v>320</v>
      </c>
      <c r="S4640" t="s">
        <v>323</v>
      </c>
      <c r="U4640">
        <v>7.6</v>
      </c>
    </row>
    <row r="4641" spans="14:25">
      <c r="N4641" s="42">
        <v>44288</v>
      </c>
      <c r="O4641" t="s">
        <v>346</v>
      </c>
      <c r="P4641" s="42">
        <v>44288</v>
      </c>
      <c r="Q4641" t="s">
        <v>346</v>
      </c>
      <c r="R4641" t="s">
        <v>320</v>
      </c>
      <c r="S4641" t="s">
        <v>323</v>
      </c>
      <c r="U4641">
        <v>7.6</v>
      </c>
    </row>
    <row r="4642" spans="14:25">
      <c r="N4642" s="42">
        <v>44273</v>
      </c>
      <c r="O4642" t="s">
        <v>324</v>
      </c>
      <c r="P4642" s="42">
        <v>44273</v>
      </c>
      <c r="Q4642" t="s">
        <v>324</v>
      </c>
      <c r="R4642" t="s">
        <v>329</v>
      </c>
      <c r="S4642" t="s">
        <v>323</v>
      </c>
      <c r="T4642">
        <v>7.6</v>
      </c>
      <c r="W4642" t="s">
        <v>330</v>
      </c>
      <c r="Y4642" s="42">
        <v>44285</v>
      </c>
    </row>
    <row r="4643" spans="14:25">
      <c r="N4643" s="42">
        <v>44263</v>
      </c>
      <c r="O4643" t="s">
        <v>345</v>
      </c>
      <c r="P4643" s="42">
        <v>44263</v>
      </c>
      <c r="Q4643" t="s">
        <v>345</v>
      </c>
      <c r="R4643" t="s">
        <v>320</v>
      </c>
      <c r="S4643" t="s">
        <v>323</v>
      </c>
      <c r="U4643">
        <v>7.6</v>
      </c>
    </row>
    <row r="4644" spans="14:25">
      <c r="N4644" s="42">
        <v>44252</v>
      </c>
      <c r="O4644" t="s">
        <v>324</v>
      </c>
      <c r="P4644" s="42">
        <v>44252</v>
      </c>
      <c r="Q4644" t="s">
        <v>324</v>
      </c>
      <c r="R4644" t="s">
        <v>329</v>
      </c>
      <c r="S4644" t="s">
        <v>323</v>
      </c>
      <c r="T4644">
        <v>7.6</v>
      </c>
      <c r="W4644" t="s">
        <v>330</v>
      </c>
      <c r="Y4644" s="42">
        <v>44257</v>
      </c>
    </row>
    <row r="4645" spans="14:25">
      <c r="N4645" s="42">
        <v>44246</v>
      </c>
      <c r="O4645" t="s">
        <v>346</v>
      </c>
      <c r="P4645" s="42">
        <v>44246</v>
      </c>
      <c r="Q4645" t="s">
        <v>346</v>
      </c>
      <c r="R4645" t="s">
        <v>329</v>
      </c>
      <c r="S4645" t="s">
        <v>323</v>
      </c>
      <c r="T4645">
        <v>5.15</v>
      </c>
      <c r="W4645" t="s">
        <v>330</v>
      </c>
      <c r="Y4645" s="42">
        <v>44257</v>
      </c>
    </row>
    <row r="4646" spans="14:25">
      <c r="N4646" s="42">
        <v>44222</v>
      </c>
      <c r="O4646" t="s">
        <v>333</v>
      </c>
      <c r="P4646" s="42">
        <v>44222</v>
      </c>
      <c r="Q4646" t="s">
        <v>333</v>
      </c>
      <c r="R4646" t="s">
        <v>320</v>
      </c>
      <c r="S4646" t="s">
        <v>323</v>
      </c>
      <c r="U4646">
        <v>7.6</v>
      </c>
    </row>
    <row r="4647" spans="14:25">
      <c r="N4647" s="42">
        <v>44204</v>
      </c>
      <c r="O4647" t="s">
        <v>346</v>
      </c>
      <c r="P4647" s="42">
        <v>44204</v>
      </c>
      <c r="Q4647" t="s">
        <v>346</v>
      </c>
      <c r="R4647" t="s">
        <v>320</v>
      </c>
      <c r="S4647" t="s">
        <v>323</v>
      </c>
      <c r="T4647">
        <v>7.6</v>
      </c>
      <c r="Y4647" s="42">
        <v>44215</v>
      </c>
    </row>
    <row r="4648" spans="14:25">
      <c r="N4648" s="42">
        <v>44203</v>
      </c>
      <c r="O4648" t="s">
        <v>324</v>
      </c>
      <c r="P4648" s="42">
        <v>44203</v>
      </c>
      <c r="Q4648" t="s">
        <v>324</v>
      </c>
      <c r="R4648" t="s">
        <v>320</v>
      </c>
      <c r="S4648" t="s">
        <v>323</v>
      </c>
      <c r="T4648">
        <v>7.6</v>
      </c>
      <c r="Y4648" s="42">
        <v>44215</v>
      </c>
    </row>
    <row r="4649" spans="14:25">
      <c r="N4649" s="42">
        <v>44202</v>
      </c>
      <c r="O4649" t="s">
        <v>328</v>
      </c>
      <c r="P4649" s="42">
        <v>44202</v>
      </c>
      <c r="Q4649" t="s">
        <v>328</v>
      </c>
      <c r="R4649" t="s">
        <v>320</v>
      </c>
      <c r="S4649" t="s">
        <v>323</v>
      </c>
      <c r="T4649">
        <v>7.6</v>
      </c>
      <c r="Y4649" s="42">
        <v>44215</v>
      </c>
    </row>
    <row r="4650" spans="14:25">
      <c r="N4650" s="42">
        <v>44201</v>
      </c>
      <c r="O4650" t="s">
        <v>333</v>
      </c>
      <c r="P4650" s="42">
        <v>44201</v>
      </c>
      <c r="Q4650" t="s">
        <v>333</v>
      </c>
      <c r="R4650" t="s">
        <v>320</v>
      </c>
      <c r="S4650" t="s">
        <v>323</v>
      </c>
      <c r="T4650">
        <v>7.6</v>
      </c>
      <c r="Y4650" s="42">
        <v>44201</v>
      </c>
    </row>
    <row r="4651" spans="14:25">
      <c r="N4651" s="42">
        <v>44200</v>
      </c>
      <c r="O4651" t="s">
        <v>345</v>
      </c>
      <c r="P4651" s="42">
        <v>44200</v>
      </c>
      <c r="Q4651" t="s">
        <v>345</v>
      </c>
      <c r="R4651" t="s">
        <v>320</v>
      </c>
      <c r="S4651" t="s">
        <v>323</v>
      </c>
      <c r="T4651">
        <v>7.6</v>
      </c>
      <c r="Y4651" s="42">
        <v>44201</v>
      </c>
    </row>
    <row r="4652" spans="14:25">
      <c r="N4652" s="42">
        <v>44197</v>
      </c>
      <c r="O4652" t="s">
        <v>346</v>
      </c>
      <c r="P4652" s="42">
        <v>44197</v>
      </c>
      <c r="Q4652" t="s">
        <v>346</v>
      </c>
      <c r="R4652" t="s">
        <v>320</v>
      </c>
      <c r="S4652" t="s">
        <v>323</v>
      </c>
      <c r="U4652">
        <v>7.6</v>
      </c>
    </row>
    <row r="4653" spans="14:25">
      <c r="N4653" s="42">
        <v>44196</v>
      </c>
      <c r="O4653" t="s">
        <v>324</v>
      </c>
      <c r="P4653" s="42">
        <v>44196</v>
      </c>
      <c r="Q4653" t="s">
        <v>324</v>
      </c>
      <c r="R4653" t="s">
        <v>320</v>
      </c>
      <c r="S4653" t="s">
        <v>323</v>
      </c>
      <c r="T4653">
        <v>7.6</v>
      </c>
      <c r="Y4653" s="42">
        <v>44201</v>
      </c>
    </row>
    <row r="4654" spans="14:25">
      <c r="N4654" s="42">
        <v>44195</v>
      </c>
      <c r="O4654" t="s">
        <v>328</v>
      </c>
      <c r="P4654" s="42">
        <v>44195</v>
      </c>
      <c r="Q4654" t="s">
        <v>328</v>
      </c>
      <c r="R4654" t="s">
        <v>320</v>
      </c>
      <c r="S4654" t="s">
        <v>323</v>
      </c>
      <c r="T4654">
        <v>7.6</v>
      </c>
      <c r="Y4654" s="42">
        <v>44201</v>
      </c>
    </row>
    <row r="4655" spans="14:25">
      <c r="N4655" s="42">
        <v>44194</v>
      </c>
      <c r="O4655" t="s">
        <v>333</v>
      </c>
      <c r="P4655" s="42">
        <v>44194</v>
      </c>
      <c r="Q4655" t="s">
        <v>333</v>
      </c>
      <c r="R4655" t="s">
        <v>320</v>
      </c>
      <c r="S4655" t="s">
        <v>323</v>
      </c>
      <c r="T4655">
        <v>7.6</v>
      </c>
      <c r="Y4655" s="42">
        <v>44201</v>
      </c>
    </row>
    <row r="4656" spans="14:25">
      <c r="N4656" s="42">
        <v>44193</v>
      </c>
      <c r="O4656" t="s">
        <v>345</v>
      </c>
      <c r="P4656" s="42">
        <v>44193</v>
      </c>
      <c r="Q4656" t="s">
        <v>345</v>
      </c>
      <c r="R4656" t="s">
        <v>320</v>
      </c>
      <c r="S4656" t="s">
        <v>323</v>
      </c>
      <c r="U4656">
        <v>7.6</v>
      </c>
    </row>
    <row r="4657" spans="14:25">
      <c r="N4657" s="42">
        <v>44190</v>
      </c>
      <c r="O4657" t="s">
        <v>346</v>
      </c>
      <c r="P4657" s="42">
        <v>44190</v>
      </c>
      <c r="Q4657" t="s">
        <v>346</v>
      </c>
      <c r="R4657" t="s">
        <v>320</v>
      </c>
      <c r="S4657" t="s">
        <v>323</v>
      </c>
      <c r="U4657">
        <v>7.6</v>
      </c>
    </row>
    <row r="4658" spans="14:25">
      <c r="N4658" s="42">
        <v>44189</v>
      </c>
      <c r="O4658" t="s">
        <v>324</v>
      </c>
      <c r="P4658" s="42">
        <v>44189</v>
      </c>
      <c r="Q4658" t="s">
        <v>324</v>
      </c>
      <c r="R4658" t="s">
        <v>320</v>
      </c>
      <c r="S4658" t="s">
        <v>323</v>
      </c>
      <c r="T4658">
        <v>7.6</v>
      </c>
      <c r="Y4658" s="42">
        <v>44201</v>
      </c>
    </row>
    <row r="4659" spans="14:25">
      <c r="N4659" s="42">
        <v>44188</v>
      </c>
      <c r="O4659" t="s">
        <v>328</v>
      </c>
      <c r="P4659" s="42">
        <v>44188</v>
      </c>
      <c r="Q4659" t="s">
        <v>328</v>
      </c>
      <c r="R4659" t="s">
        <v>320</v>
      </c>
      <c r="S4659" t="s">
        <v>323</v>
      </c>
      <c r="T4659">
        <v>7.6</v>
      </c>
      <c r="Y4659" s="42">
        <v>44201</v>
      </c>
    </row>
    <row r="4660" spans="14:25">
      <c r="N4660" s="42">
        <v>44187</v>
      </c>
      <c r="O4660" t="s">
        <v>333</v>
      </c>
      <c r="P4660" s="42">
        <v>44187</v>
      </c>
      <c r="Q4660" t="s">
        <v>333</v>
      </c>
      <c r="R4660" t="s">
        <v>320</v>
      </c>
      <c r="S4660" t="s">
        <v>323</v>
      </c>
      <c r="T4660">
        <v>7.6</v>
      </c>
      <c r="Y4660" s="42">
        <v>44187</v>
      </c>
    </row>
    <row r="4661" spans="14:25">
      <c r="N4661" s="42">
        <v>44186</v>
      </c>
      <c r="O4661" t="s">
        <v>345</v>
      </c>
      <c r="P4661" s="42">
        <v>44186</v>
      </c>
      <c r="Q4661" t="s">
        <v>345</v>
      </c>
      <c r="R4661" t="s">
        <v>320</v>
      </c>
      <c r="S4661" t="s">
        <v>323</v>
      </c>
      <c r="T4661">
        <v>7.6</v>
      </c>
      <c r="Y4661" s="42">
        <v>44187</v>
      </c>
    </row>
    <row r="4662" spans="14:25">
      <c r="N4662" s="42">
        <v>44165</v>
      </c>
      <c r="O4662" t="s">
        <v>345</v>
      </c>
      <c r="P4662" s="42">
        <v>44165</v>
      </c>
      <c r="Q4662" t="s">
        <v>345</v>
      </c>
      <c r="R4662" t="s">
        <v>329</v>
      </c>
      <c r="S4662" t="s">
        <v>323</v>
      </c>
      <c r="T4662">
        <v>7.6</v>
      </c>
      <c r="W4662" t="s">
        <v>330</v>
      </c>
      <c r="Y4662" s="42">
        <v>44173</v>
      </c>
    </row>
    <row r="4663" spans="14:25">
      <c r="N4663" s="42">
        <v>44138</v>
      </c>
      <c r="O4663" t="s">
        <v>333</v>
      </c>
      <c r="P4663" s="42">
        <v>44138</v>
      </c>
      <c r="Q4663" t="s">
        <v>333</v>
      </c>
      <c r="R4663" t="s">
        <v>320</v>
      </c>
      <c r="S4663" t="s">
        <v>323</v>
      </c>
      <c r="U4663">
        <v>7.6</v>
      </c>
    </row>
    <row r="4664" spans="14:25">
      <c r="N4664" s="42">
        <v>44137</v>
      </c>
      <c r="O4664" t="s">
        <v>345</v>
      </c>
      <c r="P4664" s="42">
        <v>44137</v>
      </c>
      <c r="Q4664" t="s">
        <v>345</v>
      </c>
      <c r="R4664" t="s">
        <v>320</v>
      </c>
      <c r="S4664" t="s">
        <v>323</v>
      </c>
      <c r="T4664">
        <v>7.6</v>
      </c>
      <c r="Y4664" s="42">
        <v>44145</v>
      </c>
    </row>
    <row r="4665" spans="14:25">
      <c r="N4665" s="42">
        <v>44134</v>
      </c>
      <c r="O4665" t="s">
        <v>346</v>
      </c>
      <c r="P4665" s="42">
        <v>44134</v>
      </c>
      <c r="Q4665" t="s">
        <v>346</v>
      </c>
      <c r="R4665" t="s">
        <v>329</v>
      </c>
      <c r="S4665" t="s">
        <v>323</v>
      </c>
      <c r="T4665">
        <v>5</v>
      </c>
      <c r="W4665" t="s">
        <v>330</v>
      </c>
      <c r="Y4665" s="42">
        <v>44145</v>
      </c>
    </row>
    <row r="4666" spans="14:25">
      <c r="N4666" s="42">
        <v>44127</v>
      </c>
      <c r="O4666" t="s">
        <v>346</v>
      </c>
      <c r="P4666" s="42">
        <v>44127</v>
      </c>
      <c r="Q4666" t="s">
        <v>346</v>
      </c>
      <c r="R4666" t="s">
        <v>320</v>
      </c>
      <c r="S4666" t="s">
        <v>323</v>
      </c>
      <c r="U4666">
        <v>7.6</v>
      </c>
    </row>
    <row r="4667" spans="14:25">
      <c r="N4667" s="42">
        <v>44098</v>
      </c>
      <c r="O4667" t="s">
        <v>324</v>
      </c>
      <c r="P4667" s="42">
        <v>44098</v>
      </c>
      <c r="Q4667" t="s">
        <v>324</v>
      </c>
      <c r="R4667" t="s">
        <v>320</v>
      </c>
      <c r="S4667" t="s">
        <v>323</v>
      </c>
      <c r="T4667">
        <v>7.6</v>
      </c>
      <c r="Y4667" s="42">
        <v>44103</v>
      </c>
    </row>
    <row r="4668" spans="14:25">
      <c r="N4668" s="42">
        <v>44083</v>
      </c>
      <c r="O4668" t="s">
        <v>328</v>
      </c>
      <c r="P4668" s="42">
        <v>44083</v>
      </c>
      <c r="Q4668" t="s">
        <v>328</v>
      </c>
      <c r="R4668" t="s">
        <v>329</v>
      </c>
      <c r="S4668" t="s">
        <v>323</v>
      </c>
      <c r="T4668">
        <v>7.6</v>
      </c>
      <c r="W4668" t="s">
        <v>330</v>
      </c>
      <c r="Y4668" s="42">
        <v>44089</v>
      </c>
    </row>
    <row r="4669" spans="14:25">
      <c r="N4669" s="42">
        <v>44060</v>
      </c>
      <c r="O4669" t="s">
        <v>345</v>
      </c>
      <c r="P4669" s="42">
        <v>44060</v>
      </c>
      <c r="Q4669" t="s">
        <v>345</v>
      </c>
      <c r="R4669" t="s">
        <v>329</v>
      </c>
      <c r="S4669" t="s">
        <v>323</v>
      </c>
      <c r="T4669">
        <v>7.6</v>
      </c>
      <c r="W4669" t="s">
        <v>330</v>
      </c>
      <c r="Y4669" s="42">
        <v>44061</v>
      </c>
    </row>
    <row r="4670" spans="14:25">
      <c r="N4670" s="42">
        <v>44043</v>
      </c>
      <c r="O4670" t="s">
        <v>346</v>
      </c>
      <c r="P4670" s="42">
        <v>44043</v>
      </c>
      <c r="Q4670" t="s">
        <v>346</v>
      </c>
      <c r="R4670" t="s">
        <v>320</v>
      </c>
      <c r="S4670" t="s">
        <v>323</v>
      </c>
      <c r="T4670">
        <v>7.6</v>
      </c>
      <c r="Y4670" s="42">
        <v>44047</v>
      </c>
    </row>
    <row r="4671" spans="14:25">
      <c r="N4671" s="42">
        <v>44025</v>
      </c>
      <c r="O4671" t="s">
        <v>345</v>
      </c>
      <c r="P4671" s="42">
        <v>44025</v>
      </c>
      <c r="Q4671" t="s">
        <v>345</v>
      </c>
      <c r="R4671" t="s">
        <v>329</v>
      </c>
      <c r="S4671" t="s">
        <v>323</v>
      </c>
      <c r="T4671">
        <v>7.6</v>
      </c>
      <c r="W4671" t="s">
        <v>330</v>
      </c>
      <c r="Y4671" s="42">
        <v>44033</v>
      </c>
    </row>
    <row r="4672" spans="14:25">
      <c r="N4672" s="42">
        <v>43973</v>
      </c>
      <c r="O4672" t="s">
        <v>346</v>
      </c>
      <c r="P4672" s="42">
        <v>43973</v>
      </c>
      <c r="Q4672" t="s">
        <v>346</v>
      </c>
      <c r="R4672" t="s">
        <v>320</v>
      </c>
      <c r="S4672" t="s">
        <v>323</v>
      </c>
      <c r="T4672">
        <v>7.6</v>
      </c>
      <c r="Y4672" s="42">
        <v>43977</v>
      </c>
    </row>
    <row r="4673" spans="14:25">
      <c r="N4673" s="42">
        <v>43955</v>
      </c>
      <c r="O4673" t="s">
        <v>345</v>
      </c>
      <c r="P4673" s="42">
        <v>43955</v>
      </c>
      <c r="Q4673" t="s">
        <v>345</v>
      </c>
      <c r="R4673" t="s">
        <v>320</v>
      </c>
      <c r="S4673" t="s">
        <v>323</v>
      </c>
      <c r="T4673">
        <v>7.6</v>
      </c>
      <c r="Y4673" s="42">
        <v>43963</v>
      </c>
    </row>
    <row r="4674" spans="14:25">
      <c r="N4674" s="42">
        <v>43949</v>
      </c>
      <c r="O4674" t="s">
        <v>333</v>
      </c>
      <c r="P4674" s="42">
        <v>43949</v>
      </c>
      <c r="Q4674" t="s">
        <v>333</v>
      </c>
      <c r="R4674" t="s">
        <v>329</v>
      </c>
      <c r="S4674" t="s">
        <v>323</v>
      </c>
      <c r="T4674">
        <v>7.6</v>
      </c>
      <c r="W4674" t="s">
        <v>330</v>
      </c>
      <c r="Y4674" s="42">
        <v>43949</v>
      </c>
    </row>
    <row r="4675" spans="14:25">
      <c r="N4675" s="42">
        <v>43935</v>
      </c>
      <c r="O4675" t="s">
        <v>333</v>
      </c>
      <c r="P4675" s="42">
        <v>43935</v>
      </c>
      <c r="Q4675" t="s">
        <v>333</v>
      </c>
      <c r="R4675" t="s">
        <v>329</v>
      </c>
      <c r="S4675" t="s">
        <v>323</v>
      </c>
      <c r="T4675">
        <v>7.6</v>
      </c>
      <c r="W4675" t="s">
        <v>330</v>
      </c>
      <c r="Y4675" s="42">
        <v>43935</v>
      </c>
    </row>
    <row r="4676" spans="14:25">
      <c r="N4676" s="42">
        <v>43916</v>
      </c>
      <c r="O4676" t="s">
        <v>324</v>
      </c>
      <c r="P4676" s="42">
        <v>43916</v>
      </c>
      <c r="Q4676" t="s">
        <v>324</v>
      </c>
      <c r="R4676" t="s">
        <v>320</v>
      </c>
      <c r="S4676" t="s">
        <v>323</v>
      </c>
      <c r="T4676">
        <v>7.6</v>
      </c>
      <c r="Y4676" s="42">
        <v>43921</v>
      </c>
    </row>
    <row r="4677" spans="14:25">
      <c r="N4677" s="42">
        <v>43888</v>
      </c>
      <c r="O4677" t="s">
        <v>324</v>
      </c>
      <c r="P4677" s="42">
        <v>43888</v>
      </c>
      <c r="Q4677" t="s">
        <v>324</v>
      </c>
      <c r="R4677" t="s">
        <v>329</v>
      </c>
      <c r="S4677" t="s">
        <v>323</v>
      </c>
      <c r="T4677">
        <v>7.6</v>
      </c>
      <c r="W4677" t="s">
        <v>330</v>
      </c>
      <c r="Y4677" s="42">
        <v>43893</v>
      </c>
    </row>
    <row r="4678" spans="14:25">
      <c r="N4678" s="42">
        <v>43847</v>
      </c>
      <c r="O4678" t="s">
        <v>346</v>
      </c>
      <c r="P4678" s="42">
        <v>43847</v>
      </c>
      <c r="Q4678" t="s">
        <v>346</v>
      </c>
      <c r="R4678" t="s">
        <v>320</v>
      </c>
      <c r="S4678" t="s">
        <v>323</v>
      </c>
      <c r="T4678">
        <v>7.6</v>
      </c>
      <c r="Y4678" s="42">
        <v>43851</v>
      </c>
    </row>
    <row r="4679" spans="14:25">
      <c r="N4679" s="42">
        <v>43846</v>
      </c>
      <c r="O4679" t="s">
        <v>324</v>
      </c>
      <c r="P4679" s="42">
        <v>43846</v>
      </c>
      <c r="Q4679" t="s">
        <v>324</v>
      </c>
      <c r="R4679" t="s">
        <v>320</v>
      </c>
      <c r="S4679" t="s">
        <v>323</v>
      </c>
      <c r="T4679">
        <v>7.6</v>
      </c>
      <c r="Y4679" s="42">
        <v>43851</v>
      </c>
    </row>
    <row r="4680" spans="14:25">
      <c r="N4680" s="42">
        <v>43845</v>
      </c>
      <c r="O4680" t="s">
        <v>328</v>
      </c>
      <c r="P4680" s="42">
        <v>43845</v>
      </c>
      <c r="Q4680" t="s">
        <v>328</v>
      </c>
      <c r="R4680" t="s">
        <v>320</v>
      </c>
      <c r="S4680" t="s">
        <v>323</v>
      </c>
      <c r="T4680">
        <v>7.6</v>
      </c>
      <c r="Y4680" s="42">
        <v>43851</v>
      </c>
    </row>
    <row r="4681" spans="14:25">
      <c r="N4681" s="42">
        <v>43844</v>
      </c>
      <c r="O4681" t="s">
        <v>333</v>
      </c>
      <c r="P4681" s="42">
        <v>43844</v>
      </c>
      <c r="Q4681" t="s">
        <v>333</v>
      </c>
      <c r="R4681" t="s">
        <v>320</v>
      </c>
      <c r="S4681" t="s">
        <v>323</v>
      </c>
      <c r="T4681">
        <v>7.6</v>
      </c>
      <c r="Y4681" s="42">
        <v>43851</v>
      </c>
    </row>
    <row r="4682" spans="14:25">
      <c r="N4682" s="42">
        <v>43843</v>
      </c>
      <c r="O4682" t="s">
        <v>345</v>
      </c>
      <c r="P4682" s="42">
        <v>43843</v>
      </c>
      <c r="Q4682" t="s">
        <v>345</v>
      </c>
      <c r="R4682" t="s">
        <v>320</v>
      </c>
      <c r="S4682" t="s">
        <v>323</v>
      </c>
      <c r="T4682">
        <v>7.6</v>
      </c>
      <c r="Y4682" s="42">
        <v>43851</v>
      </c>
    </row>
    <row r="4683" spans="14:25">
      <c r="N4683" s="42">
        <v>43840</v>
      </c>
      <c r="O4683" t="s">
        <v>346</v>
      </c>
      <c r="P4683" s="42">
        <v>43840</v>
      </c>
      <c r="Q4683" t="s">
        <v>346</v>
      </c>
      <c r="R4683" t="s">
        <v>320</v>
      </c>
      <c r="S4683" t="s">
        <v>323</v>
      </c>
      <c r="T4683">
        <v>7.6</v>
      </c>
      <c r="Y4683" s="42">
        <v>43851</v>
      </c>
    </row>
    <row r="4684" spans="14:25">
      <c r="N4684" s="42">
        <v>43839</v>
      </c>
      <c r="O4684" t="s">
        <v>324</v>
      </c>
      <c r="P4684" s="42">
        <v>43839</v>
      </c>
      <c r="Q4684" t="s">
        <v>324</v>
      </c>
      <c r="R4684" t="s">
        <v>320</v>
      </c>
      <c r="S4684" t="s">
        <v>323</v>
      </c>
      <c r="T4684">
        <v>7.6</v>
      </c>
      <c r="Y4684" s="42">
        <v>43851</v>
      </c>
    </row>
    <row r="4685" spans="14:25">
      <c r="N4685" s="42">
        <v>43838</v>
      </c>
      <c r="O4685" t="s">
        <v>328</v>
      </c>
      <c r="P4685" s="42">
        <v>43838</v>
      </c>
      <c r="Q4685" t="s">
        <v>328</v>
      </c>
      <c r="R4685" t="s">
        <v>320</v>
      </c>
      <c r="S4685" t="s">
        <v>323</v>
      </c>
      <c r="T4685">
        <v>7.6</v>
      </c>
      <c r="Y4685" s="42">
        <v>43851</v>
      </c>
    </row>
    <row r="4686" spans="14:25">
      <c r="N4686" s="42">
        <v>43837</v>
      </c>
      <c r="O4686" t="s">
        <v>333</v>
      </c>
      <c r="P4686" s="42">
        <v>43837</v>
      </c>
      <c r="Q4686" t="s">
        <v>333</v>
      </c>
      <c r="R4686" t="s">
        <v>320</v>
      </c>
      <c r="S4686" t="s">
        <v>323</v>
      </c>
      <c r="T4686">
        <v>7.6</v>
      </c>
      <c r="Y4686" s="42">
        <v>43837</v>
      </c>
    </row>
    <row r="4687" spans="14:25">
      <c r="N4687" s="42">
        <v>43836</v>
      </c>
      <c r="O4687" t="s">
        <v>345</v>
      </c>
      <c r="P4687" s="42">
        <v>43836</v>
      </c>
      <c r="Q4687" t="s">
        <v>345</v>
      </c>
      <c r="R4687" t="s">
        <v>320</v>
      </c>
      <c r="S4687" t="s">
        <v>323</v>
      </c>
      <c r="T4687">
        <v>7.6</v>
      </c>
      <c r="Y4687" s="42">
        <v>43837</v>
      </c>
    </row>
    <row r="4688" spans="14:25">
      <c r="N4688" s="42">
        <v>43833</v>
      </c>
      <c r="O4688" t="s">
        <v>346</v>
      </c>
      <c r="P4688" s="42">
        <v>43833</v>
      </c>
      <c r="Q4688" t="s">
        <v>346</v>
      </c>
      <c r="R4688" t="s">
        <v>320</v>
      </c>
      <c r="S4688" t="s">
        <v>323</v>
      </c>
      <c r="T4688">
        <v>7.6</v>
      </c>
      <c r="Y4688" s="42">
        <v>43837</v>
      </c>
    </row>
    <row r="4689" spans="1:25">
      <c r="N4689" s="42">
        <v>43832</v>
      </c>
      <c r="O4689" t="s">
        <v>324</v>
      </c>
      <c r="P4689" s="42">
        <v>43832</v>
      </c>
      <c r="Q4689" t="s">
        <v>324</v>
      </c>
      <c r="R4689" t="s">
        <v>320</v>
      </c>
      <c r="S4689" t="s">
        <v>323</v>
      </c>
      <c r="T4689">
        <v>7.6</v>
      </c>
      <c r="Y4689" s="42">
        <v>43837</v>
      </c>
    </row>
    <row r="4690" spans="1:25">
      <c r="N4690" s="42">
        <v>43790</v>
      </c>
      <c r="O4690" t="s">
        <v>324</v>
      </c>
      <c r="P4690" s="42">
        <v>43790</v>
      </c>
      <c r="Q4690" t="s">
        <v>324</v>
      </c>
      <c r="R4690" t="s">
        <v>329</v>
      </c>
      <c r="S4690" t="s">
        <v>323</v>
      </c>
      <c r="T4690">
        <v>7.6</v>
      </c>
      <c r="W4690" t="s">
        <v>330</v>
      </c>
      <c r="Y4690" s="42">
        <v>43795</v>
      </c>
    </row>
    <row r="4691" spans="1:25">
      <c r="N4691" s="42">
        <v>43773</v>
      </c>
      <c r="O4691" t="s">
        <v>345</v>
      </c>
      <c r="P4691" s="42">
        <v>43773</v>
      </c>
      <c r="Q4691" t="s">
        <v>345</v>
      </c>
      <c r="R4691" t="s">
        <v>320</v>
      </c>
      <c r="S4691" t="s">
        <v>323</v>
      </c>
      <c r="T4691">
        <v>7.6</v>
      </c>
      <c r="Y4691" s="42">
        <v>43781</v>
      </c>
    </row>
    <row r="4692" spans="1:25">
      <c r="N4692" s="42">
        <v>43754</v>
      </c>
      <c r="O4692" t="s">
        <v>328</v>
      </c>
      <c r="P4692" s="42">
        <v>43754</v>
      </c>
      <c r="Q4692" t="s">
        <v>328</v>
      </c>
      <c r="R4692" t="s">
        <v>329</v>
      </c>
      <c r="S4692" t="s">
        <v>323</v>
      </c>
      <c r="T4692">
        <v>7.6</v>
      </c>
      <c r="W4692" t="s">
        <v>330</v>
      </c>
      <c r="Y4692" s="42">
        <v>43767</v>
      </c>
    </row>
    <row r="4693" spans="1:25">
      <c r="N4693" s="42">
        <v>43738</v>
      </c>
      <c r="O4693" t="s">
        <v>345</v>
      </c>
      <c r="P4693" s="42">
        <v>43738</v>
      </c>
      <c r="Q4693" t="s">
        <v>345</v>
      </c>
      <c r="R4693" t="s">
        <v>320</v>
      </c>
      <c r="S4693" t="s">
        <v>323</v>
      </c>
      <c r="T4693">
        <v>7.6</v>
      </c>
      <c r="Y4693" s="42">
        <v>43739</v>
      </c>
    </row>
    <row r="4694" spans="1:25">
      <c r="N4694" s="42">
        <v>43718</v>
      </c>
      <c r="O4694" t="s">
        <v>333</v>
      </c>
      <c r="P4694" s="42">
        <v>43718</v>
      </c>
      <c r="Q4694" t="s">
        <v>333</v>
      </c>
      <c r="R4694" t="s">
        <v>320</v>
      </c>
      <c r="S4694" t="s">
        <v>323</v>
      </c>
      <c r="T4694">
        <v>7.6</v>
      </c>
      <c r="Y4694" s="42">
        <v>43725</v>
      </c>
    </row>
    <row r="4695" spans="1:25">
      <c r="N4695" s="42">
        <v>43697</v>
      </c>
      <c r="O4695" t="s">
        <v>333</v>
      </c>
      <c r="P4695" s="42">
        <v>43697</v>
      </c>
      <c r="Q4695" t="s">
        <v>333</v>
      </c>
      <c r="R4695" t="s">
        <v>329</v>
      </c>
      <c r="S4695" t="s">
        <v>323</v>
      </c>
      <c r="T4695">
        <v>7.6</v>
      </c>
      <c r="W4695" t="s">
        <v>330</v>
      </c>
      <c r="Y4695" s="42">
        <v>43697</v>
      </c>
    </row>
    <row r="4696" spans="1:25">
      <c r="N4696" s="42">
        <v>43677</v>
      </c>
      <c r="O4696" t="s">
        <v>328</v>
      </c>
      <c r="P4696" s="42">
        <v>43677</v>
      </c>
      <c r="Q4696" t="s">
        <v>328</v>
      </c>
      <c r="R4696" t="s">
        <v>329</v>
      </c>
      <c r="S4696" t="s">
        <v>323</v>
      </c>
      <c r="T4696">
        <v>7.6</v>
      </c>
      <c r="W4696" t="s">
        <v>330</v>
      </c>
      <c r="Y4696" s="42">
        <v>43683</v>
      </c>
    </row>
    <row r="4697" spans="1:25">
      <c r="N4697" s="42">
        <v>43676</v>
      </c>
      <c r="O4697" t="s">
        <v>333</v>
      </c>
      <c r="P4697" s="42">
        <v>43676</v>
      </c>
      <c r="Q4697" t="s">
        <v>333</v>
      </c>
      <c r="R4697" t="s">
        <v>329</v>
      </c>
      <c r="S4697" t="s">
        <v>323</v>
      </c>
      <c r="T4697">
        <v>7.6</v>
      </c>
      <c r="W4697" t="s">
        <v>330</v>
      </c>
      <c r="Y4697" s="42">
        <v>43683</v>
      </c>
    </row>
    <row r="4698" spans="1:25">
      <c r="N4698" s="42">
        <v>43642</v>
      </c>
      <c r="O4698" t="s">
        <v>328</v>
      </c>
      <c r="P4698" s="42">
        <v>43642</v>
      </c>
      <c r="Q4698" t="s">
        <v>328</v>
      </c>
      <c r="R4698" t="s">
        <v>329</v>
      </c>
      <c r="S4698" t="s">
        <v>323</v>
      </c>
      <c r="T4698">
        <v>7.6</v>
      </c>
      <c r="W4698" t="s">
        <v>330</v>
      </c>
      <c r="Y4698" s="42">
        <v>43655</v>
      </c>
    </row>
    <row r="4699" spans="1:25">
      <c r="N4699" s="42">
        <v>43629</v>
      </c>
      <c r="O4699" t="s">
        <v>324</v>
      </c>
      <c r="P4699" s="42">
        <v>43629</v>
      </c>
      <c r="Q4699" t="s">
        <v>324</v>
      </c>
      <c r="R4699" t="s">
        <v>320</v>
      </c>
      <c r="S4699" t="s">
        <v>323</v>
      </c>
      <c r="T4699">
        <v>3.6</v>
      </c>
      <c r="Y4699" s="42">
        <v>43641</v>
      </c>
    </row>
    <row r="4700" spans="1:25">
      <c r="A4700">
        <v>18741</v>
      </c>
      <c r="B4700" t="s">
        <v>408</v>
      </c>
      <c r="C4700" t="s">
        <v>320</v>
      </c>
      <c r="D4700" t="s">
        <v>336</v>
      </c>
      <c r="E4700" t="s">
        <v>337</v>
      </c>
      <c r="F4700">
        <v>1</v>
      </c>
      <c r="G4700" s="42">
        <v>45223</v>
      </c>
      <c r="H4700">
        <v>152</v>
      </c>
      <c r="I4700">
        <v>182.39949999999999</v>
      </c>
      <c r="J4700">
        <v>54.553400000000003</v>
      </c>
      <c r="K4700">
        <v>236.9529</v>
      </c>
      <c r="L4700" t="s">
        <v>323</v>
      </c>
      <c r="M4700" s="43">
        <v>0.25277777777777777</v>
      </c>
      <c r="N4700" s="42">
        <v>45070</v>
      </c>
      <c r="O4700" t="s">
        <v>328</v>
      </c>
      <c r="P4700" s="42">
        <v>45079</v>
      </c>
      <c r="Q4700" t="s">
        <v>346</v>
      </c>
      <c r="R4700" t="s">
        <v>320</v>
      </c>
      <c r="S4700" t="s">
        <v>323</v>
      </c>
      <c r="T4700">
        <v>60.8</v>
      </c>
      <c r="U4700">
        <v>0</v>
      </c>
      <c r="V4700">
        <v>0</v>
      </c>
    </row>
    <row r="4701" spans="1:25">
      <c r="C4701" t="s">
        <v>325</v>
      </c>
      <c r="D4701" t="s">
        <v>340</v>
      </c>
      <c r="E4701" t="s">
        <v>341</v>
      </c>
      <c r="F4701">
        <v>1</v>
      </c>
      <c r="G4701" s="42">
        <v>45223</v>
      </c>
      <c r="H4701">
        <v>230.52500000000001</v>
      </c>
      <c r="I4701">
        <v>0</v>
      </c>
      <c r="J4701">
        <v>209.41900000000001</v>
      </c>
      <c r="K4701">
        <v>209.41900000000001</v>
      </c>
      <c r="L4701" t="s">
        <v>323</v>
      </c>
      <c r="N4701" s="42">
        <v>45056</v>
      </c>
      <c r="O4701" t="s">
        <v>328</v>
      </c>
      <c r="P4701" s="42">
        <v>45069</v>
      </c>
      <c r="Q4701" t="s">
        <v>333</v>
      </c>
      <c r="R4701" t="s">
        <v>320</v>
      </c>
      <c r="S4701" t="s">
        <v>323</v>
      </c>
      <c r="T4701">
        <v>76</v>
      </c>
      <c r="U4701">
        <v>0</v>
      </c>
      <c r="V4701">
        <v>0</v>
      </c>
    </row>
    <row r="4702" spans="1:25">
      <c r="C4702" t="s">
        <v>329</v>
      </c>
      <c r="D4702" t="s">
        <v>342</v>
      </c>
      <c r="E4702" t="s">
        <v>343</v>
      </c>
      <c r="F4702">
        <v>1</v>
      </c>
      <c r="G4702" s="42">
        <v>45223</v>
      </c>
      <c r="H4702">
        <v>76</v>
      </c>
      <c r="I4702">
        <v>91.199399999999997</v>
      </c>
      <c r="J4702">
        <v>27.276700000000002</v>
      </c>
      <c r="K4702">
        <v>118.4761</v>
      </c>
      <c r="L4702" t="s">
        <v>323</v>
      </c>
      <c r="N4702" s="42">
        <v>45054</v>
      </c>
      <c r="O4702" t="s">
        <v>345</v>
      </c>
      <c r="P4702" s="42">
        <v>45055</v>
      </c>
      <c r="Q4702" t="s">
        <v>333</v>
      </c>
      <c r="R4702" t="s">
        <v>320</v>
      </c>
      <c r="S4702" t="s">
        <v>323</v>
      </c>
      <c r="T4702">
        <v>15.2</v>
      </c>
      <c r="U4702">
        <v>0</v>
      </c>
      <c r="V4702">
        <v>0</v>
      </c>
    </row>
    <row r="4703" spans="1:25">
      <c r="N4703" s="42">
        <v>44977</v>
      </c>
      <c r="O4703" t="s">
        <v>345</v>
      </c>
      <c r="P4703" s="42">
        <v>44977</v>
      </c>
      <c r="Q4703" t="s">
        <v>345</v>
      </c>
      <c r="R4703" t="s">
        <v>329</v>
      </c>
      <c r="S4703" t="s">
        <v>323</v>
      </c>
      <c r="T4703">
        <v>7.6</v>
      </c>
      <c r="W4703" t="s">
        <v>339</v>
      </c>
      <c r="Y4703" s="42">
        <v>44985</v>
      </c>
    </row>
    <row r="4704" spans="1:25">
      <c r="N4704" s="42">
        <v>44953</v>
      </c>
      <c r="O4704" t="s">
        <v>346</v>
      </c>
      <c r="P4704" s="42">
        <v>44953</v>
      </c>
      <c r="Q4704" t="s">
        <v>346</v>
      </c>
      <c r="R4704" t="s">
        <v>320</v>
      </c>
      <c r="S4704" t="s">
        <v>323</v>
      </c>
      <c r="T4704">
        <v>7.6</v>
      </c>
      <c r="V4704">
        <v>0</v>
      </c>
      <c r="Y4704" s="42">
        <v>44957</v>
      </c>
    </row>
    <row r="4705" spans="14:25">
      <c r="N4705" s="42">
        <v>44952</v>
      </c>
      <c r="O4705" t="s">
        <v>324</v>
      </c>
      <c r="P4705" s="42">
        <v>44952</v>
      </c>
      <c r="Q4705" t="s">
        <v>324</v>
      </c>
      <c r="R4705" t="s">
        <v>320</v>
      </c>
      <c r="S4705" t="s">
        <v>323</v>
      </c>
      <c r="U4705">
        <v>7.6</v>
      </c>
      <c r="Y4705" s="42">
        <v>44957</v>
      </c>
    </row>
    <row r="4706" spans="14:25">
      <c r="N4706" s="42">
        <v>44935</v>
      </c>
      <c r="O4706" t="s">
        <v>345</v>
      </c>
      <c r="P4706" s="42">
        <v>44935</v>
      </c>
      <c r="Q4706" t="s">
        <v>345</v>
      </c>
      <c r="R4706" t="s">
        <v>329</v>
      </c>
      <c r="S4706" t="s">
        <v>323</v>
      </c>
      <c r="T4706">
        <v>7.6</v>
      </c>
      <c r="W4706" t="s">
        <v>339</v>
      </c>
      <c r="Y4706" s="42">
        <v>44943</v>
      </c>
    </row>
    <row r="4707" spans="14:25">
      <c r="N4707" s="42">
        <v>44928</v>
      </c>
      <c r="O4707" t="s">
        <v>345</v>
      </c>
      <c r="P4707" s="42">
        <v>44928</v>
      </c>
      <c r="Q4707" t="s">
        <v>345</v>
      </c>
      <c r="R4707" t="s">
        <v>320</v>
      </c>
      <c r="S4707" t="s">
        <v>323</v>
      </c>
      <c r="U4707">
        <v>7.6</v>
      </c>
      <c r="Y4707" s="42">
        <v>44929</v>
      </c>
    </row>
    <row r="4708" spans="14:25">
      <c r="N4708" s="42">
        <v>44922</v>
      </c>
      <c r="O4708" t="s">
        <v>333</v>
      </c>
      <c r="P4708" s="42">
        <v>44922</v>
      </c>
      <c r="Q4708" t="s">
        <v>333</v>
      </c>
      <c r="R4708" t="s">
        <v>320</v>
      </c>
      <c r="S4708" t="s">
        <v>323</v>
      </c>
      <c r="U4708">
        <v>7.6</v>
      </c>
      <c r="Y4708" s="42">
        <v>44929</v>
      </c>
    </row>
    <row r="4709" spans="14:25">
      <c r="N4709" s="42">
        <v>44921</v>
      </c>
      <c r="O4709" t="s">
        <v>345</v>
      </c>
      <c r="P4709" s="42">
        <v>44921</v>
      </c>
      <c r="Q4709" t="s">
        <v>345</v>
      </c>
      <c r="R4709" t="s">
        <v>320</v>
      </c>
      <c r="S4709" t="s">
        <v>323</v>
      </c>
      <c r="U4709">
        <v>7.6</v>
      </c>
      <c r="Y4709" s="42">
        <v>44929</v>
      </c>
    </row>
    <row r="4710" spans="14:25">
      <c r="N4710" s="42">
        <v>44917</v>
      </c>
      <c r="O4710" t="s">
        <v>324</v>
      </c>
      <c r="P4710" s="42">
        <v>44918</v>
      </c>
      <c r="Q4710" t="s">
        <v>346</v>
      </c>
      <c r="R4710" t="s">
        <v>320</v>
      </c>
      <c r="S4710" t="s">
        <v>323</v>
      </c>
      <c r="T4710">
        <v>15.2</v>
      </c>
      <c r="U4710">
        <v>0</v>
      </c>
      <c r="Y4710" s="42">
        <v>44929</v>
      </c>
    </row>
    <row r="4711" spans="14:25">
      <c r="N4711" s="42">
        <v>44914</v>
      </c>
      <c r="O4711" t="s">
        <v>345</v>
      </c>
      <c r="P4711" s="42">
        <v>44914</v>
      </c>
      <c r="Q4711" t="s">
        <v>345</v>
      </c>
      <c r="R4711" t="s">
        <v>320</v>
      </c>
      <c r="S4711" t="s">
        <v>323</v>
      </c>
      <c r="T4711">
        <v>7.6</v>
      </c>
      <c r="U4711">
        <v>0</v>
      </c>
      <c r="Y4711" s="42">
        <v>44915</v>
      </c>
    </row>
    <row r="4712" spans="14:25">
      <c r="N4712" s="42">
        <v>44911</v>
      </c>
      <c r="O4712" t="s">
        <v>346</v>
      </c>
      <c r="P4712" s="42">
        <v>44911</v>
      </c>
      <c r="Q4712" t="s">
        <v>346</v>
      </c>
      <c r="R4712" t="s">
        <v>320</v>
      </c>
      <c r="S4712" t="s">
        <v>323</v>
      </c>
      <c r="T4712">
        <v>7.6</v>
      </c>
      <c r="U4712">
        <v>0</v>
      </c>
      <c r="Y4712" s="42">
        <v>44915</v>
      </c>
    </row>
    <row r="4713" spans="14:25">
      <c r="N4713" s="42">
        <v>44886</v>
      </c>
      <c r="O4713" t="s">
        <v>345</v>
      </c>
      <c r="P4713" s="42">
        <v>44887</v>
      </c>
      <c r="Q4713" t="s">
        <v>333</v>
      </c>
      <c r="R4713" t="s">
        <v>320</v>
      </c>
      <c r="S4713" t="s">
        <v>323</v>
      </c>
      <c r="T4713">
        <v>15.2</v>
      </c>
      <c r="U4713">
        <v>0</v>
      </c>
    </row>
    <row r="4714" spans="14:25">
      <c r="N4714" s="42">
        <v>44866</v>
      </c>
      <c r="O4714" t="s">
        <v>333</v>
      </c>
      <c r="P4714" s="42">
        <v>44866</v>
      </c>
      <c r="Q4714" t="s">
        <v>333</v>
      </c>
      <c r="R4714" t="s">
        <v>320</v>
      </c>
      <c r="S4714" t="s">
        <v>323</v>
      </c>
      <c r="U4714">
        <v>7.6</v>
      </c>
      <c r="Y4714" s="42">
        <v>44873</v>
      </c>
    </row>
    <row r="4715" spans="14:25">
      <c r="N4715" s="42">
        <v>44862</v>
      </c>
      <c r="O4715" t="s">
        <v>346</v>
      </c>
      <c r="P4715" s="42">
        <v>44862</v>
      </c>
      <c r="Q4715" t="s">
        <v>346</v>
      </c>
      <c r="R4715" t="s">
        <v>320</v>
      </c>
      <c r="S4715" t="s">
        <v>323</v>
      </c>
      <c r="T4715">
        <v>7.6</v>
      </c>
      <c r="V4715">
        <v>0</v>
      </c>
      <c r="Y4715" s="42">
        <v>44873</v>
      </c>
    </row>
    <row r="4716" spans="14:25">
      <c r="N4716" s="42">
        <v>44861</v>
      </c>
      <c r="O4716" t="s">
        <v>324</v>
      </c>
      <c r="P4716" s="42">
        <v>44861</v>
      </c>
      <c r="Q4716" t="s">
        <v>324</v>
      </c>
      <c r="R4716" t="s">
        <v>320</v>
      </c>
      <c r="S4716" t="s">
        <v>323</v>
      </c>
      <c r="T4716">
        <v>7.6</v>
      </c>
      <c r="V4716">
        <v>0</v>
      </c>
      <c r="Y4716" s="42">
        <v>44873</v>
      </c>
    </row>
    <row r="4717" spans="14:25">
      <c r="N4717" s="42">
        <v>44859</v>
      </c>
      <c r="O4717" t="s">
        <v>333</v>
      </c>
      <c r="P4717" s="42">
        <v>44859</v>
      </c>
      <c r="Q4717" t="s">
        <v>333</v>
      </c>
      <c r="R4717" t="s">
        <v>383</v>
      </c>
      <c r="S4717" t="s">
        <v>323</v>
      </c>
      <c r="T4717">
        <v>45.6</v>
      </c>
      <c r="W4717" t="s">
        <v>339</v>
      </c>
      <c r="Y4717" s="42">
        <v>44859</v>
      </c>
    </row>
    <row r="4718" spans="14:25">
      <c r="N4718" s="42">
        <v>44830</v>
      </c>
      <c r="O4718" t="s">
        <v>345</v>
      </c>
      <c r="P4718" s="42">
        <v>44830</v>
      </c>
      <c r="Q4718" t="s">
        <v>345</v>
      </c>
      <c r="R4718" t="s">
        <v>329</v>
      </c>
      <c r="S4718" t="s">
        <v>323</v>
      </c>
      <c r="T4718">
        <v>7.6</v>
      </c>
      <c r="W4718" t="s">
        <v>339</v>
      </c>
      <c r="Y4718" s="42">
        <v>44831</v>
      </c>
    </row>
    <row r="4719" spans="14:25">
      <c r="N4719" s="42">
        <v>44827</v>
      </c>
      <c r="O4719" t="s">
        <v>346</v>
      </c>
      <c r="P4719" s="42">
        <v>44827</v>
      </c>
      <c r="Q4719" t="s">
        <v>346</v>
      </c>
      <c r="R4719" t="s">
        <v>320</v>
      </c>
      <c r="S4719" t="s">
        <v>323</v>
      </c>
      <c r="U4719">
        <v>7.6</v>
      </c>
      <c r="Y4719" s="42">
        <v>44831</v>
      </c>
    </row>
    <row r="4720" spans="14:25">
      <c r="N4720" s="42">
        <v>44826</v>
      </c>
      <c r="O4720" t="s">
        <v>324</v>
      </c>
      <c r="P4720" s="42">
        <v>44826</v>
      </c>
      <c r="Q4720" t="s">
        <v>324</v>
      </c>
      <c r="R4720" t="s">
        <v>320</v>
      </c>
      <c r="S4720" t="s">
        <v>323</v>
      </c>
      <c r="U4720">
        <v>7.6</v>
      </c>
      <c r="Y4720" s="42">
        <v>44831</v>
      </c>
    </row>
    <row r="4721" spans="14:25">
      <c r="N4721" s="42">
        <v>44803</v>
      </c>
      <c r="O4721" t="s">
        <v>333</v>
      </c>
      <c r="P4721" s="42">
        <v>44803</v>
      </c>
      <c r="Q4721" t="s">
        <v>333</v>
      </c>
      <c r="R4721" t="s">
        <v>329</v>
      </c>
      <c r="S4721" t="s">
        <v>323</v>
      </c>
      <c r="T4721">
        <v>7.6</v>
      </c>
      <c r="W4721" t="s">
        <v>339</v>
      </c>
      <c r="Y4721" s="42">
        <v>44817</v>
      </c>
    </row>
    <row r="4722" spans="14:25">
      <c r="N4722" s="42">
        <v>44799</v>
      </c>
      <c r="O4722" t="s">
        <v>346</v>
      </c>
      <c r="P4722" s="42">
        <v>44802</v>
      </c>
      <c r="Q4722" t="s">
        <v>345</v>
      </c>
      <c r="R4722" t="s">
        <v>320</v>
      </c>
      <c r="S4722" t="s">
        <v>323</v>
      </c>
      <c r="T4722">
        <v>15.2</v>
      </c>
      <c r="V4722">
        <v>0</v>
      </c>
      <c r="Y4722" s="42">
        <v>44803</v>
      </c>
    </row>
    <row r="4723" spans="14:25">
      <c r="N4723" s="42">
        <v>44791</v>
      </c>
      <c r="O4723" t="s">
        <v>324</v>
      </c>
      <c r="P4723" s="42">
        <v>44796</v>
      </c>
      <c r="Q4723" t="s">
        <v>333</v>
      </c>
      <c r="R4723" t="s">
        <v>320</v>
      </c>
      <c r="S4723" t="s">
        <v>323</v>
      </c>
      <c r="T4723">
        <v>30.4</v>
      </c>
      <c r="V4723">
        <v>0</v>
      </c>
      <c r="Y4723" s="42">
        <v>44803</v>
      </c>
    </row>
    <row r="4724" spans="14:25">
      <c r="N4724" s="42">
        <v>44783</v>
      </c>
      <c r="O4724" t="s">
        <v>328</v>
      </c>
      <c r="P4724" s="42">
        <v>44785</v>
      </c>
      <c r="Q4724" t="s">
        <v>346</v>
      </c>
      <c r="R4724" t="s">
        <v>320</v>
      </c>
      <c r="S4724" t="s">
        <v>323</v>
      </c>
      <c r="T4724">
        <v>22.8</v>
      </c>
      <c r="V4724">
        <v>0</v>
      </c>
      <c r="Y4724" s="42">
        <v>44789</v>
      </c>
    </row>
    <row r="4725" spans="14:25">
      <c r="N4725" s="42">
        <v>44762</v>
      </c>
      <c r="O4725" t="s">
        <v>328</v>
      </c>
      <c r="P4725" s="42">
        <v>44763</v>
      </c>
      <c r="Q4725" t="s">
        <v>324</v>
      </c>
      <c r="R4725" t="s">
        <v>329</v>
      </c>
      <c r="S4725" t="s">
        <v>323</v>
      </c>
      <c r="T4725">
        <v>15.2</v>
      </c>
      <c r="U4725">
        <v>0</v>
      </c>
      <c r="W4725" t="s">
        <v>339</v>
      </c>
      <c r="Y4725" s="42">
        <v>44775</v>
      </c>
    </row>
    <row r="4726" spans="14:25">
      <c r="N4726" s="42">
        <v>44760</v>
      </c>
      <c r="O4726" t="s">
        <v>345</v>
      </c>
      <c r="P4726" s="42">
        <v>44761</v>
      </c>
      <c r="Q4726" t="s">
        <v>333</v>
      </c>
      <c r="R4726" t="s">
        <v>329</v>
      </c>
      <c r="S4726" t="s">
        <v>323</v>
      </c>
      <c r="T4726">
        <v>15.2</v>
      </c>
      <c r="U4726">
        <v>0</v>
      </c>
      <c r="W4726" t="s">
        <v>339</v>
      </c>
      <c r="Y4726" s="42">
        <v>44775</v>
      </c>
    </row>
    <row r="4727" spans="14:25">
      <c r="N4727" s="42">
        <v>44729</v>
      </c>
      <c r="O4727" t="s">
        <v>346</v>
      </c>
      <c r="P4727" s="42">
        <v>44732</v>
      </c>
      <c r="Q4727" t="s">
        <v>345</v>
      </c>
      <c r="R4727" t="s">
        <v>320</v>
      </c>
      <c r="S4727" t="s">
        <v>323</v>
      </c>
      <c r="T4727">
        <v>15.2</v>
      </c>
      <c r="V4727">
        <v>0</v>
      </c>
      <c r="Y4727" s="42">
        <v>44733</v>
      </c>
    </row>
    <row r="4728" spans="14:25">
      <c r="N4728" s="42">
        <v>44725</v>
      </c>
      <c r="O4728" t="s">
        <v>345</v>
      </c>
      <c r="P4728" s="42">
        <v>44725</v>
      </c>
      <c r="Q4728" t="s">
        <v>345</v>
      </c>
      <c r="R4728" t="s">
        <v>320</v>
      </c>
      <c r="S4728" t="s">
        <v>323</v>
      </c>
      <c r="U4728">
        <v>7.6</v>
      </c>
      <c r="Y4728" s="42">
        <v>44733</v>
      </c>
    </row>
    <row r="4729" spans="14:25">
      <c r="N4729" s="42">
        <v>44693</v>
      </c>
      <c r="O4729" t="s">
        <v>324</v>
      </c>
      <c r="P4729" s="42">
        <v>44693</v>
      </c>
      <c r="Q4729" t="s">
        <v>324</v>
      </c>
      <c r="R4729" t="s">
        <v>329</v>
      </c>
      <c r="S4729" t="s">
        <v>323</v>
      </c>
      <c r="T4729">
        <v>7.6</v>
      </c>
      <c r="W4729" t="s">
        <v>339</v>
      </c>
      <c r="Y4729" s="42">
        <v>44705</v>
      </c>
    </row>
    <row r="4730" spans="14:25">
      <c r="N4730" s="42">
        <v>44676</v>
      </c>
      <c r="O4730" t="s">
        <v>345</v>
      </c>
      <c r="P4730" s="42">
        <v>44676</v>
      </c>
      <c r="Q4730" t="s">
        <v>345</v>
      </c>
      <c r="R4730" t="s">
        <v>320</v>
      </c>
      <c r="S4730" t="s">
        <v>323</v>
      </c>
      <c r="U4730">
        <v>7.6</v>
      </c>
      <c r="Y4730" s="42">
        <v>44677</v>
      </c>
    </row>
    <row r="4731" spans="14:25">
      <c r="N4731" s="42">
        <v>44669</v>
      </c>
      <c r="O4731" t="s">
        <v>345</v>
      </c>
      <c r="P4731" s="42">
        <v>44669</v>
      </c>
      <c r="Q4731" t="s">
        <v>345</v>
      </c>
      <c r="R4731" t="s">
        <v>320</v>
      </c>
      <c r="S4731" t="s">
        <v>323</v>
      </c>
      <c r="U4731">
        <v>7.6</v>
      </c>
      <c r="Y4731" s="42">
        <v>44677</v>
      </c>
    </row>
    <row r="4732" spans="14:25">
      <c r="N4732" s="42">
        <v>44666</v>
      </c>
      <c r="O4732" t="s">
        <v>346</v>
      </c>
      <c r="P4732" s="42">
        <v>44666</v>
      </c>
      <c r="Q4732" t="s">
        <v>346</v>
      </c>
      <c r="R4732" t="s">
        <v>320</v>
      </c>
      <c r="S4732" t="s">
        <v>323</v>
      </c>
      <c r="U4732">
        <v>7.6</v>
      </c>
      <c r="Y4732" s="42">
        <v>44677</v>
      </c>
    </row>
    <row r="4733" spans="14:25">
      <c r="N4733" s="42">
        <v>44645</v>
      </c>
      <c r="O4733" t="s">
        <v>346</v>
      </c>
      <c r="P4733" s="42">
        <v>44645</v>
      </c>
      <c r="Q4733" t="s">
        <v>346</v>
      </c>
      <c r="R4733" t="s">
        <v>320</v>
      </c>
      <c r="S4733" t="s">
        <v>323</v>
      </c>
      <c r="T4733">
        <v>7.6</v>
      </c>
      <c r="V4733">
        <v>0</v>
      </c>
      <c r="Y4733" s="42">
        <v>44649</v>
      </c>
    </row>
    <row r="4734" spans="14:25">
      <c r="N4734" s="42">
        <v>44634</v>
      </c>
      <c r="O4734" t="s">
        <v>345</v>
      </c>
      <c r="P4734" s="42">
        <v>44634</v>
      </c>
      <c r="Q4734" t="s">
        <v>345</v>
      </c>
      <c r="R4734" t="s">
        <v>320</v>
      </c>
      <c r="S4734" t="s">
        <v>323</v>
      </c>
      <c r="U4734">
        <v>7.6</v>
      </c>
      <c r="Y4734" s="42">
        <v>44635</v>
      </c>
    </row>
    <row r="4735" spans="14:25">
      <c r="N4735" s="42">
        <v>44629</v>
      </c>
      <c r="O4735" t="s">
        <v>328</v>
      </c>
      <c r="P4735" s="42">
        <v>44629</v>
      </c>
      <c r="Q4735" t="s">
        <v>328</v>
      </c>
      <c r="R4735" t="s">
        <v>329</v>
      </c>
      <c r="S4735" t="s">
        <v>323</v>
      </c>
      <c r="T4735">
        <v>7.6</v>
      </c>
      <c r="W4735" t="s">
        <v>339</v>
      </c>
      <c r="Y4735" s="42">
        <v>44635</v>
      </c>
    </row>
    <row r="4736" spans="14:25">
      <c r="N4736" s="42">
        <v>44608</v>
      </c>
      <c r="O4736" t="s">
        <v>328</v>
      </c>
      <c r="P4736" s="42">
        <v>44608</v>
      </c>
      <c r="Q4736" t="s">
        <v>328</v>
      </c>
      <c r="R4736" t="s">
        <v>320</v>
      </c>
      <c r="S4736" t="s">
        <v>323</v>
      </c>
      <c r="T4736">
        <v>7.6</v>
      </c>
      <c r="U4736">
        <v>0</v>
      </c>
      <c r="V4736">
        <v>0</v>
      </c>
      <c r="Y4736" s="42">
        <v>44621</v>
      </c>
    </row>
    <row r="4737" spans="14:25">
      <c r="N4737" s="42">
        <v>44602</v>
      </c>
      <c r="O4737" t="s">
        <v>324</v>
      </c>
      <c r="P4737" s="42">
        <v>44607</v>
      </c>
      <c r="Q4737" t="s">
        <v>333</v>
      </c>
      <c r="R4737" t="s">
        <v>320</v>
      </c>
      <c r="S4737" t="s">
        <v>323</v>
      </c>
      <c r="T4737">
        <v>30.4</v>
      </c>
      <c r="U4737">
        <v>0</v>
      </c>
      <c r="V4737">
        <v>0</v>
      </c>
      <c r="Y4737" s="42">
        <v>44607</v>
      </c>
    </row>
    <row r="4738" spans="14:25">
      <c r="N4738" s="42">
        <v>44587</v>
      </c>
      <c r="O4738" t="s">
        <v>328</v>
      </c>
      <c r="P4738" s="42">
        <v>44587</v>
      </c>
      <c r="Q4738" t="s">
        <v>328</v>
      </c>
      <c r="R4738" t="s">
        <v>320</v>
      </c>
      <c r="S4738" t="s">
        <v>323</v>
      </c>
      <c r="U4738">
        <v>7.6</v>
      </c>
      <c r="Y4738" s="42">
        <v>44593</v>
      </c>
    </row>
    <row r="4739" spans="14:25">
      <c r="N4739" s="42">
        <v>44578</v>
      </c>
      <c r="O4739" t="s">
        <v>345</v>
      </c>
      <c r="P4739" s="42">
        <v>44578</v>
      </c>
      <c r="Q4739" t="s">
        <v>345</v>
      </c>
      <c r="R4739" t="s">
        <v>329</v>
      </c>
      <c r="S4739" t="s">
        <v>323</v>
      </c>
      <c r="T4739">
        <v>7.6</v>
      </c>
      <c r="W4739" t="s">
        <v>339</v>
      </c>
      <c r="Y4739" s="42">
        <v>44579</v>
      </c>
    </row>
    <row r="4740" spans="14:25">
      <c r="N4740" s="42">
        <v>44575</v>
      </c>
      <c r="O4740" t="s">
        <v>346</v>
      </c>
      <c r="P4740" s="42">
        <v>44575</v>
      </c>
      <c r="Q4740" t="s">
        <v>346</v>
      </c>
      <c r="R4740" t="s">
        <v>320</v>
      </c>
      <c r="S4740" t="s">
        <v>323</v>
      </c>
      <c r="T4740">
        <v>7.6</v>
      </c>
      <c r="V4740">
        <v>0</v>
      </c>
      <c r="Y4740" s="42">
        <v>44579</v>
      </c>
    </row>
    <row r="4741" spans="14:25">
      <c r="N4741" s="42">
        <v>44564</v>
      </c>
      <c r="O4741" t="s">
        <v>345</v>
      </c>
      <c r="P4741" s="42">
        <v>44564</v>
      </c>
      <c r="Q4741" t="s">
        <v>345</v>
      </c>
      <c r="R4741" t="s">
        <v>320</v>
      </c>
      <c r="S4741" t="s">
        <v>323</v>
      </c>
      <c r="U4741">
        <v>7.6</v>
      </c>
      <c r="Y4741" s="42">
        <v>44565</v>
      </c>
    </row>
    <row r="4742" spans="14:25">
      <c r="N4742" s="42">
        <v>44558</v>
      </c>
      <c r="O4742" t="s">
        <v>333</v>
      </c>
      <c r="P4742" s="42">
        <v>44558</v>
      </c>
      <c r="Q4742" t="s">
        <v>333</v>
      </c>
      <c r="R4742" t="s">
        <v>320</v>
      </c>
      <c r="S4742" t="s">
        <v>323</v>
      </c>
      <c r="U4742">
        <v>7.6</v>
      </c>
      <c r="Y4742" s="42">
        <v>44565</v>
      </c>
    </row>
    <row r="4743" spans="14:25">
      <c r="N4743" s="42">
        <v>44557</v>
      </c>
      <c r="O4743" t="s">
        <v>345</v>
      </c>
      <c r="P4743" s="42">
        <v>44557</v>
      </c>
      <c r="Q4743" t="s">
        <v>345</v>
      </c>
      <c r="R4743" t="s">
        <v>320</v>
      </c>
      <c r="S4743" t="s">
        <v>323</v>
      </c>
      <c r="U4743">
        <v>7.6</v>
      </c>
      <c r="Y4743" s="42">
        <v>44565</v>
      </c>
    </row>
    <row r="4744" spans="14:25">
      <c r="N4744" s="42">
        <v>44502</v>
      </c>
      <c r="O4744" t="s">
        <v>333</v>
      </c>
      <c r="P4744" s="42">
        <v>44502</v>
      </c>
      <c r="Q4744" t="s">
        <v>333</v>
      </c>
      <c r="R4744" t="s">
        <v>320</v>
      </c>
      <c r="S4744" t="s">
        <v>323</v>
      </c>
      <c r="U4744">
        <v>7.6</v>
      </c>
      <c r="Y4744" s="42">
        <v>44509</v>
      </c>
    </row>
    <row r="4745" spans="14:25">
      <c r="N4745" s="42">
        <v>44495</v>
      </c>
      <c r="O4745" t="s">
        <v>333</v>
      </c>
      <c r="P4745" s="42">
        <v>44495</v>
      </c>
      <c r="Q4745" t="s">
        <v>333</v>
      </c>
      <c r="R4745" t="s">
        <v>329</v>
      </c>
      <c r="S4745" t="s">
        <v>323</v>
      </c>
      <c r="T4745">
        <v>7.6</v>
      </c>
      <c r="W4745" t="s">
        <v>339</v>
      </c>
      <c r="Y4745" s="42">
        <v>44495</v>
      </c>
    </row>
    <row r="4746" spans="14:25">
      <c r="N4746" s="42">
        <v>44487</v>
      </c>
      <c r="O4746" t="s">
        <v>345</v>
      </c>
      <c r="P4746" s="42">
        <v>44487</v>
      </c>
      <c r="Q4746" t="s">
        <v>345</v>
      </c>
      <c r="R4746" t="s">
        <v>329</v>
      </c>
      <c r="S4746" t="s">
        <v>323</v>
      </c>
      <c r="T4746">
        <v>6</v>
      </c>
      <c r="W4746" t="s">
        <v>339</v>
      </c>
      <c r="Y4746" s="42">
        <v>44495</v>
      </c>
    </row>
    <row r="4747" spans="14:25">
      <c r="N4747" s="42">
        <v>44463</v>
      </c>
      <c r="O4747" t="s">
        <v>346</v>
      </c>
      <c r="P4747" s="42">
        <v>44463</v>
      </c>
      <c r="Q4747" t="s">
        <v>346</v>
      </c>
      <c r="R4747" t="s">
        <v>320</v>
      </c>
      <c r="S4747" t="s">
        <v>323</v>
      </c>
      <c r="U4747">
        <v>7.6</v>
      </c>
      <c r="Y4747" s="42">
        <v>44467</v>
      </c>
    </row>
    <row r="4748" spans="14:25">
      <c r="N4748" s="42">
        <v>44424</v>
      </c>
      <c r="O4748" t="s">
        <v>345</v>
      </c>
      <c r="P4748" s="42">
        <v>44424</v>
      </c>
      <c r="Q4748" t="s">
        <v>345</v>
      </c>
      <c r="R4748" t="s">
        <v>329</v>
      </c>
      <c r="S4748" t="s">
        <v>323</v>
      </c>
      <c r="T4748">
        <v>7.6</v>
      </c>
      <c r="W4748" t="s">
        <v>339</v>
      </c>
      <c r="Y4748" s="42">
        <v>44439</v>
      </c>
    </row>
    <row r="4749" spans="14:25">
      <c r="N4749" s="42">
        <v>44382</v>
      </c>
      <c r="O4749" t="s">
        <v>345</v>
      </c>
      <c r="P4749" s="42">
        <v>44382</v>
      </c>
      <c r="Q4749" t="s">
        <v>345</v>
      </c>
      <c r="R4749" t="s">
        <v>320</v>
      </c>
      <c r="S4749" t="s">
        <v>323</v>
      </c>
      <c r="T4749">
        <v>7.6</v>
      </c>
      <c r="Y4749" s="42">
        <v>44383</v>
      </c>
    </row>
    <row r="4750" spans="14:25">
      <c r="N4750" s="42">
        <v>44365</v>
      </c>
      <c r="O4750" t="s">
        <v>346</v>
      </c>
      <c r="P4750" s="42">
        <v>44365</v>
      </c>
      <c r="Q4750" t="s">
        <v>346</v>
      </c>
      <c r="R4750" t="s">
        <v>320</v>
      </c>
      <c r="S4750" t="s">
        <v>323</v>
      </c>
      <c r="T4750">
        <v>7.6</v>
      </c>
      <c r="Y4750" s="42">
        <v>44369</v>
      </c>
    </row>
    <row r="4751" spans="14:25">
      <c r="N4751" s="42">
        <v>44361</v>
      </c>
      <c r="O4751" t="s">
        <v>345</v>
      </c>
      <c r="P4751" s="42">
        <v>44361</v>
      </c>
      <c r="Q4751" t="s">
        <v>345</v>
      </c>
      <c r="R4751" t="s">
        <v>320</v>
      </c>
      <c r="S4751" t="s">
        <v>323</v>
      </c>
      <c r="U4751">
        <v>7.6</v>
      </c>
      <c r="Y4751" s="42">
        <v>44369</v>
      </c>
    </row>
    <row r="4752" spans="14:25">
      <c r="N4752" s="42">
        <v>44336</v>
      </c>
      <c r="O4752" t="s">
        <v>324</v>
      </c>
      <c r="P4752" s="42">
        <v>44340</v>
      </c>
      <c r="Q4752" t="s">
        <v>345</v>
      </c>
      <c r="R4752" t="s">
        <v>320</v>
      </c>
      <c r="S4752" t="s">
        <v>323</v>
      </c>
      <c r="T4752">
        <v>15.2</v>
      </c>
      <c r="Y4752" s="42">
        <v>44341</v>
      </c>
    </row>
    <row r="4753" spans="14:25">
      <c r="N4753" s="42">
        <v>44334</v>
      </c>
      <c r="O4753" t="s">
        <v>333</v>
      </c>
      <c r="P4753" s="42">
        <v>44335</v>
      </c>
      <c r="Q4753" t="s">
        <v>328</v>
      </c>
      <c r="R4753" t="s">
        <v>334</v>
      </c>
      <c r="S4753" t="s">
        <v>323</v>
      </c>
      <c r="T4753">
        <v>15.2</v>
      </c>
      <c r="W4753" t="s">
        <v>330</v>
      </c>
      <c r="Y4753" s="42">
        <v>44341</v>
      </c>
    </row>
    <row r="4754" spans="14:25">
      <c r="N4754" s="42">
        <v>44333</v>
      </c>
      <c r="O4754" t="s">
        <v>345</v>
      </c>
      <c r="P4754" s="42">
        <v>44333</v>
      </c>
      <c r="Q4754" t="s">
        <v>345</v>
      </c>
      <c r="R4754" t="s">
        <v>329</v>
      </c>
      <c r="S4754" t="s">
        <v>323</v>
      </c>
      <c r="T4754">
        <v>7.6</v>
      </c>
      <c r="W4754" t="s">
        <v>330</v>
      </c>
      <c r="Y4754" s="42">
        <v>44341</v>
      </c>
    </row>
    <row r="4755" spans="14:25">
      <c r="N4755" s="42">
        <v>44301</v>
      </c>
      <c r="O4755" t="s">
        <v>324</v>
      </c>
      <c r="P4755" s="42">
        <v>44302</v>
      </c>
      <c r="Q4755" t="s">
        <v>346</v>
      </c>
      <c r="R4755" t="s">
        <v>320</v>
      </c>
      <c r="S4755" t="s">
        <v>323</v>
      </c>
      <c r="T4755">
        <v>15.2</v>
      </c>
      <c r="Y4755" s="42">
        <v>44313</v>
      </c>
    </row>
    <row r="4756" spans="14:25">
      <c r="N4756" s="42">
        <v>44292</v>
      </c>
      <c r="O4756" t="s">
        <v>333</v>
      </c>
      <c r="P4756" s="42">
        <v>44299</v>
      </c>
      <c r="Q4756" t="s">
        <v>333</v>
      </c>
      <c r="R4756" t="s">
        <v>320</v>
      </c>
      <c r="S4756" t="s">
        <v>323</v>
      </c>
      <c r="T4756">
        <v>45.6</v>
      </c>
      <c r="Y4756" s="42">
        <v>44299</v>
      </c>
    </row>
    <row r="4757" spans="14:25">
      <c r="N4757" s="42">
        <v>44291</v>
      </c>
      <c r="O4757" t="s">
        <v>345</v>
      </c>
      <c r="P4757" s="42">
        <v>44291</v>
      </c>
      <c r="Q4757" t="s">
        <v>345</v>
      </c>
      <c r="R4757" t="s">
        <v>320</v>
      </c>
      <c r="S4757" t="s">
        <v>323</v>
      </c>
      <c r="U4757">
        <v>7.6</v>
      </c>
      <c r="Y4757" s="42">
        <v>44299</v>
      </c>
    </row>
    <row r="4758" spans="14:25">
      <c r="N4758" s="42">
        <v>44288</v>
      </c>
      <c r="O4758" t="s">
        <v>346</v>
      </c>
      <c r="P4758" s="42">
        <v>44288</v>
      </c>
      <c r="Q4758" t="s">
        <v>346</v>
      </c>
      <c r="R4758" t="s">
        <v>320</v>
      </c>
      <c r="S4758" t="s">
        <v>323</v>
      </c>
      <c r="U4758">
        <v>7.6</v>
      </c>
      <c r="Y4758" s="42">
        <v>44299</v>
      </c>
    </row>
    <row r="4759" spans="14:25">
      <c r="N4759" s="42">
        <v>44263</v>
      </c>
      <c r="O4759" t="s">
        <v>345</v>
      </c>
      <c r="P4759" s="42">
        <v>44263</v>
      </c>
      <c r="Q4759" t="s">
        <v>345</v>
      </c>
      <c r="R4759" t="s">
        <v>320</v>
      </c>
      <c r="S4759" t="s">
        <v>323</v>
      </c>
      <c r="U4759">
        <v>7.6</v>
      </c>
      <c r="Y4759" s="42">
        <v>44271</v>
      </c>
    </row>
    <row r="4760" spans="14:25">
      <c r="N4760" s="42">
        <v>44239</v>
      </c>
      <c r="O4760" t="s">
        <v>346</v>
      </c>
      <c r="P4760" s="42">
        <v>44239</v>
      </c>
      <c r="Q4760" t="s">
        <v>346</v>
      </c>
      <c r="R4760" t="s">
        <v>320</v>
      </c>
      <c r="S4760" t="s">
        <v>323</v>
      </c>
      <c r="T4760">
        <v>7.6</v>
      </c>
      <c r="V4760">
        <v>0</v>
      </c>
      <c r="Y4760" s="42">
        <v>44243</v>
      </c>
    </row>
    <row r="4761" spans="14:25">
      <c r="N4761" s="42">
        <v>44222</v>
      </c>
      <c r="O4761" t="s">
        <v>333</v>
      </c>
      <c r="P4761" s="42">
        <v>44222</v>
      </c>
      <c r="Q4761" t="s">
        <v>333</v>
      </c>
      <c r="R4761" t="s">
        <v>320</v>
      </c>
      <c r="S4761" t="s">
        <v>323</v>
      </c>
      <c r="U4761">
        <v>7.6</v>
      </c>
      <c r="Y4761" s="42">
        <v>44229</v>
      </c>
    </row>
    <row r="4762" spans="14:25">
      <c r="N4762" s="42">
        <v>44221</v>
      </c>
      <c r="O4762" t="s">
        <v>345</v>
      </c>
      <c r="P4762" s="42">
        <v>44221</v>
      </c>
      <c r="Q4762" t="s">
        <v>345</v>
      </c>
      <c r="R4762" t="s">
        <v>320</v>
      </c>
      <c r="S4762" t="s">
        <v>323</v>
      </c>
      <c r="T4762">
        <v>7.6</v>
      </c>
      <c r="V4762">
        <v>0</v>
      </c>
      <c r="Y4762" s="42">
        <v>44229</v>
      </c>
    </row>
    <row r="4763" spans="14:25">
      <c r="N4763" s="42">
        <v>44197</v>
      </c>
      <c r="O4763" t="s">
        <v>346</v>
      </c>
      <c r="P4763" s="42">
        <v>44197</v>
      </c>
      <c r="Q4763" t="s">
        <v>346</v>
      </c>
      <c r="R4763" t="s">
        <v>320</v>
      </c>
      <c r="S4763" t="s">
        <v>323</v>
      </c>
      <c r="U4763">
        <v>7.6</v>
      </c>
      <c r="Y4763" s="42">
        <v>44201</v>
      </c>
    </row>
    <row r="4764" spans="14:25">
      <c r="N4764" s="42">
        <v>44189</v>
      </c>
      <c r="O4764" t="s">
        <v>324</v>
      </c>
      <c r="P4764" s="42">
        <v>44194</v>
      </c>
      <c r="Q4764" t="s">
        <v>333</v>
      </c>
      <c r="R4764" t="s">
        <v>320</v>
      </c>
      <c r="S4764" t="s">
        <v>323</v>
      </c>
      <c r="T4764">
        <v>15.2</v>
      </c>
      <c r="U4764">
        <v>15.2</v>
      </c>
      <c r="V4764">
        <v>0</v>
      </c>
      <c r="Y4764" s="42">
        <v>44201</v>
      </c>
    </row>
    <row r="4765" spans="14:25">
      <c r="N4765" s="42">
        <v>44182</v>
      </c>
      <c r="O4765" t="s">
        <v>324</v>
      </c>
      <c r="P4765" s="42">
        <v>44186</v>
      </c>
      <c r="Q4765" t="s">
        <v>345</v>
      </c>
      <c r="R4765" t="s">
        <v>320</v>
      </c>
      <c r="S4765" t="s">
        <v>323</v>
      </c>
      <c r="T4765">
        <v>22.8</v>
      </c>
      <c r="V4765">
        <v>0</v>
      </c>
      <c r="Y4765" s="42">
        <v>44187</v>
      </c>
    </row>
    <row r="4766" spans="14:25">
      <c r="N4766" s="42">
        <v>44154</v>
      </c>
      <c r="O4766" t="s">
        <v>324</v>
      </c>
      <c r="P4766" s="42">
        <v>44155</v>
      </c>
      <c r="Q4766" t="s">
        <v>346</v>
      </c>
      <c r="R4766" t="s">
        <v>320</v>
      </c>
      <c r="S4766" t="s">
        <v>323</v>
      </c>
      <c r="T4766">
        <v>15.2</v>
      </c>
      <c r="V4766">
        <v>0</v>
      </c>
      <c r="Y4766" s="42">
        <v>44159</v>
      </c>
    </row>
    <row r="4767" spans="14:25">
      <c r="N4767" s="42">
        <v>44138</v>
      </c>
      <c r="O4767" t="s">
        <v>333</v>
      </c>
      <c r="P4767" s="42">
        <v>44138</v>
      </c>
      <c r="Q4767" t="s">
        <v>333</v>
      </c>
      <c r="R4767" t="s">
        <v>320</v>
      </c>
      <c r="S4767" t="s">
        <v>323</v>
      </c>
      <c r="U4767">
        <v>7.6</v>
      </c>
      <c r="Y4767" s="42">
        <v>44145</v>
      </c>
    </row>
    <row r="4768" spans="14:25">
      <c r="N4768" s="42">
        <v>44127</v>
      </c>
      <c r="O4768" t="s">
        <v>346</v>
      </c>
      <c r="P4768" s="42">
        <v>44127</v>
      </c>
      <c r="Q4768" t="s">
        <v>346</v>
      </c>
      <c r="R4768" t="s">
        <v>320</v>
      </c>
      <c r="S4768" t="s">
        <v>323</v>
      </c>
      <c r="U4768">
        <v>7.6</v>
      </c>
      <c r="Y4768" s="42">
        <v>44131</v>
      </c>
    </row>
    <row r="4769" spans="14:25">
      <c r="N4769" s="42">
        <v>44040</v>
      </c>
      <c r="O4769" t="s">
        <v>333</v>
      </c>
      <c r="P4769" s="42">
        <v>44040</v>
      </c>
      <c r="Q4769" t="s">
        <v>333</v>
      </c>
      <c r="R4769" t="s">
        <v>329</v>
      </c>
      <c r="S4769" t="s">
        <v>323</v>
      </c>
      <c r="T4769">
        <v>7.6</v>
      </c>
      <c r="W4769" t="s">
        <v>339</v>
      </c>
      <c r="Y4769" s="42">
        <v>44047</v>
      </c>
    </row>
    <row r="4770" spans="14:25">
      <c r="N4770" s="42">
        <v>44004</v>
      </c>
      <c r="O4770" t="s">
        <v>345</v>
      </c>
      <c r="P4770" s="42">
        <v>44004</v>
      </c>
      <c r="Q4770" t="s">
        <v>345</v>
      </c>
      <c r="R4770" t="s">
        <v>329</v>
      </c>
      <c r="S4770" t="s">
        <v>323</v>
      </c>
      <c r="T4770">
        <v>7.6</v>
      </c>
      <c r="W4770" t="s">
        <v>330</v>
      </c>
      <c r="Y4770" s="42">
        <v>44005</v>
      </c>
    </row>
    <row r="4771" spans="14:25">
      <c r="N4771" s="42">
        <v>43990</v>
      </c>
      <c r="O4771" t="s">
        <v>345</v>
      </c>
      <c r="P4771" s="42">
        <v>43990</v>
      </c>
      <c r="Q4771" t="s">
        <v>345</v>
      </c>
      <c r="R4771" t="s">
        <v>320</v>
      </c>
      <c r="S4771" t="s">
        <v>323</v>
      </c>
      <c r="T4771">
        <v>0</v>
      </c>
      <c r="U4771">
        <v>7.6</v>
      </c>
      <c r="Y4771" s="42">
        <v>43991</v>
      </c>
    </row>
    <row r="4772" spans="14:25">
      <c r="N4772" s="42">
        <v>43972</v>
      </c>
      <c r="O4772" t="s">
        <v>324</v>
      </c>
      <c r="P4772" s="42">
        <v>43973</v>
      </c>
      <c r="Q4772" t="s">
        <v>346</v>
      </c>
      <c r="R4772" t="s">
        <v>320</v>
      </c>
      <c r="S4772" t="s">
        <v>323</v>
      </c>
      <c r="T4772">
        <v>15.2</v>
      </c>
      <c r="V4772">
        <v>0</v>
      </c>
      <c r="Y4772" s="42">
        <v>43977</v>
      </c>
    </row>
    <row r="4773" spans="14:25">
      <c r="N4773" s="42">
        <v>43963</v>
      </c>
      <c r="O4773" t="s">
        <v>333</v>
      </c>
      <c r="P4773" s="42">
        <v>43963</v>
      </c>
      <c r="Q4773" t="s">
        <v>333</v>
      </c>
      <c r="R4773" t="s">
        <v>329</v>
      </c>
      <c r="S4773" t="s">
        <v>323</v>
      </c>
      <c r="T4773">
        <v>7.6</v>
      </c>
      <c r="W4773" t="s">
        <v>339</v>
      </c>
      <c r="Y4773" s="42">
        <v>43963</v>
      </c>
    </row>
    <row r="4774" spans="14:25">
      <c r="N4774" s="42">
        <v>43934</v>
      </c>
      <c r="O4774" t="s">
        <v>345</v>
      </c>
      <c r="P4774" s="42">
        <v>43934</v>
      </c>
      <c r="Q4774" t="s">
        <v>345</v>
      </c>
      <c r="R4774" t="s">
        <v>320</v>
      </c>
      <c r="S4774" t="s">
        <v>323</v>
      </c>
      <c r="T4774">
        <v>0</v>
      </c>
      <c r="U4774">
        <v>7.6</v>
      </c>
      <c r="Y4774" s="42">
        <v>43935</v>
      </c>
    </row>
    <row r="4775" spans="14:25">
      <c r="N4775" s="42">
        <v>43931</v>
      </c>
      <c r="O4775" t="s">
        <v>346</v>
      </c>
      <c r="P4775" s="42">
        <v>43931</v>
      </c>
      <c r="Q4775" t="s">
        <v>346</v>
      </c>
      <c r="R4775" t="s">
        <v>320</v>
      </c>
      <c r="S4775" t="s">
        <v>323</v>
      </c>
      <c r="T4775">
        <v>0</v>
      </c>
      <c r="U4775">
        <v>7.6</v>
      </c>
      <c r="Y4775" s="42">
        <v>43935</v>
      </c>
    </row>
    <row r="4776" spans="14:25">
      <c r="N4776" s="42">
        <v>43899</v>
      </c>
      <c r="O4776" t="s">
        <v>345</v>
      </c>
      <c r="P4776" s="42">
        <v>43899</v>
      </c>
      <c r="Q4776" t="s">
        <v>345</v>
      </c>
      <c r="R4776" t="s">
        <v>320</v>
      </c>
      <c r="S4776" t="s">
        <v>323</v>
      </c>
      <c r="T4776">
        <v>0</v>
      </c>
      <c r="U4776">
        <v>7.6</v>
      </c>
      <c r="Y4776" s="42">
        <v>43907</v>
      </c>
    </row>
    <row r="4777" spans="14:25">
      <c r="N4777" s="42">
        <v>43880</v>
      </c>
      <c r="O4777" t="s">
        <v>328</v>
      </c>
      <c r="P4777" s="42">
        <v>43884</v>
      </c>
      <c r="Q4777" t="s">
        <v>344</v>
      </c>
      <c r="R4777" t="s">
        <v>320</v>
      </c>
      <c r="S4777" t="s">
        <v>323</v>
      </c>
      <c r="T4777">
        <v>30.4</v>
      </c>
      <c r="Y4777" s="42">
        <v>43893</v>
      </c>
    </row>
    <row r="4778" spans="14:25">
      <c r="N4778" s="42">
        <v>43875</v>
      </c>
      <c r="O4778" t="s">
        <v>346</v>
      </c>
      <c r="P4778" s="42">
        <v>43879</v>
      </c>
      <c r="Q4778" t="s">
        <v>333</v>
      </c>
      <c r="R4778" t="s">
        <v>320</v>
      </c>
      <c r="S4778" t="s">
        <v>323</v>
      </c>
      <c r="T4778">
        <v>22.8</v>
      </c>
      <c r="U4778">
        <v>0</v>
      </c>
      <c r="V4778">
        <v>0</v>
      </c>
      <c r="Y4778" s="42">
        <v>43879</v>
      </c>
    </row>
    <row r="4779" spans="14:25">
      <c r="N4779" s="42">
        <v>43873</v>
      </c>
      <c r="O4779" t="s">
        <v>328</v>
      </c>
      <c r="P4779" s="42">
        <v>43874</v>
      </c>
      <c r="Q4779" t="s">
        <v>324</v>
      </c>
      <c r="R4779" t="s">
        <v>334</v>
      </c>
      <c r="S4779" t="s">
        <v>323</v>
      </c>
      <c r="T4779">
        <v>15.2</v>
      </c>
      <c r="W4779" t="s">
        <v>339</v>
      </c>
      <c r="Y4779" s="42">
        <v>43879</v>
      </c>
    </row>
    <row r="4780" spans="14:25">
      <c r="N4780" s="42">
        <v>43857</v>
      </c>
      <c r="O4780" t="s">
        <v>345</v>
      </c>
      <c r="P4780" s="42">
        <v>43857</v>
      </c>
      <c r="Q4780" t="s">
        <v>345</v>
      </c>
      <c r="R4780" t="s">
        <v>320</v>
      </c>
      <c r="S4780" t="s">
        <v>323</v>
      </c>
      <c r="T4780">
        <v>0</v>
      </c>
      <c r="U4780">
        <v>7.6</v>
      </c>
      <c r="Y4780" s="42">
        <v>43865</v>
      </c>
    </row>
    <row r="4781" spans="14:25">
      <c r="N4781" s="42">
        <v>43831</v>
      </c>
      <c r="O4781" t="s">
        <v>328</v>
      </c>
      <c r="P4781" s="42">
        <v>43831</v>
      </c>
      <c r="Q4781" t="s">
        <v>328</v>
      </c>
      <c r="R4781" t="s">
        <v>320</v>
      </c>
      <c r="S4781" t="s">
        <v>323</v>
      </c>
      <c r="T4781">
        <v>0</v>
      </c>
      <c r="U4781">
        <v>7.6</v>
      </c>
      <c r="Y4781" s="42">
        <v>43837</v>
      </c>
    </row>
    <row r="4782" spans="14:25">
      <c r="N4782" s="42">
        <v>43830</v>
      </c>
      <c r="O4782" t="s">
        <v>333</v>
      </c>
      <c r="P4782" s="42">
        <v>43830</v>
      </c>
      <c r="Q4782" t="s">
        <v>333</v>
      </c>
      <c r="R4782" t="s">
        <v>320</v>
      </c>
      <c r="S4782" t="s">
        <v>323</v>
      </c>
      <c r="T4782">
        <v>7.6</v>
      </c>
      <c r="V4782">
        <v>0</v>
      </c>
      <c r="Y4782" s="42">
        <v>43837</v>
      </c>
    </row>
    <row r="4783" spans="14:25">
      <c r="N4783" s="42">
        <v>43824</v>
      </c>
      <c r="O4783" t="s">
        <v>328</v>
      </c>
      <c r="P4783" s="42">
        <v>43825</v>
      </c>
      <c r="Q4783" t="s">
        <v>324</v>
      </c>
      <c r="R4783" t="s">
        <v>320</v>
      </c>
      <c r="S4783" t="s">
        <v>323</v>
      </c>
      <c r="T4783">
        <v>0</v>
      </c>
      <c r="U4783">
        <v>15.2</v>
      </c>
      <c r="Y4783" s="42">
        <v>43837</v>
      </c>
    </row>
    <row r="4784" spans="14:25">
      <c r="N4784" s="42">
        <v>43822</v>
      </c>
      <c r="O4784" t="s">
        <v>345</v>
      </c>
      <c r="P4784" s="42">
        <v>43822</v>
      </c>
      <c r="Q4784" t="s">
        <v>345</v>
      </c>
      <c r="R4784" t="s">
        <v>329</v>
      </c>
      <c r="S4784" t="s">
        <v>323</v>
      </c>
      <c r="T4784">
        <v>7.6</v>
      </c>
      <c r="W4784" t="s">
        <v>330</v>
      </c>
      <c r="Y4784" s="42">
        <v>43823</v>
      </c>
    </row>
    <row r="4785" spans="1:25">
      <c r="N4785" s="42">
        <v>43808</v>
      </c>
      <c r="O4785" t="s">
        <v>345</v>
      </c>
      <c r="P4785" s="42">
        <v>43809</v>
      </c>
      <c r="Q4785" t="s">
        <v>333</v>
      </c>
      <c r="R4785" t="s">
        <v>320</v>
      </c>
      <c r="S4785" t="s">
        <v>323</v>
      </c>
      <c r="T4785">
        <v>15.2</v>
      </c>
      <c r="V4785">
        <v>0</v>
      </c>
      <c r="Y4785" s="42">
        <v>43809</v>
      </c>
    </row>
    <row r="4786" spans="1:25">
      <c r="N4786" s="42">
        <v>43791</v>
      </c>
      <c r="O4786" t="s">
        <v>346</v>
      </c>
      <c r="P4786" s="42">
        <v>43791</v>
      </c>
      <c r="Q4786" t="s">
        <v>346</v>
      </c>
      <c r="R4786" t="s">
        <v>329</v>
      </c>
      <c r="S4786" t="s">
        <v>323</v>
      </c>
      <c r="T4786">
        <v>7.6</v>
      </c>
      <c r="W4786" t="s">
        <v>339</v>
      </c>
      <c r="Y4786" s="42">
        <v>43795</v>
      </c>
    </row>
    <row r="4787" spans="1:25">
      <c r="N4787" s="42">
        <v>43774</v>
      </c>
      <c r="O4787" t="s">
        <v>333</v>
      </c>
      <c r="P4787" s="42">
        <v>43774</v>
      </c>
      <c r="Q4787" t="s">
        <v>333</v>
      </c>
      <c r="R4787" t="s">
        <v>320</v>
      </c>
      <c r="S4787" t="s">
        <v>323</v>
      </c>
      <c r="T4787">
        <v>0</v>
      </c>
      <c r="U4787">
        <v>7.6</v>
      </c>
      <c r="Y4787" s="42">
        <v>43781</v>
      </c>
    </row>
    <row r="4788" spans="1:25">
      <c r="N4788" s="42">
        <v>43766</v>
      </c>
      <c r="O4788" t="s">
        <v>345</v>
      </c>
      <c r="P4788" s="42">
        <v>43766</v>
      </c>
      <c r="Q4788" t="s">
        <v>345</v>
      </c>
      <c r="R4788" t="s">
        <v>320</v>
      </c>
      <c r="S4788" t="s">
        <v>323</v>
      </c>
      <c r="T4788">
        <v>-7.6</v>
      </c>
      <c r="Y4788" s="42">
        <v>44607</v>
      </c>
    </row>
    <row r="4789" spans="1:25">
      <c r="N4789" s="42">
        <v>43766</v>
      </c>
      <c r="O4789" t="s">
        <v>345</v>
      </c>
      <c r="P4789" s="42">
        <v>43766</v>
      </c>
      <c r="Q4789" t="s">
        <v>345</v>
      </c>
      <c r="R4789" t="s">
        <v>320</v>
      </c>
      <c r="S4789" t="s">
        <v>323</v>
      </c>
      <c r="T4789">
        <v>7.6</v>
      </c>
      <c r="V4789">
        <v>0</v>
      </c>
      <c r="Y4789" s="42">
        <v>43767</v>
      </c>
    </row>
    <row r="4790" spans="1:25">
      <c r="N4790" s="42">
        <v>43766</v>
      </c>
      <c r="O4790" t="s">
        <v>345</v>
      </c>
      <c r="P4790" s="42">
        <v>43766</v>
      </c>
      <c r="Q4790" t="s">
        <v>345</v>
      </c>
      <c r="R4790" t="s">
        <v>320</v>
      </c>
      <c r="S4790" t="s">
        <v>323</v>
      </c>
      <c r="T4790">
        <v>7.6</v>
      </c>
      <c r="V4790">
        <v>0</v>
      </c>
      <c r="Y4790" s="42">
        <v>43767</v>
      </c>
    </row>
    <row r="4791" spans="1:25">
      <c r="N4791" s="42">
        <v>43696</v>
      </c>
      <c r="O4791" t="s">
        <v>345</v>
      </c>
      <c r="P4791" s="42">
        <v>43696</v>
      </c>
      <c r="Q4791" t="s">
        <v>345</v>
      </c>
      <c r="R4791" t="s">
        <v>329</v>
      </c>
      <c r="S4791" t="s">
        <v>323</v>
      </c>
      <c r="T4791">
        <v>5.4</v>
      </c>
      <c r="W4791" t="s">
        <v>339</v>
      </c>
      <c r="Y4791" s="42">
        <v>43697</v>
      </c>
    </row>
    <row r="4792" spans="1:25">
      <c r="N4792" s="42">
        <v>43671</v>
      </c>
      <c r="O4792" t="s">
        <v>324</v>
      </c>
      <c r="P4792" s="42">
        <v>43676</v>
      </c>
      <c r="Q4792" t="s">
        <v>333</v>
      </c>
      <c r="R4792" t="s">
        <v>347</v>
      </c>
      <c r="S4792" t="s">
        <v>323</v>
      </c>
      <c r="T4792">
        <v>25.4</v>
      </c>
      <c r="W4792" t="s">
        <v>339</v>
      </c>
      <c r="Y4792" s="42">
        <v>43683</v>
      </c>
    </row>
    <row r="4793" spans="1:25">
      <c r="N4793" s="42">
        <v>43630</v>
      </c>
      <c r="O4793" t="s">
        <v>346</v>
      </c>
      <c r="P4793" s="42">
        <v>43630</v>
      </c>
      <c r="Q4793" t="s">
        <v>346</v>
      </c>
      <c r="R4793" t="s">
        <v>329</v>
      </c>
      <c r="S4793" t="s">
        <v>323</v>
      </c>
      <c r="T4793">
        <v>7.6</v>
      </c>
      <c r="W4793" t="s">
        <v>330</v>
      </c>
      <c r="Y4793" s="42">
        <v>43641</v>
      </c>
    </row>
    <row r="4794" spans="1:25">
      <c r="N4794" s="42">
        <v>43627</v>
      </c>
      <c r="O4794" t="s">
        <v>333</v>
      </c>
      <c r="P4794" s="42">
        <v>43629</v>
      </c>
      <c r="Q4794" t="s">
        <v>324</v>
      </c>
      <c r="R4794" t="s">
        <v>320</v>
      </c>
      <c r="S4794" t="s">
        <v>323</v>
      </c>
      <c r="T4794">
        <v>7.6</v>
      </c>
      <c r="Y4794" s="42">
        <v>43641</v>
      </c>
    </row>
    <row r="4795" spans="1:25">
      <c r="A4795">
        <v>18781</v>
      </c>
      <c r="B4795" t="s">
        <v>409</v>
      </c>
      <c r="C4795" t="s">
        <v>320</v>
      </c>
      <c r="D4795" t="s">
        <v>336</v>
      </c>
      <c r="E4795" t="s">
        <v>337</v>
      </c>
      <c r="F4795">
        <v>1</v>
      </c>
      <c r="G4795" s="42">
        <v>45082</v>
      </c>
      <c r="H4795">
        <v>152</v>
      </c>
      <c r="I4795">
        <v>68.399600000000007</v>
      </c>
      <c r="J4795">
        <v>113.27119999999999</v>
      </c>
      <c r="K4795">
        <v>181.67080000000001</v>
      </c>
      <c r="L4795" t="s">
        <v>323</v>
      </c>
      <c r="M4795" s="43">
        <v>0.21388888888888891</v>
      </c>
      <c r="N4795" s="42">
        <v>44985</v>
      </c>
      <c r="O4795" t="s">
        <v>333</v>
      </c>
      <c r="P4795" s="42">
        <v>44985</v>
      </c>
      <c r="Q4795" t="s">
        <v>333</v>
      </c>
      <c r="R4795" t="s">
        <v>320</v>
      </c>
      <c r="S4795" t="s">
        <v>323</v>
      </c>
      <c r="T4795">
        <v>7.6</v>
      </c>
      <c r="Y4795" s="42">
        <v>44985</v>
      </c>
    </row>
    <row r="4796" spans="1:25">
      <c r="C4796" t="s">
        <v>325</v>
      </c>
      <c r="D4796" t="s">
        <v>352</v>
      </c>
      <c r="E4796" t="s">
        <v>353</v>
      </c>
      <c r="F4796">
        <v>1</v>
      </c>
      <c r="G4796" s="42">
        <v>46543</v>
      </c>
      <c r="H4796">
        <v>329.2921</v>
      </c>
      <c r="I4796">
        <v>0</v>
      </c>
      <c r="J4796">
        <v>189.14869999999999</v>
      </c>
      <c r="K4796">
        <v>189.14869999999999</v>
      </c>
      <c r="L4796" t="s">
        <v>323</v>
      </c>
      <c r="N4796" s="42">
        <v>44984</v>
      </c>
      <c r="O4796" t="s">
        <v>345</v>
      </c>
      <c r="P4796" s="42">
        <v>44984</v>
      </c>
      <c r="Q4796" t="s">
        <v>345</v>
      </c>
      <c r="R4796" t="s">
        <v>320</v>
      </c>
      <c r="S4796" t="s">
        <v>323</v>
      </c>
      <c r="T4796">
        <v>7.6</v>
      </c>
      <c r="Y4796" s="42">
        <v>44985</v>
      </c>
    </row>
    <row r="4797" spans="1:25">
      <c r="C4797" t="s">
        <v>329</v>
      </c>
      <c r="D4797" t="s">
        <v>342</v>
      </c>
      <c r="E4797" t="s">
        <v>343</v>
      </c>
      <c r="F4797">
        <v>1</v>
      </c>
      <c r="G4797" s="42">
        <v>45082</v>
      </c>
      <c r="H4797">
        <v>76</v>
      </c>
      <c r="I4797">
        <v>-54.850499999999997</v>
      </c>
      <c r="J4797">
        <v>56.635599999999997</v>
      </c>
      <c r="K4797">
        <v>1.7850999999999999</v>
      </c>
      <c r="L4797" t="s">
        <v>323</v>
      </c>
      <c r="N4797" s="42">
        <v>44981</v>
      </c>
      <c r="O4797" t="s">
        <v>346</v>
      </c>
      <c r="P4797" s="42">
        <v>44981</v>
      </c>
      <c r="Q4797" t="s">
        <v>346</v>
      </c>
      <c r="R4797" t="s">
        <v>320</v>
      </c>
      <c r="S4797" t="s">
        <v>323</v>
      </c>
      <c r="T4797">
        <v>7.6</v>
      </c>
      <c r="Y4797" s="42">
        <v>44985</v>
      </c>
    </row>
    <row r="4798" spans="1:25">
      <c r="N4798" s="42">
        <v>44980</v>
      </c>
      <c r="O4798" t="s">
        <v>324</v>
      </c>
      <c r="P4798" s="42">
        <v>44980</v>
      </c>
      <c r="Q4798" t="s">
        <v>324</v>
      </c>
      <c r="R4798" t="s">
        <v>329</v>
      </c>
      <c r="S4798" t="s">
        <v>323</v>
      </c>
      <c r="T4798">
        <v>7.6</v>
      </c>
      <c r="W4798" t="s">
        <v>330</v>
      </c>
      <c r="Y4798" s="42">
        <v>44985</v>
      </c>
    </row>
    <row r="4799" spans="1:25">
      <c r="N4799" s="42">
        <v>44979</v>
      </c>
      <c r="O4799" t="s">
        <v>328</v>
      </c>
      <c r="P4799" s="42">
        <v>44979</v>
      </c>
      <c r="Q4799" t="s">
        <v>328</v>
      </c>
      <c r="R4799" t="s">
        <v>329</v>
      </c>
      <c r="S4799" t="s">
        <v>323</v>
      </c>
      <c r="T4799">
        <v>7.6</v>
      </c>
      <c r="W4799" t="s">
        <v>330</v>
      </c>
      <c r="Y4799" s="42">
        <v>44985</v>
      </c>
    </row>
    <row r="4800" spans="1:25">
      <c r="N4800" s="42">
        <v>44978</v>
      </c>
      <c r="O4800" t="s">
        <v>333</v>
      </c>
      <c r="P4800" s="42">
        <v>44978</v>
      </c>
      <c r="Q4800" t="s">
        <v>333</v>
      </c>
      <c r="R4800" t="s">
        <v>329</v>
      </c>
      <c r="S4800" t="s">
        <v>323</v>
      </c>
      <c r="T4800">
        <v>7.6</v>
      </c>
      <c r="W4800" t="s">
        <v>330</v>
      </c>
      <c r="Y4800" s="42">
        <v>44985</v>
      </c>
    </row>
    <row r="4801" spans="14:25">
      <c r="N4801" s="42">
        <v>44977</v>
      </c>
      <c r="O4801" t="s">
        <v>345</v>
      </c>
      <c r="P4801" s="42">
        <v>44977</v>
      </c>
      <c r="Q4801" t="s">
        <v>345</v>
      </c>
      <c r="R4801" t="s">
        <v>329</v>
      </c>
      <c r="S4801" t="s">
        <v>323</v>
      </c>
      <c r="T4801">
        <v>7.6</v>
      </c>
      <c r="W4801" t="s">
        <v>330</v>
      </c>
      <c r="Y4801" s="42">
        <v>44985</v>
      </c>
    </row>
    <row r="4802" spans="14:25">
      <c r="N4802" s="42">
        <v>44974</v>
      </c>
      <c r="O4802" t="s">
        <v>346</v>
      </c>
      <c r="P4802" s="42">
        <v>44974</v>
      </c>
      <c r="Q4802" t="s">
        <v>346</v>
      </c>
      <c r="R4802" t="s">
        <v>329</v>
      </c>
      <c r="S4802" t="s">
        <v>323</v>
      </c>
      <c r="T4802">
        <v>7.6</v>
      </c>
      <c r="W4802" t="s">
        <v>330</v>
      </c>
      <c r="Y4802" s="42">
        <v>44985</v>
      </c>
    </row>
    <row r="4803" spans="14:25">
      <c r="N4803" s="42">
        <v>44973</v>
      </c>
      <c r="O4803" t="s">
        <v>324</v>
      </c>
      <c r="P4803" s="42">
        <v>44973</v>
      </c>
      <c r="Q4803" t="s">
        <v>324</v>
      </c>
      <c r="R4803" t="s">
        <v>329</v>
      </c>
      <c r="S4803" t="s">
        <v>323</v>
      </c>
      <c r="T4803">
        <v>7.6</v>
      </c>
      <c r="W4803" t="s">
        <v>330</v>
      </c>
      <c r="Y4803" s="42">
        <v>44985</v>
      </c>
    </row>
    <row r="4804" spans="14:25">
      <c r="N4804" s="42">
        <v>44972</v>
      </c>
      <c r="O4804" t="s">
        <v>328</v>
      </c>
      <c r="P4804" s="42">
        <v>44972</v>
      </c>
      <c r="Q4804" t="s">
        <v>328</v>
      </c>
      <c r="R4804" t="s">
        <v>329</v>
      </c>
      <c r="S4804" t="s">
        <v>323</v>
      </c>
      <c r="T4804">
        <v>7.6</v>
      </c>
      <c r="W4804" t="s">
        <v>330</v>
      </c>
      <c r="Y4804" s="42">
        <v>44985</v>
      </c>
    </row>
    <row r="4805" spans="14:25">
      <c r="N4805" s="42">
        <v>44971</v>
      </c>
      <c r="O4805" t="s">
        <v>333</v>
      </c>
      <c r="P4805" s="42">
        <v>44971</v>
      </c>
      <c r="Q4805" t="s">
        <v>333</v>
      </c>
      <c r="R4805" t="s">
        <v>329</v>
      </c>
      <c r="S4805" t="s">
        <v>323</v>
      </c>
      <c r="T4805">
        <v>7.6</v>
      </c>
      <c r="W4805" t="s">
        <v>330</v>
      </c>
      <c r="Y4805" s="42">
        <v>44971</v>
      </c>
    </row>
    <row r="4806" spans="14:25">
      <c r="N4806" s="42">
        <v>44970</v>
      </c>
      <c r="O4806" t="s">
        <v>345</v>
      </c>
      <c r="P4806" s="42">
        <v>44970</v>
      </c>
      <c r="Q4806" t="s">
        <v>345</v>
      </c>
      <c r="R4806" t="s">
        <v>329</v>
      </c>
      <c r="S4806" t="s">
        <v>323</v>
      </c>
      <c r="T4806">
        <v>7.6</v>
      </c>
      <c r="W4806" t="s">
        <v>330</v>
      </c>
      <c r="Y4806" s="42">
        <v>44971</v>
      </c>
    </row>
    <row r="4807" spans="14:25">
      <c r="N4807" s="42">
        <v>44967</v>
      </c>
      <c r="O4807" t="s">
        <v>346</v>
      </c>
      <c r="P4807" s="42">
        <v>44967</v>
      </c>
      <c r="Q4807" t="s">
        <v>346</v>
      </c>
      <c r="R4807" t="s">
        <v>329</v>
      </c>
      <c r="S4807" t="s">
        <v>323</v>
      </c>
      <c r="T4807">
        <v>7.6</v>
      </c>
      <c r="W4807" t="s">
        <v>330</v>
      </c>
      <c r="Y4807" s="42">
        <v>44971</v>
      </c>
    </row>
    <row r="4808" spans="14:25">
      <c r="N4808" s="42">
        <v>44966</v>
      </c>
      <c r="O4808" t="s">
        <v>324</v>
      </c>
      <c r="P4808" s="42">
        <v>44966</v>
      </c>
      <c r="Q4808" t="s">
        <v>324</v>
      </c>
      <c r="R4808" t="s">
        <v>329</v>
      </c>
      <c r="S4808" t="s">
        <v>323</v>
      </c>
      <c r="T4808">
        <v>7.6</v>
      </c>
      <c r="W4808" t="s">
        <v>330</v>
      </c>
      <c r="Y4808" s="42">
        <v>44971</v>
      </c>
    </row>
    <row r="4809" spans="14:25">
      <c r="N4809" s="42">
        <v>44965</v>
      </c>
      <c r="O4809" t="s">
        <v>328</v>
      </c>
      <c r="P4809" s="42">
        <v>44965</v>
      </c>
      <c r="Q4809" t="s">
        <v>328</v>
      </c>
      <c r="R4809" t="s">
        <v>329</v>
      </c>
      <c r="S4809" t="s">
        <v>323</v>
      </c>
      <c r="T4809">
        <v>7.6</v>
      </c>
      <c r="W4809" t="s">
        <v>330</v>
      </c>
      <c r="Y4809" s="42">
        <v>44971</v>
      </c>
    </row>
    <row r="4810" spans="14:25">
      <c r="N4810" s="42">
        <v>44964</v>
      </c>
      <c r="O4810" t="s">
        <v>333</v>
      </c>
      <c r="P4810" s="42">
        <v>44964</v>
      </c>
      <c r="Q4810" t="s">
        <v>333</v>
      </c>
      <c r="R4810" t="s">
        <v>329</v>
      </c>
      <c r="S4810" t="s">
        <v>323</v>
      </c>
      <c r="T4810">
        <v>7.6</v>
      </c>
      <c r="W4810" t="s">
        <v>330</v>
      </c>
      <c r="Y4810" s="42">
        <v>44971</v>
      </c>
    </row>
    <row r="4811" spans="14:25">
      <c r="N4811" s="42">
        <v>44963</v>
      </c>
      <c r="O4811" t="s">
        <v>345</v>
      </c>
      <c r="P4811" s="42">
        <v>44963</v>
      </c>
      <c r="Q4811" t="s">
        <v>345</v>
      </c>
      <c r="R4811" t="s">
        <v>329</v>
      </c>
      <c r="S4811" t="s">
        <v>323</v>
      </c>
      <c r="T4811">
        <v>7.6</v>
      </c>
      <c r="W4811" t="s">
        <v>330</v>
      </c>
      <c r="Y4811" s="42">
        <v>44971</v>
      </c>
    </row>
    <row r="4812" spans="14:25">
      <c r="N4812" s="42">
        <v>44960</v>
      </c>
      <c r="O4812" t="s">
        <v>346</v>
      </c>
      <c r="P4812" s="42">
        <v>44960</v>
      </c>
      <c r="Q4812" t="s">
        <v>346</v>
      </c>
      <c r="R4812" t="s">
        <v>329</v>
      </c>
      <c r="S4812" t="s">
        <v>323</v>
      </c>
      <c r="T4812">
        <v>7.6</v>
      </c>
      <c r="W4812" t="s">
        <v>330</v>
      </c>
      <c r="Y4812" s="42">
        <v>44971</v>
      </c>
    </row>
    <row r="4813" spans="14:25">
      <c r="N4813" s="42">
        <v>44959</v>
      </c>
      <c r="O4813" t="s">
        <v>324</v>
      </c>
      <c r="P4813" s="42">
        <v>44959</v>
      </c>
      <c r="Q4813" t="s">
        <v>324</v>
      </c>
      <c r="R4813" t="s">
        <v>329</v>
      </c>
      <c r="S4813" t="s">
        <v>323</v>
      </c>
      <c r="T4813">
        <v>7.6</v>
      </c>
      <c r="W4813" t="s">
        <v>330</v>
      </c>
      <c r="Y4813" s="42">
        <v>44971</v>
      </c>
    </row>
    <row r="4814" spans="14:25">
      <c r="N4814" s="42">
        <v>44958</v>
      </c>
      <c r="O4814" t="s">
        <v>328</v>
      </c>
      <c r="P4814" s="42">
        <v>44958</v>
      </c>
      <c r="Q4814" t="s">
        <v>328</v>
      </c>
      <c r="R4814" t="s">
        <v>329</v>
      </c>
      <c r="S4814" t="s">
        <v>323</v>
      </c>
      <c r="T4814">
        <v>7.6</v>
      </c>
      <c r="W4814" t="s">
        <v>330</v>
      </c>
      <c r="Y4814" s="42">
        <v>44971</v>
      </c>
    </row>
    <row r="4815" spans="14:25">
      <c r="N4815" s="42">
        <v>44957</v>
      </c>
      <c r="O4815" t="s">
        <v>333</v>
      </c>
      <c r="P4815" s="42">
        <v>44957</v>
      </c>
      <c r="Q4815" t="s">
        <v>333</v>
      </c>
      <c r="R4815" t="s">
        <v>329</v>
      </c>
      <c r="S4815" t="s">
        <v>323</v>
      </c>
      <c r="T4815">
        <v>7.6</v>
      </c>
      <c r="W4815" t="s">
        <v>330</v>
      </c>
      <c r="Y4815" s="42">
        <v>44957</v>
      </c>
    </row>
    <row r="4816" spans="14:25">
      <c r="N4816" s="42">
        <v>44956</v>
      </c>
      <c r="O4816" t="s">
        <v>345</v>
      </c>
      <c r="P4816" s="42">
        <v>44956</v>
      </c>
      <c r="Q4816" t="s">
        <v>345</v>
      </c>
      <c r="R4816" t="s">
        <v>329</v>
      </c>
      <c r="S4816" t="s">
        <v>323</v>
      </c>
      <c r="T4816">
        <v>7.6</v>
      </c>
      <c r="W4816" t="s">
        <v>330</v>
      </c>
      <c r="Y4816" s="42">
        <v>44957</v>
      </c>
    </row>
    <row r="4817" spans="14:25">
      <c r="N4817" s="42">
        <v>44953</v>
      </c>
      <c r="O4817" t="s">
        <v>346</v>
      </c>
      <c r="P4817" s="42">
        <v>44953</v>
      </c>
      <c r="Q4817" t="s">
        <v>346</v>
      </c>
      <c r="R4817" t="s">
        <v>320</v>
      </c>
      <c r="S4817" t="s">
        <v>323</v>
      </c>
      <c r="T4817">
        <v>7.6</v>
      </c>
      <c r="Y4817" s="42">
        <v>44957</v>
      </c>
    </row>
    <row r="4818" spans="14:25">
      <c r="N4818" s="42">
        <v>44952</v>
      </c>
      <c r="O4818" t="s">
        <v>324</v>
      </c>
      <c r="P4818" s="42">
        <v>44952</v>
      </c>
      <c r="Q4818" t="s">
        <v>324</v>
      </c>
      <c r="R4818" t="s">
        <v>320</v>
      </c>
      <c r="S4818" t="s">
        <v>323</v>
      </c>
      <c r="U4818">
        <v>7.6</v>
      </c>
    </row>
    <row r="4819" spans="14:25">
      <c r="N4819" s="42">
        <v>44928</v>
      </c>
      <c r="O4819" t="s">
        <v>345</v>
      </c>
      <c r="P4819" s="42">
        <v>44928</v>
      </c>
      <c r="Q4819" t="s">
        <v>345</v>
      </c>
      <c r="R4819" t="s">
        <v>320</v>
      </c>
      <c r="S4819" t="s">
        <v>323</v>
      </c>
      <c r="U4819">
        <v>7.6</v>
      </c>
    </row>
    <row r="4820" spans="14:25">
      <c r="N4820" s="42">
        <v>44925</v>
      </c>
      <c r="O4820" t="s">
        <v>346</v>
      </c>
      <c r="P4820" s="42">
        <v>44925</v>
      </c>
      <c r="Q4820" t="s">
        <v>346</v>
      </c>
      <c r="R4820" t="s">
        <v>320</v>
      </c>
      <c r="S4820" t="s">
        <v>323</v>
      </c>
      <c r="T4820">
        <v>7.6</v>
      </c>
      <c r="Y4820" s="42">
        <v>44929</v>
      </c>
    </row>
    <row r="4821" spans="14:25">
      <c r="N4821" s="42">
        <v>44924</v>
      </c>
      <c r="O4821" t="s">
        <v>324</v>
      </c>
      <c r="P4821" s="42">
        <v>44924</v>
      </c>
      <c r="Q4821" t="s">
        <v>324</v>
      </c>
      <c r="R4821" t="s">
        <v>320</v>
      </c>
      <c r="S4821" t="s">
        <v>323</v>
      </c>
      <c r="T4821">
        <v>7.6</v>
      </c>
      <c r="Y4821" s="42">
        <v>44929</v>
      </c>
    </row>
    <row r="4822" spans="14:25">
      <c r="N4822" s="42">
        <v>44923</v>
      </c>
      <c r="O4822" t="s">
        <v>328</v>
      </c>
      <c r="P4822" s="42">
        <v>44923</v>
      </c>
      <c r="Q4822" t="s">
        <v>328</v>
      </c>
      <c r="R4822" t="s">
        <v>320</v>
      </c>
      <c r="S4822" t="s">
        <v>323</v>
      </c>
      <c r="T4822">
        <v>7.6</v>
      </c>
      <c r="Y4822" s="42">
        <v>44929</v>
      </c>
    </row>
    <row r="4823" spans="14:25">
      <c r="N4823" s="42">
        <v>44922</v>
      </c>
      <c r="O4823" t="s">
        <v>333</v>
      </c>
      <c r="P4823" s="42">
        <v>44922</v>
      </c>
      <c r="Q4823" t="s">
        <v>333</v>
      </c>
      <c r="R4823" t="s">
        <v>320</v>
      </c>
      <c r="S4823" t="s">
        <v>323</v>
      </c>
      <c r="U4823">
        <v>7.6</v>
      </c>
    </row>
    <row r="4824" spans="14:25">
      <c r="N4824" s="42">
        <v>44921</v>
      </c>
      <c r="O4824" t="s">
        <v>345</v>
      </c>
      <c r="P4824" s="42">
        <v>44921</v>
      </c>
      <c r="Q4824" t="s">
        <v>345</v>
      </c>
      <c r="R4824" t="s">
        <v>320</v>
      </c>
      <c r="S4824" t="s">
        <v>323</v>
      </c>
      <c r="U4824">
        <v>7.6</v>
      </c>
    </row>
    <row r="4825" spans="14:25">
      <c r="N4825" s="42">
        <v>44915</v>
      </c>
      <c r="O4825" t="s">
        <v>333</v>
      </c>
      <c r="P4825" s="42">
        <v>44915</v>
      </c>
      <c r="Q4825" t="s">
        <v>333</v>
      </c>
      <c r="R4825" t="s">
        <v>320</v>
      </c>
      <c r="S4825" t="s">
        <v>323</v>
      </c>
      <c r="T4825">
        <v>7.6</v>
      </c>
      <c r="Y4825" s="42">
        <v>44915</v>
      </c>
    </row>
    <row r="4826" spans="14:25">
      <c r="N4826" s="42">
        <v>44887</v>
      </c>
      <c r="O4826" t="s">
        <v>333</v>
      </c>
      <c r="P4826" s="42">
        <v>44887</v>
      </c>
      <c r="Q4826" t="s">
        <v>333</v>
      </c>
      <c r="R4826" t="s">
        <v>320</v>
      </c>
      <c r="S4826" t="s">
        <v>323</v>
      </c>
      <c r="T4826">
        <v>7.6</v>
      </c>
      <c r="Y4826" s="42">
        <v>44887</v>
      </c>
    </row>
    <row r="4827" spans="14:25">
      <c r="N4827" s="42">
        <v>44876</v>
      </c>
      <c r="O4827" t="s">
        <v>346</v>
      </c>
      <c r="P4827" s="42">
        <v>44876</v>
      </c>
      <c r="Q4827" t="s">
        <v>346</v>
      </c>
      <c r="R4827" t="s">
        <v>320</v>
      </c>
      <c r="S4827" t="s">
        <v>323</v>
      </c>
      <c r="T4827">
        <v>7.6</v>
      </c>
      <c r="Y4827" s="42">
        <v>44887</v>
      </c>
    </row>
    <row r="4828" spans="14:25">
      <c r="N4828" s="42">
        <v>44873</v>
      </c>
      <c r="O4828" t="s">
        <v>333</v>
      </c>
      <c r="P4828" s="42">
        <v>44873</v>
      </c>
      <c r="Q4828" t="s">
        <v>333</v>
      </c>
      <c r="R4828" t="s">
        <v>383</v>
      </c>
      <c r="S4828" t="s">
        <v>323</v>
      </c>
      <c r="T4828">
        <v>76</v>
      </c>
      <c r="W4828" t="s">
        <v>339</v>
      </c>
      <c r="Y4828" s="42">
        <v>44873</v>
      </c>
    </row>
    <row r="4829" spans="14:25">
      <c r="N4829" s="42">
        <v>44862</v>
      </c>
      <c r="O4829" t="s">
        <v>346</v>
      </c>
      <c r="P4829" s="42">
        <v>44862</v>
      </c>
      <c r="Q4829" t="s">
        <v>346</v>
      </c>
      <c r="R4829" t="s">
        <v>320</v>
      </c>
      <c r="S4829" t="s">
        <v>323</v>
      </c>
      <c r="T4829">
        <v>7.6</v>
      </c>
      <c r="Y4829" s="42">
        <v>44873</v>
      </c>
    </row>
    <row r="4830" spans="14:25">
      <c r="N4830" s="42">
        <v>44855</v>
      </c>
      <c r="O4830" t="s">
        <v>346</v>
      </c>
      <c r="P4830" s="42">
        <v>44855</v>
      </c>
      <c r="Q4830" t="s">
        <v>346</v>
      </c>
      <c r="R4830" t="s">
        <v>320</v>
      </c>
      <c r="S4830" t="s">
        <v>323</v>
      </c>
      <c r="T4830">
        <v>7.6</v>
      </c>
      <c r="Y4830" s="42">
        <v>44859</v>
      </c>
    </row>
    <row r="4831" spans="14:25">
      <c r="N4831" s="42">
        <v>44851</v>
      </c>
      <c r="O4831" t="s">
        <v>345</v>
      </c>
      <c r="P4831" s="42">
        <v>44851</v>
      </c>
      <c r="Q4831" t="s">
        <v>345</v>
      </c>
      <c r="R4831" t="s">
        <v>329</v>
      </c>
      <c r="S4831" t="s">
        <v>323</v>
      </c>
      <c r="T4831">
        <v>7.6</v>
      </c>
      <c r="W4831" t="s">
        <v>330</v>
      </c>
      <c r="Y4831" s="42">
        <v>44859</v>
      </c>
    </row>
    <row r="4832" spans="14:25">
      <c r="N4832" s="42">
        <v>44837</v>
      </c>
      <c r="O4832" t="s">
        <v>345</v>
      </c>
      <c r="P4832" s="42">
        <v>44837</v>
      </c>
      <c r="Q4832" t="s">
        <v>345</v>
      </c>
      <c r="R4832" t="s">
        <v>320</v>
      </c>
      <c r="S4832" t="s">
        <v>323</v>
      </c>
      <c r="U4832">
        <v>7.6</v>
      </c>
    </row>
    <row r="4833" spans="14:25">
      <c r="N4833" s="42">
        <v>44826</v>
      </c>
      <c r="O4833" t="s">
        <v>324</v>
      </c>
      <c r="P4833" s="42">
        <v>44826</v>
      </c>
      <c r="Q4833" t="s">
        <v>324</v>
      </c>
      <c r="R4833" t="s">
        <v>320</v>
      </c>
      <c r="S4833" t="s">
        <v>323</v>
      </c>
      <c r="U4833">
        <v>7.6</v>
      </c>
    </row>
    <row r="4834" spans="14:25">
      <c r="N4834" s="42">
        <v>44754</v>
      </c>
      <c r="O4834" t="s">
        <v>333</v>
      </c>
      <c r="P4834" s="42">
        <v>44754</v>
      </c>
      <c r="Q4834" t="s">
        <v>333</v>
      </c>
      <c r="R4834" t="s">
        <v>320</v>
      </c>
      <c r="S4834" t="s">
        <v>323</v>
      </c>
      <c r="T4834">
        <v>7.6</v>
      </c>
      <c r="Y4834" s="42">
        <v>44761</v>
      </c>
    </row>
    <row r="4835" spans="14:25">
      <c r="N4835" s="42">
        <v>44753</v>
      </c>
      <c r="O4835" t="s">
        <v>345</v>
      </c>
      <c r="P4835" s="42">
        <v>44753</v>
      </c>
      <c r="Q4835" t="s">
        <v>345</v>
      </c>
      <c r="R4835" t="s">
        <v>320</v>
      </c>
      <c r="S4835" t="s">
        <v>323</v>
      </c>
      <c r="T4835">
        <v>7.6</v>
      </c>
      <c r="Y4835" s="42">
        <v>44761</v>
      </c>
    </row>
    <row r="4836" spans="14:25">
      <c r="N4836" s="42">
        <v>44750</v>
      </c>
      <c r="O4836" t="s">
        <v>346</v>
      </c>
      <c r="P4836" s="42">
        <v>44750</v>
      </c>
      <c r="Q4836" t="s">
        <v>346</v>
      </c>
      <c r="R4836" t="s">
        <v>320</v>
      </c>
      <c r="S4836" t="s">
        <v>323</v>
      </c>
      <c r="T4836">
        <v>7.6</v>
      </c>
      <c r="Y4836" s="42">
        <v>44761</v>
      </c>
    </row>
    <row r="4837" spans="14:25">
      <c r="N4837" s="42">
        <v>44749</v>
      </c>
      <c r="O4837" t="s">
        <v>324</v>
      </c>
      <c r="P4837" s="42">
        <v>44749</v>
      </c>
      <c r="Q4837" t="s">
        <v>324</v>
      </c>
      <c r="R4837" t="s">
        <v>320</v>
      </c>
      <c r="S4837" t="s">
        <v>323</v>
      </c>
      <c r="T4837">
        <v>7.6</v>
      </c>
      <c r="Y4837" s="42">
        <v>44761</v>
      </c>
    </row>
    <row r="4838" spans="14:25">
      <c r="N4838" s="42">
        <v>44725</v>
      </c>
      <c r="O4838" t="s">
        <v>345</v>
      </c>
      <c r="P4838" s="42">
        <v>44725</v>
      </c>
      <c r="Q4838" t="s">
        <v>345</v>
      </c>
      <c r="R4838" t="s">
        <v>320</v>
      </c>
      <c r="S4838" t="s">
        <v>323</v>
      </c>
      <c r="U4838">
        <v>7.6</v>
      </c>
    </row>
    <row r="4839" spans="14:25">
      <c r="N4839" s="42">
        <v>44720</v>
      </c>
      <c r="O4839" t="s">
        <v>328</v>
      </c>
      <c r="P4839" s="42">
        <v>44720</v>
      </c>
      <c r="Q4839" t="s">
        <v>328</v>
      </c>
      <c r="R4839" t="s">
        <v>329</v>
      </c>
      <c r="S4839" t="s">
        <v>323</v>
      </c>
      <c r="T4839">
        <v>7.6</v>
      </c>
      <c r="W4839" t="s">
        <v>330</v>
      </c>
      <c r="Y4839" s="42">
        <v>44733</v>
      </c>
    </row>
    <row r="4840" spans="14:25">
      <c r="N4840" s="42">
        <v>44676</v>
      </c>
      <c r="O4840" t="s">
        <v>345</v>
      </c>
      <c r="P4840" s="42">
        <v>44676</v>
      </c>
      <c r="Q4840" t="s">
        <v>345</v>
      </c>
      <c r="R4840" t="s">
        <v>320</v>
      </c>
      <c r="S4840" t="s">
        <v>323</v>
      </c>
      <c r="U4840">
        <v>7.6</v>
      </c>
    </row>
    <row r="4841" spans="14:25">
      <c r="N4841" s="42">
        <v>44673</v>
      </c>
      <c r="O4841" t="s">
        <v>346</v>
      </c>
      <c r="P4841" s="42">
        <v>44673</v>
      </c>
      <c r="Q4841" t="s">
        <v>346</v>
      </c>
      <c r="R4841" t="s">
        <v>320</v>
      </c>
      <c r="S4841" t="s">
        <v>323</v>
      </c>
      <c r="T4841">
        <v>7.6</v>
      </c>
      <c r="Y4841" s="42">
        <v>44677</v>
      </c>
    </row>
    <row r="4842" spans="14:25">
      <c r="N4842" s="42">
        <v>44672</v>
      </c>
      <c r="O4842" t="s">
        <v>324</v>
      </c>
      <c r="P4842" s="42">
        <v>44672</v>
      </c>
      <c r="Q4842" t="s">
        <v>324</v>
      </c>
      <c r="R4842" t="s">
        <v>320</v>
      </c>
      <c r="S4842" t="s">
        <v>323</v>
      </c>
      <c r="T4842">
        <v>7.6</v>
      </c>
      <c r="Y4842" s="42">
        <v>44677</v>
      </c>
    </row>
    <row r="4843" spans="14:25">
      <c r="N4843" s="42">
        <v>44671</v>
      </c>
      <c r="O4843" t="s">
        <v>328</v>
      </c>
      <c r="P4843" s="42">
        <v>44671</v>
      </c>
      <c r="Q4843" t="s">
        <v>328</v>
      </c>
      <c r="R4843" t="s">
        <v>320</v>
      </c>
      <c r="S4843" t="s">
        <v>323</v>
      </c>
      <c r="T4843">
        <v>7.6</v>
      </c>
      <c r="Y4843" s="42">
        <v>44677</v>
      </c>
    </row>
    <row r="4844" spans="14:25">
      <c r="N4844" s="42">
        <v>44670</v>
      </c>
      <c r="O4844" t="s">
        <v>333</v>
      </c>
      <c r="P4844" s="42">
        <v>44670</v>
      </c>
      <c r="Q4844" t="s">
        <v>333</v>
      </c>
      <c r="R4844" t="s">
        <v>320</v>
      </c>
      <c r="S4844" t="s">
        <v>323</v>
      </c>
      <c r="T4844">
        <v>7.6</v>
      </c>
      <c r="Y4844" s="42">
        <v>44677</v>
      </c>
    </row>
    <row r="4845" spans="14:25">
      <c r="N4845" s="42">
        <v>44669</v>
      </c>
      <c r="O4845" t="s">
        <v>345</v>
      </c>
      <c r="P4845" s="42">
        <v>44669</v>
      </c>
      <c r="Q4845" t="s">
        <v>345</v>
      </c>
      <c r="R4845" t="s">
        <v>320</v>
      </c>
      <c r="S4845" t="s">
        <v>323</v>
      </c>
      <c r="U4845">
        <v>7.6</v>
      </c>
    </row>
    <row r="4846" spans="14:25">
      <c r="N4846" s="42">
        <v>44666</v>
      </c>
      <c r="O4846" t="s">
        <v>346</v>
      </c>
      <c r="P4846" s="42">
        <v>44666</v>
      </c>
      <c r="Q4846" t="s">
        <v>346</v>
      </c>
      <c r="R4846" t="s">
        <v>320</v>
      </c>
      <c r="S4846" t="s">
        <v>323</v>
      </c>
      <c r="U4846">
        <v>7.6</v>
      </c>
    </row>
    <row r="4847" spans="14:25">
      <c r="N4847" s="42">
        <v>44659</v>
      </c>
      <c r="O4847" t="s">
        <v>346</v>
      </c>
      <c r="P4847" s="42">
        <v>44659</v>
      </c>
      <c r="Q4847" t="s">
        <v>346</v>
      </c>
      <c r="R4847" t="s">
        <v>320</v>
      </c>
      <c r="S4847" t="s">
        <v>323</v>
      </c>
      <c r="T4847">
        <v>7.6</v>
      </c>
      <c r="Y4847" s="42">
        <v>44663</v>
      </c>
    </row>
    <row r="4848" spans="14:25">
      <c r="N4848" s="42">
        <v>44587</v>
      </c>
      <c r="O4848" t="s">
        <v>328</v>
      </c>
      <c r="P4848" s="42">
        <v>44587</v>
      </c>
      <c r="Q4848" t="s">
        <v>328</v>
      </c>
      <c r="R4848" t="s">
        <v>320</v>
      </c>
      <c r="S4848" t="s">
        <v>323</v>
      </c>
      <c r="U4848">
        <v>7.6</v>
      </c>
    </row>
    <row r="4849" spans="14:25">
      <c r="N4849" s="42">
        <v>44586</v>
      </c>
      <c r="O4849" t="s">
        <v>333</v>
      </c>
      <c r="P4849" s="42">
        <v>44586</v>
      </c>
      <c r="Q4849" t="s">
        <v>333</v>
      </c>
      <c r="R4849" t="s">
        <v>320</v>
      </c>
      <c r="S4849" t="s">
        <v>323</v>
      </c>
      <c r="T4849">
        <v>7.6</v>
      </c>
      <c r="Y4849" s="42">
        <v>44593</v>
      </c>
    </row>
    <row r="4850" spans="14:25">
      <c r="N4850" s="42">
        <v>44585</v>
      </c>
      <c r="O4850" t="s">
        <v>345</v>
      </c>
      <c r="P4850" s="42">
        <v>44585</v>
      </c>
      <c r="Q4850" t="s">
        <v>345</v>
      </c>
      <c r="R4850" t="s">
        <v>320</v>
      </c>
      <c r="S4850" t="s">
        <v>323</v>
      </c>
      <c r="T4850">
        <v>7.6</v>
      </c>
      <c r="Y4850" s="42">
        <v>44593</v>
      </c>
    </row>
    <row r="4851" spans="14:25">
      <c r="N4851" s="42">
        <v>44579</v>
      </c>
      <c r="O4851" t="s">
        <v>333</v>
      </c>
      <c r="P4851" s="42">
        <v>44579</v>
      </c>
      <c r="Q4851" t="s">
        <v>333</v>
      </c>
      <c r="R4851" t="s">
        <v>329</v>
      </c>
      <c r="S4851" t="s">
        <v>323</v>
      </c>
      <c r="T4851">
        <v>7.6</v>
      </c>
      <c r="W4851" t="s">
        <v>330</v>
      </c>
      <c r="Y4851" s="42">
        <v>44579</v>
      </c>
    </row>
    <row r="4852" spans="14:25">
      <c r="N4852" s="42">
        <v>44578</v>
      </c>
      <c r="O4852" t="s">
        <v>345</v>
      </c>
      <c r="P4852" s="42">
        <v>44578</v>
      </c>
      <c r="Q4852" t="s">
        <v>345</v>
      </c>
      <c r="R4852" t="s">
        <v>329</v>
      </c>
      <c r="S4852" t="s">
        <v>323</v>
      </c>
      <c r="T4852">
        <v>7.6</v>
      </c>
      <c r="W4852" t="s">
        <v>330</v>
      </c>
      <c r="Y4852" s="42">
        <v>44579</v>
      </c>
    </row>
    <row r="4853" spans="14:25">
      <c r="N4853" s="42">
        <v>44575</v>
      </c>
      <c r="O4853" t="s">
        <v>346</v>
      </c>
      <c r="P4853" s="42">
        <v>44575</v>
      </c>
      <c r="Q4853" t="s">
        <v>346</v>
      </c>
      <c r="R4853" t="s">
        <v>329</v>
      </c>
      <c r="S4853" t="s">
        <v>323</v>
      </c>
      <c r="T4853">
        <v>7.6</v>
      </c>
      <c r="W4853" t="s">
        <v>330</v>
      </c>
      <c r="Y4853" s="42">
        <v>44579</v>
      </c>
    </row>
    <row r="4854" spans="14:25">
      <c r="N4854" s="42">
        <v>44574</v>
      </c>
      <c r="O4854" t="s">
        <v>324</v>
      </c>
      <c r="P4854" s="42">
        <v>44574</v>
      </c>
      <c r="Q4854" t="s">
        <v>324</v>
      </c>
      <c r="R4854" t="s">
        <v>329</v>
      </c>
      <c r="S4854" t="s">
        <v>323</v>
      </c>
      <c r="T4854">
        <v>7.6</v>
      </c>
      <c r="W4854" t="s">
        <v>330</v>
      </c>
      <c r="Y4854" s="42">
        <v>44579</v>
      </c>
    </row>
    <row r="4855" spans="14:25">
      <c r="N4855" s="42">
        <v>44573</v>
      </c>
      <c r="O4855" t="s">
        <v>328</v>
      </c>
      <c r="P4855" s="42">
        <v>44573</v>
      </c>
      <c r="Q4855" t="s">
        <v>328</v>
      </c>
      <c r="R4855" t="s">
        <v>329</v>
      </c>
      <c r="S4855" t="s">
        <v>323</v>
      </c>
      <c r="T4855">
        <v>7.6</v>
      </c>
      <c r="W4855" t="s">
        <v>330</v>
      </c>
      <c r="Y4855" s="42">
        <v>44579</v>
      </c>
    </row>
    <row r="4856" spans="14:25">
      <c r="N4856" s="42">
        <v>44572</v>
      </c>
      <c r="O4856" t="s">
        <v>333</v>
      </c>
      <c r="P4856" s="42">
        <v>44572</v>
      </c>
      <c r="Q4856" t="s">
        <v>333</v>
      </c>
      <c r="R4856" t="s">
        <v>329</v>
      </c>
      <c r="S4856" t="s">
        <v>323</v>
      </c>
      <c r="T4856">
        <v>7.6</v>
      </c>
      <c r="W4856" t="s">
        <v>330</v>
      </c>
      <c r="Y4856" s="42">
        <v>44579</v>
      </c>
    </row>
    <row r="4857" spans="14:25">
      <c r="N4857" s="42">
        <v>44571</v>
      </c>
      <c r="O4857" t="s">
        <v>345</v>
      </c>
      <c r="P4857" s="42">
        <v>44571</v>
      </c>
      <c r="Q4857" t="s">
        <v>345</v>
      </c>
      <c r="R4857" t="s">
        <v>329</v>
      </c>
      <c r="S4857" t="s">
        <v>323</v>
      </c>
      <c r="T4857">
        <v>7.6</v>
      </c>
      <c r="W4857" t="s">
        <v>330</v>
      </c>
      <c r="Y4857" s="42">
        <v>44579</v>
      </c>
    </row>
    <row r="4858" spans="14:25">
      <c r="N4858" s="42">
        <v>44568</v>
      </c>
      <c r="O4858" t="s">
        <v>346</v>
      </c>
      <c r="P4858" s="42">
        <v>44568</v>
      </c>
      <c r="Q4858" t="s">
        <v>346</v>
      </c>
      <c r="R4858" t="s">
        <v>329</v>
      </c>
      <c r="S4858" t="s">
        <v>323</v>
      </c>
      <c r="T4858">
        <v>7.6</v>
      </c>
      <c r="W4858" t="s">
        <v>330</v>
      </c>
      <c r="Y4858" s="42">
        <v>44579</v>
      </c>
    </row>
    <row r="4859" spans="14:25">
      <c r="N4859" s="42">
        <v>44567</v>
      </c>
      <c r="O4859" t="s">
        <v>324</v>
      </c>
      <c r="P4859" s="42">
        <v>44567</v>
      </c>
      <c r="Q4859" t="s">
        <v>324</v>
      </c>
      <c r="R4859" t="s">
        <v>329</v>
      </c>
      <c r="S4859" t="s">
        <v>323</v>
      </c>
      <c r="T4859">
        <v>7.6</v>
      </c>
      <c r="W4859" t="s">
        <v>330</v>
      </c>
      <c r="Y4859" s="42">
        <v>44579</v>
      </c>
    </row>
    <row r="4860" spans="14:25">
      <c r="N4860" s="42">
        <v>44566</v>
      </c>
      <c r="O4860" t="s">
        <v>328</v>
      </c>
      <c r="P4860" s="42">
        <v>44566</v>
      </c>
      <c r="Q4860" t="s">
        <v>328</v>
      </c>
      <c r="R4860" t="s">
        <v>320</v>
      </c>
      <c r="S4860" t="s">
        <v>323</v>
      </c>
      <c r="T4860">
        <v>7.6</v>
      </c>
      <c r="Y4860" s="42">
        <v>44579</v>
      </c>
    </row>
    <row r="4861" spans="14:25">
      <c r="N4861" s="42">
        <v>44565</v>
      </c>
      <c r="O4861" t="s">
        <v>333</v>
      </c>
      <c r="P4861" s="42">
        <v>44565</v>
      </c>
      <c r="Q4861" t="s">
        <v>333</v>
      </c>
      <c r="R4861" t="s">
        <v>320</v>
      </c>
      <c r="S4861" t="s">
        <v>323</v>
      </c>
      <c r="T4861">
        <v>7.6</v>
      </c>
      <c r="Y4861" s="42">
        <v>44565</v>
      </c>
    </row>
    <row r="4862" spans="14:25">
      <c r="N4862" s="42">
        <v>44564</v>
      </c>
      <c r="O4862" t="s">
        <v>345</v>
      </c>
      <c r="P4862" s="42">
        <v>44564</v>
      </c>
      <c r="Q4862" t="s">
        <v>345</v>
      </c>
      <c r="R4862" t="s">
        <v>320</v>
      </c>
      <c r="S4862" t="s">
        <v>323</v>
      </c>
      <c r="U4862">
        <v>7.6</v>
      </c>
    </row>
    <row r="4863" spans="14:25">
      <c r="N4863" s="42">
        <v>44561</v>
      </c>
      <c r="O4863" t="s">
        <v>346</v>
      </c>
      <c r="P4863" s="42">
        <v>44561</v>
      </c>
      <c r="Q4863" t="s">
        <v>346</v>
      </c>
      <c r="R4863" t="s">
        <v>320</v>
      </c>
      <c r="S4863" t="s">
        <v>323</v>
      </c>
      <c r="T4863">
        <v>7.6</v>
      </c>
      <c r="Y4863" s="42">
        <v>44565</v>
      </c>
    </row>
    <row r="4864" spans="14:25">
      <c r="N4864" s="42">
        <v>44560</v>
      </c>
      <c r="O4864" t="s">
        <v>324</v>
      </c>
      <c r="P4864" s="42">
        <v>44560</v>
      </c>
      <c r="Q4864" t="s">
        <v>324</v>
      </c>
      <c r="R4864" t="s">
        <v>320</v>
      </c>
      <c r="S4864" t="s">
        <v>323</v>
      </c>
      <c r="T4864">
        <v>7.6</v>
      </c>
      <c r="Y4864" s="42">
        <v>44565</v>
      </c>
    </row>
    <row r="4865" spans="14:25">
      <c r="N4865" s="42">
        <v>44559</v>
      </c>
      <c r="O4865" t="s">
        <v>328</v>
      </c>
      <c r="P4865" s="42">
        <v>44559</v>
      </c>
      <c r="Q4865" t="s">
        <v>328</v>
      </c>
      <c r="R4865" t="s">
        <v>320</v>
      </c>
      <c r="S4865" t="s">
        <v>323</v>
      </c>
      <c r="T4865">
        <v>7.6</v>
      </c>
      <c r="Y4865" s="42">
        <v>44565</v>
      </c>
    </row>
    <row r="4866" spans="14:25">
      <c r="N4866" s="42">
        <v>44558</v>
      </c>
      <c r="O4866" t="s">
        <v>333</v>
      </c>
      <c r="P4866" s="42">
        <v>44558</v>
      </c>
      <c r="Q4866" t="s">
        <v>333</v>
      </c>
      <c r="R4866" t="s">
        <v>320</v>
      </c>
      <c r="S4866" t="s">
        <v>323</v>
      </c>
      <c r="U4866">
        <v>7.6</v>
      </c>
    </row>
    <row r="4867" spans="14:25">
      <c r="N4867" s="42">
        <v>44557</v>
      </c>
      <c r="O4867" t="s">
        <v>345</v>
      </c>
      <c r="P4867" s="42">
        <v>44557</v>
      </c>
      <c r="Q4867" t="s">
        <v>345</v>
      </c>
      <c r="R4867" t="s">
        <v>320</v>
      </c>
      <c r="S4867" t="s">
        <v>323</v>
      </c>
      <c r="U4867">
        <v>7.6</v>
      </c>
    </row>
    <row r="4868" spans="14:25">
      <c r="N4868" s="42">
        <v>44473</v>
      </c>
      <c r="O4868" t="s">
        <v>345</v>
      </c>
      <c r="P4868" s="42">
        <v>44473</v>
      </c>
      <c r="Q4868" t="s">
        <v>345</v>
      </c>
      <c r="R4868" t="s">
        <v>320</v>
      </c>
      <c r="S4868" t="s">
        <v>323</v>
      </c>
      <c r="U4868">
        <v>7.6</v>
      </c>
    </row>
    <row r="4869" spans="14:25">
      <c r="N4869" s="42">
        <v>44433</v>
      </c>
      <c r="O4869" t="s">
        <v>328</v>
      </c>
      <c r="P4869" s="42">
        <v>44433</v>
      </c>
      <c r="Q4869" t="s">
        <v>328</v>
      </c>
      <c r="R4869" t="s">
        <v>329</v>
      </c>
      <c r="S4869" t="s">
        <v>323</v>
      </c>
      <c r="T4869">
        <v>7.6</v>
      </c>
      <c r="W4869" t="s">
        <v>330</v>
      </c>
      <c r="Y4869" s="42">
        <v>44439</v>
      </c>
    </row>
    <row r="4870" spans="14:25">
      <c r="N4870" s="42">
        <v>44405</v>
      </c>
      <c r="O4870" t="s">
        <v>328</v>
      </c>
      <c r="P4870" s="42">
        <v>44405</v>
      </c>
      <c r="Q4870" t="s">
        <v>328</v>
      </c>
      <c r="R4870" t="s">
        <v>329</v>
      </c>
      <c r="S4870" t="s">
        <v>323</v>
      </c>
      <c r="T4870">
        <v>2.25</v>
      </c>
      <c r="W4870" t="s">
        <v>330</v>
      </c>
      <c r="Y4870" s="42">
        <v>44411</v>
      </c>
    </row>
    <row r="4871" spans="14:25">
      <c r="N4871" s="42">
        <v>44364</v>
      </c>
      <c r="O4871" t="s">
        <v>324</v>
      </c>
      <c r="P4871" s="42">
        <v>44364</v>
      </c>
      <c r="Q4871" t="s">
        <v>324</v>
      </c>
      <c r="R4871" t="s">
        <v>329</v>
      </c>
      <c r="S4871" t="s">
        <v>323</v>
      </c>
      <c r="T4871">
        <v>7.6</v>
      </c>
      <c r="W4871" t="s">
        <v>330</v>
      </c>
      <c r="Y4871" s="42">
        <v>44369</v>
      </c>
    </row>
    <row r="4872" spans="14:25">
      <c r="N4872" s="42">
        <v>44361</v>
      </c>
      <c r="O4872" t="s">
        <v>345</v>
      </c>
      <c r="P4872" s="42">
        <v>44361</v>
      </c>
      <c r="Q4872" t="s">
        <v>345</v>
      </c>
      <c r="R4872" t="s">
        <v>320</v>
      </c>
      <c r="S4872" t="s">
        <v>323</v>
      </c>
      <c r="U4872">
        <v>7.6</v>
      </c>
    </row>
    <row r="4873" spans="14:25">
      <c r="N4873" s="42">
        <v>44298</v>
      </c>
      <c r="O4873" t="s">
        <v>345</v>
      </c>
      <c r="P4873" s="42">
        <v>44298</v>
      </c>
      <c r="Q4873" t="s">
        <v>345</v>
      </c>
      <c r="R4873" t="s">
        <v>320</v>
      </c>
      <c r="S4873" t="s">
        <v>323</v>
      </c>
      <c r="T4873">
        <v>7.6</v>
      </c>
      <c r="Y4873" s="42">
        <v>44299</v>
      </c>
    </row>
    <row r="4874" spans="14:25">
      <c r="N4874" s="42">
        <v>44295</v>
      </c>
      <c r="O4874" t="s">
        <v>346</v>
      </c>
      <c r="P4874" s="42">
        <v>44295</v>
      </c>
      <c r="Q4874" t="s">
        <v>346</v>
      </c>
      <c r="R4874" t="s">
        <v>320</v>
      </c>
      <c r="S4874" t="s">
        <v>323</v>
      </c>
      <c r="T4874">
        <v>7.6</v>
      </c>
      <c r="Y4874" s="42">
        <v>44299</v>
      </c>
    </row>
    <row r="4875" spans="14:25">
      <c r="N4875" s="42">
        <v>44294</v>
      </c>
      <c r="O4875" t="s">
        <v>324</v>
      </c>
      <c r="P4875" s="42">
        <v>44294</v>
      </c>
      <c r="Q4875" t="s">
        <v>324</v>
      </c>
      <c r="R4875" t="s">
        <v>320</v>
      </c>
      <c r="S4875" t="s">
        <v>323</v>
      </c>
      <c r="T4875">
        <v>7.6</v>
      </c>
      <c r="Y4875" s="42">
        <v>44299</v>
      </c>
    </row>
    <row r="4876" spans="14:25">
      <c r="N4876" s="42">
        <v>44293</v>
      </c>
      <c r="O4876" t="s">
        <v>328</v>
      </c>
      <c r="P4876" s="42">
        <v>44293</v>
      </c>
      <c r="Q4876" t="s">
        <v>328</v>
      </c>
      <c r="R4876" t="s">
        <v>320</v>
      </c>
      <c r="S4876" t="s">
        <v>323</v>
      </c>
      <c r="T4876">
        <v>7.6</v>
      </c>
      <c r="Y4876" s="42">
        <v>44299</v>
      </c>
    </row>
    <row r="4877" spans="14:25">
      <c r="N4877" s="42">
        <v>44292</v>
      </c>
      <c r="O4877" t="s">
        <v>333</v>
      </c>
      <c r="P4877" s="42">
        <v>44292</v>
      </c>
      <c r="Q4877" t="s">
        <v>333</v>
      </c>
      <c r="R4877" t="s">
        <v>320</v>
      </c>
      <c r="S4877" t="s">
        <v>323</v>
      </c>
      <c r="T4877">
        <v>7.6</v>
      </c>
      <c r="Y4877" s="42">
        <v>44299</v>
      </c>
    </row>
    <row r="4878" spans="14:25">
      <c r="N4878" s="42">
        <v>44291</v>
      </c>
      <c r="O4878" t="s">
        <v>345</v>
      </c>
      <c r="P4878" s="42">
        <v>44291</v>
      </c>
      <c r="Q4878" t="s">
        <v>345</v>
      </c>
      <c r="R4878" t="s">
        <v>320</v>
      </c>
      <c r="S4878" t="s">
        <v>323</v>
      </c>
      <c r="U4878">
        <v>7.6</v>
      </c>
    </row>
    <row r="4879" spans="14:25">
      <c r="N4879" s="42">
        <v>44288</v>
      </c>
      <c r="O4879" t="s">
        <v>346</v>
      </c>
      <c r="P4879" s="42">
        <v>44288</v>
      </c>
      <c r="Q4879" t="s">
        <v>346</v>
      </c>
      <c r="R4879" t="s">
        <v>320</v>
      </c>
      <c r="S4879" t="s">
        <v>323</v>
      </c>
      <c r="U4879">
        <v>7.6</v>
      </c>
    </row>
    <row r="4880" spans="14:25">
      <c r="N4880" s="42">
        <v>44222</v>
      </c>
      <c r="O4880" t="s">
        <v>333</v>
      </c>
      <c r="P4880" s="42">
        <v>44222</v>
      </c>
      <c r="Q4880" t="s">
        <v>333</v>
      </c>
      <c r="R4880" t="s">
        <v>320</v>
      </c>
      <c r="S4880" t="s">
        <v>323</v>
      </c>
      <c r="U4880">
        <v>7.6</v>
      </c>
    </row>
    <row r="4881" spans="14:25">
      <c r="N4881" s="42">
        <v>44221</v>
      </c>
      <c r="O4881" t="s">
        <v>345</v>
      </c>
      <c r="P4881" s="42">
        <v>44221</v>
      </c>
      <c r="Q4881" t="s">
        <v>345</v>
      </c>
      <c r="R4881" t="s">
        <v>320</v>
      </c>
      <c r="S4881" t="s">
        <v>323</v>
      </c>
      <c r="T4881">
        <v>7.6</v>
      </c>
      <c r="Y4881" s="42">
        <v>44229</v>
      </c>
    </row>
    <row r="4882" spans="14:25">
      <c r="N4882" s="42">
        <v>44207</v>
      </c>
      <c r="O4882" t="s">
        <v>345</v>
      </c>
      <c r="P4882" s="42">
        <v>44207</v>
      </c>
      <c r="Q4882" t="s">
        <v>345</v>
      </c>
      <c r="R4882" t="s">
        <v>329</v>
      </c>
      <c r="S4882" t="s">
        <v>323</v>
      </c>
      <c r="T4882">
        <v>7.6</v>
      </c>
      <c r="W4882" t="s">
        <v>330</v>
      </c>
      <c r="Y4882" s="42">
        <v>44215</v>
      </c>
    </row>
    <row r="4883" spans="14:25">
      <c r="N4883" s="42">
        <v>44197</v>
      </c>
      <c r="O4883" t="s">
        <v>346</v>
      </c>
      <c r="P4883" s="42">
        <v>44197</v>
      </c>
      <c r="Q4883" t="s">
        <v>346</v>
      </c>
      <c r="R4883" t="s">
        <v>320</v>
      </c>
      <c r="S4883" t="s">
        <v>323</v>
      </c>
      <c r="U4883">
        <v>7.6</v>
      </c>
    </row>
    <row r="4884" spans="14:25">
      <c r="N4884" s="42">
        <v>44196</v>
      </c>
      <c r="O4884" t="s">
        <v>324</v>
      </c>
      <c r="P4884" s="42">
        <v>44196</v>
      </c>
      <c r="Q4884" t="s">
        <v>324</v>
      </c>
      <c r="R4884" t="s">
        <v>320</v>
      </c>
      <c r="S4884" t="s">
        <v>323</v>
      </c>
      <c r="T4884">
        <v>7.6</v>
      </c>
      <c r="Y4884" s="42">
        <v>44201</v>
      </c>
    </row>
    <row r="4885" spans="14:25">
      <c r="N4885" s="42">
        <v>44195</v>
      </c>
      <c r="O4885" t="s">
        <v>328</v>
      </c>
      <c r="P4885" s="42">
        <v>44195</v>
      </c>
      <c r="Q4885" t="s">
        <v>328</v>
      </c>
      <c r="R4885" t="s">
        <v>320</v>
      </c>
      <c r="S4885" t="s">
        <v>323</v>
      </c>
      <c r="T4885">
        <v>7.6</v>
      </c>
      <c r="Y4885" s="42">
        <v>44201</v>
      </c>
    </row>
    <row r="4886" spans="14:25">
      <c r="N4886" s="42">
        <v>44194</v>
      </c>
      <c r="O4886" t="s">
        <v>333</v>
      </c>
      <c r="P4886" s="42">
        <v>44194</v>
      </c>
      <c r="Q4886" t="s">
        <v>333</v>
      </c>
      <c r="R4886" t="s">
        <v>320</v>
      </c>
      <c r="S4886" t="s">
        <v>323</v>
      </c>
      <c r="T4886">
        <v>7.6</v>
      </c>
      <c r="Y4886" s="42">
        <v>44201</v>
      </c>
    </row>
    <row r="4887" spans="14:25">
      <c r="N4887" s="42">
        <v>44193</v>
      </c>
      <c r="O4887" t="s">
        <v>345</v>
      </c>
      <c r="P4887" s="42">
        <v>44193</v>
      </c>
      <c r="Q4887" t="s">
        <v>345</v>
      </c>
      <c r="R4887" t="s">
        <v>320</v>
      </c>
      <c r="S4887" t="s">
        <v>323</v>
      </c>
      <c r="U4887">
        <v>7.6</v>
      </c>
    </row>
    <row r="4888" spans="14:25">
      <c r="N4888" s="42">
        <v>44190</v>
      </c>
      <c r="O4888" t="s">
        <v>346</v>
      </c>
      <c r="P4888" s="42">
        <v>44190</v>
      </c>
      <c r="Q4888" t="s">
        <v>346</v>
      </c>
      <c r="R4888" t="s">
        <v>320</v>
      </c>
      <c r="S4888" t="s">
        <v>323</v>
      </c>
      <c r="U4888">
        <v>7.6</v>
      </c>
    </row>
    <row r="4889" spans="14:25">
      <c r="N4889" s="42">
        <v>44160</v>
      </c>
      <c r="O4889" t="s">
        <v>328</v>
      </c>
      <c r="P4889" s="42">
        <v>44160</v>
      </c>
      <c r="Q4889" t="s">
        <v>328</v>
      </c>
      <c r="R4889" t="s">
        <v>329</v>
      </c>
      <c r="S4889" t="s">
        <v>323</v>
      </c>
      <c r="T4889">
        <v>7.6</v>
      </c>
      <c r="W4889" t="s">
        <v>330</v>
      </c>
      <c r="Y4889" s="42">
        <v>44173</v>
      </c>
    </row>
    <row r="4890" spans="14:25">
      <c r="N4890" s="42">
        <v>44138</v>
      </c>
      <c r="O4890" t="s">
        <v>333</v>
      </c>
      <c r="P4890" s="42">
        <v>44138</v>
      </c>
      <c r="Q4890" t="s">
        <v>333</v>
      </c>
      <c r="R4890" t="s">
        <v>329</v>
      </c>
      <c r="S4890" t="s">
        <v>323</v>
      </c>
      <c r="T4890">
        <v>7.6</v>
      </c>
      <c r="W4890" t="s">
        <v>330</v>
      </c>
      <c r="Y4890" s="42">
        <v>44145</v>
      </c>
    </row>
    <row r="4891" spans="14:25">
      <c r="N4891" s="42">
        <v>44109</v>
      </c>
      <c r="O4891" t="s">
        <v>345</v>
      </c>
      <c r="P4891" s="42">
        <v>44109</v>
      </c>
      <c r="Q4891" t="s">
        <v>345</v>
      </c>
      <c r="R4891" t="s">
        <v>320</v>
      </c>
      <c r="S4891" t="s">
        <v>323</v>
      </c>
      <c r="U4891">
        <v>7.6</v>
      </c>
    </row>
    <row r="4892" spans="14:25">
      <c r="N4892" s="42">
        <v>43956</v>
      </c>
      <c r="O4892" t="s">
        <v>333</v>
      </c>
      <c r="P4892" s="42">
        <v>43956</v>
      </c>
      <c r="Q4892" t="s">
        <v>333</v>
      </c>
      <c r="R4892" t="s">
        <v>329</v>
      </c>
      <c r="S4892" t="s">
        <v>323</v>
      </c>
      <c r="T4892">
        <v>7.6</v>
      </c>
      <c r="W4892" t="s">
        <v>330</v>
      </c>
      <c r="Y4892" s="42">
        <v>43963</v>
      </c>
    </row>
    <row r="4893" spans="14:25">
      <c r="N4893" s="42">
        <v>43881</v>
      </c>
      <c r="O4893" t="s">
        <v>324</v>
      </c>
      <c r="P4893" s="42">
        <v>43881</v>
      </c>
      <c r="Q4893" t="s">
        <v>324</v>
      </c>
      <c r="R4893" t="s">
        <v>363</v>
      </c>
      <c r="S4893" t="s">
        <v>323</v>
      </c>
      <c r="T4893">
        <v>7.6</v>
      </c>
      <c r="W4893" t="s">
        <v>330</v>
      </c>
      <c r="Y4893" s="42">
        <v>43893</v>
      </c>
    </row>
    <row r="4894" spans="14:25">
      <c r="N4894" s="42">
        <v>43826</v>
      </c>
      <c r="O4894" t="s">
        <v>346</v>
      </c>
      <c r="P4894" s="42">
        <v>43826</v>
      </c>
      <c r="Q4894" t="s">
        <v>346</v>
      </c>
      <c r="R4894" t="s">
        <v>320</v>
      </c>
      <c r="S4894" t="s">
        <v>323</v>
      </c>
      <c r="T4894">
        <v>7.6</v>
      </c>
      <c r="Y4894" s="42">
        <v>43837</v>
      </c>
    </row>
    <row r="4895" spans="14:25">
      <c r="N4895" s="42">
        <v>43818</v>
      </c>
      <c r="O4895" t="s">
        <v>324</v>
      </c>
      <c r="P4895" s="42">
        <v>43818</v>
      </c>
      <c r="Q4895" t="s">
        <v>324</v>
      </c>
      <c r="R4895" t="s">
        <v>329</v>
      </c>
      <c r="S4895" t="s">
        <v>323</v>
      </c>
      <c r="T4895">
        <v>2</v>
      </c>
      <c r="W4895" t="s">
        <v>330</v>
      </c>
      <c r="Y4895" s="42">
        <v>43823</v>
      </c>
    </row>
    <row r="4896" spans="14:25">
      <c r="N4896" s="42">
        <v>43784</v>
      </c>
      <c r="O4896" t="s">
        <v>346</v>
      </c>
      <c r="P4896" s="42">
        <v>43784</v>
      </c>
      <c r="Q4896" t="s">
        <v>346</v>
      </c>
      <c r="R4896" t="s">
        <v>329</v>
      </c>
      <c r="S4896" t="s">
        <v>323</v>
      </c>
      <c r="T4896">
        <v>7.6</v>
      </c>
      <c r="W4896" t="s">
        <v>330</v>
      </c>
      <c r="Y4896" s="42">
        <v>43795</v>
      </c>
    </row>
    <row r="4897" spans="14:25">
      <c r="N4897" s="42">
        <v>43783</v>
      </c>
      <c r="O4897" t="s">
        <v>324</v>
      </c>
      <c r="P4897" s="42">
        <v>43783</v>
      </c>
      <c r="Q4897" t="s">
        <v>324</v>
      </c>
      <c r="R4897" t="s">
        <v>329</v>
      </c>
      <c r="S4897" t="s">
        <v>323</v>
      </c>
      <c r="T4897">
        <v>7.6</v>
      </c>
      <c r="W4897" t="s">
        <v>330</v>
      </c>
      <c r="Y4897" s="42">
        <v>43795</v>
      </c>
    </row>
    <row r="4898" spans="14:25">
      <c r="N4898" s="42">
        <v>43782</v>
      </c>
      <c r="O4898" t="s">
        <v>328</v>
      </c>
      <c r="P4898" s="42">
        <v>43782</v>
      </c>
      <c r="Q4898" t="s">
        <v>328</v>
      </c>
      <c r="R4898" t="s">
        <v>329</v>
      </c>
      <c r="S4898" t="s">
        <v>323</v>
      </c>
      <c r="T4898">
        <v>7.6</v>
      </c>
      <c r="W4898" t="s">
        <v>330</v>
      </c>
      <c r="Y4898" s="42">
        <v>43795</v>
      </c>
    </row>
    <row r="4899" spans="14:25">
      <c r="N4899" s="42">
        <v>43781</v>
      </c>
      <c r="O4899" t="s">
        <v>333</v>
      </c>
      <c r="P4899" s="42">
        <v>43781</v>
      </c>
      <c r="Q4899" t="s">
        <v>333</v>
      </c>
      <c r="R4899" t="s">
        <v>329</v>
      </c>
      <c r="S4899" t="s">
        <v>323</v>
      </c>
      <c r="T4899">
        <v>7.6</v>
      </c>
      <c r="W4899" t="s">
        <v>330</v>
      </c>
      <c r="Y4899" s="42">
        <v>43781</v>
      </c>
    </row>
    <row r="4900" spans="14:25">
      <c r="N4900" s="42">
        <v>43728</v>
      </c>
      <c r="O4900" t="s">
        <v>346</v>
      </c>
      <c r="P4900" s="42">
        <v>43728</v>
      </c>
      <c r="Q4900" t="s">
        <v>346</v>
      </c>
      <c r="R4900" t="s">
        <v>320</v>
      </c>
      <c r="S4900" t="s">
        <v>323</v>
      </c>
      <c r="T4900">
        <v>7.6</v>
      </c>
      <c r="Y4900" s="42">
        <v>43739</v>
      </c>
    </row>
    <row r="4901" spans="14:25">
      <c r="N4901" s="42">
        <v>43727</v>
      </c>
      <c r="O4901" t="s">
        <v>324</v>
      </c>
      <c r="P4901" s="42">
        <v>43727</v>
      </c>
      <c r="Q4901" t="s">
        <v>324</v>
      </c>
      <c r="R4901" t="s">
        <v>320</v>
      </c>
      <c r="S4901" t="s">
        <v>323</v>
      </c>
      <c r="T4901">
        <v>7.6</v>
      </c>
      <c r="Y4901" s="42">
        <v>43739</v>
      </c>
    </row>
    <row r="4902" spans="14:25">
      <c r="N4902" s="42">
        <v>43726</v>
      </c>
      <c r="O4902" t="s">
        <v>328</v>
      </c>
      <c r="P4902" s="42">
        <v>43726</v>
      </c>
      <c r="Q4902" t="s">
        <v>328</v>
      </c>
      <c r="R4902" t="s">
        <v>320</v>
      </c>
      <c r="S4902" t="s">
        <v>323</v>
      </c>
      <c r="T4902">
        <v>7.6</v>
      </c>
      <c r="Y4902" s="42">
        <v>43739</v>
      </c>
    </row>
    <row r="4903" spans="14:25">
      <c r="N4903" s="42">
        <v>43725</v>
      </c>
      <c r="O4903" t="s">
        <v>333</v>
      </c>
      <c r="P4903" s="42">
        <v>43725</v>
      </c>
      <c r="Q4903" t="s">
        <v>333</v>
      </c>
      <c r="R4903" t="s">
        <v>320</v>
      </c>
      <c r="S4903" t="s">
        <v>323</v>
      </c>
      <c r="T4903">
        <v>7.6</v>
      </c>
      <c r="Y4903" s="42">
        <v>43725</v>
      </c>
    </row>
    <row r="4904" spans="14:25">
      <c r="N4904" s="42">
        <v>43724</v>
      </c>
      <c r="O4904" t="s">
        <v>345</v>
      </c>
      <c r="P4904" s="42">
        <v>43724</v>
      </c>
      <c r="Q4904" t="s">
        <v>345</v>
      </c>
      <c r="R4904" t="s">
        <v>320</v>
      </c>
      <c r="S4904" t="s">
        <v>323</v>
      </c>
      <c r="T4904">
        <v>7.6</v>
      </c>
      <c r="Y4904" s="42">
        <v>43725</v>
      </c>
    </row>
    <row r="4905" spans="14:25">
      <c r="N4905" s="42">
        <v>43721</v>
      </c>
      <c r="O4905" t="s">
        <v>346</v>
      </c>
      <c r="P4905" s="42">
        <v>43721</v>
      </c>
      <c r="Q4905" t="s">
        <v>346</v>
      </c>
      <c r="R4905" t="s">
        <v>320</v>
      </c>
      <c r="S4905" t="s">
        <v>323</v>
      </c>
      <c r="T4905">
        <v>7.6</v>
      </c>
      <c r="Y4905" s="42">
        <v>43725</v>
      </c>
    </row>
    <row r="4906" spans="14:25">
      <c r="N4906" s="42">
        <v>43720</v>
      </c>
      <c r="O4906" t="s">
        <v>324</v>
      </c>
      <c r="P4906" s="42">
        <v>43720</v>
      </c>
      <c r="Q4906" t="s">
        <v>324</v>
      </c>
      <c r="R4906" t="s">
        <v>320</v>
      </c>
      <c r="S4906" t="s">
        <v>323</v>
      </c>
      <c r="T4906">
        <v>7.6</v>
      </c>
      <c r="Y4906" s="42">
        <v>43725</v>
      </c>
    </row>
    <row r="4907" spans="14:25">
      <c r="N4907" s="42">
        <v>43719</v>
      </c>
      <c r="O4907" t="s">
        <v>328</v>
      </c>
      <c r="P4907" s="42">
        <v>43719</v>
      </c>
      <c r="Q4907" t="s">
        <v>328</v>
      </c>
      <c r="R4907" t="s">
        <v>320</v>
      </c>
      <c r="S4907" t="s">
        <v>323</v>
      </c>
      <c r="T4907">
        <v>7.6</v>
      </c>
      <c r="Y4907" s="42">
        <v>43725</v>
      </c>
    </row>
    <row r="4908" spans="14:25">
      <c r="N4908" s="42">
        <v>43718</v>
      </c>
      <c r="O4908" t="s">
        <v>333</v>
      </c>
      <c r="P4908" s="42">
        <v>43718</v>
      </c>
      <c r="Q4908" t="s">
        <v>333</v>
      </c>
      <c r="R4908" t="s">
        <v>320</v>
      </c>
      <c r="S4908" t="s">
        <v>323</v>
      </c>
      <c r="T4908">
        <v>7.6</v>
      </c>
      <c r="Y4908" s="42">
        <v>43725</v>
      </c>
    </row>
    <row r="4909" spans="14:25">
      <c r="N4909" s="42">
        <v>43704</v>
      </c>
      <c r="O4909" t="s">
        <v>333</v>
      </c>
      <c r="P4909" s="42">
        <v>43704</v>
      </c>
      <c r="Q4909" t="s">
        <v>333</v>
      </c>
      <c r="R4909" t="s">
        <v>329</v>
      </c>
      <c r="S4909" t="s">
        <v>323</v>
      </c>
      <c r="T4909">
        <v>7.6</v>
      </c>
      <c r="W4909" t="s">
        <v>330</v>
      </c>
      <c r="Y4909" s="42">
        <v>43711</v>
      </c>
    </row>
    <row r="4910" spans="14:25">
      <c r="N4910" s="42">
        <v>43686</v>
      </c>
      <c r="O4910" t="s">
        <v>346</v>
      </c>
      <c r="P4910" s="42">
        <v>43686</v>
      </c>
      <c r="Q4910" t="s">
        <v>346</v>
      </c>
      <c r="R4910" t="s">
        <v>320</v>
      </c>
      <c r="S4910" t="s">
        <v>323</v>
      </c>
      <c r="T4910">
        <v>7.6</v>
      </c>
      <c r="Y4910" s="42">
        <v>43697</v>
      </c>
    </row>
    <row r="4911" spans="14:25">
      <c r="N4911" s="42">
        <v>43676</v>
      </c>
      <c r="O4911" t="s">
        <v>333</v>
      </c>
      <c r="P4911" s="42">
        <v>43676</v>
      </c>
      <c r="Q4911" t="s">
        <v>333</v>
      </c>
      <c r="R4911" t="s">
        <v>329</v>
      </c>
      <c r="S4911" t="s">
        <v>323</v>
      </c>
      <c r="T4911">
        <v>7.6</v>
      </c>
      <c r="W4911" t="s">
        <v>330</v>
      </c>
      <c r="Y4911" s="42">
        <v>43683</v>
      </c>
    </row>
    <row r="4912" spans="14:25">
      <c r="N4912" s="42">
        <v>43642</v>
      </c>
      <c r="O4912" t="s">
        <v>328</v>
      </c>
      <c r="P4912" s="42">
        <v>43649</v>
      </c>
      <c r="Q4912" t="s">
        <v>328</v>
      </c>
      <c r="R4912" t="s">
        <v>320</v>
      </c>
      <c r="S4912" t="s">
        <v>323</v>
      </c>
      <c r="T4912">
        <v>45.6</v>
      </c>
      <c r="Y4912" s="42">
        <v>43655</v>
      </c>
    </row>
    <row r="4913" spans="1:25">
      <c r="N4913" s="42">
        <v>43628</v>
      </c>
      <c r="O4913" t="s">
        <v>328</v>
      </c>
      <c r="P4913" s="42">
        <v>43641</v>
      </c>
      <c r="Q4913" t="s">
        <v>333</v>
      </c>
      <c r="R4913" t="s">
        <v>320</v>
      </c>
      <c r="S4913" t="s">
        <v>323</v>
      </c>
      <c r="T4913">
        <v>76</v>
      </c>
      <c r="Y4913" s="42">
        <v>43641</v>
      </c>
    </row>
    <row r="4914" spans="1:25">
      <c r="A4914">
        <v>18792</v>
      </c>
      <c r="B4914" t="s">
        <v>410</v>
      </c>
      <c r="C4914" t="s">
        <v>320</v>
      </c>
      <c r="D4914" t="s">
        <v>336</v>
      </c>
      <c r="E4914" t="s">
        <v>337</v>
      </c>
      <c r="F4914">
        <v>1</v>
      </c>
      <c r="G4914" s="42">
        <v>45195</v>
      </c>
      <c r="H4914">
        <v>152</v>
      </c>
      <c r="I4914">
        <v>103.4384</v>
      </c>
      <c r="J4914">
        <v>66.213700000000003</v>
      </c>
      <c r="K4914">
        <v>169.65209999999999</v>
      </c>
      <c r="L4914" t="s">
        <v>323</v>
      </c>
      <c r="M4914" s="43">
        <v>0.21180555555555555</v>
      </c>
      <c r="N4914" s="42">
        <v>44979</v>
      </c>
      <c r="O4914" t="s">
        <v>328</v>
      </c>
      <c r="P4914" s="42">
        <v>44979</v>
      </c>
      <c r="Q4914" t="s">
        <v>328</v>
      </c>
      <c r="R4914" t="s">
        <v>329</v>
      </c>
      <c r="S4914" t="s">
        <v>323</v>
      </c>
      <c r="T4914">
        <v>7.6</v>
      </c>
      <c r="W4914" t="s">
        <v>330</v>
      </c>
      <c r="Y4914" s="42">
        <v>44985</v>
      </c>
    </row>
    <row r="4915" spans="1:25">
      <c r="C4915" t="s">
        <v>325</v>
      </c>
      <c r="D4915" t="s">
        <v>366</v>
      </c>
      <c r="E4915" t="s">
        <v>367</v>
      </c>
      <c r="F4915">
        <v>1</v>
      </c>
      <c r="G4915" s="42">
        <v>46657</v>
      </c>
      <c r="H4915">
        <v>327.29500000000002</v>
      </c>
      <c r="I4915">
        <v>0</v>
      </c>
      <c r="J4915">
        <v>176.6019</v>
      </c>
      <c r="K4915">
        <v>176.6019</v>
      </c>
      <c r="L4915" t="s">
        <v>323</v>
      </c>
      <c r="N4915" s="42">
        <v>44952</v>
      </c>
      <c r="O4915" t="s">
        <v>324</v>
      </c>
      <c r="P4915" s="42">
        <v>44952</v>
      </c>
      <c r="Q4915" t="s">
        <v>324</v>
      </c>
      <c r="R4915" t="s">
        <v>320</v>
      </c>
      <c r="S4915" t="s">
        <v>323</v>
      </c>
      <c r="U4915">
        <v>7.6</v>
      </c>
    </row>
    <row r="4916" spans="1:25">
      <c r="C4916" t="s">
        <v>329</v>
      </c>
      <c r="D4916" t="s">
        <v>342</v>
      </c>
      <c r="E4916" t="s">
        <v>343</v>
      </c>
      <c r="F4916">
        <v>1</v>
      </c>
      <c r="G4916" s="42">
        <v>45195</v>
      </c>
      <c r="H4916">
        <v>76</v>
      </c>
      <c r="I4916">
        <v>-26.814299999999999</v>
      </c>
      <c r="J4916">
        <v>33.1068</v>
      </c>
      <c r="K4916">
        <v>6.2925000000000004</v>
      </c>
      <c r="L4916" t="s">
        <v>323</v>
      </c>
      <c r="N4916" s="42">
        <v>44949</v>
      </c>
      <c r="O4916" t="s">
        <v>345</v>
      </c>
      <c r="P4916" s="42">
        <v>44949</v>
      </c>
      <c r="Q4916" t="s">
        <v>345</v>
      </c>
      <c r="R4916" t="s">
        <v>320</v>
      </c>
      <c r="S4916" t="s">
        <v>323</v>
      </c>
      <c r="T4916">
        <v>7.6</v>
      </c>
      <c r="Y4916" s="42">
        <v>44957</v>
      </c>
    </row>
    <row r="4917" spans="1:25">
      <c r="N4917" s="42">
        <v>44928</v>
      </c>
      <c r="O4917" t="s">
        <v>345</v>
      </c>
      <c r="P4917" s="42">
        <v>44928</v>
      </c>
      <c r="Q4917" t="s">
        <v>345</v>
      </c>
      <c r="R4917" t="s">
        <v>320</v>
      </c>
      <c r="S4917" t="s">
        <v>323</v>
      </c>
      <c r="U4917">
        <v>7.6</v>
      </c>
    </row>
    <row r="4918" spans="1:25">
      <c r="N4918" s="42">
        <v>44922</v>
      </c>
      <c r="O4918" t="s">
        <v>333</v>
      </c>
      <c r="P4918" s="42">
        <v>44922</v>
      </c>
      <c r="Q4918" t="s">
        <v>333</v>
      </c>
      <c r="R4918" t="s">
        <v>320</v>
      </c>
      <c r="S4918" t="s">
        <v>323</v>
      </c>
      <c r="U4918">
        <v>7.6</v>
      </c>
    </row>
    <row r="4919" spans="1:25">
      <c r="N4919" s="42">
        <v>44921</v>
      </c>
      <c r="O4919" t="s">
        <v>345</v>
      </c>
      <c r="P4919" s="42">
        <v>44921</v>
      </c>
      <c r="Q4919" t="s">
        <v>345</v>
      </c>
      <c r="R4919" t="s">
        <v>320</v>
      </c>
      <c r="S4919" t="s">
        <v>323</v>
      </c>
      <c r="U4919">
        <v>7.6</v>
      </c>
    </row>
    <row r="4920" spans="1:25">
      <c r="N4920" s="42">
        <v>44902</v>
      </c>
      <c r="O4920" t="s">
        <v>328</v>
      </c>
      <c r="P4920" s="42">
        <v>44902</v>
      </c>
      <c r="Q4920" t="s">
        <v>328</v>
      </c>
      <c r="R4920" t="s">
        <v>320</v>
      </c>
      <c r="S4920" t="s">
        <v>323</v>
      </c>
      <c r="T4920">
        <v>7.6</v>
      </c>
      <c r="Y4920" s="42">
        <v>44915</v>
      </c>
    </row>
    <row r="4921" spans="1:25">
      <c r="N4921" s="42">
        <v>44901</v>
      </c>
      <c r="O4921" t="s">
        <v>333</v>
      </c>
      <c r="P4921" s="42">
        <v>44901</v>
      </c>
      <c r="Q4921" t="s">
        <v>333</v>
      </c>
      <c r="R4921" t="s">
        <v>329</v>
      </c>
      <c r="S4921" t="s">
        <v>323</v>
      </c>
      <c r="T4921">
        <v>7.6</v>
      </c>
      <c r="W4921" t="s">
        <v>330</v>
      </c>
      <c r="Y4921" s="42">
        <v>44901</v>
      </c>
    </row>
    <row r="4922" spans="1:25">
      <c r="N4922" s="42">
        <v>44893</v>
      </c>
      <c r="O4922" t="s">
        <v>345</v>
      </c>
      <c r="P4922" s="42">
        <v>44893</v>
      </c>
      <c r="Q4922" t="s">
        <v>345</v>
      </c>
      <c r="R4922" t="s">
        <v>329</v>
      </c>
      <c r="S4922" t="s">
        <v>323</v>
      </c>
      <c r="T4922">
        <v>7.6</v>
      </c>
      <c r="W4922" t="s">
        <v>330</v>
      </c>
      <c r="Y4922" s="42">
        <v>44901</v>
      </c>
    </row>
    <row r="4923" spans="1:25">
      <c r="N4923" s="42">
        <v>44874</v>
      </c>
      <c r="O4923" t="s">
        <v>328</v>
      </c>
      <c r="P4923" s="42">
        <v>44874</v>
      </c>
      <c r="Q4923" t="s">
        <v>328</v>
      </c>
      <c r="R4923" t="s">
        <v>320</v>
      </c>
      <c r="S4923" t="s">
        <v>323</v>
      </c>
      <c r="T4923">
        <v>7.6</v>
      </c>
      <c r="Y4923" s="42">
        <v>44887</v>
      </c>
    </row>
    <row r="4924" spans="1:25">
      <c r="N4924" s="42">
        <v>44852</v>
      </c>
      <c r="O4924" t="s">
        <v>333</v>
      </c>
      <c r="P4924" s="42">
        <v>44852</v>
      </c>
      <c r="Q4924" t="s">
        <v>333</v>
      </c>
      <c r="R4924" t="s">
        <v>329</v>
      </c>
      <c r="S4924" t="s">
        <v>323</v>
      </c>
      <c r="T4924">
        <v>7.6</v>
      </c>
      <c r="W4924" t="s">
        <v>330</v>
      </c>
      <c r="Y4924" s="42">
        <v>44859</v>
      </c>
    </row>
    <row r="4925" spans="1:25">
      <c r="N4925" s="42">
        <v>44830</v>
      </c>
      <c r="O4925" t="s">
        <v>345</v>
      </c>
      <c r="P4925" s="42">
        <v>44830</v>
      </c>
      <c r="Q4925" t="s">
        <v>345</v>
      </c>
      <c r="R4925" t="s">
        <v>320</v>
      </c>
      <c r="S4925" t="s">
        <v>323</v>
      </c>
      <c r="U4925">
        <v>7.6</v>
      </c>
    </row>
    <row r="4926" spans="1:25">
      <c r="N4926" s="42">
        <v>44826</v>
      </c>
      <c r="O4926" t="s">
        <v>324</v>
      </c>
      <c r="P4926" s="42">
        <v>44826</v>
      </c>
      <c r="Q4926" t="s">
        <v>324</v>
      </c>
      <c r="R4926" t="s">
        <v>320</v>
      </c>
      <c r="S4926" t="s">
        <v>323</v>
      </c>
      <c r="U4926">
        <v>7.6</v>
      </c>
    </row>
    <row r="4927" spans="1:25">
      <c r="N4927" s="42">
        <v>44816</v>
      </c>
      <c r="O4927" t="s">
        <v>345</v>
      </c>
      <c r="P4927" s="42">
        <v>44816</v>
      </c>
      <c r="Q4927" t="s">
        <v>345</v>
      </c>
      <c r="R4927" t="s">
        <v>329</v>
      </c>
      <c r="S4927" t="s">
        <v>323</v>
      </c>
      <c r="T4927">
        <v>7.6</v>
      </c>
      <c r="W4927" t="s">
        <v>330</v>
      </c>
      <c r="Y4927" s="42">
        <v>44817</v>
      </c>
    </row>
    <row r="4928" spans="1:25">
      <c r="N4928" s="42">
        <v>44805</v>
      </c>
      <c r="O4928" t="s">
        <v>324</v>
      </c>
      <c r="P4928" s="42">
        <v>44805</v>
      </c>
      <c r="Q4928" t="s">
        <v>324</v>
      </c>
      <c r="R4928" t="s">
        <v>329</v>
      </c>
      <c r="S4928" t="s">
        <v>323</v>
      </c>
      <c r="T4928">
        <v>2.5</v>
      </c>
      <c r="W4928" t="s">
        <v>330</v>
      </c>
      <c r="Y4928" s="42">
        <v>44817</v>
      </c>
    </row>
    <row r="4929" spans="14:25">
      <c r="N4929" s="42">
        <v>44789</v>
      </c>
      <c r="O4929" t="s">
        <v>333</v>
      </c>
      <c r="P4929" s="42">
        <v>44789</v>
      </c>
      <c r="Q4929" t="s">
        <v>333</v>
      </c>
      <c r="R4929" t="s">
        <v>329</v>
      </c>
      <c r="S4929" t="s">
        <v>323</v>
      </c>
      <c r="T4929">
        <v>7.6</v>
      </c>
      <c r="W4929" t="s">
        <v>330</v>
      </c>
      <c r="Y4929" s="42">
        <v>44789</v>
      </c>
    </row>
    <row r="4930" spans="14:25">
      <c r="N4930" s="42">
        <v>44762</v>
      </c>
      <c r="O4930" t="s">
        <v>328</v>
      </c>
      <c r="P4930" s="42">
        <v>44762</v>
      </c>
      <c r="Q4930" t="s">
        <v>328</v>
      </c>
      <c r="R4930" t="s">
        <v>320</v>
      </c>
      <c r="S4930" t="s">
        <v>323</v>
      </c>
      <c r="T4930">
        <v>7.6</v>
      </c>
      <c r="Y4930" s="42">
        <v>44775</v>
      </c>
    </row>
    <row r="4931" spans="14:25">
      <c r="N4931" s="42">
        <v>44757</v>
      </c>
      <c r="O4931" t="s">
        <v>346</v>
      </c>
      <c r="P4931" s="42">
        <v>44757</v>
      </c>
      <c r="Q4931" t="s">
        <v>346</v>
      </c>
      <c r="R4931" t="s">
        <v>320</v>
      </c>
      <c r="S4931" t="s">
        <v>323</v>
      </c>
      <c r="T4931">
        <v>7.6</v>
      </c>
      <c r="Y4931" s="42">
        <v>44761</v>
      </c>
    </row>
    <row r="4932" spans="14:25">
      <c r="N4932" s="42">
        <v>44756</v>
      </c>
      <c r="O4932" t="s">
        <v>324</v>
      </c>
      <c r="P4932" s="42">
        <v>44756</v>
      </c>
      <c r="Q4932" t="s">
        <v>324</v>
      </c>
      <c r="R4932" t="s">
        <v>320</v>
      </c>
      <c r="S4932" t="s">
        <v>323</v>
      </c>
      <c r="T4932">
        <v>7.6</v>
      </c>
      <c r="Y4932" s="42">
        <v>44761</v>
      </c>
    </row>
    <row r="4933" spans="14:25">
      <c r="N4933" s="42">
        <v>44755</v>
      </c>
      <c r="O4933" t="s">
        <v>328</v>
      </c>
      <c r="P4933" s="42">
        <v>44755</v>
      </c>
      <c r="Q4933" t="s">
        <v>328</v>
      </c>
      <c r="R4933" t="s">
        <v>320</v>
      </c>
      <c r="S4933" t="s">
        <v>323</v>
      </c>
      <c r="T4933">
        <v>7.6</v>
      </c>
      <c r="Y4933" s="42">
        <v>44761</v>
      </c>
    </row>
    <row r="4934" spans="14:25">
      <c r="N4934" s="42">
        <v>44754</v>
      </c>
      <c r="O4934" t="s">
        <v>333</v>
      </c>
      <c r="P4934" s="42">
        <v>44754</v>
      </c>
      <c r="Q4934" t="s">
        <v>333</v>
      </c>
      <c r="R4934" t="s">
        <v>320</v>
      </c>
      <c r="S4934" t="s">
        <v>323</v>
      </c>
      <c r="T4934">
        <v>7.6</v>
      </c>
      <c r="Y4934" s="42">
        <v>44761</v>
      </c>
    </row>
    <row r="4935" spans="14:25">
      <c r="N4935" s="42">
        <v>44753</v>
      </c>
      <c r="O4935" t="s">
        <v>345</v>
      </c>
      <c r="P4935" s="42">
        <v>44753</v>
      </c>
      <c r="Q4935" t="s">
        <v>345</v>
      </c>
      <c r="R4935" t="s">
        <v>320</v>
      </c>
      <c r="S4935" t="s">
        <v>323</v>
      </c>
      <c r="T4935">
        <v>7.6</v>
      </c>
      <c r="Y4935" s="42">
        <v>44761</v>
      </c>
    </row>
    <row r="4936" spans="14:25">
      <c r="N4936" s="42">
        <v>44750</v>
      </c>
      <c r="O4936" t="s">
        <v>346</v>
      </c>
      <c r="P4936" s="42">
        <v>44750</v>
      </c>
      <c r="Q4936" t="s">
        <v>346</v>
      </c>
      <c r="R4936" t="s">
        <v>320</v>
      </c>
      <c r="S4936" t="s">
        <v>323</v>
      </c>
      <c r="T4936">
        <v>7.6</v>
      </c>
      <c r="Y4936" s="42">
        <v>44761</v>
      </c>
    </row>
    <row r="4937" spans="14:25">
      <c r="N4937" s="42">
        <v>44749</v>
      </c>
      <c r="O4937" t="s">
        <v>324</v>
      </c>
      <c r="P4937" s="42">
        <v>44749</v>
      </c>
      <c r="Q4937" t="s">
        <v>324</v>
      </c>
      <c r="R4937" t="s">
        <v>320</v>
      </c>
      <c r="S4937" t="s">
        <v>323</v>
      </c>
      <c r="T4937">
        <v>7.6</v>
      </c>
      <c r="Y4937" s="42">
        <v>44761</v>
      </c>
    </row>
    <row r="4938" spans="14:25">
      <c r="N4938" s="42">
        <v>44748</v>
      </c>
      <c r="O4938" t="s">
        <v>328</v>
      </c>
      <c r="P4938" s="42">
        <v>44748</v>
      </c>
      <c r="Q4938" t="s">
        <v>328</v>
      </c>
      <c r="R4938" t="s">
        <v>320</v>
      </c>
      <c r="S4938" t="s">
        <v>323</v>
      </c>
      <c r="T4938">
        <v>7.6</v>
      </c>
      <c r="Y4938" s="42">
        <v>44761</v>
      </c>
    </row>
    <row r="4939" spans="14:25">
      <c r="N4939" s="42">
        <v>44747</v>
      </c>
      <c r="O4939" t="s">
        <v>333</v>
      </c>
      <c r="P4939" s="42">
        <v>44747</v>
      </c>
      <c r="Q4939" t="s">
        <v>333</v>
      </c>
      <c r="R4939" t="s">
        <v>320</v>
      </c>
      <c r="S4939" t="s">
        <v>323</v>
      </c>
      <c r="T4939">
        <v>7.6</v>
      </c>
      <c r="Y4939" s="42">
        <v>44747</v>
      </c>
    </row>
    <row r="4940" spans="14:25">
      <c r="N4940" s="42">
        <v>44746</v>
      </c>
      <c r="O4940" t="s">
        <v>345</v>
      </c>
      <c r="P4940" s="42">
        <v>44746</v>
      </c>
      <c r="Q4940" t="s">
        <v>345</v>
      </c>
      <c r="R4940" t="s">
        <v>320</v>
      </c>
      <c r="S4940" t="s">
        <v>323</v>
      </c>
      <c r="T4940">
        <v>7.6</v>
      </c>
      <c r="Y4940" s="42">
        <v>44747</v>
      </c>
    </row>
    <row r="4941" spans="14:25">
      <c r="N4941" s="42">
        <v>44743</v>
      </c>
      <c r="O4941" t="s">
        <v>346</v>
      </c>
      <c r="P4941" s="42">
        <v>44743</v>
      </c>
      <c r="Q4941" t="s">
        <v>346</v>
      </c>
      <c r="R4941" t="s">
        <v>320</v>
      </c>
      <c r="S4941" t="s">
        <v>323</v>
      </c>
      <c r="T4941">
        <v>7.6</v>
      </c>
      <c r="Y4941" s="42">
        <v>44747</v>
      </c>
    </row>
    <row r="4942" spans="14:25">
      <c r="N4942" s="42">
        <v>44742</v>
      </c>
      <c r="O4942" t="s">
        <v>324</v>
      </c>
      <c r="P4942" s="42">
        <v>44742</v>
      </c>
      <c r="Q4942" t="s">
        <v>324</v>
      </c>
      <c r="R4942" t="s">
        <v>329</v>
      </c>
      <c r="S4942" t="s">
        <v>323</v>
      </c>
      <c r="T4942">
        <v>5.5</v>
      </c>
      <c r="W4942" t="s">
        <v>330</v>
      </c>
      <c r="Y4942" s="42">
        <v>44747</v>
      </c>
    </row>
    <row r="4943" spans="14:25">
      <c r="N4943" s="42">
        <v>44726</v>
      </c>
      <c r="O4943" t="s">
        <v>333</v>
      </c>
      <c r="P4943" s="42">
        <v>44726</v>
      </c>
      <c r="Q4943" t="s">
        <v>333</v>
      </c>
      <c r="R4943" t="s">
        <v>320</v>
      </c>
      <c r="S4943" t="s">
        <v>323</v>
      </c>
      <c r="T4943">
        <v>7.6</v>
      </c>
      <c r="Y4943" s="42">
        <v>44733</v>
      </c>
    </row>
    <row r="4944" spans="14:25">
      <c r="N4944" s="42">
        <v>44725</v>
      </c>
      <c r="O4944" t="s">
        <v>345</v>
      </c>
      <c r="P4944" s="42">
        <v>44725</v>
      </c>
      <c r="Q4944" t="s">
        <v>345</v>
      </c>
      <c r="R4944" t="s">
        <v>329</v>
      </c>
      <c r="S4944" t="s">
        <v>323</v>
      </c>
      <c r="T4944">
        <v>7.6</v>
      </c>
      <c r="W4944" t="s">
        <v>330</v>
      </c>
      <c r="Y4944" s="42">
        <v>44733</v>
      </c>
    </row>
    <row r="4945" spans="14:25">
      <c r="N4945" s="42">
        <v>44718</v>
      </c>
      <c r="O4945" t="s">
        <v>345</v>
      </c>
      <c r="P4945" s="42">
        <v>44718</v>
      </c>
      <c r="Q4945" t="s">
        <v>345</v>
      </c>
      <c r="R4945" t="s">
        <v>320</v>
      </c>
      <c r="S4945" t="s">
        <v>323</v>
      </c>
      <c r="U4945">
        <v>7.6</v>
      </c>
    </row>
    <row r="4946" spans="14:25">
      <c r="N4946" s="42">
        <v>44707</v>
      </c>
      <c r="O4946" t="s">
        <v>324</v>
      </c>
      <c r="P4946" s="42">
        <v>44707</v>
      </c>
      <c r="Q4946" t="s">
        <v>324</v>
      </c>
      <c r="R4946" t="s">
        <v>320</v>
      </c>
      <c r="S4946" t="s">
        <v>323</v>
      </c>
      <c r="T4946">
        <v>7.6</v>
      </c>
      <c r="Y4946" s="42">
        <v>44719</v>
      </c>
    </row>
    <row r="4947" spans="14:25">
      <c r="N4947" s="42">
        <v>44690</v>
      </c>
      <c r="O4947" t="s">
        <v>345</v>
      </c>
      <c r="P4947" s="42">
        <v>44690</v>
      </c>
      <c r="Q4947" t="s">
        <v>345</v>
      </c>
      <c r="R4947" t="s">
        <v>329</v>
      </c>
      <c r="S4947" t="s">
        <v>323</v>
      </c>
      <c r="T4947">
        <v>7.6</v>
      </c>
      <c r="W4947" t="s">
        <v>330</v>
      </c>
      <c r="Y4947" s="42">
        <v>44691</v>
      </c>
    </row>
    <row r="4948" spans="14:25">
      <c r="N4948" s="42">
        <v>44676</v>
      </c>
      <c r="O4948" t="s">
        <v>345</v>
      </c>
      <c r="P4948" s="42">
        <v>44676</v>
      </c>
      <c r="Q4948" t="s">
        <v>345</v>
      </c>
      <c r="R4948" t="s">
        <v>320</v>
      </c>
      <c r="S4948" t="s">
        <v>323</v>
      </c>
      <c r="U4948">
        <v>7.6</v>
      </c>
    </row>
    <row r="4949" spans="14:25">
      <c r="N4949" s="42">
        <v>44671</v>
      </c>
      <c r="O4949" t="s">
        <v>328</v>
      </c>
      <c r="P4949" s="42">
        <v>44671</v>
      </c>
      <c r="Q4949" t="s">
        <v>328</v>
      </c>
      <c r="R4949" t="s">
        <v>329</v>
      </c>
      <c r="S4949" t="s">
        <v>323</v>
      </c>
      <c r="T4949">
        <v>7.6</v>
      </c>
      <c r="W4949" t="s">
        <v>330</v>
      </c>
      <c r="Y4949" s="42">
        <v>44677</v>
      </c>
    </row>
    <row r="4950" spans="14:25">
      <c r="N4950" s="42">
        <v>44670</v>
      </c>
      <c r="O4950" t="s">
        <v>333</v>
      </c>
      <c r="P4950" s="42">
        <v>44670</v>
      </c>
      <c r="Q4950" t="s">
        <v>333</v>
      </c>
      <c r="R4950" t="s">
        <v>329</v>
      </c>
      <c r="S4950" t="s">
        <v>323</v>
      </c>
      <c r="T4950">
        <v>7.6</v>
      </c>
      <c r="W4950" t="s">
        <v>330</v>
      </c>
      <c r="Y4950" s="42">
        <v>44677</v>
      </c>
    </row>
    <row r="4951" spans="14:25">
      <c r="N4951" s="42">
        <v>44669</v>
      </c>
      <c r="O4951" t="s">
        <v>345</v>
      </c>
      <c r="P4951" s="42">
        <v>44669</v>
      </c>
      <c r="Q4951" t="s">
        <v>345</v>
      </c>
      <c r="R4951" t="s">
        <v>320</v>
      </c>
      <c r="S4951" t="s">
        <v>323</v>
      </c>
      <c r="U4951">
        <v>7.6</v>
      </c>
    </row>
    <row r="4952" spans="14:25">
      <c r="N4952" s="42">
        <v>44666</v>
      </c>
      <c r="O4952" t="s">
        <v>346</v>
      </c>
      <c r="P4952" s="42">
        <v>44666</v>
      </c>
      <c r="Q4952" t="s">
        <v>346</v>
      </c>
      <c r="R4952" t="s">
        <v>320</v>
      </c>
      <c r="S4952" t="s">
        <v>323</v>
      </c>
      <c r="U4952">
        <v>7.6</v>
      </c>
    </row>
    <row r="4953" spans="14:25">
      <c r="N4953" s="42">
        <v>44650</v>
      </c>
      <c r="O4953" t="s">
        <v>328</v>
      </c>
      <c r="P4953" s="42">
        <v>44650</v>
      </c>
      <c r="Q4953" t="s">
        <v>328</v>
      </c>
      <c r="R4953" t="s">
        <v>329</v>
      </c>
      <c r="S4953" t="s">
        <v>323</v>
      </c>
      <c r="T4953">
        <v>7.6</v>
      </c>
      <c r="W4953" t="s">
        <v>330</v>
      </c>
      <c r="Y4953" s="42">
        <v>44663</v>
      </c>
    </row>
    <row r="4954" spans="14:25">
      <c r="N4954" s="42">
        <v>44635</v>
      </c>
      <c r="O4954" t="s">
        <v>333</v>
      </c>
      <c r="P4954" s="42">
        <v>44635</v>
      </c>
      <c r="Q4954" t="s">
        <v>333</v>
      </c>
      <c r="R4954" t="s">
        <v>320</v>
      </c>
      <c r="S4954" t="s">
        <v>323</v>
      </c>
      <c r="T4954">
        <v>7.6</v>
      </c>
      <c r="Y4954" s="42">
        <v>44635</v>
      </c>
    </row>
    <row r="4955" spans="14:25">
      <c r="N4955" s="42">
        <v>44634</v>
      </c>
      <c r="O4955" t="s">
        <v>345</v>
      </c>
      <c r="P4955" s="42">
        <v>44634</v>
      </c>
      <c r="Q4955" t="s">
        <v>345</v>
      </c>
      <c r="R4955" t="s">
        <v>320</v>
      </c>
      <c r="S4955" t="s">
        <v>323</v>
      </c>
      <c r="T4955">
        <v>7.6</v>
      </c>
      <c r="Y4955" s="42">
        <v>44635</v>
      </c>
    </row>
    <row r="4956" spans="14:25">
      <c r="N4956" s="42">
        <v>44627</v>
      </c>
      <c r="O4956" t="s">
        <v>345</v>
      </c>
      <c r="P4956" s="42">
        <v>44627</v>
      </c>
      <c r="Q4956" t="s">
        <v>345</v>
      </c>
      <c r="R4956" t="s">
        <v>320</v>
      </c>
      <c r="S4956" t="s">
        <v>323</v>
      </c>
      <c r="U4956">
        <v>7.6</v>
      </c>
    </row>
    <row r="4957" spans="14:25">
      <c r="N4957" s="42">
        <v>44599</v>
      </c>
      <c r="O4957" t="s">
        <v>345</v>
      </c>
      <c r="P4957" s="42">
        <v>44599</v>
      </c>
      <c r="Q4957" t="s">
        <v>345</v>
      </c>
      <c r="R4957" t="s">
        <v>320</v>
      </c>
      <c r="S4957" t="s">
        <v>323</v>
      </c>
      <c r="T4957">
        <v>7.6</v>
      </c>
      <c r="Y4957" s="42">
        <v>44607</v>
      </c>
    </row>
    <row r="4958" spans="14:25">
      <c r="N4958" s="42">
        <v>44596</v>
      </c>
      <c r="O4958" t="s">
        <v>346</v>
      </c>
      <c r="P4958" s="42">
        <v>44596</v>
      </c>
      <c r="Q4958" t="s">
        <v>346</v>
      </c>
      <c r="R4958" t="s">
        <v>329</v>
      </c>
      <c r="S4958" t="s">
        <v>323</v>
      </c>
      <c r="T4958">
        <v>7.6</v>
      </c>
      <c r="W4958" t="s">
        <v>330</v>
      </c>
      <c r="Y4958" s="42">
        <v>44607</v>
      </c>
    </row>
    <row r="4959" spans="14:25">
      <c r="N4959" s="42">
        <v>44595</v>
      </c>
      <c r="O4959" t="s">
        <v>324</v>
      </c>
      <c r="P4959" s="42">
        <v>44595</v>
      </c>
      <c r="Q4959" t="s">
        <v>324</v>
      </c>
      <c r="R4959" t="s">
        <v>329</v>
      </c>
      <c r="S4959" t="s">
        <v>323</v>
      </c>
      <c r="T4959">
        <v>1.5</v>
      </c>
      <c r="W4959" t="s">
        <v>330</v>
      </c>
      <c r="Y4959" s="42">
        <v>44607</v>
      </c>
    </row>
    <row r="4960" spans="14:25">
      <c r="N4960" s="42">
        <v>44587</v>
      </c>
      <c r="O4960" t="s">
        <v>328</v>
      </c>
      <c r="P4960" s="42">
        <v>44587</v>
      </c>
      <c r="Q4960" t="s">
        <v>328</v>
      </c>
      <c r="R4960" t="s">
        <v>320</v>
      </c>
      <c r="S4960" t="s">
        <v>323</v>
      </c>
      <c r="U4960">
        <v>7.6</v>
      </c>
    </row>
    <row r="4961" spans="14:25">
      <c r="N4961" s="42">
        <v>44565</v>
      </c>
      <c r="O4961" t="s">
        <v>333</v>
      </c>
      <c r="P4961" s="42">
        <v>44565</v>
      </c>
      <c r="Q4961" t="s">
        <v>333</v>
      </c>
      <c r="R4961" t="s">
        <v>320</v>
      </c>
      <c r="S4961" t="s">
        <v>323</v>
      </c>
      <c r="U4961">
        <v>7.6</v>
      </c>
    </row>
    <row r="4962" spans="14:25">
      <c r="N4962" s="42">
        <v>44564</v>
      </c>
      <c r="O4962" t="s">
        <v>345</v>
      </c>
      <c r="P4962" s="42">
        <v>44564</v>
      </c>
      <c r="Q4962" t="s">
        <v>345</v>
      </c>
      <c r="R4962" t="s">
        <v>320</v>
      </c>
      <c r="S4962" t="s">
        <v>323</v>
      </c>
      <c r="U4962">
        <v>7.6</v>
      </c>
    </row>
    <row r="4963" spans="14:25">
      <c r="N4963" s="42">
        <v>44561</v>
      </c>
      <c r="O4963" t="s">
        <v>346</v>
      </c>
      <c r="P4963" s="42">
        <v>44561</v>
      </c>
      <c r="Q4963" t="s">
        <v>346</v>
      </c>
      <c r="R4963" t="s">
        <v>320</v>
      </c>
      <c r="S4963" t="s">
        <v>323</v>
      </c>
      <c r="T4963">
        <v>7.6</v>
      </c>
      <c r="Y4963" s="42">
        <v>44565</v>
      </c>
    </row>
    <row r="4964" spans="14:25">
      <c r="N4964" s="42">
        <v>44560</v>
      </c>
      <c r="O4964" t="s">
        <v>324</v>
      </c>
      <c r="P4964" s="42">
        <v>44560</v>
      </c>
      <c r="Q4964" t="s">
        <v>324</v>
      </c>
      <c r="R4964" t="s">
        <v>320</v>
      </c>
      <c r="S4964" t="s">
        <v>323</v>
      </c>
      <c r="T4964">
        <v>7.6</v>
      </c>
      <c r="Y4964" s="42">
        <v>44565</v>
      </c>
    </row>
    <row r="4965" spans="14:25">
      <c r="N4965" s="42">
        <v>44559</v>
      </c>
      <c r="O4965" t="s">
        <v>328</v>
      </c>
      <c r="P4965" s="42">
        <v>44559</v>
      </c>
      <c r="Q4965" t="s">
        <v>328</v>
      </c>
      <c r="R4965" t="s">
        <v>320</v>
      </c>
      <c r="S4965" t="s">
        <v>323</v>
      </c>
      <c r="T4965">
        <v>7.6</v>
      </c>
      <c r="Y4965" s="42">
        <v>44565</v>
      </c>
    </row>
    <row r="4966" spans="14:25">
      <c r="N4966" s="42">
        <v>44558</v>
      </c>
      <c r="O4966" t="s">
        <v>333</v>
      </c>
      <c r="P4966" s="42">
        <v>44558</v>
      </c>
      <c r="Q4966" t="s">
        <v>333</v>
      </c>
      <c r="R4966" t="s">
        <v>320</v>
      </c>
      <c r="S4966" t="s">
        <v>323</v>
      </c>
      <c r="U4966">
        <v>7.6</v>
      </c>
    </row>
    <row r="4967" spans="14:25">
      <c r="N4967" s="42">
        <v>44557</v>
      </c>
      <c r="O4967" t="s">
        <v>345</v>
      </c>
      <c r="P4967" s="42">
        <v>44557</v>
      </c>
      <c r="Q4967" t="s">
        <v>345</v>
      </c>
      <c r="R4967" t="s">
        <v>320</v>
      </c>
      <c r="S4967" t="s">
        <v>323</v>
      </c>
      <c r="U4967">
        <v>7.6</v>
      </c>
    </row>
    <row r="4968" spans="14:25">
      <c r="N4968" s="42">
        <v>44509</v>
      </c>
      <c r="O4968" t="s">
        <v>333</v>
      </c>
      <c r="P4968" s="42">
        <v>44509</v>
      </c>
      <c r="Q4968" t="s">
        <v>333</v>
      </c>
      <c r="R4968" t="s">
        <v>329</v>
      </c>
      <c r="S4968" t="s">
        <v>323</v>
      </c>
      <c r="T4968">
        <v>7.6</v>
      </c>
      <c r="W4968" t="s">
        <v>330</v>
      </c>
      <c r="Y4968" s="42">
        <v>44509</v>
      </c>
    </row>
    <row r="4969" spans="14:25">
      <c r="N4969" s="42">
        <v>44498</v>
      </c>
      <c r="O4969" t="s">
        <v>346</v>
      </c>
      <c r="P4969" s="42">
        <v>44498</v>
      </c>
      <c r="Q4969" t="s">
        <v>346</v>
      </c>
      <c r="R4969" t="s">
        <v>320</v>
      </c>
      <c r="S4969" t="s">
        <v>323</v>
      </c>
      <c r="T4969">
        <v>7.6</v>
      </c>
      <c r="Y4969" s="42">
        <v>44509</v>
      </c>
    </row>
    <row r="4970" spans="14:25">
      <c r="N4970" s="42">
        <v>44497</v>
      </c>
      <c r="O4970" t="s">
        <v>324</v>
      </c>
      <c r="P4970" s="42">
        <v>44497</v>
      </c>
      <c r="Q4970" t="s">
        <v>324</v>
      </c>
      <c r="R4970" t="s">
        <v>320</v>
      </c>
      <c r="S4970" t="s">
        <v>323</v>
      </c>
      <c r="T4970">
        <v>7.6</v>
      </c>
      <c r="Y4970" s="42">
        <v>44509</v>
      </c>
    </row>
    <row r="4971" spans="14:25">
      <c r="N4971" s="42">
        <v>44496</v>
      </c>
      <c r="O4971" t="s">
        <v>328</v>
      </c>
      <c r="P4971" s="42">
        <v>44496</v>
      </c>
      <c r="Q4971" t="s">
        <v>328</v>
      </c>
      <c r="R4971" t="s">
        <v>320</v>
      </c>
      <c r="S4971" t="s">
        <v>323</v>
      </c>
      <c r="T4971">
        <v>7.6</v>
      </c>
      <c r="Y4971" s="42">
        <v>44509</v>
      </c>
    </row>
    <row r="4972" spans="14:25">
      <c r="N4972" s="42">
        <v>44495</v>
      </c>
      <c r="O4972" t="s">
        <v>333</v>
      </c>
      <c r="P4972" s="42">
        <v>44495</v>
      </c>
      <c r="Q4972" t="s">
        <v>333</v>
      </c>
      <c r="R4972" t="s">
        <v>320</v>
      </c>
      <c r="S4972" t="s">
        <v>323</v>
      </c>
      <c r="T4972">
        <v>7.6</v>
      </c>
      <c r="Y4972" s="42">
        <v>44495</v>
      </c>
    </row>
    <row r="4973" spans="14:25">
      <c r="N4973" s="42">
        <v>44494</v>
      </c>
      <c r="O4973" t="s">
        <v>345</v>
      </c>
      <c r="P4973" s="42">
        <v>44494</v>
      </c>
      <c r="Q4973" t="s">
        <v>345</v>
      </c>
      <c r="R4973" t="s">
        <v>320</v>
      </c>
      <c r="S4973" t="s">
        <v>323</v>
      </c>
      <c r="T4973">
        <v>7.6</v>
      </c>
      <c r="Y4973" s="42">
        <v>44495</v>
      </c>
    </row>
    <row r="4974" spans="14:25">
      <c r="N4974" s="42">
        <v>44491</v>
      </c>
      <c r="O4974" t="s">
        <v>346</v>
      </c>
      <c r="P4974" s="42">
        <v>44491</v>
      </c>
      <c r="Q4974" t="s">
        <v>346</v>
      </c>
      <c r="R4974" t="s">
        <v>320</v>
      </c>
      <c r="S4974" t="s">
        <v>323</v>
      </c>
      <c r="T4974">
        <v>7.6</v>
      </c>
      <c r="Y4974" s="42">
        <v>44495</v>
      </c>
    </row>
    <row r="4975" spans="14:25">
      <c r="N4975" s="42">
        <v>44490</v>
      </c>
      <c r="O4975" t="s">
        <v>324</v>
      </c>
      <c r="P4975" s="42">
        <v>44490</v>
      </c>
      <c r="Q4975" t="s">
        <v>324</v>
      </c>
      <c r="R4975" t="s">
        <v>320</v>
      </c>
      <c r="S4975" t="s">
        <v>323</v>
      </c>
      <c r="T4975">
        <v>7.6</v>
      </c>
      <c r="Y4975" s="42">
        <v>44495</v>
      </c>
    </row>
    <row r="4976" spans="14:25">
      <c r="N4976" s="42">
        <v>44489</v>
      </c>
      <c r="O4976" t="s">
        <v>328</v>
      </c>
      <c r="P4976" s="42">
        <v>44489</v>
      </c>
      <c r="Q4976" t="s">
        <v>328</v>
      </c>
      <c r="R4976" t="s">
        <v>320</v>
      </c>
      <c r="S4976" t="s">
        <v>323</v>
      </c>
      <c r="T4976">
        <v>7.6</v>
      </c>
      <c r="Y4976" s="42">
        <v>44495</v>
      </c>
    </row>
    <row r="4977" spans="14:25">
      <c r="N4977" s="42">
        <v>44488</v>
      </c>
      <c r="O4977" t="s">
        <v>333</v>
      </c>
      <c r="P4977" s="42">
        <v>44488</v>
      </c>
      <c r="Q4977" t="s">
        <v>333</v>
      </c>
      <c r="R4977" t="s">
        <v>320</v>
      </c>
      <c r="S4977" t="s">
        <v>323</v>
      </c>
      <c r="T4977">
        <v>7.6</v>
      </c>
      <c r="Y4977" s="42">
        <v>44495</v>
      </c>
    </row>
    <row r="4978" spans="14:25">
      <c r="N4978" s="42">
        <v>44487</v>
      </c>
      <c r="O4978" t="s">
        <v>345</v>
      </c>
      <c r="P4978" s="42">
        <v>44487</v>
      </c>
      <c r="Q4978" t="s">
        <v>345</v>
      </c>
      <c r="R4978" t="s">
        <v>320</v>
      </c>
      <c r="S4978" t="s">
        <v>323</v>
      </c>
      <c r="T4978">
        <v>7.6</v>
      </c>
      <c r="Y4978" s="42">
        <v>44495</v>
      </c>
    </row>
    <row r="4979" spans="14:25">
      <c r="N4979" s="42">
        <v>44484</v>
      </c>
      <c r="O4979" t="s">
        <v>346</v>
      </c>
      <c r="P4979" s="42">
        <v>44484</v>
      </c>
      <c r="Q4979" t="s">
        <v>346</v>
      </c>
      <c r="R4979" t="s">
        <v>320</v>
      </c>
      <c r="S4979" t="s">
        <v>323</v>
      </c>
      <c r="T4979">
        <v>7.6</v>
      </c>
      <c r="Y4979" s="42">
        <v>44495</v>
      </c>
    </row>
    <row r="4980" spans="14:25">
      <c r="N4980" s="42">
        <v>44483</v>
      </c>
      <c r="O4980" t="s">
        <v>324</v>
      </c>
      <c r="P4980" s="42">
        <v>44483</v>
      </c>
      <c r="Q4980" t="s">
        <v>324</v>
      </c>
      <c r="R4980" t="s">
        <v>320</v>
      </c>
      <c r="S4980" t="s">
        <v>323</v>
      </c>
      <c r="T4980">
        <v>7.6</v>
      </c>
      <c r="Y4980" s="42">
        <v>44495</v>
      </c>
    </row>
    <row r="4981" spans="14:25">
      <c r="N4981" s="42">
        <v>44482</v>
      </c>
      <c r="O4981" t="s">
        <v>328</v>
      </c>
      <c r="P4981" s="42">
        <v>44482</v>
      </c>
      <c r="Q4981" t="s">
        <v>328</v>
      </c>
      <c r="R4981" t="s">
        <v>320</v>
      </c>
      <c r="S4981" t="s">
        <v>323</v>
      </c>
      <c r="T4981">
        <v>7.6</v>
      </c>
      <c r="Y4981" s="42">
        <v>44495</v>
      </c>
    </row>
    <row r="4982" spans="14:25">
      <c r="N4982" s="42">
        <v>44481</v>
      </c>
      <c r="O4982" t="s">
        <v>333</v>
      </c>
      <c r="P4982" s="42">
        <v>44481</v>
      </c>
      <c r="Q4982" t="s">
        <v>333</v>
      </c>
      <c r="R4982" t="s">
        <v>320</v>
      </c>
      <c r="S4982" t="s">
        <v>323</v>
      </c>
      <c r="T4982">
        <v>7.6</v>
      </c>
      <c r="Y4982" s="42">
        <v>44481</v>
      </c>
    </row>
    <row r="4983" spans="14:25">
      <c r="N4983" s="42">
        <v>44480</v>
      </c>
      <c r="O4983" t="s">
        <v>345</v>
      </c>
      <c r="P4983" s="42">
        <v>44480</v>
      </c>
      <c r="Q4983" t="s">
        <v>345</v>
      </c>
      <c r="R4983" t="s">
        <v>320</v>
      </c>
      <c r="S4983" t="s">
        <v>323</v>
      </c>
      <c r="T4983">
        <v>7.6</v>
      </c>
      <c r="Y4983" s="42">
        <v>44481</v>
      </c>
    </row>
    <row r="4984" spans="14:25">
      <c r="N4984" s="42">
        <v>44475</v>
      </c>
      <c r="O4984" t="s">
        <v>328</v>
      </c>
      <c r="P4984" s="42">
        <v>44475</v>
      </c>
      <c r="Q4984" t="s">
        <v>328</v>
      </c>
      <c r="R4984" t="s">
        <v>329</v>
      </c>
      <c r="S4984" t="s">
        <v>323</v>
      </c>
      <c r="T4984">
        <v>7.6</v>
      </c>
      <c r="W4984" t="s">
        <v>330</v>
      </c>
      <c r="Y4984" s="42">
        <v>44481</v>
      </c>
    </row>
    <row r="4985" spans="14:25">
      <c r="N4985" s="42">
        <v>44466</v>
      </c>
      <c r="O4985" t="s">
        <v>345</v>
      </c>
      <c r="P4985" s="42">
        <v>44466</v>
      </c>
      <c r="Q4985" t="s">
        <v>345</v>
      </c>
      <c r="R4985" t="s">
        <v>320</v>
      </c>
      <c r="S4985" t="s">
        <v>323</v>
      </c>
      <c r="U4985">
        <v>7.6</v>
      </c>
    </row>
    <row r="4986" spans="14:25">
      <c r="N4986" s="42">
        <v>44459</v>
      </c>
      <c r="O4986" t="s">
        <v>345</v>
      </c>
      <c r="P4986" s="42">
        <v>44459</v>
      </c>
      <c r="Q4986" t="s">
        <v>345</v>
      </c>
      <c r="R4986" t="s">
        <v>329</v>
      </c>
      <c r="S4986" t="s">
        <v>323</v>
      </c>
      <c r="T4986">
        <v>7.1</v>
      </c>
      <c r="W4986" t="s">
        <v>330</v>
      </c>
      <c r="Y4986" s="42">
        <v>44467</v>
      </c>
    </row>
    <row r="4987" spans="14:25">
      <c r="N4987" s="42">
        <v>44440</v>
      </c>
      <c r="O4987" t="s">
        <v>328</v>
      </c>
      <c r="P4987" s="42">
        <v>44440</v>
      </c>
      <c r="Q4987" t="s">
        <v>328</v>
      </c>
      <c r="R4987" t="s">
        <v>329</v>
      </c>
      <c r="S4987" t="s">
        <v>323</v>
      </c>
      <c r="T4987">
        <v>7.6</v>
      </c>
      <c r="W4987" t="s">
        <v>330</v>
      </c>
      <c r="Y4987" s="42">
        <v>44453</v>
      </c>
    </row>
    <row r="4988" spans="14:25">
      <c r="N4988" s="42">
        <v>44425</v>
      </c>
      <c r="O4988" t="s">
        <v>333</v>
      </c>
      <c r="P4988" s="42">
        <v>44425</v>
      </c>
      <c r="Q4988" t="s">
        <v>333</v>
      </c>
      <c r="R4988" t="s">
        <v>329</v>
      </c>
      <c r="S4988" t="s">
        <v>323</v>
      </c>
      <c r="T4988">
        <v>1.5</v>
      </c>
      <c r="W4988" t="s">
        <v>330</v>
      </c>
      <c r="Y4988" s="42">
        <v>44425</v>
      </c>
    </row>
    <row r="4989" spans="14:25">
      <c r="N4989" s="42">
        <v>44424</v>
      </c>
      <c r="O4989" t="s">
        <v>345</v>
      </c>
      <c r="P4989" s="42">
        <v>44424</v>
      </c>
      <c r="Q4989" t="s">
        <v>345</v>
      </c>
      <c r="R4989" t="s">
        <v>320</v>
      </c>
      <c r="S4989" t="s">
        <v>323</v>
      </c>
      <c r="T4989">
        <v>7.6</v>
      </c>
      <c r="Y4989" s="42">
        <v>44425</v>
      </c>
    </row>
    <row r="4990" spans="14:25">
      <c r="N4990" s="42">
        <v>44421</v>
      </c>
      <c r="O4990" t="s">
        <v>346</v>
      </c>
      <c r="P4990" s="42">
        <v>44421</v>
      </c>
      <c r="Q4990" t="s">
        <v>346</v>
      </c>
      <c r="R4990" t="s">
        <v>320</v>
      </c>
      <c r="S4990" t="s">
        <v>323</v>
      </c>
      <c r="T4990">
        <v>7.6</v>
      </c>
      <c r="Y4990" s="42">
        <v>44425</v>
      </c>
    </row>
    <row r="4991" spans="14:25">
      <c r="N4991" s="42">
        <v>44393</v>
      </c>
      <c r="O4991" t="s">
        <v>346</v>
      </c>
      <c r="P4991" s="42">
        <v>44393</v>
      </c>
      <c r="Q4991" t="s">
        <v>346</v>
      </c>
      <c r="R4991" t="s">
        <v>320</v>
      </c>
      <c r="S4991" t="s">
        <v>323</v>
      </c>
      <c r="T4991">
        <v>7.6</v>
      </c>
      <c r="Y4991" s="42">
        <v>44397</v>
      </c>
    </row>
    <row r="4992" spans="14:25">
      <c r="N4992" s="42">
        <v>44392</v>
      </c>
      <c r="O4992" t="s">
        <v>324</v>
      </c>
      <c r="P4992" s="42">
        <v>44392</v>
      </c>
      <c r="Q4992" t="s">
        <v>324</v>
      </c>
      <c r="R4992" t="s">
        <v>320</v>
      </c>
      <c r="S4992" t="s">
        <v>323</v>
      </c>
      <c r="T4992">
        <v>7.6</v>
      </c>
      <c r="Y4992" s="42">
        <v>44397</v>
      </c>
    </row>
    <row r="4993" spans="14:25">
      <c r="N4993" s="42">
        <v>44391</v>
      </c>
      <c r="O4993" t="s">
        <v>328</v>
      </c>
      <c r="P4993" s="42">
        <v>44391</v>
      </c>
      <c r="Q4993" t="s">
        <v>328</v>
      </c>
      <c r="R4993" t="s">
        <v>320</v>
      </c>
      <c r="S4993" t="s">
        <v>323</v>
      </c>
      <c r="T4993">
        <v>7.6</v>
      </c>
      <c r="Y4993" s="42">
        <v>44397</v>
      </c>
    </row>
    <row r="4994" spans="14:25">
      <c r="N4994" s="42">
        <v>44390</v>
      </c>
      <c r="O4994" t="s">
        <v>333</v>
      </c>
      <c r="P4994" s="42">
        <v>44390</v>
      </c>
      <c r="Q4994" t="s">
        <v>333</v>
      </c>
      <c r="R4994" t="s">
        <v>320</v>
      </c>
      <c r="S4994" t="s">
        <v>323</v>
      </c>
      <c r="T4994">
        <v>7.6</v>
      </c>
      <c r="Y4994" s="42">
        <v>44397</v>
      </c>
    </row>
    <row r="4995" spans="14:25">
      <c r="N4995" s="42">
        <v>44389</v>
      </c>
      <c r="O4995" t="s">
        <v>345</v>
      </c>
      <c r="P4995" s="42">
        <v>44389</v>
      </c>
      <c r="Q4995" t="s">
        <v>345</v>
      </c>
      <c r="R4995" t="s">
        <v>320</v>
      </c>
      <c r="S4995" t="s">
        <v>323</v>
      </c>
      <c r="T4995">
        <v>7.6</v>
      </c>
      <c r="Y4995" s="42">
        <v>44397</v>
      </c>
    </row>
    <row r="4996" spans="14:25">
      <c r="N4996" s="42">
        <v>44365</v>
      </c>
      <c r="O4996" t="s">
        <v>346</v>
      </c>
      <c r="P4996" s="42">
        <v>44365</v>
      </c>
      <c r="Q4996" t="s">
        <v>346</v>
      </c>
      <c r="R4996" t="s">
        <v>329</v>
      </c>
      <c r="S4996" t="s">
        <v>323</v>
      </c>
      <c r="T4996">
        <v>7.6</v>
      </c>
      <c r="W4996" t="s">
        <v>330</v>
      </c>
      <c r="Y4996" s="42">
        <v>44369</v>
      </c>
    </row>
    <row r="4997" spans="14:25">
      <c r="N4997" s="42">
        <v>44364</v>
      </c>
      <c r="O4997" t="s">
        <v>324</v>
      </c>
      <c r="P4997" s="42">
        <v>44364</v>
      </c>
      <c r="Q4997" t="s">
        <v>324</v>
      </c>
      <c r="R4997" t="s">
        <v>329</v>
      </c>
      <c r="S4997" t="s">
        <v>323</v>
      </c>
      <c r="T4997">
        <v>7.6</v>
      </c>
      <c r="W4997" t="s">
        <v>330</v>
      </c>
      <c r="Y4997" s="42">
        <v>44369</v>
      </c>
    </row>
    <row r="4998" spans="14:25">
      <c r="N4998" s="42">
        <v>44362</v>
      </c>
      <c r="O4998" t="s">
        <v>333</v>
      </c>
      <c r="P4998" s="42">
        <v>44362</v>
      </c>
      <c r="Q4998" t="s">
        <v>333</v>
      </c>
      <c r="R4998" t="s">
        <v>329</v>
      </c>
      <c r="S4998" t="s">
        <v>323</v>
      </c>
      <c r="T4998">
        <v>7.6</v>
      </c>
      <c r="W4998" t="s">
        <v>330</v>
      </c>
      <c r="Y4998" s="42">
        <v>44369</v>
      </c>
    </row>
    <row r="4999" spans="14:25">
      <c r="N4999" s="42">
        <v>44356</v>
      </c>
      <c r="O4999" t="s">
        <v>328</v>
      </c>
      <c r="P4999" s="42">
        <v>44356</v>
      </c>
      <c r="Q4999" t="s">
        <v>328</v>
      </c>
      <c r="R4999" t="s">
        <v>329</v>
      </c>
      <c r="S4999" t="s">
        <v>323</v>
      </c>
      <c r="T4999">
        <v>7.6</v>
      </c>
      <c r="W4999" t="s">
        <v>330</v>
      </c>
      <c r="Y4999" s="42">
        <v>44369</v>
      </c>
    </row>
    <row r="5000" spans="14:25">
      <c r="N5000" s="42">
        <v>44354</v>
      </c>
      <c r="O5000" t="s">
        <v>345</v>
      </c>
      <c r="P5000" s="42">
        <v>44354</v>
      </c>
      <c r="Q5000" t="s">
        <v>345</v>
      </c>
      <c r="R5000" t="s">
        <v>320</v>
      </c>
      <c r="S5000" t="s">
        <v>323</v>
      </c>
      <c r="U5000">
        <v>7.6</v>
      </c>
    </row>
    <row r="5001" spans="14:25">
      <c r="N5001" s="42">
        <v>44312</v>
      </c>
      <c r="O5001" t="s">
        <v>345</v>
      </c>
      <c r="P5001" s="42">
        <v>44312</v>
      </c>
      <c r="Q5001" t="s">
        <v>345</v>
      </c>
      <c r="R5001" t="s">
        <v>320</v>
      </c>
      <c r="S5001" t="s">
        <v>323</v>
      </c>
      <c r="U5001">
        <v>7.6</v>
      </c>
    </row>
    <row r="5002" spans="14:25">
      <c r="N5002" s="42">
        <v>44291</v>
      </c>
      <c r="O5002" t="s">
        <v>345</v>
      </c>
      <c r="P5002" s="42">
        <v>44291</v>
      </c>
      <c r="Q5002" t="s">
        <v>345</v>
      </c>
      <c r="R5002" t="s">
        <v>320</v>
      </c>
      <c r="S5002" t="s">
        <v>323</v>
      </c>
      <c r="U5002">
        <v>7.6</v>
      </c>
    </row>
    <row r="5003" spans="14:25">
      <c r="N5003" s="42">
        <v>44288</v>
      </c>
      <c r="O5003" t="s">
        <v>346</v>
      </c>
      <c r="P5003" s="42">
        <v>44288</v>
      </c>
      <c r="Q5003" t="s">
        <v>346</v>
      </c>
      <c r="R5003" t="s">
        <v>320</v>
      </c>
      <c r="S5003" t="s">
        <v>323</v>
      </c>
      <c r="U5003">
        <v>7.6</v>
      </c>
    </row>
    <row r="5004" spans="14:25">
      <c r="N5004" s="42">
        <v>44285</v>
      </c>
      <c r="O5004" t="s">
        <v>333</v>
      </c>
      <c r="P5004" s="42">
        <v>44285</v>
      </c>
      <c r="Q5004" t="s">
        <v>333</v>
      </c>
      <c r="R5004" t="s">
        <v>329</v>
      </c>
      <c r="S5004" t="s">
        <v>323</v>
      </c>
      <c r="T5004">
        <v>7.1</v>
      </c>
      <c r="W5004" t="s">
        <v>330</v>
      </c>
      <c r="Y5004" s="42">
        <v>44285</v>
      </c>
    </row>
    <row r="5005" spans="14:25">
      <c r="N5005" s="42">
        <v>44266</v>
      </c>
      <c r="O5005" t="s">
        <v>324</v>
      </c>
      <c r="P5005" s="42">
        <v>44266</v>
      </c>
      <c r="Q5005" t="s">
        <v>324</v>
      </c>
      <c r="R5005" t="s">
        <v>329</v>
      </c>
      <c r="S5005" t="s">
        <v>323</v>
      </c>
      <c r="T5005">
        <v>7.6</v>
      </c>
      <c r="W5005" t="s">
        <v>330</v>
      </c>
      <c r="Y5005" s="42">
        <v>44271</v>
      </c>
    </row>
    <row r="5006" spans="14:25">
      <c r="N5006" s="42">
        <v>44256</v>
      </c>
      <c r="O5006" t="s">
        <v>345</v>
      </c>
      <c r="P5006" s="42">
        <v>44256</v>
      </c>
      <c r="Q5006" t="s">
        <v>345</v>
      </c>
      <c r="R5006" t="s">
        <v>320</v>
      </c>
      <c r="S5006" t="s">
        <v>323</v>
      </c>
      <c r="U5006">
        <v>7.6</v>
      </c>
    </row>
    <row r="5007" spans="14:25">
      <c r="N5007" s="42">
        <v>44236</v>
      </c>
      <c r="O5007" t="s">
        <v>333</v>
      </c>
      <c r="P5007" s="42">
        <v>44236</v>
      </c>
      <c r="Q5007" t="s">
        <v>333</v>
      </c>
      <c r="R5007" t="s">
        <v>329</v>
      </c>
      <c r="S5007" t="s">
        <v>323</v>
      </c>
      <c r="T5007">
        <v>7.6</v>
      </c>
      <c r="W5007" t="s">
        <v>330</v>
      </c>
      <c r="Y5007" s="42">
        <v>44243</v>
      </c>
    </row>
    <row r="5008" spans="14:25">
      <c r="N5008" s="42">
        <v>44222</v>
      </c>
      <c r="O5008" t="s">
        <v>333</v>
      </c>
      <c r="P5008" s="42">
        <v>44222</v>
      </c>
      <c r="Q5008" t="s">
        <v>333</v>
      </c>
      <c r="R5008" t="s">
        <v>320</v>
      </c>
      <c r="S5008" t="s">
        <v>323</v>
      </c>
      <c r="U5008">
        <v>7.6</v>
      </c>
    </row>
    <row r="5009" spans="14:25">
      <c r="N5009" s="42">
        <v>44201</v>
      </c>
      <c r="O5009" t="s">
        <v>333</v>
      </c>
      <c r="P5009" s="42">
        <v>44201</v>
      </c>
      <c r="Q5009" t="s">
        <v>333</v>
      </c>
      <c r="R5009" t="s">
        <v>320</v>
      </c>
      <c r="S5009" t="s">
        <v>323</v>
      </c>
      <c r="T5009">
        <v>7.6</v>
      </c>
      <c r="Y5009" s="42">
        <v>44201</v>
      </c>
    </row>
    <row r="5010" spans="14:25">
      <c r="N5010" s="42">
        <v>44200</v>
      </c>
      <c r="O5010" t="s">
        <v>345</v>
      </c>
      <c r="P5010" s="42">
        <v>44200</v>
      </c>
      <c r="Q5010" t="s">
        <v>345</v>
      </c>
      <c r="R5010" t="s">
        <v>320</v>
      </c>
      <c r="S5010" t="s">
        <v>323</v>
      </c>
      <c r="T5010">
        <v>7.6</v>
      </c>
      <c r="Y5010" s="42">
        <v>44201</v>
      </c>
    </row>
    <row r="5011" spans="14:25">
      <c r="N5011" s="42">
        <v>44197</v>
      </c>
      <c r="O5011" t="s">
        <v>346</v>
      </c>
      <c r="P5011" s="42">
        <v>44197</v>
      </c>
      <c r="Q5011" t="s">
        <v>346</v>
      </c>
      <c r="R5011" t="s">
        <v>320</v>
      </c>
      <c r="S5011" t="s">
        <v>323</v>
      </c>
      <c r="U5011">
        <v>7.6</v>
      </c>
    </row>
    <row r="5012" spans="14:25">
      <c r="N5012" s="42">
        <v>44193</v>
      </c>
      <c r="O5012" t="s">
        <v>345</v>
      </c>
      <c r="P5012" s="42">
        <v>44193</v>
      </c>
      <c r="Q5012" t="s">
        <v>345</v>
      </c>
      <c r="R5012" t="s">
        <v>320</v>
      </c>
      <c r="S5012" t="s">
        <v>323</v>
      </c>
      <c r="U5012">
        <v>7.6</v>
      </c>
    </row>
    <row r="5013" spans="14:25">
      <c r="N5013" s="42">
        <v>44190</v>
      </c>
      <c r="O5013" t="s">
        <v>346</v>
      </c>
      <c r="P5013" s="42">
        <v>44190</v>
      </c>
      <c r="Q5013" t="s">
        <v>346</v>
      </c>
      <c r="R5013" t="s">
        <v>320</v>
      </c>
      <c r="S5013" t="s">
        <v>323</v>
      </c>
      <c r="U5013">
        <v>7.6</v>
      </c>
    </row>
    <row r="5014" spans="14:25">
      <c r="N5014" s="42">
        <v>44179</v>
      </c>
      <c r="O5014" t="s">
        <v>345</v>
      </c>
      <c r="P5014" s="42">
        <v>44179</v>
      </c>
      <c r="Q5014" t="s">
        <v>345</v>
      </c>
      <c r="R5014" t="s">
        <v>329</v>
      </c>
      <c r="S5014" t="s">
        <v>323</v>
      </c>
      <c r="T5014">
        <v>7.6</v>
      </c>
      <c r="W5014" t="s">
        <v>330</v>
      </c>
      <c r="Y5014" s="42">
        <v>44187</v>
      </c>
    </row>
    <row r="5015" spans="14:25">
      <c r="N5015" s="42">
        <v>44127</v>
      </c>
      <c r="O5015" t="s">
        <v>346</v>
      </c>
      <c r="P5015" s="42">
        <v>44127</v>
      </c>
      <c r="Q5015" t="s">
        <v>346</v>
      </c>
      <c r="R5015" t="s">
        <v>329</v>
      </c>
      <c r="S5015" t="s">
        <v>323</v>
      </c>
      <c r="T5015">
        <v>7.6</v>
      </c>
      <c r="W5015" t="s">
        <v>330</v>
      </c>
      <c r="Y5015" s="42">
        <v>44131</v>
      </c>
    </row>
    <row r="5016" spans="14:25">
      <c r="N5016" s="42">
        <v>44111</v>
      </c>
      <c r="O5016" t="s">
        <v>328</v>
      </c>
      <c r="P5016" s="42">
        <v>44111</v>
      </c>
      <c r="Q5016" t="s">
        <v>328</v>
      </c>
      <c r="R5016" t="s">
        <v>320</v>
      </c>
      <c r="S5016" t="s">
        <v>323</v>
      </c>
      <c r="T5016">
        <v>7.6</v>
      </c>
      <c r="Y5016" s="42">
        <v>44117</v>
      </c>
    </row>
    <row r="5017" spans="14:25">
      <c r="N5017" s="42">
        <v>44110</v>
      </c>
      <c r="O5017" t="s">
        <v>333</v>
      </c>
      <c r="P5017" s="42">
        <v>44110</v>
      </c>
      <c r="Q5017" t="s">
        <v>333</v>
      </c>
      <c r="R5017" t="s">
        <v>320</v>
      </c>
      <c r="S5017" t="s">
        <v>323</v>
      </c>
      <c r="T5017">
        <v>7.6</v>
      </c>
      <c r="Y5017" s="42">
        <v>44117</v>
      </c>
    </row>
    <row r="5018" spans="14:25">
      <c r="N5018" s="42">
        <v>44109</v>
      </c>
      <c r="O5018" t="s">
        <v>345</v>
      </c>
      <c r="P5018" s="42">
        <v>44109</v>
      </c>
      <c r="Q5018" t="s">
        <v>345</v>
      </c>
      <c r="R5018" t="s">
        <v>320</v>
      </c>
      <c r="S5018" t="s">
        <v>323</v>
      </c>
      <c r="T5018">
        <v>7.6</v>
      </c>
      <c r="Y5018" s="42">
        <v>44117</v>
      </c>
    </row>
    <row r="5019" spans="14:25">
      <c r="N5019" s="42">
        <v>44102</v>
      </c>
      <c r="O5019" t="s">
        <v>345</v>
      </c>
      <c r="P5019" s="42">
        <v>44102</v>
      </c>
      <c r="Q5019" t="s">
        <v>345</v>
      </c>
      <c r="R5019" t="s">
        <v>320</v>
      </c>
      <c r="S5019" t="s">
        <v>323</v>
      </c>
      <c r="U5019">
        <v>7.6</v>
      </c>
    </row>
    <row r="5020" spans="14:25">
      <c r="N5020" s="42">
        <v>44074</v>
      </c>
      <c r="O5020" t="s">
        <v>345</v>
      </c>
      <c r="P5020" s="42">
        <v>44074</v>
      </c>
      <c r="Q5020" t="s">
        <v>345</v>
      </c>
      <c r="R5020" t="s">
        <v>329</v>
      </c>
      <c r="S5020" t="s">
        <v>323</v>
      </c>
      <c r="T5020">
        <v>7.6</v>
      </c>
      <c r="W5020" t="s">
        <v>330</v>
      </c>
      <c r="Y5020" s="42">
        <v>44075</v>
      </c>
    </row>
    <row r="5021" spans="14:25">
      <c r="N5021" s="42">
        <v>44029</v>
      </c>
      <c r="O5021" t="s">
        <v>346</v>
      </c>
      <c r="P5021" s="42">
        <v>44029</v>
      </c>
      <c r="Q5021" t="s">
        <v>346</v>
      </c>
      <c r="R5021" t="s">
        <v>329</v>
      </c>
      <c r="S5021" t="s">
        <v>323</v>
      </c>
      <c r="T5021">
        <v>7.6</v>
      </c>
      <c r="W5021" t="s">
        <v>330</v>
      </c>
      <c r="Y5021" s="42">
        <v>44033</v>
      </c>
    </row>
    <row r="5022" spans="14:25">
      <c r="N5022" s="42">
        <v>44028</v>
      </c>
      <c r="O5022" t="s">
        <v>324</v>
      </c>
      <c r="P5022" s="42">
        <v>44028</v>
      </c>
      <c r="Q5022" t="s">
        <v>324</v>
      </c>
      <c r="R5022" t="s">
        <v>329</v>
      </c>
      <c r="S5022" t="s">
        <v>323</v>
      </c>
      <c r="T5022">
        <v>7.6</v>
      </c>
      <c r="W5022" t="s">
        <v>330</v>
      </c>
      <c r="Y5022" s="42">
        <v>44033</v>
      </c>
    </row>
    <row r="5023" spans="14:25">
      <c r="N5023" s="42">
        <v>44027</v>
      </c>
      <c r="O5023" t="s">
        <v>328</v>
      </c>
      <c r="P5023" s="42">
        <v>44027</v>
      </c>
      <c r="Q5023" t="s">
        <v>328</v>
      </c>
      <c r="R5023" t="s">
        <v>329</v>
      </c>
      <c r="S5023" t="s">
        <v>323</v>
      </c>
      <c r="T5023">
        <v>7.6</v>
      </c>
      <c r="W5023" t="s">
        <v>330</v>
      </c>
      <c r="Y5023" s="42">
        <v>44033</v>
      </c>
    </row>
    <row r="5024" spans="14:25">
      <c r="N5024" s="42">
        <v>43997</v>
      </c>
      <c r="O5024" t="s">
        <v>345</v>
      </c>
      <c r="P5024" s="42">
        <v>43997</v>
      </c>
      <c r="Q5024" t="s">
        <v>345</v>
      </c>
      <c r="R5024" t="s">
        <v>338</v>
      </c>
      <c r="S5024" t="s">
        <v>323</v>
      </c>
      <c r="T5024">
        <v>0.31669999999999998</v>
      </c>
      <c r="W5024" t="s">
        <v>330</v>
      </c>
      <c r="Y5024" s="42">
        <v>44005</v>
      </c>
    </row>
    <row r="5025" spans="14:25">
      <c r="N5025" s="42">
        <v>43979</v>
      </c>
      <c r="O5025" t="s">
        <v>324</v>
      </c>
      <c r="P5025" s="42">
        <v>43979</v>
      </c>
      <c r="Q5025" t="s">
        <v>324</v>
      </c>
      <c r="R5025" t="s">
        <v>320</v>
      </c>
      <c r="S5025" t="s">
        <v>323</v>
      </c>
      <c r="T5025">
        <v>7.6</v>
      </c>
      <c r="Y5025" s="42">
        <v>43991</v>
      </c>
    </row>
    <row r="5026" spans="14:25">
      <c r="N5026" s="42">
        <v>43978</v>
      </c>
      <c r="O5026" t="s">
        <v>328</v>
      </c>
      <c r="P5026" s="42">
        <v>43978</v>
      </c>
      <c r="Q5026" t="s">
        <v>328</v>
      </c>
      <c r="R5026" t="s">
        <v>320</v>
      </c>
      <c r="S5026" t="s">
        <v>323</v>
      </c>
      <c r="T5026">
        <v>7.6</v>
      </c>
      <c r="Y5026" s="42">
        <v>43991</v>
      </c>
    </row>
    <row r="5027" spans="14:25">
      <c r="N5027" s="42">
        <v>43977</v>
      </c>
      <c r="O5027" t="s">
        <v>333</v>
      </c>
      <c r="P5027" s="42">
        <v>43977</v>
      </c>
      <c r="Q5027" t="s">
        <v>333</v>
      </c>
      <c r="R5027" t="s">
        <v>320</v>
      </c>
      <c r="S5027" t="s">
        <v>323</v>
      </c>
      <c r="T5027">
        <v>7.5</v>
      </c>
      <c r="Y5027" s="42">
        <v>43977</v>
      </c>
    </row>
    <row r="5028" spans="14:25">
      <c r="N5028" s="42">
        <v>43952</v>
      </c>
      <c r="O5028" t="s">
        <v>346</v>
      </c>
      <c r="P5028" s="42">
        <v>43952</v>
      </c>
      <c r="Q5028" t="s">
        <v>346</v>
      </c>
      <c r="R5028" t="s">
        <v>329</v>
      </c>
      <c r="S5028" t="s">
        <v>323</v>
      </c>
      <c r="T5028">
        <v>0.83330000000000004</v>
      </c>
      <c r="W5028" t="s">
        <v>330</v>
      </c>
      <c r="Y5028" s="42">
        <v>43963</v>
      </c>
    </row>
    <row r="5029" spans="14:25">
      <c r="N5029" s="42">
        <v>43921</v>
      </c>
      <c r="O5029" t="s">
        <v>333</v>
      </c>
      <c r="P5029" s="42">
        <v>43921</v>
      </c>
      <c r="Q5029" t="s">
        <v>333</v>
      </c>
      <c r="R5029" t="s">
        <v>329</v>
      </c>
      <c r="S5029" t="s">
        <v>323</v>
      </c>
      <c r="T5029">
        <v>7.6</v>
      </c>
      <c r="W5029" t="s">
        <v>330</v>
      </c>
      <c r="Y5029" s="42">
        <v>43921</v>
      </c>
    </row>
    <row r="5030" spans="14:25">
      <c r="N5030" s="42">
        <v>43882</v>
      </c>
      <c r="O5030" t="s">
        <v>346</v>
      </c>
      <c r="P5030" s="42">
        <v>43882</v>
      </c>
      <c r="Q5030" t="s">
        <v>346</v>
      </c>
      <c r="R5030" t="s">
        <v>329</v>
      </c>
      <c r="S5030" t="s">
        <v>323</v>
      </c>
      <c r="T5030">
        <v>7.6</v>
      </c>
      <c r="W5030" t="s">
        <v>330</v>
      </c>
      <c r="Y5030" s="42">
        <v>43893</v>
      </c>
    </row>
    <row r="5031" spans="14:25">
      <c r="N5031" s="42">
        <v>43881</v>
      </c>
      <c r="O5031" t="s">
        <v>324</v>
      </c>
      <c r="P5031" s="42">
        <v>43881</v>
      </c>
      <c r="Q5031" t="s">
        <v>324</v>
      </c>
      <c r="R5031" t="s">
        <v>329</v>
      </c>
      <c r="S5031" t="s">
        <v>323</v>
      </c>
      <c r="T5031">
        <v>7.6</v>
      </c>
      <c r="W5031" t="s">
        <v>330</v>
      </c>
      <c r="Y5031" s="42">
        <v>43893</v>
      </c>
    </row>
    <row r="5032" spans="14:25">
      <c r="N5032" s="42">
        <v>43880</v>
      </c>
      <c r="O5032" t="s">
        <v>328</v>
      </c>
      <c r="P5032" s="42">
        <v>43880</v>
      </c>
      <c r="Q5032" t="s">
        <v>328</v>
      </c>
      <c r="R5032" t="s">
        <v>329</v>
      </c>
      <c r="S5032" t="s">
        <v>323</v>
      </c>
      <c r="T5032">
        <v>7.6</v>
      </c>
      <c r="W5032" t="s">
        <v>330</v>
      </c>
      <c r="Y5032" s="42">
        <v>43893</v>
      </c>
    </row>
    <row r="5033" spans="14:25">
      <c r="N5033" s="42">
        <v>43879</v>
      </c>
      <c r="O5033" t="s">
        <v>333</v>
      </c>
      <c r="P5033" s="42">
        <v>43879</v>
      </c>
      <c r="Q5033" t="s">
        <v>333</v>
      </c>
      <c r="R5033" t="s">
        <v>329</v>
      </c>
      <c r="S5033" t="s">
        <v>323</v>
      </c>
      <c r="T5033">
        <v>7.6</v>
      </c>
      <c r="W5033" t="s">
        <v>330</v>
      </c>
      <c r="Y5033" s="42">
        <v>43879</v>
      </c>
    </row>
    <row r="5034" spans="14:25">
      <c r="N5034" s="42">
        <v>43878</v>
      </c>
      <c r="O5034" t="s">
        <v>345</v>
      </c>
      <c r="P5034" s="42">
        <v>43878</v>
      </c>
      <c r="Q5034" t="s">
        <v>345</v>
      </c>
      <c r="R5034" t="s">
        <v>329</v>
      </c>
      <c r="S5034" t="s">
        <v>323</v>
      </c>
      <c r="T5034">
        <v>7.6</v>
      </c>
      <c r="W5034" t="s">
        <v>330</v>
      </c>
      <c r="Y5034" s="42">
        <v>43879</v>
      </c>
    </row>
    <row r="5035" spans="14:25">
      <c r="N5035" s="42">
        <v>43833</v>
      </c>
      <c r="O5035" t="s">
        <v>346</v>
      </c>
      <c r="P5035" s="42">
        <v>43833</v>
      </c>
      <c r="Q5035" t="s">
        <v>346</v>
      </c>
      <c r="R5035" t="s">
        <v>329</v>
      </c>
      <c r="S5035" t="s">
        <v>323</v>
      </c>
      <c r="T5035">
        <v>7.6</v>
      </c>
      <c r="W5035" t="s">
        <v>330</v>
      </c>
      <c r="Y5035" s="42">
        <v>43837</v>
      </c>
    </row>
    <row r="5036" spans="14:25">
      <c r="N5036" s="42">
        <v>43752</v>
      </c>
      <c r="O5036" t="s">
        <v>345</v>
      </c>
      <c r="P5036" s="42">
        <v>43752</v>
      </c>
      <c r="Q5036" t="s">
        <v>345</v>
      </c>
      <c r="R5036" t="s">
        <v>329</v>
      </c>
      <c r="S5036" t="s">
        <v>323</v>
      </c>
      <c r="T5036">
        <v>7.5</v>
      </c>
      <c r="W5036" t="s">
        <v>330</v>
      </c>
      <c r="Y5036" s="42">
        <v>43753</v>
      </c>
    </row>
    <row r="5037" spans="14:25">
      <c r="N5037" s="42">
        <v>43683</v>
      </c>
      <c r="O5037" t="s">
        <v>333</v>
      </c>
      <c r="P5037" s="42">
        <v>43683</v>
      </c>
      <c r="Q5037" t="s">
        <v>333</v>
      </c>
      <c r="R5037" t="s">
        <v>329</v>
      </c>
      <c r="S5037" t="s">
        <v>323</v>
      </c>
      <c r="T5037">
        <v>7.6</v>
      </c>
      <c r="W5037" t="s">
        <v>330</v>
      </c>
      <c r="Y5037" s="42">
        <v>43683</v>
      </c>
    </row>
    <row r="5038" spans="14:25">
      <c r="N5038" s="42">
        <v>43682</v>
      </c>
      <c r="O5038" t="s">
        <v>345</v>
      </c>
      <c r="P5038" s="42">
        <v>43682</v>
      </c>
      <c r="Q5038" t="s">
        <v>345</v>
      </c>
      <c r="R5038" t="s">
        <v>329</v>
      </c>
      <c r="S5038" t="s">
        <v>323</v>
      </c>
      <c r="T5038">
        <v>7.6</v>
      </c>
      <c r="W5038" t="s">
        <v>330</v>
      </c>
      <c r="Y5038" s="42">
        <v>43683</v>
      </c>
    </row>
    <row r="5039" spans="14:25">
      <c r="N5039" s="42">
        <v>43679</v>
      </c>
      <c r="O5039" t="s">
        <v>346</v>
      </c>
      <c r="P5039" s="42">
        <v>43679</v>
      </c>
      <c r="Q5039" t="s">
        <v>346</v>
      </c>
      <c r="R5039" t="s">
        <v>329</v>
      </c>
      <c r="S5039" t="s">
        <v>323</v>
      </c>
      <c r="T5039">
        <v>7.6</v>
      </c>
      <c r="W5039" t="s">
        <v>330</v>
      </c>
      <c r="Y5039" s="42">
        <v>43683</v>
      </c>
    </row>
    <row r="5040" spans="14:25">
      <c r="N5040" s="42">
        <v>43640</v>
      </c>
      <c r="O5040" t="s">
        <v>345</v>
      </c>
      <c r="P5040" s="42">
        <v>43640</v>
      </c>
      <c r="Q5040" t="s">
        <v>345</v>
      </c>
      <c r="R5040" t="s">
        <v>329</v>
      </c>
      <c r="S5040" t="s">
        <v>323</v>
      </c>
      <c r="T5040">
        <v>4</v>
      </c>
      <c r="W5040" t="s">
        <v>330</v>
      </c>
      <c r="Y5040" s="42">
        <v>43641</v>
      </c>
    </row>
    <row r="5041" spans="1:25">
      <c r="A5041">
        <v>18793</v>
      </c>
      <c r="B5041" t="s">
        <v>411</v>
      </c>
      <c r="C5041" t="s">
        <v>320</v>
      </c>
      <c r="D5041" t="s">
        <v>375</v>
      </c>
      <c r="E5041" t="s">
        <v>376</v>
      </c>
      <c r="F5041">
        <v>1</v>
      </c>
      <c r="G5041" s="42">
        <v>45206</v>
      </c>
      <c r="H5041">
        <v>0</v>
      </c>
      <c r="I5041">
        <v>0</v>
      </c>
      <c r="J5041">
        <v>0</v>
      </c>
      <c r="K5041">
        <v>0</v>
      </c>
      <c r="L5041" t="s">
        <v>323</v>
      </c>
      <c r="M5041" s="43">
        <v>0.21111111111111111</v>
      </c>
      <c r="N5041" s="42">
        <v>44558</v>
      </c>
      <c r="O5041" t="s">
        <v>333</v>
      </c>
      <c r="P5041" s="42">
        <v>44558</v>
      </c>
      <c r="Q5041" t="s">
        <v>333</v>
      </c>
      <c r="R5041" t="s">
        <v>320</v>
      </c>
      <c r="S5041" t="s">
        <v>323</v>
      </c>
      <c r="U5041">
        <v>3</v>
      </c>
    </row>
    <row r="5042" spans="1:25">
      <c r="C5042" t="s">
        <v>325</v>
      </c>
      <c r="D5042" t="s">
        <v>349</v>
      </c>
      <c r="E5042" t="s">
        <v>350</v>
      </c>
      <c r="F5042">
        <v>1</v>
      </c>
      <c r="G5042" s="42">
        <v>45572</v>
      </c>
      <c r="H5042">
        <v>55.319400000000002</v>
      </c>
      <c r="I5042">
        <v>0</v>
      </c>
      <c r="J5042">
        <v>55.319400000000002</v>
      </c>
      <c r="K5042">
        <v>55.319400000000002</v>
      </c>
      <c r="L5042" t="s">
        <v>323</v>
      </c>
    </row>
    <row r="5043" spans="1:25">
      <c r="C5043" t="s">
        <v>329</v>
      </c>
      <c r="D5043" t="s">
        <v>379</v>
      </c>
      <c r="E5043" t="s">
        <v>380</v>
      </c>
      <c r="F5043">
        <v>1</v>
      </c>
      <c r="G5043" s="42">
        <v>45206</v>
      </c>
      <c r="H5043">
        <v>0</v>
      </c>
      <c r="I5043">
        <v>0</v>
      </c>
      <c r="J5043">
        <v>0</v>
      </c>
      <c r="K5043">
        <v>0</v>
      </c>
      <c r="L5043" t="s">
        <v>323</v>
      </c>
    </row>
    <row r="5044" spans="1:25">
      <c r="A5044">
        <v>18797</v>
      </c>
      <c r="B5044" t="s">
        <v>412</v>
      </c>
      <c r="C5044" t="s">
        <v>320</v>
      </c>
      <c r="D5044" t="s">
        <v>336</v>
      </c>
      <c r="E5044" t="s">
        <v>337</v>
      </c>
      <c r="F5044">
        <v>1</v>
      </c>
      <c r="G5044" s="42">
        <v>45238</v>
      </c>
      <c r="H5044">
        <v>152</v>
      </c>
      <c r="I5044">
        <v>46.775500000000001</v>
      </c>
      <c r="J5044">
        <v>48.306800000000003</v>
      </c>
      <c r="K5044">
        <v>95.082300000000004</v>
      </c>
      <c r="L5044" t="s">
        <v>323</v>
      </c>
      <c r="M5044" s="43">
        <v>0.17152777777777775</v>
      </c>
      <c r="N5044" s="42">
        <v>44966</v>
      </c>
      <c r="O5044" t="s">
        <v>324</v>
      </c>
      <c r="P5044" s="42">
        <v>44966</v>
      </c>
      <c r="Q5044" t="s">
        <v>324</v>
      </c>
      <c r="R5044" t="s">
        <v>320</v>
      </c>
      <c r="S5044" t="s">
        <v>323</v>
      </c>
      <c r="T5044">
        <v>7.6</v>
      </c>
      <c r="Y5044" s="42">
        <v>44971</v>
      </c>
    </row>
    <row r="5045" spans="1:25">
      <c r="C5045" t="s">
        <v>325</v>
      </c>
      <c r="D5045" t="s">
        <v>340</v>
      </c>
      <c r="E5045" t="s">
        <v>341</v>
      </c>
      <c r="F5045">
        <v>1</v>
      </c>
      <c r="G5045" s="42">
        <v>45856</v>
      </c>
      <c r="H5045">
        <v>230.5427</v>
      </c>
      <c r="I5045">
        <v>0</v>
      </c>
      <c r="J5045">
        <v>152.37299999999999</v>
      </c>
      <c r="K5045">
        <v>152.37299999999999</v>
      </c>
      <c r="L5045" t="s">
        <v>323</v>
      </c>
      <c r="N5045" s="42">
        <v>44958</v>
      </c>
      <c r="O5045" t="s">
        <v>328</v>
      </c>
      <c r="P5045" s="42">
        <v>44958</v>
      </c>
      <c r="Q5045" t="s">
        <v>328</v>
      </c>
      <c r="R5045" t="s">
        <v>329</v>
      </c>
      <c r="S5045" t="s">
        <v>323</v>
      </c>
      <c r="T5045">
        <v>7.6</v>
      </c>
      <c r="W5045" t="s">
        <v>330</v>
      </c>
      <c r="Y5045" s="42">
        <v>44971</v>
      </c>
    </row>
    <row r="5046" spans="1:25">
      <c r="C5046" t="s">
        <v>329</v>
      </c>
      <c r="D5046" t="s">
        <v>342</v>
      </c>
      <c r="E5046" t="s">
        <v>343</v>
      </c>
      <c r="F5046">
        <v>1</v>
      </c>
      <c r="G5046" s="42">
        <v>45238</v>
      </c>
      <c r="H5046">
        <v>76</v>
      </c>
      <c r="I5046">
        <v>19.960100000000001</v>
      </c>
      <c r="J5046">
        <v>24.153400000000001</v>
      </c>
      <c r="K5046">
        <v>44.113500000000002</v>
      </c>
      <c r="L5046" t="s">
        <v>323</v>
      </c>
      <c r="N5046" s="42">
        <v>44952</v>
      </c>
      <c r="O5046" t="s">
        <v>324</v>
      </c>
      <c r="P5046" s="42">
        <v>44952</v>
      </c>
      <c r="Q5046" t="s">
        <v>324</v>
      </c>
      <c r="R5046" t="s">
        <v>320</v>
      </c>
      <c r="S5046" t="s">
        <v>323</v>
      </c>
      <c r="U5046">
        <v>7.6</v>
      </c>
    </row>
    <row r="5047" spans="1:25">
      <c r="N5047" s="42">
        <v>44922</v>
      </c>
      <c r="O5047" t="s">
        <v>333</v>
      </c>
      <c r="P5047" s="42">
        <v>44922</v>
      </c>
      <c r="Q5047" t="s">
        <v>333</v>
      </c>
      <c r="R5047" t="s">
        <v>320</v>
      </c>
      <c r="S5047" t="s">
        <v>323</v>
      </c>
      <c r="U5047">
        <v>7.6</v>
      </c>
    </row>
    <row r="5048" spans="1:25">
      <c r="N5048" s="42">
        <v>44921</v>
      </c>
      <c r="O5048" t="s">
        <v>345</v>
      </c>
      <c r="P5048" s="42">
        <v>44921</v>
      </c>
      <c r="Q5048" t="s">
        <v>345</v>
      </c>
      <c r="R5048" t="s">
        <v>320</v>
      </c>
      <c r="S5048" t="s">
        <v>323</v>
      </c>
      <c r="U5048">
        <v>7.1</v>
      </c>
    </row>
    <row r="5049" spans="1:25">
      <c r="N5049" s="42">
        <v>44887</v>
      </c>
      <c r="O5049" t="s">
        <v>333</v>
      </c>
      <c r="P5049" s="42">
        <v>44887</v>
      </c>
      <c r="Q5049" t="s">
        <v>333</v>
      </c>
      <c r="R5049" t="s">
        <v>329</v>
      </c>
      <c r="S5049" t="s">
        <v>323</v>
      </c>
      <c r="T5049">
        <v>4.5</v>
      </c>
      <c r="W5049" t="s">
        <v>330</v>
      </c>
      <c r="Y5049" s="42">
        <v>44887</v>
      </c>
    </row>
    <row r="5050" spans="1:25">
      <c r="N5050" s="42">
        <v>44866</v>
      </c>
      <c r="O5050" t="s">
        <v>333</v>
      </c>
      <c r="P5050" s="42">
        <v>44866</v>
      </c>
      <c r="Q5050" t="s">
        <v>333</v>
      </c>
      <c r="R5050" t="s">
        <v>320</v>
      </c>
      <c r="S5050" t="s">
        <v>323</v>
      </c>
      <c r="U5050">
        <v>7.6</v>
      </c>
    </row>
    <row r="5051" spans="1:25">
      <c r="N5051" s="42">
        <v>44826</v>
      </c>
      <c r="O5051" t="s">
        <v>324</v>
      </c>
      <c r="P5051" s="42">
        <v>44826</v>
      </c>
      <c r="Q5051" t="s">
        <v>324</v>
      </c>
      <c r="R5051" t="s">
        <v>320</v>
      </c>
      <c r="S5051" t="s">
        <v>323</v>
      </c>
      <c r="U5051">
        <v>7.6</v>
      </c>
    </row>
    <row r="5052" spans="1:25">
      <c r="N5052" s="42">
        <v>44813</v>
      </c>
      <c r="O5052" t="s">
        <v>346</v>
      </c>
      <c r="P5052" s="42">
        <v>44813</v>
      </c>
      <c r="Q5052" t="s">
        <v>346</v>
      </c>
      <c r="R5052" t="s">
        <v>329</v>
      </c>
      <c r="S5052" t="s">
        <v>323</v>
      </c>
      <c r="T5052">
        <v>7.6</v>
      </c>
      <c r="W5052" t="s">
        <v>330</v>
      </c>
      <c r="Y5052" s="42">
        <v>44817</v>
      </c>
    </row>
    <row r="5053" spans="1:25">
      <c r="N5053" s="42">
        <v>44760</v>
      </c>
      <c r="O5053" t="s">
        <v>345</v>
      </c>
      <c r="P5053" s="42">
        <v>44760</v>
      </c>
      <c r="Q5053" t="s">
        <v>345</v>
      </c>
      <c r="R5053" t="s">
        <v>320</v>
      </c>
      <c r="S5053" t="s">
        <v>323</v>
      </c>
      <c r="T5053">
        <v>3.5</v>
      </c>
      <c r="Y5053" s="42">
        <v>44761</v>
      </c>
    </row>
    <row r="5054" spans="1:25">
      <c r="N5054" s="42">
        <v>44757</v>
      </c>
      <c r="O5054" t="s">
        <v>346</v>
      </c>
      <c r="P5054" s="42">
        <v>44757</v>
      </c>
      <c r="Q5054" t="s">
        <v>346</v>
      </c>
      <c r="R5054" t="s">
        <v>320</v>
      </c>
      <c r="S5054" t="s">
        <v>323</v>
      </c>
      <c r="T5054">
        <v>7.6</v>
      </c>
      <c r="Y5054" s="42">
        <v>44761</v>
      </c>
    </row>
    <row r="5055" spans="1:25">
      <c r="N5055" s="42">
        <v>44756</v>
      </c>
      <c r="O5055" t="s">
        <v>324</v>
      </c>
      <c r="P5055" s="42">
        <v>44756</v>
      </c>
      <c r="Q5055" t="s">
        <v>324</v>
      </c>
      <c r="R5055" t="s">
        <v>320</v>
      </c>
      <c r="S5055" t="s">
        <v>323</v>
      </c>
      <c r="T5055">
        <v>7.6</v>
      </c>
      <c r="Y5055" s="42">
        <v>44761</v>
      </c>
    </row>
    <row r="5056" spans="1:25">
      <c r="N5056" s="42">
        <v>44728</v>
      </c>
      <c r="O5056" t="s">
        <v>324</v>
      </c>
      <c r="P5056" s="42">
        <v>44728</v>
      </c>
      <c r="Q5056" t="s">
        <v>324</v>
      </c>
      <c r="R5056" t="s">
        <v>329</v>
      </c>
      <c r="S5056" t="s">
        <v>323</v>
      </c>
      <c r="T5056">
        <v>7.6</v>
      </c>
      <c r="W5056" t="s">
        <v>330</v>
      </c>
      <c r="Y5056" s="42">
        <v>44733</v>
      </c>
    </row>
    <row r="5057" spans="14:25">
      <c r="N5057" s="42">
        <v>44725</v>
      </c>
      <c r="O5057" t="s">
        <v>345</v>
      </c>
      <c r="P5057" s="42">
        <v>44725</v>
      </c>
      <c r="Q5057" t="s">
        <v>345</v>
      </c>
      <c r="R5057" t="s">
        <v>320</v>
      </c>
      <c r="S5057" t="s">
        <v>323</v>
      </c>
      <c r="U5057">
        <v>7.6</v>
      </c>
    </row>
    <row r="5058" spans="14:25">
      <c r="N5058" s="42">
        <v>44676</v>
      </c>
      <c r="O5058" t="s">
        <v>345</v>
      </c>
      <c r="P5058" s="42">
        <v>44676</v>
      </c>
      <c r="Q5058" t="s">
        <v>345</v>
      </c>
      <c r="R5058" t="s">
        <v>320</v>
      </c>
      <c r="S5058" t="s">
        <v>323</v>
      </c>
      <c r="U5058">
        <v>7.6</v>
      </c>
    </row>
    <row r="5059" spans="14:25">
      <c r="N5059" s="42">
        <v>44670</v>
      </c>
      <c r="O5059" t="s">
        <v>333</v>
      </c>
      <c r="P5059" s="42">
        <v>44697</v>
      </c>
      <c r="Q5059" t="s">
        <v>345</v>
      </c>
      <c r="R5059" t="s">
        <v>320</v>
      </c>
      <c r="S5059" t="s">
        <v>323</v>
      </c>
      <c r="T5059">
        <v>152</v>
      </c>
      <c r="Y5059" s="42">
        <v>44719</v>
      </c>
    </row>
    <row r="5060" spans="14:25">
      <c r="N5060" s="42">
        <v>44669</v>
      </c>
      <c r="O5060" t="s">
        <v>345</v>
      </c>
      <c r="P5060" s="42">
        <v>44669</v>
      </c>
      <c r="Q5060" t="s">
        <v>345</v>
      </c>
      <c r="R5060" t="s">
        <v>320</v>
      </c>
      <c r="S5060" t="s">
        <v>323</v>
      </c>
      <c r="U5060">
        <v>7.6</v>
      </c>
    </row>
    <row r="5061" spans="14:25">
      <c r="N5061" s="42">
        <v>44666</v>
      </c>
      <c r="O5061" t="s">
        <v>346</v>
      </c>
      <c r="P5061" s="42">
        <v>44666</v>
      </c>
      <c r="Q5061" t="s">
        <v>346</v>
      </c>
      <c r="R5061" t="s">
        <v>320</v>
      </c>
      <c r="S5061" t="s">
        <v>323</v>
      </c>
      <c r="U5061">
        <v>7.6</v>
      </c>
    </row>
    <row r="5062" spans="14:25">
      <c r="N5062" s="42">
        <v>44637</v>
      </c>
      <c r="O5062" t="s">
        <v>324</v>
      </c>
      <c r="P5062" s="42">
        <v>44637</v>
      </c>
      <c r="Q5062" t="s">
        <v>324</v>
      </c>
      <c r="R5062" t="s">
        <v>329</v>
      </c>
      <c r="S5062" t="s">
        <v>323</v>
      </c>
      <c r="T5062">
        <v>7.6</v>
      </c>
      <c r="W5062" t="s">
        <v>330</v>
      </c>
      <c r="Y5062" s="42">
        <v>44649</v>
      </c>
    </row>
    <row r="5063" spans="14:25">
      <c r="N5063" s="42">
        <v>44634</v>
      </c>
      <c r="O5063" t="s">
        <v>345</v>
      </c>
      <c r="P5063" s="42">
        <v>44634</v>
      </c>
      <c r="Q5063" t="s">
        <v>345</v>
      </c>
      <c r="R5063" t="s">
        <v>320</v>
      </c>
      <c r="S5063" t="s">
        <v>323</v>
      </c>
      <c r="U5063">
        <v>7.6</v>
      </c>
    </row>
    <row r="5064" spans="14:25">
      <c r="N5064" s="42">
        <v>44621</v>
      </c>
      <c r="O5064" t="s">
        <v>333</v>
      </c>
      <c r="P5064" s="42">
        <v>44621</v>
      </c>
      <c r="Q5064" t="s">
        <v>333</v>
      </c>
      <c r="R5064" t="s">
        <v>329</v>
      </c>
      <c r="S5064" t="s">
        <v>323</v>
      </c>
      <c r="T5064">
        <v>7.6</v>
      </c>
      <c r="W5064" t="s">
        <v>330</v>
      </c>
      <c r="Y5064" s="42">
        <v>44621</v>
      </c>
    </row>
    <row r="5065" spans="14:25">
      <c r="N5065" s="42">
        <v>44602</v>
      </c>
      <c r="O5065" t="s">
        <v>324</v>
      </c>
      <c r="P5065" s="42">
        <v>44602</v>
      </c>
      <c r="Q5065" t="s">
        <v>324</v>
      </c>
      <c r="R5065" t="s">
        <v>320</v>
      </c>
      <c r="S5065" t="s">
        <v>323</v>
      </c>
      <c r="T5065">
        <v>7.6</v>
      </c>
      <c r="Y5065" s="42">
        <v>44607</v>
      </c>
    </row>
    <row r="5066" spans="14:25">
      <c r="N5066" s="42">
        <v>44587</v>
      </c>
      <c r="O5066" t="s">
        <v>328</v>
      </c>
      <c r="P5066" s="42">
        <v>44587</v>
      </c>
      <c r="Q5066" t="s">
        <v>328</v>
      </c>
      <c r="R5066" t="s">
        <v>320</v>
      </c>
      <c r="S5066" t="s">
        <v>323</v>
      </c>
      <c r="U5066">
        <v>7.6</v>
      </c>
    </row>
    <row r="5067" spans="14:25">
      <c r="N5067" s="42">
        <v>44585</v>
      </c>
      <c r="O5067" t="s">
        <v>345</v>
      </c>
      <c r="P5067" s="42">
        <v>44585</v>
      </c>
      <c r="Q5067" t="s">
        <v>345</v>
      </c>
      <c r="R5067" t="s">
        <v>329</v>
      </c>
      <c r="S5067" t="s">
        <v>323</v>
      </c>
      <c r="T5067">
        <v>7.6</v>
      </c>
      <c r="W5067" t="s">
        <v>330</v>
      </c>
      <c r="Y5067" s="42">
        <v>44593</v>
      </c>
    </row>
    <row r="5068" spans="14:25">
      <c r="N5068" s="42">
        <v>44573</v>
      </c>
      <c r="O5068" t="s">
        <v>328</v>
      </c>
      <c r="P5068" s="42">
        <v>44573</v>
      </c>
      <c r="Q5068" t="s">
        <v>328</v>
      </c>
      <c r="R5068" t="s">
        <v>320</v>
      </c>
      <c r="S5068" t="s">
        <v>323</v>
      </c>
      <c r="T5068">
        <v>7.6</v>
      </c>
      <c r="Y5068" s="42">
        <v>44579</v>
      </c>
    </row>
    <row r="5069" spans="14:25">
      <c r="N5069" s="42">
        <v>44566</v>
      </c>
      <c r="O5069" t="s">
        <v>328</v>
      </c>
      <c r="P5069" s="42">
        <v>44566</v>
      </c>
      <c r="Q5069" t="s">
        <v>328</v>
      </c>
      <c r="R5069" t="s">
        <v>329</v>
      </c>
      <c r="S5069" t="s">
        <v>323</v>
      </c>
      <c r="T5069">
        <v>7.6</v>
      </c>
      <c r="W5069" t="s">
        <v>330</v>
      </c>
      <c r="Y5069" s="42">
        <v>44579</v>
      </c>
    </row>
    <row r="5070" spans="14:25">
      <c r="N5070" s="42">
        <v>44564</v>
      </c>
      <c r="O5070" t="s">
        <v>345</v>
      </c>
      <c r="P5070" s="42">
        <v>44564</v>
      </c>
      <c r="Q5070" t="s">
        <v>345</v>
      </c>
      <c r="R5070" t="s">
        <v>320</v>
      </c>
      <c r="S5070" t="s">
        <v>323</v>
      </c>
      <c r="U5070">
        <v>2.75</v>
      </c>
    </row>
    <row r="5071" spans="14:25">
      <c r="N5071" s="42">
        <v>44558</v>
      </c>
      <c r="O5071" t="s">
        <v>333</v>
      </c>
      <c r="P5071" s="42">
        <v>44558</v>
      </c>
      <c r="Q5071" t="s">
        <v>333</v>
      </c>
      <c r="R5071" t="s">
        <v>320</v>
      </c>
      <c r="S5071" t="s">
        <v>323</v>
      </c>
      <c r="U5071">
        <v>7.6</v>
      </c>
    </row>
    <row r="5072" spans="14:25">
      <c r="N5072" s="42">
        <v>44557</v>
      </c>
      <c r="O5072" t="s">
        <v>345</v>
      </c>
      <c r="P5072" s="42">
        <v>44557</v>
      </c>
      <c r="Q5072" t="s">
        <v>345</v>
      </c>
      <c r="R5072" t="s">
        <v>320</v>
      </c>
      <c r="S5072" t="s">
        <v>323</v>
      </c>
      <c r="U5072">
        <v>7.6</v>
      </c>
    </row>
    <row r="5073" spans="14:25">
      <c r="N5073" s="42">
        <v>44552</v>
      </c>
      <c r="O5073" t="s">
        <v>328</v>
      </c>
      <c r="P5073" s="42">
        <v>44552</v>
      </c>
      <c r="Q5073" t="s">
        <v>328</v>
      </c>
      <c r="R5073" t="s">
        <v>320</v>
      </c>
      <c r="S5073" t="s">
        <v>323</v>
      </c>
      <c r="T5073">
        <v>7.6</v>
      </c>
      <c r="Y5073" s="42">
        <v>44565</v>
      </c>
    </row>
    <row r="5074" spans="14:25">
      <c r="N5074" s="42">
        <v>44551</v>
      </c>
      <c r="O5074" t="s">
        <v>333</v>
      </c>
      <c r="P5074" s="42">
        <v>44551</v>
      </c>
      <c r="Q5074" t="s">
        <v>333</v>
      </c>
      <c r="R5074" t="s">
        <v>320</v>
      </c>
      <c r="S5074" t="s">
        <v>323</v>
      </c>
      <c r="T5074">
        <v>7.6</v>
      </c>
      <c r="Y5074" s="42">
        <v>44551</v>
      </c>
    </row>
    <row r="5075" spans="14:25">
      <c r="N5075" s="42">
        <v>44550</v>
      </c>
      <c r="O5075" t="s">
        <v>345</v>
      </c>
      <c r="P5075" s="42">
        <v>44550</v>
      </c>
      <c r="Q5075" t="s">
        <v>345</v>
      </c>
      <c r="R5075" t="s">
        <v>320</v>
      </c>
      <c r="S5075" t="s">
        <v>323</v>
      </c>
      <c r="T5075">
        <v>7.6</v>
      </c>
      <c r="Y5075" s="42">
        <v>44551</v>
      </c>
    </row>
    <row r="5076" spans="14:25">
      <c r="N5076" s="42">
        <v>44545</v>
      </c>
      <c r="O5076" t="s">
        <v>328</v>
      </c>
      <c r="P5076" s="42">
        <v>44545</v>
      </c>
      <c r="Q5076" t="s">
        <v>328</v>
      </c>
      <c r="R5076" t="s">
        <v>329</v>
      </c>
      <c r="S5076" t="s">
        <v>323</v>
      </c>
      <c r="T5076">
        <v>5</v>
      </c>
      <c r="W5076" t="s">
        <v>330</v>
      </c>
      <c r="Y5076" s="42">
        <v>44551</v>
      </c>
    </row>
    <row r="5077" spans="14:25">
      <c r="N5077" s="42">
        <v>44531</v>
      </c>
      <c r="O5077" t="s">
        <v>328</v>
      </c>
      <c r="P5077" s="42">
        <v>44531</v>
      </c>
      <c r="Q5077" t="s">
        <v>328</v>
      </c>
      <c r="R5077" t="s">
        <v>329</v>
      </c>
      <c r="S5077" t="s">
        <v>323</v>
      </c>
      <c r="T5077">
        <v>7.6</v>
      </c>
      <c r="W5077" t="s">
        <v>330</v>
      </c>
      <c r="Y5077" s="42">
        <v>44537</v>
      </c>
    </row>
    <row r="5078" spans="14:25">
      <c r="N5078" s="42">
        <v>44519</v>
      </c>
      <c r="O5078" t="s">
        <v>346</v>
      </c>
      <c r="P5078" s="42">
        <v>44519</v>
      </c>
      <c r="Q5078" t="s">
        <v>346</v>
      </c>
      <c r="R5078" t="s">
        <v>329</v>
      </c>
      <c r="S5078" t="s">
        <v>323</v>
      </c>
      <c r="T5078">
        <v>7.6</v>
      </c>
      <c r="W5078" t="s">
        <v>330</v>
      </c>
      <c r="Y5078" s="42">
        <v>44523</v>
      </c>
    </row>
    <row r="5079" spans="14:25">
      <c r="N5079" s="42">
        <v>44504</v>
      </c>
      <c r="O5079" t="s">
        <v>324</v>
      </c>
      <c r="P5079" s="42">
        <v>44504</v>
      </c>
      <c r="Q5079" t="s">
        <v>324</v>
      </c>
      <c r="R5079" t="s">
        <v>320</v>
      </c>
      <c r="S5079" t="s">
        <v>323</v>
      </c>
      <c r="T5079">
        <v>7.6</v>
      </c>
      <c r="Y5079" s="42">
        <v>44509</v>
      </c>
    </row>
    <row r="5080" spans="14:25">
      <c r="N5080" s="42">
        <v>44502</v>
      </c>
      <c r="O5080" t="s">
        <v>333</v>
      </c>
      <c r="P5080" s="42">
        <v>44502</v>
      </c>
      <c r="Q5080" t="s">
        <v>333</v>
      </c>
      <c r="R5080" t="s">
        <v>320</v>
      </c>
      <c r="S5080" t="s">
        <v>323</v>
      </c>
      <c r="U5080">
        <v>7.6</v>
      </c>
    </row>
    <row r="5081" spans="14:25">
      <c r="N5081" s="42">
        <v>44477</v>
      </c>
      <c r="O5081" t="s">
        <v>346</v>
      </c>
      <c r="P5081" s="42">
        <v>44477</v>
      </c>
      <c r="Q5081" t="s">
        <v>346</v>
      </c>
      <c r="R5081" t="s">
        <v>329</v>
      </c>
      <c r="S5081" t="s">
        <v>323</v>
      </c>
      <c r="T5081">
        <v>7.6</v>
      </c>
      <c r="W5081" t="s">
        <v>330</v>
      </c>
      <c r="Y5081" s="42">
        <v>44481</v>
      </c>
    </row>
    <row r="5082" spans="14:25">
      <c r="N5082" s="42">
        <v>44463</v>
      </c>
      <c r="O5082" t="s">
        <v>346</v>
      </c>
      <c r="P5082" s="42">
        <v>44463</v>
      </c>
      <c r="Q5082" t="s">
        <v>346</v>
      </c>
      <c r="R5082" t="s">
        <v>320</v>
      </c>
      <c r="S5082" t="s">
        <v>323</v>
      </c>
      <c r="U5082">
        <v>7.6</v>
      </c>
    </row>
    <row r="5083" spans="14:25">
      <c r="N5083" s="42">
        <v>44449</v>
      </c>
      <c r="O5083" t="s">
        <v>346</v>
      </c>
      <c r="P5083" s="42">
        <v>44449</v>
      </c>
      <c r="Q5083" t="s">
        <v>346</v>
      </c>
      <c r="R5083" t="s">
        <v>320</v>
      </c>
      <c r="S5083" t="s">
        <v>323</v>
      </c>
      <c r="T5083">
        <v>7.6</v>
      </c>
      <c r="Y5083" s="42">
        <v>44453</v>
      </c>
    </row>
    <row r="5084" spans="14:25">
      <c r="N5084" s="42">
        <v>44435</v>
      </c>
      <c r="O5084" t="s">
        <v>346</v>
      </c>
      <c r="P5084" s="42">
        <v>44435</v>
      </c>
      <c r="Q5084" t="s">
        <v>346</v>
      </c>
      <c r="R5084" t="s">
        <v>329</v>
      </c>
      <c r="S5084" t="s">
        <v>323</v>
      </c>
      <c r="T5084">
        <v>7.6</v>
      </c>
      <c r="W5084" t="s">
        <v>330</v>
      </c>
      <c r="Y5084" s="42">
        <v>44439</v>
      </c>
    </row>
    <row r="5085" spans="14:25">
      <c r="N5085" s="42">
        <v>44412</v>
      </c>
      <c r="O5085" t="s">
        <v>328</v>
      </c>
      <c r="P5085" s="42">
        <v>44412</v>
      </c>
      <c r="Q5085" t="s">
        <v>328</v>
      </c>
      <c r="R5085" t="s">
        <v>329</v>
      </c>
      <c r="S5085" t="s">
        <v>323</v>
      </c>
      <c r="T5085">
        <v>7.6</v>
      </c>
      <c r="W5085" t="s">
        <v>330</v>
      </c>
      <c r="Y5085" s="42">
        <v>44425</v>
      </c>
    </row>
    <row r="5086" spans="14:25">
      <c r="N5086" s="42">
        <v>44397</v>
      </c>
      <c r="O5086" t="s">
        <v>333</v>
      </c>
      <c r="P5086" s="42">
        <v>44397</v>
      </c>
      <c r="Q5086" t="s">
        <v>333</v>
      </c>
      <c r="R5086" t="s">
        <v>329</v>
      </c>
      <c r="S5086" t="s">
        <v>323</v>
      </c>
      <c r="T5086">
        <v>7.6</v>
      </c>
      <c r="W5086" t="s">
        <v>330</v>
      </c>
      <c r="Y5086" s="42">
        <v>44397</v>
      </c>
    </row>
    <row r="5087" spans="14:25">
      <c r="N5087" s="42">
        <v>44387</v>
      </c>
      <c r="O5087" t="s">
        <v>359</v>
      </c>
      <c r="P5087" s="42">
        <v>44387</v>
      </c>
      <c r="Q5087" t="s">
        <v>359</v>
      </c>
      <c r="R5087" t="s">
        <v>320</v>
      </c>
      <c r="S5087" t="s">
        <v>323</v>
      </c>
      <c r="T5087">
        <v>7.6</v>
      </c>
      <c r="Y5087" s="42">
        <v>44397</v>
      </c>
    </row>
    <row r="5088" spans="14:25">
      <c r="N5088" s="42">
        <v>44289</v>
      </c>
      <c r="O5088" t="s">
        <v>359</v>
      </c>
      <c r="P5088" s="42">
        <v>44289</v>
      </c>
      <c r="Q5088" t="s">
        <v>359</v>
      </c>
      <c r="R5088" t="s">
        <v>320</v>
      </c>
      <c r="S5088" t="s">
        <v>323</v>
      </c>
      <c r="U5088">
        <v>7.6</v>
      </c>
    </row>
    <row r="5089" spans="14:25">
      <c r="N5089" s="42">
        <v>44288</v>
      </c>
      <c r="O5089" t="s">
        <v>346</v>
      </c>
      <c r="P5089" s="42">
        <v>44288</v>
      </c>
      <c r="Q5089" t="s">
        <v>346</v>
      </c>
      <c r="R5089" t="s">
        <v>320</v>
      </c>
      <c r="S5089" t="s">
        <v>323</v>
      </c>
      <c r="U5089">
        <v>7.6</v>
      </c>
    </row>
    <row r="5090" spans="14:25">
      <c r="N5090" s="42">
        <v>44264</v>
      </c>
      <c r="O5090" t="s">
        <v>333</v>
      </c>
      <c r="P5090" s="42">
        <v>44264</v>
      </c>
      <c r="Q5090" t="s">
        <v>333</v>
      </c>
      <c r="R5090" t="s">
        <v>329</v>
      </c>
      <c r="S5090" t="s">
        <v>323</v>
      </c>
      <c r="T5090">
        <v>7.6</v>
      </c>
      <c r="W5090" t="s">
        <v>330</v>
      </c>
      <c r="Y5090" s="42">
        <v>44271</v>
      </c>
    </row>
    <row r="5091" spans="14:25">
      <c r="N5091" s="42">
        <v>44254</v>
      </c>
      <c r="O5091" t="s">
        <v>359</v>
      </c>
      <c r="P5091" s="42">
        <v>44254</v>
      </c>
      <c r="Q5091" t="s">
        <v>359</v>
      </c>
      <c r="R5091" t="s">
        <v>370</v>
      </c>
      <c r="S5091" t="s">
        <v>323</v>
      </c>
      <c r="T5091">
        <v>7.6</v>
      </c>
      <c r="W5091" t="s">
        <v>330</v>
      </c>
      <c r="Y5091" s="42">
        <v>44257</v>
      </c>
    </row>
    <row r="5092" spans="14:25">
      <c r="N5092" s="42">
        <v>44253</v>
      </c>
      <c r="O5092" t="s">
        <v>346</v>
      </c>
      <c r="P5092" s="42">
        <v>44253</v>
      </c>
      <c r="Q5092" t="s">
        <v>346</v>
      </c>
      <c r="R5092" t="s">
        <v>370</v>
      </c>
      <c r="S5092" t="s">
        <v>323</v>
      </c>
      <c r="T5092">
        <v>7.6</v>
      </c>
      <c r="W5092" t="s">
        <v>330</v>
      </c>
      <c r="Y5092" s="42">
        <v>44257</v>
      </c>
    </row>
    <row r="5093" spans="14:25">
      <c r="N5093" s="42">
        <v>44252</v>
      </c>
      <c r="O5093" t="s">
        <v>324</v>
      </c>
      <c r="P5093" s="42">
        <v>44252</v>
      </c>
      <c r="Q5093" t="s">
        <v>324</v>
      </c>
      <c r="R5093" t="s">
        <v>370</v>
      </c>
      <c r="S5093" t="s">
        <v>323</v>
      </c>
      <c r="T5093">
        <v>7.6</v>
      </c>
      <c r="W5093" t="s">
        <v>330</v>
      </c>
      <c r="Y5093" s="42">
        <v>44257</v>
      </c>
    </row>
    <row r="5094" spans="14:25">
      <c r="N5094" s="42">
        <v>44251</v>
      </c>
      <c r="O5094" t="s">
        <v>328</v>
      </c>
      <c r="P5094" s="42">
        <v>44251</v>
      </c>
      <c r="Q5094" t="s">
        <v>328</v>
      </c>
      <c r="R5094" t="s">
        <v>370</v>
      </c>
      <c r="S5094" t="s">
        <v>323</v>
      </c>
      <c r="T5094">
        <v>7.6</v>
      </c>
      <c r="W5094" t="s">
        <v>330</v>
      </c>
      <c r="Y5094" s="42">
        <v>44257</v>
      </c>
    </row>
    <row r="5095" spans="14:25">
      <c r="N5095" s="42">
        <v>44250</v>
      </c>
      <c r="O5095" t="s">
        <v>333</v>
      </c>
      <c r="P5095" s="42">
        <v>44250</v>
      </c>
      <c r="Q5095" t="s">
        <v>333</v>
      </c>
      <c r="R5095" t="s">
        <v>370</v>
      </c>
      <c r="S5095" t="s">
        <v>323</v>
      </c>
      <c r="T5095">
        <v>7.6</v>
      </c>
      <c r="W5095" t="s">
        <v>330</v>
      </c>
      <c r="Y5095" s="42">
        <v>44257</v>
      </c>
    </row>
    <row r="5096" spans="14:25">
      <c r="N5096" s="42">
        <v>44247</v>
      </c>
      <c r="O5096" t="s">
        <v>359</v>
      </c>
      <c r="P5096" s="42">
        <v>44247</v>
      </c>
      <c r="Q5096" t="s">
        <v>359</v>
      </c>
      <c r="R5096" t="s">
        <v>370</v>
      </c>
      <c r="S5096" t="s">
        <v>323</v>
      </c>
      <c r="T5096">
        <v>7.6</v>
      </c>
      <c r="W5096" t="s">
        <v>330</v>
      </c>
      <c r="Y5096" s="42">
        <v>44257</v>
      </c>
    </row>
    <row r="5097" spans="14:25">
      <c r="N5097" s="42">
        <v>44246</v>
      </c>
      <c r="O5097" t="s">
        <v>346</v>
      </c>
      <c r="P5097" s="42">
        <v>44246</v>
      </c>
      <c r="Q5097" t="s">
        <v>346</v>
      </c>
      <c r="R5097" t="s">
        <v>370</v>
      </c>
      <c r="S5097" t="s">
        <v>323</v>
      </c>
      <c r="T5097">
        <v>7.6</v>
      </c>
      <c r="W5097" t="s">
        <v>330</v>
      </c>
      <c r="Y5097" s="42">
        <v>44257</v>
      </c>
    </row>
    <row r="5098" spans="14:25">
      <c r="N5098" s="42">
        <v>44245</v>
      </c>
      <c r="O5098" t="s">
        <v>324</v>
      </c>
      <c r="P5098" s="42">
        <v>44245</v>
      </c>
      <c r="Q5098" t="s">
        <v>324</v>
      </c>
      <c r="R5098" t="s">
        <v>370</v>
      </c>
      <c r="S5098" t="s">
        <v>323</v>
      </c>
      <c r="T5098">
        <v>7.6</v>
      </c>
      <c r="W5098" t="s">
        <v>330</v>
      </c>
      <c r="Y5098" s="42">
        <v>44257</v>
      </c>
    </row>
    <row r="5099" spans="14:25">
      <c r="N5099" s="42">
        <v>44244</v>
      </c>
      <c r="O5099" t="s">
        <v>328</v>
      </c>
      <c r="P5099" s="42">
        <v>44244</v>
      </c>
      <c r="Q5099" t="s">
        <v>328</v>
      </c>
      <c r="R5099" t="s">
        <v>370</v>
      </c>
      <c r="S5099" t="s">
        <v>323</v>
      </c>
      <c r="T5099">
        <v>7.6</v>
      </c>
      <c r="W5099" t="s">
        <v>330</v>
      </c>
      <c r="Y5099" s="42">
        <v>44257</v>
      </c>
    </row>
    <row r="5100" spans="14:25">
      <c r="N5100" s="42">
        <v>44243</v>
      </c>
      <c r="O5100" t="s">
        <v>333</v>
      </c>
      <c r="P5100" s="42">
        <v>44243</v>
      </c>
      <c r="Q5100" t="s">
        <v>333</v>
      </c>
      <c r="R5100" t="s">
        <v>370</v>
      </c>
      <c r="S5100" t="s">
        <v>323</v>
      </c>
      <c r="T5100">
        <v>7.6</v>
      </c>
      <c r="W5100" t="s">
        <v>330</v>
      </c>
      <c r="Y5100" s="42">
        <v>44243</v>
      </c>
    </row>
    <row r="5101" spans="14:25">
      <c r="N5101" s="42">
        <v>44240</v>
      </c>
      <c r="O5101" t="s">
        <v>359</v>
      </c>
      <c r="P5101" s="42">
        <v>44240</v>
      </c>
      <c r="Q5101" t="s">
        <v>359</v>
      </c>
      <c r="R5101" t="s">
        <v>370</v>
      </c>
      <c r="S5101" t="s">
        <v>323</v>
      </c>
      <c r="T5101">
        <v>7.6</v>
      </c>
      <c r="W5101" t="s">
        <v>330</v>
      </c>
      <c r="Y5101" s="42">
        <v>44243</v>
      </c>
    </row>
    <row r="5102" spans="14:25">
      <c r="N5102" s="42">
        <v>44239</v>
      </c>
      <c r="O5102" t="s">
        <v>346</v>
      </c>
      <c r="P5102" s="42">
        <v>44239</v>
      </c>
      <c r="Q5102" t="s">
        <v>346</v>
      </c>
      <c r="R5102" t="s">
        <v>370</v>
      </c>
      <c r="S5102" t="s">
        <v>323</v>
      </c>
      <c r="T5102">
        <v>7.6</v>
      </c>
      <c r="W5102" t="s">
        <v>330</v>
      </c>
      <c r="Y5102" s="42">
        <v>44243</v>
      </c>
    </row>
    <row r="5103" spans="14:25">
      <c r="N5103" s="42">
        <v>44238</v>
      </c>
      <c r="O5103" t="s">
        <v>324</v>
      </c>
      <c r="P5103" s="42">
        <v>44238</v>
      </c>
      <c r="Q5103" t="s">
        <v>324</v>
      </c>
      <c r="R5103" t="s">
        <v>370</v>
      </c>
      <c r="S5103" t="s">
        <v>323</v>
      </c>
      <c r="T5103">
        <v>7.6</v>
      </c>
      <c r="W5103" t="s">
        <v>330</v>
      </c>
      <c r="Y5103" s="42">
        <v>44243</v>
      </c>
    </row>
    <row r="5104" spans="14:25">
      <c r="N5104" s="42">
        <v>44237</v>
      </c>
      <c r="O5104" t="s">
        <v>328</v>
      </c>
      <c r="P5104" s="42">
        <v>44237</v>
      </c>
      <c r="Q5104" t="s">
        <v>328</v>
      </c>
      <c r="R5104" t="s">
        <v>370</v>
      </c>
      <c r="S5104" t="s">
        <v>323</v>
      </c>
      <c r="T5104">
        <v>7.6</v>
      </c>
      <c r="W5104" t="s">
        <v>330</v>
      </c>
      <c r="Y5104" s="42">
        <v>44243</v>
      </c>
    </row>
    <row r="5105" spans="14:25">
      <c r="N5105" s="42">
        <v>44236</v>
      </c>
      <c r="O5105" t="s">
        <v>333</v>
      </c>
      <c r="P5105" s="42">
        <v>44236</v>
      </c>
      <c r="Q5105" t="s">
        <v>333</v>
      </c>
      <c r="R5105" t="s">
        <v>370</v>
      </c>
      <c r="S5105" t="s">
        <v>323</v>
      </c>
      <c r="T5105">
        <v>7.6</v>
      </c>
      <c r="W5105" t="s">
        <v>330</v>
      </c>
      <c r="Y5105" s="42">
        <v>44243</v>
      </c>
    </row>
    <row r="5106" spans="14:25">
      <c r="N5106" s="42">
        <v>44233</v>
      </c>
      <c r="O5106" t="s">
        <v>359</v>
      </c>
      <c r="P5106" s="42">
        <v>44233</v>
      </c>
      <c r="Q5106" t="s">
        <v>359</v>
      </c>
      <c r="R5106" t="s">
        <v>370</v>
      </c>
      <c r="S5106" t="s">
        <v>323</v>
      </c>
      <c r="T5106">
        <v>7.6</v>
      </c>
      <c r="W5106" t="s">
        <v>330</v>
      </c>
      <c r="Y5106" s="42">
        <v>44243</v>
      </c>
    </row>
    <row r="5107" spans="14:25">
      <c r="N5107" s="42">
        <v>44232</v>
      </c>
      <c r="O5107" t="s">
        <v>346</v>
      </c>
      <c r="P5107" s="42">
        <v>44232</v>
      </c>
      <c r="Q5107" t="s">
        <v>346</v>
      </c>
      <c r="R5107" t="s">
        <v>370</v>
      </c>
      <c r="S5107" t="s">
        <v>323</v>
      </c>
      <c r="T5107">
        <v>7.6</v>
      </c>
      <c r="W5107" t="s">
        <v>330</v>
      </c>
      <c r="Y5107" s="42">
        <v>44243</v>
      </c>
    </row>
    <row r="5108" spans="14:25">
      <c r="N5108" s="42">
        <v>44231</v>
      </c>
      <c r="O5108" t="s">
        <v>324</v>
      </c>
      <c r="P5108" s="42">
        <v>44231</v>
      </c>
      <c r="Q5108" t="s">
        <v>324</v>
      </c>
      <c r="R5108" t="s">
        <v>370</v>
      </c>
      <c r="S5108" t="s">
        <v>323</v>
      </c>
      <c r="T5108">
        <v>7.6</v>
      </c>
      <c r="W5108" t="s">
        <v>330</v>
      </c>
      <c r="Y5108" s="42">
        <v>44243</v>
      </c>
    </row>
    <row r="5109" spans="14:25">
      <c r="N5109" s="42">
        <v>44230</v>
      </c>
      <c r="O5109" t="s">
        <v>328</v>
      </c>
      <c r="P5109" s="42">
        <v>44230</v>
      </c>
      <c r="Q5109" t="s">
        <v>328</v>
      </c>
      <c r="R5109" t="s">
        <v>370</v>
      </c>
      <c r="S5109" t="s">
        <v>323</v>
      </c>
      <c r="T5109">
        <v>7.6</v>
      </c>
      <c r="W5109" t="s">
        <v>330</v>
      </c>
      <c r="Y5109" s="42">
        <v>44243</v>
      </c>
    </row>
    <row r="5110" spans="14:25">
      <c r="N5110" s="42">
        <v>44229</v>
      </c>
      <c r="O5110" t="s">
        <v>333</v>
      </c>
      <c r="P5110" s="42">
        <v>44229</v>
      </c>
      <c r="Q5110" t="s">
        <v>333</v>
      </c>
      <c r="R5110" t="s">
        <v>370</v>
      </c>
      <c r="S5110" t="s">
        <v>323</v>
      </c>
      <c r="T5110">
        <v>7.6</v>
      </c>
      <c r="W5110" t="s">
        <v>330</v>
      </c>
      <c r="Y5110" s="42">
        <v>44229</v>
      </c>
    </row>
    <row r="5111" spans="14:25">
      <c r="N5111" s="42">
        <v>44226</v>
      </c>
      <c r="O5111" t="s">
        <v>359</v>
      </c>
      <c r="P5111" s="42">
        <v>44226</v>
      </c>
      <c r="Q5111" t="s">
        <v>359</v>
      </c>
      <c r="R5111" t="s">
        <v>370</v>
      </c>
      <c r="S5111" t="s">
        <v>323</v>
      </c>
      <c r="T5111">
        <v>7.6</v>
      </c>
      <c r="W5111" t="s">
        <v>330</v>
      </c>
      <c r="Y5111" s="42">
        <v>44229</v>
      </c>
    </row>
    <row r="5112" spans="14:25">
      <c r="N5112" s="42">
        <v>44225</v>
      </c>
      <c r="O5112" t="s">
        <v>346</v>
      </c>
      <c r="P5112" s="42">
        <v>44225</v>
      </c>
      <c r="Q5112" t="s">
        <v>346</v>
      </c>
      <c r="R5112" t="s">
        <v>370</v>
      </c>
      <c r="S5112" t="s">
        <v>323</v>
      </c>
      <c r="T5112">
        <v>7.6</v>
      </c>
      <c r="W5112" t="s">
        <v>330</v>
      </c>
      <c r="Y5112" s="42">
        <v>44229</v>
      </c>
    </row>
    <row r="5113" spans="14:25">
      <c r="N5113" s="42">
        <v>44224</v>
      </c>
      <c r="O5113" t="s">
        <v>324</v>
      </c>
      <c r="P5113" s="42">
        <v>44224</v>
      </c>
      <c r="Q5113" t="s">
        <v>324</v>
      </c>
      <c r="R5113" t="s">
        <v>370</v>
      </c>
      <c r="S5113" t="s">
        <v>323</v>
      </c>
      <c r="T5113">
        <v>7.6</v>
      </c>
      <c r="W5113" t="s">
        <v>330</v>
      </c>
      <c r="Y5113" s="42">
        <v>44229</v>
      </c>
    </row>
    <row r="5114" spans="14:25">
      <c r="N5114" s="42">
        <v>44223</v>
      </c>
      <c r="O5114" t="s">
        <v>328</v>
      </c>
      <c r="P5114" s="42">
        <v>44223</v>
      </c>
      <c r="Q5114" t="s">
        <v>328</v>
      </c>
      <c r="R5114" t="s">
        <v>370</v>
      </c>
      <c r="S5114" t="s">
        <v>323</v>
      </c>
      <c r="T5114">
        <v>7.6</v>
      </c>
      <c r="W5114" t="s">
        <v>330</v>
      </c>
      <c r="Y5114" s="42">
        <v>44229</v>
      </c>
    </row>
    <row r="5115" spans="14:25">
      <c r="N5115" s="42">
        <v>44219</v>
      </c>
      <c r="O5115" t="s">
        <v>359</v>
      </c>
      <c r="P5115" s="42">
        <v>44219</v>
      </c>
      <c r="Q5115" t="s">
        <v>359</v>
      </c>
      <c r="R5115" t="s">
        <v>370</v>
      </c>
      <c r="S5115" t="s">
        <v>323</v>
      </c>
      <c r="T5115">
        <v>7.6</v>
      </c>
      <c r="W5115" t="s">
        <v>330</v>
      </c>
      <c r="Y5115" s="42">
        <v>44229</v>
      </c>
    </row>
    <row r="5116" spans="14:25">
      <c r="N5116" s="42">
        <v>44218</v>
      </c>
      <c r="O5116" t="s">
        <v>346</v>
      </c>
      <c r="P5116" s="42">
        <v>44218</v>
      </c>
      <c r="Q5116" t="s">
        <v>346</v>
      </c>
      <c r="R5116" t="s">
        <v>370</v>
      </c>
      <c r="S5116" t="s">
        <v>323</v>
      </c>
      <c r="T5116">
        <v>7.6</v>
      </c>
      <c r="W5116" t="s">
        <v>330</v>
      </c>
      <c r="Y5116" s="42">
        <v>44229</v>
      </c>
    </row>
    <row r="5117" spans="14:25">
      <c r="N5117" s="42">
        <v>44217</v>
      </c>
      <c r="O5117" t="s">
        <v>324</v>
      </c>
      <c r="P5117" s="42">
        <v>44217</v>
      </c>
      <c r="Q5117" t="s">
        <v>324</v>
      </c>
      <c r="R5117" t="s">
        <v>370</v>
      </c>
      <c r="S5117" t="s">
        <v>323</v>
      </c>
      <c r="T5117">
        <v>7.6</v>
      </c>
      <c r="W5117" t="s">
        <v>330</v>
      </c>
      <c r="Y5117" s="42">
        <v>44229</v>
      </c>
    </row>
    <row r="5118" spans="14:25">
      <c r="N5118" s="42">
        <v>44216</v>
      </c>
      <c r="O5118" t="s">
        <v>328</v>
      </c>
      <c r="P5118" s="42">
        <v>44216</v>
      </c>
      <c r="Q5118" t="s">
        <v>328</v>
      </c>
      <c r="R5118" t="s">
        <v>370</v>
      </c>
      <c r="S5118" t="s">
        <v>323</v>
      </c>
      <c r="T5118">
        <v>7.6</v>
      </c>
      <c r="W5118" t="s">
        <v>330</v>
      </c>
      <c r="Y5118" s="42">
        <v>44229</v>
      </c>
    </row>
    <row r="5119" spans="14:25">
      <c r="N5119" s="42">
        <v>44215</v>
      </c>
      <c r="O5119" t="s">
        <v>333</v>
      </c>
      <c r="P5119" s="42">
        <v>44215</v>
      </c>
      <c r="Q5119" t="s">
        <v>333</v>
      </c>
      <c r="R5119" t="s">
        <v>370</v>
      </c>
      <c r="S5119" t="s">
        <v>323</v>
      </c>
      <c r="T5119">
        <v>7.6</v>
      </c>
      <c r="W5119" t="s">
        <v>330</v>
      </c>
      <c r="Y5119" s="42">
        <v>44215</v>
      </c>
    </row>
    <row r="5120" spans="14:25">
      <c r="N5120" s="42">
        <v>44212</v>
      </c>
      <c r="O5120" t="s">
        <v>359</v>
      </c>
      <c r="P5120" s="42">
        <v>44212</v>
      </c>
      <c r="Q5120" t="s">
        <v>359</v>
      </c>
      <c r="R5120" t="s">
        <v>370</v>
      </c>
      <c r="S5120" t="s">
        <v>323</v>
      </c>
      <c r="T5120">
        <v>7.6</v>
      </c>
      <c r="W5120" t="s">
        <v>330</v>
      </c>
      <c r="Y5120" s="42">
        <v>44215</v>
      </c>
    </row>
    <row r="5121" spans="14:25">
      <c r="N5121" s="42">
        <v>44211</v>
      </c>
      <c r="O5121" t="s">
        <v>346</v>
      </c>
      <c r="P5121" s="42">
        <v>44211</v>
      </c>
      <c r="Q5121" t="s">
        <v>346</v>
      </c>
      <c r="R5121" t="s">
        <v>370</v>
      </c>
      <c r="S5121" t="s">
        <v>323</v>
      </c>
      <c r="T5121">
        <v>7.6</v>
      </c>
      <c r="W5121" t="s">
        <v>330</v>
      </c>
      <c r="Y5121" s="42">
        <v>44215</v>
      </c>
    </row>
    <row r="5122" spans="14:25">
      <c r="N5122" s="42">
        <v>44210</v>
      </c>
      <c r="O5122" t="s">
        <v>324</v>
      </c>
      <c r="P5122" s="42">
        <v>44210</v>
      </c>
      <c r="Q5122" t="s">
        <v>324</v>
      </c>
      <c r="R5122" t="s">
        <v>370</v>
      </c>
      <c r="S5122" t="s">
        <v>323</v>
      </c>
      <c r="T5122">
        <v>7.6</v>
      </c>
      <c r="W5122" t="s">
        <v>330</v>
      </c>
      <c r="Y5122" s="42">
        <v>44215</v>
      </c>
    </row>
    <row r="5123" spans="14:25">
      <c r="N5123" s="42">
        <v>44209</v>
      </c>
      <c r="O5123" t="s">
        <v>328</v>
      </c>
      <c r="P5123" s="42">
        <v>44209</v>
      </c>
      <c r="Q5123" t="s">
        <v>328</v>
      </c>
      <c r="R5123" t="s">
        <v>370</v>
      </c>
      <c r="S5123" t="s">
        <v>323</v>
      </c>
      <c r="T5123">
        <v>7.6</v>
      </c>
      <c r="W5123" t="s">
        <v>330</v>
      </c>
      <c r="Y5123" s="42">
        <v>44215</v>
      </c>
    </row>
    <row r="5124" spans="14:25">
      <c r="N5124" s="42">
        <v>44208</v>
      </c>
      <c r="O5124" t="s">
        <v>333</v>
      </c>
      <c r="P5124" s="42">
        <v>44208</v>
      </c>
      <c r="Q5124" t="s">
        <v>333</v>
      </c>
      <c r="R5124" t="s">
        <v>370</v>
      </c>
      <c r="S5124" t="s">
        <v>323</v>
      </c>
      <c r="T5124">
        <v>7.6</v>
      </c>
      <c r="W5124" t="s">
        <v>330</v>
      </c>
      <c r="Y5124" s="42">
        <v>44215</v>
      </c>
    </row>
    <row r="5125" spans="14:25">
      <c r="N5125" s="42">
        <v>44205</v>
      </c>
      <c r="O5125" t="s">
        <v>359</v>
      </c>
      <c r="P5125" s="42">
        <v>44205</v>
      </c>
      <c r="Q5125" t="s">
        <v>359</v>
      </c>
      <c r="R5125" t="s">
        <v>370</v>
      </c>
      <c r="S5125" t="s">
        <v>323</v>
      </c>
      <c r="T5125">
        <v>7.6</v>
      </c>
      <c r="W5125" t="s">
        <v>330</v>
      </c>
      <c r="Y5125" s="42">
        <v>44215</v>
      </c>
    </row>
    <row r="5126" spans="14:25">
      <c r="N5126" s="42">
        <v>44204</v>
      </c>
      <c r="O5126" t="s">
        <v>346</v>
      </c>
      <c r="P5126" s="42">
        <v>44204</v>
      </c>
      <c r="Q5126" t="s">
        <v>346</v>
      </c>
      <c r="R5126" t="s">
        <v>370</v>
      </c>
      <c r="S5126" t="s">
        <v>323</v>
      </c>
      <c r="T5126">
        <v>7.6</v>
      </c>
      <c r="W5126" t="s">
        <v>330</v>
      </c>
      <c r="Y5126" s="42">
        <v>44215</v>
      </c>
    </row>
    <row r="5127" spans="14:25">
      <c r="N5127" s="42">
        <v>44203</v>
      </c>
      <c r="O5127" t="s">
        <v>324</v>
      </c>
      <c r="P5127" s="42">
        <v>44203</v>
      </c>
      <c r="Q5127" t="s">
        <v>324</v>
      </c>
      <c r="R5127" t="s">
        <v>370</v>
      </c>
      <c r="S5127" t="s">
        <v>323</v>
      </c>
      <c r="T5127">
        <v>7.6</v>
      </c>
      <c r="W5127" t="s">
        <v>330</v>
      </c>
      <c r="Y5127" s="42">
        <v>44215</v>
      </c>
    </row>
    <row r="5128" spans="14:25">
      <c r="N5128" s="42">
        <v>44202</v>
      </c>
      <c r="O5128" t="s">
        <v>328</v>
      </c>
      <c r="P5128" s="42">
        <v>44202</v>
      </c>
      <c r="Q5128" t="s">
        <v>328</v>
      </c>
      <c r="R5128" t="s">
        <v>370</v>
      </c>
      <c r="S5128" t="s">
        <v>323</v>
      </c>
      <c r="T5128">
        <v>7.6</v>
      </c>
      <c r="W5128" t="s">
        <v>330</v>
      </c>
      <c r="Y5128" s="42">
        <v>44215</v>
      </c>
    </row>
    <row r="5129" spans="14:25">
      <c r="N5129" s="42">
        <v>44201</v>
      </c>
      <c r="O5129" t="s">
        <v>333</v>
      </c>
      <c r="P5129" s="42">
        <v>44201</v>
      </c>
      <c r="Q5129" t="s">
        <v>333</v>
      </c>
      <c r="R5129" t="s">
        <v>370</v>
      </c>
      <c r="S5129" t="s">
        <v>323</v>
      </c>
      <c r="T5129">
        <v>7.6</v>
      </c>
      <c r="W5129" t="s">
        <v>330</v>
      </c>
      <c r="Y5129" s="42">
        <v>44201</v>
      </c>
    </row>
    <row r="5130" spans="14:25">
      <c r="N5130" s="42">
        <v>44198</v>
      </c>
      <c r="O5130" t="s">
        <v>359</v>
      </c>
      <c r="P5130" s="42">
        <v>44198</v>
      </c>
      <c r="Q5130" t="s">
        <v>359</v>
      </c>
      <c r="R5130" t="s">
        <v>370</v>
      </c>
      <c r="S5130" t="s">
        <v>323</v>
      </c>
      <c r="T5130">
        <v>7.6</v>
      </c>
      <c r="W5130" t="s">
        <v>330</v>
      </c>
      <c r="Y5130" s="42">
        <v>44201</v>
      </c>
    </row>
    <row r="5131" spans="14:25">
      <c r="N5131" s="42">
        <v>44197</v>
      </c>
      <c r="O5131" t="s">
        <v>346</v>
      </c>
      <c r="P5131" s="42">
        <v>44197</v>
      </c>
      <c r="Q5131" t="s">
        <v>346</v>
      </c>
      <c r="R5131" t="s">
        <v>370</v>
      </c>
      <c r="S5131" t="s">
        <v>323</v>
      </c>
      <c r="T5131">
        <v>7.6</v>
      </c>
      <c r="W5131" t="s">
        <v>330</v>
      </c>
      <c r="Y5131" s="42">
        <v>44201</v>
      </c>
    </row>
    <row r="5132" spans="14:25">
      <c r="N5132" s="42">
        <v>44196</v>
      </c>
      <c r="O5132" t="s">
        <v>324</v>
      </c>
      <c r="P5132" s="42">
        <v>44196</v>
      </c>
      <c r="Q5132" t="s">
        <v>324</v>
      </c>
      <c r="R5132" t="s">
        <v>370</v>
      </c>
      <c r="S5132" t="s">
        <v>323</v>
      </c>
      <c r="T5132">
        <v>7.6</v>
      </c>
      <c r="W5132" t="s">
        <v>330</v>
      </c>
      <c r="Y5132" s="42">
        <v>44201</v>
      </c>
    </row>
    <row r="5133" spans="14:25">
      <c r="N5133" s="42">
        <v>44195</v>
      </c>
      <c r="O5133" t="s">
        <v>328</v>
      </c>
      <c r="P5133" s="42">
        <v>44195</v>
      </c>
      <c r="Q5133" t="s">
        <v>328</v>
      </c>
      <c r="R5133" t="s">
        <v>370</v>
      </c>
      <c r="S5133" t="s">
        <v>323</v>
      </c>
      <c r="T5133">
        <v>7.6</v>
      </c>
      <c r="W5133" t="s">
        <v>330</v>
      </c>
      <c r="Y5133" s="42">
        <v>44201</v>
      </c>
    </row>
    <row r="5134" spans="14:25">
      <c r="N5134" s="42">
        <v>44194</v>
      </c>
      <c r="O5134" t="s">
        <v>333</v>
      </c>
      <c r="P5134" s="42">
        <v>44194</v>
      </c>
      <c r="Q5134" t="s">
        <v>333</v>
      </c>
      <c r="R5134" t="s">
        <v>370</v>
      </c>
      <c r="S5134" t="s">
        <v>323</v>
      </c>
      <c r="T5134">
        <v>7.6</v>
      </c>
      <c r="W5134" t="s">
        <v>330</v>
      </c>
      <c r="Y5134" s="42">
        <v>44201</v>
      </c>
    </row>
    <row r="5135" spans="14:25">
      <c r="N5135" s="42">
        <v>44191</v>
      </c>
      <c r="O5135" t="s">
        <v>359</v>
      </c>
      <c r="P5135" s="42">
        <v>44191</v>
      </c>
      <c r="Q5135" t="s">
        <v>359</v>
      </c>
      <c r="R5135" t="s">
        <v>370</v>
      </c>
      <c r="S5135" t="s">
        <v>323</v>
      </c>
      <c r="T5135">
        <v>7.6</v>
      </c>
      <c r="W5135" t="s">
        <v>330</v>
      </c>
      <c r="Y5135" s="42">
        <v>44201</v>
      </c>
    </row>
    <row r="5136" spans="14:25">
      <c r="N5136" s="42">
        <v>44190</v>
      </c>
      <c r="O5136" t="s">
        <v>346</v>
      </c>
      <c r="P5136" s="42">
        <v>44190</v>
      </c>
      <c r="Q5136" t="s">
        <v>346</v>
      </c>
      <c r="R5136" t="s">
        <v>370</v>
      </c>
      <c r="S5136" t="s">
        <v>323</v>
      </c>
      <c r="T5136">
        <v>7.6</v>
      </c>
      <c r="W5136" t="s">
        <v>330</v>
      </c>
      <c r="Y5136" s="42">
        <v>44201</v>
      </c>
    </row>
    <row r="5137" spans="14:25">
      <c r="N5137" s="42">
        <v>44189</v>
      </c>
      <c r="O5137" t="s">
        <v>324</v>
      </c>
      <c r="P5137" s="42">
        <v>44189</v>
      </c>
      <c r="Q5137" t="s">
        <v>324</v>
      </c>
      <c r="R5137" t="s">
        <v>370</v>
      </c>
      <c r="S5137" t="s">
        <v>323</v>
      </c>
      <c r="T5137">
        <v>7.6</v>
      </c>
      <c r="W5137" t="s">
        <v>330</v>
      </c>
      <c r="Y5137" s="42">
        <v>44201</v>
      </c>
    </row>
    <row r="5138" spans="14:25">
      <c r="N5138" s="42">
        <v>44188</v>
      </c>
      <c r="O5138" t="s">
        <v>328</v>
      </c>
      <c r="P5138" s="42">
        <v>44188</v>
      </c>
      <c r="Q5138" t="s">
        <v>328</v>
      </c>
      <c r="R5138" t="s">
        <v>370</v>
      </c>
      <c r="S5138" t="s">
        <v>323</v>
      </c>
      <c r="T5138">
        <v>7.6</v>
      </c>
      <c r="W5138" t="s">
        <v>330</v>
      </c>
      <c r="Y5138" s="42">
        <v>44201</v>
      </c>
    </row>
    <row r="5139" spans="14:25">
      <c r="N5139" s="42">
        <v>44187</v>
      </c>
      <c r="O5139" t="s">
        <v>333</v>
      </c>
      <c r="P5139" s="42">
        <v>44187</v>
      </c>
      <c r="Q5139" t="s">
        <v>333</v>
      </c>
      <c r="R5139" t="s">
        <v>370</v>
      </c>
      <c r="S5139" t="s">
        <v>323</v>
      </c>
      <c r="T5139">
        <v>7.6</v>
      </c>
      <c r="W5139" t="s">
        <v>330</v>
      </c>
      <c r="Y5139" s="42">
        <v>44187</v>
      </c>
    </row>
    <row r="5140" spans="14:25">
      <c r="N5140" s="42">
        <v>44184</v>
      </c>
      <c r="O5140" t="s">
        <v>359</v>
      </c>
      <c r="P5140" s="42">
        <v>44184</v>
      </c>
      <c r="Q5140" t="s">
        <v>359</v>
      </c>
      <c r="R5140" t="s">
        <v>370</v>
      </c>
      <c r="S5140" t="s">
        <v>323</v>
      </c>
      <c r="T5140">
        <v>7.6</v>
      </c>
      <c r="W5140" t="s">
        <v>330</v>
      </c>
      <c r="Y5140" s="42">
        <v>44187</v>
      </c>
    </row>
    <row r="5141" spans="14:25">
      <c r="N5141" s="42">
        <v>44183</v>
      </c>
      <c r="O5141" t="s">
        <v>346</v>
      </c>
      <c r="P5141" s="42">
        <v>44183</v>
      </c>
      <c r="Q5141" t="s">
        <v>346</v>
      </c>
      <c r="R5141" t="s">
        <v>370</v>
      </c>
      <c r="S5141" t="s">
        <v>323</v>
      </c>
      <c r="T5141">
        <v>7.6</v>
      </c>
      <c r="W5141" t="s">
        <v>330</v>
      </c>
      <c r="Y5141" s="42">
        <v>44187</v>
      </c>
    </row>
    <row r="5142" spans="14:25">
      <c r="N5142" s="42">
        <v>44182</v>
      </c>
      <c r="O5142" t="s">
        <v>324</v>
      </c>
      <c r="P5142" s="42">
        <v>44182</v>
      </c>
      <c r="Q5142" t="s">
        <v>324</v>
      </c>
      <c r="R5142" t="s">
        <v>370</v>
      </c>
      <c r="S5142" t="s">
        <v>323</v>
      </c>
      <c r="T5142">
        <v>7.6</v>
      </c>
      <c r="W5142" t="s">
        <v>330</v>
      </c>
      <c r="Y5142" s="42">
        <v>44187</v>
      </c>
    </row>
    <row r="5143" spans="14:25">
      <c r="N5143" s="42">
        <v>44181</v>
      </c>
      <c r="O5143" t="s">
        <v>328</v>
      </c>
      <c r="P5143" s="42">
        <v>44181</v>
      </c>
      <c r="Q5143" t="s">
        <v>328</v>
      </c>
      <c r="R5143" t="s">
        <v>370</v>
      </c>
      <c r="S5143" t="s">
        <v>323</v>
      </c>
      <c r="T5143">
        <v>7.6</v>
      </c>
      <c r="W5143" t="s">
        <v>330</v>
      </c>
      <c r="Y5143" s="42">
        <v>44187</v>
      </c>
    </row>
    <row r="5144" spans="14:25">
      <c r="N5144" s="42">
        <v>44180</v>
      </c>
      <c r="O5144" t="s">
        <v>333</v>
      </c>
      <c r="P5144" s="42">
        <v>44180</v>
      </c>
      <c r="Q5144" t="s">
        <v>333</v>
      </c>
      <c r="R5144" t="s">
        <v>370</v>
      </c>
      <c r="S5144" t="s">
        <v>323</v>
      </c>
      <c r="T5144">
        <v>7.6</v>
      </c>
      <c r="W5144" t="s">
        <v>330</v>
      </c>
      <c r="Y5144" s="42">
        <v>44187</v>
      </c>
    </row>
    <row r="5145" spans="14:25">
      <c r="N5145" s="42">
        <v>44177</v>
      </c>
      <c r="O5145" t="s">
        <v>359</v>
      </c>
      <c r="P5145" s="42">
        <v>44177</v>
      </c>
      <c r="Q5145" t="s">
        <v>359</v>
      </c>
      <c r="R5145" t="s">
        <v>370</v>
      </c>
      <c r="S5145" t="s">
        <v>323</v>
      </c>
      <c r="T5145">
        <v>7.6</v>
      </c>
      <c r="W5145" t="s">
        <v>330</v>
      </c>
      <c r="Y5145" s="42">
        <v>44187</v>
      </c>
    </row>
    <row r="5146" spans="14:25">
      <c r="N5146" s="42">
        <v>44176</v>
      </c>
      <c r="O5146" t="s">
        <v>346</v>
      </c>
      <c r="P5146" s="42">
        <v>44176</v>
      </c>
      <c r="Q5146" t="s">
        <v>346</v>
      </c>
      <c r="R5146" t="s">
        <v>370</v>
      </c>
      <c r="S5146" t="s">
        <v>323</v>
      </c>
      <c r="T5146">
        <v>7.6</v>
      </c>
      <c r="W5146" t="s">
        <v>330</v>
      </c>
      <c r="Y5146" s="42">
        <v>44187</v>
      </c>
    </row>
    <row r="5147" spans="14:25">
      <c r="N5147" s="42">
        <v>44175</v>
      </c>
      <c r="O5147" t="s">
        <v>324</v>
      </c>
      <c r="P5147" s="42">
        <v>44175</v>
      </c>
      <c r="Q5147" t="s">
        <v>324</v>
      </c>
      <c r="R5147" t="s">
        <v>370</v>
      </c>
      <c r="S5147" t="s">
        <v>323</v>
      </c>
      <c r="T5147">
        <v>7.6</v>
      </c>
      <c r="W5147" t="s">
        <v>330</v>
      </c>
      <c r="Y5147" s="42">
        <v>44187</v>
      </c>
    </row>
    <row r="5148" spans="14:25">
      <c r="N5148" s="42">
        <v>44174</v>
      </c>
      <c r="O5148" t="s">
        <v>328</v>
      </c>
      <c r="P5148" s="42">
        <v>44174</v>
      </c>
      <c r="Q5148" t="s">
        <v>328</v>
      </c>
      <c r="R5148" t="s">
        <v>370</v>
      </c>
      <c r="S5148" t="s">
        <v>323</v>
      </c>
      <c r="T5148">
        <v>7.6</v>
      </c>
      <c r="W5148" t="s">
        <v>330</v>
      </c>
      <c r="Y5148" s="42">
        <v>44187</v>
      </c>
    </row>
    <row r="5149" spans="14:25">
      <c r="N5149" s="42">
        <v>44173</v>
      </c>
      <c r="O5149" t="s">
        <v>333</v>
      </c>
      <c r="P5149" s="42">
        <v>44173</v>
      </c>
      <c r="Q5149" t="s">
        <v>333</v>
      </c>
      <c r="R5149" t="s">
        <v>370</v>
      </c>
      <c r="S5149" t="s">
        <v>323</v>
      </c>
      <c r="T5149">
        <v>7.6</v>
      </c>
      <c r="W5149" t="s">
        <v>330</v>
      </c>
      <c r="Y5149" s="42">
        <v>44173</v>
      </c>
    </row>
    <row r="5150" spans="14:25">
      <c r="N5150" s="42">
        <v>44170</v>
      </c>
      <c r="O5150" t="s">
        <v>359</v>
      </c>
      <c r="P5150" s="42">
        <v>44170</v>
      </c>
      <c r="Q5150" t="s">
        <v>359</v>
      </c>
      <c r="R5150" t="s">
        <v>370</v>
      </c>
      <c r="S5150" t="s">
        <v>323</v>
      </c>
      <c r="T5150">
        <v>7.6</v>
      </c>
      <c r="W5150" t="s">
        <v>330</v>
      </c>
      <c r="Y5150" s="42">
        <v>44173</v>
      </c>
    </row>
    <row r="5151" spans="14:25">
      <c r="N5151" s="42">
        <v>44169</v>
      </c>
      <c r="O5151" t="s">
        <v>346</v>
      </c>
      <c r="P5151" s="42">
        <v>44169</v>
      </c>
      <c r="Q5151" t="s">
        <v>346</v>
      </c>
      <c r="R5151" t="s">
        <v>370</v>
      </c>
      <c r="S5151" t="s">
        <v>323</v>
      </c>
      <c r="T5151">
        <v>7.6</v>
      </c>
      <c r="W5151" t="s">
        <v>330</v>
      </c>
      <c r="Y5151" s="42">
        <v>44173</v>
      </c>
    </row>
    <row r="5152" spans="14:25">
      <c r="N5152" s="42">
        <v>44168</v>
      </c>
      <c r="O5152" t="s">
        <v>324</v>
      </c>
      <c r="P5152" s="42">
        <v>44168</v>
      </c>
      <c r="Q5152" t="s">
        <v>324</v>
      </c>
      <c r="R5152" t="s">
        <v>370</v>
      </c>
      <c r="S5152" t="s">
        <v>323</v>
      </c>
      <c r="T5152">
        <v>7.6</v>
      </c>
      <c r="W5152" t="s">
        <v>330</v>
      </c>
      <c r="Y5152" s="42">
        <v>44173</v>
      </c>
    </row>
    <row r="5153" spans="14:25">
      <c r="N5153" s="42">
        <v>44167</v>
      </c>
      <c r="O5153" t="s">
        <v>328</v>
      </c>
      <c r="P5153" s="42">
        <v>44167</v>
      </c>
      <c r="Q5153" t="s">
        <v>328</v>
      </c>
      <c r="R5153" t="s">
        <v>370</v>
      </c>
      <c r="S5153" t="s">
        <v>323</v>
      </c>
      <c r="T5153">
        <v>7.6</v>
      </c>
      <c r="W5153" t="s">
        <v>330</v>
      </c>
      <c r="Y5153" s="42">
        <v>44173</v>
      </c>
    </row>
    <row r="5154" spans="14:25">
      <c r="N5154" s="42">
        <v>44166</v>
      </c>
      <c r="O5154" t="s">
        <v>333</v>
      </c>
      <c r="P5154" s="42">
        <v>44166</v>
      </c>
      <c r="Q5154" t="s">
        <v>333</v>
      </c>
      <c r="R5154" t="s">
        <v>370</v>
      </c>
      <c r="S5154" t="s">
        <v>323</v>
      </c>
      <c r="T5154">
        <v>7.6</v>
      </c>
      <c r="W5154" t="s">
        <v>330</v>
      </c>
      <c r="Y5154" s="42">
        <v>44173</v>
      </c>
    </row>
    <row r="5155" spans="14:25">
      <c r="N5155" s="42">
        <v>44163</v>
      </c>
      <c r="O5155" t="s">
        <v>359</v>
      </c>
      <c r="P5155" s="42">
        <v>44163</v>
      </c>
      <c r="Q5155" t="s">
        <v>359</v>
      </c>
      <c r="R5155" t="s">
        <v>370</v>
      </c>
      <c r="S5155" t="s">
        <v>323</v>
      </c>
      <c r="T5155">
        <v>7.6</v>
      </c>
      <c r="W5155" t="s">
        <v>330</v>
      </c>
      <c r="Y5155" s="42">
        <v>44173</v>
      </c>
    </row>
    <row r="5156" spans="14:25">
      <c r="N5156" s="42">
        <v>44162</v>
      </c>
      <c r="O5156" t="s">
        <v>346</v>
      </c>
      <c r="P5156" s="42">
        <v>44162</v>
      </c>
      <c r="Q5156" t="s">
        <v>346</v>
      </c>
      <c r="R5156" t="s">
        <v>370</v>
      </c>
      <c r="S5156" t="s">
        <v>323</v>
      </c>
      <c r="T5156">
        <v>7.6</v>
      </c>
      <c r="W5156" t="s">
        <v>330</v>
      </c>
      <c r="Y5156" s="42">
        <v>44173</v>
      </c>
    </row>
    <row r="5157" spans="14:25">
      <c r="N5157" s="42">
        <v>44161</v>
      </c>
      <c r="O5157" t="s">
        <v>324</v>
      </c>
      <c r="P5157" s="42">
        <v>44161</v>
      </c>
      <c r="Q5157" t="s">
        <v>324</v>
      </c>
      <c r="R5157" t="s">
        <v>370</v>
      </c>
      <c r="S5157" t="s">
        <v>323</v>
      </c>
      <c r="T5157">
        <v>7.6</v>
      </c>
      <c r="W5157" t="s">
        <v>330</v>
      </c>
      <c r="Y5157" s="42">
        <v>44173</v>
      </c>
    </row>
    <row r="5158" spans="14:25">
      <c r="N5158" s="42">
        <v>44160</v>
      </c>
      <c r="O5158" t="s">
        <v>328</v>
      </c>
      <c r="P5158" s="42">
        <v>44160</v>
      </c>
      <c r="Q5158" t="s">
        <v>328</v>
      </c>
      <c r="R5158" t="s">
        <v>370</v>
      </c>
      <c r="S5158" t="s">
        <v>323</v>
      </c>
      <c r="T5158">
        <v>7.6</v>
      </c>
      <c r="W5158" t="s">
        <v>330</v>
      </c>
      <c r="Y5158" s="42">
        <v>44173</v>
      </c>
    </row>
    <row r="5159" spans="14:25">
      <c r="N5159" s="42">
        <v>44159</v>
      </c>
      <c r="O5159" t="s">
        <v>333</v>
      </c>
      <c r="P5159" s="42">
        <v>44159</v>
      </c>
      <c r="Q5159" t="s">
        <v>333</v>
      </c>
      <c r="R5159" t="s">
        <v>370</v>
      </c>
      <c r="S5159" t="s">
        <v>323</v>
      </c>
      <c r="T5159">
        <v>7.6</v>
      </c>
      <c r="W5159" t="s">
        <v>330</v>
      </c>
      <c r="Y5159" s="42">
        <v>44159</v>
      </c>
    </row>
    <row r="5160" spans="14:25">
      <c r="N5160" s="42">
        <v>44156</v>
      </c>
      <c r="O5160" t="s">
        <v>359</v>
      </c>
      <c r="P5160" s="42">
        <v>44156</v>
      </c>
      <c r="Q5160" t="s">
        <v>359</v>
      </c>
      <c r="R5160" t="s">
        <v>370</v>
      </c>
      <c r="S5160" t="s">
        <v>323</v>
      </c>
      <c r="T5160">
        <v>7.6</v>
      </c>
      <c r="W5160" t="s">
        <v>330</v>
      </c>
      <c r="Y5160" s="42">
        <v>44159</v>
      </c>
    </row>
    <row r="5161" spans="14:25">
      <c r="N5161" s="42">
        <v>44155</v>
      </c>
      <c r="O5161" t="s">
        <v>346</v>
      </c>
      <c r="P5161" s="42">
        <v>44155</v>
      </c>
      <c r="Q5161" t="s">
        <v>346</v>
      </c>
      <c r="R5161" t="s">
        <v>370</v>
      </c>
      <c r="S5161" t="s">
        <v>323</v>
      </c>
      <c r="T5161">
        <v>7.6</v>
      </c>
      <c r="W5161" t="s">
        <v>330</v>
      </c>
      <c r="Y5161" s="42">
        <v>44159</v>
      </c>
    </row>
    <row r="5162" spans="14:25">
      <c r="N5162" s="42">
        <v>44154</v>
      </c>
      <c r="O5162" t="s">
        <v>324</v>
      </c>
      <c r="P5162" s="42">
        <v>44154</v>
      </c>
      <c r="Q5162" t="s">
        <v>324</v>
      </c>
      <c r="R5162" t="s">
        <v>370</v>
      </c>
      <c r="S5162" t="s">
        <v>323</v>
      </c>
      <c r="T5162">
        <v>7.6</v>
      </c>
      <c r="W5162" t="s">
        <v>330</v>
      </c>
      <c r="Y5162" s="42">
        <v>44159</v>
      </c>
    </row>
    <row r="5163" spans="14:25">
      <c r="N5163" s="42">
        <v>44153</v>
      </c>
      <c r="O5163" t="s">
        <v>328</v>
      </c>
      <c r="P5163" s="42">
        <v>44153</v>
      </c>
      <c r="Q5163" t="s">
        <v>328</v>
      </c>
      <c r="R5163" t="s">
        <v>370</v>
      </c>
      <c r="S5163" t="s">
        <v>323</v>
      </c>
      <c r="T5163">
        <v>7.6</v>
      </c>
      <c r="W5163" t="s">
        <v>330</v>
      </c>
      <c r="Y5163" s="42">
        <v>44159</v>
      </c>
    </row>
    <row r="5164" spans="14:25">
      <c r="N5164" s="42">
        <v>44152</v>
      </c>
      <c r="O5164" t="s">
        <v>333</v>
      </c>
      <c r="P5164" s="42">
        <v>44152</v>
      </c>
      <c r="Q5164" t="s">
        <v>333</v>
      </c>
      <c r="R5164" t="s">
        <v>370</v>
      </c>
      <c r="S5164" t="s">
        <v>323</v>
      </c>
      <c r="T5164">
        <v>7.6</v>
      </c>
      <c r="W5164" t="s">
        <v>330</v>
      </c>
      <c r="Y5164" s="42">
        <v>44159</v>
      </c>
    </row>
    <row r="5165" spans="14:25">
      <c r="N5165" s="42">
        <v>44149</v>
      </c>
      <c r="O5165" t="s">
        <v>359</v>
      </c>
      <c r="P5165" s="42">
        <v>44149</v>
      </c>
      <c r="Q5165" t="s">
        <v>359</v>
      </c>
      <c r="R5165" t="s">
        <v>370</v>
      </c>
      <c r="S5165" t="s">
        <v>323</v>
      </c>
      <c r="T5165">
        <v>7.6</v>
      </c>
      <c r="W5165" t="s">
        <v>330</v>
      </c>
      <c r="Y5165" s="42">
        <v>44159</v>
      </c>
    </row>
    <row r="5166" spans="14:25">
      <c r="N5166" s="42">
        <v>44148</v>
      </c>
      <c r="O5166" t="s">
        <v>346</v>
      </c>
      <c r="P5166" s="42">
        <v>44148</v>
      </c>
      <c r="Q5166" t="s">
        <v>346</v>
      </c>
      <c r="R5166" t="s">
        <v>370</v>
      </c>
      <c r="S5166" t="s">
        <v>323</v>
      </c>
      <c r="T5166">
        <v>7.6</v>
      </c>
      <c r="W5166" t="s">
        <v>330</v>
      </c>
      <c r="Y5166" s="42">
        <v>44159</v>
      </c>
    </row>
    <row r="5167" spans="14:25">
      <c r="N5167" s="42">
        <v>44147</v>
      </c>
      <c r="O5167" t="s">
        <v>324</v>
      </c>
      <c r="P5167" s="42">
        <v>44147</v>
      </c>
      <c r="Q5167" t="s">
        <v>324</v>
      </c>
      <c r="R5167" t="s">
        <v>370</v>
      </c>
      <c r="S5167" t="s">
        <v>323</v>
      </c>
      <c r="T5167">
        <v>7.6</v>
      </c>
      <c r="W5167" t="s">
        <v>330</v>
      </c>
      <c r="Y5167" s="42">
        <v>44159</v>
      </c>
    </row>
    <row r="5168" spans="14:25">
      <c r="N5168" s="42">
        <v>44146</v>
      </c>
      <c r="O5168" t="s">
        <v>328</v>
      </c>
      <c r="P5168" s="42">
        <v>44146</v>
      </c>
      <c r="Q5168" t="s">
        <v>328</v>
      </c>
      <c r="R5168" t="s">
        <v>370</v>
      </c>
      <c r="S5168" t="s">
        <v>323</v>
      </c>
      <c r="T5168">
        <v>7.6</v>
      </c>
      <c r="W5168" t="s">
        <v>330</v>
      </c>
      <c r="Y5168" s="42">
        <v>44159</v>
      </c>
    </row>
    <row r="5169" spans="14:25">
      <c r="N5169" s="42">
        <v>44145</v>
      </c>
      <c r="O5169" t="s">
        <v>333</v>
      </c>
      <c r="P5169" s="42">
        <v>44145</v>
      </c>
      <c r="Q5169" t="s">
        <v>333</v>
      </c>
      <c r="R5169" t="s">
        <v>370</v>
      </c>
      <c r="S5169" t="s">
        <v>323</v>
      </c>
      <c r="T5169">
        <v>7.6</v>
      </c>
      <c r="W5169" t="s">
        <v>330</v>
      </c>
      <c r="Y5169" s="42">
        <v>44145</v>
      </c>
    </row>
    <row r="5170" spans="14:25">
      <c r="N5170" s="42">
        <v>44142</v>
      </c>
      <c r="O5170" t="s">
        <v>359</v>
      </c>
      <c r="P5170" s="42">
        <v>44142</v>
      </c>
      <c r="Q5170" t="s">
        <v>359</v>
      </c>
      <c r="R5170" t="s">
        <v>370</v>
      </c>
      <c r="S5170" t="s">
        <v>323</v>
      </c>
      <c r="T5170">
        <v>7.6</v>
      </c>
      <c r="W5170" t="s">
        <v>330</v>
      </c>
      <c r="Y5170" s="42">
        <v>44145</v>
      </c>
    </row>
    <row r="5171" spans="14:25">
      <c r="N5171" s="42">
        <v>44141</v>
      </c>
      <c r="O5171" t="s">
        <v>346</v>
      </c>
      <c r="P5171" s="42">
        <v>44141</v>
      </c>
      <c r="Q5171" t="s">
        <v>346</v>
      </c>
      <c r="R5171" t="s">
        <v>370</v>
      </c>
      <c r="S5171" t="s">
        <v>323</v>
      </c>
      <c r="T5171">
        <v>7.6</v>
      </c>
      <c r="W5171" t="s">
        <v>330</v>
      </c>
      <c r="Y5171" s="42">
        <v>44145</v>
      </c>
    </row>
    <row r="5172" spans="14:25">
      <c r="N5172" s="42">
        <v>44140</v>
      </c>
      <c r="O5172" t="s">
        <v>324</v>
      </c>
      <c r="P5172" s="42">
        <v>44140</v>
      </c>
      <c r="Q5172" t="s">
        <v>324</v>
      </c>
      <c r="R5172" t="s">
        <v>370</v>
      </c>
      <c r="S5172" t="s">
        <v>323</v>
      </c>
      <c r="T5172">
        <v>7.6</v>
      </c>
      <c r="W5172" t="s">
        <v>330</v>
      </c>
      <c r="Y5172" s="42">
        <v>44145</v>
      </c>
    </row>
    <row r="5173" spans="14:25">
      <c r="N5173" s="42">
        <v>44139</v>
      </c>
      <c r="O5173" t="s">
        <v>328</v>
      </c>
      <c r="P5173" s="42">
        <v>44139</v>
      </c>
      <c r="Q5173" t="s">
        <v>328</v>
      </c>
      <c r="R5173" t="s">
        <v>370</v>
      </c>
      <c r="S5173" t="s">
        <v>323</v>
      </c>
      <c r="T5173">
        <v>7.6</v>
      </c>
      <c r="W5173" t="s">
        <v>330</v>
      </c>
      <c r="Y5173" s="42">
        <v>44145</v>
      </c>
    </row>
    <row r="5174" spans="14:25">
      <c r="N5174" s="42">
        <v>44135</v>
      </c>
      <c r="O5174" t="s">
        <v>359</v>
      </c>
      <c r="P5174" s="42">
        <v>44135</v>
      </c>
      <c r="Q5174" t="s">
        <v>359</v>
      </c>
      <c r="R5174" t="s">
        <v>370</v>
      </c>
      <c r="S5174" t="s">
        <v>323</v>
      </c>
      <c r="T5174">
        <v>7.6</v>
      </c>
      <c r="W5174" t="s">
        <v>330</v>
      </c>
      <c r="Y5174" s="42">
        <v>44145</v>
      </c>
    </row>
    <row r="5175" spans="14:25">
      <c r="N5175" s="42">
        <v>44134</v>
      </c>
      <c r="O5175" t="s">
        <v>346</v>
      </c>
      <c r="P5175" s="42">
        <v>44134</v>
      </c>
      <c r="Q5175" t="s">
        <v>346</v>
      </c>
      <c r="R5175" t="s">
        <v>370</v>
      </c>
      <c r="S5175" t="s">
        <v>323</v>
      </c>
      <c r="T5175">
        <v>7.6</v>
      </c>
      <c r="W5175" t="s">
        <v>330</v>
      </c>
      <c r="Y5175" s="42">
        <v>44145</v>
      </c>
    </row>
    <row r="5176" spans="14:25">
      <c r="N5176" s="42">
        <v>44133</v>
      </c>
      <c r="O5176" t="s">
        <v>324</v>
      </c>
      <c r="P5176" s="42">
        <v>44133</v>
      </c>
      <c r="Q5176" t="s">
        <v>324</v>
      </c>
      <c r="R5176" t="s">
        <v>370</v>
      </c>
      <c r="S5176" t="s">
        <v>323</v>
      </c>
      <c r="T5176">
        <v>7.6</v>
      </c>
      <c r="W5176" t="s">
        <v>330</v>
      </c>
      <c r="Y5176" s="42">
        <v>44145</v>
      </c>
    </row>
    <row r="5177" spans="14:25">
      <c r="N5177" s="42">
        <v>44132</v>
      </c>
      <c r="O5177" t="s">
        <v>328</v>
      </c>
      <c r="P5177" s="42">
        <v>44132</v>
      </c>
      <c r="Q5177" t="s">
        <v>328</v>
      </c>
      <c r="R5177" t="s">
        <v>370</v>
      </c>
      <c r="S5177" t="s">
        <v>323</v>
      </c>
      <c r="T5177">
        <v>7.6</v>
      </c>
      <c r="W5177" t="s">
        <v>330</v>
      </c>
      <c r="Y5177" s="42">
        <v>44145</v>
      </c>
    </row>
    <row r="5178" spans="14:25">
      <c r="N5178" s="42">
        <v>44131</v>
      </c>
      <c r="O5178" t="s">
        <v>333</v>
      </c>
      <c r="P5178" s="42">
        <v>44131</v>
      </c>
      <c r="Q5178" t="s">
        <v>333</v>
      </c>
      <c r="R5178" t="s">
        <v>370</v>
      </c>
      <c r="S5178" t="s">
        <v>323</v>
      </c>
      <c r="T5178">
        <v>7.6</v>
      </c>
      <c r="W5178" t="s">
        <v>330</v>
      </c>
      <c r="Y5178" s="42">
        <v>44131</v>
      </c>
    </row>
    <row r="5179" spans="14:25">
      <c r="N5179" s="42">
        <v>44128</v>
      </c>
      <c r="O5179" t="s">
        <v>359</v>
      </c>
      <c r="P5179" s="42">
        <v>44128</v>
      </c>
      <c r="Q5179" t="s">
        <v>359</v>
      </c>
      <c r="R5179" t="s">
        <v>370</v>
      </c>
      <c r="S5179" t="s">
        <v>323</v>
      </c>
      <c r="T5179">
        <v>7.6</v>
      </c>
      <c r="W5179" t="s">
        <v>330</v>
      </c>
      <c r="Y5179" s="42">
        <v>44131</v>
      </c>
    </row>
    <row r="5180" spans="14:25">
      <c r="N5180" s="42">
        <v>44127</v>
      </c>
      <c r="O5180" t="s">
        <v>346</v>
      </c>
      <c r="P5180" s="42">
        <v>44127</v>
      </c>
      <c r="Q5180" t="s">
        <v>346</v>
      </c>
      <c r="R5180" t="s">
        <v>370</v>
      </c>
      <c r="S5180" t="s">
        <v>323</v>
      </c>
      <c r="T5180">
        <v>7.6</v>
      </c>
      <c r="W5180" t="s">
        <v>330</v>
      </c>
      <c r="Y5180" s="42">
        <v>44131</v>
      </c>
    </row>
    <row r="5181" spans="14:25">
      <c r="N5181" s="42">
        <v>44126</v>
      </c>
      <c r="O5181" t="s">
        <v>324</v>
      </c>
      <c r="P5181" s="42">
        <v>44126</v>
      </c>
      <c r="Q5181" t="s">
        <v>324</v>
      </c>
      <c r="R5181" t="s">
        <v>370</v>
      </c>
      <c r="S5181" t="s">
        <v>323</v>
      </c>
      <c r="T5181">
        <v>7.6</v>
      </c>
      <c r="W5181" t="s">
        <v>330</v>
      </c>
      <c r="Y5181" s="42">
        <v>44131</v>
      </c>
    </row>
    <row r="5182" spans="14:25">
      <c r="N5182" s="42">
        <v>44125</v>
      </c>
      <c r="O5182" t="s">
        <v>328</v>
      </c>
      <c r="P5182" s="42">
        <v>44125</v>
      </c>
      <c r="Q5182" t="s">
        <v>328</v>
      </c>
      <c r="R5182" t="s">
        <v>370</v>
      </c>
      <c r="S5182" t="s">
        <v>323</v>
      </c>
      <c r="T5182">
        <v>7.6</v>
      </c>
      <c r="W5182" t="s">
        <v>330</v>
      </c>
      <c r="Y5182" s="42">
        <v>44131</v>
      </c>
    </row>
    <row r="5183" spans="14:25">
      <c r="N5183" s="42">
        <v>44124</v>
      </c>
      <c r="O5183" t="s">
        <v>333</v>
      </c>
      <c r="P5183" s="42">
        <v>44124</v>
      </c>
      <c r="Q5183" t="s">
        <v>333</v>
      </c>
      <c r="R5183" t="s">
        <v>370</v>
      </c>
      <c r="S5183" t="s">
        <v>323</v>
      </c>
      <c r="T5183">
        <v>7.6</v>
      </c>
      <c r="W5183" t="s">
        <v>330</v>
      </c>
      <c r="Y5183" s="42">
        <v>44131</v>
      </c>
    </row>
    <row r="5184" spans="14:25">
      <c r="N5184" s="42">
        <v>44121</v>
      </c>
      <c r="O5184" t="s">
        <v>359</v>
      </c>
      <c r="P5184" s="42">
        <v>44121</v>
      </c>
      <c r="Q5184" t="s">
        <v>359</v>
      </c>
      <c r="R5184" t="s">
        <v>370</v>
      </c>
      <c r="S5184" t="s">
        <v>323</v>
      </c>
      <c r="T5184">
        <v>7.6</v>
      </c>
      <c r="W5184" t="s">
        <v>330</v>
      </c>
      <c r="Y5184" s="42">
        <v>44131</v>
      </c>
    </row>
    <row r="5185" spans="14:25">
      <c r="N5185" s="42">
        <v>44120</v>
      </c>
      <c r="O5185" t="s">
        <v>346</v>
      </c>
      <c r="P5185" s="42">
        <v>44120</v>
      </c>
      <c r="Q5185" t="s">
        <v>346</v>
      </c>
      <c r="R5185" t="s">
        <v>370</v>
      </c>
      <c r="S5185" t="s">
        <v>323</v>
      </c>
      <c r="T5185">
        <v>7.6</v>
      </c>
      <c r="W5185" t="s">
        <v>330</v>
      </c>
      <c r="Y5185" s="42">
        <v>44131</v>
      </c>
    </row>
    <row r="5186" spans="14:25">
      <c r="N5186" s="42">
        <v>44119</v>
      </c>
      <c r="O5186" t="s">
        <v>324</v>
      </c>
      <c r="P5186" s="42">
        <v>44119</v>
      </c>
      <c r="Q5186" t="s">
        <v>324</v>
      </c>
      <c r="R5186" t="s">
        <v>370</v>
      </c>
      <c r="S5186" t="s">
        <v>323</v>
      </c>
      <c r="T5186">
        <v>7.6</v>
      </c>
      <c r="W5186" t="s">
        <v>330</v>
      </c>
      <c r="Y5186" s="42">
        <v>44131</v>
      </c>
    </row>
    <row r="5187" spans="14:25">
      <c r="N5187" s="42">
        <v>44118</v>
      </c>
      <c r="O5187" t="s">
        <v>328</v>
      </c>
      <c r="P5187" s="42">
        <v>44118</v>
      </c>
      <c r="Q5187" t="s">
        <v>328</v>
      </c>
      <c r="R5187" t="s">
        <v>370</v>
      </c>
      <c r="S5187" t="s">
        <v>323</v>
      </c>
      <c r="T5187">
        <v>7.6</v>
      </c>
      <c r="W5187" t="s">
        <v>330</v>
      </c>
      <c r="Y5187" s="42">
        <v>44131</v>
      </c>
    </row>
    <row r="5188" spans="14:25">
      <c r="N5188" s="42">
        <v>44117</v>
      </c>
      <c r="O5188" t="s">
        <v>333</v>
      </c>
      <c r="P5188" s="42">
        <v>44117</v>
      </c>
      <c r="Q5188" t="s">
        <v>333</v>
      </c>
      <c r="R5188" t="s">
        <v>370</v>
      </c>
      <c r="S5188" t="s">
        <v>323</v>
      </c>
      <c r="T5188">
        <v>7.6</v>
      </c>
      <c r="W5188" t="s">
        <v>330</v>
      </c>
      <c r="Y5188" s="42">
        <v>44117</v>
      </c>
    </row>
    <row r="5189" spans="14:25">
      <c r="N5189" s="42">
        <v>44114</v>
      </c>
      <c r="O5189" t="s">
        <v>359</v>
      </c>
      <c r="P5189" s="42">
        <v>44114</v>
      </c>
      <c r="Q5189" t="s">
        <v>359</v>
      </c>
      <c r="R5189" t="s">
        <v>370</v>
      </c>
      <c r="S5189" t="s">
        <v>323</v>
      </c>
      <c r="T5189">
        <v>7.6</v>
      </c>
      <c r="W5189" t="s">
        <v>330</v>
      </c>
      <c r="Y5189" s="42">
        <v>44117</v>
      </c>
    </row>
    <row r="5190" spans="14:25">
      <c r="N5190" s="42">
        <v>44113</v>
      </c>
      <c r="O5190" t="s">
        <v>346</v>
      </c>
      <c r="P5190" s="42">
        <v>44113</v>
      </c>
      <c r="Q5190" t="s">
        <v>346</v>
      </c>
      <c r="R5190" t="s">
        <v>370</v>
      </c>
      <c r="S5190" t="s">
        <v>323</v>
      </c>
      <c r="T5190">
        <v>7.6</v>
      </c>
      <c r="W5190" t="s">
        <v>330</v>
      </c>
      <c r="Y5190" s="42">
        <v>44117</v>
      </c>
    </row>
    <row r="5191" spans="14:25">
      <c r="N5191" s="42">
        <v>44112</v>
      </c>
      <c r="O5191" t="s">
        <v>324</v>
      </c>
      <c r="P5191" s="42">
        <v>44112</v>
      </c>
      <c r="Q5191" t="s">
        <v>324</v>
      </c>
      <c r="R5191" t="s">
        <v>370</v>
      </c>
      <c r="S5191" t="s">
        <v>323</v>
      </c>
      <c r="T5191">
        <v>7.6</v>
      </c>
      <c r="W5191" t="s">
        <v>330</v>
      </c>
      <c r="Y5191" s="42">
        <v>44117</v>
      </c>
    </row>
    <row r="5192" spans="14:25">
      <c r="N5192" s="42">
        <v>44111</v>
      </c>
      <c r="O5192" t="s">
        <v>328</v>
      </c>
      <c r="P5192" s="42">
        <v>44111</v>
      </c>
      <c r="Q5192" t="s">
        <v>328</v>
      </c>
      <c r="R5192" t="s">
        <v>370</v>
      </c>
      <c r="S5192" t="s">
        <v>323</v>
      </c>
      <c r="T5192">
        <v>7.6</v>
      </c>
      <c r="W5192" t="s">
        <v>330</v>
      </c>
      <c r="Y5192" s="42">
        <v>44117</v>
      </c>
    </row>
    <row r="5193" spans="14:25">
      <c r="N5193" s="42">
        <v>44110</v>
      </c>
      <c r="O5193" t="s">
        <v>333</v>
      </c>
      <c r="P5193" s="42">
        <v>44110</v>
      </c>
      <c r="Q5193" t="s">
        <v>333</v>
      </c>
      <c r="R5193" t="s">
        <v>370</v>
      </c>
      <c r="S5193" t="s">
        <v>323</v>
      </c>
      <c r="T5193">
        <v>7.6</v>
      </c>
      <c r="W5193" t="s">
        <v>330</v>
      </c>
      <c r="Y5193" s="42">
        <v>44117</v>
      </c>
    </row>
    <row r="5194" spans="14:25">
      <c r="N5194" s="42">
        <v>44107</v>
      </c>
      <c r="O5194" t="s">
        <v>359</v>
      </c>
      <c r="P5194" s="42">
        <v>44107</v>
      </c>
      <c r="Q5194" t="s">
        <v>359</v>
      </c>
      <c r="R5194" t="s">
        <v>370</v>
      </c>
      <c r="S5194" t="s">
        <v>323</v>
      </c>
      <c r="T5194">
        <v>7.6</v>
      </c>
      <c r="W5194" t="s">
        <v>330</v>
      </c>
      <c r="Y5194" s="42">
        <v>44117</v>
      </c>
    </row>
    <row r="5195" spans="14:25">
      <c r="N5195" s="42">
        <v>44106</v>
      </c>
      <c r="O5195" t="s">
        <v>346</v>
      </c>
      <c r="P5195" s="42">
        <v>44106</v>
      </c>
      <c r="Q5195" t="s">
        <v>346</v>
      </c>
      <c r="R5195" t="s">
        <v>370</v>
      </c>
      <c r="S5195" t="s">
        <v>323</v>
      </c>
      <c r="T5195">
        <v>7.6</v>
      </c>
      <c r="W5195" t="s">
        <v>330</v>
      </c>
      <c r="Y5195" s="42">
        <v>44117</v>
      </c>
    </row>
    <row r="5196" spans="14:25">
      <c r="N5196" s="42">
        <v>44105</v>
      </c>
      <c r="O5196" t="s">
        <v>324</v>
      </c>
      <c r="P5196" s="42">
        <v>44105</v>
      </c>
      <c r="Q5196" t="s">
        <v>324</v>
      </c>
      <c r="R5196" t="s">
        <v>370</v>
      </c>
      <c r="S5196" t="s">
        <v>323</v>
      </c>
      <c r="T5196">
        <v>7.6</v>
      </c>
      <c r="W5196" t="s">
        <v>330</v>
      </c>
      <c r="Y5196" s="42">
        <v>44117</v>
      </c>
    </row>
    <row r="5197" spans="14:25">
      <c r="N5197" s="42">
        <v>44104</v>
      </c>
      <c r="O5197" t="s">
        <v>328</v>
      </c>
      <c r="P5197" s="42">
        <v>44104</v>
      </c>
      <c r="Q5197" t="s">
        <v>328</v>
      </c>
      <c r="R5197" t="s">
        <v>370</v>
      </c>
      <c r="S5197" t="s">
        <v>323</v>
      </c>
      <c r="T5197">
        <v>7.6</v>
      </c>
      <c r="W5197" t="s">
        <v>330</v>
      </c>
      <c r="Y5197" s="42">
        <v>44117</v>
      </c>
    </row>
    <row r="5198" spans="14:25">
      <c r="N5198" s="42">
        <v>44103</v>
      </c>
      <c r="O5198" t="s">
        <v>333</v>
      </c>
      <c r="P5198" s="42">
        <v>44103</v>
      </c>
      <c r="Q5198" t="s">
        <v>333</v>
      </c>
      <c r="R5198" t="s">
        <v>370</v>
      </c>
      <c r="S5198" t="s">
        <v>323</v>
      </c>
      <c r="T5198">
        <v>7.6</v>
      </c>
      <c r="W5198" t="s">
        <v>330</v>
      </c>
      <c r="Y5198" s="42">
        <v>44103</v>
      </c>
    </row>
    <row r="5199" spans="14:25">
      <c r="N5199" s="42">
        <v>44100</v>
      </c>
      <c r="O5199" t="s">
        <v>359</v>
      </c>
      <c r="P5199" s="42">
        <v>44100</v>
      </c>
      <c r="Q5199" t="s">
        <v>359</v>
      </c>
      <c r="R5199" t="s">
        <v>370</v>
      </c>
      <c r="S5199" t="s">
        <v>323</v>
      </c>
      <c r="T5199">
        <v>7.6</v>
      </c>
      <c r="W5199" t="s">
        <v>330</v>
      </c>
      <c r="Y5199" s="42">
        <v>44103</v>
      </c>
    </row>
    <row r="5200" spans="14:25">
      <c r="N5200" s="42">
        <v>44099</v>
      </c>
      <c r="O5200" t="s">
        <v>346</v>
      </c>
      <c r="P5200" s="42">
        <v>44099</v>
      </c>
      <c r="Q5200" t="s">
        <v>346</v>
      </c>
      <c r="R5200" t="s">
        <v>370</v>
      </c>
      <c r="S5200" t="s">
        <v>323</v>
      </c>
      <c r="T5200">
        <v>7.6</v>
      </c>
      <c r="W5200" t="s">
        <v>330</v>
      </c>
      <c r="Y5200" s="42">
        <v>44103</v>
      </c>
    </row>
    <row r="5201" spans="14:25">
      <c r="N5201" s="42">
        <v>44098</v>
      </c>
      <c r="O5201" t="s">
        <v>324</v>
      </c>
      <c r="P5201" s="42">
        <v>44098</v>
      </c>
      <c r="Q5201" t="s">
        <v>324</v>
      </c>
      <c r="R5201" t="s">
        <v>370</v>
      </c>
      <c r="S5201" t="s">
        <v>323</v>
      </c>
      <c r="T5201">
        <v>7.6</v>
      </c>
      <c r="W5201" t="s">
        <v>330</v>
      </c>
      <c r="Y5201" s="42">
        <v>44103</v>
      </c>
    </row>
    <row r="5202" spans="14:25">
      <c r="N5202" s="42">
        <v>44097</v>
      </c>
      <c r="O5202" t="s">
        <v>328</v>
      </c>
      <c r="P5202" s="42">
        <v>44097</v>
      </c>
      <c r="Q5202" t="s">
        <v>328</v>
      </c>
      <c r="R5202" t="s">
        <v>370</v>
      </c>
      <c r="S5202" t="s">
        <v>323</v>
      </c>
      <c r="T5202">
        <v>7.6</v>
      </c>
      <c r="W5202" t="s">
        <v>330</v>
      </c>
      <c r="Y5202" s="42">
        <v>44103</v>
      </c>
    </row>
    <row r="5203" spans="14:25">
      <c r="N5203" s="42">
        <v>44096</v>
      </c>
      <c r="O5203" t="s">
        <v>333</v>
      </c>
      <c r="P5203" s="42">
        <v>44096</v>
      </c>
      <c r="Q5203" t="s">
        <v>333</v>
      </c>
      <c r="R5203" t="s">
        <v>370</v>
      </c>
      <c r="S5203" t="s">
        <v>323</v>
      </c>
      <c r="T5203">
        <v>7.6</v>
      </c>
      <c r="W5203" t="s">
        <v>330</v>
      </c>
      <c r="Y5203" s="42">
        <v>44103</v>
      </c>
    </row>
    <row r="5204" spans="14:25">
      <c r="N5204" s="42">
        <v>44093</v>
      </c>
      <c r="O5204" t="s">
        <v>359</v>
      </c>
      <c r="P5204" s="42">
        <v>44093</v>
      </c>
      <c r="Q5204" t="s">
        <v>359</v>
      </c>
      <c r="R5204" t="s">
        <v>370</v>
      </c>
      <c r="S5204" t="s">
        <v>323</v>
      </c>
      <c r="T5204">
        <v>7.6</v>
      </c>
      <c r="W5204" t="s">
        <v>330</v>
      </c>
      <c r="Y5204" s="42">
        <v>44103</v>
      </c>
    </row>
    <row r="5205" spans="14:25">
      <c r="N5205" s="42">
        <v>44092</v>
      </c>
      <c r="O5205" t="s">
        <v>346</v>
      </c>
      <c r="P5205" s="42">
        <v>44092</v>
      </c>
      <c r="Q5205" t="s">
        <v>346</v>
      </c>
      <c r="R5205" t="s">
        <v>370</v>
      </c>
      <c r="S5205" t="s">
        <v>323</v>
      </c>
      <c r="T5205">
        <v>7.6</v>
      </c>
      <c r="W5205" t="s">
        <v>330</v>
      </c>
      <c r="Y5205" s="42">
        <v>44103</v>
      </c>
    </row>
    <row r="5206" spans="14:25">
      <c r="N5206" s="42">
        <v>44091</v>
      </c>
      <c r="O5206" t="s">
        <v>324</v>
      </c>
      <c r="P5206" s="42">
        <v>44091</v>
      </c>
      <c r="Q5206" t="s">
        <v>324</v>
      </c>
      <c r="R5206" t="s">
        <v>370</v>
      </c>
      <c r="S5206" t="s">
        <v>323</v>
      </c>
      <c r="T5206">
        <v>7.6</v>
      </c>
      <c r="W5206" t="s">
        <v>330</v>
      </c>
      <c r="Y5206" s="42">
        <v>44103</v>
      </c>
    </row>
    <row r="5207" spans="14:25">
      <c r="N5207" s="42">
        <v>44090</v>
      </c>
      <c r="O5207" t="s">
        <v>328</v>
      </c>
      <c r="P5207" s="42">
        <v>44090</v>
      </c>
      <c r="Q5207" t="s">
        <v>328</v>
      </c>
      <c r="R5207" t="s">
        <v>370</v>
      </c>
      <c r="S5207" t="s">
        <v>323</v>
      </c>
      <c r="T5207">
        <v>7.6</v>
      </c>
      <c r="W5207" t="s">
        <v>330</v>
      </c>
      <c r="Y5207" s="42">
        <v>44103</v>
      </c>
    </row>
    <row r="5208" spans="14:25">
      <c r="N5208" s="42">
        <v>44089</v>
      </c>
      <c r="O5208" t="s">
        <v>333</v>
      </c>
      <c r="P5208" s="42">
        <v>44089</v>
      </c>
      <c r="Q5208" t="s">
        <v>333</v>
      </c>
      <c r="R5208" t="s">
        <v>370</v>
      </c>
      <c r="S5208" t="s">
        <v>323</v>
      </c>
      <c r="T5208">
        <v>7.6</v>
      </c>
      <c r="W5208" t="s">
        <v>330</v>
      </c>
      <c r="Y5208" s="42">
        <v>44089</v>
      </c>
    </row>
    <row r="5209" spans="14:25">
      <c r="N5209" s="42">
        <v>44086</v>
      </c>
      <c r="O5209" t="s">
        <v>359</v>
      </c>
      <c r="P5209" s="42">
        <v>44086</v>
      </c>
      <c r="Q5209" t="s">
        <v>359</v>
      </c>
      <c r="R5209" t="s">
        <v>370</v>
      </c>
      <c r="S5209" t="s">
        <v>323</v>
      </c>
      <c r="T5209">
        <v>7.6</v>
      </c>
      <c r="W5209" t="s">
        <v>330</v>
      </c>
      <c r="Y5209" s="42">
        <v>44089</v>
      </c>
    </row>
    <row r="5210" spans="14:25">
      <c r="N5210" s="42">
        <v>44085</v>
      </c>
      <c r="O5210" t="s">
        <v>346</v>
      </c>
      <c r="P5210" s="42">
        <v>44085</v>
      </c>
      <c r="Q5210" t="s">
        <v>346</v>
      </c>
      <c r="R5210" t="s">
        <v>370</v>
      </c>
      <c r="S5210" t="s">
        <v>323</v>
      </c>
      <c r="T5210">
        <v>7.6</v>
      </c>
      <c r="W5210" t="s">
        <v>330</v>
      </c>
      <c r="Y5210" s="42">
        <v>44089</v>
      </c>
    </row>
    <row r="5211" spans="14:25">
      <c r="N5211" s="42">
        <v>44084</v>
      </c>
      <c r="O5211" t="s">
        <v>324</v>
      </c>
      <c r="P5211" s="42">
        <v>44084</v>
      </c>
      <c r="Q5211" t="s">
        <v>324</v>
      </c>
      <c r="R5211" t="s">
        <v>370</v>
      </c>
      <c r="S5211" t="s">
        <v>323</v>
      </c>
      <c r="T5211">
        <v>7.6</v>
      </c>
      <c r="W5211" t="s">
        <v>330</v>
      </c>
      <c r="Y5211" s="42">
        <v>44089</v>
      </c>
    </row>
    <row r="5212" spans="14:25">
      <c r="N5212" s="42">
        <v>44083</v>
      </c>
      <c r="O5212" t="s">
        <v>328</v>
      </c>
      <c r="P5212" s="42">
        <v>44083</v>
      </c>
      <c r="Q5212" t="s">
        <v>328</v>
      </c>
      <c r="R5212" t="s">
        <v>370</v>
      </c>
      <c r="S5212" t="s">
        <v>323</v>
      </c>
      <c r="T5212">
        <v>7.6</v>
      </c>
      <c r="W5212" t="s">
        <v>330</v>
      </c>
      <c r="Y5212" s="42">
        <v>44089</v>
      </c>
    </row>
    <row r="5213" spans="14:25">
      <c r="N5213" s="42">
        <v>44082</v>
      </c>
      <c r="O5213" t="s">
        <v>333</v>
      </c>
      <c r="P5213" s="42">
        <v>44082</v>
      </c>
      <c r="Q5213" t="s">
        <v>333</v>
      </c>
      <c r="R5213" t="s">
        <v>370</v>
      </c>
      <c r="S5213" t="s">
        <v>323</v>
      </c>
      <c r="T5213">
        <v>7.6</v>
      </c>
      <c r="W5213" t="s">
        <v>330</v>
      </c>
      <c r="Y5213" s="42">
        <v>44089</v>
      </c>
    </row>
    <row r="5214" spans="14:25">
      <c r="N5214" s="42">
        <v>44079</v>
      </c>
      <c r="O5214" t="s">
        <v>359</v>
      </c>
      <c r="P5214" s="42">
        <v>44079</v>
      </c>
      <c r="Q5214" t="s">
        <v>359</v>
      </c>
      <c r="R5214" t="s">
        <v>370</v>
      </c>
      <c r="S5214" t="s">
        <v>323</v>
      </c>
      <c r="T5214">
        <v>7.6</v>
      </c>
      <c r="W5214" t="s">
        <v>330</v>
      </c>
      <c r="Y5214" s="42">
        <v>44089</v>
      </c>
    </row>
    <row r="5215" spans="14:25">
      <c r="N5215" s="42">
        <v>44078</v>
      </c>
      <c r="O5215" t="s">
        <v>346</v>
      </c>
      <c r="P5215" s="42">
        <v>44078</v>
      </c>
      <c r="Q5215" t="s">
        <v>346</v>
      </c>
      <c r="R5215" t="s">
        <v>370</v>
      </c>
      <c r="S5215" t="s">
        <v>323</v>
      </c>
      <c r="T5215">
        <v>7.6</v>
      </c>
      <c r="W5215" t="s">
        <v>330</v>
      </c>
      <c r="Y5215" s="42">
        <v>44089</v>
      </c>
    </row>
    <row r="5216" spans="14:25">
      <c r="N5216" s="42">
        <v>44077</v>
      </c>
      <c r="O5216" t="s">
        <v>324</v>
      </c>
      <c r="P5216" s="42">
        <v>44077</v>
      </c>
      <c r="Q5216" t="s">
        <v>324</v>
      </c>
      <c r="R5216" t="s">
        <v>370</v>
      </c>
      <c r="S5216" t="s">
        <v>323</v>
      </c>
      <c r="T5216">
        <v>7.6</v>
      </c>
      <c r="W5216" t="s">
        <v>330</v>
      </c>
      <c r="Y5216" s="42">
        <v>44089</v>
      </c>
    </row>
    <row r="5217" spans="14:25">
      <c r="N5217" s="42">
        <v>44076</v>
      </c>
      <c r="O5217" t="s">
        <v>328</v>
      </c>
      <c r="P5217" s="42">
        <v>44076</v>
      </c>
      <c r="Q5217" t="s">
        <v>328</v>
      </c>
      <c r="R5217" t="s">
        <v>370</v>
      </c>
      <c r="S5217" t="s">
        <v>323</v>
      </c>
      <c r="T5217">
        <v>7.6</v>
      </c>
      <c r="W5217" t="s">
        <v>330</v>
      </c>
      <c r="Y5217" s="42">
        <v>44089</v>
      </c>
    </row>
    <row r="5218" spans="14:25">
      <c r="N5218" s="42">
        <v>44075</v>
      </c>
      <c r="O5218" t="s">
        <v>333</v>
      </c>
      <c r="P5218" s="42">
        <v>44075</v>
      </c>
      <c r="Q5218" t="s">
        <v>333</v>
      </c>
      <c r="R5218" t="s">
        <v>370</v>
      </c>
      <c r="S5218" t="s">
        <v>323</v>
      </c>
      <c r="T5218">
        <v>7.6</v>
      </c>
      <c r="W5218" t="s">
        <v>330</v>
      </c>
      <c r="Y5218" s="42">
        <v>44075</v>
      </c>
    </row>
    <row r="5219" spans="14:25">
      <c r="N5219" s="42">
        <v>44072</v>
      </c>
      <c r="O5219" t="s">
        <v>359</v>
      </c>
      <c r="P5219" s="42">
        <v>44072</v>
      </c>
      <c r="Q5219" t="s">
        <v>359</v>
      </c>
      <c r="R5219" t="s">
        <v>370</v>
      </c>
      <c r="S5219" t="s">
        <v>323</v>
      </c>
      <c r="T5219">
        <v>7.6</v>
      </c>
      <c r="W5219" t="s">
        <v>330</v>
      </c>
      <c r="Y5219" s="42">
        <v>44075</v>
      </c>
    </row>
    <row r="5220" spans="14:25">
      <c r="N5220" s="42">
        <v>44071</v>
      </c>
      <c r="O5220" t="s">
        <v>346</v>
      </c>
      <c r="P5220" s="42">
        <v>44071</v>
      </c>
      <c r="Q5220" t="s">
        <v>346</v>
      </c>
      <c r="R5220" t="s">
        <v>370</v>
      </c>
      <c r="S5220" t="s">
        <v>323</v>
      </c>
      <c r="T5220">
        <v>7.6</v>
      </c>
      <c r="W5220" t="s">
        <v>330</v>
      </c>
      <c r="Y5220" s="42">
        <v>44075</v>
      </c>
    </row>
    <row r="5221" spans="14:25">
      <c r="N5221" s="42">
        <v>44070</v>
      </c>
      <c r="O5221" t="s">
        <v>324</v>
      </c>
      <c r="P5221" s="42">
        <v>44070</v>
      </c>
      <c r="Q5221" t="s">
        <v>324</v>
      </c>
      <c r="R5221" t="s">
        <v>370</v>
      </c>
      <c r="S5221" t="s">
        <v>323</v>
      </c>
      <c r="T5221">
        <v>7.6</v>
      </c>
      <c r="W5221" t="s">
        <v>330</v>
      </c>
      <c r="Y5221" s="42">
        <v>44075</v>
      </c>
    </row>
    <row r="5222" spans="14:25">
      <c r="N5222" s="42">
        <v>44069</v>
      </c>
      <c r="O5222" t="s">
        <v>328</v>
      </c>
      <c r="P5222" s="42">
        <v>44069</v>
      </c>
      <c r="Q5222" t="s">
        <v>328</v>
      </c>
      <c r="R5222" t="s">
        <v>370</v>
      </c>
      <c r="S5222" t="s">
        <v>323</v>
      </c>
      <c r="T5222">
        <v>7.6</v>
      </c>
      <c r="W5222" t="s">
        <v>330</v>
      </c>
      <c r="Y5222" s="42">
        <v>44075</v>
      </c>
    </row>
    <row r="5223" spans="14:25">
      <c r="N5223" s="42">
        <v>44068</v>
      </c>
      <c r="O5223" t="s">
        <v>333</v>
      </c>
      <c r="P5223" s="42">
        <v>44068</v>
      </c>
      <c r="Q5223" t="s">
        <v>333</v>
      </c>
      <c r="R5223" t="s">
        <v>370</v>
      </c>
      <c r="S5223" t="s">
        <v>323</v>
      </c>
      <c r="T5223">
        <v>7.6</v>
      </c>
      <c r="W5223" t="s">
        <v>330</v>
      </c>
      <c r="Y5223" s="42">
        <v>44075</v>
      </c>
    </row>
    <row r="5224" spans="14:25">
      <c r="N5224" s="42">
        <v>44065</v>
      </c>
      <c r="O5224" t="s">
        <v>359</v>
      </c>
      <c r="P5224" s="42">
        <v>44065</v>
      </c>
      <c r="Q5224" t="s">
        <v>359</v>
      </c>
      <c r="R5224" t="s">
        <v>370</v>
      </c>
      <c r="S5224" t="s">
        <v>323</v>
      </c>
      <c r="T5224">
        <v>7.6</v>
      </c>
      <c r="W5224" t="s">
        <v>330</v>
      </c>
      <c r="Y5224" s="42">
        <v>44075</v>
      </c>
    </row>
    <row r="5225" spans="14:25">
      <c r="N5225" s="42">
        <v>44064</v>
      </c>
      <c r="O5225" t="s">
        <v>346</v>
      </c>
      <c r="P5225" s="42">
        <v>44064</v>
      </c>
      <c r="Q5225" t="s">
        <v>346</v>
      </c>
      <c r="R5225" t="s">
        <v>370</v>
      </c>
      <c r="S5225" t="s">
        <v>323</v>
      </c>
      <c r="T5225">
        <v>7.6</v>
      </c>
      <c r="W5225" t="s">
        <v>330</v>
      </c>
      <c r="Y5225" s="42">
        <v>44075</v>
      </c>
    </row>
    <row r="5226" spans="14:25">
      <c r="N5226" s="42">
        <v>44063</v>
      </c>
      <c r="O5226" t="s">
        <v>324</v>
      </c>
      <c r="P5226" s="42">
        <v>44063</v>
      </c>
      <c r="Q5226" t="s">
        <v>324</v>
      </c>
      <c r="R5226" t="s">
        <v>370</v>
      </c>
      <c r="S5226" t="s">
        <v>323</v>
      </c>
      <c r="T5226">
        <v>7.6</v>
      </c>
      <c r="W5226" t="s">
        <v>330</v>
      </c>
      <c r="Y5226" s="42">
        <v>44075</v>
      </c>
    </row>
    <row r="5227" spans="14:25">
      <c r="N5227" s="42">
        <v>44062</v>
      </c>
      <c r="O5227" t="s">
        <v>328</v>
      </c>
      <c r="P5227" s="42">
        <v>44062</v>
      </c>
      <c r="Q5227" t="s">
        <v>328</v>
      </c>
      <c r="R5227" t="s">
        <v>370</v>
      </c>
      <c r="S5227" t="s">
        <v>323</v>
      </c>
      <c r="T5227">
        <v>7.6</v>
      </c>
      <c r="W5227" t="s">
        <v>330</v>
      </c>
      <c r="Y5227" s="42">
        <v>44075</v>
      </c>
    </row>
    <row r="5228" spans="14:25">
      <c r="N5228" s="42">
        <v>44061</v>
      </c>
      <c r="O5228" t="s">
        <v>333</v>
      </c>
      <c r="P5228" s="42">
        <v>44061</v>
      </c>
      <c r="Q5228" t="s">
        <v>333</v>
      </c>
      <c r="R5228" t="s">
        <v>370</v>
      </c>
      <c r="S5228" t="s">
        <v>323</v>
      </c>
      <c r="T5228">
        <v>7.6</v>
      </c>
      <c r="W5228" t="s">
        <v>330</v>
      </c>
      <c r="Y5228" s="42">
        <v>44061</v>
      </c>
    </row>
    <row r="5229" spans="14:25">
      <c r="N5229" s="42">
        <v>44058</v>
      </c>
      <c r="O5229" t="s">
        <v>359</v>
      </c>
      <c r="P5229" s="42">
        <v>44058</v>
      </c>
      <c r="Q5229" t="s">
        <v>359</v>
      </c>
      <c r="R5229" t="s">
        <v>370</v>
      </c>
      <c r="S5229" t="s">
        <v>323</v>
      </c>
      <c r="T5229">
        <v>7.6</v>
      </c>
      <c r="W5229" t="s">
        <v>330</v>
      </c>
      <c r="Y5229" s="42">
        <v>44061</v>
      </c>
    </row>
    <row r="5230" spans="14:25">
      <c r="N5230" s="42">
        <v>44057</v>
      </c>
      <c r="O5230" t="s">
        <v>346</v>
      </c>
      <c r="P5230" s="42">
        <v>44057</v>
      </c>
      <c r="Q5230" t="s">
        <v>346</v>
      </c>
      <c r="R5230" t="s">
        <v>370</v>
      </c>
      <c r="S5230" t="s">
        <v>323</v>
      </c>
      <c r="T5230">
        <v>7.6</v>
      </c>
      <c r="W5230" t="s">
        <v>330</v>
      </c>
      <c r="Y5230" s="42">
        <v>44061</v>
      </c>
    </row>
    <row r="5231" spans="14:25">
      <c r="N5231" s="42">
        <v>44056</v>
      </c>
      <c r="O5231" t="s">
        <v>324</v>
      </c>
      <c r="P5231" s="42">
        <v>44056</v>
      </c>
      <c r="Q5231" t="s">
        <v>324</v>
      </c>
      <c r="R5231" t="s">
        <v>370</v>
      </c>
      <c r="S5231" t="s">
        <v>323</v>
      </c>
      <c r="T5231">
        <v>7.6</v>
      </c>
      <c r="W5231" t="s">
        <v>330</v>
      </c>
      <c r="Y5231" s="42">
        <v>44061</v>
      </c>
    </row>
    <row r="5232" spans="14:25">
      <c r="N5232" s="42">
        <v>44055</v>
      </c>
      <c r="O5232" t="s">
        <v>328</v>
      </c>
      <c r="P5232" s="42">
        <v>44055</v>
      </c>
      <c r="Q5232" t="s">
        <v>328</v>
      </c>
      <c r="R5232" t="s">
        <v>370</v>
      </c>
      <c r="S5232" t="s">
        <v>323</v>
      </c>
      <c r="T5232">
        <v>7.6</v>
      </c>
      <c r="W5232" t="s">
        <v>330</v>
      </c>
      <c r="Y5232" s="42">
        <v>44061</v>
      </c>
    </row>
    <row r="5233" spans="14:25">
      <c r="N5233" s="42">
        <v>44054</v>
      </c>
      <c r="O5233" t="s">
        <v>333</v>
      </c>
      <c r="P5233" s="42">
        <v>44054</v>
      </c>
      <c r="Q5233" t="s">
        <v>333</v>
      </c>
      <c r="R5233" t="s">
        <v>370</v>
      </c>
      <c r="S5233" t="s">
        <v>323</v>
      </c>
      <c r="T5233">
        <v>7.6</v>
      </c>
      <c r="W5233" t="s">
        <v>330</v>
      </c>
      <c r="Y5233" s="42">
        <v>44061</v>
      </c>
    </row>
    <row r="5234" spans="14:25">
      <c r="N5234" s="42">
        <v>44051</v>
      </c>
      <c r="O5234" t="s">
        <v>359</v>
      </c>
      <c r="P5234" s="42">
        <v>44051</v>
      </c>
      <c r="Q5234" t="s">
        <v>359</v>
      </c>
      <c r="R5234" t="s">
        <v>370</v>
      </c>
      <c r="S5234" t="s">
        <v>323</v>
      </c>
      <c r="T5234">
        <v>7.6</v>
      </c>
      <c r="W5234" t="s">
        <v>330</v>
      </c>
      <c r="Y5234" s="42">
        <v>44061</v>
      </c>
    </row>
    <row r="5235" spans="14:25">
      <c r="N5235" s="42">
        <v>44050</v>
      </c>
      <c r="O5235" t="s">
        <v>346</v>
      </c>
      <c r="P5235" s="42">
        <v>44050</v>
      </c>
      <c r="Q5235" t="s">
        <v>346</v>
      </c>
      <c r="R5235" t="s">
        <v>370</v>
      </c>
      <c r="S5235" t="s">
        <v>323</v>
      </c>
      <c r="T5235">
        <v>7.6</v>
      </c>
      <c r="W5235" t="s">
        <v>330</v>
      </c>
      <c r="Y5235" s="42">
        <v>44061</v>
      </c>
    </row>
    <row r="5236" spans="14:25">
      <c r="N5236" s="42">
        <v>44049</v>
      </c>
      <c r="O5236" t="s">
        <v>324</v>
      </c>
      <c r="P5236" s="42">
        <v>44049</v>
      </c>
      <c r="Q5236" t="s">
        <v>324</v>
      </c>
      <c r="R5236" t="s">
        <v>370</v>
      </c>
      <c r="S5236" t="s">
        <v>323</v>
      </c>
      <c r="T5236">
        <v>7.6</v>
      </c>
      <c r="W5236" t="s">
        <v>330</v>
      </c>
      <c r="Y5236" s="42">
        <v>44061</v>
      </c>
    </row>
    <row r="5237" spans="14:25">
      <c r="N5237" s="42">
        <v>44048</v>
      </c>
      <c r="O5237" t="s">
        <v>328</v>
      </c>
      <c r="P5237" s="42">
        <v>44048</v>
      </c>
      <c r="Q5237" t="s">
        <v>328</v>
      </c>
      <c r="R5237" t="s">
        <v>370</v>
      </c>
      <c r="S5237" t="s">
        <v>323</v>
      </c>
      <c r="T5237">
        <v>7.6</v>
      </c>
      <c r="W5237" t="s">
        <v>330</v>
      </c>
      <c r="Y5237" s="42">
        <v>44061</v>
      </c>
    </row>
    <row r="5238" spans="14:25">
      <c r="N5238" s="42">
        <v>44047</v>
      </c>
      <c r="O5238" t="s">
        <v>333</v>
      </c>
      <c r="P5238" s="42">
        <v>44047</v>
      </c>
      <c r="Q5238" t="s">
        <v>333</v>
      </c>
      <c r="R5238" t="s">
        <v>370</v>
      </c>
      <c r="S5238" t="s">
        <v>323</v>
      </c>
      <c r="T5238">
        <v>7.6</v>
      </c>
      <c r="W5238" t="s">
        <v>330</v>
      </c>
      <c r="Y5238" s="42">
        <v>44047</v>
      </c>
    </row>
    <row r="5239" spans="14:25">
      <c r="N5239" s="42">
        <v>44044</v>
      </c>
      <c r="O5239" t="s">
        <v>359</v>
      </c>
      <c r="P5239" s="42">
        <v>44044</v>
      </c>
      <c r="Q5239" t="s">
        <v>359</v>
      </c>
      <c r="R5239" t="s">
        <v>370</v>
      </c>
      <c r="S5239" t="s">
        <v>323</v>
      </c>
      <c r="T5239">
        <v>7.6</v>
      </c>
      <c r="W5239" t="s">
        <v>330</v>
      </c>
      <c r="Y5239" s="42">
        <v>44047</v>
      </c>
    </row>
    <row r="5240" spans="14:25">
      <c r="N5240" s="42">
        <v>44043</v>
      </c>
      <c r="O5240" t="s">
        <v>346</v>
      </c>
      <c r="P5240" s="42">
        <v>44043</v>
      </c>
      <c r="Q5240" t="s">
        <v>346</v>
      </c>
      <c r="R5240" t="s">
        <v>370</v>
      </c>
      <c r="S5240" t="s">
        <v>323</v>
      </c>
      <c r="T5240">
        <v>7.6</v>
      </c>
      <c r="W5240" t="s">
        <v>330</v>
      </c>
      <c r="Y5240" s="42">
        <v>44047</v>
      </c>
    </row>
    <row r="5241" spans="14:25">
      <c r="N5241" s="42">
        <v>44042</v>
      </c>
      <c r="O5241" t="s">
        <v>324</v>
      </c>
      <c r="P5241" s="42">
        <v>44042</v>
      </c>
      <c r="Q5241" t="s">
        <v>324</v>
      </c>
      <c r="R5241" t="s">
        <v>370</v>
      </c>
      <c r="S5241" t="s">
        <v>323</v>
      </c>
      <c r="T5241">
        <v>7.6</v>
      </c>
      <c r="W5241" t="s">
        <v>330</v>
      </c>
      <c r="Y5241" s="42">
        <v>44047</v>
      </c>
    </row>
    <row r="5242" spans="14:25">
      <c r="N5242" s="42">
        <v>44041</v>
      </c>
      <c r="O5242" t="s">
        <v>328</v>
      </c>
      <c r="P5242" s="42">
        <v>44041</v>
      </c>
      <c r="Q5242" t="s">
        <v>328</v>
      </c>
      <c r="R5242" t="s">
        <v>370</v>
      </c>
      <c r="S5242" t="s">
        <v>323</v>
      </c>
      <c r="T5242">
        <v>7.6</v>
      </c>
      <c r="W5242" t="s">
        <v>330</v>
      </c>
      <c r="Y5242" s="42">
        <v>44047</v>
      </c>
    </row>
    <row r="5243" spans="14:25">
      <c r="N5243" s="42">
        <v>44040</v>
      </c>
      <c r="O5243" t="s">
        <v>333</v>
      </c>
      <c r="P5243" s="42">
        <v>44040</v>
      </c>
      <c r="Q5243" t="s">
        <v>333</v>
      </c>
      <c r="R5243" t="s">
        <v>370</v>
      </c>
      <c r="S5243" t="s">
        <v>323</v>
      </c>
      <c r="T5243">
        <v>7.6</v>
      </c>
      <c r="W5243" t="s">
        <v>330</v>
      </c>
      <c r="Y5243" s="42">
        <v>44047</v>
      </c>
    </row>
    <row r="5244" spans="14:25">
      <c r="N5244" s="42">
        <v>44037</v>
      </c>
      <c r="O5244" t="s">
        <v>359</v>
      </c>
      <c r="P5244" s="42">
        <v>44037</v>
      </c>
      <c r="Q5244" t="s">
        <v>359</v>
      </c>
      <c r="R5244" t="s">
        <v>370</v>
      </c>
      <c r="S5244" t="s">
        <v>323</v>
      </c>
      <c r="T5244">
        <v>7.6</v>
      </c>
      <c r="W5244" t="s">
        <v>330</v>
      </c>
      <c r="Y5244" s="42">
        <v>44047</v>
      </c>
    </row>
    <row r="5245" spans="14:25">
      <c r="N5245" s="42">
        <v>44036</v>
      </c>
      <c r="O5245" t="s">
        <v>346</v>
      </c>
      <c r="P5245" s="42">
        <v>44036</v>
      </c>
      <c r="Q5245" t="s">
        <v>346</v>
      </c>
      <c r="R5245" t="s">
        <v>370</v>
      </c>
      <c r="S5245" t="s">
        <v>323</v>
      </c>
      <c r="T5245">
        <v>7.6</v>
      </c>
      <c r="W5245" t="s">
        <v>330</v>
      </c>
      <c r="Y5245" s="42">
        <v>44047</v>
      </c>
    </row>
    <row r="5246" spans="14:25">
      <c r="N5246" s="42">
        <v>44035</v>
      </c>
      <c r="O5246" t="s">
        <v>324</v>
      </c>
      <c r="P5246" s="42">
        <v>44035</v>
      </c>
      <c r="Q5246" t="s">
        <v>324</v>
      </c>
      <c r="R5246" t="s">
        <v>370</v>
      </c>
      <c r="S5246" t="s">
        <v>323</v>
      </c>
      <c r="T5246">
        <v>7.6</v>
      </c>
      <c r="W5246" t="s">
        <v>330</v>
      </c>
      <c r="Y5246" s="42">
        <v>44047</v>
      </c>
    </row>
    <row r="5247" spans="14:25">
      <c r="N5247" s="42">
        <v>44034</v>
      </c>
      <c r="O5247" t="s">
        <v>328</v>
      </c>
      <c r="P5247" s="42">
        <v>44034</v>
      </c>
      <c r="Q5247" t="s">
        <v>328</v>
      </c>
      <c r="R5247" t="s">
        <v>370</v>
      </c>
      <c r="S5247" t="s">
        <v>323</v>
      </c>
      <c r="T5247">
        <v>7.6</v>
      </c>
      <c r="W5247" t="s">
        <v>330</v>
      </c>
      <c r="Y5247" s="42">
        <v>44047</v>
      </c>
    </row>
    <row r="5248" spans="14:25">
      <c r="N5248" s="42">
        <v>44033</v>
      </c>
      <c r="O5248" t="s">
        <v>333</v>
      </c>
      <c r="P5248" s="42">
        <v>44033</v>
      </c>
      <c r="Q5248" t="s">
        <v>333</v>
      </c>
      <c r="R5248" t="s">
        <v>370</v>
      </c>
      <c r="S5248" t="s">
        <v>323</v>
      </c>
      <c r="T5248">
        <v>7.6</v>
      </c>
      <c r="W5248" t="s">
        <v>330</v>
      </c>
      <c r="Y5248" s="42">
        <v>44033</v>
      </c>
    </row>
    <row r="5249" spans="14:25">
      <c r="N5249" s="42">
        <v>44030</v>
      </c>
      <c r="O5249" t="s">
        <v>359</v>
      </c>
      <c r="P5249" s="42">
        <v>44030</v>
      </c>
      <c r="Q5249" t="s">
        <v>359</v>
      </c>
      <c r="R5249" t="s">
        <v>370</v>
      </c>
      <c r="S5249" t="s">
        <v>323</v>
      </c>
      <c r="T5249">
        <v>7.6</v>
      </c>
      <c r="W5249" t="s">
        <v>330</v>
      </c>
      <c r="Y5249" s="42">
        <v>44033</v>
      </c>
    </row>
    <row r="5250" spans="14:25">
      <c r="N5250" s="42">
        <v>44029</v>
      </c>
      <c r="O5250" t="s">
        <v>346</v>
      </c>
      <c r="P5250" s="42">
        <v>44029</v>
      </c>
      <c r="Q5250" t="s">
        <v>346</v>
      </c>
      <c r="R5250" t="s">
        <v>370</v>
      </c>
      <c r="S5250" t="s">
        <v>323</v>
      </c>
      <c r="T5250">
        <v>7.6</v>
      </c>
      <c r="W5250" t="s">
        <v>330</v>
      </c>
      <c r="Y5250" s="42">
        <v>44033</v>
      </c>
    </row>
    <row r="5251" spans="14:25">
      <c r="N5251" s="42">
        <v>44028</v>
      </c>
      <c r="O5251" t="s">
        <v>324</v>
      </c>
      <c r="P5251" s="42">
        <v>44028</v>
      </c>
      <c r="Q5251" t="s">
        <v>324</v>
      </c>
      <c r="R5251" t="s">
        <v>370</v>
      </c>
      <c r="S5251" t="s">
        <v>323</v>
      </c>
      <c r="T5251">
        <v>7.6</v>
      </c>
      <c r="W5251" t="s">
        <v>330</v>
      </c>
      <c r="Y5251" s="42">
        <v>44033</v>
      </c>
    </row>
    <row r="5252" spans="14:25">
      <c r="N5252" s="42">
        <v>44027</v>
      </c>
      <c r="O5252" t="s">
        <v>328</v>
      </c>
      <c r="P5252" s="42">
        <v>44027</v>
      </c>
      <c r="Q5252" t="s">
        <v>328</v>
      </c>
      <c r="R5252" t="s">
        <v>370</v>
      </c>
      <c r="S5252" t="s">
        <v>323</v>
      </c>
      <c r="T5252">
        <v>7.6</v>
      </c>
      <c r="W5252" t="s">
        <v>330</v>
      </c>
      <c r="Y5252" s="42">
        <v>44033</v>
      </c>
    </row>
    <row r="5253" spans="14:25">
      <c r="N5253" s="42">
        <v>44026</v>
      </c>
      <c r="O5253" t="s">
        <v>333</v>
      </c>
      <c r="P5253" s="42">
        <v>44026</v>
      </c>
      <c r="Q5253" t="s">
        <v>333</v>
      </c>
      <c r="R5253" t="s">
        <v>370</v>
      </c>
      <c r="S5253" t="s">
        <v>323</v>
      </c>
      <c r="T5253">
        <v>7.6</v>
      </c>
      <c r="W5253" t="s">
        <v>330</v>
      </c>
      <c r="Y5253" s="42">
        <v>44033</v>
      </c>
    </row>
    <row r="5254" spans="14:25">
      <c r="N5254" s="42">
        <v>44023</v>
      </c>
      <c r="O5254" t="s">
        <v>359</v>
      </c>
      <c r="P5254" s="42">
        <v>44023</v>
      </c>
      <c r="Q5254" t="s">
        <v>359</v>
      </c>
      <c r="R5254" t="s">
        <v>370</v>
      </c>
      <c r="S5254" t="s">
        <v>323</v>
      </c>
      <c r="T5254">
        <v>7.6</v>
      </c>
      <c r="W5254" t="s">
        <v>330</v>
      </c>
      <c r="Y5254" s="42">
        <v>44033</v>
      </c>
    </row>
    <row r="5255" spans="14:25">
      <c r="N5255" s="42">
        <v>44022</v>
      </c>
      <c r="O5255" t="s">
        <v>346</v>
      </c>
      <c r="P5255" s="42">
        <v>44022</v>
      </c>
      <c r="Q5255" t="s">
        <v>346</v>
      </c>
      <c r="R5255" t="s">
        <v>370</v>
      </c>
      <c r="S5255" t="s">
        <v>323</v>
      </c>
      <c r="T5255">
        <v>7.6</v>
      </c>
      <c r="W5255" t="s">
        <v>330</v>
      </c>
      <c r="Y5255" s="42">
        <v>44033</v>
      </c>
    </row>
    <row r="5256" spans="14:25">
      <c r="N5256" s="42">
        <v>44021</v>
      </c>
      <c r="O5256" t="s">
        <v>324</v>
      </c>
      <c r="P5256" s="42">
        <v>44021</v>
      </c>
      <c r="Q5256" t="s">
        <v>324</v>
      </c>
      <c r="R5256" t="s">
        <v>370</v>
      </c>
      <c r="S5256" t="s">
        <v>323</v>
      </c>
      <c r="T5256">
        <v>7.6</v>
      </c>
      <c r="W5256" t="s">
        <v>330</v>
      </c>
      <c r="Y5256" s="42">
        <v>44033</v>
      </c>
    </row>
    <row r="5257" spans="14:25">
      <c r="N5257" s="42">
        <v>44020</v>
      </c>
      <c r="O5257" t="s">
        <v>328</v>
      </c>
      <c r="P5257" s="42">
        <v>44020</v>
      </c>
      <c r="Q5257" t="s">
        <v>328</v>
      </c>
      <c r="R5257" t="s">
        <v>370</v>
      </c>
      <c r="S5257" t="s">
        <v>323</v>
      </c>
      <c r="T5257">
        <v>7.6</v>
      </c>
      <c r="W5257" t="s">
        <v>330</v>
      </c>
      <c r="Y5257" s="42">
        <v>44033</v>
      </c>
    </row>
    <row r="5258" spans="14:25">
      <c r="N5258" s="42">
        <v>44019</v>
      </c>
      <c r="O5258" t="s">
        <v>333</v>
      </c>
      <c r="P5258" s="42">
        <v>44019</v>
      </c>
      <c r="Q5258" t="s">
        <v>333</v>
      </c>
      <c r="R5258" t="s">
        <v>370</v>
      </c>
      <c r="S5258" t="s">
        <v>323</v>
      </c>
      <c r="T5258">
        <v>7.6</v>
      </c>
      <c r="W5258" t="s">
        <v>330</v>
      </c>
      <c r="Y5258" s="42">
        <v>44019</v>
      </c>
    </row>
    <row r="5259" spans="14:25">
      <c r="N5259" s="42">
        <v>44016</v>
      </c>
      <c r="O5259" t="s">
        <v>359</v>
      </c>
      <c r="P5259" s="42">
        <v>44016</v>
      </c>
      <c r="Q5259" t="s">
        <v>359</v>
      </c>
      <c r="R5259" t="s">
        <v>370</v>
      </c>
      <c r="S5259" t="s">
        <v>323</v>
      </c>
      <c r="T5259">
        <v>7.6</v>
      </c>
      <c r="W5259" t="s">
        <v>330</v>
      </c>
      <c r="Y5259" s="42">
        <v>44019</v>
      </c>
    </row>
    <row r="5260" spans="14:25">
      <c r="N5260" s="42">
        <v>44015</v>
      </c>
      <c r="O5260" t="s">
        <v>346</v>
      </c>
      <c r="P5260" s="42">
        <v>44015</v>
      </c>
      <c r="Q5260" t="s">
        <v>346</v>
      </c>
      <c r="R5260" t="s">
        <v>370</v>
      </c>
      <c r="S5260" t="s">
        <v>323</v>
      </c>
      <c r="T5260">
        <v>7.6</v>
      </c>
      <c r="W5260" t="s">
        <v>330</v>
      </c>
      <c r="Y5260" s="42">
        <v>44019</v>
      </c>
    </row>
    <row r="5261" spans="14:25">
      <c r="N5261" s="42">
        <v>44014</v>
      </c>
      <c r="O5261" t="s">
        <v>324</v>
      </c>
      <c r="P5261" s="42">
        <v>44014</v>
      </c>
      <c r="Q5261" t="s">
        <v>324</v>
      </c>
      <c r="R5261" t="s">
        <v>370</v>
      </c>
      <c r="S5261" t="s">
        <v>323</v>
      </c>
      <c r="T5261">
        <v>7.6</v>
      </c>
      <c r="W5261" t="s">
        <v>330</v>
      </c>
      <c r="Y5261" s="42">
        <v>44019</v>
      </c>
    </row>
    <row r="5262" spans="14:25">
      <c r="N5262" s="42">
        <v>44013</v>
      </c>
      <c r="O5262" t="s">
        <v>328</v>
      </c>
      <c r="P5262" s="42">
        <v>44013</v>
      </c>
      <c r="Q5262" t="s">
        <v>328</v>
      </c>
      <c r="R5262" t="s">
        <v>370</v>
      </c>
      <c r="S5262" t="s">
        <v>323</v>
      </c>
      <c r="T5262">
        <v>7.6</v>
      </c>
      <c r="W5262" t="s">
        <v>330</v>
      </c>
      <c r="Y5262" s="42">
        <v>44019</v>
      </c>
    </row>
    <row r="5263" spans="14:25">
      <c r="N5263" s="42">
        <v>44012</v>
      </c>
      <c r="O5263" t="s">
        <v>333</v>
      </c>
      <c r="P5263" s="42">
        <v>44012</v>
      </c>
      <c r="Q5263" t="s">
        <v>333</v>
      </c>
      <c r="R5263" t="s">
        <v>370</v>
      </c>
      <c r="S5263" t="s">
        <v>323</v>
      </c>
      <c r="T5263">
        <v>7.6</v>
      </c>
      <c r="W5263" t="s">
        <v>330</v>
      </c>
      <c r="Y5263" s="42">
        <v>44019</v>
      </c>
    </row>
    <row r="5264" spans="14:25">
      <c r="N5264" s="42">
        <v>44009</v>
      </c>
      <c r="O5264" t="s">
        <v>359</v>
      </c>
      <c r="P5264" s="42">
        <v>44009</v>
      </c>
      <c r="Q5264" t="s">
        <v>359</v>
      </c>
      <c r="R5264" t="s">
        <v>370</v>
      </c>
      <c r="S5264" t="s">
        <v>323</v>
      </c>
      <c r="T5264">
        <v>7.6</v>
      </c>
      <c r="W5264" t="s">
        <v>330</v>
      </c>
      <c r="Y5264" s="42">
        <v>44019</v>
      </c>
    </row>
    <row r="5265" spans="14:25">
      <c r="N5265" s="42">
        <v>44008</v>
      </c>
      <c r="O5265" t="s">
        <v>346</v>
      </c>
      <c r="P5265" s="42">
        <v>44008</v>
      </c>
      <c r="Q5265" t="s">
        <v>346</v>
      </c>
      <c r="R5265" t="s">
        <v>370</v>
      </c>
      <c r="S5265" t="s">
        <v>323</v>
      </c>
      <c r="T5265">
        <v>7.6</v>
      </c>
      <c r="W5265" t="s">
        <v>330</v>
      </c>
      <c r="Y5265" s="42">
        <v>44019</v>
      </c>
    </row>
    <row r="5266" spans="14:25">
      <c r="N5266" s="42">
        <v>44007</v>
      </c>
      <c r="O5266" t="s">
        <v>324</v>
      </c>
      <c r="P5266" s="42">
        <v>44007</v>
      </c>
      <c r="Q5266" t="s">
        <v>324</v>
      </c>
      <c r="R5266" t="s">
        <v>370</v>
      </c>
      <c r="S5266" t="s">
        <v>323</v>
      </c>
      <c r="T5266">
        <v>7.6</v>
      </c>
      <c r="W5266" t="s">
        <v>330</v>
      </c>
      <c r="Y5266" s="42">
        <v>44019</v>
      </c>
    </row>
    <row r="5267" spans="14:25">
      <c r="N5267" s="42">
        <v>44006</v>
      </c>
      <c r="O5267" t="s">
        <v>328</v>
      </c>
      <c r="P5267" s="42">
        <v>44006</v>
      </c>
      <c r="Q5267" t="s">
        <v>328</v>
      </c>
      <c r="R5267" t="s">
        <v>370</v>
      </c>
      <c r="S5267" t="s">
        <v>323</v>
      </c>
      <c r="T5267">
        <v>7.6</v>
      </c>
      <c r="W5267" t="s">
        <v>330</v>
      </c>
      <c r="Y5267" s="42">
        <v>44019</v>
      </c>
    </row>
    <row r="5268" spans="14:25">
      <c r="N5268" s="42">
        <v>44005</v>
      </c>
      <c r="O5268" t="s">
        <v>333</v>
      </c>
      <c r="P5268" s="42">
        <v>44005</v>
      </c>
      <c r="Q5268" t="s">
        <v>333</v>
      </c>
      <c r="R5268" t="s">
        <v>370</v>
      </c>
      <c r="S5268" t="s">
        <v>323</v>
      </c>
      <c r="T5268">
        <v>7.6</v>
      </c>
      <c r="W5268" t="s">
        <v>330</v>
      </c>
      <c r="Y5268" s="42">
        <v>44005</v>
      </c>
    </row>
    <row r="5269" spans="14:25">
      <c r="N5269" s="42">
        <v>44002</v>
      </c>
      <c r="O5269" t="s">
        <v>359</v>
      </c>
      <c r="P5269" s="42">
        <v>44002</v>
      </c>
      <c r="Q5269" t="s">
        <v>359</v>
      </c>
      <c r="R5269" t="s">
        <v>370</v>
      </c>
      <c r="S5269" t="s">
        <v>323</v>
      </c>
      <c r="T5269">
        <v>7.6</v>
      </c>
      <c r="W5269" t="s">
        <v>330</v>
      </c>
      <c r="Y5269" s="42">
        <v>44005</v>
      </c>
    </row>
    <row r="5270" spans="14:25">
      <c r="N5270" s="42">
        <v>44001</v>
      </c>
      <c r="O5270" t="s">
        <v>346</v>
      </c>
      <c r="P5270" s="42">
        <v>44001</v>
      </c>
      <c r="Q5270" t="s">
        <v>346</v>
      </c>
      <c r="R5270" t="s">
        <v>370</v>
      </c>
      <c r="S5270" t="s">
        <v>323</v>
      </c>
      <c r="T5270">
        <v>7.6</v>
      </c>
      <c r="W5270" t="s">
        <v>330</v>
      </c>
      <c r="Y5270" s="42">
        <v>44005</v>
      </c>
    </row>
    <row r="5271" spans="14:25">
      <c r="N5271" s="42">
        <v>44000</v>
      </c>
      <c r="O5271" t="s">
        <v>324</v>
      </c>
      <c r="P5271" s="42">
        <v>44000</v>
      </c>
      <c r="Q5271" t="s">
        <v>324</v>
      </c>
      <c r="R5271" t="s">
        <v>370</v>
      </c>
      <c r="S5271" t="s">
        <v>323</v>
      </c>
      <c r="T5271">
        <v>7.6</v>
      </c>
      <c r="W5271" t="s">
        <v>330</v>
      </c>
      <c r="Y5271" s="42">
        <v>44005</v>
      </c>
    </row>
    <row r="5272" spans="14:25">
      <c r="N5272" s="42">
        <v>43999</v>
      </c>
      <c r="O5272" t="s">
        <v>328</v>
      </c>
      <c r="P5272" s="42">
        <v>43999</v>
      </c>
      <c r="Q5272" t="s">
        <v>328</v>
      </c>
      <c r="R5272" t="s">
        <v>370</v>
      </c>
      <c r="S5272" t="s">
        <v>323</v>
      </c>
      <c r="T5272">
        <v>7.6</v>
      </c>
      <c r="W5272" t="s">
        <v>330</v>
      </c>
      <c r="Y5272" s="42">
        <v>44005</v>
      </c>
    </row>
    <row r="5273" spans="14:25">
      <c r="N5273" s="42">
        <v>43998</v>
      </c>
      <c r="O5273" t="s">
        <v>333</v>
      </c>
      <c r="P5273" s="42">
        <v>43998</v>
      </c>
      <c r="Q5273" t="s">
        <v>333</v>
      </c>
      <c r="R5273" t="s">
        <v>370</v>
      </c>
      <c r="S5273" t="s">
        <v>323</v>
      </c>
      <c r="T5273">
        <v>7.6</v>
      </c>
      <c r="W5273" t="s">
        <v>330</v>
      </c>
      <c r="Y5273" s="42">
        <v>44005</v>
      </c>
    </row>
    <row r="5274" spans="14:25">
      <c r="N5274" s="42">
        <v>43995</v>
      </c>
      <c r="O5274" t="s">
        <v>359</v>
      </c>
      <c r="P5274" s="42">
        <v>43995</v>
      </c>
      <c r="Q5274" t="s">
        <v>359</v>
      </c>
      <c r="R5274" t="s">
        <v>370</v>
      </c>
      <c r="S5274" t="s">
        <v>323</v>
      </c>
      <c r="T5274">
        <v>7.6</v>
      </c>
      <c r="W5274" t="s">
        <v>330</v>
      </c>
      <c r="Y5274" s="42">
        <v>44005</v>
      </c>
    </row>
    <row r="5275" spans="14:25">
      <c r="N5275" s="42">
        <v>43994</v>
      </c>
      <c r="O5275" t="s">
        <v>346</v>
      </c>
      <c r="P5275" s="42">
        <v>43994</v>
      </c>
      <c r="Q5275" t="s">
        <v>346</v>
      </c>
      <c r="R5275" t="s">
        <v>370</v>
      </c>
      <c r="S5275" t="s">
        <v>323</v>
      </c>
      <c r="T5275">
        <v>7.6</v>
      </c>
      <c r="W5275" t="s">
        <v>330</v>
      </c>
      <c r="Y5275" s="42">
        <v>44005</v>
      </c>
    </row>
    <row r="5276" spans="14:25">
      <c r="N5276" s="42">
        <v>43993</v>
      </c>
      <c r="O5276" t="s">
        <v>324</v>
      </c>
      <c r="P5276" s="42">
        <v>43993</v>
      </c>
      <c r="Q5276" t="s">
        <v>324</v>
      </c>
      <c r="R5276" t="s">
        <v>370</v>
      </c>
      <c r="S5276" t="s">
        <v>323</v>
      </c>
      <c r="T5276">
        <v>7.6</v>
      </c>
      <c r="W5276" t="s">
        <v>330</v>
      </c>
      <c r="Y5276" s="42">
        <v>44005</v>
      </c>
    </row>
    <row r="5277" spans="14:25">
      <c r="N5277" s="42">
        <v>43992</v>
      </c>
      <c r="O5277" t="s">
        <v>328</v>
      </c>
      <c r="P5277" s="42">
        <v>43992</v>
      </c>
      <c r="Q5277" t="s">
        <v>328</v>
      </c>
      <c r="R5277" t="s">
        <v>370</v>
      </c>
      <c r="S5277" t="s">
        <v>323</v>
      </c>
      <c r="T5277">
        <v>7.6</v>
      </c>
      <c r="W5277" t="s">
        <v>330</v>
      </c>
      <c r="Y5277" s="42">
        <v>44005</v>
      </c>
    </row>
    <row r="5278" spans="14:25">
      <c r="N5278" s="42">
        <v>43991</v>
      </c>
      <c r="O5278" t="s">
        <v>333</v>
      </c>
      <c r="P5278" s="42">
        <v>43991</v>
      </c>
      <c r="Q5278" t="s">
        <v>333</v>
      </c>
      <c r="R5278" t="s">
        <v>370</v>
      </c>
      <c r="S5278" t="s">
        <v>323</v>
      </c>
      <c r="T5278">
        <v>7.6</v>
      </c>
      <c r="W5278" t="s">
        <v>330</v>
      </c>
      <c r="Y5278" s="42">
        <v>43991</v>
      </c>
    </row>
    <row r="5279" spans="14:25">
      <c r="N5279" s="42">
        <v>43988</v>
      </c>
      <c r="O5279" t="s">
        <v>359</v>
      </c>
      <c r="P5279" s="42">
        <v>43988</v>
      </c>
      <c r="Q5279" t="s">
        <v>359</v>
      </c>
      <c r="R5279" t="s">
        <v>370</v>
      </c>
      <c r="S5279" t="s">
        <v>323</v>
      </c>
      <c r="T5279">
        <v>7.6</v>
      </c>
      <c r="W5279" t="s">
        <v>330</v>
      </c>
      <c r="Y5279" s="42">
        <v>43991</v>
      </c>
    </row>
    <row r="5280" spans="14:25">
      <c r="N5280" s="42">
        <v>43987</v>
      </c>
      <c r="O5280" t="s">
        <v>346</v>
      </c>
      <c r="P5280" s="42">
        <v>43987</v>
      </c>
      <c r="Q5280" t="s">
        <v>346</v>
      </c>
      <c r="R5280" t="s">
        <v>370</v>
      </c>
      <c r="S5280" t="s">
        <v>323</v>
      </c>
      <c r="T5280">
        <v>7.6</v>
      </c>
      <c r="W5280" t="s">
        <v>330</v>
      </c>
      <c r="Y5280" s="42">
        <v>43991</v>
      </c>
    </row>
    <row r="5281" spans="14:25">
      <c r="N5281" s="42">
        <v>43986</v>
      </c>
      <c r="O5281" t="s">
        <v>324</v>
      </c>
      <c r="P5281" s="42">
        <v>43986</v>
      </c>
      <c r="Q5281" t="s">
        <v>324</v>
      </c>
      <c r="R5281" t="s">
        <v>370</v>
      </c>
      <c r="S5281" t="s">
        <v>323</v>
      </c>
      <c r="T5281">
        <v>7.6</v>
      </c>
      <c r="W5281" t="s">
        <v>330</v>
      </c>
      <c r="Y5281" s="42">
        <v>43991</v>
      </c>
    </row>
    <row r="5282" spans="14:25">
      <c r="N5282" s="42">
        <v>43985</v>
      </c>
      <c r="O5282" t="s">
        <v>328</v>
      </c>
      <c r="P5282" s="42">
        <v>43985</v>
      </c>
      <c r="Q5282" t="s">
        <v>328</v>
      </c>
      <c r="R5282" t="s">
        <v>370</v>
      </c>
      <c r="S5282" t="s">
        <v>323</v>
      </c>
      <c r="T5282">
        <v>7.6</v>
      </c>
      <c r="W5282" t="s">
        <v>330</v>
      </c>
      <c r="Y5282" s="42">
        <v>43991</v>
      </c>
    </row>
    <row r="5283" spans="14:25">
      <c r="N5283" s="42">
        <v>43984</v>
      </c>
      <c r="O5283" t="s">
        <v>333</v>
      </c>
      <c r="P5283" s="42">
        <v>43984</v>
      </c>
      <c r="Q5283" t="s">
        <v>333</v>
      </c>
      <c r="R5283" t="s">
        <v>370</v>
      </c>
      <c r="S5283" t="s">
        <v>323</v>
      </c>
      <c r="T5283">
        <v>7.6</v>
      </c>
      <c r="W5283" t="s">
        <v>330</v>
      </c>
      <c r="Y5283" s="42">
        <v>43991</v>
      </c>
    </row>
    <row r="5284" spans="14:25">
      <c r="N5284" s="42">
        <v>43981</v>
      </c>
      <c r="O5284" t="s">
        <v>359</v>
      </c>
      <c r="P5284" s="42">
        <v>43981</v>
      </c>
      <c r="Q5284" t="s">
        <v>359</v>
      </c>
      <c r="R5284" t="s">
        <v>370</v>
      </c>
      <c r="S5284" t="s">
        <v>323</v>
      </c>
      <c r="T5284">
        <v>7.6</v>
      </c>
      <c r="W5284" t="s">
        <v>330</v>
      </c>
      <c r="Y5284" s="42">
        <v>43991</v>
      </c>
    </row>
    <row r="5285" spans="14:25">
      <c r="N5285" s="42">
        <v>43980</v>
      </c>
      <c r="O5285" t="s">
        <v>346</v>
      </c>
      <c r="P5285" s="42">
        <v>43980</v>
      </c>
      <c r="Q5285" t="s">
        <v>346</v>
      </c>
      <c r="R5285" t="s">
        <v>370</v>
      </c>
      <c r="S5285" t="s">
        <v>323</v>
      </c>
      <c r="T5285">
        <v>7.6</v>
      </c>
      <c r="W5285" t="s">
        <v>330</v>
      </c>
      <c r="Y5285" s="42">
        <v>43991</v>
      </c>
    </row>
    <row r="5286" spans="14:25">
      <c r="N5286" s="42">
        <v>43979</v>
      </c>
      <c r="O5286" t="s">
        <v>324</v>
      </c>
      <c r="P5286" s="42">
        <v>43979</v>
      </c>
      <c r="Q5286" t="s">
        <v>324</v>
      </c>
      <c r="R5286" t="s">
        <v>370</v>
      </c>
      <c r="S5286" t="s">
        <v>323</v>
      </c>
      <c r="T5286">
        <v>7.6</v>
      </c>
      <c r="W5286" t="s">
        <v>330</v>
      </c>
      <c r="Y5286" s="42">
        <v>43991</v>
      </c>
    </row>
    <row r="5287" spans="14:25">
      <c r="N5287" s="42">
        <v>43978</v>
      </c>
      <c r="O5287" t="s">
        <v>328</v>
      </c>
      <c r="P5287" s="42">
        <v>43978</v>
      </c>
      <c r="Q5287" t="s">
        <v>328</v>
      </c>
      <c r="R5287" t="s">
        <v>370</v>
      </c>
      <c r="S5287" t="s">
        <v>323</v>
      </c>
      <c r="T5287">
        <v>7.6</v>
      </c>
      <c r="W5287" t="s">
        <v>330</v>
      </c>
      <c r="Y5287" s="42">
        <v>43991</v>
      </c>
    </row>
    <row r="5288" spans="14:25">
      <c r="N5288" s="42">
        <v>43977</v>
      </c>
      <c r="O5288" t="s">
        <v>333</v>
      </c>
      <c r="P5288" s="42">
        <v>43977</v>
      </c>
      <c r="Q5288" t="s">
        <v>333</v>
      </c>
      <c r="R5288" t="s">
        <v>370</v>
      </c>
      <c r="S5288" t="s">
        <v>323</v>
      </c>
      <c r="T5288">
        <v>7.6</v>
      </c>
      <c r="W5288" t="s">
        <v>330</v>
      </c>
      <c r="Y5288" s="42">
        <v>43977</v>
      </c>
    </row>
    <row r="5289" spans="14:25">
      <c r="N5289" s="42">
        <v>43974</v>
      </c>
      <c r="O5289" t="s">
        <v>359</v>
      </c>
      <c r="P5289" s="42">
        <v>43974</v>
      </c>
      <c r="Q5289" t="s">
        <v>359</v>
      </c>
      <c r="R5289" t="s">
        <v>370</v>
      </c>
      <c r="S5289" t="s">
        <v>323</v>
      </c>
      <c r="T5289">
        <v>7.6</v>
      </c>
      <c r="W5289" t="s">
        <v>330</v>
      </c>
      <c r="Y5289" s="42">
        <v>43977</v>
      </c>
    </row>
    <row r="5290" spans="14:25">
      <c r="N5290" s="42">
        <v>43973</v>
      </c>
      <c r="O5290" t="s">
        <v>346</v>
      </c>
      <c r="P5290" s="42">
        <v>43973</v>
      </c>
      <c r="Q5290" t="s">
        <v>346</v>
      </c>
      <c r="R5290" t="s">
        <v>370</v>
      </c>
      <c r="S5290" t="s">
        <v>323</v>
      </c>
      <c r="T5290">
        <v>7.6</v>
      </c>
      <c r="W5290" t="s">
        <v>330</v>
      </c>
      <c r="Y5290" s="42">
        <v>43977</v>
      </c>
    </row>
    <row r="5291" spans="14:25">
      <c r="N5291" s="42">
        <v>43972</v>
      </c>
      <c r="O5291" t="s">
        <v>324</v>
      </c>
      <c r="P5291" s="42">
        <v>43972</v>
      </c>
      <c r="Q5291" t="s">
        <v>324</v>
      </c>
      <c r="R5291" t="s">
        <v>370</v>
      </c>
      <c r="S5291" t="s">
        <v>323</v>
      </c>
      <c r="T5291">
        <v>7.6</v>
      </c>
      <c r="W5291" t="s">
        <v>330</v>
      </c>
      <c r="Y5291" s="42">
        <v>43977</v>
      </c>
    </row>
    <row r="5292" spans="14:25">
      <c r="N5292" s="42">
        <v>43971</v>
      </c>
      <c r="O5292" t="s">
        <v>328</v>
      </c>
      <c r="P5292" s="42">
        <v>43971</v>
      </c>
      <c r="Q5292" t="s">
        <v>328</v>
      </c>
      <c r="R5292" t="s">
        <v>370</v>
      </c>
      <c r="S5292" t="s">
        <v>323</v>
      </c>
      <c r="T5292">
        <v>7.6</v>
      </c>
      <c r="W5292" t="s">
        <v>330</v>
      </c>
      <c r="Y5292" s="42">
        <v>43977</v>
      </c>
    </row>
    <row r="5293" spans="14:25">
      <c r="N5293" s="42">
        <v>43970</v>
      </c>
      <c r="O5293" t="s">
        <v>333</v>
      </c>
      <c r="P5293" s="42">
        <v>43970</v>
      </c>
      <c r="Q5293" t="s">
        <v>333</v>
      </c>
      <c r="R5293" t="s">
        <v>370</v>
      </c>
      <c r="S5293" t="s">
        <v>323</v>
      </c>
      <c r="T5293">
        <v>7.6</v>
      </c>
      <c r="W5293" t="s">
        <v>330</v>
      </c>
      <c r="Y5293" s="42">
        <v>43977</v>
      </c>
    </row>
    <row r="5294" spans="14:25">
      <c r="N5294" s="42">
        <v>43967</v>
      </c>
      <c r="O5294" t="s">
        <v>359</v>
      </c>
      <c r="P5294" s="42">
        <v>43967</v>
      </c>
      <c r="Q5294" t="s">
        <v>359</v>
      </c>
      <c r="R5294" t="s">
        <v>370</v>
      </c>
      <c r="S5294" t="s">
        <v>323</v>
      </c>
      <c r="T5294">
        <v>7.6</v>
      </c>
      <c r="W5294" t="s">
        <v>330</v>
      </c>
      <c r="Y5294" s="42">
        <v>43977</v>
      </c>
    </row>
    <row r="5295" spans="14:25">
      <c r="N5295" s="42">
        <v>43966</v>
      </c>
      <c r="O5295" t="s">
        <v>346</v>
      </c>
      <c r="P5295" s="42">
        <v>43966</v>
      </c>
      <c r="Q5295" t="s">
        <v>346</v>
      </c>
      <c r="R5295" t="s">
        <v>370</v>
      </c>
      <c r="S5295" t="s">
        <v>323</v>
      </c>
      <c r="T5295">
        <v>7.6</v>
      </c>
      <c r="W5295" t="s">
        <v>330</v>
      </c>
      <c r="Y5295" s="42">
        <v>43977</v>
      </c>
    </row>
    <row r="5296" spans="14:25">
      <c r="N5296" s="42">
        <v>43965</v>
      </c>
      <c r="O5296" t="s">
        <v>324</v>
      </c>
      <c r="P5296" s="42">
        <v>43965</v>
      </c>
      <c r="Q5296" t="s">
        <v>324</v>
      </c>
      <c r="R5296" t="s">
        <v>370</v>
      </c>
      <c r="S5296" t="s">
        <v>323</v>
      </c>
      <c r="T5296">
        <v>7.6</v>
      </c>
      <c r="W5296" t="s">
        <v>330</v>
      </c>
      <c r="Y5296" s="42">
        <v>43977</v>
      </c>
    </row>
    <row r="5297" spans="14:25">
      <c r="N5297" s="42">
        <v>43964</v>
      </c>
      <c r="O5297" t="s">
        <v>328</v>
      </c>
      <c r="P5297" s="42">
        <v>43964</v>
      </c>
      <c r="Q5297" t="s">
        <v>328</v>
      </c>
      <c r="R5297" t="s">
        <v>370</v>
      </c>
      <c r="S5297" t="s">
        <v>323</v>
      </c>
      <c r="T5297">
        <v>7.6</v>
      </c>
      <c r="W5297" t="s">
        <v>330</v>
      </c>
      <c r="Y5297" s="42">
        <v>43977</v>
      </c>
    </row>
    <row r="5298" spans="14:25">
      <c r="N5298" s="42">
        <v>43963</v>
      </c>
      <c r="O5298" t="s">
        <v>333</v>
      </c>
      <c r="P5298" s="42">
        <v>43963</v>
      </c>
      <c r="Q5298" t="s">
        <v>333</v>
      </c>
      <c r="R5298" t="s">
        <v>370</v>
      </c>
      <c r="S5298" t="s">
        <v>323</v>
      </c>
      <c r="T5298">
        <v>7.6</v>
      </c>
      <c r="W5298" t="s">
        <v>330</v>
      </c>
      <c r="Y5298" s="42">
        <v>43963</v>
      </c>
    </row>
    <row r="5299" spans="14:25">
      <c r="N5299" s="42">
        <v>43960</v>
      </c>
      <c r="O5299" t="s">
        <v>359</v>
      </c>
      <c r="P5299" s="42">
        <v>43960</v>
      </c>
      <c r="Q5299" t="s">
        <v>359</v>
      </c>
      <c r="R5299" t="s">
        <v>370</v>
      </c>
      <c r="S5299" t="s">
        <v>323</v>
      </c>
      <c r="T5299">
        <v>7.6</v>
      </c>
      <c r="W5299" t="s">
        <v>330</v>
      </c>
      <c r="Y5299" s="42">
        <v>43963</v>
      </c>
    </row>
    <row r="5300" spans="14:25">
      <c r="N5300" s="42">
        <v>43959</v>
      </c>
      <c r="O5300" t="s">
        <v>346</v>
      </c>
      <c r="P5300" s="42">
        <v>43959</v>
      </c>
      <c r="Q5300" t="s">
        <v>346</v>
      </c>
      <c r="R5300" t="s">
        <v>370</v>
      </c>
      <c r="S5300" t="s">
        <v>323</v>
      </c>
      <c r="T5300">
        <v>7.6</v>
      </c>
      <c r="W5300" t="s">
        <v>330</v>
      </c>
      <c r="Y5300" s="42">
        <v>43963</v>
      </c>
    </row>
    <row r="5301" spans="14:25">
      <c r="N5301" s="42">
        <v>43958</v>
      </c>
      <c r="O5301" t="s">
        <v>324</v>
      </c>
      <c r="P5301" s="42">
        <v>43958</v>
      </c>
      <c r="Q5301" t="s">
        <v>324</v>
      </c>
      <c r="R5301" t="s">
        <v>370</v>
      </c>
      <c r="S5301" t="s">
        <v>323</v>
      </c>
      <c r="T5301">
        <v>7.6</v>
      </c>
      <c r="W5301" t="s">
        <v>330</v>
      </c>
      <c r="Y5301" s="42">
        <v>43963</v>
      </c>
    </row>
    <row r="5302" spans="14:25">
      <c r="N5302" s="42">
        <v>43957</v>
      </c>
      <c r="O5302" t="s">
        <v>328</v>
      </c>
      <c r="P5302" s="42">
        <v>43957</v>
      </c>
      <c r="Q5302" t="s">
        <v>328</v>
      </c>
      <c r="R5302" t="s">
        <v>370</v>
      </c>
      <c r="S5302" t="s">
        <v>323</v>
      </c>
      <c r="T5302">
        <v>7.6</v>
      </c>
      <c r="W5302" t="s">
        <v>330</v>
      </c>
      <c r="Y5302" s="42">
        <v>43963</v>
      </c>
    </row>
    <row r="5303" spans="14:25">
      <c r="N5303" s="42">
        <v>43956</v>
      </c>
      <c r="O5303" t="s">
        <v>333</v>
      </c>
      <c r="P5303" s="42">
        <v>43956</v>
      </c>
      <c r="Q5303" t="s">
        <v>333</v>
      </c>
      <c r="R5303" t="s">
        <v>370</v>
      </c>
      <c r="S5303" t="s">
        <v>323</v>
      </c>
      <c r="T5303">
        <v>7.6</v>
      </c>
      <c r="W5303" t="s">
        <v>330</v>
      </c>
      <c r="Y5303" s="42">
        <v>43963</v>
      </c>
    </row>
    <row r="5304" spans="14:25">
      <c r="N5304" s="42">
        <v>43953</v>
      </c>
      <c r="O5304" t="s">
        <v>359</v>
      </c>
      <c r="P5304" s="42">
        <v>43953</v>
      </c>
      <c r="Q5304" t="s">
        <v>359</v>
      </c>
      <c r="R5304" t="s">
        <v>370</v>
      </c>
      <c r="S5304" t="s">
        <v>323</v>
      </c>
      <c r="T5304">
        <v>7.6</v>
      </c>
      <c r="W5304" t="s">
        <v>330</v>
      </c>
      <c r="Y5304" s="42">
        <v>43963</v>
      </c>
    </row>
    <row r="5305" spans="14:25">
      <c r="N5305" s="42">
        <v>43952</v>
      </c>
      <c r="O5305" t="s">
        <v>346</v>
      </c>
      <c r="P5305" s="42">
        <v>43952</v>
      </c>
      <c r="Q5305" t="s">
        <v>346</v>
      </c>
      <c r="R5305" t="s">
        <v>370</v>
      </c>
      <c r="S5305" t="s">
        <v>323</v>
      </c>
      <c r="T5305">
        <v>7.6</v>
      </c>
      <c r="W5305" t="s">
        <v>330</v>
      </c>
      <c r="Y5305" s="42">
        <v>43963</v>
      </c>
    </row>
    <row r="5306" spans="14:25">
      <c r="N5306" s="42">
        <v>43951</v>
      </c>
      <c r="O5306" t="s">
        <v>324</v>
      </c>
      <c r="P5306" s="42">
        <v>43951</v>
      </c>
      <c r="Q5306" t="s">
        <v>324</v>
      </c>
      <c r="R5306" t="s">
        <v>370</v>
      </c>
      <c r="S5306" t="s">
        <v>323</v>
      </c>
      <c r="T5306">
        <v>7.6</v>
      </c>
      <c r="W5306" t="s">
        <v>330</v>
      </c>
      <c r="Y5306" s="42">
        <v>43963</v>
      </c>
    </row>
    <row r="5307" spans="14:25">
      <c r="N5307" s="42">
        <v>43950</v>
      </c>
      <c r="O5307" t="s">
        <v>328</v>
      </c>
      <c r="P5307" s="42">
        <v>43950</v>
      </c>
      <c r="Q5307" t="s">
        <v>328</v>
      </c>
      <c r="R5307" t="s">
        <v>370</v>
      </c>
      <c r="S5307" t="s">
        <v>323</v>
      </c>
      <c r="T5307">
        <v>7.6</v>
      </c>
      <c r="W5307" t="s">
        <v>330</v>
      </c>
      <c r="Y5307" s="42">
        <v>43963</v>
      </c>
    </row>
    <row r="5308" spans="14:25">
      <c r="N5308" s="42">
        <v>43949</v>
      </c>
      <c r="O5308" t="s">
        <v>333</v>
      </c>
      <c r="P5308" s="42">
        <v>43949</v>
      </c>
      <c r="Q5308" t="s">
        <v>333</v>
      </c>
      <c r="R5308" t="s">
        <v>370</v>
      </c>
      <c r="S5308" t="s">
        <v>323</v>
      </c>
      <c r="T5308">
        <v>7.6</v>
      </c>
      <c r="W5308" t="s">
        <v>330</v>
      </c>
      <c r="Y5308" s="42">
        <v>43949</v>
      </c>
    </row>
    <row r="5309" spans="14:25">
      <c r="N5309" s="42">
        <v>43946</v>
      </c>
      <c r="O5309" t="s">
        <v>359</v>
      </c>
      <c r="P5309" s="42">
        <v>43946</v>
      </c>
      <c r="Q5309" t="s">
        <v>359</v>
      </c>
      <c r="R5309" t="s">
        <v>370</v>
      </c>
      <c r="S5309" t="s">
        <v>323</v>
      </c>
      <c r="T5309">
        <v>7.6</v>
      </c>
      <c r="W5309" t="s">
        <v>330</v>
      </c>
      <c r="Y5309" s="42">
        <v>43949</v>
      </c>
    </row>
    <row r="5310" spans="14:25">
      <c r="N5310" s="42">
        <v>43945</v>
      </c>
      <c r="O5310" t="s">
        <v>346</v>
      </c>
      <c r="P5310" s="42">
        <v>43945</v>
      </c>
      <c r="Q5310" t="s">
        <v>346</v>
      </c>
      <c r="R5310" t="s">
        <v>370</v>
      </c>
      <c r="S5310" t="s">
        <v>323</v>
      </c>
      <c r="T5310">
        <v>7.6</v>
      </c>
      <c r="W5310" t="s">
        <v>330</v>
      </c>
      <c r="Y5310" s="42">
        <v>43949</v>
      </c>
    </row>
    <row r="5311" spans="14:25">
      <c r="N5311" s="42">
        <v>43944</v>
      </c>
      <c r="O5311" t="s">
        <v>324</v>
      </c>
      <c r="P5311" s="42">
        <v>43944</v>
      </c>
      <c r="Q5311" t="s">
        <v>324</v>
      </c>
      <c r="R5311" t="s">
        <v>370</v>
      </c>
      <c r="S5311" t="s">
        <v>323</v>
      </c>
      <c r="T5311">
        <v>7.6</v>
      </c>
      <c r="W5311" t="s">
        <v>330</v>
      </c>
      <c r="Y5311" s="42">
        <v>43949</v>
      </c>
    </row>
    <row r="5312" spans="14:25">
      <c r="N5312" s="42">
        <v>43943</v>
      </c>
      <c r="O5312" t="s">
        <v>328</v>
      </c>
      <c r="P5312" s="42">
        <v>43943</v>
      </c>
      <c r="Q5312" t="s">
        <v>328</v>
      </c>
      <c r="R5312" t="s">
        <v>370</v>
      </c>
      <c r="S5312" t="s">
        <v>323</v>
      </c>
      <c r="T5312">
        <v>7.6</v>
      </c>
      <c r="W5312" t="s">
        <v>330</v>
      </c>
      <c r="Y5312" s="42">
        <v>43949</v>
      </c>
    </row>
    <row r="5313" spans="14:25">
      <c r="N5313" s="42">
        <v>43942</v>
      </c>
      <c r="O5313" t="s">
        <v>333</v>
      </c>
      <c r="P5313" s="42">
        <v>43942</v>
      </c>
      <c r="Q5313" t="s">
        <v>333</v>
      </c>
      <c r="R5313" t="s">
        <v>370</v>
      </c>
      <c r="S5313" t="s">
        <v>323</v>
      </c>
      <c r="T5313">
        <v>7.6</v>
      </c>
      <c r="W5313" t="s">
        <v>330</v>
      </c>
      <c r="Y5313" s="42">
        <v>43949</v>
      </c>
    </row>
    <row r="5314" spans="14:25">
      <c r="N5314" s="42">
        <v>43939</v>
      </c>
      <c r="O5314" t="s">
        <v>359</v>
      </c>
      <c r="P5314" s="42">
        <v>43939</v>
      </c>
      <c r="Q5314" t="s">
        <v>359</v>
      </c>
      <c r="R5314" t="s">
        <v>370</v>
      </c>
      <c r="S5314" t="s">
        <v>323</v>
      </c>
      <c r="T5314">
        <v>7.6</v>
      </c>
      <c r="W5314" t="s">
        <v>330</v>
      </c>
      <c r="Y5314" s="42">
        <v>43949</v>
      </c>
    </row>
    <row r="5315" spans="14:25">
      <c r="N5315" s="42">
        <v>43938</v>
      </c>
      <c r="O5315" t="s">
        <v>346</v>
      </c>
      <c r="P5315" s="42">
        <v>43938</v>
      </c>
      <c r="Q5315" t="s">
        <v>346</v>
      </c>
      <c r="R5315" t="s">
        <v>370</v>
      </c>
      <c r="S5315" t="s">
        <v>323</v>
      </c>
      <c r="T5315">
        <v>7.6</v>
      </c>
      <c r="W5315" t="s">
        <v>330</v>
      </c>
      <c r="Y5315" s="42">
        <v>43949</v>
      </c>
    </row>
    <row r="5316" spans="14:25">
      <c r="N5316" s="42">
        <v>43937</v>
      </c>
      <c r="O5316" t="s">
        <v>324</v>
      </c>
      <c r="P5316" s="42">
        <v>43937</v>
      </c>
      <c r="Q5316" t="s">
        <v>324</v>
      </c>
      <c r="R5316" t="s">
        <v>370</v>
      </c>
      <c r="S5316" t="s">
        <v>323</v>
      </c>
      <c r="T5316">
        <v>7.6</v>
      </c>
      <c r="W5316" t="s">
        <v>330</v>
      </c>
      <c r="Y5316" s="42">
        <v>43949</v>
      </c>
    </row>
    <row r="5317" spans="14:25">
      <c r="N5317" s="42">
        <v>43936</v>
      </c>
      <c r="O5317" t="s">
        <v>328</v>
      </c>
      <c r="P5317" s="42">
        <v>43936</v>
      </c>
      <c r="Q5317" t="s">
        <v>328</v>
      </c>
      <c r="R5317" t="s">
        <v>370</v>
      </c>
      <c r="S5317" t="s">
        <v>323</v>
      </c>
      <c r="T5317">
        <v>7.6</v>
      </c>
      <c r="W5317" t="s">
        <v>330</v>
      </c>
      <c r="Y5317" s="42">
        <v>43949</v>
      </c>
    </row>
    <row r="5318" spans="14:25">
      <c r="N5318" s="42">
        <v>43935</v>
      </c>
      <c r="O5318" t="s">
        <v>333</v>
      </c>
      <c r="P5318" s="42">
        <v>43935</v>
      </c>
      <c r="Q5318" t="s">
        <v>333</v>
      </c>
      <c r="R5318" t="s">
        <v>370</v>
      </c>
      <c r="S5318" t="s">
        <v>323</v>
      </c>
      <c r="T5318">
        <v>7.6</v>
      </c>
      <c r="W5318" t="s">
        <v>330</v>
      </c>
      <c r="Y5318" s="42">
        <v>43935</v>
      </c>
    </row>
    <row r="5319" spans="14:25">
      <c r="N5319" s="42">
        <v>43930</v>
      </c>
      <c r="O5319" t="s">
        <v>324</v>
      </c>
      <c r="P5319" s="42">
        <v>43930</v>
      </c>
      <c r="Q5319" t="s">
        <v>324</v>
      </c>
      <c r="R5319" t="s">
        <v>370</v>
      </c>
      <c r="S5319" t="s">
        <v>323</v>
      </c>
      <c r="T5319">
        <v>7.6</v>
      </c>
      <c r="W5319" t="s">
        <v>330</v>
      </c>
      <c r="Y5319" s="42">
        <v>43935</v>
      </c>
    </row>
    <row r="5320" spans="14:25">
      <c r="N5320" s="42">
        <v>43929</v>
      </c>
      <c r="O5320" t="s">
        <v>328</v>
      </c>
      <c r="P5320" s="42">
        <v>43929</v>
      </c>
      <c r="Q5320" t="s">
        <v>328</v>
      </c>
      <c r="R5320" t="s">
        <v>370</v>
      </c>
      <c r="S5320" t="s">
        <v>323</v>
      </c>
      <c r="T5320">
        <v>7.6</v>
      </c>
      <c r="W5320" t="s">
        <v>330</v>
      </c>
      <c r="Y5320" s="42">
        <v>43935</v>
      </c>
    </row>
    <row r="5321" spans="14:25">
      <c r="N5321" s="42">
        <v>43928</v>
      </c>
      <c r="O5321" t="s">
        <v>333</v>
      </c>
      <c r="P5321" s="42">
        <v>43928</v>
      </c>
      <c r="Q5321" t="s">
        <v>333</v>
      </c>
      <c r="R5321" t="s">
        <v>370</v>
      </c>
      <c r="S5321" t="s">
        <v>323</v>
      </c>
      <c r="T5321">
        <v>7.6</v>
      </c>
      <c r="W5321" t="s">
        <v>330</v>
      </c>
      <c r="Y5321" s="42">
        <v>43935</v>
      </c>
    </row>
    <row r="5322" spans="14:25">
      <c r="N5322" s="42">
        <v>43925</v>
      </c>
      <c r="O5322" t="s">
        <v>359</v>
      </c>
      <c r="P5322" s="42">
        <v>43925</v>
      </c>
      <c r="Q5322" t="s">
        <v>359</v>
      </c>
      <c r="R5322" t="s">
        <v>370</v>
      </c>
      <c r="S5322" t="s">
        <v>323</v>
      </c>
      <c r="T5322">
        <v>7.6</v>
      </c>
      <c r="W5322" t="s">
        <v>330</v>
      </c>
      <c r="Y5322" s="42">
        <v>43935</v>
      </c>
    </row>
    <row r="5323" spans="14:25">
      <c r="N5323" s="42">
        <v>43924</v>
      </c>
      <c r="O5323" t="s">
        <v>346</v>
      </c>
      <c r="P5323" s="42">
        <v>43924</v>
      </c>
      <c r="Q5323" t="s">
        <v>346</v>
      </c>
      <c r="R5323" t="s">
        <v>370</v>
      </c>
      <c r="S5323" t="s">
        <v>323</v>
      </c>
      <c r="T5323">
        <v>7.6</v>
      </c>
      <c r="W5323" t="s">
        <v>330</v>
      </c>
      <c r="Y5323" s="42">
        <v>43935</v>
      </c>
    </row>
    <row r="5324" spans="14:25">
      <c r="N5324" s="42">
        <v>43923</v>
      </c>
      <c r="O5324" t="s">
        <v>324</v>
      </c>
      <c r="P5324" s="42">
        <v>43923</v>
      </c>
      <c r="Q5324" t="s">
        <v>324</v>
      </c>
      <c r="R5324" t="s">
        <v>370</v>
      </c>
      <c r="S5324" t="s">
        <v>323</v>
      </c>
      <c r="T5324">
        <v>7.6</v>
      </c>
      <c r="W5324" t="s">
        <v>330</v>
      </c>
      <c r="Y5324" s="42">
        <v>43935</v>
      </c>
    </row>
    <row r="5325" spans="14:25">
      <c r="N5325" s="42">
        <v>43922</v>
      </c>
      <c r="O5325" t="s">
        <v>328</v>
      </c>
      <c r="P5325" s="42">
        <v>43922</v>
      </c>
      <c r="Q5325" t="s">
        <v>328</v>
      </c>
      <c r="R5325" t="s">
        <v>370</v>
      </c>
      <c r="S5325" t="s">
        <v>323</v>
      </c>
      <c r="T5325">
        <v>7.6</v>
      </c>
      <c r="W5325" t="s">
        <v>330</v>
      </c>
      <c r="Y5325" s="42">
        <v>43935</v>
      </c>
    </row>
    <row r="5326" spans="14:25">
      <c r="N5326" s="42">
        <v>43921</v>
      </c>
      <c r="O5326" t="s">
        <v>333</v>
      </c>
      <c r="P5326" s="42">
        <v>43921</v>
      </c>
      <c r="Q5326" t="s">
        <v>333</v>
      </c>
      <c r="R5326" t="s">
        <v>370</v>
      </c>
      <c r="S5326" t="s">
        <v>323</v>
      </c>
      <c r="T5326">
        <v>7.6</v>
      </c>
      <c r="W5326" t="s">
        <v>330</v>
      </c>
      <c r="Y5326" s="42">
        <v>43921</v>
      </c>
    </row>
    <row r="5327" spans="14:25">
      <c r="N5327" s="42">
        <v>43918</v>
      </c>
      <c r="O5327" t="s">
        <v>359</v>
      </c>
      <c r="P5327" s="42">
        <v>43918</v>
      </c>
      <c r="Q5327" t="s">
        <v>359</v>
      </c>
      <c r="R5327" t="s">
        <v>370</v>
      </c>
      <c r="S5327" t="s">
        <v>323</v>
      </c>
      <c r="T5327">
        <v>7.6</v>
      </c>
      <c r="W5327" t="s">
        <v>330</v>
      </c>
      <c r="Y5327" s="42">
        <v>43921</v>
      </c>
    </row>
    <row r="5328" spans="14:25">
      <c r="N5328" s="42">
        <v>43917</v>
      </c>
      <c r="O5328" t="s">
        <v>346</v>
      </c>
      <c r="P5328" s="42">
        <v>43917</v>
      </c>
      <c r="Q5328" t="s">
        <v>346</v>
      </c>
      <c r="R5328" t="s">
        <v>370</v>
      </c>
      <c r="S5328" t="s">
        <v>323</v>
      </c>
      <c r="T5328">
        <v>7.6</v>
      </c>
      <c r="W5328" t="s">
        <v>330</v>
      </c>
      <c r="Y5328" s="42">
        <v>43921</v>
      </c>
    </row>
    <row r="5329" spans="14:25">
      <c r="N5329" s="42">
        <v>43916</v>
      </c>
      <c r="O5329" t="s">
        <v>324</v>
      </c>
      <c r="P5329" s="42">
        <v>43916</v>
      </c>
      <c r="Q5329" t="s">
        <v>324</v>
      </c>
      <c r="R5329" t="s">
        <v>370</v>
      </c>
      <c r="S5329" t="s">
        <v>323</v>
      </c>
      <c r="T5329">
        <v>7.6</v>
      </c>
      <c r="W5329" t="s">
        <v>330</v>
      </c>
      <c r="Y5329" s="42">
        <v>43921</v>
      </c>
    </row>
    <row r="5330" spans="14:25">
      <c r="N5330" s="42">
        <v>43915</v>
      </c>
      <c r="O5330" t="s">
        <v>328</v>
      </c>
      <c r="P5330" s="42">
        <v>43915</v>
      </c>
      <c r="Q5330" t="s">
        <v>328</v>
      </c>
      <c r="R5330" t="s">
        <v>370</v>
      </c>
      <c r="S5330" t="s">
        <v>323</v>
      </c>
      <c r="T5330">
        <v>7.6</v>
      </c>
      <c r="W5330" t="s">
        <v>330</v>
      </c>
      <c r="Y5330" s="42">
        <v>43921</v>
      </c>
    </row>
    <row r="5331" spans="14:25">
      <c r="N5331" s="42">
        <v>43914</v>
      </c>
      <c r="O5331" t="s">
        <v>333</v>
      </c>
      <c r="P5331" s="42">
        <v>43914</v>
      </c>
      <c r="Q5331" t="s">
        <v>333</v>
      </c>
      <c r="R5331" t="s">
        <v>370</v>
      </c>
      <c r="S5331" t="s">
        <v>323</v>
      </c>
      <c r="T5331">
        <v>7.6</v>
      </c>
      <c r="W5331" t="s">
        <v>330</v>
      </c>
      <c r="Y5331" s="42">
        <v>43921</v>
      </c>
    </row>
    <row r="5332" spans="14:25">
      <c r="N5332" s="42">
        <v>43911</v>
      </c>
      <c r="O5332" t="s">
        <v>359</v>
      </c>
      <c r="P5332" s="42">
        <v>43911</v>
      </c>
      <c r="Q5332" t="s">
        <v>359</v>
      </c>
      <c r="R5332" t="s">
        <v>370</v>
      </c>
      <c r="S5332" t="s">
        <v>323</v>
      </c>
      <c r="T5332">
        <v>7.6</v>
      </c>
      <c r="W5332" t="s">
        <v>330</v>
      </c>
      <c r="Y5332" s="42">
        <v>43921</v>
      </c>
    </row>
    <row r="5333" spans="14:25">
      <c r="N5333" s="42">
        <v>43910</v>
      </c>
      <c r="O5333" t="s">
        <v>346</v>
      </c>
      <c r="P5333" s="42">
        <v>43910</v>
      </c>
      <c r="Q5333" t="s">
        <v>346</v>
      </c>
      <c r="R5333" t="s">
        <v>370</v>
      </c>
      <c r="S5333" t="s">
        <v>323</v>
      </c>
      <c r="T5333">
        <v>7.6</v>
      </c>
      <c r="W5333" t="s">
        <v>330</v>
      </c>
      <c r="Y5333" s="42">
        <v>43921</v>
      </c>
    </row>
    <row r="5334" spans="14:25">
      <c r="N5334" s="42">
        <v>43909</v>
      </c>
      <c r="O5334" t="s">
        <v>324</v>
      </c>
      <c r="P5334" s="42">
        <v>43909</v>
      </c>
      <c r="Q5334" t="s">
        <v>324</v>
      </c>
      <c r="R5334" t="s">
        <v>370</v>
      </c>
      <c r="S5334" t="s">
        <v>323</v>
      </c>
      <c r="T5334">
        <v>7.6</v>
      </c>
      <c r="W5334" t="s">
        <v>330</v>
      </c>
      <c r="Y5334" s="42">
        <v>43921</v>
      </c>
    </row>
    <row r="5335" spans="14:25">
      <c r="N5335" s="42">
        <v>43908</v>
      </c>
      <c r="O5335" t="s">
        <v>328</v>
      </c>
      <c r="P5335" s="42">
        <v>43908</v>
      </c>
      <c r="Q5335" t="s">
        <v>328</v>
      </c>
      <c r="R5335" t="s">
        <v>370</v>
      </c>
      <c r="S5335" t="s">
        <v>323</v>
      </c>
      <c r="T5335">
        <v>7.6</v>
      </c>
      <c r="W5335" t="s">
        <v>330</v>
      </c>
      <c r="Y5335" s="42">
        <v>43921</v>
      </c>
    </row>
    <row r="5336" spans="14:25">
      <c r="N5336" s="42">
        <v>43907</v>
      </c>
      <c r="O5336" t="s">
        <v>333</v>
      </c>
      <c r="P5336" s="42">
        <v>43907</v>
      </c>
      <c r="Q5336" t="s">
        <v>333</v>
      </c>
      <c r="R5336" t="s">
        <v>370</v>
      </c>
      <c r="S5336" t="s">
        <v>323</v>
      </c>
      <c r="T5336">
        <v>7.6</v>
      </c>
      <c r="W5336" t="s">
        <v>330</v>
      </c>
      <c r="Y5336" s="42">
        <v>43907</v>
      </c>
    </row>
    <row r="5337" spans="14:25">
      <c r="N5337" s="42">
        <v>43904</v>
      </c>
      <c r="O5337" t="s">
        <v>359</v>
      </c>
      <c r="P5337" s="42">
        <v>43904</v>
      </c>
      <c r="Q5337" t="s">
        <v>359</v>
      </c>
      <c r="R5337" t="s">
        <v>370</v>
      </c>
      <c r="S5337" t="s">
        <v>323</v>
      </c>
      <c r="T5337">
        <v>7.6</v>
      </c>
      <c r="W5337" t="s">
        <v>330</v>
      </c>
      <c r="Y5337" s="42">
        <v>43907</v>
      </c>
    </row>
    <row r="5338" spans="14:25">
      <c r="N5338" s="42">
        <v>43903</v>
      </c>
      <c r="O5338" t="s">
        <v>346</v>
      </c>
      <c r="P5338" s="42">
        <v>43903</v>
      </c>
      <c r="Q5338" t="s">
        <v>346</v>
      </c>
      <c r="R5338" t="s">
        <v>370</v>
      </c>
      <c r="S5338" t="s">
        <v>323</v>
      </c>
      <c r="T5338">
        <v>7.6</v>
      </c>
      <c r="W5338" t="s">
        <v>330</v>
      </c>
      <c r="Y5338" s="42">
        <v>43907</v>
      </c>
    </row>
    <row r="5339" spans="14:25">
      <c r="N5339" s="42">
        <v>43902</v>
      </c>
      <c r="O5339" t="s">
        <v>324</v>
      </c>
      <c r="P5339" s="42">
        <v>43902</v>
      </c>
      <c r="Q5339" t="s">
        <v>324</v>
      </c>
      <c r="R5339" t="s">
        <v>370</v>
      </c>
      <c r="S5339" t="s">
        <v>323</v>
      </c>
      <c r="T5339">
        <v>7.6</v>
      </c>
      <c r="W5339" t="s">
        <v>330</v>
      </c>
      <c r="Y5339" s="42">
        <v>43907</v>
      </c>
    </row>
    <row r="5340" spans="14:25">
      <c r="N5340" s="42">
        <v>43901</v>
      </c>
      <c r="O5340" t="s">
        <v>328</v>
      </c>
      <c r="P5340" s="42">
        <v>43901</v>
      </c>
      <c r="Q5340" t="s">
        <v>328</v>
      </c>
      <c r="R5340" t="s">
        <v>370</v>
      </c>
      <c r="S5340" t="s">
        <v>323</v>
      </c>
      <c r="T5340">
        <v>7.6</v>
      </c>
      <c r="W5340" t="s">
        <v>330</v>
      </c>
      <c r="Y5340" s="42">
        <v>43907</v>
      </c>
    </row>
    <row r="5341" spans="14:25">
      <c r="N5341" s="42">
        <v>43900</v>
      </c>
      <c r="O5341" t="s">
        <v>333</v>
      </c>
      <c r="P5341" s="42">
        <v>43900</v>
      </c>
      <c r="Q5341" t="s">
        <v>333</v>
      </c>
      <c r="R5341" t="s">
        <v>370</v>
      </c>
      <c r="S5341" t="s">
        <v>323</v>
      </c>
      <c r="T5341">
        <v>7.6</v>
      </c>
      <c r="W5341" t="s">
        <v>330</v>
      </c>
      <c r="Y5341" s="42">
        <v>43907</v>
      </c>
    </row>
    <row r="5342" spans="14:25">
      <c r="N5342" s="42">
        <v>43897</v>
      </c>
      <c r="O5342" t="s">
        <v>359</v>
      </c>
      <c r="P5342" s="42">
        <v>43897</v>
      </c>
      <c r="Q5342" t="s">
        <v>359</v>
      </c>
      <c r="R5342" t="s">
        <v>370</v>
      </c>
      <c r="S5342" t="s">
        <v>323</v>
      </c>
      <c r="T5342">
        <v>7.6</v>
      </c>
      <c r="W5342" t="s">
        <v>330</v>
      </c>
      <c r="Y5342" s="42">
        <v>43907</v>
      </c>
    </row>
    <row r="5343" spans="14:25">
      <c r="N5343" s="42">
        <v>43896</v>
      </c>
      <c r="O5343" t="s">
        <v>346</v>
      </c>
      <c r="P5343" s="42">
        <v>43896</v>
      </c>
      <c r="Q5343" t="s">
        <v>346</v>
      </c>
      <c r="R5343" t="s">
        <v>320</v>
      </c>
      <c r="S5343" t="s">
        <v>323</v>
      </c>
      <c r="T5343">
        <v>7.6</v>
      </c>
      <c r="Y5343" s="42">
        <v>43907</v>
      </c>
    </row>
    <row r="5344" spans="14:25">
      <c r="N5344" s="42">
        <v>43895</v>
      </c>
      <c r="O5344" t="s">
        <v>324</v>
      </c>
      <c r="P5344" s="42">
        <v>43895</v>
      </c>
      <c r="Q5344" t="s">
        <v>324</v>
      </c>
      <c r="R5344" t="s">
        <v>320</v>
      </c>
      <c r="S5344" t="s">
        <v>323</v>
      </c>
      <c r="T5344">
        <v>7.6</v>
      </c>
      <c r="Y5344" s="42">
        <v>43907</v>
      </c>
    </row>
    <row r="5345" spans="14:25">
      <c r="N5345" s="42">
        <v>43894</v>
      </c>
      <c r="O5345" t="s">
        <v>328</v>
      </c>
      <c r="P5345" s="42">
        <v>43894</v>
      </c>
      <c r="Q5345" t="s">
        <v>328</v>
      </c>
      <c r="R5345" t="s">
        <v>320</v>
      </c>
      <c r="S5345" t="s">
        <v>323</v>
      </c>
      <c r="T5345">
        <v>7.6</v>
      </c>
      <c r="Y5345" s="42">
        <v>43907</v>
      </c>
    </row>
    <row r="5346" spans="14:25">
      <c r="N5346" s="42">
        <v>43893</v>
      </c>
      <c r="O5346" t="s">
        <v>333</v>
      </c>
      <c r="P5346" s="42">
        <v>43893</v>
      </c>
      <c r="Q5346" t="s">
        <v>333</v>
      </c>
      <c r="R5346" t="s">
        <v>320</v>
      </c>
      <c r="S5346" t="s">
        <v>323</v>
      </c>
      <c r="T5346">
        <v>7.6</v>
      </c>
      <c r="Y5346" s="42">
        <v>43893</v>
      </c>
    </row>
    <row r="5347" spans="14:25">
      <c r="N5347" s="42">
        <v>43890</v>
      </c>
      <c r="O5347" t="s">
        <v>359</v>
      </c>
      <c r="P5347" s="42">
        <v>43890</v>
      </c>
      <c r="Q5347" t="s">
        <v>359</v>
      </c>
      <c r="R5347" t="s">
        <v>320</v>
      </c>
      <c r="S5347" t="s">
        <v>323</v>
      </c>
      <c r="T5347">
        <v>7.6</v>
      </c>
      <c r="Y5347" s="42">
        <v>43893</v>
      </c>
    </row>
    <row r="5348" spans="14:25">
      <c r="N5348" s="42">
        <v>43889</v>
      </c>
      <c r="O5348" t="s">
        <v>346</v>
      </c>
      <c r="P5348" s="42">
        <v>43889</v>
      </c>
      <c r="Q5348" t="s">
        <v>346</v>
      </c>
      <c r="R5348" t="s">
        <v>320</v>
      </c>
      <c r="S5348" t="s">
        <v>323</v>
      </c>
      <c r="T5348">
        <v>7.6</v>
      </c>
      <c r="Y5348" s="42">
        <v>43893</v>
      </c>
    </row>
    <row r="5349" spans="14:25">
      <c r="N5349" s="42">
        <v>43888</v>
      </c>
      <c r="O5349" t="s">
        <v>324</v>
      </c>
      <c r="P5349" s="42">
        <v>43888</v>
      </c>
      <c r="Q5349" t="s">
        <v>324</v>
      </c>
      <c r="R5349" t="s">
        <v>320</v>
      </c>
      <c r="S5349" t="s">
        <v>323</v>
      </c>
      <c r="T5349">
        <v>7.6</v>
      </c>
      <c r="Y5349" s="42">
        <v>43893</v>
      </c>
    </row>
    <row r="5350" spans="14:25">
      <c r="N5350" s="42">
        <v>43887</v>
      </c>
      <c r="O5350" t="s">
        <v>328</v>
      </c>
      <c r="P5350" s="42">
        <v>43887</v>
      </c>
      <c r="Q5350" t="s">
        <v>328</v>
      </c>
      <c r="R5350" t="s">
        <v>320</v>
      </c>
      <c r="S5350" t="s">
        <v>323</v>
      </c>
      <c r="T5350">
        <v>7.6</v>
      </c>
      <c r="Y5350" s="42">
        <v>43893</v>
      </c>
    </row>
    <row r="5351" spans="14:25">
      <c r="N5351" s="42">
        <v>43886</v>
      </c>
      <c r="O5351" t="s">
        <v>333</v>
      </c>
      <c r="P5351" s="42">
        <v>43886</v>
      </c>
      <c r="Q5351" t="s">
        <v>333</v>
      </c>
      <c r="R5351" t="s">
        <v>320</v>
      </c>
      <c r="S5351" t="s">
        <v>323</v>
      </c>
      <c r="T5351">
        <v>7.6</v>
      </c>
      <c r="Y5351" s="42">
        <v>43893</v>
      </c>
    </row>
    <row r="5352" spans="14:25">
      <c r="N5352" s="42">
        <v>43883</v>
      </c>
      <c r="O5352" t="s">
        <v>359</v>
      </c>
      <c r="P5352" s="42">
        <v>43883</v>
      </c>
      <c r="Q5352" t="s">
        <v>359</v>
      </c>
      <c r="R5352" t="s">
        <v>320</v>
      </c>
      <c r="S5352" t="s">
        <v>323</v>
      </c>
      <c r="T5352">
        <v>7.6</v>
      </c>
      <c r="Y5352" s="42">
        <v>43893</v>
      </c>
    </row>
    <row r="5353" spans="14:25">
      <c r="N5353" s="42">
        <v>43882</v>
      </c>
      <c r="O5353" t="s">
        <v>346</v>
      </c>
      <c r="P5353" s="42">
        <v>43882</v>
      </c>
      <c r="Q5353" t="s">
        <v>346</v>
      </c>
      <c r="R5353" t="s">
        <v>320</v>
      </c>
      <c r="S5353" t="s">
        <v>323</v>
      </c>
      <c r="T5353">
        <v>7.6</v>
      </c>
      <c r="Y5353" s="42">
        <v>43893</v>
      </c>
    </row>
    <row r="5354" spans="14:25">
      <c r="N5354" s="42">
        <v>43881</v>
      </c>
      <c r="O5354" t="s">
        <v>324</v>
      </c>
      <c r="P5354" s="42">
        <v>43881</v>
      </c>
      <c r="Q5354" t="s">
        <v>324</v>
      </c>
      <c r="R5354" t="s">
        <v>320</v>
      </c>
      <c r="S5354" t="s">
        <v>323</v>
      </c>
      <c r="T5354">
        <v>7.6</v>
      </c>
      <c r="Y5354" s="42">
        <v>43893</v>
      </c>
    </row>
    <row r="5355" spans="14:25">
      <c r="N5355" s="42">
        <v>43880</v>
      </c>
      <c r="O5355" t="s">
        <v>328</v>
      </c>
      <c r="P5355" s="42">
        <v>43880</v>
      </c>
      <c r="Q5355" t="s">
        <v>328</v>
      </c>
      <c r="R5355" t="s">
        <v>320</v>
      </c>
      <c r="S5355" t="s">
        <v>323</v>
      </c>
      <c r="T5355">
        <v>7.6</v>
      </c>
      <c r="Y5355" s="42">
        <v>43893</v>
      </c>
    </row>
    <row r="5356" spans="14:25">
      <c r="N5356" s="42">
        <v>43879</v>
      </c>
      <c r="O5356" t="s">
        <v>333</v>
      </c>
      <c r="P5356" s="42">
        <v>43879</v>
      </c>
      <c r="Q5356" t="s">
        <v>333</v>
      </c>
      <c r="R5356" t="s">
        <v>320</v>
      </c>
      <c r="S5356" t="s">
        <v>323</v>
      </c>
      <c r="T5356">
        <v>7.6</v>
      </c>
      <c r="Y5356" s="42">
        <v>43879</v>
      </c>
    </row>
    <row r="5357" spans="14:25">
      <c r="N5357" s="42">
        <v>43876</v>
      </c>
      <c r="O5357" t="s">
        <v>359</v>
      </c>
      <c r="P5357" s="42">
        <v>43876</v>
      </c>
      <c r="Q5357" t="s">
        <v>359</v>
      </c>
      <c r="R5357" t="s">
        <v>320</v>
      </c>
      <c r="S5357" t="s">
        <v>323</v>
      </c>
      <c r="T5357">
        <v>7.6</v>
      </c>
      <c r="Y5357" s="42">
        <v>43879</v>
      </c>
    </row>
    <row r="5358" spans="14:25">
      <c r="N5358" s="42">
        <v>43875</v>
      </c>
      <c r="O5358" t="s">
        <v>346</v>
      </c>
      <c r="P5358" s="42">
        <v>43875</v>
      </c>
      <c r="Q5358" t="s">
        <v>346</v>
      </c>
      <c r="R5358" t="s">
        <v>320</v>
      </c>
      <c r="S5358" t="s">
        <v>323</v>
      </c>
      <c r="T5358">
        <v>7.6</v>
      </c>
      <c r="Y5358" s="42">
        <v>43879</v>
      </c>
    </row>
    <row r="5359" spans="14:25">
      <c r="N5359" s="42">
        <v>43874</v>
      </c>
      <c r="O5359" t="s">
        <v>324</v>
      </c>
      <c r="P5359" s="42">
        <v>43874</v>
      </c>
      <c r="Q5359" t="s">
        <v>324</v>
      </c>
      <c r="R5359" t="s">
        <v>320</v>
      </c>
      <c r="S5359" t="s">
        <v>323</v>
      </c>
      <c r="T5359">
        <v>7.6</v>
      </c>
      <c r="Y5359" s="42">
        <v>43879</v>
      </c>
    </row>
    <row r="5360" spans="14:25">
      <c r="N5360" s="42">
        <v>43873</v>
      </c>
      <c r="O5360" t="s">
        <v>328</v>
      </c>
      <c r="P5360" s="42">
        <v>43873</v>
      </c>
      <c r="Q5360" t="s">
        <v>328</v>
      </c>
      <c r="R5360" t="s">
        <v>320</v>
      </c>
      <c r="S5360" t="s">
        <v>323</v>
      </c>
      <c r="T5360">
        <v>7.6</v>
      </c>
      <c r="Y5360" s="42">
        <v>43879</v>
      </c>
    </row>
    <row r="5361" spans="1:25">
      <c r="N5361" s="42">
        <v>43872</v>
      </c>
      <c r="O5361" t="s">
        <v>333</v>
      </c>
      <c r="P5361" s="42">
        <v>43872</v>
      </c>
      <c r="Q5361" t="s">
        <v>333</v>
      </c>
      <c r="R5361" t="s">
        <v>320</v>
      </c>
      <c r="S5361" t="s">
        <v>323</v>
      </c>
      <c r="T5361">
        <v>7.6</v>
      </c>
      <c r="Y5361" s="42">
        <v>43879</v>
      </c>
    </row>
    <row r="5362" spans="1:25">
      <c r="N5362" s="42">
        <v>43869</v>
      </c>
      <c r="O5362" t="s">
        <v>359</v>
      </c>
      <c r="P5362" s="42">
        <v>43869</v>
      </c>
      <c r="Q5362" t="s">
        <v>359</v>
      </c>
      <c r="R5362" t="s">
        <v>320</v>
      </c>
      <c r="S5362" t="s">
        <v>323</v>
      </c>
      <c r="T5362">
        <v>7.6</v>
      </c>
      <c r="Y5362" s="42">
        <v>43879</v>
      </c>
    </row>
    <row r="5363" spans="1:25">
      <c r="N5363" s="42">
        <v>43866</v>
      </c>
      <c r="O5363" t="s">
        <v>328</v>
      </c>
      <c r="P5363" s="42">
        <v>43866</v>
      </c>
      <c r="Q5363" t="s">
        <v>328</v>
      </c>
      <c r="R5363" t="s">
        <v>329</v>
      </c>
      <c r="S5363" t="s">
        <v>323</v>
      </c>
      <c r="T5363">
        <v>7.6</v>
      </c>
      <c r="W5363" t="s">
        <v>330</v>
      </c>
      <c r="Y5363" s="42">
        <v>43879</v>
      </c>
    </row>
    <row r="5364" spans="1:25">
      <c r="N5364" s="42">
        <v>43861</v>
      </c>
      <c r="O5364" t="s">
        <v>346</v>
      </c>
      <c r="P5364" s="42">
        <v>43861</v>
      </c>
      <c r="Q5364" t="s">
        <v>346</v>
      </c>
      <c r="R5364" t="s">
        <v>329</v>
      </c>
      <c r="S5364" t="s">
        <v>323</v>
      </c>
      <c r="T5364">
        <v>7.6</v>
      </c>
      <c r="W5364" t="s">
        <v>330</v>
      </c>
      <c r="Y5364" s="42">
        <v>43865</v>
      </c>
    </row>
    <row r="5365" spans="1:25">
      <c r="N5365" s="42">
        <v>43838</v>
      </c>
      <c r="O5365" t="s">
        <v>328</v>
      </c>
      <c r="P5365" s="42">
        <v>43838</v>
      </c>
      <c r="Q5365" t="s">
        <v>328</v>
      </c>
      <c r="R5365" t="s">
        <v>329</v>
      </c>
      <c r="S5365" t="s">
        <v>323</v>
      </c>
      <c r="T5365">
        <v>7.6</v>
      </c>
      <c r="W5365" t="s">
        <v>330</v>
      </c>
      <c r="Y5365" s="42">
        <v>43851</v>
      </c>
    </row>
    <row r="5366" spans="1:25">
      <c r="N5366" s="42">
        <v>43823</v>
      </c>
      <c r="O5366" t="s">
        <v>333</v>
      </c>
      <c r="P5366" s="42">
        <v>43823</v>
      </c>
      <c r="Q5366" t="s">
        <v>333</v>
      </c>
      <c r="R5366" t="s">
        <v>320</v>
      </c>
      <c r="S5366" t="s">
        <v>323</v>
      </c>
      <c r="T5366">
        <v>7.6</v>
      </c>
      <c r="Y5366" s="42">
        <v>43823</v>
      </c>
    </row>
    <row r="5367" spans="1:25">
      <c r="N5367" s="42">
        <v>43810</v>
      </c>
      <c r="O5367" t="s">
        <v>328</v>
      </c>
      <c r="P5367" s="42">
        <v>43810</v>
      </c>
      <c r="Q5367" t="s">
        <v>328</v>
      </c>
      <c r="R5367" t="s">
        <v>329</v>
      </c>
      <c r="S5367" t="s">
        <v>323</v>
      </c>
      <c r="T5367">
        <v>7.6</v>
      </c>
      <c r="W5367" t="s">
        <v>330</v>
      </c>
      <c r="Y5367" s="42">
        <v>43823</v>
      </c>
    </row>
    <row r="5368" spans="1:25">
      <c r="N5368" s="42">
        <v>43802</v>
      </c>
      <c r="O5368" t="s">
        <v>333</v>
      </c>
      <c r="P5368" s="42">
        <v>43802</v>
      </c>
      <c r="Q5368" t="s">
        <v>333</v>
      </c>
      <c r="R5368" t="s">
        <v>320</v>
      </c>
      <c r="S5368" t="s">
        <v>323</v>
      </c>
      <c r="T5368">
        <v>7.6</v>
      </c>
      <c r="Y5368" s="42">
        <v>43809</v>
      </c>
    </row>
    <row r="5369" spans="1:25">
      <c r="N5369" s="42">
        <v>43764</v>
      </c>
      <c r="O5369" t="s">
        <v>359</v>
      </c>
      <c r="P5369" s="42">
        <v>43764</v>
      </c>
      <c r="Q5369" t="s">
        <v>359</v>
      </c>
      <c r="R5369" t="s">
        <v>329</v>
      </c>
      <c r="S5369" t="s">
        <v>323</v>
      </c>
      <c r="T5369">
        <v>7.6</v>
      </c>
      <c r="W5369" t="s">
        <v>330</v>
      </c>
      <c r="Y5369" s="42">
        <v>43767</v>
      </c>
    </row>
    <row r="5370" spans="1:25">
      <c r="N5370" s="42">
        <v>43712</v>
      </c>
      <c r="O5370" t="s">
        <v>328</v>
      </c>
      <c r="P5370" s="42">
        <v>43712</v>
      </c>
      <c r="Q5370" t="s">
        <v>328</v>
      </c>
      <c r="R5370" t="s">
        <v>329</v>
      </c>
      <c r="S5370" t="s">
        <v>323</v>
      </c>
      <c r="T5370">
        <v>7.6</v>
      </c>
      <c r="W5370" t="s">
        <v>330</v>
      </c>
      <c r="Y5370" s="42">
        <v>43725</v>
      </c>
    </row>
    <row r="5371" spans="1:25">
      <c r="N5371" s="42">
        <v>43692</v>
      </c>
      <c r="O5371" t="s">
        <v>324</v>
      </c>
      <c r="P5371" s="42">
        <v>43692</v>
      </c>
      <c r="Q5371" t="s">
        <v>324</v>
      </c>
      <c r="R5371" t="s">
        <v>329</v>
      </c>
      <c r="S5371" t="s">
        <v>323</v>
      </c>
      <c r="T5371">
        <v>7.6</v>
      </c>
      <c r="W5371" t="s">
        <v>330</v>
      </c>
      <c r="Y5371" s="42">
        <v>43697</v>
      </c>
    </row>
    <row r="5372" spans="1:25">
      <c r="N5372" s="42">
        <v>43677</v>
      </c>
      <c r="O5372" t="s">
        <v>328</v>
      </c>
      <c r="P5372" s="42">
        <v>43677</v>
      </c>
      <c r="Q5372" t="s">
        <v>328</v>
      </c>
      <c r="R5372" t="s">
        <v>329</v>
      </c>
      <c r="S5372" t="s">
        <v>323</v>
      </c>
      <c r="T5372">
        <v>7.6</v>
      </c>
      <c r="W5372" t="s">
        <v>330</v>
      </c>
      <c r="Y5372" s="42">
        <v>43683</v>
      </c>
    </row>
    <row r="5373" spans="1:25">
      <c r="N5373" s="42">
        <v>43656</v>
      </c>
      <c r="O5373" t="s">
        <v>328</v>
      </c>
      <c r="P5373" s="42">
        <v>43656</v>
      </c>
      <c r="Q5373" t="s">
        <v>328</v>
      </c>
      <c r="R5373" t="s">
        <v>320</v>
      </c>
      <c r="S5373" t="s">
        <v>323</v>
      </c>
      <c r="T5373">
        <v>7.6</v>
      </c>
      <c r="Y5373" s="42">
        <v>43669</v>
      </c>
    </row>
    <row r="5374" spans="1:25">
      <c r="N5374" s="42">
        <v>43655</v>
      </c>
      <c r="O5374" t="s">
        <v>333</v>
      </c>
      <c r="P5374" s="42">
        <v>43655</v>
      </c>
      <c r="Q5374" t="s">
        <v>333</v>
      </c>
      <c r="R5374" t="s">
        <v>320</v>
      </c>
      <c r="S5374" t="s">
        <v>323</v>
      </c>
      <c r="T5374">
        <v>7.6</v>
      </c>
      <c r="Y5374" s="42">
        <v>43655</v>
      </c>
    </row>
    <row r="5375" spans="1:25">
      <c r="A5375">
        <v>18805</v>
      </c>
      <c r="B5375" t="s">
        <v>413</v>
      </c>
      <c r="C5375" t="s">
        <v>320</v>
      </c>
      <c r="D5375" t="s">
        <v>336</v>
      </c>
      <c r="E5375" t="s">
        <v>337</v>
      </c>
      <c r="F5375">
        <v>1</v>
      </c>
      <c r="G5375" s="42">
        <v>45258</v>
      </c>
      <c r="H5375">
        <v>152</v>
      </c>
      <c r="I5375">
        <v>106.3997</v>
      </c>
      <c r="J5375">
        <v>39.978099999999998</v>
      </c>
      <c r="K5375">
        <v>146.37780000000001</v>
      </c>
      <c r="L5375" t="s">
        <v>323</v>
      </c>
      <c r="M5375" s="43">
        <v>0.21041666666666667</v>
      </c>
      <c r="N5375" s="42">
        <v>44963</v>
      </c>
      <c r="O5375" t="s">
        <v>345</v>
      </c>
      <c r="P5375" s="42">
        <v>44970</v>
      </c>
      <c r="Q5375" t="s">
        <v>345</v>
      </c>
      <c r="R5375" t="s">
        <v>320</v>
      </c>
      <c r="S5375" t="s">
        <v>323</v>
      </c>
      <c r="T5375">
        <v>45.6</v>
      </c>
      <c r="V5375">
        <v>0</v>
      </c>
      <c r="Y5375" s="42">
        <v>44971</v>
      </c>
    </row>
    <row r="5376" spans="1:25">
      <c r="C5376" t="s">
        <v>325</v>
      </c>
      <c r="D5376" t="s">
        <v>340</v>
      </c>
      <c r="E5376" t="s">
        <v>341</v>
      </c>
      <c r="F5376">
        <v>1</v>
      </c>
      <c r="G5376" s="42">
        <v>45624</v>
      </c>
      <c r="H5376">
        <v>230.5428</v>
      </c>
      <c r="I5376">
        <v>0</v>
      </c>
      <c r="J5376">
        <v>173.29040000000001</v>
      </c>
      <c r="K5376">
        <v>173.29040000000001</v>
      </c>
      <c r="L5376" t="s">
        <v>323</v>
      </c>
      <c r="N5376" s="42">
        <v>44952</v>
      </c>
      <c r="O5376" t="s">
        <v>324</v>
      </c>
      <c r="P5376" s="42">
        <v>44952</v>
      </c>
      <c r="Q5376" t="s">
        <v>324</v>
      </c>
      <c r="R5376" t="s">
        <v>320</v>
      </c>
      <c r="S5376" t="s">
        <v>323</v>
      </c>
      <c r="U5376">
        <v>7.6</v>
      </c>
      <c r="Y5376" s="42">
        <v>44957</v>
      </c>
    </row>
    <row r="5377" spans="3:25">
      <c r="C5377" t="s">
        <v>329</v>
      </c>
      <c r="D5377" t="s">
        <v>342</v>
      </c>
      <c r="E5377" t="s">
        <v>343</v>
      </c>
      <c r="F5377">
        <v>1</v>
      </c>
      <c r="G5377" s="42">
        <v>45258</v>
      </c>
      <c r="H5377">
        <v>76</v>
      </c>
      <c r="I5377">
        <v>269.39960000000002</v>
      </c>
      <c r="J5377">
        <v>19.989000000000001</v>
      </c>
      <c r="K5377">
        <v>289.3886</v>
      </c>
      <c r="L5377" t="s">
        <v>323</v>
      </c>
      <c r="N5377" s="42">
        <v>44928</v>
      </c>
      <c r="O5377" t="s">
        <v>345</v>
      </c>
      <c r="P5377" s="42">
        <v>44928</v>
      </c>
      <c r="Q5377" t="s">
        <v>345</v>
      </c>
      <c r="R5377" t="s">
        <v>320</v>
      </c>
      <c r="S5377" t="s">
        <v>323</v>
      </c>
      <c r="U5377">
        <v>7.6</v>
      </c>
      <c r="Y5377" s="42">
        <v>44929</v>
      </c>
    </row>
    <row r="5378" spans="3:25">
      <c r="N5378" s="42">
        <v>44923</v>
      </c>
      <c r="O5378" t="s">
        <v>328</v>
      </c>
      <c r="P5378" s="42">
        <v>44925</v>
      </c>
      <c r="Q5378" t="s">
        <v>346</v>
      </c>
      <c r="R5378" t="s">
        <v>320</v>
      </c>
      <c r="S5378" t="s">
        <v>323</v>
      </c>
      <c r="T5378">
        <v>22.8</v>
      </c>
      <c r="V5378">
        <v>0</v>
      </c>
      <c r="Y5378" s="42">
        <v>44929</v>
      </c>
    </row>
    <row r="5379" spans="3:25">
      <c r="N5379" s="42">
        <v>44922</v>
      </c>
      <c r="O5379" t="s">
        <v>333</v>
      </c>
      <c r="P5379" s="42">
        <v>44922</v>
      </c>
      <c r="Q5379" t="s">
        <v>333</v>
      </c>
      <c r="R5379" t="s">
        <v>320</v>
      </c>
      <c r="S5379" t="s">
        <v>323</v>
      </c>
      <c r="U5379">
        <v>7.6</v>
      </c>
      <c r="Y5379" s="42">
        <v>44929</v>
      </c>
    </row>
    <row r="5380" spans="3:25">
      <c r="N5380" s="42">
        <v>44921</v>
      </c>
      <c r="O5380" t="s">
        <v>345</v>
      </c>
      <c r="P5380" s="42">
        <v>44921</v>
      </c>
      <c r="Q5380" t="s">
        <v>345</v>
      </c>
      <c r="R5380" t="s">
        <v>320</v>
      </c>
      <c r="S5380" t="s">
        <v>323</v>
      </c>
      <c r="U5380">
        <v>7.6</v>
      </c>
      <c r="Y5380" s="42">
        <v>44929</v>
      </c>
    </row>
    <row r="5381" spans="3:25">
      <c r="N5381" s="42">
        <v>44886</v>
      </c>
      <c r="O5381" t="s">
        <v>345</v>
      </c>
      <c r="P5381" s="42">
        <v>44886</v>
      </c>
      <c r="Q5381" t="s">
        <v>345</v>
      </c>
      <c r="R5381" t="s">
        <v>320</v>
      </c>
      <c r="S5381" t="s">
        <v>323</v>
      </c>
      <c r="T5381">
        <v>7.6</v>
      </c>
      <c r="U5381">
        <v>0</v>
      </c>
    </row>
    <row r="5382" spans="3:25">
      <c r="N5382" s="42">
        <v>44879</v>
      </c>
      <c r="O5382" t="s">
        <v>345</v>
      </c>
      <c r="P5382" s="42">
        <v>44879</v>
      </c>
      <c r="Q5382" t="s">
        <v>345</v>
      </c>
      <c r="R5382" t="s">
        <v>320</v>
      </c>
      <c r="S5382" t="s">
        <v>323</v>
      </c>
      <c r="T5382">
        <v>7.6</v>
      </c>
      <c r="U5382">
        <v>0</v>
      </c>
    </row>
    <row r="5383" spans="3:25">
      <c r="N5383" s="42">
        <v>44874</v>
      </c>
      <c r="O5383" t="s">
        <v>328</v>
      </c>
      <c r="P5383" s="42">
        <v>44874</v>
      </c>
      <c r="Q5383" t="s">
        <v>328</v>
      </c>
      <c r="R5383" t="s">
        <v>329</v>
      </c>
      <c r="S5383" t="s">
        <v>323</v>
      </c>
      <c r="T5383">
        <v>1</v>
      </c>
      <c r="W5383" t="s">
        <v>339</v>
      </c>
      <c r="Y5383" s="42">
        <v>44901</v>
      </c>
    </row>
    <row r="5384" spans="3:25">
      <c r="N5384" s="42">
        <v>44867</v>
      </c>
      <c r="O5384" t="s">
        <v>328</v>
      </c>
      <c r="P5384" s="42">
        <v>44867</v>
      </c>
      <c r="Q5384" t="s">
        <v>328</v>
      </c>
      <c r="R5384" t="s">
        <v>320</v>
      </c>
      <c r="S5384" t="s">
        <v>323</v>
      </c>
      <c r="T5384">
        <v>7.6</v>
      </c>
      <c r="V5384">
        <v>0</v>
      </c>
      <c r="Y5384" s="42">
        <v>44873</v>
      </c>
    </row>
    <row r="5385" spans="3:25">
      <c r="N5385" s="42">
        <v>44866</v>
      </c>
      <c r="O5385" t="s">
        <v>333</v>
      </c>
      <c r="P5385" s="42">
        <v>44866</v>
      </c>
      <c r="Q5385" t="s">
        <v>333</v>
      </c>
      <c r="R5385" t="s">
        <v>320</v>
      </c>
      <c r="S5385" t="s">
        <v>323</v>
      </c>
      <c r="U5385">
        <v>7.6</v>
      </c>
      <c r="Y5385" s="42">
        <v>44873</v>
      </c>
    </row>
    <row r="5386" spans="3:25">
      <c r="N5386" s="42">
        <v>44865</v>
      </c>
      <c r="O5386" t="s">
        <v>345</v>
      </c>
      <c r="P5386" s="42">
        <v>44865</v>
      </c>
      <c r="Q5386" t="s">
        <v>345</v>
      </c>
      <c r="R5386" t="s">
        <v>320</v>
      </c>
      <c r="S5386" t="s">
        <v>323</v>
      </c>
      <c r="T5386">
        <v>7.6</v>
      </c>
      <c r="V5386">
        <v>0</v>
      </c>
      <c r="Y5386" s="42">
        <v>44873</v>
      </c>
    </row>
    <row r="5387" spans="3:25">
      <c r="N5387" s="42">
        <v>44827</v>
      </c>
      <c r="O5387" t="s">
        <v>346</v>
      </c>
      <c r="P5387" s="42">
        <v>44827</v>
      </c>
      <c r="Q5387" t="s">
        <v>346</v>
      </c>
      <c r="R5387" t="s">
        <v>320</v>
      </c>
      <c r="S5387" t="s">
        <v>323</v>
      </c>
      <c r="U5387">
        <v>7.6</v>
      </c>
      <c r="Y5387" s="42">
        <v>44831</v>
      </c>
    </row>
    <row r="5388" spans="3:25">
      <c r="N5388" s="42">
        <v>44826</v>
      </c>
      <c r="O5388" t="s">
        <v>324</v>
      </c>
      <c r="P5388" s="42">
        <v>44826</v>
      </c>
      <c r="Q5388" t="s">
        <v>324</v>
      </c>
      <c r="R5388" t="s">
        <v>320</v>
      </c>
      <c r="S5388" t="s">
        <v>323</v>
      </c>
      <c r="U5388">
        <v>7.6</v>
      </c>
      <c r="Y5388" s="42">
        <v>44831</v>
      </c>
    </row>
    <row r="5389" spans="3:25">
      <c r="N5389" s="42">
        <v>44810</v>
      </c>
      <c r="O5389" t="s">
        <v>333</v>
      </c>
      <c r="P5389" s="42">
        <v>44810</v>
      </c>
      <c r="Q5389" t="s">
        <v>333</v>
      </c>
      <c r="R5389" t="s">
        <v>329</v>
      </c>
      <c r="S5389" t="s">
        <v>323</v>
      </c>
      <c r="T5389">
        <v>7.6</v>
      </c>
      <c r="W5389" t="s">
        <v>339</v>
      </c>
      <c r="Y5389" s="42">
        <v>44817</v>
      </c>
    </row>
    <row r="5390" spans="3:25">
      <c r="N5390" s="42">
        <v>44795</v>
      </c>
      <c r="O5390" t="s">
        <v>345</v>
      </c>
      <c r="P5390" s="42">
        <v>44795</v>
      </c>
      <c r="Q5390" t="s">
        <v>345</v>
      </c>
      <c r="R5390" t="s">
        <v>320</v>
      </c>
      <c r="S5390" t="s">
        <v>323</v>
      </c>
      <c r="T5390">
        <v>7.6</v>
      </c>
      <c r="V5390">
        <v>0</v>
      </c>
      <c r="Y5390" s="42">
        <v>44803</v>
      </c>
    </row>
    <row r="5391" spans="3:25">
      <c r="N5391" s="42">
        <v>44722</v>
      </c>
      <c r="O5391" t="s">
        <v>346</v>
      </c>
      <c r="P5391" s="42">
        <v>44729</v>
      </c>
      <c r="Q5391" t="s">
        <v>346</v>
      </c>
      <c r="R5391" t="s">
        <v>320</v>
      </c>
      <c r="S5391" t="s">
        <v>323</v>
      </c>
      <c r="T5391">
        <v>38</v>
      </c>
      <c r="U5391">
        <v>7.6</v>
      </c>
      <c r="V5391">
        <v>0</v>
      </c>
      <c r="Y5391" s="42">
        <v>44733</v>
      </c>
    </row>
    <row r="5392" spans="3:25">
      <c r="N5392" s="42">
        <v>44676</v>
      </c>
      <c r="O5392" t="s">
        <v>345</v>
      </c>
      <c r="P5392" s="42">
        <v>44676</v>
      </c>
      <c r="Q5392" t="s">
        <v>345</v>
      </c>
      <c r="R5392" t="s">
        <v>320</v>
      </c>
      <c r="S5392" t="s">
        <v>323</v>
      </c>
      <c r="U5392">
        <v>7.6</v>
      </c>
      <c r="Y5392" s="42">
        <v>44677</v>
      </c>
    </row>
    <row r="5393" spans="14:25">
      <c r="N5393" s="42">
        <v>44669</v>
      </c>
      <c r="O5393" t="s">
        <v>345</v>
      </c>
      <c r="P5393" s="42">
        <v>44669</v>
      </c>
      <c r="Q5393" t="s">
        <v>345</v>
      </c>
      <c r="R5393" t="s">
        <v>320</v>
      </c>
      <c r="S5393" t="s">
        <v>323</v>
      </c>
      <c r="U5393">
        <v>7.6</v>
      </c>
      <c r="Y5393" s="42">
        <v>44677</v>
      </c>
    </row>
    <row r="5394" spans="14:25">
      <c r="N5394" s="42">
        <v>44667</v>
      </c>
      <c r="O5394" t="s">
        <v>359</v>
      </c>
      <c r="P5394" s="42">
        <v>44667</v>
      </c>
      <c r="Q5394" t="s">
        <v>359</v>
      </c>
      <c r="R5394" t="s">
        <v>320</v>
      </c>
      <c r="S5394" t="s">
        <v>323</v>
      </c>
      <c r="U5394">
        <v>7.6</v>
      </c>
    </row>
    <row r="5395" spans="14:25">
      <c r="N5395" s="42">
        <v>44666</v>
      </c>
      <c r="O5395" t="s">
        <v>346</v>
      </c>
      <c r="P5395" s="42">
        <v>44666</v>
      </c>
      <c r="Q5395" t="s">
        <v>346</v>
      </c>
      <c r="R5395" t="s">
        <v>320</v>
      </c>
      <c r="S5395" t="s">
        <v>323</v>
      </c>
      <c r="U5395">
        <v>7.6</v>
      </c>
      <c r="Y5395" s="42">
        <v>44677</v>
      </c>
    </row>
    <row r="5396" spans="14:25">
      <c r="N5396" s="42">
        <v>44634</v>
      </c>
      <c r="O5396" t="s">
        <v>345</v>
      </c>
      <c r="P5396" s="42">
        <v>44634</v>
      </c>
      <c r="Q5396" t="s">
        <v>345</v>
      </c>
      <c r="R5396" t="s">
        <v>320</v>
      </c>
      <c r="S5396" t="s">
        <v>323</v>
      </c>
      <c r="U5396">
        <v>7.6</v>
      </c>
      <c r="Y5396" s="42">
        <v>44635</v>
      </c>
    </row>
    <row r="5397" spans="14:25">
      <c r="N5397" s="42">
        <v>44622</v>
      </c>
      <c r="O5397" t="s">
        <v>328</v>
      </c>
      <c r="P5397" s="42">
        <v>44622</v>
      </c>
      <c r="Q5397" t="s">
        <v>328</v>
      </c>
      <c r="R5397" t="s">
        <v>320</v>
      </c>
      <c r="S5397" t="s">
        <v>323</v>
      </c>
      <c r="T5397">
        <v>7.6</v>
      </c>
      <c r="V5397">
        <v>0</v>
      </c>
      <c r="Y5397" s="42">
        <v>44635</v>
      </c>
    </row>
    <row r="5398" spans="14:25">
      <c r="N5398" s="42">
        <v>44608</v>
      </c>
      <c r="O5398" t="s">
        <v>328</v>
      </c>
      <c r="P5398" s="42">
        <v>44610</v>
      </c>
      <c r="Q5398" t="s">
        <v>346</v>
      </c>
      <c r="R5398" t="s">
        <v>320</v>
      </c>
      <c r="S5398" t="s">
        <v>323</v>
      </c>
      <c r="T5398">
        <v>22.8</v>
      </c>
      <c r="V5398">
        <v>0</v>
      </c>
      <c r="Y5398" s="42">
        <v>44621</v>
      </c>
    </row>
    <row r="5399" spans="14:25">
      <c r="N5399" s="42">
        <v>44587</v>
      </c>
      <c r="O5399" t="s">
        <v>328</v>
      </c>
      <c r="P5399" s="42">
        <v>44587</v>
      </c>
      <c r="Q5399" t="s">
        <v>328</v>
      </c>
      <c r="R5399" t="s">
        <v>320</v>
      </c>
      <c r="S5399" t="s">
        <v>323</v>
      </c>
      <c r="U5399">
        <v>7.6</v>
      </c>
      <c r="Y5399" s="42">
        <v>44593</v>
      </c>
    </row>
    <row r="5400" spans="14:25">
      <c r="N5400" s="42">
        <v>44564</v>
      </c>
      <c r="O5400" t="s">
        <v>345</v>
      </c>
      <c r="P5400" s="42">
        <v>44564</v>
      </c>
      <c r="Q5400" t="s">
        <v>345</v>
      </c>
      <c r="R5400" t="s">
        <v>320</v>
      </c>
      <c r="S5400" t="s">
        <v>323</v>
      </c>
      <c r="U5400">
        <v>7.6</v>
      </c>
      <c r="Y5400" s="42">
        <v>44565</v>
      </c>
    </row>
    <row r="5401" spans="14:25">
      <c r="N5401" s="42">
        <v>44562</v>
      </c>
      <c r="O5401" t="s">
        <v>359</v>
      </c>
      <c r="P5401" s="42">
        <v>44562</v>
      </c>
      <c r="Q5401" t="s">
        <v>359</v>
      </c>
      <c r="R5401" t="s">
        <v>320</v>
      </c>
      <c r="S5401" t="s">
        <v>323</v>
      </c>
      <c r="U5401">
        <v>7.6</v>
      </c>
    </row>
    <row r="5402" spans="14:25">
      <c r="N5402" s="42">
        <v>44558</v>
      </c>
      <c r="O5402" t="s">
        <v>333</v>
      </c>
      <c r="P5402" s="42">
        <v>44558</v>
      </c>
      <c r="Q5402" t="s">
        <v>333</v>
      </c>
      <c r="R5402" t="s">
        <v>320</v>
      </c>
      <c r="S5402" t="s">
        <v>323</v>
      </c>
      <c r="U5402">
        <v>7.6</v>
      </c>
    </row>
    <row r="5403" spans="14:25">
      <c r="N5403" s="42">
        <v>44558</v>
      </c>
      <c r="O5403" t="s">
        <v>333</v>
      </c>
      <c r="P5403" s="42">
        <v>44558</v>
      </c>
      <c r="Q5403" t="s">
        <v>333</v>
      </c>
      <c r="R5403" t="s">
        <v>320</v>
      </c>
      <c r="S5403" t="s">
        <v>323</v>
      </c>
      <c r="U5403">
        <v>7.6</v>
      </c>
      <c r="Y5403" s="42">
        <v>44565</v>
      </c>
    </row>
    <row r="5404" spans="14:25">
      <c r="N5404" s="42">
        <v>44557</v>
      </c>
      <c r="O5404" t="s">
        <v>345</v>
      </c>
      <c r="P5404" s="42">
        <v>44557</v>
      </c>
      <c r="Q5404" t="s">
        <v>345</v>
      </c>
      <c r="R5404" t="s">
        <v>320</v>
      </c>
      <c r="S5404" t="s">
        <v>323</v>
      </c>
      <c r="U5404">
        <v>7.6</v>
      </c>
      <c r="Y5404" s="42">
        <v>44565</v>
      </c>
    </row>
    <row r="5405" spans="14:25">
      <c r="N5405" s="42">
        <v>44555</v>
      </c>
      <c r="O5405" t="s">
        <v>359</v>
      </c>
      <c r="P5405" s="42">
        <v>44555</v>
      </c>
      <c r="Q5405" t="s">
        <v>359</v>
      </c>
      <c r="R5405" t="s">
        <v>320</v>
      </c>
      <c r="S5405" t="s">
        <v>323</v>
      </c>
      <c r="U5405">
        <v>7.6</v>
      </c>
    </row>
    <row r="5406" spans="14:25">
      <c r="N5406" s="42">
        <v>44545</v>
      </c>
      <c r="O5406" t="s">
        <v>328</v>
      </c>
      <c r="P5406" s="42">
        <v>44545</v>
      </c>
      <c r="Q5406" t="s">
        <v>328</v>
      </c>
      <c r="R5406" t="s">
        <v>329</v>
      </c>
      <c r="S5406" t="s">
        <v>323</v>
      </c>
      <c r="T5406">
        <v>1.5</v>
      </c>
      <c r="W5406" t="s">
        <v>339</v>
      </c>
      <c r="Y5406" s="42">
        <v>44551</v>
      </c>
    </row>
    <row r="5407" spans="14:25">
      <c r="N5407" s="42">
        <v>44536</v>
      </c>
      <c r="O5407" t="s">
        <v>345</v>
      </c>
      <c r="P5407" s="42">
        <v>44537</v>
      </c>
      <c r="Q5407" t="s">
        <v>333</v>
      </c>
      <c r="R5407" t="s">
        <v>320</v>
      </c>
      <c r="S5407" t="s">
        <v>323</v>
      </c>
      <c r="T5407">
        <v>15.2</v>
      </c>
      <c r="V5407">
        <v>0</v>
      </c>
      <c r="Y5407" s="42">
        <v>44537</v>
      </c>
    </row>
    <row r="5408" spans="14:25">
      <c r="N5408" s="42">
        <v>44502</v>
      </c>
      <c r="O5408" t="s">
        <v>333</v>
      </c>
      <c r="P5408" s="42">
        <v>44502</v>
      </c>
      <c r="Q5408" t="s">
        <v>333</v>
      </c>
      <c r="R5408" t="s">
        <v>320</v>
      </c>
      <c r="S5408" t="s">
        <v>323</v>
      </c>
      <c r="U5408">
        <v>7.6</v>
      </c>
    </row>
    <row r="5409" spans="14:25">
      <c r="N5409" s="42">
        <v>44463</v>
      </c>
      <c r="O5409" t="s">
        <v>346</v>
      </c>
      <c r="P5409" s="42">
        <v>44463</v>
      </c>
      <c r="Q5409" t="s">
        <v>346</v>
      </c>
      <c r="R5409" t="s">
        <v>320</v>
      </c>
      <c r="S5409" t="s">
        <v>323</v>
      </c>
      <c r="U5409">
        <v>7.6</v>
      </c>
    </row>
    <row r="5410" spans="14:25">
      <c r="N5410" s="42">
        <v>44446</v>
      </c>
      <c r="O5410" t="s">
        <v>333</v>
      </c>
      <c r="P5410" s="42">
        <v>44446</v>
      </c>
      <c r="Q5410" t="s">
        <v>333</v>
      </c>
      <c r="R5410" t="s">
        <v>329</v>
      </c>
      <c r="S5410" t="s">
        <v>323</v>
      </c>
      <c r="T5410">
        <v>7.6</v>
      </c>
      <c r="W5410" t="s">
        <v>330</v>
      </c>
      <c r="Y5410" s="42">
        <v>44453</v>
      </c>
    </row>
    <row r="5411" spans="14:25">
      <c r="N5411" s="42">
        <v>44419</v>
      </c>
      <c r="O5411" t="s">
        <v>328</v>
      </c>
      <c r="P5411" s="42">
        <v>44419</v>
      </c>
      <c r="Q5411" t="s">
        <v>328</v>
      </c>
      <c r="R5411" t="s">
        <v>329</v>
      </c>
      <c r="S5411" t="s">
        <v>323</v>
      </c>
      <c r="T5411">
        <v>2</v>
      </c>
      <c r="W5411" t="s">
        <v>330</v>
      </c>
      <c r="Y5411" s="42">
        <v>44425</v>
      </c>
    </row>
    <row r="5412" spans="14:25">
      <c r="N5412" s="42">
        <v>44414</v>
      </c>
      <c r="O5412" t="s">
        <v>346</v>
      </c>
      <c r="P5412" s="42">
        <v>44414</v>
      </c>
      <c r="Q5412" t="s">
        <v>346</v>
      </c>
      <c r="R5412" t="s">
        <v>329</v>
      </c>
      <c r="S5412" t="s">
        <v>323</v>
      </c>
      <c r="T5412">
        <v>7.6</v>
      </c>
      <c r="W5412" t="s">
        <v>330</v>
      </c>
      <c r="Y5412" s="42">
        <v>44425</v>
      </c>
    </row>
    <row r="5413" spans="14:25">
      <c r="N5413" s="42">
        <v>44412</v>
      </c>
      <c r="O5413" t="s">
        <v>328</v>
      </c>
      <c r="P5413" s="42">
        <v>44412</v>
      </c>
      <c r="Q5413" t="s">
        <v>328</v>
      </c>
      <c r="R5413" t="s">
        <v>320</v>
      </c>
      <c r="S5413" t="s">
        <v>323</v>
      </c>
      <c r="T5413">
        <v>7.6</v>
      </c>
      <c r="Y5413" s="42">
        <v>44425</v>
      </c>
    </row>
    <row r="5414" spans="14:25">
      <c r="N5414" s="42">
        <v>44405</v>
      </c>
      <c r="O5414" t="s">
        <v>328</v>
      </c>
      <c r="P5414" s="42">
        <v>44405</v>
      </c>
      <c r="Q5414" t="s">
        <v>328</v>
      </c>
      <c r="R5414" t="s">
        <v>320</v>
      </c>
      <c r="S5414" t="s">
        <v>323</v>
      </c>
      <c r="T5414">
        <v>7.6</v>
      </c>
      <c r="Y5414" s="42">
        <v>44411</v>
      </c>
    </row>
    <row r="5415" spans="14:25">
      <c r="N5415" s="42">
        <v>44398</v>
      </c>
      <c r="O5415" t="s">
        <v>328</v>
      </c>
      <c r="P5415" s="42">
        <v>44398</v>
      </c>
      <c r="Q5415" t="s">
        <v>328</v>
      </c>
      <c r="R5415" t="s">
        <v>329</v>
      </c>
      <c r="S5415" t="s">
        <v>323</v>
      </c>
      <c r="T5415">
        <v>7.6</v>
      </c>
      <c r="W5415" t="s">
        <v>330</v>
      </c>
      <c r="Y5415" s="42">
        <v>44411</v>
      </c>
    </row>
    <row r="5416" spans="14:25">
      <c r="N5416" s="42">
        <v>44391</v>
      </c>
      <c r="O5416" t="s">
        <v>328</v>
      </c>
      <c r="P5416" s="42">
        <v>44391</v>
      </c>
      <c r="Q5416" t="s">
        <v>328</v>
      </c>
      <c r="R5416" t="s">
        <v>320</v>
      </c>
      <c r="S5416" t="s">
        <v>323</v>
      </c>
      <c r="T5416">
        <v>7.6</v>
      </c>
      <c r="Y5416" s="42">
        <v>44397</v>
      </c>
    </row>
    <row r="5417" spans="14:25">
      <c r="N5417" s="42">
        <v>44384</v>
      </c>
      <c r="O5417" t="s">
        <v>328</v>
      </c>
      <c r="P5417" s="42">
        <v>44384</v>
      </c>
      <c r="Q5417" t="s">
        <v>328</v>
      </c>
      <c r="R5417" t="s">
        <v>320</v>
      </c>
      <c r="S5417" t="s">
        <v>323</v>
      </c>
      <c r="T5417">
        <v>7.6</v>
      </c>
      <c r="Y5417" s="42">
        <v>44397</v>
      </c>
    </row>
    <row r="5418" spans="14:25">
      <c r="N5418" s="42">
        <v>44377</v>
      </c>
      <c r="O5418" t="s">
        <v>328</v>
      </c>
      <c r="P5418" s="42">
        <v>44377</v>
      </c>
      <c r="Q5418" t="s">
        <v>328</v>
      </c>
      <c r="R5418" t="s">
        <v>320</v>
      </c>
      <c r="S5418" t="s">
        <v>323</v>
      </c>
      <c r="T5418">
        <v>7.6</v>
      </c>
      <c r="Y5418" s="42">
        <v>44383</v>
      </c>
    </row>
    <row r="5419" spans="14:25">
      <c r="N5419" s="42">
        <v>44370</v>
      </c>
      <c r="O5419" t="s">
        <v>328</v>
      </c>
      <c r="P5419" s="42">
        <v>44370</v>
      </c>
      <c r="Q5419" t="s">
        <v>328</v>
      </c>
      <c r="R5419" t="s">
        <v>320</v>
      </c>
      <c r="S5419" t="s">
        <v>323</v>
      </c>
      <c r="T5419">
        <v>7.6</v>
      </c>
      <c r="Y5419" s="42">
        <v>44383</v>
      </c>
    </row>
    <row r="5420" spans="14:25">
      <c r="N5420" s="42">
        <v>44364</v>
      </c>
      <c r="O5420" t="s">
        <v>324</v>
      </c>
      <c r="P5420" s="42">
        <v>44364</v>
      </c>
      <c r="Q5420" t="s">
        <v>324</v>
      </c>
      <c r="R5420" t="s">
        <v>320</v>
      </c>
      <c r="S5420" t="s">
        <v>323</v>
      </c>
      <c r="T5420">
        <v>7.6</v>
      </c>
      <c r="Y5420" s="42">
        <v>44369</v>
      </c>
    </row>
    <row r="5421" spans="14:25">
      <c r="N5421" s="42">
        <v>44363</v>
      </c>
      <c r="O5421" t="s">
        <v>328</v>
      </c>
      <c r="P5421" s="42">
        <v>44363</v>
      </c>
      <c r="Q5421" t="s">
        <v>328</v>
      </c>
      <c r="R5421" t="s">
        <v>320</v>
      </c>
      <c r="S5421" t="s">
        <v>323</v>
      </c>
      <c r="T5421">
        <v>7.6</v>
      </c>
      <c r="Y5421" s="42">
        <v>44369</v>
      </c>
    </row>
    <row r="5422" spans="14:25">
      <c r="N5422" s="42">
        <v>44362</v>
      </c>
      <c r="O5422" t="s">
        <v>333</v>
      </c>
      <c r="P5422" s="42">
        <v>44362</v>
      </c>
      <c r="Q5422" t="s">
        <v>333</v>
      </c>
      <c r="R5422" t="s">
        <v>320</v>
      </c>
      <c r="S5422" t="s">
        <v>323</v>
      </c>
      <c r="T5422">
        <v>7.6</v>
      </c>
      <c r="Y5422" s="42">
        <v>44369</v>
      </c>
    </row>
    <row r="5423" spans="14:25">
      <c r="N5423" s="42">
        <v>44361</v>
      </c>
      <c r="O5423" t="s">
        <v>345</v>
      </c>
      <c r="P5423" s="42">
        <v>44361</v>
      </c>
      <c r="Q5423" t="s">
        <v>345</v>
      </c>
      <c r="R5423" t="s">
        <v>320</v>
      </c>
      <c r="S5423" t="s">
        <v>323</v>
      </c>
      <c r="U5423">
        <v>7.6</v>
      </c>
    </row>
    <row r="5424" spans="14:25">
      <c r="N5424" s="42">
        <v>44357</v>
      </c>
      <c r="O5424" t="s">
        <v>324</v>
      </c>
      <c r="P5424" s="42">
        <v>44357</v>
      </c>
      <c r="Q5424" t="s">
        <v>324</v>
      </c>
      <c r="R5424" t="s">
        <v>320</v>
      </c>
      <c r="S5424" t="s">
        <v>323</v>
      </c>
      <c r="T5424">
        <v>7.6</v>
      </c>
      <c r="Y5424" s="42">
        <v>44369</v>
      </c>
    </row>
    <row r="5425" spans="14:25">
      <c r="N5425" s="42">
        <v>44354</v>
      </c>
      <c r="O5425" t="s">
        <v>345</v>
      </c>
      <c r="P5425" s="42">
        <v>44354</v>
      </c>
      <c r="Q5425" t="s">
        <v>345</v>
      </c>
      <c r="R5425" t="s">
        <v>329</v>
      </c>
      <c r="S5425" t="s">
        <v>323</v>
      </c>
      <c r="T5425">
        <v>7.6</v>
      </c>
      <c r="W5425" t="s">
        <v>330</v>
      </c>
      <c r="Y5425" s="42">
        <v>44355</v>
      </c>
    </row>
    <row r="5426" spans="14:25">
      <c r="N5426" s="42">
        <v>44353</v>
      </c>
      <c r="O5426" t="s">
        <v>344</v>
      </c>
      <c r="P5426" s="42">
        <v>44353</v>
      </c>
      <c r="Q5426" t="s">
        <v>344</v>
      </c>
      <c r="R5426" t="s">
        <v>329</v>
      </c>
      <c r="S5426" t="s">
        <v>323</v>
      </c>
      <c r="T5426">
        <v>2.08</v>
      </c>
      <c r="W5426" t="s">
        <v>330</v>
      </c>
      <c r="Y5426" s="42">
        <v>44355</v>
      </c>
    </row>
    <row r="5427" spans="14:25">
      <c r="N5427" s="42">
        <v>44311</v>
      </c>
      <c r="O5427" t="s">
        <v>344</v>
      </c>
      <c r="P5427" s="42">
        <v>44311</v>
      </c>
      <c r="Q5427" t="s">
        <v>344</v>
      </c>
      <c r="R5427" t="s">
        <v>320</v>
      </c>
      <c r="S5427" t="s">
        <v>323</v>
      </c>
      <c r="U5427">
        <v>7.6</v>
      </c>
    </row>
    <row r="5428" spans="14:25">
      <c r="N5428" s="42">
        <v>44294</v>
      </c>
      <c r="O5428" t="s">
        <v>324</v>
      </c>
      <c r="P5428" s="42">
        <v>44294</v>
      </c>
      <c r="Q5428" t="s">
        <v>324</v>
      </c>
      <c r="R5428" t="s">
        <v>320</v>
      </c>
      <c r="S5428" t="s">
        <v>323</v>
      </c>
      <c r="T5428">
        <v>7.6</v>
      </c>
      <c r="Y5428" s="42">
        <v>44299</v>
      </c>
    </row>
    <row r="5429" spans="14:25">
      <c r="N5429" s="42">
        <v>44293</v>
      </c>
      <c r="O5429" t="s">
        <v>328</v>
      </c>
      <c r="P5429" s="42">
        <v>44293</v>
      </c>
      <c r="Q5429" t="s">
        <v>328</v>
      </c>
      <c r="R5429" t="s">
        <v>320</v>
      </c>
      <c r="S5429" t="s">
        <v>323</v>
      </c>
      <c r="T5429">
        <v>7.6</v>
      </c>
      <c r="Y5429" s="42">
        <v>44299</v>
      </c>
    </row>
    <row r="5430" spans="14:25">
      <c r="N5430" s="42">
        <v>44292</v>
      </c>
      <c r="O5430" t="s">
        <v>333</v>
      </c>
      <c r="P5430" s="42">
        <v>44292</v>
      </c>
      <c r="Q5430" t="s">
        <v>333</v>
      </c>
      <c r="R5430" t="s">
        <v>320</v>
      </c>
      <c r="S5430" t="s">
        <v>323</v>
      </c>
      <c r="T5430">
        <v>7.6</v>
      </c>
      <c r="Y5430" s="42">
        <v>44299</v>
      </c>
    </row>
    <row r="5431" spans="14:25">
      <c r="N5431" s="42">
        <v>44291</v>
      </c>
      <c r="O5431" t="s">
        <v>345</v>
      </c>
      <c r="P5431" s="42">
        <v>44291</v>
      </c>
      <c r="Q5431" t="s">
        <v>345</v>
      </c>
      <c r="R5431" t="s">
        <v>320</v>
      </c>
      <c r="S5431" t="s">
        <v>323</v>
      </c>
      <c r="U5431">
        <v>7.6</v>
      </c>
    </row>
    <row r="5432" spans="14:25">
      <c r="N5432" s="42">
        <v>44290</v>
      </c>
      <c r="O5432" t="s">
        <v>344</v>
      </c>
      <c r="P5432" s="42">
        <v>44290</v>
      </c>
      <c r="Q5432" t="s">
        <v>344</v>
      </c>
      <c r="R5432" t="s">
        <v>320</v>
      </c>
      <c r="S5432" t="s">
        <v>323</v>
      </c>
      <c r="U5432">
        <v>7.6</v>
      </c>
    </row>
    <row r="5433" spans="14:25">
      <c r="N5433" s="42">
        <v>44266</v>
      </c>
      <c r="O5433" t="s">
        <v>324</v>
      </c>
      <c r="P5433" s="42">
        <v>44266</v>
      </c>
      <c r="Q5433" t="s">
        <v>324</v>
      </c>
      <c r="R5433" t="s">
        <v>329</v>
      </c>
      <c r="S5433" t="s">
        <v>323</v>
      </c>
      <c r="T5433">
        <v>3.5</v>
      </c>
      <c r="W5433" t="s">
        <v>330</v>
      </c>
      <c r="Y5433" s="42">
        <v>44271</v>
      </c>
    </row>
    <row r="5434" spans="14:25">
      <c r="N5434" s="42">
        <v>44263</v>
      </c>
      <c r="O5434" t="s">
        <v>345</v>
      </c>
      <c r="P5434" s="42">
        <v>44263</v>
      </c>
      <c r="Q5434" t="s">
        <v>345</v>
      </c>
      <c r="R5434" t="s">
        <v>320</v>
      </c>
      <c r="S5434" t="s">
        <v>323</v>
      </c>
      <c r="U5434">
        <v>7.6</v>
      </c>
    </row>
    <row r="5435" spans="14:25">
      <c r="N5435" s="42">
        <v>44256</v>
      </c>
      <c r="O5435" t="s">
        <v>345</v>
      </c>
      <c r="P5435" s="42">
        <v>44256</v>
      </c>
      <c r="Q5435" t="s">
        <v>345</v>
      </c>
      <c r="R5435" t="s">
        <v>329</v>
      </c>
      <c r="S5435" t="s">
        <v>323</v>
      </c>
      <c r="T5435">
        <v>3.75</v>
      </c>
      <c r="W5435" t="s">
        <v>330</v>
      </c>
      <c r="Y5435" s="42">
        <v>44257</v>
      </c>
    </row>
    <row r="5436" spans="14:25">
      <c r="N5436" s="42">
        <v>44245</v>
      </c>
      <c r="O5436" t="s">
        <v>324</v>
      </c>
      <c r="P5436" s="42">
        <v>44245</v>
      </c>
      <c r="Q5436" t="s">
        <v>324</v>
      </c>
      <c r="R5436" t="s">
        <v>320</v>
      </c>
      <c r="S5436" t="s">
        <v>323</v>
      </c>
      <c r="T5436">
        <v>7.6</v>
      </c>
      <c r="Y5436" s="42">
        <v>44257</v>
      </c>
    </row>
    <row r="5437" spans="14:25">
      <c r="N5437" s="42">
        <v>44242</v>
      </c>
      <c r="O5437" t="s">
        <v>345</v>
      </c>
      <c r="P5437" s="42">
        <v>44242</v>
      </c>
      <c r="Q5437" t="s">
        <v>345</v>
      </c>
      <c r="R5437" t="s">
        <v>320</v>
      </c>
      <c r="S5437" t="s">
        <v>323</v>
      </c>
      <c r="T5437">
        <v>7.6</v>
      </c>
      <c r="Y5437" s="42">
        <v>44243</v>
      </c>
    </row>
    <row r="5438" spans="14:25">
      <c r="N5438" s="42">
        <v>44224</v>
      </c>
      <c r="O5438" t="s">
        <v>324</v>
      </c>
      <c r="P5438" s="42">
        <v>44224</v>
      </c>
      <c r="Q5438" t="s">
        <v>324</v>
      </c>
      <c r="R5438" t="s">
        <v>329</v>
      </c>
      <c r="S5438" t="s">
        <v>323</v>
      </c>
      <c r="T5438">
        <v>3.25</v>
      </c>
      <c r="W5438" t="s">
        <v>330</v>
      </c>
      <c r="Y5438" s="42">
        <v>44229</v>
      </c>
    </row>
    <row r="5439" spans="14:25">
      <c r="N5439" s="42">
        <v>44222</v>
      </c>
      <c r="O5439" t="s">
        <v>333</v>
      </c>
      <c r="P5439" s="42">
        <v>44222</v>
      </c>
      <c r="Q5439" t="s">
        <v>333</v>
      </c>
      <c r="R5439" t="s">
        <v>320</v>
      </c>
      <c r="S5439" t="s">
        <v>323</v>
      </c>
      <c r="U5439">
        <v>7.6</v>
      </c>
    </row>
    <row r="5440" spans="14:25">
      <c r="N5440" s="42">
        <v>44215</v>
      </c>
      <c r="O5440" t="s">
        <v>333</v>
      </c>
      <c r="P5440" s="42">
        <v>44215</v>
      </c>
      <c r="Q5440" t="s">
        <v>333</v>
      </c>
      <c r="R5440" t="s">
        <v>329</v>
      </c>
      <c r="S5440" t="s">
        <v>323</v>
      </c>
      <c r="T5440">
        <v>7.6</v>
      </c>
      <c r="W5440" t="s">
        <v>330</v>
      </c>
      <c r="Y5440" s="42">
        <v>44215</v>
      </c>
    </row>
    <row r="5441" spans="14:25">
      <c r="N5441" s="42">
        <v>44201</v>
      </c>
      <c r="O5441" t="s">
        <v>333</v>
      </c>
      <c r="P5441" s="42">
        <v>44201</v>
      </c>
      <c r="Q5441" t="s">
        <v>333</v>
      </c>
      <c r="R5441" t="s">
        <v>320</v>
      </c>
      <c r="S5441" t="s">
        <v>323</v>
      </c>
      <c r="T5441">
        <v>7.6</v>
      </c>
      <c r="Y5441" s="42">
        <v>44201</v>
      </c>
    </row>
    <row r="5442" spans="14:25">
      <c r="N5442" s="42">
        <v>44193</v>
      </c>
      <c r="O5442" t="s">
        <v>345</v>
      </c>
      <c r="P5442" s="42">
        <v>44193</v>
      </c>
      <c r="Q5442" t="s">
        <v>345</v>
      </c>
      <c r="R5442" t="s">
        <v>320</v>
      </c>
      <c r="S5442" t="s">
        <v>323</v>
      </c>
      <c r="U5442">
        <v>7.6</v>
      </c>
    </row>
    <row r="5443" spans="14:25">
      <c r="N5443" s="42">
        <v>44167</v>
      </c>
      <c r="O5443" t="s">
        <v>328</v>
      </c>
      <c r="P5443" s="42">
        <v>44167</v>
      </c>
      <c r="Q5443" t="s">
        <v>328</v>
      </c>
      <c r="R5443" t="s">
        <v>320</v>
      </c>
      <c r="S5443" t="s">
        <v>323</v>
      </c>
      <c r="T5443">
        <v>7.6</v>
      </c>
      <c r="Y5443" s="42">
        <v>44173</v>
      </c>
    </row>
    <row r="5444" spans="14:25">
      <c r="N5444" s="42">
        <v>44161</v>
      </c>
      <c r="O5444" t="s">
        <v>324</v>
      </c>
      <c r="P5444" s="42">
        <v>44161</v>
      </c>
      <c r="Q5444" t="s">
        <v>324</v>
      </c>
      <c r="R5444" t="s">
        <v>320</v>
      </c>
      <c r="S5444" t="s">
        <v>323</v>
      </c>
      <c r="T5444">
        <v>7.6</v>
      </c>
      <c r="Y5444" s="42">
        <v>44173</v>
      </c>
    </row>
    <row r="5445" spans="14:25">
      <c r="N5445" s="42">
        <v>44160</v>
      </c>
      <c r="O5445" t="s">
        <v>328</v>
      </c>
      <c r="P5445" s="42">
        <v>44160</v>
      </c>
      <c r="Q5445" t="s">
        <v>328</v>
      </c>
      <c r="R5445" t="s">
        <v>329</v>
      </c>
      <c r="S5445" t="s">
        <v>323</v>
      </c>
      <c r="T5445">
        <v>0.5</v>
      </c>
      <c r="W5445" t="s">
        <v>330</v>
      </c>
      <c r="Y5445" s="42">
        <v>44173</v>
      </c>
    </row>
    <row r="5446" spans="14:25">
      <c r="N5446" s="42">
        <v>44138</v>
      </c>
      <c r="O5446" t="s">
        <v>333</v>
      </c>
      <c r="P5446" s="42">
        <v>44138</v>
      </c>
      <c r="Q5446" t="s">
        <v>333</v>
      </c>
      <c r="R5446" t="s">
        <v>320</v>
      </c>
      <c r="S5446" t="s">
        <v>323</v>
      </c>
      <c r="U5446">
        <v>7.6</v>
      </c>
    </row>
    <row r="5447" spans="14:25">
      <c r="N5447" s="42">
        <v>44041</v>
      </c>
      <c r="O5447" t="s">
        <v>328</v>
      </c>
      <c r="P5447" s="42">
        <v>44041</v>
      </c>
      <c r="Q5447" t="s">
        <v>328</v>
      </c>
      <c r="R5447" t="s">
        <v>320</v>
      </c>
      <c r="S5447" t="s">
        <v>323</v>
      </c>
      <c r="T5447">
        <v>7.6</v>
      </c>
      <c r="Y5447" s="42">
        <v>44047</v>
      </c>
    </row>
    <row r="5448" spans="14:25">
      <c r="N5448" s="42">
        <v>44019</v>
      </c>
      <c r="O5448" t="s">
        <v>333</v>
      </c>
      <c r="P5448" s="42">
        <v>44019</v>
      </c>
      <c r="Q5448" t="s">
        <v>333</v>
      </c>
      <c r="R5448" t="s">
        <v>320</v>
      </c>
      <c r="S5448" t="s">
        <v>323</v>
      </c>
      <c r="T5448">
        <v>7.6</v>
      </c>
      <c r="Y5448" s="42">
        <v>44019</v>
      </c>
    </row>
    <row r="5449" spans="14:25">
      <c r="N5449" s="42">
        <v>44005</v>
      </c>
      <c r="O5449" t="s">
        <v>333</v>
      </c>
      <c r="P5449" s="42">
        <v>44005</v>
      </c>
      <c r="Q5449" t="s">
        <v>333</v>
      </c>
      <c r="R5449" t="s">
        <v>320</v>
      </c>
      <c r="S5449" t="s">
        <v>323</v>
      </c>
      <c r="T5449">
        <v>7.6</v>
      </c>
      <c r="Y5449" s="42">
        <v>44005</v>
      </c>
    </row>
    <row r="5450" spans="14:25">
      <c r="N5450" s="42">
        <v>43998</v>
      </c>
      <c r="O5450" t="s">
        <v>333</v>
      </c>
      <c r="P5450" s="42">
        <v>43998</v>
      </c>
      <c r="Q5450" t="s">
        <v>333</v>
      </c>
      <c r="R5450" t="s">
        <v>320</v>
      </c>
      <c r="S5450" t="s">
        <v>323</v>
      </c>
      <c r="T5450">
        <v>7.6</v>
      </c>
      <c r="Y5450" s="42">
        <v>44005</v>
      </c>
    </row>
    <row r="5451" spans="14:25">
      <c r="N5451" s="42">
        <v>43997</v>
      </c>
      <c r="O5451" t="s">
        <v>345</v>
      </c>
      <c r="P5451" s="42">
        <v>43997</v>
      </c>
      <c r="Q5451" t="s">
        <v>345</v>
      </c>
      <c r="R5451" t="s">
        <v>320</v>
      </c>
      <c r="S5451" t="s">
        <v>323</v>
      </c>
      <c r="T5451">
        <v>7.6</v>
      </c>
      <c r="Y5451" s="42">
        <v>44005</v>
      </c>
    </row>
    <row r="5452" spans="14:25">
      <c r="N5452" s="42">
        <v>43993</v>
      </c>
      <c r="O5452" t="s">
        <v>324</v>
      </c>
      <c r="P5452" s="42">
        <v>43993</v>
      </c>
      <c r="Q5452" t="s">
        <v>324</v>
      </c>
      <c r="R5452" t="s">
        <v>329</v>
      </c>
      <c r="S5452" t="s">
        <v>323</v>
      </c>
      <c r="T5452">
        <v>3.25</v>
      </c>
      <c r="W5452" t="s">
        <v>330</v>
      </c>
      <c r="Y5452" s="42">
        <v>44005</v>
      </c>
    </row>
    <row r="5453" spans="14:25">
      <c r="N5453" s="42">
        <v>43992</v>
      </c>
      <c r="O5453" t="s">
        <v>328</v>
      </c>
      <c r="P5453" s="42">
        <v>43992</v>
      </c>
      <c r="Q5453" t="s">
        <v>328</v>
      </c>
      <c r="R5453" t="s">
        <v>320</v>
      </c>
      <c r="S5453" t="s">
        <v>323</v>
      </c>
      <c r="T5453">
        <v>7.6</v>
      </c>
      <c r="Y5453" s="42">
        <v>44005</v>
      </c>
    </row>
    <row r="5454" spans="14:25">
      <c r="N5454" s="42">
        <v>43890</v>
      </c>
      <c r="O5454" t="s">
        <v>359</v>
      </c>
      <c r="P5454" s="42">
        <v>43890</v>
      </c>
      <c r="Q5454" t="s">
        <v>359</v>
      </c>
      <c r="R5454" t="s">
        <v>329</v>
      </c>
      <c r="S5454" t="s">
        <v>323</v>
      </c>
      <c r="T5454">
        <v>1.25</v>
      </c>
      <c r="W5454" t="s">
        <v>330</v>
      </c>
      <c r="Y5454" s="42">
        <v>43893</v>
      </c>
    </row>
    <row r="5455" spans="14:25">
      <c r="N5455" s="42">
        <v>43889</v>
      </c>
      <c r="O5455" t="s">
        <v>346</v>
      </c>
      <c r="P5455" s="42">
        <v>43889</v>
      </c>
      <c r="Q5455" t="s">
        <v>346</v>
      </c>
      <c r="R5455" t="s">
        <v>329</v>
      </c>
      <c r="S5455" t="s">
        <v>323</v>
      </c>
      <c r="T5455">
        <v>7.6</v>
      </c>
      <c r="W5455" t="s">
        <v>330</v>
      </c>
      <c r="Y5455" s="42">
        <v>43893</v>
      </c>
    </row>
    <row r="5456" spans="14:25">
      <c r="N5456" s="42">
        <v>43830</v>
      </c>
      <c r="O5456" t="s">
        <v>333</v>
      </c>
      <c r="P5456" s="42">
        <v>43830</v>
      </c>
      <c r="Q5456" t="s">
        <v>333</v>
      </c>
      <c r="R5456" t="s">
        <v>320</v>
      </c>
      <c r="S5456" t="s">
        <v>323</v>
      </c>
      <c r="T5456">
        <v>7.6</v>
      </c>
      <c r="Y5456" s="42">
        <v>43837</v>
      </c>
    </row>
    <row r="5457" spans="14:25">
      <c r="N5457" s="42">
        <v>43803</v>
      </c>
      <c r="O5457" t="s">
        <v>328</v>
      </c>
      <c r="P5457" s="42">
        <v>43803</v>
      </c>
      <c r="Q5457" t="s">
        <v>328</v>
      </c>
      <c r="R5457" t="s">
        <v>329</v>
      </c>
      <c r="S5457" t="s">
        <v>323</v>
      </c>
      <c r="T5457">
        <v>7.6</v>
      </c>
      <c r="W5457" t="s">
        <v>330</v>
      </c>
      <c r="Y5457" s="42">
        <v>43809</v>
      </c>
    </row>
    <row r="5458" spans="14:25">
      <c r="N5458" s="42">
        <v>43783</v>
      </c>
      <c r="O5458" t="s">
        <v>324</v>
      </c>
      <c r="P5458" s="42">
        <v>43783</v>
      </c>
      <c r="Q5458" t="s">
        <v>324</v>
      </c>
      <c r="R5458" t="s">
        <v>329</v>
      </c>
      <c r="S5458" t="s">
        <v>323</v>
      </c>
      <c r="T5458">
        <v>4.75</v>
      </c>
      <c r="W5458" t="s">
        <v>330</v>
      </c>
      <c r="Y5458" s="42">
        <v>43795</v>
      </c>
    </row>
    <row r="5459" spans="14:25">
      <c r="N5459" s="42">
        <v>43750</v>
      </c>
      <c r="O5459" t="s">
        <v>359</v>
      </c>
      <c r="P5459" s="42">
        <v>43750</v>
      </c>
      <c r="Q5459" t="s">
        <v>359</v>
      </c>
      <c r="R5459" t="s">
        <v>320</v>
      </c>
      <c r="S5459" t="s">
        <v>323</v>
      </c>
      <c r="T5459">
        <v>7.6</v>
      </c>
      <c r="Y5459" s="42">
        <v>43753</v>
      </c>
    </row>
    <row r="5460" spans="14:25">
      <c r="N5460" s="42">
        <v>43749</v>
      </c>
      <c r="O5460" t="s">
        <v>346</v>
      </c>
      <c r="P5460" s="42">
        <v>43749</v>
      </c>
      <c r="Q5460" t="s">
        <v>346</v>
      </c>
      <c r="R5460" t="s">
        <v>320</v>
      </c>
      <c r="S5460" t="s">
        <v>323</v>
      </c>
      <c r="T5460">
        <v>7.6</v>
      </c>
      <c r="Y5460" s="42">
        <v>43753</v>
      </c>
    </row>
    <row r="5461" spans="14:25">
      <c r="N5461" s="42">
        <v>43748</v>
      </c>
      <c r="O5461" t="s">
        <v>324</v>
      </c>
      <c r="P5461" s="42">
        <v>43748</v>
      </c>
      <c r="Q5461" t="s">
        <v>324</v>
      </c>
      <c r="R5461" t="s">
        <v>320</v>
      </c>
      <c r="S5461" t="s">
        <v>323</v>
      </c>
      <c r="T5461">
        <v>7.6</v>
      </c>
      <c r="Y5461" s="42">
        <v>43753</v>
      </c>
    </row>
    <row r="5462" spans="14:25">
      <c r="N5462" s="42">
        <v>43747</v>
      </c>
      <c r="O5462" t="s">
        <v>328</v>
      </c>
      <c r="P5462" s="42">
        <v>43747</v>
      </c>
      <c r="Q5462" t="s">
        <v>328</v>
      </c>
      <c r="R5462" t="s">
        <v>320</v>
      </c>
      <c r="S5462" t="s">
        <v>323</v>
      </c>
      <c r="T5462">
        <v>7.6</v>
      </c>
      <c r="Y5462" s="42">
        <v>43753</v>
      </c>
    </row>
    <row r="5463" spans="14:25">
      <c r="N5463" s="42">
        <v>43746</v>
      </c>
      <c r="O5463" t="s">
        <v>333</v>
      </c>
      <c r="P5463" s="42">
        <v>43746</v>
      </c>
      <c r="Q5463" t="s">
        <v>333</v>
      </c>
      <c r="R5463" t="s">
        <v>320</v>
      </c>
      <c r="S5463" t="s">
        <v>323</v>
      </c>
      <c r="T5463">
        <v>7.6</v>
      </c>
      <c r="Y5463" s="42">
        <v>43753</v>
      </c>
    </row>
    <row r="5464" spans="14:25">
      <c r="N5464" s="42">
        <v>43743</v>
      </c>
      <c r="O5464" t="s">
        <v>359</v>
      </c>
      <c r="P5464" s="42">
        <v>43743</v>
      </c>
      <c r="Q5464" t="s">
        <v>359</v>
      </c>
      <c r="R5464" t="s">
        <v>320</v>
      </c>
      <c r="S5464" t="s">
        <v>323</v>
      </c>
      <c r="T5464">
        <v>7.6</v>
      </c>
      <c r="Y5464" s="42">
        <v>43753</v>
      </c>
    </row>
    <row r="5465" spans="14:25">
      <c r="N5465" s="42">
        <v>43742</v>
      </c>
      <c r="O5465" t="s">
        <v>346</v>
      </c>
      <c r="P5465" s="42">
        <v>43742</v>
      </c>
      <c r="Q5465" t="s">
        <v>346</v>
      </c>
      <c r="R5465" t="s">
        <v>320</v>
      </c>
      <c r="S5465" t="s">
        <v>323</v>
      </c>
      <c r="T5465">
        <v>7.6</v>
      </c>
      <c r="Y5465" s="42">
        <v>43753</v>
      </c>
    </row>
    <row r="5466" spans="14:25">
      <c r="N5466" s="42">
        <v>43741</v>
      </c>
      <c r="O5466" t="s">
        <v>324</v>
      </c>
      <c r="P5466" s="42">
        <v>43741</v>
      </c>
      <c r="Q5466" t="s">
        <v>324</v>
      </c>
      <c r="R5466" t="s">
        <v>320</v>
      </c>
      <c r="S5466" t="s">
        <v>323</v>
      </c>
      <c r="T5466">
        <v>7.6</v>
      </c>
      <c r="Y5466" s="42">
        <v>43753</v>
      </c>
    </row>
    <row r="5467" spans="14:25">
      <c r="N5467" s="42">
        <v>43740</v>
      </c>
      <c r="O5467" t="s">
        <v>328</v>
      </c>
      <c r="P5467" s="42">
        <v>43740</v>
      </c>
      <c r="Q5467" t="s">
        <v>328</v>
      </c>
      <c r="R5467" t="s">
        <v>320</v>
      </c>
      <c r="S5467" t="s">
        <v>323</v>
      </c>
      <c r="T5467">
        <v>7.6</v>
      </c>
      <c r="Y5467" s="42">
        <v>43753</v>
      </c>
    </row>
    <row r="5468" spans="14:25">
      <c r="N5468" s="42">
        <v>43739</v>
      </c>
      <c r="O5468" t="s">
        <v>333</v>
      </c>
      <c r="P5468" s="42">
        <v>43739</v>
      </c>
      <c r="Q5468" t="s">
        <v>333</v>
      </c>
      <c r="R5468" t="s">
        <v>320</v>
      </c>
      <c r="S5468" t="s">
        <v>323</v>
      </c>
      <c r="T5468">
        <v>7.6</v>
      </c>
      <c r="Y5468" s="42">
        <v>43739</v>
      </c>
    </row>
    <row r="5469" spans="14:25">
      <c r="N5469" s="42">
        <v>43736</v>
      </c>
      <c r="O5469" t="s">
        <v>359</v>
      </c>
      <c r="P5469" s="42">
        <v>43736</v>
      </c>
      <c r="Q5469" t="s">
        <v>359</v>
      </c>
      <c r="R5469" t="s">
        <v>320</v>
      </c>
      <c r="S5469" t="s">
        <v>323</v>
      </c>
      <c r="T5469">
        <v>7.6</v>
      </c>
      <c r="Y5469" s="42">
        <v>43739</v>
      </c>
    </row>
    <row r="5470" spans="14:25">
      <c r="N5470" s="42">
        <v>43734</v>
      </c>
      <c r="O5470" t="s">
        <v>324</v>
      </c>
      <c r="P5470" s="42">
        <v>43734</v>
      </c>
      <c r="Q5470" t="s">
        <v>324</v>
      </c>
      <c r="R5470" t="s">
        <v>320</v>
      </c>
      <c r="S5470" t="s">
        <v>323</v>
      </c>
      <c r="T5470">
        <v>7.6</v>
      </c>
      <c r="Y5470" s="42">
        <v>43739</v>
      </c>
    </row>
    <row r="5471" spans="14:25">
      <c r="N5471" s="42">
        <v>43733</v>
      </c>
      <c r="O5471" t="s">
        <v>328</v>
      </c>
      <c r="P5471" s="42">
        <v>43733</v>
      </c>
      <c r="Q5471" t="s">
        <v>328</v>
      </c>
      <c r="R5471" t="s">
        <v>320</v>
      </c>
      <c r="S5471" t="s">
        <v>323</v>
      </c>
      <c r="T5471">
        <v>7.6</v>
      </c>
      <c r="Y5471" s="42">
        <v>43739</v>
      </c>
    </row>
    <row r="5472" spans="14:25">
      <c r="N5472" s="42">
        <v>43732</v>
      </c>
      <c r="O5472" t="s">
        <v>333</v>
      </c>
      <c r="P5472" s="42">
        <v>43732</v>
      </c>
      <c r="Q5472" t="s">
        <v>333</v>
      </c>
      <c r="R5472" t="s">
        <v>320</v>
      </c>
      <c r="S5472" t="s">
        <v>323</v>
      </c>
      <c r="T5472">
        <v>7.6</v>
      </c>
      <c r="Y5472" s="42">
        <v>43739</v>
      </c>
    </row>
    <row r="5473" spans="1:25">
      <c r="N5473" s="42">
        <v>43729</v>
      </c>
      <c r="O5473" t="s">
        <v>359</v>
      </c>
      <c r="P5473" s="42">
        <v>43729</v>
      </c>
      <c r="Q5473" t="s">
        <v>359</v>
      </c>
      <c r="R5473" t="s">
        <v>320</v>
      </c>
      <c r="S5473" t="s">
        <v>323</v>
      </c>
      <c r="T5473">
        <v>7.6</v>
      </c>
      <c r="Y5473" s="42">
        <v>43739</v>
      </c>
    </row>
    <row r="5474" spans="1:25">
      <c r="N5474" s="42">
        <v>43728</v>
      </c>
      <c r="O5474" t="s">
        <v>346</v>
      </c>
      <c r="P5474" s="42">
        <v>43728</v>
      </c>
      <c r="Q5474" t="s">
        <v>346</v>
      </c>
      <c r="R5474" t="s">
        <v>320</v>
      </c>
      <c r="S5474" t="s">
        <v>323</v>
      </c>
      <c r="T5474">
        <v>7.6</v>
      </c>
      <c r="Y5474" s="42">
        <v>43739</v>
      </c>
    </row>
    <row r="5475" spans="1:25">
      <c r="N5475" s="42">
        <v>43727</v>
      </c>
      <c r="O5475" t="s">
        <v>324</v>
      </c>
      <c r="P5475" s="42">
        <v>43727</v>
      </c>
      <c r="Q5475" t="s">
        <v>324</v>
      </c>
      <c r="R5475" t="s">
        <v>320</v>
      </c>
      <c r="S5475" t="s">
        <v>323</v>
      </c>
      <c r="T5475">
        <v>7.6</v>
      </c>
      <c r="Y5475" s="42">
        <v>43739</v>
      </c>
    </row>
    <row r="5476" spans="1:25">
      <c r="N5476" s="42">
        <v>43726</v>
      </c>
      <c r="O5476" t="s">
        <v>328</v>
      </c>
      <c r="P5476" s="42">
        <v>43726</v>
      </c>
      <c r="Q5476" t="s">
        <v>328</v>
      </c>
      <c r="R5476" t="s">
        <v>320</v>
      </c>
      <c r="S5476" t="s">
        <v>323</v>
      </c>
      <c r="T5476">
        <v>7.6</v>
      </c>
      <c r="Y5476" s="42">
        <v>43739</v>
      </c>
    </row>
    <row r="5477" spans="1:25">
      <c r="N5477" s="42">
        <v>43725</v>
      </c>
      <c r="O5477" t="s">
        <v>333</v>
      </c>
      <c r="P5477" s="42">
        <v>43725</v>
      </c>
      <c r="Q5477" t="s">
        <v>333</v>
      </c>
      <c r="R5477" t="s">
        <v>320</v>
      </c>
      <c r="S5477" t="s">
        <v>323</v>
      </c>
      <c r="T5477">
        <v>7.6</v>
      </c>
      <c r="Y5477" s="42">
        <v>43725</v>
      </c>
    </row>
    <row r="5478" spans="1:25">
      <c r="N5478" s="42">
        <v>43722</v>
      </c>
      <c r="O5478" t="s">
        <v>359</v>
      </c>
      <c r="P5478" s="42">
        <v>43722</v>
      </c>
      <c r="Q5478" t="s">
        <v>359</v>
      </c>
      <c r="R5478" t="s">
        <v>320</v>
      </c>
      <c r="S5478" t="s">
        <v>323</v>
      </c>
      <c r="T5478">
        <v>7.6</v>
      </c>
      <c r="Y5478" s="42">
        <v>43725</v>
      </c>
    </row>
    <row r="5479" spans="1:25">
      <c r="N5479" s="42">
        <v>43721</v>
      </c>
      <c r="O5479" t="s">
        <v>346</v>
      </c>
      <c r="P5479" s="42">
        <v>43721</v>
      </c>
      <c r="Q5479" t="s">
        <v>346</v>
      </c>
      <c r="R5479" t="s">
        <v>320</v>
      </c>
      <c r="S5479" t="s">
        <v>323</v>
      </c>
      <c r="T5479">
        <v>7.6</v>
      </c>
      <c r="Y5479" s="42">
        <v>43725</v>
      </c>
    </row>
    <row r="5480" spans="1:25">
      <c r="N5480" s="42">
        <v>43720</v>
      </c>
      <c r="O5480" t="s">
        <v>324</v>
      </c>
      <c r="P5480" s="42">
        <v>43720</v>
      </c>
      <c r="Q5480" t="s">
        <v>324</v>
      </c>
      <c r="R5480" t="s">
        <v>320</v>
      </c>
      <c r="S5480" t="s">
        <v>323</v>
      </c>
      <c r="T5480">
        <v>7.6</v>
      </c>
      <c r="Y5480" s="42">
        <v>43725</v>
      </c>
    </row>
    <row r="5481" spans="1:25">
      <c r="N5481" s="42">
        <v>43719</v>
      </c>
      <c r="O5481" t="s">
        <v>328</v>
      </c>
      <c r="P5481" s="42">
        <v>43719</v>
      </c>
      <c r="Q5481" t="s">
        <v>328</v>
      </c>
      <c r="R5481" t="s">
        <v>320</v>
      </c>
      <c r="S5481" t="s">
        <v>323</v>
      </c>
      <c r="T5481">
        <v>7.6</v>
      </c>
      <c r="Y5481" s="42">
        <v>43725</v>
      </c>
    </row>
    <row r="5482" spans="1:25">
      <c r="N5482" s="42">
        <v>43718</v>
      </c>
      <c r="O5482" t="s">
        <v>333</v>
      </c>
      <c r="P5482" s="42">
        <v>43718</v>
      </c>
      <c r="Q5482" t="s">
        <v>333</v>
      </c>
      <c r="R5482" t="s">
        <v>320</v>
      </c>
      <c r="S5482" t="s">
        <v>323</v>
      </c>
      <c r="T5482">
        <v>7.6</v>
      </c>
      <c r="Y5482" s="42">
        <v>43725</v>
      </c>
    </row>
    <row r="5483" spans="1:25">
      <c r="N5483" s="42">
        <v>43715</v>
      </c>
      <c r="O5483" t="s">
        <v>359</v>
      </c>
      <c r="P5483" s="42">
        <v>43715</v>
      </c>
      <c r="Q5483" t="s">
        <v>359</v>
      </c>
      <c r="R5483" t="s">
        <v>320</v>
      </c>
      <c r="S5483" t="s">
        <v>323</v>
      </c>
      <c r="T5483">
        <v>7.6</v>
      </c>
      <c r="Y5483" s="42">
        <v>43725</v>
      </c>
    </row>
    <row r="5484" spans="1:25">
      <c r="N5484" s="42">
        <v>43687</v>
      </c>
      <c r="O5484" t="s">
        <v>359</v>
      </c>
      <c r="P5484" s="42">
        <v>43687</v>
      </c>
      <c r="Q5484" t="s">
        <v>359</v>
      </c>
      <c r="R5484" t="s">
        <v>320</v>
      </c>
      <c r="S5484" t="s">
        <v>323</v>
      </c>
      <c r="T5484">
        <v>7.6</v>
      </c>
      <c r="Y5484" s="42">
        <v>43697</v>
      </c>
    </row>
    <row r="5485" spans="1:25">
      <c r="A5485">
        <v>18823</v>
      </c>
      <c r="B5485" t="s">
        <v>414</v>
      </c>
      <c r="C5485" t="s">
        <v>320</v>
      </c>
      <c r="D5485" t="s">
        <v>321</v>
      </c>
      <c r="E5485" t="s">
        <v>322</v>
      </c>
      <c r="F5485">
        <v>1</v>
      </c>
      <c r="G5485" s="42">
        <v>45048</v>
      </c>
      <c r="H5485">
        <v>81.094899999999996</v>
      </c>
      <c r="I5485">
        <v>-74.956800000000001</v>
      </c>
      <c r="J5485">
        <v>81.094899999999996</v>
      </c>
      <c r="K5485">
        <v>6.1380999999999997</v>
      </c>
      <c r="L5485" t="s">
        <v>323</v>
      </c>
      <c r="M5485" s="43">
        <v>0.17222222222222225</v>
      </c>
      <c r="N5485" s="42">
        <v>44973</v>
      </c>
      <c r="O5485" t="s">
        <v>324</v>
      </c>
      <c r="P5485" s="42">
        <v>44973</v>
      </c>
      <c r="Q5485" t="s">
        <v>324</v>
      </c>
      <c r="R5485" t="s">
        <v>338</v>
      </c>
      <c r="S5485" t="s">
        <v>323</v>
      </c>
      <c r="T5485">
        <v>7.6</v>
      </c>
      <c r="W5485" t="s">
        <v>330</v>
      </c>
      <c r="Y5485" s="42">
        <v>44985</v>
      </c>
    </row>
    <row r="5486" spans="1:25">
      <c r="C5486" t="s">
        <v>325</v>
      </c>
      <c r="D5486" t="s">
        <v>361</v>
      </c>
      <c r="E5486" t="s">
        <v>362</v>
      </c>
      <c r="F5486">
        <v>1</v>
      </c>
      <c r="G5486" s="42">
        <v>46932</v>
      </c>
      <c r="H5486">
        <v>102.8053</v>
      </c>
      <c r="I5486">
        <v>0</v>
      </c>
      <c r="J5486">
        <v>102.8053</v>
      </c>
      <c r="K5486">
        <v>102.8053</v>
      </c>
      <c r="L5486" t="s">
        <v>323</v>
      </c>
      <c r="N5486" s="42">
        <v>44972</v>
      </c>
      <c r="O5486" t="s">
        <v>328</v>
      </c>
      <c r="P5486" s="42">
        <v>44972</v>
      </c>
      <c r="Q5486" t="s">
        <v>328</v>
      </c>
      <c r="R5486" t="s">
        <v>320</v>
      </c>
      <c r="S5486" t="s">
        <v>323</v>
      </c>
      <c r="T5486">
        <v>7.6</v>
      </c>
      <c r="Y5486" s="42">
        <v>44985</v>
      </c>
    </row>
    <row r="5487" spans="1:25">
      <c r="C5487" t="s">
        <v>329</v>
      </c>
      <c r="D5487" t="s">
        <v>331</v>
      </c>
      <c r="E5487" t="s">
        <v>332</v>
      </c>
      <c r="F5487">
        <v>1</v>
      </c>
      <c r="G5487" s="42">
        <v>45048</v>
      </c>
      <c r="H5487">
        <v>40.547400000000003</v>
      </c>
      <c r="I5487">
        <v>-33.233499999999999</v>
      </c>
      <c r="J5487">
        <v>40.547400000000003</v>
      </c>
      <c r="K5487">
        <v>7.3139000000000003</v>
      </c>
      <c r="L5487" t="s">
        <v>323</v>
      </c>
      <c r="N5487" s="42">
        <v>44971</v>
      </c>
      <c r="O5487" t="s">
        <v>333</v>
      </c>
      <c r="P5487" s="42">
        <v>44971</v>
      </c>
      <c r="Q5487" t="s">
        <v>333</v>
      </c>
      <c r="R5487" t="s">
        <v>320</v>
      </c>
      <c r="S5487" t="s">
        <v>323</v>
      </c>
      <c r="T5487">
        <v>7.6</v>
      </c>
      <c r="Y5487" s="42">
        <v>44971</v>
      </c>
    </row>
    <row r="5488" spans="1:25">
      <c r="N5488" s="42">
        <v>44970</v>
      </c>
      <c r="O5488" t="s">
        <v>345</v>
      </c>
      <c r="P5488" s="42">
        <v>44970</v>
      </c>
      <c r="Q5488" t="s">
        <v>345</v>
      </c>
      <c r="R5488" t="s">
        <v>320</v>
      </c>
      <c r="S5488" t="s">
        <v>323</v>
      </c>
      <c r="T5488">
        <v>7.6</v>
      </c>
      <c r="Y5488" s="42">
        <v>44971</v>
      </c>
    </row>
    <row r="5489" spans="14:25">
      <c r="N5489" s="42">
        <v>44969</v>
      </c>
      <c r="O5489" t="s">
        <v>344</v>
      </c>
      <c r="P5489" s="42">
        <v>44969</v>
      </c>
      <c r="Q5489" t="s">
        <v>344</v>
      </c>
      <c r="R5489" t="s">
        <v>320</v>
      </c>
      <c r="S5489" t="s">
        <v>323</v>
      </c>
      <c r="T5489">
        <v>7.6</v>
      </c>
      <c r="Y5489" s="42">
        <v>44971</v>
      </c>
    </row>
    <row r="5490" spans="14:25">
      <c r="N5490" s="42">
        <v>44964</v>
      </c>
      <c r="O5490" t="s">
        <v>333</v>
      </c>
      <c r="P5490" s="42">
        <v>44964</v>
      </c>
      <c r="Q5490" t="s">
        <v>333</v>
      </c>
      <c r="R5490" t="s">
        <v>320</v>
      </c>
      <c r="S5490" t="s">
        <v>323</v>
      </c>
      <c r="T5490">
        <v>7.6</v>
      </c>
      <c r="Y5490" s="42">
        <v>44971</v>
      </c>
    </row>
    <row r="5491" spans="14:25">
      <c r="N5491" s="42">
        <v>44963</v>
      </c>
      <c r="O5491" t="s">
        <v>345</v>
      </c>
      <c r="P5491" s="42">
        <v>44963</v>
      </c>
      <c r="Q5491" t="s">
        <v>345</v>
      </c>
      <c r="R5491" t="s">
        <v>320</v>
      </c>
      <c r="S5491" t="s">
        <v>323</v>
      </c>
      <c r="T5491">
        <v>7.6</v>
      </c>
      <c r="Y5491" s="42">
        <v>44971</v>
      </c>
    </row>
    <row r="5492" spans="14:25">
      <c r="N5492" s="42">
        <v>44962</v>
      </c>
      <c r="O5492" t="s">
        <v>344</v>
      </c>
      <c r="P5492" s="42">
        <v>44962</v>
      </c>
      <c r="Q5492" t="s">
        <v>344</v>
      </c>
      <c r="R5492" t="s">
        <v>320</v>
      </c>
      <c r="S5492" t="s">
        <v>323</v>
      </c>
      <c r="T5492">
        <v>7.6</v>
      </c>
      <c r="Y5492" s="42">
        <v>44971</v>
      </c>
    </row>
    <row r="5493" spans="14:25">
      <c r="N5493" s="42">
        <v>44957</v>
      </c>
      <c r="O5493" t="s">
        <v>333</v>
      </c>
      <c r="P5493" s="42">
        <v>44957</v>
      </c>
      <c r="Q5493" t="s">
        <v>333</v>
      </c>
      <c r="R5493" t="s">
        <v>329</v>
      </c>
      <c r="S5493" t="s">
        <v>323</v>
      </c>
      <c r="T5493">
        <v>7.5167000000000002</v>
      </c>
      <c r="W5493" t="s">
        <v>330</v>
      </c>
      <c r="Y5493" s="42">
        <v>44957</v>
      </c>
    </row>
    <row r="5494" spans="14:25">
      <c r="N5494" s="42">
        <v>44952</v>
      </c>
      <c r="O5494" t="s">
        <v>324</v>
      </c>
      <c r="P5494" s="42">
        <v>44952</v>
      </c>
      <c r="Q5494" t="s">
        <v>324</v>
      </c>
      <c r="R5494" t="s">
        <v>320</v>
      </c>
      <c r="S5494" t="s">
        <v>323</v>
      </c>
      <c r="U5494">
        <v>7.6</v>
      </c>
    </row>
    <row r="5495" spans="14:25">
      <c r="N5495" s="42">
        <v>44928</v>
      </c>
      <c r="O5495" t="s">
        <v>345</v>
      </c>
      <c r="P5495" s="42">
        <v>44928</v>
      </c>
      <c r="Q5495" t="s">
        <v>345</v>
      </c>
      <c r="R5495" t="s">
        <v>320</v>
      </c>
      <c r="S5495" t="s">
        <v>323</v>
      </c>
      <c r="U5495">
        <v>7.6</v>
      </c>
    </row>
    <row r="5496" spans="14:25">
      <c r="N5496" s="42">
        <v>44927</v>
      </c>
      <c r="O5496" t="s">
        <v>344</v>
      </c>
      <c r="P5496" s="42">
        <v>44927</v>
      </c>
      <c r="Q5496" t="s">
        <v>344</v>
      </c>
      <c r="R5496" t="s">
        <v>320</v>
      </c>
      <c r="S5496" t="s">
        <v>323</v>
      </c>
      <c r="U5496">
        <v>7.6</v>
      </c>
    </row>
    <row r="5497" spans="14:25">
      <c r="N5497" s="42">
        <v>44922</v>
      </c>
      <c r="O5497" t="s">
        <v>333</v>
      </c>
      <c r="P5497" s="42">
        <v>44922</v>
      </c>
      <c r="Q5497" t="s">
        <v>333</v>
      </c>
      <c r="R5497" t="s">
        <v>320</v>
      </c>
      <c r="S5497" t="s">
        <v>323</v>
      </c>
      <c r="U5497">
        <v>7.6</v>
      </c>
    </row>
    <row r="5498" spans="14:25">
      <c r="N5498" s="42">
        <v>44921</v>
      </c>
      <c r="O5498" t="s">
        <v>345</v>
      </c>
      <c r="P5498" s="42">
        <v>44921</v>
      </c>
      <c r="Q5498" t="s">
        <v>345</v>
      </c>
      <c r="R5498" t="s">
        <v>320</v>
      </c>
      <c r="S5498" t="s">
        <v>323</v>
      </c>
      <c r="U5498">
        <v>7.6</v>
      </c>
    </row>
    <row r="5499" spans="14:25">
      <c r="N5499" s="42">
        <v>44920</v>
      </c>
      <c r="O5499" t="s">
        <v>344</v>
      </c>
      <c r="P5499" s="42">
        <v>44920</v>
      </c>
      <c r="Q5499" t="s">
        <v>344</v>
      </c>
      <c r="R5499" t="s">
        <v>320</v>
      </c>
      <c r="S5499" t="s">
        <v>323</v>
      </c>
      <c r="U5499">
        <v>7.6</v>
      </c>
    </row>
    <row r="5500" spans="14:25">
      <c r="N5500" s="42">
        <v>44909</v>
      </c>
      <c r="O5500" t="s">
        <v>328</v>
      </c>
      <c r="P5500" s="42">
        <v>44909</v>
      </c>
      <c r="Q5500" t="s">
        <v>328</v>
      </c>
      <c r="R5500" t="s">
        <v>329</v>
      </c>
      <c r="S5500" t="s">
        <v>323</v>
      </c>
      <c r="T5500">
        <v>5.9166999999999996</v>
      </c>
      <c r="W5500" t="s">
        <v>330</v>
      </c>
      <c r="Y5500" s="42">
        <v>44915</v>
      </c>
    </row>
    <row r="5501" spans="14:25">
      <c r="N5501" s="42">
        <v>44839</v>
      </c>
      <c r="O5501" t="s">
        <v>328</v>
      </c>
      <c r="P5501" s="42">
        <v>44839</v>
      </c>
      <c r="Q5501" t="s">
        <v>328</v>
      </c>
      <c r="R5501" t="s">
        <v>329</v>
      </c>
      <c r="S5501" t="s">
        <v>323</v>
      </c>
      <c r="T5501">
        <v>7.6</v>
      </c>
      <c r="W5501" t="s">
        <v>330</v>
      </c>
      <c r="Y5501" s="42">
        <v>44845</v>
      </c>
    </row>
    <row r="5502" spans="14:25">
      <c r="N5502" s="42">
        <v>44826</v>
      </c>
      <c r="O5502" t="s">
        <v>324</v>
      </c>
      <c r="P5502" s="42">
        <v>44826</v>
      </c>
      <c r="Q5502" t="s">
        <v>324</v>
      </c>
      <c r="R5502" t="s">
        <v>320</v>
      </c>
      <c r="S5502" t="s">
        <v>323</v>
      </c>
      <c r="U5502">
        <v>7.6</v>
      </c>
    </row>
    <row r="5503" spans="14:25">
      <c r="N5503" s="42">
        <v>44812</v>
      </c>
      <c r="O5503" t="s">
        <v>324</v>
      </c>
      <c r="P5503" s="42">
        <v>44812</v>
      </c>
      <c r="Q5503" t="s">
        <v>324</v>
      </c>
      <c r="R5503" t="s">
        <v>338</v>
      </c>
      <c r="S5503" t="s">
        <v>323</v>
      </c>
      <c r="T5503">
        <v>7.6</v>
      </c>
      <c r="W5503" t="s">
        <v>330</v>
      </c>
      <c r="Y5503" s="42">
        <v>44817</v>
      </c>
    </row>
    <row r="5504" spans="14:25">
      <c r="N5504" s="42">
        <v>44811</v>
      </c>
      <c r="O5504" t="s">
        <v>328</v>
      </c>
      <c r="P5504" s="42">
        <v>44811</v>
      </c>
      <c r="Q5504" t="s">
        <v>328</v>
      </c>
      <c r="R5504" t="s">
        <v>329</v>
      </c>
      <c r="S5504" t="s">
        <v>323</v>
      </c>
      <c r="T5504">
        <v>3</v>
      </c>
      <c r="W5504" t="s">
        <v>330</v>
      </c>
      <c r="Y5504" s="42">
        <v>44817</v>
      </c>
    </row>
    <row r="5505" spans="14:25">
      <c r="N5505" s="42">
        <v>44811</v>
      </c>
      <c r="O5505" t="s">
        <v>328</v>
      </c>
      <c r="P5505" s="42">
        <v>44811</v>
      </c>
      <c r="Q5505" t="s">
        <v>328</v>
      </c>
      <c r="R5505" t="s">
        <v>338</v>
      </c>
      <c r="S5505" t="s">
        <v>323</v>
      </c>
      <c r="T5505">
        <v>4.5999999999999996</v>
      </c>
      <c r="W5505" t="s">
        <v>330</v>
      </c>
      <c r="Y5505" s="42">
        <v>44817</v>
      </c>
    </row>
    <row r="5506" spans="14:25">
      <c r="N5506" s="42">
        <v>44799</v>
      </c>
      <c r="O5506" t="s">
        <v>346</v>
      </c>
      <c r="P5506" s="42">
        <v>44799</v>
      </c>
      <c r="Q5506" t="s">
        <v>346</v>
      </c>
      <c r="R5506" t="s">
        <v>320</v>
      </c>
      <c r="S5506" t="s">
        <v>323</v>
      </c>
      <c r="T5506">
        <v>7.1666999999999996</v>
      </c>
      <c r="Y5506" s="42">
        <v>44803</v>
      </c>
    </row>
    <row r="5507" spans="14:25">
      <c r="N5507" s="42">
        <v>44790</v>
      </c>
      <c r="O5507" t="s">
        <v>328</v>
      </c>
      <c r="P5507" s="42">
        <v>44790</v>
      </c>
      <c r="Q5507" t="s">
        <v>328</v>
      </c>
      <c r="R5507" t="s">
        <v>338</v>
      </c>
      <c r="S5507" t="s">
        <v>323</v>
      </c>
      <c r="T5507">
        <v>7.6</v>
      </c>
      <c r="W5507" t="s">
        <v>330</v>
      </c>
      <c r="Y5507" s="42">
        <v>44803</v>
      </c>
    </row>
    <row r="5508" spans="14:25">
      <c r="N5508" s="42">
        <v>44777</v>
      </c>
      <c r="O5508" t="s">
        <v>324</v>
      </c>
      <c r="P5508" s="42">
        <v>44777</v>
      </c>
      <c r="Q5508" t="s">
        <v>324</v>
      </c>
      <c r="R5508" t="s">
        <v>329</v>
      </c>
      <c r="S5508" t="s">
        <v>323</v>
      </c>
      <c r="T5508">
        <v>6</v>
      </c>
      <c r="W5508" t="s">
        <v>330</v>
      </c>
      <c r="Y5508" s="42">
        <v>44789</v>
      </c>
    </row>
    <row r="5509" spans="14:25">
      <c r="N5509" s="42">
        <v>44777</v>
      </c>
      <c r="O5509" t="s">
        <v>324</v>
      </c>
      <c r="P5509" s="42">
        <v>44777</v>
      </c>
      <c r="Q5509" t="s">
        <v>324</v>
      </c>
      <c r="R5509" t="s">
        <v>338</v>
      </c>
      <c r="S5509" t="s">
        <v>323</v>
      </c>
      <c r="T5509">
        <v>1.6</v>
      </c>
      <c r="W5509" t="s">
        <v>330</v>
      </c>
      <c r="Y5509" s="42">
        <v>44789</v>
      </c>
    </row>
    <row r="5510" spans="14:25">
      <c r="N5510" s="42">
        <v>44769</v>
      </c>
      <c r="O5510" t="s">
        <v>328</v>
      </c>
      <c r="P5510" s="42">
        <v>44769</v>
      </c>
      <c r="Q5510" t="s">
        <v>328</v>
      </c>
      <c r="R5510" t="s">
        <v>329</v>
      </c>
      <c r="S5510" t="s">
        <v>323</v>
      </c>
      <c r="T5510">
        <v>7.6</v>
      </c>
      <c r="W5510" t="s">
        <v>330</v>
      </c>
      <c r="Y5510" s="42">
        <v>44775</v>
      </c>
    </row>
    <row r="5511" spans="14:25">
      <c r="N5511" s="42">
        <v>44764</v>
      </c>
      <c r="O5511" t="s">
        <v>346</v>
      </c>
      <c r="P5511" s="42">
        <v>44764</v>
      </c>
      <c r="Q5511" t="s">
        <v>346</v>
      </c>
      <c r="R5511" t="s">
        <v>320</v>
      </c>
      <c r="S5511" t="s">
        <v>323</v>
      </c>
      <c r="T5511">
        <v>7.6</v>
      </c>
      <c r="Y5511" s="42">
        <v>44775</v>
      </c>
    </row>
    <row r="5512" spans="14:25">
      <c r="N5512" s="42">
        <v>44763</v>
      </c>
      <c r="O5512" t="s">
        <v>324</v>
      </c>
      <c r="P5512" s="42">
        <v>44763</v>
      </c>
      <c r="Q5512" t="s">
        <v>324</v>
      </c>
      <c r="R5512" t="s">
        <v>320</v>
      </c>
      <c r="S5512" t="s">
        <v>323</v>
      </c>
      <c r="T5512">
        <v>7.6</v>
      </c>
      <c r="Y5512" s="42">
        <v>44775</v>
      </c>
    </row>
    <row r="5513" spans="14:25">
      <c r="N5513" s="42">
        <v>44762</v>
      </c>
      <c r="O5513" t="s">
        <v>328</v>
      </c>
      <c r="P5513" s="42">
        <v>44762</v>
      </c>
      <c r="Q5513" t="s">
        <v>328</v>
      </c>
      <c r="R5513" t="s">
        <v>320</v>
      </c>
      <c r="S5513" t="s">
        <v>323</v>
      </c>
      <c r="T5513">
        <v>7.6</v>
      </c>
      <c r="Y5513" s="42">
        <v>44775</v>
      </c>
    </row>
    <row r="5514" spans="14:25">
      <c r="N5514" s="42">
        <v>44759</v>
      </c>
      <c r="O5514" t="s">
        <v>344</v>
      </c>
      <c r="P5514" s="42">
        <v>44759</v>
      </c>
      <c r="Q5514" t="s">
        <v>344</v>
      </c>
      <c r="R5514" t="s">
        <v>338</v>
      </c>
      <c r="S5514" t="s">
        <v>323</v>
      </c>
      <c r="T5514">
        <v>4</v>
      </c>
      <c r="W5514" t="s">
        <v>330</v>
      </c>
      <c r="Y5514" s="42">
        <v>44761</v>
      </c>
    </row>
    <row r="5515" spans="14:25">
      <c r="N5515" s="42">
        <v>44758</v>
      </c>
      <c r="O5515" t="s">
        <v>359</v>
      </c>
      <c r="P5515" s="42">
        <v>44758</v>
      </c>
      <c r="Q5515" t="s">
        <v>359</v>
      </c>
      <c r="R5515" t="s">
        <v>338</v>
      </c>
      <c r="S5515" t="s">
        <v>323</v>
      </c>
      <c r="T5515">
        <v>7.6</v>
      </c>
      <c r="W5515" t="s">
        <v>330</v>
      </c>
      <c r="Y5515" s="42">
        <v>44761</v>
      </c>
    </row>
    <row r="5516" spans="14:25">
      <c r="N5516" s="42">
        <v>44757</v>
      </c>
      <c r="O5516" t="s">
        <v>346</v>
      </c>
      <c r="P5516" s="42">
        <v>44757</v>
      </c>
      <c r="Q5516" t="s">
        <v>346</v>
      </c>
      <c r="R5516" t="s">
        <v>338</v>
      </c>
      <c r="S5516" t="s">
        <v>323</v>
      </c>
      <c r="T5516">
        <v>7.6</v>
      </c>
      <c r="W5516" t="s">
        <v>330</v>
      </c>
      <c r="Y5516" s="42">
        <v>44761</v>
      </c>
    </row>
    <row r="5517" spans="14:25">
      <c r="N5517" s="42">
        <v>44756</v>
      </c>
      <c r="O5517" t="s">
        <v>324</v>
      </c>
      <c r="P5517" s="42">
        <v>44756</v>
      </c>
      <c r="Q5517" t="s">
        <v>324</v>
      </c>
      <c r="R5517" t="s">
        <v>338</v>
      </c>
      <c r="S5517" t="s">
        <v>323</v>
      </c>
      <c r="T5517">
        <v>7.6</v>
      </c>
      <c r="W5517" t="s">
        <v>330</v>
      </c>
      <c r="Y5517" s="42">
        <v>44761</v>
      </c>
    </row>
    <row r="5518" spans="14:25">
      <c r="N5518" s="42">
        <v>44755</v>
      </c>
      <c r="O5518" t="s">
        <v>328</v>
      </c>
      <c r="P5518" s="42">
        <v>44755</v>
      </c>
      <c r="Q5518" t="s">
        <v>328</v>
      </c>
      <c r="R5518" t="s">
        <v>338</v>
      </c>
      <c r="S5518" t="s">
        <v>323</v>
      </c>
      <c r="T5518">
        <v>7.6</v>
      </c>
      <c r="W5518" t="s">
        <v>330</v>
      </c>
      <c r="Y5518" s="42">
        <v>44761</v>
      </c>
    </row>
    <row r="5519" spans="14:25">
      <c r="N5519" s="42">
        <v>44752</v>
      </c>
      <c r="O5519" t="s">
        <v>344</v>
      </c>
      <c r="P5519" s="42">
        <v>44752</v>
      </c>
      <c r="Q5519" t="s">
        <v>344</v>
      </c>
      <c r="R5519" t="s">
        <v>338</v>
      </c>
      <c r="S5519" t="s">
        <v>323</v>
      </c>
      <c r="T5519">
        <v>4</v>
      </c>
      <c r="W5519" t="s">
        <v>330</v>
      </c>
      <c r="Y5519" s="42">
        <v>44761</v>
      </c>
    </row>
    <row r="5520" spans="14:25">
      <c r="N5520" s="42">
        <v>44751</v>
      </c>
      <c r="O5520" t="s">
        <v>359</v>
      </c>
      <c r="P5520" s="42">
        <v>44751</v>
      </c>
      <c r="Q5520" t="s">
        <v>359</v>
      </c>
      <c r="R5520" t="s">
        <v>338</v>
      </c>
      <c r="S5520" t="s">
        <v>323</v>
      </c>
      <c r="T5520">
        <v>7.6</v>
      </c>
      <c r="W5520" t="s">
        <v>330</v>
      </c>
      <c r="Y5520" s="42">
        <v>44761</v>
      </c>
    </row>
    <row r="5521" spans="14:25">
      <c r="N5521" s="42">
        <v>44750</v>
      </c>
      <c r="O5521" t="s">
        <v>346</v>
      </c>
      <c r="P5521" s="42">
        <v>44750</v>
      </c>
      <c r="Q5521" t="s">
        <v>346</v>
      </c>
      <c r="R5521" t="s">
        <v>338</v>
      </c>
      <c r="S5521" t="s">
        <v>323</v>
      </c>
      <c r="T5521">
        <v>7.6</v>
      </c>
      <c r="W5521" t="s">
        <v>330</v>
      </c>
      <c r="Y5521" s="42">
        <v>44761</v>
      </c>
    </row>
    <row r="5522" spans="14:25">
      <c r="N5522" s="42">
        <v>44749</v>
      </c>
      <c r="O5522" t="s">
        <v>324</v>
      </c>
      <c r="P5522" s="42">
        <v>44749</v>
      </c>
      <c r="Q5522" t="s">
        <v>324</v>
      </c>
      <c r="R5522" t="s">
        <v>338</v>
      </c>
      <c r="S5522" t="s">
        <v>323</v>
      </c>
      <c r="T5522">
        <v>7.6</v>
      </c>
      <c r="W5522" t="s">
        <v>330</v>
      </c>
      <c r="Y5522" s="42">
        <v>44761</v>
      </c>
    </row>
    <row r="5523" spans="14:25">
      <c r="N5523" s="42">
        <v>44748</v>
      </c>
      <c r="O5523" t="s">
        <v>328</v>
      </c>
      <c r="P5523" s="42">
        <v>44748</v>
      </c>
      <c r="Q5523" t="s">
        <v>328</v>
      </c>
      <c r="R5523" t="s">
        <v>338</v>
      </c>
      <c r="S5523" t="s">
        <v>323</v>
      </c>
      <c r="T5523">
        <v>7.6</v>
      </c>
      <c r="W5523" t="s">
        <v>330</v>
      </c>
      <c r="Y5523" s="42">
        <v>44761</v>
      </c>
    </row>
    <row r="5524" spans="14:25">
      <c r="N5524" s="42">
        <v>44717</v>
      </c>
      <c r="O5524" t="s">
        <v>344</v>
      </c>
      <c r="P5524" s="42">
        <v>44717</v>
      </c>
      <c r="Q5524" t="s">
        <v>344</v>
      </c>
      <c r="R5524" t="s">
        <v>338</v>
      </c>
      <c r="S5524" t="s">
        <v>323</v>
      </c>
      <c r="T5524">
        <v>4</v>
      </c>
      <c r="W5524" t="s">
        <v>330</v>
      </c>
      <c r="Y5524" s="42">
        <v>44719</v>
      </c>
    </row>
    <row r="5525" spans="14:25">
      <c r="N5525" s="42">
        <v>44716</v>
      </c>
      <c r="O5525" t="s">
        <v>359</v>
      </c>
      <c r="P5525" s="42">
        <v>44716</v>
      </c>
      <c r="Q5525" t="s">
        <v>359</v>
      </c>
      <c r="R5525" t="s">
        <v>338</v>
      </c>
      <c r="S5525" t="s">
        <v>323</v>
      </c>
      <c r="T5525">
        <v>7.6</v>
      </c>
      <c r="W5525" t="s">
        <v>330</v>
      </c>
      <c r="Y5525" s="42">
        <v>44719</v>
      </c>
    </row>
    <row r="5526" spans="14:25">
      <c r="N5526" s="42">
        <v>44715</v>
      </c>
      <c r="O5526" t="s">
        <v>346</v>
      </c>
      <c r="P5526" s="42">
        <v>44715</v>
      </c>
      <c r="Q5526" t="s">
        <v>346</v>
      </c>
      <c r="R5526" t="s">
        <v>338</v>
      </c>
      <c r="S5526" t="s">
        <v>323</v>
      </c>
      <c r="T5526">
        <v>7.6</v>
      </c>
      <c r="W5526" t="s">
        <v>330</v>
      </c>
      <c r="Y5526" s="42">
        <v>44719</v>
      </c>
    </row>
    <row r="5527" spans="14:25">
      <c r="N5527" s="42">
        <v>44714</v>
      </c>
      <c r="O5527" t="s">
        <v>324</v>
      </c>
      <c r="P5527" s="42">
        <v>44714</v>
      </c>
      <c r="Q5527" t="s">
        <v>324</v>
      </c>
      <c r="R5527" t="s">
        <v>338</v>
      </c>
      <c r="S5527" t="s">
        <v>323</v>
      </c>
      <c r="T5527">
        <v>7.6</v>
      </c>
      <c r="W5527" t="s">
        <v>330</v>
      </c>
      <c r="Y5527" s="42">
        <v>44719</v>
      </c>
    </row>
    <row r="5528" spans="14:25">
      <c r="N5528" s="42">
        <v>44713</v>
      </c>
      <c r="O5528" t="s">
        <v>328</v>
      </c>
      <c r="P5528" s="42">
        <v>44713</v>
      </c>
      <c r="Q5528" t="s">
        <v>328</v>
      </c>
      <c r="R5528" t="s">
        <v>338</v>
      </c>
      <c r="S5528" t="s">
        <v>323</v>
      </c>
      <c r="T5528">
        <v>7.6</v>
      </c>
      <c r="W5528" t="s">
        <v>330</v>
      </c>
      <c r="Y5528" s="42">
        <v>44719</v>
      </c>
    </row>
    <row r="5529" spans="14:25">
      <c r="N5529" s="42">
        <v>44668</v>
      </c>
      <c r="O5529" t="s">
        <v>344</v>
      </c>
      <c r="P5529" s="42">
        <v>44668</v>
      </c>
      <c r="Q5529" t="s">
        <v>344</v>
      </c>
      <c r="R5529" t="s">
        <v>320</v>
      </c>
      <c r="S5529" t="s">
        <v>323</v>
      </c>
      <c r="U5529">
        <v>4</v>
      </c>
    </row>
    <row r="5530" spans="14:25">
      <c r="N5530" s="42">
        <v>44666</v>
      </c>
      <c r="O5530" t="s">
        <v>346</v>
      </c>
      <c r="P5530" s="42">
        <v>44666</v>
      </c>
      <c r="Q5530" t="s">
        <v>346</v>
      </c>
      <c r="R5530" t="s">
        <v>320</v>
      </c>
      <c r="S5530" t="s">
        <v>323</v>
      </c>
      <c r="U5530">
        <v>7.6</v>
      </c>
    </row>
    <row r="5531" spans="14:25">
      <c r="N5531" s="42">
        <v>44654</v>
      </c>
      <c r="O5531" t="s">
        <v>344</v>
      </c>
      <c r="P5531" s="42">
        <v>44654</v>
      </c>
      <c r="Q5531" t="s">
        <v>344</v>
      </c>
      <c r="R5531" t="s">
        <v>338</v>
      </c>
      <c r="S5531" t="s">
        <v>323</v>
      </c>
      <c r="T5531">
        <v>4</v>
      </c>
      <c r="W5531" t="s">
        <v>330</v>
      </c>
      <c r="Y5531" s="42">
        <v>44663</v>
      </c>
    </row>
    <row r="5532" spans="14:25">
      <c r="N5532" s="42">
        <v>44653</v>
      </c>
      <c r="O5532" t="s">
        <v>359</v>
      </c>
      <c r="P5532" s="42">
        <v>44653</v>
      </c>
      <c r="Q5532" t="s">
        <v>359</v>
      </c>
      <c r="R5532" t="s">
        <v>338</v>
      </c>
      <c r="S5532" t="s">
        <v>323</v>
      </c>
      <c r="T5532">
        <v>7.6</v>
      </c>
      <c r="W5532" t="s">
        <v>330</v>
      </c>
      <c r="Y5532" s="42">
        <v>44663</v>
      </c>
    </row>
    <row r="5533" spans="14:25">
      <c r="N5533" s="42">
        <v>44652</v>
      </c>
      <c r="O5533" t="s">
        <v>346</v>
      </c>
      <c r="P5533" s="42">
        <v>44652</v>
      </c>
      <c r="Q5533" t="s">
        <v>346</v>
      </c>
      <c r="R5533" t="s">
        <v>338</v>
      </c>
      <c r="S5533" t="s">
        <v>323</v>
      </c>
      <c r="T5533">
        <v>7.6</v>
      </c>
      <c r="W5533" t="s">
        <v>330</v>
      </c>
      <c r="Y5533" s="42">
        <v>44663</v>
      </c>
    </row>
    <row r="5534" spans="14:25">
      <c r="N5534" s="42">
        <v>44651</v>
      </c>
      <c r="O5534" t="s">
        <v>324</v>
      </c>
      <c r="P5534" s="42">
        <v>44651</v>
      </c>
      <c r="Q5534" t="s">
        <v>324</v>
      </c>
      <c r="R5534" t="s">
        <v>338</v>
      </c>
      <c r="S5534" t="s">
        <v>323</v>
      </c>
      <c r="T5534">
        <v>7.6</v>
      </c>
      <c r="W5534" t="s">
        <v>330</v>
      </c>
      <c r="Y5534" s="42">
        <v>44663</v>
      </c>
    </row>
    <row r="5535" spans="14:25">
      <c r="N5535" s="42">
        <v>44650</v>
      </c>
      <c r="O5535" t="s">
        <v>328</v>
      </c>
      <c r="P5535" s="42">
        <v>44650</v>
      </c>
      <c r="Q5535" t="s">
        <v>328</v>
      </c>
      <c r="R5535" t="s">
        <v>338</v>
      </c>
      <c r="S5535" t="s">
        <v>323</v>
      </c>
      <c r="T5535">
        <v>7.6</v>
      </c>
      <c r="W5535" t="s">
        <v>330</v>
      </c>
      <c r="Y5535" s="42">
        <v>44663</v>
      </c>
    </row>
    <row r="5536" spans="14:25">
      <c r="N5536" s="42">
        <v>44647</v>
      </c>
      <c r="O5536" t="s">
        <v>344</v>
      </c>
      <c r="P5536" s="42">
        <v>44647</v>
      </c>
      <c r="Q5536" t="s">
        <v>344</v>
      </c>
      <c r="R5536" t="s">
        <v>338</v>
      </c>
      <c r="S5536" t="s">
        <v>323</v>
      </c>
      <c r="T5536">
        <v>4</v>
      </c>
      <c r="W5536" t="s">
        <v>330</v>
      </c>
      <c r="Y5536" s="42">
        <v>44649</v>
      </c>
    </row>
    <row r="5537" spans="14:25">
      <c r="N5537" s="42">
        <v>44646</v>
      </c>
      <c r="O5537" t="s">
        <v>359</v>
      </c>
      <c r="P5537" s="42">
        <v>44646</v>
      </c>
      <c r="Q5537" t="s">
        <v>359</v>
      </c>
      <c r="R5537" t="s">
        <v>338</v>
      </c>
      <c r="S5537" t="s">
        <v>323</v>
      </c>
      <c r="T5537">
        <v>7.6</v>
      </c>
      <c r="W5537" t="s">
        <v>330</v>
      </c>
      <c r="Y5537" s="42">
        <v>44649</v>
      </c>
    </row>
    <row r="5538" spans="14:25">
      <c r="N5538" s="42">
        <v>44645</v>
      </c>
      <c r="O5538" t="s">
        <v>346</v>
      </c>
      <c r="P5538" s="42">
        <v>44645</v>
      </c>
      <c r="Q5538" t="s">
        <v>346</v>
      </c>
      <c r="R5538" t="s">
        <v>338</v>
      </c>
      <c r="S5538" t="s">
        <v>323</v>
      </c>
      <c r="T5538">
        <v>7.6</v>
      </c>
      <c r="W5538" t="s">
        <v>330</v>
      </c>
      <c r="Y5538" s="42">
        <v>44649</v>
      </c>
    </row>
    <row r="5539" spans="14:25">
      <c r="N5539" s="42">
        <v>44644</v>
      </c>
      <c r="O5539" t="s">
        <v>324</v>
      </c>
      <c r="P5539" s="42">
        <v>44644</v>
      </c>
      <c r="Q5539" t="s">
        <v>324</v>
      </c>
      <c r="R5539" t="s">
        <v>329</v>
      </c>
      <c r="S5539" t="s">
        <v>323</v>
      </c>
      <c r="T5539">
        <v>3</v>
      </c>
      <c r="W5539" t="s">
        <v>330</v>
      </c>
      <c r="Y5539" s="42">
        <v>44649</v>
      </c>
    </row>
    <row r="5540" spans="14:25">
      <c r="N5540" s="42">
        <v>44643</v>
      </c>
      <c r="O5540" t="s">
        <v>328</v>
      </c>
      <c r="P5540" s="42">
        <v>44643</v>
      </c>
      <c r="Q5540" t="s">
        <v>328</v>
      </c>
      <c r="R5540" t="s">
        <v>320</v>
      </c>
      <c r="S5540" t="s">
        <v>323</v>
      </c>
      <c r="T5540">
        <v>7</v>
      </c>
      <c r="Y5540" s="42">
        <v>44649</v>
      </c>
    </row>
    <row r="5541" spans="14:25">
      <c r="N5541" s="42">
        <v>44623</v>
      </c>
      <c r="O5541" t="s">
        <v>324</v>
      </c>
      <c r="P5541" s="42">
        <v>44623</v>
      </c>
      <c r="Q5541" t="s">
        <v>324</v>
      </c>
      <c r="R5541" t="s">
        <v>329</v>
      </c>
      <c r="S5541" t="s">
        <v>323</v>
      </c>
      <c r="T5541">
        <v>7.6</v>
      </c>
      <c r="W5541" t="s">
        <v>330</v>
      </c>
      <c r="Y5541" s="42">
        <v>44635</v>
      </c>
    </row>
    <row r="5542" spans="14:25">
      <c r="N5542" s="42">
        <v>44610</v>
      </c>
      <c r="O5542" t="s">
        <v>346</v>
      </c>
      <c r="P5542" s="42">
        <v>44610</v>
      </c>
      <c r="Q5542" t="s">
        <v>346</v>
      </c>
      <c r="R5542" t="s">
        <v>320</v>
      </c>
      <c r="S5542" t="s">
        <v>323</v>
      </c>
      <c r="T5542">
        <v>4</v>
      </c>
      <c r="Y5542" s="42">
        <v>44621</v>
      </c>
    </row>
    <row r="5543" spans="14:25">
      <c r="N5543" s="42">
        <v>44609</v>
      </c>
      <c r="O5543" t="s">
        <v>324</v>
      </c>
      <c r="P5543" s="42">
        <v>44609</v>
      </c>
      <c r="Q5543" t="s">
        <v>324</v>
      </c>
      <c r="R5543" t="s">
        <v>320</v>
      </c>
      <c r="S5543" t="s">
        <v>323</v>
      </c>
      <c r="T5543">
        <v>7.6</v>
      </c>
      <c r="Y5543" s="42">
        <v>44621</v>
      </c>
    </row>
    <row r="5544" spans="14:25">
      <c r="N5544" s="42">
        <v>44608</v>
      </c>
      <c r="O5544" t="s">
        <v>328</v>
      </c>
      <c r="P5544" s="42">
        <v>44608</v>
      </c>
      <c r="Q5544" t="s">
        <v>328</v>
      </c>
      <c r="R5544" t="s">
        <v>320</v>
      </c>
      <c r="S5544" t="s">
        <v>323</v>
      </c>
      <c r="T5544">
        <v>7.6</v>
      </c>
      <c r="Y5544" s="42">
        <v>44621</v>
      </c>
    </row>
    <row r="5545" spans="14:25">
      <c r="N5545" s="42">
        <v>44587</v>
      </c>
      <c r="O5545" t="s">
        <v>328</v>
      </c>
      <c r="P5545" s="42">
        <v>44587</v>
      </c>
      <c r="Q5545" t="s">
        <v>328</v>
      </c>
      <c r="R5545" t="s">
        <v>320</v>
      </c>
      <c r="S5545" t="s">
        <v>323</v>
      </c>
      <c r="U5545">
        <v>7.6</v>
      </c>
    </row>
    <row r="5546" spans="14:25">
      <c r="N5546" s="42">
        <v>44562</v>
      </c>
      <c r="O5546" t="s">
        <v>359</v>
      </c>
      <c r="P5546" s="42">
        <v>44562</v>
      </c>
      <c r="Q5546" t="s">
        <v>359</v>
      </c>
      <c r="R5546" t="s">
        <v>320</v>
      </c>
      <c r="S5546" t="s">
        <v>323</v>
      </c>
      <c r="U5546">
        <v>7.6</v>
      </c>
    </row>
    <row r="5547" spans="14:25">
      <c r="N5547" s="42">
        <v>44560</v>
      </c>
      <c r="O5547" t="s">
        <v>324</v>
      </c>
      <c r="P5547" s="42">
        <v>44560</v>
      </c>
      <c r="Q5547" t="s">
        <v>324</v>
      </c>
      <c r="R5547" t="s">
        <v>329</v>
      </c>
      <c r="S5547" t="s">
        <v>323</v>
      </c>
      <c r="T5547">
        <v>6.7667000000000002</v>
      </c>
      <c r="W5547" t="s">
        <v>330</v>
      </c>
      <c r="Y5547" s="42">
        <v>44565</v>
      </c>
    </row>
    <row r="5548" spans="14:25">
      <c r="N5548" s="42">
        <v>44559</v>
      </c>
      <c r="O5548" t="s">
        <v>328</v>
      </c>
      <c r="P5548" s="42">
        <v>44559</v>
      </c>
      <c r="Q5548" t="s">
        <v>328</v>
      </c>
      <c r="R5548" t="s">
        <v>320</v>
      </c>
      <c r="S5548" t="s">
        <v>323</v>
      </c>
      <c r="T5548">
        <v>7.6</v>
      </c>
      <c r="Y5548" s="42">
        <v>44565</v>
      </c>
    </row>
    <row r="5549" spans="14:25">
      <c r="N5549" s="42">
        <v>44556</v>
      </c>
      <c r="O5549" t="s">
        <v>344</v>
      </c>
      <c r="P5549" s="42">
        <v>44556</v>
      </c>
      <c r="Q5549" t="s">
        <v>344</v>
      </c>
      <c r="R5549" t="s">
        <v>320</v>
      </c>
      <c r="S5549" t="s">
        <v>323</v>
      </c>
      <c r="U5549">
        <v>4</v>
      </c>
    </row>
    <row r="5550" spans="14:25">
      <c r="N5550" s="42">
        <v>44555</v>
      </c>
      <c r="O5550" t="s">
        <v>359</v>
      </c>
      <c r="P5550" s="42">
        <v>44555</v>
      </c>
      <c r="Q5550" t="s">
        <v>359</v>
      </c>
      <c r="R5550" t="s">
        <v>320</v>
      </c>
      <c r="S5550" t="s">
        <v>323</v>
      </c>
      <c r="U5550">
        <v>7.6</v>
      </c>
    </row>
    <row r="5551" spans="14:25">
      <c r="N5551" s="42">
        <v>44513</v>
      </c>
      <c r="O5551" t="s">
        <v>359</v>
      </c>
      <c r="P5551" s="42">
        <v>44513</v>
      </c>
      <c r="Q5551" t="s">
        <v>359</v>
      </c>
      <c r="R5551" t="s">
        <v>320</v>
      </c>
      <c r="S5551" t="s">
        <v>323</v>
      </c>
      <c r="T5551">
        <v>7.6</v>
      </c>
      <c r="Y5551" s="42">
        <v>44523</v>
      </c>
    </row>
    <row r="5552" spans="14:25">
      <c r="N5552" s="42">
        <v>44498</v>
      </c>
      <c r="O5552" t="s">
        <v>346</v>
      </c>
      <c r="P5552" s="42">
        <v>44498</v>
      </c>
      <c r="Q5552" t="s">
        <v>346</v>
      </c>
      <c r="R5552" t="s">
        <v>320</v>
      </c>
      <c r="S5552" t="s">
        <v>323</v>
      </c>
      <c r="T5552">
        <v>4</v>
      </c>
      <c r="Y5552" s="42">
        <v>44509</v>
      </c>
    </row>
    <row r="5553" spans="14:25">
      <c r="N5553" s="42">
        <v>44498</v>
      </c>
      <c r="O5553" t="s">
        <v>346</v>
      </c>
      <c r="P5553" s="42">
        <v>44498</v>
      </c>
      <c r="Q5553" t="s">
        <v>346</v>
      </c>
      <c r="R5553" t="s">
        <v>329</v>
      </c>
      <c r="S5553" t="s">
        <v>323</v>
      </c>
      <c r="T5553">
        <v>3.5</v>
      </c>
      <c r="W5553" t="s">
        <v>330</v>
      </c>
      <c r="Y5553" s="42">
        <v>44509</v>
      </c>
    </row>
    <row r="5554" spans="14:25">
      <c r="N5554" s="42">
        <v>44489</v>
      </c>
      <c r="O5554" t="s">
        <v>328</v>
      </c>
      <c r="P5554" s="42">
        <v>44489</v>
      </c>
      <c r="Q5554" t="s">
        <v>328</v>
      </c>
      <c r="R5554" t="s">
        <v>338</v>
      </c>
      <c r="S5554" t="s">
        <v>323</v>
      </c>
      <c r="T5554">
        <v>7.6</v>
      </c>
      <c r="W5554" t="s">
        <v>330</v>
      </c>
      <c r="Y5554" s="42">
        <v>44495</v>
      </c>
    </row>
    <row r="5555" spans="14:25">
      <c r="N5555" s="42">
        <v>44469</v>
      </c>
      <c r="O5555" t="s">
        <v>324</v>
      </c>
      <c r="P5555" s="42">
        <v>44469</v>
      </c>
      <c r="Q5555" t="s">
        <v>324</v>
      </c>
      <c r="R5555" t="s">
        <v>338</v>
      </c>
      <c r="S5555" t="s">
        <v>323</v>
      </c>
      <c r="T5555">
        <v>7.6</v>
      </c>
      <c r="W5555" t="s">
        <v>330</v>
      </c>
      <c r="Y5555" s="42">
        <v>44481</v>
      </c>
    </row>
    <row r="5556" spans="14:25">
      <c r="N5556" s="42">
        <v>44468</v>
      </c>
      <c r="O5556" t="s">
        <v>328</v>
      </c>
      <c r="P5556" s="42">
        <v>44468</v>
      </c>
      <c r="Q5556" t="s">
        <v>328</v>
      </c>
      <c r="R5556" t="s">
        <v>338</v>
      </c>
      <c r="S5556" t="s">
        <v>323</v>
      </c>
      <c r="T5556">
        <v>7.6</v>
      </c>
      <c r="W5556" t="s">
        <v>330</v>
      </c>
      <c r="Y5556" s="42">
        <v>44481</v>
      </c>
    </row>
    <row r="5557" spans="14:25">
      <c r="N5557" s="42">
        <v>44465</v>
      </c>
      <c r="O5557" t="s">
        <v>344</v>
      </c>
      <c r="P5557" s="42">
        <v>44465</v>
      </c>
      <c r="Q5557" t="s">
        <v>344</v>
      </c>
      <c r="R5557" t="s">
        <v>338</v>
      </c>
      <c r="S5557" t="s">
        <v>323</v>
      </c>
      <c r="T5557">
        <v>4</v>
      </c>
      <c r="W5557" t="s">
        <v>330</v>
      </c>
      <c r="Y5557" s="42">
        <v>44467</v>
      </c>
    </row>
    <row r="5558" spans="14:25">
      <c r="N5558" s="42">
        <v>44464</v>
      </c>
      <c r="O5558" t="s">
        <v>359</v>
      </c>
      <c r="P5558" s="42">
        <v>44464</v>
      </c>
      <c r="Q5558" t="s">
        <v>359</v>
      </c>
      <c r="R5558" t="s">
        <v>338</v>
      </c>
      <c r="S5558" t="s">
        <v>323</v>
      </c>
      <c r="T5558">
        <v>7.6</v>
      </c>
      <c r="W5558" t="s">
        <v>330</v>
      </c>
      <c r="Y5558" s="42">
        <v>44467</v>
      </c>
    </row>
    <row r="5559" spans="14:25">
      <c r="N5559" s="42">
        <v>44462</v>
      </c>
      <c r="O5559" t="s">
        <v>324</v>
      </c>
      <c r="P5559" s="42">
        <v>44462</v>
      </c>
      <c r="Q5559" t="s">
        <v>324</v>
      </c>
      <c r="R5559" t="s">
        <v>320</v>
      </c>
      <c r="S5559" t="s">
        <v>323</v>
      </c>
      <c r="T5559">
        <v>7.6</v>
      </c>
      <c r="Y5559" s="42">
        <v>44467</v>
      </c>
    </row>
    <row r="5560" spans="14:25">
      <c r="N5560" s="42">
        <v>44461</v>
      </c>
      <c r="O5560" t="s">
        <v>328</v>
      </c>
      <c r="P5560" s="42">
        <v>44461</v>
      </c>
      <c r="Q5560" t="s">
        <v>328</v>
      </c>
      <c r="R5560" t="s">
        <v>329</v>
      </c>
      <c r="S5560" t="s">
        <v>323</v>
      </c>
      <c r="T5560">
        <v>7.6</v>
      </c>
      <c r="W5560" t="s">
        <v>330</v>
      </c>
      <c r="Y5560" s="42">
        <v>44467</v>
      </c>
    </row>
    <row r="5561" spans="14:25">
      <c r="N5561" s="42">
        <v>44458</v>
      </c>
      <c r="O5561" t="s">
        <v>344</v>
      </c>
      <c r="P5561" s="42">
        <v>44458</v>
      </c>
      <c r="Q5561" t="s">
        <v>344</v>
      </c>
      <c r="R5561" t="s">
        <v>338</v>
      </c>
      <c r="S5561" t="s">
        <v>323</v>
      </c>
      <c r="T5561">
        <v>4</v>
      </c>
      <c r="W5561" t="s">
        <v>330</v>
      </c>
      <c r="Y5561" s="42">
        <v>44467</v>
      </c>
    </row>
    <row r="5562" spans="14:25">
      <c r="N5562" s="42">
        <v>44457</v>
      </c>
      <c r="O5562" t="s">
        <v>359</v>
      </c>
      <c r="P5562" s="42">
        <v>44457</v>
      </c>
      <c r="Q5562" t="s">
        <v>359</v>
      </c>
      <c r="R5562" t="s">
        <v>338</v>
      </c>
      <c r="S5562" t="s">
        <v>323</v>
      </c>
      <c r="T5562">
        <v>7.6</v>
      </c>
      <c r="W5562" t="s">
        <v>330</v>
      </c>
      <c r="Y5562" s="42">
        <v>44467</v>
      </c>
    </row>
    <row r="5563" spans="14:25">
      <c r="N5563" s="42">
        <v>44456</v>
      </c>
      <c r="O5563" t="s">
        <v>346</v>
      </c>
      <c r="P5563" s="42">
        <v>44456</v>
      </c>
      <c r="Q5563" t="s">
        <v>346</v>
      </c>
      <c r="R5563" t="s">
        <v>338</v>
      </c>
      <c r="S5563" t="s">
        <v>323</v>
      </c>
      <c r="T5563">
        <v>7.6</v>
      </c>
      <c r="W5563" t="s">
        <v>330</v>
      </c>
      <c r="Y5563" s="42">
        <v>44467</v>
      </c>
    </row>
    <row r="5564" spans="14:25">
      <c r="N5564" s="42">
        <v>44455</v>
      </c>
      <c r="O5564" t="s">
        <v>324</v>
      </c>
      <c r="P5564" s="42">
        <v>44455</v>
      </c>
      <c r="Q5564" t="s">
        <v>324</v>
      </c>
      <c r="R5564" t="s">
        <v>338</v>
      </c>
      <c r="S5564" t="s">
        <v>323</v>
      </c>
      <c r="T5564">
        <v>7.6</v>
      </c>
      <c r="W5564" t="s">
        <v>330</v>
      </c>
      <c r="Y5564" s="42">
        <v>44467</v>
      </c>
    </row>
    <row r="5565" spans="14:25">
      <c r="N5565" s="42">
        <v>44454</v>
      </c>
      <c r="O5565" t="s">
        <v>328</v>
      </c>
      <c r="P5565" s="42">
        <v>44454</v>
      </c>
      <c r="Q5565" t="s">
        <v>328</v>
      </c>
      <c r="R5565" t="s">
        <v>338</v>
      </c>
      <c r="S5565" t="s">
        <v>323</v>
      </c>
      <c r="T5565">
        <v>7.6</v>
      </c>
      <c r="W5565" t="s">
        <v>330</v>
      </c>
      <c r="Y5565" s="42">
        <v>44467</v>
      </c>
    </row>
    <row r="5566" spans="14:25">
      <c r="N5566" s="42">
        <v>44449</v>
      </c>
      <c r="O5566" t="s">
        <v>346</v>
      </c>
      <c r="P5566" s="42">
        <v>44449</v>
      </c>
      <c r="Q5566" t="s">
        <v>346</v>
      </c>
      <c r="R5566" t="s">
        <v>338</v>
      </c>
      <c r="S5566" t="s">
        <v>323</v>
      </c>
      <c r="T5566">
        <v>7.6</v>
      </c>
      <c r="W5566" t="s">
        <v>330</v>
      </c>
      <c r="Y5566" s="42">
        <v>44453</v>
      </c>
    </row>
    <row r="5567" spans="14:25">
      <c r="N5567" s="42">
        <v>44448</v>
      </c>
      <c r="O5567" t="s">
        <v>324</v>
      </c>
      <c r="P5567" s="42">
        <v>44448</v>
      </c>
      <c r="Q5567" t="s">
        <v>324</v>
      </c>
      <c r="R5567" t="s">
        <v>338</v>
      </c>
      <c r="S5567" t="s">
        <v>323</v>
      </c>
      <c r="T5567">
        <v>7.6</v>
      </c>
      <c r="W5567" t="s">
        <v>330</v>
      </c>
      <c r="Y5567" s="42">
        <v>44453</v>
      </c>
    </row>
    <row r="5568" spans="14:25">
      <c r="N5568" s="42">
        <v>44447</v>
      </c>
      <c r="O5568" t="s">
        <v>328</v>
      </c>
      <c r="P5568" s="42">
        <v>44447</v>
      </c>
      <c r="Q5568" t="s">
        <v>328</v>
      </c>
      <c r="R5568" t="s">
        <v>338</v>
      </c>
      <c r="S5568" t="s">
        <v>323</v>
      </c>
      <c r="T5568">
        <v>7.6</v>
      </c>
      <c r="W5568" t="s">
        <v>330</v>
      </c>
      <c r="Y5568" s="42">
        <v>44453</v>
      </c>
    </row>
    <row r="5569" spans="14:25">
      <c r="N5569" s="42">
        <v>44421</v>
      </c>
      <c r="O5569" t="s">
        <v>346</v>
      </c>
      <c r="P5569" s="42">
        <v>44421</v>
      </c>
      <c r="Q5569" t="s">
        <v>346</v>
      </c>
      <c r="R5569" t="s">
        <v>338</v>
      </c>
      <c r="S5569" t="s">
        <v>323</v>
      </c>
      <c r="T5569">
        <v>7.6</v>
      </c>
      <c r="W5569" t="s">
        <v>330</v>
      </c>
      <c r="Y5569" s="42">
        <v>44425</v>
      </c>
    </row>
    <row r="5570" spans="14:25">
      <c r="N5570" s="42">
        <v>44420</v>
      </c>
      <c r="O5570" t="s">
        <v>324</v>
      </c>
      <c r="P5570" s="42">
        <v>44420</v>
      </c>
      <c r="Q5570" t="s">
        <v>324</v>
      </c>
      <c r="R5570" t="s">
        <v>338</v>
      </c>
      <c r="S5570" t="s">
        <v>323</v>
      </c>
      <c r="T5570">
        <v>7.6</v>
      </c>
      <c r="W5570" t="s">
        <v>330</v>
      </c>
      <c r="Y5570" s="42">
        <v>44425</v>
      </c>
    </row>
    <row r="5571" spans="14:25">
      <c r="N5571" s="42">
        <v>44406</v>
      </c>
      <c r="O5571" t="s">
        <v>324</v>
      </c>
      <c r="P5571" s="42">
        <v>44406</v>
      </c>
      <c r="Q5571" t="s">
        <v>324</v>
      </c>
      <c r="R5571" t="s">
        <v>320</v>
      </c>
      <c r="S5571" t="s">
        <v>323</v>
      </c>
      <c r="T5571">
        <v>4</v>
      </c>
      <c r="Y5571" s="42">
        <v>44411</v>
      </c>
    </row>
    <row r="5572" spans="14:25">
      <c r="N5572" s="42">
        <v>44406</v>
      </c>
      <c r="O5572" t="s">
        <v>324</v>
      </c>
      <c r="P5572" s="42">
        <v>44406</v>
      </c>
      <c r="Q5572" t="s">
        <v>324</v>
      </c>
      <c r="R5572" t="s">
        <v>329</v>
      </c>
      <c r="S5572" t="s">
        <v>323</v>
      </c>
      <c r="T5572">
        <v>3.5</v>
      </c>
      <c r="W5572" t="s">
        <v>330</v>
      </c>
      <c r="Y5572" s="42">
        <v>44411</v>
      </c>
    </row>
    <row r="5573" spans="14:25">
      <c r="N5573" s="42">
        <v>44405</v>
      </c>
      <c r="O5573" t="s">
        <v>328</v>
      </c>
      <c r="P5573" s="42">
        <v>44405</v>
      </c>
      <c r="Q5573" t="s">
        <v>328</v>
      </c>
      <c r="R5573" t="s">
        <v>320</v>
      </c>
      <c r="S5573" t="s">
        <v>323</v>
      </c>
      <c r="T5573">
        <v>7.6</v>
      </c>
      <c r="Y5573" s="42">
        <v>44411</v>
      </c>
    </row>
    <row r="5574" spans="14:25">
      <c r="N5574" s="42">
        <v>44386</v>
      </c>
      <c r="O5574" t="s">
        <v>346</v>
      </c>
      <c r="P5574" s="42">
        <v>44386</v>
      </c>
      <c r="Q5574" t="s">
        <v>346</v>
      </c>
      <c r="R5574" t="s">
        <v>320</v>
      </c>
      <c r="S5574" t="s">
        <v>323</v>
      </c>
      <c r="T5574">
        <v>7.6</v>
      </c>
      <c r="Y5574" s="42">
        <v>44397</v>
      </c>
    </row>
    <row r="5575" spans="14:25">
      <c r="N5575" s="42">
        <v>44385</v>
      </c>
      <c r="O5575" t="s">
        <v>324</v>
      </c>
      <c r="P5575" s="42">
        <v>44385</v>
      </c>
      <c r="Q5575" t="s">
        <v>324</v>
      </c>
      <c r="R5575" t="s">
        <v>320</v>
      </c>
      <c r="S5575" t="s">
        <v>323</v>
      </c>
      <c r="T5575">
        <v>7.6</v>
      </c>
      <c r="Y5575" s="42">
        <v>44397</v>
      </c>
    </row>
    <row r="5576" spans="14:25">
      <c r="N5576" s="42">
        <v>44384</v>
      </c>
      <c r="O5576" t="s">
        <v>328</v>
      </c>
      <c r="P5576" s="42">
        <v>44384</v>
      </c>
      <c r="Q5576" t="s">
        <v>328</v>
      </c>
      <c r="R5576" t="s">
        <v>320</v>
      </c>
      <c r="S5576" t="s">
        <v>323</v>
      </c>
      <c r="T5576">
        <v>7.6</v>
      </c>
      <c r="Y5576" s="42">
        <v>44397</v>
      </c>
    </row>
    <row r="5577" spans="14:25">
      <c r="N5577" s="42">
        <v>44364</v>
      </c>
      <c r="O5577" t="s">
        <v>324</v>
      </c>
      <c r="P5577" s="42">
        <v>44364</v>
      </c>
      <c r="Q5577" t="s">
        <v>324</v>
      </c>
      <c r="R5577" t="s">
        <v>320</v>
      </c>
      <c r="S5577" t="s">
        <v>323</v>
      </c>
      <c r="T5577">
        <v>7.6</v>
      </c>
      <c r="Y5577" s="42">
        <v>44369</v>
      </c>
    </row>
    <row r="5578" spans="14:25">
      <c r="N5578" s="42">
        <v>44358</v>
      </c>
      <c r="O5578" t="s">
        <v>346</v>
      </c>
      <c r="P5578" s="42">
        <v>44358</v>
      </c>
      <c r="Q5578" t="s">
        <v>346</v>
      </c>
      <c r="R5578" t="s">
        <v>320</v>
      </c>
      <c r="S5578" t="s">
        <v>323</v>
      </c>
      <c r="T5578">
        <v>7.6</v>
      </c>
      <c r="Y5578" s="42">
        <v>44369</v>
      </c>
    </row>
    <row r="5579" spans="14:25">
      <c r="N5579" s="42">
        <v>44357</v>
      </c>
      <c r="O5579" t="s">
        <v>324</v>
      </c>
      <c r="P5579" s="42">
        <v>44357</v>
      </c>
      <c r="Q5579" t="s">
        <v>324</v>
      </c>
      <c r="R5579" t="s">
        <v>320</v>
      </c>
      <c r="S5579" t="s">
        <v>323</v>
      </c>
      <c r="T5579">
        <v>5.6</v>
      </c>
      <c r="Y5579" s="42">
        <v>44369</v>
      </c>
    </row>
    <row r="5580" spans="14:25">
      <c r="N5580" s="42">
        <v>44357</v>
      </c>
      <c r="O5580" t="s">
        <v>324</v>
      </c>
      <c r="P5580" s="42">
        <v>44357</v>
      </c>
      <c r="Q5580" t="s">
        <v>324</v>
      </c>
      <c r="R5580" t="s">
        <v>329</v>
      </c>
      <c r="S5580" t="s">
        <v>323</v>
      </c>
      <c r="T5580">
        <v>2</v>
      </c>
      <c r="W5580" t="s">
        <v>330</v>
      </c>
      <c r="Y5580" s="42">
        <v>44369</v>
      </c>
    </row>
    <row r="5581" spans="14:25">
      <c r="N5581" s="42">
        <v>44356</v>
      </c>
      <c r="O5581" t="s">
        <v>328</v>
      </c>
      <c r="P5581" s="42">
        <v>44356</v>
      </c>
      <c r="Q5581" t="s">
        <v>328</v>
      </c>
      <c r="R5581" t="s">
        <v>329</v>
      </c>
      <c r="S5581" t="s">
        <v>323</v>
      </c>
      <c r="T5581">
        <v>7.6</v>
      </c>
      <c r="W5581" t="s">
        <v>330</v>
      </c>
      <c r="Y5581" s="42">
        <v>44369</v>
      </c>
    </row>
    <row r="5582" spans="14:25">
      <c r="N5582" s="42">
        <v>44351</v>
      </c>
      <c r="O5582" t="s">
        <v>346</v>
      </c>
      <c r="P5582" s="42">
        <v>44351</v>
      </c>
      <c r="Q5582" t="s">
        <v>346</v>
      </c>
      <c r="R5582" t="s">
        <v>320</v>
      </c>
      <c r="S5582" t="s">
        <v>323</v>
      </c>
      <c r="T5582">
        <v>4</v>
      </c>
      <c r="Y5582" s="42">
        <v>44355</v>
      </c>
    </row>
    <row r="5583" spans="14:25">
      <c r="N5583" s="42">
        <v>44349</v>
      </c>
      <c r="O5583" t="s">
        <v>328</v>
      </c>
      <c r="P5583" s="42">
        <v>44349</v>
      </c>
      <c r="Q5583" t="s">
        <v>328</v>
      </c>
      <c r="R5583" t="s">
        <v>320</v>
      </c>
      <c r="S5583" t="s">
        <v>323</v>
      </c>
      <c r="T5583">
        <v>2.5</v>
      </c>
      <c r="Y5583" s="42">
        <v>44355</v>
      </c>
    </row>
    <row r="5584" spans="14:25">
      <c r="N5584" s="42">
        <v>44337</v>
      </c>
      <c r="O5584" t="s">
        <v>346</v>
      </c>
      <c r="P5584" s="42">
        <v>44337</v>
      </c>
      <c r="Q5584" t="s">
        <v>346</v>
      </c>
      <c r="R5584" t="s">
        <v>320</v>
      </c>
      <c r="S5584" t="s">
        <v>323</v>
      </c>
      <c r="T5584">
        <v>7.6</v>
      </c>
      <c r="Y5584" s="42">
        <v>44341</v>
      </c>
    </row>
    <row r="5585" spans="14:25">
      <c r="N5585" s="42">
        <v>44330</v>
      </c>
      <c r="O5585" t="s">
        <v>346</v>
      </c>
      <c r="P5585" s="42">
        <v>44330</v>
      </c>
      <c r="Q5585" t="s">
        <v>346</v>
      </c>
      <c r="R5585" t="s">
        <v>320</v>
      </c>
      <c r="S5585" t="s">
        <v>323</v>
      </c>
      <c r="T5585">
        <v>7.6</v>
      </c>
      <c r="Y5585" s="42">
        <v>44341</v>
      </c>
    </row>
    <row r="5586" spans="14:25">
      <c r="N5586" s="42">
        <v>44288</v>
      </c>
      <c r="O5586" t="s">
        <v>346</v>
      </c>
      <c r="P5586" s="42">
        <v>44288</v>
      </c>
      <c r="Q5586" t="s">
        <v>346</v>
      </c>
      <c r="R5586" t="s">
        <v>320</v>
      </c>
      <c r="S5586" t="s">
        <v>323</v>
      </c>
      <c r="U5586">
        <v>7.6</v>
      </c>
    </row>
    <row r="5587" spans="14:25">
      <c r="N5587" s="42">
        <v>44287</v>
      </c>
      <c r="O5587" t="s">
        <v>324</v>
      </c>
      <c r="P5587" s="42">
        <v>44287</v>
      </c>
      <c r="Q5587" t="s">
        <v>324</v>
      </c>
      <c r="R5587" t="s">
        <v>320</v>
      </c>
      <c r="S5587" t="s">
        <v>323</v>
      </c>
      <c r="T5587">
        <v>11.6</v>
      </c>
      <c r="Y5587" s="42">
        <v>44299</v>
      </c>
    </row>
    <row r="5588" spans="14:25">
      <c r="N5588" s="42">
        <v>44281</v>
      </c>
      <c r="O5588" t="s">
        <v>346</v>
      </c>
      <c r="P5588" s="42">
        <v>44281</v>
      </c>
      <c r="Q5588" t="s">
        <v>346</v>
      </c>
      <c r="R5588" t="s">
        <v>320</v>
      </c>
      <c r="S5588" t="s">
        <v>323</v>
      </c>
      <c r="T5588">
        <v>5.5167000000000002</v>
      </c>
      <c r="Y5588" s="42">
        <v>44285</v>
      </c>
    </row>
    <row r="5589" spans="14:25">
      <c r="N5589" s="42">
        <v>44272</v>
      </c>
      <c r="O5589" t="s">
        <v>328</v>
      </c>
      <c r="P5589" s="42">
        <v>44272</v>
      </c>
      <c r="Q5589" t="s">
        <v>328</v>
      </c>
      <c r="R5589" t="s">
        <v>329</v>
      </c>
      <c r="S5589" t="s">
        <v>323</v>
      </c>
      <c r="T5589">
        <v>7.6</v>
      </c>
      <c r="W5589" t="s">
        <v>330</v>
      </c>
      <c r="Y5589" s="42">
        <v>44285</v>
      </c>
    </row>
    <row r="5590" spans="14:25">
      <c r="N5590" s="42">
        <v>44266</v>
      </c>
      <c r="O5590" t="s">
        <v>324</v>
      </c>
      <c r="P5590" s="42">
        <v>44266</v>
      </c>
      <c r="Q5590" t="s">
        <v>324</v>
      </c>
      <c r="R5590" t="s">
        <v>329</v>
      </c>
      <c r="S5590" t="s">
        <v>323</v>
      </c>
      <c r="T5590">
        <v>7.6</v>
      </c>
      <c r="W5590" t="s">
        <v>330</v>
      </c>
      <c r="Y5590" s="42">
        <v>44271</v>
      </c>
    </row>
    <row r="5591" spans="14:25">
      <c r="N5591" s="42">
        <v>44265</v>
      </c>
      <c r="O5591" t="s">
        <v>328</v>
      </c>
      <c r="P5591" s="42">
        <v>44265</v>
      </c>
      <c r="Q5591" t="s">
        <v>328</v>
      </c>
      <c r="R5591" t="s">
        <v>329</v>
      </c>
      <c r="S5591" t="s">
        <v>323</v>
      </c>
      <c r="T5591">
        <v>7.6</v>
      </c>
      <c r="W5591" t="s">
        <v>330</v>
      </c>
      <c r="Y5591" s="42">
        <v>44271</v>
      </c>
    </row>
    <row r="5592" spans="14:25">
      <c r="N5592" s="42">
        <v>44202</v>
      </c>
      <c r="O5592" t="s">
        <v>328</v>
      </c>
      <c r="P5592" s="42">
        <v>44202</v>
      </c>
      <c r="Q5592" t="s">
        <v>328</v>
      </c>
      <c r="R5592" t="s">
        <v>329</v>
      </c>
      <c r="S5592" t="s">
        <v>323</v>
      </c>
      <c r="T5592">
        <v>7.6</v>
      </c>
      <c r="W5592" t="s">
        <v>330</v>
      </c>
      <c r="Y5592" s="42">
        <v>44215</v>
      </c>
    </row>
    <row r="5593" spans="14:25">
      <c r="N5593" s="42">
        <v>44197</v>
      </c>
      <c r="O5593" t="s">
        <v>346</v>
      </c>
      <c r="P5593" s="42">
        <v>44197</v>
      </c>
      <c r="Q5593" t="s">
        <v>346</v>
      </c>
      <c r="R5593" t="s">
        <v>320</v>
      </c>
      <c r="S5593" t="s">
        <v>323</v>
      </c>
      <c r="U5593">
        <v>7.6</v>
      </c>
    </row>
    <row r="5594" spans="14:25">
      <c r="N5594" s="42">
        <v>44193</v>
      </c>
      <c r="O5594" t="s">
        <v>345</v>
      </c>
      <c r="P5594" s="42">
        <v>44193</v>
      </c>
      <c r="Q5594" t="s">
        <v>345</v>
      </c>
      <c r="R5594" t="s">
        <v>320</v>
      </c>
      <c r="S5594" t="s">
        <v>323</v>
      </c>
      <c r="U5594">
        <v>7.6</v>
      </c>
    </row>
    <row r="5595" spans="14:25">
      <c r="N5595" s="42">
        <v>44190</v>
      </c>
      <c r="O5595" t="s">
        <v>346</v>
      </c>
      <c r="P5595" s="42">
        <v>44190</v>
      </c>
      <c r="Q5595" t="s">
        <v>346</v>
      </c>
      <c r="R5595" t="s">
        <v>320</v>
      </c>
      <c r="S5595" t="s">
        <v>323</v>
      </c>
      <c r="U5595">
        <v>7.6</v>
      </c>
    </row>
    <row r="5596" spans="14:25">
      <c r="N5596" s="42">
        <v>44189</v>
      </c>
      <c r="O5596" t="s">
        <v>324</v>
      </c>
      <c r="P5596" s="42">
        <v>44189</v>
      </c>
      <c r="Q5596" t="s">
        <v>324</v>
      </c>
      <c r="R5596" t="s">
        <v>320</v>
      </c>
      <c r="S5596" t="s">
        <v>323</v>
      </c>
      <c r="T5596">
        <v>7.6</v>
      </c>
      <c r="Y5596" s="42">
        <v>44201</v>
      </c>
    </row>
    <row r="5597" spans="14:25">
      <c r="N5597" s="42">
        <v>44188</v>
      </c>
      <c r="O5597" t="s">
        <v>328</v>
      </c>
      <c r="P5597" s="42">
        <v>44188</v>
      </c>
      <c r="Q5597" t="s">
        <v>328</v>
      </c>
      <c r="R5597" t="s">
        <v>320</v>
      </c>
      <c r="S5597" t="s">
        <v>323</v>
      </c>
      <c r="T5597">
        <v>7.6</v>
      </c>
      <c r="Y5597" s="42">
        <v>44201</v>
      </c>
    </row>
    <row r="5598" spans="14:25">
      <c r="N5598" s="42">
        <v>44160</v>
      </c>
      <c r="O5598" t="s">
        <v>328</v>
      </c>
      <c r="P5598" s="42">
        <v>44160</v>
      </c>
      <c r="Q5598" t="s">
        <v>328</v>
      </c>
      <c r="R5598" t="s">
        <v>329</v>
      </c>
      <c r="S5598" t="s">
        <v>323</v>
      </c>
      <c r="T5598">
        <v>7.6</v>
      </c>
      <c r="W5598" t="s">
        <v>330</v>
      </c>
      <c r="Y5598" s="42">
        <v>44173</v>
      </c>
    </row>
    <row r="5599" spans="14:25">
      <c r="N5599" s="42">
        <v>44143</v>
      </c>
      <c r="O5599" t="s">
        <v>344</v>
      </c>
      <c r="P5599" s="42">
        <v>44143</v>
      </c>
      <c r="Q5599" t="s">
        <v>344</v>
      </c>
      <c r="R5599" t="s">
        <v>320</v>
      </c>
      <c r="S5599" t="s">
        <v>323</v>
      </c>
      <c r="T5599">
        <v>4</v>
      </c>
      <c r="Y5599" s="42">
        <v>44145</v>
      </c>
    </row>
    <row r="5600" spans="14:25">
      <c r="N5600" s="42">
        <v>44115</v>
      </c>
      <c r="O5600" t="s">
        <v>344</v>
      </c>
      <c r="P5600" s="42">
        <v>44115</v>
      </c>
      <c r="Q5600" t="s">
        <v>344</v>
      </c>
      <c r="R5600" t="s">
        <v>320</v>
      </c>
      <c r="S5600" t="s">
        <v>323</v>
      </c>
      <c r="T5600">
        <v>4</v>
      </c>
      <c r="Y5600" s="42">
        <v>44117</v>
      </c>
    </row>
    <row r="5601" spans="14:25">
      <c r="N5601" s="42">
        <v>44062</v>
      </c>
      <c r="O5601" t="s">
        <v>328</v>
      </c>
      <c r="P5601" s="42">
        <v>44062</v>
      </c>
      <c r="Q5601" t="s">
        <v>328</v>
      </c>
      <c r="R5601" t="s">
        <v>329</v>
      </c>
      <c r="S5601" t="s">
        <v>323</v>
      </c>
      <c r="T5601">
        <v>7.6</v>
      </c>
      <c r="W5601" t="s">
        <v>330</v>
      </c>
      <c r="Y5601" s="42">
        <v>44075</v>
      </c>
    </row>
    <row r="5602" spans="14:25">
      <c r="N5602" s="42">
        <v>44059</v>
      </c>
      <c r="O5602" t="s">
        <v>344</v>
      </c>
      <c r="P5602" s="42">
        <v>44059</v>
      </c>
      <c r="Q5602" t="s">
        <v>344</v>
      </c>
      <c r="R5602" t="s">
        <v>320</v>
      </c>
      <c r="S5602" t="s">
        <v>323</v>
      </c>
      <c r="T5602">
        <v>4</v>
      </c>
      <c r="Y5602" s="42">
        <v>44061</v>
      </c>
    </row>
    <row r="5603" spans="14:25">
      <c r="N5603" s="42">
        <v>44002</v>
      </c>
      <c r="O5603" t="s">
        <v>359</v>
      </c>
      <c r="P5603" s="42">
        <v>44002</v>
      </c>
      <c r="Q5603" t="s">
        <v>359</v>
      </c>
      <c r="R5603" t="s">
        <v>338</v>
      </c>
      <c r="S5603" t="s">
        <v>323</v>
      </c>
      <c r="T5603">
        <v>1.25</v>
      </c>
      <c r="W5603" t="s">
        <v>330</v>
      </c>
      <c r="Y5603" s="42">
        <v>44005</v>
      </c>
    </row>
    <row r="5604" spans="14:25">
      <c r="N5604" s="42">
        <v>43995</v>
      </c>
      <c r="O5604" t="s">
        <v>359</v>
      </c>
      <c r="P5604" s="42">
        <v>43995</v>
      </c>
      <c r="Q5604" t="s">
        <v>359</v>
      </c>
      <c r="R5604" t="s">
        <v>338</v>
      </c>
      <c r="S5604" t="s">
        <v>323</v>
      </c>
      <c r="T5604">
        <v>0.7167</v>
      </c>
      <c r="W5604" t="s">
        <v>330</v>
      </c>
      <c r="Y5604" s="42">
        <v>44005</v>
      </c>
    </row>
    <row r="5605" spans="14:25">
      <c r="N5605" s="42">
        <v>43992</v>
      </c>
      <c r="O5605" t="s">
        <v>328</v>
      </c>
      <c r="P5605" s="42">
        <v>43992</v>
      </c>
      <c r="Q5605" t="s">
        <v>328</v>
      </c>
      <c r="R5605" t="s">
        <v>338</v>
      </c>
      <c r="S5605" t="s">
        <v>323</v>
      </c>
      <c r="T5605">
        <v>0.41670000000000001</v>
      </c>
      <c r="W5605" t="s">
        <v>330</v>
      </c>
      <c r="Y5605" s="42">
        <v>44005</v>
      </c>
    </row>
    <row r="5606" spans="14:25">
      <c r="N5606" s="42">
        <v>43978</v>
      </c>
      <c r="O5606" t="s">
        <v>328</v>
      </c>
      <c r="P5606" s="42">
        <v>43978</v>
      </c>
      <c r="Q5606" t="s">
        <v>328</v>
      </c>
      <c r="R5606" t="s">
        <v>329</v>
      </c>
      <c r="S5606" t="s">
        <v>323</v>
      </c>
      <c r="T5606">
        <v>7.6</v>
      </c>
      <c r="W5606" t="s">
        <v>330</v>
      </c>
      <c r="Y5606" s="42">
        <v>43991</v>
      </c>
    </row>
    <row r="5607" spans="14:25">
      <c r="N5607" s="42">
        <v>43971</v>
      </c>
      <c r="O5607" t="s">
        <v>328</v>
      </c>
      <c r="P5607" s="42">
        <v>43971</v>
      </c>
      <c r="Q5607" t="s">
        <v>328</v>
      </c>
      <c r="R5607" t="s">
        <v>320</v>
      </c>
      <c r="S5607" t="s">
        <v>323</v>
      </c>
      <c r="T5607">
        <v>7.6</v>
      </c>
      <c r="Y5607" s="42">
        <v>43977</v>
      </c>
    </row>
    <row r="5608" spans="14:25">
      <c r="N5608" s="42">
        <v>43960</v>
      </c>
      <c r="O5608" t="s">
        <v>359</v>
      </c>
      <c r="P5608" s="42">
        <v>43960</v>
      </c>
      <c r="Q5608" t="s">
        <v>359</v>
      </c>
      <c r="R5608" t="s">
        <v>338</v>
      </c>
      <c r="S5608" t="s">
        <v>323</v>
      </c>
      <c r="T5608">
        <v>1.1167</v>
      </c>
      <c r="W5608" t="s">
        <v>330</v>
      </c>
      <c r="Y5608" s="42">
        <v>43963</v>
      </c>
    </row>
    <row r="5609" spans="14:25">
      <c r="N5609" s="42">
        <v>43953</v>
      </c>
      <c r="O5609" t="s">
        <v>359</v>
      </c>
      <c r="P5609" s="42">
        <v>43953</v>
      </c>
      <c r="Q5609" t="s">
        <v>359</v>
      </c>
      <c r="R5609" t="s">
        <v>338</v>
      </c>
      <c r="S5609" t="s">
        <v>323</v>
      </c>
      <c r="T5609">
        <v>1.6</v>
      </c>
      <c r="W5609" t="s">
        <v>330</v>
      </c>
      <c r="Y5609" s="42">
        <v>43963</v>
      </c>
    </row>
    <row r="5610" spans="14:25">
      <c r="N5610" s="42">
        <v>43944</v>
      </c>
      <c r="O5610" t="s">
        <v>324</v>
      </c>
      <c r="P5610" s="42">
        <v>43944</v>
      </c>
      <c r="Q5610" t="s">
        <v>324</v>
      </c>
      <c r="R5610" t="s">
        <v>338</v>
      </c>
      <c r="S5610" t="s">
        <v>323</v>
      </c>
      <c r="T5610">
        <v>1.0667</v>
      </c>
      <c r="W5610" t="s">
        <v>330</v>
      </c>
      <c r="Y5610" s="42">
        <v>43949</v>
      </c>
    </row>
    <row r="5611" spans="14:25">
      <c r="N5611" s="42">
        <v>43932</v>
      </c>
      <c r="O5611" t="s">
        <v>359</v>
      </c>
      <c r="P5611" s="42">
        <v>43932</v>
      </c>
      <c r="Q5611" t="s">
        <v>359</v>
      </c>
      <c r="R5611" t="s">
        <v>338</v>
      </c>
      <c r="S5611" t="s">
        <v>323</v>
      </c>
      <c r="T5611">
        <v>1.3167</v>
      </c>
      <c r="W5611" t="s">
        <v>330</v>
      </c>
      <c r="Y5611" s="42">
        <v>43935</v>
      </c>
    </row>
    <row r="5612" spans="14:25">
      <c r="N5612" s="42">
        <v>43925</v>
      </c>
      <c r="O5612" t="s">
        <v>359</v>
      </c>
      <c r="P5612" s="42">
        <v>43925</v>
      </c>
      <c r="Q5612" t="s">
        <v>359</v>
      </c>
      <c r="R5612" t="s">
        <v>338</v>
      </c>
      <c r="S5612" t="s">
        <v>323</v>
      </c>
      <c r="T5612">
        <v>2.15</v>
      </c>
      <c r="W5612" t="s">
        <v>330</v>
      </c>
      <c r="Y5612" s="42">
        <v>43935</v>
      </c>
    </row>
    <row r="5613" spans="14:25">
      <c r="N5613" s="42">
        <v>43923</v>
      </c>
      <c r="O5613" t="s">
        <v>324</v>
      </c>
      <c r="P5613" s="42">
        <v>43923</v>
      </c>
      <c r="Q5613" t="s">
        <v>324</v>
      </c>
      <c r="R5613" t="s">
        <v>338</v>
      </c>
      <c r="S5613" t="s">
        <v>323</v>
      </c>
      <c r="T5613">
        <v>0.7833</v>
      </c>
      <c r="W5613" t="s">
        <v>330</v>
      </c>
      <c r="Y5613" s="42">
        <v>43935</v>
      </c>
    </row>
    <row r="5614" spans="14:25">
      <c r="N5614" s="42">
        <v>43918</v>
      </c>
      <c r="O5614" t="s">
        <v>359</v>
      </c>
      <c r="P5614" s="42">
        <v>43918</v>
      </c>
      <c r="Q5614" t="s">
        <v>359</v>
      </c>
      <c r="R5614" t="s">
        <v>320</v>
      </c>
      <c r="S5614" t="s">
        <v>323</v>
      </c>
      <c r="T5614">
        <v>7.6</v>
      </c>
      <c r="Y5614" s="42">
        <v>43921</v>
      </c>
    </row>
    <row r="5615" spans="14:25">
      <c r="N5615" s="42">
        <v>43917</v>
      </c>
      <c r="O5615" t="s">
        <v>346</v>
      </c>
      <c r="P5615" s="42">
        <v>43917</v>
      </c>
      <c r="Q5615" t="s">
        <v>346</v>
      </c>
      <c r="R5615" t="s">
        <v>320</v>
      </c>
      <c r="S5615" t="s">
        <v>323</v>
      </c>
      <c r="T5615">
        <v>7.6</v>
      </c>
      <c r="Y5615" s="42">
        <v>43921</v>
      </c>
    </row>
    <row r="5616" spans="14:25">
      <c r="N5616" s="42">
        <v>43916</v>
      </c>
      <c r="O5616" t="s">
        <v>324</v>
      </c>
      <c r="P5616" s="42">
        <v>43916</v>
      </c>
      <c r="Q5616" t="s">
        <v>324</v>
      </c>
      <c r="R5616" t="s">
        <v>320</v>
      </c>
      <c r="S5616" t="s">
        <v>323</v>
      </c>
      <c r="T5616">
        <v>7.6</v>
      </c>
      <c r="Y5616" s="42">
        <v>43921</v>
      </c>
    </row>
    <row r="5617" spans="14:25">
      <c r="N5617" s="42">
        <v>43915</v>
      </c>
      <c r="O5617" t="s">
        <v>328</v>
      </c>
      <c r="P5617" s="42">
        <v>43915</v>
      </c>
      <c r="Q5617" t="s">
        <v>328</v>
      </c>
      <c r="R5617" t="s">
        <v>320</v>
      </c>
      <c r="S5617" t="s">
        <v>323</v>
      </c>
      <c r="T5617">
        <v>3.55</v>
      </c>
      <c r="Y5617" s="42">
        <v>43921</v>
      </c>
    </row>
    <row r="5618" spans="14:25">
      <c r="N5618" s="42">
        <v>43911</v>
      </c>
      <c r="O5618" t="s">
        <v>359</v>
      </c>
      <c r="P5618" s="42">
        <v>43911</v>
      </c>
      <c r="Q5618" t="s">
        <v>359</v>
      </c>
      <c r="R5618" t="s">
        <v>338</v>
      </c>
      <c r="S5618" t="s">
        <v>323</v>
      </c>
      <c r="T5618">
        <v>0.91669999999999996</v>
      </c>
      <c r="W5618" t="s">
        <v>330</v>
      </c>
      <c r="Y5618" s="42">
        <v>43921</v>
      </c>
    </row>
    <row r="5619" spans="14:25">
      <c r="N5619" s="42">
        <v>43904</v>
      </c>
      <c r="O5619" t="s">
        <v>359</v>
      </c>
      <c r="P5619" s="42">
        <v>43904</v>
      </c>
      <c r="Q5619" t="s">
        <v>359</v>
      </c>
      <c r="R5619" t="s">
        <v>338</v>
      </c>
      <c r="S5619" t="s">
        <v>323</v>
      </c>
      <c r="T5619">
        <v>0.43330000000000002</v>
      </c>
      <c r="W5619" t="s">
        <v>330</v>
      </c>
      <c r="Y5619" s="42">
        <v>43907</v>
      </c>
    </row>
    <row r="5620" spans="14:25">
      <c r="N5620" s="42">
        <v>43897</v>
      </c>
      <c r="O5620" t="s">
        <v>359</v>
      </c>
      <c r="P5620" s="42">
        <v>43897</v>
      </c>
      <c r="Q5620" t="s">
        <v>359</v>
      </c>
      <c r="R5620" t="s">
        <v>338</v>
      </c>
      <c r="S5620" t="s">
        <v>323</v>
      </c>
      <c r="T5620">
        <v>2.2332999999999998</v>
      </c>
      <c r="W5620" t="s">
        <v>330</v>
      </c>
      <c r="Y5620" s="42">
        <v>43907</v>
      </c>
    </row>
    <row r="5621" spans="14:25">
      <c r="N5621" s="42">
        <v>43860</v>
      </c>
      <c r="O5621" t="s">
        <v>324</v>
      </c>
      <c r="P5621" s="42">
        <v>43860</v>
      </c>
      <c r="Q5621" t="s">
        <v>324</v>
      </c>
      <c r="R5621" t="s">
        <v>338</v>
      </c>
      <c r="S5621" t="s">
        <v>323</v>
      </c>
      <c r="T5621">
        <v>7.6</v>
      </c>
      <c r="W5621" t="s">
        <v>330</v>
      </c>
      <c r="Y5621" s="42">
        <v>43865</v>
      </c>
    </row>
    <row r="5622" spans="14:25">
      <c r="N5622" s="42">
        <v>43859</v>
      </c>
      <c r="O5622" t="s">
        <v>328</v>
      </c>
      <c r="P5622" s="42">
        <v>43859</v>
      </c>
      <c r="Q5622" t="s">
        <v>328</v>
      </c>
      <c r="R5622" t="s">
        <v>338</v>
      </c>
      <c r="S5622" t="s">
        <v>323</v>
      </c>
      <c r="T5622">
        <v>7.6</v>
      </c>
      <c r="W5622" t="s">
        <v>330</v>
      </c>
      <c r="Y5622" s="42">
        <v>43865</v>
      </c>
    </row>
    <row r="5623" spans="14:25">
      <c r="N5623" s="42">
        <v>43840</v>
      </c>
      <c r="O5623" t="s">
        <v>346</v>
      </c>
      <c r="P5623" s="42">
        <v>43840</v>
      </c>
      <c r="Q5623" t="s">
        <v>346</v>
      </c>
      <c r="R5623" t="s">
        <v>329</v>
      </c>
      <c r="S5623" t="s">
        <v>323</v>
      </c>
      <c r="T5623">
        <v>7.6</v>
      </c>
      <c r="W5623" t="s">
        <v>330</v>
      </c>
      <c r="Y5623" s="42">
        <v>43851</v>
      </c>
    </row>
    <row r="5624" spans="14:25">
      <c r="N5624" s="42">
        <v>43839</v>
      </c>
      <c r="O5624" t="s">
        <v>324</v>
      </c>
      <c r="P5624" s="42">
        <v>43839</v>
      </c>
      <c r="Q5624" t="s">
        <v>324</v>
      </c>
      <c r="R5624" t="s">
        <v>329</v>
      </c>
      <c r="S5624" t="s">
        <v>323</v>
      </c>
      <c r="T5624">
        <v>7.6</v>
      </c>
      <c r="W5624" t="s">
        <v>330</v>
      </c>
      <c r="Y5624" s="42">
        <v>43851</v>
      </c>
    </row>
    <row r="5625" spans="14:25">
      <c r="N5625" s="42">
        <v>43770</v>
      </c>
      <c r="O5625" t="s">
        <v>346</v>
      </c>
      <c r="P5625" s="42">
        <v>43770</v>
      </c>
      <c r="Q5625" t="s">
        <v>346</v>
      </c>
      <c r="R5625" t="s">
        <v>320</v>
      </c>
      <c r="S5625" t="s">
        <v>323</v>
      </c>
      <c r="T5625">
        <v>7.6</v>
      </c>
      <c r="Y5625" s="42">
        <v>43781</v>
      </c>
    </row>
    <row r="5626" spans="14:25">
      <c r="N5626" s="42">
        <v>43769</v>
      </c>
      <c r="O5626" t="s">
        <v>324</v>
      </c>
      <c r="P5626" s="42">
        <v>43769</v>
      </c>
      <c r="Q5626" t="s">
        <v>324</v>
      </c>
      <c r="R5626" t="s">
        <v>320</v>
      </c>
      <c r="S5626" t="s">
        <v>323</v>
      </c>
      <c r="T5626">
        <v>7.6</v>
      </c>
      <c r="Y5626" s="42">
        <v>43781</v>
      </c>
    </row>
    <row r="5627" spans="14:25">
      <c r="N5627" s="42">
        <v>43768</v>
      </c>
      <c r="O5627" t="s">
        <v>328</v>
      </c>
      <c r="P5627" s="42">
        <v>43768</v>
      </c>
      <c r="Q5627" t="s">
        <v>328</v>
      </c>
      <c r="R5627" t="s">
        <v>320</v>
      </c>
      <c r="S5627" t="s">
        <v>323</v>
      </c>
      <c r="T5627">
        <v>7.6</v>
      </c>
      <c r="Y5627" s="42">
        <v>43781</v>
      </c>
    </row>
    <row r="5628" spans="14:25">
      <c r="N5628" s="42">
        <v>43764</v>
      </c>
      <c r="O5628" t="s">
        <v>359</v>
      </c>
      <c r="P5628" s="42">
        <v>43764</v>
      </c>
      <c r="Q5628" t="s">
        <v>359</v>
      </c>
      <c r="R5628" t="s">
        <v>320</v>
      </c>
      <c r="S5628" t="s">
        <v>323</v>
      </c>
      <c r="T5628">
        <v>7.6</v>
      </c>
      <c r="Y5628" s="42">
        <v>43767</v>
      </c>
    </row>
    <row r="5629" spans="14:25">
      <c r="N5629" s="42">
        <v>43763</v>
      </c>
      <c r="O5629" t="s">
        <v>346</v>
      </c>
      <c r="P5629" s="42">
        <v>43763</v>
      </c>
      <c r="Q5629" t="s">
        <v>346</v>
      </c>
      <c r="R5629" t="s">
        <v>320</v>
      </c>
      <c r="S5629" t="s">
        <v>323</v>
      </c>
      <c r="T5629">
        <v>7.6</v>
      </c>
      <c r="Y5629" s="42">
        <v>43767</v>
      </c>
    </row>
    <row r="5630" spans="14:25">
      <c r="N5630" s="42">
        <v>43762</v>
      </c>
      <c r="O5630" t="s">
        <v>324</v>
      </c>
      <c r="P5630" s="42">
        <v>43762</v>
      </c>
      <c r="Q5630" t="s">
        <v>324</v>
      </c>
      <c r="R5630" t="s">
        <v>320</v>
      </c>
      <c r="S5630" t="s">
        <v>323</v>
      </c>
      <c r="T5630">
        <v>7.6</v>
      </c>
      <c r="Y5630" s="42">
        <v>43767</v>
      </c>
    </row>
    <row r="5631" spans="14:25">
      <c r="N5631" s="42">
        <v>43761</v>
      </c>
      <c r="O5631" t="s">
        <v>328</v>
      </c>
      <c r="P5631" s="42">
        <v>43761</v>
      </c>
      <c r="Q5631" t="s">
        <v>328</v>
      </c>
      <c r="R5631" t="s">
        <v>320</v>
      </c>
      <c r="S5631" t="s">
        <v>323</v>
      </c>
      <c r="T5631">
        <v>7.6</v>
      </c>
      <c r="Y5631" s="42">
        <v>43767</v>
      </c>
    </row>
    <row r="5632" spans="14:25">
      <c r="N5632" s="42">
        <v>43708</v>
      </c>
      <c r="O5632" t="s">
        <v>359</v>
      </c>
      <c r="P5632" s="42">
        <v>43708</v>
      </c>
      <c r="Q5632" t="s">
        <v>359</v>
      </c>
      <c r="R5632" t="s">
        <v>320</v>
      </c>
      <c r="S5632" t="s">
        <v>323</v>
      </c>
      <c r="T5632">
        <v>4.2667000000000002</v>
      </c>
      <c r="Y5632" s="42">
        <v>43711</v>
      </c>
    </row>
    <row r="5633" spans="1:25">
      <c r="N5633" s="42">
        <v>43705</v>
      </c>
      <c r="O5633" t="s">
        <v>328</v>
      </c>
      <c r="P5633" s="42">
        <v>43705</v>
      </c>
      <c r="Q5633" t="s">
        <v>328</v>
      </c>
      <c r="R5633" t="s">
        <v>320</v>
      </c>
      <c r="S5633" t="s">
        <v>323</v>
      </c>
      <c r="T5633">
        <v>7.6</v>
      </c>
      <c r="Y5633" s="42">
        <v>43711</v>
      </c>
    </row>
    <row r="5634" spans="1:25">
      <c r="N5634" s="42">
        <v>43691</v>
      </c>
      <c r="O5634" t="s">
        <v>328</v>
      </c>
      <c r="P5634" s="42">
        <v>43693</v>
      </c>
      <c r="Q5634" t="s">
        <v>346</v>
      </c>
      <c r="R5634" t="s">
        <v>320</v>
      </c>
      <c r="S5634" t="s">
        <v>323</v>
      </c>
      <c r="T5634">
        <v>20.93</v>
      </c>
      <c r="Y5634" s="42">
        <v>43697</v>
      </c>
    </row>
    <row r="5635" spans="1:25">
      <c r="N5635" s="42">
        <v>43670</v>
      </c>
      <c r="O5635" t="s">
        <v>328</v>
      </c>
      <c r="P5635" s="42">
        <v>43672</v>
      </c>
      <c r="Q5635" t="s">
        <v>346</v>
      </c>
      <c r="R5635" t="s">
        <v>329</v>
      </c>
      <c r="S5635" t="s">
        <v>323</v>
      </c>
      <c r="T5635">
        <v>22.8</v>
      </c>
      <c r="W5635" t="s">
        <v>330</v>
      </c>
      <c r="Y5635" s="42">
        <v>43683</v>
      </c>
    </row>
    <row r="5636" spans="1:25">
      <c r="N5636" s="42">
        <v>43635</v>
      </c>
      <c r="O5636" t="s">
        <v>328</v>
      </c>
      <c r="P5636" s="42">
        <v>43637</v>
      </c>
      <c r="Q5636" t="s">
        <v>346</v>
      </c>
      <c r="R5636" t="s">
        <v>320</v>
      </c>
      <c r="S5636" t="s">
        <v>323</v>
      </c>
      <c r="T5636">
        <v>22.8</v>
      </c>
      <c r="Y5636" s="42">
        <v>43641</v>
      </c>
    </row>
    <row r="5637" spans="1:25">
      <c r="A5637">
        <v>18827</v>
      </c>
      <c r="B5637" t="s">
        <v>415</v>
      </c>
      <c r="C5637" t="s">
        <v>320</v>
      </c>
      <c r="D5637" t="s">
        <v>336</v>
      </c>
      <c r="E5637" t="s">
        <v>337</v>
      </c>
      <c r="F5637">
        <v>1</v>
      </c>
      <c r="G5637" s="42">
        <v>45070</v>
      </c>
      <c r="H5637">
        <v>152</v>
      </c>
      <c r="I5637">
        <v>-69.064400000000006</v>
      </c>
      <c r="J5637">
        <v>118.2685</v>
      </c>
      <c r="K5637">
        <v>49.204099999999997</v>
      </c>
      <c r="L5637" t="s">
        <v>323</v>
      </c>
      <c r="M5637" s="43">
        <v>0.16666666666666666</v>
      </c>
      <c r="N5637" s="42">
        <v>44985</v>
      </c>
      <c r="O5637" t="s">
        <v>333</v>
      </c>
      <c r="P5637" s="42">
        <v>44985</v>
      </c>
      <c r="Q5637" t="s">
        <v>333</v>
      </c>
      <c r="R5637" t="s">
        <v>320</v>
      </c>
      <c r="S5637" t="s">
        <v>323</v>
      </c>
      <c r="T5637">
        <v>7.6</v>
      </c>
      <c r="Y5637" s="42">
        <v>44985</v>
      </c>
    </row>
    <row r="5638" spans="1:25">
      <c r="C5638" t="s">
        <v>325</v>
      </c>
      <c r="D5638" t="s">
        <v>340</v>
      </c>
      <c r="E5638" t="s">
        <v>341</v>
      </c>
      <c r="F5638">
        <v>1</v>
      </c>
      <c r="G5638" s="42">
        <v>46067</v>
      </c>
      <c r="H5638">
        <v>230.54259999999999</v>
      </c>
      <c r="I5638">
        <v>0</v>
      </c>
      <c r="J5638">
        <v>133.34880000000001</v>
      </c>
      <c r="K5638">
        <v>133.34880000000001</v>
      </c>
      <c r="L5638" t="s">
        <v>323</v>
      </c>
      <c r="N5638" s="42">
        <v>44984</v>
      </c>
      <c r="O5638" t="s">
        <v>345</v>
      </c>
      <c r="P5638" s="42">
        <v>44984</v>
      </c>
      <c r="Q5638" t="s">
        <v>345</v>
      </c>
      <c r="R5638" t="s">
        <v>320</v>
      </c>
      <c r="S5638" t="s">
        <v>323</v>
      </c>
      <c r="T5638">
        <v>7.6</v>
      </c>
      <c r="Y5638" s="42">
        <v>44985</v>
      </c>
    </row>
    <row r="5639" spans="1:25">
      <c r="C5639" t="s">
        <v>329</v>
      </c>
      <c r="D5639" t="s">
        <v>342</v>
      </c>
      <c r="E5639" t="s">
        <v>343</v>
      </c>
      <c r="F5639">
        <v>1</v>
      </c>
      <c r="G5639" s="42">
        <v>45070</v>
      </c>
      <c r="H5639">
        <v>76</v>
      </c>
      <c r="I5639">
        <v>-27.1556</v>
      </c>
      <c r="J5639">
        <v>59.1342</v>
      </c>
      <c r="K5639">
        <v>31.9786</v>
      </c>
      <c r="L5639" t="s">
        <v>323</v>
      </c>
      <c r="N5639" s="42">
        <v>44981</v>
      </c>
      <c r="O5639" t="s">
        <v>346</v>
      </c>
      <c r="P5639" s="42">
        <v>44981</v>
      </c>
      <c r="Q5639" t="s">
        <v>346</v>
      </c>
      <c r="R5639" t="s">
        <v>320</v>
      </c>
      <c r="S5639" t="s">
        <v>323</v>
      </c>
      <c r="T5639">
        <v>7.6</v>
      </c>
      <c r="Y5639" s="42">
        <v>44985</v>
      </c>
    </row>
    <row r="5640" spans="1:25">
      <c r="N5640" s="42">
        <v>44980</v>
      </c>
      <c r="O5640" t="s">
        <v>324</v>
      </c>
      <c r="P5640" s="42">
        <v>44980</v>
      </c>
      <c r="Q5640" t="s">
        <v>324</v>
      </c>
      <c r="R5640" t="s">
        <v>320</v>
      </c>
      <c r="S5640" t="s">
        <v>323</v>
      </c>
      <c r="T5640">
        <v>7.6</v>
      </c>
      <c r="Y5640" s="42">
        <v>44985</v>
      </c>
    </row>
    <row r="5641" spans="1:25">
      <c r="N5641" s="42">
        <v>44979</v>
      </c>
      <c r="O5641" t="s">
        <v>328</v>
      </c>
      <c r="P5641" s="42">
        <v>44979</v>
      </c>
      <c r="Q5641" t="s">
        <v>328</v>
      </c>
      <c r="R5641" t="s">
        <v>320</v>
      </c>
      <c r="S5641" t="s">
        <v>323</v>
      </c>
      <c r="T5641">
        <v>7.6</v>
      </c>
      <c r="Y5641" s="42">
        <v>44985</v>
      </c>
    </row>
    <row r="5642" spans="1:25">
      <c r="N5642" s="42">
        <v>44978</v>
      </c>
      <c r="O5642" t="s">
        <v>333</v>
      </c>
      <c r="P5642" s="42">
        <v>44978</v>
      </c>
      <c r="Q5642" t="s">
        <v>333</v>
      </c>
      <c r="R5642" t="s">
        <v>320</v>
      </c>
      <c r="S5642" t="s">
        <v>323</v>
      </c>
      <c r="T5642">
        <v>7.6</v>
      </c>
      <c r="Y5642" s="42">
        <v>44985</v>
      </c>
    </row>
    <row r="5643" spans="1:25">
      <c r="N5643" s="42">
        <v>44977</v>
      </c>
      <c r="O5643" t="s">
        <v>345</v>
      </c>
      <c r="P5643" s="42">
        <v>44977</v>
      </c>
      <c r="Q5643" t="s">
        <v>345</v>
      </c>
      <c r="R5643" t="s">
        <v>320</v>
      </c>
      <c r="S5643" t="s">
        <v>323</v>
      </c>
      <c r="T5643">
        <v>7.6</v>
      </c>
      <c r="Y5643" s="42">
        <v>44985</v>
      </c>
    </row>
    <row r="5644" spans="1:25">
      <c r="N5644" s="42">
        <v>44974</v>
      </c>
      <c r="O5644" t="s">
        <v>346</v>
      </c>
      <c r="P5644" s="42">
        <v>44974</v>
      </c>
      <c r="Q5644" t="s">
        <v>346</v>
      </c>
      <c r="R5644" t="s">
        <v>320</v>
      </c>
      <c r="S5644" t="s">
        <v>323</v>
      </c>
      <c r="T5644">
        <v>7.6</v>
      </c>
      <c r="Y5644" s="42">
        <v>44985</v>
      </c>
    </row>
    <row r="5645" spans="1:25">
      <c r="N5645" s="42">
        <v>44973</v>
      </c>
      <c r="O5645" t="s">
        <v>324</v>
      </c>
      <c r="P5645" s="42">
        <v>44973</v>
      </c>
      <c r="Q5645" t="s">
        <v>324</v>
      </c>
      <c r="R5645" t="s">
        <v>320</v>
      </c>
      <c r="S5645" t="s">
        <v>323</v>
      </c>
      <c r="T5645">
        <v>7.6</v>
      </c>
      <c r="Y5645" s="42">
        <v>44985</v>
      </c>
    </row>
    <row r="5646" spans="1:25">
      <c r="N5646" s="42">
        <v>44972</v>
      </c>
      <c r="O5646" t="s">
        <v>328</v>
      </c>
      <c r="P5646" s="42">
        <v>44972</v>
      </c>
      <c r="Q5646" t="s">
        <v>328</v>
      </c>
      <c r="R5646" t="s">
        <v>320</v>
      </c>
      <c r="S5646" t="s">
        <v>323</v>
      </c>
      <c r="T5646">
        <v>7.6</v>
      </c>
      <c r="Y5646" s="42">
        <v>44985</v>
      </c>
    </row>
    <row r="5647" spans="1:25">
      <c r="N5647" s="42">
        <v>44971</v>
      </c>
      <c r="O5647" t="s">
        <v>333</v>
      </c>
      <c r="P5647" s="42">
        <v>44971</v>
      </c>
      <c r="Q5647" t="s">
        <v>333</v>
      </c>
      <c r="R5647" t="s">
        <v>320</v>
      </c>
      <c r="S5647" t="s">
        <v>323</v>
      </c>
      <c r="T5647">
        <v>7.6</v>
      </c>
      <c r="Y5647" s="42">
        <v>44971</v>
      </c>
    </row>
    <row r="5648" spans="1:25">
      <c r="N5648" s="42">
        <v>44970</v>
      </c>
      <c r="O5648" t="s">
        <v>345</v>
      </c>
      <c r="P5648" s="42">
        <v>44970</v>
      </c>
      <c r="Q5648" t="s">
        <v>345</v>
      </c>
      <c r="R5648" t="s">
        <v>320</v>
      </c>
      <c r="S5648" t="s">
        <v>323</v>
      </c>
      <c r="T5648">
        <v>7.6</v>
      </c>
      <c r="Y5648" s="42">
        <v>44971</v>
      </c>
    </row>
    <row r="5649" spans="14:25">
      <c r="N5649" s="42">
        <v>44967</v>
      </c>
      <c r="O5649" t="s">
        <v>346</v>
      </c>
      <c r="P5649" s="42">
        <v>44967</v>
      </c>
      <c r="Q5649" t="s">
        <v>346</v>
      </c>
      <c r="R5649" t="s">
        <v>320</v>
      </c>
      <c r="S5649" t="s">
        <v>323</v>
      </c>
      <c r="T5649">
        <v>7.6</v>
      </c>
      <c r="Y5649" s="42">
        <v>44971</v>
      </c>
    </row>
    <row r="5650" spans="14:25">
      <c r="N5650" s="42">
        <v>44952</v>
      </c>
      <c r="O5650" t="s">
        <v>324</v>
      </c>
      <c r="P5650" s="42">
        <v>44952</v>
      </c>
      <c r="Q5650" t="s">
        <v>324</v>
      </c>
      <c r="R5650" t="s">
        <v>320</v>
      </c>
      <c r="S5650" t="s">
        <v>323</v>
      </c>
      <c r="U5650">
        <v>7.6</v>
      </c>
      <c r="Y5650" s="42">
        <v>44957</v>
      </c>
    </row>
    <row r="5651" spans="14:25">
      <c r="N5651" s="42">
        <v>44928</v>
      </c>
      <c r="O5651" t="s">
        <v>345</v>
      </c>
      <c r="P5651" s="42">
        <v>44928</v>
      </c>
      <c r="Q5651" t="s">
        <v>345</v>
      </c>
      <c r="R5651" t="s">
        <v>320</v>
      </c>
      <c r="S5651" t="s">
        <v>323</v>
      </c>
      <c r="U5651">
        <v>7.6</v>
      </c>
    </row>
    <row r="5652" spans="14:25">
      <c r="N5652" s="42">
        <v>44928</v>
      </c>
      <c r="O5652" t="s">
        <v>345</v>
      </c>
      <c r="P5652" s="42">
        <v>44928</v>
      </c>
      <c r="Q5652" t="s">
        <v>345</v>
      </c>
      <c r="R5652" t="s">
        <v>320</v>
      </c>
      <c r="S5652" t="s">
        <v>323</v>
      </c>
      <c r="U5652">
        <v>7.6</v>
      </c>
      <c r="Y5652" s="42">
        <v>44929</v>
      </c>
    </row>
    <row r="5653" spans="14:25">
      <c r="N5653" s="42">
        <v>44927</v>
      </c>
      <c r="O5653" t="s">
        <v>344</v>
      </c>
      <c r="P5653" s="42">
        <v>44927</v>
      </c>
      <c r="Q5653" t="s">
        <v>344</v>
      </c>
      <c r="R5653" t="s">
        <v>320</v>
      </c>
      <c r="S5653" t="s">
        <v>323</v>
      </c>
      <c r="U5653">
        <v>7.6</v>
      </c>
    </row>
    <row r="5654" spans="14:25">
      <c r="N5654" s="42">
        <v>44922</v>
      </c>
      <c r="O5654" t="s">
        <v>333</v>
      </c>
      <c r="P5654" s="42">
        <v>44922</v>
      </c>
      <c r="Q5654" t="s">
        <v>333</v>
      </c>
      <c r="R5654" t="s">
        <v>320</v>
      </c>
      <c r="S5654" t="s">
        <v>323</v>
      </c>
      <c r="U5654">
        <v>7.6</v>
      </c>
    </row>
    <row r="5655" spans="14:25">
      <c r="N5655" s="42">
        <v>44922</v>
      </c>
      <c r="O5655" t="s">
        <v>333</v>
      </c>
      <c r="P5655" s="42">
        <v>44922</v>
      </c>
      <c r="Q5655" t="s">
        <v>333</v>
      </c>
      <c r="R5655" t="s">
        <v>320</v>
      </c>
      <c r="S5655" t="s">
        <v>323</v>
      </c>
      <c r="U5655">
        <v>7.6</v>
      </c>
      <c r="Y5655" s="42">
        <v>44929</v>
      </c>
    </row>
    <row r="5656" spans="14:25">
      <c r="N5656" s="42">
        <v>44921</v>
      </c>
      <c r="O5656" t="s">
        <v>345</v>
      </c>
      <c r="P5656" s="42">
        <v>44921</v>
      </c>
      <c r="Q5656" t="s">
        <v>345</v>
      </c>
      <c r="R5656" t="s">
        <v>320</v>
      </c>
      <c r="S5656" t="s">
        <v>323</v>
      </c>
      <c r="U5656">
        <v>7.6</v>
      </c>
    </row>
    <row r="5657" spans="14:25">
      <c r="N5657" s="42">
        <v>44921</v>
      </c>
      <c r="O5657" t="s">
        <v>345</v>
      </c>
      <c r="P5657" s="42">
        <v>44921</v>
      </c>
      <c r="Q5657" t="s">
        <v>345</v>
      </c>
      <c r="R5657" t="s">
        <v>320</v>
      </c>
      <c r="S5657" t="s">
        <v>323</v>
      </c>
      <c r="U5657">
        <v>7.6</v>
      </c>
      <c r="Y5657" s="42">
        <v>44929</v>
      </c>
    </row>
    <row r="5658" spans="14:25">
      <c r="N5658" s="42">
        <v>44920</v>
      </c>
      <c r="O5658" t="s">
        <v>344</v>
      </c>
      <c r="P5658" s="42">
        <v>44920</v>
      </c>
      <c r="Q5658" t="s">
        <v>344</v>
      </c>
      <c r="R5658" t="s">
        <v>320</v>
      </c>
      <c r="S5658" t="s">
        <v>323</v>
      </c>
      <c r="U5658">
        <v>7.6</v>
      </c>
    </row>
    <row r="5659" spans="14:25">
      <c r="N5659" s="42">
        <v>44866</v>
      </c>
      <c r="O5659" t="s">
        <v>333</v>
      </c>
      <c r="P5659" s="42">
        <v>44866</v>
      </c>
      <c r="Q5659" t="s">
        <v>333</v>
      </c>
      <c r="R5659" t="s">
        <v>320</v>
      </c>
      <c r="S5659" t="s">
        <v>323</v>
      </c>
      <c r="U5659">
        <v>7.6</v>
      </c>
    </row>
    <row r="5660" spans="14:25">
      <c r="N5660" s="42">
        <v>44860</v>
      </c>
      <c r="O5660" t="s">
        <v>328</v>
      </c>
      <c r="P5660" s="42">
        <v>44860</v>
      </c>
      <c r="Q5660" t="s">
        <v>328</v>
      </c>
      <c r="R5660" t="s">
        <v>329</v>
      </c>
      <c r="S5660" t="s">
        <v>323</v>
      </c>
      <c r="T5660">
        <v>7</v>
      </c>
      <c r="W5660" t="s">
        <v>330</v>
      </c>
      <c r="Y5660" s="42">
        <v>44873</v>
      </c>
    </row>
    <row r="5661" spans="14:25">
      <c r="N5661" s="42">
        <v>44826</v>
      </c>
      <c r="O5661" t="s">
        <v>324</v>
      </c>
      <c r="P5661" s="42">
        <v>44826</v>
      </c>
      <c r="Q5661" t="s">
        <v>324</v>
      </c>
      <c r="R5661" t="s">
        <v>320</v>
      </c>
      <c r="S5661" t="s">
        <v>323</v>
      </c>
      <c r="U5661">
        <v>7.6</v>
      </c>
    </row>
    <row r="5662" spans="14:25">
      <c r="N5662" s="42">
        <v>44796</v>
      </c>
      <c r="O5662" t="s">
        <v>333</v>
      </c>
      <c r="P5662" s="42">
        <v>44796</v>
      </c>
      <c r="Q5662" t="s">
        <v>333</v>
      </c>
      <c r="R5662" t="s">
        <v>329</v>
      </c>
      <c r="S5662" t="s">
        <v>323</v>
      </c>
      <c r="T5662">
        <v>7.6</v>
      </c>
      <c r="W5662" t="s">
        <v>330</v>
      </c>
      <c r="Y5662" s="42">
        <v>44803</v>
      </c>
    </row>
    <row r="5663" spans="14:25">
      <c r="N5663" s="42">
        <v>44775</v>
      </c>
      <c r="O5663" t="s">
        <v>333</v>
      </c>
      <c r="P5663" s="42">
        <v>44775</v>
      </c>
      <c r="Q5663" t="s">
        <v>333</v>
      </c>
      <c r="R5663" t="s">
        <v>329</v>
      </c>
      <c r="S5663" t="s">
        <v>323</v>
      </c>
      <c r="T5663">
        <v>7.6</v>
      </c>
      <c r="W5663" t="s">
        <v>330</v>
      </c>
      <c r="Y5663" s="42">
        <v>44775</v>
      </c>
    </row>
    <row r="5664" spans="14:25">
      <c r="N5664" s="42">
        <v>44742</v>
      </c>
      <c r="O5664" t="s">
        <v>324</v>
      </c>
      <c r="P5664" s="42">
        <v>44742</v>
      </c>
      <c r="Q5664" t="s">
        <v>324</v>
      </c>
      <c r="R5664" t="s">
        <v>320</v>
      </c>
      <c r="S5664" t="s">
        <v>323</v>
      </c>
      <c r="T5664">
        <v>7.6</v>
      </c>
      <c r="Y5664" s="42">
        <v>44747</v>
      </c>
    </row>
    <row r="5665" spans="14:25">
      <c r="N5665" s="42">
        <v>44733</v>
      </c>
      <c r="O5665" t="s">
        <v>333</v>
      </c>
      <c r="P5665" s="42">
        <v>44733</v>
      </c>
      <c r="Q5665" t="s">
        <v>333</v>
      </c>
      <c r="R5665" t="s">
        <v>329</v>
      </c>
      <c r="S5665" t="s">
        <v>323</v>
      </c>
      <c r="T5665">
        <v>7.6</v>
      </c>
      <c r="W5665" t="s">
        <v>330</v>
      </c>
      <c r="Y5665" s="42">
        <v>44733</v>
      </c>
    </row>
    <row r="5666" spans="14:25">
      <c r="N5666" s="42">
        <v>44719</v>
      </c>
      <c r="O5666" t="s">
        <v>333</v>
      </c>
      <c r="P5666" s="42">
        <v>44719</v>
      </c>
      <c r="Q5666" t="s">
        <v>333</v>
      </c>
      <c r="R5666" t="s">
        <v>320</v>
      </c>
      <c r="S5666" t="s">
        <v>323</v>
      </c>
      <c r="T5666">
        <v>7.6</v>
      </c>
      <c r="Y5666" s="42">
        <v>44719</v>
      </c>
    </row>
    <row r="5667" spans="14:25">
      <c r="N5667" s="42">
        <v>44707</v>
      </c>
      <c r="O5667" t="s">
        <v>324</v>
      </c>
      <c r="P5667" s="42">
        <v>44707</v>
      </c>
      <c r="Q5667" t="s">
        <v>324</v>
      </c>
      <c r="R5667" t="s">
        <v>320</v>
      </c>
      <c r="S5667" t="s">
        <v>323</v>
      </c>
      <c r="T5667">
        <v>7.6</v>
      </c>
      <c r="Y5667" s="42">
        <v>44719</v>
      </c>
    </row>
    <row r="5668" spans="14:25">
      <c r="N5668" s="42">
        <v>44697</v>
      </c>
      <c r="O5668" t="s">
        <v>345</v>
      </c>
      <c r="P5668" s="42">
        <v>44697</v>
      </c>
      <c r="Q5668" t="s">
        <v>345</v>
      </c>
      <c r="R5668" t="s">
        <v>320</v>
      </c>
      <c r="S5668" t="s">
        <v>323</v>
      </c>
      <c r="T5668">
        <v>7.6</v>
      </c>
      <c r="Y5668" s="42">
        <v>44705</v>
      </c>
    </row>
    <row r="5669" spans="14:25">
      <c r="N5669" s="42">
        <v>44696</v>
      </c>
      <c r="O5669" t="s">
        <v>344</v>
      </c>
      <c r="P5669" s="42">
        <v>44696</v>
      </c>
      <c r="Q5669" t="s">
        <v>344</v>
      </c>
      <c r="R5669" t="s">
        <v>329</v>
      </c>
      <c r="S5669" t="s">
        <v>323</v>
      </c>
      <c r="T5669">
        <v>7.6</v>
      </c>
      <c r="W5669" t="s">
        <v>330</v>
      </c>
      <c r="Y5669" s="42">
        <v>44705</v>
      </c>
    </row>
    <row r="5670" spans="14:25">
      <c r="N5670" s="42">
        <v>44685</v>
      </c>
      <c r="O5670" t="s">
        <v>328</v>
      </c>
      <c r="P5670" s="42">
        <v>44685</v>
      </c>
      <c r="Q5670" t="s">
        <v>328</v>
      </c>
      <c r="R5670" t="s">
        <v>329</v>
      </c>
      <c r="S5670" t="s">
        <v>323</v>
      </c>
      <c r="T5670">
        <v>7.6</v>
      </c>
      <c r="W5670" t="s">
        <v>330</v>
      </c>
      <c r="Y5670" s="42">
        <v>44691</v>
      </c>
    </row>
    <row r="5671" spans="14:25">
      <c r="N5671" s="42">
        <v>44676</v>
      </c>
      <c r="O5671" t="s">
        <v>345</v>
      </c>
      <c r="P5671" s="42">
        <v>44676</v>
      </c>
      <c r="Q5671" t="s">
        <v>345</v>
      </c>
      <c r="R5671" t="s">
        <v>320</v>
      </c>
      <c r="S5671" t="s">
        <v>323</v>
      </c>
      <c r="U5671">
        <v>7.6</v>
      </c>
    </row>
    <row r="5672" spans="14:25">
      <c r="N5672" s="42">
        <v>44669</v>
      </c>
      <c r="O5672" t="s">
        <v>345</v>
      </c>
      <c r="P5672" s="42">
        <v>44669</v>
      </c>
      <c r="Q5672" t="s">
        <v>345</v>
      </c>
      <c r="R5672" t="s">
        <v>320</v>
      </c>
      <c r="S5672" t="s">
        <v>323</v>
      </c>
      <c r="U5672">
        <v>7.6</v>
      </c>
    </row>
    <row r="5673" spans="14:25">
      <c r="N5673" s="42">
        <v>44668</v>
      </c>
      <c r="O5673" t="s">
        <v>344</v>
      </c>
      <c r="P5673" s="42">
        <v>44668</v>
      </c>
      <c r="Q5673" t="s">
        <v>344</v>
      </c>
      <c r="R5673" t="s">
        <v>320</v>
      </c>
      <c r="S5673" t="s">
        <v>323</v>
      </c>
      <c r="U5673">
        <v>7.6</v>
      </c>
    </row>
    <row r="5674" spans="14:25">
      <c r="N5674" s="42">
        <v>44664</v>
      </c>
      <c r="O5674" t="s">
        <v>328</v>
      </c>
      <c r="P5674" s="42">
        <v>44664</v>
      </c>
      <c r="Q5674" t="s">
        <v>328</v>
      </c>
      <c r="R5674" t="s">
        <v>320</v>
      </c>
      <c r="S5674" t="s">
        <v>323</v>
      </c>
      <c r="T5674">
        <v>7.6</v>
      </c>
      <c r="Y5674" s="42">
        <v>44677</v>
      </c>
    </row>
    <row r="5675" spans="14:25">
      <c r="N5675" s="42">
        <v>44642</v>
      </c>
      <c r="O5675" t="s">
        <v>333</v>
      </c>
      <c r="P5675" s="42">
        <v>44642</v>
      </c>
      <c r="Q5675" t="s">
        <v>333</v>
      </c>
      <c r="R5675" t="s">
        <v>320</v>
      </c>
      <c r="S5675" t="s">
        <v>323</v>
      </c>
      <c r="T5675">
        <v>7.6</v>
      </c>
      <c r="Y5675" s="42">
        <v>44649</v>
      </c>
    </row>
    <row r="5676" spans="14:25">
      <c r="N5676" s="42">
        <v>44634</v>
      </c>
      <c r="O5676" t="s">
        <v>345</v>
      </c>
      <c r="P5676" s="42">
        <v>44634</v>
      </c>
      <c r="Q5676" t="s">
        <v>345</v>
      </c>
      <c r="R5676" t="s">
        <v>320</v>
      </c>
      <c r="S5676" t="s">
        <v>323</v>
      </c>
      <c r="U5676">
        <v>7.6</v>
      </c>
    </row>
    <row r="5677" spans="14:25">
      <c r="N5677" s="42">
        <v>44615</v>
      </c>
      <c r="O5677" t="s">
        <v>328</v>
      </c>
      <c r="P5677" s="42">
        <v>44615</v>
      </c>
      <c r="Q5677" t="s">
        <v>328</v>
      </c>
      <c r="R5677" t="s">
        <v>329</v>
      </c>
      <c r="S5677" t="s">
        <v>323</v>
      </c>
      <c r="T5677">
        <v>7.6</v>
      </c>
      <c r="W5677" t="s">
        <v>330</v>
      </c>
      <c r="Y5677" s="42">
        <v>44621</v>
      </c>
    </row>
    <row r="5678" spans="14:25">
      <c r="N5678" s="42">
        <v>44600</v>
      </c>
      <c r="O5678" t="s">
        <v>333</v>
      </c>
      <c r="P5678" s="42">
        <v>44600</v>
      </c>
      <c r="Q5678" t="s">
        <v>333</v>
      </c>
      <c r="R5678" t="s">
        <v>329</v>
      </c>
      <c r="S5678" t="s">
        <v>323</v>
      </c>
      <c r="T5678">
        <v>7.6</v>
      </c>
      <c r="W5678" t="s">
        <v>330</v>
      </c>
      <c r="Y5678" s="42">
        <v>44607</v>
      </c>
    </row>
    <row r="5679" spans="14:25">
      <c r="N5679" s="42">
        <v>44588</v>
      </c>
      <c r="O5679" t="s">
        <v>324</v>
      </c>
      <c r="P5679" s="42">
        <v>44588</v>
      </c>
      <c r="Q5679" t="s">
        <v>324</v>
      </c>
      <c r="R5679" t="s">
        <v>320</v>
      </c>
      <c r="S5679" t="s">
        <v>323</v>
      </c>
      <c r="T5679">
        <v>7.6</v>
      </c>
      <c r="Y5679" s="42">
        <v>44593</v>
      </c>
    </row>
    <row r="5680" spans="14:25">
      <c r="N5680" s="42">
        <v>44587</v>
      </c>
      <c r="O5680" t="s">
        <v>328</v>
      </c>
      <c r="P5680" s="42">
        <v>44587</v>
      </c>
      <c r="Q5680" t="s">
        <v>328</v>
      </c>
      <c r="R5680" t="s">
        <v>320</v>
      </c>
      <c r="S5680" t="s">
        <v>323</v>
      </c>
      <c r="U5680">
        <v>7.6</v>
      </c>
    </row>
    <row r="5681" spans="14:25">
      <c r="N5681" s="42">
        <v>44564</v>
      </c>
      <c r="O5681" t="s">
        <v>345</v>
      </c>
      <c r="P5681" s="42">
        <v>44564</v>
      </c>
      <c r="Q5681" t="s">
        <v>345</v>
      </c>
      <c r="R5681" t="s">
        <v>320</v>
      </c>
      <c r="S5681" t="s">
        <v>323</v>
      </c>
      <c r="U5681">
        <v>7.6</v>
      </c>
    </row>
    <row r="5682" spans="14:25">
      <c r="N5682" s="42">
        <v>44558</v>
      </c>
      <c r="O5682" t="s">
        <v>333</v>
      </c>
      <c r="P5682" s="42">
        <v>44558</v>
      </c>
      <c r="Q5682" t="s">
        <v>333</v>
      </c>
      <c r="R5682" t="s">
        <v>320</v>
      </c>
      <c r="S5682" t="s">
        <v>323</v>
      </c>
      <c r="U5682">
        <v>7.6</v>
      </c>
    </row>
    <row r="5683" spans="14:25">
      <c r="N5683" s="42">
        <v>44557</v>
      </c>
      <c r="O5683" t="s">
        <v>345</v>
      </c>
      <c r="P5683" s="42">
        <v>44557</v>
      </c>
      <c r="Q5683" t="s">
        <v>345</v>
      </c>
      <c r="R5683" t="s">
        <v>320</v>
      </c>
      <c r="S5683" t="s">
        <v>323</v>
      </c>
      <c r="U5683">
        <v>7.6</v>
      </c>
    </row>
    <row r="5684" spans="14:25">
      <c r="N5684" s="42">
        <v>44556</v>
      </c>
      <c r="O5684" t="s">
        <v>344</v>
      </c>
      <c r="P5684" s="42">
        <v>44556</v>
      </c>
      <c r="Q5684" t="s">
        <v>344</v>
      </c>
      <c r="R5684" t="s">
        <v>320</v>
      </c>
      <c r="S5684" t="s">
        <v>323</v>
      </c>
      <c r="U5684">
        <v>6.9333</v>
      </c>
    </row>
    <row r="5685" spans="14:25">
      <c r="N5685" s="42">
        <v>44551</v>
      </c>
      <c r="O5685" t="s">
        <v>333</v>
      </c>
      <c r="P5685" s="42">
        <v>44551</v>
      </c>
      <c r="Q5685" t="s">
        <v>333</v>
      </c>
      <c r="R5685" t="s">
        <v>329</v>
      </c>
      <c r="S5685" t="s">
        <v>323</v>
      </c>
      <c r="T5685">
        <v>7.6</v>
      </c>
      <c r="W5685" t="s">
        <v>330</v>
      </c>
      <c r="Y5685" s="42">
        <v>44551</v>
      </c>
    </row>
    <row r="5686" spans="14:25">
      <c r="N5686" s="42">
        <v>44510</v>
      </c>
      <c r="O5686" t="s">
        <v>328</v>
      </c>
      <c r="P5686" s="42">
        <v>44510</v>
      </c>
      <c r="Q5686" t="s">
        <v>328</v>
      </c>
      <c r="R5686" t="s">
        <v>320</v>
      </c>
      <c r="S5686" t="s">
        <v>323</v>
      </c>
      <c r="T5686">
        <v>7.6</v>
      </c>
      <c r="Y5686" s="42">
        <v>44523</v>
      </c>
    </row>
    <row r="5687" spans="14:25">
      <c r="N5687" s="42">
        <v>44502</v>
      </c>
      <c r="O5687" t="s">
        <v>333</v>
      </c>
      <c r="P5687" s="42">
        <v>44502</v>
      </c>
      <c r="Q5687" t="s">
        <v>333</v>
      </c>
      <c r="R5687" t="s">
        <v>320</v>
      </c>
      <c r="S5687" t="s">
        <v>323</v>
      </c>
      <c r="U5687">
        <v>7.6</v>
      </c>
    </row>
    <row r="5688" spans="14:25">
      <c r="N5688" s="42">
        <v>44488</v>
      </c>
      <c r="O5688" t="s">
        <v>333</v>
      </c>
      <c r="P5688" s="42">
        <v>44488</v>
      </c>
      <c r="Q5688" t="s">
        <v>333</v>
      </c>
      <c r="R5688" t="s">
        <v>320</v>
      </c>
      <c r="S5688" t="s">
        <v>323</v>
      </c>
      <c r="T5688">
        <v>7.6</v>
      </c>
      <c r="Y5688" s="42">
        <v>44495</v>
      </c>
    </row>
    <row r="5689" spans="14:25">
      <c r="N5689" s="42">
        <v>44487</v>
      </c>
      <c r="O5689" t="s">
        <v>345</v>
      </c>
      <c r="P5689" s="42">
        <v>44487</v>
      </c>
      <c r="Q5689" t="s">
        <v>345</v>
      </c>
      <c r="R5689" t="s">
        <v>320</v>
      </c>
      <c r="S5689" t="s">
        <v>323</v>
      </c>
      <c r="T5689">
        <v>7.6</v>
      </c>
      <c r="Y5689" s="42">
        <v>44495</v>
      </c>
    </row>
    <row r="5690" spans="14:25">
      <c r="N5690" s="42">
        <v>44448</v>
      </c>
      <c r="O5690" t="s">
        <v>324</v>
      </c>
      <c r="P5690" s="42">
        <v>44448</v>
      </c>
      <c r="Q5690" t="s">
        <v>324</v>
      </c>
      <c r="R5690" t="s">
        <v>320</v>
      </c>
      <c r="S5690" t="s">
        <v>323</v>
      </c>
      <c r="T5690">
        <v>7.6</v>
      </c>
      <c r="Y5690" s="42">
        <v>44453</v>
      </c>
    </row>
    <row r="5691" spans="14:25">
      <c r="N5691" s="42">
        <v>44447</v>
      </c>
      <c r="O5691" t="s">
        <v>328</v>
      </c>
      <c r="P5691" s="42">
        <v>44447</v>
      </c>
      <c r="Q5691" t="s">
        <v>328</v>
      </c>
      <c r="R5691" t="s">
        <v>320</v>
      </c>
      <c r="S5691" t="s">
        <v>323</v>
      </c>
      <c r="T5691">
        <v>7.6</v>
      </c>
      <c r="Y5691" s="42">
        <v>44453</v>
      </c>
    </row>
    <row r="5692" spans="14:25">
      <c r="N5692" s="42">
        <v>44446</v>
      </c>
      <c r="O5692" t="s">
        <v>333</v>
      </c>
      <c r="P5692" s="42">
        <v>44446</v>
      </c>
      <c r="Q5692" t="s">
        <v>333</v>
      </c>
      <c r="R5692" t="s">
        <v>334</v>
      </c>
      <c r="S5692" t="s">
        <v>323</v>
      </c>
      <c r="T5692">
        <v>7.6</v>
      </c>
      <c r="W5692" t="s">
        <v>330</v>
      </c>
      <c r="Y5692" s="42">
        <v>44453</v>
      </c>
    </row>
    <row r="5693" spans="14:25">
      <c r="N5693" s="42">
        <v>44445</v>
      </c>
      <c r="O5693" t="s">
        <v>345</v>
      </c>
      <c r="P5693" s="42">
        <v>44445</v>
      </c>
      <c r="Q5693" t="s">
        <v>345</v>
      </c>
      <c r="R5693" t="s">
        <v>334</v>
      </c>
      <c r="S5693" t="s">
        <v>323</v>
      </c>
      <c r="T5693">
        <v>7.6</v>
      </c>
      <c r="W5693" t="s">
        <v>330</v>
      </c>
      <c r="Y5693" s="42">
        <v>44453</v>
      </c>
    </row>
    <row r="5694" spans="14:25">
      <c r="N5694" s="42">
        <v>44444</v>
      </c>
      <c r="O5694" t="s">
        <v>344</v>
      </c>
      <c r="P5694" s="42">
        <v>44444</v>
      </c>
      <c r="Q5694" t="s">
        <v>344</v>
      </c>
      <c r="R5694" t="s">
        <v>334</v>
      </c>
      <c r="S5694" t="s">
        <v>323</v>
      </c>
      <c r="T5694">
        <v>7.6</v>
      </c>
      <c r="W5694" t="s">
        <v>330</v>
      </c>
      <c r="Y5694" s="42">
        <v>44453</v>
      </c>
    </row>
    <row r="5695" spans="14:25">
      <c r="N5695" s="42">
        <v>44418</v>
      </c>
      <c r="O5695" t="s">
        <v>333</v>
      </c>
      <c r="P5695" s="42">
        <v>44418</v>
      </c>
      <c r="Q5695" t="s">
        <v>333</v>
      </c>
      <c r="R5695" t="s">
        <v>320</v>
      </c>
      <c r="S5695" t="s">
        <v>323</v>
      </c>
      <c r="T5695">
        <v>7.6</v>
      </c>
      <c r="Y5695" s="42">
        <v>44425</v>
      </c>
    </row>
    <row r="5696" spans="14:25">
      <c r="N5696" s="42">
        <v>44396</v>
      </c>
      <c r="O5696" t="s">
        <v>345</v>
      </c>
      <c r="P5696" s="42">
        <v>44396</v>
      </c>
      <c r="Q5696" t="s">
        <v>345</v>
      </c>
      <c r="R5696" t="s">
        <v>320</v>
      </c>
      <c r="S5696" t="s">
        <v>323</v>
      </c>
      <c r="T5696">
        <v>7.6</v>
      </c>
      <c r="Y5696" s="42">
        <v>44397</v>
      </c>
    </row>
    <row r="5697" spans="14:25">
      <c r="N5697" s="42">
        <v>44382</v>
      </c>
      <c r="O5697" t="s">
        <v>345</v>
      </c>
      <c r="P5697" s="42">
        <v>44382</v>
      </c>
      <c r="Q5697" t="s">
        <v>345</v>
      </c>
      <c r="R5697" t="s">
        <v>320</v>
      </c>
      <c r="S5697" t="s">
        <v>323</v>
      </c>
      <c r="T5697">
        <v>7.6</v>
      </c>
      <c r="Y5697" s="42">
        <v>44383</v>
      </c>
    </row>
    <row r="5698" spans="14:25">
      <c r="N5698" s="42">
        <v>44361</v>
      </c>
      <c r="O5698" t="s">
        <v>345</v>
      </c>
      <c r="P5698" s="42">
        <v>44361</v>
      </c>
      <c r="Q5698" t="s">
        <v>345</v>
      </c>
      <c r="R5698" t="s">
        <v>320</v>
      </c>
      <c r="S5698" t="s">
        <v>323</v>
      </c>
      <c r="U5698">
        <v>7.6</v>
      </c>
    </row>
    <row r="5699" spans="14:25">
      <c r="N5699" s="42">
        <v>44349</v>
      </c>
      <c r="O5699" t="s">
        <v>328</v>
      </c>
      <c r="P5699" s="42">
        <v>44350</v>
      </c>
      <c r="Q5699" t="s">
        <v>324</v>
      </c>
      <c r="R5699" t="s">
        <v>320</v>
      </c>
      <c r="S5699" t="s">
        <v>323</v>
      </c>
      <c r="T5699">
        <v>14.11</v>
      </c>
      <c r="Y5699" s="42">
        <v>44355</v>
      </c>
    </row>
    <row r="5700" spans="14:25">
      <c r="N5700" s="42">
        <v>44342</v>
      </c>
      <c r="O5700" t="s">
        <v>328</v>
      </c>
      <c r="P5700" s="42">
        <v>44349</v>
      </c>
      <c r="Q5700" t="s">
        <v>328</v>
      </c>
      <c r="R5700" t="s">
        <v>329</v>
      </c>
      <c r="S5700" t="s">
        <v>323</v>
      </c>
      <c r="T5700">
        <v>39.090000000000003</v>
      </c>
      <c r="W5700" t="s">
        <v>330</v>
      </c>
      <c r="Y5700" s="42">
        <v>44355</v>
      </c>
    </row>
    <row r="5701" spans="14:25">
      <c r="N5701" s="42">
        <v>44341</v>
      </c>
      <c r="O5701" t="s">
        <v>333</v>
      </c>
      <c r="P5701" s="42">
        <v>44341</v>
      </c>
      <c r="Q5701" t="s">
        <v>333</v>
      </c>
      <c r="R5701" t="s">
        <v>329</v>
      </c>
      <c r="S5701" t="s">
        <v>323</v>
      </c>
      <c r="T5701">
        <v>7.6</v>
      </c>
      <c r="W5701" t="s">
        <v>330</v>
      </c>
      <c r="Y5701" s="42">
        <v>44341</v>
      </c>
    </row>
    <row r="5702" spans="14:25">
      <c r="N5702" s="42">
        <v>44340</v>
      </c>
      <c r="O5702" t="s">
        <v>345</v>
      </c>
      <c r="P5702" s="42">
        <v>44340</v>
      </c>
      <c r="Q5702" t="s">
        <v>345</v>
      </c>
      <c r="R5702" t="s">
        <v>329</v>
      </c>
      <c r="S5702" t="s">
        <v>323</v>
      </c>
      <c r="T5702">
        <v>7.6</v>
      </c>
      <c r="W5702" t="s">
        <v>330</v>
      </c>
      <c r="Y5702" s="42">
        <v>44341</v>
      </c>
    </row>
    <row r="5703" spans="14:25">
      <c r="N5703" s="42">
        <v>44326</v>
      </c>
      <c r="O5703" t="s">
        <v>345</v>
      </c>
      <c r="P5703" s="42">
        <v>44326</v>
      </c>
      <c r="Q5703" t="s">
        <v>345</v>
      </c>
      <c r="R5703" t="s">
        <v>370</v>
      </c>
      <c r="S5703" t="s">
        <v>323</v>
      </c>
      <c r="T5703">
        <v>7.6</v>
      </c>
      <c r="W5703" t="s">
        <v>330</v>
      </c>
      <c r="Y5703" s="42">
        <v>44327</v>
      </c>
    </row>
    <row r="5704" spans="14:25">
      <c r="N5704" s="42">
        <v>44325</v>
      </c>
      <c r="O5704" t="s">
        <v>344</v>
      </c>
      <c r="P5704" s="42">
        <v>44325</v>
      </c>
      <c r="Q5704" t="s">
        <v>344</v>
      </c>
      <c r="R5704" t="s">
        <v>370</v>
      </c>
      <c r="S5704" t="s">
        <v>323</v>
      </c>
      <c r="T5704">
        <v>7.6</v>
      </c>
      <c r="W5704" t="s">
        <v>330</v>
      </c>
      <c r="Y5704" s="42">
        <v>44327</v>
      </c>
    </row>
    <row r="5705" spans="14:25">
      <c r="N5705" s="42">
        <v>44322</v>
      </c>
      <c r="O5705" t="s">
        <v>324</v>
      </c>
      <c r="P5705" s="42">
        <v>44322</v>
      </c>
      <c r="Q5705" t="s">
        <v>324</v>
      </c>
      <c r="R5705" t="s">
        <v>370</v>
      </c>
      <c r="S5705" t="s">
        <v>323</v>
      </c>
      <c r="T5705">
        <v>7.6</v>
      </c>
      <c r="W5705" t="s">
        <v>330</v>
      </c>
      <c r="Y5705" s="42">
        <v>44327</v>
      </c>
    </row>
    <row r="5706" spans="14:25">
      <c r="N5706" s="42">
        <v>44321</v>
      </c>
      <c r="O5706" t="s">
        <v>328</v>
      </c>
      <c r="P5706" s="42">
        <v>44321</v>
      </c>
      <c r="Q5706" t="s">
        <v>328</v>
      </c>
      <c r="R5706" t="s">
        <v>370</v>
      </c>
      <c r="S5706" t="s">
        <v>323</v>
      </c>
      <c r="T5706">
        <v>7.6</v>
      </c>
      <c r="W5706" t="s">
        <v>330</v>
      </c>
      <c r="Y5706" s="42">
        <v>44327</v>
      </c>
    </row>
    <row r="5707" spans="14:25">
      <c r="N5707" s="42">
        <v>44320</v>
      </c>
      <c r="O5707" t="s">
        <v>333</v>
      </c>
      <c r="P5707" s="42">
        <v>44320</v>
      </c>
      <c r="Q5707" t="s">
        <v>333</v>
      </c>
      <c r="R5707" t="s">
        <v>370</v>
      </c>
      <c r="S5707" t="s">
        <v>323</v>
      </c>
      <c r="T5707">
        <v>7.6</v>
      </c>
      <c r="W5707" t="s">
        <v>330</v>
      </c>
      <c r="Y5707" s="42">
        <v>44327</v>
      </c>
    </row>
    <row r="5708" spans="14:25">
      <c r="N5708" s="42">
        <v>44319</v>
      </c>
      <c r="O5708" t="s">
        <v>345</v>
      </c>
      <c r="P5708" s="42">
        <v>44319</v>
      </c>
      <c r="Q5708" t="s">
        <v>345</v>
      </c>
      <c r="R5708" t="s">
        <v>370</v>
      </c>
      <c r="S5708" t="s">
        <v>323</v>
      </c>
      <c r="T5708">
        <v>7.6</v>
      </c>
      <c r="W5708" t="s">
        <v>330</v>
      </c>
      <c r="Y5708" s="42">
        <v>44327</v>
      </c>
    </row>
    <row r="5709" spans="14:25">
      <c r="N5709" s="42">
        <v>44318</v>
      </c>
      <c r="O5709" t="s">
        <v>344</v>
      </c>
      <c r="P5709" s="42">
        <v>44318</v>
      </c>
      <c r="Q5709" t="s">
        <v>344</v>
      </c>
      <c r="R5709" t="s">
        <v>370</v>
      </c>
      <c r="S5709" t="s">
        <v>323</v>
      </c>
      <c r="T5709">
        <v>7.6</v>
      </c>
      <c r="W5709" t="s">
        <v>330</v>
      </c>
      <c r="Y5709" s="42">
        <v>44327</v>
      </c>
    </row>
    <row r="5710" spans="14:25">
      <c r="N5710" s="42">
        <v>44315</v>
      </c>
      <c r="O5710" t="s">
        <v>324</v>
      </c>
      <c r="P5710" s="42">
        <v>44315</v>
      </c>
      <c r="Q5710" t="s">
        <v>324</v>
      </c>
      <c r="R5710" t="s">
        <v>370</v>
      </c>
      <c r="S5710" t="s">
        <v>323</v>
      </c>
      <c r="T5710">
        <v>7.6</v>
      </c>
      <c r="W5710" t="s">
        <v>330</v>
      </c>
      <c r="Y5710" s="42">
        <v>44327</v>
      </c>
    </row>
    <row r="5711" spans="14:25">
      <c r="N5711" s="42">
        <v>44314</v>
      </c>
      <c r="O5711" t="s">
        <v>328</v>
      </c>
      <c r="P5711" s="42">
        <v>44314</v>
      </c>
      <c r="Q5711" t="s">
        <v>328</v>
      </c>
      <c r="R5711" t="s">
        <v>370</v>
      </c>
      <c r="S5711" t="s">
        <v>323</v>
      </c>
      <c r="T5711">
        <v>7.6</v>
      </c>
      <c r="W5711" t="s">
        <v>330</v>
      </c>
      <c r="Y5711" s="42">
        <v>44327</v>
      </c>
    </row>
    <row r="5712" spans="14:25">
      <c r="N5712" s="42">
        <v>44313</v>
      </c>
      <c r="O5712" t="s">
        <v>333</v>
      </c>
      <c r="P5712" s="42">
        <v>44313</v>
      </c>
      <c r="Q5712" t="s">
        <v>333</v>
      </c>
      <c r="R5712" t="s">
        <v>370</v>
      </c>
      <c r="S5712" t="s">
        <v>323</v>
      </c>
      <c r="T5712">
        <v>7.6</v>
      </c>
      <c r="W5712" t="s">
        <v>330</v>
      </c>
      <c r="Y5712" s="42">
        <v>44313</v>
      </c>
    </row>
    <row r="5713" spans="14:25">
      <c r="N5713" s="42">
        <v>44311</v>
      </c>
      <c r="O5713" t="s">
        <v>344</v>
      </c>
      <c r="P5713" s="42">
        <v>44311</v>
      </c>
      <c r="Q5713" t="s">
        <v>344</v>
      </c>
      <c r="R5713" t="s">
        <v>370</v>
      </c>
      <c r="S5713" t="s">
        <v>323</v>
      </c>
      <c r="T5713">
        <v>7.6</v>
      </c>
      <c r="W5713" t="s">
        <v>330</v>
      </c>
      <c r="Y5713" s="42">
        <v>44313</v>
      </c>
    </row>
    <row r="5714" spans="14:25">
      <c r="N5714" s="42">
        <v>44308</v>
      </c>
      <c r="O5714" t="s">
        <v>324</v>
      </c>
      <c r="P5714" s="42">
        <v>44308</v>
      </c>
      <c r="Q5714" t="s">
        <v>324</v>
      </c>
      <c r="R5714" t="s">
        <v>370</v>
      </c>
      <c r="S5714" t="s">
        <v>323</v>
      </c>
      <c r="T5714">
        <v>7.6</v>
      </c>
      <c r="W5714" t="s">
        <v>330</v>
      </c>
      <c r="Y5714" s="42">
        <v>44313</v>
      </c>
    </row>
    <row r="5715" spans="14:25">
      <c r="N5715" s="42">
        <v>44307</v>
      </c>
      <c r="O5715" t="s">
        <v>328</v>
      </c>
      <c r="P5715" s="42">
        <v>44307</v>
      </c>
      <c r="Q5715" t="s">
        <v>328</v>
      </c>
      <c r="R5715" t="s">
        <v>370</v>
      </c>
      <c r="S5715" t="s">
        <v>323</v>
      </c>
      <c r="T5715">
        <v>7.6</v>
      </c>
      <c r="W5715" t="s">
        <v>330</v>
      </c>
      <c r="Y5715" s="42">
        <v>44313</v>
      </c>
    </row>
    <row r="5716" spans="14:25">
      <c r="N5716" s="42">
        <v>44306</v>
      </c>
      <c r="O5716" t="s">
        <v>333</v>
      </c>
      <c r="P5716" s="42">
        <v>44306</v>
      </c>
      <c r="Q5716" t="s">
        <v>333</v>
      </c>
      <c r="R5716" t="s">
        <v>370</v>
      </c>
      <c r="S5716" t="s">
        <v>323</v>
      </c>
      <c r="T5716">
        <v>7.6</v>
      </c>
      <c r="W5716" t="s">
        <v>330</v>
      </c>
      <c r="Y5716" s="42">
        <v>44313</v>
      </c>
    </row>
    <row r="5717" spans="14:25">
      <c r="N5717" s="42">
        <v>44305</v>
      </c>
      <c r="O5717" t="s">
        <v>345</v>
      </c>
      <c r="P5717" s="42">
        <v>44305</v>
      </c>
      <c r="Q5717" t="s">
        <v>345</v>
      </c>
      <c r="R5717" t="s">
        <v>370</v>
      </c>
      <c r="S5717" t="s">
        <v>323</v>
      </c>
      <c r="T5717">
        <v>7.6</v>
      </c>
      <c r="W5717" t="s">
        <v>330</v>
      </c>
      <c r="Y5717" s="42">
        <v>44313</v>
      </c>
    </row>
    <row r="5718" spans="14:25">
      <c r="N5718" s="42">
        <v>44304</v>
      </c>
      <c r="O5718" t="s">
        <v>344</v>
      </c>
      <c r="P5718" s="42">
        <v>44304</v>
      </c>
      <c r="Q5718" t="s">
        <v>344</v>
      </c>
      <c r="R5718" t="s">
        <v>370</v>
      </c>
      <c r="S5718" t="s">
        <v>323</v>
      </c>
      <c r="T5718">
        <v>7.6</v>
      </c>
      <c r="W5718" t="s">
        <v>330</v>
      </c>
      <c r="Y5718" s="42">
        <v>44313</v>
      </c>
    </row>
    <row r="5719" spans="14:25">
      <c r="N5719" s="42">
        <v>44301</v>
      </c>
      <c r="O5719" t="s">
        <v>324</v>
      </c>
      <c r="P5719" s="42">
        <v>44301</v>
      </c>
      <c r="Q5719" t="s">
        <v>324</v>
      </c>
      <c r="R5719" t="s">
        <v>370</v>
      </c>
      <c r="S5719" t="s">
        <v>323</v>
      </c>
      <c r="T5719">
        <v>7.6</v>
      </c>
      <c r="W5719" t="s">
        <v>330</v>
      </c>
      <c r="Y5719" s="42">
        <v>44313</v>
      </c>
    </row>
    <row r="5720" spans="14:25">
      <c r="N5720" s="42">
        <v>44300</v>
      </c>
      <c r="O5720" t="s">
        <v>328</v>
      </c>
      <c r="P5720" s="42">
        <v>44300</v>
      </c>
      <c r="Q5720" t="s">
        <v>328</v>
      </c>
      <c r="R5720" t="s">
        <v>370</v>
      </c>
      <c r="S5720" t="s">
        <v>323</v>
      </c>
      <c r="T5720">
        <v>7.6</v>
      </c>
      <c r="W5720" t="s">
        <v>330</v>
      </c>
      <c r="Y5720" s="42">
        <v>44313</v>
      </c>
    </row>
    <row r="5721" spans="14:25">
      <c r="N5721" s="42">
        <v>44299</v>
      </c>
      <c r="O5721" t="s">
        <v>333</v>
      </c>
      <c r="P5721" s="42">
        <v>44299</v>
      </c>
      <c r="Q5721" t="s">
        <v>333</v>
      </c>
      <c r="R5721" t="s">
        <v>370</v>
      </c>
      <c r="S5721" t="s">
        <v>323</v>
      </c>
      <c r="T5721">
        <v>7.6</v>
      </c>
      <c r="W5721" t="s">
        <v>330</v>
      </c>
      <c r="Y5721" s="42">
        <v>44299</v>
      </c>
    </row>
    <row r="5722" spans="14:25">
      <c r="N5722" s="42">
        <v>44298</v>
      </c>
      <c r="O5722" t="s">
        <v>345</v>
      </c>
      <c r="P5722" s="42">
        <v>44298</v>
      </c>
      <c r="Q5722" t="s">
        <v>345</v>
      </c>
      <c r="R5722" t="s">
        <v>370</v>
      </c>
      <c r="S5722" t="s">
        <v>323</v>
      </c>
      <c r="T5722">
        <v>7.6</v>
      </c>
      <c r="W5722" t="s">
        <v>330</v>
      </c>
      <c r="Y5722" s="42">
        <v>44299</v>
      </c>
    </row>
    <row r="5723" spans="14:25">
      <c r="N5723" s="42">
        <v>44297</v>
      </c>
      <c r="O5723" t="s">
        <v>344</v>
      </c>
      <c r="P5723" s="42">
        <v>44297</v>
      </c>
      <c r="Q5723" t="s">
        <v>344</v>
      </c>
      <c r="R5723" t="s">
        <v>370</v>
      </c>
      <c r="S5723" t="s">
        <v>323</v>
      </c>
      <c r="T5723">
        <v>7.6</v>
      </c>
      <c r="W5723" t="s">
        <v>330</v>
      </c>
      <c r="Y5723" s="42">
        <v>44299</v>
      </c>
    </row>
    <row r="5724" spans="14:25">
      <c r="N5724" s="42">
        <v>44294</v>
      </c>
      <c r="O5724" t="s">
        <v>324</v>
      </c>
      <c r="P5724" s="42">
        <v>44294</v>
      </c>
      <c r="Q5724" t="s">
        <v>324</v>
      </c>
      <c r="R5724" t="s">
        <v>370</v>
      </c>
      <c r="S5724" t="s">
        <v>323</v>
      </c>
      <c r="T5724">
        <v>7.6</v>
      </c>
      <c r="W5724" t="s">
        <v>330</v>
      </c>
      <c r="Y5724" s="42">
        <v>44299</v>
      </c>
    </row>
    <row r="5725" spans="14:25">
      <c r="N5725" s="42">
        <v>44293</v>
      </c>
      <c r="O5725" t="s">
        <v>328</v>
      </c>
      <c r="P5725" s="42">
        <v>44293</v>
      </c>
      <c r="Q5725" t="s">
        <v>328</v>
      </c>
      <c r="R5725" t="s">
        <v>370</v>
      </c>
      <c r="S5725" t="s">
        <v>323</v>
      </c>
      <c r="T5725">
        <v>7.6</v>
      </c>
      <c r="W5725" t="s">
        <v>330</v>
      </c>
      <c r="Y5725" s="42">
        <v>44299</v>
      </c>
    </row>
    <row r="5726" spans="14:25">
      <c r="N5726" s="42">
        <v>44292</v>
      </c>
      <c r="O5726" t="s">
        <v>333</v>
      </c>
      <c r="P5726" s="42">
        <v>44292</v>
      </c>
      <c r="Q5726" t="s">
        <v>333</v>
      </c>
      <c r="R5726" t="s">
        <v>370</v>
      </c>
      <c r="S5726" t="s">
        <v>323</v>
      </c>
      <c r="T5726">
        <v>7.6</v>
      </c>
      <c r="W5726" t="s">
        <v>330</v>
      </c>
      <c r="Y5726" s="42">
        <v>44299</v>
      </c>
    </row>
    <row r="5727" spans="14:25">
      <c r="N5727" s="42">
        <v>44291</v>
      </c>
      <c r="O5727" t="s">
        <v>345</v>
      </c>
      <c r="P5727" s="42">
        <v>44291</v>
      </c>
      <c r="Q5727" t="s">
        <v>345</v>
      </c>
      <c r="R5727" t="s">
        <v>370</v>
      </c>
      <c r="S5727" t="s">
        <v>323</v>
      </c>
      <c r="T5727">
        <v>7.6</v>
      </c>
      <c r="W5727" t="s">
        <v>330</v>
      </c>
      <c r="Y5727" s="42">
        <v>44299</v>
      </c>
    </row>
    <row r="5728" spans="14:25">
      <c r="N5728" s="42">
        <v>44290</v>
      </c>
      <c r="O5728" t="s">
        <v>344</v>
      </c>
      <c r="P5728" s="42">
        <v>44290</v>
      </c>
      <c r="Q5728" t="s">
        <v>344</v>
      </c>
      <c r="R5728" t="s">
        <v>370</v>
      </c>
      <c r="S5728" t="s">
        <v>323</v>
      </c>
      <c r="T5728">
        <v>7.6</v>
      </c>
      <c r="W5728" t="s">
        <v>330</v>
      </c>
      <c r="Y5728" s="42">
        <v>44299</v>
      </c>
    </row>
    <row r="5729" spans="14:25">
      <c r="N5729" s="42">
        <v>44287</v>
      </c>
      <c r="O5729" t="s">
        <v>324</v>
      </c>
      <c r="P5729" s="42">
        <v>44287</v>
      </c>
      <c r="Q5729" t="s">
        <v>324</v>
      </c>
      <c r="R5729" t="s">
        <v>370</v>
      </c>
      <c r="S5729" t="s">
        <v>323</v>
      </c>
      <c r="T5729">
        <v>7.6</v>
      </c>
      <c r="W5729" t="s">
        <v>330</v>
      </c>
      <c r="Y5729" s="42">
        <v>44299</v>
      </c>
    </row>
    <row r="5730" spans="14:25">
      <c r="N5730" s="42">
        <v>44286</v>
      </c>
      <c r="O5730" t="s">
        <v>328</v>
      </c>
      <c r="P5730" s="42">
        <v>44286</v>
      </c>
      <c r="Q5730" t="s">
        <v>328</v>
      </c>
      <c r="R5730" t="s">
        <v>370</v>
      </c>
      <c r="S5730" t="s">
        <v>323</v>
      </c>
      <c r="T5730">
        <v>7.6</v>
      </c>
      <c r="W5730" t="s">
        <v>330</v>
      </c>
      <c r="Y5730" s="42">
        <v>44299</v>
      </c>
    </row>
    <row r="5731" spans="14:25">
      <c r="N5731" s="42">
        <v>44285</v>
      </c>
      <c r="O5731" t="s">
        <v>333</v>
      </c>
      <c r="P5731" s="42">
        <v>44285</v>
      </c>
      <c r="Q5731" t="s">
        <v>333</v>
      </c>
      <c r="R5731" t="s">
        <v>370</v>
      </c>
      <c r="S5731" t="s">
        <v>323</v>
      </c>
      <c r="T5731">
        <v>7.6</v>
      </c>
      <c r="W5731" t="s">
        <v>330</v>
      </c>
      <c r="Y5731" s="42">
        <v>44285</v>
      </c>
    </row>
    <row r="5732" spans="14:25">
      <c r="N5732" s="42">
        <v>44284</v>
      </c>
      <c r="O5732" t="s">
        <v>345</v>
      </c>
      <c r="P5732" s="42">
        <v>44284</v>
      </c>
      <c r="Q5732" t="s">
        <v>345</v>
      </c>
      <c r="R5732" t="s">
        <v>370</v>
      </c>
      <c r="S5732" t="s">
        <v>323</v>
      </c>
      <c r="T5732">
        <v>7.6</v>
      </c>
      <c r="W5732" t="s">
        <v>330</v>
      </c>
      <c r="Y5732" s="42">
        <v>44285</v>
      </c>
    </row>
    <row r="5733" spans="14:25">
      <c r="N5733" s="42">
        <v>44283</v>
      </c>
      <c r="O5733" t="s">
        <v>344</v>
      </c>
      <c r="P5733" s="42">
        <v>44283</v>
      </c>
      <c r="Q5733" t="s">
        <v>344</v>
      </c>
      <c r="R5733" t="s">
        <v>370</v>
      </c>
      <c r="S5733" t="s">
        <v>323</v>
      </c>
      <c r="T5733">
        <v>7.6</v>
      </c>
      <c r="W5733" t="s">
        <v>330</v>
      </c>
      <c r="Y5733" s="42">
        <v>44285</v>
      </c>
    </row>
    <row r="5734" spans="14:25">
      <c r="N5734" s="42">
        <v>44280</v>
      </c>
      <c r="O5734" t="s">
        <v>324</v>
      </c>
      <c r="P5734" s="42">
        <v>44280</v>
      </c>
      <c r="Q5734" t="s">
        <v>324</v>
      </c>
      <c r="R5734" t="s">
        <v>370</v>
      </c>
      <c r="S5734" t="s">
        <v>323</v>
      </c>
      <c r="T5734">
        <v>7.6</v>
      </c>
      <c r="W5734" t="s">
        <v>330</v>
      </c>
      <c r="Y5734" s="42">
        <v>44285</v>
      </c>
    </row>
    <row r="5735" spans="14:25">
      <c r="N5735" s="42">
        <v>44279</v>
      </c>
      <c r="O5735" t="s">
        <v>328</v>
      </c>
      <c r="P5735" s="42">
        <v>44279</v>
      </c>
      <c r="Q5735" t="s">
        <v>328</v>
      </c>
      <c r="R5735" t="s">
        <v>370</v>
      </c>
      <c r="S5735" t="s">
        <v>323</v>
      </c>
      <c r="T5735">
        <v>7.6</v>
      </c>
      <c r="W5735" t="s">
        <v>330</v>
      </c>
      <c r="Y5735" s="42">
        <v>44285</v>
      </c>
    </row>
    <row r="5736" spans="14:25">
      <c r="N5736" s="42">
        <v>44278</v>
      </c>
      <c r="O5736" t="s">
        <v>333</v>
      </c>
      <c r="P5736" s="42">
        <v>44278</v>
      </c>
      <c r="Q5736" t="s">
        <v>333</v>
      </c>
      <c r="R5736" t="s">
        <v>370</v>
      </c>
      <c r="S5736" t="s">
        <v>323</v>
      </c>
      <c r="T5736">
        <v>7.6</v>
      </c>
      <c r="W5736" t="s">
        <v>330</v>
      </c>
      <c r="Y5736" s="42">
        <v>44285</v>
      </c>
    </row>
    <row r="5737" spans="14:25">
      <c r="N5737" s="42">
        <v>44277</v>
      </c>
      <c r="O5737" t="s">
        <v>345</v>
      </c>
      <c r="P5737" s="42">
        <v>44277</v>
      </c>
      <c r="Q5737" t="s">
        <v>345</v>
      </c>
      <c r="R5737" t="s">
        <v>370</v>
      </c>
      <c r="S5737" t="s">
        <v>323</v>
      </c>
      <c r="T5737">
        <v>7.6</v>
      </c>
      <c r="W5737" t="s">
        <v>330</v>
      </c>
      <c r="Y5737" s="42">
        <v>44285</v>
      </c>
    </row>
    <row r="5738" spans="14:25">
      <c r="N5738" s="42">
        <v>44276</v>
      </c>
      <c r="O5738" t="s">
        <v>344</v>
      </c>
      <c r="P5738" s="42">
        <v>44276</v>
      </c>
      <c r="Q5738" t="s">
        <v>344</v>
      </c>
      <c r="R5738" t="s">
        <v>370</v>
      </c>
      <c r="S5738" t="s">
        <v>323</v>
      </c>
      <c r="T5738">
        <v>7.6</v>
      </c>
      <c r="W5738" t="s">
        <v>330</v>
      </c>
      <c r="Y5738" s="42">
        <v>44285</v>
      </c>
    </row>
    <row r="5739" spans="14:25">
      <c r="N5739" s="42">
        <v>44273</v>
      </c>
      <c r="O5739" t="s">
        <v>324</v>
      </c>
      <c r="P5739" s="42">
        <v>44273</v>
      </c>
      <c r="Q5739" t="s">
        <v>324</v>
      </c>
      <c r="R5739" t="s">
        <v>370</v>
      </c>
      <c r="S5739" t="s">
        <v>323</v>
      </c>
      <c r="T5739">
        <v>7.6</v>
      </c>
      <c r="W5739" t="s">
        <v>330</v>
      </c>
      <c r="Y5739" s="42">
        <v>44285</v>
      </c>
    </row>
    <row r="5740" spans="14:25">
      <c r="N5740" s="42">
        <v>44272</v>
      </c>
      <c r="O5740" t="s">
        <v>328</v>
      </c>
      <c r="P5740" s="42">
        <v>44272</v>
      </c>
      <c r="Q5740" t="s">
        <v>328</v>
      </c>
      <c r="R5740" t="s">
        <v>370</v>
      </c>
      <c r="S5740" t="s">
        <v>323</v>
      </c>
      <c r="T5740">
        <v>7.6</v>
      </c>
      <c r="W5740" t="s">
        <v>330</v>
      </c>
      <c r="Y5740" s="42">
        <v>44285</v>
      </c>
    </row>
    <row r="5741" spans="14:25">
      <c r="N5741" s="42">
        <v>44271</v>
      </c>
      <c r="O5741" t="s">
        <v>333</v>
      </c>
      <c r="P5741" s="42">
        <v>44271</v>
      </c>
      <c r="Q5741" t="s">
        <v>333</v>
      </c>
      <c r="R5741" t="s">
        <v>370</v>
      </c>
      <c r="S5741" t="s">
        <v>323</v>
      </c>
      <c r="T5741">
        <v>7.6</v>
      </c>
      <c r="W5741" t="s">
        <v>330</v>
      </c>
      <c r="Y5741" s="42">
        <v>44271</v>
      </c>
    </row>
    <row r="5742" spans="14:25">
      <c r="N5742" s="42">
        <v>44270</v>
      </c>
      <c r="O5742" t="s">
        <v>345</v>
      </c>
      <c r="P5742" s="42">
        <v>44270</v>
      </c>
      <c r="Q5742" t="s">
        <v>345</v>
      </c>
      <c r="R5742" t="s">
        <v>370</v>
      </c>
      <c r="S5742" t="s">
        <v>323</v>
      </c>
      <c r="T5742">
        <v>7.6</v>
      </c>
      <c r="W5742" t="s">
        <v>330</v>
      </c>
      <c r="Y5742" s="42">
        <v>44271</v>
      </c>
    </row>
    <row r="5743" spans="14:25">
      <c r="N5743" s="42">
        <v>44269</v>
      </c>
      <c r="O5743" t="s">
        <v>344</v>
      </c>
      <c r="P5743" s="42">
        <v>44269</v>
      </c>
      <c r="Q5743" t="s">
        <v>344</v>
      </c>
      <c r="R5743" t="s">
        <v>370</v>
      </c>
      <c r="S5743" t="s">
        <v>323</v>
      </c>
      <c r="T5743">
        <v>7.6</v>
      </c>
      <c r="W5743" t="s">
        <v>330</v>
      </c>
      <c r="Y5743" s="42">
        <v>44271</v>
      </c>
    </row>
    <row r="5744" spans="14:25">
      <c r="N5744" s="42">
        <v>44266</v>
      </c>
      <c r="O5744" t="s">
        <v>324</v>
      </c>
      <c r="P5744" s="42">
        <v>44266</v>
      </c>
      <c r="Q5744" t="s">
        <v>324</v>
      </c>
      <c r="R5744" t="s">
        <v>370</v>
      </c>
      <c r="S5744" t="s">
        <v>323</v>
      </c>
      <c r="T5744">
        <v>7.6</v>
      </c>
      <c r="W5744" t="s">
        <v>330</v>
      </c>
      <c r="Y5744" s="42">
        <v>44271</v>
      </c>
    </row>
    <row r="5745" spans="14:25">
      <c r="N5745" s="42">
        <v>44265</v>
      </c>
      <c r="O5745" t="s">
        <v>328</v>
      </c>
      <c r="P5745" s="42">
        <v>44265</v>
      </c>
      <c r="Q5745" t="s">
        <v>328</v>
      </c>
      <c r="R5745" t="s">
        <v>370</v>
      </c>
      <c r="S5745" t="s">
        <v>323</v>
      </c>
      <c r="T5745">
        <v>7.6</v>
      </c>
      <c r="W5745" t="s">
        <v>330</v>
      </c>
      <c r="Y5745" s="42">
        <v>44271</v>
      </c>
    </row>
    <row r="5746" spans="14:25">
      <c r="N5746" s="42">
        <v>44264</v>
      </c>
      <c r="O5746" t="s">
        <v>333</v>
      </c>
      <c r="P5746" s="42">
        <v>44264</v>
      </c>
      <c r="Q5746" t="s">
        <v>333</v>
      </c>
      <c r="R5746" t="s">
        <v>370</v>
      </c>
      <c r="S5746" t="s">
        <v>323</v>
      </c>
      <c r="T5746">
        <v>7.6</v>
      </c>
      <c r="W5746" t="s">
        <v>330</v>
      </c>
      <c r="Y5746" s="42">
        <v>44271</v>
      </c>
    </row>
    <row r="5747" spans="14:25">
      <c r="N5747" s="42">
        <v>44262</v>
      </c>
      <c r="O5747" t="s">
        <v>344</v>
      </c>
      <c r="P5747" s="42">
        <v>44262</v>
      </c>
      <c r="Q5747" t="s">
        <v>344</v>
      </c>
      <c r="R5747" t="s">
        <v>370</v>
      </c>
      <c r="S5747" t="s">
        <v>323</v>
      </c>
      <c r="T5747">
        <v>7.6</v>
      </c>
      <c r="W5747" t="s">
        <v>330</v>
      </c>
      <c r="Y5747" s="42">
        <v>44271</v>
      </c>
    </row>
    <row r="5748" spans="14:25">
      <c r="N5748" s="42">
        <v>44259</v>
      </c>
      <c r="O5748" t="s">
        <v>324</v>
      </c>
      <c r="P5748" s="42">
        <v>44259</v>
      </c>
      <c r="Q5748" t="s">
        <v>324</v>
      </c>
      <c r="R5748" t="s">
        <v>370</v>
      </c>
      <c r="S5748" t="s">
        <v>323</v>
      </c>
      <c r="T5748">
        <v>7.6</v>
      </c>
      <c r="W5748" t="s">
        <v>330</v>
      </c>
      <c r="Y5748" s="42">
        <v>44271</v>
      </c>
    </row>
    <row r="5749" spans="14:25">
      <c r="N5749" s="42">
        <v>44258</v>
      </c>
      <c r="O5749" t="s">
        <v>328</v>
      </c>
      <c r="P5749" s="42">
        <v>44258</v>
      </c>
      <c r="Q5749" t="s">
        <v>328</v>
      </c>
      <c r="R5749" t="s">
        <v>370</v>
      </c>
      <c r="S5749" t="s">
        <v>323</v>
      </c>
      <c r="T5749">
        <v>7.6</v>
      </c>
      <c r="W5749" t="s">
        <v>330</v>
      </c>
      <c r="Y5749" s="42">
        <v>44271</v>
      </c>
    </row>
    <row r="5750" spans="14:25">
      <c r="N5750" s="42">
        <v>44257</v>
      </c>
      <c r="O5750" t="s">
        <v>333</v>
      </c>
      <c r="P5750" s="42">
        <v>44257</v>
      </c>
      <c r="Q5750" t="s">
        <v>333</v>
      </c>
      <c r="R5750" t="s">
        <v>370</v>
      </c>
      <c r="S5750" t="s">
        <v>323</v>
      </c>
      <c r="T5750">
        <v>7.6</v>
      </c>
      <c r="W5750" t="s">
        <v>330</v>
      </c>
      <c r="Y5750" s="42">
        <v>44257</v>
      </c>
    </row>
    <row r="5751" spans="14:25">
      <c r="N5751" s="42">
        <v>44256</v>
      </c>
      <c r="O5751" t="s">
        <v>345</v>
      </c>
      <c r="P5751" s="42">
        <v>44256</v>
      </c>
      <c r="Q5751" t="s">
        <v>345</v>
      </c>
      <c r="R5751" t="s">
        <v>370</v>
      </c>
      <c r="S5751" t="s">
        <v>323</v>
      </c>
      <c r="T5751">
        <v>7.6</v>
      </c>
      <c r="W5751" t="s">
        <v>330</v>
      </c>
      <c r="Y5751" s="42">
        <v>44257</v>
      </c>
    </row>
    <row r="5752" spans="14:25">
      <c r="N5752" s="42">
        <v>44255</v>
      </c>
      <c r="O5752" t="s">
        <v>344</v>
      </c>
      <c r="P5752" s="42">
        <v>44255</v>
      </c>
      <c r="Q5752" t="s">
        <v>344</v>
      </c>
      <c r="R5752" t="s">
        <v>370</v>
      </c>
      <c r="S5752" t="s">
        <v>323</v>
      </c>
      <c r="T5752">
        <v>7.6</v>
      </c>
      <c r="W5752" t="s">
        <v>330</v>
      </c>
      <c r="Y5752" s="42">
        <v>44257</v>
      </c>
    </row>
    <row r="5753" spans="14:25">
      <c r="N5753" s="42">
        <v>44252</v>
      </c>
      <c r="O5753" t="s">
        <v>324</v>
      </c>
      <c r="P5753" s="42">
        <v>44252</v>
      </c>
      <c r="Q5753" t="s">
        <v>324</v>
      </c>
      <c r="R5753" t="s">
        <v>370</v>
      </c>
      <c r="S5753" t="s">
        <v>323</v>
      </c>
      <c r="T5753">
        <v>7.6</v>
      </c>
      <c r="W5753" t="s">
        <v>330</v>
      </c>
      <c r="Y5753" s="42">
        <v>44257</v>
      </c>
    </row>
    <row r="5754" spans="14:25">
      <c r="N5754" s="42">
        <v>44251</v>
      </c>
      <c r="O5754" t="s">
        <v>328</v>
      </c>
      <c r="P5754" s="42">
        <v>44251</v>
      </c>
      <c r="Q5754" t="s">
        <v>328</v>
      </c>
      <c r="R5754" t="s">
        <v>370</v>
      </c>
      <c r="S5754" t="s">
        <v>323</v>
      </c>
      <c r="T5754">
        <v>7.6</v>
      </c>
      <c r="W5754" t="s">
        <v>330</v>
      </c>
      <c r="Y5754" s="42">
        <v>44257</v>
      </c>
    </row>
    <row r="5755" spans="14:25">
      <c r="N5755" s="42">
        <v>44250</v>
      </c>
      <c r="O5755" t="s">
        <v>333</v>
      </c>
      <c r="P5755" s="42">
        <v>44250</v>
      </c>
      <c r="Q5755" t="s">
        <v>333</v>
      </c>
      <c r="R5755" t="s">
        <v>370</v>
      </c>
      <c r="S5755" t="s">
        <v>323</v>
      </c>
      <c r="T5755">
        <v>7.6</v>
      </c>
      <c r="W5755" t="s">
        <v>330</v>
      </c>
      <c r="Y5755" s="42">
        <v>44257</v>
      </c>
    </row>
    <row r="5756" spans="14:25">
      <c r="N5756" s="42">
        <v>44249</v>
      </c>
      <c r="O5756" t="s">
        <v>345</v>
      </c>
      <c r="P5756" s="42">
        <v>44249</v>
      </c>
      <c r="Q5756" t="s">
        <v>345</v>
      </c>
      <c r="R5756" t="s">
        <v>370</v>
      </c>
      <c r="S5756" t="s">
        <v>323</v>
      </c>
      <c r="T5756">
        <v>7.6</v>
      </c>
      <c r="W5756" t="s">
        <v>330</v>
      </c>
      <c r="Y5756" s="42">
        <v>44257</v>
      </c>
    </row>
    <row r="5757" spans="14:25">
      <c r="N5757" s="42">
        <v>44248</v>
      </c>
      <c r="O5757" t="s">
        <v>344</v>
      </c>
      <c r="P5757" s="42">
        <v>44248</v>
      </c>
      <c r="Q5757" t="s">
        <v>344</v>
      </c>
      <c r="R5757" t="s">
        <v>370</v>
      </c>
      <c r="S5757" t="s">
        <v>323</v>
      </c>
      <c r="T5757">
        <v>7.6</v>
      </c>
      <c r="W5757" t="s">
        <v>330</v>
      </c>
      <c r="Y5757" s="42">
        <v>44257</v>
      </c>
    </row>
    <row r="5758" spans="14:25">
      <c r="N5758" s="42">
        <v>44245</v>
      </c>
      <c r="O5758" t="s">
        <v>324</v>
      </c>
      <c r="P5758" s="42">
        <v>44245</v>
      </c>
      <c r="Q5758" t="s">
        <v>324</v>
      </c>
      <c r="R5758" t="s">
        <v>370</v>
      </c>
      <c r="S5758" t="s">
        <v>323</v>
      </c>
      <c r="T5758">
        <v>7.6</v>
      </c>
      <c r="W5758" t="s">
        <v>330</v>
      </c>
      <c r="Y5758" s="42">
        <v>44257</v>
      </c>
    </row>
    <row r="5759" spans="14:25">
      <c r="N5759" s="42">
        <v>44244</v>
      </c>
      <c r="O5759" t="s">
        <v>328</v>
      </c>
      <c r="P5759" s="42">
        <v>44244</v>
      </c>
      <c r="Q5759" t="s">
        <v>328</v>
      </c>
      <c r="R5759" t="s">
        <v>370</v>
      </c>
      <c r="S5759" t="s">
        <v>323</v>
      </c>
      <c r="T5759">
        <v>7.6</v>
      </c>
      <c r="W5759" t="s">
        <v>330</v>
      </c>
      <c r="Y5759" s="42">
        <v>44257</v>
      </c>
    </row>
    <row r="5760" spans="14:25">
      <c r="N5760" s="42">
        <v>44243</v>
      </c>
      <c r="O5760" t="s">
        <v>333</v>
      </c>
      <c r="P5760" s="42">
        <v>44243</v>
      </c>
      <c r="Q5760" t="s">
        <v>333</v>
      </c>
      <c r="R5760" t="s">
        <v>370</v>
      </c>
      <c r="S5760" t="s">
        <v>323</v>
      </c>
      <c r="T5760">
        <v>7.6</v>
      </c>
      <c r="W5760" t="s">
        <v>330</v>
      </c>
      <c r="Y5760" s="42">
        <v>44243</v>
      </c>
    </row>
    <row r="5761" spans="14:25">
      <c r="N5761" s="42">
        <v>44242</v>
      </c>
      <c r="O5761" t="s">
        <v>345</v>
      </c>
      <c r="P5761" s="42">
        <v>44242</v>
      </c>
      <c r="Q5761" t="s">
        <v>345</v>
      </c>
      <c r="R5761" t="s">
        <v>370</v>
      </c>
      <c r="S5761" t="s">
        <v>323</v>
      </c>
      <c r="T5761">
        <v>7.6</v>
      </c>
      <c r="W5761" t="s">
        <v>330</v>
      </c>
      <c r="Y5761" s="42">
        <v>44243</v>
      </c>
    </row>
    <row r="5762" spans="14:25">
      <c r="N5762" s="42">
        <v>44241</v>
      </c>
      <c r="O5762" t="s">
        <v>344</v>
      </c>
      <c r="P5762" s="42">
        <v>44241</v>
      </c>
      <c r="Q5762" t="s">
        <v>344</v>
      </c>
      <c r="R5762" t="s">
        <v>370</v>
      </c>
      <c r="S5762" t="s">
        <v>323</v>
      </c>
      <c r="T5762">
        <v>7.6</v>
      </c>
      <c r="W5762" t="s">
        <v>330</v>
      </c>
      <c r="Y5762" s="42">
        <v>44243</v>
      </c>
    </row>
    <row r="5763" spans="14:25">
      <c r="N5763" s="42">
        <v>44238</v>
      </c>
      <c r="O5763" t="s">
        <v>324</v>
      </c>
      <c r="P5763" s="42">
        <v>44238</v>
      </c>
      <c r="Q5763" t="s">
        <v>324</v>
      </c>
      <c r="R5763" t="s">
        <v>370</v>
      </c>
      <c r="S5763" t="s">
        <v>323</v>
      </c>
      <c r="T5763">
        <v>7.6</v>
      </c>
      <c r="W5763" t="s">
        <v>330</v>
      </c>
      <c r="Y5763" s="42">
        <v>44243</v>
      </c>
    </row>
    <row r="5764" spans="14:25">
      <c r="N5764" s="42">
        <v>44237</v>
      </c>
      <c r="O5764" t="s">
        <v>328</v>
      </c>
      <c r="P5764" s="42">
        <v>44237</v>
      </c>
      <c r="Q5764" t="s">
        <v>328</v>
      </c>
      <c r="R5764" t="s">
        <v>370</v>
      </c>
      <c r="S5764" t="s">
        <v>323</v>
      </c>
      <c r="T5764">
        <v>7.6</v>
      </c>
      <c r="W5764" t="s">
        <v>330</v>
      </c>
      <c r="Y5764" s="42">
        <v>44243</v>
      </c>
    </row>
    <row r="5765" spans="14:25">
      <c r="N5765" s="42">
        <v>44236</v>
      </c>
      <c r="O5765" t="s">
        <v>333</v>
      </c>
      <c r="P5765" s="42">
        <v>44236</v>
      </c>
      <c r="Q5765" t="s">
        <v>333</v>
      </c>
      <c r="R5765" t="s">
        <v>370</v>
      </c>
      <c r="S5765" t="s">
        <v>323</v>
      </c>
      <c r="T5765">
        <v>7.6</v>
      </c>
      <c r="W5765" t="s">
        <v>330</v>
      </c>
      <c r="Y5765" s="42">
        <v>44243</v>
      </c>
    </row>
    <row r="5766" spans="14:25">
      <c r="N5766" s="42">
        <v>44235</v>
      </c>
      <c r="O5766" t="s">
        <v>345</v>
      </c>
      <c r="P5766" s="42">
        <v>44235</v>
      </c>
      <c r="Q5766" t="s">
        <v>345</v>
      </c>
      <c r="R5766" t="s">
        <v>370</v>
      </c>
      <c r="S5766" t="s">
        <v>323</v>
      </c>
      <c r="T5766">
        <v>7.6</v>
      </c>
      <c r="W5766" t="s">
        <v>330</v>
      </c>
      <c r="Y5766" s="42">
        <v>44243</v>
      </c>
    </row>
    <row r="5767" spans="14:25">
      <c r="N5767" s="42">
        <v>44234</v>
      </c>
      <c r="O5767" t="s">
        <v>344</v>
      </c>
      <c r="P5767" s="42">
        <v>44234</v>
      </c>
      <c r="Q5767" t="s">
        <v>344</v>
      </c>
      <c r="R5767" t="s">
        <v>370</v>
      </c>
      <c r="S5767" t="s">
        <v>323</v>
      </c>
      <c r="T5767">
        <v>7.6</v>
      </c>
      <c r="W5767" t="s">
        <v>330</v>
      </c>
      <c r="Y5767" s="42">
        <v>44243</v>
      </c>
    </row>
    <row r="5768" spans="14:25">
      <c r="N5768" s="42">
        <v>44231</v>
      </c>
      <c r="O5768" t="s">
        <v>324</v>
      </c>
      <c r="P5768" s="42">
        <v>44231</v>
      </c>
      <c r="Q5768" t="s">
        <v>324</v>
      </c>
      <c r="R5768" t="s">
        <v>370</v>
      </c>
      <c r="S5768" t="s">
        <v>323</v>
      </c>
      <c r="T5768">
        <v>7.6</v>
      </c>
      <c r="W5768" t="s">
        <v>330</v>
      </c>
      <c r="Y5768" s="42">
        <v>44243</v>
      </c>
    </row>
    <row r="5769" spans="14:25">
      <c r="N5769" s="42">
        <v>44230</v>
      </c>
      <c r="O5769" t="s">
        <v>328</v>
      </c>
      <c r="P5769" s="42">
        <v>44230</v>
      </c>
      <c r="Q5769" t="s">
        <v>328</v>
      </c>
      <c r="R5769" t="s">
        <v>370</v>
      </c>
      <c r="S5769" t="s">
        <v>323</v>
      </c>
      <c r="T5769">
        <v>7.6</v>
      </c>
      <c r="W5769" t="s">
        <v>330</v>
      </c>
      <c r="Y5769" s="42">
        <v>44243</v>
      </c>
    </row>
    <row r="5770" spans="14:25">
      <c r="N5770" s="42">
        <v>44229</v>
      </c>
      <c r="O5770" t="s">
        <v>333</v>
      </c>
      <c r="P5770" s="42">
        <v>44229</v>
      </c>
      <c r="Q5770" t="s">
        <v>333</v>
      </c>
      <c r="R5770" t="s">
        <v>370</v>
      </c>
      <c r="S5770" t="s">
        <v>323</v>
      </c>
      <c r="T5770">
        <v>7.6</v>
      </c>
      <c r="W5770" t="s">
        <v>330</v>
      </c>
      <c r="Y5770" s="42">
        <v>44229</v>
      </c>
    </row>
    <row r="5771" spans="14:25">
      <c r="N5771" s="42">
        <v>44228</v>
      </c>
      <c r="O5771" t="s">
        <v>345</v>
      </c>
      <c r="P5771" s="42">
        <v>44228</v>
      </c>
      <c r="Q5771" t="s">
        <v>345</v>
      </c>
      <c r="R5771" t="s">
        <v>370</v>
      </c>
      <c r="S5771" t="s">
        <v>323</v>
      </c>
      <c r="T5771">
        <v>7.6</v>
      </c>
      <c r="W5771" t="s">
        <v>330</v>
      </c>
      <c r="Y5771" s="42">
        <v>44229</v>
      </c>
    </row>
    <row r="5772" spans="14:25">
      <c r="N5772" s="42">
        <v>44227</v>
      </c>
      <c r="O5772" t="s">
        <v>344</v>
      </c>
      <c r="P5772" s="42">
        <v>44227</v>
      </c>
      <c r="Q5772" t="s">
        <v>344</v>
      </c>
      <c r="R5772" t="s">
        <v>370</v>
      </c>
      <c r="S5772" t="s">
        <v>323</v>
      </c>
      <c r="T5772">
        <v>7.6</v>
      </c>
      <c r="W5772" t="s">
        <v>330</v>
      </c>
      <c r="Y5772" s="42">
        <v>44229</v>
      </c>
    </row>
    <row r="5773" spans="14:25">
      <c r="N5773" s="42">
        <v>44224</v>
      </c>
      <c r="O5773" t="s">
        <v>324</v>
      </c>
      <c r="P5773" s="42">
        <v>44224</v>
      </c>
      <c r="Q5773" t="s">
        <v>324</v>
      </c>
      <c r="R5773" t="s">
        <v>370</v>
      </c>
      <c r="S5773" t="s">
        <v>323</v>
      </c>
      <c r="T5773">
        <v>7.6</v>
      </c>
      <c r="W5773" t="s">
        <v>330</v>
      </c>
      <c r="Y5773" s="42">
        <v>44229</v>
      </c>
    </row>
    <row r="5774" spans="14:25">
      <c r="N5774" s="42">
        <v>44223</v>
      </c>
      <c r="O5774" t="s">
        <v>328</v>
      </c>
      <c r="P5774" s="42">
        <v>44223</v>
      </c>
      <c r="Q5774" t="s">
        <v>328</v>
      </c>
      <c r="R5774" t="s">
        <v>370</v>
      </c>
      <c r="S5774" t="s">
        <v>323</v>
      </c>
      <c r="T5774">
        <v>7.6</v>
      </c>
      <c r="W5774" t="s">
        <v>330</v>
      </c>
      <c r="Y5774" s="42">
        <v>44229</v>
      </c>
    </row>
    <row r="5775" spans="14:25">
      <c r="N5775" s="42">
        <v>44221</v>
      </c>
      <c r="O5775" t="s">
        <v>345</v>
      </c>
      <c r="P5775" s="42">
        <v>44221</v>
      </c>
      <c r="Q5775" t="s">
        <v>345</v>
      </c>
      <c r="R5775" t="s">
        <v>370</v>
      </c>
      <c r="S5775" t="s">
        <v>323</v>
      </c>
      <c r="T5775">
        <v>7.6</v>
      </c>
      <c r="W5775" t="s">
        <v>330</v>
      </c>
      <c r="Y5775" s="42">
        <v>44229</v>
      </c>
    </row>
    <row r="5776" spans="14:25">
      <c r="N5776" s="42">
        <v>44220</v>
      </c>
      <c r="O5776" t="s">
        <v>344</v>
      </c>
      <c r="P5776" s="42">
        <v>44220</v>
      </c>
      <c r="Q5776" t="s">
        <v>344</v>
      </c>
      <c r="R5776" t="s">
        <v>370</v>
      </c>
      <c r="S5776" t="s">
        <v>323</v>
      </c>
      <c r="T5776">
        <v>7.6</v>
      </c>
      <c r="W5776" t="s">
        <v>330</v>
      </c>
      <c r="Y5776" s="42">
        <v>44229</v>
      </c>
    </row>
    <row r="5777" spans="14:25">
      <c r="N5777" s="42">
        <v>44217</v>
      </c>
      <c r="O5777" t="s">
        <v>324</v>
      </c>
      <c r="P5777" s="42">
        <v>44217</v>
      </c>
      <c r="Q5777" t="s">
        <v>324</v>
      </c>
      <c r="R5777" t="s">
        <v>370</v>
      </c>
      <c r="S5777" t="s">
        <v>323</v>
      </c>
      <c r="T5777">
        <v>7.6</v>
      </c>
      <c r="W5777" t="s">
        <v>330</v>
      </c>
      <c r="Y5777" s="42">
        <v>44229</v>
      </c>
    </row>
    <row r="5778" spans="14:25">
      <c r="N5778" s="42">
        <v>44216</v>
      </c>
      <c r="O5778" t="s">
        <v>328</v>
      </c>
      <c r="P5778" s="42">
        <v>44216</v>
      </c>
      <c r="Q5778" t="s">
        <v>328</v>
      </c>
      <c r="R5778" t="s">
        <v>370</v>
      </c>
      <c r="S5778" t="s">
        <v>323</v>
      </c>
      <c r="T5778">
        <v>7.6</v>
      </c>
      <c r="W5778" t="s">
        <v>330</v>
      </c>
      <c r="Y5778" s="42">
        <v>44229</v>
      </c>
    </row>
    <row r="5779" spans="14:25">
      <c r="N5779" s="42">
        <v>44215</v>
      </c>
      <c r="O5779" t="s">
        <v>333</v>
      </c>
      <c r="P5779" s="42">
        <v>44215</v>
      </c>
      <c r="Q5779" t="s">
        <v>333</v>
      </c>
      <c r="R5779" t="s">
        <v>370</v>
      </c>
      <c r="S5779" t="s">
        <v>323</v>
      </c>
      <c r="T5779">
        <v>7.6</v>
      </c>
      <c r="W5779" t="s">
        <v>330</v>
      </c>
      <c r="Y5779" s="42">
        <v>44215</v>
      </c>
    </row>
    <row r="5780" spans="14:25">
      <c r="N5780" s="42">
        <v>44214</v>
      </c>
      <c r="O5780" t="s">
        <v>345</v>
      </c>
      <c r="P5780" s="42">
        <v>44214</v>
      </c>
      <c r="Q5780" t="s">
        <v>345</v>
      </c>
      <c r="R5780" t="s">
        <v>370</v>
      </c>
      <c r="S5780" t="s">
        <v>323</v>
      </c>
      <c r="T5780">
        <v>7.6</v>
      </c>
      <c r="W5780" t="s">
        <v>330</v>
      </c>
      <c r="Y5780" s="42">
        <v>44215</v>
      </c>
    </row>
    <row r="5781" spans="14:25">
      <c r="N5781" s="42">
        <v>44213</v>
      </c>
      <c r="O5781" t="s">
        <v>344</v>
      </c>
      <c r="P5781" s="42">
        <v>44213</v>
      </c>
      <c r="Q5781" t="s">
        <v>344</v>
      </c>
      <c r="R5781" t="s">
        <v>370</v>
      </c>
      <c r="S5781" t="s">
        <v>323</v>
      </c>
      <c r="T5781">
        <v>7.6</v>
      </c>
      <c r="W5781" t="s">
        <v>330</v>
      </c>
      <c r="Y5781" s="42">
        <v>44215</v>
      </c>
    </row>
    <row r="5782" spans="14:25">
      <c r="N5782" s="42">
        <v>44210</v>
      </c>
      <c r="O5782" t="s">
        <v>324</v>
      </c>
      <c r="P5782" s="42">
        <v>44210</v>
      </c>
      <c r="Q5782" t="s">
        <v>324</v>
      </c>
      <c r="R5782" t="s">
        <v>370</v>
      </c>
      <c r="S5782" t="s">
        <v>323</v>
      </c>
      <c r="T5782">
        <v>7.6</v>
      </c>
      <c r="W5782" t="s">
        <v>330</v>
      </c>
      <c r="Y5782" s="42">
        <v>44215</v>
      </c>
    </row>
    <row r="5783" spans="14:25">
      <c r="N5783" s="42">
        <v>44209</v>
      </c>
      <c r="O5783" t="s">
        <v>328</v>
      </c>
      <c r="P5783" s="42">
        <v>44209</v>
      </c>
      <c r="Q5783" t="s">
        <v>328</v>
      </c>
      <c r="R5783" t="s">
        <v>370</v>
      </c>
      <c r="S5783" t="s">
        <v>323</v>
      </c>
      <c r="T5783">
        <v>7.6</v>
      </c>
      <c r="W5783" t="s">
        <v>330</v>
      </c>
      <c r="Y5783" s="42">
        <v>44215</v>
      </c>
    </row>
    <row r="5784" spans="14:25">
      <c r="N5784" s="42">
        <v>44208</v>
      </c>
      <c r="O5784" t="s">
        <v>333</v>
      </c>
      <c r="P5784" s="42">
        <v>44208</v>
      </c>
      <c r="Q5784" t="s">
        <v>333</v>
      </c>
      <c r="R5784" t="s">
        <v>370</v>
      </c>
      <c r="S5784" t="s">
        <v>323</v>
      </c>
      <c r="T5784">
        <v>7.6</v>
      </c>
      <c r="W5784" t="s">
        <v>330</v>
      </c>
      <c r="Y5784" s="42">
        <v>44215</v>
      </c>
    </row>
    <row r="5785" spans="14:25">
      <c r="N5785" s="42">
        <v>44207</v>
      </c>
      <c r="O5785" t="s">
        <v>345</v>
      </c>
      <c r="P5785" s="42">
        <v>44207</v>
      </c>
      <c r="Q5785" t="s">
        <v>345</v>
      </c>
      <c r="R5785" t="s">
        <v>370</v>
      </c>
      <c r="S5785" t="s">
        <v>323</v>
      </c>
      <c r="T5785">
        <v>7.6</v>
      </c>
      <c r="W5785" t="s">
        <v>330</v>
      </c>
      <c r="Y5785" s="42">
        <v>44215</v>
      </c>
    </row>
    <row r="5786" spans="14:25">
      <c r="N5786" s="42">
        <v>44206</v>
      </c>
      <c r="O5786" t="s">
        <v>344</v>
      </c>
      <c r="P5786" s="42">
        <v>44206</v>
      </c>
      <c r="Q5786" t="s">
        <v>344</v>
      </c>
      <c r="R5786" t="s">
        <v>370</v>
      </c>
      <c r="S5786" t="s">
        <v>323</v>
      </c>
      <c r="T5786">
        <v>7.6</v>
      </c>
      <c r="W5786" t="s">
        <v>330</v>
      </c>
      <c r="Y5786" s="42">
        <v>44215</v>
      </c>
    </row>
    <row r="5787" spans="14:25">
      <c r="N5787" s="42">
        <v>44203</v>
      </c>
      <c r="O5787" t="s">
        <v>324</v>
      </c>
      <c r="P5787" s="42">
        <v>44203</v>
      </c>
      <c r="Q5787" t="s">
        <v>324</v>
      </c>
      <c r="R5787" t="s">
        <v>370</v>
      </c>
      <c r="S5787" t="s">
        <v>323</v>
      </c>
      <c r="T5787">
        <v>7.6</v>
      </c>
      <c r="W5787" t="s">
        <v>330</v>
      </c>
      <c r="Y5787" s="42">
        <v>44215</v>
      </c>
    </row>
    <row r="5788" spans="14:25">
      <c r="N5788" s="42">
        <v>44202</v>
      </c>
      <c r="O5788" t="s">
        <v>328</v>
      </c>
      <c r="P5788" s="42">
        <v>44202</v>
      </c>
      <c r="Q5788" t="s">
        <v>328</v>
      </c>
      <c r="R5788" t="s">
        <v>370</v>
      </c>
      <c r="S5788" t="s">
        <v>323</v>
      </c>
      <c r="T5788">
        <v>7.6</v>
      </c>
      <c r="W5788" t="s">
        <v>330</v>
      </c>
      <c r="Y5788" s="42">
        <v>44215</v>
      </c>
    </row>
    <row r="5789" spans="14:25">
      <c r="N5789" s="42">
        <v>44201</v>
      </c>
      <c r="O5789" t="s">
        <v>333</v>
      </c>
      <c r="P5789" s="42">
        <v>44201</v>
      </c>
      <c r="Q5789" t="s">
        <v>333</v>
      </c>
      <c r="R5789" t="s">
        <v>370</v>
      </c>
      <c r="S5789" t="s">
        <v>323</v>
      </c>
      <c r="T5789">
        <v>7.6</v>
      </c>
      <c r="W5789" t="s">
        <v>330</v>
      </c>
      <c r="Y5789" s="42">
        <v>44201</v>
      </c>
    </row>
    <row r="5790" spans="14:25">
      <c r="N5790" s="42">
        <v>44200</v>
      </c>
      <c r="O5790" t="s">
        <v>345</v>
      </c>
      <c r="P5790" s="42">
        <v>44200</v>
      </c>
      <c r="Q5790" t="s">
        <v>345</v>
      </c>
      <c r="R5790" t="s">
        <v>370</v>
      </c>
      <c r="S5790" t="s">
        <v>323</v>
      </c>
      <c r="T5790">
        <v>7.6</v>
      </c>
      <c r="W5790" t="s">
        <v>330</v>
      </c>
      <c r="Y5790" s="42">
        <v>44201</v>
      </c>
    </row>
    <row r="5791" spans="14:25">
      <c r="N5791" s="42">
        <v>44199</v>
      </c>
      <c r="O5791" t="s">
        <v>344</v>
      </c>
      <c r="P5791" s="42">
        <v>44199</v>
      </c>
      <c r="Q5791" t="s">
        <v>344</v>
      </c>
      <c r="R5791" t="s">
        <v>370</v>
      </c>
      <c r="S5791" t="s">
        <v>323</v>
      </c>
      <c r="T5791">
        <v>7.6</v>
      </c>
      <c r="W5791" t="s">
        <v>330</v>
      </c>
      <c r="Y5791" s="42">
        <v>44201</v>
      </c>
    </row>
    <row r="5792" spans="14:25">
      <c r="N5792" s="42">
        <v>44196</v>
      </c>
      <c r="O5792" t="s">
        <v>324</v>
      </c>
      <c r="P5792" s="42">
        <v>44196</v>
      </c>
      <c r="Q5792" t="s">
        <v>324</v>
      </c>
      <c r="R5792" t="s">
        <v>370</v>
      </c>
      <c r="S5792" t="s">
        <v>323</v>
      </c>
      <c r="T5792">
        <v>7.6</v>
      </c>
      <c r="W5792" t="s">
        <v>330</v>
      </c>
      <c r="Y5792" s="42">
        <v>44201</v>
      </c>
    </row>
    <row r="5793" spans="14:25">
      <c r="N5793" s="42">
        <v>44195</v>
      </c>
      <c r="O5793" t="s">
        <v>328</v>
      </c>
      <c r="P5793" s="42">
        <v>44195</v>
      </c>
      <c r="Q5793" t="s">
        <v>328</v>
      </c>
      <c r="R5793" t="s">
        <v>370</v>
      </c>
      <c r="S5793" t="s">
        <v>323</v>
      </c>
      <c r="T5793">
        <v>7.6</v>
      </c>
      <c r="W5793" t="s">
        <v>330</v>
      </c>
      <c r="Y5793" s="42">
        <v>44201</v>
      </c>
    </row>
    <row r="5794" spans="14:25">
      <c r="N5794" s="42">
        <v>44194</v>
      </c>
      <c r="O5794" t="s">
        <v>333</v>
      </c>
      <c r="P5794" s="42">
        <v>44194</v>
      </c>
      <c r="Q5794" t="s">
        <v>333</v>
      </c>
      <c r="R5794" t="s">
        <v>370</v>
      </c>
      <c r="S5794" t="s">
        <v>323</v>
      </c>
      <c r="T5794">
        <v>7.6</v>
      </c>
      <c r="W5794" t="s">
        <v>330</v>
      </c>
      <c r="Y5794" s="42">
        <v>44201</v>
      </c>
    </row>
    <row r="5795" spans="14:25">
      <c r="N5795" s="42">
        <v>44193</v>
      </c>
      <c r="O5795" t="s">
        <v>345</v>
      </c>
      <c r="P5795" s="42">
        <v>44193</v>
      </c>
      <c r="Q5795" t="s">
        <v>345</v>
      </c>
      <c r="R5795" t="s">
        <v>370</v>
      </c>
      <c r="S5795" t="s">
        <v>323</v>
      </c>
      <c r="T5795">
        <v>7.6</v>
      </c>
      <c r="W5795" t="s">
        <v>330</v>
      </c>
      <c r="Y5795" s="42">
        <v>44201</v>
      </c>
    </row>
    <row r="5796" spans="14:25">
      <c r="N5796" s="42">
        <v>44192</v>
      </c>
      <c r="O5796" t="s">
        <v>344</v>
      </c>
      <c r="P5796" s="42">
        <v>44192</v>
      </c>
      <c r="Q5796" t="s">
        <v>344</v>
      </c>
      <c r="R5796" t="s">
        <v>370</v>
      </c>
      <c r="S5796" t="s">
        <v>323</v>
      </c>
      <c r="T5796">
        <v>7.6</v>
      </c>
      <c r="W5796" t="s">
        <v>330</v>
      </c>
      <c r="Y5796" s="42">
        <v>44201</v>
      </c>
    </row>
    <row r="5797" spans="14:25">
      <c r="N5797" s="42">
        <v>44189</v>
      </c>
      <c r="O5797" t="s">
        <v>324</v>
      </c>
      <c r="P5797" s="42">
        <v>44189</v>
      </c>
      <c r="Q5797" t="s">
        <v>324</v>
      </c>
      <c r="R5797" t="s">
        <v>370</v>
      </c>
      <c r="S5797" t="s">
        <v>323</v>
      </c>
      <c r="T5797">
        <v>7.6</v>
      </c>
      <c r="W5797" t="s">
        <v>330</v>
      </c>
      <c r="Y5797" s="42">
        <v>44201</v>
      </c>
    </row>
    <row r="5798" spans="14:25">
      <c r="N5798" s="42">
        <v>44188</v>
      </c>
      <c r="O5798" t="s">
        <v>328</v>
      </c>
      <c r="P5798" s="42">
        <v>44188</v>
      </c>
      <c r="Q5798" t="s">
        <v>328</v>
      </c>
      <c r="R5798" t="s">
        <v>370</v>
      </c>
      <c r="S5798" t="s">
        <v>323</v>
      </c>
      <c r="T5798">
        <v>7.6</v>
      </c>
      <c r="W5798" t="s">
        <v>330</v>
      </c>
      <c r="Y5798" s="42">
        <v>44201</v>
      </c>
    </row>
    <row r="5799" spans="14:25">
      <c r="N5799" s="42">
        <v>44187</v>
      </c>
      <c r="O5799" t="s">
        <v>333</v>
      </c>
      <c r="P5799" s="42">
        <v>44187</v>
      </c>
      <c r="Q5799" t="s">
        <v>333</v>
      </c>
      <c r="R5799" t="s">
        <v>370</v>
      </c>
      <c r="S5799" t="s">
        <v>323</v>
      </c>
      <c r="T5799">
        <v>7.6</v>
      </c>
      <c r="W5799" t="s">
        <v>330</v>
      </c>
      <c r="Y5799" s="42">
        <v>44187</v>
      </c>
    </row>
    <row r="5800" spans="14:25">
      <c r="N5800" s="42">
        <v>44186</v>
      </c>
      <c r="O5800" t="s">
        <v>345</v>
      </c>
      <c r="P5800" s="42">
        <v>44186</v>
      </c>
      <c r="Q5800" t="s">
        <v>345</v>
      </c>
      <c r="R5800" t="s">
        <v>370</v>
      </c>
      <c r="S5800" t="s">
        <v>323</v>
      </c>
      <c r="T5800">
        <v>7.6</v>
      </c>
      <c r="W5800" t="s">
        <v>330</v>
      </c>
      <c r="Y5800" s="42">
        <v>44187</v>
      </c>
    </row>
    <row r="5801" spans="14:25">
      <c r="N5801" s="42">
        <v>44185</v>
      </c>
      <c r="O5801" t="s">
        <v>344</v>
      </c>
      <c r="P5801" s="42">
        <v>44185</v>
      </c>
      <c r="Q5801" t="s">
        <v>344</v>
      </c>
      <c r="R5801" t="s">
        <v>370</v>
      </c>
      <c r="S5801" t="s">
        <v>323</v>
      </c>
      <c r="T5801">
        <v>7.6</v>
      </c>
      <c r="W5801" t="s">
        <v>330</v>
      </c>
      <c r="Y5801" s="42">
        <v>44187</v>
      </c>
    </row>
    <row r="5802" spans="14:25">
      <c r="N5802" s="42">
        <v>44182</v>
      </c>
      <c r="O5802" t="s">
        <v>324</v>
      </c>
      <c r="P5802" s="42">
        <v>44182</v>
      </c>
      <c r="Q5802" t="s">
        <v>324</v>
      </c>
      <c r="R5802" t="s">
        <v>370</v>
      </c>
      <c r="S5802" t="s">
        <v>323</v>
      </c>
      <c r="T5802">
        <v>7.6</v>
      </c>
      <c r="W5802" t="s">
        <v>330</v>
      </c>
      <c r="Y5802" s="42">
        <v>44187</v>
      </c>
    </row>
    <row r="5803" spans="14:25">
      <c r="N5803" s="42">
        <v>44181</v>
      </c>
      <c r="O5803" t="s">
        <v>328</v>
      </c>
      <c r="P5803" s="42">
        <v>44181</v>
      </c>
      <c r="Q5803" t="s">
        <v>328</v>
      </c>
      <c r="R5803" t="s">
        <v>370</v>
      </c>
      <c r="S5803" t="s">
        <v>323</v>
      </c>
      <c r="T5803">
        <v>7.6</v>
      </c>
      <c r="W5803" t="s">
        <v>330</v>
      </c>
      <c r="Y5803" s="42">
        <v>44187</v>
      </c>
    </row>
    <row r="5804" spans="14:25">
      <c r="N5804" s="42">
        <v>44180</v>
      </c>
      <c r="O5804" t="s">
        <v>333</v>
      </c>
      <c r="P5804" s="42">
        <v>44180</v>
      </c>
      <c r="Q5804" t="s">
        <v>333</v>
      </c>
      <c r="R5804" t="s">
        <v>370</v>
      </c>
      <c r="S5804" t="s">
        <v>323</v>
      </c>
      <c r="T5804">
        <v>7.6</v>
      </c>
      <c r="W5804" t="s">
        <v>330</v>
      </c>
      <c r="Y5804" s="42">
        <v>44187</v>
      </c>
    </row>
    <row r="5805" spans="14:25">
      <c r="N5805" s="42">
        <v>44179</v>
      </c>
      <c r="O5805" t="s">
        <v>345</v>
      </c>
      <c r="P5805" s="42">
        <v>44179</v>
      </c>
      <c r="Q5805" t="s">
        <v>345</v>
      </c>
      <c r="R5805" t="s">
        <v>370</v>
      </c>
      <c r="S5805" t="s">
        <v>323</v>
      </c>
      <c r="T5805">
        <v>7.6</v>
      </c>
      <c r="W5805" t="s">
        <v>330</v>
      </c>
      <c r="Y5805" s="42">
        <v>44187</v>
      </c>
    </row>
    <row r="5806" spans="14:25">
      <c r="N5806" s="42">
        <v>44178</v>
      </c>
      <c r="O5806" t="s">
        <v>344</v>
      </c>
      <c r="P5806" s="42">
        <v>44178</v>
      </c>
      <c r="Q5806" t="s">
        <v>344</v>
      </c>
      <c r="R5806" t="s">
        <v>370</v>
      </c>
      <c r="S5806" t="s">
        <v>323</v>
      </c>
      <c r="T5806">
        <v>7.6</v>
      </c>
      <c r="W5806" t="s">
        <v>330</v>
      </c>
      <c r="Y5806" s="42">
        <v>44187</v>
      </c>
    </row>
    <row r="5807" spans="14:25">
      <c r="N5807" s="42">
        <v>44175</v>
      </c>
      <c r="O5807" t="s">
        <v>324</v>
      </c>
      <c r="P5807" s="42">
        <v>44175</v>
      </c>
      <c r="Q5807" t="s">
        <v>324</v>
      </c>
      <c r="R5807" t="s">
        <v>370</v>
      </c>
      <c r="S5807" t="s">
        <v>323</v>
      </c>
      <c r="T5807">
        <v>7.6</v>
      </c>
      <c r="W5807" t="s">
        <v>330</v>
      </c>
      <c r="Y5807" s="42">
        <v>44187</v>
      </c>
    </row>
    <row r="5808" spans="14:25">
      <c r="N5808" s="42">
        <v>44174</v>
      </c>
      <c r="O5808" t="s">
        <v>328</v>
      </c>
      <c r="P5808" s="42">
        <v>44174</v>
      </c>
      <c r="Q5808" t="s">
        <v>328</v>
      </c>
      <c r="R5808" t="s">
        <v>370</v>
      </c>
      <c r="S5808" t="s">
        <v>323</v>
      </c>
      <c r="T5808">
        <v>7.6</v>
      </c>
      <c r="W5808" t="s">
        <v>330</v>
      </c>
      <c r="Y5808" s="42">
        <v>44187</v>
      </c>
    </row>
    <row r="5809" spans="14:25">
      <c r="N5809" s="42">
        <v>44174</v>
      </c>
      <c r="O5809" t="s">
        <v>328</v>
      </c>
      <c r="P5809" s="42">
        <v>44187</v>
      </c>
      <c r="Q5809" t="s">
        <v>333</v>
      </c>
      <c r="R5809" t="s">
        <v>370</v>
      </c>
      <c r="S5809" t="s">
        <v>323</v>
      </c>
      <c r="T5809">
        <v>76</v>
      </c>
      <c r="W5809" t="s">
        <v>330</v>
      </c>
      <c r="Y5809" s="42">
        <v>44187</v>
      </c>
    </row>
    <row r="5810" spans="14:25">
      <c r="N5810" s="42">
        <v>44173</v>
      </c>
      <c r="O5810" t="s">
        <v>333</v>
      </c>
      <c r="P5810" s="42">
        <v>44173</v>
      </c>
      <c r="Q5810" t="s">
        <v>333</v>
      </c>
      <c r="R5810" t="s">
        <v>370</v>
      </c>
      <c r="S5810" t="s">
        <v>323</v>
      </c>
      <c r="T5810">
        <v>7.6</v>
      </c>
      <c r="W5810" t="s">
        <v>330</v>
      </c>
      <c r="Y5810" s="42">
        <v>44173</v>
      </c>
    </row>
    <row r="5811" spans="14:25">
      <c r="N5811" s="42">
        <v>44172</v>
      </c>
      <c r="O5811" t="s">
        <v>345</v>
      </c>
      <c r="P5811" s="42">
        <v>44172</v>
      </c>
      <c r="Q5811" t="s">
        <v>345</v>
      </c>
      <c r="R5811" t="s">
        <v>370</v>
      </c>
      <c r="S5811" t="s">
        <v>323</v>
      </c>
      <c r="T5811">
        <v>7.6</v>
      </c>
      <c r="W5811" t="s">
        <v>330</v>
      </c>
      <c r="Y5811" s="42">
        <v>44173</v>
      </c>
    </row>
    <row r="5812" spans="14:25">
      <c r="N5812" s="42">
        <v>44171</v>
      </c>
      <c r="O5812" t="s">
        <v>344</v>
      </c>
      <c r="P5812" s="42">
        <v>44171</v>
      </c>
      <c r="Q5812" t="s">
        <v>344</v>
      </c>
      <c r="R5812" t="s">
        <v>370</v>
      </c>
      <c r="S5812" t="s">
        <v>323</v>
      </c>
      <c r="T5812">
        <v>7.6</v>
      </c>
      <c r="W5812" t="s">
        <v>330</v>
      </c>
      <c r="Y5812" s="42">
        <v>44173</v>
      </c>
    </row>
    <row r="5813" spans="14:25">
      <c r="N5813" s="42">
        <v>44168</v>
      </c>
      <c r="O5813" t="s">
        <v>324</v>
      </c>
      <c r="P5813" s="42">
        <v>44168</v>
      </c>
      <c r="Q5813" t="s">
        <v>324</v>
      </c>
      <c r="R5813" t="s">
        <v>370</v>
      </c>
      <c r="S5813" t="s">
        <v>323</v>
      </c>
      <c r="T5813">
        <v>7.6</v>
      </c>
      <c r="W5813" t="s">
        <v>330</v>
      </c>
      <c r="Y5813" s="42">
        <v>44173</v>
      </c>
    </row>
    <row r="5814" spans="14:25">
      <c r="N5814" s="42">
        <v>44167</v>
      </c>
      <c r="O5814" t="s">
        <v>328</v>
      </c>
      <c r="P5814" s="42">
        <v>44167</v>
      </c>
      <c r="Q5814" t="s">
        <v>328</v>
      </c>
      <c r="R5814" t="s">
        <v>370</v>
      </c>
      <c r="S5814" t="s">
        <v>323</v>
      </c>
      <c r="T5814">
        <v>7.6</v>
      </c>
      <c r="W5814" t="s">
        <v>330</v>
      </c>
      <c r="Y5814" s="42">
        <v>44173</v>
      </c>
    </row>
    <row r="5815" spans="14:25">
      <c r="N5815" s="42">
        <v>44166</v>
      </c>
      <c r="O5815" t="s">
        <v>333</v>
      </c>
      <c r="P5815" s="42">
        <v>44166</v>
      </c>
      <c r="Q5815" t="s">
        <v>333</v>
      </c>
      <c r="R5815" t="s">
        <v>370</v>
      </c>
      <c r="S5815" t="s">
        <v>323</v>
      </c>
      <c r="T5815">
        <v>7.6</v>
      </c>
      <c r="W5815" t="s">
        <v>330</v>
      </c>
      <c r="Y5815" s="42">
        <v>44173</v>
      </c>
    </row>
    <row r="5816" spans="14:25">
      <c r="N5816" s="42">
        <v>44165</v>
      </c>
      <c r="O5816" t="s">
        <v>345</v>
      </c>
      <c r="P5816" s="42">
        <v>44165</v>
      </c>
      <c r="Q5816" t="s">
        <v>345</v>
      </c>
      <c r="R5816" t="s">
        <v>370</v>
      </c>
      <c r="S5816" t="s">
        <v>323</v>
      </c>
      <c r="T5816">
        <v>7.6</v>
      </c>
      <c r="W5816" t="s">
        <v>330</v>
      </c>
      <c r="Y5816" s="42">
        <v>44173</v>
      </c>
    </row>
    <row r="5817" spans="14:25">
      <c r="N5817" s="42">
        <v>44164</v>
      </c>
      <c r="O5817" t="s">
        <v>344</v>
      </c>
      <c r="P5817" s="42">
        <v>44164</v>
      </c>
      <c r="Q5817" t="s">
        <v>344</v>
      </c>
      <c r="R5817" t="s">
        <v>370</v>
      </c>
      <c r="S5817" t="s">
        <v>323</v>
      </c>
      <c r="T5817">
        <v>7.6</v>
      </c>
      <c r="W5817" t="s">
        <v>330</v>
      </c>
      <c r="Y5817" s="42">
        <v>44173</v>
      </c>
    </row>
    <row r="5818" spans="14:25">
      <c r="N5818" s="42">
        <v>44161</v>
      </c>
      <c r="O5818" t="s">
        <v>324</v>
      </c>
      <c r="P5818" s="42">
        <v>44161</v>
      </c>
      <c r="Q5818" t="s">
        <v>324</v>
      </c>
      <c r="R5818" t="s">
        <v>370</v>
      </c>
      <c r="S5818" t="s">
        <v>323</v>
      </c>
      <c r="T5818">
        <v>7.6</v>
      </c>
      <c r="W5818" t="s">
        <v>330</v>
      </c>
      <c r="Y5818" s="42">
        <v>44173</v>
      </c>
    </row>
    <row r="5819" spans="14:25">
      <c r="N5819" s="42">
        <v>44160</v>
      </c>
      <c r="O5819" t="s">
        <v>328</v>
      </c>
      <c r="P5819" s="42">
        <v>44160</v>
      </c>
      <c r="Q5819" t="s">
        <v>328</v>
      </c>
      <c r="R5819" t="s">
        <v>370</v>
      </c>
      <c r="S5819" t="s">
        <v>323</v>
      </c>
      <c r="T5819">
        <v>7.6</v>
      </c>
      <c r="W5819" t="s">
        <v>330</v>
      </c>
      <c r="Y5819" s="42">
        <v>44173</v>
      </c>
    </row>
    <row r="5820" spans="14:25">
      <c r="N5820" s="42">
        <v>44160</v>
      </c>
      <c r="O5820" t="s">
        <v>328</v>
      </c>
      <c r="P5820" s="42">
        <v>44173</v>
      </c>
      <c r="Q5820" t="s">
        <v>333</v>
      </c>
      <c r="R5820" t="s">
        <v>370</v>
      </c>
      <c r="S5820" t="s">
        <v>323</v>
      </c>
      <c r="T5820">
        <v>76</v>
      </c>
      <c r="W5820" t="s">
        <v>330</v>
      </c>
      <c r="Y5820" s="42">
        <v>44173</v>
      </c>
    </row>
    <row r="5821" spans="14:25">
      <c r="N5821" s="42">
        <v>44159</v>
      </c>
      <c r="O5821" t="s">
        <v>333</v>
      </c>
      <c r="P5821" s="42">
        <v>44159</v>
      </c>
      <c r="Q5821" t="s">
        <v>333</v>
      </c>
      <c r="R5821" t="s">
        <v>370</v>
      </c>
      <c r="S5821" t="s">
        <v>323</v>
      </c>
      <c r="T5821">
        <v>7.6</v>
      </c>
      <c r="W5821" t="s">
        <v>330</v>
      </c>
      <c r="Y5821" s="42">
        <v>44159</v>
      </c>
    </row>
    <row r="5822" spans="14:25">
      <c r="N5822" s="42">
        <v>44158</v>
      </c>
      <c r="O5822" t="s">
        <v>345</v>
      </c>
      <c r="P5822" s="42">
        <v>44158</v>
      </c>
      <c r="Q5822" t="s">
        <v>345</v>
      </c>
      <c r="R5822" t="s">
        <v>370</v>
      </c>
      <c r="S5822" t="s">
        <v>323</v>
      </c>
      <c r="T5822">
        <v>7.6</v>
      </c>
      <c r="W5822" t="s">
        <v>330</v>
      </c>
      <c r="Y5822" s="42">
        <v>44159</v>
      </c>
    </row>
    <row r="5823" spans="14:25">
      <c r="N5823" s="42">
        <v>44157</v>
      </c>
      <c r="O5823" t="s">
        <v>344</v>
      </c>
      <c r="P5823" s="42">
        <v>44157</v>
      </c>
      <c r="Q5823" t="s">
        <v>344</v>
      </c>
      <c r="R5823" t="s">
        <v>370</v>
      </c>
      <c r="S5823" t="s">
        <v>323</v>
      </c>
      <c r="T5823">
        <v>7.6</v>
      </c>
      <c r="W5823" t="s">
        <v>330</v>
      </c>
      <c r="Y5823" s="42">
        <v>44159</v>
      </c>
    </row>
    <row r="5824" spans="14:25">
      <c r="N5824" s="42">
        <v>44154</v>
      </c>
      <c r="O5824" t="s">
        <v>324</v>
      </c>
      <c r="P5824" s="42">
        <v>44154</v>
      </c>
      <c r="Q5824" t="s">
        <v>324</v>
      </c>
      <c r="R5824" t="s">
        <v>370</v>
      </c>
      <c r="S5824" t="s">
        <v>323</v>
      </c>
      <c r="T5824">
        <v>7.6</v>
      </c>
      <c r="W5824" t="s">
        <v>330</v>
      </c>
      <c r="Y5824" s="42">
        <v>44159</v>
      </c>
    </row>
    <row r="5825" spans="14:25">
      <c r="N5825" s="42">
        <v>44153</v>
      </c>
      <c r="O5825" t="s">
        <v>328</v>
      </c>
      <c r="P5825" s="42">
        <v>44153</v>
      </c>
      <c r="Q5825" t="s">
        <v>328</v>
      </c>
      <c r="R5825" t="s">
        <v>370</v>
      </c>
      <c r="S5825" t="s">
        <v>323</v>
      </c>
      <c r="T5825">
        <v>7.6</v>
      </c>
      <c r="W5825" t="s">
        <v>330</v>
      </c>
      <c r="Y5825" s="42">
        <v>44159</v>
      </c>
    </row>
    <row r="5826" spans="14:25">
      <c r="N5826" s="42">
        <v>44152</v>
      </c>
      <c r="O5826" t="s">
        <v>333</v>
      </c>
      <c r="P5826" s="42">
        <v>44152</v>
      </c>
      <c r="Q5826" t="s">
        <v>333</v>
      </c>
      <c r="R5826" t="s">
        <v>370</v>
      </c>
      <c r="S5826" t="s">
        <v>323</v>
      </c>
      <c r="T5826">
        <v>7.6</v>
      </c>
      <c r="W5826" t="s">
        <v>330</v>
      </c>
      <c r="Y5826" s="42">
        <v>44159</v>
      </c>
    </row>
    <row r="5827" spans="14:25">
      <c r="N5827" s="42">
        <v>44151</v>
      </c>
      <c r="O5827" t="s">
        <v>345</v>
      </c>
      <c r="P5827" s="42">
        <v>44151</v>
      </c>
      <c r="Q5827" t="s">
        <v>345</v>
      </c>
      <c r="R5827" t="s">
        <v>370</v>
      </c>
      <c r="S5827" t="s">
        <v>323</v>
      </c>
      <c r="T5827">
        <v>7.6</v>
      </c>
      <c r="W5827" t="s">
        <v>330</v>
      </c>
      <c r="Y5827" s="42">
        <v>44159</v>
      </c>
    </row>
    <row r="5828" spans="14:25">
      <c r="N5828" s="42">
        <v>44150</v>
      </c>
      <c r="O5828" t="s">
        <v>344</v>
      </c>
      <c r="P5828" s="42">
        <v>44150</v>
      </c>
      <c r="Q5828" t="s">
        <v>344</v>
      </c>
      <c r="R5828" t="s">
        <v>370</v>
      </c>
      <c r="S5828" t="s">
        <v>323</v>
      </c>
      <c r="T5828">
        <v>7.6</v>
      </c>
      <c r="W5828" t="s">
        <v>330</v>
      </c>
      <c r="Y5828" s="42">
        <v>44159</v>
      </c>
    </row>
    <row r="5829" spans="14:25">
      <c r="N5829" s="42">
        <v>44147</v>
      </c>
      <c r="O5829" t="s">
        <v>324</v>
      </c>
      <c r="P5829" s="42">
        <v>44147</v>
      </c>
      <c r="Q5829" t="s">
        <v>324</v>
      </c>
      <c r="R5829" t="s">
        <v>370</v>
      </c>
      <c r="S5829" t="s">
        <v>323</v>
      </c>
      <c r="T5829">
        <v>7.6</v>
      </c>
      <c r="W5829" t="s">
        <v>330</v>
      </c>
      <c r="Y5829" s="42">
        <v>44159</v>
      </c>
    </row>
    <row r="5830" spans="14:25">
      <c r="N5830" s="42">
        <v>44146</v>
      </c>
      <c r="O5830" t="s">
        <v>328</v>
      </c>
      <c r="P5830" s="42">
        <v>44146</v>
      </c>
      <c r="Q5830" t="s">
        <v>328</v>
      </c>
      <c r="R5830" t="s">
        <v>370</v>
      </c>
      <c r="S5830" t="s">
        <v>323</v>
      </c>
      <c r="T5830">
        <v>7.6</v>
      </c>
      <c r="W5830" t="s">
        <v>330</v>
      </c>
      <c r="Y5830" s="42">
        <v>44159</v>
      </c>
    </row>
    <row r="5831" spans="14:25">
      <c r="N5831" s="42">
        <v>44145</v>
      </c>
      <c r="O5831" t="s">
        <v>333</v>
      </c>
      <c r="P5831" s="42">
        <v>44145</v>
      </c>
      <c r="Q5831" t="s">
        <v>333</v>
      </c>
      <c r="R5831" t="s">
        <v>370</v>
      </c>
      <c r="S5831" t="s">
        <v>323</v>
      </c>
      <c r="T5831">
        <v>7.6</v>
      </c>
      <c r="W5831" t="s">
        <v>330</v>
      </c>
      <c r="Y5831" s="42">
        <v>44145</v>
      </c>
    </row>
    <row r="5832" spans="14:25">
      <c r="N5832" s="42">
        <v>44144</v>
      </c>
      <c r="O5832" t="s">
        <v>345</v>
      </c>
      <c r="P5832" s="42">
        <v>44144</v>
      </c>
      <c r="Q5832" t="s">
        <v>345</v>
      </c>
      <c r="R5832" t="s">
        <v>370</v>
      </c>
      <c r="S5832" t="s">
        <v>323</v>
      </c>
      <c r="T5832">
        <v>7.6</v>
      </c>
      <c r="W5832" t="s">
        <v>330</v>
      </c>
      <c r="Y5832" s="42">
        <v>44145</v>
      </c>
    </row>
    <row r="5833" spans="14:25">
      <c r="N5833" s="42">
        <v>44143</v>
      </c>
      <c r="O5833" t="s">
        <v>344</v>
      </c>
      <c r="P5833" s="42">
        <v>44143</v>
      </c>
      <c r="Q5833" t="s">
        <v>344</v>
      </c>
      <c r="R5833" t="s">
        <v>370</v>
      </c>
      <c r="S5833" t="s">
        <v>323</v>
      </c>
      <c r="T5833">
        <v>7.6</v>
      </c>
      <c r="W5833" t="s">
        <v>330</v>
      </c>
      <c r="Y5833" s="42">
        <v>44145</v>
      </c>
    </row>
    <row r="5834" spans="14:25">
      <c r="N5834" s="42">
        <v>44140</v>
      </c>
      <c r="O5834" t="s">
        <v>324</v>
      </c>
      <c r="P5834" s="42">
        <v>44140</v>
      </c>
      <c r="Q5834" t="s">
        <v>324</v>
      </c>
      <c r="R5834" t="s">
        <v>370</v>
      </c>
      <c r="S5834" t="s">
        <v>323</v>
      </c>
      <c r="T5834">
        <v>7.6</v>
      </c>
      <c r="W5834" t="s">
        <v>330</v>
      </c>
      <c r="Y5834" s="42">
        <v>44145</v>
      </c>
    </row>
    <row r="5835" spans="14:25">
      <c r="N5835" s="42">
        <v>44139</v>
      </c>
      <c r="O5835" t="s">
        <v>328</v>
      </c>
      <c r="P5835" s="42">
        <v>44139</v>
      </c>
      <c r="Q5835" t="s">
        <v>328</v>
      </c>
      <c r="R5835" t="s">
        <v>370</v>
      </c>
      <c r="S5835" t="s">
        <v>323</v>
      </c>
      <c r="T5835">
        <v>7.6</v>
      </c>
      <c r="W5835" t="s">
        <v>330</v>
      </c>
      <c r="Y5835" s="42">
        <v>44145</v>
      </c>
    </row>
    <row r="5836" spans="14:25">
      <c r="N5836" s="42">
        <v>44137</v>
      </c>
      <c r="O5836" t="s">
        <v>345</v>
      </c>
      <c r="P5836" s="42">
        <v>44137</v>
      </c>
      <c r="Q5836" t="s">
        <v>345</v>
      </c>
      <c r="R5836" t="s">
        <v>370</v>
      </c>
      <c r="S5836" t="s">
        <v>323</v>
      </c>
      <c r="T5836">
        <v>7.6</v>
      </c>
      <c r="W5836" t="s">
        <v>330</v>
      </c>
      <c r="Y5836" s="42">
        <v>44145</v>
      </c>
    </row>
    <row r="5837" spans="14:25">
      <c r="N5837" s="42">
        <v>44136</v>
      </c>
      <c r="O5837" t="s">
        <v>344</v>
      </c>
      <c r="P5837" s="42">
        <v>44136</v>
      </c>
      <c r="Q5837" t="s">
        <v>344</v>
      </c>
      <c r="R5837" t="s">
        <v>370</v>
      </c>
      <c r="S5837" t="s">
        <v>323</v>
      </c>
      <c r="T5837">
        <v>7.6</v>
      </c>
      <c r="W5837" t="s">
        <v>330</v>
      </c>
      <c r="Y5837" s="42">
        <v>44145</v>
      </c>
    </row>
    <row r="5838" spans="14:25">
      <c r="N5838" s="42">
        <v>44133</v>
      </c>
      <c r="O5838" t="s">
        <v>324</v>
      </c>
      <c r="P5838" s="42">
        <v>44133</v>
      </c>
      <c r="Q5838" t="s">
        <v>324</v>
      </c>
      <c r="R5838" t="s">
        <v>370</v>
      </c>
      <c r="S5838" t="s">
        <v>323</v>
      </c>
      <c r="T5838">
        <v>7.6</v>
      </c>
      <c r="W5838" t="s">
        <v>330</v>
      </c>
      <c r="Y5838" s="42">
        <v>44145</v>
      </c>
    </row>
    <row r="5839" spans="14:25">
      <c r="N5839" s="42">
        <v>44132</v>
      </c>
      <c r="O5839" t="s">
        <v>328</v>
      </c>
      <c r="P5839" s="42">
        <v>44132</v>
      </c>
      <c r="Q5839" t="s">
        <v>328</v>
      </c>
      <c r="R5839" t="s">
        <v>370</v>
      </c>
      <c r="S5839" t="s">
        <v>323</v>
      </c>
      <c r="T5839">
        <v>7.6</v>
      </c>
      <c r="W5839" t="s">
        <v>330</v>
      </c>
      <c r="Y5839" s="42">
        <v>44145</v>
      </c>
    </row>
    <row r="5840" spans="14:25">
      <c r="N5840" s="42">
        <v>44131</v>
      </c>
      <c r="O5840" t="s">
        <v>333</v>
      </c>
      <c r="P5840" s="42">
        <v>44131</v>
      </c>
      <c r="Q5840" t="s">
        <v>333</v>
      </c>
      <c r="R5840" t="s">
        <v>370</v>
      </c>
      <c r="S5840" t="s">
        <v>323</v>
      </c>
      <c r="T5840">
        <v>7.6</v>
      </c>
      <c r="W5840" t="s">
        <v>330</v>
      </c>
      <c r="Y5840" s="42">
        <v>44131</v>
      </c>
    </row>
    <row r="5841" spans="14:25">
      <c r="N5841" s="42">
        <v>44130</v>
      </c>
      <c r="O5841" t="s">
        <v>345</v>
      </c>
      <c r="P5841" s="42">
        <v>44130</v>
      </c>
      <c r="Q5841" t="s">
        <v>345</v>
      </c>
      <c r="R5841" t="s">
        <v>370</v>
      </c>
      <c r="S5841" t="s">
        <v>323</v>
      </c>
      <c r="T5841">
        <v>7.6</v>
      </c>
      <c r="W5841" t="s">
        <v>330</v>
      </c>
      <c r="Y5841" s="42">
        <v>44131</v>
      </c>
    </row>
    <row r="5842" spans="14:25">
      <c r="N5842" s="42">
        <v>44129</v>
      </c>
      <c r="O5842" t="s">
        <v>344</v>
      </c>
      <c r="P5842" s="42">
        <v>44129</v>
      </c>
      <c r="Q5842" t="s">
        <v>344</v>
      </c>
      <c r="R5842" t="s">
        <v>370</v>
      </c>
      <c r="S5842" t="s">
        <v>323</v>
      </c>
      <c r="T5842">
        <v>7.6</v>
      </c>
      <c r="W5842" t="s">
        <v>330</v>
      </c>
      <c r="Y5842" s="42">
        <v>44131</v>
      </c>
    </row>
    <row r="5843" spans="14:25">
      <c r="N5843" s="42">
        <v>44126</v>
      </c>
      <c r="O5843" t="s">
        <v>324</v>
      </c>
      <c r="P5843" s="42">
        <v>44126</v>
      </c>
      <c r="Q5843" t="s">
        <v>324</v>
      </c>
      <c r="R5843" t="s">
        <v>370</v>
      </c>
      <c r="S5843" t="s">
        <v>323</v>
      </c>
      <c r="T5843">
        <v>7.6</v>
      </c>
      <c r="W5843" t="s">
        <v>330</v>
      </c>
      <c r="Y5843" s="42">
        <v>44131</v>
      </c>
    </row>
    <row r="5844" spans="14:25">
      <c r="N5844" s="42">
        <v>44125</v>
      </c>
      <c r="O5844" t="s">
        <v>328</v>
      </c>
      <c r="P5844" s="42">
        <v>44125</v>
      </c>
      <c r="Q5844" t="s">
        <v>328</v>
      </c>
      <c r="R5844" t="s">
        <v>370</v>
      </c>
      <c r="S5844" t="s">
        <v>323</v>
      </c>
      <c r="T5844">
        <v>7.6</v>
      </c>
      <c r="W5844" t="s">
        <v>330</v>
      </c>
      <c r="Y5844" s="42">
        <v>44131</v>
      </c>
    </row>
    <row r="5845" spans="14:25">
      <c r="N5845" s="42">
        <v>44124</v>
      </c>
      <c r="O5845" t="s">
        <v>333</v>
      </c>
      <c r="P5845" s="42">
        <v>44124</v>
      </c>
      <c r="Q5845" t="s">
        <v>333</v>
      </c>
      <c r="R5845" t="s">
        <v>370</v>
      </c>
      <c r="S5845" t="s">
        <v>323</v>
      </c>
      <c r="T5845">
        <v>7.6</v>
      </c>
      <c r="W5845" t="s">
        <v>330</v>
      </c>
      <c r="Y5845" s="42">
        <v>44131</v>
      </c>
    </row>
    <row r="5846" spans="14:25">
      <c r="N5846" s="42">
        <v>44123</v>
      </c>
      <c r="O5846" t="s">
        <v>345</v>
      </c>
      <c r="P5846" s="42">
        <v>44123</v>
      </c>
      <c r="Q5846" t="s">
        <v>345</v>
      </c>
      <c r="R5846" t="s">
        <v>370</v>
      </c>
      <c r="S5846" t="s">
        <v>323</v>
      </c>
      <c r="T5846">
        <v>7.6</v>
      </c>
      <c r="W5846" t="s">
        <v>330</v>
      </c>
      <c r="Y5846" s="42">
        <v>44131</v>
      </c>
    </row>
    <row r="5847" spans="14:25">
      <c r="N5847" s="42">
        <v>44122</v>
      </c>
      <c r="O5847" t="s">
        <v>344</v>
      </c>
      <c r="P5847" s="42">
        <v>44122</v>
      </c>
      <c r="Q5847" t="s">
        <v>344</v>
      </c>
      <c r="R5847" t="s">
        <v>370</v>
      </c>
      <c r="S5847" t="s">
        <v>323</v>
      </c>
      <c r="T5847">
        <v>7.6</v>
      </c>
      <c r="W5847" t="s">
        <v>330</v>
      </c>
      <c r="Y5847" s="42">
        <v>44131</v>
      </c>
    </row>
    <row r="5848" spans="14:25">
      <c r="N5848" s="42">
        <v>44119</v>
      </c>
      <c r="O5848" t="s">
        <v>324</v>
      </c>
      <c r="P5848" s="42">
        <v>44119</v>
      </c>
      <c r="Q5848" t="s">
        <v>324</v>
      </c>
      <c r="R5848" t="s">
        <v>370</v>
      </c>
      <c r="S5848" t="s">
        <v>323</v>
      </c>
      <c r="T5848">
        <v>7.6</v>
      </c>
      <c r="W5848" t="s">
        <v>330</v>
      </c>
      <c r="Y5848" s="42">
        <v>44131</v>
      </c>
    </row>
    <row r="5849" spans="14:25">
      <c r="N5849" s="42">
        <v>44118</v>
      </c>
      <c r="O5849" t="s">
        <v>328</v>
      </c>
      <c r="P5849" s="42">
        <v>44118</v>
      </c>
      <c r="Q5849" t="s">
        <v>328</v>
      </c>
      <c r="R5849" t="s">
        <v>370</v>
      </c>
      <c r="S5849" t="s">
        <v>323</v>
      </c>
      <c r="T5849">
        <v>7.6</v>
      </c>
      <c r="W5849" t="s">
        <v>330</v>
      </c>
      <c r="Y5849" s="42">
        <v>44131</v>
      </c>
    </row>
    <row r="5850" spans="14:25">
      <c r="N5850" s="42">
        <v>44117</v>
      </c>
      <c r="O5850" t="s">
        <v>333</v>
      </c>
      <c r="P5850" s="42">
        <v>44117</v>
      </c>
      <c r="Q5850" t="s">
        <v>333</v>
      </c>
      <c r="R5850" t="s">
        <v>370</v>
      </c>
      <c r="S5850" t="s">
        <v>323</v>
      </c>
      <c r="T5850">
        <v>7.6</v>
      </c>
      <c r="W5850" t="s">
        <v>330</v>
      </c>
      <c r="Y5850" s="42">
        <v>44117</v>
      </c>
    </row>
    <row r="5851" spans="14:25">
      <c r="N5851" s="42">
        <v>44116</v>
      </c>
      <c r="O5851" t="s">
        <v>345</v>
      </c>
      <c r="P5851" s="42">
        <v>44116</v>
      </c>
      <c r="Q5851" t="s">
        <v>345</v>
      </c>
      <c r="R5851" t="s">
        <v>370</v>
      </c>
      <c r="S5851" t="s">
        <v>323</v>
      </c>
      <c r="T5851">
        <v>7.6</v>
      </c>
      <c r="W5851" t="s">
        <v>330</v>
      </c>
      <c r="Y5851" s="42">
        <v>44117</v>
      </c>
    </row>
    <row r="5852" spans="14:25">
      <c r="N5852" s="42">
        <v>44115</v>
      </c>
      <c r="O5852" t="s">
        <v>344</v>
      </c>
      <c r="P5852" s="42">
        <v>44115</v>
      </c>
      <c r="Q5852" t="s">
        <v>344</v>
      </c>
      <c r="R5852" t="s">
        <v>370</v>
      </c>
      <c r="S5852" t="s">
        <v>323</v>
      </c>
      <c r="T5852">
        <v>7.6</v>
      </c>
      <c r="W5852" t="s">
        <v>330</v>
      </c>
      <c r="Y5852" s="42">
        <v>44117</v>
      </c>
    </row>
    <row r="5853" spans="14:25">
      <c r="N5853" s="42">
        <v>44112</v>
      </c>
      <c r="O5853" t="s">
        <v>324</v>
      </c>
      <c r="P5853" s="42">
        <v>44112</v>
      </c>
      <c r="Q5853" t="s">
        <v>324</v>
      </c>
      <c r="R5853" t="s">
        <v>370</v>
      </c>
      <c r="S5853" t="s">
        <v>323</v>
      </c>
      <c r="T5853">
        <v>7.6</v>
      </c>
      <c r="W5853" t="s">
        <v>330</v>
      </c>
      <c r="Y5853" s="42">
        <v>44117</v>
      </c>
    </row>
    <row r="5854" spans="14:25">
      <c r="N5854" s="42">
        <v>44111</v>
      </c>
      <c r="O5854" t="s">
        <v>328</v>
      </c>
      <c r="P5854" s="42">
        <v>44111</v>
      </c>
      <c r="Q5854" t="s">
        <v>328</v>
      </c>
      <c r="R5854" t="s">
        <v>370</v>
      </c>
      <c r="S5854" t="s">
        <v>323</v>
      </c>
      <c r="T5854">
        <v>7.6</v>
      </c>
      <c r="W5854" t="s">
        <v>330</v>
      </c>
      <c r="Y5854" s="42">
        <v>44117</v>
      </c>
    </row>
    <row r="5855" spans="14:25">
      <c r="N5855" s="42">
        <v>44110</v>
      </c>
      <c r="O5855" t="s">
        <v>333</v>
      </c>
      <c r="P5855" s="42">
        <v>44110</v>
      </c>
      <c r="Q5855" t="s">
        <v>333</v>
      </c>
      <c r="R5855" t="s">
        <v>370</v>
      </c>
      <c r="S5855" t="s">
        <v>323</v>
      </c>
      <c r="T5855">
        <v>7.6</v>
      </c>
      <c r="W5855" t="s">
        <v>330</v>
      </c>
      <c r="Y5855" s="42">
        <v>44117</v>
      </c>
    </row>
    <row r="5856" spans="14:25">
      <c r="N5856" s="42">
        <v>44109</v>
      </c>
      <c r="O5856" t="s">
        <v>345</v>
      </c>
      <c r="P5856" s="42">
        <v>44109</v>
      </c>
      <c r="Q5856" t="s">
        <v>345</v>
      </c>
      <c r="R5856" t="s">
        <v>370</v>
      </c>
      <c r="S5856" t="s">
        <v>323</v>
      </c>
      <c r="T5856">
        <v>7.6</v>
      </c>
      <c r="W5856" t="s">
        <v>330</v>
      </c>
      <c r="Y5856" s="42">
        <v>44117</v>
      </c>
    </row>
    <row r="5857" spans="14:25">
      <c r="N5857" s="42">
        <v>44108</v>
      </c>
      <c r="O5857" t="s">
        <v>344</v>
      </c>
      <c r="P5857" s="42">
        <v>44108</v>
      </c>
      <c r="Q5857" t="s">
        <v>344</v>
      </c>
      <c r="R5857" t="s">
        <v>370</v>
      </c>
      <c r="S5857" t="s">
        <v>323</v>
      </c>
      <c r="T5857">
        <v>7.6</v>
      </c>
      <c r="W5857" t="s">
        <v>330</v>
      </c>
      <c r="Y5857" s="42">
        <v>44117</v>
      </c>
    </row>
    <row r="5858" spans="14:25">
      <c r="N5858" s="42">
        <v>44105</v>
      </c>
      <c r="O5858" t="s">
        <v>324</v>
      </c>
      <c r="P5858" s="42">
        <v>44105</v>
      </c>
      <c r="Q5858" t="s">
        <v>324</v>
      </c>
      <c r="R5858" t="s">
        <v>370</v>
      </c>
      <c r="S5858" t="s">
        <v>323</v>
      </c>
      <c r="T5858">
        <v>7.6</v>
      </c>
      <c r="W5858" t="s">
        <v>330</v>
      </c>
      <c r="Y5858" s="42">
        <v>44117</v>
      </c>
    </row>
    <row r="5859" spans="14:25">
      <c r="N5859" s="42">
        <v>44104</v>
      </c>
      <c r="O5859" t="s">
        <v>328</v>
      </c>
      <c r="P5859" s="42">
        <v>44104</v>
      </c>
      <c r="Q5859" t="s">
        <v>328</v>
      </c>
      <c r="R5859" t="s">
        <v>370</v>
      </c>
      <c r="S5859" t="s">
        <v>323</v>
      </c>
      <c r="T5859">
        <v>7.6</v>
      </c>
      <c r="W5859" t="s">
        <v>330</v>
      </c>
      <c r="Y5859" s="42">
        <v>44117</v>
      </c>
    </row>
    <row r="5860" spans="14:25">
      <c r="N5860" s="42">
        <v>44103</v>
      </c>
      <c r="O5860" t="s">
        <v>333</v>
      </c>
      <c r="P5860" s="42">
        <v>44103</v>
      </c>
      <c r="Q5860" t="s">
        <v>333</v>
      </c>
      <c r="R5860" t="s">
        <v>370</v>
      </c>
      <c r="S5860" t="s">
        <v>323</v>
      </c>
      <c r="T5860">
        <v>7.6</v>
      </c>
      <c r="W5860" t="s">
        <v>330</v>
      </c>
      <c r="Y5860" s="42">
        <v>44103</v>
      </c>
    </row>
    <row r="5861" spans="14:25">
      <c r="N5861" s="42">
        <v>44101</v>
      </c>
      <c r="O5861" t="s">
        <v>344</v>
      </c>
      <c r="P5861" s="42">
        <v>44101</v>
      </c>
      <c r="Q5861" t="s">
        <v>344</v>
      </c>
      <c r="R5861" t="s">
        <v>370</v>
      </c>
      <c r="S5861" t="s">
        <v>323</v>
      </c>
      <c r="T5861">
        <v>7.6</v>
      </c>
      <c r="W5861" t="s">
        <v>330</v>
      </c>
      <c r="Y5861" s="42">
        <v>44103</v>
      </c>
    </row>
    <row r="5862" spans="14:25">
      <c r="N5862" s="42">
        <v>44098</v>
      </c>
      <c r="O5862" t="s">
        <v>324</v>
      </c>
      <c r="P5862" s="42">
        <v>44098</v>
      </c>
      <c r="Q5862" t="s">
        <v>324</v>
      </c>
      <c r="R5862" t="s">
        <v>370</v>
      </c>
      <c r="S5862" t="s">
        <v>323</v>
      </c>
      <c r="T5862">
        <v>7.6</v>
      </c>
      <c r="W5862" t="s">
        <v>330</v>
      </c>
      <c r="Y5862" s="42">
        <v>44103</v>
      </c>
    </row>
    <row r="5863" spans="14:25">
      <c r="N5863" s="42">
        <v>44097</v>
      </c>
      <c r="O5863" t="s">
        <v>328</v>
      </c>
      <c r="P5863" s="42">
        <v>44097</v>
      </c>
      <c r="Q5863" t="s">
        <v>328</v>
      </c>
      <c r="R5863" t="s">
        <v>370</v>
      </c>
      <c r="S5863" t="s">
        <v>323</v>
      </c>
      <c r="T5863">
        <v>7.6</v>
      </c>
      <c r="W5863" t="s">
        <v>330</v>
      </c>
      <c r="Y5863" s="42">
        <v>44103</v>
      </c>
    </row>
    <row r="5864" spans="14:25">
      <c r="N5864" s="42">
        <v>44096</v>
      </c>
      <c r="O5864" t="s">
        <v>333</v>
      </c>
      <c r="P5864" s="42">
        <v>44096</v>
      </c>
      <c r="Q5864" t="s">
        <v>333</v>
      </c>
      <c r="R5864" t="s">
        <v>370</v>
      </c>
      <c r="S5864" t="s">
        <v>323</v>
      </c>
      <c r="T5864">
        <v>7.6</v>
      </c>
      <c r="W5864" t="s">
        <v>330</v>
      </c>
      <c r="Y5864" s="42">
        <v>44103</v>
      </c>
    </row>
    <row r="5865" spans="14:25">
      <c r="N5865" s="42">
        <v>44095</v>
      </c>
      <c r="O5865" t="s">
        <v>345</v>
      </c>
      <c r="P5865" s="42">
        <v>44095</v>
      </c>
      <c r="Q5865" t="s">
        <v>345</v>
      </c>
      <c r="R5865" t="s">
        <v>370</v>
      </c>
      <c r="S5865" t="s">
        <v>323</v>
      </c>
      <c r="T5865">
        <v>7.6</v>
      </c>
      <c r="W5865" t="s">
        <v>330</v>
      </c>
      <c r="Y5865" s="42">
        <v>44103</v>
      </c>
    </row>
    <row r="5866" spans="14:25">
      <c r="N5866" s="42">
        <v>44094</v>
      </c>
      <c r="O5866" t="s">
        <v>344</v>
      </c>
      <c r="P5866" s="42">
        <v>44094</v>
      </c>
      <c r="Q5866" t="s">
        <v>344</v>
      </c>
      <c r="R5866" t="s">
        <v>370</v>
      </c>
      <c r="S5866" t="s">
        <v>323</v>
      </c>
      <c r="T5866">
        <v>7.6</v>
      </c>
      <c r="W5866" t="s">
        <v>330</v>
      </c>
      <c r="Y5866" s="42">
        <v>44103</v>
      </c>
    </row>
    <row r="5867" spans="14:25">
      <c r="N5867" s="42">
        <v>44091</v>
      </c>
      <c r="O5867" t="s">
        <v>324</v>
      </c>
      <c r="P5867" s="42">
        <v>44091</v>
      </c>
      <c r="Q5867" t="s">
        <v>324</v>
      </c>
      <c r="R5867" t="s">
        <v>370</v>
      </c>
      <c r="S5867" t="s">
        <v>323</v>
      </c>
      <c r="T5867">
        <v>7.6</v>
      </c>
      <c r="W5867" t="s">
        <v>330</v>
      </c>
      <c r="Y5867" s="42">
        <v>44103</v>
      </c>
    </row>
    <row r="5868" spans="14:25">
      <c r="N5868" s="42">
        <v>44090</v>
      </c>
      <c r="O5868" t="s">
        <v>328</v>
      </c>
      <c r="P5868" s="42">
        <v>44090</v>
      </c>
      <c r="Q5868" t="s">
        <v>328</v>
      </c>
      <c r="R5868" t="s">
        <v>370</v>
      </c>
      <c r="S5868" t="s">
        <v>323</v>
      </c>
      <c r="T5868">
        <v>7.6</v>
      </c>
      <c r="W5868" t="s">
        <v>330</v>
      </c>
      <c r="Y5868" s="42">
        <v>44103</v>
      </c>
    </row>
    <row r="5869" spans="14:25">
      <c r="N5869" s="42">
        <v>44089</v>
      </c>
      <c r="O5869" t="s">
        <v>333</v>
      </c>
      <c r="P5869" s="42">
        <v>44089</v>
      </c>
      <c r="Q5869" t="s">
        <v>333</v>
      </c>
      <c r="R5869" t="s">
        <v>370</v>
      </c>
      <c r="S5869" t="s">
        <v>323</v>
      </c>
      <c r="T5869">
        <v>7.6</v>
      </c>
      <c r="W5869" t="s">
        <v>330</v>
      </c>
      <c r="Y5869" s="42">
        <v>44089</v>
      </c>
    </row>
    <row r="5870" spans="14:25">
      <c r="N5870" s="42">
        <v>44088</v>
      </c>
      <c r="O5870" t="s">
        <v>345</v>
      </c>
      <c r="P5870" s="42">
        <v>44088</v>
      </c>
      <c r="Q5870" t="s">
        <v>345</v>
      </c>
      <c r="R5870" t="s">
        <v>370</v>
      </c>
      <c r="S5870" t="s">
        <v>323</v>
      </c>
      <c r="T5870">
        <v>7.6</v>
      </c>
      <c r="W5870" t="s">
        <v>330</v>
      </c>
      <c r="Y5870" s="42">
        <v>44089</v>
      </c>
    </row>
    <row r="5871" spans="14:25">
      <c r="N5871" s="42">
        <v>44087</v>
      </c>
      <c r="O5871" t="s">
        <v>344</v>
      </c>
      <c r="P5871" s="42">
        <v>44087</v>
      </c>
      <c r="Q5871" t="s">
        <v>344</v>
      </c>
      <c r="R5871" t="s">
        <v>370</v>
      </c>
      <c r="S5871" t="s">
        <v>323</v>
      </c>
      <c r="T5871">
        <v>7.6</v>
      </c>
      <c r="W5871" t="s">
        <v>330</v>
      </c>
      <c r="Y5871" s="42">
        <v>44089</v>
      </c>
    </row>
    <row r="5872" spans="14:25">
      <c r="N5872" s="42">
        <v>44084</v>
      </c>
      <c r="O5872" t="s">
        <v>324</v>
      </c>
      <c r="P5872" s="42">
        <v>44084</v>
      </c>
      <c r="Q5872" t="s">
        <v>324</v>
      </c>
      <c r="R5872" t="s">
        <v>370</v>
      </c>
      <c r="S5872" t="s">
        <v>323</v>
      </c>
      <c r="T5872">
        <v>7.6</v>
      </c>
      <c r="W5872" t="s">
        <v>330</v>
      </c>
      <c r="Y5872" s="42">
        <v>44089</v>
      </c>
    </row>
    <row r="5873" spans="14:25">
      <c r="N5873" s="42">
        <v>44083</v>
      </c>
      <c r="O5873" t="s">
        <v>328</v>
      </c>
      <c r="P5873" s="42">
        <v>44083</v>
      </c>
      <c r="Q5873" t="s">
        <v>328</v>
      </c>
      <c r="R5873" t="s">
        <v>370</v>
      </c>
      <c r="S5873" t="s">
        <v>323</v>
      </c>
      <c r="T5873">
        <v>7.6</v>
      </c>
      <c r="W5873" t="s">
        <v>330</v>
      </c>
      <c r="Y5873" s="42">
        <v>44089</v>
      </c>
    </row>
    <row r="5874" spans="14:25">
      <c r="N5874" s="42">
        <v>44082</v>
      </c>
      <c r="O5874" t="s">
        <v>333</v>
      </c>
      <c r="P5874" s="42">
        <v>44082</v>
      </c>
      <c r="Q5874" t="s">
        <v>333</v>
      </c>
      <c r="R5874" t="s">
        <v>370</v>
      </c>
      <c r="S5874" t="s">
        <v>323</v>
      </c>
      <c r="T5874">
        <v>7.6</v>
      </c>
      <c r="W5874" t="s">
        <v>330</v>
      </c>
      <c r="Y5874" s="42">
        <v>44089</v>
      </c>
    </row>
    <row r="5875" spans="14:25">
      <c r="N5875" s="42">
        <v>44081</v>
      </c>
      <c r="O5875" t="s">
        <v>345</v>
      </c>
      <c r="P5875" s="42">
        <v>44081</v>
      </c>
      <c r="Q5875" t="s">
        <v>345</v>
      </c>
      <c r="R5875" t="s">
        <v>370</v>
      </c>
      <c r="S5875" t="s">
        <v>323</v>
      </c>
      <c r="T5875">
        <v>7.6</v>
      </c>
      <c r="W5875" t="s">
        <v>330</v>
      </c>
      <c r="Y5875" s="42">
        <v>44089</v>
      </c>
    </row>
    <row r="5876" spans="14:25">
      <c r="N5876" s="42">
        <v>44080</v>
      </c>
      <c r="O5876" t="s">
        <v>344</v>
      </c>
      <c r="P5876" s="42">
        <v>44080</v>
      </c>
      <c r="Q5876" t="s">
        <v>344</v>
      </c>
      <c r="R5876" t="s">
        <v>370</v>
      </c>
      <c r="S5876" t="s">
        <v>323</v>
      </c>
      <c r="T5876">
        <v>7.6</v>
      </c>
      <c r="W5876" t="s">
        <v>330</v>
      </c>
      <c r="Y5876" s="42">
        <v>44089</v>
      </c>
    </row>
    <row r="5877" spans="14:25">
      <c r="N5877" s="42">
        <v>44077</v>
      </c>
      <c r="O5877" t="s">
        <v>324</v>
      </c>
      <c r="P5877" s="42">
        <v>44077</v>
      </c>
      <c r="Q5877" t="s">
        <v>324</v>
      </c>
      <c r="R5877" t="s">
        <v>370</v>
      </c>
      <c r="S5877" t="s">
        <v>323</v>
      </c>
      <c r="T5877">
        <v>7.6</v>
      </c>
      <c r="W5877" t="s">
        <v>330</v>
      </c>
      <c r="Y5877" s="42">
        <v>44089</v>
      </c>
    </row>
    <row r="5878" spans="14:25">
      <c r="N5878" s="42">
        <v>44076</v>
      </c>
      <c r="O5878" t="s">
        <v>328</v>
      </c>
      <c r="P5878" s="42">
        <v>44076</v>
      </c>
      <c r="Q5878" t="s">
        <v>328</v>
      </c>
      <c r="R5878" t="s">
        <v>370</v>
      </c>
      <c r="S5878" t="s">
        <v>323</v>
      </c>
      <c r="T5878">
        <v>7.6</v>
      </c>
      <c r="W5878" t="s">
        <v>330</v>
      </c>
      <c r="Y5878" s="42">
        <v>44089</v>
      </c>
    </row>
    <row r="5879" spans="14:25">
      <c r="N5879" s="42">
        <v>44075</v>
      </c>
      <c r="O5879" t="s">
        <v>333</v>
      </c>
      <c r="P5879" s="42">
        <v>44075</v>
      </c>
      <c r="Q5879" t="s">
        <v>333</v>
      </c>
      <c r="R5879" t="s">
        <v>370</v>
      </c>
      <c r="S5879" t="s">
        <v>323</v>
      </c>
      <c r="T5879">
        <v>7.6</v>
      </c>
      <c r="W5879" t="s">
        <v>330</v>
      </c>
      <c r="Y5879" s="42">
        <v>44075</v>
      </c>
    </row>
    <row r="5880" spans="14:25">
      <c r="N5880" s="42">
        <v>44074</v>
      </c>
      <c r="O5880" t="s">
        <v>345</v>
      </c>
      <c r="P5880" s="42">
        <v>44074</v>
      </c>
      <c r="Q5880" t="s">
        <v>345</v>
      </c>
      <c r="R5880" t="s">
        <v>370</v>
      </c>
      <c r="S5880" t="s">
        <v>323</v>
      </c>
      <c r="T5880">
        <v>7.6</v>
      </c>
      <c r="W5880" t="s">
        <v>330</v>
      </c>
      <c r="Y5880" s="42">
        <v>44075</v>
      </c>
    </row>
    <row r="5881" spans="14:25">
      <c r="N5881" s="42">
        <v>44073</v>
      </c>
      <c r="O5881" t="s">
        <v>344</v>
      </c>
      <c r="P5881" s="42">
        <v>44073</v>
      </c>
      <c r="Q5881" t="s">
        <v>344</v>
      </c>
      <c r="R5881" t="s">
        <v>370</v>
      </c>
      <c r="S5881" t="s">
        <v>323</v>
      </c>
      <c r="T5881">
        <v>7.6</v>
      </c>
      <c r="W5881" t="s">
        <v>330</v>
      </c>
      <c r="Y5881" s="42">
        <v>44075</v>
      </c>
    </row>
    <row r="5882" spans="14:25">
      <c r="N5882" s="42">
        <v>44070</v>
      </c>
      <c r="O5882" t="s">
        <v>324</v>
      </c>
      <c r="P5882" s="42">
        <v>44070</v>
      </c>
      <c r="Q5882" t="s">
        <v>324</v>
      </c>
      <c r="R5882" t="s">
        <v>370</v>
      </c>
      <c r="S5882" t="s">
        <v>323</v>
      </c>
      <c r="T5882">
        <v>7.6</v>
      </c>
      <c r="W5882" t="s">
        <v>330</v>
      </c>
      <c r="Y5882" s="42">
        <v>44075</v>
      </c>
    </row>
    <row r="5883" spans="14:25">
      <c r="N5883" s="42">
        <v>44069</v>
      </c>
      <c r="O5883" t="s">
        <v>328</v>
      </c>
      <c r="P5883" s="42">
        <v>44069</v>
      </c>
      <c r="Q5883" t="s">
        <v>328</v>
      </c>
      <c r="R5883" t="s">
        <v>370</v>
      </c>
      <c r="S5883" t="s">
        <v>323</v>
      </c>
      <c r="T5883">
        <v>7.6</v>
      </c>
      <c r="W5883" t="s">
        <v>330</v>
      </c>
      <c r="Y5883" s="42">
        <v>44075</v>
      </c>
    </row>
    <row r="5884" spans="14:25">
      <c r="N5884" s="42">
        <v>44068</v>
      </c>
      <c r="O5884" t="s">
        <v>333</v>
      </c>
      <c r="P5884" s="42">
        <v>44068</v>
      </c>
      <c r="Q5884" t="s">
        <v>333</v>
      </c>
      <c r="R5884" t="s">
        <v>370</v>
      </c>
      <c r="S5884" t="s">
        <v>323</v>
      </c>
      <c r="T5884">
        <v>7.6</v>
      </c>
      <c r="W5884" t="s">
        <v>330</v>
      </c>
      <c r="Y5884" s="42">
        <v>44075</v>
      </c>
    </row>
    <row r="5885" spans="14:25">
      <c r="N5885" s="42">
        <v>44067</v>
      </c>
      <c r="O5885" t="s">
        <v>345</v>
      </c>
      <c r="P5885" s="42">
        <v>44067</v>
      </c>
      <c r="Q5885" t="s">
        <v>345</v>
      </c>
      <c r="R5885" t="s">
        <v>370</v>
      </c>
      <c r="S5885" t="s">
        <v>323</v>
      </c>
      <c r="T5885">
        <v>7.6</v>
      </c>
      <c r="W5885" t="s">
        <v>330</v>
      </c>
      <c r="Y5885" s="42">
        <v>44075</v>
      </c>
    </row>
    <row r="5886" spans="14:25">
      <c r="N5886" s="42">
        <v>44066</v>
      </c>
      <c r="O5886" t="s">
        <v>344</v>
      </c>
      <c r="P5886" s="42">
        <v>44066</v>
      </c>
      <c r="Q5886" t="s">
        <v>344</v>
      </c>
      <c r="R5886" t="s">
        <v>370</v>
      </c>
      <c r="S5886" t="s">
        <v>323</v>
      </c>
      <c r="T5886">
        <v>7.6</v>
      </c>
      <c r="W5886" t="s">
        <v>330</v>
      </c>
      <c r="Y5886" s="42">
        <v>44075</v>
      </c>
    </row>
    <row r="5887" spans="14:25">
      <c r="N5887" s="42">
        <v>44063</v>
      </c>
      <c r="O5887" t="s">
        <v>324</v>
      </c>
      <c r="P5887" s="42">
        <v>44063</v>
      </c>
      <c r="Q5887" t="s">
        <v>324</v>
      </c>
      <c r="R5887" t="s">
        <v>370</v>
      </c>
      <c r="S5887" t="s">
        <v>323</v>
      </c>
      <c r="T5887">
        <v>7.6</v>
      </c>
      <c r="W5887" t="s">
        <v>330</v>
      </c>
      <c r="Y5887" s="42">
        <v>44075</v>
      </c>
    </row>
    <row r="5888" spans="14:25">
      <c r="N5888" s="42">
        <v>44062</v>
      </c>
      <c r="O5888" t="s">
        <v>328</v>
      </c>
      <c r="P5888" s="42">
        <v>44062</v>
      </c>
      <c r="Q5888" t="s">
        <v>328</v>
      </c>
      <c r="R5888" t="s">
        <v>370</v>
      </c>
      <c r="S5888" t="s">
        <v>323</v>
      </c>
      <c r="T5888">
        <v>7.6</v>
      </c>
      <c r="W5888" t="s">
        <v>330</v>
      </c>
      <c r="Y5888" s="42">
        <v>44075</v>
      </c>
    </row>
    <row r="5889" spans="14:25">
      <c r="N5889" s="42">
        <v>44061</v>
      </c>
      <c r="O5889" t="s">
        <v>333</v>
      </c>
      <c r="P5889" s="42">
        <v>44061</v>
      </c>
      <c r="Q5889" t="s">
        <v>333</v>
      </c>
      <c r="R5889" t="s">
        <v>370</v>
      </c>
      <c r="S5889" t="s">
        <v>323</v>
      </c>
      <c r="T5889">
        <v>7.6</v>
      </c>
      <c r="W5889" t="s">
        <v>330</v>
      </c>
      <c r="Y5889" s="42">
        <v>44061</v>
      </c>
    </row>
    <row r="5890" spans="14:25">
      <c r="N5890" s="42">
        <v>44060</v>
      </c>
      <c r="O5890" t="s">
        <v>345</v>
      </c>
      <c r="P5890" s="42">
        <v>44060</v>
      </c>
      <c r="Q5890" t="s">
        <v>345</v>
      </c>
      <c r="R5890" t="s">
        <v>370</v>
      </c>
      <c r="S5890" t="s">
        <v>323</v>
      </c>
      <c r="T5890">
        <v>7.6</v>
      </c>
      <c r="W5890" t="s">
        <v>330</v>
      </c>
      <c r="Y5890" s="42">
        <v>44061</v>
      </c>
    </row>
    <row r="5891" spans="14:25">
      <c r="N5891" s="42">
        <v>44059</v>
      </c>
      <c r="O5891" t="s">
        <v>344</v>
      </c>
      <c r="P5891" s="42">
        <v>44059</v>
      </c>
      <c r="Q5891" t="s">
        <v>344</v>
      </c>
      <c r="R5891" t="s">
        <v>370</v>
      </c>
      <c r="S5891" t="s">
        <v>323</v>
      </c>
      <c r="T5891">
        <v>7.6</v>
      </c>
      <c r="W5891" t="s">
        <v>330</v>
      </c>
      <c r="Y5891" s="42">
        <v>44061</v>
      </c>
    </row>
    <row r="5892" spans="14:25">
      <c r="N5892" s="42">
        <v>44056</v>
      </c>
      <c r="O5892" t="s">
        <v>324</v>
      </c>
      <c r="P5892" s="42">
        <v>44056</v>
      </c>
      <c r="Q5892" t="s">
        <v>324</v>
      </c>
      <c r="R5892" t="s">
        <v>370</v>
      </c>
      <c r="S5892" t="s">
        <v>323</v>
      </c>
      <c r="T5892">
        <v>7.6</v>
      </c>
      <c r="W5892" t="s">
        <v>330</v>
      </c>
      <c r="Y5892" s="42">
        <v>44061</v>
      </c>
    </row>
    <row r="5893" spans="14:25">
      <c r="N5893" s="42">
        <v>44055</v>
      </c>
      <c r="O5893" t="s">
        <v>328</v>
      </c>
      <c r="P5893" s="42">
        <v>44055</v>
      </c>
      <c r="Q5893" t="s">
        <v>328</v>
      </c>
      <c r="R5893" t="s">
        <v>370</v>
      </c>
      <c r="S5893" t="s">
        <v>323</v>
      </c>
      <c r="T5893">
        <v>7.6</v>
      </c>
      <c r="W5893" t="s">
        <v>330</v>
      </c>
      <c r="Y5893" s="42">
        <v>44061</v>
      </c>
    </row>
    <row r="5894" spans="14:25">
      <c r="N5894" s="42">
        <v>44054</v>
      </c>
      <c r="O5894" t="s">
        <v>333</v>
      </c>
      <c r="P5894" s="42">
        <v>44054</v>
      </c>
      <c r="Q5894" t="s">
        <v>333</v>
      </c>
      <c r="R5894" t="s">
        <v>370</v>
      </c>
      <c r="S5894" t="s">
        <v>323</v>
      </c>
      <c r="T5894">
        <v>7.6</v>
      </c>
      <c r="W5894" t="s">
        <v>330</v>
      </c>
      <c r="Y5894" s="42">
        <v>44061</v>
      </c>
    </row>
    <row r="5895" spans="14:25">
      <c r="N5895" s="42">
        <v>44053</v>
      </c>
      <c r="O5895" t="s">
        <v>345</v>
      </c>
      <c r="P5895" s="42">
        <v>44053</v>
      </c>
      <c r="Q5895" t="s">
        <v>345</v>
      </c>
      <c r="R5895" t="s">
        <v>370</v>
      </c>
      <c r="S5895" t="s">
        <v>323</v>
      </c>
      <c r="T5895">
        <v>7.6</v>
      </c>
      <c r="W5895" t="s">
        <v>330</v>
      </c>
      <c r="Y5895" s="42">
        <v>44061</v>
      </c>
    </row>
    <row r="5896" spans="14:25">
      <c r="N5896" s="42">
        <v>44052</v>
      </c>
      <c r="O5896" t="s">
        <v>344</v>
      </c>
      <c r="P5896" s="42">
        <v>44052</v>
      </c>
      <c r="Q5896" t="s">
        <v>344</v>
      </c>
      <c r="R5896" t="s">
        <v>370</v>
      </c>
      <c r="S5896" t="s">
        <v>323</v>
      </c>
      <c r="T5896">
        <v>7.6</v>
      </c>
      <c r="W5896" t="s">
        <v>330</v>
      </c>
      <c r="Y5896" s="42">
        <v>44061</v>
      </c>
    </row>
    <row r="5897" spans="14:25">
      <c r="N5897" s="42">
        <v>44049</v>
      </c>
      <c r="O5897" t="s">
        <v>324</v>
      </c>
      <c r="P5897" s="42">
        <v>44049</v>
      </c>
      <c r="Q5897" t="s">
        <v>324</v>
      </c>
      <c r="R5897" t="s">
        <v>370</v>
      </c>
      <c r="S5897" t="s">
        <v>323</v>
      </c>
      <c r="T5897">
        <v>7.6</v>
      </c>
      <c r="W5897" t="s">
        <v>330</v>
      </c>
      <c r="Y5897" s="42">
        <v>44061</v>
      </c>
    </row>
    <row r="5898" spans="14:25">
      <c r="N5898" s="42">
        <v>44048</v>
      </c>
      <c r="O5898" t="s">
        <v>328</v>
      </c>
      <c r="P5898" s="42">
        <v>44048</v>
      </c>
      <c r="Q5898" t="s">
        <v>328</v>
      </c>
      <c r="R5898" t="s">
        <v>370</v>
      </c>
      <c r="S5898" t="s">
        <v>323</v>
      </c>
      <c r="T5898">
        <v>7.6</v>
      </c>
      <c r="W5898" t="s">
        <v>330</v>
      </c>
      <c r="Y5898" s="42">
        <v>44061</v>
      </c>
    </row>
    <row r="5899" spans="14:25">
      <c r="N5899" s="42">
        <v>44047</v>
      </c>
      <c r="O5899" t="s">
        <v>333</v>
      </c>
      <c r="P5899" s="42">
        <v>44047</v>
      </c>
      <c r="Q5899" t="s">
        <v>333</v>
      </c>
      <c r="R5899" t="s">
        <v>370</v>
      </c>
      <c r="S5899" t="s">
        <v>323</v>
      </c>
      <c r="T5899">
        <v>7.6</v>
      </c>
      <c r="W5899" t="s">
        <v>330</v>
      </c>
      <c r="Y5899" s="42">
        <v>44047</v>
      </c>
    </row>
    <row r="5900" spans="14:25">
      <c r="N5900" s="42">
        <v>44046</v>
      </c>
      <c r="O5900" t="s">
        <v>345</v>
      </c>
      <c r="P5900" s="42">
        <v>44046</v>
      </c>
      <c r="Q5900" t="s">
        <v>345</v>
      </c>
      <c r="R5900" t="s">
        <v>370</v>
      </c>
      <c r="S5900" t="s">
        <v>323</v>
      </c>
      <c r="T5900">
        <v>7.6</v>
      </c>
      <c r="W5900" t="s">
        <v>330</v>
      </c>
      <c r="Y5900" s="42">
        <v>44047</v>
      </c>
    </row>
    <row r="5901" spans="14:25">
      <c r="N5901" s="42">
        <v>44045</v>
      </c>
      <c r="O5901" t="s">
        <v>344</v>
      </c>
      <c r="P5901" s="42">
        <v>44045</v>
      </c>
      <c r="Q5901" t="s">
        <v>344</v>
      </c>
      <c r="R5901" t="s">
        <v>370</v>
      </c>
      <c r="S5901" t="s">
        <v>323</v>
      </c>
      <c r="T5901">
        <v>7.6</v>
      </c>
      <c r="W5901" t="s">
        <v>330</v>
      </c>
      <c r="Y5901" s="42">
        <v>44047</v>
      </c>
    </row>
    <row r="5902" spans="14:25">
      <c r="N5902" s="42">
        <v>44042</v>
      </c>
      <c r="O5902" t="s">
        <v>324</v>
      </c>
      <c r="P5902" s="42">
        <v>44042</v>
      </c>
      <c r="Q5902" t="s">
        <v>324</v>
      </c>
      <c r="R5902" t="s">
        <v>370</v>
      </c>
      <c r="S5902" t="s">
        <v>323</v>
      </c>
      <c r="T5902">
        <v>7.6</v>
      </c>
      <c r="W5902" t="s">
        <v>330</v>
      </c>
      <c r="Y5902" s="42">
        <v>44047</v>
      </c>
    </row>
    <row r="5903" spans="14:25">
      <c r="N5903" s="42">
        <v>44041</v>
      </c>
      <c r="O5903" t="s">
        <v>328</v>
      </c>
      <c r="P5903" s="42">
        <v>44041</v>
      </c>
      <c r="Q5903" t="s">
        <v>328</v>
      </c>
      <c r="R5903" t="s">
        <v>370</v>
      </c>
      <c r="S5903" t="s">
        <v>323</v>
      </c>
      <c r="T5903">
        <v>7.6</v>
      </c>
      <c r="W5903" t="s">
        <v>330</v>
      </c>
      <c r="Y5903" s="42">
        <v>44047</v>
      </c>
    </row>
    <row r="5904" spans="14:25">
      <c r="N5904" s="42">
        <v>44040</v>
      </c>
      <c r="O5904" t="s">
        <v>333</v>
      </c>
      <c r="P5904" s="42">
        <v>44040</v>
      </c>
      <c r="Q5904" t="s">
        <v>333</v>
      </c>
      <c r="R5904" t="s">
        <v>370</v>
      </c>
      <c r="S5904" t="s">
        <v>323</v>
      </c>
      <c r="T5904">
        <v>7.6</v>
      </c>
      <c r="W5904" t="s">
        <v>330</v>
      </c>
      <c r="Y5904" s="42">
        <v>44047</v>
      </c>
    </row>
    <row r="5905" spans="14:25">
      <c r="N5905" s="42">
        <v>44039</v>
      </c>
      <c r="O5905" t="s">
        <v>345</v>
      </c>
      <c r="P5905" s="42">
        <v>44039</v>
      </c>
      <c r="Q5905" t="s">
        <v>345</v>
      </c>
      <c r="R5905" t="s">
        <v>370</v>
      </c>
      <c r="S5905" t="s">
        <v>323</v>
      </c>
      <c r="T5905">
        <v>7.6</v>
      </c>
      <c r="W5905" t="s">
        <v>330</v>
      </c>
      <c r="Y5905" s="42">
        <v>44047</v>
      </c>
    </row>
    <row r="5906" spans="14:25">
      <c r="N5906" s="42">
        <v>44038</v>
      </c>
      <c r="O5906" t="s">
        <v>344</v>
      </c>
      <c r="P5906" s="42">
        <v>44038</v>
      </c>
      <c r="Q5906" t="s">
        <v>344</v>
      </c>
      <c r="R5906" t="s">
        <v>370</v>
      </c>
      <c r="S5906" t="s">
        <v>323</v>
      </c>
      <c r="T5906">
        <v>7.6</v>
      </c>
      <c r="W5906" t="s">
        <v>330</v>
      </c>
      <c r="Y5906" s="42">
        <v>44047</v>
      </c>
    </row>
    <row r="5907" spans="14:25">
      <c r="N5907" s="42">
        <v>44035</v>
      </c>
      <c r="O5907" t="s">
        <v>324</v>
      </c>
      <c r="P5907" s="42">
        <v>44035</v>
      </c>
      <c r="Q5907" t="s">
        <v>324</v>
      </c>
      <c r="R5907" t="s">
        <v>370</v>
      </c>
      <c r="S5907" t="s">
        <v>323</v>
      </c>
      <c r="T5907">
        <v>7.6</v>
      </c>
      <c r="W5907" t="s">
        <v>330</v>
      </c>
      <c r="Y5907" s="42">
        <v>44047</v>
      </c>
    </row>
    <row r="5908" spans="14:25">
      <c r="N5908" s="42">
        <v>44034</v>
      </c>
      <c r="O5908" t="s">
        <v>328</v>
      </c>
      <c r="P5908" s="42">
        <v>44034</v>
      </c>
      <c r="Q5908" t="s">
        <v>328</v>
      </c>
      <c r="R5908" t="s">
        <v>370</v>
      </c>
      <c r="S5908" t="s">
        <v>323</v>
      </c>
      <c r="T5908">
        <v>7.6</v>
      </c>
      <c r="W5908" t="s">
        <v>330</v>
      </c>
      <c r="Y5908" s="42">
        <v>44047</v>
      </c>
    </row>
    <row r="5909" spans="14:25">
      <c r="N5909" s="42">
        <v>44033</v>
      </c>
      <c r="O5909" t="s">
        <v>333</v>
      </c>
      <c r="P5909" s="42">
        <v>44033</v>
      </c>
      <c r="Q5909" t="s">
        <v>333</v>
      </c>
      <c r="R5909" t="s">
        <v>370</v>
      </c>
      <c r="S5909" t="s">
        <v>323</v>
      </c>
      <c r="T5909">
        <v>7.6</v>
      </c>
      <c r="W5909" t="s">
        <v>330</v>
      </c>
      <c r="Y5909" s="42">
        <v>44033</v>
      </c>
    </row>
    <row r="5910" spans="14:25">
      <c r="N5910" s="42">
        <v>44032</v>
      </c>
      <c r="O5910" t="s">
        <v>345</v>
      </c>
      <c r="P5910" s="42">
        <v>44032</v>
      </c>
      <c r="Q5910" t="s">
        <v>345</v>
      </c>
      <c r="R5910" t="s">
        <v>370</v>
      </c>
      <c r="S5910" t="s">
        <v>323</v>
      </c>
      <c r="T5910">
        <v>7.6</v>
      </c>
      <c r="W5910" t="s">
        <v>330</v>
      </c>
      <c r="Y5910" s="42">
        <v>44033</v>
      </c>
    </row>
    <row r="5911" spans="14:25">
      <c r="N5911" s="42">
        <v>44031</v>
      </c>
      <c r="O5911" t="s">
        <v>344</v>
      </c>
      <c r="P5911" s="42">
        <v>44031</v>
      </c>
      <c r="Q5911" t="s">
        <v>344</v>
      </c>
      <c r="R5911" t="s">
        <v>370</v>
      </c>
      <c r="S5911" t="s">
        <v>323</v>
      </c>
      <c r="T5911">
        <v>7.6</v>
      </c>
      <c r="W5911" t="s">
        <v>330</v>
      </c>
      <c r="Y5911" s="42">
        <v>44033</v>
      </c>
    </row>
    <row r="5912" spans="14:25">
      <c r="N5912" s="42">
        <v>44028</v>
      </c>
      <c r="O5912" t="s">
        <v>324</v>
      </c>
      <c r="P5912" s="42">
        <v>44028</v>
      </c>
      <c r="Q5912" t="s">
        <v>324</v>
      </c>
      <c r="R5912" t="s">
        <v>370</v>
      </c>
      <c r="S5912" t="s">
        <v>323</v>
      </c>
      <c r="T5912">
        <v>7.6</v>
      </c>
      <c r="W5912" t="s">
        <v>330</v>
      </c>
      <c r="Y5912" s="42">
        <v>44033</v>
      </c>
    </row>
    <row r="5913" spans="14:25">
      <c r="N5913" s="42">
        <v>44027</v>
      </c>
      <c r="O5913" t="s">
        <v>328</v>
      </c>
      <c r="P5913" s="42">
        <v>44027</v>
      </c>
      <c r="Q5913" t="s">
        <v>328</v>
      </c>
      <c r="R5913" t="s">
        <v>370</v>
      </c>
      <c r="S5913" t="s">
        <v>323</v>
      </c>
      <c r="T5913">
        <v>7.6</v>
      </c>
      <c r="W5913" t="s">
        <v>330</v>
      </c>
      <c r="Y5913" s="42">
        <v>44033</v>
      </c>
    </row>
    <row r="5914" spans="14:25">
      <c r="N5914" s="42">
        <v>44026</v>
      </c>
      <c r="O5914" t="s">
        <v>333</v>
      </c>
      <c r="P5914" s="42">
        <v>44026</v>
      </c>
      <c r="Q5914" t="s">
        <v>333</v>
      </c>
      <c r="R5914" t="s">
        <v>370</v>
      </c>
      <c r="S5914" t="s">
        <v>323</v>
      </c>
      <c r="T5914">
        <v>7.6</v>
      </c>
      <c r="W5914" t="s">
        <v>330</v>
      </c>
      <c r="Y5914" s="42">
        <v>44033</v>
      </c>
    </row>
    <row r="5915" spans="14:25">
      <c r="N5915" s="42">
        <v>44025</v>
      </c>
      <c r="O5915" t="s">
        <v>345</v>
      </c>
      <c r="P5915" s="42">
        <v>44025</v>
      </c>
      <c r="Q5915" t="s">
        <v>345</v>
      </c>
      <c r="R5915" t="s">
        <v>370</v>
      </c>
      <c r="S5915" t="s">
        <v>323</v>
      </c>
      <c r="T5915">
        <v>7.6</v>
      </c>
      <c r="W5915" t="s">
        <v>330</v>
      </c>
      <c r="Y5915" s="42">
        <v>44033</v>
      </c>
    </row>
    <row r="5916" spans="14:25">
      <c r="N5916" s="42">
        <v>44024</v>
      </c>
      <c r="O5916" t="s">
        <v>344</v>
      </c>
      <c r="P5916" s="42">
        <v>44024</v>
      </c>
      <c r="Q5916" t="s">
        <v>344</v>
      </c>
      <c r="R5916" t="s">
        <v>370</v>
      </c>
      <c r="S5916" t="s">
        <v>323</v>
      </c>
      <c r="T5916">
        <v>7.6</v>
      </c>
      <c r="W5916" t="s">
        <v>330</v>
      </c>
      <c r="Y5916" s="42">
        <v>44033</v>
      </c>
    </row>
    <row r="5917" spans="14:25">
      <c r="N5917" s="42">
        <v>44021</v>
      </c>
      <c r="O5917" t="s">
        <v>324</v>
      </c>
      <c r="P5917" s="42">
        <v>44021</v>
      </c>
      <c r="Q5917" t="s">
        <v>324</v>
      </c>
      <c r="R5917" t="s">
        <v>370</v>
      </c>
      <c r="S5917" t="s">
        <v>323</v>
      </c>
      <c r="T5917">
        <v>7.6</v>
      </c>
      <c r="W5917" t="s">
        <v>330</v>
      </c>
      <c r="Y5917" s="42">
        <v>44033</v>
      </c>
    </row>
    <row r="5918" spans="14:25">
      <c r="N5918" s="42">
        <v>44020</v>
      </c>
      <c r="O5918" t="s">
        <v>328</v>
      </c>
      <c r="P5918" s="42">
        <v>44020</v>
      </c>
      <c r="Q5918" t="s">
        <v>328</v>
      </c>
      <c r="R5918" t="s">
        <v>370</v>
      </c>
      <c r="S5918" t="s">
        <v>323</v>
      </c>
      <c r="T5918">
        <v>7.6</v>
      </c>
      <c r="W5918" t="s">
        <v>330</v>
      </c>
      <c r="Y5918" s="42">
        <v>44033</v>
      </c>
    </row>
    <row r="5919" spans="14:25">
      <c r="N5919" s="42">
        <v>44006</v>
      </c>
      <c r="O5919" t="s">
        <v>328</v>
      </c>
      <c r="P5919" s="42">
        <v>44019</v>
      </c>
      <c r="Q5919" t="s">
        <v>333</v>
      </c>
      <c r="R5919" t="s">
        <v>370</v>
      </c>
      <c r="S5919" t="s">
        <v>323</v>
      </c>
      <c r="T5919">
        <v>76</v>
      </c>
      <c r="W5919" t="s">
        <v>330</v>
      </c>
      <c r="Y5919" s="42">
        <v>44019</v>
      </c>
    </row>
    <row r="5920" spans="14:25">
      <c r="N5920" s="42">
        <v>44005</v>
      </c>
      <c r="O5920" t="s">
        <v>333</v>
      </c>
      <c r="P5920" s="42">
        <v>44005</v>
      </c>
      <c r="Q5920" t="s">
        <v>333</v>
      </c>
      <c r="R5920" t="s">
        <v>370</v>
      </c>
      <c r="S5920" t="s">
        <v>323</v>
      </c>
      <c r="T5920">
        <v>7.6</v>
      </c>
      <c r="W5920" t="s">
        <v>330</v>
      </c>
      <c r="Y5920" s="42">
        <v>44005</v>
      </c>
    </row>
    <row r="5921" spans="14:25">
      <c r="N5921" s="42">
        <v>44004</v>
      </c>
      <c r="O5921" t="s">
        <v>345</v>
      </c>
      <c r="P5921" s="42">
        <v>44004</v>
      </c>
      <c r="Q5921" t="s">
        <v>345</v>
      </c>
      <c r="R5921" t="s">
        <v>370</v>
      </c>
      <c r="S5921" t="s">
        <v>323</v>
      </c>
      <c r="T5921">
        <v>7.6</v>
      </c>
      <c r="W5921" t="s">
        <v>330</v>
      </c>
      <c r="Y5921" s="42">
        <v>44005</v>
      </c>
    </row>
    <row r="5922" spans="14:25">
      <c r="N5922" s="42">
        <v>44003</v>
      </c>
      <c r="O5922" t="s">
        <v>344</v>
      </c>
      <c r="P5922" s="42">
        <v>44003</v>
      </c>
      <c r="Q5922" t="s">
        <v>344</v>
      </c>
      <c r="R5922" t="s">
        <v>370</v>
      </c>
      <c r="S5922" t="s">
        <v>323</v>
      </c>
      <c r="T5922">
        <v>7.6</v>
      </c>
      <c r="W5922" t="s">
        <v>330</v>
      </c>
      <c r="Y5922" s="42">
        <v>44005</v>
      </c>
    </row>
    <row r="5923" spans="14:25">
      <c r="N5923" s="42">
        <v>44000</v>
      </c>
      <c r="O5923" t="s">
        <v>324</v>
      </c>
      <c r="P5923" s="42">
        <v>44000</v>
      </c>
      <c r="Q5923" t="s">
        <v>324</v>
      </c>
      <c r="R5923" t="s">
        <v>370</v>
      </c>
      <c r="S5923" t="s">
        <v>323</v>
      </c>
      <c r="T5923">
        <v>7.6</v>
      </c>
      <c r="W5923" t="s">
        <v>330</v>
      </c>
      <c r="Y5923" s="42">
        <v>44005</v>
      </c>
    </row>
    <row r="5924" spans="14:25">
      <c r="N5924" s="42">
        <v>43999</v>
      </c>
      <c r="O5924" t="s">
        <v>328</v>
      </c>
      <c r="P5924" s="42">
        <v>43999</v>
      </c>
      <c r="Q5924" t="s">
        <v>328</v>
      </c>
      <c r="R5924" t="s">
        <v>370</v>
      </c>
      <c r="S5924" t="s">
        <v>323</v>
      </c>
      <c r="T5924">
        <v>7.6</v>
      </c>
      <c r="W5924" t="s">
        <v>330</v>
      </c>
      <c r="Y5924" s="42">
        <v>44005</v>
      </c>
    </row>
    <row r="5925" spans="14:25">
      <c r="N5925" s="42">
        <v>43998</v>
      </c>
      <c r="O5925" t="s">
        <v>333</v>
      </c>
      <c r="P5925" s="42">
        <v>43998</v>
      </c>
      <c r="Q5925" t="s">
        <v>333</v>
      </c>
      <c r="R5925" t="s">
        <v>370</v>
      </c>
      <c r="S5925" t="s">
        <v>323</v>
      </c>
      <c r="T5925">
        <v>7.6</v>
      </c>
      <c r="W5925" t="s">
        <v>330</v>
      </c>
      <c r="Y5925" s="42">
        <v>44005</v>
      </c>
    </row>
    <row r="5926" spans="14:25">
      <c r="N5926" s="42">
        <v>43997</v>
      </c>
      <c r="O5926" t="s">
        <v>345</v>
      </c>
      <c r="P5926" s="42">
        <v>43997</v>
      </c>
      <c r="Q5926" t="s">
        <v>345</v>
      </c>
      <c r="R5926" t="s">
        <v>370</v>
      </c>
      <c r="S5926" t="s">
        <v>323</v>
      </c>
      <c r="T5926">
        <v>7.6</v>
      </c>
      <c r="W5926" t="s">
        <v>330</v>
      </c>
      <c r="Y5926" s="42">
        <v>44005</v>
      </c>
    </row>
    <row r="5927" spans="14:25">
      <c r="N5927" s="42">
        <v>43996</v>
      </c>
      <c r="O5927" t="s">
        <v>344</v>
      </c>
      <c r="P5927" s="42">
        <v>43996</v>
      </c>
      <c r="Q5927" t="s">
        <v>344</v>
      </c>
      <c r="R5927" t="s">
        <v>370</v>
      </c>
      <c r="S5927" t="s">
        <v>323</v>
      </c>
      <c r="T5927">
        <v>7.6</v>
      </c>
      <c r="W5927" t="s">
        <v>330</v>
      </c>
      <c r="Y5927" s="42">
        <v>44005</v>
      </c>
    </row>
    <row r="5928" spans="14:25">
      <c r="N5928" s="42">
        <v>43993</v>
      </c>
      <c r="O5928" t="s">
        <v>324</v>
      </c>
      <c r="P5928" s="42">
        <v>43993</v>
      </c>
      <c r="Q5928" t="s">
        <v>324</v>
      </c>
      <c r="R5928" t="s">
        <v>370</v>
      </c>
      <c r="S5928" t="s">
        <v>323</v>
      </c>
      <c r="T5928">
        <v>7.6</v>
      </c>
      <c r="W5928" t="s">
        <v>330</v>
      </c>
      <c r="Y5928" s="42">
        <v>44005</v>
      </c>
    </row>
    <row r="5929" spans="14:25">
      <c r="N5929" s="42">
        <v>43992</v>
      </c>
      <c r="O5929" t="s">
        <v>328</v>
      </c>
      <c r="P5929" s="42">
        <v>43992</v>
      </c>
      <c r="Q5929" t="s">
        <v>328</v>
      </c>
      <c r="R5929" t="s">
        <v>370</v>
      </c>
      <c r="S5929" t="s">
        <v>323</v>
      </c>
      <c r="T5929">
        <v>7.6</v>
      </c>
      <c r="W5929" t="s">
        <v>330</v>
      </c>
      <c r="Y5929" s="42">
        <v>44005</v>
      </c>
    </row>
    <row r="5930" spans="14:25">
      <c r="N5930" s="42">
        <v>43991</v>
      </c>
      <c r="O5930" t="s">
        <v>333</v>
      </c>
      <c r="P5930" s="42">
        <v>43991</v>
      </c>
      <c r="Q5930" t="s">
        <v>333</v>
      </c>
      <c r="R5930" t="s">
        <v>370</v>
      </c>
      <c r="S5930" t="s">
        <v>323</v>
      </c>
      <c r="T5930">
        <v>7.6</v>
      </c>
      <c r="W5930" t="s">
        <v>330</v>
      </c>
      <c r="Y5930" s="42">
        <v>43991</v>
      </c>
    </row>
    <row r="5931" spans="14:25">
      <c r="N5931" s="42">
        <v>43989</v>
      </c>
      <c r="O5931" t="s">
        <v>344</v>
      </c>
      <c r="P5931" s="42">
        <v>43989</v>
      </c>
      <c r="Q5931" t="s">
        <v>344</v>
      </c>
      <c r="R5931" t="s">
        <v>370</v>
      </c>
      <c r="S5931" t="s">
        <v>323</v>
      </c>
      <c r="T5931">
        <v>7.6</v>
      </c>
      <c r="W5931" t="s">
        <v>330</v>
      </c>
      <c r="Y5931" s="42">
        <v>43991</v>
      </c>
    </row>
    <row r="5932" spans="14:25">
      <c r="N5932" s="42">
        <v>43986</v>
      </c>
      <c r="O5932" t="s">
        <v>324</v>
      </c>
      <c r="P5932" s="42">
        <v>43986</v>
      </c>
      <c r="Q5932" t="s">
        <v>324</v>
      </c>
      <c r="R5932" t="s">
        <v>370</v>
      </c>
      <c r="S5932" t="s">
        <v>323</v>
      </c>
      <c r="T5932">
        <v>7.6</v>
      </c>
      <c r="W5932" t="s">
        <v>330</v>
      </c>
      <c r="Y5932" s="42">
        <v>43991</v>
      </c>
    </row>
    <row r="5933" spans="14:25">
      <c r="N5933" s="42">
        <v>43985</v>
      </c>
      <c r="O5933" t="s">
        <v>328</v>
      </c>
      <c r="P5933" s="42">
        <v>43985</v>
      </c>
      <c r="Q5933" t="s">
        <v>328</v>
      </c>
      <c r="R5933" t="s">
        <v>370</v>
      </c>
      <c r="S5933" t="s">
        <v>323</v>
      </c>
      <c r="T5933">
        <v>7.6</v>
      </c>
      <c r="W5933" t="s">
        <v>330</v>
      </c>
      <c r="Y5933" s="42">
        <v>43991</v>
      </c>
    </row>
    <row r="5934" spans="14:25">
      <c r="N5934" s="42">
        <v>43984</v>
      </c>
      <c r="O5934" t="s">
        <v>333</v>
      </c>
      <c r="P5934" s="42">
        <v>43984</v>
      </c>
      <c r="Q5934" t="s">
        <v>333</v>
      </c>
      <c r="R5934" t="s">
        <v>370</v>
      </c>
      <c r="S5934" t="s">
        <v>323</v>
      </c>
      <c r="T5934">
        <v>7.6</v>
      </c>
      <c r="W5934" t="s">
        <v>330</v>
      </c>
      <c r="Y5934" s="42">
        <v>43991</v>
      </c>
    </row>
    <row r="5935" spans="14:25">
      <c r="N5935" s="42">
        <v>43983</v>
      </c>
      <c r="O5935" t="s">
        <v>345</v>
      </c>
      <c r="P5935" s="42">
        <v>43983</v>
      </c>
      <c r="Q5935" t="s">
        <v>345</v>
      </c>
      <c r="R5935" t="s">
        <v>370</v>
      </c>
      <c r="S5935" t="s">
        <v>323</v>
      </c>
      <c r="T5935">
        <v>7.6</v>
      </c>
      <c r="W5935" t="s">
        <v>330</v>
      </c>
      <c r="Y5935" s="42">
        <v>43991</v>
      </c>
    </row>
    <row r="5936" spans="14:25">
      <c r="N5936" s="42">
        <v>43982</v>
      </c>
      <c r="O5936" t="s">
        <v>344</v>
      </c>
      <c r="P5936" s="42">
        <v>43982</v>
      </c>
      <c r="Q5936" t="s">
        <v>344</v>
      </c>
      <c r="R5936" t="s">
        <v>370</v>
      </c>
      <c r="S5936" t="s">
        <v>323</v>
      </c>
      <c r="T5936">
        <v>7.6</v>
      </c>
      <c r="W5936" t="s">
        <v>330</v>
      </c>
      <c r="Y5936" s="42">
        <v>43991</v>
      </c>
    </row>
    <row r="5937" spans="14:25">
      <c r="N5937" s="42">
        <v>43979</v>
      </c>
      <c r="O5937" t="s">
        <v>324</v>
      </c>
      <c r="P5937" s="42">
        <v>43979</v>
      </c>
      <c r="Q5937" t="s">
        <v>324</v>
      </c>
      <c r="R5937" t="s">
        <v>370</v>
      </c>
      <c r="S5937" t="s">
        <v>323</v>
      </c>
      <c r="T5937">
        <v>7.6</v>
      </c>
      <c r="W5937" t="s">
        <v>330</v>
      </c>
      <c r="Y5937" s="42">
        <v>43991</v>
      </c>
    </row>
    <row r="5938" spans="14:25">
      <c r="N5938" s="42">
        <v>43978</v>
      </c>
      <c r="O5938" t="s">
        <v>328</v>
      </c>
      <c r="P5938" s="42">
        <v>43978</v>
      </c>
      <c r="Q5938" t="s">
        <v>328</v>
      </c>
      <c r="R5938" t="s">
        <v>370</v>
      </c>
      <c r="S5938" t="s">
        <v>323</v>
      </c>
      <c r="T5938">
        <v>7.6</v>
      </c>
      <c r="W5938" t="s">
        <v>330</v>
      </c>
      <c r="Y5938" s="42">
        <v>43991</v>
      </c>
    </row>
    <row r="5939" spans="14:25">
      <c r="N5939" s="42">
        <v>43964</v>
      </c>
      <c r="O5939" t="s">
        <v>328</v>
      </c>
      <c r="P5939" s="42">
        <v>43977</v>
      </c>
      <c r="Q5939" t="s">
        <v>333</v>
      </c>
      <c r="R5939" t="s">
        <v>370</v>
      </c>
      <c r="S5939" t="s">
        <v>323</v>
      </c>
      <c r="T5939">
        <v>76</v>
      </c>
      <c r="W5939" t="s">
        <v>330</v>
      </c>
      <c r="Y5939" s="42">
        <v>43977</v>
      </c>
    </row>
    <row r="5940" spans="14:25">
      <c r="N5940" s="42">
        <v>43963</v>
      </c>
      <c r="O5940" t="s">
        <v>333</v>
      </c>
      <c r="P5940" s="42">
        <v>43963</v>
      </c>
      <c r="Q5940" t="s">
        <v>333</v>
      </c>
      <c r="R5940" t="s">
        <v>370</v>
      </c>
      <c r="S5940" t="s">
        <v>323</v>
      </c>
      <c r="T5940">
        <v>7.6</v>
      </c>
      <c r="W5940" t="s">
        <v>330</v>
      </c>
      <c r="Y5940" s="42">
        <v>43963</v>
      </c>
    </row>
    <row r="5941" spans="14:25">
      <c r="N5941" s="42">
        <v>43962</v>
      </c>
      <c r="O5941" t="s">
        <v>345</v>
      </c>
      <c r="P5941" s="42">
        <v>43962</v>
      </c>
      <c r="Q5941" t="s">
        <v>345</v>
      </c>
      <c r="R5941" t="s">
        <v>370</v>
      </c>
      <c r="S5941" t="s">
        <v>323</v>
      </c>
      <c r="T5941">
        <v>7.6</v>
      </c>
      <c r="W5941" t="s">
        <v>330</v>
      </c>
      <c r="Y5941" s="42">
        <v>43963</v>
      </c>
    </row>
    <row r="5942" spans="14:25">
      <c r="N5942" s="42">
        <v>43961</v>
      </c>
      <c r="O5942" t="s">
        <v>344</v>
      </c>
      <c r="P5942" s="42">
        <v>43961</v>
      </c>
      <c r="Q5942" t="s">
        <v>344</v>
      </c>
      <c r="R5942" t="s">
        <v>370</v>
      </c>
      <c r="S5942" t="s">
        <v>323</v>
      </c>
      <c r="T5942">
        <v>7.6</v>
      </c>
      <c r="W5942" t="s">
        <v>330</v>
      </c>
      <c r="Y5942" s="42">
        <v>43963</v>
      </c>
    </row>
    <row r="5943" spans="14:25">
      <c r="N5943" s="42">
        <v>43955</v>
      </c>
      <c r="O5943" t="s">
        <v>345</v>
      </c>
      <c r="P5943" s="42">
        <v>43955</v>
      </c>
      <c r="Q5943" t="s">
        <v>345</v>
      </c>
      <c r="R5943" t="s">
        <v>320</v>
      </c>
      <c r="S5943" t="s">
        <v>323</v>
      </c>
      <c r="T5943">
        <v>7.6</v>
      </c>
      <c r="Y5943" s="42">
        <v>43963</v>
      </c>
    </row>
    <row r="5944" spans="14:25">
      <c r="N5944" s="42">
        <v>43954</v>
      </c>
      <c r="O5944" t="s">
        <v>344</v>
      </c>
      <c r="P5944" s="42">
        <v>43954</v>
      </c>
      <c r="Q5944" t="s">
        <v>344</v>
      </c>
      <c r="R5944" t="s">
        <v>320</v>
      </c>
      <c r="S5944" t="s">
        <v>323</v>
      </c>
      <c r="T5944">
        <v>7.6</v>
      </c>
      <c r="Y5944" s="42">
        <v>43963</v>
      </c>
    </row>
    <row r="5945" spans="14:25">
      <c r="N5945" s="42">
        <v>43947</v>
      </c>
      <c r="O5945" t="s">
        <v>344</v>
      </c>
      <c r="P5945" s="42">
        <v>43947</v>
      </c>
      <c r="Q5945" t="s">
        <v>344</v>
      </c>
      <c r="R5945" t="s">
        <v>320</v>
      </c>
      <c r="S5945" t="s">
        <v>323</v>
      </c>
      <c r="T5945">
        <v>7.6</v>
      </c>
      <c r="Y5945" s="42">
        <v>43949</v>
      </c>
    </row>
    <row r="5946" spans="14:25">
      <c r="N5946" s="42">
        <v>43943</v>
      </c>
      <c r="O5946" t="s">
        <v>328</v>
      </c>
      <c r="P5946" s="42">
        <v>43943</v>
      </c>
      <c r="Q5946" t="s">
        <v>328</v>
      </c>
      <c r="R5946" t="s">
        <v>320</v>
      </c>
      <c r="S5946" t="s">
        <v>323</v>
      </c>
      <c r="T5946">
        <v>7.6</v>
      </c>
      <c r="Y5946" s="42">
        <v>43949</v>
      </c>
    </row>
    <row r="5947" spans="14:25">
      <c r="N5947" s="42">
        <v>43940</v>
      </c>
      <c r="O5947" t="s">
        <v>344</v>
      </c>
      <c r="P5947" s="42">
        <v>43940</v>
      </c>
      <c r="Q5947" t="s">
        <v>344</v>
      </c>
      <c r="R5947" t="s">
        <v>320</v>
      </c>
      <c r="S5947" t="s">
        <v>323</v>
      </c>
      <c r="T5947">
        <v>7.6</v>
      </c>
      <c r="Y5947" s="42">
        <v>43949</v>
      </c>
    </row>
    <row r="5948" spans="14:25">
      <c r="N5948" s="42">
        <v>43935</v>
      </c>
      <c r="O5948" t="s">
        <v>333</v>
      </c>
      <c r="P5948" s="42">
        <v>43935</v>
      </c>
      <c r="Q5948" t="s">
        <v>333</v>
      </c>
      <c r="R5948" t="s">
        <v>320</v>
      </c>
      <c r="S5948" t="s">
        <v>323</v>
      </c>
      <c r="T5948">
        <v>7.6</v>
      </c>
      <c r="Y5948" s="42">
        <v>43935</v>
      </c>
    </row>
    <row r="5949" spans="14:25">
      <c r="N5949" s="42">
        <v>43928</v>
      </c>
      <c r="O5949" t="s">
        <v>333</v>
      </c>
      <c r="P5949" s="42">
        <v>43928</v>
      </c>
      <c r="Q5949" t="s">
        <v>333</v>
      </c>
      <c r="R5949" t="s">
        <v>320</v>
      </c>
      <c r="S5949" t="s">
        <v>323</v>
      </c>
      <c r="T5949">
        <v>7.6</v>
      </c>
      <c r="Y5949" s="42">
        <v>43935</v>
      </c>
    </row>
    <row r="5950" spans="14:25">
      <c r="N5950" s="42">
        <v>43914</v>
      </c>
      <c r="O5950" t="s">
        <v>333</v>
      </c>
      <c r="P5950" s="42">
        <v>43914</v>
      </c>
      <c r="Q5950" t="s">
        <v>333</v>
      </c>
      <c r="R5950" t="s">
        <v>320</v>
      </c>
      <c r="S5950" t="s">
        <v>323</v>
      </c>
      <c r="T5950">
        <v>7.6</v>
      </c>
      <c r="Y5950" s="42">
        <v>43921</v>
      </c>
    </row>
    <row r="5951" spans="14:25">
      <c r="N5951" s="42">
        <v>43913</v>
      </c>
      <c r="O5951" t="s">
        <v>345</v>
      </c>
      <c r="P5951" s="42">
        <v>43913</v>
      </c>
      <c r="Q5951" t="s">
        <v>345</v>
      </c>
      <c r="R5951" t="s">
        <v>320</v>
      </c>
      <c r="S5951" t="s">
        <v>323</v>
      </c>
      <c r="T5951">
        <v>7.6</v>
      </c>
      <c r="Y5951" s="42">
        <v>43921</v>
      </c>
    </row>
    <row r="5952" spans="14:25">
      <c r="N5952" s="42">
        <v>43902</v>
      </c>
      <c r="O5952" t="s">
        <v>324</v>
      </c>
      <c r="P5952" s="42">
        <v>43902</v>
      </c>
      <c r="Q5952" t="s">
        <v>324</v>
      </c>
      <c r="R5952" t="s">
        <v>329</v>
      </c>
      <c r="S5952" t="s">
        <v>323</v>
      </c>
      <c r="T5952">
        <v>7.6</v>
      </c>
      <c r="W5952" t="s">
        <v>330</v>
      </c>
      <c r="Y5952" s="42">
        <v>43907</v>
      </c>
    </row>
    <row r="5953" spans="14:25">
      <c r="N5953" s="42">
        <v>43885</v>
      </c>
      <c r="O5953" t="s">
        <v>345</v>
      </c>
      <c r="P5953" s="42">
        <v>43885</v>
      </c>
      <c r="Q5953" t="s">
        <v>345</v>
      </c>
      <c r="R5953" t="s">
        <v>329</v>
      </c>
      <c r="S5953" t="s">
        <v>323</v>
      </c>
      <c r="T5953">
        <v>1.23</v>
      </c>
      <c r="W5953" t="s">
        <v>330</v>
      </c>
      <c r="Y5953" s="42">
        <v>43893</v>
      </c>
    </row>
    <row r="5954" spans="14:25">
      <c r="N5954" s="42">
        <v>43850</v>
      </c>
      <c r="O5954" t="s">
        <v>345</v>
      </c>
      <c r="P5954" s="42">
        <v>43850</v>
      </c>
      <c r="Q5954" t="s">
        <v>345</v>
      </c>
      <c r="R5954" t="s">
        <v>320</v>
      </c>
      <c r="S5954" t="s">
        <v>323</v>
      </c>
      <c r="T5954">
        <v>7.6</v>
      </c>
      <c r="Y5954" s="42">
        <v>43851</v>
      </c>
    </row>
    <row r="5955" spans="14:25">
      <c r="N5955" s="42">
        <v>43837</v>
      </c>
      <c r="O5955" t="s">
        <v>333</v>
      </c>
      <c r="P5955" s="42">
        <v>43837</v>
      </c>
      <c r="Q5955" t="s">
        <v>333</v>
      </c>
      <c r="R5955" t="s">
        <v>329</v>
      </c>
      <c r="S5955" t="s">
        <v>323</v>
      </c>
      <c r="T5955">
        <v>7.6</v>
      </c>
      <c r="W5955" t="s">
        <v>330</v>
      </c>
      <c r="Y5955" s="42">
        <v>43837</v>
      </c>
    </row>
    <row r="5956" spans="14:25">
      <c r="N5956" s="42">
        <v>43829</v>
      </c>
      <c r="O5956" t="s">
        <v>345</v>
      </c>
      <c r="P5956" s="42">
        <v>43829</v>
      </c>
      <c r="Q5956" t="s">
        <v>345</v>
      </c>
      <c r="R5956" t="s">
        <v>329</v>
      </c>
      <c r="S5956" t="s">
        <v>323</v>
      </c>
      <c r="T5956">
        <v>7.6</v>
      </c>
      <c r="W5956" t="s">
        <v>330</v>
      </c>
      <c r="Y5956" s="42">
        <v>43837</v>
      </c>
    </row>
    <row r="5957" spans="14:25">
      <c r="N5957" s="42">
        <v>43800</v>
      </c>
      <c r="O5957" t="s">
        <v>344</v>
      </c>
      <c r="P5957" s="42">
        <v>43800</v>
      </c>
      <c r="Q5957" t="s">
        <v>344</v>
      </c>
      <c r="R5957" t="s">
        <v>329</v>
      </c>
      <c r="S5957" t="s">
        <v>323</v>
      </c>
      <c r="T5957">
        <v>7.6</v>
      </c>
      <c r="W5957" t="s">
        <v>330</v>
      </c>
      <c r="Y5957" s="42">
        <v>43809</v>
      </c>
    </row>
    <row r="5958" spans="14:25">
      <c r="N5958" s="42">
        <v>43781</v>
      </c>
      <c r="O5958" t="s">
        <v>333</v>
      </c>
      <c r="P5958" s="42">
        <v>43781</v>
      </c>
      <c r="Q5958" t="s">
        <v>333</v>
      </c>
      <c r="R5958" t="s">
        <v>329</v>
      </c>
      <c r="S5958" t="s">
        <v>323</v>
      </c>
      <c r="T5958">
        <v>7.6</v>
      </c>
      <c r="W5958" t="s">
        <v>330</v>
      </c>
      <c r="Y5958" s="42">
        <v>43781</v>
      </c>
    </row>
    <row r="5959" spans="14:25">
      <c r="N5959" s="42">
        <v>43769</v>
      </c>
      <c r="O5959" t="s">
        <v>324</v>
      </c>
      <c r="P5959" s="42">
        <v>43769</v>
      </c>
      <c r="Q5959" t="s">
        <v>324</v>
      </c>
      <c r="R5959" t="s">
        <v>320</v>
      </c>
      <c r="S5959" t="s">
        <v>323</v>
      </c>
      <c r="T5959">
        <v>7.6</v>
      </c>
      <c r="Y5959" s="42">
        <v>43781</v>
      </c>
    </row>
    <row r="5960" spans="14:25">
      <c r="N5960" s="42">
        <v>43761</v>
      </c>
      <c r="O5960" t="s">
        <v>328</v>
      </c>
      <c r="P5960" s="42">
        <v>43761</v>
      </c>
      <c r="Q5960" t="s">
        <v>328</v>
      </c>
      <c r="R5960" t="s">
        <v>320</v>
      </c>
      <c r="S5960" t="s">
        <v>323</v>
      </c>
      <c r="T5960">
        <v>7.6</v>
      </c>
      <c r="Y5960" s="42">
        <v>43767</v>
      </c>
    </row>
    <row r="5961" spans="14:25">
      <c r="N5961" s="42">
        <v>43760</v>
      </c>
      <c r="O5961" t="s">
        <v>333</v>
      </c>
      <c r="P5961" s="42">
        <v>43760</v>
      </c>
      <c r="Q5961" t="s">
        <v>333</v>
      </c>
      <c r="R5961" t="s">
        <v>320</v>
      </c>
      <c r="S5961" t="s">
        <v>323</v>
      </c>
      <c r="T5961">
        <v>7.6</v>
      </c>
      <c r="Y5961" s="42">
        <v>43767</v>
      </c>
    </row>
    <row r="5962" spans="14:25">
      <c r="N5962" s="42">
        <v>43755</v>
      </c>
      <c r="O5962" t="s">
        <v>324</v>
      </c>
      <c r="P5962" s="42">
        <v>43755</v>
      </c>
      <c r="Q5962" t="s">
        <v>324</v>
      </c>
      <c r="R5962" t="s">
        <v>320</v>
      </c>
      <c r="S5962" t="s">
        <v>323</v>
      </c>
      <c r="T5962">
        <v>7.6</v>
      </c>
      <c r="Y5962" s="42">
        <v>43767</v>
      </c>
    </row>
    <row r="5963" spans="14:25">
      <c r="N5963" s="42">
        <v>43754</v>
      </c>
      <c r="O5963" t="s">
        <v>328</v>
      </c>
      <c r="P5963" s="42">
        <v>43754</v>
      </c>
      <c r="Q5963" t="s">
        <v>328</v>
      </c>
      <c r="R5963" t="s">
        <v>320</v>
      </c>
      <c r="S5963" t="s">
        <v>323</v>
      </c>
      <c r="T5963">
        <v>7.6</v>
      </c>
      <c r="Y5963" s="42">
        <v>43767</v>
      </c>
    </row>
    <row r="5964" spans="14:25">
      <c r="N5964" s="42">
        <v>43753</v>
      </c>
      <c r="O5964" t="s">
        <v>333</v>
      </c>
      <c r="P5964" s="42">
        <v>43753</v>
      </c>
      <c r="Q5964" t="s">
        <v>333</v>
      </c>
      <c r="R5964" t="s">
        <v>320</v>
      </c>
      <c r="S5964" t="s">
        <v>323</v>
      </c>
      <c r="T5964">
        <v>7.6</v>
      </c>
      <c r="Y5964" s="42">
        <v>43753</v>
      </c>
    </row>
    <row r="5965" spans="14:25">
      <c r="N5965" s="42">
        <v>43752</v>
      </c>
      <c r="O5965" t="s">
        <v>345</v>
      </c>
      <c r="P5965" s="42">
        <v>43752</v>
      </c>
      <c r="Q5965" t="s">
        <v>345</v>
      </c>
      <c r="R5965" t="s">
        <v>320</v>
      </c>
      <c r="S5965" t="s">
        <v>323</v>
      </c>
      <c r="T5965">
        <v>7.6</v>
      </c>
      <c r="Y5965" s="42">
        <v>43753</v>
      </c>
    </row>
    <row r="5966" spans="14:25">
      <c r="N5966" s="42">
        <v>43751</v>
      </c>
      <c r="O5966" t="s">
        <v>344</v>
      </c>
      <c r="P5966" s="42">
        <v>43751</v>
      </c>
      <c r="Q5966" t="s">
        <v>344</v>
      </c>
      <c r="R5966" t="s">
        <v>320</v>
      </c>
      <c r="S5966" t="s">
        <v>323</v>
      </c>
      <c r="T5966">
        <v>7.6</v>
      </c>
      <c r="Y5966" s="42">
        <v>43753</v>
      </c>
    </row>
    <row r="5967" spans="14:25">
      <c r="N5967" s="42">
        <v>43748</v>
      </c>
      <c r="O5967" t="s">
        <v>324</v>
      </c>
      <c r="P5967" s="42">
        <v>43748</v>
      </c>
      <c r="Q5967" t="s">
        <v>324</v>
      </c>
      <c r="R5967" t="s">
        <v>320</v>
      </c>
      <c r="S5967" t="s">
        <v>323</v>
      </c>
      <c r="T5967">
        <v>7.6</v>
      </c>
      <c r="Y5967" s="42">
        <v>43753</v>
      </c>
    </row>
    <row r="5968" spans="14:25">
      <c r="N5968" s="42">
        <v>43747</v>
      </c>
      <c r="O5968" t="s">
        <v>328</v>
      </c>
      <c r="P5968" s="42">
        <v>43747</v>
      </c>
      <c r="Q5968" t="s">
        <v>328</v>
      </c>
      <c r="R5968" t="s">
        <v>320</v>
      </c>
      <c r="S5968" t="s">
        <v>323</v>
      </c>
      <c r="T5968">
        <v>7.6</v>
      </c>
      <c r="Y5968" s="42">
        <v>43753</v>
      </c>
    </row>
    <row r="5969" spans="1:25">
      <c r="N5969" s="42">
        <v>43746</v>
      </c>
      <c r="O5969" t="s">
        <v>333</v>
      </c>
      <c r="P5969" s="42">
        <v>43746</v>
      </c>
      <c r="Q5969" t="s">
        <v>333</v>
      </c>
      <c r="R5969" t="s">
        <v>320</v>
      </c>
      <c r="S5969" t="s">
        <v>323</v>
      </c>
      <c r="T5969">
        <v>7.6</v>
      </c>
      <c r="Y5969" s="42">
        <v>43753</v>
      </c>
    </row>
    <row r="5970" spans="1:25">
      <c r="N5970" s="42">
        <v>43745</v>
      </c>
      <c r="O5970" t="s">
        <v>345</v>
      </c>
      <c r="P5970" s="42">
        <v>43745</v>
      </c>
      <c r="Q5970" t="s">
        <v>345</v>
      </c>
      <c r="R5970" t="s">
        <v>320</v>
      </c>
      <c r="S5970" t="s">
        <v>323</v>
      </c>
      <c r="T5970">
        <v>7.6</v>
      </c>
      <c r="Y5970" s="42">
        <v>43753</v>
      </c>
    </row>
    <row r="5971" spans="1:25">
      <c r="N5971" s="42">
        <v>43744</v>
      </c>
      <c r="O5971" t="s">
        <v>344</v>
      </c>
      <c r="P5971" s="42">
        <v>43744</v>
      </c>
      <c r="Q5971" t="s">
        <v>344</v>
      </c>
      <c r="R5971" t="s">
        <v>320</v>
      </c>
      <c r="S5971" t="s">
        <v>323</v>
      </c>
      <c r="T5971">
        <v>7.6</v>
      </c>
      <c r="Y5971" s="42">
        <v>43753</v>
      </c>
    </row>
    <row r="5972" spans="1:25">
      <c r="N5972" s="42">
        <v>43741</v>
      </c>
      <c r="O5972" t="s">
        <v>324</v>
      </c>
      <c r="P5972" s="42">
        <v>43741</v>
      </c>
      <c r="Q5972" t="s">
        <v>324</v>
      </c>
      <c r="R5972" t="s">
        <v>320</v>
      </c>
      <c r="S5972" t="s">
        <v>323</v>
      </c>
      <c r="T5972">
        <v>7.6</v>
      </c>
      <c r="Y5972" s="42">
        <v>43753</v>
      </c>
    </row>
    <row r="5973" spans="1:25">
      <c r="N5973" s="42">
        <v>43740</v>
      </c>
      <c r="O5973" t="s">
        <v>328</v>
      </c>
      <c r="P5973" s="42">
        <v>43740</v>
      </c>
      <c r="Q5973" t="s">
        <v>328</v>
      </c>
      <c r="R5973" t="s">
        <v>320</v>
      </c>
      <c r="S5973" t="s">
        <v>323</v>
      </c>
      <c r="T5973">
        <v>7.6</v>
      </c>
      <c r="Y5973" s="42">
        <v>43753</v>
      </c>
    </row>
    <row r="5974" spans="1:25">
      <c r="N5974" s="42">
        <v>43730</v>
      </c>
      <c r="O5974" t="s">
        <v>344</v>
      </c>
      <c r="P5974" s="42">
        <v>43739</v>
      </c>
      <c r="Q5974" t="s">
        <v>333</v>
      </c>
      <c r="R5974" t="s">
        <v>320</v>
      </c>
      <c r="S5974" t="s">
        <v>323</v>
      </c>
      <c r="T5974">
        <v>60.8</v>
      </c>
      <c r="Y5974" s="42">
        <v>43739</v>
      </c>
    </row>
    <row r="5975" spans="1:25">
      <c r="N5975" s="42">
        <v>43727</v>
      </c>
      <c r="O5975" t="s">
        <v>324</v>
      </c>
      <c r="P5975" s="42">
        <v>43727</v>
      </c>
      <c r="Q5975" t="s">
        <v>324</v>
      </c>
      <c r="R5975" t="s">
        <v>329</v>
      </c>
      <c r="S5975" t="s">
        <v>323</v>
      </c>
      <c r="T5975">
        <v>3.5</v>
      </c>
      <c r="W5975" t="s">
        <v>330</v>
      </c>
      <c r="Y5975" s="42">
        <v>43739</v>
      </c>
    </row>
    <row r="5976" spans="1:25">
      <c r="N5976" s="42">
        <v>43699</v>
      </c>
      <c r="O5976" t="s">
        <v>324</v>
      </c>
      <c r="P5976" s="42">
        <v>43699</v>
      </c>
      <c r="Q5976" t="s">
        <v>324</v>
      </c>
      <c r="R5976" t="s">
        <v>329</v>
      </c>
      <c r="S5976" t="s">
        <v>323</v>
      </c>
      <c r="T5976">
        <v>4.5</v>
      </c>
      <c r="W5976" t="s">
        <v>330</v>
      </c>
      <c r="Y5976" s="42">
        <v>43711</v>
      </c>
    </row>
    <row r="5977" spans="1:25">
      <c r="N5977" s="42">
        <v>43698</v>
      </c>
      <c r="O5977" t="s">
        <v>328</v>
      </c>
      <c r="P5977" s="42">
        <v>43698</v>
      </c>
      <c r="Q5977" t="s">
        <v>328</v>
      </c>
      <c r="R5977" t="s">
        <v>329</v>
      </c>
      <c r="S5977" t="s">
        <v>323</v>
      </c>
      <c r="T5977">
        <v>7.6</v>
      </c>
      <c r="W5977" t="s">
        <v>330</v>
      </c>
      <c r="Y5977" s="42">
        <v>43711</v>
      </c>
    </row>
    <row r="5978" spans="1:25">
      <c r="N5978" s="42">
        <v>43669</v>
      </c>
      <c r="O5978" t="s">
        <v>333</v>
      </c>
      <c r="P5978" s="42">
        <v>43669</v>
      </c>
      <c r="Q5978" t="s">
        <v>333</v>
      </c>
      <c r="R5978" t="s">
        <v>329</v>
      </c>
      <c r="S5978" t="s">
        <v>323</v>
      </c>
      <c r="T5978">
        <v>7.6</v>
      </c>
      <c r="W5978" t="s">
        <v>330</v>
      </c>
      <c r="Y5978" s="42">
        <v>43669</v>
      </c>
    </row>
    <row r="5979" spans="1:25">
      <c r="N5979" s="42">
        <v>43655</v>
      </c>
      <c r="O5979" t="s">
        <v>333</v>
      </c>
      <c r="P5979" s="42">
        <v>43655</v>
      </c>
      <c r="Q5979" t="s">
        <v>333</v>
      </c>
      <c r="R5979" t="s">
        <v>329</v>
      </c>
      <c r="S5979" t="s">
        <v>323</v>
      </c>
      <c r="T5979">
        <v>7.6</v>
      </c>
      <c r="W5979" t="s">
        <v>330</v>
      </c>
      <c r="Y5979" s="42">
        <v>43655</v>
      </c>
    </row>
    <row r="5980" spans="1:25">
      <c r="A5980">
        <v>18829</v>
      </c>
      <c r="B5980" t="s">
        <v>416</v>
      </c>
      <c r="C5980" t="s">
        <v>320</v>
      </c>
      <c r="D5980" t="s">
        <v>336</v>
      </c>
      <c r="E5980" t="s">
        <v>337</v>
      </c>
      <c r="F5980">
        <v>1</v>
      </c>
      <c r="G5980" s="42">
        <v>45081</v>
      </c>
      <c r="H5980">
        <v>152</v>
      </c>
      <c r="I5980">
        <v>60.799799999999998</v>
      </c>
      <c r="J5980">
        <v>113.68770000000001</v>
      </c>
      <c r="K5980">
        <v>174.48750000000001</v>
      </c>
      <c r="L5980" t="s">
        <v>323</v>
      </c>
      <c r="M5980" s="43">
        <v>0.17291666666666669</v>
      </c>
      <c r="N5980" s="42">
        <v>44952</v>
      </c>
      <c r="O5980" t="s">
        <v>324</v>
      </c>
      <c r="P5980" s="42">
        <v>44952</v>
      </c>
      <c r="Q5980" t="s">
        <v>324</v>
      </c>
      <c r="R5980" t="s">
        <v>320</v>
      </c>
      <c r="S5980" t="s">
        <v>323</v>
      </c>
      <c r="U5980">
        <v>7.6</v>
      </c>
    </row>
    <row r="5981" spans="1:25">
      <c r="C5981" t="s">
        <v>325</v>
      </c>
      <c r="D5981" t="s">
        <v>340</v>
      </c>
      <c r="E5981" t="s">
        <v>341</v>
      </c>
      <c r="F5981">
        <v>1</v>
      </c>
      <c r="G5981" s="42">
        <v>45812</v>
      </c>
      <c r="H5981">
        <v>230.54259999999999</v>
      </c>
      <c r="I5981">
        <v>0</v>
      </c>
      <c r="J5981">
        <v>156.3399</v>
      </c>
      <c r="K5981">
        <v>156.3399</v>
      </c>
      <c r="L5981" t="s">
        <v>323</v>
      </c>
      <c r="N5981" s="42">
        <v>44924</v>
      </c>
      <c r="O5981" t="s">
        <v>324</v>
      </c>
      <c r="P5981" s="42">
        <v>44924</v>
      </c>
      <c r="Q5981" t="s">
        <v>324</v>
      </c>
      <c r="R5981" t="s">
        <v>320</v>
      </c>
      <c r="S5981" t="s">
        <v>323</v>
      </c>
      <c r="T5981">
        <v>7.6</v>
      </c>
      <c r="Y5981" s="42">
        <v>44929</v>
      </c>
    </row>
    <row r="5982" spans="1:25">
      <c r="C5982" t="s">
        <v>329</v>
      </c>
      <c r="D5982" t="s">
        <v>342</v>
      </c>
      <c r="E5982" t="s">
        <v>343</v>
      </c>
      <c r="F5982">
        <v>1</v>
      </c>
      <c r="G5982" s="42">
        <v>45081</v>
      </c>
      <c r="H5982">
        <v>76</v>
      </c>
      <c r="I5982">
        <v>-34.0002</v>
      </c>
      <c r="J5982">
        <v>56.843800000000002</v>
      </c>
      <c r="K5982">
        <v>22.843599999999999</v>
      </c>
      <c r="L5982" t="s">
        <v>323</v>
      </c>
      <c r="N5982" s="42">
        <v>44923</v>
      </c>
      <c r="O5982" t="s">
        <v>328</v>
      </c>
      <c r="P5982" s="42">
        <v>44923</v>
      </c>
      <c r="Q5982" t="s">
        <v>328</v>
      </c>
      <c r="R5982" t="s">
        <v>320</v>
      </c>
      <c r="S5982" t="s">
        <v>323</v>
      </c>
      <c r="T5982">
        <v>7.6</v>
      </c>
      <c r="Y5982" s="42">
        <v>44929</v>
      </c>
    </row>
    <row r="5983" spans="1:25">
      <c r="N5983" s="42">
        <v>44922</v>
      </c>
      <c r="O5983" t="s">
        <v>333</v>
      </c>
      <c r="P5983" s="42">
        <v>44922</v>
      </c>
      <c r="Q5983" t="s">
        <v>333</v>
      </c>
      <c r="R5983" t="s">
        <v>320</v>
      </c>
      <c r="S5983" t="s">
        <v>323</v>
      </c>
      <c r="U5983">
        <v>7.6</v>
      </c>
    </row>
    <row r="5984" spans="1:25">
      <c r="N5984" s="42">
        <v>44919</v>
      </c>
      <c r="O5984" t="s">
        <v>359</v>
      </c>
      <c r="P5984" s="42">
        <v>44919</v>
      </c>
      <c r="Q5984" t="s">
        <v>359</v>
      </c>
      <c r="R5984" t="s">
        <v>320</v>
      </c>
      <c r="S5984" t="s">
        <v>323</v>
      </c>
      <c r="T5984">
        <v>7.6</v>
      </c>
      <c r="Y5984" s="42">
        <v>44929</v>
      </c>
    </row>
    <row r="5985" spans="14:25">
      <c r="N5985" s="42">
        <v>44918</v>
      </c>
      <c r="O5985" t="s">
        <v>346</v>
      </c>
      <c r="P5985" s="42">
        <v>44918</v>
      </c>
      <c r="Q5985" t="s">
        <v>346</v>
      </c>
      <c r="R5985" t="s">
        <v>320</v>
      </c>
      <c r="S5985" t="s">
        <v>323</v>
      </c>
      <c r="T5985">
        <v>7.6</v>
      </c>
      <c r="Y5985" s="42">
        <v>44929</v>
      </c>
    </row>
    <row r="5986" spans="14:25">
      <c r="N5986" s="42">
        <v>44917</v>
      </c>
      <c r="O5986" t="s">
        <v>324</v>
      </c>
      <c r="P5986" s="42">
        <v>44917</v>
      </c>
      <c r="Q5986" t="s">
        <v>324</v>
      </c>
      <c r="R5986" t="s">
        <v>320</v>
      </c>
      <c r="S5986" t="s">
        <v>323</v>
      </c>
      <c r="T5986">
        <v>7.6</v>
      </c>
      <c r="Y5986" s="42">
        <v>44929</v>
      </c>
    </row>
    <row r="5987" spans="14:25">
      <c r="N5987" s="42">
        <v>44881</v>
      </c>
      <c r="O5987" t="s">
        <v>328</v>
      </c>
      <c r="P5987" s="42">
        <v>44881</v>
      </c>
      <c r="Q5987" t="s">
        <v>328</v>
      </c>
      <c r="R5987" t="s">
        <v>329</v>
      </c>
      <c r="S5987" t="s">
        <v>323</v>
      </c>
      <c r="T5987">
        <v>7.6</v>
      </c>
      <c r="W5987" t="s">
        <v>330</v>
      </c>
      <c r="Y5987" s="42">
        <v>44887</v>
      </c>
    </row>
    <row r="5988" spans="14:25">
      <c r="N5988" s="42">
        <v>44880</v>
      </c>
      <c r="O5988" t="s">
        <v>333</v>
      </c>
      <c r="P5988" s="42">
        <v>44880</v>
      </c>
      <c r="Q5988" t="s">
        <v>333</v>
      </c>
      <c r="R5988" t="s">
        <v>329</v>
      </c>
      <c r="S5988" t="s">
        <v>323</v>
      </c>
      <c r="T5988">
        <v>7.6</v>
      </c>
      <c r="W5988" t="s">
        <v>330</v>
      </c>
      <c r="Y5988" s="42">
        <v>44887</v>
      </c>
    </row>
    <row r="5989" spans="14:25">
      <c r="N5989" s="42">
        <v>44866</v>
      </c>
      <c r="O5989" t="s">
        <v>333</v>
      </c>
      <c r="P5989" s="42">
        <v>44866</v>
      </c>
      <c r="Q5989" t="s">
        <v>333</v>
      </c>
      <c r="R5989" t="s">
        <v>320</v>
      </c>
      <c r="S5989" t="s">
        <v>323</v>
      </c>
      <c r="U5989">
        <v>7.6</v>
      </c>
    </row>
    <row r="5990" spans="14:25">
      <c r="N5990" s="42">
        <v>44827</v>
      </c>
      <c r="O5990" t="s">
        <v>346</v>
      </c>
      <c r="P5990" s="42">
        <v>44827</v>
      </c>
      <c r="Q5990" t="s">
        <v>346</v>
      </c>
      <c r="R5990" t="s">
        <v>320</v>
      </c>
      <c r="S5990" t="s">
        <v>323</v>
      </c>
      <c r="U5990">
        <v>7.6</v>
      </c>
    </row>
    <row r="5991" spans="14:25">
      <c r="N5991" s="42">
        <v>44826</v>
      </c>
      <c r="O5991" t="s">
        <v>324</v>
      </c>
      <c r="P5991" s="42">
        <v>44826</v>
      </c>
      <c r="Q5991" t="s">
        <v>324</v>
      </c>
      <c r="R5991" t="s">
        <v>320</v>
      </c>
      <c r="S5991" t="s">
        <v>323</v>
      </c>
      <c r="U5991">
        <v>7.6</v>
      </c>
    </row>
    <row r="5992" spans="14:25">
      <c r="N5992" s="42">
        <v>44814</v>
      </c>
      <c r="O5992" t="s">
        <v>359</v>
      </c>
      <c r="P5992" s="42">
        <v>44814</v>
      </c>
      <c r="Q5992" t="s">
        <v>359</v>
      </c>
      <c r="R5992" t="s">
        <v>320</v>
      </c>
      <c r="S5992" t="s">
        <v>323</v>
      </c>
      <c r="T5992">
        <v>7.6</v>
      </c>
      <c r="Y5992" s="42">
        <v>44817</v>
      </c>
    </row>
    <row r="5993" spans="14:25">
      <c r="N5993" s="42">
        <v>44813</v>
      </c>
      <c r="O5993" t="s">
        <v>346</v>
      </c>
      <c r="P5993" s="42">
        <v>44813</v>
      </c>
      <c r="Q5993" t="s">
        <v>346</v>
      </c>
      <c r="R5993" t="s">
        <v>329</v>
      </c>
      <c r="S5993" t="s">
        <v>323</v>
      </c>
      <c r="T5993">
        <v>7.6</v>
      </c>
      <c r="W5993" t="s">
        <v>330</v>
      </c>
      <c r="Y5993" s="42">
        <v>44817</v>
      </c>
    </row>
    <row r="5994" spans="14:25">
      <c r="N5994" s="42">
        <v>44796</v>
      </c>
      <c r="O5994" t="s">
        <v>333</v>
      </c>
      <c r="P5994" s="42">
        <v>44796</v>
      </c>
      <c r="Q5994" t="s">
        <v>333</v>
      </c>
      <c r="R5994" t="s">
        <v>329</v>
      </c>
      <c r="S5994" t="s">
        <v>323</v>
      </c>
      <c r="T5994">
        <v>7.6</v>
      </c>
      <c r="W5994" t="s">
        <v>330</v>
      </c>
      <c r="Y5994" s="42">
        <v>44803</v>
      </c>
    </row>
    <row r="5995" spans="14:25">
      <c r="N5995" s="42">
        <v>44784</v>
      </c>
      <c r="O5995" t="s">
        <v>324</v>
      </c>
      <c r="P5995" s="42">
        <v>44784</v>
      </c>
      <c r="Q5995" t="s">
        <v>324</v>
      </c>
      <c r="R5995" t="s">
        <v>329</v>
      </c>
      <c r="S5995" t="s">
        <v>323</v>
      </c>
      <c r="T5995">
        <v>7.6</v>
      </c>
      <c r="W5995" t="s">
        <v>330</v>
      </c>
      <c r="Y5995" s="42">
        <v>44789</v>
      </c>
    </row>
    <row r="5996" spans="14:25">
      <c r="N5996" s="42">
        <v>44735</v>
      </c>
      <c r="O5996" t="s">
        <v>324</v>
      </c>
      <c r="P5996" s="42">
        <v>44735</v>
      </c>
      <c r="Q5996" t="s">
        <v>324</v>
      </c>
      <c r="R5996" t="s">
        <v>320</v>
      </c>
      <c r="S5996" t="s">
        <v>323</v>
      </c>
      <c r="T5996">
        <v>7.6</v>
      </c>
      <c r="Y5996" s="42">
        <v>44747</v>
      </c>
    </row>
    <row r="5997" spans="14:25">
      <c r="N5997" s="42">
        <v>44725</v>
      </c>
      <c r="O5997" t="s">
        <v>345</v>
      </c>
      <c r="P5997" s="42">
        <v>44725</v>
      </c>
      <c r="Q5997" t="s">
        <v>345</v>
      </c>
      <c r="R5997" t="s">
        <v>320</v>
      </c>
      <c r="S5997" t="s">
        <v>323</v>
      </c>
      <c r="U5997">
        <v>7.6</v>
      </c>
    </row>
    <row r="5998" spans="14:25">
      <c r="N5998" s="42">
        <v>44714</v>
      </c>
      <c r="O5998" t="s">
        <v>324</v>
      </c>
      <c r="P5998" s="42">
        <v>44714</v>
      </c>
      <c r="Q5998" t="s">
        <v>324</v>
      </c>
      <c r="R5998" t="s">
        <v>320</v>
      </c>
      <c r="S5998" t="s">
        <v>323</v>
      </c>
      <c r="T5998">
        <v>7.6</v>
      </c>
      <c r="Y5998" s="42">
        <v>44719</v>
      </c>
    </row>
    <row r="5999" spans="14:25">
      <c r="N5999" s="42">
        <v>44713</v>
      </c>
      <c r="O5999" t="s">
        <v>328</v>
      </c>
      <c r="P5999" s="42">
        <v>44713</v>
      </c>
      <c r="Q5999" t="s">
        <v>328</v>
      </c>
      <c r="R5999" t="s">
        <v>320</v>
      </c>
      <c r="S5999" t="s">
        <v>323</v>
      </c>
      <c r="T5999">
        <v>7.6</v>
      </c>
      <c r="Y5999" s="42">
        <v>44719</v>
      </c>
    </row>
    <row r="6000" spans="14:25">
      <c r="N6000" s="42">
        <v>44712</v>
      </c>
      <c r="O6000" t="s">
        <v>333</v>
      </c>
      <c r="P6000" s="42">
        <v>44712</v>
      </c>
      <c r="Q6000" t="s">
        <v>333</v>
      </c>
      <c r="R6000" t="s">
        <v>320</v>
      </c>
      <c r="S6000" t="s">
        <v>323</v>
      </c>
      <c r="T6000">
        <v>7.6</v>
      </c>
      <c r="Y6000" s="42">
        <v>44719</v>
      </c>
    </row>
    <row r="6001" spans="14:25">
      <c r="N6001" s="42">
        <v>44711</v>
      </c>
      <c r="O6001" t="s">
        <v>345</v>
      </c>
      <c r="P6001" s="42">
        <v>44711</v>
      </c>
      <c r="Q6001" t="s">
        <v>345</v>
      </c>
      <c r="R6001" t="s">
        <v>320</v>
      </c>
      <c r="S6001" t="s">
        <v>323</v>
      </c>
      <c r="T6001">
        <v>7.6</v>
      </c>
      <c r="Y6001" s="42">
        <v>44719</v>
      </c>
    </row>
    <row r="6002" spans="14:25">
      <c r="N6002" s="42">
        <v>44708</v>
      </c>
      <c r="O6002" t="s">
        <v>346</v>
      </c>
      <c r="P6002" s="42">
        <v>44708</v>
      </c>
      <c r="Q6002" t="s">
        <v>346</v>
      </c>
      <c r="R6002" t="s">
        <v>320</v>
      </c>
      <c r="S6002" t="s">
        <v>323</v>
      </c>
      <c r="T6002">
        <v>7.6</v>
      </c>
      <c r="Y6002" s="42">
        <v>44719</v>
      </c>
    </row>
    <row r="6003" spans="14:25">
      <c r="N6003" s="42">
        <v>44707</v>
      </c>
      <c r="O6003" t="s">
        <v>324</v>
      </c>
      <c r="P6003" s="42">
        <v>44707</v>
      </c>
      <c r="Q6003" t="s">
        <v>324</v>
      </c>
      <c r="R6003" t="s">
        <v>329</v>
      </c>
      <c r="S6003" t="s">
        <v>323</v>
      </c>
      <c r="T6003">
        <v>7.6</v>
      </c>
      <c r="W6003" t="s">
        <v>330</v>
      </c>
      <c r="Y6003" s="42">
        <v>44719</v>
      </c>
    </row>
    <row r="6004" spans="14:25">
      <c r="N6004" s="42">
        <v>44706</v>
      </c>
      <c r="O6004" t="s">
        <v>328</v>
      </c>
      <c r="P6004" s="42">
        <v>44706</v>
      </c>
      <c r="Q6004" t="s">
        <v>328</v>
      </c>
      <c r="R6004" t="s">
        <v>329</v>
      </c>
      <c r="S6004" t="s">
        <v>323</v>
      </c>
      <c r="T6004">
        <v>7.6</v>
      </c>
      <c r="W6004" t="s">
        <v>330</v>
      </c>
      <c r="Y6004" s="42">
        <v>44719</v>
      </c>
    </row>
    <row r="6005" spans="14:25">
      <c r="N6005" s="42">
        <v>44705</v>
      </c>
      <c r="O6005" t="s">
        <v>333</v>
      </c>
      <c r="P6005" s="42">
        <v>44705</v>
      </c>
      <c r="Q6005" t="s">
        <v>333</v>
      </c>
      <c r="R6005" t="s">
        <v>329</v>
      </c>
      <c r="S6005" t="s">
        <v>323</v>
      </c>
      <c r="T6005">
        <v>7.6</v>
      </c>
      <c r="W6005" t="s">
        <v>330</v>
      </c>
      <c r="Y6005" s="42">
        <v>44705</v>
      </c>
    </row>
    <row r="6006" spans="14:25">
      <c r="N6006" s="42">
        <v>44679</v>
      </c>
      <c r="O6006" t="s">
        <v>324</v>
      </c>
      <c r="P6006" s="42">
        <v>44679</v>
      </c>
      <c r="Q6006" t="s">
        <v>324</v>
      </c>
      <c r="R6006" t="s">
        <v>329</v>
      </c>
      <c r="S6006" t="s">
        <v>323</v>
      </c>
      <c r="T6006">
        <v>7.6</v>
      </c>
      <c r="W6006" t="s">
        <v>330</v>
      </c>
      <c r="Y6006" s="42">
        <v>44691</v>
      </c>
    </row>
    <row r="6007" spans="14:25">
      <c r="N6007" s="42">
        <v>44676</v>
      </c>
      <c r="O6007" t="s">
        <v>345</v>
      </c>
      <c r="P6007" s="42">
        <v>44676</v>
      </c>
      <c r="Q6007" t="s">
        <v>345</v>
      </c>
      <c r="R6007" t="s">
        <v>320</v>
      </c>
      <c r="S6007" t="s">
        <v>323</v>
      </c>
      <c r="U6007">
        <v>7.6</v>
      </c>
    </row>
    <row r="6008" spans="14:25">
      <c r="N6008" s="42">
        <v>44672</v>
      </c>
      <c r="O6008" t="s">
        <v>324</v>
      </c>
      <c r="P6008" s="42">
        <v>44672</v>
      </c>
      <c r="Q6008" t="s">
        <v>324</v>
      </c>
      <c r="R6008" t="s">
        <v>329</v>
      </c>
      <c r="S6008" t="s">
        <v>323</v>
      </c>
      <c r="T6008">
        <v>7.6</v>
      </c>
      <c r="W6008" t="s">
        <v>330</v>
      </c>
      <c r="Y6008" s="42">
        <v>44677</v>
      </c>
    </row>
    <row r="6009" spans="14:25">
      <c r="N6009" s="42">
        <v>44669</v>
      </c>
      <c r="O6009" t="s">
        <v>345</v>
      </c>
      <c r="P6009" s="42">
        <v>44669</v>
      </c>
      <c r="Q6009" t="s">
        <v>345</v>
      </c>
      <c r="R6009" t="s">
        <v>320</v>
      </c>
      <c r="S6009" t="s">
        <v>323</v>
      </c>
      <c r="U6009">
        <v>7.6</v>
      </c>
    </row>
    <row r="6010" spans="14:25">
      <c r="N6010" s="42">
        <v>44666</v>
      </c>
      <c r="O6010" t="s">
        <v>346</v>
      </c>
      <c r="P6010" s="42">
        <v>44666</v>
      </c>
      <c r="Q6010" t="s">
        <v>346</v>
      </c>
      <c r="R6010" t="s">
        <v>320</v>
      </c>
      <c r="S6010" t="s">
        <v>323</v>
      </c>
      <c r="U6010">
        <v>7.6</v>
      </c>
    </row>
    <row r="6011" spans="14:25">
      <c r="N6011" s="42">
        <v>44634</v>
      </c>
      <c r="O6011" t="s">
        <v>345</v>
      </c>
      <c r="P6011" s="42">
        <v>44634</v>
      </c>
      <c r="Q6011" t="s">
        <v>345</v>
      </c>
      <c r="R6011" t="s">
        <v>320</v>
      </c>
      <c r="S6011" t="s">
        <v>323</v>
      </c>
      <c r="U6011">
        <v>7.6</v>
      </c>
    </row>
    <row r="6012" spans="14:25">
      <c r="N6012" s="42">
        <v>44627</v>
      </c>
      <c r="O6012" t="s">
        <v>345</v>
      </c>
      <c r="P6012" s="42">
        <v>44627</v>
      </c>
      <c r="Q6012" t="s">
        <v>345</v>
      </c>
      <c r="R6012" t="s">
        <v>320</v>
      </c>
      <c r="S6012" t="s">
        <v>323</v>
      </c>
      <c r="T6012">
        <v>7.6</v>
      </c>
      <c r="Y6012" s="42">
        <v>44635</v>
      </c>
    </row>
    <row r="6013" spans="14:25">
      <c r="N6013" s="42">
        <v>44614</v>
      </c>
      <c r="O6013" t="s">
        <v>333</v>
      </c>
      <c r="P6013" s="42">
        <v>44614</v>
      </c>
      <c r="Q6013" t="s">
        <v>333</v>
      </c>
      <c r="R6013" t="s">
        <v>320</v>
      </c>
      <c r="S6013" t="s">
        <v>323</v>
      </c>
      <c r="T6013">
        <v>7.6</v>
      </c>
      <c r="Y6013" s="42">
        <v>44621</v>
      </c>
    </row>
    <row r="6014" spans="14:25">
      <c r="N6014" s="42">
        <v>44607</v>
      </c>
      <c r="O6014" t="s">
        <v>333</v>
      </c>
      <c r="P6014" s="42">
        <v>44607</v>
      </c>
      <c r="Q6014" t="s">
        <v>333</v>
      </c>
      <c r="R6014" t="s">
        <v>320</v>
      </c>
      <c r="S6014" t="s">
        <v>323</v>
      </c>
      <c r="T6014">
        <v>7.6</v>
      </c>
      <c r="Y6014" s="42">
        <v>44607</v>
      </c>
    </row>
    <row r="6015" spans="14:25">
      <c r="N6015" s="42">
        <v>44606</v>
      </c>
      <c r="O6015" t="s">
        <v>345</v>
      </c>
      <c r="P6015" s="42">
        <v>44606</v>
      </c>
      <c r="Q6015" t="s">
        <v>345</v>
      </c>
      <c r="R6015" t="s">
        <v>329</v>
      </c>
      <c r="S6015" t="s">
        <v>323</v>
      </c>
      <c r="T6015">
        <v>7.6</v>
      </c>
      <c r="W6015" t="s">
        <v>330</v>
      </c>
      <c r="Y6015" s="42">
        <v>44607</v>
      </c>
    </row>
    <row r="6016" spans="14:25">
      <c r="N6016" s="42">
        <v>44602</v>
      </c>
      <c r="O6016" t="s">
        <v>324</v>
      </c>
      <c r="P6016" s="42">
        <v>44602</v>
      </c>
      <c r="Q6016" t="s">
        <v>324</v>
      </c>
      <c r="R6016" t="s">
        <v>320</v>
      </c>
      <c r="S6016" t="s">
        <v>323</v>
      </c>
      <c r="T6016">
        <v>7.6</v>
      </c>
      <c r="Y6016" s="42">
        <v>44607</v>
      </c>
    </row>
    <row r="6017" spans="14:25">
      <c r="N6017" s="42">
        <v>44595</v>
      </c>
      <c r="O6017" t="s">
        <v>324</v>
      </c>
      <c r="P6017" s="42">
        <v>44595</v>
      </c>
      <c r="Q6017" t="s">
        <v>324</v>
      </c>
      <c r="R6017" t="s">
        <v>320</v>
      </c>
      <c r="S6017" t="s">
        <v>323</v>
      </c>
      <c r="T6017">
        <v>7.6</v>
      </c>
      <c r="Y6017" s="42">
        <v>44607</v>
      </c>
    </row>
    <row r="6018" spans="14:25">
      <c r="N6018" s="42">
        <v>44587</v>
      </c>
      <c r="O6018" t="s">
        <v>328</v>
      </c>
      <c r="P6018" s="42">
        <v>44587</v>
      </c>
      <c r="Q6018" t="s">
        <v>328</v>
      </c>
      <c r="R6018" t="s">
        <v>320</v>
      </c>
      <c r="S6018" t="s">
        <v>323</v>
      </c>
      <c r="U6018">
        <v>7.6</v>
      </c>
    </row>
    <row r="6019" spans="14:25">
      <c r="N6019" s="42">
        <v>44574</v>
      </c>
      <c r="O6019" t="s">
        <v>324</v>
      </c>
      <c r="P6019" s="42">
        <v>44574</v>
      </c>
      <c r="Q6019" t="s">
        <v>324</v>
      </c>
      <c r="R6019" t="s">
        <v>329</v>
      </c>
      <c r="S6019" t="s">
        <v>323</v>
      </c>
      <c r="T6019">
        <v>7.6</v>
      </c>
      <c r="W6019" t="s">
        <v>330</v>
      </c>
      <c r="Y6019" s="42">
        <v>44579</v>
      </c>
    </row>
    <row r="6020" spans="14:25">
      <c r="N6020" s="42">
        <v>44573</v>
      </c>
      <c r="O6020" t="s">
        <v>328</v>
      </c>
      <c r="P6020" s="42">
        <v>44573</v>
      </c>
      <c r="Q6020" t="s">
        <v>328</v>
      </c>
      <c r="R6020" t="s">
        <v>320</v>
      </c>
      <c r="S6020" t="s">
        <v>323</v>
      </c>
      <c r="T6020">
        <v>7.6</v>
      </c>
      <c r="Y6020" s="42">
        <v>44579</v>
      </c>
    </row>
    <row r="6021" spans="14:25">
      <c r="N6021" s="42">
        <v>44564</v>
      </c>
      <c r="O6021" t="s">
        <v>345</v>
      </c>
      <c r="P6021" s="42">
        <v>44564</v>
      </c>
      <c r="Q6021" t="s">
        <v>345</v>
      </c>
      <c r="R6021" t="s">
        <v>320</v>
      </c>
      <c r="S6021" t="s">
        <v>323</v>
      </c>
      <c r="U6021">
        <v>7.6</v>
      </c>
    </row>
    <row r="6022" spans="14:25">
      <c r="N6022" s="42">
        <v>44558</v>
      </c>
      <c r="O6022" t="s">
        <v>333</v>
      </c>
      <c r="P6022" s="42">
        <v>44558</v>
      </c>
      <c r="Q6022" t="s">
        <v>333</v>
      </c>
      <c r="R6022" t="s">
        <v>320</v>
      </c>
      <c r="S6022" t="s">
        <v>323</v>
      </c>
      <c r="U6022">
        <v>7.6</v>
      </c>
    </row>
    <row r="6023" spans="14:25">
      <c r="N6023" s="42">
        <v>44557</v>
      </c>
      <c r="O6023" t="s">
        <v>345</v>
      </c>
      <c r="P6023" s="42">
        <v>44557</v>
      </c>
      <c r="Q6023" t="s">
        <v>345</v>
      </c>
      <c r="R6023" t="s">
        <v>320</v>
      </c>
      <c r="S6023" t="s">
        <v>323</v>
      </c>
      <c r="U6023">
        <v>7.6</v>
      </c>
    </row>
    <row r="6024" spans="14:25">
      <c r="N6024" s="42">
        <v>44554</v>
      </c>
      <c r="O6024" t="s">
        <v>346</v>
      </c>
      <c r="P6024" s="42">
        <v>44554</v>
      </c>
      <c r="Q6024" t="s">
        <v>346</v>
      </c>
      <c r="R6024" t="s">
        <v>320</v>
      </c>
      <c r="S6024" t="s">
        <v>323</v>
      </c>
      <c r="T6024">
        <v>7.6</v>
      </c>
      <c r="Y6024" s="42">
        <v>44565</v>
      </c>
    </row>
    <row r="6025" spans="14:25">
      <c r="N6025" s="42">
        <v>44547</v>
      </c>
      <c r="O6025" t="s">
        <v>346</v>
      </c>
      <c r="P6025" s="42">
        <v>44547</v>
      </c>
      <c r="Q6025" t="s">
        <v>346</v>
      </c>
      <c r="R6025" t="s">
        <v>329</v>
      </c>
      <c r="S6025" t="s">
        <v>323</v>
      </c>
      <c r="T6025">
        <v>7.6</v>
      </c>
      <c r="W6025" t="s">
        <v>330</v>
      </c>
      <c r="Y6025" s="42">
        <v>44551</v>
      </c>
    </row>
    <row r="6026" spans="14:25">
      <c r="N6026" s="42">
        <v>44540</v>
      </c>
      <c r="O6026" t="s">
        <v>346</v>
      </c>
      <c r="P6026" s="42">
        <v>44540</v>
      </c>
      <c r="Q6026" t="s">
        <v>346</v>
      </c>
      <c r="R6026" t="s">
        <v>320</v>
      </c>
      <c r="S6026" t="s">
        <v>323</v>
      </c>
      <c r="T6026">
        <v>7.6</v>
      </c>
      <c r="Y6026" s="42">
        <v>44551</v>
      </c>
    </row>
    <row r="6027" spans="14:25">
      <c r="N6027" s="42">
        <v>44518</v>
      </c>
      <c r="O6027" t="s">
        <v>324</v>
      </c>
      <c r="P6027" s="42">
        <v>44518</v>
      </c>
      <c r="Q6027" t="s">
        <v>324</v>
      </c>
      <c r="R6027" t="s">
        <v>320</v>
      </c>
      <c r="S6027" t="s">
        <v>323</v>
      </c>
      <c r="T6027">
        <v>7.6</v>
      </c>
      <c r="Y6027" s="42">
        <v>44523</v>
      </c>
    </row>
    <row r="6028" spans="14:25">
      <c r="N6028" s="42">
        <v>44502</v>
      </c>
      <c r="O6028" t="s">
        <v>333</v>
      </c>
      <c r="P6028" s="42">
        <v>44502</v>
      </c>
      <c r="Q6028" t="s">
        <v>333</v>
      </c>
      <c r="R6028" t="s">
        <v>320</v>
      </c>
      <c r="S6028" t="s">
        <v>323</v>
      </c>
      <c r="U6028">
        <v>7.6</v>
      </c>
    </row>
    <row r="6029" spans="14:25">
      <c r="N6029" s="42">
        <v>44491</v>
      </c>
      <c r="O6029" t="s">
        <v>346</v>
      </c>
      <c r="P6029" s="42">
        <v>44491</v>
      </c>
      <c r="Q6029" t="s">
        <v>346</v>
      </c>
      <c r="R6029" t="s">
        <v>320</v>
      </c>
      <c r="S6029" t="s">
        <v>323</v>
      </c>
      <c r="T6029">
        <v>7.6</v>
      </c>
      <c r="Y6029" s="42">
        <v>44495</v>
      </c>
    </row>
    <row r="6030" spans="14:25">
      <c r="N6030" s="42">
        <v>44474</v>
      </c>
      <c r="O6030" t="s">
        <v>333</v>
      </c>
      <c r="P6030" s="42">
        <v>44474</v>
      </c>
      <c r="Q6030" t="s">
        <v>333</v>
      </c>
      <c r="R6030" t="s">
        <v>329</v>
      </c>
      <c r="S6030" t="s">
        <v>323</v>
      </c>
      <c r="T6030">
        <v>7.6</v>
      </c>
      <c r="W6030" t="s">
        <v>330</v>
      </c>
      <c r="Y6030" s="42">
        <v>44481</v>
      </c>
    </row>
    <row r="6031" spans="14:25">
      <c r="N6031" s="42">
        <v>44463</v>
      </c>
      <c r="O6031" t="s">
        <v>346</v>
      </c>
      <c r="P6031" s="42">
        <v>44463</v>
      </c>
      <c r="Q6031" t="s">
        <v>346</v>
      </c>
      <c r="R6031" t="s">
        <v>320</v>
      </c>
      <c r="S6031" t="s">
        <v>323</v>
      </c>
      <c r="U6031">
        <v>7.6</v>
      </c>
    </row>
    <row r="6032" spans="14:25">
      <c r="N6032" s="42">
        <v>44433</v>
      </c>
      <c r="O6032" t="s">
        <v>328</v>
      </c>
      <c r="P6032" s="42">
        <v>44433</v>
      </c>
      <c r="Q6032" t="s">
        <v>328</v>
      </c>
      <c r="R6032" t="s">
        <v>320</v>
      </c>
      <c r="S6032" t="s">
        <v>323</v>
      </c>
      <c r="T6032">
        <v>7.6</v>
      </c>
      <c r="Y6032" s="42">
        <v>44439</v>
      </c>
    </row>
    <row r="6033" spans="14:25">
      <c r="N6033" s="42">
        <v>44407</v>
      </c>
      <c r="O6033" t="s">
        <v>346</v>
      </c>
      <c r="P6033" s="42">
        <v>44407</v>
      </c>
      <c r="Q6033" t="s">
        <v>346</v>
      </c>
      <c r="R6033" t="s">
        <v>329</v>
      </c>
      <c r="S6033" t="s">
        <v>323</v>
      </c>
      <c r="T6033">
        <v>7.6</v>
      </c>
      <c r="W6033" t="s">
        <v>330</v>
      </c>
      <c r="Y6033" s="42">
        <v>44411</v>
      </c>
    </row>
    <row r="6034" spans="14:25">
      <c r="N6034" s="42">
        <v>44406</v>
      </c>
      <c r="O6034" t="s">
        <v>324</v>
      </c>
      <c r="P6034" s="42">
        <v>44406</v>
      </c>
      <c r="Q6034" t="s">
        <v>324</v>
      </c>
      <c r="R6034" t="s">
        <v>329</v>
      </c>
      <c r="S6034" t="s">
        <v>323</v>
      </c>
      <c r="T6034">
        <v>7.6</v>
      </c>
      <c r="W6034" t="s">
        <v>330</v>
      </c>
      <c r="Y6034" s="42">
        <v>44411</v>
      </c>
    </row>
    <row r="6035" spans="14:25">
      <c r="N6035" s="42">
        <v>44398</v>
      </c>
      <c r="O6035" t="s">
        <v>328</v>
      </c>
      <c r="P6035" s="42">
        <v>44398</v>
      </c>
      <c r="Q6035" t="s">
        <v>328</v>
      </c>
      <c r="R6035" t="s">
        <v>320</v>
      </c>
      <c r="S6035" t="s">
        <v>323</v>
      </c>
      <c r="T6035">
        <v>7.6</v>
      </c>
      <c r="Y6035" s="42">
        <v>44411</v>
      </c>
    </row>
    <row r="6036" spans="14:25">
      <c r="N6036" s="42">
        <v>44390</v>
      </c>
      <c r="O6036" t="s">
        <v>333</v>
      </c>
      <c r="P6036" s="42">
        <v>44390</v>
      </c>
      <c r="Q6036" t="s">
        <v>333</v>
      </c>
      <c r="R6036" t="s">
        <v>320</v>
      </c>
      <c r="S6036" t="s">
        <v>323</v>
      </c>
      <c r="T6036">
        <v>7.6</v>
      </c>
      <c r="Y6036" s="42">
        <v>44397</v>
      </c>
    </row>
    <row r="6037" spans="14:25">
      <c r="N6037" s="42">
        <v>44376</v>
      </c>
      <c r="O6037" t="s">
        <v>333</v>
      </c>
      <c r="P6037" s="42">
        <v>44376</v>
      </c>
      <c r="Q6037" t="s">
        <v>333</v>
      </c>
      <c r="R6037" t="s">
        <v>329</v>
      </c>
      <c r="S6037" t="s">
        <v>323</v>
      </c>
      <c r="T6037">
        <v>7.6</v>
      </c>
      <c r="W6037" t="s">
        <v>330</v>
      </c>
      <c r="Y6037" s="42">
        <v>44383</v>
      </c>
    </row>
    <row r="6038" spans="14:25">
      <c r="N6038" s="42">
        <v>44361</v>
      </c>
      <c r="O6038" t="s">
        <v>345</v>
      </c>
      <c r="P6038" s="42">
        <v>44361</v>
      </c>
      <c r="Q6038" t="s">
        <v>345</v>
      </c>
      <c r="R6038" t="s">
        <v>320</v>
      </c>
      <c r="S6038" t="s">
        <v>323</v>
      </c>
      <c r="U6038">
        <v>7.6</v>
      </c>
    </row>
    <row r="6039" spans="14:25">
      <c r="N6039" s="42">
        <v>44358</v>
      </c>
      <c r="O6039" t="s">
        <v>346</v>
      </c>
      <c r="P6039" s="42">
        <v>44358</v>
      </c>
      <c r="Q6039" t="s">
        <v>346</v>
      </c>
      <c r="R6039" t="s">
        <v>329</v>
      </c>
      <c r="S6039" t="s">
        <v>323</v>
      </c>
      <c r="T6039">
        <v>7.6</v>
      </c>
      <c r="W6039" t="s">
        <v>330</v>
      </c>
      <c r="Y6039" s="42">
        <v>44369</v>
      </c>
    </row>
    <row r="6040" spans="14:25">
      <c r="N6040" s="42">
        <v>44344</v>
      </c>
      <c r="O6040" t="s">
        <v>346</v>
      </c>
      <c r="P6040" s="42">
        <v>44344</v>
      </c>
      <c r="Q6040" t="s">
        <v>346</v>
      </c>
      <c r="R6040" t="s">
        <v>329</v>
      </c>
      <c r="S6040" t="s">
        <v>323</v>
      </c>
      <c r="T6040">
        <v>7.6</v>
      </c>
      <c r="W6040" t="s">
        <v>330</v>
      </c>
      <c r="Y6040" s="42">
        <v>44355</v>
      </c>
    </row>
    <row r="6041" spans="14:25">
      <c r="N6041" s="42">
        <v>44343</v>
      </c>
      <c r="O6041" t="s">
        <v>324</v>
      </c>
      <c r="P6041" s="42">
        <v>44343</v>
      </c>
      <c r="Q6041" t="s">
        <v>324</v>
      </c>
      <c r="R6041" t="s">
        <v>329</v>
      </c>
      <c r="S6041" t="s">
        <v>323</v>
      </c>
      <c r="T6041">
        <v>7.6</v>
      </c>
      <c r="W6041" t="s">
        <v>330</v>
      </c>
      <c r="Y6041" s="42">
        <v>44355</v>
      </c>
    </row>
    <row r="6042" spans="14:25">
      <c r="N6042" s="42">
        <v>44333</v>
      </c>
      <c r="O6042" t="s">
        <v>345</v>
      </c>
      <c r="P6042" s="42">
        <v>44333</v>
      </c>
      <c r="Q6042" t="s">
        <v>345</v>
      </c>
      <c r="R6042" t="s">
        <v>329</v>
      </c>
      <c r="S6042" t="s">
        <v>323</v>
      </c>
      <c r="T6042">
        <v>7.6</v>
      </c>
      <c r="W6042" t="s">
        <v>330</v>
      </c>
      <c r="Y6042" s="42">
        <v>44341</v>
      </c>
    </row>
    <row r="6043" spans="14:25">
      <c r="N6043" s="42">
        <v>44315</v>
      </c>
      <c r="O6043" t="s">
        <v>324</v>
      </c>
      <c r="P6043" s="42">
        <v>44315</v>
      </c>
      <c r="Q6043" t="s">
        <v>324</v>
      </c>
      <c r="R6043" t="s">
        <v>320</v>
      </c>
      <c r="S6043" t="s">
        <v>323</v>
      </c>
      <c r="T6043">
        <v>7.6</v>
      </c>
      <c r="Y6043" s="42">
        <v>44327</v>
      </c>
    </row>
    <row r="6044" spans="14:25">
      <c r="N6044" s="42">
        <v>44309</v>
      </c>
      <c r="O6044" t="s">
        <v>346</v>
      </c>
      <c r="P6044" s="42">
        <v>44309</v>
      </c>
      <c r="Q6044" t="s">
        <v>346</v>
      </c>
      <c r="R6044" t="s">
        <v>320</v>
      </c>
      <c r="S6044" t="s">
        <v>323</v>
      </c>
      <c r="T6044">
        <v>7.6</v>
      </c>
      <c r="Y6044" s="42">
        <v>44313</v>
      </c>
    </row>
    <row r="6045" spans="14:25">
      <c r="N6045" s="42">
        <v>44299</v>
      </c>
      <c r="O6045" t="s">
        <v>333</v>
      </c>
      <c r="P6045" s="42">
        <v>44299</v>
      </c>
      <c r="Q6045" t="s">
        <v>333</v>
      </c>
      <c r="R6045" t="s">
        <v>329</v>
      </c>
      <c r="S6045" t="s">
        <v>323</v>
      </c>
      <c r="T6045">
        <v>7.6</v>
      </c>
      <c r="W6045" t="s">
        <v>330</v>
      </c>
      <c r="Y6045" s="42">
        <v>44299</v>
      </c>
    </row>
    <row r="6046" spans="14:25">
      <c r="N6046" s="42">
        <v>44291</v>
      </c>
      <c r="O6046" t="s">
        <v>345</v>
      </c>
      <c r="P6046" s="42">
        <v>44291</v>
      </c>
      <c r="Q6046" t="s">
        <v>345</v>
      </c>
      <c r="R6046" t="s">
        <v>320</v>
      </c>
      <c r="S6046" t="s">
        <v>323</v>
      </c>
      <c r="U6046">
        <v>7.6</v>
      </c>
    </row>
    <row r="6047" spans="14:25">
      <c r="N6047" s="42">
        <v>44288</v>
      </c>
      <c r="O6047" t="s">
        <v>346</v>
      </c>
      <c r="P6047" s="42">
        <v>44288</v>
      </c>
      <c r="Q6047" t="s">
        <v>346</v>
      </c>
      <c r="R6047" t="s">
        <v>320</v>
      </c>
      <c r="S6047" t="s">
        <v>323</v>
      </c>
      <c r="U6047">
        <v>7.6</v>
      </c>
    </row>
    <row r="6048" spans="14:25">
      <c r="N6048" s="42">
        <v>44277</v>
      </c>
      <c r="O6048" t="s">
        <v>345</v>
      </c>
      <c r="P6048" s="42">
        <v>44277</v>
      </c>
      <c r="Q6048" t="s">
        <v>345</v>
      </c>
      <c r="R6048" t="s">
        <v>320</v>
      </c>
      <c r="S6048" t="s">
        <v>323</v>
      </c>
      <c r="T6048">
        <v>7.6</v>
      </c>
      <c r="Y6048" s="42">
        <v>44285</v>
      </c>
    </row>
    <row r="6049" spans="14:25">
      <c r="N6049" s="42">
        <v>44274</v>
      </c>
      <c r="O6049" t="s">
        <v>346</v>
      </c>
      <c r="P6049" s="42">
        <v>44274</v>
      </c>
      <c r="Q6049" t="s">
        <v>346</v>
      </c>
      <c r="R6049" t="s">
        <v>320</v>
      </c>
      <c r="S6049" t="s">
        <v>323</v>
      </c>
      <c r="T6049">
        <v>7.6</v>
      </c>
      <c r="Y6049" s="42">
        <v>44285</v>
      </c>
    </row>
    <row r="6050" spans="14:25">
      <c r="N6050" s="42">
        <v>44273</v>
      </c>
      <c r="O6050" t="s">
        <v>324</v>
      </c>
      <c r="P6050" s="42">
        <v>44273</v>
      </c>
      <c r="Q6050" t="s">
        <v>324</v>
      </c>
      <c r="R6050" t="s">
        <v>320</v>
      </c>
      <c r="S6050" t="s">
        <v>323</v>
      </c>
      <c r="T6050">
        <v>7.6</v>
      </c>
      <c r="Y6050" s="42">
        <v>44285</v>
      </c>
    </row>
    <row r="6051" spans="14:25">
      <c r="N6051" s="42">
        <v>44272</v>
      </c>
      <c r="O6051" t="s">
        <v>328</v>
      </c>
      <c r="P6051" s="42">
        <v>44272</v>
      </c>
      <c r="Q6051" t="s">
        <v>328</v>
      </c>
      <c r="R6051" t="s">
        <v>320</v>
      </c>
      <c r="S6051" t="s">
        <v>323</v>
      </c>
      <c r="T6051">
        <v>7.6</v>
      </c>
      <c r="Y6051" s="42">
        <v>44285</v>
      </c>
    </row>
    <row r="6052" spans="14:25">
      <c r="N6052" s="42">
        <v>44271</v>
      </c>
      <c r="O6052" t="s">
        <v>333</v>
      </c>
      <c r="P6052" s="42">
        <v>44271</v>
      </c>
      <c r="Q6052" t="s">
        <v>333</v>
      </c>
      <c r="R6052" t="s">
        <v>320</v>
      </c>
      <c r="S6052" t="s">
        <v>323</v>
      </c>
      <c r="T6052">
        <v>7.6</v>
      </c>
      <c r="Y6052" s="42">
        <v>44271</v>
      </c>
    </row>
    <row r="6053" spans="14:25">
      <c r="N6053" s="42">
        <v>44270</v>
      </c>
      <c r="O6053" t="s">
        <v>345</v>
      </c>
      <c r="P6053" s="42">
        <v>44270</v>
      </c>
      <c r="Q6053" t="s">
        <v>345</v>
      </c>
      <c r="R6053" t="s">
        <v>320</v>
      </c>
      <c r="S6053" t="s">
        <v>323</v>
      </c>
      <c r="T6053">
        <v>7.6</v>
      </c>
      <c r="Y6053" s="42">
        <v>44271</v>
      </c>
    </row>
    <row r="6054" spans="14:25">
      <c r="N6054" s="42">
        <v>44267</v>
      </c>
      <c r="O6054" t="s">
        <v>346</v>
      </c>
      <c r="P6054" s="42">
        <v>44267</v>
      </c>
      <c r="Q6054" t="s">
        <v>346</v>
      </c>
      <c r="R6054" t="s">
        <v>320</v>
      </c>
      <c r="S6054" t="s">
        <v>323</v>
      </c>
      <c r="T6054">
        <v>7.6</v>
      </c>
      <c r="Y6054" s="42">
        <v>44271</v>
      </c>
    </row>
    <row r="6055" spans="14:25">
      <c r="N6055" s="42">
        <v>44263</v>
      </c>
      <c r="O6055" t="s">
        <v>345</v>
      </c>
      <c r="P6055" s="42">
        <v>44263</v>
      </c>
      <c r="Q6055" t="s">
        <v>345</v>
      </c>
      <c r="R6055" t="s">
        <v>320</v>
      </c>
      <c r="S6055" t="s">
        <v>323</v>
      </c>
      <c r="U6055">
        <v>7.6</v>
      </c>
    </row>
    <row r="6056" spans="14:25">
      <c r="N6056" s="42">
        <v>44244</v>
      </c>
      <c r="O6056" t="s">
        <v>328</v>
      </c>
      <c r="P6056" s="42">
        <v>44244</v>
      </c>
      <c r="Q6056" t="s">
        <v>328</v>
      </c>
      <c r="R6056" t="s">
        <v>329</v>
      </c>
      <c r="S6056" t="s">
        <v>323</v>
      </c>
      <c r="T6056">
        <v>7.6</v>
      </c>
      <c r="W6056" t="s">
        <v>330</v>
      </c>
      <c r="Y6056" s="42">
        <v>44257</v>
      </c>
    </row>
    <row r="6057" spans="14:25">
      <c r="N6057" s="42">
        <v>44243</v>
      </c>
      <c r="O6057" t="s">
        <v>333</v>
      </c>
      <c r="P6057" s="42">
        <v>44243</v>
      </c>
      <c r="Q6057" t="s">
        <v>333</v>
      </c>
      <c r="R6057" t="s">
        <v>329</v>
      </c>
      <c r="S6057" t="s">
        <v>323</v>
      </c>
      <c r="T6057">
        <v>7.6</v>
      </c>
      <c r="W6057" t="s">
        <v>330</v>
      </c>
      <c r="Y6057" s="42">
        <v>44243</v>
      </c>
    </row>
    <row r="6058" spans="14:25">
      <c r="N6058" s="42">
        <v>44239</v>
      </c>
      <c r="O6058" t="s">
        <v>346</v>
      </c>
      <c r="P6058" s="42">
        <v>44239</v>
      </c>
      <c r="Q6058" t="s">
        <v>346</v>
      </c>
      <c r="R6058" t="s">
        <v>354</v>
      </c>
      <c r="S6058" t="s">
        <v>323</v>
      </c>
      <c r="T6058">
        <v>7.6</v>
      </c>
      <c r="W6058" t="s">
        <v>339</v>
      </c>
      <c r="Y6058" s="42">
        <v>44243</v>
      </c>
    </row>
    <row r="6059" spans="14:25">
      <c r="N6059" s="42">
        <v>44222</v>
      </c>
      <c r="O6059" t="s">
        <v>333</v>
      </c>
      <c r="P6059" s="42">
        <v>44222</v>
      </c>
      <c r="Q6059" t="s">
        <v>333</v>
      </c>
      <c r="R6059" t="s">
        <v>320</v>
      </c>
      <c r="S6059" t="s">
        <v>323</v>
      </c>
      <c r="U6059">
        <v>7.6</v>
      </c>
    </row>
    <row r="6060" spans="14:25">
      <c r="N6060" s="42">
        <v>44221</v>
      </c>
      <c r="O6060" t="s">
        <v>345</v>
      </c>
      <c r="P6060" s="42">
        <v>44221</v>
      </c>
      <c r="Q6060" t="s">
        <v>345</v>
      </c>
      <c r="R6060" t="s">
        <v>320</v>
      </c>
      <c r="S6060" t="s">
        <v>323</v>
      </c>
      <c r="T6060">
        <v>7.6</v>
      </c>
      <c r="Y6060" s="42">
        <v>44229</v>
      </c>
    </row>
    <row r="6061" spans="14:25">
      <c r="N6061" s="42">
        <v>44201</v>
      </c>
      <c r="O6061" t="s">
        <v>333</v>
      </c>
      <c r="P6061" s="42">
        <v>44201</v>
      </c>
      <c r="Q6061" t="s">
        <v>333</v>
      </c>
      <c r="R6061" t="s">
        <v>329</v>
      </c>
      <c r="S6061" t="s">
        <v>323</v>
      </c>
      <c r="T6061">
        <v>7.6</v>
      </c>
      <c r="W6061" t="s">
        <v>330</v>
      </c>
      <c r="Y6061" s="42">
        <v>44201</v>
      </c>
    </row>
    <row r="6062" spans="14:25">
      <c r="N6062" s="42">
        <v>44197</v>
      </c>
      <c r="O6062" t="s">
        <v>346</v>
      </c>
      <c r="P6062" s="42">
        <v>44197</v>
      </c>
      <c r="Q6062" t="s">
        <v>346</v>
      </c>
      <c r="R6062" t="s">
        <v>320</v>
      </c>
      <c r="S6062" t="s">
        <v>323</v>
      </c>
      <c r="U6062">
        <v>7.6</v>
      </c>
    </row>
    <row r="6063" spans="14:25">
      <c r="N6063" s="42">
        <v>44193</v>
      </c>
      <c r="O6063" t="s">
        <v>345</v>
      </c>
      <c r="P6063" s="42">
        <v>44193</v>
      </c>
      <c r="Q6063" t="s">
        <v>345</v>
      </c>
      <c r="R6063" t="s">
        <v>320</v>
      </c>
      <c r="S6063" t="s">
        <v>323</v>
      </c>
      <c r="U6063">
        <v>7.6</v>
      </c>
    </row>
    <row r="6064" spans="14:25">
      <c r="N6064" s="42">
        <v>44190</v>
      </c>
      <c r="O6064" t="s">
        <v>346</v>
      </c>
      <c r="P6064" s="42">
        <v>44190</v>
      </c>
      <c r="Q6064" t="s">
        <v>346</v>
      </c>
      <c r="R6064" t="s">
        <v>320</v>
      </c>
      <c r="S6064" t="s">
        <v>323</v>
      </c>
      <c r="U6064">
        <v>7.6</v>
      </c>
    </row>
    <row r="6065" spans="14:25">
      <c r="N6065" s="42">
        <v>44176</v>
      </c>
      <c r="O6065" t="s">
        <v>346</v>
      </c>
      <c r="P6065" s="42">
        <v>44176</v>
      </c>
      <c r="Q6065" t="s">
        <v>346</v>
      </c>
      <c r="R6065" t="s">
        <v>320</v>
      </c>
      <c r="S6065" t="s">
        <v>323</v>
      </c>
      <c r="T6065">
        <v>7.6</v>
      </c>
      <c r="Y6065" s="42">
        <v>44187</v>
      </c>
    </row>
    <row r="6066" spans="14:25">
      <c r="N6066" s="42">
        <v>44175</v>
      </c>
      <c r="O6066" t="s">
        <v>324</v>
      </c>
      <c r="P6066" s="42">
        <v>44175</v>
      </c>
      <c r="Q6066" t="s">
        <v>324</v>
      </c>
      <c r="R6066" t="s">
        <v>320</v>
      </c>
      <c r="S6066" t="s">
        <v>323</v>
      </c>
      <c r="T6066">
        <v>7.6</v>
      </c>
      <c r="Y6066" s="42">
        <v>44187</v>
      </c>
    </row>
    <row r="6067" spans="14:25">
      <c r="N6067" s="42">
        <v>44138</v>
      </c>
      <c r="O6067" t="s">
        <v>333</v>
      </c>
      <c r="P6067" s="42">
        <v>44138</v>
      </c>
      <c r="Q6067" t="s">
        <v>333</v>
      </c>
      <c r="R6067" t="s">
        <v>320</v>
      </c>
      <c r="S6067" t="s">
        <v>323</v>
      </c>
      <c r="U6067">
        <v>7.6</v>
      </c>
    </row>
    <row r="6068" spans="14:25">
      <c r="N6068" s="42">
        <v>44127</v>
      </c>
      <c r="O6068" t="s">
        <v>346</v>
      </c>
      <c r="P6068" s="42">
        <v>44127</v>
      </c>
      <c r="Q6068" t="s">
        <v>346</v>
      </c>
      <c r="R6068" t="s">
        <v>320</v>
      </c>
      <c r="S6068" t="s">
        <v>323</v>
      </c>
      <c r="U6068">
        <v>7.6</v>
      </c>
    </row>
    <row r="6069" spans="14:25">
      <c r="N6069" s="42">
        <v>44124</v>
      </c>
      <c r="O6069" t="s">
        <v>333</v>
      </c>
      <c r="P6069" s="42">
        <v>44124</v>
      </c>
      <c r="Q6069" t="s">
        <v>333</v>
      </c>
      <c r="R6069" t="s">
        <v>329</v>
      </c>
      <c r="S6069" t="s">
        <v>323</v>
      </c>
      <c r="T6069">
        <v>7.6</v>
      </c>
      <c r="W6069" t="s">
        <v>330</v>
      </c>
      <c r="Y6069" s="42">
        <v>44131</v>
      </c>
    </row>
    <row r="6070" spans="14:25">
      <c r="N6070" s="42">
        <v>44123</v>
      </c>
      <c r="O6070" t="s">
        <v>345</v>
      </c>
      <c r="P6070" s="42">
        <v>44123</v>
      </c>
      <c r="Q6070" t="s">
        <v>345</v>
      </c>
      <c r="R6070" t="s">
        <v>320</v>
      </c>
      <c r="S6070" t="s">
        <v>323</v>
      </c>
      <c r="T6070">
        <v>7.6</v>
      </c>
      <c r="Y6070" s="42">
        <v>44131</v>
      </c>
    </row>
    <row r="6071" spans="14:25">
      <c r="N6071" s="42">
        <v>44113</v>
      </c>
      <c r="O6071" t="s">
        <v>346</v>
      </c>
      <c r="P6071" s="42">
        <v>44113</v>
      </c>
      <c r="Q6071" t="s">
        <v>346</v>
      </c>
      <c r="R6071" t="s">
        <v>320</v>
      </c>
      <c r="S6071" t="s">
        <v>323</v>
      </c>
      <c r="T6071">
        <v>7.6</v>
      </c>
      <c r="Y6071" s="42">
        <v>44117</v>
      </c>
    </row>
    <row r="6072" spans="14:25">
      <c r="N6072" s="42">
        <v>44085</v>
      </c>
      <c r="O6072" t="s">
        <v>346</v>
      </c>
      <c r="P6072" s="42">
        <v>44085</v>
      </c>
      <c r="Q6072" t="s">
        <v>346</v>
      </c>
      <c r="R6072" t="s">
        <v>329</v>
      </c>
      <c r="S6072" t="s">
        <v>323</v>
      </c>
      <c r="T6072">
        <v>7.6</v>
      </c>
      <c r="W6072" t="s">
        <v>330</v>
      </c>
      <c r="Y6072" s="42">
        <v>44089</v>
      </c>
    </row>
    <row r="6073" spans="14:25">
      <c r="N6073" s="42">
        <v>44033</v>
      </c>
      <c r="O6073" t="s">
        <v>333</v>
      </c>
      <c r="P6073" s="42">
        <v>44033</v>
      </c>
      <c r="Q6073" t="s">
        <v>333</v>
      </c>
      <c r="R6073" t="s">
        <v>320</v>
      </c>
      <c r="S6073" t="s">
        <v>323</v>
      </c>
      <c r="T6073">
        <v>7.6</v>
      </c>
      <c r="Y6073" s="42">
        <v>44033</v>
      </c>
    </row>
    <row r="6074" spans="14:25">
      <c r="N6074" s="42">
        <v>44032</v>
      </c>
      <c r="O6074" t="s">
        <v>345</v>
      </c>
      <c r="P6074" s="42">
        <v>44032</v>
      </c>
      <c r="Q6074" t="s">
        <v>345</v>
      </c>
      <c r="R6074" t="s">
        <v>320</v>
      </c>
      <c r="S6074" t="s">
        <v>323</v>
      </c>
      <c r="T6074">
        <v>7.6</v>
      </c>
      <c r="Y6074" s="42">
        <v>44033</v>
      </c>
    </row>
    <row r="6075" spans="14:25">
      <c r="N6075" s="42">
        <v>43999</v>
      </c>
      <c r="O6075" t="s">
        <v>328</v>
      </c>
      <c r="P6075" s="42">
        <v>44001</v>
      </c>
      <c r="Q6075" t="s">
        <v>346</v>
      </c>
      <c r="R6075" t="s">
        <v>320</v>
      </c>
      <c r="S6075" t="s">
        <v>323</v>
      </c>
      <c r="T6075">
        <v>22.8</v>
      </c>
      <c r="V6075">
        <v>0</v>
      </c>
      <c r="Y6075" s="42">
        <v>44005</v>
      </c>
    </row>
    <row r="6076" spans="14:25">
      <c r="N6076" s="42">
        <v>43997</v>
      </c>
      <c r="O6076" t="s">
        <v>345</v>
      </c>
      <c r="P6076" s="42">
        <v>43998</v>
      </c>
      <c r="Q6076" t="s">
        <v>333</v>
      </c>
      <c r="R6076" t="s">
        <v>320</v>
      </c>
      <c r="S6076" t="s">
        <v>323</v>
      </c>
      <c r="T6076">
        <v>15.2</v>
      </c>
      <c r="Y6076" s="42">
        <v>44005</v>
      </c>
    </row>
    <row r="6077" spans="14:25">
      <c r="N6077" s="42">
        <v>43977</v>
      </c>
      <c r="O6077" t="s">
        <v>333</v>
      </c>
      <c r="P6077" s="42">
        <v>43977</v>
      </c>
      <c r="Q6077" t="s">
        <v>333</v>
      </c>
      <c r="R6077" t="s">
        <v>329</v>
      </c>
      <c r="S6077" t="s">
        <v>323</v>
      </c>
      <c r="T6077">
        <v>7.6</v>
      </c>
      <c r="W6077" t="s">
        <v>330</v>
      </c>
      <c r="Y6077" s="42">
        <v>43977</v>
      </c>
    </row>
    <row r="6078" spans="14:25">
      <c r="N6078" s="42">
        <v>43950</v>
      </c>
      <c r="O6078" t="s">
        <v>328</v>
      </c>
      <c r="P6078" s="42">
        <v>43950</v>
      </c>
      <c r="Q6078" t="s">
        <v>328</v>
      </c>
      <c r="R6078" t="s">
        <v>329</v>
      </c>
      <c r="S6078" t="s">
        <v>323</v>
      </c>
      <c r="T6078">
        <v>7.6</v>
      </c>
      <c r="W6078" t="s">
        <v>330</v>
      </c>
      <c r="Y6078" s="42">
        <v>43963</v>
      </c>
    </row>
    <row r="6079" spans="14:25">
      <c r="N6079" s="42">
        <v>43937</v>
      </c>
      <c r="O6079" t="s">
        <v>324</v>
      </c>
      <c r="P6079" s="42">
        <v>43937</v>
      </c>
      <c r="Q6079" t="s">
        <v>324</v>
      </c>
      <c r="R6079" t="s">
        <v>329</v>
      </c>
      <c r="S6079" t="s">
        <v>323</v>
      </c>
      <c r="T6079">
        <v>7.6</v>
      </c>
      <c r="W6079" t="s">
        <v>330</v>
      </c>
      <c r="Y6079" s="42">
        <v>43949</v>
      </c>
    </row>
    <row r="6080" spans="14:25">
      <c r="N6080" s="42">
        <v>43892</v>
      </c>
      <c r="O6080" t="s">
        <v>345</v>
      </c>
      <c r="P6080" s="42">
        <v>43892</v>
      </c>
      <c r="Q6080" t="s">
        <v>345</v>
      </c>
      <c r="R6080" t="s">
        <v>329</v>
      </c>
      <c r="S6080" t="s">
        <v>323</v>
      </c>
      <c r="T6080">
        <v>7.6</v>
      </c>
      <c r="W6080" t="s">
        <v>330</v>
      </c>
      <c r="Y6080" s="42">
        <v>43893</v>
      </c>
    </row>
    <row r="6081" spans="1:25">
      <c r="N6081" s="42">
        <v>43867</v>
      </c>
      <c r="O6081" t="s">
        <v>324</v>
      </c>
      <c r="P6081" s="42">
        <v>43867</v>
      </c>
      <c r="Q6081" t="s">
        <v>324</v>
      </c>
      <c r="R6081" t="s">
        <v>329</v>
      </c>
      <c r="S6081" t="s">
        <v>323</v>
      </c>
      <c r="T6081">
        <v>7.6</v>
      </c>
      <c r="W6081" t="s">
        <v>330</v>
      </c>
      <c r="Y6081" s="42">
        <v>43879</v>
      </c>
    </row>
    <row r="6082" spans="1:25">
      <c r="N6082" s="42">
        <v>43864</v>
      </c>
      <c r="O6082" t="s">
        <v>345</v>
      </c>
      <c r="P6082" s="42">
        <v>43864</v>
      </c>
      <c r="Q6082" t="s">
        <v>345</v>
      </c>
      <c r="R6082" t="s">
        <v>320</v>
      </c>
      <c r="S6082" t="s">
        <v>323</v>
      </c>
      <c r="T6082">
        <v>7.6</v>
      </c>
      <c r="Y6082" s="42">
        <v>43879</v>
      </c>
    </row>
    <row r="6083" spans="1:25">
      <c r="N6083" s="42">
        <v>43858</v>
      </c>
      <c r="O6083" t="s">
        <v>333</v>
      </c>
      <c r="P6083" s="42">
        <v>43858</v>
      </c>
      <c r="Q6083" t="s">
        <v>333</v>
      </c>
      <c r="R6083" t="s">
        <v>320</v>
      </c>
      <c r="S6083" t="s">
        <v>323</v>
      </c>
      <c r="T6083">
        <v>7.6</v>
      </c>
      <c r="Y6083" s="42">
        <v>43865</v>
      </c>
    </row>
    <row r="6084" spans="1:25">
      <c r="N6084" s="42">
        <v>43828</v>
      </c>
      <c r="O6084" t="s">
        <v>344</v>
      </c>
      <c r="P6084" s="42">
        <v>43828</v>
      </c>
      <c r="Q6084" t="s">
        <v>344</v>
      </c>
      <c r="R6084" t="s">
        <v>329</v>
      </c>
      <c r="S6084" t="s">
        <v>323</v>
      </c>
      <c r="T6084">
        <v>7.6</v>
      </c>
      <c r="W6084" t="s">
        <v>330</v>
      </c>
      <c r="Y6084" s="42">
        <v>43837</v>
      </c>
    </row>
    <row r="6085" spans="1:25">
      <c r="N6085" s="42">
        <v>43821</v>
      </c>
      <c r="O6085" t="s">
        <v>344</v>
      </c>
      <c r="P6085" s="42">
        <v>43823</v>
      </c>
      <c r="Q6085" t="s">
        <v>333</v>
      </c>
      <c r="R6085" t="s">
        <v>320</v>
      </c>
      <c r="S6085" t="s">
        <v>323</v>
      </c>
      <c r="T6085">
        <v>22.8</v>
      </c>
      <c r="Y6085" s="42">
        <v>43823</v>
      </c>
    </row>
    <row r="6086" spans="1:25">
      <c r="N6086" s="42">
        <v>43793</v>
      </c>
      <c r="O6086" t="s">
        <v>344</v>
      </c>
      <c r="P6086" s="42">
        <v>43793</v>
      </c>
      <c r="Q6086" t="s">
        <v>344</v>
      </c>
      <c r="R6086" t="s">
        <v>329</v>
      </c>
      <c r="S6086" t="s">
        <v>323</v>
      </c>
      <c r="T6086">
        <v>7.6</v>
      </c>
      <c r="W6086" t="s">
        <v>330</v>
      </c>
      <c r="Y6086" s="42">
        <v>43795</v>
      </c>
    </row>
    <row r="6087" spans="1:25">
      <c r="N6087" s="42">
        <v>43761</v>
      </c>
      <c r="O6087" t="s">
        <v>328</v>
      </c>
      <c r="P6087" s="42">
        <v>43761</v>
      </c>
      <c r="Q6087" t="s">
        <v>328</v>
      </c>
      <c r="R6087" t="s">
        <v>320</v>
      </c>
      <c r="S6087" t="s">
        <v>323</v>
      </c>
      <c r="T6087">
        <v>7.6</v>
      </c>
      <c r="Y6087" s="42">
        <v>43767</v>
      </c>
    </row>
    <row r="6088" spans="1:25">
      <c r="N6088" s="42">
        <v>43759</v>
      </c>
      <c r="O6088" t="s">
        <v>345</v>
      </c>
      <c r="P6088" s="42">
        <v>43759</v>
      </c>
      <c r="Q6088" t="s">
        <v>345</v>
      </c>
      <c r="R6088" t="s">
        <v>320</v>
      </c>
      <c r="S6088" t="s">
        <v>323</v>
      </c>
      <c r="T6088">
        <v>7.6</v>
      </c>
      <c r="Y6088" s="42">
        <v>43767</v>
      </c>
    </row>
    <row r="6089" spans="1:25">
      <c r="N6089" s="42">
        <v>43753</v>
      </c>
      <c r="O6089" t="s">
        <v>333</v>
      </c>
      <c r="P6089" s="42">
        <v>43753</v>
      </c>
      <c r="Q6089" t="s">
        <v>333</v>
      </c>
      <c r="R6089" t="s">
        <v>329</v>
      </c>
      <c r="S6089" t="s">
        <v>323</v>
      </c>
      <c r="T6089">
        <v>7.6</v>
      </c>
      <c r="W6089" t="s">
        <v>330</v>
      </c>
      <c r="Y6089" s="42">
        <v>43753</v>
      </c>
    </row>
    <row r="6090" spans="1:25">
      <c r="N6090" s="42">
        <v>43720</v>
      </c>
      <c r="O6090" t="s">
        <v>324</v>
      </c>
      <c r="P6090" s="42">
        <v>43720</v>
      </c>
      <c r="Q6090" t="s">
        <v>324</v>
      </c>
      <c r="R6090" t="s">
        <v>329</v>
      </c>
      <c r="S6090" t="s">
        <v>323</v>
      </c>
      <c r="T6090">
        <v>7.6</v>
      </c>
      <c r="W6090" t="s">
        <v>330</v>
      </c>
      <c r="Y6090" s="42">
        <v>43725</v>
      </c>
    </row>
    <row r="6091" spans="1:25">
      <c r="N6091" s="42">
        <v>43695</v>
      </c>
      <c r="O6091" t="s">
        <v>344</v>
      </c>
      <c r="P6091" s="42">
        <v>43695</v>
      </c>
      <c r="Q6091" t="s">
        <v>344</v>
      </c>
      <c r="R6091" t="s">
        <v>329</v>
      </c>
      <c r="S6091" t="s">
        <v>323</v>
      </c>
      <c r="T6091">
        <v>7.6</v>
      </c>
      <c r="W6091" t="s">
        <v>330</v>
      </c>
      <c r="Y6091" s="42">
        <v>43697</v>
      </c>
    </row>
    <row r="6092" spans="1:25">
      <c r="N6092" s="42">
        <v>43670</v>
      </c>
      <c r="O6092" t="s">
        <v>328</v>
      </c>
      <c r="P6092" s="42">
        <v>43675</v>
      </c>
      <c r="Q6092" t="s">
        <v>345</v>
      </c>
      <c r="R6092" t="s">
        <v>320</v>
      </c>
      <c r="S6092" t="s">
        <v>323</v>
      </c>
      <c r="T6092">
        <v>30.4</v>
      </c>
      <c r="Y6092" s="42">
        <v>43683</v>
      </c>
    </row>
    <row r="6093" spans="1:25">
      <c r="N6093" s="42">
        <v>43660</v>
      </c>
      <c r="O6093" t="s">
        <v>344</v>
      </c>
      <c r="P6093" s="42">
        <v>43669</v>
      </c>
      <c r="Q6093" t="s">
        <v>333</v>
      </c>
      <c r="R6093" t="s">
        <v>320</v>
      </c>
      <c r="S6093" t="s">
        <v>323</v>
      </c>
      <c r="T6093">
        <v>60.8</v>
      </c>
      <c r="Y6093" s="42">
        <v>43669</v>
      </c>
    </row>
    <row r="6094" spans="1:25">
      <c r="A6094">
        <v>18831</v>
      </c>
      <c r="B6094" t="s">
        <v>417</v>
      </c>
      <c r="C6094" t="s">
        <v>320</v>
      </c>
      <c r="D6094" t="s">
        <v>321</v>
      </c>
      <c r="E6094" t="s">
        <v>322</v>
      </c>
      <c r="F6094">
        <v>1</v>
      </c>
      <c r="G6094" s="42">
        <v>45091</v>
      </c>
      <c r="H6094">
        <v>43.376899999999999</v>
      </c>
      <c r="I6094">
        <v>-27.944700000000001</v>
      </c>
      <c r="J6094">
        <v>43.376899999999999</v>
      </c>
      <c r="K6094">
        <v>15.4322</v>
      </c>
      <c r="L6094" t="s">
        <v>323</v>
      </c>
      <c r="M6094" s="43">
        <v>0.17013888888888887</v>
      </c>
      <c r="N6094" s="42">
        <v>44952</v>
      </c>
      <c r="O6094" t="s">
        <v>324</v>
      </c>
      <c r="P6094" s="42">
        <v>44952</v>
      </c>
      <c r="Q6094" t="s">
        <v>324</v>
      </c>
      <c r="R6094" t="s">
        <v>320</v>
      </c>
      <c r="S6094" t="s">
        <v>323</v>
      </c>
      <c r="U6094">
        <v>7.6</v>
      </c>
    </row>
    <row r="6095" spans="1:25">
      <c r="C6095" t="s">
        <v>325</v>
      </c>
      <c r="D6095" t="s">
        <v>326</v>
      </c>
      <c r="E6095" t="s">
        <v>327</v>
      </c>
      <c r="F6095">
        <v>1</v>
      </c>
      <c r="G6095" s="42">
        <v>47018</v>
      </c>
      <c r="H6095">
        <v>43.834800000000001</v>
      </c>
      <c r="I6095">
        <v>0</v>
      </c>
      <c r="J6095">
        <v>43.834800000000001</v>
      </c>
      <c r="K6095">
        <v>43.834800000000001</v>
      </c>
      <c r="L6095" t="s">
        <v>323</v>
      </c>
      <c r="N6095" s="42">
        <v>44934</v>
      </c>
      <c r="O6095" t="s">
        <v>344</v>
      </c>
      <c r="P6095" s="42">
        <v>44934</v>
      </c>
      <c r="Q6095" t="s">
        <v>344</v>
      </c>
      <c r="R6095" t="s">
        <v>320</v>
      </c>
      <c r="S6095" t="s">
        <v>323</v>
      </c>
      <c r="T6095">
        <v>1.5</v>
      </c>
      <c r="Y6095" s="42">
        <v>44943</v>
      </c>
    </row>
    <row r="6096" spans="1:25">
      <c r="C6096" t="s">
        <v>329</v>
      </c>
      <c r="D6096" t="s">
        <v>331</v>
      </c>
      <c r="E6096" t="s">
        <v>332</v>
      </c>
      <c r="F6096">
        <v>1</v>
      </c>
      <c r="G6096" s="42">
        <v>45091</v>
      </c>
      <c r="H6096">
        <v>21.688500000000001</v>
      </c>
      <c r="I6096">
        <v>-10.049200000000001</v>
      </c>
      <c r="J6096">
        <v>21.688500000000001</v>
      </c>
      <c r="K6096">
        <v>11.6393</v>
      </c>
      <c r="L6096" t="s">
        <v>323</v>
      </c>
      <c r="N6096" s="42">
        <v>44927</v>
      </c>
      <c r="O6096" t="s">
        <v>344</v>
      </c>
      <c r="P6096" s="42">
        <v>44927</v>
      </c>
      <c r="Q6096" t="s">
        <v>344</v>
      </c>
      <c r="R6096" t="s">
        <v>320</v>
      </c>
      <c r="S6096" t="s">
        <v>323</v>
      </c>
      <c r="U6096">
        <v>7.6</v>
      </c>
    </row>
    <row r="6097" spans="14:25">
      <c r="N6097" s="42">
        <v>44925</v>
      </c>
      <c r="O6097" t="s">
        <v>346</v>
      </c>
      <c r="P6097" s="42">
        <v>44925</v>
      </c>
      <c r="Q6097" t="s">
        <v>346</v>
      </c>
      <c r="R6097" t="s">
        <v>320</v>
      </c>
      <c r="S6097" t="s">
        <v>323</v>
      </c>
      <c r="T6097">
        <v>7.6</v>
      </c>
      <c r="Y6097" s="42">
        <v>44929</v>
      </c>
    </row>
    <row r="6098" spans="14:25">
      <c r="N6098" s="42">
        <v>44924</v>
      </c>
      <c r="O6098" t="s">
        <v>324</v>
      </c>
      <c r="P6098" s="42">
        <v>44924</v>
      </c>
      <c r="Q6098" t="s">
        <v>324</v>
      </c>
      <c r="R6098" t="s">
        <v>320</v>
      </c>
      <c r="S6098" t="s">
        <v>323</v>
      </c>
      <c r="T6098">
        <v>7.6</v>
      </c>
      <c r="Y6098" s="42">
        <v>44929</v>
      </c>
    </row>
    <row r="6099" spans="14:25">
      <c r="N6099" s="42">
        <v>44920</v>
      </c>
      <c r="O6099" t="s">
        <v>344</v>
      </c>
      <c r="P6099" s="42">
        <v>44920</v>
      </c>
      <c r="Q6099" t="s">
        <v>344</v>
      </c>
      <c r="R6099" t="s">
        <v>320</v>
      </c>
      <c r="S6099" t="s">
        <v>323</v>
      </c>
      <c r="U6099">
        <v>7.6</v>
      </c>
    </row>
    <row r="6100" spans="14:25">
      <c r="N6100" s="42">
        <v>44911</v>
      </c>
      <c r="O6100" t="s">
        <v>346</v>
      </c>
      <c r="P6100" s="42">
        <v>44911</v>
      </c>
      <c r="Q6100" t="s">
        <v>346</v>
      </c>
      <c r="R6100" t="s">
        <v>329</v>
      </c>
      <c r="S6100" t="s">
        <v>323</v>
      </c>
      <c r="T6100">
        <v>3.7166999999999999</v>
      </c>
      <c r="W6100" t="s">
        <v>330</v>
      </c>
      <c r="Y6100" s="42">
        <v>44915</v>
      </c>
    </row>
    <row r="6101" spans="14:25">
      <c r="N6101" s="42">
        <v>44903</v>
      </c>
      <c r="O6101" t="s">
        <v>324</v>
      </c>
      <c r="P6101" s="42">
        <v>44903</v>
      </c>
      <c r="Q6101" t="s">
        <v>324</v>
      </c>
      <c r="R6101" t="s">
        <v>320</v>
      </c>
      <c r="S6101" t="s">
        <v>323</v>
      </c>
      <c r="T6101">
        <v>7.6</v>
      </c>
      <c r="Y6101" s="42">
        <v>44915</v>
      </c>
    </row>
    <row r="6102" spans="14:25">
      <c r="N6102" s="42">
        <v>44890</v>
      </c>
      <c r="O6102" t="s">
        <v>346</v>
      </c>
      <c r="P6102" s="42">
        <v>44890</v>
      </c>
      <c r="Q6102" t="s">
        <v>346</v>
      </c>
      <c r="R6102" t="s">
        <v>329</v>
      </c>
      <c r="S6102" t="s">
        <v>323</v>
      </c>
      <c r="T6102">
        <v>4</v>
      </c>
      <c r="W6102" t="s">
        <v>330</v>
      </c>
      <c r="Y6102" s="42">
        <v>44901</v>
      </c>
    </row>
    <row r="6103" spans="14:25">
      <c r="N6103" s="42">
        <v>44885</v>
      </c>
      <c r="O6103" t="s">
        <v>344</v>
      </c>
      <c r="P6103" s="42">
        <v>44885</v>
      </c>
      <c r="Q6103" t="s">
        <v>344</v>
      </c>
      <c r="R6103" t="s">
        <v>320</v>
      </c>
      <c r="S6103" t="s">
        <v>323</v>
      </c>
      <c r="T6103">
        <v>7.6</v>
      </c>
      <c r="Y6103" s="42">
        <v>44887</v>
      </c>
    </row>
    <row r="6104" spans="14:25">
      <c r="N6104" s="42">
        <v>44841</v>
      </c>
      <c r="O6104" t="s">
        <v>346</v>
      </c>
      <c r="P6104" s="42">
        <v>44841</v>
      </c>
      <c r="Q6104" t="s">
        <v>346</v>
      </c>
      <c r="R6104" t="s">
        <v>329</v>
      </c>
      <c r="S6104" t="s">
        <v>323</v>
      </c>
      <c r="T6104">
        <v>7.6</v>
      </c>
      <c r="W6104" t="s">
        <v>330</v>
      </c>
      <c r="Y6104" s="42">
        <v>44845</v>
      </c>
    </row>
    <row r="6105" spans="14:25">
      <c r="N6105" s="42">
        <v>44840</v>
      </c>
      <c r="O6105" t="s">
        <v>324</v>
      </c>
      <c r="P6105" s="42">
        <v>44840</v>
      </c>
      <c r="Q6105" t="s">
        <v>324</v>
      </c>
      <c r="R6105" t="s">
        <v>329</v>
      </c>
      <c r="S6105" t="s">
        <v>323</v>
      </c>
      <c r="T6105">
        <v>7.6</v>
      </c>
      <c r="W6105" t="s">
        <v>330</v>
      </c>
      <c r="Y6105" s="42">
        <v>44845</v>
      </c>
    </row>
    <row r="6106" spans="14:25">
      <c r="N6106" s="42">
        <v>44834</v>
      </c>
      <c r="O6106" t="s">
        <v>346</v>
      </c>
      <c r="P6106" s="42">
        <v>44834</v>
      </c>
      <c r="Q6106" t="s">
        <v>346</v>
      </c>
      <c r="R6106" t="s">
        <v>329</v>
      </c>
      <c r="S6106" t="s">
        <v>323</v>
      </c>
      <c r="T6106">
        <v>2</v>
      </c>
      <c r="W6106" t="s">
        <v>330</v>
      </c>
      <c r="Y6106" s="42">
        <v>44845</v>
      </c>
    </row>
    <row r="6107" spans="14:25">
      <c r="N6107" s="42">
        <v>44833</v>
      </c>
      <c r="O6107" t="s">
        <v>324</v>
      </c>
      <c r="P6107" s="42">
        <v>44833</v>
      </c>
      <c r="Q6107" t="s">
        <v>324</v>
      </c>
      <c r="R6107" t="s">
        <v>329</v>
      </c>
      <c r="S6107" t="s">
        <v>323</v>
      </c>
      <c r="T6107">
        <v>2</v>
      </c>
      <c r="W6107" t="s">
        <v>330</v>
      </c>
      <c r="Y6107" s="42">
        <v>44845</v>
      </c>
    </row>
    <row r="6108" spans="14:25">
      <c r="N6108" s="42">
        <v>44826</v>
      </c>
      <c r="O6108" t="s">
        <v>324</v>
      </c>
      <c r="P6108" s="42">
        <v>44826</v>
      </c>
      <c r="Q6108" t="s">
        <v>324</v>
      </c>
      <c r="R6108" t="s">
        <v>320</v>
      </c>
      <c r="S6108" t="s">
        <v>323</v>
      </c>
      <c r="U6108">
        <v>7.6</v>
      </c>
    </row>
    <row r="6109" spans="14:25">
      <c r="N6109" s="42">
        <v>44792</v>
      </c>
      <c r="O6109" t="s">
        <v>346</v>
      </c>
      <c r="P6109" s="42">
        <v>44792</v>
      </c>
      <c r="Q6109" t="s">
        <v>346</v>
      </c>
      <c r="R6109" t="s">
        <v>320</v>
      </c>
      <c r="S6109" t="s">
        <v>323</v>
      </c>
      <c r="T6109">
        <v>2.5</v>
      </c>
      <c r="Y6109" s="42">
        <v>44803</v>
      </c>
    </row>
    <row r="6110" spans="14:25">
      <c r="N6110" s="42">
        <v>44773</v>
      </c>
      <c r="O6110" t="s">
        <v>344</v>
      </c>
      <c r="P6110" s="42">
        <v>44773</v>
      </c>
      <c r="Q6110" t="s">
        <v>344</v>
      </c>
      <c r="R6110" t="s">
        <v>320</v>
      </c>
      <c r="S6110" t="s">
        <v>323</v>
      </c>
      <c r="T6110">
        <v>7.6</v>
      </c>
      <c r="Y6110" s="42">
        <v>44775</v>
      </c>
    </row>
    <row r="6111" spans="14:25">
      <c r="N6111" s="42">
        <v>44749</v>
      </c>
      <c r="O6111" t="s">
        <v>324</v>
      </c>
      <c r="P6111" s="42">
        <v>44749</v>
      </c>
      <c r="Q6111" t="s">
        <v>324</v>
      </c>
      <c r="R6111" t="s">
        <v>329</v>
      </c>
      <c r="S6111" t="s">
        <v>323</v>
      </c>
      <c r="T6111">
        <v>7.6</v>
      </c>
      <c r="W6111" t="s">
        <v>330</v>
      </c>
      <c r="Y6111" s="42">
        <v>44761</v>
      </c>
    </row>
    <row r="6112" spans="14:25">
      <c r="N6112" s="42">
        <v>44693</v>
      </c>
      <c r="O6112" t="s">
        <v>324</v>
      </c>
      <c r="P6112" s="42">
        <v>44693</v>
      </c>
      <c r="Q6112" t="s">
        <v>324</v>
      </c>
      <c r="R6112" t="s">
        <v>320</v>
      </c>
      <c r="S6112" t="s">
        <v>323</v>
      </c>
      <c r="T6112">
        <v>7.6</v>
      </c>
      <c r="Y6112" s="42">
        <v>44705</v>
      </c>
    </row>
    <row r="6113" spans="14:25">
      <c r="N6113" s="42">
        <v>44689</v>
      </c>
      <c r="O6113" t="s">
        <v>344</v>
      </c>
      <c r="P6113" s="42">
        <v>44689</v>
      </c>
      <c r="Q6113" t="s">
        <v>344</v>
      </c>
      <c r="R6113" t="s">
        <v>320</v>
      </c>
      <c r="S6113" t="s">
        <v>323</v>
      </c>
      <c r="T6113">
        <v>7.6</v>
      </c>
      <c r="Y6113" s="42">
        <v>44691</v>
      </c>
    </row>
    <row r="6114" spans="14:25">
      <c r="N6114" s="42">
        <v>44687</v>
      </c>
      <c r="O6114" t="s">
        <v>346</v>
      </c>
      <c r="P6114" s="42">
        <v>44687</v>
      </c>
      <c r="Q6114" t="s">
        <v>346</v>
      </c>
      <c r="R6114" t="s">
        <v>320</v>
      </c>
      <c r="S6114" t="s">
        <v>323</v>
      </c>
      <c r="T6114">
        <v>7.6</v>
      </c>
      <c r="Y6114" s="42">
        <v>44691</v>
      </c>
    </row>
    <row r="6115" spans="14:25">
      <c r="N6115" s="42">
        <v>44686</v>
      </c>
      <c r="O6115" t="s">
        <v>324</v>
      </c>
      <c r="P6115" s="42">
        <v>44686</v>
      </c>
      <c r="Q6115" t="s">
        <v>324</v>
      </c>
      <c r="R6115" t="s">
        <v>320</v>
      </c>
      <c r="S6115" t="s">
        <v>323</v>
      </c>
      <c r="T6115">
        <v>7.6</v>
      </c>
      <c r="Y6115" s="42">
        <v>44691</v>
      </c>
    </row>
    <row r="6116" spans="14:25">
      <c r="N6116" s="42">
        <v>44682</v>
      </c>
      <c r="O6116" t="s">
        <v>344</v>
      </c>
      <c r="P6116" s="42">
        <v>44682</v>
      </c>
      <c r="Q6116" t="s">
        <v>344</v>
      </c>
      <c r="R6116" t="s">
        <v>320</v>
      </c>
      <c r="S6116" t="s">
        <v>323</v>
      </c>
      <c r="T6116">
        <v>7.6</v>
      </c>
      <c r="Y6116" s="42">
        <v>44691</v>
      </c>
    </row>
    <row r="6117" spans="14:25">
      <c r="N6117" s="42">
        <v>44680</v>
      </c>
      <c r="O6117" t="s">
        <v>346</v>
      </c>
      <c r="P6117" s="42">
        <v>44680</v>
      </c>
      <c r="Q6117" t="s">
        <v>346</v>
      </c>
      <c r="R6117" t="s">
        <v>320</v>
      </c>
      <c r="S6117" t="s">
        <v>323</v>
      </c>
      <c r="T6117">
        <v>7.6</v>
      </c>
      <c r="Y6117" s="42">
        <v>44691</v>
      </c>
    </row>
    <row r="6118" spans="14:25">
      <c r="N6118" s="42">
        <v>44679</v>
      </c>
      <c r="O6118" t="s">
        <v>324</v>
      </c>
      <c r="P6118" s="42">
        <v>44679</v>
      </c>
      <c r="Q6118" t="s">
        <v>324</v>
      </c>
      <c r="R6118" t="s">
        <v>320</v>
      </c>
      <c r="S6118" t="s">
        <v>323</v>
      </c>
      <c r="T6118">
        <v>7.6</v>
      </c>
      <c r="Y6118" s="42">
        <v>44691</v>
      </c>
    </row>
    <row r="6119" spans="14:25">
      <c r="N6119" s="42">
        <v>44675</v>
      </c>
      <c r="O6119" t="s">
        <v>344</v>
      </c>
      <c r="P6119" s="42">
        <v>44675</v>
      </c>
      <c r="Q6119" t="s">
        <v>344</v>
      </c>
      <c r="R6119" t="s">
        <v>320</v>
      </c>
      <c r="S6119" t="s">
        <v>323</v>
      </c>
      <c r="T6119">
        <v>7.6</v>
      </c>
      <c r="Y6119" s="42">
        <v>44677</v>
      </c>
    </row>
    <row r="6120" spans="14:25">
      <c r="N6120" s="42">
        <v>44673</v>
      </c>
      <c r="O6120" t="s">
        <v>346</v>
      </c>
      <c r="P6120" s="42">
        <v>44673</v>
      </c>
      <c r="Q6120" t="s">
        <v>346</v>
      </c>
      <c r="R6120" t="s">
        <v>320</v>
      </c>
      <c r="S6120" t="s">
        <v>323</v>
      </c>
      <c r="T6120">
        <v>7.6</v>
      </c>
      <c r="Y6120" s="42">
        <v>44677</v>
      </c>
    </row>
    <row r="6121" spans="14:25">
      <c r="N6121" s="42">
        <v>44672</v>
      </c>
      <c r="O6121" t="s">
        <v>324</v>
      </c>
      <c r="P6121" s="42">
        <v>44672</v>
      </c>
      <c r="Q6121" t="s">
        <v>324</v>
      </c>
      <c r="R6121" t="s">
        <v>320</v>
      </c>
      <c r="S6121" t="s">
        <v>323</v>
      </c>
      <c r="T6121">
        <v>7.6</v>
      </c>
      <c r="Y6121" s="42">
        <v>44677</v>
      </c>
    </row>
    <row r="6122" spans="14:25">
      <c r="N6122" s="42">
        <v>44668</v>
      </c>
      <c r="O6122" t="s">
        <v>344</v>
      </c>
      <c r="P6122" s="42">
        <v>44668</v>
      </c>
      <c r="Q6122" t="s">
        <v>344</v>
      </c>
      <c r="R6122" t="s">
        <v>320</v>
      </c>
      <c r="S6122" t="s">
        <v>323</v>
      </c>
      <c r="U6122">
        <v>7.6</v>
      </c>
    </row>
    <row r="6123" spans="14:25">
      <c r="N6123" s="42">
        <v>44666</v>
      </c>
      <c r="O6123" t="s">
        <v>346</v>
      </c>
      <c r="P6123" s="42">
        <v>44666</v>
      </c>
      <c r="Q6123" t="s">
        <v>346</v>
      </c>
      <c r="R6123" t="s">
        <v>320</v>
      </c>
      <c r="S6123" t="s">
        <v>323</v>
      </c>
      <c r="U6123">
        <v>7.6</v>
      </c>
    </row>
    <row r="6124" spans="14:25">
      <c r="N6124" s="42">
        <v>44665</v>
      </c>
      <c r="O6124" t="s">
        <v>324</v>
      </c>
      <c r="P6124" s="42">
        <v>44665</v>
      </c>
      <c r="Q6124" t="s">
        <v>324</v>
      </c>
      <c r="R6124" t="s">
        <v>320</v>
      </c>
      <c r="S6124" t="s">
        <v>323</v>
      </c>
      <c r="T6124">
        <v>7.6</v>
      </c>
      <c r="Y6124" s="42">
        <v>44677</v>
      </c>
    </row>
    <row r="6125" spans="14:25">
      <c r="N6125" s="42">
        <v>44560</v>
      </c>
      <c r="O6125" t="s">
        <v>324</v>
      </c>
      <c r="P6125" s="42">
        <v>44560</v>
      </c>
      <c r="Q6125" t="s">
        <v>324</v>
      </c>
      <c r="R6125" t="s">
        <v>329</v>
      </c>
      <c r="S6125" t="s">
        <v>323</v>
      </c>
      <c r="T6125">
        <v>7.6</v>
      </c>
      <c r="W6125" t="s">
        <v>330</v>
      </c>
      <c r="Y6125" s="42">
        <v>44565</v>
      </c>
    </row>
    <row r="6126" spans="14:25">
      <c r="N6126" s="42">
        <v>44556</v>
      </c>
      <c r="O6126" t="s">
        <v>344</v>
      </c>
      <c r="P6126" s="42">
        <v>44556</v>
      </c>
      <c r="Q6126" t="s">
        <v>344</v>
      </c>
      <c r="R6126" t="s">
        <v>320</v>
      </c>
      <c r="S6126" t="s">
        <v>323</v>
      </c>
      <c r="U6126">
        <v>7.6</v>
      </c>
    </row>
    <row r="6127" spans="14:25">
      <c r="N6127" s="42">
        <v>44553</v>
      </c>
      <c r="O6127" t="s">
        <v>324</v>
      </c>
      <c r="P6127" s="42">
        <v>44553</v>
      </c>
      <c r="Q6127" t="s">
        <v>324</v>
      </c>
      <c r="R6127" t="s">
        <v>320</v>
      </c>
      <c r="S6127" t="s">
        <v>323</v>
      </c>
      <c r="T6127">
        <v>3</v>
      </c>
      <c r="Y6127" s="42">
        <v>44565</v>
      </c>
    </row>
    <row r="6128" spans="14:25">
      <c r="N6128" s="42">
        <v>44547</v>
      </c>
      <c r="O6128" t="s">
        <v>346</v>
      </c>
      <c r="P6128" s="42">
        <v>44547</v>
      </c>
      <c r="Q6128" t="s">
        <v>346</v>
      </c>
      <c r="R6128" t="s">
        <v>320</v>
      </c>
      <c r="S6128" t="s">
        <v>323</v>
      </c>
      <c r="T6128">
        <v>7.6</v>
      </c>
      <c r="Y6128" s="42">
        <v>44551</v>
      </c>
    </row>
    <row r="6129" spans="14:25">
      <c r="N6129" s="42">
        <v>44542</v>
      </c>
      <c r="O6129" t="s">
        <v>344</v>
      </c>
      <c r="P6129" s="42">
        <v>44542</v>
      </c>
      <c r="Q6129" t="s">
        <v>344</v>
      </c>
      <c r="R6129" t="s">
        <v>320</v>
      </c>
      <c r="S6129" t="s">
        <v>323</v>
      </c>
      <c r="T6129">
        <v>7.6</v>
      </c>
      <c r="Y6129" s="42">
        <v>44551</v>
      </c>
    </row>
    <row r="6130" spans="14:25">
      <c r="N6130" s="42">
        <v>44528</v>
      </c>
      <c r="O6130" t="s">
        <v>344</v>
      </c>
      <c r="P6130" s="42">
        <v>44528</v>
      </c>
      <c r="Q6130" t="s">
        <v>344</v>
      </c>
      <c r="R6130" t="s">
        <v>338</v>
      </c>
      <c r="S6130" t="s">
        <v>323</v>
      </c>
      <c r="T6130">
        <v>7.6</v>
      </c>
      <c r="W6130" t="s">
        <v>330</v>
      </c>
      <c r="Y6130" s="42">
        <v>44537</v>
      </c>
    </row>
    <row r="6131" spans="14:25">
      <c r="N6131" s="42">
        <v>44483</v>
      </c>
      <c r="O6131" t="s">
        <v>324</v>
      </c>
      <c r="P6131" s="42">
        <v>44483</v>
      </c>
      <c r="Q6131" t="s">
        <v>324</v>
      </c>
      <c r="R6131" t="s">
        <v>320</v>
      </c>
      <c r="S6131" t="s">
        <v>323</v>
      </c>
      <c r="T6131">
        <v>3</v>
      </c>
      <c r="Y6131" s="42">
        <v>44495</v>
      </c>
    </row>
    <row r="6132" spans="14:25">
      <c r="N6132" s="42">
        <v>44409</v>
      </c>
      <c r="O6132" t="s">
        <v>344</v>
      </c>
      <c r="P6132" s="42">
        <v>44409</v>
      </c>
      <c r="Q6132" t="s">
        <v>344</v>
      </c>
      <c r="R6132" t="s">
        <v>329</v>
      </c>
      <c r="S6132" t="s">
        <v>323</v>
      </c>
      <c r="T6132">
        <v>7.6</v>
      </c>
      <c r="W6132" t="s">
        <v>330</v>
      </c>
      <c r="Y6132" s="42">
        <v>44411</v>
      </c>
    </row>
    <row r="6133" spans="14:25">
      <c r="N6133" s="42">
        <v>44386</v>
      </c>
      <c r="O6133" t="s">
        <v>346</v>
      </c>
      <c r="P6133" s="42">
        <v>44386</v>
      </c>
      <c r="Q6133" t="s">
        <v>346</v>
      </c>
      <c r="R6133" t="s">
        <v>329</v>
      </c>
      <c r="S6133" t="s">
        <v>323</v>
      </c>
      <c r="T6133">
        <v>7.6</v>
      </c>
      <c r="W6133" t="s">
        <v>330</v>
      </c>
      <c r="Y6133" s="42">
        <v>44397</v>
      </c>
    </row>
    <row r="6134" spans="14:25">
      <c r="N6134" s="42">
        <v>44372</v>
      </c>
      <c r="O6134" t="s">
        <v>346</v>
      </c>
      <c r="P6134" s="42">
        <v>44372</v>
      </c>
      <c r="Q6134" t="s">
        <v>346</v>
      </c>
      <c r="R6134" t="s">
        <v>320</v>
      </c>
      <c r="S6134" t="s">
        <v>323</v>
      </c>
      <c r="T6134">
        <v>7.6</v>
      </c>
      <c r="Y6134" s="42">
        <v>44383</v>
      </c>
    </row>
    <row r="6135" spans="14:25">
      <c r="N6135" s="42">
        <v>44311</v>
      </c>
      <c r="O6135" t="s">
        <v>344</v>
      </c>
      <c r="P6135" s="42">
        <v>44311</v>
      </c>
      <c r="Q6135" t="s">
        <v>344</v>
      </c>
      <c r="R6135" t="s">
        <v>320</v>
      </c>
      <c r="S6135" t="s">
        <v>323</v>
      </c>
      <c r="U6135">
        <v>7.6</v>
      </c>
    </row>
    <row r="6136" spans="14:25">
      <c r="N6136" s="42">
        <v>44308</v>
      </c>
      <c r="O6136" t="s">
        <v>324</v>
      </c>
      <c r="P6136" s="42">
        <v>44308</v>
      </c>
      <c r="Q6136" t="s">
        <v>324</v>
      </c>
      <c r="R6136" t="s">
        <v>320</v>
      </c>
      <c r="S6136" t="s">
        <v>323</v>
      </c>
      <c r="T6136">
        <v>7.6</v>
      </c>
      <c r="Y6136" s="42">
        <v>44313</v>
      </c>
    </row>
    <row r="6137" spans="14:25">
      <c r="N6137" s="42">
        <v>44304</v>
      </c>
      <c r="O6137" t="s">
        <v>344</v>
      </c>
      <c r="P6137" s="42">
        <v>44304</v>
      </c>
      <c r="Q6137" t="s">
        <v>344</v>
      </c>
      <c r="R6137" t="s">
        <v>320</v>
      </c>
      <c r="S6137" t="s">
        <v>323</v>
      </c>
      <c r="T6137">
        <v>7.6</v>
      </c>
      <c r="Y6137" s="42">
        <v>44313</v>
      </c>
    </row>
    <row r="6138" spans="14:25">
      <c r="N6138" s="42">
        <v>44290</v>
      </c>
      <c r="O6138" t="s">
        <v>344</v>
      </c>
      <c r="P6138" s="42">
        <v>44290</v>
      </c>
      <c r="Q6138" t="s">
        <v>344</v>
      </c>
      <c r="R6138" t="s">
        <v>320</v>
      </c>
      <c r="S6138" t="s">
        <v>323</v>
      </c>
      <c r="U6138">
        <v>7.6</v>
      </c>
    </row>
    <row r="6139" spans="14:25">
      <c r="N6139" s="42">
        <v>44288</v>
      </c>
      <c r="O6139" t="s">
        <v>346</v>
      </c>
      <c r="P6139" s="42">
        <v>44288</v>
      </c>
      <c r="Q6139" t="s">
        <v>346</v>
      </c>
      <c r="R6139" t="s">
        <v>320</v>
      </c>
      <c r="S6139" t="s">
        <v>323</v>
      </c>
      <c r="U6139">
        <v>7.6</v>
      </c>
    </row>
    <row r="6140" spans="14:25">
      <c r="N6140" s="42">
        <v>44197</v>
      </c>
      <c r="O6140" t="s">
        <v>346</v>
      </c>
      <c r="P6140" s="42">
        <v>44197</v>
      </c>
      <c r="Q6140" t="s">
        <v>346</v>
      </c>
      <c r="R6140" t="s">
        <v>320</v>
      </c>
      <c r="S6140" t="s">
        <v>323</v>
      </c>
      <c r="U6140">
        <v>7.6</v>
      </c>
    </row>
    <row r="6141" spans="14:25">
      <c r="N6141" s="42">
        <v>44193</v>
      </c>
      <c r="O6141" t="s">
        <v>345</v>
      </c>
      <c r="P6141" s="42">
        <v>44193</v>
      </c>
      <c r="Q6141" t="s">
        <v>345</v>
      </c>
      <c r="R6141" t="s">
        <v>320</v>
      </c>
      <c r="S6141" t="s">
        <v>323</v>
      </c>
      <c r="U6141">
        <v>7.6</v>
      </c>
    </row>
    <row r="6142" spans="14:25">
      <c r="N6142" s="42">
        <v>44190</v>
      </c>
      <c r="O6142" t="s">
        <v>346</v>
      </c>
      <c r="P6142" s="42">
        <v>44190</v>
      </c>
      <c r="Q6142" t="s">
        <v>346</v>
      </c>
      <c r="R6142" t="s">
        <v>320</v>
      </c>
      <c r="S6142" t="s">
        <v>323</v>
      </c>
      <c r="U6142">
        <v>7.6</v>
      </c>
    </row>
    <row r="6143" spans="14:25">
      <c r="N6143" s="42">
        <v>44183</v>
      </c>
      <c r="O6143" t="s">
        <v>346</v>
      </c>
      <c r="P6143" s="42">
        <v>44183</v>
      </c>
      <c r="Q6143" t="s">
        <v>346</v>
      </c>
      <c r="R6143" t="s">
        <v>320</v>
      </c>
      <c r="S6143" t="s">
        <v>323</v>
      </c>
      <c r="T6143">
        <v>7.6</v>
      </c>
      <c r="Y6143" s="42">
        <v>44187</v>
      </c>
    </row>
    <row r="6144" spans="14:25">
      <c r="N6144" s="42">
        <v>44162</v>
      </c>
      <c r="O6144" t="s">
        <v>346</v>
      </c>
      <c r="P6144" s="42">
        <v>44162</v>
      </c>
      <c r="Q6144" t="s">
        <v>346</v>
      </c>
      <c r="R6144" t="s">
        <v>370</v>
      </c>
      <c r="S6144" t="s">
        <v>323</v>
      </c>
      <c r="T6144">
        <v>7.6</v>
      </c>
      <c r="W6144" t="s">
        <v>330</v>
      </c>
      <c r="Y6144" s="42">
        <v>44173</v>
      </c>
    </row>
    <row r="6145" spans="14:25">
      <c r="N6145" s="42">
        <v>44156</v>
      </c>
      <c r="O6145" t="s">
        <v>359</v>
      </c>
      <c r="P6145" s="42">
        <v>44156</v>
      </c>
      <c r="Q6145" t="s">
        <v>359</v>
      </c>
      <c r="R6145" t="s">
        <v>370</v>
      </c>
      <c r="S6145" t="s">
        <v>323</v>
      </c>
      <c r="T6145">
        <v>7.6</v>
      </c>
      <c r="W6145" t="s">
        <v>330</v>
      </c>
      <c r="Y6145" s="42">
        <v>44159</v>
      </c>
    </row>
    <row r="6146" spans="14:25">
      <c r="N6146" s="42">
        <v>44155</v>
      </c>
      <c r="O6146" t="s">
        <v>346</v>
      </c>
      <c r="P6146" s="42">
        <v>44155</v>
      </c>
      <c r="Q6146" t="s">
        <v>346</v>
      </c>
      <c r="R6146" t="s">
        <v>370</v>
      </c>
      <c r="S6146" t="s">
        <v>323</v>
      </c>
      <c r="T6146">
        <v>7.6</v>
      </c>
      <c r="W6146" t="s">
        <v>330</v>
      </c>
      <c r="Y6146" s="42">
        <v>44159</v>
      </c>
    </row>
    <row r="6147" spans="14:25">
      <c r="N6147" s="42">
        <v>44149</v>
      </c>
      <c r="O6147" t="s">
        <v>359</v>
      </c>
      <c r="P6147" s="42">
        <v>44149</v>
      </c>
      <c r="Q6147" t="s">
        <v>359</v>
      </c>
      <c r="R6147" t="s">
        <v>370</v>
      </c>
      <c r="S6147" t="s">
        <v>323</v>
      </c>
      <c r="T6147">
        <v>7.6</v>
      </c>
      <c r="W6147" t="s">
        <v>330</v>
      </c>
      <c r="Y6147" s="42">
        <v>44159</v>
      </c>
    </row>
    <row r="6148" spans="14:25">
      <c r="N6148" s="42">
        <v>44148</v>
      </c>
      <c r="O6148" t="s">
        <v>346</v>
      </c>
      <c r="P6148" s="42">
        <v>44148</v>
      </c>
      <c r="Q6148" t="s">
        <v>346</v>
      </c>
      <c r="R6148" t="s">
        <v>370</v>
      </c>
      <c r="S6148" t="s">
        <v>323</v>
      </c>
      <c r="T6148">
        <v>7.6</v>
      </c>
      <c r="W6148" t="s">
        <v>330</v>
      </c>
      <c r="Y6148" s="42">
        <v>44159</v>
      </c>
    </row>
    <row r="6149" spans="14:25">
      <c r="N6149" s="42">
        <v>44142</v>
      </c>
      <c r="O6149" t="s">
        <v>359</v>
      </c>
      <c r="P6149" s="42">
        <v>44142</v>
      </c>
      <c r="Q6149" t="s">
        <v>359</v>
      </c>
      <c r="R6149" t="s">
        <v>370</v>
      </c>
      <c r="S6149" t="s">
        <v>323</v>
      </c>
      <c r="T6149">
        <v>7.6</v>
      </c>
      <c r="W6149" t="s">
        <v>330</v>
      </c>
      <c r="Y6149" s="42">
        <v>44145</v>
      </c>
    </row>
    <row r="6150" spans="14:25">
      <c r="N6150" s="42">
        <v>44141</v>
      </c>
      <c r="O6150" t="s">
        <v>346</v>
      </c>
      <c r="P6150" s="42">
        <v>44141</v>
      </c>
      <c r="Q6150" t="s">
        <v>346</v>
      </c>
      <c r="R6150" t="s">
        <v>370</v>
      </c>
      <c r="S6150" t="s">
        <v>323</v>
      </c>
      <c r="T6150">
        <v>7.6</v>
      </c>
      <c r="W6150" t="s">
        <v>330</v>
      </c>
      <c r="Y6150" s="42">
        <v>44145</v>
      </c>
    </row>
    <row r="6151" spans="14:25">
      <c r="N6151" s="42">
        <v>44135</v>
      </c>
      <c r="O6151" t="s">
        <v>359</v>
      </c>
      <c r="P6151" s="42">
        <v>44135</v>
      </c>
      <c r="Q6151" t="s">
        <v>359</v>
      </c>
      <c r="R6151" t="s">
        <v>370</v>
      </c>
      <c r="S6151" t="s">
        <v>323</v>
      </c>
      <c r="T6151">
        <v>7.6</v>
      </c>
      <c r="W6151" t="s">
        <v>330</v>
      </c>
      <c r="Y6151" s="42">
        <v>44145</v>
      </c>
    </row>
    <row r="6152" spans="14:25">
      <c r="N6152" s="42">
        <v>44134</v>
      </c>
      <c r="O6152" t="s">
        <v>346</v>
      </c>
      <c r="P6152" s="42">
        <v>44134</v>
      </c>
      <c r="Q6152" t="s">
        <v>346</v>
      </c>
      <c r="R6152" t="s">
        <v>370</v>
      </c>
      <c r="S6152" t="s">
        <v>323</v>
      </c>
      <c r="T6152">
        <v>7.6</v>
      </c>
      <c r="W6152" t="s">
        <v>330</v>
      </c>
      <c r="Y6152" s="42">
        <v>44145</v>
      </c>
    </row>
    <row r="6153" spans="14:25">
      <c r="N6153" s="42">
        <v>44128</v>
      </c>
      <c r="O6153" t="s">
        <v>359</v>
      </c>
      <c r="P6153" s="42">
        <v>44128</v>
      </c>
      <c r="Q6153" t="s">
        <v>359</v>
      </c>
      <c r="R6153" t="s">
        <v>370</v>
      </c>
      <c r="S6153" t="s">
        <v>323</v>
      </c>
      <c r="T6153">
        <v>7.6</v>
      </c>
      <c r="W6153" t="s">
        <v>330</v>
      </c>
      <c r="Y6153" s="42">
        <v>44131</v>
      </c>
    </row>
    <row r="6154" spans="14:25">
      <c r="N6154" s="42">
        <v>44127</v>
      </c>
      <c r="O6154" t="s">
        <v>346</v>
      </c>
      <c r="P6154" s="42">
        <v>44127</v>
      </c>
      <c r="Q6154" t="s">
        <v>346</v>
      </c>
      <c r="R6154" t="s">
        <v>370</v>
      </c>
      <c r="S6154" t="s">
        <v>323</v>
      </c>
      <c r="T6154">
        <v>7.6</v>
      </c>
      <c r="W6154" t="s">
        <v>330</v>
      </c>
      <c r="Y6154" s="42">
        <v>44131</v>
      </c>
    </row>
    <row r="6155" spans="14:25">
      <c r="N6155" s="42">
        <v>44121</v>
      </c>
      <c r="O6155" t="s">
        <v>359</v>
      </c>
      <c r="P6155" s="42">
        <v>44121</v>
      </c>
      <c r="Q6155" t="s">
        <v>359</v>
      </c>
      <c r="R6155" t="s">
        <v>370</v>
      </c>
      <c r="S6155" t="s">
        <v>323</v>
      </c>
      <c r="T6155">
        <v>7.6</v>
      </c>
      <c r="W6155" t="s">
        <v>330</v>
      </c>
      <c r="Y6155" s="42">
        <v>44131</v>
      </c>
    </row>
    <row r="6156" spans="14:25">
      <c r="N6156" s="42">
        <v>44120</v>
      </c>
      <c r="O6156" t="s">
        <v>346</v>
      </c>
      <c r="P6156" s="42">
        <v>44120</v>
      </c>
      <c r="Q6156" t="s">
        <v>346</v>
      </c>
      <c r="R6156" t="s">
        <v>370</v>
      </c>
      <c r="S6156" t="s">
        <v>323</v>
      </c>
      <c r="T6156">
        <v>7.6</v>
      </c>
      <c r="W6156" t="s">
        <v>330</v>
      </c>
      <c r="Y6156" s="42">
        <v>44131</v>
      </c>
    </row>
    <row r="6157" spans="14:25">
      <c r="N6157" s="42">
        <v>44114</v>
      </c>
      <c r="O6157" t="s">
        <v>359</v>
      </c>
      <c r="P6157" s="42">
        <v>44114</v>
      </c>
      <c r="Q6157" t="s">
        <v>359</v>
      </c>
      <c r="R6157" t="s">
        <v>370</v>
      </c>
      <c r="S6157" t="s">
        <v>323</v>
      </c>
      <c r="T6157">
        <v>7.6</v>
      </c>
      <c r="W6157" t="s">
        <v>330</v>
      </c>
      <c r="Y6157" s="42">
        <v>44117</v>
      </c>
    </row>
    <row r="6158" spans="14:25">
      <c r="N6158" s="42">
        <v>44113</v>
      </c>
      <c r="O6158" t="s">
        <v>346</v>
      </c>
      <c r="P6158" s="42">
        <v>44113</v>
      </c>
      <c r="Q6158" t="s">
        <v>346</v>
      </c>
      <c r="R6158" t="s">
        <v>370</v>
      </c>
      <c r="S6158" t="s">
        <v>323</v>
      </c>
      <c r="T6158">
        <v>7.6</v>
      </c>
      <c r="W6158" t="s">
        <v>330</v>
      </c>
      <c r="Y6158" s="42">
        <v>44117</v>
      </c>
    </row>
    <row r="6159" spans="14:25">
      <c r="N6159" s="42">
        <v>44107</v>
      </c>
      <c r="O6159" t="s">
        <v>359</v>
      </c>
      <c r="P6159" s="42">
        <v>44107</v>
      </c>
      <c r="Q6159" t="s">
        <v>359</v>
      </c>
      <c r="R6159" t="s">
        <v>370</v>
      </c>
      <c r="S6159" t="s">
        <v>323</v>
      </c>
      <c r="T6159">
        <v>7.6</v>
      </c>
      <c r="W6159" t="s">
        <v>330</v>
      </c>
      <c r="Y6159" s="42">
        <v>44117</v>
      </c>
    </row>
    <row r="6160" spans="14:25">
      <c r="N6160" s="42">
        <v>44106</v>
      </c>
      <c r="O6160" t="s">
        <v>346</v>
      </c>
      <c r="P6160" s="42">
        <v>44106</v>
      </c>
      <c r="Q6160" t="s">
        <v>346</v>
      </c>
      <c r="R6160" t="s">
        <v>370</v>
      </c>
      <c r="S6160" t="s">
        <v>323</v>
      </c>
      <c r="T6160">
        <v>7.6</v>
      </c>
      <c r="W6160" t="s">
        <v>330</v>
      </c>
      <c r="Y6160" s="42">
        <v>44117</v>
      </c>
    </row>
    <row r="6161" spans="14:25">
      <c r="N6161" s="42">
        <v>44100</v>
      </c>
      <c r="O6161" t="s">
        <v>359</v>
      </c>
      <c r="P6161" s="42">
        <v>44100</v>
      </c>
      <c r="Q6161" t="s">
        <v>359</v>
      </c>
      <c r="R6161" t="s">
        <v>370</v>
      </c>
      <c r="S6161" t="s">
        <v>323</v>
      </c>
      <c r="T6161">
        <v>7.6</v>
      </c>
      <c r="W6161" t="s">
        <v>330</v>
      </c>
      <c r="Y6161" s="42">
        <v>44103</v>
      </c>
    </row>
    <row r="6162" spans="14:25">
      <c r="N6162" s="42">
        <v>44099</v>
      </c>
      <c r="O6162" t="s">
        <v>346</v>
      </c>
      <c r="P6162" s="42">
        <v>44099</v>
      </c>
      <c r="Q6162" t="s">
        <v>346</v>
      </c>
      <c r="R6162" t="s">
        <v>370</v>
      </c>
      <c r="S6162" t="s">
        <v>323</v>
      </c>
      <c r="T6162">
        <v>7.6</v>
      </c>
      <c r="W6162" t="s">
        <v>330</v>
      </c>
      <c r="Y6162" s="42">
        <v>44103</v>
      </c>
    </row>
    <row r="6163" spans="14:25">
      <c r="N6163" s="42">
        <v>44093</v>
      </c>
      <c r="O6163" t="s">
        <v>359</v>
      </c>
      <c r="P6163" s="42">
        <v>44093</v>
      </c>
      <c r="Q6163" t="s">
        <v>359</v>
      </c>
      <c r="R6163" t="s">
        <v>370</v>
      </c>
      <c r="S6163" t="s">
        <v>323</v>
      </c>
      <c r="T6163">
        <v>7.6</v>
      </c>
      <c r="W6163" t="s">
        <v>330</v>
      </c>
      <c r="Y6163" s="42">
        <v>44103</v>
      </c>
    </row>
    <row r="6164" spans="14:25">
      <c r="N6164" s="42">
        <v>44092</v>
      </c>
      <c r="O6164" t="s">
        <v>346</v>
      </c>
      <c r="P6164" s="42">
        <v>44092</v>
      </c>
      <c r="Q6164" t="s">
        <v>346</v>
      </c>
      <c r="R6164" t="s">
        <v>370</v>
      </c>
      <c r="S6164" t="s">
        <v>323</v>
      </c>
      <c r="T6164">
        <v>7.6</v>
      </c>
      <c r="W6164" t="s">
        <v>330</v>
      </c>
      <c r="Y6164" s="42">
        <v>44103</v>
      </c>
    </row>
    <row r="6165" spans="14:25">
      <c r="N6165" s="42">
        <v>44086</v>
      </c>
      <c r="O6165" t="s">
        <v>359</v>
      </c>
      <c r="P6165" s="42">
        <v>44086</v>
      </c>
      <c r="Q6165" t="s">
        <v>359</v>
      </c>
      <c r="R6165" t="s">
        <v>370</v>
      </c>
      <c r="S6165" t="s">
        <v>323</v>
      </c>
      <c r="T6165">
        <v>7.6</v>
      </c>
      <c r="W6165" t="s">
        <v>330</v>
      </c>
      <c r="Y6165" s="42">
        <v>44089</v>
      </c>
    </row>
    <row r="6166" spans="14:25">
      <c r="N6166" s="42">
        <v>44085</v>
      </c>
      <c r="O6166" t="s">
        <v>346</v>
      </c>
      <c r="P6166" s="42">
        <v>44085</v>
      </c>
      <c r="Q6166" t="s">
        <v>346</v>
      </c>
      <c r="R6166" t="s">
        <v>370</v>
      </c>
      <c r="S6166" t="s">
        <v>323</v>
      </c>
      <c r="T6166">
        <v>7.6</v>
      </c>
      <c r="W6166" t="s">
        <v>330</v>
      </c>
      <c r="Y6166" s="42">
        <v>44089</v>
      </c>
    </row>
    <row r="6167" spans="14:25">
      <c r="N6167" s="42">
        <v>44079</v>
      </c>
      <c r="O6167" t="s">
        <v>359</v>
      </c>
      <c r="P6167" s="42">
        <v>44079</v>
      </c>
      <c r="Q6167" t="s">
        <v>359</v>
      </c>
      <c r="R6167" t="s">
        <v>370</v>
      </c>
      <c r="S6167" t="s">
        <v>323</v>
      </c>
      <c r="T6167">
        <v>7.6</v>
      </c>
      <c r="W6167" t="s">
        <v>330</v>
      </c>
      <c r="Y6167" s="42">
        <v>44089</v>
      </c>
    </row>
    <row r="6168" spans="14:25">
      <c r="N6168" s="42">
        <v>44078</v>
      </c>
      <c r="O6168" t="s">
        <v>346</v>
      </c>
      <c r="P6168" s="42">
        <v>44078</v>
      </c>
      <c r="Q6168" t="s">
        <v>346</v>
      </c>
      <c r="R6168" t="s">
        <v>370</v>
      </c>
      <c r="S6168" t="s">
        <v>323</v>
      </c>
      <c r="T6168">
        <v>7.6</v>
      </c>
      <c r="W6168" t="s">
        <v>330</v>
      </c>
      <c r="Y6168" s="42">
        <v>44089</v>
      </c>
    </row>
    <row r="6169" spans="14:25">
      <c r="N6169" s="42">
        <v>44072</v>
      </c>
      <c r="O6169" t="s">
        <v>359</v>
      </c>
      <c r="P6169" s="42">
        <v>44072</v>
      </c>
      <c r="Q6169" t="s">
        <v>359</v>
      </c>
      <c r="R6169" t="s">
        <v>370</v>
      </c>
      <c r="S6169" t="s">
        <v>323</v>
      </c>
      <c r="T6169">
        <v>7.6</v>
      </c>
      <c r="W6169" t="s">
        <v>330</v>
      </c>
      <c r="Y6169" s="42">
        <v>44075</v>
      </c>
    </row>
    <row r="6170" spans="14:25">
      <c r="N6170" s="42">
        <v>44071</v>
      </c>
      <c r="O6170" t="s">
        <v>346</v>
      </c>
      <c r="P6170" s="42">
        <v>44071</v>
      </c>
      <c r="Q6170" t="s">
        <v>346</v>
      </c>
      <c r="R6170" t="s">
        <v>370</v>
      </c>
      <c r="S6170" t="s">
        <v>323</v>
      </c>
      <c r="T6170">
        <v>7.6</v>
      </c>
      <c r="W6170" t="s">
        <v>330</v>
      </c>
      <c r="Y6170" s="42">
        <v>44075</v>
      </c>
    </row>
    <row r="6171" spans="14:25">
      <c r="N6171" s="42">
        <v>44065</v>
      </c>
      <c r="O6171" t="s">
        <v>359</v>
      </c>
      <c r="P6171" s="42">
        <v>44065</v>
      </c>
      <c r="Q6171" t="s">
        <v>359</v>
      </c>
      <c r="R6171" t="s">
        <v>370</v>
      </c>
      <c r="S6171" t="s">
        <v>323</v>
      </c>
      <c r="T6171">
        <v>7.6</v>
      </c>
      <c r="W6171" t="s">
        <v>330</v>
      </c>
      <c r="Y6171" s="42">
        <v>44075</v>
      </c>
    </row>
    <row r="6172" spans="14:25">
      <c r="N6172" s="42">
        <v>44064</v>
      </c>
      <c r="O6172" t="s">
        <v>346</v>
      </c>
      <c r="P6172" s="42">
        <v>44064</v>
      </c>
      <c r="Q6172" t="s">
        <v>346</v>
      </c>
      <c r="R6172" t="s">
        <v>370</v>
      </c>
      <c r="S6172" t="s">
        <v>323</v>
      </c>
      <c r="T6172">
        <v>7.6</v>
      </c>
      <c r="W6172" t="s">
        <v>330</v>
      </c>
      <c r="Y6172" s="42">
        <v>44075</v>
      </c>
    </row>
    <row r="6173" spans="14:25">
      <c r="N6173" s="42">
        <v>44058</v>
      </c>
      <c r="O6173" t="s">
        <v>359</v>
      </c>
      <c r="P6173" s="42">
        <v>44058</v>
      </c>
      <c r="Q6173" t="s">
        <v>359</v>
      </c>
      <c r="R6173" t="s">
        <v>370</v>
      </c>
      <c r="S6173" t="s">
        <v>323</v>
      </c>
      <c r="T6173">
        <v>7.6</v>
      </c>
      <c r="W6173" t="s">
        <v>330</v>
      </c>
      <c r="Y6173" s="42">
        <v>44061</v>
      </c>
    </row>
    <row r="6174" spans="14:25">
      <c r="N6174" s="42">
        <v>44057</v>
      </c>
      <c r="O6174" t="s">
        <v>346</v>
      </c>
      <c r="P6174" s="42">
        <v>44057</v>
      </c>
      <c r="Q6174" t="s">
        <v>346</v>
      </c>
      <c r="R6174" t="s">
        <v>370</v>
      </c>
      <c r="S6174" t="s">
        <v>323</v>
      </c>
      <c r="T6174">
        <v>7.6</v>
      </c>
      <c r="W6174" t="s">
        <v>330</v>
      </c>
      <c r="Y6174" s="42">
        <v>44061</v>
      </c>
    </row>
    <row r="6175" spans="14:25">
      <c r="N6175" s="42">
        <v>44051</v>
      </c>
      <c r="O6175" t="s">
        <v>359</v>
      </c>
      <c r="P6175" s="42">
        <v>44051</v>
      </c>
      <c r="Q6175" t="s">
        <v>359</v>
      </c>
      <c r="R6175" t="s">
        <v>370</v>
      </c>
      <c r="S6175" t="s">
        <v>323</v>
      </c>
      <c r="T6175">
        <v>7.6</v>
      </c>
      <c r="W6175" t="s">
        <v>330</v>
      </c>
      <c r="Y6175" s="42">
        <v>44061</v>
      </c>
    </row>
    <row r="6176" spans="14:25">
      <c r="N6176" s="42">
        <v>44050</v>
      </c>
      <c r="O6176" t="s">
        <v>346</v>
      </c>
      <c r="P6176" s="42">
        <v>44050</v>
      </c>
      <c r="Q6176" t="s">
        <v>346</v>
      </c>
      <c r="R6176" t="s">
        <v>370</v>
      </c>
      <c r="S6176" t="s">
        <v>323</v>
      </c>
      <c r="T6176">
        <v>7.6</v>
      </c>
      <c r="W6176" t="s">
        <v>330</v>
      </c>
      <c r="Y6176" s="42">
        <v>44061</v>
      </c>
    </row>
    <row r="6177" spans="14:25">
      <c r="N6177" s="42">
        <v>44044</v>
      </c>
      <c r="O6177" t="s">
        <v>359</v>
      </c>
      <c r="P6177" s="42">
        <v>44044</v>
      </c>
      <c r="Q6177" t="s">
        <v>359</v>
      </c>
      <c r="R6177" t="s">
        <v>370</v>
      </c>
      <c r="S6177" t="s">
        <v>323</v>
      </c>
      <c r="T6177">
        <v>7.6</v>
      </c>
      <c r="W6177" t="s">
        <v>330</v>
      </c>
      <c r="Y6177" s="42">
        <v>44047</v>
      </c>
    </row>
    <row r="6178" spans="14:25">
      <c r="N6178" s="42">
        <v>44043</v>
      </c>
      <c r="O6178" t="s">
        <v>346</v>
      </c>
      <c r="P6178" s="42">
        <v>44043</v>
      </c>
      <c r="Q6178" t="s">
        <v>346</v>
      </c>
      <c r="R6178" t="s">
        <v>370</v>
      </c>
      <c r="S6178" t="s">
        <v>323</v>
      </c>
      <c r="T6178">
        <v>7.6</v>
      </c>
      <c r="W6178" t="s">
        <v>330</v>
      </c>
      <c r="Y6178" s="42">
        <v>44047</v>
      </c>
    </row>
    <row r="6179" spans="14:25">
      <c r="N6179" s="42">
        <v>44037</v>
      </c>
      <c r="O6179" t="s">
        <v>359</v>
      </c>
      <c r="P6179" s="42">
        <v>44037</v>
      </c>
      <c r="Q6179" t="s">
        <v>359</v>
      </c>
      <c r="R6179" t="s">
        <v>370</v>
      </c>
      <c r="S6179" t="s">
        <v>323</v>
      </c>
      <c r="T6179">
        <v>7.6</v>
      </c>
      <c r="W6179" t="s">
        <v>330</v>
      </c>
      <c r="Y6179" s="42">
        <v>44047</v>
      </c>
    </row>
    <row r="6180" spans="14:25">
      <c r="N6180" s="42">
        <v>44036</v>
      </c>
      <c r="O6180" t="s">
        <v>346</v>
      </c>
      <c r="P6180" s="42">
        <v>44036</v>
      </c>
      <c r="Q6180" t="s">
        <v>346</v>
      </c>
      <c r="R6180" t="s">
        <v>370</v>
      </c>
      <c r="S6180" t="s">
        <v>323</v>
      </c>
      <c r="T6180">
        <v>7.6</v>
      </c>
      <c r="W6180" t="s">
        <v>330</v>
      </c>
      <c r="Y6180" s="42">
        <v>44047</v>
      </c>
    </row>
    <row r="6181" spans="14:25">
      <c r="N6181" s="42">
        <v>44030</v>
      </c>
      <c r="O6181" t="s">
        <v>359</v>
      </c>
      <c r="P6181" s="42">
        <v>44030</v>
      </c>
      <c r="Q6181" t="s">
        <v>359</v>
      </c>
      <c r="R6181" t="s">
        <v>370</v>
      </c>
      <c r="S6181" t="s">
        <v>323</v>
      </c>
      <c r="T6181">
        <v>7.6</v>
      </c>
      <c r="W6181" t="s">
        <v>330</v>
      </c>
      <c r="Y6181" s="42">
        <v>44033</v>
      </c>
    </row>
    <row r="6182" spans="14:25">
      <c r="N6182" s="42">
        <v>44029</v>
      </c>
      <c r="O6182" t="s">
        <v>346</v>
      </c>
      <c r="P6182" s="42">
        <v>44029</v>
      </c>
      <c r="Q6182" t="s">
        <v>346</v>
      </c>
      <c r="R6182" t="s">
        <v>370</v>
      </c>
      <c r="S6182" t="s">
        <v>323</v>
      </c>
      <c r="T6182">
        <v>7.6</v>
      </c>
      <c r="W6182" t="s">
        <v>330</v>
      </c>
      <c r="Y6182" s="42">
        <v>44033</v>
      </c>
    </row>
    <row r="6183" spans="14:25">
      <c r="N6183" s="42">
        <v>44023</v>
      </c>
      <c r="O6183" t="s">
        <v>359</v>
      </c>
      <c r="P6183" s="42">
        <v>44023</v>
      </c>
      <c r="Q6183" t="s">
        <v>359</v>
      </c>
      <c r="R6183" t="s">
        <v>370</v>
      </c>
      <c r="S6183" t="s">
        <v>323</v>
      </c>
      <c r="T6183">
        <v>7.6</v>
      </c>
      <c r="W6183" t="s">
        <v>330</v>
      </c>
      <c r="Y6183" s="42">
        <v>44033</v>
      </c>
    </row>
    <row r="6184" spans="14:25">
      <c r="N6184" s="42">
        <v>44022</v>
      </c>
      <c r="O6184" t="s">
        <v>346</v>
      </c>
      <c r="P6184" s="42">
        <v>44022</v>
      </c>
      <c r="Q6184" t="s">
        <v>346</v>
      </c>
      <c r="R6184" t="s">
        <v>370</v>
      </c>
      <c r="S6184" t="s">
        <v>323</v>
      </c>
      <c r="T6184">
        <v>7.6</v>
      </c>
      <c r="W6184" t="s">
        <v>330</v>
      </c>
      <c r="Y6184" s="42">
        <v>44033</v>
      </c>
    </row>
    <row r="6185" spans="14:25">
      <c r="N6185" s="42">
        <v>44016</v>
      </c>
      <c r="O6185" t="s">
        <v>359</v>
      </c>
      <c r="P6185" s="42">
        <v>44016</v>
      </c>
      <c r="Q6185" t="s">
        <v>359</v>
      </c>
      <c r="R6185" t="s">
        <v>370</v>
      </c>
      <c r="S6185" t="s">
        <v>323</v>
      </c>
      <c r="T6185">
        <v>7.6</v>
      </c>
      <c r="W6185" t="s">
        <v>330</v>
      </c>
      <c r="Y6185" s="42">
        <v>44019</v>
      </c>
    </row>
    <row r="6186" spans="14:25">
      <c r="N6186" s="42">
        <v>44015</v>
      </c>
      <c r="O6186" t="s">
        <v>346</v>
      </c>
      <c r="P6186" s="42">
        <v>44015</v>
      </c>
      <c r="Q6186" t="s">
        <v>346</v>
      </c>
      <c r="R6186" t="s">
        <v>370</v>
      </c>
      <c r="S6186" t="s">
        <v>323</v>
      </c>
      <c r="T6186">
        <v>7.6</v>
      </c>
      <c r="W6186" t="s">
        <v>330</v>
      </c>
      <c r="Y6186" s="42">
        <v>44019</v>
      </c>
    </row>
    <row r="6187" spans="14:25">
      <c r="N6187" s="42">
        <v>44009</v>
      </c>
      <c r="O6187" t="s">
        <v>359</v>
      </c>
      <c r="P6187" s="42">
        <v>44009</v>
      </c>
      <c r="Q6187" t="s">
        <v>359</v>
      </c>
      <c r="R6187" t="s">
        <v>370</v>
      </c>
      <c r="S6187" t="s">
        <v>323</v>
      </c>
      <c r="T6187">
        <v>7.6</v>
      </c>
      <c r="W6187" t="s">
        <v>330</v>
      </c>
      <c r="Y6187" s="42">
        <v>44019</v>
      </c>
    </row>
    <row r="6188" spans="14:25">
      <c r="N6188" s="42">
        <v>44008</v>
      </c>
      <c r="O6188" t="s">
        <v>346</v>
      </c>
      <c r="P6188" s="42">
        <v>44008</v>
      </c>
      <c r="Q6188" t="s">
        <v>346</v>
      </c>
      <c r="R6188" t="s">
        <v>370</v>
      </c>
      <c r="S6188" t="s">
        <v>323</v>
      </c>
      <c r="T6188">
        <v>7.6</v>
      </c>
      <c r="W6188" t="s">
        <v>330</v>
      </c>
      <c r="Y6188" s="42">
        <v>44019</v>
      </c>
    </row>
    <row r="6189" spans="14:25">
      <c r="N6189" s="42">
        <v>44002</v>
      </c>
      <c r="O6189" t="s">
        <v>359</v>
      </c>
      <c r="P6189" s="42">
        <v>44002</v>
      </c>
      <c r="Q6189" t="s">
        <v>359</v>
      </c>
      <c r="R6189" t="s">
        <v>370</v>
      </c>
      <c r="S6189" t="s">
        <v>323</v>
      </c>
      <c r="T6189">
        <v>7.6</v>
      </c>
      <c r="W6189" t="s">
        <v>330</v>
      </c>
      <c r="Y6189" s="42">
        <v>44005</v>
      </c>
    </row>
    <row r="6190" spans="14:25">
      <c r="N6190" s="42">
        <v>44001</v>
      </c>
      <c r="O6190" t="s">
        <v>346</v>
      </c>
      <c r="P6190" s="42">
        <v>44001</v>
      </c>
      <c r="Q6190" t="s">
        <v>346</v>
      </c>
      <c r="R6190" t="s">
        <v>370</v>
      </c>
      <c r="S6190" t="s">
        <v>323</v>
      </c>
      <c r="T6190">
        <v>7.6</v>
      </c>
      <c r="W6190" t="s">
        <v>330</v>
      </c>
      <c r="Y6190" s="42">
        <v>44005</v>
      </c>
    </row>
    <row r="6191" spans="14:25">
      <c r="N6191" s="42">
        <v>43995</v>
      </c>
      <c r="O6191" t="s">
        <v>359</v>
      </c>
      <c r="P6191" s="42">
        <v>43995</v>
      </c>
      <c r="Q6191" t="s">
        <v>359</v>
      </c>
      <c r="R6191" t="s">
        <v>370</v>
      </c>
      <c r="S6191" t="s">
        <v>323</v>
      </c>
      <c r="T6191">
        <v>7.6</v>
      </c>
      <c r="W6191" t="s">
        <v>330</v>
      </c>
      <c r="Y6191" s="42">
        <v>44005</v>
      </c>
    </row>
    <row r="6192" spans="14:25">
      <c r="N6192" s="42">
        <v>43994</v>
      </c>
      <c r="O6192" t="s">
        <v>346</v>
      </c>
      <c r="P6192" s="42">
        <v>43994</v>
      </c>
      <c r="Q6192" t="s">
        <v>346</v>
      </c>
      <c r="R6192" t="s">
        <v>370</v>
      </c>
      <c r="S6192" t="s">
        <v>323</v>
      </c>
      <c r="T6192">
        <v>7.6</v>
      </c>
      <c r="W6192" t="s">
        <v>330</v>
      </c>
      <c r="Y6192" s="42">
        <v>44005</v>
      </c>
    </row>
    <row r="6193" spans="14:25">
      <c r="N6193" s="42">
        <v>43988</v>
      </c>
      <c r="O6193" t="s">
        <v>359</v>
      </c>
      <c r="P6193" s="42">
        <v>43988</v>
      </c>
      <c r="Q6193" t="s">
        <v>359</v>
      </c>
      <c r="R6193" t="s">
        <v>370</v>
      </c>
      <c r="S6193" t="s">
        <v>323</v>
      </c>
      <c r="T6193">
        <v>7.6</v>
      </c>
      <c r="W6193" t="s">
        <v>330</v>
      </c>
      <c r="Y6193" s="42">
        <v>43991</v>
      </c>
    </row>
    <row r="6194" spans="14:25">
      <c r="N6194" s="42">
        <v>43987</v>
      </c>
      <c r="O6194" t="s">
        <v>346</v>
      </c>
      <c r="P6194" s="42">
        <v>43987</v>
      </c>
      <c r="Q6194" t="s">
        <v>346</v>
      </c>
      <c r="R6194" t="s">
        <v>370</v>
      </c>
      <c r="S6194" t="s">
        <v>323</v>
      </c>
      <c r="T6194">
        <v>7.6</v>
      </c>
      <c r="W6194" t="s">
        <v>330</v>
      </c>
      <c r="Y6194" s="42">
        <v>43991</v>
      </c>
    </row>
    <row r="6195" spans="14:25">
      <c r="N6195" s="42">
        <v>43981</v>
      </c>
      <c r="O6195" t="s">
        <v>359</v>
      </c>
      <c r="P6195" s="42">
        <v>43981</v>
      </c>
      <c r="Q6195" t="s">
        <v>359</v>
      </c>
      <c r="R6195" t="s">
        <v>370</v>
      </c>
      <c r="S6195" t="s">
        <v>323</v>
      </c>
      <c r="T6195">
        <v>7.6</v>
      </c>
      <c r="W6195" t="s">
        <v>330</v>
      </c>
      <c r="Y6195" s="42">
        <v>43991</v>
      </c>
    </row>
    <row r="6196" spans="14:25">
      <c r="N6196" s="42">
        <v>43980</v>
      </c>
      <c r="O6196" t="s">
        <v>346</v>
      </c>
      <c r="P6196" s="42">
        <v>43980</v>
      </c>
      <c r="Q6196" t="s">
        <v>346</v>
      </c>
      <c r="R6196" t="s">
        <v>370</v>
      </c>
      <c r="S6196" t="s">
        <v>323</v>
      </c>
      <c r="T6196">
        <v>7.6</v>
      </c>
      <c r="W6196" t="s">
        <v>330</v>
      </c>
      <c r="Y6196" s="42">
        <v>43991</v>
      </c>
    </row>
    <row r="6197" spans="14:25">
      <c r="N6197" s="42">
        <v>43974</v>
      </c>
      <c r="O6197" t="s">
        <v>359</v>
      </c>
      <c r="P6197" s="42">
        <v>43974</v>
      </c>
      <c r="Q6197" t="s">
        <v>359</v>
      </c>
      <c r="R6197" t="s">
        <v>370</v>
      </c>
      <c r="S6197" t="s">
        <v>323</v>
      </c>
      <c r="T6197">
        <v>7.6</v>
      </c>
      <c r="W6197" t="s">
        <v>330</v>
      </c>
      <c r="Y6197" s="42">
        <v>43977</v>
      </c>
    </row>
    <row r="6198" spans="14:25">
      <c r="N6198" s="42">
        <v>43973</v>
      </c>
      <c r="O6198" t="s">
        <v>346</v>
      </c>
      <c r="P6198" s="42">
        <v>43973</v>
      </c>
      <c r="Q6198" t="s">
        <v>346</v>
      </c>
      <c r="R6198" t="s">
        <v>370</v>
      </c>
      <c r="S6198" t="s">
        <v>323</v>
      </c>
      <c r="T6198">
        <v>7.6</v>
      </c>
      <c r="W6198" t="s">
        <v>330</v>
      </c>
      <c r="Y6198" s="42">
        <v>43977</v>
      </c>
    </row>
    <row r="6199" spans="14:25">
      <c r="N6199" s="42">
        <v>43967</v>
      </c>
      <c r="O6199" t="s">
        <v>359</v>
      </c>
      <c r="P6199" s="42">
        <v>43967</v>
      </c>
      <c r="Q6199" t="s">
        <v>359</v>
      </c>
      <c r="R6199" t="s">
        <v>370</v>
      </c>
      <c r="S6199" t="s">
        <v>323</v>
      </c>
      <c r="T6199">
        <v>7.6</v>
      </c>
      <c r="W6199" t="s">
        <v>330</v>
      </c>
      <c r="Y6199" s="42">
        <v>43977</v>
      </c>
    </row>
    <row r="6200" spans="14:25">
      <c r="N6200" s="42">
        <v>43966</v>
      </c>
      <c r="O6200" t="s">
        <v>346</v>
      </c>
      <c r="P6200" s="42">
        <v>43966</v>
      </c>
      <c r="Q6200" t="s">
        <v>346</v>
      </c>
      <c r="R6200" t="s">
        <v>370</v>
      </c>
      <c r="S6200" t="s">
        <v>323</v>
      </c>
      <c r="T6200">
        <v>7.6</v>
      </c>
      <c r="W6200" t="s">
        <v>330</v>
      </c>
      <c r="Y6200" s="42">
        <v>43977</v>
      </c>
    </row>
    <row r="6201" spans="14:25">
      <c r="N6201" s="42">
        <v>43960</v>
      </c>
      <c r="O6201" t="s">
        <v>359</v>
      </c>
      <c r="P6201" s="42">
        <v>43960</v>
      </c>
      <c r="Q6201" t="s">
        <v>359</v>
      </c>
      <c r="R6201" t="s">
        <v>370</v>
      </c>
      <c r="S6201" t="s">
        <v>323</v>
      </c>
      <c r="T6201">
        <v>7.6</v>
      </c>
      <c r="W6201" t="s">
        <v>330</v>
      </c>
      <c r="Y6201" s="42">
        <v>43963</v>
      </c>
    </row>
    <row r="6202" spans="14:25">
      <c r="N6202" s="42">
        <v>43959</v>
      </c>
      <c r="O6202" t="s">
        <v>346</v>
      </c>
      <c r="P6202" s="42">
        <v>43959</v>
      </c>
      <c r="Q6202" t="s">
        <v>346</v>
      </c>
      <c r="R6202" t="s">
        <v>370</v>
      </c>
      <c r="S6202" t="s">
        <v>323</v>
      </c>
      <c r="T6202">
        <v>7.6</v>
      </c>
      <c r="W6202" t="s">
        <v>330</v>
      </c>
      <c r="Y6202" s="42">
        <v>43963</v>
      </c>
    </row>
    <row r="6203" spans="14:25">
      <c r="N6203" s="42">
        <v>43953</v>
      </c>
      <c r="O6203" t="s">
        <v>359</v>
      </c>
      <c r="P6203" s="42">
        <v>43953</v>
      </c>
      <c r="Q6203" t="s">
        <v>359</v>
      </c>
      <c r="R6203" t="s">
        <v>370</v>
      </c>
      <c r="S6203" t="s">
        <v>323</v>
      </c>
      <c r="T6203">
        <v>7.6</v>
      </c>
      <c r="W6203" t="s">
        <v>330</v>
      </c>
      <c r="Y6203" s="42">
        <v>43963</v>
      </c>
    </row>
    <row r="6204" spans="14:25">
      <c r="N6204" s="42">
        <v>43952</v>
      </c>
      <c r="O6204" t="s">
        <v>346</v>
      </c>
      <c r="P6204" s="42">
        <v>43952</v>
      </c>
      <c r="Q6204" t="s">
        <v>346</v>
      </c>
      <c r="R6204" t="s">
        <v>370</v>
      </c>
      <c r="S6204" t="s">
        <v>323</v>
      </c>
      <c r="T6204">
        <v>7.6</v>
      </c>
      <c r="W6204" t="s">
        <v>330</v>
      </c>
      <c r="Y6204" s="42">
        <v>43963</v>
      </c>
    </row>
    <row r="6205" spans="14:25">
      <c r="N6205" s="42">
        <v>43946</v>
      </c>
      <c r="O6205" t="s">
        <v>359</v>
      </c>
      <c r="P6205" s="42">
        <v>43946</v>
      </c>
      <c r="Q6205" t="s">
        <v>359</v>
      </c>
      <c r="R6205" t="s">
        <v>370</v>
      </c>
      <c r="S6205" t="s">
        <v>323</v>
      </c>
      <c r="T6205">
        <v>7.6</v>
      </c>
      <c r="W6205" t="s">
        <v>330</v>
      </c>
      <c r="Y6205" s="42">
        <v>43949</v>
      </c>
    </row>
    <row r="6206" spans="14:25">
      <c r="N6206" s="42">
        <v>43945</v>
      </c>
      <c r="O6206" t="s">
        <v>346</v>
      </c>
      <c r="P6206" s="42">
        <v>43945</v>
      </c>
      <c r="Q6206" t="s">
        <v>346</v>
      </c>
      <c r="R6206" t="s">
        <v>370</v>
      </c>
      <c r="S6206" t="s">
        <v>323</v>
      </c>
      <c r="T6206">
        <v>7.6</v>
      </c>
      <c r="W6206" t="s">
        <v>330</v>
      </c>
      <c r="Y6206" s="42">
        <v>43949</v>
      </c>
    </row>
    <row r="6207" spans="14:25">
      <c r="N6207" s="42">
        <v>43939</v>
      </c>
      <c r="O6207" t="s">
        <v>359</v>
      </c>
      <c r="P6207" s="42">
        <v>43939</v>
      </c>
      <c r="Q6207" t="s">
        <v>359</v>
      </c>
      <c r="R6207" t="s">
        <v>370</v>
      </c>
      <c r="S6207" t="s">
        <v>323</v>
      </c>
      <c r="T6207">
        <v>7.6</v>
      </c>
      <c r="W6207" t="s">
        <v>330</v>
      </c>
      <c r="Y6207" s="42">
        <v>43949</v>
      </c>
    </row>
    <row r="6208" spans="14:25">
      <c r="N6208" s="42">
        <v>43938</v>
      </c>
      <c r="O6208" t="s">
        <v>346</v>
      </c>
      <c r="P6208" s="42">
        <v>43938</v>
      </c>
      <c r="Q6208" t="s">
        <v>346</v>
      </c>
      <c r="R6208" t="s">
        <v>370</v>
      </c>
      <c r="S6208" t="s">
        <v>323</v>
      </c>
      <c r="T6208">
        <v>7.6</v>
      </c>
      <c r="W6208" t="s">
        <v>330</v>
      </c>
      <c r="Y6208" s="42">
        <v>43949</v>
      </c>
    </row>
    <row r="6209" spans="14:25">
      <c r="N6209" s="42">
        <v>43925</v>
      </c>
      <c r="O6209" t="s">
        <v>359</v>
      </c>
      <c r="P6209" s="42">
        <v>43925</v>
      </c>
      <c r="Q6209" t="s">
        <v>359</v>
      </c>
      <c r="R6209" t="s">
        <v>370</v>
      </c>
      <c r="S6209" t="s">
        <v>323</v>
      </c>
      <c r="T6209">
        <v>7.6</v>
      </c>
      <c r="W6209" t="s">
        <v>330</v>
      </c>
      <c r="Y6209" s="42">
        <v>43935</v>
      </c>
    </row>
    <row r="6210" spans="14:25">
      <c r="N6210" s="42">
        <v>43924</v>
      </c>
      <c r="O6210" t="s">
        <v>346</v>
      </c>
      <c r="P6210" s="42">
        <v>43924</v>
      </c>
      <c r="Q6210" t="s">
        <v>346</v>
      </c>
      <c r="R6210" t="s">
        <v>370</v>
      </c>
      <c r="S6210" t="s">
        <v>323</v>
      </c>
      <c r="T6210">
        <v>7.6</v>
      </c>
      <c r="W6210" t="s">
        <v>330</v>
      </c>
      <c r="Y6210" s="42">
        <v>43935</v>
      </c>
    </row>
    <row r="6211" spans="14:25">
      <c r="N6211" s="42">
        <v>43918</v>
      </c>
      <c r="O6211" t="s">
        <v>359</v>
      </c>
      <c r="P6211" s="42">
        <v>43918</v>
      </c>
      <c r="Q6211" t="s">
        <v>359</v>
      </c>
      <c r="R6211" t="s">
        <v>370</v>
      </c>
      <c r="S6211" t="s">
        <v>323</v>
      </c>
      <c r="T6211">
        <v>7.6</v>
      </c>
      <c r="W6211" t="s">
        <v>330</v>
      </c>
      <c r="Y6211" s="42">
        <v>43921</v>
      </c>
    </row>
    <row r="6212" spans="14:25">
      <c r="N6212" s="42">
        <v>43917</v>
      </c>
      <c r="O6212" t="s">
        <v>346</v>
      </c>
      <c r="P6212" s="42">
        <v>43917</v>
      </c>
      <c r="Q6212" t="s">
        <v>346</v>
      </c>
      <c r="R6212" t="s">
        <v>370</v>
      </c>
      <c r="S6212" t="s">
        <v>323</v>
      </c>
      <c r="T6212">
        <v>7.6</v>
      </c>
      <c r="W6212" t="s">
        <v>330</v>
      </c>
      <c r="Y6212" s="42">
        <v>43921</v>
      </c>
    </row>
    <row r="6213" spans="14:25">
      <c r="N6213" s="42">
        <v>43911</v>
      </c>
      <c r="O6213" t="s">
        <v>359</v>
      </c>
      <c r="P6213" s="42">
        <v>43911</v>
      </c>
      <c r="Q6213" t="s">
        <v>359</v>
      </c>
      <c r="R6213" t="s">
        <v>370</v>
      </c>
      <c r="S6213" t="s">
        <v>323</v>
      </c>
      <c r="T6213">
        <v>7.6</v>
      </c>
      <c r="W6213" t="s">
        <v>330</v>
      </c>
      <c r="Y6213" s="42">
        <v>43921</v>
      </c>
    </row>
    <row r="6214" spans="14:25">
      <c r="N6214" s="42">
        <v>43910</v>
      </c>
      <c r="O6214" t="s">
        <v>346</v>
      </c>
      <c r="P6214" s="42">
        <v>43910</v>
      </c>
      <c r="Q6214" t="s">
        <v>346</v>
      </c>
      <c r="R6214" t="s">
        <v>370</v>
      </c>
      <c r="S6214" t="s">
        <v>323</v>
      </c>
      <c r="T6214">
        <v>7.6</v>
      </c>
      <c r="W6214" t="s">
        <v>330</v>
      </c>
      <c r="Y6214" s="42">
        <v>43921</v>
      </c>
    </row>
    <row r="6215" spans="14:25">
      <c r="N6215" s="42">
        <v>43904</v>
      </c>
      <c r="O6215" t="s">
        <v>359</v>
      </c>
      <c r="P6215" s="42">
        <v>43904</v>
      </c>
      <c r="Q6215" t="s">
        <v>359</v>
      </c>
      <c r="R6215" t="s">
        <v>370</v>
      </c>
      <c r="S6215" t="s">
        <v>323</v>
      </c>
      <c r="T6215">
        <v>7.6</v>
      </c>
      <c r="W6215" t="s">
        <v>330</v>
      </c>
      <c r="Y6215" s="42">
        <v>43907</v>
      </c>
    </row>
    <row r="6216" spans="14:25">
      <c r="N6216" s="42">
        <v>43903</v>
      </c>
      <c r="O6216" t="s">
        <v>346</v>
      </c>
      <c r="P6216" s="42">
        <v>43903</v>
      </c>
      <c r="Q6216" t="s">
        <v>346</v>
      </c>
      <c r="R6216" t="s">
        <v>370</v>
      </c>
      <c r="S6216" t="s">
        <v>323</v>
      </c>
      <c r="T6216">
        <v>7.6</v>
      </c>
      <c r="W6216" t="s">
        <v>330</v>
      </c>
      <c r="Y6216" s="42">
        <v>43907</v>
      </c>
    </row>
    <row r="6217" spans="14:25">
      <c r="N6217" s="42">
        <v>43897</v>
      </c>
      <c r="O6217" t="s">
        <v>359</v>
      </c>
      <c r="P6217" s="42">
        <v>43897</v>
      </c>
      <c r="Q6217" t="s">
        <v>359</v>
      </c>
      <c r="R6217" t="s">
        <v>370</v>
      </c>
      <c r="S6217" t="s">
        <v>323</v>
      </c>
      <c r="T6217">
        <v>7.6</v>
      </c>
      <c r="W6217" t="s">
        <v>330</v>
      </c>
      <c r="Y6217" s="42">
        <v>43907</v>
      </c>
    </row>
    <row r="6218" spans="14:25">
      <c r="N6218" s="42">
        <v>43896</v>
      </c>
      <c r="O6218" t="s">
        <v>346</v>
      </c>
      <c r="P6218" s="42">
        <v>43896</v>
      </c>
      <c r="Q6218" t="s">
        <v>346</v>
      </c>
      <c r="R6218" t="s">
        <v>370</v>
      </c>
      <c r="S6218" t="s">
        <v>323</v>
      </c>
      <c r="T6218">
        <v>7.6</v>
      </c>
      <c r="W6218" t="s">
        <v>330</v>
      </c>
      <c r="Y6218" s="42">
        <v>43907</v>
      </c>
    </row>
    <row r="6219" spans="14:25">
      <c r="N6219" s="42">
        <v>43890</v>
      </c>
      <c r="O6219" t="s">
        <v>359</v>
      </c>
      <c r="P6219" s="42">
        <v>43890</v>
      </c>
      <c r="Q6219" t="s">
        <v>359</v>
      </c>
      <c r="R6219" t="s">
        <v>370</v>
      </c>
      <c r="S6219" t="s">
        <v>323</v>
      </c>
      <c r="T6219">
        <v>7.6</v>
      </c>
      <c r="W6219" t="s">
        <v>330</v>
      </c>
      <c r="Y6219" s="42">
        <v>43893</v>
      </c>
    </row>
    <row r="6220" spans="14:25">
      <c r="N6220" s="42">
        <v>43889</v>
      </c>
      <c r="O6220" t="s">
        <v>346</v>
      </c>
      <c r="P6220" s="42">
        <v>43889</v>
      </c>
      <c r="Q6220" t="s">
        <v>346</v>
      </c>
      <c r="R6220" t="s">
        <v>370</v>
      </c>
      <c r="S6220" t="s">
        <v>323</v>
      </c>
      <c r="T6220">
        <v>7.6</v>
      </c>
      <c r="W6220" t="s">
        <v>330</v>
      </c>
      <c r="Y6220" s="42">
        <v>43893</v>
      </c>
    </row>
    <row r="6221" spans="14:25">
      <c r="N6221" s="42">
        <v>43883</v>
      </c>
      <c r="O6221" t="s">
        <v>359</v>
      </c>
      <c r="P6221" s="42">
        <v>43883</v>
      </c>
      <c r="Q6221" t="s">
        <v>359</v>
      </c>
      <c r="R6221" t="s">
        <v>370</v>
      </c>
      <c r="S6221" t="s">
        <v>323</v>
      </c>
      <c r="T6221">
        <v>7.6</v>
      </c>
      <c r="W6221" t="s">
        <v>330</v>
      </c>
      <c r="Y6221" s="42">
        <v>43893</v>
      </c>
    </row>
    <row r="6222" spans="14:25">
      <c r="N6222" s="42">
        <v>43882</v>
      </c>
      <c r="O6222" t="s">
        <v>346</v>
      </c>
      <c r="P6222" s="42">
        <v>43882</v>
      </c>
      <c r="Q6222" t="s">
        <v>346</v>
      </c>
      <c r="R6222" t="s">
        <v>370</v>
      </c>
      <c r="S6222" t="s">
        <v>323</v>
      </c>
      <c r="T6222">
        <v>7.6</v>
      </c>
      <c r="W6222" t="s">
        <v>330</v>
      </c>
      <c r="Y6222" s="42">
        <v>43893</v>
      </c>
    </row>
    <row r="6223" spans="14:25">
      <c r="N6223" s="42">
        <v>43876</v>
      </c>
      <c r="O6223" t="s">
        <v>359</v>
      </c>
      <c r="P6223" s="42">
        <v>43876</v>
      </c>
      <c r="Q6223" t="s">
        <v>359</v>
      </c>
      <c r="R6223" t="s">
        <v>370</v>
      </c>
      <c r="S6223" t="s">
        <v>323</v>
      </c>
      <c r="T6223">
        <v>7.6</v>
      </c>
      <c r="W6223" t="s">
        <v>330</v>
      </c>
      <c r="Y6223" s="42">
        <v>43879</v>
      </c>
    </row>
    <row r="6224" spans="14:25">
      <c r="N6224" s="42">
        <v>43875</v>
      </c>
      <c r="O6224" t="s">
        <v>346</v>
      </c>
      <c r="P6224" s="42">
        <v>43875</v>
      </c>
      <c r="Q6224" t="s">
        <v>346</v>
      </c>
      <c r="R6224" t="s">
        <v>370</v>
      </c>
      <c r="S6224" t="s">
        <v>323</v>
      </c>
      <c r="T6224">
        <v>7.6</v>
      </c>
      <c r="W6224" t="s">
        <v>330</v>
      </c>
      <c r="Y6224" s="42">
        <v>43879</v>
      </c>
    </row>
    <row r="6225" spans="14:25">
      <c r="N6225" s="42">
        <v>43869</v>
      </c>
      <c r="O6225" t="s">
        <v>359</v>
      </c>
      <c r="P6225" s="42">
        <v>43869</v>
      </c>
      <c r="Q6225" t="s">
        <v>359</v>
      </c>
      <c r="R6225" t="s">
        <v>370</v>
      </c>
      <c r="S6225" t="s">
        <v>323</v>
      </c>
      <c r="T6225">
        <v>7.6</v>
      </c>
      <c r="W6225" t="s">
        <v>330</v>
      </c>
      <c r="Y6225" s="42">
        <v>43879</v>
      </c>
    </row>
    <row r="6226" spans="14:25">
      <c r="N6226" s="42">
        <v>43868</v>
      </c>
      <c r="O6226" t="s">
        <v>346</v>
      </c>
      <c r="P6226" s="42">
        <v>43868</v>
      </c>
      <c r="Q6226" t="s">
        <v>346</v>
      </c>
      <c r="R6226" t="s">
        <v>370</v>
      </c>
      <c r="S6226" t="s">
        <v>323</v>
      </c>
      <c r="T6226">
        <v>7.6</v>
      </c>
      <c r="W6226" t="s">
        <v>330</v>
      </c>
      <c r="Y6226" s="42">
        <v>43879</v>
      </c>
    </row>
    <row r="6227" spans="14:25">
      <c r="N6227" s="42">
        <v>43862</v>
      </c>
      <c r="O6227" t="s">
        <v>359</v>
      </c>
      <c r="P6227" s="42">
        <v>43862</v>
      </c>
      <c r="Q6227" t="s">
        <v>359</v>
      </c>
      <c r="R6227" t="s">
        <v>370</v>
      </c>
      <c r="S6227" t="s">
        <v>323</v>
      </c>
      <c r="T6227">
        <v>7.6</v>
      </c>
      <c r="W6227" t="s">
        <v>330</v>
      </c>
      <c r="Y6227" s="42">
        <v>43865</v>
      </c>
    </row>
    <row r="6228" spans="14:25">
      <c r="N6228" s="42">
        <v>43861</v>
      </c>
      <c r="O6228" t="s">
        <v>346</v>
      </c>
      <c r="P6228" s="42">
        <v>43861</v>
      </c>
      <c r="Q6228" t="s">
        <v>346</v>
      </c>
      <c r="R6228" t="s">
        <v>370</v>
      </c>
      <c r="S6228" t="s">
        <v>323</v>
      </c>
      <c r="T6228">
        <v>7.6</v>
      </c>
      <c r="W6228" t="s">
        <v>330</v>
      </c>
      <c r="Y6228" s="42">
        <v>43865</v>
      </c>
    </row>
    <row r="6229" spans="14:25">
      <c r="N6229" s="42">
        <v>43855</v>
      </c>
      <c r="O6229" t="s">
        <v>359</v>
      </c>
      <c r="P6229" s="42">
        <v>43855</v>
      </c>
      <c r="Q6229" t="s">
        <v>359</v>
      </c>
      <c r="R6229" t="s">
        <v>370</v>
      </c>
      <c r="S6229" t="s">
        <v>323</v>
      </c>
      <c r="T6229">
        <v>7.6</v>
      </c>
      <c r="W6229" t="s">
        <v>330</v>
      </c>
      <c r="Y6229" s="42">
        <v>43865</v>
      </c>
    </row>
    <row r="6230" spans="14:25">
      <c r="N6230" s="42">
        <v>43854</v>
      </c>
      <c r="O6230" t="s">
        <v>346</v>
      </c>
      <c r="P6230" s="42">
        <v>43854</v>
      </c>
      <c r="Q6230" t="s">
        <v>346</v>
      </c>
      <c r="R6230" t="s">
        <v>370</v>
      </c>
      <c r="S6230" t="s">
        <v>323</v>
      </c>
      <c r="T6230">
        <v>7.6</v>
      </c>
      <c r="W6230" t="s">
        <v>330</v>
      </c>
      <c r="Y6230" s="42">
        <v>43865</v>
      </c>
    </row>
    <row r="6231" spans="14:25">
      <c r="N6231" s="42">
        <v>43848</v>
      </c>
      <c r="O6231" t="s">
        <v>359</v>
      </c>
      <c r="P6231" s="42">
        <v>43848</v>
      </c>
      <c r="Q6231" t="s">
        <v>359</v>
      </c>
      <c r="R6231" t="s">
        <v>370</v>
      </c>
      <c r="S6231" t="s">
        <v>323</v>
      </c>
      <c r="T6231">
        <v>7.6</v>
      </c>
      <c r="W6231" t="s">
        <v>330</v>
      </c>
      <c r="Y6231" s="42">
        <v>43851</v>
      </c>
    </row>
    <row r="6232" spans="14:25">
      <c r="N6232" s="42">
        <v>43847</v>
      </c>
      <c r="O6232" t="s">
        <v>346</v>
      </c>
      <c r="P6232" s="42">
        <v>43847</v>
      </c>
      <c r="Q6232" t="s">
        <v>346</v>
      </c>
      <c r="R6232" t="s">
        <v>370</v>
      </c>
      <c r="S6232" t="s">
        <v>323</v>
      </c>
      <c r="T6232">
        <v>7.6</v>
      </c>
      <c r="W6232" t="s">
        <v>330</v>
      </c>
      <c r="Y6232" s="42">
        <v>43851</v>
      </c>
    </row>
    <row r="6233" spans="14:25">
      <c r="N6233" s="42">
        <v>43841</v>
      </c>
      <c r="O6233" t="s">
        <v>359</v>
      </c>
      <c r="P6233" s="42">
        <v>43841</v>
      </c>
      <c r="Q6233" t="s">
        <v>359</v>
      </c>
      <c r="R6233" t="s">
        <v>370</v>
      </c>
      <c r="S6233" t="s">
        <v>323</v>
      </c>
      <c r="T6233">
        <v>7.6</v>
      </c>
      <c r="W6233" t="s">
        <v>330</v>
      </c>
      <c r="Y6233" s="42">
        <v>43851</v>
      </c>
    </row>
    <row r="6234" spans="14:25">
      <c r="N6234" s="42">
        <v>43840</v>
      </c>
      <c r="O6234" t="s">
        <v>346</v>
      </c>
      <c r="P6234" s="42">
        <v>43840</v>
      </c>
      <c r="Q6234" t="s">
        <v>346</v>
      </c>
      <c r="R6234" t="s">
        <v>370</v>
      </c>
      <c r="S6234" t="s">
        <v>323</v>
      </c>
      <c r="T6234">
        <v>7.6</v>
      </c>
      <c r="W6234" t="s">
        <v>330</v>
      </c>
      <c r="Y6234" s="42">
        <v>43851</v>
      </c>
    </row>
    <row r="6235" spans="14:25">
      <c r="N6235" s="42">
        <v>43834</v>
      </c>
      <c r="O6235" t="s">
        <v>359</v>
      </c>
      <c r="P6235" s="42">
        <v>43834</v>
      </c>
      <c r="Q6235" t="s">
        <v>359</v>
      </c>
      <c r="R6235" t="s">
        <v>370</v>
      </c>
      <c r="S6235" t="s">
        <v>323</v>
      </c>
      <c r="T6235">
        <v>7.6</v>
      </c>
      <c r="W6235" t="s">
        <v>330</v>
      </c>
      <c r="Y6235" s="42">
        <v>43837</v>
      </c>
    </row>
    <row r="6236" spans="14:25">
      <c r="N6236" s="42">
        <v>43833</v>
      </c>
      <c r="O6236" t="s">
        <v>346</v>
      </c>
      <c r="P6236" s="42">
        <v>43833</v>
      </c>
      <c r="Q6236" t="s">
        <v>346</v>
      </c>
      <c r="R6236" t="s">
        <v>370</v>
      </c>
      <c r="S6236" t="s">
        <v>323</v>
      </c>
      <c r="T6236">
        <v>7.6</v>
      </c>
      <c r="W6236" t="s">
        <v>330</v>
      </c>
      <c r="Y6236" s="42">
        <v>43837</v>
      </c>
    </row>
    <row r="6237" spans="14:25">
      <c r="N6237" s="42">
        <v>43827</v>
      </c>
      <c r="O6237" t="s">
        <v>359</v>
      </c>
      <c r="P6237" s="42">
        <v>43827</v>
      </c>
      <c r="Q6237" t="s">
        <v>359</v>
      </c>
      <c r="R6237" t="s">
        <v>370</v>
      </c>
      <c r="S6237" t="s">
        <v>323</v>
      </c>
      <c r="T6237">
        <v>7.6</v>
      </c>
      <c r="W6237" t="s">
        <v>330</v>
      </c>
      <c r="Y6237" s="42">
        <v>43837</v>
      </c>
    </row>
    <row r="6238" spans="14:25">
      <c r="N6238" s="42">
        <v>43826</v>
      </c>
      <c r="O6238" t="s">
        <v>346</v>
      </c>
      <c r="P6238" s="42">
        <v>43826</v>
      </c>
      <c r="Q6238" t="s">
        <v>346</v>
      </c>
      <c r="R6238" t="s">
        <v>370</v>
      </c>
      <c r="S6238" t="s">
        <v>323</v>
      </c>
      <c r="T6238">
        <v>7.6</v>
      </c>
      <c r="W6238" t="s">
        <v>330</v>
      </c>
      <c r="Y6238" s="42">
        <v>43837</v>
      </c>
    </row>
    <row r="6239" spans="14:25">
      <c r="N6239" s="42">
        <v>43806</v>
      </c>
      <c r="O6239" t="s">
        <v>359</v>
      </c>
      <c r="P6239" s="42">
        <v>43806</v>
      </c>
      <c r="Q6239" t="s">
        <v>359</v>
      </c>
      <c r="R6239" t="s">
        <v>370</v>
      </c>
      <c r="S6239" t="s">
        <v>323</v>
      </c>
      <c r="T6239">
        <v>7.6</v>
      </c>
      <c r="W6239" t="s">
        <v>330</v>
      </c>
      <c r="Y6239" s="42">
        <v>43809</v>
      </c>
    </row>
    <row r="6240" spans="14:25">
      <c r="N6240" s="42">
        <v>43805</v>
      </c>
      <c r="O6240" t="s">
        <v>346</v>
      </c>
      <c r="P6240" s="42">
        <v>43805</v>
      </c>
      <c r="Q6240" t="s">
        <v>346</v>
      </c>
      <c r="R6240" t="s">
        <v>370</v>
      </c>
      <c r="S6240" t="s">
        <v>323</v>
      </c>
      <c r="T6240">
        <v>7.6</v>
      </c>
      <c r="W6240" t="s">
        <v>330</v>
      </c>
      <c r="Y6240" s="42">
        <v>43809</v>
      </c>
    </row>
    <row r="6241" spans="1:25">
      <c r="N6241" s="42">
        <v>43799</v>
      </c>
      <c r="O6241" t="s">
        <v>359</v>
      </c>
      <c r="P6241" s="42">
        <v>43799</v>
      </c>
      <c r="Q6241" t="s">
        <v>359</v>
      </c>
      <c r="R6241" t="s">
        <v>370</v>
      </c>
      <c r="S6241" t="s">
        <v>323</v>
      </c>
      <c r="T6241">
        <v>7.6</v>
      </c>
      <c r="W6241" t="s">
        <v>330</v>
      </c>
      <c r="Y6241" s="42">
        <v>43809</v>
      </c>
    </row>
    <row r="6242" spans="1:25">
      <c r="N6242" s="42">
        <v>43798</v>
      </c>
      <c r="O6242" t="s">
        <v>346</v>
      </c>
      <c r="P6242" s="42">
        <v>43798</v>
      </c>
      <c r="Q6242" t="s">
        <v>346</v>
      </c>
      <c r="R6242" t="s">
        <v>370</v>
      </c>
      <c r="S6242" t="s">
        <v>323</v>
      </c>
      <c r="T6242">
        <v>7.6</v>
      </c>
      <c r="W6242" t="s">
        <v>330</v>
      </c>
      <c r="Y6242" s="42">
        <v>43809</v>
      </c>
    </row>
    <row r="6243" spans="1:25">
      <c r="N6243" s="42">
        <v>43785</v>
      </c>
      <c r="O6243" t="s">
        <v>359</v>
      </c>
      <c r="P6243" s="42">
        <v>43785</v>
      </c>
      <c r="Q6243" t="s">
        <v>359</v>
      </c>
      <c r="R6243" t="s">
        <v>329</v>
      </c>
      <c r="S6243" t="s">
        <v>323</v>
      </c>
      <c r="T6243">
        <v>3.83</v>
      </c>
      <c r="W6243" t="s">
        <v>330</v>
      </c>
      <c r="Y6243" s="42">
        <v>43795</v>
      </c>
    </row>
    <row r="6244" spans="1:25">
      <c r="N6244" s="42">
        <v>43742</v>
      </c>
      <c r="O6244" t="s">
        <v>346</v>
      </c>
      <c r="P6244" s="42">
        <v>43742</v>
      </c>
      <c r="Q6244" t="s">
        <v>346</v>
      </c>
      <c r="R6244" t="s">
        <v>329</v>
      </c>
      <c r="S6244" t="s">
        <v>323</v>
      </c>
      <c r="T6244">
        <v>7.6</v>
      </c>
      <c r="W6244" t="s">
        <v>330</v>
      </c>
      <c r="Y6244" s="42">
        <v>43753</v>
      </c>
    </row>
    <row r="6245" spans="1:25">
      <c r="N6245" s="42">
        <v>43693</v>
      </c>
      <c r="O6245" t="s">
        <v>346</v>
      </c>
      <c r="P6245" s="42">
        <v>43693</v>
      </c>
      <c r="Q6245" t="s">
        <v>346</v>
      </c>
      <c r="R6245" t="s">
        <v>329</v>
      </c>
      <c r="S6245" t="s">
        <v>323</v>
      </c>
      <c r="T6245">
        <v>7.6</v>
      </c>
      <c r="W6245" t="s">
        <v>330</v>
      </c>
      <c r="Y6245" s="42">
        <v>43739</v>
      </c>
    </row>
    <row r="6246" spans="1:25">
      <c r="N6246" s="42">
        <v>43630</v>
      </c>
      <c r="O6246" t="s">
        <v>346</v>
      </c>
      <c r="P6246" s="42">
        <v>43630</v>
      </c>
      <c r="Q6246" t="s">
        <v>346</v>
      </c>
      <c r="R6246" t="s">
        <v>329</v>
      </c>
      <c r="S6246" t="s">
        <v>323</v>
      </c>
      <c r="T6246">
        <v>7.06</v>
      </c>
      <c r="W6246" t="s">
        <v>330</v>
      </c>
      <c r="Y6246" s="42">
        <v>43641</v>
      </c>
    </row>
    <row r="6247" spans="1:25">
      <c r="A6247">
        <v>18836</v>
      </c>
      <c r="B6247" t="s">
        <v>418</v>
      </c>
      <c r="C6247" t="s">
        <v>320</v>
      </c>
      <c r="D6247" t="s">
        <v>336</v>
      </c>
      <c r="E6247" t="s">
        <v>337</v>
      </c>
      <c r="F6247">
        <v>1</v>
      </c>
      <c r="G6247" s="42">
        <v>45179</v>
      </c>
      <c r="H6247">
        <v>152</v>
      </c>
      <c r="I6247">
        <v>53.1999</v>
      </c>
      <c r="J6247">
        <v>72.8767</v>
      </c>
      <c r="K6247">
        <v>126.0766</v>
      </c>
      <c r="L6247" t="s">
        <v>323</v>
      </c>
      <c r="M6247" s="43">
        <v>0.17013888888888887</v>
      </c>
      <c r="N6247" s="42">
        <v>45028</v>
      </c>
      <c r="O6247" t="s">
        <v>328</v>
      </c>
      <c r="P6247" s="42">
        <v>45032</v>
      </c>
      <c r="Q6247" t="s">
        <v>344</v>
      </c>
      <c r="R6247" t="s">
        <v>320</v>
      </c>
      <c r="S6247" t="s">
        <v>323</v>
      </c>
      <c r="T6247">
        <v>22.8</v>
      </c>
      <c r="U6247">
        <v>0</v>
      </c>
      <c r="V6247">
        <v>0</v>
      </c>
    </row>
    <row r="6248" spans="1:25">
      <c r="C6248" t="s">
        <v>325</v>
      </c>
      <c r="D6248" t="s">
        <v>352</v>
      </c>
      <c r="E6248" t="s">
        <v>353</v>
      </c>
      <c r="F6248">
        <v>1</v>
      </c>
      <c r="G6248" s="42">
        <v>47006</v>
      </c>
      <c r="H6248">
        <v>329.32580000000002</v>
      </c>
      <c r="I6248">
        <v>0</v>
      </c>
      <c r="J6248">
        <v>147.4778</v>
      </c>
      <c r="K6248">
        <v>147.4778</v>
      </c>
      <c r="L6248" t="s">
        <v>323</v>
      </c>
      <c r="N6248" s="42">
        <v>45027</v>
      </c>
      <c r="O6248" t="s">
        <v>333</v>
      </c>
      <c r="P6248" s="42">
        <v>45027</v>
      </c>
      <c r="Q6248" t="s">
        <v>333</v>
      </c>
      <c r="R6248" t="s">
        <v>320</v>
      </c>
      <c r="S6248" t="s">
        <v>323</v>
      </c>
      <c r="T6248">
        <v>7.6</v>
      </c>
      <c r="U6248">
        <v>0</v>
      </c>
      <c r="V6248">
        <v>0</v>
      </c>
    </row>
    <row r="6249" spans="1:25">
      <c r="C6249" t="s">
        <v>329</v>
      </c>
      <c r="D6249" t="s">
        <v>342</v>
      </c>
      <c r="E6249" t="s">
        <v>343</v>
      </c>
      <c r="F6249">
        <v>1</v>
      </c>
      <c r="G6249" s="42">
        <v>45179</v>
      </c>
      <c r="H6249">
        <v>76</v>
      </c>
      <c r="I6249">
        <v>63.599800000000002</v>
      </c>
      <c r="J6249">
        <v>36.438400000000001</v>
      </c>
      <c r="K6249">
        <v>100.0382</v>
      </c>
      <c r="L6249" t="s">
        <v>323</v>
      </c>
      <c r="N6249" s="42">
        <v>44957</v>
      </c>
      <c r="O6249" t="s">
        <v>333</v>
      </c>
      <c r="P6249" s="42">
        <v>44957</v>
      </c>
      <c r="Q6249" t="s">
        <v>333</v>
      </c>
      <c r="R6249" t="s">
        <v>320</v>
      </c>
      <c r="S6249" t="s">
        <v>323</v>
      </c>
      <c r="T6249">
        <v>7.6</v>
      </c>
      <c r="V6249">
        <v>0</v>
      </c>
      <c r="Y6249" s="42">
        <v>44957</v>
      </c>
    </row>
    <row r="6250" spans="1:25">
      <c r="N6250" s="42">
        <v>44952</v>
      </c>
      <c r="O6250" t="s">
        <v>324</v>
      </c>
      <c r="P6250" s="42">
        <v>44952</v>
      </c>
      <c r="Q6250" t="s">
        <v>324</v>
      </c>
      <c r="R6250" t="s">
        <v>320</v>
      </c>
      <c r="S6250" t="s">
        <v>323</v>
      </c>
      <c r="U6250">
        <v>7.6</v>
      </c>
      <c r="Y6250" s="42">
        <v>44957</v>
      </c>
    </row>
    <row r="6251" spans="1:25">
      <c r="N6251" s="42">
        <v>44930</v>
      </c>
      <c r="O6251" t="s">
        <v>328</v>
      </c>
      <c r="P6251" s="42">
        <v>44934</v>
      </c>
      <c r="Q6251" t="s">
        <v>344</v>
      </c>
      <c r="R6251" t="s">
        <v>320</v>
      </c>
      <c r="S6251" t="s">
        <v>323</v>
      </c>
      <c r="T6251">
        <v>22.8</v>
      </c>
      <c r="U6251">
        <v>0</v>
      </c>
      <c r="V6251">
        <v>0</v>
      </c>
      <c r="Y6251" s="42">
        <v>44943</v>
      </c>
    </row>
    <row r="6252" spans="1:25">
      <c r="N6252" s="42">
        <v>44923</v>
      </c>
      <c r="O6252" t="s">
        <v>328</v>
      </c>
      <c r="P6252" s="42">
        <v>44929</v>
      </c>
      <c r="Q6252" t="s">
        <v>333</v>
      </c>
      <c r="R6252" t="s">
        <v>320</v>
      </c>
      <c r="S6252" t="s">
        <v>323</v>
      </c>
      <c r="T6252">
        <v>30.4</v>
      </c>
      <c r="U6252">
        <v>7.6</v>
      </c>
      <c r="V6252">
        <v>0</v>
      </c>
      <c r="Y6252" s="42">
        <v>44929</v>
      </c>
    </row>
    <row r="6253" spans="1:25">
      <c r="N6253" s="42">
        <v>44922</v>
      </c>
      <c r="O6253" t="s">
        <v>333</v>
      </c>
      <c r="P6253" s="42">
        <v>44922</v>
      </c>
      <c r="Q6253" t="s">
        <v>333</v>
      </c>
      <c r="R6253" t="s">
        <v>320</v>
      </c>
      <c r="S6253" t="s">
        <v>323</v>
      </c>
      <c r="U6253">
        <v>7.6</v>
      </c>
      <c r="Y6253" s="42">
        <v>44929</v>
      </c>
    </row>
    <row r="6254" spans="1:25">
      <c r="N6254" s="42">
        <v>44921</v>
      </c>
      <c r="O6254" t="s">
        <v>345</v>
      </c>
      <c r="P6254" s="42">
        <v>44921</v>
      </c>
      <c r="Q6254" t="s">
        <v>345</v>
      </c>
      <c r="R6254" t="s">
        <v>320</v>
      </c>
      <c r="S6254" t="s">
        <v>323</v>
      </c>
      <c r="U6254">
        <v>7.6</v>
      </c>
      <c r="Y6254" s="42">
        <v>44929</v>
      </c>
    </row>
    <row r="6255" spans="1:25">
      <c r="N6255" s="42">
        <v>44908</v>
      </c>
      <c r="O6255" t="s">
        <v>333</v>
      </c>
      <c r="P6255" s="42">
        <v>44908</v>
      </c>
      <c r="Q6255" t="s">
        <v>333</v>
      </c>
      <c r="R6255" t="s">
        <v>320</v>
      </c>
      <c r="S6255" t="s">
        <v>323</v>
      </c>
      <c r="T6255">
        <v>7.6</v>
      </c>
      <c r="V6255">
        <v>0</v>
      </c>
      <c r="Y6255" s="42">
        <v>44915</v>
      </c>
    </row>
    <row r="6256" spans="1:25">
      <c r="N6256" s="42">
        <v>44903</v>
      </c>
      <c r="O6256" t="s">
        <v>324</v>
      </c>
      <c r="P6256" s="42">
        <v>44903</v>
      </c>
      <c r="Q6256" t="s">
        <v>324</v>
      </c>
      <c r="R6256" t="s">
        <v>329</v>
      </c>
      <c r="S6256" t="s">
        <v>323</v>
      </c>
      <c r="T6256">
        <v>7.6</v>
      </c>
      <c r="W6256" t="s">
        <v>339</v>
      </c>
      <c r="Y6256" s="42">
        <v>44915</v>
      </c>
    </row>
    <row r="6257" spans="14:25">
      <c r="N6257" s="42">
        <v>44902</v>
      </c>
      <c r="O6257" t="s">
        <v>328</v>
      </c>
      <c r="P6257" s="42">
        <v>44902</v>
      </c>
      <c r="Q6257" t="s">
        <v>328</v>
      </c>
      <c r="R6257" t="s">
        <v>329</v>
      </c>
      <c r="S6257" t="s">
        <v>323</v>
      </c>
      <c r="T6257">
        <v>3.6</v>
      </c>
      <c r="W6257" t="s">
        <v>339</v>
      </c>
      <c r="Y6257" s="42">
        <v>44915</v>
      </c>
    </row>
    <row r="6258" spans="14:25">
      <c r="N6258" s="42">
        <v>44890</v>
      </c>
      <c r="O6258" t="s">
        <v>346</v>
      </c>
      <c r="P6258" s="42">
        <v>44890</v>
      </c>
      <c r="Q6258" t="s">
        <v>346</v>
      </c>
      <c r="R6258" t="s">
        <v>329</v>
      </c>
      <c r="S6258" t="s">
        <v>323</v>
      </c>
      <c r="T6258">
        <v>7.6</v>
      </c>
      <c r="W6258" t="s">
        <v>339</v>
      </c>
      <c r="Y6258" s="42">
        <v>44901</v>
      </c>
    </row>
    <row r="6259" spans="14:25">
      <c r="N6259" s="42">
        <v>44887</v>
      </c>
      <c r="O6259" t="s">
        <v>333</v>
      </c>
      <c r="P6259" s="42">
        <v>44887</v>
      </c>
      <c r="Q6259" t="s">
        <v>333</v>
      </c>
      <c r="R6259" t="s">
        <v>347</v>
      </c>
      <c r="S6259" t="s">
        <v>323</v>
      </c>
      <c r="T6259">
        <v>2</v>
      </c>
      <c r="W6259" t="s">
        <v>339</v>
      </c>
      <c r="Y6259" s="42">
        <v>44901</v>
      </c>
    </row>
    <row r="6260" spans="14:25">
      <c r="N6260" s="42">
        <v>44876</v>
      </c>
      <c r="O6260" t="s">
        <v>346</v>
      </c>
      <c r="P6260" s="42">
        <v>44876</v>
      </c>
      <c r="Q6260" t="s">
        <v>346</v>
      </c>
      <c r="R6260" t="s">
        <v>320</v>
      </c>
      <c r="S6260" t="s">
        <v>323</v>
      </c>
      <c r="T6260">
        <v>7.6</v>
      </c>
      <c r="U6260">
        <v>0</v>
      </c>
    </row>
    <row r="6261" spans="14:25">
      <c r="N6261" s="42">
        <v>44861</v>
      </c>
      <c r="O6261" t="s">
        <v>324</v>
      </c>
      <c r="P6261" s="42">
        <v>44861</v>
      </c>
      <c r="Q6261" t="s">
        <v>324</v>
      </c>
      <c r="R6261" t="s">
        <v>329</v>
      </c>
      <c r="S6261" t="s">
        <v>323</v>
      </c>
      <c r="T6261">
        <v>6</v>
      </c>
      <c r="W6261" t="s">
        <v>339</v>
      </c>
      <c r="Y6261" s="42">
        <v>44873</v>
      </c>
    </row>
    <row r="6262" spans="14:25">
      <c r="N6262" s="42">
        <v>44837</v>
      </c>
      <c r="O6262" t="s">
        <v>345</v>
      </c>
      <c r="P6262" s="42">
        <v>44837</v>
      </c>
      <c r="Q6262" t="s">
        <v>345</v>
      </c>
      <c r="R6262" t="s">
        <v>320</v>
      </c>
      <c r="S6262" t="s">
        <v>323</v>
      </c>
      <c r="U6262">
        <v>7.6</v>
      </c>
      <c r="Y6262" s="42">
        <v>44845</v>
      </c>
    </row>
    <row r="6263" spans="14:25">
      <c r="N6263" s="42">
        <v>44826</v>
      </c>
      <c r="O6263" t="s">
        <v>324</v>
      </c>
      <c r="P6263" s="42">
        <v>44826</v>
      </c>
      <c r="Q6263" t="s">
        <v>324</v>
      </c>
      <c r="R6263" t="s">
        <v>320</v>
      </c>
      <c r="S6263" t="s">
        <v>323</v>
      </c>
      <c r="U6263">
        <v>7.6</v>
      </c>
      <c r="Y6263" s="42">
        <v>44831</v>
      </c>
    </row>
    <row r="6264" spans="14:25">
      <c r="N6264" s="42">
        <v>44824</v>
      </c>
      <c r="O6264" t="s">
        <v>333</v>
      </c>
      <c r="P6264" s="42">
        <v>44824</v>
      </c>
      <c r="Q6264" t="s">
        <v>333</v>
      </c>
      <c r="R6264" t="s">
        <v>329</v>
      </c>
      <c r="S6264" t="s">
        <v>323</v>
      </c>
      <c r="T6264">
        <v>5</v>
      </c>
      <c r="W6264" t="s">
        <v>339</v>
      </c>
      <c r="Y6264" s="42">
        <v>44831</v>
      </c>
    </row>
    <row r="6265" spans="14:25">
      <c r="N6265" s="42">
        <v>44809</v>
      </c>
      <c r="O6265" t="s">
        <v>345</v>
      </c>
      <c r="P6265" s="42">
        <v>44809</v>
      </c>
      <c r="Q6265" t="s">
        <v>345</v>
      </c>
      <c r="R6265" t="s">
        <v>320</v>
      </c>
      <c r="S6265" t="s">
        <v>323</v>
      </c>
      <c r="T6265">
        <v>7.6</v>
      </c>
      <c r="V6265">
        <v>0</v>
      </c>
      <c r="Y6265" s="42">
        <v>44817</v>
      </c>
    </row>
    <row r="6266" spans="14:25">
      <c r="N6266" s="42">
        <v>44750</v>
      </c>
      <c r="O6266" t="s">
        <v>346</v>
      </c>
      <c r="P6266" s="42">
        <v>44757</v>
      </c>
      <c r="Q6266" t="s">
        <v>346</v>
      </c>
      <c r="R6266" t="s">
        <v>320</v>
      </c>
      <c r="S6266" t="s">
        <v>323</v>
      </c>
      <c r="T6266">
        <v>45.6</v>
      </c>
      <c r="V6266">
        <v>0</v>
      </c>
      <c r="Y6266" s="42">
        <v>44761</v>
      </c>
    </row>
    <row r="6267" spans="14:25">
      <c r="N6267" s="42">
        <v>44739</v>
      </c>
      <c r="O6267" t="s">
        <v>345</v>
      </c>
      <c r="P6267" s="42">
        <v>44739</v>
      </c>
      <c r="Q6267" t="s">
        <v>345</v>
      </c>
      <c r="R6267" t="s">
        <v>347</v>
      </c>
      <c r="S6267" t="s">
        <v>323</v>
      </c>
      <c r="T6267">
        <v>5</v>
      </c>
      <c r="W6267" t="s">
        <v>339</v>
      </c>
      <c r="Y6267" s="42">
        <v>44747</v>
      </c>
    </row>
    <row r="6268" spans="14:25">
      <c r="N6268" s="42">
        <v>44725</v>
      </c>
      <c r="O6268" t="s">
        <v>345</v>
      </c>
      <c r="P6268" s="42">
        <v>44725</v>
      </c>
      <c r="Q6268" t="s">
        <v>345</v>
      </c>
      <c r="R6268" t="s">
        <v>320</v>
      </c>
      <c r="S6268" t="s">
        <v>323</v>
      </c>
      <c r="U6268">
        <v>7.6</v>
      </c>
      <c r="Y6268" s="42">
        <v>44733</v>
      </c>
    </row>
    <row r="6269" spans="14:25">
      <c r="N6269" s="42">
        <v>44711</v>
      </c>
      <c r="O6269" t="s">
        <v>345</v>
      </c>
      <c r="P6269" s="42">
        <v>44711</v>
      </c>
      <c r="Q6269" t="s">
        <v>345</v>
      </c>
      <c r="R6269" t="s">
        <v>329</v>
      </c>
      <c r="S6269" t="s">
        <v>323</v>
      </c>
      <c r="T6269">
        <v>7.6</v>
      </c>
      <c r="W6269" t="s">
        <v>339</v>
      </c>
      <c r="Y6269" s="42">
        <v>44719</v>
      </c>
    </row>
    <row r="6270" spans="14:25">
      <c r="N6270" s="42">
        <v>44676</v>
      </c>
      <c r="O6270" t="s">
        <v>345</v>
      </c>
      <c r="P6270" s="42">
        <v>44676</v>
      </c>
      <c r="Q6270" t="s">
        <v>345</v>
      </c>
      <c r="R6270" t="s">
        <v>320</v>
      </c>
      <c r="S6270" t="s">
        <v>323</v>
      </c>
      <c r="U6270">
        <v>7.6</v>
      </c>
      <c r="Y6270" s="42">
        <v>44677</v>
      </c>
    </row>
    <row r="6271" spans="14:25">
      <c r="N6271" s="42">
        <v>44670</v>
      </c>
      <c r="O6271" t="s">
        <v>333</v>
      </c>
      <c r="P6271" s="42">
        <v>44673</v>
      </c>
      <c r="Q6271" t="s">
        <v>346</v>
      </c>
      <c r="R6271" t="s">
        <v>320</v>
      </c>
      <c r="S6271" t="s">
        <v>323</v>
      </c>
      <c r="T6271">
        <v>30.4</v>
      </c>
      <c r="V6271">
        <v>0</v>
      </c>
      <c r="Y6271" s="42">
        <v>44677</v>
      </c>
    </row>
    <row r="6272" spans="14:25">
      <c r="N6272" s="42">
        <v>44669</v>
      </c>
      <c r="O6272" t="s">
        <v>345</v>
      </c>
      <c r="P6272" s="42">
        <v>44669</v>
      </c>
      <c r="Q6272" t="s">
        <v>345</v>
      </c>
      <c r="R6272" t="s">
        <v>320</v>
      </c>
      <c r="S6272" t="s">
        <v>323</v>
      </c>
      <c r="U6272">
        <v>7.6</v>
      </c>
      <c r="Y6272" s="42">
        <v>44677</v>
      </c>
    </row>
    <row r="6273" spans="14:25">
      <c r="N6273" s="42">
        <v>44666</v>
      </c>
      <c r="O6273" t="s">
        <v>346</v>
      </c>
      <c r="P6273" s="42">
        <v>44666</v>
      </c>
      <c r="Q6273" t="s">
        <v>346</v>
      </c>
      <c r="R6273" t="s">
        <v>320</v>
      </c>
      <c r="S6273" t="s">
        <v>323</v>
      </c>
      <c r="U6273">
        <v>7.6</v>
      </c>
      <c r="Y6273" s="42">
        <v>44677</v>
      </c>
    </row>
    <row r="6274" spans="14:25">
      <c r="N6274" s="42">
        <v>44620</v>
      </c>
      <c r="O6274" t="s">
        <v>345</v>
      </c>
      <c r="P6274" s="42">
        <v>44620</v>
      </c>
      <c r="Q6274" t="s">
        <v>345</v>
      </c>
      <c r="R6274" t="s">
        <v>329</v>
      </c>
      <c r="S6274" t="s">
        <v>323</v>
      </c>
      <c r="T6274">
        <v>7.6</v>
      </c>
      <c r="W6274" t="s">
        <v>339</v>
      </c>
      <c r="Y6274" s="42">
        <v>44621</v>
      </c>
    </row>
    <row r="6275" spans="14:25">
      <c r="N6275" s="42">
        <v>44587</v>
      </c>
      <c r="O6275" t="s">
        <v>328</v>
      </c>
      <c r="P6275" s="42">
        <v>44587</v>
      </c>
      <c r="Q6275" t="s">
        <v>328</v>
      </c>
      <c r="R6275" t="s">
        <v>320</v>
      </c>
      <c r="S6275" t="s">
        <v>323</v>
      </c>
      <c r="U6275">
        <v>7.6</v>
      </c>
      <c r="Y6275" s="42">
        <v>44593</v>
      </c>
    </row>
    <row r="6276" spans="14:25">
      <c r="N6276" s="42">
        <v>44566</v>
      </c>
      <c r="O6276" t="s">
        <v>328</v>
      </c>
      <c r="P6276" s="42">
        <v>44575</v>
      </c>
      <c r="Q6276" t="s">
        <v>346</v>
      </c>
      <c r="R6276" t="s">
        <v>320</v>
      </c>
      <c r="S6276" t="s">
        <v>323</v>
      </c>
      <c r="T6276">
        <v>60.8</v>
      </c>
      <c r="U6276">
        <v>0</v>
      </c>
      <c r="V6276">
        <v>0</v>
      </c>
      <c r="Y6276" s="42">
        <v>44579</v>
      </c>
    </row>
    <row r="6277" spans="14:25">
      <c r="N6277" s="42">
        <v>44565</v>
      </c>
      <c r="O6277" t="s">
        <v>333</v>
      </c>
      <c r="P6277" s="42">
        <v>44565</v>
      </c>
      <c r="Q6277" t="s">
        <v>333</v>
      </c>
      <c r="R6277" t="s">
        <v>320</v>
      </c>
      <c r="S6277" t="s">
        <v>323</v>
      </c>
      <c r="T6277">
        <v>7.6</v>
      </c>
      <c r="U6277">
        <v>0</v>
      </c>
      <c r="V6277">
        <v>0</v>
      </c>
      <c r="Y6277" s="42">
        <v>44565</v>
      </c>
    </row>
    <row r="6278" spans="14:25">
      <c r="N6278" s="42">
        <v>44564</v>
      </c>
      <c r="O6278" t="s">
        <v>345</v>
      </c>
      <c r="P6278" s="42">
        <v>44564</v>
      </c>
      <c r="Q6278" t="s">
        <v>345</v>
      </c>
      <c r="R6278" t="s">
        <v>320</v>
      </c>
      <c r="S6278" t="s">
        <v>323</v>
      </c>
      <c r="U6278">
        <v>7.6</v>
      </c>
      <c r="Y6278" s="42">
        <v>44565</v>
      </c>
    </row>
    <row r="6279" spans="14:25">
      <c r="N6279" s="42">
        <v>44558</v>
      </c>
      <c r="O6279" t="s">
        <v>333</v>
      </c>
      <c r="P6279" s="42">
        <v>44558</v>
      </c>
      <c r="Q6279" t="s">
        <v>333</v>
      </c>
      <c r="R6279" t="s">
        <v>320</v>
      </c>
      <c r="S6279" t="s">
        <v>323</v>
      </c>
      <c r="U6279">
        <v>7.6</v>
      </c>
      <c r="Y6279" s="42">
        <v>44565</v>
      </c>
    </row>
    <row r="6280" spans="14:25">
      <c r="N6280" s="42">
        <v>44557</v>
      </c>
      <c r="O6280" t="s">
        <v>345</v>
      </c>
      <c r="P6280" s="42">
        <v>44557</v>
      </c>
      <c r="Q6280" t="s">
        <v>345</v>
      </c>
      <c r="R6280" t="s">
        <v>320</v>
      </c>
      <c r="S6280" t="s">
        <v>323</v>
      </c>
      <c r="U6280">
        <v>7.6</v>
      </c>
      <c r="Y6280" s="42">
        <v>44565</v>
      </c>
    </row>
    <row r="6281" spans="14:25">
      <c r="N6281" s="42">
        <v>44483</v>
      </c>
      <c r="O6281" t="s">
        <v>324</v>
      </c>
      <c r="P6281" s="42">
        <v>44483</v>
      </c>
      <c r="Q6281" t="s">
        <v>324</v>
      </c>
      <c r="R6281" t="s">
        <v>347</v>
      </c>
      <c r="S6281" t="s">
        <v>323</v>
      </c>
      <c r="T6281">
        <v>3</v>
      </c>
      <c r="W6281" t="s">
        <v>339</v>
      </c>
      <c r="Y6281" s="42">
        <v>44495</v>
      </c>
    </row>
    <row r="6282" spans="14:25">
      <c r="N6282" s="42">
        <v>44473</v>
      </c>
      <c r="O6282" t="s">
        <v>345</v>
      </c>
      <c r="P6282" s="42">
        <v>44473</v>
      </c>
      <c r="Q6282" t="s">
        <v>345</v>
      </c>
      <c r="R6282" t="s">
        <v>320</v>
      </c>
      <c r="S6282" t="s">
        <v>323</v>
      </c>
      <c r="U6282">
        <v>7.6</v>
      </c>
      <c r="Y6282" s="42">
        <v>44481</v>
      </c>
    </row>
    <row r="6283" spans="14:25">
      <c r="N6283" s="42">
        <v>44454</v>
      </c>
      <c r="O6283" t="s">
        <v>328</v>
      </c>
      <c r="P6283" s="42">
        <v>44463</v>
      </c>
      <c r="Q6283" t="s">
        <v>346</v>
      </c>
      <c r="R6283" t="s">
        <v>347</v>
      </c>
      <c r="S6283" t="s">
        <v>323</v>
      </c>
      <c r="T6283">
        <v>60.8</v>
      </c>
      <c r="U6283">
        <v>0</v>
      </c>
      <c r="W6283" t="s">
        <v>339</v>
      </c>
      <c r="Y6283" s="42">
        <v>44467</v>
      </c>
    </row>
    <row r="6284" spans="14:25">
      <c r="N6284" s="42">
        <v>44442</v>
      </c>
      <c r="O6284" t="s">
        <v>346</v>
      </c>
      <c r="P6284" s="42">
        <v>44453</v>
      </c>
      <c r="Q6284" t="s">
        <v>333</v>
      </c>
      <c r="R6284" t="s">
        <v>347</v>
      </c>
      <c r="S6284" t="s">
        <v>323</v>
      </c>
      <c r="T6284">
        <v>60.8</v>
      </c>
      <c r="U6284">
        <v>0</v>
      </c>
      <c r="W6284" t="s">
        <v>339</v>
      </c>
      <c r="Y6284" s="42">
        <v>44453</v>
      </c>
    </row>
    <row r="6285" spans="14:25">
      <c r="N6285" s="42">
        <v>44438</v>
      </c>
      <c r="O6285" t="s">
        <v>345</v>
      </c>
      <c r="P6285" s="42">
        <v>44438</v>
      </c>
      <c r="Q6285" t="s">
        <v>345</v>
      </c>
      <c r="R6285" t="s">
        <v>347</v>
      </c>
      <c r="S6285" t="s">
        <v>323</v>
      </c>
      <c r="T6285">
        <v>7.6</v>
      </c>
      <c r="W6285" t="s">
        <v>339</v>
      </c>
      <c r="Y6285" s="42">
        <v>44439</v>
      </c>
    </row>
    <row r="6286" spans="14:25">
      <c r="N6286" s="42">
        <v>44371</v>
      </c>
      <c r="O6286" t="s">
        <v>324</v>
      </c>
      <c r="P6286" s="42">
        <v>44371</v>
      </c>
      <c r="Q6286" t="s">
        <v>324</v>
      </c>
      <c r="R6286" t="s">
        <v>347</v>
      </c>
      <c r="S6286" t="s">
        <v>323</v>
      </c>
      <c r="T6286">
        <v>7.6</v>
      </c>
      <c r="W6286" t="s">
        <v>339</v>
      </c>
      <c r="Y6286" s="42">
        <v>44383</v>
      </c>
    </row>
    <row r="6287" spans="14:25">
      <c r="N6287" s="42">
        <v>44361</v>
      </c>
      <c r="O6287" t="s">
        <v>345</v>
      </c>
      <c r="P6287" s="42">
        <v>44361</v>
      </c>
      <c r="Q6287" t="s">
        <v>345</v>
      </c>
      <c r="R6287" t="s">
        <v>320</v>
      </c>
      <c r="S6287" t="s">
        <v>323</v>
      </c>
      <c r="U6287">
        <v>7.6</v>
      </c>
      <c r="Y6287" s="42">
        <v>44369</v>
      </c>
    </row>
    <row r="6288" spans="14:25">
      <c r="N6288" s="42">
        <v>44340</v>
      </c>
      <c r="O6288" t="s">
        <v>345</v>
      </c>
      <c r="P6288" s="42">
        <v>44340</v>
      </c>
      <c r="Q6288" t="s">
        <v>345</v>
      </c>
      <c r="R6288" t="s">
        <v>320</v>
      </c>
      <c r="S6288" t="s">
        <v>323</v>
      </c>
      <c r="T6288">
        <v>7.6</v>
      </c>
      <c r="V6288">
        <v>0</v>
      </c>
      <c r="Y6288" s="42">
        <v>44341</v>
      </c>
    </row>
    <row r="6289" spans="14:25">
      <c r="N6289" s="42">
        <v>44329</v>
      </c>
      <c r="O6289" t="s">
        <v>324</v>
      </c>
      <c r="P6289" s="42">
        <v>44329</v>
      </c>
      <c r="Q6289" t="s">
        <v>324</v>
      </c>
      <c r="R6289" t="s">
        <v>320</v>
      </c>
      <c r="S6289" t="s">
        <v>323</v>
      </c>
      <c r="T6289">
        <v>7.6</v>
      </c>
      <c r="V6289">
        <v>0</v>
      </c>
      <c r="Y6289" s="42">
        <v>44341</v>
      </c>
    </row>
    <row r="6290" spans="14:25">
      <c r="N6290" s="42">
        <v>44291</v>
      </c>
      <c r="O6290" t="s">
        <v>345</v>
      </c>
      <c r="P6290" s="42">
        <v>44291</v>
      </c>
      <c r="Q6290" t="s">
        <v>345</v>
      </c>
      <c r="R6290" t="s">
        <v>320</v>
      </c>
      <c r="S6290" t="s">
        <v>323</v>
      </c>
      <c r="U6290">
        <v>7.6</v>
      </c>
    </row>
    <row r="6291" spans="14:25">
      <c r="N6291" s="42">
        <v>44288</v>
      </c>
      <c r="O6291" t="s">
        <v>346</v>
      </c>
      <c r="P6291" s="42">
        <v>44288</v>
      </c>
      <c r="Q6291" t="s">
        <v>346</v>
      </c>
      <c r="R6291" t="s">
        <v>320</v>
      </c>
      <c r="S6291" t="s">
        <v>323</v>
      </c>
      <c r="U6291">
        <v>7.6</v>
      </c>
    </row>
    <row r="6292" spans="14:25">
      <c r="N6292" s="42">
        <v>44277</v>
      </c>
      <c r="O6292" t="s">
        <v>345</v>
      </c>
      <c r="P6292" s="42">
        <v>44277</v>
      </c>
      <c r="Q6292" t="s">
        <v>345</v>
      </c>
      <c r="R6292" t="s">
        <v>320</v>
      </c>
      <c r="S6292" t="s">
        <v>323</v>
      </c>
      <c r="T6292">
        <v>7.6</v>
      </c>
      <c r="V6292">
        <v>0</v>
      </c>
      <c r="Y6292" s="42">
        <v>44285</v>
      </c>
    </row>
    <row r="6293" spans="14:25">
      <c r="N6293" s="42">
        <v>44259</v>
      </c>
      <c r="O6293" t="s">
        <v>324</v>
      </c>
      <c r="P6293" s="42">
        <v>44259</v>
      </c>
      <c r="Q6293" t="s">
        <v>324</v>
      </c>
      <c r="R6293" t="s">
        <v>347</v>
      </c>
      <c r="S6293" t="s">
        <v>323</v>
      </c>
      <c r="T6293">
        <v>7.6</v>
      </c>
      <c r="W6293" t="s">
        <v>339</v>
      </c>
      <c r="Y6293" s="42">
        <v>44271</v>
      </c>
    </row>
    <row r="6294" spans="14:25">
      <c r="N6294" s="42">
        <v>44246</v>
      </c>
      <c r="O6294" t="s">
        <v>346</v>
      </c>
      <c r="P6294" s="42">
        <v>44246</v>
      </c>
      <c r="Q6294" t="s">
        <v>346</v>
      </c>
      <c r="R6294" t="s">
        <v>347</v>
      </c>
      <c r="S6294" t="s">
        <v>323</v>
      </c>
      <c r="T6294">
        <v>7.6</v>
      </c>
      <c r="W6294" t="s">
        <v>339</v>
      </c>
      <c r="Y6294" s="42">
        <v>44257</v>
      </c>
    </row>
    <row r="6295" spans="14:25">
      <c r="N6295" s="42">
        <v>44231</v>
      </c>
      <c r="O6295" t="s">
        <v>324</v>
      </c>
      <c r="P6295" s="42">
        <v>44231</v>
      </c>
      <c r="Q6295" t="s">
        <v>324</v>
      </c>
      <c r="R6295" t="s">
        <v>347</v>
      </c>
      <c r="S6295" t="s">
        <v>323</v>
      </c>
      <c r="T6295">
        <v>3</v>
      </c>
      <c r="W6295" t="s">
        <v>339</v>
      </c>
      <c r="Y6295" s="42">
        <v>44243</v>
      </c>
    </row>
    <row r="6296" spans="14:25">
      <c r="N6296" s="42">
        <v>44222</v>
      </c>
      <c r="O6296" t="s">
        <v>333</v>
      </c>
      <c r="P6296" s="42">
        <v>44222</v>
      </c>
      <c r="Q6296" t="s">
        <v>333</v>
      </c>
      <c r="R6296" t="s">
        <v>320</v>
      </c>
      <c r="S6296" t="s">
        <v>323</v>
      </c>
      <c r="U6296">
        <v>7.6</v>
      </c>
      <c r="Y6296" s="42">
        <v>44229</v>
      </c>
    </row>
    <row r="6297" spans="14:25">
      <c r="N6297" s="42">
        <v>44202</v>
      </c>
      <c r="O6297" t="s">
        <v>328</v>
      </c>
      <c r="P6297" s="42">
        <v>44207</v>
      </c>
      <c r="Q6297" t="s">
        <v>345</v>
      </c>
      <c r="R6297" t="s">
        <v>320</v>
      </c>
      <c r="S6297" t="s">
        <v>323</v>
      </c>
      <c r="T6297">
        <v>30.4</v>
      </c>
      <c r="U6297">
        <v>0</v>
      </c>
      <c r="V6297">
        <v>0</v>
      </c>
      <c r="Y6297" s="42">
        <v>44215</v>
      </c>
    </row>
    <row r="6298" spans="14:25">
      <c r="N6298" s="42">
        <v>44200</v>
      </c>
      <c r="O6298" t="s">
        <v>345</v>
      </c>
      <c r="P6298" s="42">
        <v>44201</v>
      </c>
      <c r="Q6298" t="s">
        <v>333</v>
      </c>
      <c r="R6298" t="s">
        <v>320</v>
      </c>
      <c r="S6298" t="s">
        <v>323</v>
      </c>
      <c r="T6298">
        <v>15.2</v>
      </c>
      <c r="U6298">
        <v>0</v>
      </c>
      <c r="V6298">
        <v>0</v>
      </c>
      <c r="Y6298" s="42">
        <v>44201</v>
      </c>
    </row>
    <row r="6299" spans="14:25">
      <c r="N6299" s="42">
        <v>44197</v>
      </c>
      <c r="O6299" t="s">
        <v>346</v>
      </c>
      <c r="P6299" s="42">
        <v>44197</v>
      </c>
      <c r="Q6299" t="s">
        <v>346</v>
      </c>
      <c r="R6299" t="s">
        <v>320</v>
      </c>
      <c r="S6299" t="s">
        <v>323</v>
      </c>
      <c r="U6299">
        <v>7.6</v>
      </c>
    </row>
    <row r="6300" spans="14:25">
      <c r="N6300" s="42">
        <v>44193</v>
      </c>
      <c r="O6300" t="s">
        <v>345</v>
      </c>
      <c r="P6300" s="42">
        <v>44193</v>
      </c>
      <c r="Q6300" t="s">
        <v>345</v>
      </c>
      <c r="R6300" t="s">
        <v>320</v>
      </c>
      <c r="S6300" t="s">
        <v>323</v>
      </c>
      <c r="U6300">
        <v>7.6</v>
      </c>
    </row>
    <row r="6301" spans="14:25">
      <c r="N6301" s="42">
        <v>44190</v>
      </c>
      <c r="O6301" t="s">
        <v>346</v>
      </c>
      <c r="P6301" s="42">
        <v>44190</v>
      </c>
      <c r="Q6301" t="s">
        <v>346</v>
      </c>
      <c r="R6301" t="s">
        <v>320</v>
      </c>
      <c r="S6301" t="s">
        <v>323</v>
      </c>
      <c r="U6301">
        <v>7.6</v>
      </c>
    </row>
    <row r="6302" spans="14:25">
      <c r="N6302" s="42">
        <v>44180</v>
      </c>
      <c r="O6302" t="s">
        <v>333</v>
      </c>
      <c r="P6302" s="42">
        <v>44180</v>
      </c>
      <c r="Q6302" t="s">
        <v>333</v>
      </c>
      <c r="R6302" t="s">
        <v>329</v>
      </c>
      <c r="S6302" t="s">
        <v>323</v>
      </c>
      <c r="T6302">
        <v>7.6</v>
      </c>
      <c r="W6302" t="s">
        <v>339</v>
      </c>
      <c r="Y6302" s="42">
        <v>44187</v>
      </c>
    </row>
    <row r="6303" spans="14:25">
      <c r="N6303" s="42">
        <v>44151</v>
      </c>
      <c r="O6303" t="s">
        <v>345</v>
      </c>
      <c r="P6303" s="42">
        <v>44151</v>
      </c>
      <c r="Q6303" t="s">
        <v>345</v>
      </c>
      <c r="R6303" t="s">
        <v>329</v>
      </c>
      <c r="S6303" t="s">
        <v>323</v>
      </c>
      <c r="T6303">
        <v>7.6</v>
      </c>
      <c r="W6303" t="s">
        <v>339</v>
      </c>
      <c r="Y6303" s="42">
        <v>44159</v>
      </c>
    </row>
    <row r="6304" spans="14:25">
      <c r="N6304" s="42">
        <v>44109</v>
      </c>
      <c r="O6304" t="s">
        <v>345</v>
      </c>
      <c r="P6304" s="42">
        <v>44109</v>
      </c>
      <c r="Q6304" t="s">
        <v>345</v>
      </c>
      <c r="R6304" t="s">
        <v>320</v>
      </c>
      <c r="S6304" t="s">
        <v>323</v>
      </c>
      <c r="U6304">
        <v>7.6</v>
      </c>
      <c r="Y6304" s="42">
        <v>44117</v>
      </c>
    </row>
    <row r="6305" spans="14:25">
      <c r="N6305" s="42">
        <v>44041</v>
      </c>
      <c r="O6305" t="s">
        <v>328</v>
      </c>
      <c r="P6305" s="42">
        <v>44041</v>
      </c>
      <c r="Q6305" t="s">
        <v>328</v>
      </c>
      <c r="R6305" t="s">
        <v>329</v>
      </c>
      <c r="S6305" t="s">
        <v>323</v>
      </c>
      <c r="T6305">
        <v>7.6</v>
      </c>
      <c r="W6305" t="s">
        <v>339</v>
      </c>
      <c r="Y6305" s="42">
        <v>44047</v>
      </c>
    </row>
    <row r="6306" spans="14:25">
      <c r="N6306" s="42">
        <v>44022</v>
      </c>
      <c r="O6306" t="s">
        <v>346</v>
      </c>
      <c r="P6306" s="42">
        <v>44026</v>
      </c>
      <c r="Q6306" t="s">
        <v>333</v>
      </c>
      <c r="R6306" t="s">
        <v>320</v>
      </c>
      <c r="S6306" t="s">
        <v>323</v>
      </c>
      <c r="T6306">
        <v>22.8</v>
      </c>
      <c r="V6306">
        <v>0</v>
      </c>
      <c r="Y6306" s="42">
        <v>44033</v>
      </c>
    </row>
    <row r="6307" spans="14:25">
      <c r="N6307" s="42">
        <v>43936</v>
      </c>
      <c r="O6307" t="s">
        <v>328</v>
      </c>
      <c r="P6307" s="42">
        <v>43938</v>
      </c>
      <c r="Q6307" t="s">
        <v>346</v>
      </c>
      <c r="R6307" t="s">
        <v>320</v>
      </c>
      <c r="S6307" t="s">
        <v>323</v>
      </c>
      <c r="T6307">
        <v>22.8</v>
      </c>
      <c r="U6307">
        <v>0</v>
      </c>
      <c r="V6307">
        <v>0</v>
      </c>
      <c r="Y6307" s="42">
        <v>43949</v>
      </c>
    </row>
    <row r="6308" spans="14:25">
      <c r="N6308" s="42">
        <v>43935</v>
      </c>
      <c r="O6308" t="s">
        <v>333</v>
      </c>
      <c r="P6308" s="42">
        <v>43935</v>
      </c>
      <c r="Q6308" t="s">
        <v>333</v>
      </c>
      <c r="R6308" t="s">
        <v>320</v>
      </c>
      <c r="S6308" t="s">
        <v>323</v>
      </c>
      <c r="T6308">
        <v>7.6</v>
      </c>
      <c r="U6308">
        <v>0</v>
      </c>
      <c r="V6308">
        <v>0</v>
      </c>
      <c r="Y6308" s="42">
        <v>43935</v>
      </c>
    </row>
    <row r="6309" spans="14:25">
      <c r="N6309" s="42">
        <v>43858</v>
      </c>
      <c r="O6309" t="s">
        <v>333</v>
      </c>
      <c r="P6309" s="42">
        <v>43861</v>
      </c>
      <c r="Q6309" t="s">
        <v>346</v>
      </c>
      <c r="R6309" t="s">
        <v>320</v>
      </c>
      <c r="S6309" t="s">
        <v>323</v>
      </c>
      <c r="T6309">
        <v>30.4</v>
      </c>
      <c r="V6309">
        <v>0</v>
      </c>
      <c r="Y6309" s="42">
        <v>43865</v>
      </c>
    </row>
    <row r="6310" spans="14:25">
      <c r="N6310" s="42">
        <v>43805</v>
      </c>
      <c r="O6310" t="s">
        <v>346</v>
      </c>
      <c r="P6310" s="42">
        <v>43805</v>
      </c>
      <c r="Q6310" t="s">
        <v>346</v>
      </c>
      <c r="R6310" t="s">
        <v>329</v>
      </c>
      <c r="S6310" t="s">
        <v>323</v>
      </c>
      <c r="T6310">
        <v>7.6</v>
      </c>
      <c r="W6310" t="s">
        <v>330</v>
      </c>
      <c r="Y6310" s="42">
        <v>43809</v>
      </c>
    </row>
    <row r="6311" spans="14:25">
      <c r="N6311" s="42">
        <v>43704</v>
      </c>
      <c r="O6311" t="s">
        <v>333</v>
      </c>
      <c r="P6311" s="42">
        <v>43704</v>
      </c>
      <c r="Q6311" t="s">
        <v>333</v>
      </c>
      <c r="R6311" t="s">
        <v>320</v>
      </c>
      <c r="S6311" t="s">
        <v>323</v>
      </c>
      <c r="T6311">
        <v>7.6</v>
      </c>
      <c r="Y6311" s="42">
        <v>43711</v>
      </c>
    </row>
    <row r="6312" spans="14:25">
      <c r="N6312" s="42">
        <v>43703</v>
      </c>
      <c r="O6312" t="s">
        <v>345</v>
      </c>
      <c r="P6312" s="42">
        <v>43703</v>
      </c>
      <c r="Q6312" t="s">
        <v>345</v>
      </c>
      <c r="R6312" t="s">
        <v>320</v>
      </c>
      <c r="S6312" t="s">
        <v>323</v>
      </c>
      <c r="T6312">
        <v>7.6</v>
      </c>
      <c r="Y6312" s="42">
        <v>43711</v>
      </c>
    </row>
    <row r="6313" spans="14:25">
      <c r="N6313" s="42">
        <v>43700</v>
      </c>
      <c r="O6313" t="s">
        <v>346</v>
      </c>
      <c r="P6313" s="42">
        <v>43700</v>
      </c>
      <c r="Q6313" t="s">
        <v>346</v>
      </c>
      <c r="R6313" t="s">
        <v>320</v>
      </c>
      <c r="S6313" t="s">
        <v>323</v>
      </c>
      <c r="T6313">
        <v>7.6</v>
      </c>
      <c r="Y6313" s="42">
        <v>43711</v>
      </c>
    </row>
    <row r="6314" spans="14:25">
      <c r="N6314" s="42">
        <v>43699</v>
      </c>
      <c r="O6314" t="s">
        <v>324</v>
      </c>
      <c r="P6314" s="42">
        <v>43699</v>
      </c>
      <c r="Q6314" t="s">
        <v>324</v>
      </c>
      <c r="R6314" t="s">
        <v>320</v>
      </c>
      <c r="S6314" t="s">
        <v>323</v>
      </c>
      <c r="T6314">
        <v>7.6</v>
      </c>
      <c r="Y6314" s="42">
        <v>43711</v>
      </c>
    </row>
    <row r="6315" spans="14:25">
      <c r="N6315" s="42">
        <v>43698</v>
      </c>
      <c r="O6315" t="s">
        <v>328</v>
      </c>
      <c r="P6315" s="42">
        <v>43698</v>
      </c>
      <c r="Q6315" t="s">
        <v>328</v>
      </c>
      <c r="R6315" t="s">
        <v>320</v>
      </c>
      <c r="S6315" t="s">
        <v>323</v>
      </c>
      <c r="T6315">
        <v>7.6</v>
      </c>
      <c r="Y6315" s="42">
        <v>43711</v>
      </c>
    </row>
    <row r="6316" spans="14:25">
      <c r="N6316" s="42">
        <v>43697</v>
      </c>
      <c r="O6316" t="s">
        <v>333</v>
      </c>
      <c r="P6316" s="42">
        <v>43697</v>
      </c>
      <c r="Q6316" t="s">
        <v>333</v>
      </c>
      <c r="R6316" t="s">
        <v>320</v>
      </c>
      <c r="S6316" t="s">
        <v>323</v>
      </c>
      <c r="T6316">
        <v>7.6</v>
      </c>
      <c r="Y6316" s="42">
        <v>43697</v>
      </c>
    </row>
    <row r="6317" spans="14:25">
      <c r="N6317" s="42">
        <v>43696</v>
      </c>
      <c r="O6317" t="s">
        <v>345</v>
      </c>
      <c r="P6317" s="42">
        <v>43696</v>
      </c>
      <c r="Q6317" t="s">
        <v>345</v>
      </c>
      <c r="R6317" t="s">
        <v>320</v>
      </c>
      <c r="S6317" t="s">
        <v>323</v>
      </c>
      <c r="T6317">
        <v>7.6</v>
      </c>
      <c r="Y6317" s="42">
        <v>43697</v>
      </c>
    </row>
    <row r="6318" spans="14:25">
      <c r="N6318" s="42">
        <v>43693</v>
      </c>
      <c r="O6318" t="s">
        <v>346</v>
      </c>
      <c r="P6318" s="42">
        <v>43693</v>
      </c>
      <c r="Q6318" t="s">
        <v>346</v>
      </c>
      <c r="R6318" t="s">
        <v>320</v>
      </c>
      <c r="S6318" t="s">
        <v>323</v>
      </c>
      <c r="T6318">
        <v>7.6</v>
      </c>
      <c r="Y6318" s="42">
        <v>43697</v>
      </c>
    </row>
    <row r="6319" spans="14:25">
      <c r="N6319" s="42">
        <v>43692</v>
      </c>
      <c r="O6319" t="s">
        <v>324</v>
      </c>
      <c r="P6319" s="42">
        <v>43692</v>
      </c>
      <c r="Q6319" t="s">
        <v>324</v>
      </c>
      <c r="R6319" t="s">
        <v>320</v>
      </c>
      <c r="S6319" t="s">
        <v>323</v>
      </c>
      <c r="T6319">
        <v>7.6</v>
      </c>
      <c r="Y6319" s="42">
        <v>43697</v>
      </c>
    </row>
    <row r="6320" spans="14:25">
      <c r="N6320" s="42">
        <v>43691</v>
      </c>
      <c r="O6320" t="s">
        <v>328</v>
      </c>
      <c r="P6320" s="42">
        <v>43691</v>
      </c>
      <c r="Q6320" t="s">
        <v>328</v>
      </c>
      <c r="R6320" t="s">
        <v>320</v>
      </c>
      <c r="S6320" t="s">
        <v>323</v>
      </c>
      <c r="T6320">
        <v>7.6</v>
      </c>
      <c r="Y6320" s="42">
        <v>43697</v>
      </c>
    </row>
    <row r="6321" spans="1:25">
      <c r="N6321" s="42">
        <v>43690</v>
      </c>
      <c r="O6321" t="s">
        <v>333</v>
      </c>
      <c r="P6321" s="42">
        <v>43690</v>
      </c>
      <c r="Q6321" t="s">
        <v>333</v>
      </c>
      <c r="R6321" t="s">
        <v>320</v>
      </c>
      <c r="S6321" t="s">
        <v>323</v>
      </c>
      <c r="T6321">
        <v>7.6</v>
      </c>
      <c r="Y6321" s="42">
        <v>43697</v>
      </c>
    </row>
    <row r="6322" spans="1:25">
      <c r="N6322" s="42">
        <v>43689</v>
      </c>
      <c r="O6322" t="s">
        <v>345</v>
      </c>
      <c r="P6322" s="42">
        <v>43689</v>
      </c>
      <c r="Q6322" t="s">
        <v>345</v>
      </c>
      <c r="R6322" t="s">
        <v>320</v>
      </c>
      <c r="S6322" t="s">
        <v>323</v>
      </c>
      <c r="T6322">
        <v>7.6</v>
      </c>
      <c r="Y6322" s="42">
        <v>43697</v>
      </c>
    </row>
    <row r="6323" spans="1:25">
      <c r="N6323" s="42">
        <v>43686</v>
      </c>
      <c r="O6323" t="s">
        <v>346</v>
      </c>
      <c r="P6323" s="42">
        <v>43686</v>
      </c>
      <c r="Q6323" t="s">
        <v>346</v>
      </c>
      <c r="R6323" t="s">
        <v>320</v>
      </c>
      <c r="S6323" t="s">
        <v>323</v>
      </c>
      <c r="T6323">
        <v>7.6</v>
      </c>
      <c r="Y6323" s="42">
        <v>43697</v>
      </c>
    </row>
    <row r="6324" spans="1:25">
      <c r="N6324" s="42">
        <v>43685</v>
      </c>
      <c r="O6324" t="s">
        <v>324</v>
      </c>
      <c r="P6324" s="42">
        <v>43685</v>
      </c>
      <c r="Q6324" t="s">
        <v>324</v>
      </c>
      <c r="R6324" t="s">
        <v>320</v>
      </c>
      <c r="S6324" t="s">
        <v>323</v>
      </c>
      <c r="T6324">
        <v>7.6</v>
      </c>
      <c r="Y6324" s="42">
        <v>43697</v>
      </c>
    </row>
    <row r="6325" spans="1:25">
      <c r="N6325" s="42">
        <v>43684</v>
      </c>
      <c r="O6325" t="s">
        <v>328</v>
      </c>
      <c r="P6325" s="42">
        <v>43684</v>
      </c>
      <c r="Q6325" t="s">
        <v>328</v>
      </c>
      <c r="R6325" t="s">
        <v>320</v>
      </c>
      <c r="S6325" t="s">
        <v>323</v>
      </c>
      <c r="T6325">
        <v>7.6</v>
      </c>
      <c r="Y6325" s="42">
        <v>43697</v>
      </c>
    </row>
    <row r="6326" spans="1:25">
      <c r="A6326">
        <v>18839</v>
      </c>
      <c r="B6326" t="s">
        <v>419</v>
      </c>
      <c r="C6326" t="s">
        <v>320</v>
      </c>
      <c r="D6326" t="s">
        <v>321</v>
      </c>
      <c r="E6326" t="s">
        <v>322</v>
      </c>
      <c r="F6326">
        <v>1</v>
      </c>
      <c r="G6326" s="42">
        <v>45339</v>
      </c>
      <c r="H6326">
        <v>3.4769000000000001</v>
      </c>
      <c r="I6326">
        <v>24.6875</v>
      </c>
      <c r="J6326">
        <v>3.4769000000000001</v>
      </c>
      <c r="K6326">
        <v>28.164400000000001</v>
      </c>
      <c r="L6326" t="s">
        <v>323</v>
      </c>
      <c r="M6326" s="43">
        <v>0.13125000000000001</v>
      </c>
      <c r="N6326" s="42">
        <v>44952</v>
      </c>
      <c r="O6326" t="s">
        <v>324</v>
      </c>
      <c r="P6326" s="42">
        <v>44952</v>
      </c>
      <c r="Q6326" t="s">
        <v>324</v>
      </c>
      <c r="R6326" t="s">
        <v>320</v>
      </c>
      <c r="S6326" t="s">
        <v>323</v>
      </c>
      <c r="U6326">
        <v>7.6</v>
      </c>
    </row>
    <row r="6327" spans="1:25">
      <c r="C6327" t="s">
        <v>325</v>
      </c>
      <c r="D6327" t="s">
        <v>393</v>
      </c>
      <c r="E6327" t="s">
        <v>394</v>
      </c>
      <c r="F6327">
        <v>1</v>
      </c>
      <c r="G6327" s="42">
        <v>47274</v>
      </c>
      <c r="H6327">
        <v>70.876099999999994</v>
      </c>
      <c r="I6327">
        <v>0</v>
      </c>
      <c r="J6327">
        <v>70.876099999999994</v>
      </c>
      <c r="K6327">
        <v>70.876099999999994</v>
      </c>
      <c r="L6327" t="s">
        <v>323</v>
      </c>
      <c r="N6327" s="42">
        <v>44939</v>
      </c>
      <c r="O6327" t="s">
        <v>346</v>
      </c>
      <c r="P6327" s="42">
        <v>44939</v>
      </c>
      <c r="Q6327" t="s">
        <v>346</v>
      </c>
      <c r="R6327" t="s">
        <v>338</v>
      </c>
      <c r="S6327" t="s">
        <v>323</v>
      </c>
      <c r="T6327">
        <v>7.6</v>
      </c>
      <c r="W6327" t="s">
        <v>330</v>
      </c>
      <c r="Y6327" s="42">
        <v>44943</v>
      </c>
    </row>
    <row r="6328" spans="1:25">
      <c r="C6328" t="s">
        <v>329</v>
      </c>
      <c r="D6328" t="s">
        <v>331</v>
      </c>
      <c r="E6328" t="s">
        <v>332</v>
      </c>
      <c r="F6328">
        <v>1</v>
      </c>
      <c r="G6328" s="42">
        <v>45339</v>
      </c>
      <c r="H6328">
        <v>1.7384999999999999</v>
      </c>
      <c r="I6328">
        <v>32.423499999999997</v>
      </c>
      <c r="J6328">
        <v>1.7384999999999999</v>
      </c>
      <c r="K6328">
        <v>34.161999999999999</v>
      </c>
      <c r="L6328" t="s">
        <v>323</v>
      </c>
      <c r="N6328" s="42">
        <v>44938</v>
      </c>
      <c r="O6328" t="s">
        <v>324</v>
      </c>
      <c r="P6328" s="42">
        <v>44938</v>
      </c>
      <c r="Q6328" t="s">
        <v>324</v>
      </c>
      <c r="R6328" t="s">
        <v>338</v>
      </c>
      <c r="S6328" t="s">
        <v>323</v>
      </c>
      <c r="T6328">
        <v>7.6</v>
      </c>
      <c r="W6328" t="s">
        <v>330</v>
      </c>
      <c r="Y6328" s="42">
        <v>44943</v>
      </c>
    </row>
    <row r="6329" spans="1:25">
      <c r="N6329" s="42">
        <v>44937</v>
      </c>
      <c r="O6329" t="s">
        <v>328</v>
      </c>
      <c r="P6329" s="42">
        <v>44937</v>
      </c>
      <c r="Q6329" t="s">
        <v>328</v>
      </c>
      <c r="R6329" t="s">
        <v>338</v>
      </c>
      <c r="S6329" t="s">
        <v>323</v>
      </c>
      <c r="T6329">
        <v>7.6</v>
      </c>
      <c r="W6329" t="s">
        <v>330</v>
      </c>
      <c r="Y6329" s="42">
        <v>44943</v>
      </c>
    </row>
    <row r="6330" spans="1:25">
      <c r="N6330" s="42">
        <v>44932</v>
      </c>
      <c r="O6330" t="s">
        <v>346</v>
      </c>
      <c r="P6330" s="42">
        <v>44932</v>
      </c>
      <c r="Q6330" t="s">
        <v>346</v>
      </c>
      <c r="R6330" t="s">
        <v>338</v>
      </c>
      <c r="S6330" t="s">
        <v>323</v>
      </c>
      <c r="T6330">
        <v>7.6</v>
      </c>
      <c r="W6330" t="s">
        <v>330</v>
      </c>
      <c r="Y6330" s="42">
        <v>44943</v>
      </c>
    </row>
    <row r="6331" spans="1:25">
      <c r="N6331" s="42">
        <v>44931</v>
      </c>
      <c r="O6331" t="s">
        <v>324</v>
      </c>
      <c r="P6331" s="42">
        <v>44931</v>
      </c>
      <c r="Q6331" t="s">
        <v>324</v>
      </c>
      <c r="R6331" t="s">
        <v>338</v>
      </c>
      <c r="S6331" t="s">
        <v>323</v>
      </c>
      <c r="T6331">
        <v>7.6</v>
      </c>
      <c r="W6331" t="s">
        <v>330</v>
      </c>
      <c r="Y6331" s="42">
        <v>44943</v>
      </c>
    </row>
    <row r="6332" spans="1:25">
      <c r="N6332" s="42">
        <v>44930</v>
      </c>
      <c r="O6332" t="s">
        <v>328</v>
      </c>
      <c r="P6332" s="42">
        <v>44930</v>
      </c>
      <c r="Q6332" t="s">
        <v>328</v>
      </c>
      <c r="R6332" t="s">
        <v>338</v>
      </c>
      <c r="S6332" t="s">
        <v>323</v>
      </c>
      <c r="T6332">
        <v>7.6</v>
      </c>
      <c r="W6332" t="s">
        <v>330</v>
      </c>
      <c r="Y6332" s="42">
        <v>44943</v>
      </c>
    </row>
    <row r="6333" spans="1:25">
      <c r="N6333" s="42">
        <v>44925</v>
      </c>
      <c r="O6333" t="s">
        <v>346</v>
      </c>
      <c r="P6333" s="42">
        <v>44925</v>
      </c>
      <c r="Q6333" t="s">
        <v>346</v>
      </c>
      <c r="R6333" t="s">
        <v>320</v>
      </c>
      <c r="S6333" t="s">
        <v>323</v>
      </c>
      <c r="T6333">
        <v>7.6</v>
      </c>
      <c r="Y6333" s="42">
        <v>44929</v>
      </c>
    </row>
    <row r="6334" spans="1:25">
      <c r="N6334" s="42">
        <v>44924</v>
      </c>
      <c r="O6334" t="s">
        <v>324</v>
      </c>
      <c r="P6334" s="42">
        <v>44924</v>
      </c>
      <c r="Q6334" t="s">
        <v>324</v>
      </c>
      <c r="R6334" t="s">
        <v>320</v>
      </c>
      <c r="S6334" t="s">
        <v>323</v>
      </c>
      <c r="T6334">
        <v>7.6</v>
      </c>
      <c r="Y6334" s="42">
        <v>44929</v>
      </c>
    </row>
    <row r="6335" spans="1:25">
      <c r="N6335" s="42">
        <v>44923</v>
      </c>
      <c r="O6335" t="s">
        <v>328</v>
      </c>
      <c r="P6335" s="42">
        <v>44923</v>
      </c>
      <c r="Q6335" t="s">
        <v>328</v>
      </c>
      <c r="R6335" t="s">
        <v>320</v>
      </c>
      <c r="S6335" t="s">
        <v>323</v>
      </c>
      <c r="T6335">
        <v>7.6</v>
      </c>
      <c r="Y6335" s="42">
        <v>44929</v>
      </c>
    </row>
    <row r="6336" spans="1:25">
      <c r="N6336" s="42">
        <v>44918</v>
      </c>
      <c r="O6336" t="s">
        <v>346</v>
      </c>
      <c r="P6336" s="42">
        <v>44918</v>
      </c>
      <c r="Q6336" t="s">
        <v>346</v>
      </c>
      <c r="R6336" t="s">
        <v>320</v>
      </c>
      <c r="S6336" t="s">
        <v>323</v>
      </c>
      <c r="T6336">
        <v>7.6</v>
      </c>
      <c r="Y6336" s="42">
        <v>44929</v>
      </c>
    </row>
    <row r="6337" spans="14:25">
      <c r="N6337" s="42">
        <v>44917</v>
      </c>
      <c r="O6337" t="s">
        <v>324</v>
      </c>
      <c r="P6337" s="42">
        <v>44917</v>
      </c>
      <c r="Q6337" t="s">
        <v>324</v>
      </c>
      <c r="R6337" t="s">
        <v>320</v>
      </c>
      <c r="S6337" t="s">
        <v>323</v>
      </c>
      <c r="T6337">
        <v>7.6</v>
      </c>
      <c r="Y6337" s="42">
        <v>44929</v>
      </c>
    </row>
    <row r="6338" spans="14:25">
      <c r="N6338" s="42">
        <v>44916</v>
      </c>
      <c r="O6338" t="s">
        <v>328</v>
      </c>
      <c r="P6338" s="42">
        <v>44916</v>
      </c>
      <c r="Q6338" t="s">
        <v>328</v>
      </c>
      <c r="R6338" t="s">
        <v>320</v>
      </c>
      <c r="S6338" t="s">
        <v>323</v>
      </c>
      <c r="T6338">
        <v>7.6</v>
      </c>
      <c r="Y6338" s="42">
        <v>44929</v>
      </c>
    </row>
    <row r="6339" spans="14:25">
      <c r="N6339" s="42">
        <v>44911</v>
      </c>
      <c r="O6339" t="s">
        <v>346</v>
      </c>
      <c r="P6339" s="42">
        <v>44911</v>
      </c>
      <c r="Q6339" t="s">
        <v>346</v>
      </c>
      <c r="R6339" t="s">
        <v>320</v>
      </c>
      <c r="S6339" t="s">
        <v>323</v>
      </c>
      <c r="T6339">
        <v>7.6</v>
      </c>
      <c r="Y6339" s="42">
        <v>44915</v>
      </c>
    </row>
    <row r="6340" spans="14:25">
      <c r="N6340" s="42">
        <v>44910</v>
      </c>
      <c r="O6340" t="s">
        <v>324</v>
      </c>
      <c r="P6340" s="42">
        <v>44910</v>
      </c>
      <c r="Q6340" t="s">
        <v>324</v>
      </c>
      <c r="R6340" t="s">
        <v>320</v>
      </c>
      <c r="S6340" t="s">
        <v>323</v>
      </c>
      <c r="T6340">
        <v>7.6</v>
      </c>
      <c r="Y6340" s="42">
        <v>44915</v>
      </c>
    </row>
    <row r="6341" spans="14:25">
      <c r="N6341" s="42">
        <v>44909</v>
      </c>
      <c r="O6341" t="s">
        <v>328</v>
      </c>
      <c r="P6341" s="42">
        <v>44909</v>
      </c>
      <c r="Q6341" t="s">
        <v>328</v>
      </c>
      <c r="R6341" t="s">
        <v>320</v>
      </c>
      <c r="S6341" t="s">
        <v>323</v>
      </c>
      <c r="T6341">
        <v>7.6</v>
      </c>
      <c r="Y6341" s="42">
        <v>44915</v>
      </c>
    </row>
    <row r="6342" spans="14:25">
      <c r="N6342" s="42">
        <v>44904</v>
      </c>
      <c r="O6342" t="s">
        <v>346</v>
      </c>
      <c r="P6342" s="42">
        <v>44904</v>
      </c>
      <c r="Q6342" t="s">
        <v>346</v>
      </c>
      <c r="R6342" t="s">
        <v>320</v>
      </c>
      <c r="S6342" t="s">
        <v>323</v>
      </c>
      <c r="T6342">
        <v>7.6</v>
      </c>
      <c r="Y6342" s="42">
        <v>44915</v>
      </c>
    </row>
    <row r="6343" spans="14:25">
      <c r="N6343" s="42">
        <v>44903</v>
      </c>
      <c r="O6343" t="s">
        <v>324</v>
      </c>
      <c r="P6343" s="42">
        <v>44903</v>
      </c>
      <c r="Q6343" t="s">
        <v>324</v>
      </c>
      <c r="R6343" t="s">
        <v>320</v>
      </c>
      <c r="S6343" t="s">
        <v>323</v>
      </c>
      <c r="T6343">
        <v>7.6</v>
      </c>
      <c r="Y6343" s="42">
        <v>44915</v>
      </c>
    </row>
    <row r="6344" spans="14:25">
      <c r="N6344" s="42">
        <v>44902</v>
      </c>
      <c r="O6344" t="s">
        <v>328</v>
      </c>
      <c r="P6344" s="42">
        <v>44902</v>
      </c>
      <c r="Q6344" t="s">
        <v>328</v>
      </c>
      <c r="R6344" t="s">
        <v>320</v>
      </c>
      <c r="S6344" t="s">
        <v>323</v>
      </c>
      <c r="T6344">
        <v>7.6</v>
      </c>
      <c r="Y6344" s="42">
        <v>44915</v>
      </c>
    </row>
    <row r="6345" spans="14:25">
      <c r="N6345" s="42">
        <v>44839</v>
      </c>
      <c r="O6345" t="s">
        <v>328</v>
      </c>
      <c r="P6345" s="42">
        <v>44839</v>
      </c>
      <c r="Q6345" t="s">
        <v>328</v>
      </c>
      <c r="R6345" t="s">
        <v>329</v>
      </c>
      <c r="S6345" t="s">
        <v>323</v>
      </c>
      <c r="T6345">
        <v>7.6</v>
      </c>
      <c r="W6345" t="s">
        <v>330</v>
      </c>
      <c r="Y6345" s="42">
        <v>44845</v>
      </c>
    </row>
    <row r="6346" spans="14:25">
      <c r="N6346" s="42">
        <v>44826</v>
      </c>
      <c r="O6346" t="s">
        <v>324</v>
      </c>
      <c r="P6346" s="42">
        <v>44826</v>
      </c>
      <c r="Q6346" t="s">
        <v>324</v>
      </c>
      <c r="R6346" t="s">
        <v>320</v>
      </c>
      <c r="S6346" t="s">
        <v>323</v>
      </c>
      <c r="U6346">
        <v>7.6</v>
      </c>
    </row>
    <row r="6347" spans="14:25">
      <c r="N6347" s="42">
        <v>44783</v>
      </c>
      <c r="O6347" t="s">
        <v>328</v>
      </c>
      <c r="P6347" s="42">
        <v>44783</v>
      </c>
      <c r="Q6347" t="s">
        <v>328</v>
      </c>
      <c r="R6347" t="s">
        <v>320</v>
      </c>
      <c r="S6347" t="s">
        <v>323</v>
      </c>
      <c r="U6347">
        <v>7.6</v>
      </c>
    </row>
    <row r="6348" spans="14:25">
      <c r="N6348" s="42">
        <v>44666</v>
      </c>
      <c r="O6348" t="s">
        <v>346</v>
      </c>
      <c r="P6348" s="42">
        <v>44666</v>
      </c>
      <c r="Q6348" t="s">
        <v>346</v>
      </c>
      <c r="R6348" t="s">
        <v>320</v>
      </c>
      <c r="S6348" t="s">
        <v>323</v>
      </c>
      <c r="U6348">
        <v>7.6</v>
      </c>
    </row>
    <row r="6349" spans="14:25">
      <c r="N6349" s="42">
        <v>44657</v>
      </c>
      <c r="O6349" t="s">
        <v>328</v>
      </c>
      <c r="P6349" s="42">
        <v>44657</v>
      </c>
      <c r="Q6349" t="s">
        <v>328</v>
      </c>
      <c r="R6349" t="s">
        <v>329</v>
      </c>
      <c r="S6349" t="s">
        <v>323</v>
      </c>
      <c r="T6349">
        <v>7.6</v>
      </c>
      <c r="W6349" t="s">
        <v>330</v>
      </c>
      <c r="Y6349" s="42">
        <v>44663</v>
      </c>
    </row>
    <row r="6350" spans="14:25">
      <c r="N6350" s="42">
        <v>44652</v>
      </c>
      <c r="O6350" t="s">
        <v>346</v>
      </c>
      <c r="P6350" s="42">
        <v>44652</v>
      </c>
      <c r="Q6350" t="s">
        <v>346</v>
      </c>
      <c r="R6350" t="s">
        <v>320</v>
      </c>
      <c r="S6350" t="s">
        <v>323</v>
      </c>
      <c r="T6350">
        <v>7.6</v>
      </c>
      <c r="Y6350" s="42">
        <v>44663</v>
      </c>
    </row>
    <row r="6351" spans="14:25">
      <c r="N6351" s="42">
        <v>44638</v>
      </c>
      <c r="O6351" t="s">
        <v>346</v>
      </c>
      <c r="P6351" s="42">
        <v>44638</v>
      </c>
      <c r="Q6351" t="s">
        <v>346</v>
      </c>
      <c r="R6351" t="s">
        <v>320</v>
      </c>
      <c r="S6351" t="s">
        <v>323</v>
      </c>
      <c r="T6351">
        <v>7.6</v>
      </c>
      <c r="Y6351" s="42">
        <v>44649</v>
      </c>
    </row>
    <row r="6352" spans="14:25">
      <c r="N6352" s="42">
        <v>44624</v>
      </c>
      <c r="O6352" t="s">
        <v>346</v>
      </c>
      <c r="P6352" s="42">
        <v>44624</v>
      </c>
      <c r="Q6352" t="s">
        <v>346</v>
      </c>
      <c r="R6352" t="s">
        <v>320</v>
      </c>
      <c r="S6352" t="s">
        <v>323</v>
      </c>
      <c r="T6352">
        <v>7.6</v>
      </c>
      <c r="Y6352" s="42">
        <v>44635</v>
      </c>
    </row>
    <row r="6353" spans="14:25">
      <c r="N6353" s="42">
        <v>44623</v>
      </c>
      <c r="O6353" t="s">
        <v>324</v>
      </c>
      <c r="P6353" s="42">
        <v>44623</v>
      </c>
      <c r="Q6353" t="s">
        <v>324</v>
      </c>
      <c r="R6353" t="s">
        <v>320</v>
      </c>
      <c r="S6353" t="s">
        <v>323</v>
      </c>
      <c r="T6353">
        <v>7.6</v>
      </c>
      <c r="Y6353" s="42">
        <v>44635</v>
      </c>
    </row>
    <row r="6354" spans="14:25">
      <c r="N6354" s="42">
        <v>44622</v>
      </c>
      <c r="O6354" t="s">
        <v>328</v>
      </c>
      <c r="P6354" s="42">
        <v>44622</v>
      </c>
      <c r="Q6354" t="s">
        <v>328</v>
      </c>
      <c r="R6354" t="s">
        <v>320</v>
      </c>
      <c r="S6354" t="s">
        <v>323</v>
      </c>
      <c r="T6354">
        <v>7.6</v>
      </c>
      <c r="Y6354" s="42">
        <v>44635</v>
      </c>
    </row>
    <row r="6355" spans="14:25">
      <c r="N6355" s="42">
        <v>44589</v>
      </c>
      <c r="O6355" t="s">
        <v>346</v>
      </c>
      <c r="P6355" s="42">
        <v>44589</v>
      </c>
      <c r="Q6355" t="s">
        <v>346</v>
      </c>
      <c r="R6355" t="s">
        <v>320</v>
      </c>
      <c r="S6355" t="s">
        <v>323</v>
      </c>
      <c r="T6355">
        <v>1.1000000000000001</v>
      </c>
      <c r="Y6355" s="42">
        <v>44593</v>
      </c>
    </row>
    <row r="6356" spans="14:25">
      <c r="N6356" s="42">
        <v>44589</v>
      </c>
      <c r="O6356" t="s">
        <v>346</v>
      </c>
      <c r="P6356" s="42">
        <v>44589</v>
      </c>
      <c r="Q6356" t="s">
        <v>346</v>
      </c>
      <c r="R6356" t="s">
        <v>329</v>
      </c>
      <c r="S6356" t="s">
        <v>323</v>
      </c>
      <c r="T6356">
        <v>6.5</v>
      </c>
      <c r="W6356" t="s">
        <v>330</v>
      </c>
      <c r="Y6356" s="42">
        <v>44593</v>
      </c>
    </row>
    <row r="6357" spans="14:25">
      <c r="N6357" s="42">
        <v>44588</v>
      </c>
      <c r="O6357" t="s">
        <v>324</v>
      </c>
      <c r="P6357" s="42">
        <v>44588</v>
      </c>
      <c r="Q6357" t="s">
        <v>324</v>
      </c>
      <c r="R6357" t="s">
        <v>320</v>
      </c>
      <c r="S6357" t="s">
        <v>323</v>
      </c>
      <c r="T6357">
        <v>3.1</v>
      </c>
      <c r="Y6357" s="42">
        <v>44593</v>
      </c>
    </row>
    <row r="6358" spans="14:25">
      <c r="N6358" s="42">
        <v>44587</v>
      </c>
      <c r="O6358" t="s">
        <v>328</v>
      </c>
      <c r="P6358" s="42">
        <v>44587</v>
      </c>
      <c r="Q6358" t="s">
        <v>328</v>
      </c>
      <c r="R6358" t="s">
        <v>320</v>
      </c>
      <c r="S6358" t="s">
        <v>323</v>
      </c>
      <c r="U6358">
        <v>7.6</v>
      </c>
    </row>
    <row r="6359" spans="14:25">
      <c r="N6359" s="42">
        <v>44568</v>
      </c>
      <c r="O6359" t="s">
        <v>346</v>
      </c>
      <c r="P6359" s="42">
        <v>44568</v>
      </c>
      <c r="Q6359" t="s">
        <v>346</v>
      </c>
      <c r="R6359" t="s">
        <v>329</v>
      </c>
      <c r="S6359" t="s">
        <v>323</v>
      </c>
      <c r="T6359">
        <v>7.6</v>
      </c>
      <c r="W6359" t="s">
        <v>330</v>
      </c>
      <c r="Y6359" s="42">
        <v>44579</v>
      </c>
    </row>
    <row r="6360" spans="14:25">
      <c r="N6360" s="42">
        <v>44561</v>
      </c>
      <c r="O6360" t="s">
        <v>346</v>
      </c>
      <c r="P6360" s="42">
        <v>44561</v>
      </c>
      <c r="Q6360" t="s">
        <v>346</v>
      </c>
      <c r="R6360" t="s">
        <v>329</v>
      </c>
      <c r="S6360" t="s">
        <v>323</v>
      </c>
      <c r="T6360">
        <v>7.6</v>
      </c>
      <c r="W6360" t="s">
        <v>330</v>
      </c>
      <c r="Y6360" s="42">
        <v>44565</v>
      </c>
    </row>
    <row r="6361" spans="14:25">
      <c r="N6361" s="42">
        <v>44503</v>
      </c>
      <c r="O6361" t="s">
        <v>328</v>
      </c>
      <c r="P6361" s="42">
        <v>44503</v>
      </c>
      <c r="Q6361" t="s">
        <v>328</v>
      </c>
      <c r="R6361" t="s">
        <v>329</v>
      </c>
      <c r="S6361" t="s">
        <v>323</v>
      </c>
      <c r="T6361">
        <v>7.1</v>
      </c>
      <c r="W6361" t="s">
        <v>330</v>
      </c>
      <c r="Y6361" s="42">
        <v>44509</v>
      </c>
    </row>
    <row r="6362" spans="14:25">
      <c r="N6362" s="42">
        <v>44498</v>
      </c>
      <c r="O6362" t="s">
        <v>346</v>
      </c>
      <c r="P6362" s="42">
        <v>44498</v>
      </c>
      <c r="Q6362" t="s">
        <v>346</v>
      </c>
      <c r="R6362" t="s">
        <v>320</v>
      </c>
      <c r="S6362" t="s">
        <v>323</v>
      </c>
      <c r="U6362">
        <v>7.6</v>
      </c>
    </row>
    <row r="6363" spans="14:25">
      <c r="N6363" s="42">
        <v>44477</v>
      </c>
      <c r="O6363" t="s">
        <v>346</v>
      </c>
      <c r="P6363" s="42">
        <v>44477</v>
      </c>
      <c r="Q6363" t="s">
        <v>346</v>
      </c>
      <c r="R6363" t="s">
        <v>320</v>
      </c>
      <c r="S6363" t="s">
        <v>323</v>
      </c>
      <c r="T6363">
        <v>7.6</v>
      </c>
      <c r="Y6363" s="42">
        <v>44481</v>
      </c>
    </row>
    <row r="6364" spans="14:25">
      <c r="N6364" s="42">
        <v>44476</v>
      </c>
      <c r="O6364" t="s">
        <v>324</v>
      </c>
      <c r="P6364" s="42">
        <v>44476</v>
      </c>
      <c r="Q6364" t="s">
        <v>324</v>
      </c>
      <c r="R6364" t="s">
        <v>320</v>
      </c>
      <c r="S6364" t="s">
        <v>323</v>
      </c>
      <c r="T6364">
        <v>7.6</v>
      </c>
      <c r="Y6364" s="42">
        <v>44481</v>
      </c>
    </row>
    <row r="6365" spans="14:25">
      <c r="N6365" s="42">
        <v>44475</v>
      </c>
      <c r="O6365" t="s">
        <v>328</v>
      </c>
      <c r="P6365" s="42">
        <v>44475</v>
      </c>
      <c r="Q6365" t="s">
        <v>328</v>
      </c>
      <c r="R6365" t="s">
        <v>320</v>
      </c>
      <c r="S6365" t="s">
        <v>323</v>
      </c>
      <c r="T6365">
        <v>7.6</v>
      </c>
      <c r="Y6365" s="42">
        <v>44481</v>
      </c>
    </row>
    <row r="6366" spans="14:25">
      <c r="N6366" s="42">
        <v>44370</v>
      </c>
      <c r="O6366" t="s">
        <v>328</v>
      </c>
      <c r="P6366" s="42">
        <v>44370</v>
      </c>
      <c r="Q6366" t="s">
        <v>328</v>
      </c>
      <c r="R6366" t="s">
        <v>329</v>
      </c>
      <c r="S6366" t="s">
        <v>323</v>
      </c>
      <c r="T6366">
        <v>7.6</v>
      </c>
      <c r="W6366" t="s">
        <v>330</v>
      </c>
      <c r="Y6366" s="42">
        <v>44383</v>
      </c>
    </row>
    <row r="6367" spans="14:25">
      <c r="N6367" s="42">
        <v>44323</v>
      </c>
      <c r="O6367" t="s">
        <v>346</v>
      </c>
      <c r="P6367" s="42">
        <v>44323</v>
      </c>
      <c r="Q6367" t="s">
        <v>346</v>
      </c>
      <c r="R6367" t="s">
        <v>329</v>
      </c>
      <c r="S6367" t="s">
        <v>323</v>
      </c>
      <c r="T6367">
        <v>7.6</v>
      </c>
      <c r="W6367" t="s">
        <v>330</v>
      </c>
      <c r="Y6367" s="42">
        <v>44327</v>
      </c>
    </row>
    <row r="6368" spans="14:25">
      <c r="N6368" s="42">
        <v>44321</v>
      </c>
      <c r="O6368" t="s">
        <v>328</v>
      </c>
      <c r="P6368" s="42">
        <v>44321</v>
      </c>
      <c r="Q6368" t="s">
        <v>328</v>
      </c>
      <c r="R6368" t="s">
        <v>329</v>
      </c>
      <c r="S6368" t="s">
        <v>323</v>
      </c>
      <c r="T6368">
        <v>7.6</v>
      </c>
      <c r="W6368" t="s">
        <v>330</v>
      </c>
      <c r="Y6368" s="42">
        <v>44327</v>
      </c>
    </row>
    <row r="6369" spans="14:25">
      <c r="N6369" s="42">
        <v>44288</v>
      </c>
      <c r="O6369" t="s">
        <v>346</v>
      </c>
      <c r="P6369" s="42">
        <v>44288</v>
      </c>
      <c r="Q6369" t="s">
        <v>346</v>
      </c>
      <c r="R6369" t="s">
        <v>320</v>
      </c>
      <c r="S6369" t="s">
        <v>323</v>
      </c>
      <c r="U6369">
        <v>7.6</v>
      </c>
    </row>
    <row r="6370" spans="14:25">
      <c r="N6370" s="42">
        <v>44216</v>
      </c>
      <c r="O6370" t="s">
        <v>328</v>
      </c>
      <c r="P6370" s="42">
        <v>44216</v>
      </c>
      <c r="Q6370" t="s">
        <v>328</v>
      </c>
      <c r="R6370" t="s">
        <v>370</v>
      </c>
      <c r="S6370" t="s">
        <v>323</v>
      </c>
      <c r="T6370">
        <v>7.6</v>
      </c>
      <c r="W6370" t="s">
        <v>330</v>
      </c>
      <c r="Y6370" s="42">
        <v>44229</v>
      </c>
    </row>
    <row r="6371" spans="14:25">
      <c r="N6371" s="42">
        <v>44211</v>
      </c>
      <c r="O6371" t="s">
        <v>346</v>
      </c>
      <c r="P6371" s="42">
        <v>44211</v>
      </c>
      <c r="Q6371" t="s">
        <v>346</v>
      </c>
      <c r="R6371" t="s">
        <v>370</v>
      </c>
      <c r="S6371" t="s">
        <v>323</v>
      </c>
      <c r="T6371">
        <v>7.6</v>
      </c>
      <c r="W6371" t="s">
        <v>330</v>
      </c>
      <c r="Y6371" s="42">
        <v>44215</v>
      </c>
    </row>
    <row r="6372" spans="14:25">
      <c r="N6372" s="42">
        <v>44210</v>
      </c>
      <c r="O6372" t="s">
        <v>324</v>
      </c>
      <c r="P6372" s="42">
        <v>44210</v>
      </c>
      <c r="Q6372" t="s">
        <v>324</v>
      </c>
      <c r="R6372" t="s">
        <v>370</v>
      </c>
      <c r="S6372" t="s">
        <v>323</v>
      </c>
      <c r="T6372">
        <v>7.6</v>
      </c>
      <c r="W6372" t="s">
        <v>330</v>
      </c>
      <c r="Y6372" s="42">
        <v>44215</v>
      </c>
    </row>
    <row r="6373" spans="14:25">
      <c r="N6373" s="42">
        <v>44209</v>
      </c>
      <c r="O6373" t="s">
        <v>328</v>
      </c>
      <c r="P6373" s="42">
        <v>44209</v>
      </c>
      <c r="Q6373" t="s">
        <v>328</v>
      </c>
      <c r="R6373" t="s">
        <v>370</v>
      </c>
      <c r="S6373" t="s">
        <v>323</v>
      </c>
      <c r="T6373">
        <v>7.6</v>
      </c>
      <c r="W6373" t="s">
        <v>330</v>
      </c>
      <c r="Y6373" s="42">
        <v>44215</v>
      </c>
    </row>
    <row r="6374" spans="14:25">
      <c r="N6374" s="42">
        <v>44204</v>
      </c>
      <c r="O6374" t="s">
        <v>346</v>
      </c>
      <c r="P6374" s="42">
        <v>44204</v>
      </c>
      <c r="Q6374" t="s">
        <v>346</v>
      </c>
      <c r="R6374" t="s">
        <v>370</v>
      </c>
      <c r="S6374" t="s">
        <v>323</v>
      </c>
      <c r="T6374">
        <v>7.6</v>
      </c>
      <c r="W6374" t="s">
        <v>330</v>
      </c>
      <c r="Y6374" s="42">
        <v>44215</v>
      </c>
    </row>
    <row r="6375" spans="14:25">
      <c r="N6375" s="42">
        <v>44203</v>
      </c>
      <c r="O6375" t="s">
        <v>324</v>
      </c>
      <c r="P6375" s="42">
        <v>44203</v>
      </c>
      <c r="Q6375" t="s">
        <v>324</v>
      </c>
      <c r="R6375" t="s">
        <v>370</v>
      </c>
      <c r="S6375" t="s">
        <v>323</v>
      </c>
      <c r="T6375">
        <v>7.6</v>
      </c>
      <c r="W6375" t="s">
        <v>330</v>
      </c>
      <c r="Y6375" s="42">
        <v>44215</v>
      </c>
    </row>
    <row r="6376" spans="14:25">
      <c r="N6376" s="42">
        <v>44202</v>
      </c>
      <c r="O6376" t="s">
        <v>328</v>
      </c>
      <c r="P6376" s="42">
        <v>44202</v>
      </c>
      <c r="Q6376" t="s">
        <v>328</v>
      </c>
      <c r="R6376" t="s">
        <v>370</v>
      </c>
      <c r="S6376" t="s">
        <v>323</v>
      </c>
      <c r="T6376">
        <v>7.6</v>
      </c>
      <c r="W6376" t="s">
        <v>330</v>
      </c>
      <c r="Y6376" s="42">
        <v>44215</v>
      </c>
    </row>
    <row r="6377" spans="14:25">
      <c r="N6377" s="42">
        <v>44197</v>
      </c>
      <c r="O6377" t="s">
        <v>346</v>
      </c>
      <c r="P6377" s="42">
        <v>44197</v>
      </c>
      <c r="Q6377" t="s">
        <v>346</v>
      </c>
      <c r="R6377" t="s">
        <v>370</v>
      </c>
      <c r="S6377" t="s">
        <v>323</v>
      </c>
      <c r="T6377">
        <v>7.6</v>
      </c>
      <c r="W6377" t="s">
        <v>330</v>
      </c>
      <c r="Y6377" s="42">
        <v>44201</v>
      </c>
    </row>
    <row r="6378" spans="14:25">
      <c r="N6378" s="42">
        <v>44196</v>
      </c>
      <c r="O6378" t="s">
        <v>324</v>
      </c>
      <c r="P6378" s="42">
        <v>44196</v>
      </c>
      <c r="Q6378" t="s">
        <v>324</v>
      </c>
      <c r="R6378" t="s">
        <v>370</v>
      </c>
      <c r="S6378" t="s">
        <v>323</v>
      </c>
      <c r="T6378">
        <v>7.6</v>
      </c>
      <c r="W6378" t="s">
        <v>330</v>
      </c>
      <c r="Y6378" s="42">
        <v>44201</v>
      </c>
    </row>
    <row r="6379" spans="14:25">
      <c r="N6379" s="42">
        <v>44195</v>
      </c>
      <c r="O6379" t="s">
        <v>328</v>
      </c>
      <c r="P6379" s="42">
        <v>44195</v>
      </c>
      <c r="Q6379" t="s">
        <v>328</v>
      </c>
      <c r="R6379" t="s">
        <v>370</v>
      </c>
      <c r="S6379" t="s">
        <v>323</v>
      </c>
      <c r="T6379">
        <v>7.6</v>
      </c>
      <c r="W6379" t="s">
        <v>330</v>
      </c>
      <c r="Y6379" s="42">
        <v>44201</v>
      </c>
    </row>
    <row r="6380" spans="14:25">
      <c r="N6380" s="42">
        <v>44190</v>
      </c>
      <c r="O6380" t="s">
        <v>346</v>
      </c>
      <c r="P6380" s="42">
        <v>44190</v>
      </c>
      <c r="Q6380" t="s">
        <v>346</v>
      </c>
      <c r="R6380" t="s">
        <v>370</v>
      </c>
      <c r="S6380" t="s">
        <v>323</v>
      </c>
      <c r="T6380">
        <v>7.6</v>
      </c>
      <c r="W6380" t="s">
        <v>330</v>
      </c>
      <c r="Y6380" s="42">
        <v>44201</v>
      </c>
    </row>
    <row r="6381" spans="14:25">
      <c r="N6381" s="42">
        <v>44189</v>
      </c>
      <c r="O6381" t="s">
        <v>324</v>
      </c>
      <c r="P6381" s="42">
        <v>44189</v>
      </c>
      <c r="Q6381" t="s">
        <v>324</v>
      </c>
      <c r="R6381" t="s">
        <v>370</v>
      </c>
      <c r="S6381" t="s">
        <v>323</v>
      </c>
      <c r="T6381">
        <v>7.6</v>
      </c>
      <c r="W6381" t="s">
        <v>330</v>
      </c>
      <c r="Y6381" s="42">
        <v>44201</v>
      </c>
    </row>
    <row r="6382" spans="14:25">
      <c r="N6382" s="42">
        <v>44188</v>
      </c>
      <c r="O6382" t="s">
        <v>328</v>
      </c>
      <c r="P6382" s="42">
        <v>44188</v>
      </c>
      <c r="Q6382" t="s">
        <v>328</v>
      </c>
      <c r="R6382" t="s">
        <v>370</v>
      </c>
      <c r="S6382" t="s">
        <v>323</v>
      </c>
      <c r="T6382">
        <v>7.6</v>
      </c>
      <c r="W6382" t="s">
        <v>330</v>
      </c>
      <c r="Y6382" s="42">
        <v>44201</v>
      </c>
    </row>
    <row r="6383" spans="14:25">
      <c r="N6383" s="42">
        <v>44183</v>
      </c>
      <c r="O6383" t="s">
        <v>346</v>
      </c>
      <c r="P6383" s="42">
        <v>44183</v>
      </c>
      <c r="Q6383" t="s">
        <v>346</v>
      </c>
      <c r="R6383" t="s">
        <v>370</v>
      </c>
      <c r="S6383" t="s">
        <v>323</v>
      </c>
      <c r="T6383">
        <v>7.6</v>
      </c>
      <c r="W6383" t="s">
        <v>330</v>
      </c>
      <c r="Y6383" s="42">
        <v>44187</v>
      </c>
    </row>
    <row r="6384" spans="14:25">
      <c r="N6384" s="42">
        <v>44182</v>
      </c>
      <c r="O6384" t="s">
        <v>324</v>
      </c>
      <c r="P6384" s="42">
        <v>44182</v>
      </c>
      <c r="Q6384" t="s">
        <v>324</v>
      </c>
      <c r="R6384" t="s">
        <v>370</v>
      </c>
      <c r="S6384" t="s">
        <v>323</v>
      </c>
      <c r="T6384">
        <v>7.6</v>
      </c>
      <c r="W6384" t="s">
        <v>330</v>
      </c>
      <c r="Y6384" s="42">
        <v>44187</v>
      </c>
    </row>
    <row r="6385" spans="14:25">
      <c r="N6385" s="42">
        <v>44181</v>
      </c>
      <c r="O6385" t="s">
        <v>328</v>
      </c>
      <c r="P6385" s="42">
        <v>44181</v>
      </c>
      <c r="Q6385" t="s">
        <v>328</v>
      </c>
      <c r="R6385" t="s">
        <v>370</v>
      </c>
      <c r="S6385" t="s">
        <v>323</v>
      </c>
      <c r="T6385">
        <v>7.6</v>
      </c>
      <c r="W6385" t="s">
        <v>330</v>
      </c>
      <c r="Y6385" s="42">
        <v>44187</v>
      </c>
    </row>
    <row r="6386" spans="14:25">
      <c r="N6386" s="42">
        <v>44176</v>
      </c>
      <c r="O6386" t="s">
        <v>346</v>
      </c>
      <c r="P6386" s="42">
        <v>44176</v>
      </c>
      <c r="Q6386" t="s">
        <v>346</v>
      </c>
      <c r="R6386" t="s">
        <v>370</v>
      </c>
      <c r="S6386" t="s">
        <v>323</v>
      </c>
      <c r="T6386">
        <v>7.6</v>
      </c>
      <c r="W6386" t="s">
        <v>330</v>
      </c>
      <c r="Y6386" s="42">
        <v>44187</v>
      </c>
    </row>
    <row r="6387" spans="14:25">
      <c r="N6387" s="42">
        <v>44175</v>
      </c>
      <c r="O6387" t="s">
        <v>324</v>
      </c>
      <c r="P6387" s="42">
        <v>44175</v>
      </c>
      <c r="Q6387" t="s">
        <v>324</v>
      </c>
      <c r="R6387" t="s">
        <v>370</v>
      </c>
      <c r="S6387" t="s">
        <v>323</v>
      </c>
      <c r="T6387">
        <v>7.6</v>
      </c>
      <c r="W6387" t="s">
        <v>330</v>
      </c>
      <c r="Y6387" s="42">
        <v>44187</v>
      </c>
    </row>
    <row r="6388" spans="14:25">
      <c r="N6388" s="42">
        <v>44174</v>
      </c>
      <c r="O6388" t="s">
        <v>328</v>
      </c>
      <c r="P6388" s="42">
        <v>44174</v>
      </c>
      <c r="Q6388" t="s">
        <v>328</v>
      </c>
      <c r="R6388" t="s">
        <v>370</v>
      </c>
      <c r="S6388" t="s">
        <v>323</v>
      </c>
      <c r="T6388">
        <v>7.6</v>
      </c>
      <c r="W6388" t="s">
        <v>330</v>
      </c>
      <c r="Y6388" s="42">
        <v>44187</v>
      </c>
    </row>
    <row r="6389" spans="14:25">
      <c r="N6389" s="42">
        <v>44169</v>
      </c>
      <c r="O6389" t="s">
        <v>346</v>
      </c>
      <c r="P6389" s="42">
        <v>44169</v>
      </c>
      <c r="Q6389" t="s">
        <v>346</v>
      </c>
      <c r="R6389" t="s">
        <v>370</v>
      </c>
      <c r="S6389" t="s">
        <v>323</v>
      </c>
      <c r="T6389">
        <v>7.6</v>
      </c>
      <c r="W6389" t="s">
        <v>330</v>
      </c>
      <c r="Y6389" s="42">
        <v>44173</v>
      </c>
    </row>
    <row r="6390" spans="14:25">
      <c r="N6390" s="42">
        <v>44168</v>
      </c>
      <c r="O6390" t="s">
        <v>324</v>
      </c>
      <c r="P6390" s="42">
        <v>44168</v>
      </c>
      <c r="Q6390" t="s">
        <v>324</v>
      </c>
      <c r="R6390" t="s">
        <v>370</v>
      </c>
      <c r="S6390" t="s">
        <v>323</v>
      </c>
      <c r="T6390">
        <v>7.6</v>
      </c>
      <c r="W6390" t="s">
        <v>330</v>
      </c>
      <c r="Y6390" s="42">
        <v>44173</v>
      </c>
    </row>
    <row r="6391" spans="14:25">
      <c r="N6391" s="42">
        <v>44167</v>
      </c>
      <c r="O6391" t="s">
        <v>328</v>
      </c>
      <c r="P6391" s="42">
        <v>44167</v>
      </c>
      <c r="Q6391" t="s">
        <v>328</v>
      </c>
      <c r="R6391" t="s">
        <v>370</v>
      </c>
      <c r="S6391" t="s">
        <v>323</v>
      </c>
      <c r="T6391">
        <v>7.6</v>
      </c>
      <c r="W6391" t="s">
        <v>330</v>
      </c>
      <c r="Y6391" s="42">
        <v>44173</v>
      </c>
    </row>
    <row r="6392" spans="14:25">
      <c r="N6392" s="42">
        <v>44162</v>
      </c>
      <c r="O6392" t="s">
        <v>346</v>
      </c>
      <c r="P6392" s="42">
        <v>44162</v>
      </c>
      <c r="Q6392" t="s">
        <v>346</v>
      </c>
      <c r="R6392" t="s">
        <v>370</v>
      </c>
      <c r="S6392" t="s">
        <v>323</v>
      </c>
      <c r="T6392">
        <v>7.6</v>
      </c>
      <c r="W6392" t="s">
        <v>330</v>
      </c>
      <c r="Y6392" s="42">
        <v>44173</v>
      </c>
    </row>
    <row r="6393" spans="14:25">
      <c r="N6393" s="42">
        <v>44161</v>
      </c>
      <c r="O6393" t="s">
        <v>324</v>
      </c>
      <c r="P6393" s="42">
        <v>44161</v>
      </c>
      <c r="Q6393" t="s">
        <v>324</v>
      </c>
      <c r="R6393" t="s">
        <v>370</v>
      </c>
      <c r="S6393" t="s">
        <v>323</v>
      </c>
      <c r="T6393">
        <v>7.6</v>
      </c>
      <c r="W6393" t="s">
        <v>330</v>
      </c>
      <c r="Y6393" s="42">
        <v>44173</v>
      </c>
    </row>
    <row r="6394" spans="14:25">
      <c r="N6394" s="42">
        <v>44160</v>
      </c>
      <c r="O6394" t="s">
        <v>328</v>
      </c>
      <c r="P6394" s="42">
        <v>44160</v>
      </c>
      <c r="Q6394" t="s">
        <v>328</v>
      </c>
      <c r="R6394" t="s">
        <v>370</v>
      </c>
      <c r="S6394" t="s">
        <v>323</v>
      </c>
      <c r="T6394">
        <v>7.6</v>
      </c>
      <c r="W6394" t="s">
        <v>330</v>
      </c>
      <c r="Y6394" s="42">
        <v>44173</v>
      </c>
    </row>
    <row r="6395" spans="14:25">
      <c r="N6395" s="42">
        <v>44160</v>
      </c>
      <c r="O6395" t="s">
        <v>328</v>
      </c>
      <c r="P6395" s="42">
        <v>44173</v>
      </c>
      <c r="Q6395" t="s">
        <v>333</v>
      </c>
      <c r="R6395" t="s">
        <v>370</v>
      </c>
      <c r="S6395" t="s">
        <v>323</v>
      </c>
      <c r="T6395">
        <v>76</v>
      </c>
      <c r="W6395" t="s">
        <v>330</v>
      </c>
      <c r="Y6395" s="42">
        <v>44173</v>
      </c>
    </row>
    <row r="6396" spans="14:25">
      <c r="N6396" s="42">
        <v>44155</v>
      </c>
      <c r="O6396" t="s">
        <v>346</v>
      </c>
      <c r="P6396" s="42">
        <v>44155</v>
      </c>
      <c r="Q6396" t="s">
        <v>346</v>
      </c>
      <c r="R6396" t="s">
        <v>370</v>
      </c>
      <c r="S6396" t="s">
        <v>323</v>
      </c>
      <c r="T6396">
        <v>7.6</v>
      </c>
      <c r="W6396" t="s">
        <v>330</v>
      </c>
      <c r="Y6396" s="42">
        <v>44159</v>
      </c>
    </row>
    <row r="6397" spans="14:25">
      <c r="N6397" s="42">
        <v>44154</v>
      </c>
      <c r="O6397" t="s">
        <v>324</v>
      </c>
      <c r="P6397" s="42">
        <v>44154</v>
      </c>
      <c r="Q6397" t="s">
        <v>324</v>
      </c>
      <c r="R6397" t="s">
        <v>370</v>
      </c>
      <c r="S6397" t="s">
        <v>323</v>
      </c>
      <c r="T6397">
        <v>7.6</v>
      </c>
      <c r="W6397" t="s">
        <v>330</v>
      </c>
      <c r="Y6397" s="42">
        <v>44159</v>
      </c>
    </row>
    <row r="6398" spans="14:25">
      <c r="N6398" s="42">
        <v>44153</v>
      </c>
      <c r="O6398" t="s">
        <v>328</v>
      </c>
      <c r="P6398" s="42">
        <v>44153</v>
      </c>
      <c r="Q6398" t="s">
        <v>328</v>
      </c>
      <c r="R6398" t="s">
        <v>370</v>
      </c>
      <c r="S6398" t="s">
        <v>323</v>
      </c>
      <c r="T6398">
        <v>7.6</v>
      </c>
      <c r="W6398" t="s">
        <v>330</v>
      </c>
      <c r="Y6398" s="42">
        <v>44159</v>
      </c>
    </row>
    <row r="6399" spans="14:25">
      <c r="N6399" s="42">
        <v>44148</v>
      </c>
      <c r="O6399" t="s">
        <v>346</v>
      </c>
      <c r="P6399" s="42">
        <v>44148</v>
      </c>
      <c r="Q6399" t="s">
        <v>346</v>
      </c>
      <c r="R6399" t="s">
        <v>370</v>
      </c>
      <c r="S6399" t="s">
        <v>323</v>
      </c>
      <c r="T6399">
        <v>7.6</v>
      </c>
      <c r="W6399" t="s">
        <v>330</v>
      </c>
      <c r="Y6399" s="42">
        <v>44159</v>
      </c>
    </row>
    <row r="6400" spans="14:25">
      <c r="N6400" s="42">
        <v>44147</v>
      </c>
      <c r="O6400" t="s">
        <v>324</v>
      </c>
      <c r="P6400" s="42">
        <v>44147</v>
      </c>
      <c r="Q6400" t="s">
        <v>324</v>
      </c>
      <c r="R6400" t="s">
        <v>370</v>
      </c>
      <c r="S6400" t="s">
        <v>323</v>
      </c>
      <c r="T6400">
        <v>7.6</v>
      </c>
      <c r="W6400" t="s">
        <v>330</v>
      </c>
      <c r="Y6400" s="42">
        <v>44159</v>
      </c>
    </row>
    <row r="6401" spans="14:25">
      <c r="N6401" s="42">
        <v>44146</v>
      </c>
      <c r="O6401" t="s">
        <v>328</v>
      </c>
      <c r="P6401" s="42">
        <v>44146</v>
      </c>
      <c r="Q6401" t="s">
        <v>328</v>
      </c>
      <c r="R6401" t="s">
        <v>370</v>
      </c>
      <c r="S6401" t="s">
        <v>323</v>
      </c>
      <c r="T6401">
        <v>7.6</v>
      </c>
      <c r="W6401" t="s">
        <v>330</v>
      </c>
      <c r="Y6401" s="42">
        <v>44159</v>
      </c>
    </row>
    <row r="6402" spans="14:25">
      <c r="N6402" s="42">
        <v>44141</v>
      </c>
      <c r="O6402" t="s">
        <v>346</v>
      </c>
      <c r="P6402" s="42">
        <v>44141</v>
      </c>
      <c r="Q6402" t="s">
        <v>346</v>
      </c>
      <c r="R6402" t="s">
        <v>370</v>
      </c>
      <c r="S6402" t="s">
        <v>323</v>
      </c>
      <c r="T6402">
        <v>7.6</v>
      </c>
      <c r="W6402" t="s">
        <v>330</v>
      </c>
      <c r="Y6402" s="42">
        <v>44145</v>
      </c>
    </row>
    <row r="6403" spans="14:25">
      <c r="N6403" s="42">
        <v>44140</v>
      </c>
      <c r="O6403" t="s">
        <v>324</v>
      </c>
      <c r="P6403" s="42">
        <v>44140</v>
      </c>
      <c r="Q6403" t="s">
        <v>324</v>
      </c>
      <c r="R6403" t="s">
        <v>370</v>
      </c>
      <c r="S6403" t="s">
        <v>323</v>
      </c>
      <c r="T6403">
        <v>7.6</v>
      </c>
      <c r="W6403" t="s">
        <v>330</v>
      </c>
      <c r="Y6403" s="42">
        <v>44145</v>
      </c>
    </row>
    <row r="6404" spans="14:25">
      <c r="N6404" s="42">
        <v>44139</v>
      </c>
      <c r="O6404" t="s">
        <v>328</v>
      </c>
      <c r="P6404" s="42">
        <v>44139</v>
      </c>
      <c r="Q6404" t="s">
        <v>328</v>
      </c>
      <c r="R6404" t="s">
        <v>370</v>
      </c>
      <c r="S6404" t="s">
        <v>323</v>
      </c>
      <c r="T6404">
        <v>7.6</v>
      </c>
      <c r="W6404" t="s">
        <v>330</v>
      </c>
      <c r="Y6404" s="42">
        <v>44145</v>
      </c>
    </row>
    <row r="6405" spans="14:25">
      <c r="N6405" s="42">
        <v>44134</v>
      </c>
      <c r="O6405" t="s">
        <v>346</v>
      </c>
      <c r="P6405" s="42">
        <v>44134</v>
      </c>
      <c r="Q6405" t="s">
        <v>346</v>
      </c>
      <c r="R6405" t="s">
        <v>370</v>
      </c>
      <c r="S6405" t="s">
        <v>323</v>
      </c>
      <c r="T6405">
        <v>7.6</v>
      </c>
      <c r="W6405" t="s">
        <v>330</v>
      </c>
      <c r="Y6405" s="42">
        <v>44145</v>
      </c>
    </row>
    <row r="6406" spans="14:25">
      <c r="N6406" s="42">
        <v>44133</v>
      </c>
      <c r="O6406" t="s">
        <v>324</v>
      </c>
      <c r="P6406" s="42">
        <v>44133</v>
      </c>
      <c r="Q6406" t="s">
        <v>324</v>
      </c>
      <c r="R6406" t="s">
        <v>370</v>
      </c>
      <c r="S6406" t="s">
        <v>323</v>
      </c>
      <c r="T6406">
        <v>7.6</v>
      </c>
      <c r="W6406" t="s">
        <v>330</v>
      </c>
      <c r="Y6406" s="42">
        <v>44145</v>
      </c>
    </row>
    <row r="6407" spans="14:25">
      <c r="N6407" s="42">
        <v>44132</v>
      </c>
      <c r="O6407" t="s">
        <v>328</v>
      </c>
      <c r="P6407" s="42">
        <v>44132</v>
      </c>
      <c r="Q6407" t="s">
        <v>328</v>
      </c>
      <c r="R6407" t="s">
        <v>370</v>
      </c>
      <c r="S6407" t="s">
        <v>323</v>
      </c>
      <c r="T6407">
        <v>7.6</v>
      </c>
      <c r="W6407" t="s">
        <v>330</v>
      </c>
      <c r="Y6407" s="42">
        <v>44145</v>
      </c>
    </row>
    <row r="6408" spans="14:25">
      <c r="N6408" s="42">
        <v>44127</v>
      </c>
      <c r="O6408" t="s">
        <v>346</v>
      </c>
      <c r="P6408" s="42">
        <v>44127</v>
      </c>
      <c r="Q6408" t="s">
        <v>346</v>
      </c>
      <c r="R6408" t="s">
        <v>370</v>
      </c>
      <c r="S6408" t="s">
        <v>323</v>
      </c>
      <c r="T6408">
        <v>7.6</v>
      </c>
      <c r="W6408" t="s">
        <v>330</v>
      </c>
      <c r="Y6408" s="42">
        <v>44131</v>
      </c>
    </row>
    <row r="6409" spans="14:25">
      <c r="N6409" s="42">
        <v>44126</v>
      </c>
      <c r="O6409" t="s">
        <v>324</v>
      </c>
      <c r="P6409" s="42">
        <v>44126</v>
      </c>
      <c r="Q6409" t="s">
        <v>324</v>
      </c>
      <c r="R6409" t="s">
        <v>370</v>
      </c>
      <c r="S6409" t="s">
        <v>323</v>
      </c>
      <c r="T6409">
        <v>7.6</v>
      </c>
      <c r="W6409" t="s">
        <v>330</v>
      </c>
      <c r="Y6409" s="42">
        <v>44131</v>
      </c>
    </row>
    <row r="6410" spans="14:25">
      <c r="N6410" s="42">
        <v>44125</v>
      </c>
      <c r="O6410" t="s">
        <v>328</v>
      </c>
      <c r="P6410" s="42">
        <v>44125</v>
      </c>
      <c r="Q6410" t="s">
        <v>328</v>
      </c>
      <c r="R6410" t="s">
        <v>370</v>
      </c>
      <c r="S6410" t="s">
        <v>323</v>
      </c>
      <c r="T6410">
        <v>7.6</v>
      </c>
      <c r="W6410" t="s">
        <v>330</v>
      </c>
      <c r="Y6410" s="42">
        <v>44131</v>
      </c>
    </row>
    <row r="6411" spans="14:25">
      <c r="N6411" s="42">
        <v>44120</v>
      </c>
      <c r="O6411" t="s">
        <v>346</v>
      </c>
      <c r="P6411" s="42">
        <v>44120</v>
      </c>
      <c r="Q6411" t="s">
        <v>346</v>
      </c>
      <c r="R6411" t="s">
        <v>370</v>
      </c>
      <c r="S6411" t="s">
        <v>323</v>
      </c>
      <c r="T6411">
        <v>7.6</v>
      </c>
      <c r="W6411" t="s">
        <v>330</v>
      </c>
      <c r="Y6411" s="42">
        <v>44131</v>
      </c>
    </row>
    <row r="6412" spans="14:25">
      <c r="N6412" s="42">
        <v>44119</v>
      </c>
      <c r="O6412" t="s">
        <v>324</v>
      </c>
      <c r="P6412" s="42">
        <v>44119</v>
      </c>
      <c r="Q6412" t="s">
        <v>324</v>
      </c>
      <c r="R6412" t="s">
        <v>370</v>
      </c>
      <c r="S6412" t="s">
        <v>323</v>
      </c>
      <c r="T6412">
        <v>7.6</v>
      </c>
      <c r="W6412" t="s">
        <v>330</v>
      </c>
      <c r="Y6412" s="42">
        <v>44131</v>
      </c>
    </row>
    <row r="6413" spans="14:25">
      <c r="N6413" s="42">
        <v>44118</v>
      </c>
      <c r="O6413" t="s">
        <v>328</v>
      </c>
      <c r="P6413" s="42">
        <v>44118</v>
      </c>
      <c r="Q6413" t="s">
        <v>328</v>
      </c>
      <c r="R6413" t="s">
        <v>370</v>
      </c>
      <c r="S6413" t="s">
        <v>323</v>
      </c>
      <c r="T6413">
        <v>7.6</v>
      </c>
      <c r="W6413" t="s">
        <v>330</v>
      </c>
      <c r="Y6413" s="42">
        <v>44131</v>
      </c>
    </row>
    <row r="6414" spans="14:25">
      <c r="N6414" s="42">
        <v>44113</v>
      </c>
      <c r="O6414" t="s">
        <v>346</v>
      </c>
      <c r="P6414" s="42">
        <v>44113</v>
      </c>
      <c r="Q6414" t="s">
        <v>346</v>
      </c>
      <c r="R6414" t="s">
        <v>370</v>
      </c>
      <c r="S6414" t="s">
        <v>323</v>
      </c>
      <c r="T6414">
        <v>7.6</v>
      </c>
      <c r="W6414" t="s">
        <v>330</v>
      </c>
      <c r="Y6414" s="42">
        <v>44117</v>
      </c>
    </row>
    <row r="6415" spans="14:25">
      <c r="N6415" s="42">
        <v>44112</v>
      </c>
      <c r="O6415" t="s">
        <v>324</v>
      </c>
      <c r="P6415" s="42">
        <v>44112</v>
      </c>
      <c r="Q6415" t="s">
        <v>324</v>
      </c>
      <c r="R6415" t="s">
        <v>370</v>
      </c>
      <c r="S6415" t="s">
        <v>323</v>
      </c>
      <c r="T6415">
        <v>7.6</v>
      </c>
      <c r="W6415" t="s">
        <v>330</v>
      </c>
      <c r="Y6415" s="42">
        <v>44117</v>
      </c>
    </row>
    <row r="6416" spans="14:25">
      <c r="N6416" s="42">
        <v>44111</v>
      </c>
      <c r="O6416" t="s">
        <v>328</v>
      </c>
      <c r="P6416" s="42">
        <v>44111</v>
      </c>
      <c r="Q6416" t="s">
        <v>328</v>
      </c>
      <c r="R6416" t="s">
        <v>370</v>
      </c>
      <c r="S6416" t="s">
        <v>323</v>
      </c>
      <c r="T6416">
        <v>7.6</v>
      </c>
      <c r="W6416" t="s">
        <v>330</v>
      </c>
      <c r="Y6416" s="42">
        <v>44117</v>
      </c>
    </row>
    <row r="6417" spans="14:25">
      <c r="N6417" s="42">
        <v>44106</v>
      </c>
      <c r="O6417" t="s">
        <v>346</v>
      </c>
      <c r="P6417" s="42">
        <v>44106</v>
      </c>
      <c r="Q6417" t="s">
        <v>346</v>
      </c>
      <c r="R6417" t="s">
        <v>370</v>
      </c>
      <c r="S6417" t="s">
        <v>323</v>
      </c>
      <c r="T6417">
        <v>7.6</v>
      </c>
      <c r="W6417" t="s">
        <v>330</v>
      </c>
      <c r="Y6417" s="42">
        <v>44117</v>
      </c>
    </row>
    <row r="6418" spans="14:25">
      <c r="N6418" s="42">
        <v>44105</v>
      </c>
      <c r="O6418" t="s">
        <v>324</v>
      </c>
      <c r="P6418" s="42">
        <v>44105</v>
      </c>
      <c r="Q6418" t="s">
        <v>324</v>
      </c>
      <c r="R6418" t="s">
        <v>370</v>
      </c>
      <c r="S6418" t="s">
        <v>323</v>
      </c>
      <c r="T6418">
        <v>7.6</v>
      </c>
      <c r="W6418" t="s">
        <v>330</v>
      </c>
      <c r="Y6418" s="42">
        <v>44117</v>
      </c>
    </row>
    <row r="6419" spans="14:25">
      <c r="N6419" s="42">
        <v>44104</v>
      </c>
      <c r="O6419" t="s">
        <v>328</v>
      </c>
      <c r="P6419" s="42">
        <v>44104</v>
      </c>
      <c r="Q6419" t="s">
        <v>328</v>
      </c>
      <c r="R6419" t="s">
        <v>370</v>
      </c>
      <c r="S6419" t="s">
        <v>323</v>
      </c>
      <c r="T6419">
        <v>7.6</v>
      </c>
      <c r="W6419" t="s">
        <v>330</v>
      </c>
      <c r="Y6419" s="42">
        <v>44117</v>
      </c>
    </row>
    <row r="6420" spans="14:25">
      <c r="N6420" s="42">
        <v>44099</v>
      </c>
      <c r="O6420" t="s">
        <v>346</v>
      </c>
      <c r="P6420" s="42">
        <v>44099</v>
      </c>
      <c r="Q6420" t="s">
        <v>346</v>
      </c>
      <c r="R6420" t="s">
        <v>370</v>
      </c>
      <c r="S6420" t="s">
        <v>323</v>
      </c>
      <c r="T6420">
        <v>7.6</v>
      </c>
      <c r="W6420" t="s">
        <v>330</v>
      </c>
      <c r="Y6420" s="42">
        <v>44103</v>
      </c>
    </row>
    <row r="6421" spans="14:25">
      <c r="N6421" s="42">
        <v>44098</v>
      </c>
      <c r="O6421" t="s">
        <v>324</v>
      </c>
      <c r="P6421" s="42">
        <v>44098</v>
      </c>
      <c r="Q6421" t="s">
        <v>324</v>
      </c>
      <c r="R6421" t="s">
        <v>370</v>
      </c>
      <c r="S6421" t="s">
        <v>323</v>
      </c>
      <c r="T6421">
        <v>7.6</v>
      </c>
      <c r="W6421" t="s">
        <v>330</v>
      </c>
      <c r="Y6421" s="42">
        <v>44103</v>
      </c>
    </row>
    <row r="6422" spans="14:25">
      <c r="N6422" s="42">
        <v>44097</v>
      </c>
      <c r="O6422" t="s">
        <v>328</v>
      </c>
      <c r="P6422" s="42">
        <v>44097</v>
      </c>
      <c r="Q6422" t="s">
        <v>328</v>
      </c>
      <c r="R6422" t="s">
        <v>370</v>
      </c>
      <c r="S6422" t="s">
        <v>323</v>
      </c>
      <c r="T6422">
        <v>7.6</v>
      </c>
      <c r="W6422" t="s">
        <v>330</v>
      </c>
      <c r="Y6422" s="42">
        <v>44103</v>
      </c>
    </row>
    <row r="6423" spans="14:25">
      <c r="N6423" s="42">
        <v>44092</v>
      </c>
      <c r="O6423" t="s">
        <v>346</v>
      </c>
      <c r="P6423" s="42">
        <v>44092</v>
      </c>
      <c r="Q6423" t="s">
        <v>346</v>
      </c>
      <c r="R6423" t="s">
        <v>370</v>
      </c>
      <c r="S6423" t="s">
        <v>323</v>
      </c>
      <c r="T6423">
        <v>7.6</v>
      </c>
      <c r="W6423" t="s">
        <v>330</v>
      </c>
      <c r="Y6423" s="42">
        <v>44103</v>
      </c>
    </row>
    <row r="6424" spans="14:25">
      <c r="N6424" s="42">
        <v>44091</v>
      </c>
      <c r="O6424" t="s">
        <v>324</v>
      </c>
      <c r="P6424" s="42">
        <v>44091</v>
      </c>
      <c r="Q6424" t="s">
        <v>324</v>
      </c>
      <c r="R6424" t="s">
        <v>370</v>
      </c>
      <c r="S6424" t="s">
        <v>323</v>
      </c>
      <c r="T6424">
        <v>7.6</v>
      </c>
      <c r="W6424" t="s">
        <v>330</v>
      </c>
      <c r="Y6424" s="42">
        <v>44103</v>
      </c>
    </row>
    <row r="6425" spans="14:25">
      <c r="N6425" s="42">
        <v>44090</v>
      </c>
      <c r="O6425" t="s">
        <v>328</v>
      </c>
      <c r="P6425" s="42">
        <v>44090</v>
      </c>
      <c r="Q6425" t="s">
        <v>328</v>
      </c>
      <c r="R6425" t="s">
        <v>370</v>
      </c>
      <c r="S6425" t="s">
        <v>323</v>
      </c>
      <c r="T6425">
        <v>7.6</v>
      </c>
      <c r="W6425" t="s">
        <v>330</v>
      </c>
      <c r="Y6425" s="42">
        <v>44103</v>
      </c>
    </row>
    <row r="6426" spans="14:25">
      <c r="N6426" s="42">
        <v>44085</v>
      </c>
      <c r="O6426" t="s">
        <v>346</v>
      </c>
      <c r="P6426" s="42">
        <v>44085</v>
      </c>
      <c r="Q6426" t="s">
        <v>346</v>
      </c>
      <c r="R6426" t="s">
        <v>370</v>
      </c>
      <c r="S6426" t="s">
        <v>323</v>
      </c>
      <c r="T6426">
        <v>7.6</v>
      </c>
      <c r="W6426" t="s">
        <v>330</v>
      </c>
      <c r="Y6426" s="42">
        <v>44089</v>
      </c>
    </row>
    <row r="6427" spans="14:25">
      <c r="N6427" s="42">
        <v>44084</v>
      </c>
      <c r="O6427" t="s">
        <v>324</v>
      </c>
      <c r="P6427" s="42">
        <v>44084</v>
      </c>
      <c r="Q6427" t="s">
        <v>324</v>
      </c>
      <c r="R6427" t="s">
        <v>370</v>
      </c>
      <c r="S6427" t="s">
        <v>323</v>
      </c>
      <c r="T6427">
        <v>7.6</v>
      </c>
      <c r="W6427" t="s">
        <v>330</v>
      </c>
      <c r="Y6427" s="42">
        <v>44089</v>
      </c>
    </row>
    <row r="6428" spans="14:25">
      <c r="N6428" s="42">
        <v>44083</v>
      </c>
      <c r="O6428" t="s">
        <v>328</v>
      </c>
      <c r="P6428" s="42">
        <v>44083</v>
      </c>
      <c r="Q6428" t="s">
        <v>328</v>
      </c>
      <c r="R6428" t="s">
        <v>370</v>
      </c>
      <c r="S6428" t="s">
        <v>323</v>
      </c>
      <c r="T6428">
        <v>7.6</v>
      </c>
      <c r="W6428" t="s">
        <v>330</v>
      </c>
      <c r="Y6428" s="42">
        <v>44089</v>
      </c>
    </row>
    <row r="6429" spans="14:25">
      <c r="N6429" s="42">
        <v>44078</v>
      </c>
      <c r="O6429" t="s">
        <v>346</v>
      </c>
      <c r="P6429" s="42">
        <v>44078</v>
      </c>
      <c r="Q6429" t="s">
        <v>346</v>
      </c>
      <c r="R6429" t="s">
        <v>370</v>
      </c>
      <c r="S6429" t="s">
        <v>323</v>
      </c>
      <c r="T6429">
        <v>7.6</v>
      </c>
      <c r="W6429" t="s">
        <v>330</v>
      </c>
      <c r="Y6429" s="42">
        <v>44089</v>
      </c>
    </row>
    <row r="6430" spans="14:25">
      <c r="N6430" s="42">
        <v>44077</v>
      </c>
      <c r="O6430" t="s">
        <v>324</v>
      </c>
      <c r="P6430" s="42">
        <v>44077</v>
      </c>
      <c r="Q6430" t="s">
        <v>324</v>
      </c>
      <c r="R6430" t="s">
        <v>370</v>
      </c>
      <c r="S6430" t="s">
        <v>323</v>
      </c>
      <c r="T6430">
        <v>7.6</v>
      </c>
      <c r="W6430" t="s">
        <v>330</v>
      </c>
      <c r="Y6430" s="42">
        <v>44089</v>
      </c>
    </row>
    <row r="6431" spans="14:25">
      <c r="N6431" s="42">
        <v>44076</v>
      </c>
      <c r="O6431" t="s">
        <v>328</v>
      </c>
      <c r="P6431" s="42">
        <v>44076</v>
      </c>
      <c r="Q6431" t="s">
        <v>328</v>
      </c>
      <c r="R6431" t="s">
        <v>370</v>
      </c>
      <c r="S6431" t="s">
        <v>323</v>
      </c>
      <c r="T6431">
        <v>7.6</v>
      </c>
      <c r="W6431" t="s">
        <v>330</v>
      </c>
      <c r="Y6431" s="42">
        <v>44089</v>
      </c>
    </row>
    <row r="6432" spans="14:25">
      <c r="N6432" s="42">
        <v>44071</v>
      </c>
      <c r="O6432" t="s">
        <v>346</v>
      </c>
      <c r="P6432" s="42">
        <v>44071</v>
      </c>
      <c r="Q6432" t="s">
        <v>346</v>
      </c>
      <c r="R6432" t="s">
        <v>370</v>
      </c>
      <c r="S6432" t="s">
        <v>323</v>
      </c>
      <c r="T6432">
        <v>7.6</v>
      </c>
      <c r="W6432" t="s">
        <v>330</v>
      </c>
      <c r="Y6432" s="42">
        <v>44075</v>
      </c>
    </row>
    <row r="6433" spans="14:25">
      <c r="N6433" s="42">
        <v>44070</v>
      </c>
      <c r="O6433" t="s">
        <v>324</v>
      </c>
      <c r="P6433" s="42">
        <v>44070</v>
      </c>
      <c r="Q6433" t="s">
        <v>324</v>
      </c>
      <c r="R6433" t="s">
        <v>370</v>
      </c>
      <c r="S6433" t="s">
        <v>323</v>
      </c>
      <c r="T6433">
        <v>7.6</v>
      </c>
      <c r="W6433" t="s">
        <v>330</v>
      </c>
      <c r="Y6433" s="42">
        <v>44075</v>
      </c>
    </row>
    <row r="6434" spans="14:25">
      <c r="N6434" s="42">
        <v>44069</v>
      </c>
      <c r="O6434" t="s">
        <v>328</v>
      </c>
      <c r="P6434" s="42">
        <v>44069</v>
      </c>
      <c r="Q6434" t="s">
        <v>328</v>
      </c>
      <c r="R6434" t="s">
        <v>370</v>
      </c>
      <c r="S6434" t="s">
        <v>323</v>
      </c>
      <c r="T6434">
        <v>7.6</v>
      </c>
      <c r="W6434" t="s">
        <v>330</v>
      </c>
      <c r="Y6434" s="42">
        <v>44075</v>
      </c>
    </row>
    <row r="6435" spans="14:25">
      <c r="N6435" s="42">
        <v>44064</v>
      </c>
      <c r="O6435" t="s">
        <v>346</v>
      </c>
      <c r="P6435" s="42">
        <v>44064</v>
      </c>
      <c r="Q6435" t="s">
        <v>346</v>
      </c>
      <c r="R6435" t="s">
        <v>370</v>
      </c>
      <c r="S6435" t="s">
        <v>323</v>
      </c>
      <c r="T6435">
        <v>7.6</v>
      </c>
      <c r="W6435" t="s">
        <v>330</v>
      </c>
      <c r="Y6435" s="42">
        <v>44075</v>
      </c>
    </row>
    <row r="6436" spans="14:25">
      <c r="N6436" s="42">
        <v>44063</v>
      </c>
      <c r="O6436" t="s">
        <v>324</v>
      </c>
      <c r="P6436" s="42">
        <v>44063</v>
      </c>
      <c r="Q6436" t="s">
        <v>324</v>
      </c>
      <c r="R6436" t="s">
        <v>370</v>
      </c>
      <c r="S6436" t="s">
        <v>323</v>
      </c>
      <c r="T6436">
        <v>7.6</v>
      </c>
      <c r="W6436" t="s">
        <v>330</v>
      </c>
      <c r="Y6436" s="42">
        <v>44075</v>
      </c>
    </row>
    <row r="6437" spans="14:25">
      <c r="N6437" s="42">
        <v>44062</v>
      </c>
      <c r="O6437" t="s">
        <v>328</v>
      </c>
      <c r="P6437" s="42">
        <v>44062</v>
      </c>
      <c r="Q6437" t="s">
        <v>328</v>
      </c>
      <c r="R6437" t="s">
        <v>370</v>
      </c>
      <c r="S6437" t="s">
        <v>323</v>
      </c>
      <c r="T6437">
        <v>7.6</v>
      </c>
      <c r="W6437" t="s">
        <v>330</v>
      </c>
      <c r="Y6437" s="42">
        <v>44075</v>
      </c>
    </row>
    <row r="6438" spans="14:25">
      <c r="N6438" s="42">
        <v>44057</v>
      </c>
      <c r="O6438" t="s">
        <v>346</v>
      </c>
      <c r="P6438" s="42">
        <v>44057</v>
      </c>
      <c r="Q6438" t="s">
        <v>346</v>
      </c>
      <c r="R6438" t="s">
        <v>370</v>
      </c>
      <c r="S6438" t="s">
        <v>323</v>
      </c>
      <c r="T6438">
        <v>7.6</v>
      </c>
      <c r="W6438" t="s">
        <v>330</v>
      </c>
      <c r="Y6438" s="42">
        <v>44061</v>
      </c>
    </row>
    <row r="6439" spans="14:25">
      <c r="N6439" s="42">
        <v>44056</v>
      </c>
      <c r="O6439" t="s">
        <v>324</v>
      </c>
      <c r="P6439" s="42">
        <v>44056</v>
      </c>
      <c r="Q6439" t="s">
        <v>324</v>
      </c>
      <c r="R6439" t="s">
        <v>370</v>
      </c>
      <c r="S6439" t="s">
        <v>323</v>
      </c>
      <c r="T6439">
        <v>7.6</v>
      </c>
      <c r="W6439" t="s">
        <v>330</v>
      </c>
      <c r="Y6439" s="42">
        <v>44061</v>
      </c>
    </row>
    <row r="6440" spans="14:25">
      <c r="N6440" s="42">
        <v>44055</v>
      </c>
      <c r="O6440" t="s">
        <v>328</v>
      </c>
      <c r="P6440" s="42">
        <v>44055</v>
      </c>
      <c r="Q6440" t="s">
        <v>328</v>
      </c>
      <c r="R6440" t="s">
        <v>370</v>
      </c>
      <c r="S6440" t="s">
        <v>323</v>
      </c>
      <c r="T6440">
        <v>7.6</v>
      </c>
      <c r="W6440" t="s">
        <v>330</v>
      </c>
      <c r="Y6440" s="42">
        <v>44061</v>
      </c>
    </row>
    <row r="6441" spans="14:25">
      <c r="N6441" s="42">
        <v>44050</v>
      </c>
      <c r="O6441" t="s">
        <v>346</v>
      </c>
      <c r="P6441" s="42">
        <v>44050</v>
      </c>
      <c r="Q6441" t="s">
        <v>346</v>
      </c>
      <c r="R6441" t="s">
        <v>370</v>
      </c>
      <c r="S6441" t="s">
        <v>323</v>
      </c>
      <c r="T6441">
        <v>7.6</v>
      </c>
      <c r="W6441" t="s">
        <v>330</v>
      </c>
      <c r="Y6441" s="42">
        <v>44061</v>
      </c>
    </row>
    <row r="6442" spans="14:25">
      <c r="N6442" s="42">
        <v>44049</v>
      </c>
      <c r="O6442" t="s">
        <v>324</v>
      </c>
      <c r="P6442" s="42">
        <v>44049</v>
      </c>
      <c r="Q6442" t="s">
        <v>324</v>
      </c>
      <c r="R6442" t="s">
        <v>370</v>
      </c>
      <c r="S6442" t="s">
        <v>323</v>
      </c>
      <c r="T6442">
        <v>7.6</v>
      </c>
      <c r="W6442" t="s">
        <v>330</v>
      </c>
      <c r="Y6442" s="42">
        <v>44061</v>
      </c>
    </row>
    <row r="6443" spans="14:25">
      <c r="N6443" s="42">
        <v>44048</v>
      </c>
      <c r="O6443" t="s">
        <v>328</v>
      </c>
      <c r="P6443" s="42">
        <v>44048</v>
      </c>
      <c r="Q6443" t="s">
        <v>328</v>
      </c>
      <c r="R6443" t="s">
        <v>370</v>
      </c>
      <c r="S6443" t="s">
        <v>323</v>
      </c>
      <c r="T6443">
        <v>7.6</v>
      </c>
      <c r="W6443" t="s">
        <v>330</v>
      </c>
      <c r="Y6443" s="42">
        <v>44061</v>
      </c>
    </row>
    <row r="6444" spans="14:25">
      <c r="N6444" s="42">
        <v>44043</v>
      </c>
      <c r="O6444" t="s">
        <v>346</v>
      </c>
      <c r="P6444" s="42">
        <v>44043</v>
      </c>
      <c r="Q6444" t="s">
        <v>346</v>
      </c>
      <c r="R6444" t="s">
        <v>370</v>
      </c>
      <c r="S6444" t="s">
        <v>323</v>
      </c>
      <c r="T6444">
        <v>7.6</v>
      </c>
      <c r="W6444" t="s">
        <v>330</v>
      </c>
      <c r="Y6444" s="42">
        <v>44047</v>
      </c>
    </row>
    <row r="6445" spans="14:25">
      <c r="N6445" s="42">
        <v>44042</v>
      </c>
      <c r="O6445" t="s">
        <v>324</v>
      </c>
      <c r="P6445" s="42">
        <v>44042</v>
      </c>
      <c r="Q6445" t="s">
        <v>324</v>
      </c>
      <c r="R6445" t="s">
        <v>370</v>
      </c>
      <c r="S6445" t="s">
        <v>323</v>
      </c>
      <c r="T6445">
        <v>7.6</v>
      </c>
      <c r="W6445" t="s">
        <v>330</v>
      </c>
      <c r="Y6445" s="42">
        <v>44047</v>
      </c>
    </row>
    <row r="6446" spans="14:25">
      <c r="N6446" s="42">
        <v>44041</v>
      </c>
      <c r="O6446" t="s">
        <v>328</v>
      </c>
      <c r="P6446" s="42">
        <v>44041</v>
      </c>
      <c r="Q6446" t="s">
        <v>328</v>
      </c>
      <c r="R6446" t="s">
        <v>370</v>
      </c>
      <c r="S6446" t="s">
        <v>323</v>
      </c>
      <c r="T6446">
        <v>7.6</v>
      </c>
      <c r="W6446" t="s">
        <v>330</v>
      </c>
      <c r="Y6446" s="42">
        <v>44047</v>
      </c>
    </row>
    <row r="6447" spans="14:25">
      <c r="N6447" s="42">
        <v>44036</v>
      </c>
      <c r="O6447" t="s">
        <v>346</v>
      </c>
      <c r="P6447" s="42">
        <v>44036</v>
      </c>
      <c r="Q6447" t="s">
        <v>346</v>
      </c>
      <c r="R6447" t="s">
        <v>370</v>
      </c>
      <c r="S6447" t="s">
        <v>323</v>
      </c>
      <c r="T6447">
        <v>7.6</v>
      </c>
      <c r="W6447" t="s">
        <v>330</v>
      </c>
      <c r="Y6447" s="42">
        <v>44047</v>
      </c>
    </row>
    <row r="6448" spans="14:25">
      <c r="N6448" s="42">
        <v>44035</v>
      </c>
      <c r="O6448" t="s">
        <v>324</v>
      </c>
      <c r="P6448" s="42">
        <v>44035</v>
      </c>
      <c r="Q6448" t="s">
        <v>324</v>
      </c>
      <c r="R6448" t="s">
        <v>370</v>
      </c>
      <c r="S6448" t="s">
        <v>323</v>
      </c>
      <c r="T6448">
        <v>7.6</v>
      </c>
      <c r="W6448" t="s">
        <v>330</v>
      </c>
      <c r="Y6448" s="42">
        <v>44047</v>
      </c>
    </row>
    <row r="6449" spans="14:25">
      <c r="N6449" s="42">
        <v>44034</v>
      </c>
      <c r="O6449" t="s">
        <v>328</v>
      </c>
      <c r="P6449" s="42">
        <v>44034</v>
      </c>
      <c r="Q6449" t="s">
        <v>328</v>
      </c>
      <c r="R6449" t="s">
        <v>370</v>
      </c>
      <c r="S6449" t="s">
        <v>323</v>
      </c>
      <c r="T6449">
        <v>7.6</v>
      </c>
      <c r="W6449" t="s">
        <v>330</v>
      </c>
      <c r="Y6449" s="42">
        <v>44047</v>
      </c>
    </row>
    <row r="6450" spans="14:25">
      <c r="N6450" s="42">
        <v>44029</v>
      </c>
      <c r="O6450" t="s">
        <v>346</v>
      </c>
      <c r="P6450" s="42">
        <v>44029</v>
      </c>
      <c r="Q6450" t="s">
        <v>346</v>
      </c>
      <c r="R6450" t="s">
        <v>370</v>
      </c>
      <c r="S6450" t="s">
        <v>323</v>
      </c>
      <c r="T6450">
        <v>7.6</v>
      </c>
      <c r="W6450" t="s">
        <v>330</v>
      </c>
      <c r="Y6450" s="42">
        <v>44033</v>
      </c>
    </row>
    <row r="6451" spans="14:25">
      <c r="N6451" s="42">
        <v>44028</v>
      </c>
      <c r="O6451" t="s">
        <v>324</v>
      </c>
      <c r="P6451" s="42">
        <v>44028</v>
      </c>
      <c r="Q6451" t="s">
        <v>324</v>
      </c>
      <c r="R6451" t="s">
        <v>370</v>
      </c>
      <c r="S6451" t="s">
        <v>323</v>
      </c>
      <c r="T6451">
        <v>7.6</v>
      </c>
      <c r="W6451" t="s">
        <v>330</v>
      </c>
      <c r="Y6451" s="42">
        <v>44033</v>
      </c>
    </row>
    <row r="6452" spans="14:25">
      <c r="N6452" s="42">
        <v>44027</v>
      </c>
      <c r="O6452" t="s">
        <v>328</v>
      </c>
      <c r="P6452" s="42">
        <v>44027</v>
      </c>
      <c r="Q6452" t="s">
        <v>328</v>
      </c>
      <c r="R6452" t="s">
        <v>370</v>
      </c>
      <c r="S6452" t="s">
        <v>323</v>
      </c>
      <c r="T6452">
        <v>7.6</v>
      </c>
      <c r="W6452" t="s">
        <v>330</v>
      </c>
      <c r="Y6452" s="42">
        <v>44033</v>
      </c>
    </row>
    <row r="6453" spans="14:25">
      <c r="N6453" s="42">
        <v>44022</v>
      </c>
      <c r="O6453" t="s">
        <v>346</v>
      </c>
      <c r="P6453" s="42">
        <v>44022</v>
      </c>
      <c r="Q6453" t="s">
        <v>346</v>
      </c>
      <c r="R6453" t="s">
        <v>370</v>
      </c>
      <c r="S6453" t="s">
        <v>323</v>
      </c>
      <c r="T6453">
        <v>7.6</v>
      </c>
      <c r="W6453" t="s">
        <v>330</v>
      </c>
      <c r="Y6453" s="42">
        <v>44033</v>
      </c>
    </row>
    <row r="6454" spans="14:25">
      <c r="N6454" s="42">
        <v>44021</v>
      </c>
      <c r="O6454" t="s">
        <v>324</v>
      </c>
      <c r="P6454" s="42">
        <v>44021</v>
      </c>
      <c r="Q6454" t="s">
        <v>324</v>
      </c>
      <c r="R6454" t="s">
        <v>370</v>
      </c>
      <c r="S6454" t="s">
        <v>323</v>
      </c>
      <c r="T6454">
        <v>7.6</v>
      </c>
      <c r="W6454" t="s">
        <v>330</v>
      </c>
      <c r="Y6454" s="42">
        <v>44033</v>
      </c>
    </row>
    <row r="6455" spans="14:25">
      <c r="N6455" s="42">
        <v>44020</v>
      </c>
      <c r="O6455" t="s">
        <v>328</v>
      </c>
      <c r="P6455" s="42">
        <v>44020</v>
      </c>
      <c r="Q6455" t="s">
        <v>328</v>
      </c>
      <c r="R6455" t="s">
        <v>370</v>
      </c>
      <c r="S6455" t="s">
        <v>323</v>
      </c>
      <c r="T6455">
        <v>7.6</v>
      </c>
      <c r="W6455" t="s">
        <v>330</v>
      </c>
      <c r="Y6455" s="42">
        <v>44033</v>
      </c>
    </row>
    <row r="6456" spans="14:25">
      <c r="N6456" s="42">
        <v>44015</v>
      </c>
      <c r="O6456" t="s">
        <v>346</v>
      </c>
      <c r="P6456" s="42">
        <v>44015</v>
      </c>
      <c r="Q6456" t="s">
        <v>346</v>
      </c>
      <c r="R6456" t="s">
        <v>370</v>
      </c>
      <c r="S6456" t="s">
        <v>323</v>
      </c>
      <c r="T6456">
        <v>7.6</v>
      </c>
      <c r="W6456" t="s">
        <v>330</v>
      </c>
      <c r="Y6456" s="42">
        <v>44019</v>
      </c>
    </row>
    <row r="6457" spans="14:25">
      <c r="N6457" s="42">
        <v>44014</v>
      </c>
      <c r="O6457" t="s">
        <v>324</v>
      </c>
      <c r="P6457" s="42">
        <v>44014</v>
      </c>
      <c r="Q6457" t="s">
        <v>324</v>
      </c>
      <c r="R6457" t="s">
        <v>370</v>
      </c>
      <c r="S6457" t="s">
        <v>323</v>
      </c>
      <c r="T6457">
        <v>7.6</v>
      </c>
      <c r="W6457" t="s">
        <v>330</v>
      </c>
      <c r="Y6457" s="42">
        <v>44019</v>
      </c>
    </row>
    <row r="6458" spans="14:25">
      <c r="N6458" s="42">
        <v>44013</v>
      </c>
      <c r="O6458" t="s">
        <v>328</v>
      </c>
      <c r="P6458" s="42">
        <v>44013</v>
      </c>
      <c r="Q6458" t="s">
        <v>328</v>
      </c>
      <c r="R6458" t="s">
        <v>370</v>
      </c>
      <c r="S6458" t="s">
        <v>323</v>
      </c>
      <c r="T6458">
        <v>7.6</v>
      </c>
      <c r="W6458" t="s">
        <v>330</v>
      </c>
      <c r="Y6458" s="42">
        <v>44019</v>
      </c>
    </row>
    <row r="6459" spans="14:25">
      <c r="N6459" s="42">
        <v>44008</v>
      </c>
      <c r="O6459" t="s">
        <v>346</v>
      </c>
      <c r="P6459" s="42">
        <v>44008</v>
      </c>
      <c r="Q6459" t="s">
        <v>346</v>
      </c>
      <c r="R6459" t="s">
        <v>370</v>
      </c>
      <c r="S6459" t="s">
        <v>323</v>
      </c>
      <c r="T6459">
        <v>7.6</v>
      </c>
      <c r="W6459" t="s">
        <v>330</v>
      </c>
      <c r="Y6459" s="42">
        <v>44019</v>
      </c>
    </row>
    <row r="6460" spans="14:25">
      <c r="N6460" s="42">
        <v>44007</v>
      </c>
      <c r="O6460" t="s">
        <v>324</v>
      </c>
      <c r="P6460" s="42">
        <v>44007</v>
      </c>
      <c r="Q6460" t="s">
        <v>324</v>
      </c>
      <c r="R6460" t="s">
        <v>370</v>
      </c>
      <c r="S6460" t="s">
        <v>323</v>
      </c>
      <c r="T6460">
        <v>7.6</v>
      </c>
      <c r="W6460" t="s">
        <v>330</v>
      </c>
      <c r="Y6460" s="42">
        <v>44019</v>
      </c>
    </row>
    <row r="6461" spans="14:25">
      <c r="N6461" s="42">
        <v>44006</v>
      </c>
      <c r="O6461" t="s">
        <v>328</v>
      </c>
      <c r="P6461" s="42">
        <v>44006</v>
      </c>
      <c r="Q6461" t="s">
        <v>328</v>
      </c>
      <c r="R6461" t="s">
        <v>370</v>
      </c>
      <c r="S6461" t="s">
        <v>323</v>
      </c>
      <c r="T6461">
        <v>7.6</v>
      </c>
      <c r="W6461" t="s">
        <v>330</v>
      </c>
      <c r="Y6461" s="42">
        <v>44019</v>
      </c>
    </row>
    <row r="6462" spans="14:25">
      <c r="N6462" s="42">
        <v>44001</v>
      </c>
      <c r="O6462" t="s">
        <v>346</v>
      </c>
      <c r="P6462" s="42">
        <v>44001</v>
      </c>
      <c r="Q6462" t="s">
        <v>346</v>
      </c>
      <c r="R6462" t="s">
        <v>370</v>
      </c>
      <c r="S6462" t="s">
        <v>323</v>
      </c>
      <c r="T6462">
        <v>7.6</v>
      </c>
      <c r="W6462" t="s">
        <v>330</v>
      </c>
      <c r="Y6462" s="42">
        <v>44005</v>
      </c>
    </row>
    <row r="6463" spans="14:25">
      <c r="N6463" s="42">
        <v>44000</v>
      </c>
      <c r="O6463" t="s">
        <v>324</v>
      </c>
      <c r="P6463" s="42">
        <v>44000</v>
      </c>
      <c r="Q6463" t="s">
        <v>324</v>
      </c>
      <c r="R6463" t="s">
        <v>370</v>
      </c>
      <c r="S6463" t="s">
        <v>323</v>
      </c>
      <c r="T6463">
        <v>7.6</v>
      </c>
      <c r="W6463" t="s">
        <v>330</v>
      </c>
      <c r="Y6463" s="42">
        <v>44005</v>
      </c>
    </row>
    <row r="6464" spans="14:25">
      <c r="N6464" s="42">
        <v>43999</v>
      </c>
      <c r="O6464" t="s">
        <v>328</v>
      </c>
      <c r="P6464" s="42">
        <v>43999</v>
      </c>
      <c r="Q6464" t="s">
        <v>328</v>
      </c>
      <c r="R6464" t="s">
        <v>370</v>
      </c>
      <c r="S6464" t="s">
        <v>323</v>
      </c>
      <c r="T6464">
        <v>7.6</v>
      </c>
      <c r="W6464" t="s">
        <v>330</v>
      </c>
      <c r="Y6464" s="42">
        <v>44005</v>
      </c>
    </row>
    <row r="6465" spans="14:25">
      <c r="N6465" s="42">
        <v>43994</v>
      </c>
      <c r="O6465" t="s">
        <v>346</v>
      </c>
      <c r="P6465" s="42">
        <v>43994</v>
      </c>
      <c r="Q6465" t="s">
        <v>346</v>
      </c>
      <c r="R6465" t="s">
        <v>370</v>
      </c>
      <c r="S6465" t="s">
        <v>323</v>
      </c>
      <c r="T6465">
        <v>7.6</v>
      </c>
      <c r="W6465" t="s">
        <v>330</v>
      </c>
      <c r="Y6465" s="42">
        <v>44005</v>
      </c>
    </row>
    <row r="6466" spans="14:25">
      <c r="N6466" s="42">
        <v>43993</v>
      </c>
      <c r="O6466" t="s">
        <v>324</v>
      </c>
      <c r="P6466" s="42">
        <v>43993</v>
      </c>
      <c r="Q6466" t="s">
        <v>324</v>
      </c>
      <c r="R6466" t="s">
        <v>370</v>
      </c>
      <c r="S6466" t="s">
        <v>323</v>
      </c>
      <c r="T6466">
        <v>7.6</v>
      </c>
      <c r="W6466" t="s">
        <v>330</v>
      </c>
      <c r="Y6466" s="42">
        <v>44005</v>
      </c>
    </row>
    <row r="6467" spans="14:25">
      <c r="N6467" s="42">
        <v>43992</v>
      </c>
      <c r="O6467" t="s">
        <v>328</v>
      </c>
      <c r="P6467" s="42">
        <v>43992</v>
      </c>
      <c r="Q6467" t="s">
        <v>328</v>
      </c>
      <c r="R6467" t="s">
        <v>370</v>
      </c>
      <c r="S6467" t="s">
        <v>323</v>
      </c>
      <c r="T6467">
        <v>7.6</v>
      </c>
      <c r="W6467" t="s">
        <v>330</v>
      </c>
      <c r="Y6467" s="42">
        <v>44005</v>
      </c>
    </row>
    <row r="6468" spans="14:25">
      <c r="N6468" s="42">
        <v>43992</v>
      </c>
      <c r="O6468" t="s">
        <v>328</v>
      </c>
      <c r="P6468" s="42">
        <v>44005</v>
      </c>
      <c r="Q6468" t="s">
        <v>333</v>
      </c>
      <c r="R6468" t="s">
        <v>370</v>
      </c>
      <c r="S6468" t="s">
        <v>323</v>
      </c>
      <c r="T6468">
        <v>76</v>
      </c>
      <c r="W6468" t="s">
        <v>330</v>
      </c>
      <c r="Y6468" s="42">
        <v>44005</v>
      </c>
    </row>
    <row r="6469" spans="14:25">
      <c r="N6469" s="42">
        <v>43987</v>
      </c>
      <c r="O6469" t="s">
        <v>346</v>
      </c>
      <c r="P6469" s="42">
        <v>43987</v>
      </c>
      <c r="Q6469" t="s">
        <v>346</v>
      </c>
      <c r="R6469" t="s">
        <v>370</v>
      </c>
      <c r="S6469" t="s">
        <v>323</v>
      </c>
      <c r="T6469">
        <v>7.6</v>
      </c>
      <c r="W6469" t="s">
        <v>330</v>
      </c>
      <c r="Y6469" s="42">
        <v>43991</v>
      </c>
    </row>
    <row r="6470" spans="14:25">
      <c r="N6470" s="42">
        <v>43986</v>
      </c>
      <c r="O6470" t="s">
        <v>324</v>
      </c>
      <c r="P6470" s="42">
        <v>43986</v>
      </c>
      <c r="Q6470" t="s">
        <v>324</v>
      </c>
      <c r="R6470" t="s">
        <v>370</v>
      </c>
      <c r="S6470" t="s">
        <v>323</v>
      </c>
      <c r="T6470">
        <v>7.6</v>
      </c>
      <c r="W6470" t="s">
        <v>330</v>
      </c>
      <c r="Y6470" s="42">
        <v>43991</v>
      </c>
    </row>
    <row r="6471" spans="14:25">
      <c r="N6471" s="42">
        <v>43985</v>
      </c>
      <c r="O6471" t="s">
        <v>328</v>
      </c>
      <c r="P6471" s="42">
        <v>43985</v>
      </c>
      <c r="Q6471" t="s">
        <v>328</v>
      </c>
      <c r="R6471" t="s">
        <v>370</v>
      </c>
      <c r="S6471" t="s">
        <v>323</v>
      </c>
      <c r="T6471">
        <v>7.6</v>
      </c>
      <c r="W6471" t="s">
        <v>330</v>
      </c>
      <c r="Y6471" s="42">
        <v>43991</v>
      </c>
    </row>
    <row r="6472" spans="14:25">
      <c r="N6472" s="42">
        <v>43980</v>
      </c>
      <c r="O6472" t="s">
        <v>346</v>
      </c>
      <c r="P6472" s="42">
        <v>43980</v>
      </c>
      <c r="Q6472" t="s">
        <v>346</v>
      </c>
      <c r="R6472" t="s">
        <v>370</v>
      </c>
      <c r="S6472" t="s">
        <v>323</v>
      </c>
      <c r="T6472">
        <v>7.6</v>
      </c>
      <c r="W6472" t="s">
        <v>330</v>
      </c>
      <c r="Y6472" s="42">
        <v>43991</v>
      </c>
    </row>
    <row r="6473" spans="14:25">
      <c r="N6473" s="42">
        <v>43979</v>
      </c>
      <c r="O6473" t="s">
        <v>324</v>
      </c>
      <c r="P6473" s="42">
        <v>43979</v>
      </c>
      <c r="Q6473" t="s">
        <v>324</v>
      </c>
      <c r="R6473" t="s">
        <v>370</v>
      </c>
      <c r="S6473" t="s">
        <v>323</v>
      </c>
      <c r="T6473">
        <v>7.6</v>
      </c>
      <c r="W6473" t="s">
        <v>330</v>
      </c>
      <c r="Y6473" s="42">
        <v>43991</v>
      </c>
    </row>
    <row r="6474" spans="14:25">
      <c r="N6474" s="42">
        <v>43978</v>
      </c>
      <c r="O6474" t="s">
        <v>328</v>
      </c>
      <c r="P6474" s="42">
        <v>43978</v>
      </c>
      <c r="Q6474" t="s">
        <v>328</v>
      </c>
      <c r="R6474" t="s">
        <v>370</v>
      </c>
      <c r="S6474" t="s">
        <v>323</v>
      </c>
      <c r="T6474">
        <v>7.6</v>
      </c>
      <c r="W6474" t="s">
        <v>330</v>
      </c>
      <c r="Y6474" s="42">
        <v>43991</v>
      </c>
    </row>
    <row r="6475" spans="14:25">
      <c r="N6475" s="42">
        <v>43964</v>
      </c>
      <c r="O6475" t="s">
        <v>328</v>
      </c>
      <c r="P6475" s="42">
        <v>43977</v>
      </c>
      <c r="Q6475" t="s">
        <v>333</v>
      </c>
      <c r="R6475" t="s">
        <v>370</v>
      </c>
      <c r="S6475" t="s">
        <v>323</v>
      </c>
      <c r="T6475">
        <v>76</v>
      </c>
      <c r="W6475" t="s">
        <v>330</v>
      </c>
      <c r="Y6475" s="42">
        <v>43977</v>
      </c>
    </row>
    <row r="6476" spans="14:25">
      <c r="N6476" s="42">
        <v>43950</v>
      </c>
      <c r="O6476" t="s">
        <v>328</v>
      </c>
      <c r="P6476" s="42">
        <v>43963</v>
      </c>
      <c r="Q6476" t="s">
        <v>333</v>
      </c>
      <c r="R6476" t="s">
        <v>370</v>
      </c>
      <c r="S6476" t="s">
        <v>323</v>
      </c>
      <c r="T6476">
        <v>76</v>
      </c>
      <c r="W6476" t="s">
        <v>330</v>
      </c>
      <c r="Y6476" s="42">
        <v>43963</v>
      </c>
    </row>
    <row r="6477" spans="14:25">
      <c r="N6477" s="42">
        <v>43945</v>
      </c>
      <c r="O6477" t="s">
        <v>346</v>
      </c>
      <c r="P6477" s="42">
        <v>43945</v>
      </c>
      <c r="Q6477" t="s">
        <v>346</v>
      </c>
      <c r="R6477" t="s">
        <v>370</v>
      </c>
      <c r="S6477" t="s">
        <v>323</v>
      </c>
      <c r="T6477">
        <v>7.6</v>
      </c>
      <c r="W6477" t="s">
        <v>330</v>
      </c>
      <c r="Y6477" s="42">
        <v>43949</v>
      </c>
    </row>
    <row r="6478" spans="14:25">
      <c r="N6478" s="42">
        <v>43944</v>
      </c>
      <c r="O6478" t="s">
        <v>324</v>
      </c>
      <c r="P6478" s="42">
        <v>43944</v>
      </c>
      <c r="Q6478" t="s">
        <v>324</v>
      </c>
      <c r="R6478" t="s">
        <v>370</v>
      </c>
      <c r="S6478" t="s">
        <v>323</v>
      </c>
      <c r="T6478">
        <v>7.6</v>
      </c>
      <c r="W6478" t="s">
        <v>330</v>
      </c>
      <c r="Y6478" s="42">
        <v>43949</v>
      </c>
    </row>
    <row r="6479" spans="14:25">
      <c r="N6479" s="42">
        <v>43943</v>
      </c>
      <c r="O6479" t="s">
        <v>328</v>
      </c>
      <c r="P6479" s="42">
        <v>43943</v>
      </c>
      <c r="Q6479" t="s">
        <v>328</v>
      </c>
      <c r="R6479" t="s">
        <v>370</v>
      </c>
      <c r="S6479" t="s">
        <v>323</v>
      </c>
      <c r="T6479">
        <v>7.6</v>
      </c>
      <c r="W6479" t="s">
        <v>330</v>
      </c>
      <c r="Y6479" s="42">
        <v>43949</v>
      </c>
    </row>
    <row r="6480" spans="14:25">
      <c r="N6480" s="42">
        <v>43938</v>
      </c>
      <c r="O6480" t="s">
        <v>346</v>
      </c>
      <c r="P6480" s="42">
        <v>43938</v>
      </c>
      <c r="Q6480" t="s">
        <v>346</v>
      </c>
      <c r="R6480" t="s">
        <v>370</v>
      </c>
      <c r="S6480" t="s">
        <v>323</v>
      </c>
      <c r="T6480">
        <v>7.6</v>
      </c>
      <c r="W6480" t="s">
        <v>330</v>
      </c>
      <c r="Y6480" s="42">
        <v>43949</v>
      </c>
    </row>
    <row r="6481" spans="14:25">
      <c r="N6481" s="42">
        <v>43937</v>
      </c>
      <c r="O6481" t="s">
        <v>324</v>
      </c>
      <c r="P6481" s="42">
        <v>43937</v>
      </c>
      <c r="Q6481" t="s">
        <v>324</v>
      </c>
      <c r="R6481" t="s">
        <v>370</v>
      </c>
      <c r="S6481" t="s">
        <v>323</v>
      </c>
      <c r="T6481">
        <v>7.6</v>
      </c>
      <c r="W6481" t="s">
        <v>330</v>
      </c>
      <c r="Y6481" s="42">
        <v>43949</v>
      </c>
    </row>
    <row r="6482" spans="14:25">
      <c r="N6482" s="42">
        <v>43936</v>
      </c>
      <c r="O6482" t="s">
        <v>328</v>
      </c>
      <c r="P6482" s="42">
        <v>43936</v>
      </c>
      <c r="Q6482" t="s">
        <v>328</v>
      </c>
      <c r="R6482" t="s">
        <v>370</v>
      </c>
      <c r="S6482" t="s">
        <v>323</v>
      </c>
      <c r="T6482">
        <v>7.6</v>
      </c>
      <c r="W6482" t="s">
        <v>330</v>
      </c>
      <c r="Y6482" s="42">
        <v>43949</v>
      </c>
    </row>
    <row r="6483" spans="14:25">
      <c r="N6483" s="42">
        <v>43936</v>
      </c>
      <c r="O6483" t="s">
        <v>328</v>
      </c>
      <c r="P6483" s="42">
        <v>43949</v>
      </c>
      <c r="Q6483" t="s">
        <v>333</v>
      </c>
      <c r="R6483" t="s">
        <v>370</v>
      </c>
      <c r="S6483" t="s">
        <v>323</v>
      </c>
      <c r="T6483">
        <v>76</v>
      </c>
      <c r="W6483" t="s">
        <v>330</v>
      </c>
      <c r="Y6483" s="42">
        <v>43949</v>
      </c>
    </row>
    <row r="6484" spans="14:25">
      <c r="N6484" s="42">
        <v>43930</v>
      </c>
      <c r="O6484" t="s">
        <v>324</v>
      </c>
      <c r="P6484" s="42">
        <v>43930</v>
      </c>
      <c r="Q6484" t="s">
        <v>324</v>
      </c>
      <c r="R6484" t="s">
        <v>370</v>
      </c>
      <c r="S6484" t="s">
        <v>323</v>
      </c>
      <c r="T6484">
        <v>7.6</v>
      </c>
      <c r="W6484" t="s">
        <v>330</v>
      </c>
      <c r="Y6484" s="42">
        <v>43935</v>
      </c>
    </row>
    <row r="6485" spans="14:25">
      <c r="N6485" s="42">
        <v>43929</v>
      </c>
      <c r="O6485" t="s">
        <v>328</v>
      </c>
      <c r="P6485" s="42">
        <v>43929</v>
      </c>
      <c r="Q6485" t="s">
        <v>328</v>
      </c>
      <c r="R6485" t="s">
        <v>370</v>
      </c>
      <c r="S6485" t="s">
        <v>323</v>
      </c>
      <c r="T6485">
        <v>7.6</v>
      </c>
      <c r="W6485" t="s">
        <v>330</v>
      </c>
      <c r="Y6485" s="42">
        <v>43935</v>
      </c>
    </row>
    <row r="6486" spans="14:25">
      <c r="N6486" s="42">
        <v>43924</v>
      </c>
      <c r="O6486" t="s">
        <v>346</v>
      </c>
      <c r="P6486" s="42">
        <v>43924</v>
      </c>
      <c r="Q6486" t="s">
        <v>346</v>
      </c>
      <c r="R6486" t="s">
        <v>370</v>
      </c>
      <c r="S6486" t="s">
        <v>323</v>
      </c>
      <c r="T6486">
        <v>7.6</v>
      </c>
      <c r="W6486" t="s">
        <v>330</v>
      </c>
      <c r="Y6486" s="42">
        <v>43935</v>
      </c>
    </row>
    <row r="6487" spans="14:25">
      <c r="N6487" s="42">
        <v>43923</v>
      </c>
      <c r="O6487" t="s">
        <v>324</v>
      </c>
      <c r="P6487" s="42">
        <v>43923</v>
      </c>
      <c r="Q6487" t="s">
        <v>324</v>
      </c>
      <c r="R6487" t="s">
        <v>370</v>
      </c>
      <c r="S6487" t="s">
        <v>323</v>
      </c>
      <c r="T6487">
        <v>7.6</v>
      </c>
      <c r="W6487" t="s">
        <v>330</v>
      </c>
      <c r="Y6487" s="42">
        <v>43935</v>
      </c>
    </row>
    <row r="6488" spans="14:25">
      <c r="N6488" s="42">
        <v>43922</v>
      </c>
      <c r="O6488" t="s">
        <v>328</v>
      </c>
      <c r="P6488" s="42">
        <v>43922</v>
      </c>
      <c r="Q6488" t="s">
        <v>328</v>
      </c>
      <c r="R6488" t="s">
        <v>370</v>
      </c>
      <c r="S6488" t="s">
        <v>323</v>
      </c>
      <c r="T6488">
        <v>7.6</v>
      </c>
      <c r="W6488" t="s">
        <v>330</v>
      </c>
      <c r="Y6488" s="42">
        <v>43935</v>
      </c>
    </row>
    <row r="6489" spans="14:25">
      <c r="N6489" s="42">
        <v>43922</v>
      </c>
      <c r="O6489" t="s">
        <v>328</v>
      </c>
      <c r="P6489" s="42">
        <v>43935</v>
      </c>
      <c r="Q6489" t="s">
        <v>333</v>
      </c>
      <c r="R6489" t="s">
        <v>370</v>
      </c>
      <c r="S6489" t="s">
        <v>323</v>
      </c>
      <c r="T6489">
        <v>76</v>
      </c>
      <c r="W6489" t="s">
        <v>330</v>
      </c>
      <c r="Y6489" s="42">
        <v>43935</v>
      </c>
    </row>
    <row r="6490" spans="14:25">
      <c r="N6490" s="42">
        <v>43917</v>
      </c>
      <c r="O6490" t="s">
        <v>346</v>
      </c>
      <c r="P6490" s="42">
        <v>43917</v>
      </c>
      <c r="Q6490" t="s">
        <v>346</v>
      </c>
      <c r="R6490" t="s">
        <v>370</v>
      </c>
      <c r="S6490" t="s">
        <v>323</v>
      </c>
      <c r="T6490">
        <v>7.6</v>
      </c>
      <c r="W6490" t="s">
        <v>330</v>
      </c>
      <c r="Y6490" s="42">
        <v>43921</v>
      </c>
    </row>
    <row r="6491" spans="14:25">
      <c r="N6491" s="42">
        <v>43916</v>
      </c>
      <c r="O6491" t="s">
        <v>324</v>
      </c>
      <c r="P6491" s="42">
        <v>43916</v>
      </c>
      <c r="Q6491" t="s">
        <v>324</v>
      </c>
      <c r="R6491" t="s">
        <v>370</v>
      </c>
      <c r="S6491" t="s">
        <v>323</v>
      </c>
      <c r="T6491">
        <v>7.6</v>
      </c>
      <c r="W6491" t="s">
        <v>330</v>
      </c>
      <c r="Y6491" s="42">
        <v>43921</v>
      </c>
    </row>
    <row r="6492" spans="14:25">
      <c r="N6492" s="42">
        <v>43915</v>
      </c>
      <c r="O6492" t="s">
        <v>328</v>
      </c>
      <c r="P6492" s="42">
        <v>43915</v>
      </c>
      <c r="Q6492" t="s">
        <v>328</v>
      </c>
      <c r="R6492" t="s">
        <v>370</v>
      </c>
      <c r="S6492" t="s">
        <v>323</v>
      </c>
      <c r="T6492">
        <v>7.6</v>
      </c>
      <c r="W6492" t="s">
        <v>330</v>
      </c>
      <c r="Y6492" s="42">
        <v>43921</v>
      </c>
    </row>
    <row r="6493" spans="14:25">
      <c r="N6493" s="42">
        <v>43910</v>
      </c>
      <c r="O6493" t="s">
        <v>346</v>
      </c>
      <c r="P6493" s="42">
        <v>43910</v>
      </c>
      <c r="Q6493" t="s">
        <v>346</v>
      </c>
      <c r="R6493" t="s">
        <v>370</v>
      </c>
      <c r="S6493" t="s">
        <v>323</v>
      </c>
      <c r="T6493">
        <v>7.6</v>
      </c>
      <c r="W6493" t="s">
        <v>330</v>
      </c>
      <c r="Y6493" s="42">
        <v>43921</v>
      </c>
    </row>
    <row r="6494" spans="14:25">
      <c r="N6494" s="42">
        <v>43909</v>
      </c>
      <c r="O6494" t="s">
        <v>324</v>
      </c>
      <c r="P6494" s="42">
        <v>43909</v>
      </c>
      <c r="Q6494" t="s">
        <v>324</v>
      </c>
      <c r="R6494" t="s">
        <v>370</v>
      </c>
      <c r="S6494" t="s">
        <v>323</v>
      </c>
      <c r="T6494">
        <v>7.6</v>
      </c>
      <c r="W6494" t="s">
        <v>330</v>
      </c>
      <c r="Y6494" s="42">
        <v>43921</v>
      </c>
    </row>
    <row r="6495" spans="14:25">
      <c r="N6495" s="42">
        <v>43908</v>
      </c>
      <c r="O6495" t="s">
        <v>328</v>
      </c>
      <c r="P6495" s="42">
        <v>43908</v>
      </c>
      <c r="Q6495" t="s">
        <v>328</v>
      </c>
      <c r="R6495" t="s">
        <v>370</v>
      </c>
      <c r="S6495" t="s">
        <v>323</v>
      </c>
      <c r="T6495">
        <v>7.6</v>
      </c>
      <c r="W6495" t="s">
        <v>330</v>
      </c>
      <c r="Y6495" s="42">
        <v>43921</v>
      </c>
    </row>
    <row r="6496" spans="14:25">
      <c r="N6496" s="42">
        <v>43908</v>
      </c>
      <c r="O6496" t="s">
        <v>328</v>
      </c>
      <c r="P6496" s="42">
        <v>43921</v>
      </c>
      <c r="Q6496" t="s">
        <v>333</v>
      </c>
      <c r="R6496" t="s">
        <v>370</v>
      </c>
      <c r="S6496" t="s">
        <v>323</v>
      </c>
      <c r="T6496">
        <v>76</v>
      </c>
      <c r="W6496" t="s">
        <v>330</v>
      </c>
      <c r="Y6496" s="42">
        <v>43921</v>
      </c>
    </row>
    <row r="6497" spans="14:25">
      <c r="N6497" s="42">
        <v>43903</v>
      </c>
      <c r="O6497" t="s">
        <v>346</v>
      </c>
      <c r="P6497" s="42">
        <v>43903</v>
      </c>
      <c r="Q6497" t="s">
        <v>346</v>
      </c>
      <c r="R6497" t="s">
        <v>370</v>
      </c>
      <c r="S6497" t="s">
        <v>323</v>
      </c>
      <c r="T6497">
        <v>7.6</v>
      </c>
      <c r="W6497" t="s">
        <v>330</v>
      </c>
      <c r="Y6497" s="42">
        <v>43907</v>
      </c>
    </row>
    <row r="6498" spans="14:25">
      <c r="N6498" s="42">
        <v>43902</v>
      </c>
      <c r="O6498" t="s">
        <v>324</v>
      </c>
      <c r="P6498" s="42">
        <v>43902</v>
      </c>
      <c r="Q6498" t="s">
        <v>324</v>
      </c>
      <c r="R6498" t="s">
        <v>370</v>
      </c>
      <c r="S6498" t="s">
        <v>323</v>
      </c>
      <c r="T6498">
        <v>7.6</v>
      </c>
      <c r="W6498" t="s">
        <v>330</v>
      </c>
      <c r="Y6498" s="42">
        <v>43907</v>
      </c>
    </row>
    <row r="6499" spans="14:25">
      <c r="N6499" s="42">
        <v>43901</v>
      </c>
      <c r="O6499" t="s">
        <v>328</v>
      </c>
      <c r="P6499" s="42">
        <v>43901</v>
      </c>
      <c r="Q6499" t="s">
        <v>328</v>
      </c>
      <c r="R6499" t="s">
        <v>370</v>
      </c>
      <c r="S6499" t="s">
        <v>323</v>
      </c>
      <c r="T6499">
        <v>7.6</v>
      </c>
      <c r="W6499" t="s">
        <v>330</v>
      </c>
      <c r="Y6499" s="42">
        <v>43907</v>
      </c>
    </row>
    <row r="6500" spans="14:25">
      <c r="N6500" s="42">
        <v>43896</v>
      </c>
      <c r="O6500" t="s">
        <v>346</v>
      </c>
      <c r="P6500" s="42">
        <v>43896</v>
      </c>
      <c r="Q6500" t="s">
        <v>346</v>
      </c>
      <c r="R6500" t="s">
        <v>370</v>
      </c>
      <c r="S6500" t="s">
        <v>323</v>
      </c>
      <c r="T6500">
        <v>7.6</v>
      </c>
      <c r="W6500" t="s">
        <v>330</v>
      </c>
      <c r="Y6500" s="42">
        <v>43907</v>
      </c>
    </row>
    <row r="6501" spans="14:25">
      <c r="N6501" s="42">
        <v>43895</v>
      </c>
      <c r="O6501" t="s">
        <v>324</v>
      </c>
      <c r="P6501" s="42">
        <v>43895</v>
      </c>
      <c r="Q6501" t="s">
        <v>324</v>
      </c>
      <c r="R6501" t="s">
        <v>370</v>
      </c>
      <c r="S6501" t="s">
        <v>323</v>
      </c>
      <c r="T6501">
        <v>7.6</v>
      </c>
      <c r="W6501" t="s">
        <v>330</v>
      </c>
      <c r="Y6501" s="42">
        <v>43907</v>
      </c>
    </row>
    <row r="6502" spans="14:25">
      <c r="N6502" s="42">
        <v>43894</v>
      </c>
      <c r="O6502" t="s">
        <v>328</v>
      </c>
      <c r="P6502" s="42">
        <v>43894</v>
      </c>
      <c r="Q6502" t="s">
        <v>328</v>
      </c>
      <c r="R6502" t="s">
        <v>370</v>
      </c>
      <c r="S6502" t="s">
        <v>323</v>
      </c>
      <c r="T6502">
        <v>7.6</v>
      </c>
      <c r="W6502" t="s">
        <v>330</v>
      </c>
      <c r="Y6502" s="42">
        <v>43907</v>
      </c>
    </row>
    <row r="6503" spans="14:25">
      <c r="N6503" s="42">
        <v>43889</v>
      </c>
      <c r="O6503" t="s">
        <v>346</v>
      </c>
      <c r="P6503" s="42">
        <v>43889</v>
      </c>
      <c r="Q6503" t="s">
        <v>346</v>
      </c>
      <c r="R6503" t="s">
        <v>370</v>
      </c>
      <c r="S6503" t="s">
        <v>323</v>
      </c>
      <c r="T6503">
        <v>7.6</v>
      </c>
      <c r="W6503" t="s">
        <v>330</v>
      </c>
      <c r="Y6503" s="42">
        <v>43893</v>
      </c>
    </row>
    <row r="6504" spans="14:25">
      <c r="N6504" s="42">
        <v>43888</v>
      </c>
      <c r="O6504" t="s">
        <v>324</v>
      </c>
      <c r="P6504" s="42">
        <v>43888</v>
      </c>
      <c r="Q6504" t="s">
        <v>324</v>
      </c>
      <c r="R6504" t="s">
        <v>370</v>
      </c>
      <c r="S6504" t="s">
        <v>323</v>
      </c>
      <c r="T6504">
        <v>7.6</v>
      </c>
      <c r="W6504" t="s">
        <v>330</v>
      </c>
      <c r="Y6504" s="42">
        <v>43893</v>
      </c>
    </row>
    <row r="6505" spans="14:25">
      <c r="N6505" s="42">
        <v>43887</v>
      </c>
      <c r="O6505" t="s">
        <v>328</v>
      </c>
      <c r="P6505" s="42">
        <v>43887</v>
      </c>
      <c r="Q6505" t="s">
        <v>328</v>
      </c>
      <c r="R6505" t="s">
        <v>370</v>
      </c>
      <c r="S6505" t="s">
        <v>323</v>
      </c>
      <c r="T6505">
        <v>7.6</v>
      </c>
      <c r="W6505" t="s">
        <v>330</v>
      </c>
      <c r="Y6505" s="42">
        <v>43893</v>
      </c>
    </row>
    <row r="6506" spans="14:25">
      <c r="N6506" s="42">
        <v>43882</v>
      </c>
      <c r="O6506" t="s">
        <v>346</v>
      </c>
      <c r="P6506" s="42">
        <v>43882</v>
      </c>
      <c r="Q6506" t="s">
        <v>346</v>
      </c>
      <c r="R6506" t="s">
        <v>370</v>
      </c>
      <c r="S6506" t="s">
        <v>323</v>
      </c>
      <c r="T6506">
        <v>7.6</v>
      </c>
      <c r="W6506" t="s">
        <v>330</v>
      </c>
      <c r="Y6506" s="42">
        <v>43893</v>
      </c>
    </row>
    <row r="6507" spans="14:25">
      <c r="N6507" s="42">
        <v>43881</v>
      </c>
      <c r="O6507" t="s">
        <v>324</v>
      </c>
      <c r="P6507" s="42">
        <v>43881</v>
      </c>
      <c r="Q6507" t="s">
        <v>324</v>
      </c>
      <c r="R6507" t="s">
        <v>370</v>
      </c>
      <c r="S6507" t="s">
        <v>323</v>
      </c>
      <c r="T6507">
        <v>7.6</v>
      </c>
      <c r="W6507" t="s">
        <v>330</v>
      </c>
      <c r="Y6507" s="42">
        <v>43893</v>
      </c>
    </row>
    <row r="6508" spans="14:25">
      <c r="N6508" s="42">
        <v>43880</v>
      </c>
      <c r="O6508" t="s">
        <v>328</v>
      </c>
      <c r="P6508" s="42">
        <v>43880</v>
      </c>
      <c r="Q6508" t="s">
        <v>328</v>
      </c>
      <c r="R6508" t="s">
        <v>370</v>
      </c>
      <c r="S6508" t="s">
        <v>323</v>
      </c>
      <c r="T6508">
        <v>7.6</v>
      </c>
      <c r="W6508" t="s">
        <v>330</v>
      </c>
      <c r="Y6508" s="42">
        <v>43893</v>
      </c>
    </row>
    <row r="6509" spans="14:25">
      <c r="N6509" s="42">
        <v>43880</v>
      </c>
      <c r="O6509" t="s">
        <v>328</v>
      </c>
      <c r="P6509" s="42">
        <v>43893</v>
      </c>
      <c r="Q6509" t="s">
        <v>333</v>
      </c>
      <c r="R6509" t="s">
        <v>370</v>
      </c>
      <c r="S6509" t="s">
        <v>323</v>
      </c>
      <c r="T6509">
        <v>76</v>
      </c>
      <c r="W6509" t="s">
        <v>330</v>
      </c>
      <c r="Y6509" s="42">
        <v>43893</v>
      </c>
    </row>
    <row r="6510" spans="14:25">
      <c r="N6510" s="42">
        <v>43875</v>
      </c>
      <c r="O6510" t="s">
        <v>346</v>
      </c>
      <c r="P6510" s="42">
        <v>43875</v>
      </c>
      <c r="Q6510" t="s">
        <v>346</v>
      </c>
      <c r="R6510" t="s">
        <v>370</v>
      </c>
      <c r="S6510" t="s">
        <v>323</v>
      </c>
      <c r="T6510">
        <v>7.6</v>
      </c>
      <c r="W6510" t="s">
        <v>330</v>
      </c>
      <c r="Y6510" s="42">
        <v>43879</v>
      </c>
    </row>
    <row r="6511" spans="14:25">
      <c r="N6511" s="42">
        <v>43874</v>
      </c>
      <c r="O6511" t="s">
        <v>324</v>
      </c>
      <c r="P6511" s="42">
        <v>43874</v>
      </c>
      <c r="Q6511" t="s">
        <v>324</v>
      </c>
      <c r="R6511" t="s">
        <v>370</v>
      </c>
      <c r="S6511" t="s">
        <v>323</v>
      </c>
      <c r="T6511">
        <v>7.6</v>
      </c>
      <c r="W6511" t="s">
        <v>330</v>
      </c>
      <c r="Y6511" s="42">
        <v>43879</v>
      </c>
    </row>
    <row r="6512" spans="14:25">
      <c r="N6512" s="42">
        <v>43873</v>
      </c>
      <c r="O6512" t="s">
        <v>328</v>
      </c>
      <c r="P6512" s="42">
        <v>43873</v>
      </c>
      <c r="Q6512" t="s">
        <v>328</v>
      </c>
      <c r="R6512" t="s">
        <v>370</v>
      </c>
      <c r="S6512" t="s">
        <v>323</v>
      </c>
      <c r="T6512">
        <v>7.6</v>
      </c>
      <c r="W6512" t="s">
        <v>330</v>
      </c>
      <c r="Y6512" s="42">
        <v>43879</v>
      </c>
    </row>
    <row r="6513" spans="14:25">
      <c r="N6513" s="42">
        <v>43868</v>
      </c>
      <c r="O6513" t="s">
        <v>346</v>
      </c>
      <c r="P6513" s="42">
        <v>43868</v>
      </c>
      <c r="Q6513" t="s">
        <v>346</v>
      </c>
      <c r="R6513" t="s">
        <v>370</v>
      </c>
      <c r="S6513" t="s">
        <v>323</v>
      </c>
      <c r="T6513">
        <v>7.6</v>
      </c>
      <c r="W6513" t="s">
        <v>330</v>
      </c>
      <c r="Y6513" s="42">
        <v>43879</v>
      </c>
    </row>
    <row r="6514" spans="14:25">
      <c r="N6514" s="42">
        <v>43867</v>
      </c>
      <c r="O6514" t="s">
        <v>324</v>
      </c>
      <c r="P6514" s="42">
        <v>43867</v>
      </c>
      <c r="Q6514" t="s">
        <v>324</v>
      </c>
      <c r="R6514" t="s">
        <v>370</v>
      </c>
      <c r="S6514" t="s">
        <v>323</v>
      </c>
      <c r="T6514">
        <v>7.6</v>
      </c>
      <c r="W6514" t="s">
        <v>330</v>
      </c>
      <c r="Y6514" s="42">
        <v>43879</v>
      </c>
    </row>
    <row r="6515" spans="14:25">
      <c r="N6515" s="42">
        <v>43866</v>
      </c>
      <c r="O6515" t="s">
        <v>328</v>
      </c>
      <c r="P6515" s="42">
        <v>43866</v>
      </c>
      <c r="Q6515" t="s">
        <v>328</v>
      </c>
      <c r="R6515" t="s">
        <v>370</v>
      </c>
      <c r="S6515" t="s">
        <v>323</v>
      </c>
      <c r="T6515">
        <v>7.6</v>
      </c>
      <c r="W6515" t="s">
        <v>330</v>
      </c>
      <c r="Y6515" s="42">
        <v>43879</v>
      </c>
    </row>
    <row r="6516" spans="14:25">
      <c r="N6516" s="42">
        <v>43861</v>
      </c>
      <c r="O6516" t="s">
        <v>346</v>
      </c>
      <c r="P6516" s="42">
        <v>43861</v>
      </c>
      <c r="Q6516" t="s">
        <v>346</v>
      </c>
      <c r="R6516" t="s">
        <v>370</v>
      </c>
      <c r="S6516" t="s">
        <v>323</v>
      </c>
      <c r="T6516">
        <v>7.6</v>
      </c>
      <c r="W6516" t="s">
        <v>330</v>
      </c>
      <c r="Y6516" s="42">
        <v>43865</v>
      </c>
    </row>
    <row r="6517" spans="14:25">
      <c r="N6517" s="42">
        <v>43860</v>
      </c>
      <c r="O6517" t="s">
        <v>324</v>
      </c>
      <c r="P6517" s="42">
        <v>43860</v>
      </c>
      <c r="Q6517" t="s">
        <v>324</v>
      </c>
      <c r="R6517" t="s">
        <v>370</v>
      </c>
      <c r="S6517" t="s">
        <v>323</v>
      </c>
      <c r="T6517">
        <v>7.6</v>
      </c>
      <c r="W6517" t="s">
        <v>330</v>
      </c>
      <c r="Y6517" s="42">
        <v>43865</v>
      </c>
    </row>
    <row r="6518" spans="14:25">
      <c r="N6518" s="42">
        <v>43859</v>
      </c>
      <c r="O6518" t="s">
        <v>328</v>
      </c>
      <c r="P6518" s="42">
        <v>43859</v>
      </c>
      <c r="Q6518" t="s">
        <v>328</v>
      </c>
      <c r="R6518" t="s">
        <v>370</v>
      </c>
      <c r="S6518" t="s">
        <v>323</v>
      </c>
      <c r="T6518">
        <v>7.6</v>
      </c>
      <c r="W6518" t="s">
        <v>330</v>
      </c>
      <c r="Y6518" s="42">
        <v>43865</v>
      </c>
    </row>
    <row r="6519" spans="14:25">
      <c r="N6519" s="42">
        <v>43854</v>
      </c>
      <c r="O6519" t="s">
        <v>346</v>
      </c>
      <c r="P6519" s="42">
        <v>43854</v>
      </c>
      <c r="Q6519" t="s">
        <v>346</v>
      </c>
      <c r="R6519" t="s">
        <v>370</v>
      </c>
      <c r="S6519" t="s">
        <v>323</v>
      </c>
      <c r="T6519">
        <v>7.6</v>
      </c>
      <c r="W6519" t="s">
        <v>330</v>
      </c>
      <c r="Y6519" s="42">
        <v>43865</v>
      </c>
    </row>
    <row r="6520" spans="14:25">
      <c r="N6520" s="42">
        <v>43853</v>
      </c>
      <c r="O6520" t="s">
        <v>324</v>
      </c>
      <c r="P6520" s="42">
        <v>43853</v>
      </c>
      <c r="Q6520" t="s">
        <v>324</v>
      </c>
      <c r="R6520" t="s">
        <v>370</v>
      </c>
      <c r="S6520" t="s">
        <v>323</v>
      </c>
      <c r="T6520">
        <v>7.6</v>
      </c>
      <c r="W6520" t="s">
        <v>330</v>
      </c>
      <c r="Y6520" s="42">
        <v>43865</v>
      </c>
    </row>
    <row r="6521" spans="14:25">
      <c r="N6521" s="42">
        <v>43852</v>
      </c>
      <c r="O6521" t="s">
        <v>328</v>
      </c>
      <c r="P6521" s="42">
        <v>43852</v>
      </c>
      <c r="Q6521" t="s">
        <v>328</v>
      </c>
      <c r="R6521" t="s">
        <v>370</v>
      </c>
      <c r="S6521" t="s">
        <v>323</v>
      </c>
      <c r="T6521">
        <v>7.6</v>
      </c>
      <c r="W6521" t="s">
        <v>330</v>
      </c>
      <c r="Y6521" s="42">
        <v>43865</v>
      </c>
    </row>
    <row r="6522" spans="14:25">
      <c r="N6522" s="42">
        <v>43852</v>
      </c>
      <c r="O6522" t="s">
        <v>328</v>
      </c>
      <c r="P6522" s="42">
        <v>43865</v>
      </c>
      <c r="Q6522" t="s">
        <v>333</v>
      </c>
      <c r="R6522" t="s">
        <v>370</v>
      </c>
      <c r="S6522" t="s">
        <v>323</v>
      </c>
      <c r="T6522">
        <v>76</v>
      </c>
      <c r="W6522" t="s">
        <v>330</v>
      </c>
      <c r="Y6522" s="42">
        <v>43865</v>
      </c>
    </row>
    <row r="6523" spans="14:25">
      <c r="N6523" s="42">
        <v>43846</v>
      </c>
      <c r="O6523" t="s">
        <v>324</v>
      </c>
      <c r="P6523" s="42">
        <v>43846</v>
      </c>
      <c r="Q6523" t="s">
        <v>324</v>
      </c>
      <c r="R6523" t="s">
        <v>329</v>
      </c>
      <c r="S6523" t="s">
        <v>323</v>
      </c>
      <c r="T6523">
        <v>7.6</v>
      </c>
      <c r="W6523" t="s">
        <v>330</v>
      </c>
      <c r="Y6523" s="42">
        <v>43851</v>
      </c>
    </row>
    <row r="6524" spans="14:25">
      <c r="N6524" s="42">
        <v>43798</v>
      </c>
      <c r="O6524" t="s">
        <v>346</v>
      </c>
      <c r="P6524" s="42">
        <v>43798</v>
      </c>
      <c r="Q6524" t="s">
        <v>346</v>
      </c>
      <c r="R6524" t="s">
        <v>329</v>
      </c>
      <c r="S6524" t="s">
        <v>323</v>
      </c>
      <c r="T6524">
        <v>7.6</v>
      </c>
      <c r="W6524" t="s">
        <v>330</v>
      </c>
      <c r="Y6524" s="42">
        <v>43809</v>
      </c>
    </row>
    <row r="6525" spans="14:25">
      <c r="N6525" s="42">
        <v>43707</v>
      </c>
      <c r="O6525" t="s">
        <v>346</v>
      </c>
      <c r="P6525" s="42">
        <v>43707</v>
      </c>
      <c r="Q6525" t="s">
        <v>346</v>
      </c>
      <c r="R6525" t="s">
        <v>338</v>
      </c>
      <c r="S6525" t="s">
        <v>323</v>
      </c>
      <c r="T6525">
        <v>7.6</v>
      </c>
      <c r="W6525" t="s">
        <v>330</v>
      </c>
      <c r="Y6525" s="42">
        <v>43711</v>
      </c>
    </row>
    <row r="6526" spans="14:25">
      <c r="N6526" s="42">
        <v>43706</v>
      </c>
      <c r="O6526" t="s">
        <v>324</v>
      </c>
      <c r="P6526" s="42">
        <v>43706</v>
      </c>
      <c r="Q6526" t="s">
        <v>324</v>
      </c>
      <c r="R6526" t="s">
        <v>338</v>
      </c>
      <c r="S6526" t="s">
        <v>323</v>
      </c>
      <c r="T6526">
        <v>7.6</v>
      </c>
      <c r="W6526" t="s">
        <v>330</v>
      </c>
      <c r="Y6526" s="42">
        <v>43711</v>
      </c>
    </row>
    <row r="6527" spans="14:25">
      <c r="N6527" s="42">
        <v>43705</v>
      </c>
      <c r="O6527" t="s">
        <v>328</v>
      </c>
      <c r="P6527" s="42">
        <v>43705</v>
      </c>
      <c r="Q6527" t="s">
        <v>328</v>
      </c>
      <c r="R6527" t="s">
        <v>338</v>
      </c>
      <c r="S6527" t="s">
        <v>323</v>
      </c>
      <c r="T6527">
        <v>7.6</v>
      </c>
      <c r="W6527" t="s">
        <v>330</v>
      </c>
      <c r="Y6527" s="42">
        <v>43711</v>
      </c>
    </row>
    <row r="6528" spans="14:25">
      <c r="N6528" s="42">
        <v>43700</v>
      </c>
      <c r="O6528" t="s">
        <v>346</v>
      </c>
      <c r="P6528" s="42">
        <v>43700</v>
      </c>
      <c r="Q6528" t="s">
        <v>346</v>
      </c>
      <c r="R6528" t="s">
        <v>338</v>
      </c>
      <c r="S6528" t="s">
        <v>323</v>
      </c>
      <c r="T6528">
        <v>7.6</v>
      </c>
      <c r="W6528" t="s">
        <v>330</v>
      </c>
      <c r="Y6528" s="42">
        <v>43711</v>
      </c>
    </row>
    <row r="6529" spans="1:25">
      <c r="N6529" s="42">
        <v>43699</v>
      </c>
      <c r="O6529" t="s">
        <v>324</v>
      </c>
      <c r="P6529" s="42">
        <v>43699</v>
      </c>
      <c r="Q6529" t="s">
        <v>324</v>
      </c>
      <c r="R6529" t="s">
        <v>338</v>
      </c>
      <c r="S6529" t="s">
        <v>323</v>
      </c>
      <c r="T6529">
        <v>7.6</v>
      </c>
      <c r="W6529" t="s">
        <v>330</v>
      </c>
      <c r="Y6529" s="42">
        <v>43711</v>
      </c>
    </row>
    <row r="6530" spans="1:25">
      <c r="N6530" s="42">
        <v>43698</v>
      </c>
      <c r="O6530" t="s">
        <v>328</v>
      </c>
      <c r="P6530" s="42">
        <v>43698</v>
      </c>
      <c r="Q6530" t="s">
        <v>328</v>
      </c>
      <c r="R6530" t="s">
        <v>338</v>
      </c>
      <c r="S6530" t="s">
        <v>323</v>
      </c>
      <c r="T6530">
        <v>7.6</v>
      </c>
      <c r="W6530" t="s">
        <v>330</v>
      </c>
      <c r="Y6530" s="42">
        <v>43711</v>
      </c>
    </row>
    <row r="6531" spans="1:25">
      <c r="N6531" s="42">
        <v>43693</v>
      </c>
      <c r="O6531" t="s">
        <v>346</v>
      </c>
      <c r="P6531" s="42">
        <v>43693</v>
      </c>
      <c r="Q6531" t="s">
        <v>346</v>
      </c>
      <c r="R6531" t="s">
        <v>338</v>
      </c>
      <c r="S6531" t="s">
        <v>323</v>
      </c>
      <c r="T6531">
        <v>7.6</v>
      </c>
      <c r="W6531" t="s">
        <v>330</v>
      </c>
      <c r="Y6531" s="42">
        <v>43697</v>
      </c>
    </row>
    <row r="6532" spans="1:25">
      <c r="N6532" s="42">
        <v>43692</v>
      </c>
      <c r="O6532" t="s">
        <v>324</v>
      </c>
      <c r="P6532" s="42">
        <v>43692</v>
      </c>
      <c r="Q6532" t="s">
        <v>324</v>
      </c>
      <c r="R6532" t="s">
        <v>338</v>
      </c>
      <c r="S6532" t="s">
        <v>323</v>
      </c>
      <c r="T6532">
        <v>7.6</v>
      </c>
      <c r="W6532" t="s">
        <v>330</v>
      </c>
      <c r="Y6532" s="42">
        <v>43697</v>
      </c>
    </row>
    <row r="6533" spans="1:25">
      <c r="N6533" s="42">
        <v>43686</v>
      </c>
      <c r="O6533" t="s">
        <v>346</v>
      </c>
      <c r="P6533" s="42">
        <v>43686</v>
      </c>
      <c r="Q6533" t="s">
        <v>346</v>
      </c>
      <c r="R6533" t="s">
        <v>338</v>
      </c>
      <c r="S6533" t="s">
        <v>323</v>
      </c>
      <c r="T6533">
        <v>7.6</v>
      </c>
      <c r="W6533" t="s">
        <v>330</v>
      </c>
      <c r="Y6533" s="42">
        <v>43697</v>
      </c>
    </row>
    <row r="6534" spans="1:25">
      <c r="N6534" s="42">
        <v>43685</v>
      </c>
      <c r="O6534" t="s">
        <v>324</v>
      </c>
      <c r="P6534" s="42">
        <v>43685</v>
      </c>
      <c r="Q6534" t="s">
        <v>324</v>
      </c>
      <c r="R6534" t="s">
        <v>338</v>
      </c>
      <c r="S6534" t="s">
        <v>323</v>
      </c>
      <c r="T6534">
        <v>7.6</v>
      </c>
      <c r="W6534" t="s">
        <v>330</v>
      </c>
      <c r="Y6534" s="42">
        <v>43697</v>
      </c>
    </row>
    <row r="6535" spans="1:25">
      <c r="N6535" s="42">
        <v>43684</v>
      </c>
      <c r="O6535" t="s">
        <v>328</v>
      </c>
      <c r="P6535" s="42">
        <v>43684</v>
      </c>
      <c r="Q6535" t="s">
        <v>328</v>
      </c>
      <c r="R6535" t="s">
        <v>320</v>
      </c>
      <c r="S6535" t="s">
        <v>323</v>
      </c>
      <c r="T6535">
        <v>7</v>
      </c>
      <c r="Y6535" s="42">
        <v>43697</v>
      </c>
    </row>
    <row r="6536" spans="1:25">
      <c r="N6536" s="42">
        <v>43656</v>
      </c>
      <c r="O6536" t="s">
        <v>328</v>
      </c>
      <c r="P6536" s="42">
        <v>43656</v>
      </c>
      <c r="Q6536" t="s">
        <v>328</v>
      </c>
      <c r="R6536" t="s">
        <v>347</v>
      </c>
      <c r="S6536" t="s">
        <v>323</v>
      </c>
      <c r="T6536">
        <v>7.5</v>
      </c>
      <c r="W6536" t="s">
        <v>330</v>
      </c>
      <c r="Y6536" s="42">
        <v>43669</v>
      </c>
    </row>
    <row r="6537" spans="1:25">
      <c r="A6537">
        <v>18841</v>
      </c>
      <c r="B6537" t="s">
        <v>420</v>
      </c>
      <c r="C6537" t="s">
        <v>320</v>
      </c>
      <c r="D6537" t="s">
        <v>336</v>
      </c>
      <c r="E6537" t="s">
        <v>337</v>
      </c>
      <c r="F6537">
        <v>1</v>
      </c>
      <c r="G6537" s="42">
        <v>45209</v>
      </c>
      <c r="H6537">
        <v>152</v>
      </c>
      <c r="I6537">
        <v>46.149900000000002</v>
      </c>
      <c r="J6537">
        <v>60.383600000000001</v>
      </c>
      <c r="K6537">
        <v>106.5335</v>
      </c>
      <c r="L6537" t="s">
        <v>323</v>
      </c>
      <c r="M6537" s="43">
        <v>0.16944444444444443</v>
      </c>
      <c r="N6537" s="42">
        <v>45070</v>
      </c>
      <c r="O6537" t="s">
        <v>328</v>
      </c>
      <c r="P6537" s="42">
        <v>45072</v>
      </c>
      <c r="Q6537" t="s">
        <v>346</v>
      </c>
      <c r="R6537" t="s">
        <v>320</v>
      </c>
      <c r="S6537" t="s">
        <v>323</v>
      </c>
      <c r="T6537">
        <v>22.8</v>
      </c>
      <c r="U6537">
        <v>0</v>
      </c>
      <c r="V6537">
        <v>0</v>
      </c>
    </row>
    <row r="6538" spans="1:25">
      <c r="C6538" t="s">
        <v>325</v>
      </c>
      <c r="D6538" t="s">
        <v>340</v>
      </c>
      <c r="E6538" t="s">
        <v>341</v>
      </c>
      <c r="F6538">
        <v>1</v>
      </c>
      <c r="G6538" s="42">
        <v>45940</v>
      </c>
      <c r="H6538">
        <v>230.54239999999999</v>
      </c>
      <c r="I6538">
        <v>0</v>
      </c>
      <c r="J6538">
        <v>144.79910000000001</v>
      </c>
      <c r="K6538">
        <v>144.79910000000001</v>
      </c>
      <c r="L6538" t="s">
        <v>323</v>
      </c>
      <c r="N6538" s="42">
        <v>45062</v>
      </c>
      <c r="O6538" t="s">
        <v>333</v>
      </c>
      <c r="P6538" s="42">
        <v>45069</v>
      </c>
      <c r="Q6538" t="s">
        <v>333</v>
      </c>
      <c r="R6538" t="s">
        <v>320</v>
      </c>
      <c r="S6538" t="s">
        <v>323</v>
      </c>
      <c r="T6538">
        <v>45.6</v>
      </c>
      <c r="U6538">
        <v>0</v>
      </c>
      <c r="V6538">
        <v>0</v>
      </c>
    </row>
    <row r="6539" spans="1:25">
      <c r="C6539" t="s">
        <v>329</v>
      </c>
      <c r="D6539" t="s">
        <v>342</v>
      </c>
      <c r="E6539" t="s">
        <v>343</v>
      </c>
      <c r="F6539">
        <v>1</v>
      </c>
      <c r="G6539" s="42">
        <v>45209</v>
      </c>
      <c r="H6539">
        <v>76</v>
      </c>
      <c r="I6539">
        <v>71.069900000000004</v>
      </c>
      <c r="J6539">
        <v>30.191800000000001</v>
      </c>
      <c r="K6539">
        <v>101.2617</v>
      </c>
      <c r="L6539" t="s">
        <v>323</v>
      </c>
      <c r="N6539" s="42">
        <v>44971</v>
      </c>
      <c r="O6539" t="s">
        <v>333</v>
      </c>
      <c r="P6539" s="42">
        <v>44971</v>
      </c>
      <c r="Q6539" t="s">
        <v>333</v>
      </c>
      <c r="R6539" t="s">
        <v>320</v>
      </c>
      <c r="S6539" t="s">
        <v>323</v>
      </c>
      <c r="T6539">
        <v>1.6</v>
      </c>
      <c r="V6539">
        <v>0</v>
      </c>
      <c r="Y6539" s="42">
        <v>44971</v>
      </c>
    </row>
    <row r="6540" spans="1:25">
      <c r="N6540" s="42">
        <v>44970</v>
      </c>
      <c r="O6540" t="s">
        <v>345</v>
      </c>
      <c r="P6540" s="42">
        <v>44970</v>
      </c>
      <c r="Q6540" t="s">
        <v>345</v>
      </c>
      <c r="R6540" t="s">
        <v>347</v>
      </c>
      <c r="S6540" t="s">
        <v>323</v>
      </c>
      <c r="T6540">
        <v>2.35</v>
      </c>
      <c r="W6540" t="s">
        <v>339</v>
      </c>
      <c r="Y6540" s="42">
        <v>44971</v>
      </c>
    </row>
    <row r="6541" spans="1:25">
      <c r="N6541" s="42">
        <v>44967</v>
      </c>
      <c r="O6541" t="s">
        <v>346</v>
      </c>
      <c r="P6541" s="42">
        <v>44967</v>
      </c>
      <c r="Q6541" t="s">
        <v>346</v>
      </c>
      <c r="R6541" t="s">
        <v>320</v>
      </c>
      <c r="S6541" t="s">
        <v>323</v>
      </c>
      <c r="T6541">
        <v>1.85</v>
      </c>
      <c r="V6541">
        <v>0</v>
      </c>
      <c r="Y6541" s="42">
        <v>44971</v>
      </c>
    </row>
    <row r="6542" spans="1:25">
      <c r="N6542" s="42">
        <v>44958</v>
      </c>
      <c r="O6542" t="s">
        <v>328</v>
      </c>
      <c r="P6542" s="42">
        <v>44958</v>
      </c>
      <c r="Q6542" t="s">
        <v>328</v>
      </c>
      <c r="R6542" t="s">
        <v>320</v>
      </c>
      <c r="S6542" t="s">
        <v>323</v>
      </c>
      <c r="T6542">
        <v>7.6</v>
      </c>
      <c r="V6542">
        <v>0</v>
      </c>
      <c r="Y6542" s="42">
        <v>44971</v>
      </c>
    </row>
    <row r="6543" spans="1:25">
      <c r="N6543" s="42">
        <v>44949</v>
      </c>
      <c r="O6543" t="s">
        <v>345</v>
      </c>
      <c r="P6543" s="42">
        <v>44957</v>
      </c>
      <c r="Q6543" t="s">
        <v>333</v>
      </c>
      <c r="R6543" t="s">
        <v>320</v>
      </c>
      <c r="S6543" t="s">
        <v>323</v>
      </c>
      <c r="T6543">
        <v>45.6</v>
      </c>
      <c r="U6543">
        <v>7.6</v>
      </c>
      <c r="V6543">
        <v>0</v>
      </c>
      <c r="Y6543" s="42">
        <v>44957</v>
      </c>
    </row>
    <row r="6544" spans="1:25">
      <c r="N6544" s="42">
        <v>44935</v>
      </c>
      <c r="O6544" t="s">
        <v>345</v>
      </c>
      <c r="P6544" s="42">
        <v>44936</v>
      </c>
      <c r="Q6544" t="s">
        <v>333</v>
      </c>
      <c r="R6544" t="s">
        <v>320</v>
      </c>
      <c r="S6544" t="s">
        <v>323</v>
      </c>
      <c r="T6544">
        <v>15.2</v>
      </c>
      <c r="V6544">
        <v>0</v>
      </c>
      <c r="Y6544" s="42">
        <v>44943</v>
      </c>
    </row>
    <row r="6545" spans="14:25">
      <c r="N6545" s="42">
        <v>44928</v>
      </c>
      <c r="O6545" t="s">
        <v>345</v>
      </c>
      <c r="P6545" s="42">
        <v>44928</v>
      </c>
      <c r="Q6545" t="s">
        <v>345</v>
      </c>
      <c r="R6545" t="s">
        <v>320</v>
      </c>
      <c r="S6545" t="s">
        <v>323</v>
      </c>
      <c r="U6545">
        <v>7.6</v>
      </c>
      <c r="Y6545" s="42">
        <v>44929</v>
      </c>
    </row>
    <row r="6546" spans="14:25">
      <c r="N6546" s="42">
        <v>44916</v>
      </c>
      <c r="O6546" t="s">
        <v>328</v>
      </c>
      <c r="P6546" s="42">
        <v>44922</v>
      </c>
      <c r="Q6546" t="s">
        <v>333</v>
      </c>
      <c r="R6546" t="s">
        <v>320</v>
      </c>
      <c r="S6546" t="s">
        <v>323</v>
      </c>
      <c r="T6546">
        <v>22.8</v>
      </c>
      <c r="U6546">
        <v>15.2</v>
      </c>
      <c r="V6546">
        <v>0</v>
      </c>
      <c r="Y6546" s="42">
        <v>44929</v>
      </c>
    </row>
    <row r="6547" spans="14:25">
      <c r="N6547" s="42">
        <v>44911</v>
      </c>
      <c r="O6547" t="s">
        <v>346</v>
      </c>
      <c r="P6547" s="42">
        <v>44911</v>
      </c>
      <c r="Q6547" t="s">
        <v>346</v>
      </c>
      <c r="R6547" t="s">
        <v>320</v>
      </c>
      <c r="S6547" t="s">
        <v>323</v>
      </c>
      <c r="T6547">
        <v>7.6</v>
      </c>
      <c r="V6547">
        <v>0</v>
      </c>
      <c r="Y6547" s="42">
        <v>44915</v>
      </c>
    </row>
    <row r="6548" spans="14:25">
      <c r="N6548" s="42">
        <v>44883</v>
      </c>
      <c r="O6548" t="s">
        <v>346</v>
      </c>
      <c r="P6548" s="42">
        <v>44883</v>
      </c>
      <c r="Q6548" t="s">
        <v>346</v>
      </c>
      <c r="R6548" t="s">
        <v>320</v>
      </c>
      <c r="S6548" t="s">
        <v>323</v>
      </c>
      <c r="T6548">
        <v>7.6</v>
      </c>
      <c r="U6548">
        <v>0</v>
      </c>
    </row>
    <row r="6549" spans="14:25">
      <c r="N6549" s="42">
        <v>44866</v>
      </c>
      <c r="O6549" t="s">
        <v>333</v>
      </c>
      <c r="P6549" s="42">
        <v>44866</v>
      </c>
      <c r="Q6549" t="s">
        <v>333</v>
      </c>
      <c r="R6549" t="s">
        <v>320</v>
      </c>
      <c r="S6549" t="s">
        <v>323</v>
      </c>
      <c r="U6549">
        <v>7.6</v>
      </c>
      <c r="Y6549" s="42">
        <v>44873</v>
      </c>
    </row>
    <row r="6550" spans="14:25">
      <c r="N6550" s="42">
        <v>44848</v>
      </c>
      <c r="O6550" t="s">
        <v>346</v>
      </c>
      <c r="P6550" s="42">
        <v>44848</v>
      </c>
      <c r="Q6550" t="s">
        <v>346</v>
      </c>
      <c r="R6550" t="s">
        <v>347</v>
      </c>
      <c r="S6550" t="s">
        <v>323</v>
      </c>
      <c r="T6550">
        <v>5.0999999999999996</v>
      </c>
      <c r="W6550" t="s">
        <v>339</v>
      </c>
      <c r="Y6550" s="42">
        <v>44859</v>
      </c>
    </row>
    <row r="6551" spans="14:25">
      <c r="N6551" s="42">
        <v>44827</v>
      </c>
      <c r="O6551" t="s">
        <v>346</v>
      </c>
      <c r="P6551" s="42">
        <v>44827</v>
      </c>
      <c r="Q6551" t="s">
        <v>346</v>
      </c>
      <c r="R6551" t="s">
        <v>320</v>
      </c>
      <c r="S6551" t="s">
        <v>323</v>
      </c>
      <c r="U6551">
        <v>7.6</v>
      </c>
      <c r="Y6551" s="42">
        <v>44831</v>
      </c>
    </row>
    <row r="6552" spans="14:25">
      <c r="N6552" s="42">
        <v>44826</v>
      </c>
      <c r="O6552" t="s">
        <v>324</v>
      </c>
      <c r="P6552" s="42">
        <v>44826</v>
      </c>
      <c r="Q6552" t="s">
        <v>324</v>
      </c>
      <c r="R6552" t="s">
        <v>320</v>
      </c>
      <c r="S6552" t="s">
        <v>323</v>
      </c>
      <c r="U6552">
        <v>7.6</v>
      </c>
      <c r="Y6552" s="42">
        <v>44831</v>
      </c>
    </row>
    <row r="6553" spans="14:25">
      <c r="N6553" s="42">
        <v>44816</v>
      </c>
      <c r="O6553" t="s">
        <v>345</v>
      </c>
      <c r="P6553" s="42">
        <v>44816</v>
      </c>
      <c r="Q6553" t="s">
        <v>345</v>
      </c>
      <c r="R6553" t="s">
        <v>329</v>
      </c>
      <c r="S6553" t="s">
        <v>323</v>
      </c>
      <c r="T6553">
        <v>7.6</v>
      </c>
      <c r="W6553" t="s">
        <v>339</v>
      </c>
      <c r="Y6553" s="42">
        <v>44817</v>
      </c>
    </row>
    <row r="6554" spans="14:25">
      <c r="N6554" s="42">
        <v>44802</v>
      </c>
      <c r="O6554" t="s">
        <v>345</v>
      </c>
      <c r="P6554" s="42">
        <v>44802</v>
      </c>
      <c r="Q6554" t="s">
        <v>345</v>
      </c>
      <c r="R6554" t="s">
        <v>320</v>
      </c>
      <c r="S6554" t="s">
        <v>323</v>
      </c>
      <c r="T6554">
        <v>7.6</v>
      </c>
      <c r="V6554">
        <v>0</v>
      </c>
      <c r="Y6554" s="42">
        <v>44803</v>
      </c>
    </row>
    <row r="6555" spans="14:25">
      <c r="N6555" s="42">
        <v>44781</v>
      </c>
      <c r="O6555" t="s">
        <v>345</v>
      </c>
      <c r="P6555" s="42">
        <v>44781</v>
      </c>
      <c r="Q6555" t="s">
        <v>345</v>
      </c>
      <c r="R6555" t="s">
        <v>329</v>
      </c>
      <c r="S6555" t="s">
        <v>323</v>
      </c>
      <c r="T6555">
        <v>7.6</v>
      </c>
      <c r="W6555" t="s">
        <v>339</v>
      </c>
      <c r="Y6555" s="42">
        <v>44789</v>
      </c>
    </row>
    <row r="6556" spans="14:25">
      <c r="N6556" s="42">
        <v>44760</v>
      </c>
      <c r="O6556" t="s">
        <v>345</v>
      </c>
      <c r="P6556" s="42">
        <v>44761</v>
      </c>
      <c r="Q6556" t="s">
        <v>333</v>
      </c>
      <c r="R6556" t="s">
        <v>320</v>
      </c>
      <c r="S6556" t="s">
        <v>323</v>
      </c>
      <c r="T6556">
        <v>15.2</v>
      </c>
      <c r="V6556">
        <v>0</v>
      </c>
      <c r="Y6556" s="42">
        <v>44761</v>
      </c>
    </row>
    <row r="6557" spans="14:25">
      <c r="N6557" s="42">
        <v>44722</v>
      </c>
      <c r="O6557" t="s">
        <v>346</v>
      </c>
      <c r="P6557" s="42">
        <v>44726</v>
      </c>
      <c r="Q6557" t="s">
        <v>333</v>
      </c>
      <c r="R6557" t="s">
        <v>320</v>
      </c>
      <c r="S6557" t="s">
        <v>323</v>
      </c>
      <c r="T6557">
        <v>15.2</v>
      </c>
      <c r="U6557">
        <v>7.6</v>
      </c>
      <c r="V6557">
        <v>0</v>
      </c>
      <c r="Y6557" s="42">
        <v>44733</v>
      </c>
    </row>
    <row r="6558" spans="14:25">
      <c r="N6558" s="42">
        <v>44692</v>
      </c>
      <c r="O6558" t="s">
        <v>328</v>
      </c>
      <c r="P6558" s="42">
        <v>44692</v>
      </c>
      <c r="Q6558" t="s">
        <v>328</v>
      </c>
      <c r="R6558" t="s">
        <v>329</v>
      </c>
      <c r="S6558" t="s">
        <v>323</v>
      </c>
      <c r="T6558">
        <v>7.6</v>
      </c>
      <c r="U6558">
        <v>0</v>
      </c>
      <c r="W6558" t="s">
        <v>339</v>
      </c>
      <c r="Y6558" s="42">
        <v>44705</v>
      </c>
    </row>
    <row r="6559" spans="14:25">
      <c r="N6559" s="42">
        <v>44691</v>
      </c>
      <c r="O6559" t="s">
        <v>333</v>
      </c>
      <c r="P6559" s="42">
        <v>44691</v>
      </c>
      <c r="Q6559" t="s">
        <v>333</v>
      </c>
      <c r="R6559" t="s">
        <v>329</v>
      </c>
      <c r="S6559" t="s">
        <v>323</v>
      </c>
      <c r="T6559">
        <v>7.6</v>
      </c>
      <c r="U6559">
        <v>0</v>
      </c>
      <c r="W6559" t="s">
        <v>339</v>
      </c>
      <c r="Y6559" s="42">
        <v>44691</v>
      </c>
    </row>
    <row r="6560" spans="14:25">
      <c r="N6560" s="42">
        <v>44676</v>
      </c>
      <c r="O6560" t="s">
        <v>345</v>
      </c>
      <c r="P6560" s="42">
        <v>44676</v>
      </c>
      <c r="Q6560" t="s">
        <v>345</v>
      </c>
      <c r="R6560" t="s">
        <v>320</v>
      </c>
      <c r="S6560" t="s">
        <v>323</v>
      </c>
      <c r="U6560">
        <v>7.6</v>
      </c>
      <c r="Y6560" s="42">
        <v>44677</v>
      </c>
    </row>
    <row r="6561" spans="14:25">
      <c r="N6561" s="42">
        <v>44669</v>
      </c>
      <c r="O6561" t="s">
        <v>345</v>
      </c>
      <c r="P6561" s="42">
        <v>44669</v>
      </c>
      <c r="Q6561" t="s">
        <v>345</v>
      </c>
      <c r="R6561" t="s">
        <v>320</v>
      </c>
      <c r="S6561" t="s">
        <v>323</v>
      </c>
      <c r="U6561">
        <v>7.6</v>
      </c>
      <c r="Y6561" s="42">
        <v>44677</v>
      </c>
    </row>
    <row r="6562" spans="14:25">
      <c r="N6562" s="42">
        <v>44666</v>
      </c>
      <c r="O6562" t="s">
        <v>346</v>
      </c>
      <c r="P6562" s="42">
        <v>44666</v>
      </c>
      <c r="Q6562" t="s">
        <v>346</v>
      </c>
      <c r="R6562" t="s">
        <v>320</v>
      </c>
      <c r="S6562" t="s">
        <v>323</v>
      </c>
      <c r="U6562">
        <v>7.6</v>
      </c>
      <c r="Y6562" s="42">
        <v>44677</v>
      </c>
    </row>
    <row r="6563" spans="14:25">
      <c r="N6563" s="42">
        <v>44664</v>
      </c>
      <c r="O6563" t="s">
        <v>328</v>
      </c>
      <c r="P6563" s="42">
        <v>44665</v>
      </c>
      <c r="Q6563" t="s">
        <v>324</v>
      </c>
      <c r="R6563" t="s">
        <v>329</v>
      </c>
      <c r="S6563" t="s">
        <v>323</v>
      </c>
      <c r="T6563">
        <v>15.2</v>
      </c>
      <c r="W6563" t="s">
        <v>330</v>
      </c>
      <c r="X6563" t="s">
        <v>330</v>
      </c>
      <c r="Y6563" s="42">
        <v>44677</v>
      </c>
    </row>
    <row r="6564" spans="14:25">
      <c r="N6564" s="42">
        <v>44655</v>
      </c>
      <c r="O6564" t="s">
        <v>345</v>
      </c>
      <c r="P6564" s="42">
        <v>44655</v>
      </c>
      <c r="Q6564" t="s">
        <v>345</v>
      </c>
      <c r="R6564" t="s">
        <v>347</v>
      </c>
      <c r="S6564" t="s">
        <v>323</v>
      </c>
      <c r="T6564">
        <v>7.6</v>
      </c>
      <c r="W6564" t="s">
        <v>339</v>
      </c>
      <c r="Y6564" s="42">
        <v>44663</v>
      </c>
    </row>
    <row r="6565" spans="14:25">
      <c r="N6565" s="42">
        <v>44651</v>
      </c>
      <c r="O6565" t="s">
        <v>324</v>
      </c>
      <c r="P6565" s="42">
        <v>44651</v>
      </c>
      <c r="Q6565" t="s">
        <v>324</v>
      </c>
      <c r="R6565" t="s">
        <v>320</v>
      </c>
      <c r="S6565" t="s">
        <v>323</v>
      </c>
      <c r="T6565">
        <v>4</v>
      </c>
      <c r="V6565">
        <v>0</v>
      </c>
      <c r="Y6565" s="42">
        <v>44663</v>
      </c>
    </row>
    <row r="6566" spans="14:25">
      <c r="N6566" s="42">
        <v>44648</v>
      </c>
      <c r="O6566" t="s">
        <v>345</v>
      </c>
      <c r="P6566" s="42">
        <v>44648</v>
      </c>
      <c r="Q6566" t="s">
        <v>345</v>
      </c>
      <c r="R6566" t="s">
        <v>329</v>
      </c>
      <c r="S6566" t="s">
        <v>323</v>
      </c>
      <c r="T6566">
        <v>7.6</v>
      </c>
      <c r="W6566" t="s">
        <v>339</v>
      </c>
      <c r="Y6566" s="42">
        <v>44649</v>
      </c>
    </row>
    <row r="6567" spans="14:25">
      <c r="N6567" s="42">
        <v>44645</v>
      </c>
      <c r="O6567" t="s">
        <v>346</v>
      </c>
      <c r="P6567" s="42">
        <v>44645</v>
      </c>
      <c r="Q6567" t="s">
        <v>346</v>
      </c>
      <c r="R6567" t="s">
        <v>329</v>
      </c>
      <c r="S6567" t="s">
        <v>323</v>
      </c>
      <c r="T6567">
        <v>5.6</v>
      </c>
      <c r="W6567" t="s">
        <v>339</v>
      </c>
      <c r="Y6567" s="42">
        <v>44649</v>
      </c>
    </row>
    <row r="6568" spans="14:25">
      <c r="N6568" s="42">
        <v>44643</v>
      </c>
      <c r="O6568" t="s">
        <v>328</v>
      </c>
      <c r="P6568" s="42">
        <v>44643</v>
      </c>
      <c r="Q6568" t="s">
        <v>328</v>
      </c>
      <c r="R6568" t="s">
        <v>320</v>
      </c>
      <c r="S6568" t="s">
        <v>323</v>
      </c>
      <c r="T6568">
        <v>4</v>
      </c>
      <c r="V6568">
        <v>0</v>
      </c>
      <c r="Y6568" s="42">
        <v>44649</v>
      </c>
    </row>
    <row r="6569" spans="14:25">
      <c r="N6569" s="42">
        <v>44634</v>
      </c>
      <c r="O6569" t="s">
        <v>345</v>
      </c>
      <c r="P6569" s="42">
        <v>44634</v>
      </c>
      <c r="Q6569" t="s">
        <v>345</v>
      </c>
      <c r="R6569" t="s">
        <v>320</v>
      </c>
      <c r="S6569" t="s">
        <v>323</v>
      </c>
      <c r="U6569">
        <v>7.6</v>
      </c>
      <c r="Y6569" s="42">
        <v>44635</v>
      </c>
    </row>
    <row r="6570" spans="14:25">
      <c r="N6570" s="42">
        <v>44614</v>
      </c>
      <c r="O6570" t="s">
        <v>333</v>
      </c>
      <c r="P6570" s="42">
        <v>44614</v>
      </c>
      <c r="Q6570" t="s">
        <v>333</v>
      </c>
      <c r="R6570" t="s">
        <v>347</v>
      </c>
      <c r="S6570" t="s">
        <v>323</v>
      </c>
      <c r="T6570">
        <v>5.0999999999999996</v>
      </c>
      <c r="W6570" t="s">
        <v>339</v>
      </c>
      <c r="Y6570" s="42">
        <v>44621</v>
      </c>
    </row>
    <row r="6571" spans="14:25">
      <c r="N6571" s="42">
        <v>44588</v>
      </c>
      <c r="O6571" t="s">
        <v>324</v>
      </c>
      <c r="P6571" s="42">
        <v>44592</v>
      </c>
      <c r="Q6571" t="s">
        <v>345</v>
      </c>
      <c r="R6571" t="s">
        <v>320</v>
      </c>
      <c r="S6571" t="s">
        <v>323</v>
      </c>
      <c r="T6571">
        <v>22.8</v>
      </c>
      <c r="V6571">
        <v>0</v>
      </c>
      <c r="Y6571" s="42">
        <v>44593</v>
      </c>
    </row>
    <row r="6572" spans="14:25">
      <c r="N6572" s="42">
        <v>44587</v>
      </c>
      <c r="O6572" t="s">
        <v>328</v>
      </c>
      <c r="P6572" s="42">
        <v>44587</v>
      </c>
      <c r="Q6572" t="s">
        <v>328</v>
      </c>
      <c r="R6572" t="s">
        <v>320</v>
      </c>
      <c r="S6572" t="s">
        <v>323</v>
      </c>
      <c r="U6572">
        <v>7.6</v>
      </c>
      <c r="Y6572" s="42">
        <v>44593</v>
      </c>
    </row>
    <row r="6573" spans="14:25">
      <c r="N6573" s="42">
        <v>44564</v>
      </c>
      <c r="O6573" t="s">
        <v>345</v>
      </c>
      <c r="P6573" s="42">
        <v>44564</v>
      </c>
      <c r="Q6573" t="s">
        <v>345</v>
      </c>
      <c r="R6573" t="s">
        <v>320</v>
      </c>
      <c r="S6573" t="s">
        <v>323</v>
      </c>
      <c r="U6573">
        <v>7.6</v>
      </c>
      <c r="Y6573" s="42">
        <v>44565</v>
      </c>
    </row>
    <row r="6574" spans="14:25">
      <c r="N6574" s="42">
        <v>44559</v>
      </c>
      <c r="O6574" t="s">
        <v>328</v>
      </c>
      <c r="P6574" s="42">
        <v>44561</v>
      </c>
      <c r="Q6574" t="s">
        <v>346</v>
      </c>
      <c r="R6574" t="s">
        <v>320</v>
      </c>
      <c r="S6574" t="s">
        <v>323</v>
      </c>
      <c r="T6574">
        <v>22.8</v>
      </c>
      <c r="V6574">
        <v>0</v>
      </c>
      <c r="Y6574" s="42">
        <v>44565</v>
      </c>
    </row>
    <row r="6575" spans="14:25">
      <c r="N6575" s="42">
        <v>44558</v>
      </c>
      <c r="O6575" t="s">
        <v>333</v>
      </c>
      <c r="P6575" s="42">
        <v>44558</v>
      </c>
      <c r="Q6575" t="s">
        <v>333</v>
      </c>
      <c r="R6575" t="s">
        <v>320</v>
      </c>
      <c r="S6575" t="s">
        <v>323</v>
      </c>
      <c r="U6575">
        <v>7.6</v>
      </c>
      <c r="Y6575" s="42">
        <v>44565</v>
      </c>
    </row>
    <row r="6576" spans="14:25">
      <c r="N6576" s="42">
        <v>44557</v>
      </c>
      <c r="O6576" t="s">
        <v>345</v>
      </c>
      <c r="P6576" s="42">
        <v>44557</v>
      </c>
      <c r="Q6576" t="s">
        <v>345</v>
      </c>
      <c r="R6576" t="s">
        <v>320</v>
      </c>
      <c r="S6576" t="s">
        <v>323</v>
      </c>
      <c r="U6576">
        <v>7.6</v>
      </c>
      <c r="Y6576" s="42">
        <v>44565</v>
      </c>
    </row>
    <row r="6577" spans="14:25">
      <c r="N6577" s="42">
        <v>44546</v>
      </c>
      <c r="O6577" t="s">
        <v>324</v>
      </c>
      <c r="P6577" s="42">
        <v>44546</v>
      </c>
      <c r="Q6577" t="s">
        <v>324</v>
      </c>
      <c r="R6577" t="s">
        <v>329</v>
      </c>
      <c r="S6577" t="s">
        <v>323</v>
      </c>
      <c r="T6577">
        <v>7.6</v>
      </c>
      <c r="W6577" t="s">
        <v>339</v>
      </c>
      <c r="Y6577" s="42">
        <v>44551</v>
      </c>
    </row>
    <row r="6578" spans="14:25">
      <c r="N6578" s="42">
        <v>44536</v>
      </c>
      <c r="O6578" t="s">
        <v>345</v>
      </c>
      <c r="P6578" s="42">
        <v>44536</v>
      </c>
      <c r="Q6578" t="s">
        <v>345</v>
      </c>
      <c r="R6578" t="s">
        <v>320</v>
      </c>
      <c r="S6578" t="s">
        <v>323</v>
      </c>
      <c r="T6578">
        <v>7.6</v>
      </c>
      <c r="V6578">
        <v>0</v>
      </c>
      <c r="Y6578" s="42">
        <v>44537</v>
      </c>
    </row>
    <row r="6579" spans="14:25">
      <c r="N6579" s="42">
        <v>44502</v>
      </c>
      <c r="O6579" t="s">
        <v>333</v>
      </c>
      <c r="P6579" s="42">
        <v>44502</v>
      </c>
      <c r="Q6579" t="s">
        <v>333</v>
      </c>
      <c r="R6579" t="s">
        <v>320</v>
      </c>
      <c r="S6579" t="s">
        <v>323</v>
      </c>
      <c r="U6579">
        <v>7.6</v>
      </c>
      <c r="Y6579" s="42">
        <v>44509</v>
      </c>
    </row>
    <row r="6580" spans="14:25">
      <c r="N6580" s="42">
        <v>44498</v>
      </c>
      <c r="O6580" t="s">
        <v>346</v>
      </c>
      <c r="P6580" s="42">
        <v>44498</v>
      </c>
      <c r="Q6580" t="s">
        <v>346</v>
      </c>
      <c r="R6580" t="s">
        <v>320</v>
      </c>
      <c r="S6580" t="s">
        <v>323</v>
      </c>
      <c r="T6580">
        <v>3.85</v>
      </c>
      <c r="V6580">
        <v>0</v>
      </c>
      <c r="Y6580" s="42">
        <v>44509</v>
      </c>
    </row>
    <row r="6581" spans="14:25">
      <c r="N6581" s="42">
        <v>44497</v>
      </c>
      <c r="O6581" t="s">
        <v>324</v>
      </c>
      <c r="P6581" s="42">
        <v>44497</v>
      </c>
      <c r="Q6581" t="s">
        <v>324</v>
      </c>
      <c r="R6581" t="s">
        <v>320</v>
      </c>
      <c r="S6581" t="s">
        <v>323</v>
      </c>
      <c r="T6581">
        <v>3.85</v>
      </c>
      <c r="V6581">
        <v>0</v>
      </c>
      <c r="Y6581" s="42">
        <v>44509</v>
      </c>
    </row>
    <row r="6582" spans="14:25">
      <c r="N6582" s="42">
        <v>44496</v>
      </c>
      <c r="O6582" t="s">
        <v>328</v>
      </c>
      <c r="P6582" s="42">
        <v>44496</v>
      </c>
      <c r="Q6582" t="s">
        <v>328</v>
      </c>
      <c r="R6582" t="s">
        <v>320</v>
      </c>
      <c r="S6582" t="s">
        <v>323</v>
      </c>
      <c r="T6582">
        <v>3</v>
      </c>
      <c r="V6582">
        <v>0</v>
      </c>
      <c r="Y6582" s="42">
        <v>44509</v>
      </c>
    </row>
    <row r="6583" spans="14:25">
      <c r="N6583" s="42">
        <v>44495</v>
      </c>
      <c r="O6583" t="s">
        <v>333</v>
      </c>
      <c r="P6583" s="42">
        <v>44495</v>
      </c>
      <c r="Q6583" t="s">
        <v>333</v>
      </c>
      <c r="R6583" t="s">
        <v>320</v>
      </c>
      <c r="S6583" t="s">
        <v>323</v>
      </c>
      <c r="T6583">
        <v>3.85</v>
      </c>
      <c r="V6583">
        <v>0</v>
      </c>
      <c r="Y6583" s="42">
        <v>44495</v>
      </c>
    </row>
    <row r="6584" spans="14:25">
      <c r="N6584" s="42">
        <v>44494</v>
      </c>
      <c r="O6584" t="s">
        <v>345</v>
      </c>
      <c r="P6584" s="42">
        <v>44494</v>
      </c>
      <c r="Q6584" t="s">
        <v>345</v>
      </c>
      <c r="R6584" t="s">
        <v>320</v>
      </c>
      <c r="S6584" t="s">
        <v>323</v>
      </c>
      <c r="T6584">
        <v>3.85</v>
      </c>
      <c r="V6584">
        <v>0</v>
      </c>
      <c r="Y6584" s="42">
        <v>44495</v>
      </c>
    </row>
    <row r="6585" spans="14:25">
      <c r="N6585" s="42">
        <v>44489</v>
      </c>
      <c r="O6585" t="s">
        <v>328</v>
      </c>
      <c r="P6585" s="42">
        <v>44491</v>
      </c>
      <c r="Q6585" t="s">
        <v>346</v>
      </c>
      <c r="R6585" t="s">
        <v>329</v>
      </c>
      <c r="S6585" t="s">
        <v>323</v>
      </c>
      <c r="T6585">
        <v>22.8</v>
      </c>
      <c r="W6585" t="s">
        <v>339</v>
      </c>
      <c r="Y6585" s="42">
        <v>44495</v>
      </c>
    </row>
    <row r="6586" spans="14:25">
      <c r="N6586" s="42">
        <v>44480</v>
      </c>
      <c r="O6586" t="s">
        <v>345</v>
      </c>
      <c r="P6586" s="42">
        <v>44480</v>
      </c>
      <c r="Q6586" t="s">
        <v>345</v>
      </c>
      <c r="R6586" t="s">
        <v>320</v>
      </c>
      <c r="S6586" t="s">
        <v>323</v>
      </c>
      <c r="T6586">
        <v>7.6</v>
      </c>
      <c r="V6586">
        <v>0</v>
      </c>
      <c r="Y6586" s="42">
        <v>44481</v>
      </c>
    </row>
    <row r="6587" spans="14:25">
      <c r="N6587" s="42">
        <v>44466</v>
      </c>
      <c r="O6587" t="s">
        <v>345</v>
      </c>
      <c r="P6587" s="42">
        <v>44466</v>
      </c>
      <c r="Q6587" t="s">
        <v>345</v>
      </c>
      <c r="R6587" t="s">
        <v>347</v>
      </c>
      <c r="S6587" t="s">
        <v>323</v>
      </c>
      <c r="T6587">
        <v>2</v>
      </c>
      <c r="W6587" t="s">
        <v>339</v>
      </c>
      <c r="Y6587" s="42">
        <v>44467</v>
      </c>
    </row>
    <row r="6588" spans="14:25">
      <c r="N6588" s="42">
        <v>44463</v>
      </c>
      <c r="O6588" t="s">
        <v>346</v>
      </c>
      <c r="P6588" s="42">
        <v>44463</v>
      </c>
      <c r="Q6588" t="s">
        <v>346</v>
      </c>
      <c r="R6588" t="s">
        <v>320</v>
      </c>
      <c r="S6588" t="s">
        <v>323</v>
      </c>
      <c r="U6588">
        <v>7.6</v>
      </c>
      <c r="Y6588" s="42">
        <v>44467</v>
      </c>
    </row>
    <row r="6589" spans="14:25">
      <c r="N6589" s="42">
        <v>44453</v>
      </c>
      <c r="O6589" t="s">
        <v>333</v>
      </c>
      <c r="P6589" s="42">
        <v>44453</v>
      </c>
      <c r="Q6589" t="s">
        <v>333</v>
      </c>
      <c r="R6589" t="s">
        <v>347</v>
      </c>
      <c r="S6589" t="s">
        <v>323</v>
      </c>
      <c r="T6589">
        <v>2</v>
      </c>
      <c r="W6589" t="s">
        <v>339</v>
      </c>
      <c r="Y6589" s="42">
        <v>44453</v>
      </c>
    </row>
    <row r="6590" spans="14:25">
      <c r="N6590" s="42">
        <v>44449</v>
      </c>
      <c r="O6590" t="s">
        <v>346</v>
      </c>
      <c r="P6590" s="42">
        <v>44449</v>
      </c>
      <c r="Q6590" t="s">
        <v>346</v>
      </c>
      <c r="R6590" t="s">
        <v>347</v>
      </c>
      <c r="S6590" t="s">
        <v>323</v>
      </c>
      <c r="T6590">
        <v>2.5</v>
      </c>
      <c r="W6590" t="s">
        <v>339</v>
      </c>
      <c r="Y6590" s="42">
        <v>44453</v>
      </c>
    </row>
    <row r="6591" spans="14:25">
      <c r="N6591" s="42">
        <v>44427</v>
      </c>
      <c r="O6591" t="s">
        <v>324</v>
      </c>
      <c r="P6591" s="42">
        <v>44428</v>
      </c>
      <c r="Q6591" t="s">
        <v>346</v>
      </c>
      <c r="R6591" t="s">
        <v>320</v>
      </c>
      <c r="S6591" t="s">
        <v>323</v>
      </c>
      <c r="T6591">
        <v>15.2</v>
      </c>
      <c r="V6591">
        <v>0</v>
      </c>
      <c r="Y6591" s="42">
        <v>44439</v>
      </c>
    </row>
    <row r="6592" spans="14:25">
      <c r="N6592" s="42">
        <v>44389</v>
      </c>
      <c r="O6592" t="s">
        <v>345</v>
      </c>
      <c r="P6592" s="42">
        <v>44389</v>
      </c>
      <c r="Q6592" t="s">
        <v>345</v>
      </c>
      <c r="R6592" t="s">
        <v>329</v>
      </c>
      <c r="S6592" t="s">
        <v>323</v>
      </c>
      <c r="T6592">
        <v>2.6</v>
      </c>
      <c r="W6592" t="s">
        <v>339</v>
      </c>
      <c r="Y6592" s="42">
        <v>44397</v>
      </c>
    </row>
    <row r="6593" spans="14:25">
      <c r="N6593" s="42">
        <v>44361</v>
      </c>
      <c r="O6593" t="s">
        <v>345</v>
      </c>
      <c r="P6593" s="42">
        <v>44361</v>
      </c>
      <c r="Q6593" t="s">
        <v>345</v>
      </c>
      <c r="R6593" t="s">
        <v>320</v>
      </c>
      <c r="S6593" t="s">
        <v>323</v>
      </c>
      <c r="U6593">
        <v>7.6</v>
      </c>
      <c r="Y6593" s="42">
        <v>44369</v>
      </c>
    </row>
    <row r="6594" spans="14:25">
      <c r="N6594" s="42">
        <v>44358</v>
      </c>
      <c r="O6594" t="s">
        <v>346</v>
      </c>
      <c r="P6594" s="42">
        <v>44358</v>
      </c>
      <c r="Q6594" t="s">
        <v>346</v>
      </c>
      <c r="R6594" t="s">
        <v>320</v>
      </c>
      <c r="S6594" t="s">
        <v>323</v>
      </c>
      <c r="T6594">
        <v>7.6</v>
      </c>
      <c r="V6594">
        <v>0</v>
      </c>
      <c r="Y6594" s="42">
        <v>44369</v>
      </c>
    </row>
    <row r="6595" spans="14:25">
      <c r="N6595" s="42">
        <v>44357</v>
      </c>
      <c r="O6595" t="s">
        <v>324</v>
      </c>
      <c r="P6595" s="42">
        <v>44357</v>
      </c>
      <c r="Q6595" t="s">
        <v>324</v>
      </c>
      <c r="R6595" t="s">
        <v>329</v>
      </c>
      <c r="S6595" t="s">
        <v>323</v>
      </c>
      <c r="T6595">
        <v>7.6</v>
      </c>
      <c r="W6595" t="s">
        <v>339</v>
      </c>
      <c r="Y6595" s="42">
        <v>44369</v>
      </c>
    </row>
    <row r="6596" spans="14:25">
      <c r="N6596" s="42">
        <v>44343</v>
      </c>
      <c r="O6596" t="s">
        <v>324</v>
      </c>
      <c r="P6596" s="42">
        <v>44344</v>
      </c>
      <c r="Q6596" t="s">
        <v>346</v>
      </c>
      <c r="R6596" t="s">
        <v>334</v>
      </c>
      <c r="S6596" t="s">
        <v>323</v>
      </c>
      <c r="T6596">
        <v>15.2</v>
      </c>
      <c r="W6596" t="s">
        <v>339</v>
      </c>
      <c r="Y6596" s="42">
        <v>44355</v>
      </c>
    </row>
    <row r="6597" spans="14:25">
      <c r="N6597" s="42">
        <v>44330</v>
      </c>
      <c r="O6597" t="s">
        <v>346</v>
      </c>
      <c r="P6597" s="42">
        <v>44330</v>
      </c>
      <c r="Q6597" t="s">
        <v>346</v>
      </c>
      <c r="R6597" t="s">
        <v>329</v>
      </c>
      <c r="S6597" t="s">
        <v>323</v>
      </c>
      <c r="T6597">
        <v>3.6</v>
      </c>
      <c r="W6597" t="s">
        <v>339</v>
      </c>
      <c r="Y6597" s="42">
        <v>44341</v>
      </c>
    </row>
    <row r="6598" spans="14:25">
      <c r="N6598" s="42">
        <v>44329</v>
      </c>
      <c r="O6598" t="s">
        <v>324</v>
      </c>
      <c r="P6598" s="42">
        <v>44329</v>
      </c>
      <c r="Q6598" t="s">
        <v>324</v>
      </c>
      <c r="R6598" t="s">
        <v>329</v>
      </c>
      <c r="S6598" t="s">
        <v>323</v>
      </c>
      <c r="T6598">
        <v>7.6</v>
      </c>
      <c r="W6598" t="s">
        <v>339</v>
      </c>
      <c r="Y6598" s="42">
        <v>44341</v>
      </c>
    </row>
    <row r="6599" spans="14:25">
      <c r="N6599" s="42">
        <v>44292</v>
      </c>
      <c r="O6599" t="s">
        <v>333</v>
      </c>
      <c r="P6599" s="42">
        <v>44295</v>
      </c>
      <c r="Q6599" t="s">
        <v>346</v>
      </c>
      <c r="R6599" t="s">
        <v>320</v>
      </c>
      <c r="S6599" t="s">
        <v>323</v>
      </c>
      <c r="T6599">
        <v>30.4</v>
      </c>
      <c r="V6599">
        <v>0</v>
      </c>
      <c r="Y6599" s="42">
        <v>44299</v>
      </c>
    </row>
    <row r="6600" spans="14:25">
      <c r="N6600" s="42">
        <v>44291</v>
      </c>
      <c r="O6600" t="s">
        <v>345</v>
      </c>
      <c r="P6600" s="42">
        <v>44291</v>
      </c>
      <c r="Q6600" t="s">
        <v>345</v>
      </c>
      <c r="R6600" t="s">
        <v>320</v>
      </c>
      <c r="S6600" t="s">
        <v>323</v>
      </c>
      <c r="U6600">
        <v>7.6</v>
      </c>
      <c r="Y6600" s="42">
        <v>44299</v>
      </c>
    </row>
    <row r="6601" spans="14:25">
      <c r="N6601" s="42">
        <v>44288</v>
      </c>
      <c r="O6601" t="s">
        <v>346</v>
      </c>
      <c r="P6601" s="42">
        <v>44288</v>
      </c>
      <c r="Q6601" t="s">
        <v>346</v>
      </c>
      <c r="R6601" t="s">
        <v>320</v>
      </c>
      <c r="S6601" t="s">
        <v>323</v>
      </c>
      <c r="U6601">
        <v>7.6</v>
      </c>
      <c r="Y6601" s="42">
        <v>44299</v>
      </c>
    </row>
    <row r="6602" spans="14:25">
      <c r="N6602" s="42">
        <v>44284</v>
      </c>
      <c r="O6602" t="s">
        <v>345</v>
      </c>
      <c r="P6602" s="42">
        <v>44284</v>
      </c>
      <c r="Q6602" t="s">
        <v>345</v>
      </c>
      <c r="R6602" t="s">
        <v>329</v>
      </c>
      <c r="S6602" t="s">
        <v>323</v>
      </c>
      <c r="T6602">
        <v>7.6</v>
      </c>
      <c r="W6602" t="s">
        <v>330</v>
      </c>
      <c r="Y6602" s="42">
        <v>44285</v>
      </c>
    </row>
    <row r="6603" spans="14:25">
      <c r="N6603" s="42">
        <v>44263</v>
      </c>
      <c r="O6603" t="s">
        <v>345</v>
      </c>
      <c r="P6603" s="42">
        <v>44263</v>
      </c>
      <c r="Q6603" t="s">
        <v>345</v>
      </c>
      <c r="R6603" t="s">
        <v>320</v>
      </c>
      <c r="S6603" t="s">
        <v>323</v>
      </c>
      <c r="U6603">
        <v>7.6</v>
      </c>
      <c r="Y6603" s="42">
        <v>44271</v>
      </c>
    </row>
    <row r="6604" spans="14:25">
      <c r="N6604" s="42">
        <v>44222</v>
      </c>
      <c r="O6604" t="s">
        <v>333</v>
      </c>
      <c r="P6604" s="42">
        <v>44222</v>
      </c>
      <c r="Q6604" t="s">
        <v>333</v>
      </c>
      <c r="R6604" t="s">
        <v>320</v>
      </c>
      <c r="S6604" t="s">
        <v>323</v>
      </c>
      <c r="U6604">
        <v>7.6</v>
      </c>
      <c r="Y6604" s="42">
        <v>44229</v>
      </c>
    </row>
    <row r="6605" spans="14:25">
      <c r="N6605" s="42">
        <v>44202</v>
      </c>
      <c r="O6605" t="s">
        <v>328</v>
      </c>
      <c r="P6605" s="42">
        <v>44211</v>
      </c>
      <c r="Q6605" t="s">
        <v>346</v>
      </c>
      <c r="R6605" t="s">
        <v>320</v>
      </c>
      <c r="S6605" t="s">
        <v>323</v>
      </c>
      <c r="T6605">
        <v>60.8</v>
      </c>
      <c r="U6605">
        <v>0</v>
      </c>
      <c r="V6605">
        <v>0</v>
      </c>
      <c r="Y6605" s="42">
        <v>44215</v>
      </c>
    </row>
    <row r="6606" spans="14:25">
      <c r="N6606" s="42">
        <v>44200</v>
      </c>
      <c r="O6606" t="s">
        <v>345</v>
      </c>
      <c r="P6606" s="42">
        <v>44201</v>
      </c>
      <c r="Q6606" t="s">
        <v>333</v>
      </c>
      <c r="R6606" t="s">
        <v>320</v>
      </c>
      <c r="S6606" t="s">
        <v>323</v>
      </c>
      <c r="T6606">
        <v>15.2</v>
      </c>
      <c r="U6606">
        <v>0</v>
      </c>
      <c r="V6606">
        <v>0</v>
      </c>
      <c r="Y6606" s="42">
        <v>44201</v>
      </c>
    </row>
    <row r="6607" spans="14:25">
      <c r="N6607" s="42">
        <v>44197</v>
      </c>
      <c r="O6607" t="s">
        <v>346</v>
      </c>
      <c r="P6607" s="42">
        <v>44197</v>
      </c>
      <c r="Q6607" t="s">
        <v>346</v>
      </c>
      <c r="R6607" t="s">
        <v>320</v>
      </c>
      <c r="S6607" t="s">
        <v>323</v>
      </c>
      <c r="U6607">
        <v>7.6</v>
      </c>
      <c r="Y6607" s="42">
        <v>44201</v>
      </c>
    </row>
    <row r="6608" spans="14:25">
      <c r="N6608" s="42">
        <v>44193</v>
      </c>
      <c r="O6608" t="s">
        <v>345</v>
      </c>
      <c r="P6608" s="42">
        <v>44193</v>
      </c>
      <c r="Q6608" t="s">
        <v>345</v>
      </c>
      <c r="R6608" t="s">
        <v>320</v>
      </c>
      <c r="S6608" t="s">
        <v>323</v>
      </c>
      <c r="U6608">
        <v>7.6</v>
      </c>
      <c r="Y6608" s="42">
        <v>44201</v>
      </c>
    </row>
    <row r="6609" spans="14:25">
      <c r="N6609" s="42">
        <v>44190</v>
      </c>
      <c r="O6609" t="s">
        <v>346</v>
      </c>
      <c r="P6609" s="42">
        <v>44190</v>
      </c>
      <c r="Q6609" t="s">
        <v>346</v>
      </c>
      <c r="R6609" t="s">
        <v>320</v>
      </c>
      <c r="S6609" t="s">
        <v>323</v>
      </c>
      <c r="U6609">
        <v>7.6</v>
      </c>
      <c r="Y6609" s="42">
        <v>44201</v>
      </c>
    </row>
    <row r="6610" spans="14:25">
      <c r="N6610" s="42">
        <v>44152</v>
      </c>
      <c r="O6610" t="s">
        <v>333</v>
      </c>
      <c r="P6610" s="42">
        <v>44152</v>
      </c>
      <c r="Q6610" t="s">
        <v>333</v>
      </c>
      <c r="R6610" t="s">
        <v>329</v>
      </c>
      <c r="S6610" t="s">
        <v>323</v>
      </c>
      <c r="T6610">
        <v>5.6</v>
      </c>
      <c r="W6610" t="s">
        <v>339</v>
      </c>
      <c r="Y6610" s="42">
        <v>44159</v>
      </c>
    </row>
    <row r="6611" spans="14:25">
      <c r="N6611" s="42">
        <v>44138</v>
      </c>
      <c r="O6611" t="s">
        <v>333</v>
      </c>
      <c r="P6611" s="42">
        <v>44138</v>
      </c>
      <c r="Q6611" t="s">
        <v>333</v>
      </c>
      <c r="R6611" t="s">
        <v>320</v>
      </c>
      <c r="S6611" t="s">
        <v>323</v>
      </c>
      <c r="U6611">
        <v>7.6</v>
      </c>
      <c r="Y6611" s="42">
        <v>44145</v>
      </c>
    </row>
    <row r="6612" spans="14:25">
      <c r="N6612" s="42">
        <v>44137</v>
      </c>
      <c r="O6612" t="s">
        <v>345</v>
      </c>
      <c r="P6612" s="42">
        <v>44137</v>
      </c>
      <c r="Q6612" t="s">
        <v>345</v>
      </c>
      <c r="R6612" t="s">
        <v>320</v>
      </c>
      <c r="S6612" t="s">
        <v>323</v>
      </c>
      <c r="T6612">
        <v>7.6</v>
      </c>
      <c r="V6612">
        <v>0</v>
      </c>
      <c r="Y6612" s="42">
        <v>44145</v>
      </c>
    </row>
    <row r="6613" spans="14:25">
      <c r="N6613" s="42">
        <v>44127</v>
      </c>
      <c r="O6613" t="s">
        <v>346</v>
      </c>
      <c r="P6613" s="42">
        <v>44127</v>
      </c>
      <c r="Q6613" t="s">
        <v>346</v>
      </c>
      <c r="R6613" t="s">
        <v>320</v>
      </c>
      <c r="S6613" t="s">
        <v>323</v>
      </c>
      <c r="U6613">
        <v>7.6</v>
      </c>
      <c r="Y6613" s="42">
        <v>44131</v>
      </c>
    </row>
    <row r="6614" spans="14:25">
      <c r="N6614" s="42">
        <v>44096</v>
      </c>
      <c r="O6614" t="s">
        <v>333</v>
      </c>
      <c r="P6614" s="42">
        <v>44097</v>
      </c>
      <c r="Q6614" t="s">
        <v>328</v>
      </c>
      <c r="R6614" t="s">
        <v>320</v>
      </c>
      <c r="S6614" t="s">
        <v>323</v>
      </c>
      <c r="T6614">
        <v>15.2</v>
      </c>
      <c r="V6614">
        <v>0</v>
      </c>
      <c r="Y6614" s="42">
        <v>44103</v>
      </c>
    </row>
    <row r="6615" spans="14:25">
      <c r="N6615" s="42">
        <v>44067</v>
      </c>
      <c r="O6615" t="s">
        <v>345</v>
      </c>
      <c r="P6615" s="42">
        <v>44068</v>
      </c>
      <c r="Q6615" t="s">
        <v>333</v>
      </c>
      <c r="R6615" t="s">
        <v>320</v>
      </c>
      <c r="S6615" t="s">
        <v>323</v>
      </c>
      <c r="T6615">
        <v>15.2</v>
      </c>
      <c r="V6615">
        <v>0</v>
      </c>
      <c r="Y6615" s="42">
        <v>44075</v>
      </c>
    </row>
    <row r="6616" spans="14:25">
      <c r="N6616" s="42">
        <v>43991</v>
      </c>
      <c r="O6616" t="s">
        <v>333</v>
      </c>
      <c r="P6616" s="42">
        <v>43991</v>
      </c>
      <c r="Q6616" t="s">
        <v>333</v>
      </c>
      <c r="R6616" t="s">
        <v>320</v>
      </c>
      <c r="S6616" t="s">
        <v>323</v>
      </c>
      <c r="T6616">
        <v>7.6</v>
      </c>
      <c r="V6616">
        <v>0</v>
      </c>
      <c r="Y6616" s="42">
        <v>43991</v>
      </c>
    </row>
    <row r="6617" spans="14:25">
      <c r="N6617" s="42">
        <v>43972</v>
      </c>
      <c r="O6617" t="s">
        <v>324</v>
      </c>
      <c r="P6617" s="42">
        <v>43972</v>
      </c>
      <c r="Q6617" t="s">
        <v>324</v>
      </c>
      <c r="R6617" t="s">
        <v>320</v>
      </c>
      <c r="S6617" t="s">
        <v>323</v>
      </c>
      <c r="T6617">
        <v>7.6</v>
      </c>
      <c r="V6617">
        <v>0</v>
      </c>
      <c r="Y6617" s="42">
        <v>43977</v>
      </c>
    </row>
    <row r="6618" spans="14:25">
      <c r="N6618" s="42">
        <v>43847</v>
      </c>
      <c r="O6618" t="s">
        <v>346</v>
      </c>
      <c r="P6618" s="42">
        <v>43847</v>
      </c>
      <c r="Q6618" t="s">
        <v>346</v>
      </c>
      <c r="R6618" t="s">
        <v>320</v>
      </c>
      <c r="S6618" t="s">
        <v>323</v>
      </c>
      <c r="T6618">
        <v>7.6</v>
      </c>
      <c r="Y6618" s="42">
        <v>43851</v>
      </c>
    </row>
    <row r="6619" spans="14:25">
      <c r="N6619" s="42">
        <v>43846</v>
      </c>
      <c r="O6619" t="s">
        <v>324</v>
      </c>
      <c r="P6619" s="42">
        <v>43846</v>
      </c>
      <c r="Q6619" t="s">
        <v>324</v>
      </c>
      <c r="R6619" t="s">
        <v>320</v>
      </c>
      <c r="S6619" t="s">
        <v>323</v>
      </c>
      <c r="T6619">
        <v>7.6</v>
      </c>
      <c r="Y6619" s="42">
        <v>43851</v>
      </c>
    </row>
    <row r="6620" spans="14:25">
      <c r="N6620" s="42">
        <v>43845</v>
      </c>
      <c r="O6620" t="s">
        <v>328</v>
      </c>
      <c r="P6620" s="42">
        <v>43845</v>
      </c>
      <c r="Q6620" t="s">
        <v>328</v>
      </c>
      <c r="R6620" t="s">
        <v>320</v>
      </c>
      <c r="S6620" t="s">
        <v>323</v>
      </c>
      <c r="T6620">
        <v>7.6</v>
      </c>
      <c r="Y6620" s="42">
        <v>43851</v>
      </c>
    </row>
    <row r="6621" spans="14:25">
      <c r="N6621" s="42">
        <v>43844</v>
      </c>
      <c r="O6621" t="s">
        <v>333</v>
      </c>
      <c r="P6621" s="42">
        <v>43844</v>
      </c>
      <c r="Q6621" t="s">
        <v>333</v>
      </c>
      <c r="R6621" t="s">
        <v>320</v>
      </c>
      <c r="S6621" t="s">
        <v>323</v>
      </c>
      <c r="T6621">
        <v>7.6</v>
      </c>
      <c r="Y6621" s="42">
        <v>43851</v>
      </c>
    </row>
    <row r="6622" spans="14:25">
      <c r="N6622" s="42">
        <v>43836</v>
      </c>
      <c r="O6622" t="s">
        <v>345</v>
      </c>
      <c r="P6622" s="42">
        <v>43836</v>
      </c>
      <c r="Q6622" t="s">
        <v>345</v>
      </c>
      <c r="R6622" t="s">
        <v>329</v>
      </c>
      <c r="S6622" t="s">
        <v>323</v>
      </c>
      <c r="T6622">
        <v>7.6</v>
      </c>
      <c r="W6622" t="s">
        <v>330</v>
      </c>
      <c r="Y6622" s="42">
        <v>43837</v>
      </c>
    </row>
    <row r="6623" spans="14:25">
      <c r="N6623" s="42">
        <v>43826</v>
      </c>
      <c r="O6623" t="s">
        <v>346</v>
      </c>
      <c r="P6623" s="42">
        <v>43826</v>
      </c>
      <c r="Q6623" t="s">
        <v>346</v>
      </c>
      <c r="R6623" t="s">
        <v>320</v>
      </c>
      <c r="S6623" t="s">
        <v>323</v>
      </c>
      <c r="T6623">
        <v>7.6</v>
      </c>
      <c r="Y6623" s="42">
        <v>43837</v>
      </c>
    </row>
    <row r="6624" spans="14:25">
      <c r="N6624" s="42">
        <v>43822</v>
      </c>
      <c r="O6624" t="s">
        <v>345</v>
      </c>
      <c r="P6624" s="42">
        <v>43823</v>
      </c>
      <c r="Q6624" t="s">
        <v>333</v>
      </c>
      <c r="R6624" t="s">
        <v>320</v>
      </c>
      <c r="S6624" t="s">
        <v>323</v>
      </c>
      <c r="T6624">
        <v>15.2</v>
      </c>
      <c r="Y6624" s="42">
        <v>43823</v>
      </c>
    </row>
    <row r="6625" spans="1:25">
      <c r="N6625" s="42">
        <v>43819</v>
      </c>
      <c r="O6625" t="s">
        <v>346</v>
      </c>
      <c r="P6625" s="42">
        <v>43819</v>
      </c>
      <c r="Q6625" t="s">
        <v>346</v>
      </c>
      <c r="R6625" t="s">
        <v>329</v>
      </c>
      <c r="S6625" t="s">
        <v>323</v>
      </c>
      <c r="T6625">
        <v>7.6</v>
      </c>
      <c r="W6625" t="s">
        <v>330</v>
      </c>
      <c r="Y6625" s="42">
        <v>43823</v>
      </c>
    </row>
    <row r="6626" spans="1:25">
      <c r="N6626" s="42">
        <v>43802</v>
      </c>
      <c r="O6626" t="s">
        <v>333</v>
      </c>
      <c r="P6626" s="42">
        <v>43802</v>
      </c>
      <c r="Q6626" t="s">
        <v>333</v>
      </c>
      <c r="R6626" t="s">
        <v>329</v>
      </c>
      <c r="S6626" t="s">
        <v>323</v>
      </c>
      <c r="T6626">
        <v>6</v>
      </c>
      <c r="W6626" t="s">
        <v>330</v>
      </c>
      <c r="Y6626" s="42">
        <v>43809</v>
      </c>
    </row>
    <row r="6627" spans="1:25">
      <c r="N6627" s="42">
        <v>43798</v>
      </c>
      <c r="O6627" t="s">
        <v>346</v>
      </c>
      <c r="P6627" s="42">
        <v>43798</v>
      </c>
      <c r="Q6627" t="s">
        <v>346</v>
      </c>
      <c r="R6627" t="s">
        <v>320</v>
      </c>
      <c r="S6627" t="s">
        <v>323</v>
      </c>
      <c r="T6627">
        <v>7.6</v>
      </c>
      <c r="Y6627" s="42">
        <v>43809</v>
      </c>
    </row>
    <row r="6628" spans="1:25">
      <c r="N6628" s="42">
        <v>43767</v>
      </c>
      <c r="O6628" t="s">
        <v>333</v>
      </c>
      <c r="P6628" s="42">
        <v>43767</v>
      </c>
      <c r="Q6628" t="s">
        <v>333</v>
      </c>
      <c r="R6628" t="s">
        <v>329</v>
      </c>
      <c r="S6628" t="s">
        <v>323</v>
      </c>
      <c r="T6628">
        <v>7.6</v>
      </c>
      <c r="W6628" t="s">
        <v>330</v>
      </c>
      <c r="Y6628" s="42">
        <v>43767</v>
      </c>
    </row>
    <row r="6629" spans="1:25">
      <c r="N6629" s="42">
        <v>43696</v>
      </c>
      <c r="O6629" t="s">
        <v>345</v>
      </c>
      <c r="P6629" s="42">
        <v>43696</v>
      </c>
      <c r="Q6629" t="s">
        <v>345</v>
      </c>
      <c r="R6629" t="s">
        <v>329</v>
      </c>
      <c r="S6629" t="s">
        <v>323</v>
      </c>
      <c r="T6629">
        <v>7.6</v>
      </c>
      <c r="W6629" t="s">
        <v>330</v>
      </c>
      <c r="Y6629" s="42">
        <v>43697</v>
      </c>
    </row>
    <row r="6630" spans="1:25">
      <c r="N6630" s="42">
        <v>43686</v>
      </c>
      <c r="O6630" t="s">
        <v>346</v>
      </c>
      <c r="P6630" s="42">
        <v>43686</v>
      </c>
      <c r="Q6630" t="s">
        <v>346</v>
      </c>
      <c r="R6630" t="s">
        <v>329</v>
      </c>
      <c r="S6630" t="s">
        <v>323</v>
      </c>
      <c r="T6630">
        <v>7.6</v>
      </c>
      <c r="W6630" t="s">
        <v>330</v>
      </c>
      <c r="Y6630" s="42">
        <v>43697</v>
      </c>
    </row>
    <row r="6631" spans="1:25">
      <c r="N6631" s="42">
        <v>43685</v>
      </c>
      <c r="O6631" t="s">
        <v>324</v>
      </c>
      <c r="P6631" s="42">
        <v>43685</v>
      </c>
      <c r="Q6631" t="s">
        <v>324</v>
      </c>
      <c r="R6631" t="s">
        <v>329</v>
      </c>
      <c r="S6631" t="s">
        <v>323</v>
      </c>
      <c r="T6631">
        <v>7.6</v>
      </c>
      <c r="W6631" t="s">
        <v>330</v>
      </c>
      <c r="Y6631" s="42">
        <v>43697</v>
      </c>
    </row>
    <row r="6632" spans="1:25">
      <c r="A6632">
        <v>18850</v>
      </c>
      <c r="B6632" t="s">
        <v>421</v>
      </c>
      <c r="C6632" t="s">
        <v>320</v>
      </c>
      <c r="D6632" t="s">
        <v>336</v>
      </c>
      <c r="E6632" t="s">
        <v>337</v>
      </c>
      <c r="F6632">
        <v>1</v>
      </c>
      <c r="G6632" s="42">
        <v>45293</v>
      </c>
      <c r="H6632">
        <v>152</v>
      </c>
      <c r="I6632">
        <v>69.333200000000005</v>
      </c>
      <c r="J6632">
        <v>25.402699999999999</v>
      </c>
      <c r="K6632">
        <v>94.735900000000001</v>
      </c>
      <c r="L6632" t="s">
        <v>323</v>
      </c>
      <c r="M6632" s="43">
        <v>0.16805555555555554</v>
      </c>
      <c r="N6632" s="42">
        <v>44952</v>
      </c>
      <c r="O6632" t="s">
        <v>324</v>
      </c>
      <c r="P6632" s="42">
        <v>44952</v>
      </c>
      <c r="Q6632" t="s">
        <v>324</v>
      </c>
      <c r="R6632" t="s">
        <v>320</v>
      </c>
      <c r="S6632" t="s">
        <v>323</v>
      </c>
      <c r="U6632">
        <v>7.6</v>
      </c>
    </row>
    <row r="6633" spans="1:25">
      <c r="C6633" t="s">
        <v>325</v>
      </c>
      <c r="D6633" t="s">
        <v>395</v>
      </c>
      <c r="E6633" t="s">
        <v>396</v>
      </c>
      <c r="F6633">
        <v>1</v>
      </c>
      <c r="G6633" s="42">
        <v>47120</v>
      </c>
      <c r="H6633">
        <v>336.59059999999999</v>
      </c>
      <c r="I6633">
        <v>0</v>
      </c>
      <c r="J6633">
        <v>144.47200000000001</v>
      </c>
      <c r="K6633">
        <v>144.47200000000001</v>
      </c>
      <c r="L6633" t="s">
        <v>323</v>
      </c>
      <c r="N6633" s="42">
        <v>44926</v>
      </c>
      <c r="O6633" t="s">
        <v>359</v>
      </c>
      <c r="P6633" s="42">
        <v>44926</v>
      </c>
      <c r="Q6633" t="s">
        <v>359</v>
      </c>
      <c r="R6633" t="s">
        <v>320</v>
      </c>
      <c r="S6633" t="s">
        <v>323</v>
      </c>
      <c r="T6633">
        <v>7.6</v>
      </c>
      <c r="Y6633" s="42">
        <v>44929</v>
      </c>
    </row>
    <row r="6634" spans="1:25">
      <c r="C6634" t="s">
        <v>329</v>
      </c>
      <c r="D6634" t="s">
        <v>342</v>
      </c>
      <c r="E6634" t="s">
        <v>343</v>
      </c>
      <c r="F6634">
        <v>1</v>
      </c>
      <c r="G6634" s="42">
        <v>45293</v>
      </c>
      <c r="H6634">
        <v>76</v>
      </c>
      <c r="I6634">
        <v>175.98990000000001</v>
      </c>
      <c r="J6634">
        <v>12.7014</v>
      </c>
      <c r="K6634">
        <v>188.69130000000001</v>
      </c>
      <c r="L6634" t="s">
        <v>323</v>
      </c>
      <c r="N6634" s="42">
        <v>44925</v>
      </c>
      <c r="O6634" t="s">
        <v>346</v>
      </c>
      <c r="P6634" s="42">
        <v>44925</v>
      </c>
      <c r="Q6634" t="s">
        <v>346</v>
      </c>
      <c r="R6634" t="s">
        <v>320</v>
      </c>
      <c r="S6634" t="s">
        <v>323</v>
      </c>
      <c r="T6634">
        <v>7.6</v>
      </c>
      <c r="Y6634" s="42">
        <v>44929</v>
      </c>
    </row>
    <row r="6635" spans="1:25">
      <c r="N6635" s="42">
        <v>44924</v>
      </c>
      <c r="O6635" t="s">
        <v>324</v>
      </c>
      <c r="P6635" s="42">
        <v>44924</v>
      </c>
      <c r="Q6635" t="s">
        <v>324</v>
      </c>
      <c r="R6635" t="s">
        <v>320</v>
      </c>
      <c r="S6635" t="s">
        <v>323</v>
      </c>
      <c r="T6635">
        <v>7.6</v>
      </c>
      <c r="Y6635" s="42">
        <v>44929</v>
      </c>
    </row>
    <row r="6636" spans="1:25">
      <c r="N6636" s="42">
        <v>44923</v>
      </c>
      <c r="O6636" t="s">
        <v>328</v>
      </c>
      <c r="P6636" s="42">
        <v>44923</v>
      </c>
      <c r="Q6636" t="s">
        <v>328</v>
      </c>
      <c r="R6636" t="s">
        <v>320</v>
      </c>
      <c r="S6636" t="s">
        <v>323</v>
      </c>
      <c r="T6636">
        <v>7.6</v>
      </c>
      <c r="Y6636" s="42">
        <v>44929</v>
      </c>
    </row>
    <row r="6637" spans="1:25">
      <c r="N6637" s="42">
        <v>44922</v>
      </c>
      <c r="O6637" t="s">
        <v>333</v>
      </c>
      <c r="P6637" s="42">
        <v>44922</v>
      </c>
      <c r="Q6637" t="s">
        <v>333</v>
      </c>
      <c r="R6637" t="s">
        <v>320</v>
      </c>
      <c r="S6637" t="s">
        <v>323</v>
      </c>
      <c r="T6637">
        <v>7.6</v>
      </c>
      <c r="Y6637" s="42">
        <v>44929</v>
      </c>
    </row>
    <row r="6638" spans="1:25">
      <c r="N6638" s="42">
        <v>44922</v>
      </c>
      <c r="O6638" t="s">
        <v>333</v>
      </c>
      <c r="P6638" s="42">
        <v>44922</v>
      </c>
      <c r="Q6638" t="s">
        <v>333</v>
      </c>
      <c r="R6638" t="s">
        <v>320</v>
      </c>
      <c r="S6638" t="s">
        <v>323</v>
      </c>
      <c r="U6638">
        <v>7.6</v>
      </c>
    </row>
    <row r="6639" spans="1:25">
      <c r="N6639" s="42">
        <v>44919</v>
      </c>
      <c r="O6639" t="s">
        <v>359</v>
      </c>
      <c r="P6639" s="42">
        <v>44919</v>
      </c>
      <c r="Q6639" t="s">
        <v>359</v>
      </c>
      <c r="R6639" t="s">
        <v>320</v>
      </c>
      <c r="S6639" t="s">
        <v>323</v>
      </c>
      <c r="T6639">
        <v>7.6</v>
      </c>
      <c r="Y6639" s="42">
        <v>44929</v>
      </c>
    </row>
    <row r="6640" spans="1:25">
      <c r="N6640" s="42">
        <v>44919</v>
      </c>
      <c r="O6640" t="s">
        <v>359</v>
      </c>
      <c r="P6640" s="42">
        <v>44919</v>
      </c>
      <c r="Q6640" t="s">
        <v>359</v>
      </c>
      <c r="R6640" t="s">
        <v>320</v>
      </c>
      <c r="S6640" t="s">
        <v>323</v>
      </c>
      <c r="U6640">
        <v>7.6</v>
      </c>
    </row>
    <row r="6641" spans="14:25">
      <c r="N6641" s="42">
        <v>44918</v>
      </c>
      <c r="O6641" t="s">
        <v>346</v>
      </c>
      <c r="P6641" s="42">
        <v>44918</v>
      </c>
      <c r="Q6641" t="s">
        <v>346</v>
      </c>
      <c r="R6641" t="s">
        <v>320</v>
      </c>
      <c r="S6641" t="s">
        <v>323</v>
      </c>
      <c r="T6641">
        <v>7.6</v>
      </c>
      <c r="Y6641" s="42">
        <v>44929</v>
      </c>
    </row>
    <row r="6642" spans="14:25">
      <c r="N6642" s="42">
        <v>44917</v>
      </c>
      <c r="O6642" t="s">
        <v>324</v>
      </c>
      <c r="P6642" s="42">
        <v>44917</v>
      </c>
      <c r="Q6642" t="s">
        <v>324</v>
      </c>
      <c r="R6642" t="s">
        <v>320</v>
      </c>
      <c r="S6642" t="s">
        <v>323</v>
      </c>
      <c r="T6642">
        <v>7.6</v>
      </c>
      <c r="Y6642" s="42">
        <v>44929</v>
      </c>
    </row>
    <row r="6643" spans="14:25">
      <c r="N6643" s="42">
        <v>44916</v>
      </c>
      <c r="O6643" t="s">
        <v>328</v>
      </c>
      <c r="P6643" s="42">
        <v>44916</v>
      </c>
      <c r="Q6643" t="s">
        <v>328</v>
      </c>
      <c r="R6643" t="s">
        <v>320</v>
      </c>
      <c r="S6643" t="s">
        <v>323</v>
      </c>
      <c r="T6643">
        <v>7.6</v>
      </c>
      <c r="Y6643" s="42">
        <v>44929</v>
      </c>
    </row>
    <row r="6644" spans="14:25">
      <c r="N6644" s="42">
        <v>44915</v>
      </c>
      <c r="O6644" t="s">
        <v>333</v>
      </c>
      <c r="P6644" s="42">
        <v>44915</v>
      </c>
      <c r="Q6644" t="s">
        <v>333</v>
      </c>
      <c r="R6644" t="s">
        <v>320</v>
      </c>
      <c r="S6644" t="s">
        <v>323</v>
      </c>
      <c r="T6644">
        <v>7.6</v>
      </c>
      <c r="Y6644" s="42">
        <v>44915</v>
      </c>
    </row>
    <row r="6645" spans="14:25">
      <c r="N6645" s="42">
        <v>44912</v>
      </c>
      <c r="O6645" t="s">
        <v>359</v>
      </c>
      <c r="P6645" s="42">
        <v>44912</v>
      </c>
      <c r="Q6645" t="s">
        <v>359</v>
      </c>
      <c r="R6645" t="s">
        <v>320</v>
      </c>
      <c r="S6645" t="s">
        <v>323</v>
      </c>
      <c r="T6645">
        <v>7.6</v>
      </c>
      <c r="Y6645" s="42">
        <v>44915</v>
      </c>
    </row>
    <row r="6646" spans="14:25">
      <c r="N6646" s="42">
        <v>44911</v>
      </c>
      <c r="O6646" t="s">
        <v>346</v>
      </c>
      <c r="P6646" s="42">
        <v>44911</v>
      </c>
      <c r="Q6646" t="s">
        <v>346</v>
      </c>
      <c r="R6646" t="s">
        <v>320</v>
      </c>
      <c r="S6646" t="s">
        <v>323</v>
      </c>
      <c r="T6646">
        <v>7.6</v>
      </c>
      <c r="Y6646" s="42">
        <v>44915</v>
      </c>
    </row>
    <row r="6647" spans="14:25">
      <c r="N6647" s="42">
        <v>44910</v>
      </c>
      <c r="O6647" t="s">
        <v>324</v>
      </c>
      <c r="P6647" s="42">
        <v>44910</v>
      </c>
      <c r="Q6647" t="s">
        <v>324</v>
      </c>
      <c r="R6647" t="s">
        <v>320</v>
      </c>
      <c r="S6647" t="s">
        <v>323</v>
      </c>
      <c r="T6647">
        <v>7.6</v>
      </c>
      <c r="Y6647" s="42">
        <v>44915</v>
      </c>
    </row>
    <row r="6648" spans="14:25">
      <c r="N6648" s="42">
        <v>44909</v>
      </c>
      <c r="O6648" t="s">
        <v>328</v>
      </c>
      <c r="P6648" s="42">
        <v>44909</v>
      </c>
      <c r="Q6648" t="s">
        <v>328</v>
      </c>
      <c r="R6648" t="s">
        <v>320</v>
      </c>
      <c r="S6648" t="s">
        <v>323</v>
      </c>
      <c r="T6648">
        <v>7.6</v>
      </c>
      <c r="Y6648" s="42">
        <v>44915</v>
      </c>
    </row>
    <row r="6649" spans="14:25">
      <c r="N6649" s="42">
        <v>44908</v>
      </c>
      <c r="O6649" t="s">
        <v>333</v>
      </c>
      <c r="P6649" s="42">
        <v>44908</v>
      </c>
      <c r="Q6649" t="s">
        <v>333</v>
      </c>
      <c r="R6649" t="s">
        <v>320</v>
      </c>
      <c r="S6649" t="s">
        <v>323</v>
      </c>
      <c r="T6649">
        <v>7.6</v>
      </c>
      <c r="Y6649" s="42">
        <v>44915</v>
      </c>
    </row>
    <row r="6650" spans="14:25">
      <c r="N6650" s="42">
        <v>44873</v>
      </c>
      <c r="O6650" t="s">
        <v>333</v>
      </c>
      <c r="P6650" s="42">
        <v>44873</v>
      </c>
      <c r="Q6650" t="s">
        <v>333</v>
      </c>
      <c r="R6650" t="s">
        <v>383</v>
      </c>
      <c r="S6650" t="s">
        <v>323</v>
      </c>
      <c r="T6650">
        <v>114</v>
      </c>
      <c r="W6650" t="s">
        <v>339</v>
      </c>
      <c r="Y6650" s="42">
        <v>44873</v>
      </c>
    </row>
    <row r="6651" spans="14:25">
      <c r="N6651" s="42">
        <v>44826</v>
      </c>
      <c r="O6651" t="s">
        <v>324</v>
      </c>
      <c r="P6651" s="42">
        <v>44826</v>
      </c>
      <c r="Q6651" t="s">
        <v>324</v>
      </c>
      <c r="R6651" t="s">
        <v>320</v>
      </c>
      <c r="S6651" t="s">
        <v>323</v>
      </c>
      <c r="U6651">
        <v>7.6</v>
      </c>
    </row>
    <row r="6652" spans="14:25">
      <c r="N6652" s="42">
        <v>44790</v>
      </c>
      <c r="O6652" t="s">
        <v>328</v>
      </c>
      <c r="P6652" s="42">
        <v>44790</v>
      </c>
      <c r="Q6652" t="s">
        <v>328</v>
      </c>
      <c r="R6652" t="s">
        <v>320</v>
      </c>
      <c r="S6652" t="s">
        <v>323</v>
      </c>
      <c r="T6652">
        <v>7.6</v>
      </c>
      <c r="Y6652" s="42">
        <v>44803</v>
      </c>
    </row>
    <row r="6653" spans="14:25">
      <c r="N6653" s="42">
        <v>44789</v>
      </c>
      <c r="O6653" t="s">
        <v>333</v>
      </c>
      <c r="P6653" s="42">
        <v>44789</v>
      </c>
      <c r="Q6653" t="s">
        <v>333</v>
      </c>
      <c r="R6653" t="s">
        <v>320</v>
      </c>
      <c r="S6653" t="s">
        <v>323</v>
      </c>
      <c r="T6653">
        <v>7.6</v>
      </c>
      <c r="Y6653" s="42">
        <v>44789</v>
      </c>
    </row>
    <row r="6654" spans="14:25">
      <c r="N6654" s="42">
        <v>44674</v>
      </c>
      <c r="O6654" t="s">
        <v>359</v>
      </c>
      <c r="P6654" s="42">
        <v>44674</v>
      </c>
      <c r="Q6654" t="s">
        <v>359</v>
      </c>
      <c r="R6654" t="s">
        <v>329</v>
      </c>
      <c r="S6654" t="s">
        <v>323</v>
      </c>
      <c r="T6654">
        <v>7.6</v>
      </c>
      <c r="W6654" t="s">
        <v>330</v>
      </c>
      <c r="Y6654" s="42">
        <v>44677</v>
      </c>
    </row>
    <row r="6655" spans="14:25">
      <c r="N6655" s="42">
        <v>44673</v>
      </c>
      <c r="O6655" t="s">
        <v>346</v>
      </c>
      <c r="P6655" s="42">
        <v>44673</v>
      </c>
      <c r="Q6655" t="s">
        <v>346</v>
      </c>
      <c r="R6655" t="s">
        <v>329</v>
      </c>
      <c r="S6655" t="s">
        <v>323</v>
      </c>
      <c r="T6655">
        <v>7.6</v>
      </c>
      <c r="W6655" t="s">
        <v>330</v>
      </c>
      <c r="Y6655" s="42">
        <v>44677</v>
      </c>
    </row>
    <row r="6656" spans="14:25">
      <c r="N6656" s="42">
        <v>44672</v>
      </c>
      <c r="O6656" t="s">
        <v>324</v>
      </c>
      <c r="P6656" s="42">
        <v>44672</v>
      </c>
      <c r="Q6656" t="s">
        <v>324</v>
      </c>
      <c r="R6656" t="s">
        <v>329</v>
      </c>
      <c r="S6656" t="s">
        <v>323</v>
      </c>
      <c r="T6656">
        <v>7.6</v>
      </c>
      <c r="W6656" t="s">
        <v>330</v>
      </c>
      <c r="Y6656" s="42">
        <v>44677</v>
      </c>
    </row>
    <row r="6657" spans="14:25">
      <c r="N6657" s="42">
        <v>44671</v>
      </c>
      <c r="O6657" t="s">
        <v>328</v>
      </c>
      <c r="P6657" s="42">
        <v>44671</v>
      </c>
      <c r="Q6657" t="s">
        <v>328</v>
      </c>
      <c r="R6657" t="s">
        <v>329</v>
      </c>
      <c r="S6657" t="s">
        <v>323</v>
      </c>
      <c r="T6657">
        <v>7.6</v>
      </c>
      <c r="W6657" t="s">
        <v>330</v>
      </c>
      <c r="Y6657" s="42">
        <v>44677</v>
      </c>
    </row>
    <row r="6658" spans="14:25">
      <c r="N6658" s="42">
        <v>44670</v>
      </c>
      <c r="O6658" t="s">
        <v>333</v>
      </c>
      <c r="P6658" s="42">
        <v>44670</v>
      </c>
      <c r="Q6658" t="s">
        <v>333</v>
      </c>
      <c r="R6658" t="s">
        <v>329</v>
      </c>
      <c r="S6658" t="s">
        <v>323</v>
      </c>
      <c r="T6658">
        <v>7.6</v>
      </c>
      <c r="W6658" t="s">
        <v>330</v>
      </c>
      <c r="Y6658" s="42">
        <v>44677</v>
      </c>
    </row>
    <row r="6659" spans="14:25">
      <c r="N6659" s="42">
        <v>44667</v>
      </c>
      <c r="O6659" t="s">
        <v>359</v>
      </c>
      <c r="P6659" s="42">
        <v>44667</v>
      </c>
      <c r="Q6659" t="s">
        <v>359</v>
      </c>
      <c r="R6659" t="s">
        <v>320</v>
      </c>
      <c r="S6659" t="s">
        <v>323</v>
      </c>
      <c r="U6659">
        <v>7.6</v>
      </c>
    </row>
    <row r="6660" spans="14:25">
      <c r="N6660" s="42">
        <v>44666</v>
      </c>
      <c r="O6660" t="s">
        <v>346</v>
      </c>
      <c r="P6660" s="42">
        <v>44666</v>
      </c>
      <c r="Q6660" t="s">
        <v>346</v>
      </c>
      <c r="R6660" t="s">
        <v>320</v>
      </c>
      <c r="S6660" t="s">
        <v>323</v>
      </c>
      <c r="U6660">
        <v>7.6</v>
      </c>
    </row>
    <row r="6661" spans="14:25">
      <c r="N6661" s="42">
        <v>44653</v>
      </c>
      <c r="O6661" t="s">
        <v>359</v>
      </c>
      <c r="P6661" s="42">
        <v>44653</v>
      </c>
      <c r="Q6661" t="s">
        <v>359</v>
      </c>
      <c r="R6661" t="s">
        <v>320</v>
      </c>
      <c r="S6661" t="s">
        <v>323</v>
      </c>
      <c r="T6661">
        <v>7.6</v>
      </c>
      <c r="Y6661" s="42">
        <v>44663</v>
      </c>
    </row>
    <row r="6662" spans="14:25">
      <c r="N6662" s="42">
        <v>44652</v>
      </c>
      <c r="O6662" t="s">
        <v>346</v>
      </c>
      <c r="P6662" s="42">
        <v>44652</v>
      </c>
      <c r="Q6662" t="s">
        <v>346</v>
      </c>
      <c r="R6662" t="s">
        <v>320</v>
      </c>
      <c r="S6662" t="s">
        <v>323</v>
      </c>
      <c r="T6662">
        <v>7.6</v>
      </c>
      <c r="Y6662" s="42">
        <v>44663</v>
      </c>
    </row>
    <row r="6663" spans="14:25">
      <c r="N6663" s="42">
        <v>44651</v>
      </c>
      <c r="O6663" t="s">
        <v>324</v>
      </c>
      <c r="P6663" s="42">
        <v>44651</v>
      </c>
      <c r="Q6663" t="s">
        <v>324</v>
      </c>
      <c r="R6663" t="s">
        <v>320</v>
      </c>
      <c r="S6663" t="s">
        <v>323</v>
      </c>
      <c r="T6663">
        <v>7.6</v>
      </c>
      <c r="Y6663" s="42">
        <v>44663</v>
      </c>
    </row>
    <row r="6664" spans="14:25">
      <c r="N6664" s="42">
        <v>44650</v>
      </c>
      <c r="O6664" t="s">
        <v>328</v>
      </c>
      <c r="P6664" s="42">
        <v>44650</v>
      </c>
      <c r="Q6664" t="s">
        <v>328</v>
      </c>
      <c r="R6664" t="s">
        <v>320</v>
      </c>
      <c r="S6664" t="s">
        <v>323</v>
      </c>
      <c r="T6664">
        <v>7.6</v>
      </c>
      <c r="Y6664" s="42">
        <v>44663</v>
      </c>
    </row>
    <row r="6665" spans="14:25">
      <c r="N6665" s="42">
        <v>44649</v>
      </c>
      <c r="O6665" t="s">
        <v>333</v>
      </c>
      <c r="P6665" s="42">
        <v>44649</v>
      </c>
      <c r="Q6665" t="s">
        <v>333</v>
      </c>
      <c r="R6665" t="s">
        <v>320</v>
      </c>
      <c r="S6665" t="s">
        <v>323</v>
      </c>
      <c r="T6665">
        <v>7.6</v>
      </c>
      <c r="Y6665" s="42">
        <v>44649</v>
      </c>
    </row>
    <row r="6666" spans="14:25">
      <c r="N6666" s="42">
        <v>44646</v>
      </c>
      <c r="O6666" t="s">
        <v>359</v>
      </c>
      <c r="P6666" s="42">
        <v>44646</v>
      </c>
      <c r="Q6666" t="s">
        <v>359</v>
      </c>
      <c r="R6666" t="s">
        <v>320</v>
      </c>
      <c r="S6666" t="s">
        <v>323</v>
      </c>
      <c r="T6666">
        <v>7.6</v>
      </c>
      <c r="Y6666" s="42">
        <v>44649</v>
      </c>
    </row>
    <row r="6667" spans="14:25">
      <c r="N6667" s="42">
        <v>44645</v>
      </c>
      <c r="O6667" t="s">
        <v>346</v>
      </c>
      <c r="P6667" s="42">
        <v>44645</v>
      </c>
      <c r="Q6667" t="s">
        <v>346</v>
      </c>
      <c r="R6667" t="s">
        <v>320</v>
      </c>
      <c r="S6667" t="s">
        <v>323</v>
      </c>
      <c r="T6667">
        <v>7.6</v>
      </c>
      <c r="Y6667" s="42">
        <v>44649</v>
      </c>
    </row>
    <row r="6668" spans="14:25">
      <c r="N6668" s="42">
        <v>44644</v>
      </c>
      <c r="O6668" t="s">
        <v>324</v>
      </c>
      <c r="P6668" s="42">
        <v>44644</v>
      </c>
      <c r="Q6668" t="s">
        <v>324</v>
      </c>
      <c r="R6668" t="s">
        <v>320</v>
      </c>
      <c r="S6668" t="s">
        <v>323</v>
      </c>
      <c r="T6668">
        <v>7.6</v>
      </c>
      <c r="Y6668" s="42">
        <v>44649</v>
      </c>
    </row>
    <row r="6669" spans="14:25">
      <c r="N6669" s="42">
        <v>44643</v>
      </c>
      <c r="O6669" t="s">
        <v>328</v>
      </c>
      <c r="P6669" s="42">
        <v>44643</v>
      </c>
      <c r="Q6669" t="s">
        <v>328</v>
      </c>
      <c r="R6669" t="s">
        <v>320</v>
      </c>
      <c r="S6669" t="s">
        <v>323</v>
      </c>
      <c r="T6669">
        <v>7.6</v>
      </c>
      <c r="Y6669" s="42">
        <v>44649</v>
      </c>
    </row>
    <row r="6670" spans="14:25">
      <c r="N6670" s="42">
        <v>44642</v>
      </c>
      <c r="O6670" t="s">
        <v>333</v>
      </c>
      <c r="P6670" s="42">
        <v>44642</v>
      </c>
      <c r="Q6670" t="s">
        <v>333</v>
      </c>
      <c r="R6670" t="s">
        <v>320</v>
      </c>
      <c r="S6670" t="s">
        <v>323</v>
      </c>
      <c r="T6670">
        <v>7.6</v>
      </c>
      <c r="Y6670" s="42">
        <v>44649</v>
      </c>
    </row>
    <row r="6671" spans="14:25">
      <c r="N6671" s="42">
        <v>44587</v>
      </c>
      <c r="O6671" t="s">
        <v>328</v>
      </c>
      <c r="P6671" s="42">
        <v>44587</v>
      </c>
      <c r="Q6671" t="s">
        <v>328</v>
      </c>
      <c r="R6671" t="s">
        <v>320</v>
      </c>
      <c r="S6671" t="s">
        <v>323</v>
      </c>
      <c r="U6671">
        <v>7.6</v>
      </c>
    </row>
    <row r="6672" spans="14:25">
      <c r="N6672" s="42">
        <v>44565</v>
      </c>
      <c r="O6672" t="s">
        <v>333</v>
      </c>
      <c r="P6672" s="42">
        <v>44565</v>
      </c>
      <c r="Q6672" t="s">
        <v>333</v>
      </c>
      <c r="R6672" t="s">
        <v>320</v>
      </c>
      <c r="S6672" t="s">
        <v>323</v>
      </c>
      <c r="T6672">
        <v>7.6</v>
      </c>
      <c r="Y6672" s="42">
        <v>44565</v>
      </c>
    </row>
    <row r="6673" spans="14:25">
      <c r="N6673" s="42">
        <v>44562</v>
      </c>
      <c r="O6673" t="s">
        <v>359</v>
      </c>
      <c r="P6673" s="42">
        <v>44562</v>
      </c>
      <c r="Q6673" t="s">
        <v>359</v>
      </c>
      <c r="R6673" t="s">
        <v>320</v>
      </c>
      <c r="S6673" t="s">
        <v>323</v>
      </c>
      <c r="U6673">
        <v>7.6</v>
      </c>
    </row>
    <row r="6674" spans="14:25">
      <c r="N6674" s="42">
        <v>44558</v>
      </c>
      <c r="O6674" t="s">
        <v>333</v>
      </c>
      <c r="P6674" s="42">
        <v>44558</v>
      </c>
      <c r="Q6674" t="s">
        <v>333</v>
      </c>
      <c r="R6674" t="s">
        <v>320</v>
      </c>
      <c r="S6674" t="s">
        <v>323</v>
      </c>
      <c r="U6674">
        <v>7.6</v>
      </c>
    </row>
    <row r="6675" spans="14:25">
      <c r="N6675" s="42">
        <v>44555</v>
      </c>
      <c r="O6675" t="s">
        <v>359</v>
      </c>
      <c r="P6675" s="42">
        <v>44555</v>
      </c>
      <c r="Q6675" t="s">
        <v>359</v>
      </c>
      <c r="R6675" t="s">
        <v>320</v>
      </c>
      <c r="S6675" t="s">
        <v>323</v>
      </c>
      <c r="U6675">
        <v>7.6</v>
      </c>
    </row>
    <row r="6676" spans="14:25">
      <c r="N6676" s="42">
        <v>44516</v>
      </c>
      <c r="O6676" t="s">
        <v>333</v>
      </c>
      <c r="P6676" s="42">
        <v>44516</v>
      </c>
      <c r="Q6676" t="s">
        <v>333</v>
      </c>
      <c r="R6676" t="s">
        <v>320</v>
      </c>
      <c r="S6676" t="s">
        <v>323</v>
      </c>
      <c r="T6676">
        <v>7.6</v>
      </c>
      <c r="Y6676" s="42">
        <v>44523</v>
      </c>
    </row>
    <row r="6677" spans="14:25">
      <c r="N6677" s="42">
        <v>44498</v>
      </c>
      <c r="O6677" t="s">
        <v>346</v>
      </c>
      <c r="P6677" s="42">
        <v>44498</v>
      </c>
      <c r="Q6677" t="s">
        <v>346</v>
      </c>
      <c r="R6677" t="s">
        <v>320</v>
      </c>
      <c r="S6677" t="s">
        <v>323</v>
      </c>
      <c r="U6677">
        <v>7.6</v>
      </c>
    </row>
    <row r="6678" spans="14:25">
      <c r="N6678" s="42">
        <v>44419</v>
      </c>
      <c r="O6678" t="s">
        <v>328</v>
      </c>
      <c r="P6678" s="42">
        <v>44419</v>
      </c>
      <c r="Q6678" t="s">
        <v>328</v>
      </c>
      <c r="R6678" t="s">
        <v>329</v>
      </c>
      <c r="S6678" t="s">
        <v>323</v>
      </c>
      <c r="T6678">
        <v>7.6</v>
      </c>
      <c r="W6678" t="s">
        <v>330</v>
      </c>
      <c r="Y6678" s="42">
        <v>44425</v>
      </c>
    </row>
    <row r="6679" spans="14:25">
      <c r="N6679" s="42">
        <v>44418</v>
      </c>
      <c r="O6679" t="s">
        <v>333</v>
      </c>
      <c r="P6679" s="42">
        <v>44418</v>
      </c>
      <c r="Q6679" t="s">
        <v>333</v>
      </c>
      <c r="R6679" t="s">
        <v>329</v>
      </c>
      <c r="S6679" t="s">
        <v>323</v>
      </c>
      <c r="T6679">
        <v>7.6</v>
      </c>
      <c r="W6679" t="s">
        <v>330</v>
      </c>
      <c r="Y6679" s="42">
        <v>44425</v>
      </c>
    </row>
    <row r="6680" spans="14:25">
      <c r="N6680" s="42">
        <v>44400</v>
      </c>
      <c r="O6680" t="s">
        <v>346</v>
      </c>
      <c r="P6680" s="42">
        <v>44400</v>
      </c>
      <c r="Q6680" t="s">
        <v>346</v>
      </c>
      <c r="R6680" t="s">
        <v>320</v>
      </c>
      <c r="S6680" t="s">
        <v>323</v>
      </c>
      <c r="T6680">
        <v>7.6</v>
      </c>
      <c r="Y6680" s="42">
        <v>44411</v>
      </c>
    </row>
    <row r="6681" spans="14:25">
      <c r="N6681" s="42">
        <v>44399</v>
      </c>
      <c r="O6681" t="s">
        <v>324</v>
      </c>
      <c r="P6681" s="42">
        <v>44399</v>
      </c>
      <c r="Q6681" t="s">
        <v>324</v>
      </c>
      <c r="R6681" t="s">
        <v>320</v>
      </c>
      <c r="S6681" t="s">
        <v>323</v>
      </c>
      <c r="T6681">
        <v>7.6</v>
      </c>
      <c r="Y6681" s="42">
        <v>44411</v>
      </c>
    </row>
    <row r="6682" spans="14:25">
      <c r="N6682" s="42">
        <v>44398</v>
      </c>
      <c r="O6682" t="s">
        <v>328</v>
      </c>
      <c r="P6682" s="42">
        <v>44398</v>
      </c>
      <c r="Q6682" t="s">
        <v>328</v>
      </c>
      <c r="R6682" t="s">
        <v>320</v>
      </c>
      <c r="S6682" t="s">
        <v>323</v>
      </c>
      <c r="T6682">
        <v>7.6</v>
      </c>
      <c r="Y6682" s="42">
        <v>44411</v>
      </c>
    </row>
    <row r="6683" spans="14:25">
      <c r="N6683" s="42">
        <v>44397</v>
      </c>
      <c r="O6683" t="s">
        <v>333</v>
      </c>
      <c r="P6683" s="42">
        <v>44397</v>
      </c>
      <c r="Q6683" t="s">
        <v>333</v>
      </c>
      <c r="R6683" t="s">
        <v>320</v>
      </c>
      <c r="S6683" t="s">
        <v>323</v>
      </c>
      <c r="T6683">
        <v>7.6</v>
      </c>
      <c r="Y6683" s="42">
        <v>44397</v>
      </c>
    </row>
    <row r="6684" spans="14:25">
      <c r="N6684" s="42">
        <v>44328</v>
      </c>
      <c r="O6684" t="s">
        <v>328</v>
      </c>
      <c r="P6684" s="42">
        <v>44328</v>
      </c>
      <c r="Q6684" t="s">
        <v>328</v>
      </c>
      <c r="R6684" t="s">
        <v>329</v>
      </c>
      <c r="S6684" t="s">
        <v>323</v>
      </c>
      <c r="T6684">
        <v>7.6</v>
      </c>
      <c r="W6684" t="s">
        <v>330</v>
      </c>
      <c r="Y6684" s="42">
        <v>44341</v>
      </c>
    </row>
    <row r="6685" spans="14:25">
      <c r="N6685" s="42">
        <v>44327</v>
      </c>
      <c r="O6685" t="s">
        <v>333</v>
      </c>
      <c r="P6685" s="42">
        <v>44327</v>
      </c>
      <c r="Q6685" t="s">
        <v>333</v>
      </c>
      <c r="R6685" t="s">
        <v>320</v>
      </c>
      <c r="S6685" t="s">
        <v>323</v>
      </c>
      <c r="T6685">
        <v>3.3</v>
      </c>
      <c r="Y6685" s="42">
        <v>44327</v>
      </c>
    </row>
    <row r="6686" spans="14:25">
      <c r="N6686" s="42">
        <v>44306</v>
      </c>
      <c r="O6686" t="s">
        <v>333</v>
      </c>
      <c r="P6686" s="42">
        <v>44306</v>
      </c>
      <c r="Q6686" t="s">
        <v>333</v>
      </c>
      <c r="R6686" t="s">
        <v>320</v>
      </c>
      <c r="S6686" t="s">
        <v>323</v>
      </c>
      <c r="T6686">
        <v>3.3666999999999998</v>
      </c>
      <c r="Y6686" s="42">
        <v>44313</v>
      </c>
    </row>
    <row r="6687" spans="14:25">
      <c r="N6687" s="42">
        <v>44289</v>
      </c>
      <c r="O6687" t="s">
        <v>359</v>
      </c>
      <c r="P6687" s="42">
        <v>44289</v>
      </c>
      <c r="Q6687" t="s">
        <v>359</v>
      </c>
      <c r="R6687" t="s">
        <v>320</v>
      </c>
      <c r="S6687" t="s">
        <v>323</v>
      </c>
      <c r="U6687">
        <v>7.6</v>
      </c>
    </row>
    <row r="6688" spans="14:25">
      <c r="N6688" s="42">
        <v>44288</v>
      </c>
      <c r="O6688" t="s">
        <v>346</v>
      </c>
      <c r="P6688" s="42">
        <v>44288</v>
      </c>
      <c r="Q6688" t="s">
        <v>346</v>
      </c>
      <c r="R6688" t="s">
        <v>320</v>
      </c>
      <c r="S6688" t="s">
        <v>323</v>
      </c>
      <c r="U6688">
        <v>7.6</v>
      </c>
    </row>
    <row r="6689" spans="14:25">
      <c r="N6689" s="42">
        <v>44250</v>
      </c>
      <c r="O6689" t="s">
        <v>333</v>
      </c>
      <c r="P6689" s="42">
        <v>44250</v>
      </c>
      <c r="Q6689" t="s">
        <v>333</v>
      </c>
      <c r="R6689" t="s">
        <v>320</v>
      </c>
      <c r="S6689" t="s">
        <v>323</v>
      </c>
      <c r="T6689">
        <v>7.6</v>
      </c>
      <c r="Y6689" s="42">
        <v>44257</v>
      </c>
    </row>
    <row r="6690" spans="14:25">
      <c r="N6690" s="42">
        <v>44243</v>
      </c>
      <c r="O6690" t="s">
        <v>333</v>
      </c>
      <c r="P6690" s="42">
        <v>44243</v>
      </c>
      <c r="Q6690" t="s">
        <v>333</v>
      </c>
      <c r="R6690" t="s">
        <v>320</v>
      </c>
      <c r="S6690" t="s">
        <v>323</v>
      </c>
      <c r="T6690">
        <v>7.6</v>
      </c>
      <c r="Y6690" s="42">
        <v>44243</v>
      </c>
    </row>
    <row r="6691" spans="14:25">
      <c r="N6691" s="42">
        <v>44240</v>
      </c>
      <c r="O6691" t="s">
        <v>359</v>
      </c>
      <c r="P6691" s="42">
        <v>44240</v>
      </c>
      <c r="Q6691" t="s">
        <v>359</v>
      </c>
      <c r="R6691" t="s">
        <v>320</v>
      </c>
      <c r="S6691" t="s">
        <v>323</v>
      </c>
      <c r="T6691">
        <v>7.6</v>
      </c>
      <c r="Y6691" s="42">
        <v>44243</v>
      </c>
    </row>
    <row r="6692" spans="14:25">
      <c r="N6692" s="42">
        <v>44239</v>
      </c>
      <c r="O6692" t="s">
        <v>346</v>
      </c>
      <c r="P6692" s="42">
        <v>44239</v>
      </c>
      <c r="Q6692" t="s">
        <v>346</v>
      </c>
      <c r="R6692" t="s">
        <v>320</v>
      </c>
      <c r="S6692" t="s">
        <v>323</v>
      </c>
      <c r="T6692">
        <v>7.6</v>
      </c>
      <c r="Y6692" s="42">
        <v>44243</v>
      </c>
    </row>
    <row r="6693" spans="14:25">
      <c r="N6693" s="42">
        <v>44238</v>
      </c>
      <c r="O6693" t="s">
        <v>324</v>
      </c>
      <c r="P6693" s="42">
        <v>44238</v>
      </c>
      <c r="Q6693" t="s">
        <v>324</v>
      </c>
      <c r="R6693" t="s">
        <v>320</v>
      </c>
      <c r="S6693" t="s">
        <v>323</v>
      </c>
      <c r="T6693">
        <v>7.6</v>
      </c>
      <c r="Y6693" s="42">
        <v>44243</v>
      </c>
    </row>
    <row r="6694" spans="14:25">
      <c r="N6694" s="42">
        <v>44237</v>
      </c>
      <c r="O6694" t="s">
        <v>328</v>
      </c>
      <c r="P6694" s="42">
        <v>44237</v>
      </c>
      <c r="Q6694" t="s">
        <v>328</v>
      </c>
      <c r="R6694" t="s">
        <v>320</v>
      </c>
      <c r="S6694" t="s">
        <v>323</v>
      </c>
      <c r="T6694">
        <v>7.6</v>
      </c>
      <c r="Y6694" s="42">
        <v>44243</v>
      </c>
    </row>
    <row r="6695" spans="14:25">
      <c r="N6695" s="42">
        <v>44236</v>
      </c>
      <c r="O6695" t="s">
        <v>333</v>
      </c>
      <c r="P6695" s="42">
        <v>44236</v>
      </c>
      <c r="Q6695" t="s">
        <v>333</v>
      </c>
      <c r="R6695" t="s">
        <v>320</v>
      </c>
      <c r="S6695" t="s">
        <v>323</v>
      </c>
      <c r="T6695">
        <v>7.6</v>
      </c>
      <c r="Y6695" s="42">
        <v>44243</v>
      </c>
    </row>
    <row r="6696" spans="14:25">
      <c r="N6696" s="42">
        <v>44233</v>
      </c>
      <c r="O6696" t="s">
        <v>359</v>
      </c>
      <c r="P6696" s="42">
        <v>44233</v>
      </c>
      <c r="Q6696" t="s">
        <v>359</v>
      </c>
      <c r="R6696" t="s">
        <v>320</v>
      </c>
      <c r="S6696" t="s">
        <v>323</v>
      </c>
      <c r="T6696">
        <v>7.6</v>
      </c>
      <c r="Y6696" s="42">
        <v>44243</v>
      </c>
    </row>
    <row r="6697" spans="14:25">
      <c r="N6697" s="42">
        <v>44222</v>
      </c>
      <c r="O6697" t="s">
        <v>333</v>
      </c>
      <c r="P6697" s="42">
        <v>44222</v>
      </c>
      <c r="Q6697" t="s">
        <v>333</v>
      </c>
      <c r="R6697" t="s">
        <v>320</v>
      </c>
      <c r="S6697" t="s">
        <v>323</v>
      </c>
      <c r="U6697">
        <v>7.6</v>
      </c>
    </row>
    <row r="6698" spans="14:25">
      <c r="N6698" s="42">
        <v>44197</v>
      </c>
      <c r="O6698" t="s">
        <v>346</v>
      </c>
      <c r="P6698" s="42">
        <v>44197</v>
      </c>
      <c r="Q6698" t="s">
        <v>346</v>
      </c>
      <c r="R6698" t="s">
        <v>320</v>
      </c>
      <c r="S6698" t="s">
        <v>323</v>
      </c>
      <c r="U6698">
        <v>7.6</v>
      </c>
    </row>
    <row r="6699" spans="14:25">
      <c r="N6699" s="42">
        <v>44193</v>
      </c>
      <c r="O6699" t="s">
        <v>345</v>
      </c>
      <c r="P6699" s="42">
        <v>44193</v>
      </c>
      <c r="Q6699" t="s">
        <v>345</v>
      </c>
      <c r="R6699" t="s">
        <v>320</v>
      </c>
      <c r="S6699" t="s">
        <v>323</v>
      </c>
      <c r="U6699">
        <v>7.6</v>
      </c>
    </row>
    <row r="6700" spans="14:25">
      <c r="N6700" s="42">
        <v>44190</v>
      </c>
      <c r="O6700" t="s">
        <v>346</v>
      </c>
      <c r="P6700" s="42">
        <v>44190</v>
      </c>
      <c r="Q6700" t="s">
        <v>346</v>
      </c>
      <c r="R6700" t="s">
        <v>320</v>
      </c>
      <c r="S6700" t="s">
        <v>323</v>
      </c>
      <c r="U6700">
        <v>7.6</v>
      </c>
    </row>
    <row r="6701" spans="14:25">
      <c r="N6701" s="42">
        <v>44180</v>
      </c>
      <c r="O6701" t="s">
        <v>333</v>
      </c>
      <c r="P6701" s="42">
        <v>44180</v>
      </c>
      <c r="Q6701" t="s">
        <v>333</v>
      </c>
      <c r="R6701" t="s">
        <v>320</v>
      </c>
      <c r="S6701" t="s">
        <v>323</v>
      </c>
      <c r="T6701">
        <v>7.6</v>
      </c>
      <c r="Y6701" s="42">
        <v>44187</v>
      </c>
    </row>
    <row r="6702" spans="14:25">
      <c r="N6702" s="42">
        <v>44110</v>
      </c>
      <c r="O6702" t="s">
        <v>333</v>
      </c>
      <c r="P6702" s="42">
        <v>44110</v>
      </c>
      <c r="Q6702" t="s">
        <v>333</v>
      </c>
      <c r="R6702" t="s">
        <v>320</v>
      </c>
      <c r="S6702" t="s">
        <v>323</v>
      </c>
      <c r="T6702">
        <v>7.6</v>
      </c>
      <c r="Y6702" s="42">
        <v>44117</v>
      </c>
    </row>
    <row r="6703" spans="14:25">
      <c r="N6703" s="42">
        <v>44054</v>
      </c>
      <c r="O6703" t="s">
        <v>333</v>
      </c>
      <c r="P6703" s="42">
        <v>44056</v>
      </c>
      <c r="Q6703" t="s">
        <v>324</v>
      </c>
      <c r="R6703" t="s">
        <v>329</v>
      </c>
      <c r="S6703" t="s">
        <v>323</v>
      </c>
      <c r="T6703">
        <v>30.4</v>
      </c>
      <c r="W6703" t="s">
        <v>330</v>
      </c>
      <c r="Y6703" s="42">
        <v>44061</v>
      </c>
    </row>
    <row r="6704" spans="14:25">
      <c r="N6704" s="42">
        <v>44047</v>
      </c>
      <c r="O6704" t="s">
        <v>333</v>
      </c>
      <c r="P6704" s="42">
        <v>44047</v>
      </c>
      <c r="Q6704" t="s">
        <v>333</v>
      </c>
      <c r="R6704" t="s">
        <v>320</v>
      </c>
      <c r="S6704" t="s">
        <v>323</v>
      </c>
      <c r="T6704">
        <v>7.6</v>
      </c>
      <c r="Y6704" s="42">
        <v>44047</v>
      </c>
    </row>
    <row r="6705" spans="1:25">
      <c r="N6705" s="42">
        <v>44044</v>
      </c>
      <c r="O6705" t="s">
        <v>359</v>
      </c>
      <c r="P6705" s="42">
        <v>44044</v>
      </c>
      <c r="Q6705" t="s">
        <v>359</v>
      </c>
      <c r="R6705" t="s">
        <v>320</v>
      </c>
      <c r="S6705" t="s">
        <v>323</v>
      </c>
      <c r="T6705">
        <v>7.6</v>
      </c>
      <c r="Y6705" s="42">
        <v>44047</v>
      </c>
    </row>
    <row r="6706" spans="1:25">
      <c r="N6706" s="42">
        <v>44043</v>
      </c>
      <c r="O6706" t="s">
        <v>346</v>
      </c>
      <c r="P6706" s="42">
        <v>44043</v>
      </c>
      <c r="Q6706" t="s">
        <v>346</v>
      </c>
      <c r="R6706" t="s">
        <v>320</v>
      </c>
      <c r="S6706" t="s">
        <v>323</v>
      </c>
      <c r="T6706">
        <v>7.6</v>
      </c>
      <c r="Y6706" s="42">
        <v>44047</v>
      </c>
    </row>
    <row r="6707" spans="1:25">
      <c r="N6707" s="42">
        <v>44023</v>
      </c>
      <c r="O6707" t="s">
        <v>359</v>
      </c>
      <c r="P6707" s="42">
        <v>44023</v>
      </c>
      <c r="Q6707" t="s">
        <v>359</v>
      </c>
      <c r="R6707" t="s">
        <v>329</v>
      </c>
      <c r="S6707" t="s">
        <v>323</v>
      </c>
      <c r="T6707">
        <v>7.6</v>
      </c>
      <c r="W6707" t="s">
        <v>330</v>
      </c>
      <c r="Y6707" s="42">
        <v>44033</v>
      </c>
    </row>
    <row r="6708" spans="1:25">
      <c r="N6708" s="42">
        <v>44022</v>
      </c>
      <c r="O6708" t="s">
        <v>346</v>
      </c>
      <c r="P6708" s="42">
        <v>44022</v>
      </c>
      <c r="Q6708" t="s">
        <v>346</v>
      </c>
      <c r="R6708" t="s">
        <v>329</v>
      </c>
      <c r="S6708" t="s">
        <v>323</v>
      </c>
      <c r="T6708">
        <v>7.6</v>
      </c>
      <c r="W6708" t="s">
        <v>330</v>
      </c>
      <c r="Y6708" s="42">
        <v>44033</v>
      </c>
    </row>
    <row r="6709" spans="1:25">
      <c r="N6709" s="42">
        <v>43991</v>
      </c>
      <c r="O6709" t="s">
        <v>333</v>
      </c>
      <c r="P6709" s="42">
        <v>43991</v>
      </c>
      <c r="Q6709" t="s">
        <v>333</v>
      </c>
      <c r="R6709" t="s">
        <v>329</v>
      </c>
      <c r="S6709" t="s">
        <v>323</v>
      </c>
      <c r="T6709">
        <v>7.6</v>
      </c>
      <c r="W6709" t="s">
        <v>330</v>
      </c>
      <c r="Y6709" s="42">
        <v>43991</v>
      </c>
    </row>
    <row r="6710" spans="1:25">
      <c r="N6710" s="42">
        <v>43916</v>
      </c>
      <c r="O6710" t="s">
        <v>324</v>
      </c>
      <c r="P6710" s="42">
        <v>43916</v>
      </c>
      <c r="Q6710" t="s">
        <v>324</v>
      </c>
      <c r="R6710" t="s">
        <v>320</v>
      </c>
      <c r="S6710" t="s">
        <v>323</v>
      </c>
      <c r="T6710">
        <v>7.6</v>
      </c>
      <c r="Y6710" s="42">
        <v>43921</v>
      </c>
    </row>
    <row r="6711" spans="1:25">
      <c r="N6711" s="42">
        <v>43915</v>
      </c>
      <c r="O6711" t="s">
        <v>328</v>
      </c>
      <c r="P6711" s="42">
        <v>43915</v>
      </c>
      <c r="Q6711" t="s">
        <v>328</v>
      </c>
      <c r="R6711" t="s">
        <v>320</v>
      </c>
      <c r="S6711" t="s">
        <v>323</v>
      </c>
      <c r="T6711">
        <v>7.6</v>
      </c>
      <c r="Y6711" s="42">
        <v>43921</v>
      </c>
    </row>
    <row r="6712" spans="1:25">
      <c r="N6712" s="42">
        <v>43914</v>
      </c>
      <c r="O6712" t="s">
        <v>333</v>
      </c>
      <c r="P6712" s="42">
        <v>43914</v>
      </c>
      <c r="Q6712" t="s">
        <v>333</v>
      </c>
      <c r="R6712" t="s">
        <v>320</v>
      </c>
      <c r="S6712" t="s">
        <v>323</v>
      </c>
      <c r="T6712">
        <v>7.6</v>
      </c>
      <c r="Y6712" s="42">
        <v>43921</v>
      </c>
    </row>
    <row r="6713" spans="1:25">
      <c r="N6713" s="42">
        <v>43911</v>
      </c>
      <c r="O6713" t="s">
        <v>359</v>
      </c>
      <c r="P6713" s="42">
        <v>43911</v>
      </c>
      <c r="Q6713" t="s">
        <v>359</v>
      </c>
      <c r="R6713" t="s">
        <v>320</v>
      </c>
      <c r="S6713" t="s">
        <v>323</v>
      </c>
      <c r="T6713">
        <v>7.6</v>
      </c>
      <c r="Y6713" s="42">
        <v>43921</v>
      </c>
    </row>
    <row r="6714" spans="1:25">
      <c r="N6714" s="42">
        <v>43910</v>
      </c>
      <c r="O6714" t="s">
        <v>346</v>
      </c>
      <c r="P6714" s="42">
        <v>43910</v>
      </c>
      <c r="Q6714" t="s">
        <v>346</v>
      </c>
      <c r="R6714" t="s">
        <v>320</v>
      </c>
      <c r="S6714" t="s">
        <v>323</v>
      </c>
      <c r="T6714">
        <v>7.6</v>
      </c>
      <c r="Y6714" s="42">
        <v>43921</v>
      </c>
    </row>
    <row r="6715" spans="1:25">
      <c r="N6715" s="42">
        <v>43909</v>
      </c>
      <c r="O6715" t="s">
        <v>324</v>
      </c>
      <c r="P6715" s="42">
        <v>43909</v>
      </c>
      <c r="Q6715" t="s">
        <v>324</v>
      </c>
      <c r="R6715" t="s">
        <v>320</v>
      </c>
      <c r="S6715" t="s">
        <v>323</v>
      </c>
      <c r="T6715">
        <v>7.6</v>
      </c>
      <c r="Y6715" s="42">
        <v>43921</v>
      </c>
    </row>
    <row r="6716" spans="1:25">
      <c r="N6716" s="42">
        <v>43908</v>
      </c>
      <c r="O6716" t="s">
        <v>328</v>
      </c>
      <c r="P6716" s="42">
        <v>43908</v>
      </c>
      <c r="Q6716" t="s">
        <v>328</v>
      </c>
      <c r="R6716" t="s">
        <v>320</v>
      </c>
      <c r="S6716" t="s">
        <v>323</v>
      </c>
      <c r="T6716">
        <v>7.6</v>
      </c>
      <c r="Y6716" s="42">
        <v>43921</v>
      </c>
    </row>
    <row r="6717" spans="1:25">
      <c r="N6717" s="42">
        <v>43907</v>
      </c>
      <c r="O6717" t="s">
        <v>333</v>
      </c>
      <c r="P6717" s="42">
        <v>43907</v>
      </c>
      <c r="Q6717" t="s">
        <v>333</v>
      </c>
      <c r="R6717" t="s">
        <v>320</v>
      </c>
      <c r="S6717" t="s">
        <v>323</v>
      </c>
      <c r="T6717">
        <v>7.6</v>
      </c>
      <c r="Y6717" s="42">
        <v>43907</v>
      </c>
    </row>
    <row r="6718" spans="1:25">
      <c r="N6718" s="42">
        <v>43802</v>
      </c>
      <c r="O6718" t="s">
        <v>333</v>
      </c>
      <c r="P6718" s="42">
        <v>43802</v>
      </c>
      <c r="Q6718" t="s">
        <v>333</v>
      </c>
      <c r="R6718" t="s">
        <v>320</v>
      </c>
      <c r="S6718" t="s">
        <v>323</v>
      </c>
      <c r="T6718">
        <v>7.6</v>
      </c>
      <c r="Y6718" s="42">
        <v>43809</v>
      </c>
    </row>
    <row r="6719" spans="1:25">
      <c r="N6719" s="42">
        <v>43662</v>
      </c>
      <c r="O6719" t="s">
        <v>333</v>
      </c>
      <c r="P6719" s="42">
        <v>43662</v>
      </c>
      <c r="Q6719" t="s">
        <v>333</v>
      </c>
      <c r="R6719" t="s">
        <v>329</v>
      </c>
      <c r="S6719" t="s">
        <v>323</v>
      </c>
      <c r="T6719">
        <v>7.6</v>
      </c>
      <c r="W6719" t="s">
        <v>330</v>
      </c>
      <c r="Y6719" s="42">
        <v>43669</v>
      </c>
    </row>
    <row r="6720" spans="1:25">
      <c r="A6720">
        <v>18853</v>
      </c>
      <c r="B6720" t="s">
        <v>422</v>
      </c>
      <c r="C6720" t="s">
        <v>320</v>
      </c>
      <c r="D6720" t="s">
        <v>336</v>
      </c>
      <c r="E6720" t="s">
        <v>337</v>
      </c>
      <c r="F6720">
        <v>1</v>
      </c>
      <c r="G6720" s="42">
        <v>45298</v>
      </c>
      <c r="H6720">
        <v>152</v>
      </c>
      <c r="I6720">
        <v>83.599900000000005</v>
      </c>
      <c r="J6720">
        <v>23.320499999999999</v>
      </c>
      <c r="K6720">
        <v>106.9204</v>
      </c>
      <c r="L6720" t="s">
        <v>323</v>
      </c>
      <c r="M6720" s="43">
        <v>0.1673611111111111</v>
      </c>
      <c r="N6720" s="42">
        <v>45168</v>
      </c>
      <c r="O6720" t="s">
        <v>328</v>
      </c>
      <c r="P6720" s="42">
        <v>45172</v>
      </c>
      <c r="Q6720" t="s">
        <v>344</v>
      </c>
      <c r="R6720" t="s">
        <v>320</v>
      </c>
      <c r="S6720" t="s">
        <v>323</v>
      </c>
      <c r="T6720">
        <v>22.8</v>
      </c>
      <c r="U6720">
        <v>0</v>
      </c>
      <c r="V6720">
        <v>0</v>
      </c>
    </row>
    <row r="6721" spans="3:25">
      <c r="C6721" t="s">
        <v>325</v>
      </c>
      <c r="D6721" t="s">
        <v>340</v>
      </c>
      <c r="E6721" t="s">
        <v>341</v>
      </c>
      <c r="F6721">
        <v>1</v>
      </c>
      <c r="G6721" s="42">
        <v>46029</v>
      </c>
      <c r="H6721">
        <v>230.54239999999999</v>
      </c>
      <c r="I6721">
        <v>0</v>
      </c>
      <c r="J6721">
        <v>136.7747</v>
      </c>
      <c r="K6721">
        <v>136.7747</v>
      </c>
      <c r="L6721" t="s">
        <v>323</v>
      </c>
      <c r="N6721" s="42">
        <v>45154</v>
      </c>
      <c r="O6721" t="s">
        <v>328</v>
      </c>
      <c r="P6721" s="42">
        <v>45167</v>
      </c>
      <c r="Q6721" t="s">
        <v>333</v>
      </c>
      <c r="R6721" t="s">
        <v>320</v>
      </c>
      <c r="S6721" t="s">
        <v>323</v>
      </c>
      <c r="T6721">
        <v>76</v>
      </c>
      <c r="U6721">
        <v>0</v>
      </c>
      <c r="V6721">
        <v>0</v>
      </c>
    </row>
    <row r="6722" spans="3:25">
      <c r="C6722" t="s">
        <v>329</v>
      </c>
      <c r="D6722" t="s">
        <v>342</v>
      </c>
      <c r="E6722" t="s">
        <v>343</v>
      </c>
      <c r="F6722">
        <v>1</v>
      </c>
      <c r="G6722" s="42">
        <v>45298</v>
      </c>
      <c r="H6722">
        <v>76</v>
      </c>
      <c r="I6722">
        <v>292.3999</v>
      </c>
      <c r="J6722">
        <v>11.660299999999999</v>
      </c>
      <c r="K6722">
        <v>304.06020000000001</v>
      </c>
      <c r="L6722" t="s">
        <v>323</v>
      </c>
      <c r="N6722" s="42">
        <v>45149</v>
      </c>
      <c r="O6722" t="s">
        <v>346</v>
      </c>
      <c r="P6722" s="42">
        <v>45153</v>
      </c>
      <c r="Q6722" t="s">
        <v>333</v>
      </c>
      <c r="R6722" t="s">
        <v>320</v>
      </c>
      <c r="S6722" t="s">
        <v>323</v>
      </c>
      <c r="T6722">
        <v>22.8</v>
      </c>
      <c r="U6722">
        <v>0</v>
      </c>
      <c r="V6722">
        <v>0</v>
      </c>
    </row>
    <row r="6723" spans="3:25">
      <c r="N6723" s="42">
        <v>45000</v>
      </c>
      <c r="O6723" t="s">
        <v>328</v>
      </c>
      <c r="P6723" s="42">
        <v>45006</v>
      </c>
      <c r="Q6723" t="s">
        <v>333</v>
      </c>
      <c r="R6723" t="s">
        <v>320</v>
      </c>
      <c r="S6723" t="s">
        <v>323</v>
      </c>
      <c r="T6723">
        <v>38</v>
      </c>
      <c r="U6723">
        <v>0</v>
      </c>
      <c r="V6723">
        <v>0</v>
      </c>
    </row>
    <row r="6724" spans="3:25">
      <c r="N6724" s="42">
        <v>44999</v>
      </c>
      <c r="O6724" t="s">
        <v>333</v>
      </c>
      <c r="P6724" s="42">
        <v>44999</v>
      </c>
      <c r="Q6724" t="s">
        <v>333</v>
      </c>
      <c r="R6724" t="s">
        <v>320</v>
      </c>
      <c r="S6724" t="s">
        <v>323</v>
      </c>
      <c r="T6724">
        <v>7.6</v>
      </c>
      <c r="U6724">
        <v>0</v>
      </c>
      <c r="V6724">
        <v>0</v>
      </c>
    </row>
    <row r="6725" spans="3:25">
      <c r="N6725" s="42">
        <v>44987</v>
      </c>
      <c r="O6725" t="s">
        <v>324</v>
      </c>
      <c r="P6725" s="42">
        <v>44988</v>
      </c>
      <c r="Q6725" t="s">
        <v>346</v>
      </c>
      <c r="R6725" t="s">
        <v>320</v>
      </c>
      <c r="S6725" t="s">
        <v>323</v>
      </c>
      <c r="T6725">
        <v>15.2</v>
      </c>
      <c r="V6725">
        <v>0</v>
      </c>
    </row>
    <row r="6726" spans="3:25">
      <c r="N6726" s="42">
        <v>44952</v>
      </c>
      <c r="O6726" t="s">
        <v>324</v>
      </c>
      <c r="P6726" s="42">
        <v>44952</v>
      </c>
      <c r="Q6726" t="s">
        <v>324</v>
      </c>
      <c r="R6726" t="s">
        <v>320</v>
      </c>
      <c r="S6726" t="s">
        <v>323</v>
      </c>
      <c r="U6726">
        <v>7.6</v>
      </c>
      <c r="Y6726" s="42">
        <v>44957</v>
      </c>
    </row>
    <row r="6727" spans="3:25">
      <c r="N6727" s="42">
        <v>44928</v>
      </c>
      <c r="O6727" t="s">
        <v>345</v>
      </c>
      <c r="P6727" s="42">
        <v>44928</v>
      </c>
      <c r="Q6727" t="s">
        <v>345</v>
      </c>
      <c r="R6727" t="s">
        <v>320</v>
      </c>
      <c r="S6727" t="s">
        <v>323</v>
      </c>
      <c r="U6727">
        <v>7.6</v>
      </c>
      <c r="Y6727" s="42">
        <v>44929</v>
      </c>
    </row>
    <row r="6728" spans="3:25">
      <c r="N6728" s="42">
        <v>44918</v>
      </c>
      <c r="O6728" t="s">
        <v>346</v>
      </c>
      <c r="P6728" s="42">
        <v>44926</v>
      </c>
      <c r="Q6728" t="s">
        <v>359</v>
      </c>
      <c r="R6728" t="s">
        <v>320</v>
      </c>
      <c r="S6728" t="s">
        <v>323</v>
      </c>
      <c r="T6728">
        <v>30.4</v>
      </c>
      <c r="U6728">
        <v>15.2</v>
      </c>
      <c r="V6728">
        <v>0</v>
      </c>
      <c r="Y6728" s="42">
        <v>44929</v>
      </c>
    </row>
    <row r="6729" spans="3:25">
      <c r="N6729" s="42">
        <v>44904</v>
      </c>
      <c r="O6729" t="s">
        <v>346</v>
      </c>
      <c r="P6729" s="42">
        <v>44904</v>
      </c>
      <c r="Q6729" t="s">
        <v>346</v>
      </c>
      <c r="R6729" t="s">
        <v>329</v>
      </c>
      <c r="S6729" t="s">
        <v>323</v>
      </c>
      <c r="T6729">
        <v>4</v>
      </c>
      <c r="W6729" t="s">
        <v>339</v>
      </c>
      <c r="Y6729" s="42">
        <v>44915</v>
      </c>
    </row>
    <row r="6730" spans="3:25">
      <c r="N6730" s="42">
        <v>44879</v>
      </c>
      <c r="O6730" t="s">
        <v>345</v>
      </c>
      <c r="P6730" s="42">
        <v>44883</v>
      </c>
      <c r="Q6730" t="s">
        <v>346</v>
      </c>
      <c r="R6730" t="s">
        <v>320</v>
      </c>
      <c r="S6730" t="s">
        <v>323</v>
      </c>
      <c r="T6730">
        <v>38</v>
      </c>
      <c r="U6730">
        <v>0</v>
      </c>
    </row>
    <row r="6731" spans="3:25">
      <c r="N6731" s="42">
        <v>44865</v>
      </c>
      <c r="O6731" t="s">
        <v>345</v>
      </c>
      <c r="P6731" s="42">
        <v>44866</v>
      </c>
      <c r="Q6731" t="s">
        <v>333</v>
      </c>
      <c r="R6731" t="s">
        <v>320</v>
      </c>
      <c r="S6731" t="s">
        <v>323</v>
      </c>
      <c r="T6731">
        <v>7.6</v>
      </c>
      <c r="U6731">
        <v>7.6</v>
      </c>
      <c r="V6731">
        <v>0</v>
      </c>
      <c r="Y6731" s="42">
        <v>44873</v>
      </c>
    </row>
    <row r="6732" spans="3:25">
      <c r="N6732" s="42">
        <v>44827</v>
      </c>
      <c r="O6732" t="s">
        <v>346</v>
      </c>
      <c r="P6732" s="42">
        <v>44827</v>
      </c>
      <c r="Q6732" t="s">
        <v>346</v>
      </c>
      <c r="R6732" t="s">
        <v>320</v>
      </c>
      <c r="S6732" t="s">
        <v>323</v>
      </c>
      <c r="U6732">
        <v>7.6</v>
      </c>
      <c r="Y6732" s="42">
        <v>44831</v>
      </c>
    </row>
    <row r="6733" spans="3:25">
      <c r="N6733" s="42">
        <v>44826</v>
      </c>
      <c r="O6733" t="s">
        <v>324</v>
      </c>
      <c r="P6733" s="42">
        <v>44826</v>
      </c>
      <c r="Q6733" t="s">
        <v>324</v>
      </c>
      <c r="R6733" t="s">
        <v>320</v>
      </c>
      <c r="S6733" t="s">
        <v>323</v>
      </c>
      <c r="U6733">
        <v>7.6</v>
      </c>
      <c r="Y6733" s="42">
        <v>44831</v>
      </c>
    </row>
    <row r="6734" spans="3:25">
      <c r="N6734" s="42">
        <v>44790</v>
      </c>
      <c r="O6734" t="s">
        <v>328</v>
      </c>
      <c r="P6734" s="42">
        <v>44792</v>
      </c>
      <c r="Q6734" t="s">
        <v>346</v>
      </c>
      <c r="R6734" t="s">
        <v>320</v>
      </c>
      <c r="S6734" t="s">
        <v>323</v>
      </c>
      <c r="T6734">
        <v>22.8</v>
      </c>
      <c r="U6734">
        <v>0</v>
      </c>
      <c r="V6734">
        <v>0</v>
      </c>
      <c r="Y6734" s="42">
        <v>44803</v>
      </c>
    </row>
    <row r="6735" spans="3:25">
      <c r="N6735" s="42">
        <v>44788</v>
      </c>
      <c r="O6735" t="s">
        <v>345</v>
      </c>
      <c r="P6735" s="42">
        <v>44789</v>
      </c>
      <c r="Q6735" t="s">
        <v>333</v>
      </c>
      <c r="R6735" t="s">
        <v>320</v>
      </c>
      <c r="S6735" t="s">
        <v>323</v>
      </c>
      <c r="T6735">
        <v>15.2</v>
      </c>
      <c r="U6735">
        <v>0</v>
      </c>
      <c r="V6735">
        <v>0</v>
      </c>
      <c r="Y6735" s="42">
        <v>44789</v>
      </c>
    </row>
    <row r="6736" spans="3:25">
      <c r="N6736" s="42">
        <v>44784</v>
      </c>
      <c r="O6736" t="s">
        <v>324</v>
      </c>
      <c r="P6736" s="42">
        <v>44785</v>
      </c>
      <c r="Q6736" t="s">
        <v>346</v>
      </c>
      <c r="R6736" t="s">
        <v>320</v>
      </c>
      <c r="S6736" t="s">
        <v>323</v>
      </c>
      <c r="T6736">
        <v>15.2</v>
      </c>
      <c r="V6736">
        <v>0</v>
      </c>
      <c r="Y6736" s="42">
        <v>44789</v>
      </c>
    </row>
    <row r="6737" spans="14:25">
      <c r="N6737" s="42">
        <v>44725</v>
      </c>
      <c r="O6737" t="s">
        <v>345</v>
      </c>
      <c r="P6737" s="42">
        <v>44725</v>
      </c>
      <c r="Q6737" t="s">
        <v>345</v>
      </c>
      <c r="R6737" t="s">
        <v>320</v>
      </c>
      <c r="S6737" t="s">
        <v>323</v>
      </c>
      <c r="U6737">
        <v>7.6</v>
      </c>
      <c r="Y6737" s="42">
        <v>44733</v>
      </c>
    </row>
    <row r="6738" spans="14:25">
      <c r="N6738" s="42">
        <v>44690</v>
      </c>
      <c r="O6738" t="s">
        <v>345</v>
      </c>
      <c r="P6738" s="42">
        <v>44690</v>
      </c>
      <c r="Q6738" t="s">
        <v>345</v>
      </c>
      <c r="R6738" t="s">
        <v>334</v>
      </c>
      <c r="S6738" t="s">
        <v>323</v>
      </c>
      <c r="T6738">
        <v>7.6</v>
      </c>
      <c r="W6738" t="s">
        <v>339</v>
      </c>
      <c r="Y6738" s="42">
        <v>44691</v>
      </c>
    </row>
    <row r="6739" spans="14:25">
      <c r="N6739" s="42">
        <v>44676</v>
      </c>
      <c r="O6739" t="s">
        <v>345</v>
      </c>
      <c r="P6739" s="42">
        <v>44676</v>
      </c>
      <c r="Q6739" t="s">
        <v>345</v>
      </c>
      <c r="R6739" t="s">
        <v>320</v>
      </c>
      <c r="S6739" t="s">
        <v>323</v>
      </c>
      <c r="U6739">
        <v>7.6</v>
      </c>
      <c r="Y6739" s="42">
        <v>44677</v>
      </c>
    </row>
    <row r="6740" spans="14:25">
      <c r="N6740" s="42">
        <v>44669</v>
      </c>
      <c r="O6740" t="s">
        <v>345</v>
      </c>
      <c r="P6740" s="42">
        <v>44669</v>
      </c>
      <c r="Q6740" t="s">
        <v>345</v>
      </c>
      <c r="R6740" t="s">
        <v>320</v>
      </c>
      <c r="S6740" t="s">
        <v>323</v>
      </c>
      <c r="U6740">
        <v>7.6</v>
      </c>
      <c r="Y6740" s="42">
        <v>44677</v>
      </c>
    </row>
    <row r="6741" spans="14:25">
      <c r="N6741" s="42">
        <v>44666</v>
      </c>
      <c r="O6741" t="s">
        <v>346</v>
      </c>
      <c r="P6741" s="42">
        <v>44666</v>
      </c>
      <c r="Q6741" t="s">
        <v>346</v>
      </c>
      <c r="R6741" t="s">
        <v>320</v>
      </c>
      <c r="S6741" t="s">
        <v>323</v>
      </c>
      <c r="U6741">
        <v>7.6</v>
      </c>
      <c r="Y6741" s="42">
        <v>44677</v>
      </c>
    </row>
    <row r="6742" spans="14:25">
      <c r="N6742" s="42">
        <v>44641</v>
      </c>
      <c r="O6742" t="s">
        <v>345</v>
      </c>
      <c r="P6742" s="42">
        <v>44641</v>
      </c>
      <c r="Q6742" t="s">
        <v>345</v>
      </c>
      <c r="R6742" t="s">
        <v>320</v>
      </c>
      <c r="S6742" t="s">
        <v>323</v>
      </c>
      <c r="T6742">
        <v>7.6</v>
      </c>
      <c r="V6742">
        <v>0</v>
      </c>
      <c r="Y6742" s="42">
        <v>44649</v>
      </c>
    </row>
    <row r="6743" spans="14:25">
      <c r="N6743" s="42">
        <v>44636</v>
      </c>
      <c r="O6743" t="s">
        <v>328</v>
      </c>
      <c r="P6743" s="42">
        <v>44638</v>
      </c>
      <c r="Q6743" t="s">
        <v>346</v>
      </c>
      <c r="R6743" t="s">
        <v>320</v>
      </c>
      <c r="S6743" t="s">
        <v>323</v>
      </c>
      <c r="T6743">
        <v>22.8</v>
      </c>
      <c r="U6743">
        <v>0</v>
      </c>
      <c r="V6743">
        <v>0</v>
      </c>
      <c r="Y6743" s="42">
        <v>44649</v>
      </c>
    </row>
    <row r="6744" spans="14:25">
      <c r="N6744" s="42">
        <v>44635</v>
      </c>
      <c r="O6744" t="s">
        <v>333</v>
      </c>
      <c r="P6744" s="42">
        <v>44635</v>
      </c>
      <c r="Q6744" t="s">
        <v>333</v>
      </c>
      <c r="R6744" t="s">
        <v>320</v>
      </c>
      <c r="S6744" t="s">
        <v>323</v>
      </c>
      <c r="T6744">
        <v>7.6</v>
      </c>
      <c r="U6744">
        <v>0</v>
      </c>
      <c r="V6744">
        <v>0</v>
      </c>
      <c r="Y6744" s="42">
        <v>44635</v>
      </c>
    </row>
    <row r="6745" spans="14:25">
      <c r="N6745" s="42">
        <v>44634</v>
      </c>
      <c r="O6745" t="s">
        <v>345</v>
      </c>
      <c r="P6745" s="42">
        <v>44634</v>
      </c>
      <c r="Q6745" t="s">
        <v>345</v>
      </c>
      <c r="R6745" t="s">
        <v>320</v>
      </c>
      <c r="S6745" t="s">
        <v>323</v>
      </c>
      <c r="U6745">
        <v>7.6</v>
      </c>
      <c r="Y6745" s="42">
        <v>44635</v>
      </c>
    </row>
    <row r="6746" spans="14:25">
      <c r="N6746" s="42">
        <v>44623</v>
      </c>
      <c r="O6746" t="s">
        <v>324</v>
      </c>
      <c r="P6746" s="42">
        <v>44624</v>
      </c>
      <c r="Q6746" t="s">
        <v>346</v>
      </c>
      <c r="R6746" t="s">
        <v>320</v>
      </c>
      <c r="S6746" t="s">
        <v>323</v>
      </c>
      <c r="T6746">
        <v>15.2</v>
      </c>
      <c r="V6746">
        <v>0</v>
      </c>
      <c r="Y6746" s="42">
        <v>44635</v>
      </c>
    </row>
    <row r="6747" spans="14:25">
      <c r="N6747" s="42">
        <v>44608</v>
      </c>
      <c r="O6747" t="s">
        <v>328</v>
      </c>
      <c r="P6747" s="42">
        <v>44613</v>
      </c>
      <c r="Q6747" t="s">
        <v>345</v>
      </c>
      <c r="R6747" t="s">
        <v>320</v>
      </c>
      <c r="S6747" t="s">
        <v>323</v>
      </c>
      <c r="T6747">
        <v>30.4</v>
      </c>
      <c r="U6747">
        <v>0</v>
      </c>
      <c r="V6747">
        <v>0</v>
      </c>
      <c r="Y6747" s="42">
        <v>44621</v>
      </c>
    </row>
    <row r="6748" spans="14:25">
      <c r="N6748" s="42">
        <v>44607</v>
      </c>
      <c r="O6748" t="s">
        <v>333</v>
      </c>
      <c r="P6748" s="42">
        <v>44607</v>
      </c>
      <c r="Q6748" t="s">
        <v>333</v>
      </c>
      <c r="R6748" t="s">
        <v>320</v>
      </c>
      <c r="S6748" t="s">
        <v>323</v>
      </c>
      <c r="T6748">
        <v>7.6</v>
      </c>
      <c r="U6748">
        <v>0</v>
      </c>
      <c r="V6748">
        <v>0</v>
      </c>
      <c r="Y6748" s="42">
        <v>44607</v>
      </c>
    </row>
    <row r="6749" spans="14:25">
      <c r="N6749" s="42">
        <v>44587</v>
      </c>
      <c r="O6749" t="s">
        <v>328</v>
      </c>
      <c r="P6749" s="42">
        <v>44587</v>
      </c>
      <c r="Q6749" t="s">
        <v>328</v>
      </c>
      <c r="R6749" t="s">
        <v>320</v>
      </c>
      <c r="S6749" t="s">
        <v>323</v>
      </c>
      <c r="U6749">
        <v>7.6</v>
      </c>
      <c r="Y6749" s="42">
        <v>44593</v>
      </c>
    </row>
    <row r="6750" spans="14:25">
      <c r="N6750" s="42">
        <v>44559</v>
      </c>
      <c r="O6750" t="s">
        <v>328</v>
      </c>
      <c r="P6750" s="42">
        <v>44565</v>
      </c>
      <c r="Q6750" t="s">
        <v>333</v>
      </c>
      <c r="R6750" t="s">
        <v>320</v>
      </c>
      <c r="S6750" t="s">
        <v>323</v>
      </c>
      <c r="T6750">
        <v>30.4</v>
      </c>
      <c r="U6750">
        <v>7.6</v>
      </c>
      <c r="V6750">
        <v>0</v>
      </c>
      <c r="Y6750" s="42">
        <v>44565</v>
      </c>
    </row>
    <row r="6751" spans="14:25">
      <c r="N6751" s="42">
        <v>44558</v>
      </c>
      <c r="O6751" t="s">
        <v>333</v>
      </c>
      <c r="P6751" s="42">
        <v>44558</v>
      </c>
      <c r="Q6751" t="s">
        <v>333</v>
      </c>
      <c r="R6751" t="s">
        <v>320</v>
      </c>
      <c r="S6751" t="s">
        <v>323</v>
      </c>
      <c r="U6751">
        <v>7.6</v>
      </c>
      <c r="Y6751" s="42">
        <v>44565</v>
      </c>
    </row>
    <row r="6752" spans="14:25">
      <c r="N6752" s="42">
        <v>44557</v>
      </c>
      <c r="O6752" t="s">
        <v>345</v>
      </c>
      <c r="P6752" s="42">
        <v>44557</v>
      </c>
      <c r="Q6752" t="s">
        <v>345</v>
      </c>
      <c r="R6752" t="s">
        <v>320</v>
      </c>
      <c r="S6752" t="s">
        <v>323</v>
      </c>
      <c r="U6752">
        <v>7.6</v>
      </c>
      <c r="Y6752" s="42">
        <v>44565</v>
      </c>
    </row>
    <row r="6753" spans="14:25">
      <c r="N6753" s="42">
        <v>44512</v>
      </c>
      <c r="O6753" t="s">
        <v>346</v>
      </c>
      <c r="P6753" s="42">
        <v>44518</v>
      </c>
      <c r="Q6753" t="s">
        <v>324</v>
      </c>
      <c r="R6753" t="s">
        <v>320</v>
      </c>
      <c r="S6753" t="s">
        <v>323</v>
      </c>
      <c r="T6753">
        <v>38</v>
      </c>
      <c r="V6753">
        <v>0</v>
      </c>
      <c r="Y6753" s="42">
        <v>44523</v>
      </c>
    </row>
    <row r="6754" spans="14:25">
      <c r="N6754" s="42">
        <v>44502</v>
      </c>
      <c r="O6754" t="s">
        <v>333</v>
      </c>
      <c r="P6754" s="42">
        <v>44502</v>
      </c>
      <c r="Q6754" t="s">
        <v>333</v>
      </c>
      <c r="R6754" t="s">
        <v>320</v>
      </c>
      <c r="S6754" t="s">
        <v>323</v>
      </c>
      <c r="U6754">
        <v>7.6</v>
      </c>
      <c r="Y6754" s="42">
        <v>44509</v>
      </c>
    </row>
    <row r="6755" spans="14:25">
      <c r="N6755" s="42">
        <v>44463</v>
      </c>
      <c r="O6755" t="s">
        <v>346</v>
      </c>
      <c r="P6755" s="42">
        <v>44463</v>
      </c>
      <c r="Q6755" t="s">
        <v>346</v>
      </c>
      <c r="R6755" t="s">
        <v>320</v>
      </c>
      <c r="S6755" t="s">
        <v>323</v>
      </c>
      <c r="U6755">
        <v>7.6</v>
      </c>
      <c r="Y6755" s="42">
        <v>44467</v>
      </c>
    </row>
    <row r="6756" spans="14:25">
      <c r="N6756" s="42">
        <v>44361</v>
      </c>
      <c r="O6756" t="s">
        <v>345</v>
      </c>
      <c r="P6756" s="42">
        <v>44361</v>
      </c>
      <c r="Q6756" t="s">
        <v>345</v>
      </c>
      <c r="R6756" t="s">
        <v>320</v>
      </c>
      <c r="S6756" t="s">
        <v>323</v>
      </c>
      <c r="U6756">
        <v>7.6</v>
      </c>
      <c r="Y6756" s="42">
        <v>44369</v>
      </c>
    </row>
    <row r="6757" spans="14:25">
      <c r="N6757" s="42">
        <v>44340</v>
      </c>
      <c r="O6757" t="s">
        <v>345</v>
      </c>
      <c r="P6757" s="42">
        <v>44340</v>
      </c>
      <c r="Q6757" t="s">
        <v>345</v>
      </c>
      <c r="R6757" t="s">
        <v>320</v>
      </c>
      <c r="S6757" t="s">
        <v>323</v>
      </c>
      <c r="T6757">
        <v>7.6</v>
      </c>
      <c r="V6757">
        <v>0</v>
      </c>
      <c r="Y6757" s="42">
        <v>44341</v>
      </c>
    </row>
    <row r="6758" spans="14:25">
      <c r="N6758" s="42">
        <v>44286</v>
      </c>
      <c r="O6758" t="s">
        <v>328</v>
      </c>
      <c r="P6758" s="42">
        <v>44291</v>
      </c>
      <c r="Q6758" t="s">
        <v>345</v>
      </c>
      <c r="R6758" t="s">
        <v>320</v>
      </c>
      <c r="S6758" t="s">
        <v>323</v>
      </c>
      <c r="T6758">
        <v>15.2</v>
      </c>
      <c r="U6758">
        <v>15.2</v>
      </c>
      <c r="V6758">
        <v>0</v>
      </c>
      <c r="Y6758" s="42">
        <v>44299</v>
      </c>
    </row>
    <row r="6759" spans="14:25">
      <c r="N6759" s="42">
        <v>44284</v>
      </c>
      <c r="O6759" t="s">
        <v>345</v>
      </c>
      <c r="P6759" s="42">
        <v>44285</v>
      </c>
      <c r="Q6759" t="s">
        <v>333</v>
      </c>
      <c r="R6759" t="s">
        <v>320</v>
      </c>
      <c r="S6759" t="s">
        <v>323</v>
      </c>
      <c r="T6759">
        <v>15.2</v>
      </c>
      <c r="U6759">
        <v>0</v>
      </c>
      <c r="V6759">
        <v>0</v>
      </c>
      <c r="Y6759" s="42">
        <v>44285</v>
      </c>
    </row>
    <row r="6760" spans="14:25">
      <c r="N6760" s="42">
        <v>44263</v>
      </c>
      <c r="O6760" t="s">
        <v>345</v>
      </c>
      <c r="P6760" s="42">
        <v>44263</v>
      </c>
      <c r="Q6760" t="s">
        <v>345</v>
      </c>
      <c r="R6760" t="s">
        <v>320</v>
      </c>
      <c r="S6760" t="s">
        <v>323</v>
      </c>
      <c r="U6760">
        <v>7.6</v>
      </c>
      <c r="Y6760" s="42">
        <v>44271</v>
      </c>
    </row>
    <row r="6761" spans="14:25">
      <c r="N6761" s="42">
        <v>44252</v>
      </c>
      <c r="O6761" t="s">
        <v>324</v>
      </c>
      <c r="P6761" s="42">
        <v>44253</v>
      </c>
      <c r="Q6761" t="s">
        <v>346</v>
      </c>
      <c r="R6761" t="s">
        <v>320</v>
      </c>
      <c r="S6761" t="s">
        <v>323</v>
      </c>
      <c r="T6761">
        <v>15.2</v>
      </c>
      <c r="V6761">
        <v>0</v>
      </c>
      <c r="Y6761" s="42">
        <v>44257</v>
      </c>
    </row>
    <row r="6762" spans="14:25">
      <c r="N6762" s="42">
        <v>44222</v>
      </c>
      <c r="O6762" t="s">
        <v>333</v>
      </c>
      <c r="P6762" s="42">
        <v>44222</v>
      </c>
      <c r="Q6762" t="s">
        <v>333</v>
      </c>
      <c r="R6762" t="s">
        <v>320</v>
      </c>
      <c r="S6762" t="s">
        <v>323</v>
      </c>
      <c r="U6762">
        <v>7.6</v>
      </c>
      <c r="Y6762" s="42">
        <v>44229</v>
      </c>
    </row>
    <row r="6763" spans="14:25">
      <c r="N6763" s="42">
        <v>44221</v>
      </c>
      <c r="O6763" t="s">
        <v>345</v>
      </c>
      <c r="P6763" s="42">
        <v>44221</v>
      </c>
      <c r="Q6763" t="s">
        <v>345</v>
      </c>
      <c r="R6763" t="s">
        <v>320</v>
      </c>
      <c r="S6763" t="s">
        <v>323</v>
      </c>
      <c r="T6763">
        <v>7.6</v>
      </c>
      <c r="V6763">
        <v>0</v>
      </c>
      <c r="Y6763" s="42">
        <v>44229</v>
      </c>
    </row>
    <row r="6764" spans="14:25">
      <c r="N6764" s="42">
        <v>44207</v>
      </c>
      <c r="O6764" t="s">
        <v>345</v>
      </c>
      <c r="P6764" s="42">
        <v>44207</v>
      </c>
      <c r="Q6764" t="s">
        <v>345</v>
      </c>
      <c r="R6764" t="s">
        <v>320</v>
      </c>
      <c r="S6764" t="s">
        <v>323</v>
      </c>
      <c r="T6764">
        <v>7.6</v>
      </c>
      <c r="V6764">
        <v>0</v>
      </c>
      <c r="Y6764" s="42">
        <v>44215</v>
      </c>
    </row>
    <row r="6765" spans="14:25">
      <c r="N6765" s="42">
        <v>44189</v>
      </c>
      <c r="O6765" t="s">
        <v>324</v>
      </c>
      <c r="P6765" s="42">
        <v>44200</v>
      </c>
      <c r="Q6765" t="s">
        <v>345</v>
      </c>
      <c r="R6765" t="s">
        <v>320</v>
      </c>
      <c r="S6765" t="s">
        <v>323</v>
      </c>
      <c r="T6765">
        <v>38</v>
      </c>
      <c r="U6765">
        <v>22.8</v>
      </c>
      <c r="V6765">
        <v>0</v>
      </c>
      <c r="Y6765" s="42">
        <v>44201</v>
      </c>
    </row>
    <row r="6766" spans="14:25">
      <c r="N6766" s="42">
        <v>44138</v>
      </c>
      <c r="O6766" t="s">
        <v>333</v>
      </c>
      <c r="P6766" s="42">
        <v>44138</v>
      </c>
      <c r="Q6766" t="s">
        <v>333</v>
      </c>
      <c r="R6766" t="s">
        <v>320</v>
      </c>
      <c r="S6766" t="s">
        <v>323</v>
      </c>
      <c r="U6766">
        <v>7.6</v>
      </c>
      <c r="Y6766" s="42">
        <v>44145</v>
      </c>
    </row>
    <row r="6767" spans="14:25">
      <c r="N6767" s="42">
        <v>44127</v>
      </c>
      <c r="O6767" t="s">
        <v>346</v>
      </c>
      <c r="P6767" s="42">
        <v>44127</v>
      </c>
      <c r="Q6767" t="s">
        <v>346</v>
      </c>
      <c r="R6767" t="s">
        <v>320</v>
      </c>
      <c r="S6767" t="s">
        <v>323</v>
      </c>
      <c r="U6767">
        <v>7.6</v>
      </c>
      <c r="Y6767" s="42">
        <v>44131</v>
      </c>
    </row>
    <row r="6768" spans="14:25">
      <c r="N6768" s="42">
        <v>44008</v>
      </c>
      <c r="O6768" t="s">
        <v>346</v>
      </c>
      <c r="P6768" s="42">
        <v>44008</v>
      </c>
      <c r="Q6768" t="s">
        <v>346</v>
      </c>
      <c r="R6768" t="s">
        <v>320</v>
      </c>
      <c r="S6768" t="s">
        <v>323</v>
      </c>
      <c r="T6768">
        <v>7.6</v>
      </c>
      <c r="V6768">
        <v>0</v>
      </c>
      <c r="Y6768" s="42">
        <v>44019</v>
      </c>
    </row>
    <row r="6769" spans="1:25">
      <c r="N6769" s="42">
        <v>43991</v>
      </c>
      <c r="O6769" t="s">
        <v>333</v>
      </c>
      <c r="P6769" s="42">
        <v>43991</v>
      </c>
      <c r="Q6769" t="s">
        <v>333</v>
      </c>
      <c r="R6769" t="s">
        <v>320</v>
      </c>
      <c r="S6769" t="s">
        <v>323</v>
      </c>
      <c r="T6769">
        <v>7.6</v>
      </c>
      <c r="V6769">
        <v>0</v>
      </c>
      <c r="Y6769" s="42">
        <v>43991</v>
      </c>
    </row>
    <row r="6770" spans="1:25">
      <c r="N6770" s="42">
        <v>43990</v>
      </c>
      <c r="O6770" t="s">
        <v>345</v>
      </c>
      <c r="P6770" s="42">
        <v>43990</v>
      </c>
      <c r="Q6770" t="s">
        <v>345</v>
      </c>
      <c r="R6770" t="s">
        <v>320</v>
      </c>
      <c r="S6770" t="s">
        <v>323</v>
      </c>
      <c r="T6770">
        <v>0</v>
      </c>
      <c r="U6770">
        <v>7.6</v>
      </c>
      <c r="Y6770" s="42">
        <v>43991</v>
      </c>
    </row>
    <row r="6771" spans="1:25">
      <c r="N6771" s="42">
        <v>43951</v>
      </c>
      <c r="O6771" t="s">
        <v>324</v>
      </c>
      <c r="P6771" s="42">
        <v>43951</v>
      </c>
      <c r="Q6771" t="s">
        <v>324</v>
      </c>
      <c r="R6771" t="s">
        <v>320</v>
      </c>
      <c r="S6771" t="s">
        <v>323</v>
      </c>
      <c r="T6771">
        <v>7.6</v>
      </c>
      <c r="V6771">
        <v>0</v>
      </c>
      <c r="Y6771" s="42">
        <v>43963</v>
      </c>
    </row>
    <row r="6772" spans="1:25">
      <c r="N6772" s="42">
        <v>43934</v>
      </c>
      <c r="O6772" t="s">
        <v>345</v>
      </c>
      <c r="P6772" s="42">
        <v>43934</v>
      </c>
      <c r="Q6772" t="s">
        <v>345</v>
      </c>
      <c r="R6772" t="s">
        <v>320</v>
      </c>
      <c r="S6772" t="s">
        <v>323</v>
      </c>
      <c r="T6772">
        <v>0</v>
      </c>
      <c r="U6772">
        <v>7.6</v>
      </c>
      <c r="Y6772" s="42">
        <v>43935</v>
      </c>
    </row>
    <row r="6773" spans="1:25">
      <c r="N6773" s="42">
        <v>43931</v>
      </c>
      <c r="O6773" t="s">
        <v>346</v>
      </c>
      <c r="P6773" s="42">
        <v>43931</v>
      </c>
      <c r="Q6773" t="s">
        <v>346</v>
      </c>
      <c r="R6773" t="s">
        <v>320</v>
      </c>
      <c r="S6773" t="s">
        <v>323</v>
      </c>
      <c r="T6773">
        <v>0</v>
      </c>
      <c r="U6773">
        <v>7.6</v>
      </c>
      <c r="Y6773" s="42">
        <v>43935</v>
      </c>
    </row>
    <row r="6774" spans="1:25">
      <c r="N6774" s="42">
        <v>43899</v>
      </c>
      <c r="O6774" t="s">
        <v>345</v>
      </c>
      <c r="P6774" s="42">
        <v>43899</v>
      </c>
      <c r="Q6774" t="s">
        <v>345</v>
      </c>
      <c r="R6774" t="s">
        <v>320</v>
      </c>
      <c r="S6774" t="s">
        <v>323</v>
      </c>
      <c r="T6774">
        <v>0</v>
      </c>
      <c r="U6774">
        <v>7.6</v>
      </c>
      <c r="Y6774" s="42">
        <v>43907</v>
      </c>
    </row>
    <row r="6775" spans="1:25">
      <c r="N6775" s="42">
        <v>43881</v>
      </c>
      <c r="O6775" t="s">
        <v>324</v>
      </c>
      <c r="P6775" s="42">
        <v>43882</v>
      </c>
      <c r="Q6775" t="s">
        <v>346</v>
      </c>
      <c r="R6775" t="s">
        <v>320</v>
      </c>
      <c r="S6775" t="s">
        <v>323</v>
      </c>
      <c r="T6775">
        <v>15.2</v>
      </c>
      <c r="V6775">
        <v>0</v>
      </c>
      <c r="Y6775" s="42">
        <v>43893</v>
      </c>
    </row>
    <row r="6776" spans="1:25">
      <c r="N6776" s="42">
        <v>43857</v>
      </c>
      <c r="O6776" t="s">
        <v>345</v>
      </c>
      <c r="P6776" s="42">
        <v>43857</v>
      </c>
      <c r="Q6776" t="s">
        <v>345</v>
      </c>
      <c r="R6776" t="s">
        <v>320</v>
      </c>
      <c r="S6776" t="s">
        <v>323</v>
      </c>
      <c r="T6776">
        <v>0</v>
      </c>
      <c r="U6776">
        <v>7.6</v>
      </c>
      <c r="Y6776" s="42">
        <v>43865</v>
      </c>
    </row>
    <row r="6777" spans="1:25">
      <c r="N6777" s="42">
        <v>43826</v>
      </c>
      <c r="O6777" t="s">
        <v>346</v>
      </c>
      <c r="P6777" s="42">
        <v>43830</v>
      </c>
      <c r="Q6777" t="s">
        <v>333</v>
      </c>
      <c r="R6777" t="s">
        <v>320</v>
      </c>
      <c r="S6777" t="s">
        <v>323</v>
      </c>
      <c r="T6777">
        <v>22.8</v>
      </c>
      <c r="Y6777" s="42">
        <v>43837</v>
      </c>
    </row>
    <row r="6778" spans="1:25">
      <c r="N6778" s="42">
        <v>43822</v>
      </c>
      <c r="O6778" t="s">
        <v>345</v>
      </c>
      <c r="P6778" s="42">
        <v>43823</v>
      </c>
      <c r="Q6778" t="s">
        <v>333</v>
      </c>
      <c r="R6778" t="s">
        <v>320</v>
      </c>
      <c r="S6778" t="s">
        <v>323</v>
      </c>
      <c r="T6778">
        <v>15.2</v>
      </c>
      <c r="Y6778" s="42">
        <v>43823</v>
      </c>
    </row>
    <row r="6779" spans="1:25">
      <c r="N6779" s="42">
        <v>43791</v>
      </c>
      <c r="O6779" t="s">
        <v>346</v>
      </c>
      <c r="P6779" s="42">
        <v>43791</v>
      </c>
      <c r="Q6779" t="s">
        <v>346</v>
      </c>
      <c r="R6779" t="s">
        <v>354</v>
      </c>
      <c r="S6779" t="s">
        <v>323</v>
      </c>
      <c r="T6779">
        <v>7.6</v>
      </c>
      <c r="W6779" t="s">
        <v>339</v>
      </c>
      <c r="Y6779" s="42">
        <v>43795</v>
      </c>
    </row>
    <row r="6780" spans="1:25">
      <c r="N6780" s="42">
        <v>43774</v>
      </c>
      <c r="O6780" t="s">
        <v>333</v>
      </c>
      <c r="P6780" s="42">
        <v>43774</v>
      </c>
      <c r="Q6780" t="s">
        <v>333</v>
      </c>
      <c r="R6780" t="s">
        <v>320</v>
      </c>
      <c r="S6780" t="s">
        <v>323</v>
      </c>
      <c r="T6780">
        <v>0</v>
      </c>
      <c r="U6780">
        <v>7.6</v>
      </c>
      <c r="Y6780" s="42">
        <v>43781</v>
      </c>
    </row>
    <row r="6781" spans="1:25">
      <c r="N6781" s="42">
        <v>43761</v>
      </c>
      <c r="O6781" t="s">
        <v>328</v>
      </c>
      <c r="P6781" s="42">
        <v>43763</v>
      </c>
      <c r="Q6781" t="s">
        <v>346</v>
      </c>
      <c r="R6781" t="s">
        <v>320</v>
      </c>
      <c r="S6781" t="s">
        <v>323</v>
      </c>
      <c r="T6781">
        <v>22.8</v>
      </c>
      <c r="V6781">
        <v>0</v>
      </c>
      <c r="Y6781" s="42">
        <v>43767</v>
      </c>
    </row>
    <row r="6782" spans="1:25">
      <c r="A6782">
        <v>18858</v>
      </c>
      <c r="B6782" t="s">
        <v>423</v>
      </c>
      <c r="C6782" t="s">
        <v>320</v>
      </c>
      <c r="D6782" t="s">
        <v>336</v>
      </c>
      <c r="E6782" t="s">
        <v>337</v>
      </c>
      <c r="F6782">
        <v>1</v>
      </c>
      <c r="G6782" s="42">
        <v>45308</v>
      </c>
      <c r="H6782">
        <v>80.680800000000005</v>
      </c>
      <c r="I6782">
        <v>114.1262</v>
      </c>
      <c r="J6782">
        <v>0.97450000000000003</v>
      </c>
      <c r="K6782">
        <v>115.1007</v>
      </c>
      <c r="L6782" t="s">
        <v>323</v>
      </c>
      <c r="M6782" s="43">
        <v>0.13055555555555556</v>
      </c>
      <c r="N6782" s="42">
        <v>44983</v>
      </c>
      <c r="O6782" t="s">
        <v>344</v>
      </c>
      <c r="P6782" s="42">
        <v>44983</v>
      </c>
      <c r="Q6782" t="s">
        <v>344</v>
      </c>
      <c r="R6782" t="s">
        <v>370</v>
      </c>
      <c r="S6782" t="s">
        <v>323</v>
      </c>
      <c r="T6782">
        <v>7.6</v>
      </c>
      <c r="W6782" t="s">
        <v>330</v>
      </c>
      <c r="Y6782" s="42">
        <v>44985</v>
      </c>
    </row>
    <row r="6783" spans="1:25">
      <c r="C6783" t="s">
        <v>325</v>
      </c>
      <c r="D6783" t="s">
        <v>395</v>
      </c>
      <c r="E6783" t="s">
        <v>396</v>
      </c>
      <c r="F6783">
        <v>1</v>
      </c>
      <c r="G6783" s="42">
        <v>47302</v>
      </c>
      <c r="H6783">
        <v>216.947</v>
      </c>
      <c r="I6783">
        <v>0</v>
      </c>
      <c r="J6783">
        <v>91.831000000000003</v>
      </c>
      <c r="K6783">
        <v>91.831000000000003</v>
      </c>
      <c r="L6783" t="s">
        <v>323</v>
      </c>
      <c r="N6783" s="42">
        <v>44982</v>
      </c>
      <c r="O6783" t="s">
        <v>359</v>
      </c>
      <c r="P6783" s="42">
        <v>44982</v>
      </c>
      <c r="Q6783" t="s">
        <v>359</v>
      </c>
      <c r="R6783" t="s">
        <v>370</v>
      </c>
      <c r="S6783" t="s">
        <v>323</v>
      </c>
      <c r="T6783">
        <v>7.6</v>
      </c>
      <c r="W6783" t="s">
        <v>330</v>
      </c>
      <c r="Y6783" s="42">
        <v>44985</v>
      </c>
    </row>
    <row r="6784" spans="1:25">
      <c r="C6784" t="s">
        <v>329</v>
      </c>
      <c r="D6784" t="s">
        <v>342</v>
      </c>
      <c r="E6784" t="s">
        <v>343</v>
      </c>
      <c r="F6784">
        <v>1</v>
      </c>
      <c r="G6784" s="42">
        <v>45308</v>
      </c>
      <c r="H6784">
        <v>40.340400000000002</v>
      </c>
      <c r="I6784">
        <v>41.863900000000001</v>
      </c>
      <c r="J6784">
        <v>0.48720000000000002</v>
      </c>
      <c r="K6784">
        <v>42.351100000000002</v>
      </c>
      <c r="L6784" t="s">
        <v>323</v>
      </c>
      <c r="N6784" s="42">
        <v>44979</v>
      </c>
      <c r="O6784" t="s">
        <v>328</v>
      </c>
      <c r="P6784" s="42">
        <v>44979</v>
      </c>
      <c r="Q6784" t="s">
        <v>328</v>
      </c>
      <c r="R6784" t="s">
        <v>370</v>
      </c>
      <c r="S6784" t="s">
        <v>323</v>
      </c>
      <c r="T6784">
        <v>7.6</v>
      </c>
      <c r="W6784" t="s">
        <v>330</v>
      </c>
      <c r="Y6784" s="42">
        <v>44985</v>
      </c>
    </row>
    <row r="6785" spans="14:25">
      <c r="N6785" s="42">
        <v>44976</v>
      </c>
      <c r="O6785" t="s">
        <v>344</v>
      </c>
      <c r="P6785" s="42">
        <v>44976</v>
      </c>
      <c r="Q6785" t="s">
        <v>344</v>
      </c>
      <c r="R6785" t="s">
        <v>370</v>
      </c>
      <c r="S6785" t="s">
        <v>323</v>
      </c>
      <c r="T6785">
        <v>7.6</v>
      </c>
      <c r="W6785" t="s">
        <v>330</v>
      </c>
      <c r="Y6785" s="42">
        <v>44985</v>
      </c>
    </row>
    <row r="6786" spans="14:25">
      <c r="N6786" s="42">
        <v>44975</v>
      </c>
      <c r="O6786" t="s">
        <v>359</v>
      </c>
      <c r="P6786" s="42">
        <v>44975</v>
      </c>
      <c r="Q6786" t="s">
        <v>359</v>
      </c>
      <c r="R6786" t="s">
        <v>370</v>
      </c>
      <c r="S6786" t="s">
        <v>323</v>
      </c>
      <c r="T6786">
        <v>7.6</v>
      </c>
      <c r="W6786" t="s">
        <v>330</v>
      </c>
      <c r="Y6786" s="42">
        <v>44985</v>
      </c>
    </row>
    <row r="6787" spans="14:25">
      <c r="N6787" s="42">
        <v>44972</v>
      </c>
      <c r="O6787" t="s">
        <v>328</v>
      </c>
      <c r="P6787" s="42">
        <v>44972</v>
      </c>
      <c r="Q6787" t="s">
        <v>328</v>
      </c>
      <c r="R6787" t="s">
        <v>370</v>
      </c>
      <c r="S6787" t="s">
        <v>323</v>
      </c>
      <c r="T6787">
        <v>7.6</v>
      </c>
      <c r="W6787" t="s">
        <v>330</v>
      </c>
      <c r="Y6787" s="42">
        <v>44985</v>
      </c>
    </row>
    <row r="6788" spans="14:25">
      <c r="N6788" s="42">
        <v>44969</v>
      </c>
      <c r="O6788" t="s">
        <v>344</v>
      </c>
      <c r="P6788" s="42">
        <v>44969</v>
      </c>
      <c r="Q6788" t="s">
        <v>344</v>
      </c>
      <c r="R6788" t="s">
        <v>370</v>
      </c>
      <c r="S6788" t="s">
        <v>323</v>
      </c>
      <c r="T6788">
        <v>7.6</v>
      </c>
      <c r="W6788" t="s">
        <v>330</v>
      </c>
      <c r="Y6788" s="42">
        <v>44971</v>
      </c>
    </row>
    <row r="6789" spans="14:25">
      <c r="N6789" s="42">
        <v>44968</v>
      </c>
      <c r="O6789" t="s">
        <v>359</v>
      </c>
      <c r="P6789" s="42">
        <v>44968</v>
      </c>
      <c r="Q6789" t="s">
        <v>359</v>
      </c>
      <c r="R6789" t="s">
        <v>370</v>
      </c>
      <c r="S6789" t="s">
        <v>323</v>
      </c>
      <c r="T6789">
        <v>7.6</v>
      </c>
      <c r="W6789" t="s">
        <v>330</v>
      </c>
      <c r="Y6789" s="42">
        <v>44971</v>
      </c>
    </row>
    <row r="6790" spans="14:25">
      <c r="N6790" s="42">
        <v>44965</v>
      </c>
      <c r="O6790" t="s">
        <v>328</v>
      </c>
      <c r="P6790" s="42">
        <v>44965</v>
      </c>
      <c r="Q6790" t="s">
        <v>328</v>
      </c>
      <c r="R6790" t="s">
        <v>370</v>
      </c>
      <c r="S6790" t="s">
        <v>323</v>
      </c>
      <c r="T6790">
        <v>7.6</v>
      </c>
      <c r="W6790" t="s">
        <v>330</v>
      </c>
      <c r="Y6790" s="42">
        <v>44971</v>
      </c>
    </row>
    <row r="6791" spans="14:25">
      <c r="N6791" s="42">
        <v>44962</v>
      </c>
      <c r="O6791" t="s">
        <v>344</v>
      </c>
      <c r="P6791" s="42">
        <v>44962</v>
      </c>
      <c r="Q6791" t="s">
        <v>344</v>
      </c>
      <c r="R6791" t="s">
        <v>370</v>
      </c>
      <c r="S6791" t="s">
        <v>323</v>
      </c>
      <c r="T6791">
        <v>7.6</v>
      </c>
      <c r="W6791" t="s">
        <v>330</v>
      </c>
      <c r="Y6791" s="42">
        <v>44971</v>
      </c>
    </row>
    <row r="6792" spans="14:25">
      <c r="N6792" s="42">
        <v>44961</v>
      </c>
      <c r="O6792" t="s">
        <v>359</v>
      </c>
      <c r="P6792" s="42">
        <v>44961</v>
      </c>
      <c r="Q6792" t="s">
        <v>359</v>
      </c>
      <c r="R6792" t="s">
        <v>370</v>
      </c>
      <c r="S6792" t="s">
        <v>323</v>
      </c>
      <c r="T6792">
        <v>7.6</v>
      </c>
      <c r="W6792" t="s">
        <v>330</v>
      </c>
      <c r="Y6792" s="42">
        <v>44971</v>
      </c>
    </row>
    <row r="6793" spans="14:25">
      <c r="N6793" s="42">
        <v>44958</v>
      </c>
      <c r="O6793" t="s">
        <v>328</v>
      </c>
      <c r="P6793" s="42">
        <v>44958</v>
      </c>
      <c r="Q6793" t="s">
        <v>328</v>
      </c>
      <c r="R6793" t="s">
        <v>370</v>
      </c>
      <c r="S6793" t="s">
        <v>323</v>
      </c>
      <c r="T6793">
        <v>7.6</v>
      </c>
      <c r="W6793" t="s">
        <v>330</v>
      </c>
      <c r="Y6793" s="42">
        <v>44971</v>
      </c>
    </row>
    <row r="6794" spans="14:25">
      <c r="N6794" s="42">
        <v>44955</v>
      </c>
      <c r="O6794" t="s">
        <v>344</v>
      </c>
      <c r="P6794" s="42">
        <v>44955</v>
      </c>
      <c r="Q6794" t="s">
        <v>344</v>
      </c>
      <c r="R6794" t="s">
        <v>370</v>
      </c>
      <c r="S6794" t="s">
        <v>323</v>
      </c>
      <c r="T6794">
        <v>7.6</v>
      </c>
      <c r="W6794" t="s">
        <v>330</v>
      </c>
      <c r="Y6794" s="42">
        <v>44957</v>
      </c>
    </row>
    <row r="6795" spans="14:25">
      <c r="N6795" s="42">
        <v>44954</v>
      </c>
      <c r="O6795" t="s">
        <v>359</v>
      </c>
      <c r="P6795" s="42">
        <v>44954</v>
      </c>
      <c r="Q6795" t="s">
        <v>359</v>
      </c>
      <c r="R6795" t="s">
        <v>370</v>
      </c>
      <c r="S6795" t="s">
        <v>323</v>
      </c>
      <c r="T6795">
        <v>7.6</v>
      </c>
      <c r="W6795" t="s">
        <v>330</v>
      </c>
      <c r="Y6795" s="42">
        <v>44957</v>
      </c>
    </row>
    <row r="6796" spans="14:25">
      <c r="N6796" s="42">
        <v>44951</v>
      </c>
      <c r="O6796" t="s">
        <v>328</v>
      </c>
      <c r="P6796" s="42">
        <v>44951</v>
      </c>
      <c r="Q6796" t="s">
        <v>328</v>
      </c>
      <c r="R6796" t="s">
        <v>370</v>
      </c>
      <c r="S6796" t="s">
        <v>323</v>
      </c>
      <c r="T6796">
        <v>7.6</v>
      </c>
      <c r="W6796" t="s">
        <v>330</v>
      </c>
      <c r="Y6796" s="42">
        <v>44957</v>
      </c>
    </row>
    <row r="6797" spans="14:25">
      <c r="N6797" s="42">
        <v>44948</v>
      </c>
      <c r="O6797" t="s">
        <v>344</v>
      </c>
      <c r="P6797" s="42">
        <v>44948</v>
      </c>
      <c r="Q6797" t="s">
        <v>344</v>
      </c>
      <c r="R6797" t="s">
        <v>370</v>
      </c>
      <c r="S6797" t="s">
        <v>323</v>
      </c>
      <c r="T6797">
        <v>7.6</v>
      </c>
      <c r="W6797" t="s">
        <v>330</v>
      </c>
      <c r="Y6797" s="42">
        <v>44957</v>
      </c>
    </row>
    <row r="6798" spans="14:25">
      <c r="N6798" s="42">
        <v>44947</v>
      </c>
      <c r="O6798" t="s">
        <v>359</v>
      </c>
      <c r="P6798" s="42">
        <v>44947</v>
      </c>
      <c r="Q6798" t="s">
        <v>359</v>
      </c>
      <c r="R6798" t="s">
        <v>370</v>
      </c>
      <c r="S6798" t="s">
        <v>323</v>
      </c>
      <c r="T6798">
        <v>7.6</v>
      </c>
      <c r="W6798" t="s">
        <v>330</v>
      </c>
      <c r="Y6798" s="42">
        <v>44957</v>
      </c>
    </row>
    <row r="6799" spans="14:25">
      <c r="N6799" s="42">
        <v>44944</v>
      </c>
      <c r="O6799" t="s">
        <v>328</v>
      </c>
      <c r="P6799" s="42">
        <v>44944</v>
      </c>
      <c r="Q6799" t="s">
        <v>328</v>
      </c>
      <c r="R6799" t="s">
        <v>370</v>
      </c>
      <c r="S6799" t="s">
        <v>323</v>
      </c>
      <c r="T6799">
        <v>7.6</v>
      </c>
      <c r="W6799" t="s">
        <v>330</v>
      </c>
      <c r="Y6799" s="42">
        <v>44957</v>
      </c>
    </row>
    <row r="6800" spans="14:25">
      <c r="N6800" s="42">
        <v>44941</v>
      </c>
      <c r="O6800" t="s">
        <v>344</v>
      </c>
      <c r="P6800" s="42">
        <v>44941</v>
      </c>
      <c r="Q6800" t="s">
        <v>344</v>
      </c>
      <c r="R6800" t="s">
        <v>370</v>
      </c>
      <c r="S6800" t="s">
        <v>323</v>
      </c>
      <c r="T6800">
        <v>7.6</v>
      </c>
      <c r="W6800" t="s">
        <v>330</v>
      </c>
      <c r="Y6800" s="42">
        <v>44943</v>
      </c>
    </row>
    <row r="6801" spans="14:25">
      <c r="N6801" s="42">
        <v>44940</v>
      </c>
      <c r="O6801" t="s">
        <v>359</v>
      </c>
      <c r="P6801" s="42">
        <v>44940</v>
      </c>
      <c r="Q6801" t="s">
        <v>359</v>
      </c>
      <c r="R6801" t="s">
        <v>370</v>
      </c>
      <c r="S6801" t="s">
        <v>323</v>
      </c>
      <c r="T6801">
        <v>7.6</v>
      </c>
      <c r="W6801" t="s">
        <v>330</v>
      </c>
      <c r="Y6801" s="42">
        <v>44943</v>
      </c>
    </row>
    <row r="6802" spans="14:25">
      <c r="N6802" s="42">
        <v>44937</v>
      </c>
      <c r="O6802" t="s">
        <v>328</v>
      </c>
      <c r="P6802" s="42">
        <v>44937</v>
      </c>
      <c r="Q6802" t="s">
        <v>328</v>
      </c>
      <c r="R6802" t="s">
        <v>370</v>
      </c>
      <c r="S6802" t="s">
        <v>323</v>
      </c>
      <c r="T6802">
        <v>7.6</v>
      </c>
      <c r="W6802" t="s">
        <v>330</v>
      </c>
      <c r="Y6802" s="42">
        <v>44943</v>
      </c>
    </row>
    <row r="6803" spans="14:25">
      <c r="N6803" s="42">
        <v>44934</v>
      </c>
      <c r="O6803" t="s">
        <v>344</v>
      </c>
      <c r="P6803" s="42">
        <v>44934</v>
      </c>
      <c r="Q6803" t="s">
        <v>344</v>
      </c>
      <c r="R6803" t="s">
        <v>370</v>
      </c>
      <c r="S6803" t="s">
        <v>323</v>
      </c>
      <c r="T6803">
        <v>7.6</v>
      </c>
      <c r="W6803" t="s">
        <v>330</v>
      </c>
      <c r="Y6803" s="42">
        <v>44943</v>
      </c>
    </row>
    <row r="6804" spans="14:25">
      <c r="N6804" s="42">
        <v>44933</v>
      </c>
      <c r="O6804" t="s">
        <v>359</v>
      </c>
      <c r="P6804" s="42">
        <v>44933</v>
      </c>
      <c r="Q6804" t="s">
        <v>359</v>
      </c>
      <c r="R6804" t="s">
        <v>370</v>
      </c>
      <c r="S6804" t="s">
        <v>323</v>
      </c>
      <c r="T6804">
        <v>7.6</v>
      </c>
      <c r="W6804" t="s">
        <v>330</v>
      </c>
      <c r="Y6804" s="42">
        <v>44943</v>
      </c>
    </row>
    <row r="6805" spans="14:25">
      <c r="N6805" s="42">
        <v>44930</v>
      </c>
      <c r="O6805" t="s">
        <v>328</v>
      </c>
      <c r="P6805" s="42">
        <v>44930</v>
      </c>
      <c r="Q6805" t="s">
        <v>328</v>
      </c>
      <c r="R6805" t="s">
        <v>370</v>
      </c>
      <c r="S6805" t="s">
        <v>323</v>
      </c>
      <c r="T6805">
        <v>7.6</v>
      </c>
      <c r="W6805" t="s">
        <v>330</v>
      </c>
      <c r="Y6805" s="42">
        <v>44943</v>
      </c>
    </row>
    <row r="6806" spans="14:25">
      <c r="N6806" s="42">
        <v>44927</v>
      </c>
      <c r="O6806" t="s">
        <v>344</v>
      </c>
      <c r="P6806" s="42">
        <v>44927</v>
      </c>
      <c r="Q6806" t="s">
        <v>344</v>
      </c>
      <c r="R6806" t="s">
        <v>320</v>
      </c>
      <c r="S6806" t="s">
        <v>323</v>
      </c>
      <c r="U6806">
        <v>7.6</v>
      </c>
    </row>
    <row r="6807" spans="14:25">
      <c r="N6807" s="42">
        <v>44927</v>
      </c>
      <c r="O6807" t="s">
        <v>344</v>
      </c>
      <c r="P6807" s="42">
        <v>44927</v>
      </c>
      <c r="Q6807" t="s">
        <v>344</v>
      </c>
      <c r="R6807" t="s">
        <v>370</v>
      </c>
      <c r="S6807" t="s">
        <v>323</v>
      </c>
      <c r="T6807">
        <v>7.6</v>
      </c>
      <c r="W6807" t="s">
        <v>330</v>
      </c>
      <c r="Y6807" s="42">
        <v>44929</v>
      </c>
    </row>
    <row r="6808" spans="14:25">
      <c r="N6808" s="42">
        <v>44926</v>
      </c>
      <c r="O6808" t="s">
        <v>359</v>
      </c>
      <c r="P6808" s="42">
        <v>44926</v>
      </c>
      <c r="Q6808" t="s">
        <v>359</v>
      </c>
      <c r="R6808" t="s">
        <v>370</v>
      </c>
      <c r="S6808" t="s">
        <v>323</v>
      </c>
      <c r="T6808">
        <v>7.6</v>
      </c>
      <c r="W6808" t="s">
        <v>330</v>
      </c>
      <c r="Y6808" s="42">
        <v>44929</v>
      </c>
    </row>
    <row r="6809" spans="14:25">
      <c r="N6809" s="42">
        <v>44923</v>
      </c>
      <c r="O6809" t="s">
        <v>328</v>
      </c>
      <c r="P6809" s="42">
        <v>44923</v>
      </c>
      <c r="Q6809" t="s">
        <v>328</v>
      </c>
      <c r="R6809" t="s">
        <v>370</v>
      </c>
      <c r="S6809" t="s">
        <v>323</v>
      </c>
      <c r="T6809">
        <v>7.6</v>
      </c>
      <c r="W6809" t="s">
        <v>330</v>
      </c>
      <c r="Y6809" s="42">
        <v>44929</v>
      </c>
    </row>
    <row r="6810" spans="14:25">
      <c r="N6810" s="42">
        <v>44920</v>
      </c>
      <c r="O6810" t="s">
        <v>344</v>
      </c>
      <c r="P6810" s="42">
        <v>44920</v>
      </c>
      <c r="Q6810" t="s">
        <v>344</v>
      </c>
      <c r="R6810" t="s">
        <v>320</v>
      </c>
      <c r="S6810" t="s">
        <v>323</v>
      </c>
      <c r="U6810">
        <v>7.6</v>
      </c>
    </row>
    <row r="6811" spans="14:25">
      <c r="N6811" s="42">
        <v>44919</v>
      </c>
      <c r="O6811" t="s">
        <v>359</v>
      </c>
      <c r="P6811" s="42">
        <v>44919</v>
      </c>
      <c r="Q6811" t="s">
        <v>359</v>
      </c>
      <c r="R6811" t="s">
        <v>320</v>
      </c>
      <c r="S6811" t="s">
        <v>323</v>
      </c>
      <c r="U6811">
        <v>7.6</v>
      </c>
    </row>
    <row r="6812" spans="14:25">
      <c r="N6812" s="42">
        <v>44919</v>
      </c>
      <c r="O6812" t="s">
        <v>359</v>
      </c>
      <c r="P6812" s="42">
        <v>44919</v>
      </c>
      <c r="Q6812" t="s">
        <v>359</v>
      </c>
      <c r="R6812" t="s">
        <v>370</v>
      </c>
      <c r="S6812" t="s">
        <v>323</v>
      </c>
      <c r="T6812">
        <v>7.6</v>
      </c>
      <c r="W6812" t="s">
        <v>330</v>
      </c>
      <c r="Y6812" s="42">
        <v>44929</v>
      </c>
    </row>
    <row r="6813" spans="14:25">
      <c r="N6813" s="42">
        <v>44916</v>
      </c>
      <c r="O6813" t="s">
        <v>328</v>
      </c>
      <c r="P6813" s="42">
        <v>44916</v>
      </c>
      <c r="Q6813" t="s">
        <v>328</v>
      </c>
      <c r="R6813" t="s">
        <v>370</v>
      </c>
      <c r="S6813" t="s">
        <v>323</v>
      </c>
      <c r="T6813">
        <v>7.6</v>
      </c>
      <c r="W6813" t="s">
        <v>330</v>
      </c>
      <c r="Y6813" s="42">
        <v>44929</v>
      </c>
    </row>
    <row r="6814" spans="14:25">
      <c r="N6814" s="42">
        <v>44913</v>
      </c>
      <c r="O6814" t="s">
        <v>344</v>
      </c>
      <c r="P6814" s="42">
        <v>44913</v>
      </c>
      <c r="Q6814" t="s">
        <v>344</v>
      </c>
      <c r="R6814" t="s">
        <v>320</v>
      </c>
      <c r="S6814" t="s">
        <v>323</v>
      </c>
      <c r="T6814">
        <v>7.6</v>
      </c>
      <c r="Y6814" s="42">
        <v>44915</v>
      </c>
    </row>
    <row r="6815" spans="14:25">
      <c r="N6815" s="42">
        <v>44912</v>
      </c>
      <c r="O6815" t="s">
        <v>359</v>
      </c>
      <c r="P6815" s="42">
        <v>44912</v>
      </c>
      <c r="Q6815" t="s">
        <v>359</v>
      </c>
      <c r="R6815" t="s">
        <v>320</v>
      </c>
      <c r="S6815" t="s">
        <v>323</v>
      </c>
      <c r="T6815">
        <v>7.6</v>
      </c>
      <c r="Y6815" s="42">
        <v>44915</v>
      </c>
    </row>
    <row r="6816" spans="14:25">
      <c r="N6816" s="42">
        <v>44909</v>
      </c>
      <c r="O6816" t="s">
        <v>328</v>
      </c>
      <c r="P6816" s="42">
        <v>44909</v>
      </c>
      <c r="Q6816" t="s">
        <v>328</v>
      </c>
      <c r="R6816" t="s">
        <v>320</v>
      </c>
      <c r="S6816" t="s">
        <v>323</v>
      </c>
      <c r="T6816">
        <v>7.6</v>
      </c>
      <c r="Y6816" s="42">
        <v>44915</v>
      </c>
    </row>
    <row r="6817" spans="14:25">
      <c r="N6817" s="42">
        <v>44906</v>
      </c>
      <c r="O6817" t="s">
        <v>344</v>
      </c>
      <c r="P6817" s="42">
        <v>44906</v>
      </c>
      <c r="Q6817" t="s">
        <v>344</v>
      </c>
      <c r="R6817" t="s">
        <v>320</v>
      </c>
      <c r="S6817" t="s">
        <v>323</v>
      </c>
      <c r="T6817">
        <v>7.6</v>
      </c>
      <c r="Y6817" s="42">
        <v>44915</v>
      </c>
    </row>
    <row r="6818" spans="14:25">
      <c r="N6818" s="42">
        <v>44905</v>
      </c>
      <c r="O6818" t="s">
        <v>359</v>
      </c>
      <c r="P6818" s="42">
        <v>44905</v>
      </c>
      <c r="Q6818" t="s">
        <v>359</v>
      </c>
      <c r="R6818" t="s">
        <v>320</v>
      </c>
      <c r="S6818" t="s">
        <v>323</v>
      </c>
      <c r="T6818">
        <v>7.6</v>
      </c>
      <c r="Y6818" s="42">
        <v>44915</v>
      </c>
    </row>
    <row r="6819" spans="14:25">
      <c r="N6819" s="42">
        <v>44902</v>
      </c>
      <c r="O6819" t="s">
        <v>328</v>
      </c>
      <c r="P6819" s="42">
        <v>44902</v>
      </c>
      <c r="Q6819" t="s">
        <v>328</v>
      </c>
      <c r="R6819" t="s">
        <v>320</v>
      </c>
      <c r="S6819" t="s">
        <v>323</v>
      </c>
      <c r="T6819">
        <v>7.6</v>
      </c>
      <c r="Y6819" s="42">
        <v>44915</v>
      </c>
    </row>
    <row r="6820" spans="14:25">
      <c r="N6820" s="42">
        <v>44899</v>
      </c>
      <c r="O6820" t="s">
        <v>344</v>
      </c>
      <c r="P6820" s="42">
        <v>44899</v>
      </c>
      <c r="Q6820" t="s">
        <v>344</v>
      </c>
      <c r="R6820" t="s">
        <v>370</v>
      </c>
      <c r="S6820" t="s">
        <v>323</v>
      </c>
      <c r="T6820">
        <v>7.6</v>
      </c>
      <c r="W6820" t="s">
        <v>330</v>
      </c>
      <c r="Y6820" s="42">
        <v>44901</v>
      </c>
    </row>
    <row r="6821" spans="14:25">
      <c r="N6821" s="42">
        <v>44898</v>
      </c>
      <c r="O6821" t="s">
        <v>359</v>
      </c>
      <c r="P6821" s="42">
        <v>44898</v>
      </c>
      <c r="Q6821" t="s">
        <v>359</v>
      </c>
      <c r="R6821" t="s">
        <v>370</v>
      </c>
      <c r="S6821" t="s">
        <v>323</v>
      </c>
      <c r="T6821">
        <v>7.6</v>
      </c>
      <c r="W6821" t="s">
        <v>330</v>
      </c>
      <c r="Y6821" s="42">
        <v>44901</v>
      </c>
    </row>
    <row r="6822" spans="14:25">
      <c r="N6822" s="42">
        <v>44895</v>
      </c>
      <c r="O6822" t="s">
        <v>328</v>
      </c>
      <c r="P6822" s="42">
        <v>44895</v>
      </c>
      <c r="Q6822" t="s">
        <v>328</v>
      </c>
      <c r="R6822" t="s">
        <v>370</v>
      </c>
      <c r="S6822" t="s">
        <v>323</v>
      </c>
      <c r="T6822">
        <v>7.6</v>
      </c>
      <c r="W6822" t="s">
        <v>330</v>
      </c>
      <c r="Y6822" s="42">
        <v>44901</v>
      </c>
    </row>
    <row r="6823" spans="14:25">
      <c r="N6823" s="42">
        <v>44892</v>
      </c>
      <c r="O6823" t="s">
        <v>344</v>
      </c>
      <c r="P6823" s="42">
        <v>44892</v>
      </c>
      <c r="Q6823" t="s">
        <v>344</v>
      </c>
      <c r="R6823" t="s">
        <v>370</v>
      </c>
      <c r="S6823" t="s">
        <v>323</v>
      </c>
      <c r="T6823">
        <v>7.6</v>
      </c>
      <c r="W6823" t="s">
        <v>330</v>
      </c>
      <c r="Y6823" s="42">
        <v>44901</v>
      </c>
    </row>
    <row r="6824" spans="14:25">
      <c r="N6824" s="42">
        <v>44891</v>
      </c>
      <c r="O6824" t="s">
        <v>359</v>
      </c>
      <c r="P6824" s="42">
        <v>44891</v>
      </c>
      <c r="Q6824" t="s">
        <v>359</v>
      </c>
      <c r="R6824" t="s">
        <v>370</v>
      </c>
      <c r="S6824" t="s">
        <v>323</v>
      </c>
      <c r="T6824">
        <v>7.6</v>
      </c>
      <c r="W6824" t="s">
        <v>330</v>
      </c>
      <c r="Y6824" s="42">
        <v>44901</v>
      </c>
    </row>
    <row r="6825" spans="14:25">
      <c r="N6825" s="42">
        <v>44888</v>
      </c>
      <c r="O6825" t="s">
        <v>328</v>
      </c>
      <c r="P6825" s="42">
        <v>44888</v>
      </c>
      <c r="Q6825" t="s">
        <v>328</v>
      </c>
      <c r="R6825" t="s">
        <v>370</v>
      </c>
      <c r="S6825" t="s">
        <v>323</v>
      </c>
      <c r="T6825">
        <v>7.6</v>
      </c>
      <c r="W6825" t="s">
        <v>330</v>
      </c>
      <c r="Y6825" s="42">
        <v>44901</v>
      </c>
    </row>
    <row r="6826" spans="14:25">
      <c r="N6826" s="42">
        <v>44885</v>
      </c>
      <c r="O6826" t="s">
        <v>344</v>
      </c>
      <c r="P6826" s="42">
        <v>44885</v>
      </c>
      <c r="Q6826" t="s">
        <v>344</v>
      </c>
      <c r="R6826" t="s">
        <v>370</v>
      </c>
      <c r="S6826" t="s">
        <v>323</v>
      </c>
      <c r="T6826">
        <v>7.6</v>
      </c>
      <c r="W6826" t="s">
        <v>330</v>
      </c>
      <c r="Y6826" s="42">
        <v>44887</v>
      </c>
    </row>
    <row r="6827" spans="14:25">
      <c r="N6827" s="42">
        <v>44884</v>
      </c>
      <c r="O6827" t="s">
        <v>359</v>
      </c>
      <c r="P6827" s="42">
        <v>44884</v>
      </c>
      <c r="Q6827" t="s">
        <v>359</v>
      </c>
      <c r="R6827" t="s">
        <v>370</v>
      </c>
      <c r="S6827" t="s">
        <v>323</v>
      </c>
      <c r="T6827">
        <v>7.6</v>
      </c>
      <c r="W6827" t="s">
        <v>330</v>
      </c>
      <c r="Y6827" s="42">
        <v>44887</v>
      </c>
    </row>
    <row r="6828" spans="14:25">
      <c r="N6828" s="42">
        <v>44881</v>
      </c>
      <c r="O6828" t="s">
        <v>328</v>
      </c>
      <c r="P6828" s="42">
        <v>44881</v>
      </c>
      <c r="Q6828" t="s">
        <v>328</v>
      </c>
      <c r="R6828" t="s">
        <v>370</v>
      </c>
      <c r="S6828" t="s">
        <v>323</v>
      </c>
      <c r="T6828">
        <v>7.6</v>
      </c>
      <c r="W6828" t="s">
        <v>330</v>
      </c>
      <c r="Y6828" s="42">
        <v>44887</v>
      </c>
    </row>
    <row r="6829" spans="14:25">
      <c r="N6829" s="42">
        <v>44878</v>
      </c>
      <c r="O6829" t="s">
        <v>344</v>
      </c>
      <c r="P6829" s="42">
        <v>44878</v>
      </c>
      <c r="Q6829" t="s">
        <v>344</v>
      </c>
      <c r="R6829" t="s">
        <v>370</v>
      </c>
      <c r="S6829" t="s">
        <v>323</v>
      </c>
      <c r="T6829">
        <v>7.6</v>
      </c>
      <c r="W6829" t="s">
        <v>330</v>
      </c>
      <c r="Y6829" s="42">
        <v>44887</v>
      </c>
    </row>
    <row r="6830" spans="14:25">
      <c r="N6830" s="42">
        <v>44877</v>
      </c>
      <c r="O6830" t="s">
        <v>359</v>
      </c>
      <c r="P6830" s="42">
        <v>44877</v>
      </c>
      <c r="Q6830" t="s">
        <v>359</v>
      </c>
      <c r="R6830" t="s">
        <v>370</v>
      </c>
      <c r="S6830" t="s">
        <v>323</v>
      </c>
      <c r="T6830">
        <v>7.6</v>
      </c>
      <c r="W6830" t="s">
        <v>330</v>
      </c>
      <c r="Y6830" s="42">
        <v>44887</v>
      </c>
    </row>
    <row r="6831" spans="14:25">
      <c r="N6831" s="42">
        <v>44874</v>
      </c>
      <c r="O6831" t="s">
        <v>328</v>
      </c>
      <c r="P6831" s="42">
        <v>44874</v>
      </c>
      <c r="Q6831" t="s">
        <v>328</v>
      </c>
      <c r="R6831" t="s">
        <v>370</v>
      </c>
      <c r="S6831" t="s">
        <v>323</v>
      </c>
      <c r="T6831">
        <v>7.6</v>
      </c>
      <c r="W6831" t="s">
        <v>330</v>
      </c>
      <c r="Y6831" s="42">
        <v>44887</v>
      </c>
    </row>
    <row r="6832" spans="14:25">
      <c r="N6832" s="42">
        <v>44871</v>
      </c>
      <c r="O6832" t="s">
        <v>344</v>
      </c>
      <c r="P6832" s="42">
        <v>44871</v>
      </c>
      <c r="Q6832" t="s">
        <v>344</v>
      </c>
      <c r="R6832" t="s">
        <v>370</v>
      </c>
      <c r="S6832" t="s">
        <v>323</v>
      </c>
      <c r="T6832">
        <v>7.6</v>
      </c>
      <c r="W6832" t="s">
        <v>330</v>
      </c>
      <c r="Y6832" s="42">
        <v>44873</v>
      </c>
    </row>
    <row r="6833" spans="14:25">
      <c r="N6833" s="42">
        <v>44870</v>
      </c>
      <c r="O6833" t="s">
        <v>359</v>
      </c>
      <c r="P6833" s="42">
        <v>44870</v>
      </c>
      <c r="Q6833" t="s">
        <v>359</v>
      </c>
      <c r="R6833" t="s">
        <v>370</v>
      </c>
      <c r="S6833" t="s">
        <v>323</v>
      </c>
      <c r="T6833">
        <v>7.6</v>
      </c>
      <c r="W6833" t="s">
        <v>330</v>
      </c>
      <c r="Y6833" s="42">
        <v>44873</v>
      </c>
    </row>
    <row r="6834" spans="14:25">
      <c r="N6834" s="42">
        <v>44867</v>
      </c>
      <c r="O6834" t="s">
        <v>328</v>
      </c>
      <c r="P6834" s="42">
        <v>44867</v>
      </c>
      <c r="Q6834" t="s">
        <v>328</v>
      </c>
      <c r="R6834" t="s">
        <v>370</v>
      </c>
      <c r="S6834" t="s">
        <v>323</v>
      </c>
      <c r="T6834">
        <v>7.6</v>
      </c>
      <c r="W6834" t="s">
        <v>330</v>
      </c>
      <c r="Y6834" s="42">
        <v>44873</v>
      </c>
    </row>
    <row r="6835" spans="14:25">
      <c r="N6835" s="42">
        <v>44864</v>
      </c>
      <c r="O6835" t="s">
        <v>344</v>
      </c>
      <c r="P6835" s="42">
        <v>44864</v>
      </c>
      <c r="Q6835" t="s">
        <v>344</v>
      </c>
      <c r="R6835" t="s">
        <v>370</v>
      </c>
      <c r="S6835" t="s">
        <v>323</v>
      </c>
      <c r="T6835">
        <v>7.6</v>
      </c>
      <c r="W6835" t="s">
        <v>330</v>
      </c>
      <c r="Y6835" s="42">
        <v>44873</v>
      </c>
    </row>
    <row r="6836" spans="14:25">
      <c r="N6836" s="42">
        <v>44863</v>
      </c>
      <c r="O6836" t="s">
        <v>359</v>
      </c>
      <c r="P6836" s="42">
        <v>44863</v>
      </c>
      <c r="Q6836" t="s">
        <v>359</v>
      </c>
      <c r="R6836" t="s">
        <v>370</v>
      </c>
      <c r="S6836" t="s">
        <v>323</v>
      </c>
      <c r="T6836">
        <v>7.6</v>
      </c>
      <c r="W6836" t="s">
        <v>330</v>
      </c>
      <c r="Y6836" s="42">
        <v>44873</v>
      </c>
    </row>
    <row r="6837" spans="14:25">
      <c r="N6837" s="42">
        <v>44860</v>
      </c>
      <c r="O6837" t="s">
        <v>328</v>
      </c>
      <c r="P6837" s="42">
        <v>44860</v>
      </c>
      <c r="Q6837" t="s">
        <v>328</v>
      </c>
      <c r="R6837" t="s">
        <v>370</v>
      </c>
      <c r="S6837" t="s">
        <v>323</v>
      </c>
      <c r="T6837">
        <v>7.6</v>
      </c>
      <c r="W6837" t="s">
        <v>330</v>
      </c>
      <c r="Y6837" s="42">
        <v>44873</v>
      </c>
    </row>
    <row r="6838" spans="14:25">
      <c r="N6838" s="42">
        <v>44811</v>
      </c>
      <c r="O6838" t="s">
        <v>328</v>
      </c>
      <c r="P6838" s="42">
        <v>44811</v>
      </c>
      <c r="Q6838" t="s">
        <v>328</v>
      </c>
      <c r="R6838" t="s">
        <v>329</v>
      </c>
      <c r="S6838" t="s">
        <v>323</v>
      </c>
      <c r="T6838">
        <v>7.6</v>
      </c>
      <c r="W6838" t="s">
        <v>330</v>
      </c>
      <c r="Y6838" s="42">
        <v>44817</v>
      </c>
    </row>
    <row r="6839" spans="14:25">
      <c r="N6839" s="42">
        <v>44783</v>
      </c>
      <c r="O6839" t="s">
        <v>328</v>
      </c>
      <c r="P6839" s="42">
        <v>44783</v>
      </c>
      <c r="Q6839" t="s">
        <v>328</v>
      </c>
      <c r="R6839" t="s">
        <v>320</v>
      </c>
      <c r="S6839" t="s">
        <v>323</v>
      </c>
      <c r="U6839">
        <v>7.6</v>
      </c>
    </row>
    <row r="6840" spans="14:25">
      <c r="N6840" s="42">
        <v>44713</v>
      </c>
      <c r="O6840" t="s">
        <v>328</v>
      </c>
      <c r="P6840" s="42">
        <v>44713</v>
      </c>
      <c r="Q6840" t="s">
        <v>328</v>
      </c>
      <c r="R6840" t="s">
        <v>320</v>
      </c>
      <c r="S6840" t="s">
        <v>323</v>
      </c>
      <c r="T6840">
        <v>7.6</v>
      </c>
      <c r="Y6840" s="42">
        <v>44719</v>
      </c>
    </row>
    <row r="6841" spans="14:25">
      <c r="N6841" s="42">
        <v>44668</v>
      </c>
      <c r="O6841" t="s">
        <v>344</v>
      </c>
      <c r="P6841" s="42">
        <v>44668</v>
      </c>
      <c r="Q6841" t="s">
        <v>344</v>
      </c>
      <c r="R6841" t="s">
        <v>320</v>
      </c>
      <c r="S6841" t="s">
        <v>323</v>
      </c>
      <c r="U6841">
        <v>7.6</v>
      </c>
    </row>
    <row r="6842" spans="14:25">
      <c r="N6842" s="42">
        <v>44667</v>
      </c>
      <c r="O6842" t="s">
        <v>359</v>
      </c>
      <c r="P6842" s="42">
        <v>44667</v>
      </c>
      <c r="Q6842" t="s">
        <v>359</v>
      </c>
      <c r="R6842" t="s">
        <v>320</v>
      </c>
      <c r="S6842" t="s">
        <v>323</v>
      </c>
      <c r="U6842">
        <v>7.6</v>
      </c>
    </row>
    <row r="6843" spans="14:25">
      <c r="N6843" s="42">
        <v>44657</v>
      </c>
      <c r="O6843" t="s">
        <v>328</v>
      </c>
      <c r="P6843" s="42">
        <v>44657</v>
      </c>
      <c r="Q6843" t="s">
        <v>328</v>
      </c>
      <c r="R6843" t="s">
        <v>320</v>
      </c>
      <c r="S6843" t="s">
        <v>323</v>
      </c>
      <c r="T6843">
        <v>7.6</v>
      </c>
      <c r="Y6843" s="42">
        <v>44663</v>
      </c>
    </row>
    <row r="6844" spans="14:25">
      <c r="N6844" s="42">
        <v>44643</v>
      </c>
      <c r="O6844" t="s">
        <v>328</v>
      </c>
      <c r="P6844" s="42">
        <v>44643</v>
      </c>
      <c r="Q6844" t="s">
        <v>328</v>
      </c>
      <c r="R6844" t="s">
        <v>320</v>
      </c>
      <c r="S6844" t="s">
        <v>323</v>
      </c>
      <c r="T6844">
        <v>7.6</v>
      </c>
      <c r="Y6844" s="42">
        <v>44649</v>
      </c>
    </row>
    <row r="6845" spans="14:25">
      <c r="N6845" s="42">
        <v>44639</v>
      </c>
      <c r="O6845" t="s">
        <v>359</v>
      </c>
      <c r="P6845" s="42">
        <v>44639</v>
      </c>
      <c r="Q6845" t="s">
        <v>359</v>
      </c>
      <c r="R6845" t="s">
        <v>320</v>
      </c>
      <c r="S6845" t="s">
        <v>323</v>
      </c>
      <c r="T6845">
        <v>7.6</v>
      </c>
      <c r="Y6845" s="42">
        <v>44649</v>
      </c>
    </row>
    <row r="6846" spans="14:25">
      <c r="N6846" s="42">
        <v>44619</v>
      </c>
      <c r="O6846" t="s">
        <v>344</v>
      </c>
      <c r="P6846" s="42">
        <v>44619</v>
      </c>
      <c r="Q6846" t="s">
        <v>344</v>
      </c>
      <c r="R6846" t="s">
        <v>329</v>
      </c>
      <c r="S6846" t="s">
        <v>323</v>
      </c>
      <c r="T6846">
        <v>7.6</v>
      </c>
      <c r="W6846" t="s">
        <v>330</v>
      </c>
      <c r="Y6846" s="42">
        <v>44621</v>
      </c>
    </row>
    <row r="6847" spans="14:25">
      <c r="N6847" s="42">
        <v>44618</v>
      </c>
      <c r="O6847" t="s">
        <v>359</v>
      </c>
      <c r="P6847" s="42">
        <v>44618</v>
      </c>
      <c r="Q6847" t="s">
        <v>359</v>
      </c>
      <c r="R6847" t="s">
        <v>329</v>
      </c>
      <c r="S6847" t="s">
        <v>323</v>
      </c>
      <c r="T6847">
        <v>7.6</v>
      </c>
      <c r="W6847" t="s">
        <v>330</v>
      </c>
      <c r="Y6847" s="42">
        <v>44621</v>
      </c>
    </row>
    <row r="6848" spans="14:25">
      <c r="N6848" s="42">
        <v>44615</v>
      </c>
      <c r="O6848" t="s">
        <v>328</v>
      </c>
      <c r="P6848" s="42">
        <v>44615</v>
      </c>
      <c r="Q6848" t="s">
        <v>328</v>
      </c>
      <c r="R6848" t="s">
        <v>320</v>
      </c>
      <c r="S6848" t="s">
        <v>323</v>
      </c>
      <c r="T6848">
        <v>7.6</v>
      </c>
      <c r="Y6848" s="42">
        <v>44621</v>
      </c>
    </row>
    <row r="6849" spans="14:25">
      <c r="N6849" s="42">
        <v>44601</v>
      </c>
      <c r="O6849" t="s">
        <v>328</v>
      </c>
      <c r="P6849" s="42">
        <v>44601</v>
      </c>
      <c r="Q6849" t="s">
        <v>328</v>
      </c>
      <c r="R6849" t="s">
        <v>320</v>
      </c>
      <c r="S6849" t="s">
        <v>323</v>
      </c>
      <c r="T6849">
        <v>7.6</v>
      </c>
      <c r="Y6849" s="42">
        <v>44607</v>
      </c>
    </row>
    <row r="6850" spans="14:25">
      <c r="N6850" s="42">
        <v>44587</v>
      </c>
      <c r="O6850" t="s">
        <v>328</v>
      </c>
      <c r="P6850" s="42">
        <v>44587</v>
      </c>
      <c r="Q6850" t="s">
        <v>328</v>
      </c>
      <c r="R6850" t="s">
        <v>320</v>
      </c>
      <c r="S6850" t="s">
        <v>323</v>
      </c>
      <c r="U6850">
        <v>7.6</v>
      </c>
    </row>
    <row r="6851" spans="14:25">
      <c r="N6851" s="42">
        <v>44577</v>
      </c>
      <c r="O6851" t="s">
        <v>344</v>
      </c>
      <c r="P6851" s="42">
        <v>44577</v>
      </c>
      <c r="Q6851" t="s">
        <v>344</v>
      </c>
      <c r="R6851" t="s">
        <v>329</v>
      </c>
      <c r="S6851" t="s">
        <v>323</v>
      </c>
      <c r="T6851">
        <v>7.6</v>
      </c>
      <c r="W6851" t="s">
        <v>330</v>
      </c>
      <c r="Y6851" s="42">
        <v>44579</v>
      </c>
    </row>
    <row r="6852" spans="14:25">
      <c r="N6852" s="42">
        <v>44576</v>
      </c>
      <c r="O6852" t="s">
        <v>359</v>
      </c>
      <c r="P6852" s="42">
        <v>44576</v>
      </c>
      <c r="Q6852" t="s">
        <v>359</v>
      </c>
      <c r="R6852" t="s">
        <v>329</v>
      </c>
      <c r="S6852" t="s">
        <v>323</v>
      </c>
      <c r="T6852">
        <v>7.6</v>
      </c>
      <c r="W6852" t="s">
        <v>330</v>
      </c>
      <c r="Y6852" s="42">
        <v>44579</v>
      </c>
    </row>
    <row r="6853" spans="14:25">
      <c r="N6853" s="42">
        <v>44573</v>
      </c>
      <c r="O6853" t="s">
        <v>328</v>
      </c>
      <c r="P6853" s="42">
        <v>44573</v>
      </c>
      <c r="Q6853" t="s">
        <v>328</v>
      </c>
      <c r="R6853" t="s">
        <v>329</v>
      </c>
      <c r="S6853" t="s">
        <v>323</v>
      </c>
      <c r="T6853">
        <v>7.6</v>
      </c>
      <c r="W6853" t="s">
        <v>330</v>
      </c>
      <c r="Y6853" s="42">
        <v>44579</v>
      </c>
    </row>
    <row r="6854" spans="14:25">
      <c r="N6854" s="42">
        <v>44563</v>
      </c>
      <c r="O6854" t="s">
        <v>344</v>
      </c>
      <c r="P6854" s="42">
        <v>44563</v>
      </c>
      <c r="Q6854" t="s">
        <v>344</v>
      </c>
      <c r="R6854" t="s">
        <v>320</v>
      </c>
      <c r="S6854" t="s">
        <v>323</v>
      </c>
      <c r="T6854">
        <v>7.6</v>
      </c>
      <c r="Y6854" s="42">
        <v>44565</v>
      </c>
    </row>
    <row r="6855" spans="14:25">
      <c r="N6855" s="42">
        <v>44562</v>
      </c>
      <c r="O6855" t="s">
        <v>359</v>
      </c>
      <c r="P6855" s="42">
        <v>44562</v>
      </c>
      <c r="Q6855" t="s">
        <v>359</v>
      </c>
      <c r="R6855" t="s">
        <v>320</v>
      </c>
      <c r="S6855" t="s">
        <v>323</v>
      </c>
      <c r="U6855">
        <v>7.6</v>
      </c>
    </row>
    <row r="6856" spans="14:25">
      <c r="N6856" s="42">
        <v>44556</v>
      </c>
      <c r="O6856" t="s">
        <v>344</v>
      </c>
      <c r="P6856" s="42">
        <v>44556</v>
      </c>
      <c r="Q6856" t="s">
        <v>344</v>
      </c>
      <c r="R6856" t="s">
        <v>320</v>
      </c>
      <c r="S6856" t="s">
        <v>323</v>
      </c>
      <c r="U6856">
        <v>7.6</v>
      </c>
    </row>
    <row r="6857" spans="14:25">
      <c r="N6857" s="42">
        <v>44555</v>
      </c>
      <c r="O6857" t="s">
        <v>359</v>
      </c>
      <c r="P6857" s="42">
        <v>44555</v>
      </c>
      <c r="Q6857" t="s">
        <v>359</v>
      </c>
      <c r="R6857" t="s">
        <v>320</v>
      </c>
      <c r="S6857" t="s">
        <v>323</v>
      </c>
      <c r="U6857">
        <v>7.6</v>
      </c>
    </row>
    <row r="6858" spans="14:25">
      <c r="N6858" s="42">
        <v>44541</v>
      </c>
      <c r="O6858" t="s">
        <v>359</v>
      </c>
      <c r="P6858" s="42">
        <v>44541</v>
      </c>
      <c r="Q6858" t="s">
        <v>359</v>
      </c>
      <c r="R6858" t="s">
        <v>320</v>
      </c>
      <c r="S6858" t="s">
        <v>323</v>
      </c>
      <c r="T6858">
        <v>7.6</v>
      </c>
      <c r="Y6858" s="42">
        <v>44551</v>
      </c>
    </row>
    <row r="6859" spans="14:25">
      <c r="N6859" s="42">
        <v>44475</v>
      </c>
      <c r="O6859" t="s">
        <v>328</v>
      </c>
      <c r="P6859" s="42">
        <v>44475</v>
      </c>
      <c r="Q6859" t="s">
        <v>328</v>
      </c>
      <c r="R6859" t="s">
        <v>329</v>
      </c>
      <c r="S6859" t="s">
        <v>323</v>
      </c>
      <c r="T6859">
        <v>7.6</v>
      </c>
      <c r="W6859" t="s">
        <v>330</v>
      </c>
      <c r="Y6859" s="42">
        <v>44481</v>
      </c>
    </row>
    <row r="6860" spans="14:25">
      <c r="N6860" s="42">
        <v>44377</v>
      </c>
      <c r="O6860" t="s">
        <v>328</v>
      </c>
      <c r="P6860" s="42">
        <v>44377</v>
      </c>
      <c r="Q6860" t="s">
        <v>328</v>
      </c>
      <c r="R6860" t="s">
        <v>329</v>
      </c>
      <c r="S6860" t="s">
        <v>323</v>
      </c>
      <c r="T6860">
        <v>7.6</v>
      </c>
      <c r="W6860" t="s">
        <v>330</v>
      </c>
      <c r="Y6860" s="42">
        <v>44397</v>
      </c>
    </row>
    <row r="6861" spans="14:25">
      <c r="N6861" s="42">
        <v>44370</v>
      </c>
      <c r="O6861" t="s">
        <v>328</v>
      </c>
      <c r="P6861" s="42">
        <v>44370</v>
      </c>
      <c r="Q6861" t="s">
        <v>328</v>
      </c>
      <c r="R6861" t="s">
        <v>320</v>
      </c>
      <c r="S6861" t="s">
        <v>323</v>
      </c>
      <c r="T6861">
        <v>7.6</v>
      </c>
      <c r="Y6861" s="42">
        <v>44397</v>
      </c>
    </row>
    <row r="6862" spans="14:25">
      <c r="N6862" s="42">
        <v>44346</v>
      </c>
      <c r="O6862" t="s">
        <v>344</v>
      </c>
      <c r="P6862" s="42">
        <v>44346</v>
      </c>
      <c r="Q6862" t="s">
        <v>344</v>
      </c>
      <c r="R6862" t="s">
        <v>320</v>
      </c>
      <c r="S6862" t="s">
        <v>323</v>
      </c>
      <c r="T6862">
        <v>7.6</v>
      </c>
      <c r="Y6862" s="42">
        <v>44355</v>
      </c>
    </row>
    <row r="6863" spans="14:25">
      <c r="N6863" s="42">
        <v>44345</v>
      </c>
      <c r="O6863" t="s">
        <v>359</v>
      </c>
      <c r="P6863" s="42">
        <v>44345</v>
      </c>
      <c r="Q6863" t="s">
        <v>359</v>
      </c>
      <c r="R6863" t="s">
        <v>320</v>
      </c>
      <c r="S6863" t="s">
        <v>323</v>
      </c>
      <c r="T6863">
        <v>7.6</v>
      </c>
      <c r="Y6863" s="42">
        <v>44355</v>
      </c>
    </row>
    <row r="6864" spans="14:25">
      <c r="N6864" s="42">
        <v>44342</v>
      </c>
      <c r="O6864" t="s">
        <v>328</v>
      </c>
      <c r="P6864" s="42">
        <v>44342</v>
      </c>
      <c r="Q6864" t="s">
        <v>328</v>
      </c>
      <c r="R6864" t="s">
        <v>320</v>
      </c>
      <c r="S6864" t="s">
        <v>323</v>
      </c>
      <c r="T6864">
        <v>7.6</v>
      </c>
      <c r="Y6864" s="42">
        <v>44355</v>
      </c>
    </row>
    <row r="6865" spans="14:25">
      <c r="N6865" s="42">
        <v>44338</v>
      </c>
      <c r="O6865" t="s">
        <v>359</v>
      </c>
      <c r="P6865" s="42">
        <v>44338</v>
      </c>
      <c r="Q6865" t="s">
        <v>359</v>
      </c>
      <c r="R6865" t="s">
        <v>329</v>
      </c>
      <c r="S6865" t="s">
        <v>323</v>
      </c>
      <c r="T6865">
        <v>7.6</v>
      </c>
      <c r="W6865" t="s">
        <v>330</v>
      </c>
      <c r="Y6865" s="42">
        <v>44341</v>
      </c>
    </row>
    <row r="6866" spans="14:25">
      <c r="N6866" s="42">
        <v>44331</v>
      </c>
      <c r="O6866" t="s">
        <v>359</v>
      </c>
      <c r="P6866" s="42">
        <v>44331</v>
      </c>
      <c r="Q6866" t="s">
        <v>359</v>
      </c>
      <c r="R6866" t="s">
        <v>329</v>
      </c>
      <c r="S6866" t="s">
        <v>323</v>
      </c>
      <c r="T6866">
        <v>7.6</v>
      </c>
      <c r="W6866" t="s">
        <v>330</v>
      </c>
      <c r="Y6866" s="42">
        <v>44341</v>
      </c>
    </row>
    <row r="6867" spans="14:25">
      <c r="N6867" s="42">
        <v>44324</v>
      </c>
      <c r="O6867" t="s">
        <v>359</v>
      </c>
      <c r="P6867" s="42">
        <v>44324</v>
      </c>
      <c r="Q6867" t="s">
        <v>359</v>
      </c>
      <c r="R6867" t="s">
        <v>329</v>
      </c>
      <c r="S6867" t="s">
        <v>323</v>
      </c>
      <c r="T6867">
        <v>7.6</v>
      </c>
      <c r="W6867" t="s">
        <v>330</v>
      </c>
      <c r="Y6867" s="42">
        <v>44327</v>
      </c>
    </row>
    <row r="6868" spans="14:25">
      <c r="N6868" s="42">
        <v>44290</v>
      </c>
      <c r="O6868" t="s">
        <v>344</v>
      </c>
      <c r="P6868" s="42">
        <v>44290</v>
      </c>
      <c r="Q6868" t="s">
        <v>344</v>
      </c>
      <c r="R6868" t="s">
        <v>320</v>
      </c>
      <c r="S6868" t="s">
        <v>323</v>
      </c>
      <c r="U6868">
        <v>15.2</v>
      </c>
    </row>
    <row r="6869" spans="14:25">
      <c r="N6869" s="42">
        <v>44245</v>
      </c>
      <c r="O6869" t="s">
        <v>324</v>
      </c>
      <c r="P6869" s="42">
        <v>44245</v>
      </c>
      <c r="Q6869" t="s">
        <v>324</v>
      </c>
      <c r="R6869" t="s">
        <v>329</v>
      </c>
      <c r="S6869" t="s">
        <v>323</v>
      </c>
      <c r="T6869">
        <v>7.6</v>
      </c>
      <c r="W6869" t="s">
        <v>330</v>
      </c>
      <c r="Y6869" s="42">
        <v>44257</v>
      </c>
    </row>
    <row r="6870" spans="14:25">
      <c r="N6870" s="42">
        <v>44238</v>
      </c>
      <c r="O6870" t="s">
        <v>324</v>
      </c>
      <c r="P6870" s="42">
        <v>44238</v>
      </c>
      <c r="Q6870" t="s">
        <v>324</v>
      </c>
      <c r="R6870" t="s">
        <v>320</v>
      </c>
      <c r="S6870" t="s">
        <v>323</v>
      </c>
      <c r="T6870">
        <v>7.6</v>
      </c>
      <c r="Y6870" s="42">
        <v>44243</v>
      </c>
    </row>
    <row r="6871" spans="14:25">
      <c r="N6871" s="42">
        <v>44224</v>
      </c>
      <c r="O6871" t="s">
        <v>324</v>
      </c>
      <c r="P6871" s="42">
        <v>44224</v>
      </c>
      <c r="Q6871" t="s">
        <v>324</v>
      </c>
      <c r="R6871" t="s">
        <v>320</v>
      </c>
      <c r="S6871" t="s">
        <v>323</v>
      </c>
      <c r="T6871">
        <v>7.6</v>
      </c>
      <c r="Y6871" s="42">
        <v>44229</v>
      </c>
    </row>
    <row r="6872" spans="14:25">
      <c r="N6872" s="42">
        <v>44202</v>
      </c>
      <c r="O6872" t="s">
        <v>328</v>
      </c>
      <c r="P6872" s="42">
        <v>44202</v>
      </c>
      <c r="Q6872" t="s">
        <v>328</v>
      </c>
      <c r="R6872" t="s">
        <v>320</v>
      </c>
      <c r="S6872" t="s">
        <v>323</v>
      </c>
      <c r="T6872">
        <v>7.6</v>
      </c>
      <c r="Y6872" s="42">
        <v>44215</v>
      </c>
    </row>
    <row r="6873" spans="14:25">
      <c r="N6873" s="42">
        <v>44196</v>
      </c>
      <c r="O6873" t="s">
        <v>324</v>
      </c>
      <c r="P6873" s="42">
        <v>44196</v>
      </c>
      <c r="Q6873" t="s">
        <v>324</v>
      </c>
      <c r="R6873" t="s">
        <v>320</v>
      </c>
      <c r="S6873" t="s">
        <v>323</v>
      </c>
      <c r="T6873">
        <v>7.6</v>
      </c>
      <c r="Y6873" s="42">
        <v>44201</v>
      </c>
    </row>
    <row r="6874" spans="14:25">
      <c r="N6874" s="42">
        <v>44168</v>
      </c>
      <c r="O6874" t="s">
        <v>324</v>
      </c>
      <c r="P6874" s="42">
        <v>44168</v>
      </c>
      <c r="Q6874" t="s">
        <v>324</v>
      </c>
      <c r="R6874" t="s">
        <v>320</v>
      </c>
      <c r="S6874" t="s">
        <v>323</v>
      </c>
      <c r="T6874">
        <v>7.6</v>
      </c>
      <c r="Y6874" s="42">
        <v>44173</v>
      </c>
    </row>
    <row r="6875" spans="14:25">
      <c r="N6875" s="42">
        <v>44161</v>
      </c>
      <c r="O6875" t="s">
        <v>324</v>
      </c>
      <c r="P6875" s="42">
        <v>44161</v>
      </c>
      <c r="Q6875" t="s">
        <v>324</v>
      </c>
      <c r="R6875" t="s">
        <v>320</v>
      </c>
      <c r="S6875" t="s">
        <v>323</v>
      </c>
      <c r="T6875">
        <v>7.6</v>
      </c>
      <c r="Y6875" s="42">
        <v>44173</v>
      </c>
    </row>
    <row r="6876" spans="14:25">
      <c r="N6876" s="42">
        <v>44154</v>
      </c>
      <c r="O6876" t="s">
        <v>324</v>
      </c>
      <c r="P6876" s="42">
        <v>44154</v>
      </c>
      <c r="Q6876" t="s">
        <v>324</v>
      </c>
      <c r="R6876" t="s">
        <v>320</v>
      </c>
      <c r="S6876" t="s">
        <v>323</v>
      </c>
      <c r="T6876">
        <v>7.6</v>
      </c>
      <c r="Y6876" s="42">
        <v>44159</v>
      </c>
    </row>
    <row r="6877" spans="14:25">
      <c r="N6877" s="42">
        <v>44111</v>
      </c>
      <c r="O6877" t="s">
        <v>328</v>
      </c>
      <c r="P6877" s="42">
        <v>44111</v>
      </c>
      <c r="Q6877" t="s">
        <v>328</v>
      </c>
      <c r="R6877" t="s">
        <v>329</v>
      </c>
      <c r="S6877" t="s">
        <v>323</v>
      </c>
      <c r="T6877">
        <v>7.6</v>
      </c>
      <c r="W6877" t="s">
        <v>330</v>
      </c>
      <c r="Y6877" s="42">
        <v>44117</v>
      </c>
    </row>
    <row r="6878" spans="14:25">
      <c r="N6878" s="42">
        <v>44056</v>
      </c>
      <c r="O6878" t="s">
        <v>324</v>
      </c>
      <c r="P6878" s="42">
        <v>44056</v>
      </c>
      <c r="Q6878" t="s">
        <v>324</v>
      </c>
      <c r="R6878" t="s">
        <v>320</v>
      </c>
      <c r="S6878" t="s">
        <v>323</v>
      </c>
      <c r="T6878">
        <v>7.6</v>
      </c>
      <c r="Y6878" s="42">
        <v>44061</v>
      </c>
    </row>
    <row r="6879" spans="14:25">
      <c r="N6879" s="42">
        <v>43901</v>
      </c>
      <c r="O6879" t="s">
        <v>328</v>
      </c>
      <c r="P6879" s="42">
        <v>43901</v>
      </c>
      <c r="Q6879" t="s">
        <v>328</v>
      </c>
      <c r="R6879" t="s">
        <v>370</v>
      </c>
      <c r="S6879" t="s">
        <v>323</v>
      </c>
      <c r="T6879">
        <v>7.6</v>
      </c>
      <c r="W6879" t="s">
        <v>330</v>
      </c>
      <c r="Y6879" s="42">
        <v>43907</v>
      </c>
    </row>
    <row r="6880" spans="14:25">
      <c r="N6880" s="42">
        <v>43900</v>
      </c>
      <c r="O6880" t="s">
        <v>333</v>
      </c>
      <c r="P6880" s="42">
        <v>43900</v>
      </c>
      <c r="Q6880" t="s">
        <v>333</v>
      </c>
      <c r="R6880" t="s">
        <v>370</v>
      </c>
      <c r="S6880" t="s">
        <v>323</v>
      </c>
      <c r="T6880">
        <v>7.6</v>
      </c>
      <c r="W6880" t="s">
        <v>330</v>
      </c>
      <c r="Y6880" s="42">
        <v>43907</v>
      </c>
    </row>
    <row r="6881" spans="14:25">
      <c r="N6881" s="42">
        <v>43899</v>
      </c>
      <c r="O6881" t="s">
        <v>345</v>
      </c>
      <c r="P6881" s="42">
        <v>43899</v>
      </c>
      <c r="Q6881" t="s">
        <v>345</v>
      </c>
      <c r="R6881" t="s">
        <v>370</v>
      </c>
      <c r="S6881" t="s">
        <v>323</v>
      </c>
      <c r="T6881">
        <v>7.6</v>
      </c>
      <c r="W6881" t="s">
        <v>330</v>
      </c>
      <c r="Y6881" s="42">
        <v>43907</v>
      </c>
    </row>
    <row r="6882" spans="14:25">
      <c r="N6882" s="42">
        <v>43898</v>
      </c>
      <c r="O6882" t="s">
        <v>344</v>
      </c>
      <c r="P6882" s="42">
        <v>43898</v>
      </c>
      <c r="Q6882" t="s">
        <v>344</v>
      </c>
      <c r="R6882" t="s">
        <v>370</v>
      </c>
      <c r="S6882" t="s">
        <v>323</v>
      </c>
      <c r="T6882">
        <v>7.6</v>
      </c>
      <c r="W6882" t="s">
        <v>330</v>
      </c>
      <c r="Y6882" s="42">
        <v>43907</v>
      </c>
    </row>
    <row r="6883" spans="14:25">
      <c r="N6883" s="42">
        <v>43895</v>
      </c>
      <c r="O6883" t="s">
        <v>324</v>
      </c>
      <c r="P6883" s="42">
        <v>43895</v>
      </c>
      <c r="Q6883" t="s">
        <v>324</v>
      </c>
      <c r="R6883" t="s">
        <v>370</v>
      </c>
      <c r="S6883" t="s">
        <v>323</v>
      </c>
      <c r="T6883">
        <v>7.6</v>
      </c>
      <c r="W6883" t="s">
        <v>330</v>
      </c>
      <c r="Y6883" s="42">
        <v>43907</v>
      </c>
    </row>
    <row r="6884" spans="14:25">
      <c r="N6884" s="42">
        <v>43894</v>
      </c>
      <c r="O6884" t="s">
        <v>328</v>
      </c>
      <c r="P6884" s="42">
        <v>43894</v>
      </c>
      <c r="Q6884" t="s">
        <v>328</v>
      </c>
      <c r="R6884" t="s">
        <v>370</v>
      </c>
      <c r="S6884" t="s">
        <v>323</v>
      </c>
      <c r="T6884">
        <v>7.6</v>
      </c>
      <c r="W6884" t="s">
        <v>330</v>
      </c>
      <c r="Y6884" s="42">
        <v>43907</v>
      </c>
    </row>
    <row r="6885" spans="14:25">
      <c r="N6885" s="42">
        <v>43893</v>
      </c>
      <c r="O6885" t="s">
        <v>333</v>
      </c>
      <c r="P6885" s="42">
        <v>43893</v>
      </c>
      <c r="Q6885" t="s">
        <v>333</v>
      </c>
      <c r="R6885" t="s">
        <v>370</v>
      </c>
      <c r="S6885" t="s">
        <v>323</v>
      </c>
      <c r="T6885">
        <v>7.6</v>
      </c>
      <c r="W6885" t="s">
        <v>330</v>
      </c>
      <c r="Y6885" s="42">
        <v>43893</v>
      </c>
    </row>
    <row r="6886" spans="14:25">
      <c r="N6886" s="42">
        <v>43892</v>
      </c>
      <c r="O6886" t="s">
        <v>345</v>
      </c>
      <c r="P6886" s="42">
        <v>43892</v>
      </c>
      <c r="Q6886" t="s">
        <v>345</v>
      </c>
      <c r="R6886" t="s">
        <v>370</v>
      </c>
      <c r="S6886" t="s">
        <v>323</v>
      </c>
      <c r="T6886">
        <v>7.6</v>
      </c>
      <c r="W6886" t="s">
        <v>330</v>
      </c>
      <c r="Y6886" s="42">
        <v>43893</v>
      </c>
    </row>
    <row r="6887" spans="14:25">
      <c r="N6887" s="42">
        <v>43891</v>
      </c>
      <c r="O6887" t="s">
        <v>344</v>
      </c>
      <c r="P6887" s="42">
        <v>43891</v>
      </c>
      <c r="Q6887" t="s">
        <v>344</v>
      </c>
      <c r="R6887" t="s">
        <v>370</v>
      </c>
      <c r="S6887" t="s">
        <v>323</v>
      </c>
      <c r="T6887">
        <v>7.6</v>
      </c>
      <c r="W6887" t="s">
        <v>330</v>
      </c>
      <c r="Y6887" s="42">
        <v>43893</v>
      </c>
    </row>
    <row r="6888" spans="14:25">
      <c r="N6888" s="42">
        <v>43888</v>
      </c>
      <c r="O6888" t="s">
        <v>324</v>
      </c>
      <c r="P6888" s="42">
        <v>43888</v>
      </c>
      <c r="Q6888" t="s">
        <v>324</v>
      </c>
      <c r="R6888" t="s">
        <v>370</v>
      </c>
      <c r="S6888" t="s">
        <v>323</v>
      </c>
      <c r="T6888">
        <v>7.6</v>
      </c>
      <c r="W6888" t="s">
        <v>330</v>
      </c>
      <c r="Y6888" s="42">
        <v>43893</v>
      </c>
    </row>
    <row r="6889" spans="14:25">
      <c r="N6889" s="42">
        <v>43887</v>
      </c>
      <c r="O6889" t="s">
        <v>328</v>
      </c>
      <c r="P6889" s="42">
        <v>43887</v>
      </c>
      <c r="Q6889" t="s">
        <v>328</v>
      </c>
      <c r="R6889" t="s">
        <v>370</v>
      </c>
      <c r="S6889" t="s">
        <v>323</v>
      </c>
      <c r="T6889">
        <v>7.6</v>
      </c>
      <c r="W6889" t="s">
        <v>330</v>
      </c>
      <c r="Y6889" s="42">
        <v>43893</v>
      </c>
    </row>
    <row r="6890" spans="14:25">
      <c r="N6890" s="42">
        <v>43886</v>
      </c>
      <c r="O6890" t="s">
        <v>333</v>
      </c>
      <c r="P6890" s="42">
        <v>43886</v>
      </c>
      <c r="Q6890" t="s">
        <v>333</v>
      </c>
      <c r="R6890" t="s">
        <v>370</v>
      </c>
      <c r="S6890" t="s">
        <v>323</v>
      </c>
      <c r="T6890">
        <v>7.6</v>
      </c>
      <c r="W6890" t="s">
        <v>330</v>
      </c>
      <c r="Y6890" s="42">
        <v>43893</v>
      </c>
    </row>
    <row r="6891" spans="14:25">
      <c r="N6891" s="42">
        <v>43885</v>
      </c>
      <c r="O6891" t="s">
        <v>345</v>
      </c>
      <c r="P6891" s="42">
        <v>43885</v>
      </c>
      <c r="Q6891" t="s">
        <v>345</v>
      </c>
      <c r="R6891" t="s">
        <v>370</v>
      </c>
      <c r="S6891" t="s">
        <v>323</v>
      </c>
      <c r="T6891">
        <v>7.6</v>
      </c>
      <c r="W6891" t="s">
        <v>330</v>
      </c>
      <c r="Y6891" s="42">
        <v>43893</v>
      </c>
    </row>
    <row r="6892" spans="14:25">
      <c r="N6892" s="42">
        <v>43884</v>
      </c>
      <c r="O6892" t="s">
        <v>344</v>
      </c>
      <c r="P6892" s="42">
        <v>43884</v>
      </c>
      <c r="Q6892" t="s">
        <v>344</v>
      </c>
      <c r="R6892" t="s">
        <v>370</v>
      </c>
      <c r="S6892" t="s">
        <v>323</v>
      </c>
      <c r="T6892">
        <v>7.6</v>
      </c>
      <c r="W6892" t="s">
        <v>330</v>
      </c>
      <c r="Y6892" s="42">
        <v>43893</v>
      </c>
    </row>
    <row r="6893" spans="14:25">
      <c r="N6893" s="42">
        <v>43881</v>
      </c>
      <c r="O6893" t="s">
        <v>324</v>
      </c>
      <c r="P6893" s="42">
        <v>43881</v>
      </c>
      <c r="Q6893" t="s">
        <v>324</v>
      </c>
      <c r="R6893" t="s">
        <v>370</v>
      </c>
      <c r="S6893" t="s">
        <v>323</v>
      </c>
      <c r="T6893">
        <v>7.6</v>
      </c>
      <c r="W6893" t="s">
        <v>330</v>
      </c>
      <c r="Y6893" s="42">
        <v>43893</v>
      </c>
    </row>
    <row r="6894" spans="14:25">
      <c r="N6894" s="42">
        <v>43880</v>
      </c>
      <c r="O6894" t="s">
        <v>328</v>
      </c>
      <c r="P6894" s="42">
        <v>43880</v>
      </c>
      <c r="Q6894" t="s">
        <v>328</v>
      </c>
      <c r="R6894" t="s">
        <v>370</v>
      </c>
      <c r="S6894" t="s">
        <v>323</v>
      </c>
      <c r="T6894">
        <v>7.6</v>
      </c>
      <c r="W6894" t="s">
        <v>330</v>
      </c>
      <c r="Y6894" s="42">
        <v>43893</v>
      </c>
    </row>
    <row r="6895" spans="14:25">
      <c r="N6895" s="42">
        <v>43879</v>
      </c>
      <c r="O6895" t="s">
        <v>333</v>
      </c>
      <c r="P6895" s="42">
        <v>43879</v>
      </c>
      <c r="Q6895" t="s">
        <v>333</v>
      </c>
      <c r="R6895" t="s">
        <v>370</v>
      </c>
      <c r="S6895" t="s">
        <v>323</v>
      </c>
      <c r="T6895">
        <v>7.6</v>
      </c>
      <c r="W6895" t="s">
        <v>330</v>
      </c>
      <c r="Y6895" s="42">
        <v>43879</v>
      </c>
    </row>
    <row r="6896" spans="14:25">
      <c r="N6896" s="42">
        <v>43878</v>
      </c>
      <c r="O6896" t="s">
        <v>345</v>
      </c>
      <c r="P6896" s="42">
        <v>43878</v>
      </c>
      <c r="Q6896" t="s">
        <v>345</v>
      </c>
      <c r="R6896" t="s">
        <v>370</v>
      </c>
      <c r="S6896" t="s">
        <v>323</v>
      </c>
      <c r="T6896">
        <v>7.6</v>
      </c>
      <c r="W6896" t="s">
        <v>330</v>
      </c>
      <c r="Y6896" s="42">
        <v>43879</v>
      </c>
    </row>
    <row r="6897" spans="14:25">
      <c r="N6897" s="42">
        <v>43877</v>
      </c>
      <c r="O6897" t="s">
        <v>344</v>
      </c>
      <c r="P6897" s="42">
        <v>43877</v>
      </c>
      <c r="Q6897" t="s">
        <v>344</v>
      </c>
      <c r="R6897" t="s">
        <v>370</v>
      </c>
      <c r="S6897" t="s">
        <v>323</v>
      </c>
      <c r="T6897">
        <v>7.6</v>
      </c>
      <c r="W6897" t="s">
        <v>330</v>
      </c>
      <c r="Y6897" s="42">
        <v>43879</v>
      </c>
    </row>
    <row r="6898" spans="14:25">
      <c r="N6898" s="42">
        <v>43874</v>
      </c>
      <c r="O6898" t="s">
        <v>324</v>
      </c>
      <c r="P6898" s="42">
        <v>43874</v>
      </c>
      <c r="Q6898" t="s">
        <v>324</v>
      </c>
      <c r="R6898" t="s">
        <v>370</v>
      </c>
      <c r="S6898" t="s">
        <v>323</v>
      </c>
      <c r="T6898">
        <v>7.6</v>
      </c>
      <c r="W6898" t="s">
        <v>330</v>
      </c>
      <c r="Y6898" s="42">
        <v>43879</v>
      </c>
    </row>
    <row r="6899" spans="14:25">
      <c r="N6899" s="42">
        <v>43873</v>
      </c>
      <c r="O6899" t="s">
        <v>328</v>
      </c>
      <c r="P6899" s="42">
        <v>43873</v>
      </c>
      <c r="Q6899" t="s">
        <v>328</v>
      </c>
      <c r="R6899" t="s">
        <v>370</v>
      </c>
      <c r="S6899" t="s">
        <v>323</v>
      </c>
      <c r="T6899">
        <v>7.6</v>
      </c>
      <c r="W6899" t="s">
        <v>330</v>
      </c>
      <c r="Y6899" s="42">
        <v>43879</v>
      </c>
    </row>
    <row r="6900" spans="14:25">
      <c r="N6900" s="42">
        <v>43872</v>
      </c>
      <c r="O6900" t="s">
        <v>333</v>
      </c>
      <c r="P6900" s="42">
        <v>43872</v>
      </c>
      <c r="Q6900" t="s">
        <v>333</v>
      </c>
      <c r="R6900" t="s">
        <v>370</v>
      </c>
      <c r="S6900" t="s">
        <v>323</v>
      </c>
      <c r="T6900">
        <v>7.6</v>
      </c>
      <c r="W6900" t="s">
        <v>330</v>
      </c>
      <c r="Y6900" s="42">
        <v>43879</v>
      </c>
    </row>
    <row r="6901" spans="14:25">
      <c r="N6901" s="42">
        <v>43871</v>
      </c>
      <c r="O6901" t="s">
        <v>345</v>
      </c>
      <c r="P6901" s="42">
        <v>43871</v>
      </c>
      <c r="Q6901" t="s">
        <v>345</v>
      </c>
      <c r="R6901" t="s">
        <v>370</v>
      </c>
      <c r="S6901" t="s">
        <v>323</v>
      </c>
      <c r="T6901">
        <v>7.6</v>
      </c>
      <c r="W6901" t="s">
        <v>330</v>
      </c>
      <c r="Y6901" s="42">
        <v>43879</v>
      </c>
    </row>
    <row r="6902" spans="14:25">
      <c r="N6902" s="42">
        <v>43870</v>
      </c>
      <c r="O6902" t="s">
        <v>344</v>
      </c>
      <c r="P6902" s="42">
        <v>43870</v>
      </c>
      <c r="Q6902" t="s">
        <v>344</v>
      </c>
      <c r="R6902" t="s">
        <v>370</v>
      </c>
      <c r="S6902" t="s">
        <v>323</v>
      </c>
      <c r="T6902">
        <v>7.6</v>
      </c>
      <c r="W6902" t="s">
        <v>330</v>
      </c>
      <c r="Y6902" s="42">
        <v>43879</v>
      </c>
    </row>
    <row r="6903" spans="14:25">
      <c r="N6903" s="42">
        <v>43867</v>
      </c>
      <c r="O6903" t="s">
        <v>324</v>
      </c>
      <c r="P6903" s="42">
        <v>43867</v>
      </c>
      <c r="Q6903" t="s">
        <v>324</v>
      </c>
      <c r="R6903" t="s">
        <v>370</v>
      </c>
      <c r="S6903" t="s">
        <v>323</v>
      </c>
      <c r="T6903">
        <v>7.6</v>
      </c>
      <c r="W6903" t="s">
        <v>330</v>
      </c>
      <c r="Y6903" s="42">
        <v>43879</v>
      </c>
    </row>
    <row r="6904" spans="14:25">
      <c r="N6904" s="42">
        <v>43866</v>
      </c>
      <c r="O6904" t="s">
        <v>328</v>
      </c>
      <c r="P6904" s="42">
        <v>43866</v>
      </c>
      <c r="Q6904" t="s">
        <v>328</v>
      </c>
      <c r="R6904" t="s">
        <v>370</v>
      </c>
      <c r="S6904" t="s">
        <v>323</v>
      </c>
      <c r="T6904">
        <v>7.6</v>
      </c>
      <c r="W6904" t="s">
        <v>330</v>
      </c>
      <c r="Y6904" s="42">
        <v>43879</v>
      </c>
    </row>
    <row r="6905" spans="14:25">
      <c r="N6905" s="42">
        <v>43865</v>
      </c>
      <c r="O6905" t="s">
        <v>333</v>
      </c>
      <c r="P6905" s="42">
        <v>43865</v>
      </c>
      <c r="Q6905" t="s">
        <v>333</v>
      </c>
      <c r="R6905" t="s">
        <v>370</v>
      </c>
      <c r="S6905" t="s">
        <v>323</v>
      </c>
      <c r="T6905">
        <v>7.6</v>
      </c>
      <c r="W6905" t="s">
        <v>330</v>
      </c>
      <c r="Y6905" s="42">
        <v>43865</v>
      </c>
    </row>
    <row r="6906" spans="14:25">
      <c r="N6906" s="42">
        <v>43864</v>
      </c>
      <c r="O6906" t="s">
        <v>345</v>
      </c>
      <c r="P6906" s="42">
        <v>43864</v>
      </c>
      <c r="Q6906" t="s">
        <v>345</v>
      </c>
      <c r="R6906" t="s">
        <v>370</v>
      </c>
      <c r="S6906" t="s">
        <v>323</v>
      </c>
      <c r="T6906">
        <v>7.6</v>
      </c>
      <c r="W6906" t="s">
        <v>330</v>
      </c>
      <c r="Y6906" s="42">
        <v>43865</v>
      </c>
    </row>
    <row r="6907" spans="14:25">
      <c r="N6907" s="42">
        <v>43863</v>
      </c>
      <c r="O6907" t="s">
        <v>344</v>
      </c>
      <c r="P6907" s="42">
        <v>43863</v>
      </c>
      <c r="Q6907" t="s">
        <v>344</v>
      </c>
      <c r="R6907" t="s">
        <v>370</v>
      </c>
      <c r="S6907" t="s">
        <v>323</v>
      </c>
      <c r="T6907">
        <v>7.6</v>
      </c>
      <c r="W6907" t="s">
        <v>330</v>
      </c>
      <c r="Y6907" s="42">
        <v>43865</v>
      </c>
    </row>
    <row r="6908" spans="14:25">
      <c r="N6908" s="42">
        <v>43860</v>
      </c>
      <c r="O6908" t="s">
        <v>324</v>
      </c>
      <c r="P6908" s="42">
        <v>43860</v>
      </c>
      <c r="Q6908" t="s">
        <v>324</v>
      </c>
      <c r="R6908" t="s">
        <v>370</v>
      </c>
      <c r="S6908" t="s">
        <v>323</v>
      </c>
      <c r="T6908">
        <v>7.6</v>
      </c>
      <c r="W6908" t="s">
        <v>330</v>
      </c>
      <c r="Y6908" s="42">
        <v>43865</v>
      </c>
    </row>
    <row r="6909" spans="14:25">
      <c r="N6909" s="42">
        <v>43859</v>
      </c>
      <c r="O6909" t="s">
        <v>328</v>
      </c>
      <c r="P6909" s="42">
        <v>43859</v>
      </c>
      <c r="Q6909" t="s">
        <v>328</v>
      </c>
      <c r="R6909" t="s">
        <v>370</v>
      </c>
      <c r="S6909" t="s">
        <v>323</v>
      </c>
      <c r="T6909">
        <v>7.6</v>
      </c>
      <c r="W6909" t="s">
        <v>330</v>
      </c>
      <c r="Y6909" s="42">
        <v>43865</v>
      </c>
    </row>
    <row r="6910" spans="14:25">
      <c r="N6910" s="42">
        <v>43858</v>
      </c>
      <c r="O6910" t="s">
        <v>333</v>
      </c>
      <c r="P6910" s="42">
        <v>43858</v>
      </c>
      <c r="Q6910" t="s">
        <v>333</v>
      </c>
      <c r="R6910" t="s">
        <v>370</v>
      </c>
      <c r="S6910" t="s">
        <v>323</v>
      </c>
      <c r="T6910">
        <v>7.6</v>
      </c>
      <c r="W6910" t="s">
        <v>330</v>
      </c>
      <c r="Y6910" s="42">
        <v>43865</v>
      </c>
    </row>
    <row r="6911" spans="14:25">
      <c r="N6911" s="42">
        <v>43856</v>
      </c>
      <c r="O6911" t="s">
        <v>344</v>
      </c>
      <c r="P6911" s="42">
        <v>43856</v>
      </c>
      <c r="Q6911" t="s">
        <v>344</v>
      </c>
      <c r="R6911" t="s">
        <v>370</v>
      </c>
      <c r="S6911" t="s">
        <v>323</v>
      </c>
      <c r="T6911">
        <v>7.6</v>
      </c>
      <c r="W6911" t="s">
        <v>330</v>
      </c>
      <c r="Y6911" s="42">
        <v>43865</v>
      </c>
    </row>
    <row r="6912" spans="14:25">
      <c r="N6912" s="42">
        <v>43853</v>
      </c>
      <c r="O6912" t="s">
        <v>324</v>
      </c>
      <c r="P6912" s="42">
        <v>43853</v>
      </c>
      <c r="Q6912" t="s">
        <v>324</v>
      </c>
      <c r="R6912" t="s">
        <v>370</v>
      </c>
      <c r="S6912" t="s">
        <v>323</v>
      </c>
      <c r="T6912">
        <v>7.6</v>
      </c>
      <c r="W6912" t="s">
        <v>330</v>
      </c>
      <c r="Y6912" s="42">
        <v>43865</v>
      </c>
    </row>
    <row r="6913" spans="14:25">
      <c r="N6913" s="42">
        <v>43852</v>
      </c>
      <c r="O6913" t="s">
        <v>328</v>
      </c>
      <c r="P6913" s="42">
        <v>43852</v>
      </c>
      <c r="Q6913" t="s">
        <v>328</v>
      </c>
      <c r="R6913" t="s">
        <v>370</v>
      </c>
      <c r="S6913" t="s">
        <v>323</v>
      </c>
      <c r="T6913">
        <v>7.6</v>
      </c>
      <c r="W6913" t="s">
        <v>330</v>
      </c>
      <c r="Y6913" s="42">
        <v>43865</v>
      </c>
    </row>
    <row r="6914" spans="14:25">
      <c r="N6914" s="42">
        <v>43851</v>
      </c>
      <c r="O6914" t="s">
        <v>333</v>
      </c>
      <c r="P6914" s="42">
        <v>43851</v>
      </c>
      <c r="Q6914" t="s">
        <v>333</v>
      </c>
      <c r="R6914" t="s">
        <v>370</v>
      </c>
      <c r="S6914" t="s">
        <v>323</v>
      </c>
      <c r="T6914">
        <v>7.6</v>
      </c>
      <c r="W6914" t="s">
        <v>330</v>
      </c>
      <c r="Y6914" s="42">
        <v>43851</v>
      </c>
    </row>
    <row r="6915" spans="14:25">
      <c r="N6915" s="42">
        <v>43850</v>
      </c>
      <c r="O6915" t="s">
        <v>345</v>
      </c>
      <c r="P6915" s="42">
        <v>43850</v>
      </c>
      <c r="Q6915" t="s">
        <v>345</v>
      </c>
      <c r="R6915" t="s">
        <v>370</v>
      </c>
      <c r="S6915" t="s">
        <v>323</v>
      </c>
      <c r="T6915">
        <v>7.6</v>
      </c>
      <c r="W6915" t="s">
        <v>330</v>
      </c>
      <c r="Y6915" s="42">
        <v>43851</v>
      </c>
    </row>
    <row r="6916" spans="14:25">
      <c r="N6916" s="42">
        <v>43849</v>
      </c>
      <c r="O6916" t="s">
        <v>344</v>
      </c>
      <c r="P6916" s="42">
        <v>43849</v>
      </c>
      <c r="Q6916" t="s">
        <v>344</v>
      </c>
      <c r="R6916" t="s">
        <v>370</v>
      </c>
      <c r="S6916" t="s">
        <v>323</v>
      </c>
      <c r="T6916">
        <v>7.6</v>
      </c>
      <c r="W6916" t="s">
        <v>330</v>
      </c>
      <c r="Y6916" s="42">
        <v>43851</v>
      </c>
    </row>
    <row r="6917" spans="14:25">
      <c r="N6917" s="42">
        <v>43846</v>
      </c>
      <c r="O6917" t="s">
        <v>324</v>
      </c>
      <c r="P6917" s="42">
        <v>43846</v>
      </c>
      <c r="Q6917" t="s">
        <v>324</v>
      </c>
      <c r="R6917" t="s">
        <v>370</v>
      </c>
      <c r="S6917" t="s">
        <v>323</v>
      </c>
      <c r="T6917">
        <v>7.6</v>
      </c>
      <c r="W6917" t="s">
        <v>330</v>
      </c>
      <c r="Y6917" s="42">
        <v>43851</v>
      </c>
    </row>
    <row r="6918" spans="14:25">
      <c r="N6918" s="42">
        <v>43845</v>
      </c>
      <c r="O6918" t="s">
        <v>328</v>
      </c>
      <c r="P6918" s="42">
        <v>43845</v>
      </c>
      <c r="Q6918" t="s">
        <v>328</v>
      </c>
      <c r="R6918" t="s">
        <v>370</v>
      </c>
      <c r="S6918" t="s">
        <v>323</v>
      </c>
      <c r="T6918">
        <v>7.6</v>
      </c>
      <c r="W6918" t="s">
        <v>330</v>
      </c>
      <c r="Y6918" s="42">
        <v>43851</v>
      </c>
    </row>
    <row r="6919" spans="14:25">
      <c r="N6919" s="42">
        <v>43844</v>
      </c>
      <c r="O6919" t="s">
        <v>333</v>
      </c>
      <c r="P6919" s="42">
        <v>43844</v>
      </c>
      <c r="Q6919" t="s">
        <v>333</v>
      </c>
      <c r="R6919" t="s">
        <v>370</v>
      </c>
      <c r="S6919" t="s">
        <v>323</v>
      </c>
      <c r="T6919">
        <v>7.6</v>
      </c>
      <c r="W6919" t="s">
        <v>330</v>
      </c>
      <c r="Y6919" s="42">
        <v>43851</v>
      </c>
    </row>
    <row r="6920" spans="14:25">
      <c r="N6920" s="42">
        <v>43843</v>
      </c>
      <c r="O6920" t="s">
        <v>345</v>
      </c>
      <c r="P6920" s="42">
        <v>43843</v>
      </c>
      <c r="Q6920" t="s">
        <v>345</v>
      </c>
      <c r="R6920" t="s">
        <v>370</v>
      </c>
      <c r="S6920" t="s">
        <v>323</v>
      </c>
      <c r="T6920">
        <v>7.6</v>
      </c>
      <c r="W6920" t="s">
        <v>330</v>
      </c>
      <c r="Y6920" s="42">
        <v>43851</v>
      </c>
    </row>
    <row r="6921" spans="14:25">
      <c r="N6921" s="42">
        <v>43842</v>
      </c>
      <c r="O6921" t="s">
        <v>344</v>
      </c>
      <c r="P6921" s="42">
        <v>43842</v>
      </c>
      <c r="Q6921" t="s">
        <v>344</v>
      </c>
      <c r="R6921" t="s">
        <v>370</v>
      </c>
      <c r="S6921" t="s">
        <v>323</v>
      </c>
      <c r="T6921">
        <v>7.6</v>
      </c>
      <c r="W6921" t="s">
        <v>330</v>
      </c>
      <c r="Y6921" s="42">
        <v>43851</v>
      </c>
    </row>
    <row r="6922" spans="14:25">
      <c r="N6922" s="42">
        <v>43839</v>
      </c>
      <c r="O6922" t="s">
        <v>324</v>
      </c>
      <c r="P6922" s="42">
        <v>43839</v>
      </c>
      <c r="Q6922" t="s">
        <v>324</v>
      </c>
      <c r="R6922" t="s">
        <v>370</v>
      </c>
      <c r="S6922" t="s">
        <v>323</v>
      </c>
      <c r="T6922">
        <v>7.6</v>
      </c>
      <c r="W6922" t="s">
        <v>330</v>
      </c>
      <c r="Y6922" s="42">
        <v>43851</v>
      </c>
    </row>
    <row r="6923" spans="14:25">
      <c r="N6923" s="42">
        <v>43838</v>
      </c>
      <c r="O6923" t="s">
        <v>328</v>
      </c>
      <c r="P6923" s="42">
        <v>43838</v>
      </c>
      <c r="Q6923" t="s">
        <v>328</v>
      </c>
      <c r="R6923" t="s">
        <v>370</v>
      </c>
      <c r="S6923" t="s">
        <v>323</v>
      </c>
      <c r="T6923">
        <v>7.6</v>
      </c>
      <c r="W6923" t="s">
        <v>330</v>
      </c>
      <c r="Y6923" s="42">
        <v>43851</v>
      </c>
    </row>
    <row r="6924" spans="14:25">
      <c r="N6924" s="42">
        <v>43837</v>
      </c>
      <c r="O6924" t="s">
        <v>333</v>
      </c>
      <c r="P6924" s="42">
        <v>43837</v>
      </c>
      <c r="Q6924" t="s">
        <v>333</v>
      </c>
      <c r="R6924" t="s">
        <v>370</v>
      </c>
      <c r="S6924" t="s">
        <v>323</v>
      </c>
      <c r="T6924">
        <v>7.6</v>
      </c>
      <c r="W6924" t="s">
        <v>330</v>
      </c>
      <c r="Y6924" s="42">
        <v>43837</v>
      </c>
    </row>
    <row r="6925" spans="14:25">
      <c r="N6925" s="42">
        <v>43836</v>
      </c>
      <c r="O6925" t="s">
        <v>345</v>
      </c>
      <c r="P6925" s="42">
        <v>43836</v>
      </c>
      <c r="Q6925" t="s">
        <v>345</v>
      </c>
      <c r="R6925" t="s">
        <v>370</v>
      </c>
      <c r="S6925" t="s">
        <v>323</v>
      </c>
      <c r="T6925">
        <v>7.6</v>
      </c>
      <c r="W6925" t="s">
        <v>330</v>
      </c>
      <c r="Y6925" s="42">
        <v>43837</v>
      </c>
    </row>
    <row r="6926" spans="14:25">
      <c r="N6926" s="42">
        <v>43835</v>
      </c>
      <c r="O6926" t="s">
        <v>344</v>
      </c>
      <c r="P6926" s="42">
        <v>43835</v>
      </c>
      <c r="Q6926" t="s">
        <v>344</v>
      </c>
      <c r="R6926" t="s">
        <v>370</v>
      </c>
      <c r="S6926" t="s">
        <v>323</v>
      </c>
      <c r="T6926">
        <v>7.6</v>
      </c>
      <c r="W6926" t="s">
        <v>330</v>
      </c>
      <c r="Y6926" s="42">
        <v>43837</v>
      </c>
    </row>
    <row r="6927" spans="14:25">
      <c r="N6927" s="42">
        <v>43832</v>
      </c>
      <c r="O6927" t="s">
        <v>324</v>
      </c>
      <c r="P6927" s="42">
        <v>43832</v>
      </c>
      <c r="Q6927" t="s">
        <v>324</v>
      </c>
      <c r="R6927" t="s">
        <v>370</v>
      </c>
      <c r="S6927" t="s">
        <v>323</v>
      </c>
      <c r="T6927">
        <v>7.6</v>
      </c>
      <c r="W6927" t="s">
        <v>330</v>
      </c>
      <c r="Y6927" s="42">
        <v>43837</v>
      </c>
    </row>
    <row r="6928" spans="14:25">
      <c r="N6928" s="42">
        <v>43830</v>
      </c>
      <c r="O6928" t="s">
        <v>333</v>
      </c>
      <c r="P6928" s="42">
        <v>43830</v>
      </c>
      <c r="Q6928" t="s">
        <v>333</v>
      </c>
      <c r="R6928" t="s">
        <v>370</v>
      </c>
      <c r="S6928" t="s">
        <v>323</v>
      </c>
      <c r="T6928">
        <v>7.6</v>
      </c>
      <c r="W6928" t="s">
        <v>330</v>
      </c>
      <c r="Y6928" s="42">
        <v>43837</v>
      </c>
    </row>
    <row r="6929" spans="14:25">
      <c r="N6929" s="42">
        <v>43829</v>
      </c>
      <c r="O6929" t="s">
        <v>345</v>
      </c>
      <c r="P6929" s="42">
        <v>43829</v>
      </c>
      <c r="Q6929" t="s">
        <v>345</v>
      </c>
      <c r="R6929" t="s">
        <v>370</v>
      </c>
      <c r="S6929" t="s">
        <v>323</v>
      </c>
      <c r="T6929">
        <v>7.6</v>
      </c>
      <c r="W6929" t="s">
        <v>330</v>
      </c>
      <c r="Y6929" s="42">
        <v>43837</v>
      </c>
    </row>
    <row r="6930" spans="14:25">
      <c r="N6930" s="42">
        <v>43828</v>
      </c>
      <c r="O6930" t="s">
        <v>344</v>
      </c>
      <c r="P6930" s="42">
        <v>43828</v>
      </c>
      <c r="Q6930" t="s">
        <v>344</v>
      </c>
      <c r="R6930" t="s">
        <v>370</v>
      </c>
      <c r="S6930" t="s">
        <v>323</v>
      </c>
      <c r="T6930">
        <v>7.6</v>
      </c>
      <c r="W6930" t="s">
        <v>330</v>
      </c>
      <c r="Y6930" s="42">
        <v>43837</v>
      </c>
    </row>
    <row r="6931" spans="14:25">
      <c r="N6931" s="42">
        <v>43809</v>
      </c>
      <c r="O6931" t="s">
        <v>333</v>
      </c>
      <c r="P6931" s="42">
        <v>43809</v>
      </c>
      <c r="Q6931" t="s">
        <v>333</v>
      </c>
      <c r="R6931" t="s">
        <v>370</v>
      </c>
      <c r="S6931" t="s">
        <v>323</v>
      </c>
      <c r="T6931">
        <v>7.6</v>
      </c>
      <c r="W6931" t="s">
        <v>330</v>
      </c>
      <c r="Y6931" s="42">
        <v>43809</v>
      </c>
    </row>
    <row r="6932" spans="14:25">
      <c r="N6932" s="42">
        <v>43808</v>
      </c>
      <c r="O6932" t="s">
        <v>345</v>
      </c>
      <c r="P6932" s="42">
        <v>43808</v>
      </c>
      <c r="Q6932" t="s">
        <v>345</v>
      </c>
      <c r="R6932" t="s">
        <v>370</v>
      </c>
      <c r="S6932" t="s">
        <v>323</v>
      </c>
      <c r="T6932">
        <v>7.6</v>
      </c>
      <c r="W6932" t="s">
        <v>330</v>
      </c>
      <c r="Y6932" s="42">
        <v>43809</v>
      </c>
    </row>
    <row r="6933" spans="14:25">
      <c r="N6933" s="42">
        <v>43807</v>
      </c>
      <c r="O6933" t="s">
        <v>344</v>
      </c>
      <c r="P6933" s="42">
        <v>43807</v>
      </c>
      <c r="Q6933" t="s">
        <v>344</v>
      </c>
      <c r="R6933" t="s">
        <v>370</v>
      </c>
      <c r="S6933" t="s">
        <v>323</v>
      </c>
      <c r="T6933">
        <v>7.6</v>
      </c>
      <c r="W6933" t="s">
        <v>330</v>
      </c>
      <c r="Y6933" s="42">
        <v>43809</v>
      </c>
    </row>
    <row r="6934" spans="14:25">
      <c r="N6934" s="42">
        <v>43804</v>
      </c>
      <c r="O6934" t="s">
        <v>324</v>
      </c>
      <c r="P6934" s="42">
        <v>43804</v>
      </c>
      <c r="Q6934" t="s">
        <v>324</v>
      </c>
      <c r="R6934" t="s">
        <v>370</v>
      </c>
      <c r="S6934" t="s">
        <v>323</v>
      </c>
      <c r="T6934">
        <v>7.6</v>
      </c>
      <c r="W6934" t="s">
        <v>330</v>
      </c>
      <c r="Y6934" s="42">
        <v>43809</v>
      </c>
    </row>
    <row r="6935" spans="14:25">
      <c r="N6935" s="42">
        <v>43803</v>
      </c>
      <c r="O6935" t="s">
        <v>328</v>
      </c>
      <c r="P6935" s="42">
        <v>43803</v>
      </c>
      <c r="Q6935" t="s">
        <v>328</v>
      </c>
      <c r="R6935" t="s">
        <v>370</v>
      </c>
      <c r="S6935" t="s">
        <v>323</v>
      </c>
      <c r="T6935">
        <v>7.6</v>
      </c>
      <c r="W6935" t="s">
        <v>330</v>
      </c>
      <c r="Y6935" s="42">
        <v>43809</v>
      </c>
    </row>
    <row r="6936" spans="14:25">
      <c r="N6936" s="42">
        <v>43802</v>
      </c>
      <c r="O6936" t="s">
        <v>333</v>
      </c>
      <c r="P6936" s="42">
        <v>43802</v>
      </c>
      <c r="Q6936" t="s">
        <v>333</v>
      </c>
      <c r="R6936" t="s">
        <v>370</v>
      </c>
      <c r="S6936" t="s">
        <v>323</v>
      </c>
      <c r="T6936">
        <v>7.6</v>
      </c>
      <c r="W6936" t="s">
        <v>330</v>
      </c>
      <c r="Y6936" s="42">
        <v>43809</v>
      </c>
    </row>
    <row r="6937" spans="14:25">
      <c r="N6937" s="42">
        <v>43801</v>
      </c>
      <c r="O6937" t="s">
        <v>345</v>
      </c>
      <c r="P6937" s="42">
        <v>43801</v>
      </c>
      <c r="Q6937" t="s">
        <v>345</v>
      </c>
      <c r="R6937" t="s">
        <v>370</v>
      </c>
      <c r="S6937" t="s">
        <v>323</v>
      </c>
      <c r="T6937">
        <v>7.6</v>
      </c>
      <c r="W6937" t="s">
        <v>330</v>
      </c>
      <c r="Y6937" s="42">
        <v>43809</v>
      </c>
    </row>
    <row r="6938" spans="14:25">
      <c r="N6938" s="42">
        <v>43800</v>
      </c>
      <c r="O6938" t="s">
        <v>344</v>
      </c>
      <c r="P6938" s="42">
        <v>43800</v>
      </c>
      <c r="Q6938" t="s">
        <v>344</v>
      </c>
      <c r="R6938" t="s">
        <v>370</v>
      </c>
      <c r="S6938" t="s">
        <v>323</v>
      </c>
      <c r="T6938">
        <v>7.6</v>
      </c>
      <c r="W6938" t="s">
        <v>330</v>
      </c>
      <c r="Y6938" s="42">
        <v>43809</v>
      </c>
    </row>
    <row r="6939" spans="14:25">
      <c r="N6939" s="42">
        <v>43797</v>
      </c>
      <c r="O6939" t="s">
        <v>324</v>
      </c>
      <c r="P6939" s="42">
        <v>43797</v>
      </c>
      <c r="Q6939" t="s">
        <v>324</v>
      </c>
      <c r="R6939" t="s">
        <v>370</v>
      </c>
      <c r="S6939" t="s">
        <v>323</v>
      </c>
      <c r="T6939">
        <v>7.6</v>
      </c>
      <c r="W6939" t="s">
        <v>330</v>
      </c>
      <c r="Y6939" s="42">
        <v>43809</v>
      </c>
    </row>
    <row r="6940" spans="14:25">
      <c r="N6940" s="42">
        <v>43796</v>
      </c>
      <c r="O6940" t="s">
        <v>328</v>
      </c>
      <c r="P6940" s="42">
        <v>43796</v>
      </c>
      <c r="Q6940" t="s">
        <v>328</v>
      </c>
      <c r="R6940" t="s">
        <v>370</v>
      </c>
      <c r="S6940" t="s">
        <v>323</v>
      </c>
      <c r="T6940">
        <v>7.6</v>
      </c>
      <c r="W6940" t="s">
        <v>330</v>
      </c>
      <c r="Y6940" s="42">
        <v>43809</v>
      </c>
    </row>
    <row r="6941" spans="14:25">
      <c r="N6941" s="42">
        <v>43795</v>
      </c>
      <c r="O6941" t="s">
        <v>333</v>
      </c>
      <c r="P6941" s="42">
        <v>43795</v>
      </c>
      <c r="Q6941" t="s">
        <v>333</v>
      </c>
      <c r="R6941" t="s">
        <v>370</v>
      </c>
      <c r="S6941" t="s">
        <v>323</v>
      </c>
      <c r="T6941">
        <v>7.6</v>
      </c>
      <c r="W6941" t="s">
        <v>330</v>
      </c>
      <c r="Y6941" s="42">
        <v>43795</v>
      </c>
    </row>
    <row r="6942" spans="14:25">
      <c r="N6942" s="42">
        <v>43794</v>
      </c>
      <c r="O6942" t="s">
        <v>345</v>
      </c>
      <c r="P6942" s="42">
        <v>43794</v>
      </c>
      <c r="Q6942" t="s">
        <v>345</v>
      </c>
      <c r="R6942" t="s">
        <v>370</v>
      </c>
      <c r="S6942" t="s">
        <v>323</v>
      </c>
      <c r="T6942">
        <v>7.6</v>
      </c>
      <c r="W6942" t="s">
        <v>330</v>
      </c>
      <c r="Y6942" s="42">
        <v>43795</v>
      </c>
    </row>
    <row r="6943" spans="14:25">
      <c r="N6943" s="42">
        <v>43793</v>
      </c>
      <c r="O6943" t="s">
        <v>344</v>
      </c>
      <c r="P6943" s="42">
        <v>43793</v>
      </c>
      <c r="Q6943" t="s">
        <v>344</v>
      </c>
      <c r="R6943" t="s">
        <v>370</v>
      </c>
      <c r="S6943" t="s">
        <v>323</v>
      </c>
      <c r="T6943">
        <v>7.6</v>
      </c>
      <c r="W6943" t="s">
        <v>330</v>
      </c>
      <c r="Y6943" s="42">
        <v>43795</v>
      </c>
    </row>
    <row r="6944" spans="14:25">
      <c r="N6944" s="42">
        <v>43790</v>
      </c>
      <c r="O6944" t="s">
        <v>324</v>
      </c>
      <c r="P6944" s="42">
        <v>43790</v>
      </c>
      <c r="Q6944" t="s">
        <v>324</v>
      </c>
      <c r="R6944" t="s">
        <v>370</v>
      </c>
      <c r="S6944" t="s">
        <v>323</v>
      </c>
      <c r="T6944">
        <v>7.6</v>
      </c>
      <c r="W6944" t="s">
        <v>330</v>
      </c>
      <c r="Y6944" s="42">
        <v>43795</v>
      </c>
    </row>
    <row r="6945" spans="14:25">
      <c r="N6945" s="42">
        <v>43789</v>
      </c>
      <c r="O6945" t="s">
        <v>328</v>
      </c>
      <c r="P6945" s="42">
        <v>43789</v>
      </c>
      <c r="Q6945" t="s">
        <v>328</v>
      </c>
      <c r="R6945" t="s">
        <v>370</v>
      </c>
      <c r="S6945" t="s">
        <v>323</v>
      </c>
      <c r="T6945">
        <v>7.6</v>
      </c>
      <c r="W6945" t="s">
        <v>330</v>
      </c>
      <c r="Y6945" s="42">
        <v>43795</v>
      </c>
    </row>
    <row r="6946" spans="14:25">
      <c r="N6946" s="42">
        <v>43788</v>
      </c>
      <c r="O6946" t="s">
        <v>333</v>
      </c>
      <c r="P6946" s="42">
        <v>43788</v>
      </c>
      <c r="Q6946" t="s">
        <v>333</v>
      </c>
      <c r="R6946" t="s">
        <v>370</v>
      </c>
      <c r="S6946" t="s">
        <v>323</v>
      </c>
      <c r="T6946">
        <v>7.6</v>
      </c>
      <c r="W6946" t="s">
        <v>330</v>
      </c>
      <c r="Y6946" s="42">
        <v>43795</v>
      </c>
    </row>
    <row r="6947" spans="14:25">
      <c r="N6947" s="42">
        <v>43787</v>
      </c>
      <c r="O6947" t="s">
        <v>345</v>
      </c>
      <c r="P6947" s="42">
        <v>43787</v>
      </c>
      <c r="Q6947" t="s">
        <v>345</v>
      </c>
      <c r="R6947" t="s">
        <v>370</v>
      </c>
      <c r="S6947" t="s">
        <v>323</v>
      </c>
      <c r="T6947">
        <v>7.6</v>
      </c>
      <c r="W6947" t="s">
        <v>330</v>
      </c>
      <c r="Y6947" s="42">
        <v>43795</v>
      </c>
    </row>
    <row r="6948" spans="14:25">
      <c r="N6948" s="42">
        <v>43786</v>
      </c>
      <c r="O6948" t="s">
        <v>344</v>
      </c>
      <c r="P6948" s="42">
        <v>43786</v>
      </c>
      <c r="Q6948" t="s">
        <v>344</v>
      </c>
      <c r="R6948" t="s">
        <v>370</v>
      </c>
      <c r="S6948" t="s">
        <v>323</v>
      </c>
      <c r="T6948">
        <v>7.6</v>
      </c>
      <c r="W6948" t="s">
        <v>330</v>
      </c>
      <c r="Y6948" s="42">
        <v>43795</v>
      </c>
    </row>
    <row r="6949" spans="14:25">
      <c r="N6949" s="42">
        <v>43783</v>
      </c>
      <c r="O6949" t="s">
        <v>324</v>
      </c>
      <c r="P6949" s="42">
        <v>43783</v>
      </c>
      <c r="Q6949" t="s">
        <v>324</v>
      </c>
      <c r="R6949" t="s">
        <v>370</v>
      </c>
      <c r="S6949" t="s">
        <v>323</v>
      </c>
      <c r="T6949">
        <v>7.6</v>
      </c>
      <c r="W6949" t="s">
        <v>330</v>
      </c>
      <c r="Y6949" s="42">
        <v>43795</v>
      </c>
    </row>
    <row r="6950" spans="14:25">
      <c r="N6950" s="42">
        <v>43782</v>
      </c>
      <c r="O6950" t="s">
        <v>328</v>
      </c>
      <c r="P6950" s="42">
        <v>43782</v>
      </c>
      <c r="Q6950" t="s">
        <v>328</v>
      </c>
      <c r="R6950" t="s">
        <v>370</v>
      </c>
      <c r="S6950" t="s">
        <v>323</v>
      </c>
      <c r="T6950">
        <v>7.6</v>
      </c>
      <c r="W6950" t="s">
        <v>330</v>
      </c>
      <c r="Y6950" s="42">
        <v>43795</v>
      </c>
    </row>
    <row r="6951" spans="14:25">
      <c r="N6951" s="42">
        <v>43781</v>
      </c>
      <c r="O6951" t="s">
        <v>333</v>
      </c>
      <c r="P6951" s="42">
        <v>43781</v>
      </c>
      <c r="Q6951" t="s">
        <v>333</v>
      </c>
      <c r="R6951" t="s">
        <v>370</v>
      </c>
      <c r="S6951" t="s">
        <v>323</v>
      </c>
      <c r="T6951">
        <v>7.6</v>
      </c>
      <c r="W6951" t="s">
        <v>330</v>
      </c>
      <c r="Y6951" s="42">
        <v>43781</v>
      </c>
    </row>
    <row r="6952" spans="14:25">
      <c r="N6952" s="42">
        <v>43780</v>
      </c>
      <c r="O6952" t="s">
        <v>345</v>
      </c>
      <c r="P6952" s="42">
        <v>43780</v>
      </c>
      <c r="Q6952" t="s">
        <v>345</v>
      </c>
      <c r="R6952" t="s">
        <v>370</v>
      </c>
      <c r="S6952" t="s">
        <v>323</v>
      </c>
      <c r="T6952">
        <v>7.6</v>
      </c>
      <c r="W6952" t="s">
        <v>330</v>
      </c>
      <c r="Y6952" s="42">
        <v>43781</v>
      </c>
    </row>
    <row r="6953" spans="14:25">
      <c r="N6953" s="42">
        <v>43779</v>
      </c>
      <c r="O6953" t="s">
        <v>344</v>
      </c>
      <c r="P6953" s="42">
        <v>43779</v>
      </c>
      <c r="Q6953" t="s">
        <v>344</v>
      </c>
      <c r="R6953" t="s">
        <v>370</v>
      </c>
      <c r="S6953" t="s">
        <v>323</v>
      </c>
      <c r="T6953">
        <v>7.6</v>
      </c>
      <c r="W6953" t="s">
        <v>330</v>
      </c>
      <c r="Y6953" s="42">
        <v>43781</v>
      </c>
    </row>
    <row r="6954" spans="14:25">
      <c r="N6954" s="42">
        <v>43776</v>
      </c>
      <c r="O6954" t="s">
        <v>324</v>
      </c>
      <c r="P6954" s="42">
        <v>43776</v>
      </c>
      <c r="Q6954" t="s">
        <v>324</v>
      </c>
      <c r="R6954" t="s">
        <v>370</v>
      </c>
      <c r="S6954" t="s">
        <v>323</v>
      </c>
      <c r="T6954">
        <v>7.6</v>
      </c>
      <c r="W6954" t="s">
        <v>330</v>
      </c>
      <c r="Y6954" s="42">
        <v>43781</v>
      </c>
    </row>
    <row r="6955" spans="14:25">
      <c r="N6955" s="42">
        <v>43775</v>
      </c>
      <c r="O6955" t="s">
        <v>328</v>
      </c>
      <c r="P6955" s="42">
        <v>43775</v>
      </c>
      <c r="Q6955" t="s">
        <v>328</v>
      </c>
      <c r="R6955" t="s">
        <v>370</v>
      </c>
      <c r="S6955" t="s">
        <v>323</v>
      </c>
      <c r="T6955">
        <v>7.6</v>
      </c>
      <c r="W6955" t="s">
        <v>330</v>
      </c>
      <c r="Y6955" s="42">
        <v>43781</v>
      </c>
    </row>
    <row r="6956" spans="14:25">
      <c r="N6956" s="42">
        <v>43774</v>
      </c>
      <c r="O6956" t="s">
        <v>333</v>
      </c>
      <c r="P6956" s="42">
        <v>43774</v>
      </c>
      <c r="Q6956" t="s">
        <v>333</v>
      </c>
      <c r="R6956" t="s">
        <v>370</v>
      </c>
      <c r="S6956" t="s">
        <v>323</v>
      </c>
      <c r="T6956">
        <v>7.6</v>
      </c>
      <c r="W6956" t="s">
        <v>330</v>
      </c>
      <c r="Y6956" s="42">
        <v>43781</v>
      </c>
    </row>
    <row r="6957" spans="14:25">
      <c r="N6957" s="42">
        <v>43773</v>
      </c>
      <c r="O6957" t="s">
        <v>345</v>
      </c>
      <c r="P6957" s="42">
        <v>43773</v>
      </c>
      <c r="Q6957" t="s">
        <v>345</v>
      </c>
      <c r="R6957" t="s">
        <v>370</v>
      </c>
      <c r="S6957" t="s">
        <v>323</v>
      </c>
      <c r="T6957">
        <v>7.6</v>
      </c>
      <c r="W6957" t="s">
        <v>330</v>
      </c>
      <c r="Y6957" s="42">
        <v>43781</v>
      </c>
    </row>
    <row r="6958" spans="14:25">
      <c r="N6958" s="42">
        <v>43772</v>
      </c>
      <c r="O6958" t="s">
        <v>344</v>
      </c>
      <c r="P6958" s="42">
        <v>43772</v>
      </c>
      <c r="Q6958" t="s">
        <v>344</v>
      </c>
      <c r="R6958" t="s">
        <v>370</v>
      </c>
      <c r="S6958" t="s">
        <v>323</v>
      </c>
      <c r="T6958">
        <v>7.6</v>
      </c>
      <c r="W6958" t="s">
        <v>330</v>
      </c>
      <c r="Y6958" s="42">
        <v>43781</v>
      </c>
    </row>
    <row r="6959" spans="14:25">
      <c r="N6959" s="42">
        <v>43769</v>
      </c>
      <c r="O6959" t="s">
        <v>324</v>
      </c>
      <c r="P6959" s="42">
        <v>43769</v>
      </c>
      <c r="Q6959" t="s">
        <v>324</v>
      </c>
      <c r="R6959" t="s">
        <v>370</v>
      </c>
      <c r="S6959" t="s">
        <v>323</v>
      </c>
      <c r="T6959">
        <v>7.6</v>
      </c>
      <c r="W6959" t="s">
        <v>330</v>
      </c>
      <c r="Y6959" s="42">
        <v>43781</v>
      </c>
    </row>
    <row r="6960" spans="14:25">
      <c r="N6960" s="42">
        <v>43768</v>
      </c>
      <c r="O6960" t="s">
        <v>328</v>
      </c>
      <c r="P6960" s="42">
        <v>43768</v>
      </c>
      <c r="Q6960" t="s">
        <v>328</v>
      </c>
      <c r="R6960" t="s">
        <v>370</v>
      </c>
      <c r="S6960" t="s">
        <v>323</v>
      </c>
      <c r="T6960">
        <v>7.6</v>
      </c>
      <c r="W6960" t="s">
        <v>330</v>
      </c>
      <c r="Y6960" s="42">
        <v>43781</v>
      </c>
    </row>
    <row r="6961" spans="14:25">
      <c r="N6961" s="42">
        <v>43767</v>
      </c>
      <c r="O6961" t="s">
        <v>333</v>
      </c>
      <c r="P6961" s="42">
        <v>43767</v>
      </c>
      <c r="Q6961" t="s">
        <v>333</v>
      </c>
      <c r="R6961" t="s">
        <v>370</v>
      </c>
      <c r="S6961" t="s">
        <v>323</v>
      </c>
      <c r="T6961">
        <v>7.6</v>
      </c>
      <c r="W6961" t="s">
        <v>330</v>
      </c>
      <c r="Y6961" s="42">
        <v>43767</v>
      </c>
    </row>
    <row r="6962" spans="14:25">
      <c r="N6962" s="42">
        <v>43766</v>
      </c>
      <c r="O6962" t="s">
        <v>345</v>
      </c>
      <c r="P6962" s="42">
        <v>43766</v>
      </c>
      <c r="Q6962" t="s">
        <v>345</v>
      </c>
      <c r="R6962" t="s">
        <v>370</v>
      </c>
      <c r="S6962" t="s">
        <v>323</v>
      </c>
      <c r="T6962">
        <v>7.6</v>
      </c>
      <c r="W6962" t="s">
        <v>330</v>
      </c>
      <c r="Y6962" s="42">
        <v>43767</v>
      </c>
    </row>
    <row r="6963" spans="14:25">
      <c r="N6963" s="42">
        <v>43765</v>
      </c>
      <c r="O6963" t="s">
        <v>344</v>
      </c>
      <c r="P6963" s="42">
        <v>43765</v>
      </c>
      <c r="Q6963" t="s">
        <v>344</v>
      </c>
      <c r="R6963" t="s">
        <v>370</v>
      </c>
      <c r="S6963" t="s">
        <v>323</v>
      </c>
      <c r="T6963">
        <v>7.6</v>
      </c>
      <c r="W6963" t="s">
        <v>330</v>
      </c>
      <c r="Y6963" s="42">
        <v>43767</v>
      </c>
    </row>
    <row r="6964" spans="14:25">
      <c r="N6964" s="42">
        <v>43762</v>
      </c>
      <c r="O6964" t="s">
        <v>324</v>
      </c>
      <c r="P6964" s="42">
        <v>43762</v>
      </c>
      <c r="Q6964" t="s">
        <v>324</v>
      </c>
      <c r="R6964" t="s">
        <v>370</v>
      </c>
      <c r="S6964" t="s">
        <v>323</v>
      </c>
      <c r="T6964">
        <v>7.6</v>
      </c>
      <c r="W6964" t="s">
        <v>330</v>
      </c>
      <c r="Y6964" s="42">
        <v>43767</v>
      </c>
    </row>
    <row r="6965" spans="14:25">
      <c r="N6965" s="42">
        <v>43761</v>
      </c>
      <c r="O6965" t="s">
        <v>328</v>
      </c>
      <c r="P6965" s="42">
        <v>43761</v>
      </c>
      <c r="Q6965" t="s">
        <v>328</v>
      </c>
      <c r="R6965" t="s">
        <v>370</v>
      </c>
      <c r="S6965" t="s">
        <v>323</v>
      </c>
      <c r="T6965">
        <v>7.6</v>
      </c>
      <c r="W6965" t="s">
        <v>330</v>
      </c>
      <c r="Y6965" s="42">
        <v>43767</v>
      </c>
    </row>
    <row r="6966" spans="14:25">
      <c r="N6966" s="42">
        <v>43760</v>
      </c>
      <c r="O6966" t="s">
        <v>333</v>
      </c>
      <c r="P6966" s="42">
        <v>43760</v>
      </c>
      <c r="Q6966" t="s">
        <v>333</v>
      </c>
      <c r="R6966" t="s">
        <v>370</v>
      </c>
      <c r="S6966" t="s">
        <v>323</v>
      </c>
      <c r="T6966">
        <v>7.6</v>
      </c>
      <c r="W6966" t="s">
        <v>330</v>
      </c>
      <c r="Y6966" s="42">
        <v>43767</v>
      </c>
    </row>
    <row r="6967" spans="14:25">
      <c r="N6967" s="42">
        <v>43759</v>
      </c>
      <c r="O6967" t="s">
        <v>345</v>
      </c>
      <c r="P6967" s="42">
        <v>43759</v>
      </c>
      <c r="Q6967" t="s">
        <v>345</v>
      </c>
      <c r="R6967" t="s">
        <v>370</v>
      </c>
      <c r="S6967" t="s">
        <v>323</v>
      </c>
      <c r="T6967">
        <v>7.6</v>
      </c>
      <c r="W6967" t="s">
        <v>330</v>
      </c>
      <c r="Y6967" s="42">
        <v>43767</v>
      </c>
    </row>
    <row r="6968" spans="14:25">
      <c r="N6968" s="42">
        <v>43758</v>
      </c>
      <c r="O6968" t="s">
        <v>344</v>
      </c>
      <c r="P6968" s="42">
        <v>43758</v>
      </c>
      <c r="Q6968" t="s">
        <v>344</v>
      </c>
      <c r="R6968" t="s">
        <v>370</v>
      </c>
      <c r="S6968" t="s">
        <v>323</v>
      </c>
      <c r="T6968">
        <v>7.6</v>
      </c>
      <c r="W6968" t="s">
        <v>330</v>
      </c>
      <c r="Y6968" s="42">
        <v>43767</v>
      </c>
    </row>
    <row r="6969" spans="14:25">
      <c r="N6969" s="42">
        <v>43755</v>
      </c>
      <c r="O6969" t="s">
        <v>324</v>
      </c>
      <c r="P6969" s="42">
        <v>43755</v>
      </c>
      <c r="Q6969" t="s">
        <v>324</v>
      </c>
      <c r="R6969" t="s">
        <v>370</v>
      </c>
      <c r="S6969" t="s">
        <v>323</v>
      </c>
      <c r="T6969">
        <v>7.6</v>
      </c>
      <c r="W6969" t="s">
        <v>330</v>
      </c>
      <c r="Y6969" s="42">
        <v>43767</v>
      </c>
    </row>
    <row r="6970" spans="14:25">
      <c r="N6970" s="42">
        <v>43754</v>
      </c>
      <c r="O6970" t="s">
        <v>328</v>
      </c>
      <c r="P6970" s="42">
        <v>43754</v>
      </c>
      <c r="Q6970" t="s">
        <v>328</v>
      </c>
      <c r="R6970" t="s">
        <v>370</v>
      </c>
      <c r="S6970" t="s">
        <v>323</v>
      </c>
      <c r="T6970">
        <v>7.6</v>
      </c>
      <c r="W6970" t="s">
        <v>330</v>
      </c>
      <c r="Y6970" s="42">
        <v>43767</v>
      </c>
    </row>
    <row r="6971" spans="14:25">
      <c r="N6971" s="42">
        <v>43740</v>
      </c>
      <c r="O6971" t="s">
        <v>328</v>
      </c>
      <c r="P6971" s="42">
        <v>43753</v>
      </c>
      <c r="Q6971" t="s">
        <v>333</v>
      </c>
      <c r="R6971" t="s">
        <v>424</v>
      </c>
      <c r="S6971" t="s">
        <v>323</v>
      </c>
      <c r="T6971">
        <v>76</v>
      </c>
      <c r="W6971" t="s">
        <v>330</v>
      </c>
      <c r="Y6971" s="42">
        <v>43753</v>
      </c>
    </row>
    <row r="6972" spans="14:25">
      <c r="N6972" s="42">
        <v>43726</v>
      </c>
      <c r="O6972" t="s">
        <v>328</v>
      </c>
      <c r="P6972" s="42">
        <v>43739</v>
      </c>
      <c r="Q6972" t="s">
        <v>333</v>
      </c>
      <c r="R6972" t="s">
        <v>370</v>
      </c>
      <c r="S6972" t="s">
        <v>323</v>
      </c>
      <c r="T6972">
        <v>76</v>
      </c>
      <c r="W6972" t="s">
        <v>330</v>
      </c>
      <c r="Y6972" s="42">
        <v>43739</v>
      </c>
    </row>
    <row r="6973" spans="14:25">
      <c r="N6973" s="42">
        <v>43725</v>
      </c>
      <c r="O6973" t="s">
        <v>333</v>
      </c>
      <c r="P6973" s="42">
        <v>43725</v>
      </c>
      <c r="Q6973" t="s">
        <v>333</v>
      </c>
      <c r="R6973" t="s">
        <v>320</v>
      </c>
      <c r="S6973" t="s">
        <v>323</v>
      </c>
      <c r="T6973">
        <v>7.6</v>
      </c>
      <c r="U6973">
        <v>0</v>
      </c>
    </row>
    <row r="6974" spans="14:25">
      <c r="N6974" s="42">
        <v>43724</v>
      </c>
      <c r="O6974" t="s">
        <v>345</v>
      </c>
      <c r="P6974" s="42">
        <v>43724</v>
      </c>
      <c r="Q6974" t="s">
        <v>345</v>
      </c>
      <c r="R6974" t="s">
        <v>320</v>
      </c>
      <c r="S6974" t="s">
        <v>323</v>
      </c>
      <c r="T6974">
        <v>7.6</v>
      </c>
      <c r="U6974">
        <v>0</v>
      </c>
    </row>
    <row r="6975" spans="14:25">
      <c r="N6975" s="42">
        <v>43723</v>
      </c>
      <c r="O6975" t="s">
        <v>344</v>
      </c>
      <c r="P6975" s="42">
        <v>43723</v>
      </c>
      <c r="Q6975" t="s">
        <v>344</v>
      </c>
      <c r="R6975" t="s">
        <v>425</v>
      </c>
      <c r="S6975" t="s">
        <v>323</v>
      </c>
      <c r="T6975">
        <v>7.6</v>
      </c>
      <c r="W6975" t="s">
        <v>330</v>
      </c>
      <c r="Y6975" s="42">
        <v>43725</v>
      </c>
    </row>
    <row r="6976" spans="14:25">
      <c r="N6976" s="42">
        <v>43720</v>
      </c>
      <c r="O6976" t="s">
        <v>324</v>
      </c>
      <c r="P6976" s="42">
        <v>43720</v>
      </c>
      <c r="Q6976" t="s">
        <v>324</v>
      </c>
      <c r="R6976" t="s">
        <v>320</v>
      </c>
      <c r="S6976" t="s">
        <v>323</v>
      </c>
      <c r="T6976">
        <v>7.6</v>
      </c>
      <c r="U6976">
        <v>0</v>
      </c>
    </row>
    <row r="6977" spans="1:25">
      <c r="N6977" s="42">
        <v>43706</v>
      </c>
      <c r="O6977" t="s">
        <v>324</v>
      </c>
      <c r="P6977" s="42">
        <v>43706</v>
      </c>
      <c r="Q6977" t="s">
        <v>324</v>
      </c>
      <c r="R6977" t="s">
        <v>329</v>
      </c>
      <c r="S6977" t="s">
        <v>323</v>
      </c>
      <c r="T6977">
        <v>7.6</v>
      </c>
      <c r="W6977" t="s">
        <v>330</v>
      </c>
      <c r="Y6977" s="42">
        <v>43711</v>
      </c>
    </row>
    <row r="6978" spans="1:25">
      <c r="N6978" s="42">
        <v>43692</v>
      </c>
      <c r="O6978" t="s">
        <v>324</v>
      </c>
      <c r="P6978" s="42">
        <v>43692</v>
      </c>
      <c r="Q6978" t="s">
        <v>324</v>
      </c>
      <c r="R6978" t="s">
        <v>329</v>
      </c>
      <c r="S6978" t="s">
        <v>323</v>
      </c>
      <c r="T6978">
        <v>7.6</v>
      </c>
      <c r="W6978" t="s">
        <v>330</v>
      </c>
      <c r="Y6978" s="42">
        <v>43697</v>
      </c>
    </row>
    <row r="6979" spans="1:25">
      <c r="N6979" s="42">
        <v>43678</v>
      </c>
      <c r="O6979" t="s">
        <v>324</v>
      </c>
      <c r="P6979" s="42">
        <v>43678</v>
      </c>
      <c r="Q6979" t="s">
        <v>324</v>
      </c>
      <c r="R6979" t="s">
        <v>329</v>
      </c>
      <c r="S6979" t="s">
        <v>323</v>
      </c>
      <c r="T6979">
        <v>7.6</v>
      </c>
      <c r="W6979" t="s">
        <v>330</v>
      </c>
      <c r="Y6979" s="42">
        <v>43683</v>
      </c>
    </row>
    <row r="6980" spans="1:25">
      <c r="N6980" s="42">
        <v>43661</v>
      </c>
      <c r="O6980" t="s">
        <v>345</v>
      </c>
      <c r="P6980" s="42">
        <v>43661</v>
      </c>
      <c r="Q6980" t="s">
        <v>345</v>
      </c>
      <c r="R6980" t="s">
        <v>329</v>
      </c>
      <c r="S6980" t="s">
        <v>323</v>
      </c>
      <c r="T6980">
        <v>7.6</v>
      </c>
      <c r="W6980" t="s">
        <v>330</v>
      </c>
      <c r="Y6980" s="42">
        <v>43669</v>
      </c>
    </row>
    <row r="6981" spans="1:25">
      <c r="A6981">
        <v>18862</v>
      </c>
      <c r="B6981" t="s">
        <v>426</v>
      </c>
      <c r="C6981" t="s">
        <v>320</v>
      </c>
      <c r="D6981" t="s">
        <v>336</v>
      </c>
      <c r="E6981" t="s">
        <v>337</v>
      </c>
      <c r="F6981">
        <v>1</v>
      </c>
      <c r="G6981" s="42">
        <v>45321</v>
      </c>
      <c r="H6981">
        <v>152</v>
      </c>
      <c r="I6981">
        <v>174.3999</v>
      </c>
      <c r="J6981">
        <v>13.7425</v>
      </c>
      <c r="K6981">
        <v>188.14240000000001</v>
      </c>
      <c r="L6981" t="s">
        <v>323</v>
      </c>
      <c r="M6981" s="43">
        <v>0.1673611111111111</v>
      </c>
      <c r="N6981" s="42">
        <v>45273</v>
      </c>
      <c r="O6981" t="s">
        <v>328</v>
      </c>
      <c r="P6981" s="42">
        <v>45275</v>
      </c>
      <c r="Q6981" t="s">
        <v>346</v>
      </c>
      <c r="R6981" t="s">
        <v>320</v>
      </c>
      <c r="S6981" t="s">
        <v>323</v>
      </c>
      <c r="T6981">
        <v>22.8</v>
      </c>
      <c r="V6981">
        <v>0</v>
      </c>
    </row>
    <row r="6982" spans="1:25">
      <c r="C6982" t="s">
        <v>325</v>
      </c>
      <c r="D6982" t="s">
        <v>352</v>
      </c>
      <c r="E6982" t="s">
        <v>353</v>
      </c>
      <c r="F6982">
        <v>1</v>
      </c>
      <c r="G6982" s="42">
        <v>47148</v>
      </c>
      <c r="H6982">
        <v>329.33620000000002</v>
      </c>
      <c r="I6982">
        <v>0</v>
      </c>
      <c r="J6982">
        <v>134.6858</v>
      </c>
      <c r="K6982">
        <v>134.6858</v>
      </c>
      <c r="L6982" t="s">
        <v>323</v>
      </c>
      <c r="N6982" s="42">
        <v>45002</v>
      </c>
      <c r="O6982" t="s">
        <v>346</v>
      </c>
      <c r="P6982" s="42">
        <v>45002</v>
      </c>
      <c r="Q6982" t="s">
        <v>346</v>
      </c>
      <c r="R6982" t="s">
        <v>320</v>
      </c>
      <c r="S6982" t="s">
        <v>323</v>
      </c>
      <c r="T6982">
        <v>7.6</v>
      </c>
      <c r="V6982">
        <v>0</v>
      </c>
    </row>
    <row r="6983" spans="1:25">
      <c r="C6983" t="s">
        <v>329</v>
      </c>
      <c r="D6983" t="s">
        <v>342</v>
      </c>
      <c r="E6983" t="s">
        <v>343</v>
      </c>
      <c r="F6983">
        <v>1</v>
      </c>
      <c r="G6983" s="42">
        <v>45321</v>
      </c>
      <c r="H6983">
        <v>76</v>
      </c>
      <c r="I6983">
        <v>88.989900000000006</v>
      </c>
      <c r="J6983">
        <v>6.8712</v>
      </c>
      <c r="K6983">
        <v>95.861099999999993</v>
      </c>
      <c r="L6983" t="s">
        <v>323</v>
      </c>
      <c r="N6983" s="42">
        <v>44952</v>
      </c>
      <c r="O6983" t="s">
        <v>324</v>
      </c>
      <c r="P6983" s="42">
        <v>44952</v>
      </c>
      <c r="Q6983" t="s">
        <v>324</v>
      </c>
      <c r="R6983" t="s">
        <v>320</v>
      </c>
      <c r="S6983" t="s">
        <v>323</v>
      </c>
      <c r="U6983">
        <v>7.6</v>
      </c>
      <c r="Y6983" s="42">
        <v>44957</v>
      </c>
    </row>
    <row r="6984" spans="1:25">
      <c r="N6984" s="42">
        <v>44946</v>
      </c>
      <c r="O6984" t="s">
        <v>346</v>
      </c>
      <c r="P6984" s="42">
        <v>44946</v>
      </c>
      <c r="Q6984" t="s">
        <v>346</v>
      </c>
      <c r="R6984" t="s">
        <v>320</v>
      </c>
      <c r="S6984" t="s">
        <v>323</v>
      </c>
      <c r="T6984">
        <v>7.6</v>
      </c>
      <c r="V6984">
        <v>0</v>
      </c>
      <c r="Y6984" s="42">
        <v>44957</v>
      </c>
    </row>
    <row r="6985" spans="1:25">
      <c r="N6985" s="42">
        <v>44930</v>
      </c>
      <c r="O6985" t="s">
        <v>328</v>
      </c>
      <c r="P6985" s="42">
        <v>44941</v>
      </c>
      <c r="Q6985" t="s">
        <v>344</v>
      </c>
      <c r="R6985" t="s">
        <v>320</v>
      </c>
      <c r="S6985" t="s">
        <v>323</v>
      </c>
      <c r="T6985">
        <v>60.8</v>
      </c>
      <c r="U6985">
        <v>0</v>
      </c>
      <c r="V6985">
        <v>0</v>
      </c>
      <c r="Y6985" s="42">
        <v>44943</v>
      </c>
    </row>
    <row r="6986" spans="1:25">
      <c r="N6986" s="42">
        <v>44916</v>
      </c>
      <c r="O6986" t="s">
        <v>328</v>
      </c>
      <c r="P6986" s="42">
        <v>44929</v>
      </c>
      <c r="Q6986" t="s">
        <v>333</v>
      </c>
      <c r="R6986" t="s">
        <v>320</v>
      </c>
      <c r="S6986" t="s">
        <v>323</v>
      </c>
      <c r="T6986">
        <v>53.2</v>
      </c>
      <c r="U6986">
        <v>22.8</v>
      </c>
      <c r="V6986">
        <v>0</v>
      </c>
      <c r="Y6986" s="42">
        <v>44929</v>
      </c>
    </row>
    <row r="6987" spans="1:25">
      <c r="N6987" s="42">
        <v>44914</v>
      </c>
      <c r="O6987" t="s">
        <v>345</v>
      </c>
      <c r="P6987" s="42">
        <v>44915</v>
      </c>
      <c r="Q6987" t="s">
        <v>333</v>
      </c>
      <c r="R6987" t="s">
        <v>320</v>
      </c>
      <c r="S6987" t="s">
        <v>323</v>
      </c>
      <c r="T6987">
        <v>15.2</v>
      </c>
      <c r="U6987">
        <v>0</v>
      </c>
      <c r="V6987">
        <v>0</v>
      </c>
      <c r="Y6987" s="42">
        <v>44915</v>
      </c>
    </row>
    <row r="6988" spans="1:25">
      <c r="N6988" s="42">
        <v>44909</v>
      </c>
      <c r="O6988" t="s">
        <v>328</v>
      </c>
      <c r="P6988" s="42">
        <v>44911</v>
      </c>
      <c r="Q6988" t="s">
        <v>346</v>
      </c>
      <c r="R6988" t="s">
        <v>320</v>
      </c>
      <c r="S6988" t="s">
        <v>323</v>
      </c>
      <c r="T6988">
        <v>22.8</v>
      </c>
      <c r="V6988">
        <v>0</v>
      </c>
      <c r="Y6988" s="42">
        <v>44915</v>
      </c>
    </row>
    <row r="6989" spans="1:25">
      <c r="N6989" s="42">
        <v>44893</v>
      </c>
      <c r="O6989" t="s">
        <v>345</v>
      </c>
      <c r="P6989" s="42">
        <v>44895</v>
      </c>
      <c r="Q6989" t="s">
        <v>328</v>
      </c>
      <c r="R6989" t="s">
        <v>329</v>
      </c>
      <c r="S6989" t="s">
        <v>323</v>
      </c>
      <c r="T6989">
        <v>22.8</v>
      </c>
      <c r="W6989" t="s">
        <v>330</v>
      </c>
      <c r="X6989" t="s">
        <v>330</v>
      </c>
      <c r="Y6989" s="42">
        <v>44901</v>
      </c>
    </row>
    <row r="6990" spans="1:25">
      <c r="N6990" s="42">
        <v>44890</v>
      </c>
      <c r="O6990" t="s">
        <v>346</v>
      </c>
      <c r="P6990" s="42">
        <v>44890</v>
      </c>
      <c r="Q6990" t="s">
        <v>346</v>
      </c>
      <c r="R6990" t="s">
        <v>347</v>
      </c>
      <c r="S6990" t="s">
        <v>323</v>
      </c>
      <c r="T6990">
        <v>7.6</v>
      </c>
      <c r="W6990" t="s">
        <v>339</v>
      </c>
      <c r="Y6990" s="42">
        <v>44901</v>
      </c>
    </row>
    <row r="6991" spans="1:25">
      <c r="N6991" s="42">
        <v>44858</v>
      </c>
      <c r="O6991" t="s">
        <v>345</v>
      </c>
      <c r="P6991" s="42">
        <v>44858</v>
      </c>
      <c r="Q6991" t="s">
        <v>345</v>
      </c>
      <c r="R6991" t="s">
        <v>320</v>
      </c>
      <c r="S6991" t="s">
        <v>323</v>
      </c>
      <c r="T6991">
        <v>7.6</v>
      </c>
      <c r="V6991">
        <v>0</v>
      </c>
      <c r="Y6991" s="42">
        <v>44859</v>
      </c>
    </row>
    <row r="6992" spans="1:25">
      <c r="N6992" s="42">
        <v>44837</v>
      </c>
      <c r="O6992" t="s">
        <v>345</v>
      </c>
      <c r="P6992" s="42">
        <v>44837</v>
      </c>
      <c r="Q6992" t="s">
        <v>345</v>
      </c>
      <c r="R6992" t="s">
        <v>320</v>
      </c>
      <c r="S6992" t="s">
        <v>323</v>
      </c>
      <c r="U6992">
        <v>7.6</v>
      </c>
      <c r="Y6992" s="42">
        <v>44845</v>
      </c>
    </row>
    <row r="6993" spans="14:25">
      <c r="N6993" s="42">
        <v>44826</v>
      </c>
      <c r="O6993" t="s">
        <v>324</v>
      </c>
      <c r="P6993" s="42">
        <v>44826</v>
      </c>
      <c r="Q6993" t="s">
        <v>324</v>
      </c>
      <c r="R6993" t="s">
        <v>320</v>
      </c>
      <c r="S6993" t="s">
        <v>323</v>
      </c>
      <c r="U6993">
        <v>7.6</v>
      </c>
      <c r="Y6993" s="42">
        <v>44831</v>
      </c>
    </row>
    <row r="6994" spans="14:25">
      <c r="N6994" s="42">
        <v>44810</v>
      </c>
      <c r="O6994" t="s">
        <v>333</v>
      </c>
      <c r="P6994" s="42">
        <v>44810</v>
      </c>
      <c r="Q6994" t="s">
        <v>333</v>
      </c>
      <c r="R6994" t="s">
        <v>347</v>
      </c>
      <c r="S6994" t="s">
        <v>323</v>
      </c>
      <c r="T6994">
        <v>7.6</v>
      </c>
      <c r="W6994" t="s">
        <v>339</v>
      </c>
      <c r="Y6994" s="42">
        <v>44817</v>
      </c>
    </row>
    <row r="6995" spans="14:25">
      <c r="N6995" s="42">
        <v>44747</v>
      </c>
      <c r="O6995" t="s">
        <v>333</v>
      </c>
      <c r="P6995" s="42">
        <v>44747</v>
      </c>
      <c r="Q6995" t="s">
        <v>333</v>
      </c>
      <c r="R6995" t="s">
        <v>329</v>
      </c>
      <c r="S6995" t="s">
        <v>323</v>
      </c>
      <c r="T6995">
        <v>3.8</v>
      </c>
      <c r="W6995" t="s">
        <v>339</v>
      </c>
      <c r="Y6995" s="42">
        <v>44761</v>
      </c>
    </row>
    <row r="6996" spans="14:25">
      <c r="N6996" s="42">
        <v>44741</v>
      </c>
      <c r="O6996" t="s">
        <v>328</v>
      </c>
      <c r="P6996" s="42">
        <v>44746</v>
      </c>
      <c r="Q6996" t="s">
        <v>345</v>
      </c>
      <c r="R6996" t="s">
        <v>329</v>
      </c>
      <c r="S6996" t="s">
        <v>323</v>
      </c>
      <c r="T6996">
        <v>30.4</v>
      </c>
      <c r="U6996">
        <v>0</v>
      </c>
      <c r="W6996" t="s">
        <v>339</v>
      </c>
      <c r="Y6996" s="42">
        <v>44747</v>
      </c>
    </row>
    <row r="6997" spans="14:25">
      <c r="N6997" s="42">
        <v>44725</v>
      </c>
      <c r="O6997" t="s">
        <v>345</v>
      </c>
      <c r="P6997" s="42">
        <v>44725</v>
      </c>
      <c r="Q6997" t="s">
        <v>345</v>
      </c>
      <c r="R6997" t="s">
        <v>320</v>
      </c>
      <c r="S6997" t="s">
        <v>323</v>
      </c>
      <c r="U6997">
        <v>7.6</v>
      </c>
      <c r="Y6997" s="42">
        <v>44733</v>
      </c>
    </row>
    <row r="6998" spans="14:25">
      <c r="N6998" s="42">
        <v>44676</v>
      </c>
      <c r="O6998" t="s">
        <v>345</v>
      </c>
      <c r="P6998" s="42">
        <v>44676</v>
      </c>
      <c r="Q6998" t="s">
        <v>345</v>
      </c>
      <c r="R6998" t="s">
        <v>320</v>
      </c>
      <c r="S6998" t="s">
        <v>323</v>
      </c>
      <c r="U6998">
        <v>7.6</v>
      </c>
      <c r="Y6998" s="42">
        <v>44677</v>
      </c>
    </row>
    <row r="6999" spans="14:25">
      <c r="N6999" s="42">
        <v>44673</v>
      </c>
      <c r="O6999" t="s">
        <v>346</v>
      </c>
      <c r="P6999" s="42">
        <v>44673</v>
      </c>
      <c r="Q6999" t="s">
        <v>346</v>
      </c>
      <c r="R6999" t="s">
        <v>320</v>
      </c>
      <c r="S6999" t="s">
        <v>323</v>
      </c>
      <c r="T6999">
        <v>3</v>
      </c>
      <c r="V6999">
        <v>0</v>
      </c>
      <c r="Y6999" s="42">
        <v>44677</v>
      </c>
    </row>
    <row r="7000" spans="14:25">
      <c r="N7000" s="42">
        <v>44671</v>
      </c>
      <c r="O7000" t="s">
        <v>328</v>
      </c>
      <c r="P7000" s="42">
        <v>44672</v>
      </c>
      <c r="Q7000" t="s">
        <v>324</v>
      </c>
      <c r="R7000" t="s">
        <v>320</v>
      </c>
      <c r="S7000" t="s">
        <v>323</v>
      </c>
      <c r="T7000">
        <v>15.2</v>
      </c>
      <c r="V7000">
        <v>0</v>
      </c>
      <c r="Y7000" s="42">
        <v>44677</v>
      </c>
    </row>
    <row r="7001" spans="14:25">
      <c r="N7001" s="42">
        <v>44669</v>
      </c>
      <c r="O7001" t="s">
        <v>345</v>
      </c>
      <c r="P7001" s="42">
        <v>44669</v>
      </c>
      <c r="Q7001" t="s">
        <v>345</v>
      </c>
      <c r="R7001" t="s">
        <v>320</v>
      </c>
      <c r="S7001" t="s">
        <v>323</v>
      </c>
      <c r="U7001">
        <v>7.6</v>
      </c>
      <c r="Y7001" s="42">
        <v>44677</v>
      </c>
    </row>
    <row r="7002" spans="14:25">
      <c r="N7002" s="42">
        <v>44666</v>
      </c>
      <c r="O7002" t="s">
        <v>346</v>
      </c>
      <c r="P7002" s="42">
        <v>44666</v>
      </c>
      <c r="Q7002" t="s">
        <v>346</v>
      </c>
      <c r="R7002" t="s">
        <v>320</v>
      </c>
      <c r="S7002" t="s">
        <v>323</v>
      </c>
      <c r="U7002">
        <v>7.6</v>
      </c>
      <c r="Y7002" s="42">
        <v>44677</v>
      </c>
    </row>
    <row r="7003" spans="14:25">
      <c r="N7003" s="42">
        <v>44659</v>
      </c>
      <c r="O7003" t="s">
        <v>346</v>
      </c>
      <c r="P7003" s="42">
        <v>44659</v>
      </c>
      <c r="Q7003" t="s">
        <v>346</v>
      </c>
      <c r="R7003" t="s">
        <v>320</v>
      </c>
      <c r="S7003" t="s">
        <v>323</v>
      </c>
      <c r="T7003">
        <v>7.6</v>
      </c>
      <c r="V7003">
        <v>0</v>
      </c>
      <c r="Y7003" s="42">
        <v>44663</v>
      </c>
    </row>
    <row r="7004" spans="14:25">
      <c r="N7004" s="42">
        <v>44587</v>
      </c>
      <c r="O7004" t="s">
        <v>328</v>
      </c>
      <c r="P7004" s="42">
        <v>44587</v>
      </c>
      <c r="Q7004" t="s">
        <v>328</v>
      </c>
      <c r="R7004" t="s">
        <v>320</v>
      </c>
      <c r="S7004" t="s">
        <v>323</v>
      </c>
      <c r="U7004">
        <v>7.6</v>
      </c>
      <c r="Y7004" s="42">
        <v>44593</v>
      </c>
    </row>
    <row r="7005" spans="14:25">
      <c r="N7005" s="42">
        <v>44580</v>
      </c>
      <c r="O7005" t="s">
        <v>328</v>
      </c>
      <c r="P7005" s="42">
        <v>44582</v>
      </c>
      <c r="Q7005" t="s">
        <v>346</v>
      </c>
      <c r="R7005" t="s">
        <v>320</v>
      </c>
      <c r="S7005" t="s">
        <v>323</v>
      </c>
      <c r="T7005">
        <v>-22.8</v>
      </c>
      <c r="Y7005" s="42">
        <v>44607</v>
      </c>
    </row>
    <row r="7006" spans="14:25">
      <c r="N7006" s="42">
        <v>44580</v>
      </c>
      <c r="O7006" t="s">
        <v>328</v>
      </c>
      <c r="P7006" s="42">
        <v>44582</v>
      </c>
      <c r="Q7006" t="s">
        <v>346</v>
      </c>
      <c r="R7006" t="s">
        <v>320</v>
      </c>
      <c r="S7006" t="s">
        <v>323</v>
      </c>
      <c r="T7006">
        <v>22.8</v>
      </c>
      <c r="U7006">
        <v>0</v>
      </c>
      <c r="V7006">
        <v>0</v>
      </c>
      <c r="Y7006" s="42">
        <v>44593</v>
      </c>
    </row>
    <row r="7007" spans="14:25">
      <c r="N7007" s="42">
        <v>44578</v>
      </c>
      <c r="O7007" t="s">
        <v>345</v>
      </c>
      <c r="P7007" s="42">
        <v>44578</v>
      </c>
      <c r="Q7007" t="s">
        <v>345</v>
      </c>
      <c r="R7007" t="s">
        <v>320</v>
      </c>
      <c r="S7007" t="s">
        <v>323</v>
      </c>
      <c r="T7007">
        <v>-15.2</v>
      </c>
      <c r="Y7007" s="42">
        <v>44607</v>
      </c>
    </row>
    <row r="7008" spans="14:25">
      <c r="N7008" s="42">
        <v>44578</v>
      </c>
      <c r="O7008" t="s">
        <v>345</v>
      </c>
      <c r="P7008" s="42">
        <v>44579</v>
      </c>
      <c r="Q7008" t="s">
        <v>333</v>
      </c>
      <c r="R7008" t="s">
        <v>320</v>
      </c>
      <c r="S7008" t="s">
        <v>323</v>
      </c>
      <c r="T7008">
        <v>15.2</v>
      </c>
      <c r="U7008">
        <v>0</v>
      </c>
      <c r="V7008">
        <v>0</v>
      </c>
      <c r="Y7008" s="42">
        <v>44579</v>
      </c>
    </row>
    <row r="7009" spans="14:25">
      <c r="N7009" s="42">
        <v>44564</v>
      </c>
      <c r="O7009" t="s">
        <v>345</v>
      </c>
      <c r="P7009" s="42">
        <v>44564</v>
      </c>
      <c r="Q7009" t="s">
        <v>345</v>
      </c>
      <c r="R7009" t="s">
        <v>320</v>
      </c>
      <c r="S7009" t="s">
        <v>323</v>
      </c>
      <c r="U7009">
        <v>7.6</v>
      </c>
      <c r="Y7009" s="42">
        <v>44565</v>
      </c>
    </row>
    <row r="7010" spans="14:25">
      <c r="N7010" s="42">
        <v>44558</v>
      </c>
      <c r="O7010" t="s">
        <v>333</v>
      </c>
      <c r="P7010" s="42">
        <v>44558</v>
      </c>
      <c r="Q7010" t="s">
        <v>333</v>
      </c>
      <c r="R7010" t="s">
        <v>320</v>
      </c>
      <c r="S7010" t="s">
        <v>323</v>
      </c>
      <c r="U7010">
        <v>7.6</v>
      </c>
      <c r="Y7010" s="42">
        <v>44565</v>
      </c>
    </row>
    <row r="7011" spans="14:25">
      <c r="N7011" s="42">
        <v>44557</v>
      </c>
      <c r="O7011" t="s">
        <v>345</v>
      </c>
      <c r="P7011" s="42">
        <v>44557</v>
      </c>
      <c r="Q7011" t="s">
        <v>345</v>
      </c>
      <c r="R7011" t="s">
        <v>320</v>
      </c>
      <c r="S7011" t="s">
        <v>323</v>
      </c>
      <c r="U7011">
        <v>7.6</v>
      </c>
      <c r="Y7011" s="42">
        <v>44565</v>
      </c>
    </row>
    <row r="7012" spans="14:25">
      <c r="N7012" s="42">
        <v>44552</v>
      </c>
      <c r="O7012" t="s">
        <v>328</v>
      </c>
      <c r="P7012" s="42">
        <v>44554</v>
      </c>
      <c r="Q7012" t="s">
        <v>346</v>
      </c>
      <c r="R7012" t="s">
        <v>320</v>
      </c>
      <c r="S7012" t="s">
        <v>323</v>
      </c>
      <c r="T7012">
        <v>22.8</v>
      </c>
      <c r="U7012">
        <v>0</v>
      </c>
      <c r="V7012">
        <v>0</v>
      </c>
      <c r="Y7012" s="42">
        <v>44565</v>
      </c>
    </row>
    <row r="7013" spans="14:25">
      <c r="N7013" s="42">
        <v>44550</v>
      </c>
      <c r="O7013" t="s">
        <v>345</v>
      </c>
      <c r="P7013" s="42">
        <v>44551</v>
      </c>
      <c r="Q7013" t="s">
        <v>333</v>
      </c>
      <c r="R7013" t="s">
        <v>320</v>
      </c>
      <c r="S7013" t="s">
        <v>323</v>
      </c>
      <c r="T7013">
        <v>15.2</v>
      </c>
      <c r="U7013">
        <v>0</v>
      </c>
      <c r="V7013">
        <v>0</v>
      </c>
      <c r="Y7013" s="42">
        <v>44551</v>
      </c>
    </row>
    <row r="7014" spans="14:25">
      <c r="N7014" s="42">
        <v>44484</v>
      </c>
      <c r="O7014" t="s">
        <v>346</v>
      </c>
      <c r="P7014" s="42">
        <v>44484</v>
      </c>
      <c r="Q7014" t="s">
        <v>346</v>
      </c>
      <c r="R7014" t="s">
        <v>329</v>
      </c>
      <c r="S7014" t="s">
        <v>323</v>
      </c>
      <c r="T7014">
        <v>7.6</v>
      </c>
      <c r="W7014" t="s">
        <v>339</v>
      </c>
      <c r="Y7014" s="42">
        <v>44495</v>
      </c>
    </row>
    <row r="7015" spans="14:25">
      <c r="N7015" s="42">
        <v>44473</v>
      </c>
      <c r="O7015" t="s">
        <v>345</v>
      </c>
      <c r="P7015" s="42">
        <v>44473</v>
      </c>
      <c r="Q7015" t="s">
        <v>345</v>
      </c>
      <c r="R7015" t="s">
        <v>320</v>
      </c>
      <c r="S7015" t="s">
        <v>323</v>
      </c>
      <c r="U7015">
        <v>7.6</v>
      </c>
      <c r="Y7015" s="42">
        <v>44481</v>
      </c>
    </row>
    <row r="7016" spans="14:25">
      <c r="N7016" s="42">
        <v>44361</v>
      </c>
      <c r="O7016" t="s">
        <v>345</v>
      </c>
      <c r="P7016" s="42">
        <v>44361</v>
      </c>
      <c r="Q7016" t="s">
        <v>345</v>
      </c>
      <c r="R7016" t="s">
        <v>320</v>
      </c>
      <c r="S7016" t="s">
        <v>323</v>
      </c>
      <c r="U7016">
        <v>7.6</v>
      </c>
      <c r="Y7016" s="42">
        <v>44369</v>
      </c>
    </row>
    <row r="7017" spans="14:25">
      <c r="N7017" s="42">
        <v>44341</v>
      </c>
      <c r="O7017" t="s">
        <v>333</v>
      </c>
      <c r="P7017" s="42">
        <v>44341</v>
      </c>
      <c r="Q7017" t="s">
        <v>333</v>
      </c>
      <c r="R7017" t="s">
        <v>329</v>
      </c>
      <c r="S7017" t="s">
        <v>323</v>
      </c>
      <c r="T7017">
        <v>4</v>
      </c>
      <c r="W7017" t="s">
        <v>330</v>
      </c>
      <c r="Y7017" s="42">
        <v>44341</v>
      </c>
    </row>
    <row r="7018" spans="14:25">
      <c r="N7018" s="42">
        <v>44291</v>
      </c>
      <c r="O7018" t="s">
        <v>345</v>
      </c>
      <c r="P7018" s="42">
        <v>44291</v>
      </c>
      <c r="Q7018" t="s">
        <v>345</v>
      </c>
      <c r="R7018" t="s">
        <v>320</v>
      </c>
      <c r="S7018" t="s">
        <v>323</v>
      </c>
      <c r="U7018">
        <v>7.6</v>
      </c>
      <c r="Y7018" s="42">
        <v>44299</v>
      </c>
    </row>
    <row r="7019" spans="14:25">
      <c r="N7019" s="42">
        <v>44288</v>
      </c>
      <c r="O7019" t="s">
        <v>346</v>
      </c>
      <c r="P7019" s="42">
        <v>44288</v>
      </c>
      <c r="Q7019" t="s">
        <v>346</v>
      </c>
      <c r="R7019" t="s">
        <v>320</v>
      </c>
      <c r="S7019" t="s">
        <v>323</v>
      </c>
      <c r="U7019">
        <v>7.6</v>
      </c>
      <c r="Y7019" s="42">
        <v>44299</v>
      </c>
    </row>
    <row r="7020" spans="14:25">
      <c r="N7020" s="42">
        <v>44272</v>
      </c>
      <c r="O7020" t="s">
        <v>328</v>
      </c>
      <c r="P7020" s="42">
        <v>44274</v>
      </c>
      <c r="Q7020" t="s">
        <v>346</v>
      </c>
      <c r="R7020" t="s">
        <v>320</v>
      </c>
      <c r="S7020" t="s">
        <v>323</v>
      </c>
      <c r="T7020">
        <v>22.8</v>
      </c>
    </row>
    <row r="7021" spans="14:25">
      <c r="N7021" s="42">
        <v>44264</v>
      </c>
      <c r="O7021" t="s">
        <v>333</v>
      </c>
      <c r="P7021" s="42">
        <v>44271</v>
      </c>
      <c r="Q7021" t="s">
        <v>333</v>
      </c>
      <c r="R7021" t="s">
        <v>329</v>
      </c>
      <c r="S7021" t="s">
        <v>323</v>
      </c>
      <c r="T7021">
        <v>45.6</v>
      </c>
      <c r="U7021">
        <v>0</v>
      </c>
      <c r="W7021" t="s">
        <v>339</v>
      </c>
      <c r="Y7021" s="42">
        <v>44271</v>
      </c>
    </row>
    <row r="7022" spans="14:25">
      <c r="N7022" s="42">
        <v>44260</v>
      </c>
      <c r="O7022" t="s">
        <v>346</v>
      </c>
      <c r="P7022" s="42">
        <v>44263</v>
      </c>
      <c r="Q7022" t="s">
        <v>345</v>
      </c>
      <c r="R7022" t="s">
        <v>320</v>
      </c>
      <c r="S7022" t="s">
        <v>323</v>
      </c>
      <c r="T7022">
        <v>15</v>
      </c>
      <c r="V7022">
        <v>0</v>
      </c>
      <c r="Y7022" s="42">
        <v>44271</v>
      </c>
    </row>
    <row r="7023" spans="14:25">
      <c r="N7023" s="42">
        <v>44222</v>
      </c>
      <c r="O7023" t="s">
        <v>333</v>
      </c>
      <c r="P7023" s="42">
        <v>44222</v>
      </c>
      <c r="Q7023" t="s">
        <v>333</v>
      </c>
      <c r="R7023" t="s">
        <v>320</v>
      </c>
      <c r="S7023" t="s">
        <v>323</v>
      </c>
      <c r="U7023">
        <v>7.6</v>
      </c>
      <c r="Y7023" s="42">
        <v>44229</v>
      </c>
    </row>
    <row r="7024" spans="14:25">
      <c r="N7024" s="42">
        <v>44197</v>
      </c>
      <c r="O7024" t="s">
        <v>346</v>
      </c>
      <c r="P7024" s="42">
        <v>44197</v>
      </c>
      <c r="Q7024" t="s">
        <v>346</v>
      </c>
      <c r="R7024" t="s">
        <v>320</v>
      </c>
      <c r="S7024" t="s">
        <v>323</v>
      </c>
      <c r="U7024">
        <v>7.6</v>
      </c>
      <c r="Y7024" s="42">
        <v>44201</v>
      </c>
    </row>
    <row r="7025" spans="14:25">
      <c r="N7025" s="42">
        <v>44193</v>
      </c>
      <c r="O7025" t="s">
        <v>345</v>
      </c>
      <c r="P7025" s="42">
        <v>44193</v>
      </c>
      <c r="Q7025" t="s">
        <v>345</v>
      </c>
      <c r="R7025" t="s">
        <v>320</v>
      </c>
      <c r="S7025" t="s">
        <v>323</v>
      </c>
      <c r="U7025">
        <v>7.6</v>
      </c>
      <c r="Y7025" s="42">
        <v>44201</v>
      </c>
    </row>
    <row r="7026" spans="14:25">
      <c r="N7026" s="42">
        <v>44190</v>
      </c>
      <c r="O7026" t="s">
        <v>346</v>
      </c>
      <c r="P7026" s="42">
        <v>44190</v>
      </c>
      <c r="Q7026" t="s">
        <v>346</v>
      </c>
      <c r="R7026" t="s">
        <v>320</v>
      </c>
      <c r="S7026" t="s">
        <v>323</v>
      </c>
      <c r="U7026">
        <v>7.6</v>
      </c>
      <c r="Y7026" s="42">
        <v>44201</v>
      </c>
    </row>
    <row r="7027" spans="14:25">
      <c r="N7027" s="42">
        <v>44186</v>
      </c>
      <c r="O7027" t="s">
        <v>345</v>
      </c>
      <c r="P7027" s="42">
        <v>44187</v>
      </c>
      <c r="Q7027" t="s">
        <v>333</v>
      </c>
      <c r="R7027" t="s">
        <v>320</v>
      </c>
      <c r="S7027" t="s">
        <v>323</v>
      </c>
      <c r="T7027">
        <v>15.2</v>
      </c>
      <c r="Y7027" s="42">
        <v>44187</v>
      </c>
    </row>
    <row r="7028" spans="14:25">
      <c r="N7028" s="42">
        <v>44134</v>
      </c>
      <c r="O7028" t="s">
        <v>346</v>
      </c>
      <c r="P7028" s="42">
        <v>44134</v>
      </c>
      <c r="Q7028" t="s">
        <v>346</v>
      </c>
      <c r="R7028" t="s">
        <v>320</v>
      </c>
      <c r="S7028" t="s">
        <v>323</v>
      </c>
      <c r="T7028">
        <v>7.6</v>
      </c>
      <c r="Y7028" s="42">
        <v>44145</v>
      </c>
    </row>
    <row r="7029" spans="14:25">
      <c r="N7029" s="42">
        <v>44109</v>
      </c>
      <c r="O7029" t="s">
        <v>345</v>
      </c>
      <c r="P7029" s="42">
        <v>44109</v>
      </c>
      <c r="Q7029" t="s">
        <v>345</v>
      </c>
      <c r="R7029" t="s">
        <v>320</v>
      </c>
      <c r="S7029" t="s">
        <v>323</v>
      </c>
      <c r="U7029">
        <v>7.6</v>
      </c>
      <c r="Y7029" s="42">
        <v>44117</v>
      </c>
    </row>
    <row r="7030" spans="14:25">
      <c r="N7030" s="42">
        <v>43978</v>
      </c>
      <c r="O7030" t="s">
        <v>328</v>
      </c>
      <c r="P7030" s="42">
        <v>43980</v>
      </c>
      <c r="Q7030" t="s">
        <v>346</v>
      </c>
      <c r="R7030" t="s">
        <v>320</v>
      </c>
      <c r="S7030" t="s">
        <v>323</v>
      </c>
      <c r="T7030">
        <v>22.8</v>
      </c>
      <c r="V7030">
        <v>0</v>
      </c>
      <c r="Y7030" s="42">
        <v>43991</v>
      </c>
    </row>
    <row r="7031" spans="14:25">
      <c r="N7031" s="42">
        <v>43976</v>
      </c>
      <c r="O7031" t="s">
        <v>345</v>
      </c>
      <c r="P7031" s="42">
        <v>43976</v>
      </c>
      <c r="Q7031" t="s">
        <v>345</v>
      </c>
      <c r="R7031" t="s">
        <v>320</v>
      </c>
      <c r="S7031" t="s">
        <v>323</v>
      </c>
      <c r="T7031">
        <v>7.6</v>
      </c>
      <c r="V7031">
        <v>0</v>
      </c>
      <c r="Y7031" s="42">
        <v>43977</v>
      </c>
    </row>
    <row r="7032" spans="14:25">
      <c r="N7032" s="42">
        <v>43930</v>
      </c>
      <c r="O7032" t="s">
        <v>324</v>
      </c>
      <c r="P7032" s="42">
        <v>43930</v>
      </c>
      <c r="Q7032" t="s">
        <v>324</v>
      </c>
      <c r="R7032" t="s">
        <v>320</v>
      </c>
      <c r="S7032" t="s">
        <v>323</v>
      </c>
      <c r="T7032">
        <v>7.6</v>
      </c>
      <c r="Y7032" s="42">
        <v>43935</v>
      </c>
    </row>
    <row r="7033" spans="14:25">
      <c r="N7033" s="42">
        <v>43929</v>
      </c>
      <c r="O7033" t="s">
        <v>328</v>
      </c>
      <c r="P7033" s="42">
        <v>43929</v>
      </c>
      <c r="Q7033" t="s">
        <v>328</v>
      </c>
      <c r="R7033" t="s">
        <v>320</v>
      </c>
      <c r="S7033" t="s">
        <v>323</v>
      </c>
      <c r="T7033">
        <v>7.6</v>
      </c>
      <c r="Y7033" s="42">
        <v>43935</v>
      </c>
    </row>
    <row r="7034" spans="14:25">
      <c r="N7034" s="42">
        <v>43928</v>
      </c>
      <c r="O7034" t="s">
        <v>333</v>
      </c>
      <c r="P7034" s="42">
        <v>43928</v>
      </c>
      <c r="Q7034" t="s">
        <v>333</v>
      </c>
      <c r="R7034" t="s">
        <v>320</v>
      </c>
      <c r="S7034" t="s">
        <v>323</v>
      </c>
      <c r="T7034">
        <v>7.6</v>
      </c>
      <c r="Y7034" s="42">
        <v>43935</v>
      </c>
    </row>
    <row r="7035" spans="14:25">
      <c r="N7035" s="42">
        <v>43920</v>
      </c>
      <c r="O7035" t="s">
        <v>345</v>
      </c>
      <c r="P7035" s="42">
        <v>43920</v>
      </c>
      <c r="Q7035" t="s">
        <v>345</v>
      </c>
      <c r="R7035" t="s">
        <v>320</v>
      </c>
      <c r="S7035" t="s">
        <v>323</v>
      </c>
      <c r="T7035">
        <v>7.6</v>
      </c>
      <c r="Y7035" s="42">
        <v>43921</v>
      </c>
    </row>
    <row r="7036" spans="14:25">
      <c r="N7036" s="42">
        <v>43910</v>
      </c>
      <c r="O7036" t="s">
        <v>346</v>
      </c>
      <c r="P7036" s="42">
        <v>43910</v>
      </c>
      <c r="Q7036" t="s">
        <v>346</v>
      </c>
      <c r="R7036" t="s">
        <v>320</v>
      </c>
      <c r="S7036" t="s">
        <v>323</v>
      </c>
      <c r="T7036">
        <v>7.6</v>
      </c>
      <c r="Y7036" s="42">
        <v>43921</v>
      </c>
    </row>
    <row r="7037" spans="14:25">
      <c r="N7037" s="42">
        <v>43909</v>
      </c>
      <c r="O7037" t="s">
        <v>324</v>
      </c>
      <c r="P7037" s="42">
        <v>43909</v>
      </c>
      <c r="Q7037" t="s">
        <v>324</v>
      </c>
      <c r="R7037" t="s">
        <v>320</v>
      </c>
      <c r="S7037" t="s">
        <v>323</v>
      </c>
      <c r="T7037">
        <v>7.6</v>
      </c>
      <c r="Y7037" s="42">
        <v>43921</v>
      </c>
    </row>
    <row r="7038" spans="14:25">
      <c r="N7038" s="42">
        <v>43908</v>
      </c>
      <c r="O7038" t="s">
        <v>328</v>
      </c>
      <c r="P7038" s="42">
        <v>43908</v>
      </c>
      <c r="Q7038" t="s">
        <v>328</v>
      </c>
      <c r="R7038" t="s">
        <v>320</v>
      </c>
      <c r="S7038" t="s">
        <v>323</v>
      </c>
      <c r="T7038">
        <v>7.6</v>
      </c>
      <c r="Y7038" s="42">
        <v>43921</v>
      </c>
    </row>
    <row r="7039" spans="14:25">
      <c r="N7039" s="42">
        <v>43907</v>
      </c>
      <c r="O7039" t="s">
        <v>333</v>
      </c>
      <c r="P7039" s="42">
        <v>43907</v>
      </c>
      <c r="Q7039" t="s">
        <v>333</v>
      </c>
      <c r="R7039" t="s">
        <v>329</v>
      </c>
      <c r="S7039" t="s">
        <v>323</v>
      </c>
      <c r="T7039">
        <v>7.6</v>
      </c>
      <c r="W7039" t="s">
        <v>330</v>
      </c>
      <c r="Y7039" s="42">
        <v>43907</v>
      </c>
    </row>
    <row r="7040" spans="14:25">
      <c r="N7040" s="42">
        <v>43906</v>
      </c>
      <c r="O7040" t="s">
        <v>345</v>
      </c>
      <c r="P7040" s="42">
        <v>43906</v>
      </c>
      <c r="Q7040" t="s">
        <v>345</v>
      </c>
      <c r="R7040" t="s">
        <v>329</v>
      </c>
      <c r="S7040" t="s">
        <v>323</v>
      </c>
      <c r="T7040">
        <v>7.6</v>
      </c>
      <c r="W7040" t="s">
        <v>330</v>
      </c>
      <c r="Y7040" s="42">
        <v>43907</v>
      </c>
    </row>
    <row r="7041" spans="1:25">
      <c r="N7041" s="42">
        <v>43903</v>
      </c>
      <c r="O7041" t="s">
        <v>346</v>
      </c>
      <c r="P7041" s="42">
        <v>43903</v>
      </c>
      <c r="Q7041" t="s">
        <v>346</v>
      </c>
      <c r="R7041" t="s">
        <v>329</v>
      </c>
      <c r="S7041" t="s">
        <v>323</v>
      </c>
      <c r="T7041">
        <v>7.6</v>
      </c>
      <c r="W7041" t="s">
        <v>330</v>
      </c>
      <c r="Y7041" s="42">
        <v>43907</v>
      </c>
    </row>
    <row r="7042" spans="1:25">
      <c r="N7042" s="42">
        <v>43874</v>
      </c>
      <c r="O7042" t="s">
        <v>324</v>
      </c>
      <c r="P7042" s="42">
        <v>43874</v>
      </c>
      <c r="Q7042" t="s">
        <v>324</v>
      </c>
      <c r="R7042" t="s">
        <v>347</v>
      </c>
      <c r="S7042" t="s">
        <v>323</v>
      </c>
      <c r="T7042">
        <v>7.6</v>
      </c>
      <c r="W7042" t="s">
        <v>330</v>
      </c>
      <c r="Y7042" s="42">
        <v>43879</v>
      </c>
    </row>
    <row r="7043" spans="1:25">
      <c r="N7043" s="42">
        <v>43873</v>
      </c>
      <c r="O7043" t="s">
        <v>328</v>
      </c>
      <c r="P7043" s="42">
        <v>43873</v>
      </c>
      <c r="Q7043" t="s">
        <v>328</v>
      </c>
      <c r="R7043" t="s">
        <v>320</v>
      </c>
      <c r="S7043" t="s">
        <v>323</v>
      </c>
      <c r="T7043">
        <v>7.6</v>
      </c>
      <c r="Y7043" s="42">
        <v>43879</v>
      </c>
    </row>
    <row r="7044" spans="1:25">
      <c r="N7044" s="42">
        <v>43854</v>
      </c>
      <c r="O7044" t="s">
        <v>346</v>
      </c>
      <c r="P7044" s="42">
        <v>43854</v>
      </c>
      <c r="Q7044" t="s">
        <v>346</v>
      </c>
      <c r="R7044" t="s">
        <v>320</v>
      </c>
      <c r="S7044" t="s">
        <v>323</v>
      </c>
      <c r="T7044">
        <v>7.6</v>
      </c>
      <c r="Y7044" s="42">
        <v>43865</v>
      </c>
    </row>
    <row r="7045" spans="1:25">
      <c r="N7045" s="42">
        <v>43853</v>
      </c>
      <c r="O7045" t="s">
        <v>324</v>
      </c>
      <c r="P7045" s="42">
        <v>43853</v>
      </c>
      <c r="Q7045" t="s">
        <v>324</v>
      </c>
      <c r="R7045" t="s">
        <v>320</v>
      </c>
      <c r="S7045" t="s">
        <v>323</v>
      </c>
      <c r="T7045">
        <v>7.6</v>
      </c>
      <c r="Y7045" s="42">
        <v>43865</v>
      </c>
    </row>
    <row r="7046" spans="1:25">
      <c r="N7046" s="42">
        <v>43808</v>
      </c>
      <c r="O7046" t="s">
        <v>345</v>
      </c>
      <c r="P7046" s="42">
        <v>43808</v>
      </c>
      <c r="Q7046" t="s">
        <v>345</v>
      </c>
      <c r="R7046" t="s">
        <v>329</v>
      </c>
      <c r="S7046" t="s">
        <v>323</v>
      </c>
      <c r="T7046">
        <v>7.6</v>
      </c>
      <c r="W7046" t="s">
        <v>330</v>
      </c>
      <c r="Y7046" s="42">
        <v>43809</v>
      </c>
    </row>
    <row r="7047" spans="1:25">
      <c r="N7047" s="42">
        <v>43805</v>
      </c>
      <c r="O7047" t="s">
        <v>346</v>
      </c>
      <c r="P7047" s="42">
        <v>43805</v>
      </c>
      <c r="Q7047" t="s">
        <v>346</v>
      </c>
      <c r="R7047" t="s">
        <v>329</v>
      </c>
      <c r="S7047" t="s">
        <v>323</v>
      </c>
      <c r="T7047">
        <v>7.6</v>
      </c>
      <c r="W7047" t="s">
        <v>330</v>
      </c>
      <c r="Y7047" s="42">
        <v>43809</v>
      </c>
    </row>
    <row r="7048" spans="1:25">
      <c r="N7048" s="42">
        <v>43788</v>
      </c>
      <c r="O7048" t="s">
        <v>333</v>
      </c>
      <c r="P7048" s="42">
        <v>43788</v>
      </c>
      <c r="Q7048" t="s">
        <v>333</v>
      </c>
      <c r="R7048" t="s">
        <v>320</v>
      </c>
      <c r="S7048" t="s">
        <v>323</v>
      </c>
      <c r="T7048">
        <v>7.6</v>
      </c>
      <c r="Y7048" s="42">
        <v>43795</v>
      </c>
    </row>
    <row r="7049" spans="1:25">
      <c r="N7049" s="42">
        <v>43780</v>
      </c>
      <c r="O7049" t="s">
        <v>345</v>
      </c>
      <c r="P7049" s="42">
        <v>43780</v>
      </c>
      <c r="Q7049" t="s">
        <v>345</v>
      </c>
      <c r="R7049" t="s">
        <v>329</v>
      </c>
      <c r="S7049" t="s">
        <v>323</v>
      </c>
      <c r="T7049">
        <v>7.6</v>
      </c>
      <c r="W7049" t="s">
        <v>330</v>
      </c>
      <c r="Y7049" s="42">
        <v>43781</v>
      </c>
    </row>
    <row r="7050" spans="1:25">
      <c r="N7050" s="42">
        <v>43747</v>
      </c>
      <c r="O7050" t="s">
        <v>328</v>
      </c>
      <c r="P7050" s="42">
        <v>43747</v>
      </c>
      <c r="Q7050" t="s">
        <v>328</v>
      </c>
      <c r="R7050" t="s">
        <v>320</v>
      </c>
      <c r="S7050" t="s">
        <v>323</v>
      </c>
      <c r="T7050">
        <v>7.6</v>
      </c>
      <c r="Y7050" s="42">
        <v>43753</v>
      </c>
    </row>
    <row r="7051" spans="1:25">
      <c r="N7051" s="42">
        <v>43662</v>
      </c>
      <c r="O7051" t="s">
        <v>333</v>
      </c>
      <c r="P7051" s="42">
        <v>43663</v>
      </c>
      <c r="Q7051" t="s">
        <v>328</v>
      </c>
      <c r="R7051" t="s">
        <v>329</v>
      </c>
      <c r="S7051" t="s">
        <v>323</v>
      </c>
      <c r="T7051">
        <v>15.2</v>
      </c>
      <c r="W7051" t="s">
        <v>330</v>
      </c>
      <c r="Y7051" s="42">
        <v>43669</v>
      </c>
    </row>
    <row r="7052" spans="1:25">
      <c r="A7052">
        <v>18866</v>
      </c>
      <c r="B7052" t="s">
        <v>427</v>
      </c>
      <c r="C7052" t="s">
        <v>320</v>
      </c>
      <c r="D7052" t="s">
        <v>336</v>
      </c>
      <c r="E7052" t="s">
        <v>337</v>
      </c>
      <c r="F7052">
        <v>1</v>
      </c>
      <c r="G7052" s="42">
        <v>44989</v>
      </c>
      <c r="H7052">
        <v>152</v>
      </c>
      <c r="I7052">
        <v>68.399900000000002</v>
      </c>
      <c r="J7052">
        <v>152</v>
      </c>
      <c r="K7052">
        <v>220.3999</v>
      </c>
      <c r="L7052" t="s">
        <v>323</v>
      </c>
      <c r="M7052" s="43">
        <v>0.16666666666666666</v>
      </c>
      <c r="N7052" s="42">
        <v>44971</v>
      </c>
      <c r="O7052" t="s">
        <v>333</v>
      </c>
      <c r="P7052" s="42">
        <v>44971</v>
      </c>
      <c r="Q7052" t="s">
        <v>333</v>
      </c>
      <c r="R7052" t="s">
        <v>329</v>
      </c>
      <c r="S7052" t="s">
        <v>323</v>
      </c>
      <c r="T7052">
        <v>5.6</v>
      </c>
      <c r="W7052" t="s">
        <v>330</v>
      </c>
      <c r="Y7052" s="42">
        <v>44971</v>
      </c>
    </row>
    <row r="7053" spans="1:25">
      <c r="C7053" t="s">
        <v>325</v>
      </c>
      <c r="D7053" t="s">
        <v>352</v>
      </c>
      <c r="E7053" t="s">
        <v>353</v>
      </c>
      <c r="F7053">
        <v>1</v>
      </c>
      <c r="G7053" s="42">
        <v>47181</v>
      </c>
      <c r="H7053">
        <v>329.33859999999999</v>
      </c>
      <c r="I7053">
        <v>0</v>
      </c>
      <c r="J7053">
        <v>131.71299999999999</v>
      </c>
      <c r="K7053">
        <v>131.71299999999999</v>
      </c>
      <c r="L7053" t="s">
        <v>323</v>
      </c>
      <c r="N7053" s="42">
        <v>44959</v>
      </c>
      <c r="O7053" t="s">
        <v>324</v>
      </c>
      <c r="P7053" s="42">
        <v>44959</v>
      </c>
      <c r="Q7053" t="s">
        <v>324</v>
      </c>
      <c r="R7053" t="s">
        <v>320</v>
      </c>
      <c r="S7053" t="s">
        <v>323</v>
      </c>
      <c r="T7053">
        <v>7.6</v>
      </c>
      <c r="Y7053" s="42">
        <v>44971</v>
      </c>
    </row>
    <row r="7054" spans="1:25">
      <c r="C7054" t="s">
        <v>329</v>
      </c>
      <c r="D7054" t="s">
        <v>342</v>
      </c>
      <c r="E7054" t="s">
        <v>343</v>
      </c>
      <c r="F7054">
        <v>1</v>
      </c>
      <c r="G7054" s="42">
        <v>44989</v>
      </c>
      <c r="H7054">
        <v>76</v>
      </c>
      <c r="I7054">
        <v>32.700000000000003</v>
      </c>
      <c r="J7054">
        <v>76</v>
      </c>
      <c r="K7054">
        <v>108.7</v>
      </c>
      <c r="L7054" t="s">
        <v>323</v>
      </c>
      <c r="N7054" s="42">
        <v>44958</v>
      </c>
      <c r="O7054" t="s">
        <v>328</v>
      </c>
      <c r="P7054" s="42">
        <v>44958</v>
      </c>
      <c r="Q7054" t="s">
        <v>328</v>
      </c>
      <c r="R7054" t="s">
        <v>320</v>
      </c>
      <c r="S7054" t="s">
        <v>323</v>
      </c>
      <c r="T7054">
        <v>7.6</v>
      </c>
      <c r="Y7054" s="42">
        <v>44971</v>
      </c>
    </row>
    <row r="7055" spans="1:25">
      <c r="N7055" s="42">
        <v>44957</v>
      </c>
      <c r="O7055" t="s">
        <v>333</v>
      </c>
      <c r="P7055" s="42">
        <v>44957</v>
      </c>
      <c r="Q7055" t="s">
        <v>333</v>
      </c>
      <c r="R7055" t="s">
        <v>320</v>
      </c>
      <c r="S7055" t="s">
        <v>323</v>
      </c>
      <c r="T7055">
        <v>7.6</v>
      </c>
      <c r="Y7055" s="42">
        <v>44957</v>
      </c>
    </row>
    <row r="7056" spans="1:25">
      <c r="N7056" s="42">
        <v>44952</v>
      </c>
      <c r="O7056" t="s">
        <v>324</v>
      </c>
      <c r="P7056" s="42">
        <v>44952</v>
      </c>
      <c r="Q7056" t="s">
        <v>324</v>
      </c>
      <c r="R7056" t="s">
        <v>320</v>
      </c>
      <c r="S7056" t="s">
        <v>323</v>
      </c>
      <c r="U7056">
        <v>7.6</v>
      </c>
    </row>
    <row r="7057" spans="14:25">
      <c r="N7057" s="42">
        <v>44928</v>
      </c>
      <c r="O7057" t="s">
        <v>345</v>
      </c>
      <c r="P7057" s="42">
        <v>44928</v>
      </c>
      <c r="Q7057" t="s">
        <v>345</v>
      </c>
      <c r="R7057" t="s">
        <v>320</v>
      </c>
      <c r="S7057" t="s">
        <v>323</v>
      </c>
      <c r="U7057">
        <v>7.6</v>
      </c>
    </row>
    <row r="7058" spans="14:25">
      <c r="N7058" s="42">
        <v>44927</v>
      </c>
      <c r="O7058" t="s">
        <v>344</v>
      </c>
      <c r="P7058" s="42">
        <v>44927</v>
      </c>
      <c r="Q7058" t="s">
        <v>344</v>
      </c>
      <c r="R7058" t="s">
        <v>320</v>
      </c>
      <c r="S7058" t="s">
        <v>323</v>
      </c>
      <c r="U7058">
        <v>7.6</v>
      </c>
    </row>
    <row r="7059" spans="14:25">
      <c r="N7059" s="42">
        <v>44924</v>
      </c>
      <c r="O7059" t="s">
        <v>324</v>
      </c>
      <c r="P7059" s="42">
        <v>44924</v>
      </c>
      <c r="Q7059" t="s">
        <v>324</v>
      </c>
      <c r="R7059" t="s">
        <v>320</v>
      </c>
      <c r="S7059" t="s">
        <v>323</v>
      </c>
      <c r="T7059">
        <v>7.6</v>
      </c>
      <c r="Y7059" s="42">
        <v>44929</v>
      </c>
    </row>
    <row r="7060" spans="14:25">
      <c r="N7060" s="42">
        <v>44923</v>
      </c>
      <c r="O7060" t="s">
        <v>328</v>
      </c>
      <c r="P7060" s="42">
        <v>44923</v>
      </c>
      <c r="Q7060" t="s">
        <v>328</v>
      </c>
      <c r="R7060" t="s">
        <v>320</v>
      </c>
      <c r="S7060" t="s">
        <v>323</v>
      </c>
      <c r="T7060">
        <v>7.6</v>
      </c>
      <c r="Y7060" s="42">
        <v>44929</v>
      </c>
    </row>
    <row r="7061" spans="14:25">
      <c r="N7061" s="42">
        <v>44922</v>
      </c>
      <c r="O7061" t="s">
        <v>333</v>
      </c>
      <c r="P7061" s="42">
        <v>44922</v>
      </c>
      <c r="Q7061" t="s">
        <v>333</v>
      </c>
      <c r="R7061" t="s">
        <v>320</v>
      </c>
      <c r="S7061" t="s">
        <v>323</v>
      </c>
      <c r="U7061">
        <v>7.6</v>
      </c>
    </row>
    <row r="7062" spans="14:25">
      <c r="N7062" s="42">
        <v>44921</v>
      </c>
      <c r="O7062" t="s">
        <v>345</v>
      </c>
      <c r="P7062" s="42">
        <v>44921</v>
      </c>
      <c r="Q7062" t="s">
        <v>345</v>
      </c>
      <c r="R7062" t="s">
        <v>320</v>
      </c>
      <c r="S7062" t="s">
        <v>323</v>
      </c>
      <c r="U7062">
        <v>7.6</v>
      </c>
    </row>
    <row r="7063" spans="14:25">
      <c r="N7063" s="42">
        <v>44920</v>
      </c>
      <c r="O7063" t="s">
        <v>344</v>
      </c>
      <c r="P7063" s="42">
        <v>44920</v>
      </c>
      <c r="Q7063" t="s">
        <v>344</v>
      </c>
      <c r="R7063" t="s">
        <v>320</v>
      </c>
      <c r="S7063" t="s">
        <v>323</v>
      </c>
      <c r="U7063">
        <v>7.6</v>
      </c>
    </row>
    <row r="7064" spans="14:25">
      <c r="N7064" s="42">
        <v>44909</v>
      </c>
      <c r="O7064" t="s">
        <v>328</v>
      </c>
      <c r="P7064" s="42">
        <v>44909</v>
      </c>
      <c r="Q7064" t="s">
        <v>328</v>
      </c>
      <c r="R7064" t="s">
        <v>329</v>
      </c>
      <c r="S7064" t="s">
        <v>323</v>
      </c>
      <c r="T7064">
        <v>7.6</v>
      </c>
      <c r="W7064" t="s">
        <v>330</v>
      </c>
      <c r="Y7064" s="42">
        <v>44915</v>
      </c>
    </row>
    <row r="7065" spans="14:25">
      <c r="N7065" s="42">
        <v>44903</v>
      </c>
      <c r="O7065" t="s">
        <v>324</v>
      </c>
      <c r="P7065" s="42">
        <v>44903</v>
      </c>
      <c r="Q7065" t="s">
        <v>324</v>
      </c>
      <c r="R7065" t="s">
        <v>329</v>
      </c>
      <c r="S7065" t="s">
        <v>323</v>
      </c>
      <c r="T7065">
        <v>1.5</v>
      </c>
      <c r="W7065" t="s">
        <v>330</v>
      </c>
      <c r="Y7065" s="42">
        <v>44915</v>
      </c>
    </row>
    <row r="7066" spans="14:25">
      <c r="N7066" s="42">
        <v>44894</v>
      </c>
      <c r="O7066" t="s">
        <v>333</v>
      </c>
      <c r="P7066" s="42">
        <v>44894</v>
      </c>
      <c r="Q7066" t="s">
        <v>333</v>
      </c>
      <c r="R7066" t="s">
        <v>320</v>
      </c>
      <c r="S7066" t="s">
        <v>323</v>
      </c>
      <c r="T7066">
        <v>7.6</v>
      </c>
      <c r="Y7066" s="42">
        <v>44901</v>
      </c>
    </row>
    <row r="7067" spans="14:25">
      <c r="N7067" s="42">
        <v>44882</v>
      </c>
      <c r="O7067" t="s">
        <v>324</v>
      </c>
      <c r="P7067" s="42">
        <v>44882</v>
      </c>
      <c r="Q7067" t="s">
        <v>324</v>
      </c>
      <c r="R7067" t="s">
        <v>329</v>
      </c>
      <c r="S7067" t="s">
        <v>323</v>
      </c>
      <c r="T7067">
        <v>3.5</v>
      </c>
      <c r="W7067" t="s">
        <v>330</v>
      </c>
      <c r="Y7067" s="42">
        <v>44887</v>
      </c>
    </row>
    <row r="7068" spans="14:25">
      <c r="N7068" s="42">
        <v>44854</v>
      </c>
      <c r="O7068" t="s">
        <v>324</v>
      </c>
      <c r="P7068" s="42">
        <v>44854</v>
      </c>
      <c r="Q7068" t="s">
        <v>324</v>
      </c>
      <c r="R7068" t="s">
        <v>320</v>
      </c>
      <c r="S7068" t="s">
        <v>323</v>
      </c>
      <c r="T7068">
        <v>7.6</v>
      </c>
      <c r="Y7068" s="42">
        <v>44859</v>
      </c>
    </row>
    <row r="7069" spans="14:25">
      <c r="N7069" s="42">
        <v>44837</v>
      </c>
      <c r="O7069" t="s">
        <v>345</v>
      </c>
      <c r="P7069" s="42">
        <v>44837</v>
      </c>
      <c r="Q7069" t="s">
        <v>345</v>
      </c>
      <c r="R7069" t="s">
        <v>320</v>
      </c>
      <c r="S7069" t="s">
        <v>323</v>
      </c>
      <c r="U7069">
        <v>7.6</v>
      </c>
    </row>
    <row r="7070" spans="14:25">
      <c r="N7070" s="42">
        <v>44826</v>
      </c>
      <c r="O7070" t="s">
        <v>324</v>
      </c>
      <c r="P7070" s="42">
        <v>44826</v>
      </c>
      <c r="Q7070" t="s">
        <v>324</v>
      </c>
      <c r="R7070" t="s">
        <v>320</v>
      </c>
      <c r="S7070" t="s">
        <v>323</v>
      </c>
      <c r="U7070">
        <v>7.6</v>
      </c>
    </row>
    <row r="7071" spans="14:25">
      <c r="N7071" s="42">
        <v>44752</v>
      </c>
      <c r="O7071" t="s">
        <v>344</v>
      </c>
      <c r="P7071" s="42">
        <v>44752</v>
      </c>
      <c r="Q7071" t="s">
        <v>344</v>
      </c>
      <c r="R7071" t="s">
        <v>320</v>
      </c>
      <c r="S7071" t="s">
        <v>323</v>
      </c>
      <c r="T7071">
        <v>7.6</v>
      </c>
      <c r="Y7071" s="42">
        <v>44761</v>
      </c>
    </row>
    <row r="7072" spans="14:25">
      <c r="N7072" s="42">
        <v>44727</v>
      </c>
      <c r="O7072" t="s">
        <v>328</v>
      </c>
      <c r="P7072" s="42">
        <v>44727</v>
      </c>
      <c r="Q7072" t="s">
        <v>328</v>
      </c>
      <c r="R7072" t="s">
        <v>329</v>
      </c>
      <c r="S7072" t="s">
        <v>323</v>
      </c>
      <c r="T7072">
        <v>2.5</v>
      </c>
      <c r="W7072" t="s">
        <v>330</v>
      </c>
      <c r="Y7072" s="42">
        <v>44733</v>
      </c>
    </row>
    <row r="7073" spans="14:25">
      <c r="N7073" s="42">
        <v>44725</v>
      </c>
      <c r="O7073" t="s">
        <v>345</v>
      </c>
      <c r="P7073" s="42">
        <v>44725</v>
      </c>
      <c r="Q7073" t="s">
        <v>345</v>
      </c>
      <c r="R7073" t="s">
        <v>320</v>
      </c>
      <c r="S7073" t="s">
        <v>323</v>
      </c>
      <c r="U7073">
        <v>7.6</v>
      </c>
    </row>
    <row r="7074" spans="14:25">
      <c r="N7074" s="42">
        <v>44693</v>
      </c>
      <c r="O7074" t="s">
        <v>324</v>
      </c>
      <c r="P7074" s="42">
        <v>44693</v>
      </c>
      <c r="Q7074" t="s">
        <v>324</v>
      </c>
      <c r="R7074" t="s">
        <v>329</v>
      </c>
      <c r="S7074" t="s">
        <v>323</v>
      </c>
      <c r="T7074">
        <v>2.5</v>
      </c>
      <c r="W7074" t="s">
        <v>330</v>
      </c>
      <c r="Y7074" s="42">
        <v>44705</v>
      </c>
    </row>
    <row r="7075" spans="14:25">
      <c r="N7075" s="42">
        <v>44684</v>
      </c>
      <c r="O7075" t="s">
        <v>333</v>
      </c>
      <c r="P7075" s="42">
        <v>44684</v>
      </c>
      <c r="Q7075" t="s">
        <v>333</v>
      </c>
      <c r="R7075" t="s">
        <v>329</v>
      </c>
      <c r="S7075" t="s">
        <v>323</v>
      </c>
      <c r="T7075">
        <v>3.5</v>
      </c>
      <c r="W7075" t="s">
        <v>330</v>
      </c>
      <c r="Y7075" s="42">
        <v>44691</v>
      </c>
    </row>
    <row r="7076" spans="14:25">
      <c r="N7076" s="42">
        <v>44676</v>
      </c>
      <c r="O7076" t="s">
        <v>345</v>
      </c>
      <c r="P7076" s="42">
        <v>44676</v>
      </c>
      <c r="Q7076" t="s">
        <v>345</v>
      </c>
      <c r="R7076" t="s">
        <v>320</v>
      </c>
      <c r="S7076" t="s">
        <v>323</v>
      </c>
      <c r="U7076">
        <v>7.6</v>
      </c>
    </row>
    <row r="7077" spans="14:25">
      <c r="N7077" s="42">
        <v>44669</v>
      </c>
      <c r="O7077" t="s">
        <v>345</v>
      </c>
      <c r="P7077" s="42">
        <v>44669</v>
      </c>
      <c r="Q7077" t="s">
        <v>345</v>
      </c>
      <c r="R7077" t="s">
        <v>320</v>
      </c>
      <c r="S7077" t="s">
        <v>323</v>
      </c>
      <c r="U7077">
        <v>7.6</v>
      </c>
    </row>
    <row r="7078" spans="14:25">
      <c r="N7078" s="42">
        <v>44668</v>
      </c>
      <c r="O7078" t="s">
        <v>344</v>
      </c>
      <c r="P7078" s="42">
        <v>44668</v>
      </c>
      <c r="Q7078" t="s">
        <v>344</v>
      </c>
      <c r="R7078" t="s">
        <v>320</v>
      </c>
      <c r="S7078" t="s">
        <v>323</v>
      </c>
      <c r="U7078">
        <v>7.6</v>
      </c>
    </row>
    <row r="7079" spans="14:25">
      <c r="N7079" s="42">
        <v>44602</v>
      </c>
      <c r="O7079" t="s">
        <v>324</v>
      </c>
      <c r="P7079" s="42">
        <v>44602</v>
      </c>
      <c r="Q7079" t="s">
        <v>324</v>
      </c>
      <c r="R7079" t="s">
        <v>320</v>
      </c>
      <c r="S7079" t="s">
        <v>323</v>
      </c>
      <c r="T7079">
        <v>7.6</v>
      </c>
      <c r="Y7079" s="42">
        <v>44607</v>
      </c>
    </row>
    <row r="7080" spans="14:25">
      <c r="N7080" s="42">
        <v>44601</v>
      </c>
      <c r="O7080" t="s">
        <v>328</v>
      </c>
      <c r="P7080" s="42">
        <v>44601</v>
      </c>
      <c r="Q7080" t="s">
        <v>328</v>
      </c>
      <c r="R7080" t="s">
        <v>320</v>
      </c>
      <c r="S7080" t="s">
        <v>323</v>
      </c>
      <c r="T7080">
        <v>7.6</v>
      </c>
      <c r="Y7080" s="42">
        <v>44607</v>
      </c>
    </row>
    <row r="7081" spans="14:25">
      <c r="N7081" s="42">
        <v>44600</v>
      </c>
      <c r="O7081" t="s">
        <v>333</v>
      </c>
      <c r="P7081" s="42">
        <v>44600</v>
      </c>
      <c r="Q7081" t="s">
        <v>333</v>
      </c>
      <c r="R7081" t="s">
        <v>320</v>
      </c>
      <c r="S7081" t="s">
        <v>323</v>
      </c>
      <c r="T7081">
        <v>7.6</v>
      </c>
      <c r="Y7081" s="42">
        <v>44607</v>
      </c>
    </row>
    <row r="7082" spans="14:25">
      <c r="N7082" s="42">
        <v>44599</v>
      </c>
      <c r="O7082" t="s">
        <v>345</v>
      </c>
      <c r="P7082" s="42">
        <v>44599</v>
      </c>
      <c r="Q7082" t="s">
        <v>345</v>
      </c>
      <c r="R7082" t="s">
        <v>320</v>
      </c>
      <c r="S7082" t="s">
        <v>323</v>
      </c>
      <c r="T7082">
        <v>7.6</v>
      </c>
      <c r="Y7082" s="42">
        <v>44607</v>
      </c>
    </row>
    <row r="7083" spans="14:25">
      <c r="N7083" s="42">
        <v>44598</v>
      </c>
      <c r="O7083" t="s">
        <v>344</v>
      </c>
      <c r="P7083" s="42">
        <v>44598</v>
      </c>
      <c r="Q7083" t="s">
        <v>344</v>
      </c>
      <c r="R7083" t="s">
        <v>320</v>
      </c>
      <c r="S7083" t="s">
        <v>323</v>
      </c>
      <c r="T7083">
        <v>7.6</v>
      </c>
      <c r="Y7083" s="42">
        <v>44607</v>
      </c>
    </row>
    <row r="7084" spans="14:25">
      <c r="N7084" s="42">
        <v>44595</v>
      </c>
      <c r="O7084" t="s">
        <v>324</v>
      </c>
      <c r="P7084" s="42">
        <v>44595</v>
      </c>
      <c r="Q7084" t="s">
        <v>324</v>
      </c>
      <c r="R7084" t="s">
        <v>320</v>
      </c>
      <c r="S7084" t="s">
        <v>323</v>
      </c>
      <c r="T7084">
        <v>7.6</v>
      </c>
      <c r="Y7084" s="42">
        <v>44607</v>
      </c>
    </row>
    <row r="7085" spans="14:25">
      <c r="N7085" s="42">
        <v>44594</v>
      </c>
      <c r="O7085" t="s">
        <v>328</v>
      </c>
      <c r="P7085" s="42">
        <v>44594</v>
      </c>
      <c r="Q7085" t="s">
        <v>328</v>
      </c>
      <c r="R7085" t="s">
        <v>320</v>
      </c>
      <c r="S7085" t="s">
        <v>323</v>
      </c>
      <c r="T7085">
        <v>7.6</v>
      </c>
      <c r="Y7085" s="42">
        <v>44607</v>
      </c>
    </row>
    <row r="7086" spans="14:25">
      <c r="N7086" s="42">
        <v>44593</v>
      </c>
      <c r="O7086" t="s">
        <v>333</v>
      </c>
      <c r="P7086" s="42">
        <v>44593</v>
      </c>
      <c r="Q7086" t="s">
        <v>333</v>
      </c>
      <c r="R7086" t="s">
        <v>320</v>
      </c>
      <c r="S7086" t="s">
        <v>323</v>
      </c>
      <c r="T7086">
        <v>7.6</v>
      </c>
      <c r="Y7086" s="42">
        <v>44593</v>
      </c>
    </row>
    <row r="7087" spans="14:25">
      <c r="N7087" s="42">
        <v>44592</v>
      </c>
      <c r="O7087" t="s">
        <v>345</v>
      </c>
      <c r="P7087" s="42">
        <v>44592</v>
      </c>
      <c r="Q7087" t="s">
        <v>345</v>
      </c>
      <c r="R7087" t="s">
        <v>320</v>
      </c>
      <c r="S7087" t="s">
        <v>323</v>
      </c>
      <c r="T7087">
        <v>7.6</v>
      </c>
      <c r="Y7087" s="42">
        <v>44593</v>
      </c>
    </row>
    <row r="7088" spans="14:25">
      <c r="N7088" s="42">
        <v>44591</v>
      </c>
      <c r="O7088" t="s">
        <v>344</v>
      </c>
      <c r="P7088" s="42">
        <v>44591</v>
      </c>
      <c r="Q7088" t="s">
        <v>344</v>
      </c>
      <c r="R7088" t="s">
        <v>320</v>
      </c>
      <c r="S7088" t="s">
        <v>323</v>
      </c>
      <c r="T7088">
        <v>7.6</v>
      </c>
      <c r="Y7088" s="42">
        <v>44593</v>
      </c>
    </row>
    <row r="7089" spans="14:25">
      <c r="N7089" s="42">
        <v>44588</v>
      </c>
      <c r="O7089" t="s">
        <v>324</v>
      </c>
      <c r="P7089" s="42">
        <v>44588</v>
      </c>
      <c r="Q7089" t="s">
        <v>324</v>
      </c>
      <c r="R7089" t="s">
        <v>320</v>
      </c>
      <c r="S7089" t="s">
        <v>323</v>
      </c>
      <c r="T7089">
        <v>7.6</v>
      </c>
      <c r="Y7089" s="42">
        <v>44593</v>
      </c>
    </row>
    <row r="7090" spans="14:25">
      <c r="N7090" s="42">
        <v>44587</v>
      </c>
      <c r="O7090" t="s">
        <v>328</v>
      </c>
      <c r="P7090" s="42">
        <v>44587</v>
      </c>
      <c r="Q7090" t="s">
        <v>328</v>
      </c>
      <c r="R7090" t="s">
        <v>320</v>
      </c>
      <c r="S7090" t="s">
        <v>323</v>
      </c>
      <c r="U7090">
        <v>7.6</v>
      </c>
    </row>
    <row r="7091" spans="14:25">
      <c r="N7091" s="42">
        <v>44586</v>
      </c>
      <c r="O7091" t="s">
        <v>333</v>
      </c>
      <c r="P7091" s="42">
        <v>44586</v>
      </c>
      <c r="Q7091" t="s">
        <v>333</v>
      </c>
      <c r="R7091" t="s">
        <v>320</v>
      </c>
      <c r="S7091" t="s">
        <v>323</v>
      </c>
      <c r="T7091">
        <v>7.6</v>
      </c>
      <c r="Y7091" s="42">
        <v>44593</v>
      </c>
    </row>
    <row r="7092" spans="14:25">
      <c r="N7092" s="42">
        <v>44585</v>
      </c>
      <c r="O7092" t="s">
        <v>345</v>
      </c>
      <c r="P7092" s="42">
        <v>44585</v>
      </c>
      <c r="Q7092" t="s">
        <v>345</v>
      </c>
      <c r="R7092" t="s">
        <v>320</v>
      </c>
      <c r="S7092" t="s">
        <v>323</v>
      </c>
      <c r="T7092">
        <v>7.6</v>
      </c>
      <c r="Y7092" s="42">
        <v>44593</v>
      </c>
    </row>
    <row r="7093" spans="14:25">
      <c r="N7093" s="42">
        <v>44584</v>
      </c>
      <c r="O7093" t="s">
        <v>344</v>
      </c>
      <c r="P7093" s="42">
        <v>44584</v>
      </c>
      <c r="Q7093" t="s">
        <v>344</v>
      </c>
      <c r="R7093" t="s">
        <v>320</v>
      </c>
      <c r="S7093" t="s">
        <v>323</v>
      </c>
      <c r="T7093">
        <v>7.6</v>
      </c>
      <c r="Y7093" s="42">
        <v>44593</v>
      </c>
    </row>
    <row r="7094" spans="14:25">
      <c r="N7094" s="42">
        <v>44581</v>
      </c>
      <c r="O7094" t="s">
        <v>324</v>
      </c>
      <c r="P7094" s="42">
        <v>44581</v>
      </c>
      <c r="Q7094" t="s">
        <v>324</v>
      </c>
      <c r="R7094" t="s">
        <v>320</v>
      </c>
      <c r="S7094" t="s">
        <v>323</v>
      </c>
      <c r="T7094">
        <v>7.6</v>
      </c>
      <c r="Y7094" s="42">
        <v>44593</v>
      </c>
    </row>
    <row r="7095" spans="14:25">
      <c r="N7095" s="42">
        <v>44580</v>
      </c>
      <c r="O7095" t="s">
        <v>328</v>
      </c>
      <c r="P7095" s="42">
        <v>44580</v>
      </c>
      <c r="Q7095" t="s">
        <v>328</v>
      </c>
      <c r="R7095" t="s">
        <v>320</v>
      </c>
      <c r="S7095" t="s">
        <v>323</v>
      </c>
      <c r="T7095">
        <v>7.6</v>
      </c>
      <c r="Y7095" s="42">
        <v>44593</v>
      </c>
    </row>
    <row r="7096" spans="14:25">
      <c r="N7096" s="42">
        <v>44579</v>
      </c>
      <c r="O7096" t="s">
        <v>333</v>
      </c>
      <c r="P7096" s="42">
        <v>44579</v>
      </c>
      <c r="Q7096" t="s">
        <v>333</v>
      </c>
      <c r="R7096" t="s">
        <v>320</v>
      </c>
      <c r="S7096" t="s">
        <v>323</v>
      </c>
      <c r="T7096">
        <v>7.6</v>
      </c>
      <c r="Y7096" s="42">
        <v>44579</v>
      </c>
    </row>
    <row r="7097" spans="14:25">
      <c r="N7097" s="42">
        <v>44578</v>
      </c>
      <c r="O7097" t="s">
        <v>345</v>
      </c>
      <c r="P7097" s="42">
        <v>44578</v>
      </c>
      <c r="Q7097" t="s">
        <v>345</v>
      </c>
      <c r="R7097" t="s">
        <v>320</v>
      </c>
      <c r="S7097" t="s">
        <v>323</v>
      </c>
      <c r="T7097">
        <v>7.6</v>
      </c>
      <c r="Y7097" s="42">
        <v>44579</v>
      </c>
    </row>
    <row r="7098" spans="14:25">
      <c r="N7098" s="42">
        <v>44577</v>
      </c>
      <c r="O7098" t="s">
        <v>344</v>
      </c>
      <c r="P7098" s="42">
        <v>44577</v>
      </c>
      <c r="Q7098" t="s">
        <v>344</v>
      </c>
      <c r="R7098" t="s">
        <v>320</v>
      </c>
      <c r="S7098" t="s">
        <v>323</v>
      </c>
      <c r="T7098">
        <v>7.6</v>
      </c>
      <c r="Y7098" s="42">
        <v>44579</v>
      </c>
    </row>
    <row r="7099" spans="14:25">
      <c r="N7099" s="42">
        <v>44574</v>
      </c>
      <c r="O7099" t="s">
        <v>324</v>
      </c>
      <c r="P7099" s="42">
        <v>44574</v>
      </c>
      <c r="Q7099" t="s">
        <v>324</v>
      </c>
      <c r="R7099" t="s">
        <v>320</v>
      </c>
      <c r="S7099" t="s">
        <v>323</v>
      </c>
      <c r="T7099">
        <v>7.6</v>
      </c>
      <c r="Y7099" s="42">
        <v>44579</v>
      </c>
    </row>
    <row r="7100" spans="14:25">
      <c r="N7100" s="42">
        <v>44573</v>
      </c>
      <c r="O7100" t="s">
        <v>328</v>
      </c>
      <c r="P7100" s="42">
        <v>44573</v>
      </c>
      <c r="Q7100" t="s">
        <v>328</v>
      </c>
      <c r="R7100" t="s">
        <v>320</v>
      </c>
      <c r="S7100" t="s">
        <v>323</v>
      </c>
      <c r="T7100">
        <v>7.6</v>
      </c>
      <c r="Y7100" s="42">
        <v>44579</v>
      </c>
    </row>
    <row r="7101" spans="14:25">
      <c r="N7101" s="42">
        <v>44572</v>
      </c>
      <c r="O7101" t="s">
        <v>333</v>
      </c>
      <c r="P7101" s="42">
        <v>44572</v>
      </c>
      <c r="Q7101" t="s">
        <v>333</v>
      </c>
      <c r="R7101" t="s">
        <v>320</v>
      </c>
      <c r="S7101" t="s">
        <v>323</v>
      </c>
      <c r="T7101">
        <v>7.6</v>
      </c>
      <c r="Y7101" s="42">
        <v>44579</v>
      </c>
    </row>
    <row r="7102" spans="14:25">
      <c r="N7102" s="42">
        <v>44571</v>
      </c>
      <c r="O7102" t="s">
        <v>345</v>
      </c>
      <c r="P7102" s="42">
        <v>44571</v>
      </c>
      <c r="Q7102" t="s">
        <v>345</v>
      </c>
      <c r="R7102" t="s">
        <v>320</v>
      </c>
      <c r="S7102" t="s">
        <v>323</v>
      </c>
      <c r="T7102">
        <v>7.6</v>
      </c>
      <c r="Y7102" s="42">
        <v>44579</v>
      </c>
    </row>
    <row r="7103" spans="14:25">
      <c r="N7103" s="42">
        <v>44567</v>
      </c>
      <c r="O7103" t="s">
        <v>324</v>
      </c>
      <c r="P7103" s="42">
        <v>44567</v>
      </c>
      <c r="Q7103" t="s">
        <v>324</v>
      </c>
      <c r="R7103" t="s">
        <v>329</v>
      </c>
      <c r="S7103" t="s">
        <v>323</v>
      </c>
      <c r="T7103">
        <v>7.6</v>
      </c>
      <c r="W7103" t="s">
        <v>330</v>
      </c>
      <c r="Y7103" s="42">
        <v>44579</v>
      </c>
    </row>
    <row r="7104" spans="14:25">
      <c r="N7104" s="42">
        <v>44564</v>
      </c>
      <c r="O7104" t="s">
        <v>345</v>
      </c>
      <c r="P7104" s="42">
        <v>44564</v>
      </c>
      <c r="Q7104" t="s">
        <v>345</v>
      </c>
      <c r="R7104" t="s">
        <v>320</v>
      </c>
      <c r="S7104" t="s">
        <v>323</v>
      </c>
      <c r="U7104">
        <v>6.08</v>
      </c>
    </row>
    <row r="7105" spans="14:25">
      <c r="N7105" s="42">
        <v>44558</v>
      </c>
      <c r="O7105" t="s">
        <v>333</v>
      </c>
      <c r="P7105" s="42">
        <v>44558</v>
      </c>
      <c r="Q7105" t="s">
        <v>333</v>
      </c>
      <c r="R7105" t="s">
        <v>320</v>
      </c>
      <c r="S7105" t="s">
        <v>323</v>
      </c>
      <c r="U7105">
        <v>6.08</v>
      </c>
    </row>
    <row r="7106" spans="14:25">
      <c r="N7106" s="42">
        <v>44557</v>
      </c>
      <c r="O7106" t="s">
        <v>345</v>
      </c>
      <c r="P7106" s="42">
        <v>44557</v>
      </c>
      <c r="Q7106" t="s">
        <v>345</v>
      </c>
      <c r="R7106" t="s">
        <v>320</v>
      </c>
      <c r="S7106" t="s">
        <v>323</v>
      </c>
      <c r="U7106">
        <v>6.08</v>
      </c>
    </row>
    <row r="7107" spans="14:25">
      <c r="N7107" s="42">
        <v>44556</v>
      </c>
      <c r="O7107" t="s">
        <v>344</v>
      </c>
      <c r="P7107" s="42">
        <v>44556</v>
      </c>
      <c r="Q7107" t="s">
        <v>344</v>
      </c>
      <c r="R7107" t="s">
        <v>320</v>
      </c>
      <c r="S7107" t="s">
        <v>323</v>
      </c>
      <c r="U7107">
        <v>6.08</v>
      </c>
    </row>
    <row r="7108" spans="14:25">
      <c r="N7108" s="42">
        <v>44555</v>
      </c>
      <c r="O7108" t="s">
        <v>359</v>
      </c>
      <c r="P7108" s="42">
        <v>44555</v>
      </c>
      <c r="Q7108" t="s">
        <v>359</v>
      </c>
      <c r="R7108" t="s">
        <v>320</v>
      </c>
      <c r="S7108" t="s">
        <v>323</v>
      </c>
      <c r="U7108">
        <v>6.08</v>
      </c>
    </row>
    <row r="7109" spans="14:25">
      <c r="N7109" s="42">
        <v>44523</v>
      </c>
      <c r="O7109" t="s">
        <v>333</v>
      </c>
      <c r="P7109" s="42">
        <v>44523</v>
      </c>
      <c r="Q7109" t="s">
        <v>333</v>
      </c>
      <c r="R7109" t="s">
        <v>329</v>
      </c>
      <c r="S7109" t="s">
        <v>323</v>
      </c>
      <c r="T7109">
        <v>7.6</v>
      </c>
      <c r="W7109" t="s">
        <v>330</v>
      </c>
      <c r="Y7109" s="42">
        <v>44523</v>
      </c>
    </row>
    <row r="7110" spans="14:25">
      <c r="N7110" s="42">
        <v>44473</v>
      </c>
      <c r="O7110" t="s">
        <v>345</v>
      </c>
      <c r="P7110" s="42">
        <v>44473</v>
      </c>
      <c r="Q7110" t="s">
        <v>345</v>
      </c>
      <c r="R7110" t="s">
        <v>320</v>
      </c>
      <c r="S7110" t="s">
        <v>323</v>
      </c>
      <c r="U7110">
        <v>7.6</v>
      </c>
    </row>
    <row r="7111" spans="14:25">
      <c r="N7111" s="42">
        <v>44469</v>
      </c>
      <c r="O7111" t="s">
        <v>324</v>
      </c>
      <c r="P7111" s="42">
        <v>44469</v>
      </c>
      <c r="Q7111" t="s">
        <v>324</v>
      </c>
      <c r="R7111" t="s">
        <v>320</v>
      </c>
      <c r="S7111" t="s">
        <v>323</v>
      </c>
      <c r="T7111">
        <v>7.6</v>
      </c>
      <c r="Y7111" s="42">
        <v>44481</v>
      </c>
    </row>
    <row r="7112" spans="14:25">
      <c r="N7112" s="42">
        <v>44462</v>
      </c>
      <c r="O7112" t="s">
        <v>324</v>
      </c>
      <c r="P7112" s="42">
        <v>44462</v>
      </c>
      <c r="Q7112" t="s">
        <v>324</v>
      </c>
      <c r="R7112" t="s">
        <v>320</v>
      </c>
      <c r="S7112" t="s">
        <v>323</v>
      </c>
      <c r="T7112">
        <v>7.6</v>
      </c>
      <c r="Y7112" s="42">
        <v>44467</v>
      </c>
    </row>
    <row r="7113" spans="14:25">
      <c r="N7113" s="42">
        <v>44419</v>
      </c>
      <c r="O7113" t="s">
        <v>328</v>
      </c>
      <c r="P7113" s="42">
        <v>44419</v>
      </c>
      <c r="Q7113" t="s">
        <v>328</v>
      </c>
      <c r="R7113" t="s">
        <v>329</v>
      </c>
      <c r="S7113" t="s">
        <v>323</v>
      </c>
      <c r="T7113">
        <v>7.6</v>
      </c>
      <c r="W7113" t="s">
        <v>330</v>
      </c>
      <c r="Y7113" s="42">
        <v>44425</v>
      </c>
    </row>
    <row r="7114" spans="14:25">
      <c r="N7114" s="42">
        <v>44398</v>
      </c>
      <c r="O7114" t="s">
        <v>328</v>
      </c>
      <c r="P7114" s="42">
        <v>44398</v>
      </c>
      <c r="Q7114" t="s">
        <v>328</v>
      </c>
      <c r="R7114" t="s">
        <v>329</v>
      </c>
      <c r="S7114" t="s">
        <v>323</v>
      </c>
      <c r="T7114">
        <v>7.6</v>
      </c>
      <c r="W7114" t="s">
        <v>330</v>
      </c>
      <c r="Y7114" s="42">
        <v>44411</v>
      </c>
    </row>
    <row r="7115" spans="14:25">
      <c r="N7115" s="42">
        <v>44385</v>
      </c>
      <c r="O7115" t="s">
        <v>324</v>
      </c>
      <c r="P7115" s="42">
        <v>44385</v>
      </c>
      <c r="Q7115" t="s">
        <v>324</v>
      </c>
      <c r="R7115" t="s">
        <v>320</v>
      </c>
      <c r="S7115" t="s">
        <v>323</v>
      </c>
      <c r="T7115">
        <v>7.6</v>
      </c>
      <c r="Y7115" s="42">
        <v>44397</v>
      </c>
    </row>
    <row r="7116" spans="14:25">
      <c r="N7116" s="42">
        <v>44382</v>
      </c>
      <c r="O7116" t="s">
        <v>345</v>
      </c>
      <c r="P7116" s="42">
        <v>44382</v>
      </c>
      <c r="Q7116" t="s">
        <v>345</v>
      </c>
      <c r="R7116" t="s">
        <v>329</v>
      </c>
      <c r="S7116" t="s">
        <v>323</v>
      </c>
      <c r="T7116">
        <v>15.2</v>
      </c>
      <c r="W7116" t="s">
        <v>330</v>
      </c>
      <c r="Y7116" s="42">
        <v>44383</v>
      </c>
    </row>
    <row r="7117" spans="14:25">
      <c r="N7117" s="42">
        <v>44378</v>
      </c>
      <c r="O7117" t="s">
        <v>324</v>
      </c>
      <c r="P7117" s="42">
        <v>44378</v>
      </c>
      <c r="Q7117" t="s">
        <v>324</v>
      </c>
      <c r="R7117" t="s">
        <v>320</v>
      </c>
      <c r="S7117" t="s">
        <v>323</v>
      </c>
      <c r="T7117">
        <v>7.6</v>
      </c>
      <c r="Y7117" s="42">
        <v>44383</v>
      </c>
    </row>
    <row r="7118" spans="14:25">
      <c r="N7118" s="42">
        <v>44361</v>
      </c>
      <c r="O7118" t="s">
        <v>345</v>
      </c>
      <c r="P7118" s="42">
        <v>44361</v>
      </c>
      <c r="Q7118" t="s">
        <v>345</v>
      </c>
      <c r="R7118" t="s">
        <v>320</v>
      </c>
      <c r="S7118" t="s">
        <v>323</v>
      </c>
      <c r="U7118">
        <v>7.6</v>
      </c>
    </row>
    <row r="7119" spans="14:25">
      <c r="N7119" s="42">
        <v>44343</v>
      </c>
      <c r="O7119" t="s">
        <v>324</v>
      </c>
      <c r="P7119" s="42">
        <v>44343</v>
      </c>
      <c r="Q7119" t="s">
        <v>324</v>
      </c>
      <c r="R7119" t="s">
        <v>320</v>
      </c>
      <c r="S7119" t="s">
        <v>323</v>
      </c>
      <c r="T7119">
        <v>7.6</v>
      </c>
      <c r="Y7119" s="42">
        <v>44355</v>
      </c>
    </row>
    <row r="7120" spans="14:25">
      <c r="N7120" s="42">
        <v>44329</v>
      </c>
      <c r="O7120" t="s">
        <v>324</v>
      </c>
      <c r="P7120" s="42">
        <v>44329</v>
      </c>
      <c r="Q7120" t="s">
        <v>324</v>
      </c>
      <c r="R7120" t="s">
        <v>320</v>
      </c>
      <c r="S7120" t="s">
        <v>323</v>
      </c>
      <c r="T7120">
        <v>7.6</v>
      </c>
      <c r="Y7120" s="42">
        <v>44341</v>
      </c>
    </row>
    <row r="7121" spans="14:25">
      <c r="N7121" s="42">
        <v>44328</v>
      </c>
      <c r="O7121" t="s">
        <v>328</v>
      </c>
      <c r="P7121" s="42">
        <v>44328</v>
      </c>
      <c r="Q7121" t="s">
        <v>328</v>
      </c>
      <c r="R7121" t="s">
        <v>320</v>
      </c>
      <c r="S7121" t="s">
        <v>323</v>
      </c>
      <c r="T7121">
        <v>7.6</v>
      </c>
      <c r="Y7121" s="42">
        <v>44341</v>
      </c>
    </row>
    <row r="7122" spans="14:25">
      <c r="N7122" s="42">
        <v>44322</v>
      </c>
      <c r="O7122" t="s">
        <v>324</v>
      </c>
      <c r="P7122" s="42">
        <v>44322</v>
      </c>
      <c r="Q7122" t="s">
        <v>324</v>
      </c>
      <c r="R7122" t="s">
        <v>329</v>
      </c>
      <c r="S7122" t="s">
        <v>323</v>
      </c>
      <c r="T7122">
        <v>2</v>
      </c>
      <c r="W7122" t="s">
        <v>330</v>
      </c>
      <c r="Y7122" s="42">
        <v>44327</v>
      </c>
    </row>
    <row r="7123" spans="14:25">
      <c r="N7123" s="42">
        <v>44311</v>
      </c>
      <c r="O7123" t="s">
        <v>344</v>
      </c>
      <c r="P7123" s="42">
        <v>44311</v>
      </c>
      <c r="Q7123" t="s">
        <v>344</v>
      </c>
      <c r="R7123" t="s">
        <v>320</v>
      </c>
      <c r="S7123" t="s">
        <v>323</v>
      </c>
      <c r="U7123">
        <v>7.6</v>
      </c>
    </row>
    <row r="7124" spans="14:25">
      <c r="N7124" s="42">
        <v>44293</v>
      </c>
      <c r="O7124" t="s">
        <v>328</v>
      </c>
      <c r="P7124" s="42">
        <v>44293</v>
      </c>
      <c r="Q7124" t="s">
        <v>328</v>
      </c>
      <c r="R7124" t="s">
        <v>329</v>
      </c>
      <c r="S7124" t="s">
        <v>323</v>
      </c>
      <c r="T7124">
        <v>7.6</v>
      </c>
      <c r="W7124" t="s">
        <v>330</v>
      </c>
      <c r="Y7124" s="42">
        <v>44299</v>
      </c>
    </row>
    <row r="7125" spans="14:25">
      <c r="N7125" s="42">
        <v>44292</v>
      </c>
      <c r="O7125" t="s">
        <v>333</v>
      </c>
      <c r="P7125" s="42">
        <v>44292</v>
      </c>
      <c r="Q7125" t="s">
        <v>333</v>
      </c>
      <c r="R7125" t="s">
        <v>329</v>
      </c>
      <c r="S7125" t="s">
        <v>323</v>
      </c>
      <c r="T7125">
        <v>3</v>
      </c>
      <c r="W7125" t="s">
        <v>330</v>
      </c>
      <c r="Y7125" s="42">
        <v>44299</v>
      </c>
    </row>
    <row r="7126" spans="14:25">
      <c r="N7126" s="42">
        <v>44291</v>
      </c>
      <c r="O7126" t="s">
        <v>345</v>
      </c>
      <c r="P7126" s="42">
        <v>44291</v>
      </c>
      <c r="Q7126" t="s">
        <v>345</v>
      </c>
      <c r="R7126" t="s">
        <v>320</v>
      </c>
      <c r="S7126" t="s">
        <v>323</v>
      </c>
      <c r="U7126">
        <v>7.6</v>
      </c>
    </row>
    <row r="7127" spans="14:25">
      <c r="N7127" s="42">
        <v>44290</v>
      </c>
      <c r="O7127" t="s">
        <v>344</v>
      </c>
      <c r="P7127" s="42">
        <v>44290</v>
      </c>
      <c r="Q7127" t="s">
        <v>344</v>
      </c>
      <c r="R7127" t="s">
        <v>320</v>
      </c>
      <c r="S7127" t="s">
        <v>323</v>
      </c>
      <c r="U7127">
        <v>7.6</v>
      </c>
    </row>
    <row r="7128" spans="14:25">
      <c r="N7128" s="42">
        <v>44264</v>
      </c>
      <c r="O7128" t="s">
        <v>333</v>
      </c>
      <c r="P7128" s="42">
        <v>44264</v>
      </c>
      <c r="Q7128" t="s">
        <v>333</v>
      </c>
      <c r="R7128" t="s">
        <v>329</v>
      </c>
      <c r="S7128" t="s">
        <v>323</v>
      </c>
      <c r="T7128">
        <v>4</v>
      </c>
      <c r="W7128" t="s">
        <v>330</v>
      </c>
      <c r="Y7128" s="42">
        <v>44271</v>
      </c>
    </row>
    <row r="7129" spans="14:25">
      <c r="N7129" s="42">
        <v>44222</v>
      </c>
      <c r="O7129" t="s">
        <v>333</v>
      </c>
      <c r="P7129" s="42">
        <v>44222</v>
      </c>
      <c r="Q7129" t="s">
        <v>333</v>
      </c>
      <c r="R7129" t="s">
        <v>320</v>
      </c>
      <c r="S7129" t="s">
        <v>323</v>
      </c>
      <c r="U7129">
        <v>7.6</v>
      </c>
    </row>
    <row r="7130" spans="14:25">
      <c r="N7130" s="42">
        <v>44206</v>
      </c>
      <c r="O7130" t="s">
        <v>344</v>
      </c>
      <c r="P7130" s="42">
        <v>44206</v>
      </c>
      <c r="Q7130" t="s">
        <v>344</v>
      </c>
      <c r="R7130" t="s">
        <v>320</v>
      </c>
      <c r="S7130" t="s">
        <v>323</v>
      </c>
      <c r="T7130">
        <v>7.6</v>
      </c>
      <c r="Y7130" s="42">
        <v>44215</v>
      </c>
    </row>
    <row r="7131" spans="14:25">
      <c r="N7131" s="42">
        <v>44203</v>
      </c>
      <c r="O7131" t="s">
        <v>324</v>
      </c>
      <c r="P7131" s="42">
        <v>44203</v>
      </c>
      <c r="Q7131" t="s">
        <v>324</v>
      </c>
      <c r="R7131" t="s">
        <v>320</v>
      </c>
      <c r="S7131" t="s">
        <v>323</v>
      </c>
      <c r="T7131">
        <v>7.6</v>
      </c>
      <c r="Y7131" s="42">
        <v>44215</v>
      </c>
    </row>
    <row r="7132" spans="14:25">
      <c r="N7132" s="42">
        <v>44202</v>
      </c>
      <c r="O7132" t="s">
        <v>328</v>
      </c>
      <c r="P7132" s="42">
        <v>44202</v>
      </c>
      <c r="Q7132" t="s">
        <v>328</v>
      </c>
      <c r="R7132" t="s">
        <v>320</v>
      </c>
      <c r="S7132" t="s">
        <v>323</v>
      </c>
      <c r="T7132">
        <v>7.6</v>
      </c>
      <c r="Y7132" s="42">
        <v>44215</v>
      </c>
    </row>
    <row r="7133" spans="14:25">
      <c r="N7133" s="42">
        <v>44201</v>
      </c>
      <c r="O7133" t="s">
        <v>333</v>
      </c>
      <c r="P7133" s="42">
        <v>44201</v>
      </c>
      <c r="Q7133" t="s">
        <v>333</v>
      </c>
      <c r="R7133" t="s">
        <v>320</v>
      </c>
      <c r="S7133" t="s">
        <v>323</v>
      </c>
      <c r="T7133">
        <v>7.6</v>
      </c>
      <c r="Y7133" s="42">
        <v>44201</v>
      </c>
    </row>
    <row r="7134" spans="14:25">
      <c r="N7134" s="42">
        <v>44200</v>
      </c>
      <c r="O7134" t="s">
        <v>345</v>
      </c>
      <c r="P7134" s="42">
        <v>44200</v>
      </c>
      <c r="Q7134" t="s">
        <v>345</v>
      </c>
      <c r="R7134" t="s">
        <v>320</v>
      </c>
      <c r="S7134" t="s">
        <v>323</v>
      </c>
      <c r="T7134">
        <v>7.6</v>
      </c>
      <c r="Y7134" s="42">
        <v>44201</v>
      </c>
    </row>
    <row r="7135" spans="14:25">
      <c r="N7135" s="42">
        <v>44193</v>
      </c>
      <c r="O7135" t="s">
        <v>345</v>
      </c>
      <c r="P7135" s="42">
        <v>44193</v>
      </c>
      <c r="Q7135" t="s">
        <v>345</v>
      </c>
      <c r="R7135" t="s">
        <v>320</v>
      </c>
      <c r="S7135" t="s">
        <v>323</v>
      </c>
      <c r="U7135">
        <v>7.6</v>
      </c>
    </row>
    <row r="7136" spans="14:25">
      <c r="N7136" s="42">
        <v>44161</v>
      </c>
      <c r="O7136" t="s">
        <v>324</v>
      </c>
      <c r="P7136" s="42">
        <v>44161</v>
      </c>
      <c r="Q7136" t="s">
        <v>324</v>
      </c>
      <c r="R7136" t="s">
        <v>329</v>
      </c>
      <c r="S7136" t="s">
        <v>323</v>
      </c>
      <c r="T7136">
        <v>7.6</v>
      </c>
      <c r="W7136" t="s">
        <v>330</v>
      </c>
      <c r="Y7136" s="42">
        <v>44173</v>
      </c>
    </row>
    <row r="7137" spans="14:25">
      <c r="N7137" s="42">
        <v>44112</v>
      </c>
      <c r="O7137" t="s">
        <v>324</v>
      </c>
      <c r="P7137" s="42">
        <v>44112</v>
      </c>
      <c r="Q7137" t="s">
        <v>324</v>
      </c>
      <c r="R7137" t="s">
        <v>320</v>
      </c>
      <c r="S7137" t="s">
        <v>323</v>
      </c>
      <c r="T7137">
        <v>7.6</v>
      </c>
      <c r="Y7137" s="42">
        <v>44117</v>
      </c>
    </row>
    <row r="7138" spans="14:25">
      <c r="N7138" s="42">
        <v>44109</v>
      </c>
      <c r="O7138" t="s">
        <v>345</v>
      </c>
      <c r="P7138" s="42">
        <v>44109</v>
      </c>
      <c r="Q7138" t="s">
        <v>345</v>
      </c>
      <c r="R7138" t="s">
        <v>320</v>
      </c>
      <c r="S7138" t="s">
        <v>323</v>
      </c>
      <c r="U7138">
        <v>7.6</v>
      </c>
    </row>
    <row r="7139" spans="14:25">
      <c r="N7139" s="42">
        <v>44105</v>
      </c>
      <c r="O7139" t="s">
        <v>324</v>
      </c>
      <c r="P7139" s="42">
        <v>44105</v>
      </c>
      <c r="Q7139" t="s">
        <v>324</v>
      </c>
      <c r="R7139" t="s">
        <v>320</v>
      </c>
      <c r="S7139" t="s">
        <v>323</v>
      </c>
      <c r="T7139">
        <v>7.6</v>
      </c>
      <c r="Y7139" s="42">
        <v>44117</v>
      </c>
    </row>
    <row r="7140" spans="14:25">
      <c r="N7140" s="42">
        <v>44077</v>
      </c>
      <c r="O7140" t="s">
        <v>324</v>
      </c>
      <c r="P7140" s="42">
        <v>44077</v>
      </c>
      <c r="Q7140" t="s">
        <v>324</v>
      </c>
      <c r="R7140" t="s">
        <v>329</v>
      </c>
      <c r="S7140" t="s">
        <v>323</v>
      </c>
      <c r="T7140">
        <v>7.6</v>
      </c>
      <c r="W7140" t="s">
        <v>330</v>
      </c>
      <c r="Y7140" s="42">
        <v>44089</v>
      </c>
    </row>
    <row r="7141" spans="14:25">
      <c r="N7141" s="42">
        <v>44068</v>
      </c>
      <c r="O7141" t="s">
        <v>333</v>
      </c>
      <c r="P7141" s="42">
        <v>44068</v>
      </c>
      <c r="Q7141" t="s">
        <v>333</v>
      </c>
      <c r="R7141" t="s">
        <v>329</v>
      </c>
      <c r="S7141" t="s">
        <v>323</v>
      </c>
      <c r="T7141">
        <v>7.6</v>
      </c>
      <c r="W7141" t="s">
        <v>330</v>
      </c>
      <c r="Y7141" s="42">
        <v>44075</v>
      </c>
    </row>
    <row r="7142" spans="14:25">
      <c r="N7142" s="42">
        <v>44067</v>
      </c>
      <c r="O7142" t="s">
        <v>345</v>
      </c>
      <c r="P7142" s="42">
        <v>44067</v>
      </c>
      <c r="Q7142" t="s">
        <v>345</v>
      </c>
      <c r="R7142" t="s">
        <v>329</v>
      </c>
      <c r="S7142" t="s">
        <v>323</v>
      </c>
      <c r="T7142">
        <v>7.6</v>
      </c>
      <c r="W7142" t="s">
        <v>330</v>
      </c>
      <c r="Y7142" s="42">
        <v>44075</v>
      </c>
    </row>
    <row r="7143" spans="14:25">
      <c r="N7143" s="42">
        <v>44042</v>
      </c>
      <c r="O7143" t="s">
        <v>324</v>
      </c>
      <c r="P7143" s="42">
        <v>44042</v>
      </c>
      <c r="Q7143" t="s">
        <v>324</v>
      </c>
      <c r="R7143" t="s">
        <v>320</v>
      </c>
      <c r="S7143" t="s">
        <v>323</v>
      </c>
      <c r="T7143">
        <v>7.6</v>
      </c>
      <c r="Y7143" s="42">
        <v>44047</v>
      </c>
    </row>
    <row r="7144" spans="14:25">
      <c r="N7144" s="42">
        <v>43976</v>
      </c>
      <c r="O7144" t="s">
        <v>345</v>
      </c>
      <c r="P7144" s="42">
        <v>43976</v>
      </c>
      <c r="Q7144" t="s">
        <v>345</v>
      </c>
      <c r="R7144" t="s">
        <v>320</v>
      </c>
      <c r="S7144" t="s">
        <v>323</v>
      </c>
      <c r="T7144">
        <v>7.6</v>
      </c>
      <c r="Y7144" s="42">
        <v>43977</v>
      </c>
    </row>
    <row r="7145" spans="14:25">
      <c r="N7145" s="42">
        <v>43914</v>
      </c>
      <c r="O7145" t="s">
        <v>333</v>
      </c>
      <c r="P7145" s="42">
        <v>43914</v>
      </c>
      <c r="Q7145" t="s">
        <v>333</v>
      </c>
      <c r="R7145" t="s">
        <v>329</v>
      </c>
      <c r="S7145" t="s">
        <v>323</v>
      </c>
      <c r="T7145">
        <v>7.6</v>
      </c>
      <c r="W7145" t="s">
        <v>330</v>
      </c>
      <c r="Y7145" s="42">
        <v>43921</v>
      </c>
    </row>
    <row r="7146" spans="14:25">
      <c r="N7146" s="42">
        <v>43913</v>
      </c>
      <c r="O7146" t="s">
        <v>345</v>
      </c>
      <c r="P7146" s="42">
        <v>43913</v>
      </c>
      <c r="Q7146" t="s">
        <v>345</v>
      </c>
      <c r="R7146" t="s">
        <v>329</v>
      </c>
      <c r="S7146" t="s">
        <v>323</v>
      </c>
      <c r="T7146">
        <v>7.6</v>
      </c>
      <c r="W7146" t="s">
        <v>330</v>
      </c>
      <c r="Y7146" s="42">
        <v>43921</v>
      </c>
    </row>
    <row r="7147" spans="14:25">
      <c r="N7147" s="42">
        <v>43912</v>
      </c>
      <c r="O7147" t="s">
        <v>344</v>
      </c>
      <c r="P7147" s="42">
        <v>43912</v>
      </c>
      <c r="Q7147" t="s">
        <v>344</v>
      </c>
      <c r="R7147" t="s">
        <v>329</v>
      </c>
      <c r="S7147" t="s">
        <v>323</v>
      </c>
      <c r="T7147">
        <v>7.6</v>
      </c>
      <c r="W7147" t="s">
        <v>330</v>
      </c>
      <c r="Y7147" s="42">
        <v>43921</v>
      </c>
    </row>
    <row r="7148" spans="14:25">
      <c r="N7148" s="42">
        <v>43909</v>
      </c>
      <c r="O7148" t="s">
        <v>324</v>
      </c>
      <c r="P7148" s="42">
        <v>43909</v>
      </c>
      <c r="Q7148" t="s">
        <v>324</v>
      </c>
      <c r="R7148" t="s">
        <v>329</v>
      </c>
      <c r="S7148" t="s">
        <v>323</v>
      </c>
      <c r="T7148">
        <v>7.6</v>
      </c>
      <c r="W7148" t="s">
        <v>330</v>
      </c>
      <c r="Y7148" s="42">
        <v>43921</v>
      </c>
    </row>
    <row r="7149" spans="14:25">
      <c r="N7149" s="42">
        <v>43908</v>
      </c>
      <c r="O7149" t="s">
        <v>328</v>
      </c>
      <c r="P7149" s="42">
        <v>43908</v>
      </c>
      <c r="Q7149" t="s">
        <v>328</v>
      </c>
      <c r="R7149" t="s">
        <v>329</v>
      </c>
      <c r="S7149" t="s">
        <v>323</v>
      </c>
      <c r="T7149">
        <v>7.6</v>
      </c>
      <c r="W7149" t="s">
        <v>330</v>
      </c>
      <c r="Y7149" s="42">
        <v>43921</v>
      </c>
    </row>
    <row r="7150" spans="14:25">
      <c r="N7150" s="42">
        <v>43866</v>
      </c>
      <c r="O7150" t="s">
        <v>328</v>
      </c>
      <c r="P7150" s="42">
        <v>43866</v>
      </c>
      <c r="Q7150" t="s">
        <v>328</v>
      </c>
      <c r="R7150" t="s">
        <v>329</v>
      </c>
      <c r="S7150" t="s">
        <v>323</v>
      </c>
      <c r="T7150">
        <v>7.6</v>
      </c>
      <c r="W7150" t="s">
        <v>330</v>
      </c>
      <c r="Y7150" s="42">
        <v>43879</v>
      </c>
    </row>
    <row r="7151" spans="14:25">
      <c r="N7151" s="42">
        <v>43865</v>
      </c>
      <c r="O7151" t="s">
        <v>333</v>
      </c>
      <c r="P7151" s="42">
        <v>43865</v>
      </c>
      <c r="Q7151" t="s">
        <v>333</v>
      </c>
      <c r="R7151" t="s">
        <v>329</v>
      </c>
      <c r="S7151" t="s">
        <v>323</v>
      </c>
      <c r="T7151">
        <v>7.6</v>
      </c>
      <c r="W7151" t="s">
        <v>330</v>
      </c>
      <c r="Y7151" s="42">
        <v>43865</v>
      </c>
    </row>
    <row r="7152" spans="14:25">
      <c r="N7152" s="42">
        <v>43832</v>
      </c>
      <c r="O7152" t="s">
        <v>324</v>
      </c>
      <c r="P7152" s="42">
        <v>43832</v>
      </c>
      <c r="Q7152" t="s">
        <v>324</v>
      </c>
      <c r="R7152" t="s">
        <v>320</v>
      </c>
      <c r="S7152" t="s">
        <v>323</v>
      </c>
      <c r="T7152">
        <v>7.6</v>
      </c>
      <c r="Y7152" s="42">
        <v>43837</v>
      </c>
    </row>
    <row r="7153" spans="1:25">
      <c r="N7153" s="42">
        <v>43830</v>
      </c>
      <c r="O7153" t="s">
        <v>333</v>
      </c>
      <c r="P7153" s="42">
        <v>43830</v>
      </c>
      <c r="Q7153" t="s">
        <v>333</v>
      </c>
      <c r="R7153" t="s">
        <v>320</v>
      </c>
      <c r="S7153" t="s">
        <v>323</v>
      </c>
      <c r="T7153">
        <v>7.6</v>
      </c>
      <c r="Y7153" s="42">
        <v>43837</v>
      </c>
    </row>
    <row r="7154" spans="1:25">
      <c r="N7154" s="42">
        <v>43829</v>
      </c>
      <c r="O7154" t="s">
        <v>345</v>
      </c>
      <c r="P7154" s="42">
        <v>43829</v>
      </c>
      <c r="Q7154" t="s">
        <v>345</v>
      </c>
      <c r="R7154" t="s">
        <v>320</v>
      </c>
      <c r="S7154" t="s">
        <v>323</v>
      </c>
      <c r="T7154">
        <v>7.6</v>
      </c>
      <c r="Y7154" s="42">
        <v>43837</v>
      </c>
    </row>
    <row r="7155" spans="1:25">
      <c r="N7155" s="42">
        <v>43828</v>
      </c>
      <c r="O7155" t="s">
        <v>344</v>
      </c>
      <c r="P7155" s="42">
        <v>43828</v>
      </c>
      <c r="Q7155" t="s">
        <v>344</v>
      </c>
      <c r="R7155" t="s">
        <v>320</v>
      </c>
      <c r="S7155" t="s">
        <v>323</v>
      </c>
      <c r="T7155">
        <v>7.6</v>
      </c>
      <c r="Y7155" s="42">
        <v>43837</v>
      </c>
    </row>
    <row r="7156" spans="1:25">
      <c r="N7156" s="42">
        <v>43746</v>
      </c>
      <c r="O7156" t="s">
        <v>333</v>
      </c>
      <c r="P7156" s="42">
        <v>43746</v>
      </c>
      <c r="Q7156" t="s">
        <v>333</v>
      </c>
      <c r="R7156" t="s">
        <v>329</v>
      </c>
      <c r="S7156" t="s">
        <v>323</v>
      </c>
      <c r="T7156">
        <v>7.6</v>
      </c>
      <c r="W7156" t="s">
        <v>330</v>
      </c>
      <c r="Y7156" s="42">
        <v>43753</v>
      </c>
    </row>
    <row r="7157" spans="1:25">
      <c r="N7157" s="42">
        <v>43640</v>
      </c>
      <c r="O7157" t="s">
        <v>345</v>
      </c>
      <c r="P7157" s="42">
        <v>43641</v>
      </c>
      <c r="Q7157" t="s">
        <v>333</v>
      </c>
      <c r="R7157" t="s">
        <v>329</v>
      </c>
      <c r="S7157" t="s">
        <v>323</v>
      </c>
      <c r="T7157">
        <v>15.2</v>
      </c>
      <c r="W7157" t="s">
        <v>330</v>
      </c>
      <c r="Y7157" s="42">
        <v>43641</v>
      </c>
    </row>
    <row r="7158" spans="1:25">
      <c r="A7158">
        <v>18871</v>
      </c>
      <c r="B7158" t="s">
        <v>428</v>
      </c>
      <c r="C7158" t="s">
        <v>320</v>
      </c>
      <c r="D7158" t="s">
        <v>336</v>
      </c>
      <c r="E7158" t="s">
        <v>337</v>
      </c>
      <c r="F7158">
        <v>1</v>
      </c>
      <c r="G7158" s="42">
        <v>45011</v>
      </c>
      <c r="H7158">
        <v>152</v>
      </c>
      <c r="I7158">
        <v>18.8</v>
      </c>
      <c r="J7158">
        <v>142.83840000000001</v>
      </c>
      <c r="K7158">
        <v>161.63839999999999</v>
      </c>
      <c r="L7158" t="s">
        <v>323</v>
      </c>
      <c r="M7158" s="43">
        <v>0.13263888888888889</v>
      </c>
      <c r="N7158" s="42">
        <v>44944</v>
      </c>
      <c r="O7158" t="s">
        <v>328</v>
      </c>
      <c r="P7158" s="42">
        <v>44953</v>
      </c>
      <c r="Q7158" t="s">
        <v>346</v>
      </c>
      <c r="R7158" t="s">
        <v>320</v>
      </c>
      <c r="S7158" t="s">
        <v>323</v>
      </c>
      <c r="T7158">
        <v>53.2</v>
      </c>
      <c r="U7158">
        <v>7.6</v>
      </c>
      <c r="V7158">
        <v>0</v>
      </c>
      <c r="Y7158" s="42">
        <v>44957</v>
      </c>
    </row>
    <row r="7159" spans="1:25">
      <c r="C7159" t="s">
        <v>325</v>
      </c>
      <c r="D7159" t="s">
        <v>352</v>
      </c>
      <c r="E7159" t="s">
        <v>353</v>
      </c>
      <c r="F7159">
        <v>1</v>
      </c>
      <c r="G7159" s="42">
        <v>47203</v>
      </c>
      <c r="H7159">
        <v>329.34030000000001</v>
      </c>
      <c r="I7159">
        <v>0</v>
      </c>
      <c r="J7159">
        <v>129.7312</v>
      </c>
      <c r="K7159">
        <v>129.7312</v>
      </c>
      <c r="L7159" t="s">
        <v>323</v>
      </c>
      <c r="N7159" s="42">
        <v>44930</v>
      </c>
      <c r="O7159" t="s">
        <v>328</v>
      </c>
      <c r="P7159" s="42">
        <v>44943</v>
      </c>
      <c r="Q7159" t="s">
        <v>333</v>
      </c>
      <c r="R7159" t="s">
        <v>320</v>
      </c>
      <c r="S7159" t="s">
        <v>323</v>
      </c>
      <c r="T7159">
        <v>76</v>
      </c>
      <c r="U7159">
        <v>0</v>
      </c>
      <c r="V7159">
        <v>0</v>
      </c>
      <c r="Y7159" s="42">
        <v>44943</v>
      </c>
    </row>
    <row r="7160" spans="1:25">
      <c r="C7160" t="s">
        <v>329</v>
      </c>
      <c r="D7160" t="s">
        <v>342</v>
      </c>
      <c r="E7160" t="s">
        <v>343</v>
      </c>
      <c r="F7160">
        <v>1</v>
      </c>
      <c r="G7160" s="42">
        <v>45011</v>
      </c>
      <c r="H7160">
        <v>76</v>
      </c>
      <c r="I7160">
        <v>57.2</v>
      </c>
      <c r="J7160">
        <v>71.419200000000004</v>
      </c>
      <c r="K7160">
        <v>128.61920000000001</v>
      </c>
      <c r="L7160" t="s">
        <v>323</v>
      </c>
      <c r="N7160" s="42">
        <v>44916</v>
      </c>
      <c r="O7160" t="s">
        <v>328</v>
      </c>
      <c r="P7160" s="42">
        <v>44929</v>
      </c>
      <c r="Q7160" t="s">
        <v>333</v>
      </c>
      <c r="R7160" t="s">
        <v>320</v>
      </c>
      <c r="S7160" t="s">
        <v>323</v>
      </c>
      <c r="T7160">
        <v>53.2</v>
      </c>
      <c r="U7160">
        <v>22.8</v>
      </c>
      <c r="V7160">
        <v>0</v>
      </c>
      <c r="Y7160" s="42">
        <v>44929</v>
      </c>
    </row>
    <row r="7161" spans="1:25">
      <c r="N7161" s="42">
        <v>44910</v>
      </c>
      <c r="O7161" t="s">
        <v>324</v>
      </c>
      <c r="P7161" s="42">
        <v>44915</v>
      </c>
      <c r="Q7161" t="s">
        <v>333</v>
      </c>
      <c r="R7161" t="s">
        <v>320</v>
      </c>
      <c r="S7161" t="s">
        <v>323</v>
      </c>
      <c r="T7161">
        <v>30.4</v>
      </c>
      <c r="U7161">
        <v>0</v>
      </c>
      <c r="V7161">
        <v>0</v>
      </c>
      <c r="Y7161" s="42">
        <v>44915</v>
      </c>
    </row>
    <row r="7162" spans="1:25">
      <c r="N7162" s="42">
        <v>44837</v>
      </c>
      <c r="O7162" t="s">
        <v>345</v>
      </c>
      <c r="P7162" s="42">
        <v>44837</v>
      </c>
      <c r="Q7162" t="s">
        <v>345</v>
      </c>
      <c r="R7162" t="s">
        <v>320</v>
      </c>
      <c r="S7162" t="s">
        <v>323</v>
      </c>
      <c r="U7162">
        <v>7.6</v>
      </c>
      <c r="Y7162" s="42">
        <v>44845</v>
      </c>
    </row>
    <row r="7163" spans="1:25">
      <c r="N7163" s="42">
        <v>44826</v>
      </c>
      <c r="O7163" t="s">
        <v>324</v>
      </c>
      <c r="P7163" s="42">
        <v>44826</v>
      </c>
      <c r="Q7163" t="s">
        <v>324</v>
      </c>
      <c r="R7163" t="s">
        <v>320</v>
      </c>
      <c r="S7163" t="s">
        <v>323</v>
      </c>
      <c r="U7163">
        <v>7.6</v>
      </c>
      <c r="Y7163" s="42">
        <v>44831</v>
      </c>
    </row>
    <row r="7164" spans="1:25">
      <c r="N7164" s="42">
        <v>44762</v>
      </c>
      <c r="O7164" t="s">
        <v>328</v>
      </c>
      <c r="P7164" s="42">
        <v>44762</v>
      </c>
      <c r="Q7164" t="s">
        <v>328</v>
      </c>
      <c r="R7164" t="s">
        <v>329</v>
      </c>
      <c r="S7164" t="s">
        <v>323</v>
      </c>
      <c r="T7164">
        <v>7.6</v>
      </c>
      <c r="U7164">
        <v>0</v>
      </c>
      <c r="W7164" t="s">
        <v>339</v>
      </c>
      <c r="Y7164" s="42">
        <v>44775</v>
      </c>
    </row>
    <row r="7165" spans="1:25">
      <c r="N7165" s="42">
        <v>44761</v>
      </c>
      <c r="O7165" t="s">
        <v>333</v>
      </c>
      <c r="P7165" s="42">
        <v>44761</v>
      </c>
      <c r="Q7165" t="s">
        <v>333</v>
      </c>
      <c r="R7165" t="s">
        <v>329</v>
      </c>
      <c r="S7165" t="s">
        <v>323</v>
      </c>
      <c r="T7165">
        <v>7.6</v>
      </c>
      <c r="U7165">
        <v>0</v>
      </c>
      <c r="W7165" t="s">
        <v>339</v>
      </c>
      <c r="Y7165" s="42">
        <v>44761</v>
      </c>
    </row>
    <row r="7166" spans="1:25">
      <c r="N7166" s="42">
        <v>44753</v>
      </c>
      <c r="O7166" t="s">
        <v>345</v>
      </c>
      <c r="P7166" s="42">
        <v>44755</v>
      </c>
      <c r="Q7166" t="s">
        <v>328</v>
      </c>
      <c r="R7166" t="s">
        <v>320</v>
      </c>
      <c r="S7166" t="s">
        <v>323</v>
      </c>
      <c r="T7166">
        <v>22.8</v>
      </c>
      <c r="V7166">
        <v>0</v>
      </c>
      <c r="Y7166" s="42">
        <v>44761</v>
      </c>
    </row>
    <row r="7167" spans="1:25">
      <c r="N7167" s="42">
        <v>44725</v>
      </c>
      <c r="O7167" t="s">
        <v>345</v>
      </c>
      <c r="P7167" s="42">
        <v>44725</v>
      </c>
      <c r="Q7167" t="s">
        <v>345</v>
      </c>
      <c r="R7167" t="s">
        <v>320</v>
      </c>
      <c r="S7167" t="s">
        <v>323</v>
      </c>
      <c r="U7167">
        <v>7.6</v>
      </c>
      <c r="Y7167" s="42">
        <v>44733</v>
      </c>
    </row>
    <row r="7168" spans="1:25">
      <c r="N7168" s="42">
        <v>44708</v>
      </c>
      <c r="O7168" t="s">
        <v>346</v>
      </c>
      <c r="P7168" s="42">
        <v>44708</v>
      </c>
      <c r="Q7168" t="s">
        <v>346</v>
      </c>
      <c r="R7168" t="s">
        <v>329</v>
      </c>
      <c r="S7168" t="s">
        <v>323</v>
      </c>
      <c r="T7168">
        <v>7.6</v>
      </c>
      <c r="W7168" t="s">
        <v>339</v>
      </c>
      <c r="Y7168" s="42">
        <v>44719</v>
      </c>
    </row>
    <row r="7169" spans="14:25">
      <c r="N7169" s="42">
        <v>44692</v>
      </c>
      <c r="O7169" t="s">
        <v>328</v>
      </c>
      <c r="P7169" s="42">
        <v>44694</v>
      </c>
      <c r="Q7169" t="s">
        <v>346</v>
      </c>
      <c r="R7169" t="s">
        <v>329</v>
      </c>
      <c r="S7169" t="s">
        <v>323</v>
      </c>
      <c r="T7169">
        <v>19.8</v>
      </c>
      <c r="U7169">
        <v>0</v>
      </c>
      <c r="W7169" t="s">
        <v>339</v>
      </c>
      <c r="Y7169" s="42">
        <v>44719</v>
      </c>
    </row>
    <row r="7170" spans="14:25">
      <c r="N7170" s="42">
        <v>44687</v>
      </c>
      <c r="O7170" t="s">
        <v>346</v>
      </c>
      <c r="P7170" s="42">
        <v>44691</v>
      </c>
      <c r="Q7170" t="s">
        <v>333</v>
      </c>
      <c r="R7170" t="s">
        <v>329</v>
      </c>
      <c r="S7170" t="s">
        <v>323</v>
      </c>
      <c r="T7170">
        <v>22.8</v>
      </c>
      <c r="U7170">
        <v>0</v>
      </c>
      <c r="W7170" t="s">
        <v>339</v>
      </c>
      <c r="Y7170" s="42">
        <v>44719</v>
      </c>
    </row>
    <row r="7171" spans="14:25">
      <c r="N7171" s="42">
        <v>44676</v>
      </c>
      <c r="O7171" t="s">
        <v>345</v>
      </c>
      <c r="P7171" s="42">
        <v>44676</v>
      </c>
      <c r="Q7171" t="s">
        <v>345</v>
      </c>
      <c r="R7171" t="s">
        <v>320</v>
      </c>
      <c r="S7171" t="s">
        <v>323</v>
      </c>
      <c r="U7171">
        <v>22.8</v>
      </c>
      <c r="Y7171" s="42">
        <v>44677</v>
      </c>
    </row>
    <row r="7172" spans="14:25">
      <c r="N7172" s="42">
        <v>44665</v>
      </c>
      <c r="O7172" t="s">
        <v>324</v>
      </c>
      <c r="P7172" s="42">
        <v>44670</v>
      </c>
      <c r="Q7172" t="s">
        <v>333</v>
      </c>
      <c r="R7172" t="s">
        <v>320</v>
      </c>
      <c r="S7172" t="s">
        <v>323</v>
      </c>
      <c r="T7172">
        <v>15.2</v>
      </c>
      <c r="Y7172" s="42">
        <v>44677</v>
      </c>
    </row>
    <row r="7173" spans="14:25">
      <c r="N7173" s="42">
        <v>44638</v>
      </c>
      <c r="O7173" t="s">
        <v>346</v>
      </c>
      <c r="P7173" s="42">
        <v>44641</v>
      </c>
      <c r="Q7173" t="s">
        <v>345</v>
      </c>
      <c r="R7173" t="s">
        <v>320</v>
      </c>
      <c r="S7173" t="s">
        <v>323</v>
      </c>
      <c r="T7173">
        <v>15.2</v>
      </c>
      <c r="V7173">
        <v>0</v>
      </c>
      <c r="Y7173" s="42">
        <v>44649</v>
      </c>
    </row>
    <row r="7174" spans="14:25">
      <c r="N7174" s="42">
        <v>44588</v>
      </c>
      <c r="O7174" t="s">
        <v>324</v>
      </c>
      <c r="P7174" s="42">
        <v>44589</v>
      </c>
      <c r="Q7174" t="s">
        <v>346</v>
      </c>
      <c r="R7174" t="s">
        <v>320</v>
      </c>
      <c r="S7174" t="s">
        <v>323</v>
      </c>
      <c r="T7174">
        <v>15.2</v>
      </c>
      <c r="V7174">
        <v>0</v>
      </c>
      <c r="Y7174" s="42">
        <v>44593</v>
      </c>
    </row>
    <row r="7175" spans="14:25">
      <c r="N7175" s="42">
        <v>44587</v>
      </c>
      <c r="O7175" t="s">
        <v>328</v>
      </c>
      <c r="P7175" s="42">
        <v>44587</v>
      </c>
      <c r="Q7175" t="s">
        <v>328</v>
      </c>
      <c r="R7175" t="s">
        <v>320</v>
      </c>
      <c r="S7175" t="s">
        <v>323</v>
      </c>
      <c r="U7175">
        <v>7.6</v>
      </c>
      <c r="Y7175" s="42">
        <v>44593</v>
      </c>
    </row>
    <row r="7176" spans="14:25">
      <c r="N7176" s="42">
        <v>44564</v>
      </c>
      <c r="O7176" t="s">
        <v>345</v>
      </c>
      <c r="P7176" s="42">
        <v>44564</v>
      </c>
      <c r="Q7176" t="s">
        <v>345</v>
      </c>
      <c r="R7176" t="s">
        <v>320</v>
      </c>
      <c r="S7176" t="s">
        <v>323</v>
      </c>
      <c r="U7176">
        <v>7.6</v>
      </c>
      <c r="Y7176" s="42">
        <v>44565</v>
      </c>
    </row>
    <row r="7177" spans="14:25">
      <c r="N7177" s="42">
        <v>44559</v>
      </c>
      <c r="O7177" t="s">
        <v>328</v>
      </c>
      <c r="P7177" s="42">
        <v>44561</v>
      </c>
      <c r="Q7177" t="s">
        <v>346</v>
      </c>
      <c r="R7177" t="s">
        <v>320</v>
      </c>
      <c r="S7177" t="s">
        <v>323</v>
      </c>
      <c r="T7177">
        <v>22.8</v>
      </c>
      <c r="V7177">
        <v>0</v>
      </c>
      <c r="Y7177" s="42">
        <v>44565</v>
      </c>
    </row>
    <row r="7178" spans="14:25">
      <c r="N7178" s="42">
        <v>44558</v>
      </c>
      <c r="O7178" t="s">
        <v>333</v>
      </c>
      <c r="P7178" s="42">
        <v>44558</v>
      </c>
      <c r="Q7178" t="s">
        <v>333</v>
      </c>
      <c r="R7178" t="s">
        <v>320</v>
      </c>
      <c r="S7178" t="s">
        <v>323</v>
      </c>
      <c r="U7178">
        <v>7.6</v>
      </c>
      <c r="Y7178" s="42">
        <v>44565</v>
      </c>
    </row>
    <row r="7179" spans="14:25">
      <c r="N7179" s="42">
        <v>44557</v>
      </c>
      <c r="O7179" t="s">
        <v>345</v>
      </c>
      <c r="P7179" s="42">
        <v>44557</v>
      </c>
      <c r="Q7179" t="s">
        <v>345</v>
      </c>
      <c r="R7179" t="s">
        <v>320</v>
      </c>
      <c r="S7179" t="s">
        <v>323</v>
      </c>
      <c r="U7179">
        <v>7.6</v>
      </c>
      <c r="Y7179" s="42">
        <v>44565</v>
      </c>
    </row>
    <row r="7180" spans="14:25">
      <c r="N7180" s="42">
        <v>44540</v>
      </c>
      <c r="O7180" t="s">
        <v>346</v>
      </c>
      <c r="P7180" s="42">
        <v>44540</v>
      </c>
      <c r="Q7180" t="s">
        <v>346</v>
      </c>
      <c r="R7180" t="s">
        <v>329</v>
      </c>
      <c r="S7180" t="s">
        <v>323</v>
      </c>
      <c r="T7180">
        <v>7.6</v>
      </c>
      <c r="W7180" t="s">
        <v>339</v>
      </c>
      <c r="Y7180" s="42">
        <v>44551</v>
      </c>
    </row>
    <row r="7181" spans="14:25">
      <c r="N7181" s="42">
        <v>44519</v>
      </c>
      <c r="O7181" t="s">
        <v>346</v>
      </c>
      <c r="P7181" s="42">
        <v>44519</v>
      </c>
      <c r="Q7181" t="s">
        <v>346</v>
      </c>
      <c r="R7181" t="s">
        <v>329</v>
      </c>
      <c r="S7181" t="s">
        <v>323</v>
      </c>
      <c r="T7181">
        <v>7.6</v>
      </c>
      <c r="W7181" t="s">
        <v>339</v>
      </c>
      <c r="Y7181" s="42">
        <v>44523</v>
      </c>
    </row>
    <row r="7182" spans="14:25">
      <c r="N7182" s="42">
        <v>44473</v>
      </c>
      <c r="O7182" t="s">
        <v>345</v>
      </c>
      <c r="P7182" s="42">
        <v>44473</v>
      </c>
      <c r="Q7182" t="s">
        <v>345</v>
      </c>
      <c r="R7182" t="s">
        <v>320</v>
      </c>
      <c r="S7182" t="s">
        <v>323</v>
      </c>
      <c r="U7182">
        <v>7.6</v>
      </c>
      <c r="Y7182" s="42">
        <v>44481</v>
      </c>
    </row>
    <row r="7183" spans="14:25">
      <c r="N7183" s="42">
        <v>44384</v>
      </c>
      <c r="O7183" t="s">
        <v>328</v>
      </c>
      <c r="P7183" s="42">
        <v>44386</v>
      </c>
      <c r="Q7183" t="s">
        <v>346</v>
      </c>
      <c r="R7183" t="s">
        <v>320</v>
      </c>
      <c r="S7183" t="s">
        <v>323</v>
      </c>
      <c r="T7183">
        <v>22.8</v>
      </c>
      <c r="V7183">
        <v>0</v>
      </c>
      <c r="Y7183" s="42">
        <v>44397</v>
      </c>
    </row>
    <row r="7184" spans="14:25">
      <c r="N7184" s="42">
        <v>44361</v>
      </c>
      <c r="O7184" t="s">
        <v>345</v>
      </c>
      <c r="P7184" s="42">
        <v>44361</v>
      </c>
      <c r="Q7184" t="s">
        <v>345</v>
      </c>
      <c r="R7184" t="s">
        <v>320</v>
      </c>
      <c r="S7184" t="s">
        <v>323</v>
      </c>
      <c r="U7184">
        <v>7.6</v>
      </c>
      <c r="Y7184" s="42">
        <v>44369</v>
      </c>
    </row>
    <row r="7185" spans="14:25">
      <c r="N7185" s="42">
        <v>44335</v>
      </c>
      <c r="O7185" t="s">
        <v>328</v>
      </c>
      <c r="P7185" s="42">
        <v>44335</v>
      </c>
      <c r="Q7185" t="s">
        <v>328</v>
      </c>
      <c r="R7185" t="s">
        <v>329</v>
      </c>
      <c r="S7185" t="s">
        <v>323</v>
      </c>
      <c r="T7185">
        <v>7.6</v>
      </c>
      <c r="W7185" t="s">
        <v>339</v>
      </c>
      <c r="Y7185" s="42">
        <v>44341</v>
      </c>
    </row>
    <row r="7186" spans="14:25">
      <c r="N7186" s="42">
        <v>44306</v>
      </c>
      <c r="O7186" t="s">
        <v>333</v>
      </c>
      <c r="P7186" s="42">
        <v>44308</v>
      </c>
      <c r="Q7186" t="s">
        <v>324</v>
      </c>
      <c r="R7186" t="s">
        <v>329</v>
      </c>
      <c r="S7186" t="s">
        <v>323</v>
      </c>
      <c r="T7186">
        <v>19</v>
      </c>
      <c r="W7186" t="s">
        <v>330</v>
      </c>
      <c r="Y7186" s="42">
        <v>44313</v>
      </c>
    </row>
    <row r="7187" spans="14:25">
      <c r="N7187" s="42">
        <v>44302</v>
      </c>
      <c r="O7187" t="s">
        <v>346</v>
      </c>
      <c r="P7187" s="42">
        <v>44302</v>
      </c>
      <c r="Q7187" t="s">
        <v>346</v>
      </c>
      <c r="R7187" t="s">
        <v>320</v>
      </c>
      <c r="S7187" t="s">
        <v>323</v>
      </c>
      <c r="T7187">
        <v>7.6</v>
      </c>
      <c r="V7187">
        <v>0</v>
      </c>
      <c r="Y7187" s="42">
        <v>44313</v>
      </c>
    </row>
    <row r="7188" spans="14:25">
      <c r="N7188" s="42">
        <v>44295</v>
      </c>
      <c r="O7188" t="s">
        <v>346</v>
      </c>
      <c r="P7188" s="42">
        <v>44295</v>
      </c>
      <c r="Q7188" t="s">
        <v>346</v>
      </c>
      <c r="R7188" t="s">
        <v>320</v>
      </c>
      <c r="S7188" t="s">
        <v>323</v>
      </c>
      <c r="T7188">
        <v>7.6</v>
      </c>
      <c r="V7188">
        <v>0</v>
      </c>
      <c r="Y7188" s="42">
        <v>44299</v>
      </c>
    </row>
    <row r="7189" spans="14:25">
      <c r="N7189" s="42">
        <v>44291</v>
      </c>
      <c r="O7189" t="s">
        <v>345</v>
      </c>
      <c r="P7189" s="42">
        <v>44291</v>
      </c>
      <c r="Q7189" t="s">
        <v>345</v>
      </c>
      <c r="R7189" t="s">
        <v>320</v>
      </c>
      <c r="S7189" t="s">
        <v>323</v>
      </c>
      <c r="U7189">
        <v>7.6</v>
      </c>
      <c r="Y7189" s="42">
        <v>44299</v>
      </c>
    </row>
    <row r="7190" spans="14:25">
      <c r="N7190" s="42">
        <v>44288</v>
      </c>
      <c r="O7190" t="s">
        <v>346</v>
      </c>
      <c r="P7190" s="42">
        <v>44288</v>
      </c>
      <c r="Q7190" t="s">
        <v>346</v>
      </c>
      <c r="R7190" t="s">
        <v>320</v>
      </c>
      <c r="S7190" t="s">
        <v>323</v>
      </c>
      <c r="U7190">
        <v>7.6</v>
      </c>
      <c r="Y7190" s="42">
        <v>44299</v>
      </c>
    </row>
    <row r="7191" spans="14:25">
      <c r="N7191" s="42">
        <v>44222</v>
      </c>
      <c r="O7191" t="s">
        <v>333</v>
      </c>
      <c r="P7191" s="42">
        <v>44222</v>
      </c>
      <c r="Q7191" t="s">
        <v>333</v>
      </c>
      <c r="R7191" t="s">
        <v>320</v>
      </c>
      <c r="S7191" t="s">
        <v>323</v>
      </c>
      <c r="U7191">
        <v>7.6</v>
      </c>
      <c r="Y7191" s="42">
        <v>44229</v>
      </c>
    </row>
    <row r="7192" spans="14:25">
      <c r="N7192" s="42">
        <v>44221</v>
      </c>
      <c r="O7192" t="s">
        <v>345</v>
      </c>
      <c r="P7192" s="42">
        <v>44221</v>
      </c>
      <c r="Q7192" t="s">
        <v>345</v>
      </c>
      <c r="R7192" t="s">
        <v>320</v>
      </c>
      <c r="S7192" t="s">
        <v>323</v>
      </c>
      <c r="T7192">
        <v>7.6</v>
      </c>
      <c r="V7192">
        <v>0</v>
      </c>
      <c r="Y7192" s="42">
        <v>44229</v>
      </c>
    </row>
    <row r="7193" spans="14:25">
      <c r="N7193" s="42">
        <v>44208</v>
      </c>
      <c r="O7193" t="s">
        <v>333</v>
      </c>
      <c r="P7193" s="42">
        <v>44209</v>
      </c>
      <c r="Q7193" t="s">
        <v>328</v>
      </c>
      <c r="R7193" t="s">
        <v>347</v>
      </c>
      <c r="S7193" t="s">
        <v>323</v>
      </c>
      <c r="T7193">
        <v>15.2</v>
      </c>
      <c r="W7193" t="s">
        <v>339</v>
      </c>
      <c r="Y7193" s="42">
        <v>44215</v>
      </c>
    </row>
    <row r="7194" spans="14:25">
      <c r="N7194" s="42">
        <v>44203</v>
      </c>
      <c r="O7194" t="s">
        <v>324</v>
      </c>
      <c r="P7194" s="42">
        <v>44204</v>
      </c>
      <c r="Q7194" t="s">
        <v>346</v>
      </c>
      <c r="R7194" t="s">
        <v>320</v>
      </c>
      <c r="S7194" t="s">
        <v>323</v>
      </c>
      <c r="T7194">
        <v>15.2</v>
      </c>
      <c r="V7194">
        <v>0</v>
      </c>
      <c r="Y7194" s="42">
        <v>44215</v>
      </c>
    </row>
    <row r="7195" spans="14:25">
      <c r="N7195" s="42">
        <v>44197</v>
      </c>
      <c r="O7195" t="s">
        <v>346</v>
      </c>
      <c r="P7195" s="42">
        <v>44197</v>
      </c>
      <c r="Q7195" t="s">
        <v>346</v>
      </c>
      <c r="R7195" t="s">
        <v>320</v>
      </c>
      <c r="S7195" t="s">
        <v>323</v>
      </c>
      <c r="U7195">
        <v>7.6</v>
      </c>
      <c r="Y7195" s="42">
        <v>44201</v>
      </c>
    </row>
    <row r="7196" spans="14:25">
      <c r="N7196" s="42">
        <v>44193</v>
      </c>
      <c r="O7196" t="s">
        <v>345</v>
      </c>
      <c r="P7196" s="42">
        <v>44193</v>
      </c>
      <c r="Q7196" t="s">
        <v>345</v>
      </c>
      <c r="R7196" t="s">
        <v>320</v>
      </c>
      <c r="S7196" t="s">
        <v>323</v>
      </c>
      <c r="U7196">
        <v>7.6</v>
      </c>
      <c r="Y7196" s="42">
        <v>44201</v>
      </c>
    </row>
    <row r="7197" spans="14:25">
      <c r="N7197" s="42">
        <v>44190</v>
      </c>
      <c r="O7197" t="s">
        <v>346</v>
      </c>
      <c r="P7197" s="42">
        <v>44190</v>
      </c>
      <c r="Q7197" t="s">
        <v>346</v>
      </c>
      <c r="R7197" t="s">
        <v>320</v>
      </c>
      <c r="S7197" t="s">
        <v>323</v>
      </c>
      <c r="U7197">
        <v>7.6</v>
      </c>
      <c r="Y7197" s="42">
        <v>44201</v>
      </c>
    </row>
    <row r="7198" spans="14:25">
      <c r="N7198" s="42">
        <v>44152</v>
      </c>
      <c r="O7198" t="s">
        <v>333</v>
      </c>
      <c r="P7198" s="42">
        <v>44152</v>
      </c>
      <c r="Q7198" t="s">
        <v>333</v>
      </c>
      <c r="R7198" t="s">
        <v>347</v>
      </c>
      <c r="S7198" t="s">
        <v>323</v>
      </c>
      <c r="T7198">
        <v>7.6</v>
      </c>
      <c r="W7198" t="s">
        <v>339</v>
      </c>
      <c r="Y7198" s="42">
        <v>44159</v>
      </c>
    </row>
    <row r="7199" spans="14:25">
      <c r="N7199" s="42">
        <v>44132</v>
      </c>
      <c r="O7199" t="s">
        <v>328</v>
      </c>
      <c r="P7199" s="42">
        <v>44133</v>
      </c>
      <c r="Q7199" t="s">
        <v>324</v>
      </c>
      <c r="R7199" t="s">
        <v>347</v>
      </c>
      <c r="S7199" t="s">
        <v>323</v>
      </c>
      <c r="T7199">
        <v>11.4</v>
      </c>
      <c r="W7199" t="s">
        <v>339</v>
      </c>
      <c r="Y7199" s="42">
        <v>44145</v>
      </c>
    </row>
    <row r="7200" spans="14:25">
      <c r="N7200" s="42">
        <v>44109</v>
      </c>
      <c r="O7200" t="s">
        <v>345</v>
      </c>
      <c r="P7200" s="42">
        <v>44109</v>
      </c>
      <c r="Q7200" t="s">
        <v>345</v>
      </c>
      <c r="R7200" t="s">
        <v>320</v>
      </c>
      <c r="S7200" t="s">
        <v>323</v>
      </c>
      <c r="U7200">
        <v>7.6</v>
      </c>
      <c r="Y7200" s="42">
        <v>44117</v>
      </c>
    </row>
    <row r="7201" spans="14:25">
      <c r="N7201" s="42">
        <v>44092</v>
      </c>
      <c r="O7201" t="s">
        <v>346</v>
      </c>
      <c r="P7201" s="42">
        <v>44092</v>
      </c>
      <c r="Q7201" t="s">
        <v>346</v>
      </c>
      <c r="R7201" t="s">
        <v>320</v>
      </c>
      <c r="S7201" t="s">
        <v>323</v>
      </c>
      <c r="T7201">
        <v>7.6</v>
      </c>
      <c r="V7201">
        <v>0</v>
      </c>
      <c r="Y7201" s="42">
        <v>44103</v>
      </c>
    </row>
    <row r="7202" spans="14:25">
      <c r="N7202" s="42">
        <v>44019</v>
      </c>
      <c r="O7202" t="s">
        <v>333</v>
      </c>
      <c r="P7202" s="42">
        <v>44019</v>
      </c>
      <c r="Q7202" t="s">
        <v>333</v>
      </c>
      <c r="R7202" t="s">
        <v>320</v>
      </c>
      <c r="S7202" t="s">
        <v>323</v>
      </c>
      <c r="T7202">
        <v>7.6</v>
      </c>
      <c r="V7202">
        <v>0</v>
      </c>
      <c r="Y7202" s="42">
        <v>44019</v>
      </c>
    </row>
    <row r="7203" spans="14:25">
      <c r="N7203" s="42">
        <v>43990</v>
      </c>
      <c r="O7203" t="s">
        <v>345</v>
      </c>
      <c r="P7203" s="42">
        <v>43990</v>
      </c>
      <c r="Q7203" t="s">
        <v>345</v>
      </c>
      <c r="R7203" t="s">
        <v>320</v>
      </c>
      <c r="S7203" t="s">
        <v>323</v>
      </c>
      <c r="T7203">
        <v>0</v>
      </c>
      <c r="U7203">
        <v>7.6</v>
      </c>
      <c r="Y7203" s="42">
        <v>43991</v>
      </c>
    </row>
    <row r="7204" spans="14:25">
      <c r="N7204" s="42">
        <v>43945</v>
      </c>
      <c r="O7204" t="s">
        <v>346</v>
      </c>
      <c r="P7204" s="42">
        <v>43948</v>
      </c>
      <c r="Q7204" t="s">
        <v>345</v>
      </c>
      <c r="R7204" t="s">
        <v>320</v>
      </c>
      <c r="S7204" t="s">
        <v>323</v>
      </c>
      <c r="T7204">
        <v>11.6</v>
      </c>
      <c r="V7204">
        <v>0</v>
      </c>
      <c r="Y7204" s="42">
        <v>43963</v>
      </c>
    </row>
    <row r="7205" spans="14:25">
      <c r="N7205" s="42">
        <v>43934</v>
      </c>
      <c r="O7205" t="s">
        <v>345</v>
      </c>
      <c r="P7205" s="42">
        <v>43934</v>
      </c>
      <c r="Q7205" t="s">
        <v>345</v>
      </c>
      <c r="R7205" t="s">
        <v>320</v>
      </c>
      <c r="S7205" t="s">
        <v>323</v>
      </c>
      <c r="T7205">
        <v>0</v>
      </c>
      <c r="U7205">
        <v>7.6</v>
      </c>
      <c r="Y7205" s="42">
        <v>43935</v>
      </c>
    </row>
    <row r="7206" spans="14:25">
      <c r="N7206" s="42">
        <v>43931</v>
      </c>
      <c r="O7206" t="s">
        <v>346</v>
      </c>
      <c r="P7206" s="42">
        <v>43931</v>
      </c>
      <c r="Q7206" t="s">
        <v>346</v>
      </c>
      <c r="R7206" t="s">
        <v>320</v>
      </c>
      <c r="S7206" t="s">
        <v>323</v>
      </c>
      <c r="T7206">
        <v>0</v>
      </c>
      <c r="U7206">
        <v>7.6</v>
      </c>
      <c r="Y7206" s="42">
        <v>43935</v>
      </c>
    </row>
    <row r="7207" spans="14:25">
      <c r="N7207" s="42">
        <v>43894</v>
      </c>
      <c r="O7207" t="s">
        <v>328</v>
      </c>
      <c r="P7207" s="42">
        <v>43894</v>
      </c>
      <c r="Q7207" t="s">
        <v>328</v>
      </c>
      <c r="R7207" t="s">
        <v>329</v>
      </c>
      <c r="S7207" t="s">
        <v>323</v>
      </c>
      <c r="T7207">
        <v>6.6</v>
      </c>
      <c r="W7207" t="s">
        <v>330</v>
      </c>
      <c r="Y7207" s="42">
        <v>43907</v>
      </c>
    </row>
    <row r="7208" spans="14:25">
      <c r="N7208" s="42">
        <v>43878</v>
      </c>
      <c r="O7208" t="s">
        <v>345</v>
      </c>
      <c r="P7208" s="42">
        <v>43878</v>
      </c>
      <c r="Q7208" t="s">
        <v>345</v>
      </c>
      <c r="R7208" t="s">
        <v>320</v>
      </c>
      <c r="S7208" t="s">
        <v>323</v>
      </c>
      <c r="T7208">
        <v>7.6</v>
      </c>
      <c r="Y7208" s="42">
        <v>43879</v>
      </c>
    </row>
    <row r="7209" spans="14:25">
      <c r="N7209" s="42">
        <v>43872</v>
      </c>
      <c r="O7209" t="s">
        <v>333</v>
      </c>
      <c r="P7209" s="42">
        <v>43872</v>
      </c>
      <c r="Q7209" t="s">
        <v>333</v>
      </c>
      <c r="R7209" t="s">
        <v>320</v>
      </c>
      <c r="S7209" t="s">
        <v>323</v>
      </c>
      <c r="T7209">
        <v>7.6</v>
      </c>
      <c r="V7209">
        <v>0</v>
      </c>
      <c r="Y7209" s="42">
        <v>43893</v>
      </c>
    </row>
    <row r="7210" spans="14:25">
      <c r="N7210" s="42">
        <v>43857</v>
      </c>
      <c r="O7210" t="s">
        <v>345</v>
      </c>
      <c r="P7210" s="42">
        <v>43857</v>
      </c>
      <c r="Q7210" t="s">
        <v>345</v>
      </c>
      <c r="R7210" t="s">
        <v>320</v>
      </c>
      <c r="S7210" t="s">
        <v>323</v>
      </c>
      <c r="T7210">
        <v>0</v>
      </c>
      <c r="U7210">
        <v>7.6</v>
      </c>
      <c r="Y7210" s="42">
        <v>43865</v>
      </c>
    </row>
    <row r="7211" spans="14:25">
      <c r="N7211" s="42">
        <v>43831</v>
      </c>
      <c r="O7211" t="s">
        <v>328</v>
      </c>
      <c r="P7211" s="42">
        <v>43831</v>
      </c>
      <c r="Q7211" t="s">
        <v>328</v>
      </c>
      <c r="R7211" t="s">
        <v>320</v>
      </c>
      <c r="S7211" t="s">
        <v>323</v>
      </c>
      <c r="T7211">
        <v>0</v>
      </c>
      <c r="U7211">
        <v>7.6</v>
      </c>
      <c r="Y7211" s="42">
        <v>43837</v>
      </c>
    </row>
    <row r="7212" spans="14:25">
      <c r="N7212" s="42">
        <v>43826</v>
      </c>
      <c r="O7212" t="s">
        <v>346</v>
      </c>
      <c r="P7212" s="42">
        <v>43826</v>
      </c>
      <c r="Q7212" t="s">
        <v>346</v>
      </c>
      <c r="R7212" t="s">
        <v>320</v>
      </c>
      <c r="S7212" t="s">
        <v>323</v>
      </c>
      <c r="T7212">
        <v>7.6</v>
      </c>
      <c r="V7212">
        <v>0</v>
      </c>
      <c r="Y7212" s="42">
        <v>43837</v>
      </c>
    </row>
    <row r="7213" spans="14:25">
      <c r="N7213" s="42">
        <v>43824</v>
      </c>
      <c r="O7213" t="s">
        <v>328</v>
      </c>
      <c r="P7213" s="42">
        <v>43825</v>
      </c>
      <c r="Q7213" t="s">
        <v>324</v>
      </c>
      <c r="R7213" t="s">
        <v>320</v>
      </c>
      <c r="S7213" t="s">
        <v>323</v>
      </c>
      <c r="T7213">
        <v>0</v>
      </c>
      <c r="U7213">
        <v>15.2</v>
      </c>
      <c r="Y7213" s="42">
        <v>43837</v>
      </c>
    </row>
    <row r="7214" spans="14:25">
      <c r="N7214" s="42">
        <v>43735</v>
      </c>
      <c r="O7214" t="s">
        <v>346</v>
      </c>
      <c r="P7214" s="42">
        <v>43735</v>
      </c>
      <c r="Q7214" t="s">
        <v>346</v>
      </c>
      <c r="R7214" t="s">
        <v>320</v>
      </c>
      <c r="S7214" t="s">
        <v>323</v>
      </c>
      <c r="T7214">
        <v>7.6</v>
      </c>
      <c r="V7214">
        <v>0</v>
      </c>
      <c r="Y7214" s="42">
        <v>43739</v>
      </c>
    </row>
    <row r="7215" spans="14:25">
      <c r="N7215" s="42">
        <v>43728</v>
      </c>
      <c r="O7215" t="s">
        <v>346</v>
      </c>
      <c r="P7215" s="42">
        <v>43731</v>
      </c>
      <c r="Q7215" t="s">
        <v>345</v>
      </c>
      <c r="R7215" t="s">
        <v>320</v>
      </c>
      <c r="S7215" t="s">
        <v>323</v>
      </c>
      <c r="T7215">
        <v>15.2</v>
      </c>
      <c r="V7215">
        <v>0</v>
      </c>
      <c r="Y7215" s="42">
        <v>43739</v>
      </c>
    </row>
    <row r="7216" spans="14:25">
      <c r="N7216" s="42">
        <v>43727</v>
      </c>
      <c r="O7216" t="s">
        <v>324</v>
      </c>
      <c r="P7216" s="42">
        <v>43727</v>
      </c>
      <c r="Q7216" t="s">
        <v>324</v>
      </c>
      <c r="R7216" t="s">
        <v>354</v>
      </c>
      <c r="S7216" t="s">
        <v>323</v>
      </c>
      <c r="T7216">
        <v>7.6</v>
      </c>
      <c r="W7216" t="s">
        <v>339</v>
      </c>
      <c r="Y7216" s="42">
        <v>43739</v>
      </c>
    </row>
    <row r="7217" spans="1:25">
      <c r="N7217" s="42">
        <v>43662</v>
      </c>
      <c r="O7217" t="s">
        <v>333</v>
      </c>
      <c r="P7217" s="42">
        <v>43663</v>
      </c>
      <c r="Q7217" t="s">
        <v>328</v>
      </c>
      <c r="R7217" t="s">
        <v>347</v>
      </c>
      <c r="S7217" t="s">
        <v>323</v>
      </c>
      <c r="T7217">
        <v>15.2</v>
      </c>
      <c r="W7217" t="s">
        <v>330</v>
      </c>
      <c r="X7217" t="s">
        <v>330</v>
      </c>
      <c r="Y7217" s="42">
        <v>43669</v>
      </c>
    </row>
    <row r="7218" spans="1:25">
      <c r="N7218" s="42">
        <v>43661</v>
      </c>
      <c r="O7218" t="s">
        <v>345</v>
      </c>
      <c r="P7218" s="42">
        <v>43661</v>
      </c>
      <c r="Q7218" t="s">
        <v>345</v>
      </c>
      <c r="R7218" t="s">
        <v>347</v>
      </c>
      <c r="S7218" t="s">
        <v>323</v>
      </c>
      <c r="T7218">
        <v>7.6</v>
      </c>
      <c r="W7218" t="s">
        <v>330</v>
      </c>
      <c r="X7218" t="s">
        <v>330</v>
      </c>
      <c r="Y7218" s="42">
        <v>43669</v>
      </c>
    </row>
    <row r="7219" spans="1:25">
      <c r="A7219">
        <v>18876</v>
      </c>
      <c r="B7219" t="s">
        <v>429</v>
      </c>
      <c r="C7219" t="s">
        <v>320</v>
      </c>
      <c r="D7219" t="s">
        <v>336</v>
      </c>
      <c r="E7219" t="s">
        <v>337</v>
      </c>
      <c r="F7219">
        <v>1</v>
      </c>
      <c r="G7219" s="42">
        <v>45045</v>
      </c>
      <c r="H7219">
        <v>152</v>
      </c>
      <c r="I7219">
        <v>-35.4</v>
      </c>
      <c r="J7219">
        <v>128.67949999999999</v>
      </c>
      <c r="K7219">
        <v>93.279499999999999</v>
      </c>
      <c r="L7219" t="s">
        <v>323</v>
      </c>
      <c r="M7219" s="43">
        <v>0.13194444444444445</v>
      </c>
      <c r="N7219" s="42">
        <v>44970</v>
      </c>
      <c r="O7219" t="s">
        <v>345</v>
      </c>
      <c r="P7219" s="42">
        <v>44970</v>
      </c>
      <c r="Q7219" t="s">
        <v>345</v>
      </c>
      <c r="R7219" t="s">
        <v>320</v>
      </c>
      <c r="S7219" t="s">
        <v>323</v>
      </c>
      <c r="T7219">
        <v>7.6</v>
      </c>
      <c r="V7219">
        <v>0</v>
      </c>
      <c r="Y7219" s="42">
        <v>44971</v>
      </c>
    </row>
    <row r="7220" spans="1:25">
      <c r="C7220" t="s">
        <v>325</v>
      </c>
      <c r="D7220" t="s">
        <v>366</v>
      </c>
      <c r="E7220" t="s">
        <v>367</v>
      </c>
      <c r="F7220">
        <v>1</v>
      </c>
      <c r="G7220" s="42">
        <v>47237</v>
      </c>
      <c r="H7220">
        <v>329.92430000000002</v>
      </c>
      <c r="I7220">
        <v>0</v>
      </c>
      <c r="J7220">
        <v>126.88760000000001</v>
      </c>
      <c r="K7220">
        <v>126.88760000000001</v>
      </c>
      <c r="L7220" t="s">
        <v>323</v>
      </c>
      <c r="N7220" s="42">
        <v>44953</v>
      </c>
      <c r="O7220" t="s">
        <v>346</v>
      </c>
      <c r="P7220" s="42">
        <v>44953</v>
      </c>
      <c r="Q7220" t="s">
        <v>346</v>
      </c>
      <c r="R7220" t="s">
        <v>320</v>
      </c>
      <c r="S7220" t="s">
        <v>323</v>
      </c>
      <c r="T7220">
        <v>7.6</v>
      </c>
      <c r="V7220">
        <v>0</v>
      </c>
      <c r="Y7220" s="42">
        <v>44957</v>
      </c>
    </row>
    <row r="7221" spans="1:25">
      <c r="C7221" t="s">
        <v>329</v>
      </c>
      <c r="D7221" t="s">
        <v>342</v>
      </c>
      <c r="E7221" t="s">
        <v>343</v>
      </c>
      <c r="F7221">
        <v>1</v>
      </c>
      <c r="G7221" s="42">
        <v>45045</v>
      </c>
      <c r="H7221">
        <v>76</v>
      </c>
      <c r="I7221">
        <v>139.80000000000001</v>
      </c>
      <c r="J7221">
        <v>64.339699999999993</v>
      </c>
      <c r="K7221">
        <v>204.1397</v>
      </c>
      <c r="L7221" t="s">
        <v>323</v>
      </c>
      <c r="N7221" s="42">
        <v>44952</v>
      </c>
      <c r="O7221" t="s">
        <v>324</v>
      </c>
      <c r="P7221" s="42">
        <v>44952</v>
      </c>
      <c r="Q7221" t="s">
        <v>324</v>
      </c>
      <c r="R7221" t="s">
        <v>320</v>
      </c>
      <c r="S7221" t="s">
        <v>323</v>
      </c>
      <c r="U7221">
        <v>7.6</v>
      </c>
      <c r="Y7221" s="42">
        <v>44957</v>
      </c>
    </row>
    <row r="7222" spans="1:25">
      <c r="N7222" s="42">
        <v>44942</v>
      </c>
      <c r="O7222" t="s">
        <v>345</v>
      </c>
      <c r="P7222" s="42">
        <v>44942</v>
      </c>
      <c r="Q7222" t="s">
        <v>345</v>
      </c>
      <c r="R7222" t="s">
        <v>329</v>
      </c>
      <c r="S7222" t="s">
        <v>323</v>
      </c>
      <c r="T7222">
        <v>7.6</v>
      </c>
      <c r="W7222" t="s">
        <v>339</v>
      </c>
      <c r="Y7222" s="42">
        <v>44943</v>
      </c>
    </row>
    <row r="7223" spans="1:25">
      <c r="N7223" s="42">
        <v>44928</v>
      </c>
      <c r="O7223" t="s">
        <v>345</v>
      </c>
      <c r="P7223" s="42">
        <v>44928</v>
      </c>
      <c r="Q7223" t="s">
        <v>345</v>
      </c>
      <c r="R7223" t="s">
        <v>320</v>
      </c>
      <c r="S7223" t="s">
        <v>323</v>
      </c>
      <c r="U7223">
        <v>7.6</v>
      </c>
      <c r="Y7223" s="42">
        <v>44929</v>
      </c>
    </row>
    <row r="7224" spans="1:25">
      <c r="N7224" s="42">
        <v>44918</v>
      </c>
      <c r="O7224" t="s">
        <v>346</v>
      </c>
      <c r="P7224" s="42">
        <v>44925</v>
      </c>
      <c r="Q7224" t="s">
        <v>346</v>
      </c>
      <c r="R7224" t="s">
        <v>320</v>
      </c>
      <c r="S7224" t="s">
        <v>323</v>
      </c>
      <c r="T7224">
        <v>30.4</v>
      </c>
      <c r="U7224">
        <v>15.2</v>
      </c>
      <c r="V7224">
        <v>0</v>
      </c>
      <c r="Y7224" s="42">
        <v>44929</v>
      </c>
    </row>
    <row r="7225" spans="1:25">
      <c r="N7225" s="42">
        <v>44907</v>
      </c>
      <c r="O7225" t="s">
        <v>345</v>
      </c>
      <c r="P7225" s="42">
        <v>44915</v>
      </c>
      <c r="Q7225" t="s">
        <v>333</v>
      </c>
      <c r="R7225" t="s">
        <v>320</v>
      </c>
      <c r="S7225" t="s">
        <v>323</v>
      </c>
      <c r="T7225">
        <v>53.2</v>
      </c>
      <c r="V7225">
        <v>0</v>
      </c>
      <c r="Y7225" s="42">
        <v>44915</v>
      </c>
    </row>
    <row r="7226" spans="1:25">
      <c r="N7226" s="42">
        <v>44879</v>
      </c>
      <c r="O7226" t="s">
        <v>345</v>
      </c>
      <c r="P7226" s="42">
        <v>44879</v>
      </c>
      <c r="Q7226" t="s">
        <v>345</v>
      </c>
      <c r="R7226" t="s">
        <v>329</v>
      </c>
      <c r="S7226" t="s">
        <v>323</v>
      </c>
      <c r="T7226">
        <v>7.6</v>
      </c>
      <c r="W7226" t="s">
        <v>330</v>
      </c>
      <c r="X7226" t="s">
        <v>330</v>
      </c>
      <c r="Y7226" s="42">
        <v>44901</v>
      </c>
    </row>
    <row r="7227" spans="1:25">
      <c r="N7227" s="42">
        <v>44830</v>
      </c>
      <c r="O7227" t="s">
        <v>345</v>
      </c>
      <c r="P7227" s="42">
        <v>44830</v>
      </c>
      <c r="Q7227" t="s">
        <v>345</v>
      </c>
      <c r="R7227" t="s">
        <v>320</v>
      </c>
      <c r="S7227" t="s">
        <v>323</v>
      </c>
      <c r="U7227">
        <v>7.6</v>
      </c>
      <c r="Y7227" s="42">
        <v>44831</v>
      </c>
    </row>
    <row r="7228" spans="1:25">
      <c r="N7228" s="42">
        <v>44826</v>
      </c>
      <c r="O7228" t="s">
        <v>324</v>
      </c>
      <c r="P7228" s="42">
        <v>44826</v>
      </c>
      <c r="Q7228" t="s">
        <v>324</v>
      </c>
      <c r="R7228" t="s">
        <v>320</v>
      </c>
      <c r="S7228" t="s">
        <v>323</v>
      </c>
      <c r="U7228">
        <v>7.6</v>
      </c>
      <c r="Y7228" s="42">
        <v>44831</v>
      </c>
    </row>
    <row r="7229" spans="1:25">
      <c r="N7229" s="42">
        <v>44809</v>
      </c>
      <c r="O7229" t="s">
        <v>345</v>
      </c>
      <c r="P7229" s="42">
        <v>44809</v>
      </c>
      <c r="Q7229" t="s">
        <v>345</v>
      </c>
      <c r="R7229" t="s">
        <v>329</v>
      </c>
      <c r="S7229" t="s">
        <v>323</v>
      </c>
      <c r="T7229">
        <v>7.6</v>
      </c>
      <c r="W7229" t="s">
        <v>330</v>
      </c>
      <c r="X7229" t="s">
        <v>330</v>
      </c>
      <c r="Y7229" s="42">
        <v>44817</v>
      </c>
    </row>
    <row r="7230" spans="1:25">
      <c r="N7230" s="42">
        <v>44785</v>
      </c>
      <c r="O7230" t="s">
        <v>346</v>
      </c>
      <c r="P7230" s="42">
        <v>44785</v>
      </c>
      <c r="Q7230" t="s">
        <v>346</v>
      </c>
      <c r="R7230" t="s">
        <v>329</v>
      </c>
      <c r="S7230" t="s">
        <v>323</v>
      </c>
      <c r="T7230">
        <v>7.6</v>
      </c>
      <c r="W7230" t="s">
        <v>339</v>
      </c>
      <c r="Y7230" s="42">
        <v>44803</v>
      </c>
    </row>
    <row r="7231" spans="1:25">
      <c r="N7231" s="42">
        <v>44750</v>
      </c>
      <c r="O7231" t="s">
        <v>346</v>
      </c>
      <c r="P7231" s="42">
        <v>44751</v>
      </c>
      <c r="Q7231" t="s">
        <v>359</v>
      </c>
      <c r="R7231" t="s">
        <v>320</v>
      </c>
      <c r="S7231" t="s">
        <v>323</v>
      </c>
      <c r="T7231">
        <v>7.6</v>
      </c>
      <c r="U7231">
        <v>0</v>
      </c>
      <c r="V7231">
        <v>0</v>
      </c>
      <c r="Y7231" s="42">
        <v>44761</v>
      </c>
    </row>
    <row r="7232" spans="1:25">
      <c r="N7232" s="42">
        <v>44718</v>
      </c>
      <c r="O7232" t="s">
        <v>345</v>
      </c>
      <c r="P7232" s="42">
        <v>44718</v>
      </c>
      <c r="Q7232" t="s">
        <v>345</v>
      </c>
      <c r="R7232" t="s">
        <v>320</v>
      </c>
      <c r="S7232" t="s">
        <v>323</v>
      </c>
      <c r="U7232">
        <v>7.6</v>
      </c>
      <c r="Y7232" s="42">
        <v>44719</v>
      </c>
    </row>
    <row r="7233" spans="14:25">
      <c r="N7233" s="42">
        <v>44715</v>
      </c>
      <c r="O7233" t="s">
        <v>346</v>
      </c>
      <c r="P7233" s="42">
        <v>44715</v>
      </c>
      <c r="Q7233" t="s">
        <v>346</v>
      </c>
      <c r="R7233" t="s">
        <v>320</v>
      </c>
      <c r="S7233" t="s">
        <v>323</v>
      </c>
      <c r="T7233">
        <v>7.6</v>
      </c>
      <c r="V7233">
        <v>0</v>
      </c>
      <c r="Y7233" s="42">
        <v>44719</v>
      </c>
    </row>
    <row r="7234" spans="14:25">
      <c r="N7234" s="42">
        <v>44676</v>
      </c>
      <c r="O7234" t="s">
        <v>345</v>
      </c>
      <c r="P7234" s="42">
        <v>44676</v>
      </c>
      <c r="Q7234" t="s">
        <v>345</v>
      </c>
      <c r="R7234" t="s">
        <v>320</v>
      </c>
      <c r="S7234" t="s">
        <v>323</v>
      </c>
      <c r="U7234">
        <v>7.6</v>
      </c>
      <c r="Y7234" s="42">
        <v>44677</v>
      </c>
    </row>
    <row r="7235" spans="14:25">
      <c r="N7235" s="42">
        <v>44672</v>
      </c>
      <c r="O7235" t="s">
        <v>324</v>
      </c>
      <c r="P7235" s="42">
        <v>44673</v>
      </c>
      <c r="Q7235" t="s">
        <v>346</v>
      </c>
      <c r="R7235" t="s">
        <v>320</v>
      </c>
      <c r="S7235" t="s">
        <v>323</v>
      </c>
      <c r="T7235">
        <v>15.2</v>
      </c>
      <c r="V7235">
        <v>0</v>
      </c>
      <c r="Y7235" s="42">
        <v>44677</v>
      </c>
    </row>
    <row r="7236" spans="14:25">
      <c r="N7236" s="42">
        <v>44669</v>
      </c>
      <c r="O7236" t="s">
        <v>345</v>
      </c>
      <c r="P7236" s="42">
        <v>44669</v>
      </c>
      <c r="Q7236" t="s">
        <v>345</v>
      </c>
      <c r="R7236" t="s">
        <v>320</v>
      </c>
      <c r="S7236" t="s">
        <v>323</v>
      </c>
      <c r="U7236">
        <v>7.6</v>
      </c>
      <c r="Y7236" s="42">
        <v>44677</v>
      </c>
    </row>
    <row r="7237" spans="14:25">
      <c r="N7237" s="42">
        <v>44666</v>
      </c>
      <c r="O7237" t="s">
        <v>346</v>
      </c>
      <c r="P7237" s="42">
        <v>44666</v>
      </c>
      <c r="Q7237" t="s">
        <v>346</v>
      </c>
      <c r="R7237" t="s">
        <v>320</v>
      </c>
      <c r="S7237" t="s">
        <v>323</v>
      </c>
      <c r="U7237">
        <v>7.6</v>
      </c>
      <c r="Y7237" s="42">
        <v>44677</v>
      </c>
    </row>
    <row r="7238" spans="14:25">
      <c r="N7238" s="42">
        <v>44659</v>
      </c>
      <c r="O7238" t="s">
        <v>346</v>
      </c>
      <c r="P7238" s="42">
        <v>44659</v>
      </c>
      <c r="Q7238" t="s">
        <v>346</v>
      </c>
      <c r="R7238" t="s">
        <v>320</v>
      </c>
      <c r="S7238" t="s">
        <v>323</v>
      </c>
      <c r="T7238">
        <v>7.6</v>
      </c>
      <c r="V7238">
        <v>0</v>
      </c>
      <c r="Y7238" s="42">
        <v>44663</v>
      </c>
    </row>
    <row r="7239" spans="14:25">
      <c r="N7239" s="42">
        <v>44645</v>
      </c>
      <c r="O7239" t="s">
        <v>346</v>
      </c>
      <c r="P7239" s="42">
        <v>44645</v>
      </c>
      <c r="Q7239" t="s">
        <v>346</v>
      </c>
      <c r="R7239" t="s">
        <v>320</v>
      </c>
      <c r="S7239" t="s">
        <v>323</v>
      </c>
      <c r="T7239">
        <v>7.6</v>
      </c>
      <c r="V7239">
        <v>0</v>
      </c>
      <c r="Y7239" s="42">
        <v>44649</v>
      </c>
    </row>
    <row r="7240" spans="14:25">
      <c r="N7240" s="42">
        <v>44638</v>
      </c>
      <c r="O7240" t="s">
        <v>346</v>
      </c>
      <c r="P7240" s="42">
        <v>44638</v>
      </c>
      <c r="Q7240" t="s">
        <v>346</v>
      </c>
      <c r="R7240" t="s">
        <v>320</v>
      </c>
      <c r="S7240" t="s">
        <v>323</v>
      </c>
      <c r="T7240">
        <v>7.6</v>
      </c>
      <c r="V7240">
        <v>0</v>
      </c>
      <c r="Y7240" s="42">
        <v>44649</v>
      </c>
    </row>
    <row r="7241" spans="14:25">
      <c r="N7241" s="42">
        <v>44627</v>
      </c>
      <c r="O7241" t="s">
        <v>345</v>
      </c>
      <c r="P7241" s="42">
        <v>44627</v>
      </c>
      <c r="Q7241" t="s">
        <v>345</v>
      </c>
      <c r="R7241" t="s">
        <v>320</v>
      </c>
      <c r="S7241" t="s">
        <v>323</v>
      </c>
      <c r="U7241">
        <v>7.6</v>
      </c>
      <c r="Y7241" s="42">
        <v>44635</v>
      </c>
    </row>
    <row r="7242" spans="14:25">
      <c r="N7242" s="42">
        <v>44587</v>
      </c>
      <c r="O7242" t="s">
        <v>328</v>
      </c>
      <c r="P7242" s="42">
        <v>44587</v>
      </c>
      <c r="Q7242" t="s">
        <v>328</v>
      </c>
      <c r="R7242" t="s">
        <v>320</v>
      </c>
      <c r="S7242" t="s">
        <v>323</v>
      </c>
      <c r="U7242">
        <v>7.6</v>
      </c>
      <c r="Y7242" s="42">
        <v>44593</v>
      </c>
    </row>
    <row r="7243" spans="14:25">
      <c r="N7243" s="42">
        <v>44566</v>
      </c>
      <c r="O7243" t="s">
        <v>328</v>
      </c>
      <c r="P7243" s="42">
        <v>44568</v>
      </c>
      <c r="Q7243" t="s">
        <v>346</v>
      </c>
      <c r="R7243" t="s">
        <v>320</v>
      </c>
      <c r="S7243" t="s">
        <v>323</v>
      </c>
      <c r="T7243">
        <v>22.8</v>
      </c>
      <c r="U7243">
        <v>0</v>
      </c>
      <c r="V7243">
        <v>0</v>
      </c>
      <c r="Y7243" s="42">
        <v>44579</v>
      </c>
    </row>
    <row r="7244" spans="14:25">
      <c r="N7244" s="42">
        <v>44559</v>
      </c>
      <c r="O7244" t="s">
        <v>328</v>
      </c>
      <c r="P7244" s="42">
        <v>44565</v>
      </c>
      <c r="Q7244" t="s">
        <v>333</v>
      </c>
      <c r="R7244" t="s">
        <v>320</v>
      </c>
      <c r="S7244" t="s">
        <v>323</v>
      </c>
      <c r="T7244">
        <v>30.4</v>
      </c>
      <c r="U7244">
        <v>7.6</v>
      </c>
      <c r="V7244">
        <v>0</v>
      </c>
      <c r="Y7244" s="42">
        <v>44565</v>
      </c>
    </row>
    <row r="7245" spans="14:25">
      <c r="N7245" s="42">
        <v>44558</v>
      </c>
      <c r="O7245" t="s">
        <v>333</v>
      </c>
      <c r="P7245" s="42">
        <v>44558</v>
      </c>
      <c r="Q7245" t="s">
        <v>333</v>
      </c>
      <c r="R7245" t="s">
        <v>320</v>
      </c>
      <c r="S7245" t="s">
        <v>323</v>
      </c>
      <c r="U7245">
        <v>7.6</v>
      </c>
      <c r="Y7245" s="42">
        <v>44565</v>
      </c>
    </row>
    <row r="7246" spans="14:25">
      <c r="N7246" s="42">
        <v>44557</v>
      </c>
      <c r="O7246" t="s">
        <v>345</v>
      </c>
      <c r="P7246" s="42">
        <v>44557</v>
      </c>
      <c r="Q7246" t="s">
        <v>345</v>
      </c>
      <c r="R7246" t="s">
        <v>320</v>
      </c>
      <c r="S7246" t="s">
        <v>323</v>
      </c>
      <c r="U7246">
        <v>7.6</v>
      </c>
      <c r="Y7246" s="42">
        <v>44565</v>
      </c>
    </row>
    <row r="7247" spans="14:25">
      <c r="N7247" s="42">
        <v>44531</v>
      </c>
      <c r="O7247" t="s">
        <v>328</v>
      </c>
      <c r="P7247" s="42">
        <v>44537</v>
      </c>
      <c r="Q7247" t="s">
        <v>333</v>
      </c>
      <c r="R7247" t="s">
        <v>320</v>
      </c>
      <c r="S7247" t="s">
        <v>323</v>
      </c>
      <c r="T7247">
        <v>38</v>
      </c>
      <c r="V7247">
        <v>0</v>
      </c>
      <c r="Y7247" s="42">
        <v>44537</v>
      </c>
    </row>
    <row r="7248" spans="14:25">
      <c r="N7248" s="42">
        <v>44529</v>
      </c>
      <c r="O7248" t="s">
        <v>345</v>
      </c>
      <c r="P7248" s="42">
        <v>44530</v>
      </c>
      <c r="Q7248" t="s">
        <v>333</v>
      </c>
      <c r="R7248" t="s">
        <v>320</v>
      </c>
      <c r="S7248" t="s">
        <v>323</v>
      </c>
      <c r="T7248">
        <v>15.2</v>
      </c>
      <c r="V7248">
        <v>0</v>
      </c>
      <c r="Y7248" s="42">
        <v>44537</v>
      </c>
    </row>
    <row r="7249" spans="14:25">
      <c r="N7249" s="42">
        <v>44496</v>
      </c>
      <c r="O7249" t="s">
        <v>328</v>
      </c>
      <c r="P7249" s="42">
        <v>44496</v>
      </c>
      <c r="Q7249" t="s">
        <v>328</v>
      </c>
      <c r="R7249" t="s">
        <v>320</v>
      </c>
      <c r="S7249" t="s">
        <v>323</v>
      </c>
      <c r="T7249">
        <v>7.6</v>
      </c>
      <c r="V7249">
        <v>0</v>
      </c>
      <c r="Y7249" s="42">
        <v>44509</v>
      </c>
    </row>
    <row r="7250" spans="14:25">
      <c r="N7250" s="42">
        <v>44466</v>
      </c>
      <c r="O7250" t="s">
        <v>345</v>
      </c>
      <c r="P7250" s="42">
        <v>44466</v>
      </c>
      <c r="Q7250" t="s">
        <v>345</v>
      </c>
      <c r="R7250" t="s">
        <v>320</v>
      </c>
      <c r="S7250" t="s">
        <v>323</v>
      </c>
      <c r="U7250">
        <v>7.6</v>
      </c>
      <c r="Y7250" s="42">
        <v>44467</v>
      </c>
    </row>
    <row r="7251" spans="14:25">
      <c r="N7251" s="42">
        <v>44417</v>
      </c>
      <c r="O7251" t="s">
        <v>345</v>
      </c>
      <c r="P7251" s="42">
        <v>44419</v>
      </c>
      <c r="Q7251" t="s">
        <v>328</v>
      </c>
      <c r="R7251" t="s">
        <v>320</v>
      </c>
      <c r="S7251" t="s">
        <v>323</v>
      </c>
      <c r="T7251">
        <v>22.8</v>
      </c>
      <c r="V7251">
        <v>0</v>
      </c>
      <c r="Y7251" s="42">
        <v>44425</v>
      </c>
    </row>
    <row r="7252" spans="14:25">
      <c r="N7252" s="42">
        <v>44386</v>
      </c>
      <c r="O7252" t="s">
        <v>346</v>
      </c>
      <c r="P7252" s="42">
        <v>44386</v>
      </c>
      <c r="Q7252" t="s">
        <v>346</v>
      </c>
      <c r="R7252" t="s">
        <v>320</v>
      </c>
      <c r="S7252" t="s">
        <v>323</v>
      </c>
      <c r="T7252">
        <v>5</v>
      </c>
      <c r="V7252">
        <v>0</v>
      </c>
      <c r="Y7252" s="42">
        <v>44397</v>
      </c>
    </row>
    <row r="7253" spans="14:25">
      <c r="N7253" s="42">
        <v>44357</v>
      </c>
      <c r="O7253" t="s">
        <v>324</v>
      </c>
      <c r="P7253" s="42">
        <v>44357</v>
      </c>
      <c r="Q7253" t="s">
        <v>324</v>
      </c>
      <c r="R7253" t="s">
        <v>329</v>
      </c>
      <c r="S7253" t="s">
        <v>323</v>
      </c>
      <c r="T7253">
        <v>7.6</v>
      </c>
      <c r="W7253" t="s">
        <v>339</v>
      </c>
      <c r="Y7253" s="42">
        <v>44369</v>
      </c>
    </row>
    <row r="7254" spans="14:25">
      <c r="N7254" s="42">
        <v>44354</v>
      </c>
      <c r="O7254" t="s">
        <v>345</v>
      </c>
      <c r="P7254" s="42">
        <v>44354</v>
      </c>
      <c r="Q7254" t="s">
        <v>345</v>
      </c>
      <c r="R7254" t="s">
        <v>320</v>
      </c>
      <c r="S7254" t="s">
        <v>323</v>
      </c>
      <c r="U7254">
        <v>7.6</v>
      </c>
      <c r="Y7254" s="42">
        <v>44355</v>
      </c>
    </row>
    <row r="7255" spans="14:25">
      <c r="N7255" s="42">
        <v>44312</v>
      </c>
      <c r="O7255" t="s">
        <v>345</v>
      </c>
      <c r="P7255" s="42">
        <v>44312</v>
      </c>
      <c r="Q7255" t="s">
        <v>345</v>
      </c>
      <c r="R7255" t="s">
        <v>320</v>
      </c>
      <c r="S7255" t="s">
        <v>323</v>
      </c>
      <c r="U7255">
        <v>7.6</v>
      </c>
      <c r="Y7255" s="42">
        <v>44313</v>
      </c>
    </row>
    <row r="7256" spans="14:25">
      <c r="N7256" s="42">
        <v>44295</v>
      </c>
      <c r="O7256" t="s">
        <v>346</v>
      </c>
      <c r="P7256" s="42">
        <v>44295</v>
      </c>
      <c r="Q7256" t="s">
        <v>346</v>
      </c>
      <c r="R7256" t="s">
        <v>329</v>
      </c>
      <c r="S7256" t="s">
        <v>323</v>
      </c>
      <c r="T7256">
        <v>7.6</v>
      </c>
      <c r="W7256" t="s">
        <v>339</v>
      </c>
      <c r="Y7256" s="42">
        <v>44299</v>
      </c>
    </row>
    <row r="7257" spans="14:25">
      <c r="N7257" s="42">
        <v>44291</v>
      </c>
      <c r="O7257" t="s">
        <v>345</v>
      </c>
      <c r="P7257" s="42">
        <v>44291</v>
      </c>
      <c r="Q7257" t="s">
        <v>345</v>
      </c>
      <c r="R7257" t="s">
        <v>320</v>
      </c>
      <c r="S7257" t="s">
        <v>323</v>
      </c>
      <c r="U7257">
        <v>7.6</v>
      </c>
      <c r="Y7257" s="42">
        <v>44299</v>
      </c>
    </row>
    <row r="7258" spans="14:25">
      <c r="N7258" s="42">
        <v>44288</v>
      </c>
      <c r="O7258" t="s">
        <v>346</v>
      </c>
      <c r="P7258" s="42">
        <v>44288</v>
      </c>
      <c r="Q7258" t="s">
        <v>346</v>
      </c>
      <c r="R7258" t="s">
        <v>320</v>
      </c>
      <c r="S7258" t="s">
        <v>323</v>
      </c>
      <c r="U7258">
        <v>7.6</v>
      </c>
      <c r="Y7258" s="42">
        <v>44299</v>
      </c>
    </row>
    <row r="7259" spans="14:25">
      <c r="N7259" s="42">
        <v>44256</v>
      </c>
      <c r="O7259" t="s">
        <v>345</v>
      </c>
      <c r="P7259" s="42">
        <v>44256</v>
      </c>
      <c r="Q7259" t="s">
        <v>345</v>
      </c>
      <c r="R7259" t="s">
        <v>320</v>
      </c>
      <c r="S7259" t="s">
        <v>323</v>
      </c>
      <c r="U7259">
        <v>7.6</v>
      </c>
      <c r="Y7259" s="42">
        <v>44257</v>
      </c>
    </row>
    <row r="7260" spans="14:25">
      <c r="N7260" s="42">
        <v>44239</v>
      </c>
      <c r="O7260" t="s">
        <v>346</v>
      </c>
      <c r="P7260" s="42">
        <v>44239</v>
      </c>
      <c r="Q7260" t="s">
        <v>346</v>
      </c>
      <c r="R7260" t="s">
        <v>320</v>
      </c>
      <c r="S7260" t="s">
        <v>323</v>
      </c>
      <c r="T7260">
        <v>7.6</v>
      </c>
      <c r="V7260">
        <v>0</v>
      </c>
      <c r="Y7260" s="42">
        <v>44243</v>
      </c>
    </row>
    <row r="7261" spans="14:25">
      <c r="N7261" s="42">
        <v>44222</v>
      </c>
      <c r="O7261" t="s">
        <v>333</v>
      </c>
      <c r="P7261" s="42">
        <v>44222</v>
      </c>
      <c r="Q7261" t="s">
        <v>333</v>
      </c>
      <c r="R7261" t="s">
        <v>320</v>
      </c>
      <c r="S7261" t="s">
        <v>323</v>
      </c>
      <c r="U7261">
        <v>7.6</v>
      </c>
      <c r="Y7261" s="42">
        <v>44229</v>
      </c>
    </row>
    <row r="7262" spans="14:25">
      <c r="N7262" s="42">
        <v>44221</v>
      </c>
      <c r="O7262" t="s">
        <v>345</v>
      </c>
      <c r="P7262" s="42">
        <v>44221</v>
      </c>
      <c r="Q7262" t="s">
        <v>345</v>
      </c>
      <c r="R7262" t="s">
        <v>320</v>
      </c>
      <c r="S7262" t="s">
        <v>323</v>
      </c>
      <c r="T7262">
        <v>7.6</v>
      </c>
      <c r="V7262">
        <v>0</v>
      </c>
      <c r="Y7262" s="42">
        <v>44229</v>
      </c>
    </row>
    <row r="7263" spans="14:25">
      <c r="N7263" s="42">
        <v>44197</v>
      </c>
      <c r="O7263" t="s">
        <v>346</v>
      </c>
      <c r="P7263" s="42">
        <v>44197</v>
      </c>
      <c r="Q7263" t="s">
        <v>346</v>
      </c>
      <c r="R7263" t="s">
        <v>320</v>
      </c>
      <c r="S7263" t="s">
        <v>323</v>
      </c>
      <c r="U7263">
        <v>7.6</v>
      </c>
      <c r="Y7263" s="42">
        <v>44201</v>
      </c>
    </row>
    <row r="7264" spans="14:25">
      <c r="N7264" s="42">
        <v>44194</v>
      </c>
      <c r="O7264" t="s">
        <v>333</v>
      </c>
      <c r="P7264" s="42">
        <v>44196</v>
      </c>
      <c r="Q7264" t="s">
        <v>324</v>
      </c>
      <c r="R7264" t="s">
        <v>320</v>
      </c>
      <c r="S7264" t="s">
        <v>323</v>
      </c>
      <c r="T7264">
        <v>22.8</v>
      </c>
      <c r="V7264">
        <v>0</v>
      </c>
      <c r="Y7264" s="42">
        <v>44201</v>
      </c>
    </row>
    <row r="7265" spans="14:25">
      <c r="N7265" s="42">
        <v>44193</v>
      </c>
      <c r="O7265" t="s">
        <v>345</v>
      </c>
      <c r="P7265" s="42">
        <v>44193</v>
      </c>
      <c r="Q7265" t="s">
        <v>345</v>
      </c>
      <c r="R7265" t="s">
        <v>320</v>
      </c>
      <c r="S7265" t="s">
        <v>323</v>
      </c>
      <c r="U7265">
        <v>7.6</v>
      </c>
      <c r="Y7265" s="42">
        <v>44201</v>
      </c>
    </row>
    <row r="7266" spans="14:25">
      <c r="N7266" s="42">
        <v>44190</v>
      </c>
      <c r="O7266" t="s">
        <v>346</v>
      </c>
      <c r="P7266" s="42">
        <v>44190</v>
      </c>
      <c r="Q7266" t="s">
        <v>346</v>
      </c>
      <c r="R7266" t="s">
        <v>320</v>
      </c>
      <c r="S7266" t="s">
        <v>323</v>
      </c>
      <c r="U7266">
        <v>7.6</v>
      </c>
      <c r="Y7266" s="42">
        <v>44201</v>
      </c>
    </row>
    <row r="7267" spans="14:25">
      <c r="N7267" s="42">
        <v>44188</v>
      </c>
      <c r="O7267" t="s">
        <v>328</v>
      </c>
      <c r="P7267" s="42">
        <v>44189</v>
      </c>
      <c r="Q7267" t="s">
        <v>324</v>
      </c>
      <c r="R7267" t="s">
        <v>320</v>
      </c>
      <c r="S7267" t="s">
        <v>323</v>
      </c>
      <c r="T7267">
        <v>15.2</v>
      </c>
      <c r="U7267">
        <v>0</v>
      </c>
      <c r="V7267">
        <v>0</v>
      </c>
      <c r="Y7267" s="42">
        <v>44201</v>
      </c>
    </row>
    <row r="7268" spans="14:25">
      <c r="N7268" s="42">
        <v>44186</v>
      </c>
      <c r="O7268" t="s">
        <v>345</v>
      </c>
      <c r="P7268" s="42">
        <v>44187</v>
      </c>
      <c r="Q7268" t="s">
        <v>333</v>
      </c>
      <c r="R7268" t="s">
        <v>320</v>
      </c>
      <c r="S7268" t="s">
        <v>323</v>
      </c>
      <c r="T7268">
        <v>15.2</v>
      </c>
      <c r="U7268">
        <v>0</v>
      </c>
      <c r="V7268">
        <v>0</v>
      </c>
      <c r="Y7268" s="42">
        <v>44187</v>
      </c>
    </row>
    <row r="7269" spans="14:25">
      <c r="N7269" s="42">
        <v>44162</v>
      </c>
      <c r="O7269" t="s">
        <v>346</v>
      </c>
      <c r="P7269" s="42">
        <v>44162</v>
      </c>
      <c r="Q7269" t="s">
        <v>346</v>
      </c>
      <c r="R7269" t="s">
        <v>320</v>
      </c>
      <c r="S7269" t="s">
        <v>323</v>
      </c>
      <c r="T7269">
        <v>7.6</v>
      </c>
      <c r="V7269">
        <v>0</v>
      </c>
      <c r="Y7269" s="42">
        <v>44173</v>
      </c>
    </row>
    <row r="7270" spans="14:25">
      <c r="N7270" s="42">
        <v>44158</v>
      </c>
      <c r="O7270" t="s">
        <v>345</v>
      </c>
      <c r="P7270" s="42">
        <v>44159</v>
      </c>
      <c r="Q7270" t="s">
        <v>333</v>
      </c>
      <c r="R7270" t="s">
        <v>320</v>
      </c>
      <c r="S7270" t="s">
        <v>323</v>
      </c>
      <c r="T7270">
        <v>15.2</v>
      </c>
      <c r="V7270">
        <v>0</v>
      </c>
      <c r="Y7270" s="42">
        <v>44159</v>
      </c>
    </row>
    <row r="7271" spans="14:25">
      <c r="N7271" s="42">
        <v>44134</v>
      </c>
      <c r="O7271" t="s">
        <v>346</v>
      </c>
      <c r="P7271" s="42">
        <v>44134</v>
      </c>
      <c r="Q7271" t="s">
        <v>346</v>
      </c>
      <c r="R7271" t="s">
        <v>329</v>
      </c>
      <c r="S7271" t="s">
        <v>323</v>
      </c>
      <c r="T7271">
        <v>4.5999999999999996</v>
      </c>
      <c r="W7271" t="s">
        <v>339</v>
      </c>
      <c r="Y7271" s="42">
        <v>44145</v>
      </c>
    </row>
    <row r="7272" spans="14:25">
      <c r="N7272" s="42">
        <v>44131</v>
      </c>
      <c r="O7272" t="s">
        <v>333</v>
      </c>
      <c r="P7272" s="42">
        <v>44131</v>
      </c>
      <c r="Q7272" t="s">
        <v>333</v>
      </c>
      <c r="R7272" t="s">
        <v>329</v>
      </c>
      <c r="S7272" t="s">
        <v>323</v>
      </c>
      <c r="T7272">
        <v>7.6</v>
      </c>
      <c r="W7272" t="s">
        <v>339</v>
      </c>
      <c r="Y7272" s="42">
        <v>44145</v>
      </c>
    </row>
    <row r="7273" spans="14:25">
      <c r="N7273" s="42">
        <v>44120</v>
      </c>
      <c r="O7273" t="s">
        <v>346</v>
      </c>
      <c r="P7273" s="42">
        <v>44120</v>
      </c>
      <c r="Q7273" t="s">
        <v>346</v>
      </c>
      <c r="R7273" t="s">
        <v>320</v>
      </c>
      <c r="S7273" t="s">
        <v>323</v>
      </c>
      <c r="T7273">
        <v>7.6</v>
      </c>
      <c r="V7273">
        <v>0</v>
      </c>
      <c r="Y7273" s="42">
        <v>44131</v>
      </c>
    </row>
    <row r="7274" spans="14:25">
      <c r="N7274" s="42">
        <v>44109</v>
      </c>
      <c r="O7274" t="s">
        <v>345</v>
      </c>
      <c r="P7274" s="42">
        <v>44111</v>
      </c>
      <c r="Q7274" t="s">
        <v>328</v>
      </c>
      <c r="R7274" t="s">
        <v>320</v>
      </c>
      <c r="S7274" t="s">
        <v>323</v>
      </c>
      <c r="T7274">
        <v>22.8</v>
      </c>
      <c r="V7274">
        <v>0</v>
      </c>
      <c r="Y7274" s="42">
        <v>44117</v>
      </c>
    </row>
    <row r="7275" spans="14:25">
      <c r="N7275" s="42">
        <v>44102</v>
      </c>
      <c r="O7275" t="s">
        <v>345</v>
      </c>
      <c r="P7275" s="42">
        <v>44102</v>
      </c>
      <c r="Q7275" t="s">
        <v>345</v>
      </c>
      <c r="R7275" t="s">
        <v>320</v>
      </c>
      <c r="S7275" t="s">
        <v>323</v>
      </c>
      <c r="U7275">
        <v>7.6</v>
      </c>
      <c r="Y7275" s="42">
        <v>44103</v>
      </c>
    </row>
    <row r="7276" spans="14:25">
      <c r="N7276" s="42">
        <v>44055</v>
      </c>
      <c r="O7276" t="s">
        <v>328</v>
      </c>
      <c r="P7276" s="42">
        <v>44055</v>
      </c>
      <c r="Q7276" t="s">
        <v>328</v>
      </c>
      <c r="R7276" t="s">
        <v>329</v>
      </c>
      <c r="S7276" t="s">
        <v>323</v>
      </c>
      <c r="T7276">
        <v>7.6</v>
      </c>
      <c r="W7276" t="s">
        <v>339</v>
      </c>
      <c r="Y7276" s="42">
        <v>44075</v>
      </c>
    </row>
    <row r="7277" spans="14:25">
      <c r="N7277" s="42">
        <v>43984</v>
      </c>
      <c r="O7277" t="s">
        <v>333</v>
      </c>
      <c r="P7277" s="42">
        <v>43984</v>
      </c>
      <c r="Q7277" t="s">
        <v>333</v>
      </c>
      <c r="R7277" t="s">
        <v>320</v>
      </c>
      <c r="S7277" t="s">
        <v>323</v>
      </c>
      <c r="T7277">
        <v>7.6</v>
      </c>
      <c r="V7277">
        <v>0</v>
      </c>
      <c r="Y7277" s="42">
        <v>43991</v>
      </c>
    </row>
    <row r="7278" spans="14:25">
      <c r="N7278" s="42">
        <v>43950</v>
      </c>
      <c r="O7278" t="s">
        <v>328</v>
      </c>
      <c r="P7278" s="42">
        <v>43950</v>
      </c>
      <c r="Q7278" t="s">
        <v>328</v>
      </c>
      <c r="R7278" t="s">
        <v>329</v>
      </c>
      <c r="S7278" t="s">
        <v>323</v>
      </c>
      <c r="T7278">
        <v>7.6</v>
      </c>
      <c r="W7278" t="s">
        <v>339</v>
      </c>
      <c r="Y7278" s="42">
        <v>43963</v>
      </c>
    </row>
    <row r="7279" spans="14:25">
      <c r="N7279" s="42">
        <v>43948</v>
      </c>
      <c r="O7279" t="s">
        <v>345</v>
      </c>
      <c r="P7279" s="42">
        <v>43948</v>
      </c>
      <c r="Q7279" t="s">
        <v>345</v>
      </c>
      <c r="R7279" t="s">
        <v>320</v>
      </c>
      <c r="S7279" t="s">
        <v>323</v>
      </c>
      <c r="T7279">
        <v>0</v>
      </c>
      <c r="U7279">
        <v>7.6</v>
      </c>
      <c r="Y7279" s="42">
        <v>43949</v>
      </c>
    </row>
    <row r="7280" spans="14:25">
      <c r="N7280" s="42">
        <v>43934</v>
      </c>
      <c r="O7280" t="s">
        <v>345</v>
      </c>
      <c r="P7280" s="42">
        <v>43934</v>
      </c>
      <c r="Q7280" t="s">
        <v>345</v>
      </c>
      <c r="R7280" t="s">
        <v>320</v>
      </c>
      <c r="S7280" t="s">
        <v>323</v>
      </c>
      <c r="T7280">
        <v>0</v>
      </c>
      <c r="U7280">
        <v>7.6</v>
      </c>
      <c r="Y7280" s="42">
        <v>43935</v>
      </c>
    </row>
    <row r="7281" spans="1:25">
      <c r="N7281" s="42">
        <v>43931</v>
      </c>
      <c r="O7281" t="s">
        <v>346</v>
      </c>
      <c r="P7281" s="42">
        <v>43931</v>
      </c>
      <c r="Q7281" t="s">
        <v>346</v>
      </c>
      <c r="R7281" t="s">
        <v>320</v>
      </c>
      <c r="S7281" t="s">
        <v>323</v>
      </c>
      <c r="T7281">
        <v>0</v>
      </c>
      <c r="U7281">
        <v>7.6</v>
      </c>
      <c r="Y7281" s="42">
        <v>43935</v>
      </c>
    </row>
    <row r="7282" spans="1:25">
      <c r="N7282" s="42">
        <v>43857</v>
      </c>
      <c r="O7282" t="s">
        <v>345</v>
      </c>
      <c r="P7282" s="42">
        <v>43857</v>
      </c>
      <c r="Q7282" t="s">
        <v>345</v>
      </c>
      <c r="R7282" t="s">
        <v>320</v>
      </c>
      <c r="S7282" t="s">
        <v>323</v>
      </c>
      <c r="T7282">
        <v>0</v>
      </c>
      <c r="U7282">
        <v>7.6</v>
      </c>
      <c r="Y7282" s="42">
        <v>43865</v>
      </c>
    </row>
    <row r="7283" spans="1:25">
      <c r="N7283" s="42">
        <v>43852</v>
      </c>
      <c r="O7283" t="s">
        <v>328</v>
      </c>
      <c r="P7283" s="42">
        <v>43852</v>
      </c>
      <c r="Q7283" t="s">
        <v>328</v>
      </c>
      <c r="R7283" t="s">
        <v>320</v>
      </c>
      <c r="S7283" t="s">
        <v>323</v>
      </c>
      <c r="T7283">
        <v>7.6</v>
      </c>
      <c r="V7283">
        <v>0</v>
      </c>
      <c r="Y7283" s="42">
        <v>43865</v>
      </c>
    </row>
    <row r="7284" spans="1:25">
      <c r="N7284" s="42">
        <v>43831</v>
      </c>
      <c r="O7284" t="s">
        <v>328</v>
      </c>
      <c r="P7284" s="42">
        <v>43831</v>
      </c>
      <c r="Q7284" t="s">
        <v>328</v>
      </c>
      <c r="R7284" t="s">
        <v>320</v>
      </c>
      <c r="S7284" t="s">
        <v>323</v>
      </c>
      <c r="T7284">
        <v>0</v>
      </c>
      <c r="U7284">
        <v>7.6</v>
      </c>
      <c r="Y7284" s="42">
        <v>43837</v>
      </c>
    </row>
    <row r="7285" spans="1:25">
      <c r="N7285" s="42">
        <v>43829</v>
      </c>
      <c r="O7285" t="s">
        <v>345</v>
      </c>
      <c r="P7285" s="42">
        <v>43830</v>
      </c>
      <c r="Q7285" t="s">
        <v>333</v>
      </c>
      <c r="R7285" t="s">
        <v>320</v>
      </c>
      <c r="S7285" t="s">
        <v>323</v>
      </c>
      <c r="T7285">
        <v>15.2</v>
      </c>
      <c r="V7285">
        <v>0</v>
      </c>
      <c r="Y7285" s="42">
        <v>43837</v>
      </c>
    </row>
    <row r="7286" spans="1:25">
      <c r="N7286" s="42">
        <v>43826</v>
      </c>
      <c r="O7286" t="s">
        <v>346</v>
      </c>
      <c r="P7286" s="42">
        <v>43826</v>
      </c>
      <c r="Q7286" t="s">
        <v>346</v>
      </c>
      <c r="R7286" t="s">
        <v>320</v>
      </c>
      <c r="S7286" t="s">
        <v>323</v>
      </c>
      <c r="T7286">
        <v>7.6</v>
      </c>
      <c r="V7286">
        <v>0</v>
      </c>
      <c r="Y7286" s="42">
        <v>43837</v>
      </c>
    </row>
    <row r="7287" spans="1:25">
      <c r="N7287" s="42">
        <v>43824</v>
      </c>
      <c r="O7287" t="s">
        <v>328</v>
      </c>
      <c r="P7287" s="42">
        <v>43825</v>
      </c>
      <c r="Q7287" t="s">
        <v>324</v>
      </c>
      <c r="R7287" t="s">
        <v>320</v>
      </c>
      <c r="S7287" t="s">
        <v>323</v>
      </c>
      <c r="T7287">
        <v>0</v>
      </c>
      <c r="U7287">
        <v>15.2</v>
      </c>
      <c r="Y7287" s="42">
        <v>43837</v>
      </c>
    </row>
    <row r="7288" spans="1:25">
      <c r="N7288" s="42">
        <v>43822</v>
      </c>
      <c r="O7288" t="s">
        <v>345</v>
      </c>
      <c r="P7288" s="42">
        <v>43822</v>
      </c>
      <c r="Q7288" t="s">
        <v>345</v>
      </c>
      <c r="R7288" t="s">
        <v>329</v>
      </c>
      <c r="S7288" t="s">
        <v>323</v>
      </c>
      <c r="T7288">
        <v>7.6</v>
      </c>
      <c r="W7288" t="s">
        <v>339</v>
      </c>
      <c r="Y7288" s="42">
        <v>43837</v>
      </c>
    </row>
    <row r="7289" spans="1:25">
      <c r="N7289" s="42">
        <v>43804</v>
      </c>
      <c r="O7289" t="s">
        <v>324</v>
      </c>
      <c r="P7289" s="42">
        <v>43809</v>
      </c>
      <c r="Q7289" t="s">
        <v>333</v>
      </c>
      <c r="R7289" t="s">
        <v>320</v>
      </c>
      <c r="S7289" t="s">
        <v>323</v>
      </c>
      <c r="T7289">
        <v>30.4</v>
      </c>
      <c r="V7289">
        <v>0</v>
      </c>
      <c r="Y7289" s="42">
        <v>43809</v>
      </c>
    </row>
    <row r="7290" spans="1:25">
      <c r="N7290" s="42">
        <v>43780</v>
      </c>
      <c r="O7290" t="s">
        <v>345</v>
      </c>
      <c r="P7290" s="42">
        <v>43780</v>
      </c>
      <c r="Q7290" t="s">
        <v>345</v>
      </c>
      <c r="R7290" t="s">
        <v>320</v>
      </c>
      <c r="S7290" t="s">
        <v>323</v>
      </c>
      <c r="T7290">
        <v>7.6</v>
      </c>
      <c r="V7290">
        <v>0</v>
      </c>
      <c r="Y7290" s="42">
        <v>43781</v>
      </c>
    </row>
    <row r="7291" spans="1:25">
      <c r="N7291" s="42">
        <v>43633</v>
      </c>
      <c r="O7291" t="s">
        <v>345</v>
      </c>
      <c r="P7291" s="42">
        <v>43633</v>
      </c>
      <c r="Q7291" t="s">
        <v>345</v>
      </c>
      <c r="R7291" t="s">
        <v>329</v>
      </c>
      <c r="S7291" t="s">
        <v>323</v>
      </c>
      <c r="T7291">
        <v>7.6</v>
      </c>
      <c r="W7291" t="s">
        <v>330</v>
      </c>
      <c r="Y7291" s="42">
        <v>43655</v>
      </c>
    </row>
    <row r="7292" spans="1:25">
      <c r="A7292">
        <v>18886</v>
      </c>
      <c r="B7292" t="s">
        <v>430</v>
      </c>
      <c r="C7292" t="s">
        <v>320</v>
      </c>
      <c r="D7292" t="s">
        <v>336</v>
      </c>
      <c r="E7292" t="s">
        <v>337</v>
      </c>
      <c r="F7292">
        <v>1</v>
      </c>
      <c r="G7292" s="42">
        <v>45081</v>
      </c>
      <c r="H7292">
        <v>152</v>
      </c>
      <c r="I7292">
        <v>18.7</v>
      </c>
      <c r="J7292">
        <v>113.68770000000001</v>
      </c>
      <c r="K7292">
        <v>132.3877</v>
      </c>
      <c r="L7292" t="s">
        <v>323</v>
      </c>
      <c r="M7292" s="43">
        <v>0.13125000000000001</v>
      </c>
      <c r="N7292" s="42">
        <v>44953</v>
      </c>
      <c r="O7292" t="s">
        <v>346</v>
      </c>
      <c r="P7292" s="42">
        <v>44953</v>
      </c>
      <c r="Q7292" t="s">
        <v>346</v>
      </c>
      <c r="R7292" t="s">
        <v>320</v>
      </c>
      <c r="S7292" t="s">
        <v>323</v>
      </c>
      <c r="T7292">
        <v>4</v>
      </c>
      <c r="V7292">
        <v>0</v>
      </c>
      <c r="Y7292" s="42">
        <v>44957</v>
      </c>
    </row>
    <row r="7293" spans="1:25">
      <c r="C7293" t="s">
        <v>325</v>
      </c>
      <c r="D7293" t="s">
        <v>395</v>
      </c>
      <c r="E7293" t="s">
        <v>396</v>
      </c>
      <c r="F7293">
        <v>1</v>
      </c>
      <c r="G7293" s="42">
        <v>47273</v>
      </c>
      <c r="H7293">
        <v>329.33339999999998</v>
      </c>
      <c r="I7293">
        <v>0</v>
      </c>
      <c r="J7293">
        <v>123.4212</v>
      </c>
      <c r="K7293">
        <v>123.4212</v>
      </c>
      <c r="L7293" t="s">
        <v>323</v>
      </c>
      <c r="N7293" s="42">
        <v>44952</v>
      </c>
      <c r="O7293" t="s">
        <v>324</v>
      </c>
      <c r="P7293" s="42">
        <v>44952</v>
      </c>
      <c r="Q7293" t="s">
        <v>324</v>
      </c>
      <c r="R7293" t="s">
        <v>320</v>
      </c>
      <c r="S7293" t="s">
        <v>323</v>
      </c>
      <c r="U7293">
        <v>7.6</v>
      </c>
      <c r="Y7293" s="42">
        <v>44957</v>
      </c>
    </row>
    <row r="7294" spans="1:25">
      <c r="C7294" t="s">
        <v>329</v>
      </c>
      <c r="D7294" t="s">
        <v>342</v>
      </c>
      <c r="E7294" t="s">
        <v>343</v>
      </c>
      <c r="F7294">
        <v>1</v>
      </c>
      <c r="G7294" s="42">
        <v>45081</v>
      </c>
      <c r="H7294">
        <v>76</v>
      </c>
      <c r="I7294">
        <v>195.6</v>
      </c>
      <c r="J7294">
        <v>56.843800000000002</v>
      </c>
      <c r="K7294">
        <v>252.44380000000001</v>
      </c>
      <c r="L7294" t="s">
        <v>323</v>
      </c>
      <c r="N7294" s="42">
        <v>44928</v>
      </c>
      <c r="O7294" t="s">
        <v>345</v>
      </c>
      <c r="P7294" s="42">
        <v>44928</v>
      </c>
      <c r="Q7294" t="s">
        <v>345</v>
      </c>
      <c r="R7294" t="s">
        <v>320</v>
      </c>
      <c r="S7294" t="s">
        <v>323</v>
      </c>
      <c r="U7294">
        <v>7.6</v>
      </c>
      <c r="Y7294" s="42">
        <v>44929</v>
      </c>
    </row>
    <row r="7295" spans="1:25">
      <c r="N7295" s="42">
        <v>44923</v>
      </c>
      <c r="O7295" t="s">
        <v>328</v>
      </c>
      <c r="P7295" s="42">
        <v>44925</v>
      </c>
      <c r="Q7295" t="s">
        <v>346</v>
      </c>
      <c r="R7295" t="s">
        <v>320</v>
      </c>
      <c r="S7295" t="s">
        <v>323</v>
      </c>
      <c r="T7295">
        <v>22.8</v>
      </c>
      <c r="V7295">
        <v>0</v>
      </c>
      <c r="Y7295" s="42">
        <v>44929</v>
      </c>
    </row>
    <row r="7296" spans="1:25">
      <c r="N7296" s="42">
        <v>44922</v>
      </c>
      <c r="O7296" t="s">
        <v>333</v>
      </c>
      <c r="P7296" s="42">
        <v>44922</v>
      </c>
      <c r="Q7296" t="s">
        <v>333</v>
      </c>
      <c r="R7296" t="s">
        <v>320</v>
      </c>
      <c r="S7296" t="s">
        <v>323</v>
      </c>
      <c r="U7296">
        <v>7.6</v>
      </c>
      <c r="Y7296" s="42">
        <v>44929</v>
      </c>
    </row>
    <row r="7297" spans="14:25">
      <c r="N7297" s="42">
        <v>44921</v>
      </c>
      <c r="O7297" t="s">
        <v>345</v>
      </c>
      <c r="P7297" s="42">
        <v>44921</v>
      </c>
      <c r="Q7297" t="s">
        <v>345</v>
      </c>
      <c r="R7297" t="s">
        <v>320</v>
      </c>
      <c r="S7297" t="s">
        <v>323</v>
      </c>
      <c r="U7297">
        <v>7.6</v>
      </c>
      <c r="Y7297" s="42">
        <v>44929</v>
      </c>
    </row>
    <row r="7298" spans="14:25">
      <c r="N7298" s="42">
        <v>44916</v>
      </c>
      <c r="O7298" t="s">
        <v>328</v>
      </c>
      <c r="P7298" s="42">
        <v>44918</v>
      </c>
      <c r="Q7298" t="s">
        <v>346</v>
      </c>
      <c r="R7298" t="s">
        <v>320</v>
      </c>
      <c r="S7298" t="s">
        <v>323</v>
      </c>
      <c r="T7298">
        <v>22.8</v>
      </c>
      <c r="U7298">
        <v>0</v>
      </c>
      <c r="V7298">
        <v>0</v>
      </c>
      <c r="Y7298" s="42">
        <v>44929</v>
      </c>
    </row>
    <row r="7299" spans="14:25">
      <c r="N7299" s="42">
        <v>44914</v>
      </c>
      <c r="O7299" t="s">
        <v>345</v>
      </c>
      <c r="P7299" s="42">
        <v>44915</v>
      </c>
      <c r="Q7299" t="s">
        <v>333</v>
      </c>
      <c r="R7299" t="s">
        <v>320</v>
      </c>
      <c r="S7299" t="s">
        <v>323</v>
      </c>
      <c r="T7299">
        <v>15.2</v>
      </c>
      <c r="U7299">
        <v>0</v>
      </c>
      <c r="V7299">
        <v>0</v>
      </c>
      <c r="Y7299" s="42">
        <v>44915</v>
      </c>
    </row>
    <row r="7300" spans="14:25">
      <c r="N7300" s="42">
        <v>44901</v>
      </c>
      <c r="O7300" t="s">
        <v>333</v>
      </c>
      <c r="P7300" s="42">
        <v>44901</v>
      </c>
      <c r="Q7300" t="s">
        <v>333</v>
      </c>
      <c r="R7300" t="s">
        <v>320</v>
      </c>
      <c r="S7300" t="s">
        <v>323</v>
      </c>
      <c r="T7300">
        <v>7.6</v>
      </c>
      <c r="V7300">
        <v>0</v>
      </c>
      <c r="Y7300" s="42">
        <v>44901</v>
      </c>
    </row>
    <row r="7301" spans="14:25">
      <c r="N7301" s="42">
        <v>44890</v>
      </c>
      <c r="O7301" t="s">
        <v>346</v>
      </c>
      <c r="P7301" s="42">
        <v>44890</v>
      </c>
      <c r="Q7301" t="s">
        <v>346</v>
      </c>
      <c r="R7301" t="s">
        <v>320</v>
      </c>
      <c r="S7301" t="s">
        <v>323</v>
      </c>
      <c r="T7301">
        <v>7.6</v>
      </c>
      <c r="V7301">
        <v>0</v>
      </c>
      <c r="Y7301" s="42">
        <v>44901</v>
      </c>
    </row>
    <row r="7302" spans="14:25">
      <c r="N7302" s="42">
        <v>44888</v>
      </c>
      <c r="O7302" t="s">
        <v>328</v>
      </c>
      <c r="P7302" s="42">
        <v>44888</v>
      </c>
      <c r="Q7302" t="s">
        <v>328</v>
      </c>
      <c r="R7302" t="s">
        <v>329</v>
      </c>
      <c r="S7302" t="s">
        <v>323</v>
      </c>
      <c r="T7302">
        <v>2</v>
      </c>
      <c r="W7302" t="s">
        <v>339</v>
      </c>
      <c r="Y7302" s="42">
        <v>44901</v>
      </c>
    </row>
    <row r="7303" spans="14:25">
      <c r="N7303" s="42">
        <v>44845</v>
      </c>
      <c r="O7303" t="s">
        <v>333</v>
      </c>
      <c r="P7303" s="42">
        <v>44845</v>
      </c>
      <c r="Q7303" t="s">
        <v>333</v>
      </c>
      <c r="R7303" t="s">
        <v>383</v>
      </c>
      <c r="S7303" t="s">
        <v>323</v>
      </c>
      <c r="T7303">
        <v>53.2</v>
      </c>
      <c r="W7303" t="s">
        <v>339</v>
      </c>
      <c r="Y7303" s="42">
        <v>44845</v>
      </c>
    </row>
    <row r="7304" spans="14:25">
      <c r="N7304" s="42">
        <v>44837</v>
      </c>
      <c r="O7304" t="s">
        <v>345</v>
      </c>
      <c r="P7304" s="42">
        <v>44837</v>
      </c>
      <c r="Q7304" t="s">
        <v>345</v>
      </c>
      <c r="R7304" t="s">
        <v>320</v>
      </c>
      <c r="S7304" t="s">
        <v>323</v>
      </c>
      <c r="U7304">
        <v>7.6</v>
      </c>
      <c r="Y7304" s="42">
        <v>44845</v>
      </c>
    </row>
    <row r="7305" spans="14:25">
      <c r="N7305" s="42">
        <v>44827</v>
      </c>
      <c r="O7305" t="s">
        <v>346</v>
      </c>
      <c r="P7305" s="42">
        <v>44827</v>
      </c>
      <c r="Q7305" t="s">
        <v>346</v>
      </c>
      <c r="R7305" t="s">
        <v>320</v>
      </c>
      <c r="S7305" t="s">
        <v>323</v>
      </c>
      <c r="T7305">
        <v>7.6</v>
      </c>
      <c r="V7305">
        <v>0</v>
      </c>
      <c r="Y7305" s="42">
        <v>44831</v>
      </c>
    </row>
    <row r="7306" spans="14:25">
      <c r="N7306" s="42">
        <v>44826</v>
      </c>
      <c r="O7306" t="s">
        <v>324</v>
      </c>
      <c r="P7306" s="42">
        <v>44826</v>
      </c>
      <c r="Q7306" t="s">
        <v>324</v>
      </c>
      <c r="R7306" t="s">
        <v>320</v>
      </c>
      <c r="S7306" t="s">
        <v>323</v>
      </c>
      <c r="U7306">
        <v>7.6</v>
      </c>
      <c r="Y7306" s="42">
        <v>44831</v>
      </c>
    </row>
    <row r="7307" spans="14:25">
      <c r="N7307" s="42">
        <v>44783</v>
      </c>
      <c r="O7307" t="s">
        <v>328</v>
      </c>
      <c r="P7307" s="42">
        <v>44783</v>
      </c>
      <c r="Q7307" t="s">
        <v>328</v>
      </c>
      <c r="R7307" t="s">
        <v>320</v>
      </c>
      <c r="S7307" t="s">
        <v>323</v>
      </c>
      <c r="U7307">
        <v>7.6</v>
      </c>
      <c r="Y7307" s="42">
        <v>44789</v>
      </c>
    </row>
    <row r="7308" spans="14:25">
      <c r="N7308" s="42">
        <v>44762</v>
      </c>
      <c r="O7308" t="s">
        <v>328</v>
      </c>
      <c r="P7308" s="42">
        <v>44762</v>
      </c>
      <c r="Q7308" t="s">
        <v>328</v>
      </c>
      <c r="R7308" t="s">
        <v>320</v>
      </c>
      <c r="S7308" t="s">
        <v>323</v>
      </c>
      <c r="T7308">
        <v>7.6</v>
      </c>
      <c r="U7308">
        <v>0</v>
      </c>
      <c r="V7308">
        <v>0</v>
      </c>
      <c r="Y7308" s="42">
        <v>44775</v>
      </c>
    </row>
    <row r="7309" spans="14:25">
      <c r="N7309" s="42">
        <v>44760</v>
      </c>
      <c r="O7309" t="s">
        <v>345</v>
      </c>
      <c r="P7309" s="42">
        <v>44761</v>
      </c>
      <c r="Q7309" t="s">
        <v>333</v>
      </c>
      <c r="R7309" t="s">
        <v>320</v>
      </c>
      <c r="S7309" t="s">
        <v>323</v>
      </c>
      <c r="T7309">
        <v>15.2</v>
      </c>
      <c r="U7309">
        <v>0</v>
      </c>
      <c r="V7309">
        <v>0</v>
      </c>
      <c r="Y7309" s="42">
        <v>44761</v>
      </c>
    </row>
    <row r="7310" spans="14:25">
      <c r="N7310" s="42">
        <v>44742</v>
      </c>
      <c r="O7310" t="s">
        <v>324</v>
      </c>
      <c r="P7310" s="42">
        <v>44743</v>
      </c>
      <c r="Q7310" t="s">
        <v>346</v>
      </c>
      <c r="R7310" t="s">
        <v>320</v>
      </c>
      <c r="S7310" t="s">
        <v>323</v>
      </c>
      <c r="T7310">
        <v>15.2</v>
      </c>
      <c r="V7310">
        <v>0</v>
      </c>
      <c r="Y7310" s="42">
        <v>44747</v>
      </c>
    </row>
    <row r="7311" spans="14:25">
      <c r="N7311" s="42">
        <v>44683</v>
      </c>
      <c r="O7311" t="s">
        <v>345</v>
      </c>
      <c r="P7311" s="42">
        <v>44683</v>
      </c>
      <c r="Q7311" t="s">
        <v>345</v>
      </c>
      <c r="R7311" t="s">
        <v>320</v>
      </c>
      <c r="S7311" t="s">
        <v>323</v>
      </c>
      <c r="U7311">
        <v>7.6</v>
      </c>
      <c r="Y7311" s="42">
        <v>44691</v>
      </c>
    </row>
    <row r="7312" spans="14:25">
      <c r="N7312" s="42">
        <v>44676</v>
      </c>
      <c r="O7312" t="s">
        <v>345</v>
      </c>
      <c r="P7312" s="42">
        <v>44676</v>
      </c>
      <c r="Q7312" t="s">
        <v>345</v>
      </c>
      <c r="R7312" t="s">
        <v>320</v>
      </c>
      <c r="S7312" t="s">
        <v>323</v>
      </c>
      <c r="U7312">
        <v>7.6</v>
      </c>
      <c r="Y7312" s="42">
        <v>44677</v>
      </c>
    </row>
    <row r="7313" spans="14:25">
      <c r="N7313" s="42">
        <v>44669</v>
      </c>
      <c r="O7313" t="s">
        <v>345</v>
      </c>
      <c r="P7313" s="42">
        <v>44669</v>
      </c>
      <c r="Q7313" t="s">
        <v>345</v>
      </c>
      <c r="R7313" t="s">
        <v>320</v>
      </c>
      <c r="S7313" t="s">
        <v>323</v>
      </c>
      <c r="U7313">
        <v>7.6</v>
      </c>
      <c r="Y7313" s="42">
        <v>44677</v>
      </c>
    </row>
    <row r="7314" spans="14:25">
      <c r="N7314" s="42">
        <v>44666</v>
      </c>
      <c r="O7314" t="s">
        <v>346</v>
      </c>
      <c r="P7314" s="42">
        <v>44666</v>
      </c>
      <c r="Q7314" t="s">
        <v>346</v>
      </c>
      <c r="R7314" t="s">
        <v>320</v>
      </c>
      <c r="S7314" t="s">
        <v>323</v>
      </c>
      <c r="U7314">
        <v>7.6</v>
      </c>
      <c r="Y7314" s="42">
        <v>44677</v>
      </c>
    </row>
    <row r="7315" spans="14:25">
      <c r="N7315" s="42">
        <v>44638</v>
      </c>
      <c r="O7315" t="s">
        <v>346</v>
      </c>
      <c r="P7315" s="42">
        <v>44641</v>
      </c>
      <c r="Q7315" t="s">
        <v>345</v>
      </c>
      <c r="R7315" t="s">
        <v>320</v>
      </c>
      <c r="S7315" t="s">
        <v>323</v>
      </c>
      <c r="T7315">
        <v>15.2</v>
      </c>
      <c r="V7315">
        <v>0</v>
      </c>
      <c r="Y7315" s="42">
        <v>44649</v>
      </c>
    </row>
    <row r="7316" spans="14:25">
      <c r="N7316" s="42">
        <v>44587</v>
      </c>
      <c r="O7316" t="s">
        <v>328</v>
      </c>
      <c r="P7316" s="42">
        <v>44587</v>
      </c>
      <c r="Q7316" t="s">
        <v>328</v>
      </c>
      <c r="R7316" t="s">
        <v>320</v>
      </c>
      <c r="S7316" t="s">
        <v>323</v>
      </c>
      <c r="U7316">
        <v>7.6</v>
      </c>
      <c r="Y7316" s="42">
        <v>44593</v>
      </c>
    </row>
    <row r="7317" spans="14:25">
      <c r="N7317" s="42">
        <v>44564</v>
      </c>
      <c r="O7317" t="s">
        <v>345</v>
      </c>
      <c r="P7317" s="42">
        <v>44564</v>
      </c>
      <c r="Q7317" t="s">
        <v>345</v>
      </c>
      <c r="R7317" t="s">
        <v>320</v>
      </c>
      <c r="S7317" t="s">
        <v>323</v>
      </c>
      <c r="U7317">
        <v>7.6</v>
      </c>
      <c r="Y7317" s="42">
        <v>44565</v>
      </c>
    </row>
    <row r="7318" spans="14:25">
      <c r="N7318" s="42">
        <v>44554</v>
      </c>
      <c r="O7318" t="s">
        <v>346</v>
      </c>
      <c r="P7318" s="42">
        <v>44561</v>
      </c>
      <c r="Q7318" t="s">
        <v>346</v>
      </c>
      <c r="R7318" t="s">
        <v>320</v>
      </c>
      <c r="S7318" t="s">
        <v>323</v>
      </c>
      <c r="T7318">
        <v>30.4</v>
      </c>
      <c r="U7318">
        <v>15.2</v>
      </c>
      <c r="V7318">
        <v>0</v>
      </c>
      <c r="Y7318" s="42">
        <v>44565</v>
      </c>
    </row>
    <row r="7319" spans="14:25">
      <c r="N7319" s="42">
        <v>44543</v>
      </c>
      <c r="O7319" t="s">
        <v>345</v>
      </c>
      <c r="P7319" s="42">
        <v>44547</v>
      </c>
      <c r="Q7319" t="s">
        <v>346</v>
      </c>
      <c r="R7319" t="s">
        <v>320</v>
      </c>
      <c r="S7319" t="s">
        <v>323</v>
      </c>
      <c r="T7319">
        <v>38</v>
      </c>
      <c r="V7319">
        <v>0</v>
      </c>
      <c r="Y7319" s="42">
        <v>44551</v>
      </c>
    </row>
    <row r="7320" spans="14:25">
      <c r="N7320" s="42">
        <v>44502</v>
      </c>
      <c r="O7320" t="s">
        <v>333</v>
      </c>
      <c r="P7320" s="42">
        <v>44502</v>
      </c>
      <c r="Q7320" t="s">
        <v>333</v>
      </c>
      <c r="R7320" t="s">
        <v>320</v>
      </c>
      <c r="S7320" t="s">
        <v>323</v>
      </c>
      <c r="T7320">
        <v>3.8</v>
      </c>
      <c r="V7320">
        <v>0</v>
      </c>
      <c r="Y7320" s="42">
        <v>44509</v>
      </c>
    </row>
    <row r="7321" spans="14:25">
      <c r="N7321" s="42">
        <v>44473</v>
      </c>
      <c r="O7321" t="s">
        <v>345</v>
      </c>
      <c r="P7321" s="42">
        <v>44473</v>
      </c>
      <c r="Q7321" t="s">
        <v>345</v>
      </c>
      <c r="R7321" t="s">
        <v>320</v>
      </c>
      <c r="S7321" t="s">
        <v>323</v>
      </c>
      <c r="U7321">
        <v>7.6</v>
      </c>
      <c r="Y7321" s="42">
        <v>44481</v>
      </c>
    </row>
    <row r="7322" spans="14:25">
      <c r="N7322" s="42">
        <v>44470</v>
      </c>
      <c r="O7322" t="s">
        <v>346</v>
      </c>
      <c r="P7322" s="42">
        <v>44470</v>
      </c>
      <c r="Q7322" t="s">
        <v>346</v>
      </c>
      <c r="R7322" t="s">
        <v>320</v>
      </c>
      <c r="S7322" t="s">
        <v>323</v>
      </c>
      <c r="T7322">
        <v>7.6</v>
      </c>
      <c r="V7322">
        <v>0</v>
      </c>
      <c r="Y7322" s="42">
        <v>44481</v>
      </c>
    </row>
    <row r="7323" spans="14:25">
      <c r="N7323" s="42">
        <v>44385</v>
      </c>
      <c r="O7323" t="s">
        <v>324</v>
      </c>
      <c r="P7323" s="42">
        <v>44385</v>
      </c>
      <c r="Q7323" t="s">
        <v>324</v>
      </c>
      <c r="R7323" t="s">
        <v>320</v>
      </c>
      <c r="S7323" t="s">
        <v>323</v>
      </c>
      <c r="T7323">
        <v>7.6</v>
      </c>
      <c r="V7323">
        <v>0</v>
      </c>
      <c r="Y7323" s="42">
        <v>44397</v>
      </c>
    </row>
    <row r="7324" spans="14:25">
      <c r="N7324" s="42">
        <v>44351</v>
      </c>
      <c r="O7324" t="s">
        <v>346</v>
      </c>
      <c r="P7324" s="42">
        <v>44351</v>
      </c>
      <c r="Q7324" t="s">
        <v>346</v>
      </c>
      <c r="R7324" t="s">
        <v>347</v>
      </c>
      <c r="S7324" t="s">
        <v>323</v>
      </c>
      <c r="T7324">
        <v>7.6</v>
      </c>
      <c r="W7324" t="s">
        <v>339</v>
      </c>
      <c r="Y7324" s="42">
        <v>44355</v>
      </c>
    </row>
    <row r="7325" spans="14:25">
      <c r="N7325" s="42">
        <v>44319</v>
      </c>
      <c r="O7325" t="s">
        <v>345</v>
      </c>
      <c r="P7325" s="42">
        <v>44319</v>
      </c>
      <c r="Q7325" t="s">
        <v>345</v>
      </c>
      <c r="R7325" t="s">
        <v>320</v>
      </c>
      <c r="S7325" t="s">
        <v>323</v>
      </c>
      <c r="U7325">
        <v>7.6</v>
      </c>
      <c r="Y7325" s="42">
        <v>44327</v>
      </c>
    </row>
    <row r="7326" spans="14:25">
      <c r="N7326" s="42">
        <v>44312</v>
      </c>
      <c r="O7326" t="s">
        <v>345</v>
      </c>
      <c r="P7326" s="42">
        <v>44312</v>
      </c>
      <c r="Q7326" t="s">
        <v>345</v>
      </c>
      <c r="R7326" t="s">
        <v>320</v>
      </c>
      <c r="S7326" t="s">
        <v>323</v>
      </c>
      <c r="U7326">
        <v>7.6</v>
      </c>
      <c r="Y7326" s="42">
        <v>44313</v>
      </c>
    </row>
    <row r="7327" spans="14:25">
      <c r="N7327" s="42">
        <v>44291</v>
      </c>
      <c r="O7327" t="s">
        <v>345</v>
      </c>
      <c r="P7327" s="42">
        <v>44291</v>
      </c>
      <c r="Q7327" t="s">
        <v>345</v>
      </c>
      <c r="R7327" t="s">
        <v>320</v>
      </c>
      <c r="S7327" t="s">
        <v>323</v>
      </c>
      <c r="U7327">
        <v>7.6</v>
      </c>
      <c r="Y7327" s="42">
        <v>44299</v>
      </c>
    </row>
    <row r="7328" spans="14:25">
      <c r="N7328" s="42">
        <v>44288</v>
      </c>
      <c r="O7328" t="s">
        <v>346</v>
      </c>
      <c r="P7328" s="42">
        <v>44288</v>
      </c>
      <c r="Q7328" t="s">
        <v>346</v>
      </c>
      <c r="R7328" t="s">
        <v>320</v>
      </c>
      <c r="S7328" t="s">
        <v>323</v>
      </c>
      <c r="U7328">
        <v>7.6</v>
      </c>
      <c r="Y7328" s="42">
        <v>44299</v>
      </c>
    </row>
    <row r="7329" spans="14:25">
      <c r="N7329" s="42">
        <v>44287</v>
      </c>
      <c r="O7329" t="s">
        <v>324</v>
      </c>
      <c r="P7329" s="42">
        <v>44287</v>
      </c>
      <c r="Q7329" t="s">
        <v>324</v>
      </c>
      <c r="R7329" t="s">
        <v>320</v>
      </c>
      <c r="S7329" t="s">
        <v>323</v>
      </c>
      <c r="T7329">
        <v>7.6</v>
      </c>
      <c r="V7329">
        <v>0</v>
      </c>
      <c r="Y7329" s="42">
        <v>44299</v>
      </c>
    </row>
    <row r="7330" spans="14:25">
      <c r="N7330" s="42">
        <v>44274</v>
      </c>
      <c r="O7330" t="s">
        <v>346</v>
      </c>
      <c r="P7330" s="42">
        <v>44274</v>
      </c>
      <c r="Q7330" t="s">
        <v>346</v>
      </c>
      <c r="R7330" t="s">
        <v>320</v>
      </c>
      <c r="S7330" t="s">
        <v>323</v>
      </c>
      <c r="T7330">
        <v>7.6</v>
      </c>
      <c r="V7330">
        <v>0</v>
      </c>
      <c r="Y7330" s="42">
        <v>44285</v>
      </c>
    </row>
    <row r="7331" spans="14:25">
      <c r="N7331" s="42">
        <v>44222</v>
      </c>
      <c r="O7331" t="s">
        <v>333</v>
      </c>
      <c r="P7331" s="42">
        <v>44222</v>
      </c>
      <c r="Q7331" t="s">
        <v>333</v>
      </c>
      <c r="R7331" t="s">
        <v>320</v>
      </c>
      <c r="S7331" t="s">
        <v>323</v>
      </c>
      <c r="U7331">
        <v>7.6</v>
      </c>
      <c r="Y7331" s="42">
        <v>44229</v>
      </c>
    </row>
    <row r="7332" spans="14:25">
      <c r="N7332" s="42">
        <v>44221</v>
      </c>
      <c r="O7332" t="s">
        <v>345</v>
      </c>
      <c r="P7332" s="42">
        <v>44221</v>
      </c>
      <c r="Q7332" t="s">
        <v>345</v>
      </c>
      <c r="R7332" t="s">
        <v>320</v>
      </c>
      <c r="S7332" t="s">
        <v>323</v>
      </c>
      <c r="T7332">
        <v>7.6</v>
      </c>
      <c r="V7332">
        <v>0</v>
      </c>
      <c r="Y7332" s="42">
        <v>44229</v>
      </c>
    </row>
    <row r="7333" spans="14:25">
      <c r="N7333" s="42">
        <v>44197</v>
      </c>
      <c r="O7333" t="s">
        <v>346</v>
      </c>
      <c r="P7333" s="42">
        <v>44197</v>
      </c>
      <c r="Q7333" t="s">
        <v>346</v>
      </c>
      <c r="R7333" t="s">
        <v>320</v>
      </c>
      <c r="S7333" t="s">
        <v>323</v>
      </c>
      <c r="U7333">
        <v>7.6</v>
      </c>
      <c r="Y7333" s="42">
        <v>44201</v>
      </c>
    </row>
    <row r="7334" spans="14:25">
      <c r="N7334" s="42">
        <v>44193</v>
      </c>
      <c r="O7334" t="s">
        <v>345</v>
      </c>
      <c r="P7334" s="42">
        <v>44193</v>
      </c>
      <c r="Q7334" t="s">
        <v>345</v>
      </c>
      <c r="R7334" t="s">
        <v>320</v>
      </c>
      <c r="S7334" t="s">
        <v>323</v>
      </c>
      <c r="U7334">
        <v>7.6</v>
      </c>
      <c r="Y7334" s="42">
        <v>44201</v>
      </c>
    </row>
    <row r="7335" spans="14:25">
      <c r="N7335" s="42">
        <v>44190</v>
      </c>
      <c r="O7335" t="s">
        <v>346</v>
      </c>
      <c r="P7335" s="42">
        <v>44190</v>
      </c>
      <c r="Q7335" t="s">
        <v>346</v>
      </c>
      <c r="R7335" t="s">
        <v>320</v>
      </c>
      <c r="S7335" t="s">
        <v>323</v>
      </c>
      <c r="U7335">
        <v>7.6</v>
      </c>
      <c r="Y7335" s="42">
        <v>44201</v>
      </c>
    </row>
    <row r="7336" spans="14:25">
      <c r="N7336" s="42">
        <v>44179</v>
      </c>
      <c r="O7336" t="s">
        <v>345</v>
      </c>
      <c r="P7336" s="42">
        <v>44183</v>
      </c>
      <c r="Q7336" t="s">
        <v>346</v>
      </c>
      <c r="R7336" t="s">
        <v>320</v>
      </c>
      <c r="S7336" t="s">
        <v>323</v>
      </c>
      <c r="T7336">
        <v>38</v>
      </c>
      <c r="V7336">
        <v>0</v>
      </c>
      <c r="Y7336" s="42">
        <v>44187</v>
      </c>
    </row>
    <row r="7337" spans="14:25">
      <c r="N7337" s="42">
        <v>44174</v>
      </c>
      <c r="O7337" t="s">
        <v>328</v>
      </c>
      <c r="P7337" s="42">
        <v>44174</v>
      </c>
      <c r="Q7337" t="s">
        <v>328</v>
      </c>
      <c r="R7337" t="s">
        <v>320</v>
      </c>
      <c r="S7337" t="s">
        <v>323</v>
      </c>
      <c r="T7337">
        <v>7.6</v>
      </c>
      <c r="V7337">
        <v>0</v>
      </c>
      <c r="Y7337" s="42">
        <v>44187</v>
      </c>
    </row>
    <row r="7338" spans="14:25">
      <c r="N7338" s="42">
        <v>44138</v>
      </c>
      <c r="O7338" t="s">
        <v>333</v>
      </c>
      <c r="P7338" s="42">
        <v>44138</v>
      </c>
      <c r="Q7338" t="s">
        <v>333</v>
      </c>
      <c r="R7338" t="s">
        <v>320</v>
      </c>
      <c r="S7338" t="s">
        <v>323</v>
      </c>
      <c r="T7338">
        <v>7.6</v>
      </c>
      <c r="V7338">
        <v>0</v>
      </c>
      <c r="Y7338" s="42">
        <v>44145</v>
      </c>
    </row>
    <row r="7339" spans="14:25">
      <c r="N7339" s="42">
        <v>44109</v>
      </c>
      <c r="O7339" t="s">
        <v>345</v>
      </c>
      <c r="P7339" s="42">
        <v>44109</v>
      </c>
      <c r="Q7339" t="s">
        <v>345</v>
      </c>
      <c r="R7339" t="s">
        <v>320</v>
      </c>
      <c r="S7339" t="s">
        <v>323</v>
      </c>
      <c r="U7339">
        <v>7.6</v>
      </c>
      <c r="Y7339" s="42">
        <v>44117</v>
      </c>
    </row>
    <row r="7340" spans="14:25">
      <c r="N7340" s="42">
        <v>44057</v>
      </c>
      <c r="O7340" t="s">
        <v>346</v>
      </c>
      <c r="P7340" s="42">
        <v>44057</v>
      </c>
      <c r="Q7340" t="s">
        <v>346</v>
      </c>
      <c r="R7340" t="s">
        <v>320</v>
      </c>
      <c r="S7340" t="s">
        <v>323</v>
      </c>
      <c r="T7340">
        <v>7.6</v>
      </c>
      <c r="Y7340" s="42">
        <v>44061</v>
      </c>
    </row>
    <row r="7341" spans="14:25">
      <c r="N7341" s="42">
        <v>43987</v>
      </c>
      <c r="O7341" t="s">
        <v>346</v>
      </c>
      <c r="P7341" s="42">
        <v>43987</v>
      </c>
      <c r="Q7341" t="s">
        <v>346</v>
      </c>
      <c r="R7341" t="s">
        <v>320</v>
      </c>
      <c r="S7341" t="s">
        <v>323</v>
      </c>
      <c r="T7341">
        <v>7.6</v>
      </c>
      <c r="V7341">
        <v>0</v>
      </c>
      <c r="Y7341" s="42">
        <v>43991</v>
      </c>
    </row>
    <row r="7342" spans="14:25">
      <c r="N7342" s="42">
        <v>43962</v>
      </c>
      <c r="O7342" t="s">
        <v>345</v>
      </c>
      <c r="P7342" s="42">
        <v>43962</v>
      </c>
      <c r="Q7342" t="s">
        <v>345</v>
      </c>
      <c r="R7342" t="s">
        <v>320</v>
      </c>
      <c r="S7342" t="s">
        <v>323</v>
      </c>
      <c r="T7342">
        <v>7.6</v>
      </c>
      <c r="V7342">
        <v>0</v>
      </c>
      <c r="Y7342" s="42">
        <v>43963</v>
      </c>
    </row>
    <row r="7343" spans="14:25">
      <c r="N7343" s="42">
        <v>43934</v>
      </c>
      <c r="O7343" t="s">
        <v>345</v>
      </c>
      <c r="P7343" s="42">
        <v>43934</v>
      </c>
      <c r="Q7343" t="s">
        <v>345</v>
      </c>
      <c r="R7343" t="s">
        <v>320</v>
      </c>
      <c r="S7343" t="s">
        <v>323</v>
      </c>
      <c r="T7343">
        <v>0</v>
      </c>
      <c r="U7343">
        <v>7.6</v>
      </c>
      <c r="Y7343" s="42">
        <v>43935</v>
      </c>
    </row>
    <row r="7344" spans="14:25">
      <c r="N7344" s="42">
        <v>43931</v>
      </c>
      <c r="O7344" t="s">
        <v>346</v>
      </c>
      <c r="P7344" s="42">
        <v>43931</v>
      </c>
      <c r="Q7344" t="s">
        <v>346</v>
      </c>
      <c r="R7344" t="s">
        <v>320</v>
      </c>
      <c r="S7344" t="s">
        <v>323</v>
      </c>
      <c r="T7344">
        <v>0</v>
      </c>
      <c r="U7344">
        <v>7.6</v>
      </c>
      <c r="Y7344" s="42">
        <v>43935</v>
      </c>
    </row>
    <row r="7345" spans="1:25">
      <c r="N7345" s="42">
        <v>43896</v>
      </c>
      <c r="O7345" t="s">
        <v>346</v>
      </c>
      <c r="P7345" s="42">
        <v>43896</v>
      </c>
      <c r="Q7345" t="s">
        <v>346</v>
      </c>
      <c r="R7345" t="s">
        <v>329</v>
      </c>
      <c r="S7345" t="s">
        <v>323</v>
      </c>
      <c r="T7345">
        <v>7.6</v>
      </c>
      <c r="W7345" t="s">
        <v>339</v>
      </c>
      <c r="Y7345" s="42">
        <v>43907</v>
      </c>
    </row>
    <row r="7346" spans="1:25">
      <c r="N7346" s="42">
        <v>43857</v>
      </c>
      <c r="O7346" t="s">
        <v>345</v>
      </c>
      <c r="P7346" s="42">
        <v>43857</v>
      </c>
      <c r="Q7346" t="s">
        <v>345</v>
      </c>
      <c r="R7346" t="s">
        <v>320</v>
      </c>
      <c r="S7346" t="s">
        <v>323</v>
      </c>
      <c r="T7346">
        <v>0</v>
      </c>
      <c r="U7346">
        <v>7.6</v>
      </c>
      <c r="Y7346" s="42">
        <v>43865</v>
      </c>
    </row>
    <row r="7347" spans="1:25">
      <c r="N7347" s="42">
        <v>43839</v>
      </c>
      <c r="O7347" t="s">
        <v>324</v>
      </c>
      <c r="P7347" s="42">
        <v>43840</v>
      </c>
      <c r="Q7347" t="s">
        <v>346</v>
      </c>
      <c r="R7347" t="s">
        <v>347</v>
      </c>
      <c r="S7347" t="s">
        <v>323</v>
      </c>
      <c r="T7347">
        <v>15.2</v>
      </c>
      <c r="W7347" t="s">
        <v>339</v>
      </c>
      <c r="Y7347" s="42">
        <v>43851</v>
      </c>
    </row>
    <row r="7348" spans="1:25">
      <c r="N7348" s="42">
        <v>43831</v>
      </c>
      <c r="O7348" t="s">
        <v>328</v>
      </c>
      <c r="P7348" s="42">
        <v>43831</v>
      </c>
      <c r="Q7348" t="s">
        <v>328</v>
      </c>
      <c r="R7348" t="s">
        <v>320</v>
      </c>
      <c r="S7348" t="s">
        <v>323</v>
      </c>
      <c r="T7348">
        <v>0</v>
      </c>
      <c r="U7348">
        <v>7.6</v>
      </c>
      <c r="Y7348" s="42">
        <v>43837</v>
      </c>
    </row>
    <row r="7349" spans="1:25">
      <c r="N7349" s="42">
        <v>43824</v>
      </c>
      <c r="O7349" t="s">
        <v>328</v>
      </c>
      <c r="P7349" s="42">
        <v>43825</v>
      </c>
      <c r="Q7349" t="s">
        <v>324</v>
      </c>
      <c r="R7349" t="s">
        <v>320</v>
      </c>
      <c r="S7349" t="s">
        <v>323</v>
      </c>
      <c r="T7349">
        <v>0</v>
      </c>
      <c r="U7349">
        <v>15.2</v>
      </c>
      <c r="Y7349" s="42">
        <v>43837</v>
      </c>
    </row>
    <row r="7350" spans="1:25">
      <c r="N7350" s="42">
        <v>43815</v>
      </c>
      <c r="O7350" t="s">
        <v>345</v>
      </c>
      <c r="P7350" s="42">
        <v>43819</v>
      </c>
      <c r="Q7350" t="s">
        <v>346</v>
      </c>
      <c r="R7350" t="s">
        <v>320</v>
      </c>
      <c r="S7350" t="s">
        <v>323</v>
      </c>
      <c r="T7350">
        <v>38</v>
      </c>
      <c r="V7350">
        <v>0</v>
      </c>
      <c r="Y7350" s="42">
        <v>43823</v>
      </c>
    </row>
    <row r="7351" spans="1:25">
      <c r="N7351" s="42">
        <v>43663</v>
      </c>
      <c r="O7351" t="s">
        <v>328</v>
      </c>
      <c r="P7351" s="42">
        <v>43665</v>
      </c>
      <c r="Q7351" t="s">
        <v>346</v>
      </c>
      <c r="R7351" t="s">
        <v>320</v>
      </c>
      <c r="S7351" t="s">
        <v>323</v>
      </c>
      <c r="T7351">
        <v>19.100000000000001</v>
      </c>
      <c r="V7351">
        <v>0</v>
      </c>
      <c r="Y7351" s="42">
        <v>43669</v>
      </c>
    </row>
    <row r="7352" spans="1:25">
      <c r="A7352">
        <v>18887</v>
      </c>
      <c r="B7352" t="s">
        <v>431</v>
      </c>
      <c r="C7352" t="s">
        <v>320</v>
      </c>
      <c r="D7352" t="s">
        <v>336</v>
      </c>
      <c r="E7352" t="s">
        <v>337</v>
      </c>
      <c r="F7352">
        <v>1</v>
      </c>
      <c r="G7352" s="42">
        <v>45088</v>
      </c>
      <c r="H7352">
        <v>152</v>
      </c>
      <c r="I7352">
        <v>174.8</v>
      </c>
      <c r="J7352">
        <v>110.7726</v>
      </c>
      <c r="K7352">
        <v>285.57260000000002</v>
      </c>
      <c r="L7352" t="s">
        <v>323</v>
      </c>
      <c r="M7352" s="43">
        <v>0.13055555555555556</v>
      </c>
      <c r="N7352" s="42">
        <v>44952</v>
      </c>
      <c r="O7352" t="s">
        <v>324</v>
      </c>
      <c r="P7352" s="42">
        <v>44952</v>
      </c>
      <c r="Q7352" t="s">
        <v>324</v>
      </c>
      <c r="R7352" t="s">
        <v>320</v>
      </c>
      <c r="S7352" t="s">
        <v>323</v>
      </c>
      <c r="U7352">
        <v>7.6</v>
      </c>
    </row>
    <row r="7353" spans="1:25">
      <c r="C7353" t="s">
        <v>325</v>
      </c>
      <c r="D7353" t="s">
        <v>340</v>
      </c>
      <c r="E7353" t="s">
        <v>341</v>
      </c>
      <c r="F7353">
        <v>1</v>
      </c>
      <c r="G7353" s="42">
        <v>46184</v>
      </c>
      <c r="H7353">
        <v>230.54220000000001</v>
      </c>
      <c r="I7353">
        <v>0</v>
      </c>
      <c r="J7353">
        <v>122.7996</v>
      </c>
      <c r="K7353">
        <v>122.7996</v>
      </c>
      <c r="L7353" t="s">
        <v>323</v>
      </c>
      <c r="N7353" s="42">
        <v>44928</v>
      </c>
      <c r="O7353" t="s">
        <v>345</v>
      </c>
      <c r="P7353" s="42">
        <v>44928</v>
      </c>
      <c r="Q7353" t="s">
        <v>345</v>
      </c>
      <c r="R7353" t="s">
        <v>320</v>
      </c>
      <c r="S7353" t="s">
        <v>323</v>
      </c>
      <c r="U7353">
        <v>7.6</v>
      </c>
    </row>
    <row r="7354" spans="1:25">
      <c r="C7354" t="s">
        <v>329</v>
      </c>
      <c r="D7354" t="s">
        <v>342</v>
      </c>
      <c r="E7354" t="s">
        <v>343</v>
      </c>
      <c r="F7354">
        <v>1</v>
      </c>
      <c r="G7354" s="42">
        <v>45088</v>
      </c>
      <c r="H7354">
        <v>76</v>
      </c>
      <c r="I7354">
        <v>68.400000000000006</v>
      </c>
      <c r="J7354">
        <v>55.386299999999999</v>
      </c>
      <c r="K7354">
        <v>123.7863</v>
      </c>
      <c r="L7354" t="s">
        <v>323</v>
      </c>
      <c r="N7354" s="42">
        <v>44925</v>
      </c>
      <c r="O7354" t="s">
        <v>346</v>
      </c>
      <c r="P7354" s="42">
        <v>44925</v>
      </c>
      <c r="Q7354" t="s">
        <v>346</v>
      </c>
      <c r="R7354" t="s">
        <v>320</v>
      </c>
      <c r="S7354" t="s">
        <v>323</v>
      </c>
      <c r="T7354">
        <v>7.6</v>
      </c>
      <c r="Y7354" s="42">
        <v>44929</v>
      </c>
    </row>
    <row r="7355" spans="1:25">
      <c r="N7355" s="42">
        <v>44924</v>
      </c>
      <c r="O7355" t="s">
        <v>324</v>
      </c>
      <c r="P7355" s="42">
        <v>44924</v>
      </c>
      <c r="Q7355" t="s">
        <v>324</v>
      </c>
      <c r="R7355" t="s">
        <v>320</v>
      </c>
      <c r="S7355" t="s">
        <v>323</v>
      </c>
      <c r="T7355">
        <v>7.6</v>
      </c>
      <c r="Y7355" s="42">
        <v>44929</v>
      </c>
    </row>
    <row r="7356" spans="1:25">
      <c r="N7356" s="42">
        <v>44923</v>
      </c>
      <c r="O7356" t="s">
        <v>328</v>
      </c>
      <c r="P7356" s="42">
        <v>44923</v>
      </c>
      <c r="Q7356" t="s">
        <v>328</v>
      </c>
      <c r="R7356" t="s">
        <v>320</v>
      </c>
      <c r="S7356" t="s">
        <v>323</v>
      </c>
      <c r="T7356">
        <v>7.6</v>
      </c>
      <c r="Y7356" s="42">
        <v>44929</v>
      </c>
    </row>
    <row r="7357" spans="1:25">
      <c r="N7357" s="42">
        <v>44922</v>
      </c>
      <c r="O7357" t="s">
        <v>333</v>
      </c>
      <c r="P7357" s="42">
        <v>44922</v>
      </c>
      <c r="Q7357" t="s">
        <v>333</v>
      </c>
      <c r="R7357" t="s">
        <v>320</v>
      </c>
      <c r="S7357" t="s">
        <v>323</v>
      </c>
      <c r="U7357">
        <v>7.6</v>
      </c>
    </row>
    <row r="7358" spans="1:25">
      <c r="N7358" s="42">
        <v>44921</v>
      </c>
      <c r="O7358" t="s">
        <v>345</v>
      </c>
      <c r="P7358" s="42">
        <v>44921</v>
      </c>
      <c r="Q7358" t="s">
        <v>345</v>
      </c>
      <c r="R7358" t="s">
        <v>320</v>
      </c>
      <c r="S7358" t="s">
        <v>323</v>
      </c>
      <c r="U7358">
        <v>7.6</v>
      </c>
    </row>
    <row r="7359" spans="1:25">
      <c r="N7359" s="42">
        <v>44917</v>
      </c>
      <c r="O7359" t="s">
        <v>324</v>
      </c>
      <c r="P7359" s="42">
        <v>44917</v>
      </c>
      <c r="Q7359" t="s">
        <v>324</v>
      </c>
      <c r="R7359" t="s">
        <v>329</v>
      </c>
      <c r="S7359" t="s">
        <v>323</v>
      </c>
      <c r="T7359">
        <v>7.6</v>
      </c>
      <c r="W7359" t="s">
        <v>330</v>
      </c>
      <c r="Y7359" s="42">
        <v>44929</v>
      </c>
    </row>
    <row r="7360" spans="1:25">
      <c r="N7360" s="42">
        <v>44866</v>
      </c>
      <c r="O7360" t="s">
        <v>333</v>
      </c>
      <c r="P7360" s="42">
        <v>44866</v>
      </c>
      <c r="Q7360" t="s">
        <v>333</v>
      </c>
      <c r="R7360" t="s">
        <v>320</v>
      </c>
      <c r="S7360" t="s">
        <v>323</v>
      </c>
      <c r="U7360">
        <v>7.6</v>
      </c>
    </row>
    <row r="7361" spans="14:25">
      <c r="N7361" s="42">
        <v>44827</v>
      </c>
      <c r="O7361" t="s">
        <v>346</v>
      </c>
      <c r="P7361" s="42">
        <v>44827</v>
      </c>
      <c r="Q7361" t="s">
        <v>346</v>
      </c>
      <c r="R7361" t="s">
        <v>320</v>
      </c>
      <c r="S7361" t="s">
        <v>323</v>
      </c>
      <c r="U7361">
        <v>7.6</v>
      </c>
    </row>
    <row r="7362" spans="14:25">
      <c r="N7362" s="42">
        <v>44826</v>
      </c>
      <c r="O7362" t="s">
        <v>324</v>
      </c>
      <c r="P7362" s="42">
        <v>44826</v>
      </c>
      <c r="Q7362" t="s">
        <v>324</v>
      </c>
      <c r="R7362" t="s">
        <v>320</v>
      </c>
      <c r="S7362" t="s">
        <v>323</v>
      </c>
      <c r="U7362">
        <v>7.6</v>
      </c>
    </row>
    <row r="7363" spans="14:25">
      <c r="N7363" s="42">
        <v>44764</v>
      </c>
      <c r="O7363" t="s">
        <v>346</v>
      </c>
      <c r="P7363" s="42">
        <v>44764</v>
      </c>
      <c r="Q7363" t="s">
        <v>346</v>
      </c>
      <c r="R7363" t="s">
        <v>329</v>
      </c>
      <c r="S7363" t="s">
        <v>323</v>
      </c>
      <c r="T7363">
        <v>7.6</v>
      </c>
      <c r="W7363" t="s">
        <v>330</v>
      </c>
      <c r="Y7363" s="42">
        <v>44775</v>
      </c>
    </row>
    <row r="7364" spans="14:25">
      <c r="N7364" s="42">
        <v>44763</v>
      </c>
      <c r="O7364" t="s">
        <v>324</v>
      </c>
      <c r="P7364" s="42">
        <v>44763</v>
      </c>
      <c r="Q7364" t="s">
        <v>324</v>
      </c>
      <c r="R7364" t="s">
        <v>329</v>
      </c>
      <c r="S7364" t="s">
        <v>323</v>
      </c>
      <c r="T7364">
        <v>7.6</v>
      </c>
      <c r="W7364" t="s">
        <v>330</v>
      </c>
      <c r="Y7364" s="42">
        <v>44775</v>
      </c>
    </row>
    <row r="7365" spans="14:25">
      <c r="N7365" s="42">
        <v>44762</v>
      </c>
      <c r="O7365" t="s">
        <v>328</v>
      </c>
      <c r="P7365" s="42">
        <v>44762</v>
      </c>
      <c r="Q7365" t="s">
        <v>328</v>
      </c>
      <c r="R7365" t="s">
        <v>329</v>
      </c>
      <c r="S7365" t="s">
        <v>323</v>
      </c>
      <c r="T7365">
        <v>7.6</v>
      </c>
      <c r="W7365" t="s">
        <v>330</v>
      </c>
      <c r="Y7365" s="42">
        <v>44775</v>
      </c>
    </row>
    <row r="7366" spans="14:25">
      <c r="N7366" s="42">
        <v>44761</v>
      </c>
      <c r="O7366" t="s">
        <v>333</v>
      </c>
      <c r="P7366" s="42">
        <v>44761</v>
      </c>
      <c r="Q7366" t="s">
        <v>333</v>
      </c>
      <c r="R7366" t="s">
        <v>329</v>
      </c>
      <c r="S7366" t="s">
        <v>323</v>
      </c>
      <c r="T7366">
        <v>7.6</v>
      </c>
      <c r="W7366" t="s">
        <v>330</v>
      </c>
      <c r="Y7366" s="42">
        <v>44761</v>
      </c>
    </row>
    <row r="7367" spans="14:25">
      <c r="N7367" s="42">
        <v>44760</v>
      </c>
      <c r="O7367" t="s">
        <v>345</v>
      </c>
      <c r="P7367" s="42">
        <v>44760</v>
      </c>
      <c r="Q7367" t="s">
        <v>345</v>
      </c>
      <c r="R7367" t="s">
        <v>329</v>
      </c>
      <c r="S7367" t="s">
        <v>323</v>
      </c>
      <c r="T7367">
        <v>7.6</v>
      </c>
      <c r="W7367" t="s">
        <v>330</v>
      </c>
      <c r="Y7367" s="42">
        <v>44761</v>
      </c>
    </row>
    <row r="7368" spans="14:25">
      <c r="N7368" s="42">
        <v>44757</v>
      </c>
      <c r="O7368" t="s">
        <v>346</v>
      </c>
      <c r="P7368" s="42">
        <v>44757</v>
      </c>
      <c r="Q7368" t="s">
        <v>346</v>
      </c>
      <c r="R7368" t="s">
        <v>329</v>
      </c>
      <c r="S7368" t="s">
        <v>323</v>
      </c>
      <c r="T7368">
        <v>7.6</v>
      </c>
      <c r="W7368" t="s">
        <v>330</v>
      </c>
      <c r="Y7368" s="42">
        <v>44761</v>
      </c>
    </row>
    <row r="7369" spans="14:25">
      <c r="N7369" s="42">
        <v>44726</v>
      </c>
      <c r="O7369" t="s">
        <v>333</v>
      </c>
      <c r="P7369" s="42">
        <v>44726</v>
      </c>
      <c r="Q7369" t="s">
        <v>333</v>
      </c>
      <c r="R7369" t="s">
        <v>320</v>
      </c>
      <c r="S7369" t="s">
        <v>323</v>
      </c>
      <c r="T7369">
        <v>7.6</v>
      </c>
      <c r="Y7369" s="42">
        <v>44733</v>
      </c>
    </row>
    <row r="7370" spans="14:25">
      <c r="N7370" s="42">
        <v>44725</v>
      </c>
      <c r="O7370" t="s">
        <v>345</v>
      </c>
      <c r="P7370" s="42">
        <v>44725</v>
      </c>
      <c r="Q7370" t="s">
        <v>345</v>
      </c>
      <c r="R7370" t="s">
        <v>320</v>
      </c>
      <c r="S7370" t="s">
        <v>323</v>
      </c>
      <c r="U7370">
        <v>7.6</v>
      </c>
    </row>
    <row r="7371" spans="14:25">
      <c r="N7371" s="42">
        <v>44697</v>
      </c>
      <c r="O7371" t="s">
        <v>345</v>
      </c>
      <c r="P7371" s="42">
        <v>44697</v>
      </c>
      <c r="Q7371" t="s">
        <v>345</v>
      </c>
      <c r="R7371" t="s">
        <v>329</v>
      </c>
      <c r="S7371" t="s">
        <v>323</v>
      </c>
      <c r="T7371">
        <v>7.6</v>
      </c>
      <c r="W7371" t="s">
        <v>330</v>
      </c>
      <c r="Y7371" s="42">
        <v>44705</v>
      </c>
    </row>
    <row r="7372" spans="14:25">
      <c r="N7372" s="42">
        <v>44676</v>
      </c>
      <c r="O7372" t="s">
        <v>345</v>
      </c>
      <c r="P7372" s="42">
        <v>44676</v>
      </c>
      <c r="Q7372" t="s">
        <v>345</v>
      </c>
      <c r="R7372" t="s">
        <v>320</v>
      </c>
      <c r="S7372" t="s">
        <v>323</v>
      </c>
      <c r="U7372">
        <v>7.6</v>
      </c>
    </row>
    <row r="7373" spans="14:25">
      <c r="N7373" s="42">
        <v>44670</v>
      </c>
      <c r="O7373" t="s">
        <v>333</v>
      </c>
      <c r="P7373" s="42">
        <v>44670</v>
      </c>
      <c r="Q7373" t="s">
        <v>333</v>
      </c>
      <c r="R7373" t="s">
        <v>320</v>
      </c>
      <c r="S7373" t="s">
        <v>323</v>
      </c>
      <c r="T7373">
        <v>7.6</v>
      </c>
      <c r="Y7373" s="42">
        <v>44677</v>
      </c>
    </row>
    <row r="7374" spans="14:25">
      <c r="N7374" s="42">
        <v>44669</v>
      </c>
      <c r="O7374" t="s">
        <v>345</v>
      </c>
      <c r="P7374" s="42">
        <v>44669</v>
      </c>
      <c r="Q7374" t="s">
        <v>345</v>
      </c>
      <c r="R7374" t="s">
        <v>320</v>
      </c>
      <c r="S7374" t="s">
        <v>323</v>
      </c>
      <c r="U7374">
        <v>7.6</v>
      </c>
    </row>
    <row r="7375" spans="14:25">
      <c r="N7375" s="42">
        <v>44666</v>
      </c>
      <c r="O7375" t="s">
        <v>346</v>
      </c>
      <c r="P7375" s="42">
        <v>44666</v>
      </c>
      <c r="Q7375" t="s">
        <v>346</v>
      </c>
      <c r="R7375" t="s">
        <v>320</v>
      </c>
      <c r="S7375" t="s">
        <v>323</v>
      </c>
      <c r="U7375">
        <v>7.6</v>
      </c>
    </row>
    <row r="7376" spans="14:25">
      <c r="N7376" s="42">
        <v>44665</v>
      </c>
      <c r="O7376" t="s">
        <v>324</v>
      </c>
      <c r="P7376" s="42">
        <v>44665</v>
      </c>
      <c r="Q7376" t="s">
        <v>324</v>
      </c>
      <c r="R7376" t="s">
        <v>320</v>
      </c>
      <c r="S7376" t="s">
        <v>323</v>
      </c>
      <c r="T7376">
        <v>7.6</v>
      </c>
      <c r="Y7376" s="42">
        <v>44677</v>
      </c>
    </row>
    <row r="7377" spans="14:25">
      <c r="N7377" s="42">
        <v>44634</v>
      </c>
      <c r="O7377" t="s">
        <v>345</v>
      </c>
      <c r="P7377" s="42">
        <v>44634</v>
      </c>
      <c r="Q7377" t="s">
        <v>345</v>
      </c>
      <c r="R7377" t="s">
        <v>320</v>
      </c>
      <c r="S7377" t="s">
        <v>323</v>
      </c>
      <c r="U7377">
        <v>7.6</v>
      </c>
    </row>
    <row r="7378" spans="14:25">
      <c r="N7378" s="42">
        <v>44593</v>
      </c>
      <c r="O7378" t="s">
        <v>333</v>
      </c>
      <c r="P7378" s="42">
        <v>44593</v>
      </c>
      <c r="Q7378" t="s">
        <v>333</v>
      </c>
      <c r="R7378" t="s">
        <v>329</v>
      </c>
      <c r="S7378" t="s">
        <v>323</v>
      </c>
      <c r="T7378">
        <v>7.6</v>
      </c>
      <c r="W7378" t="s">
        <v>330</v>
      </c>
      <c r="Y7378" s="42">
        <v>44593</v>
      </c>
    </row>
    <row r="7379" spans="14:25">
      <c r="N7379" s="42">
        <v>44592</v>
      </c>
      <c r="O7379" t="s">
        <v>345</v>
      </c>
      <c r="P7379" s="42">
        <v>44592</v>
      </c>
      <c r="Q7379" t="s">
        <v>345</v>
      </c>
      <c r="R7379" t="s">
        <v>329</v>
      </c>
      <c r="S7379" t="s">
        <v>323</v>
      </c>
      <c r="T7379">
        <v>7.6</v>
      </c>
      <c r="W7379" t="s">
        <v>330</v>
      </c>
      <c r="Y7379" s="42">
        <v>44593</v>
      </c>
    </row>
    <row r="7380" spans="14:25">
      <c r="N7380" s="42">
        <v>44589</v>
      </c>
      <c r="O7380" t="s">
        <v>346</v>
      </c>
      <c r="P7380" s="42">
        <v>44589</v>
      </c>
      <c r="Q7380" t="s">
        <v>346</v>
      </c>
      <c r="R7380" t="s">
        <v>320</v>
      </c>
      <c r="S7380" t="s">
        <v>323</v>
      </c>
      <c r="T7380">
        <v>7.6</v>
      </c>
      <c r="Y7380" s="42">
        <v>44593</v>
      </c>
    </row>
    <row r="7381" spans="14:25">
      <c r="N7381" s="42">
        <v>44588</v>
      </c>
      <c r="O7381" t="s">
        <v>324</v>
      </c>
      <c r="P7381" s="42">
        <v>44588</v>
      </c>
      <c r="Q7381" t="s">
        <v>324</v>
      </c>
      <c r="R7381" t="s">
        <v>320</v>
      </c>
      <c r="S7381" t="s">
        <v>323</v>
      </c>
      <c r="T7381">
        <v>7.6</v>
      </c>
      <c r="Y7381" s="42">
        <v>44593</v>
      </c>
    </row>
    <row r="7382" spans="14:25">
      <c r="N7382" s="42">
        <v>44587</v>
      </c>
      <c r="O7382" t="s">
        <v>328</v>
      </c>
      <c r="P7382" s="42">
        <v>44587</v>
      </c>
      <c r="Q7382" t="s">
        <v>328</v>
      </c>
      <c r="R7382" t="s">
        <v>320</v>
      </c>
      <c r="S7382" t="s">
        <v>323</v>
      </c>
      <c r="U7382">
        <v>7.6</v>
      </c>
    </row>
    <row r="7383" spans="14:25">
      <c r="N7383" s="42">
        <v>44564</v>
      </c>
      <c r="O7383" t="s">
        <v>345</v>
      </c>
      <c r="P7383" s="42">
        <v>44564</v>
      </c>
      <c r="Q7383" t="s">
        <v>345</v>
      </c>
      <c r="R7383" t="s">
        <v>320</v>
      </c>
      <c r="S7383" t="s">
        <v>323</v>
      </c>
      <c r="U7383">
        <v>7.6</v>
      </c>
    </row>
    <row r="7384" spans="14:25">
      <c r="N7384" s="42">
        <v>44558</v>
      </c>
      <c r="O7384" t="s">
        <v>333</v>
      </c>
      <c r="P7384" s="42">
        <v>44558</v>
      </c>
      <c r="Q7384" t="s">
        <v>333</v>
      </c>
      <c r="R7384" t="s">
        <v>320</v>
      </c>
      <c r="S7384" t="s">
        <v>323</v>
      </c>
      <c r="U7384">
        <v>7.6</v>
      </c>
    </row>
    <row r="7385" spans="14:25">
      <c r="N7385" s="42">
        <v>44557</v>
      </c>
      <c r="O7385" t="s">
        <v>345</v>
      </c>
      <c r="P7385" s="42">
        <v>44557</v>
      </c>
      <c r="Q7385" t="s">
        <v>345</v>
      </c>
      <c r="R7385" t="s">
        <v>320</v>
      </c>
      <c r="S7385" t="s">
        <v>323</v>
      </c>
      <c r="U7385">
        <v>7.6</v>
      </c>
    </row>
    <row r="7386" spans="14:25">
      <c r="N7386" s="42">
        <v>44554</v>
      </c>
      <c r="O7386" t="s">
        <v>346</v>
      </c>
      <c r="P7386" s="42">
        <v>44554</v>
      </c>
      <c r="Q7386" t="s">
        <v>346</v>
      </c>
      <c r="R7386" t="s">
        <v>320</v>
      </c>
      <c r="S7386" t="s">
        <v>323</v>
      </c>
      <c r="T7386">
        <v>7.6</v>
      </c>
      <c r="Y7386" s="42">
        <v>44565</v>
      </c>
    </row>
    <row r="7387" spans="14:25">
      <c r="N7387" s="42">
        <v>44553</v>
      </c>
      <c r="O7387" t="s">
        <v>324</v>
      </c>
      <c r="P7387" s="42">
        <v>44553</v>
      </c>
      <c r="Q7387" t="s">
        <v>324</v>
      </c>
      <c r="R7387" t="s">
        <v>320</v>
      </c>
      <c r="S7387" t="s">
        <v>323</v>
      </c>
      <c r="T7387">
        <v>7.6</v>
      </c>
      <c r="Y7387" s="42">
        <v>44565</v>
      </c>
    </row>
    <row r="7388" spans="14:25">
      <c r="N7388" s="42">
        <v>44502</v>
      </c>
      <c r="O7388" t="s">
        <v>333</v>
      </c>
      <c r="P7388" s="42">
        <v>44502</v>
      </c>
      <c r="Q7388" t="s">
        <v>333</v>
      </c>
      <c r="R7388" t="s">
        <v>320</v>
      </c>
      <c r="S7388" t="s">
        <v>323</v>
      </c>
      <c r="U7388">
        <v>7.6</v>
      </c>
    </row>
    <row r="7389" spans="14:25">
      <c r="N7389" s="42">
        <v>44477</v>
      </c>
      <c r="O7389" t="s">
        <v>346</v>
      </c>
      <c r="P7389" s="42">
        <v>44477</v>
      </c>
      <c r="Q7389" t="s">
        <v>346</v>
      </c>
      <c r="R7389" t="s">
        <v>329</v>
      </c>
      <c r="S7389" t="s">
        <v>323</v>
      </c>
      <c r="T7389">
        <v>7.6</v>
      </c>
      <c r="W7389" t="s">
        <v>330</v>
      </c>
      <c r="Y7389" s="42">
        <v>44481</v>
      </c>
    </row>
    <row r="7390" spans="14:25">
      <c r="N7390" s="42">
        <v>44463</v>
      </c>
      <c r="O7390" t="s">
        <v>346</v>
      </c>
      <c r="P7390" s="42">
        <v>44463</v>
      </c>
      <c r="Q7390" t="s">
        <v>346</v>
      </c>
      <c r="R7390" t="s">
        <v>320</v>
      </c>
      <c r="S7390" t="s">
        <v>323</v>
      </c>
      <c r="U7390">
        <v>7.6</v>
      </c>
    </row>
    <row r="7391" spans="14:25">
      <c r="N7391" s="42">
        <v>44425</v>
      </c>
      <c r="O7391" t="s">
        <v>333</v>
      </c>
      <c r="P7391" s="42">
        <v>44425</v>
      </c>
      <c r="Q7391" t="s">
        <v>333</v>
      </c>
      <c r="R7391" t="s">
        <v>329</v>
      </c>
      <c r="S7391" t="s">
        <v>323</v>
      </c>
      <c r="T7391">
        <v>7.6</v>
      </c>
      <c r="W7391" t="s">
        <v>330</v>
      </c>
      <c r="Y7391" s="42">
        <v>44425</v>
      </c>
    </row>
    <row r="7392" spans="14:25">
      <c r="N7392" s="42">
        <v>44390</v>
      </c>
      <c r="O7392" t="s">
        <v>333</v>
      </c>
      <c r="P7392" s="42">
        <v>44390</v>
      </c>
      <c r="Q7392" t="s">
        <v>333</v>
      </c>
      <c r="R7392" t="s">
        <v>329</v>
      </c>
      <c r="S7392" t="s">
        <v>323</v>
      </c>
      <c r="T7392">
        <v>7.6</v>
      </c>
      <c r="W7392" t="s">
        <v>330</v>
      </c>
      <c r="Y7392" s="42">
        <v>44397</v>
      </c>
    </row>
    <row r="7393" spans="14:25">
      <c r="N7393" s="42">
        <v>44389</v>
      </c>
      <c r="O7393" t="s">
        <v>345</v>
      </c>
      <c r="P7393" s="42">
        <v>44389</v>
      </c>
      <c r="Q7393" t="s">
        <v>345</v>
      </c>
      <c r="R7393" t="s">
        <v>329</v>
      </c>
      <c r="S7393" t="s">
        <v>323</v>
      </c>
      <c r="T7393">
        <v>7.6</v>
      </c>
      <c r="W7393" t="s">
        <v>330</v>
      </c>
      <c r="Y7393" s="42">
        <v>44397</v>
      </c>
    </row>
    <row r="7394" spans="14:25">
      <c r="N7394" s="42">
        <v>44361</v>
      </c>
      <c r="O7394" t="s">
        <v>345</v>
      </c>
      <c r="P7394" s="42">
        <v>44361</v>
      </c>
      <c r="Q7394" t="s">
        <v>345</v>
      </c>
      <c r="R7394" t="s">
        <v>320</v>
      </c>
      <c r="S7394" t="s">
        <v>323</v>
      </c>
      <c r="U7394">
        <v>7.6</v>
      </c>
    </row>
    <row r="7395" spans="14:25">
      <c r="N7395" s="42">
        <v>44342</v>
      </c>
      <c r="O7395" t="s">
        <v>328</v>
      </c>
      <c r="P7395" s="42">
        <v>44342</v>
      </c>
      <c r="Q7395" t="s">
        <v>328</v>
      </c>
      <c r="R7395" t="s">
        <v>329</v>
      </c>
      <c r="S7395" t="s">
        <v>323</v>
      </c>
      <c r="T7395">
        <v>7.6</v>
      </c>
      <c r="W7395" t="s">
        <v>330</v>
      </c>
      <c r="Y7395" s="42">
        <v>44355</v>
      </c>
    </row>
    <row r="7396" spans="14:25">
      <c r="N7396" s="42">
        <v>44291</v>
      </c>
      <c r="O7396" t="s">
        <v>345</v>
      </c>
      <c r="P7396" s="42">
        <v>44291</v>
      </c>
      <c r="Q7396" t="s">
        <v>345</v>
      </c>
      <c r="R7396" t="s">
        <v>320</v>
      </c>
      <c r="S7396" t="s">
        <v>323</v>
      </c>
      <c r="U7396">
        <v>7.6</v>
      </c>
    </row>
    <row r="7397" spans="14:25">
      <c r="N7397" s="42">
        <v>44288</v>
      </c>
      <c r="O7397" t="s">
        <v>346</v>
      </c>
      <c r="P7397" s="42">
        <v>44288</v>
      </c>
      <c r="Q7397" t="s">
        <v>346</v>
      </c>
      <c r="R7397" t="s">
        <v>320</v>
      </c>
      <c r="S7397" t="s">
        <v>323</v>
      </c>
      <c r="U7397">
        <v>7.6</v>
      </c>
    </row>
    <row r="7398" spans="14:25">
      <c r="N7398" s="42">
        <v>44263</v>
      </c>
      <c r="O7398" t="s">
        <v>345</v>
      </c>
      <c r="P7398" s="42">
        <v>44263</v>
      </c>
      <c r="Q7398" t="s">
        <v>345</v>
      </c>
      <c r="R7398" t="s">
        <v>320</v>
      </c>
      <c r="S7398" t="s">
        <v>323</v>
      </c>
      <c r="U7398">
        <v>7.6</v>
      </c>
    </row>
    <row r="7399" spans="14:25">
      <c r="N7399" s="42">
        <v>44239</v>
      </c>
      <c r="O7399" t="s">
        <v>346</v>
      </c>
      <c r="P7399" s="42">
        <v>44239</v>
      </c>
      <c r="Q7399" t="s">
        <v>346</v>
      </c>
      <c r="R7399" t="s">
        <v>320</v>
      </c>
      <c r="S7399" t="s">
        <v>323</v>
      </c>
      <c r="T7399">
        <v>7.6</v>
      </c>
      <c r="Y7399" s="42">
        <v>44243</v>
      </c>
    </row>
    <row r="7400" spans="14:25">
      <c r="N7400" s="42">
        <v>44238</v>
      </c>
      <c r="O7400" t="s">
        <v>324</v>
      </c>
      <c r="P7400" s="42">
        <v>44238</v>
      </c>
      <c r="Q7400" t="s">
        <v>324</v>
      </c>
      <c r="R7400" t="s">
        <v>320</v>
      </c>
      <c r="S7400" t="s">
        <v>323</v>
      </c>
      <c r="T7400">
        <v>7.6</v>
      </c>
      <c r="Y7400" s="42">
        <v>44243</v>
      </c>
    </row>
    <row r="7401" spans="14:25">
      <c r="N7401" s="42">
        <v>44237</v>
      </c>
      <c r="O7401" t="s">
        <v>328</v>
      </c>
      <c r="P7401" s="42">
        <v>44237</v>
      </c>
      <c r="Q7401" t="s">
        <v>328</v>
      </c>
      <c r="R7401" t="s">
        <v>320</v>
      </c>
      <c r="S7401" t="s">
        <v>323</v>
      </c>
      <c r="T7401">
        <v>7.6</v>
      </c>
      <c r="Y7401" s="42">
        <v>44243</v>
      </c>
    </row>
    <row r="7402" spans="14:25">
      <c r="N7402" s="42">
        <v>44236</v>
      </c>
      <c r="O7402" t="s">
        <v>333</v>
      </c>
      <c r="P7402" s="42">
        <v>44236</v>
      </c>
      <c r="Q7402" t="s">
        <v>333</v>
      </c>
      <c r="R7402" t="s">
        <v>320</v>
      </c>
      <c r="S7402" t="s">
        <v>323</v>
      </c>
      <c r="T7402">
        <v>7.6</v>
      </c>
      <c r="Y7402" s="42">
        <v>44243</v>
      </c>
    </row>
    <row r="7403" spans="14:25">
      <c r="N7403" s="42">
        <v>44235</v>
      </c>
      <c r="O7403" t="s">
        <v>345</v>
      </c>
      <c r="P7403" s="42">
        <v>44235</v>
      </c>
      <c r="Q7403" t="s">
        <v>345</v>
      </c>
      <c r="R7403" t="s">
        <v>320</v>
      </c>
      <c r="S7403" t="s">
        <v>323</v>
      </c>
      <c r="T7403">
        <v>7.6</v>
      </c>
      <c r="Y7403" s="42">
        <v>44243</v>
      </c>
    </row>
    <row r="7404" spans="14:25">
      <c r="N7404" s="42">
        <v>44232</v>
      </c>
      <c r="O7404" t="s">
        <v>346</v>
      </c>
      <c r="P7404" s="42">
        <v>44232</v>
      </c>
      <c r="Q7404" t="s">
        <v>346</v>
      </c>
      <c r="R7404" t="s">
        <v>320</v>
      </c>
      <c r="S7404" t="s">
        <v>323</v>
      </c>
      <c r="T7404">
        <v>7.6</v>
      </c>
      <c r="Y7404" s="42">
        <v>44243</v>
      </c>
    </row>
    <row r="7405" spans="14:25">
      <c r="N7405" s="42">
        <v>44231</v>
      </c>
      <c r="O7405" t="s">
        <v>324</v>
      </c>
      <c r="P7405" s="42">
        <v>44231</v>
      </c>
      <c r="Q7405" t="s">
        <v>324</v>
      </c>
      <c r="R7405" t="s">
        <v>320</v>
      </c>
      <c r="S7405" t="s">
        <v>323</v>
      </c>
      <c r="T7405">
        <v>7.6</v>
      </c>
      <c r="Y7405" s="42">
        <v>44243</v>
      </c>
    </row>
    <row r="7406" spans="14:25">
      <c r="N7406" s="42">
        <v>44230</v>
      </c>
      <c r="O7406" t="s">
        <v>328</v>
      </c>
      <c r="P7406" s="42">
        <v>44230</v>
      </c>
      <c r="Q7406" t="s">
        <v>328</v>
      </c>
      <c r="R7406" t="s">
        <v>320</v>
      </c>
      <c r="S7406" t="s">
        <v>323</v>
      </c>
      <c r="T7406">
        <v>7.6</v>
      </c>
      <c r="Y7406" s="42">
        <v>44243</v>
      </c>
    </row>
    <row r="7407" spans="14:25">
      <c r="N7407" s="42">
        <v>44229</v>
      </c>
      <c r="O7407" t="s">
        <v>333</v>
      </c>
      <c r="P7407" s="42">
        <v>44229</v>
      </c>
      <c r="Q7407" t="s">
        <v>333</v>
      </c>
      <c r="R7407" t="s">
        <v>320</v>
      </c>
      <c r="S7407" t="s">
        <v>323</v>
      </c>
      <c r="T7407">
        <v>7.6</v>
      </c>
      <c r="Y7407" s="42">
        <v>44229</v>
      </c>
    </row>
    <row r="7408" spans="14:25">
      <c r="N7408" s="42">
        <v>44228</v>
      </c>
      <c r="O7408" t="s">
        <v>345</v>
      </c>
      <c r="P7408" s="42">
        <v>44228</v>
      </c>
      <c r="Q7408" t="s">
        <v>345</v>
      </c>
      <c r="R7408" t="s">
        <v>320</v>
      </c>
      <c r="S7408" t="s">
        <v>323</v>
      </c>
      <c r="T7408">
        <v>7.6</v>
      </c>
      <c r="Y7408" s="42">
        <v>44229</v>
      </c>
    </row>
    <row r="7409" spans="14:25">
      <c r="N7409" s="42">
        <v>44225</v>
      </c>
      <c r="O7409" t="s">
        <v>346</v>
      </c>
      <c r="P7409" s="42">
        <v>44225</v>
      </c>
      <c r="Q7409" t="s">
        <v>346</v>
      </c>
      <c r="R7409" t="s">
        <v>320</v>
      </c>
      <c r="S7409" t="s">
        <v>323</v>
      </c>
      <c r="T7409">
        <v>7.6</v>
      </c>
      <c r="Y7409" s="42">
        <v>44229</v>
      </c>
    </row>
    <row r="7410" spans="14:25">
      <c r="N7410" s="42">
        <v>44224</v>
      </c>
      <c r="O7410" t="s">
        <v>324</v>
      </c>
      <c r="P7410" s="42">
        <v>44224</v>
      </c>
      <c r="Q7410" t="s">
        <v>324</v>
      </c>
      <c r="R7410" t="s">
        <v>320</v>
      </c>
      <c r="S7410" t="s">
        <v>323</v>
      </c>
      <c r="T7410">
        <v>7.6</v>
      </c>
      <c r="Y7410" s="42">
        <v>44229</v>
      </c>
    </row>
    <row r="7411" spans="14:25">
      <c r="N7411" s="42">
        <v>44223</v>
      </c>
      <c r="O7411" t="s">
        <v>328</v>
      </c>
      <c r="P7411" s="42">
        <v>44223</v>
      </c>
      <c r="Q7411" t="s">
        <v>328</v>
      </c>
      <c r="R7411" t="s">
        <v>320</v>
      </c>
      <c r="S7411" t="s">
        <v>323</v>
      </c>
      <c r="T7411">
        <v>7.6</v>
      </c>
      <c r="Y7411" s="42">
        <v>44229</v>
      </c>
    </row>
    <row r="7412" spans="14:25">
      <c r="N7412" s="42">
        <v>44222</v>
      </c>
      <c r="O7412" t="s">
        <v>333</v>
      </c>
      <c r="P7412" s="42">
        <v>44222</v>
      </c>
      <c r="Q7412" t="s">
        <v>333</v>
      </c>
      <c r="R7412" t="s">
        <v>320</v>
      </c>
      <c r="S7412" t="s">
        <v>323</v>
      </c>
      <c r="U7412">
        <v>7.6</v>
      </c>
    </row>
    <row r="7413" spans="14:25">
      <c r="N7413" s="42">
        <v>44221</v>
      </c>
      <c r="O7413" t="s">
        <v>345</v>
      </c>
      <c r="P7413" s="42">
        <v>44221</v>
      </c>
      <c r="Q7413" t="s">
        <v>345</v>
      </c>
      <c r="R7413" t="s">
        <v>320</v>
      </c>
      <c r="S7413" t="s">
        <v>323</v>
      </c>
      <c r="T7413">
        <v>7.6</v>
      </c>
      <c r="Y7413" s="42">
        <v>44229</v>
      </c>
    </row>
    <row r="7414" spans="14:25">
      <c r="N7414" s="42">
        <v>44204</v>
      </c>
      <c r="O7414" t="s">
        <v>346</v>
      </c>
      <c r="P7414" s="42">
        <v>44204</v>
      </c>
      <c r="Q7414" t="s">
        <v>346</v>
      </c>
      <c r="R7414" t="s">
        <v>320</v>
      </c>
      <c r="S7414" t="s">
        <v>323</v>
      </c>
      <c r="T7414">
        <v>7.6</v>
      </c>
      <c r="Y7414" s="42">
        <v>44215</v>
      </c>
    </row>
    <row r="7415" spans="14:25">
      <c r="N7415" s="42">
        <v>44197</v>
      </c>
      <c r="O7415" t="s">
        <v>346</v>
      </c>
      <c r="P7415" s="42">
        <v>44197</v>
      </c>
      <c r="Q7415" t="s">
        <v>346</v>
      </c>
      <c r="R7415" t="s">
        <v>320</v>
      </c>
      <c r="S7415" t="s">
        <v>323</v>
      </c>
      <c r="U7415">
        <v>7.6</v>
      </c>
    </row>
    <row r="7416" spans="14:25">
      <c r="N7416" s="42">
        <v>44193</v>
      </c>
      <c r="O7416" t="s">
        <v>345</v>
      </c>
      <c r="P7416" s="42">
        <v>44193</v>
      </c>
      <c r="Q7416" t="s">
        <v>345</v>
      </c>
      <c r="R7416" t="s">
        <v>320</v>
      </c>
      <c r="S7416" t="s">
        <v>323</v>
      </c>
      <c r="U7416">
        <v>7.6</v>
      </c>
    </row>
    <row r="7417" spans="14:25">
      <c r="N7417" s="42">
        <v>44190</v>
      </c>
      <c r="O7417" t="s">
        <v>346</v>
      </c>
      <c r="P7417" s="42">
        <v>44190</v>
      </c>
      <c r="Q7417" t="s">
        <v>346</v>
      </c>
      <c r="R7417" t="s">
        <v>320</v>
      </c>
      <c r="S7417" t="s">
        <v>323</v>
      </c>
      <c r="U7417">
        <v>7.6</v>
      </c>
    </row>
    <row r="7418" spans="14:25">
      <c r="N7418" s="42">
        <v>44138</v>
      </c>
      <c r="O7418" t="s">
        <v>333</v>
      </c>
      <c r="P7418" s="42">
        <v>44138</v>
      </c>
      <c r="Q7418" t="s">
        <v>333</v>
      </c>
      <c r="R7418" t="s">
        <v>320</v>
      </c>
      <c r="S7418" t="s">
        <v>323</v>
      </c>
      <c r="U7418">
        <v>7.6</v>
      </c>
    </row>
    <row r="7419" spans="14:25">
      <c r="N7419" s="42">
        <v>44130</v>
      </c>
      <c r="O7419" t="s">
        <v>345</v>
      </c>
      <c r="P7419" s="42">
        <v>44130</v>
      </c>
      <c r="Q7419" t="s">
        <v>345</v>
      </c>
      <c r="R7419" t="s">
        <v>320</v>
      </c>
      <c r="S7419" t="s">
        <v>323</v>
      </c>
      <c r="T7419">
        <v>7.6</v>
      </c>
      <c r="Y7419" s="42">
        <v>44131</v>
      </c>
    </row>
    <row r="7420" spans="14:25">
      <c r="N7420" s="42">
        <v>44127</v>
      </c>
      <c r="O7420" t="s">
        <v>346</v>
      </c>
      <c r="P7420" s="42">
        <v>44127</v>
      </c>
      <c r="Q7420" t="s">
        <v>346</v>
      </c>
      <c r="R7420" t="s">
        <v>320</v>
      </c>
      <c r="S7420" t="s">
        <v>323</v>
      </c>
      <c r="U7420">
        <v>7.6</v>
      </c>
    </row>
    <row r="7421" spans="14:25">
      <c r="N7421" s="42">
        <v>43976</v>
      </c>
      <c r="O7421" t="s">
        <v>345</v>
      </c>
      <c r="P7421" s="42">
        <v>43976</v>
      </c>
      <c r="Q7421" t="s">
        <v>345</v>
      </c>
      <c r="R7421" t="s">
        <v>320</v>
      </c>
      <c r="S7421" t="s">
        <v>323</v>
      </c>
      <c r="T7421">
        <v>7.6</v>
      </c>
      <c r="Y7421" s="42">
        <v>43977</v>
      </c>
    </row>
    <row r="7422" spans="14:25">
      <c r="N7422" s="42">
        <v>43959</v>
      </c>
      <c r="O7422" t="s">
        <v>346</v>
      </c>
      <c r="P7422" s="42">
        <v>43959</v>
      </c>
      <c r="Q7422" t="s">
        <v>346</v>
      </c>
      <c r="R7422" t="s">
        <v>329</v>
      </c>
      <c r="S7422" t="s">
        <v>323</v>
      </c>
      <c r="T7422">
        <v>7.6</v>
      </c>
      <c r="W7422" t="s">
        <v>330</v>
      </c>
      <c r="Y7422" s="42">
        <v>43963</v>
      </c>
    </row>
    <row r="7423" spans="14:25">
      <c r="N7423" s="42">
        <v>43869</v>
      </c>
      <c r="O7423" t="s">
        <v>359</v>
      </c>
      <c r="P7423" s="42">
        <v>43869</v>
      </c>
      <c r="Q7423" t="s">
        <v>359</v>
      </c>
      <c r="R7423" t="s">
        <v>329</v>
      </c>
      <c r="S7423" t="s">
        <v>323</v>
      </c>
      <c r="T7423">
        <v>7.6</v>
      </c>
      <c r="W7423" t="s">
        <v>330</v>
      </c>
      <c r="Y7423" s="42">
        <v>43879</v>
      </c>
    </row>
    <row r="7424" spans="14:25">
      <c r="N7424" s="42">
        <v>43868</v>
      </c>
      <c r="O7424" t="s">
        <v>346</v>
      </c>
      <c r="P7424" s="42">
        <v>43868</v>
      </c>
      <c r="Q7424" t="s">
        <v>346</v>
      </c>
      <c r="R7424" t="s">
        <v>329</v>
      </c>
      <c r="S7424" t="s">
        <v>323</v>
      </c>
      <c r="T7424">
        <v>7.6</v>
      </c>
      <c r="W7424" t="s">
        <v>330</v>
      </c>
      <c r="Y7424" s="42">
        <v>43879</v>
      </c>
    </row>
    <row r="7425" spans="1:25">
      <c r="N7425" s="42">
        <v>43867</v>
      </c>
      <c r="O7425" t="s">
        <v>324</v>
      </c>
      <c r="P7425" s="42">
        <v>43867</v>
      </c>
      <c r="Q7425" t="s">
        <v>324</v>
      </c>
      <c r="R7425" t="s">
        <v>329</v>
      </c>
      <c r="S7425" t="s">
        <v>323</v>
      </c>
      <c r="T7425">
        <v>7.6</v>
      </c>
      <c r="W7425" t="s">
        <v>330</v>
      </c>
      <c r="Y7425" s="42">
        <v>43879</v>
      </c>
    </row>
    <row r="7426" spans="1:25">
      <c r="N7426" s="42">
        <v>43866</v>
      </c>
      <c r="O7426" t="s">
        <v>328</v>
      </c>
      <c r="P7426" s="42">
        <v>43866</v>
      </c>
      <c r="Q7426" t="s">
        <v>328</v>
      </c>
      <c r="R7426" t="s">
        <v>329</v>
      </c>
      <c r="S7426" t="s">
        <v>323</v>
      </c>
      <c r="T7426">
        <v>7.6</v>
      </c>
      <c r="W7426" t="s">
        <v>330</v>
      </c>
      <c r="Y7426" s="42">
        <v>43879</v>
      </c>
    </row>
    <row r="7427" spans="1:25">
      <c r="N7427" s="42">
        <v>43865</v>
      </c>
      <c r="O7427" t="s">
        <v>333</v>
      </c>
      <c r="P7427" s="42">
        <v>43865</v>
      </c>
      <c r="Q7427" t="s">
        <v>333</v>
      </c>
      <c r="R7427" t="s">
        <v>329</v>
      </c>
      <c r="S7427" t="s">
        <v>323</v>
      </c>
      <c r="T7427">
        <v>7.6</v>
      </c>
      <c r="W7427" t="s">
        <v>330</v>
      </c>
      <c r="Y7427" s="42">
        <v>43865</v>
      </c>
    </row>
    <row r="7428" spans="1:25">
      <c r="N7428" s="42">
        <v>43862</v>
      </c>
      <c r="O7428" t="s">
        <v>359</v>
      </c>
      <c r="P7428" s="42">
        <v>43862</v>
      </c>
      <c r="Q7428" t="s">
        <v>359</v>
      </c>
      <c r="R7428" t="s">
        <v>320</v>
      </c>
      <c r="S7428" t="s">
        <v>323</v>
      </c>
      <c r="T7428">
        <v>7.6</v>
      </c>
      <c r="Y7428" s="42">
        <v>43865</v>
      </c>
    </row>
    <row r="7429" spans="1:25">
      <c r="N7429" s="42">
        <v>43861</v>
      </c>
      <c r="O7429" t="s">
        <v>346</v>
      </c>
      <c r="P7429" s="42">
        <v>43861</v>
      </c>
      <c r="Q7429" t="s">
        <v>346</v>
      </c>
      <c r="R7429" t="s">
        <v>320</v>
      </c>
      <c r="S7429" t="s">
        <v>323</v>
      </c>
      <c r="T7429">
        <v>7.6</v>
      </c>
      <c r="Y7429" s="42">
        <v>43865</v>
      </c>
    </row>
    <row r="7430" spans="1:25">
      <c r="N7430" s="42">
        <v>43860</v>
      </c>
      <c r="O7430" t="s">
        <v>324</v>
      </c>
      <c r="P7430" s="42">
        <v>43860</v>
      </c>
      <c r="Q7430" t="s">
        <v>324</v>
      </c>
      <c r="R7430" t="s">
        <v>320</v>
      </c>
      <c r="S7430" t="s">
        <v>323</v>
      </c>
      <c r="T7430">
        <v>7.6</v>
      </c>
      <c r="Y7430" s="42">
        <v>43865</v>
      </c>
    </row>
    <row r="7431" spans="1:25">
      <c r="N7431" s="42">
        <v>43859</v>
      </c>
      <c r="O7431" t="s">
        <v>328</v>
      </c>
      <c r="P7431" s="42">
        <v>43859</v>
      </c>
      <c r="Q7431" t="s">
        <v>328</v>
      </c>
      <c r="R7431" t="s">
        <v>320</v>
      </c>
      <c r="S7431" t="s">
        <v>323</v>
      </c>
      <c r="T7431">
        <v>7.6</v>
      </c>
      <c r="Y7431" s="42">
        <v>43865</v>
      </c>
    </row>
    <row r="7432" spans="1:25">
      <c r="N7432" s="42">
        <v>43858</v>
      </c>
      <c r="O7432" t="s">
        <v>333</v>
      </c>
      <c r="P7432" s="42">
        <v>43858</v>
      </c>
      <c r="Q7432" t="s">
        <v>333</v>
      </c>
      <c r="R7432" t="s">
        <v>320</v>
      </c>
      <c r="S7432" t="s">
        <v>323</v>
      </c>
      <c r="T7432">
        <v>7.6</v>
      </c>
      <c r="Y7432" s="42">
        <v>43865</v>
      </c>
    </row>
    <row r="7433" spans="1:25">
      <c r="N7433" s="42">
        <v>43855</v>
      </c>
      <c r="O7433" t="s">
        <v>359</v>
      </c>
      <c r="P7433" s="42">
        <v>43855</v>
      </c>
      <c r="Q7433" t="s">
        <v>359</v>
      </c>
      <c r="R7433" t="s">
        <v>320</v>
      </c>
      <c r="S7433" t="s">
        <v>323</v>
      </c>
      <c r="T7433">
        <v>7.6</v>
      </c>
      <c r="Y7433" s="42">
        <v>43865</v>
      </c>
    </row>
    <row r="7434" spans="1:25">
      <c r="N7434" s="42">
        <v>43854</v>
      </c>
      <c r="O7434" t="s">
        <v>346</v>
      </c>
      <c r="P7434" s="42">
        <v>43854</v>
      </c>
      <c r="Q7434" t="s">
        <v>346</v>
      </c>
      <c r="R7434" t="s">
        <v>320</v>
      </c>
      <c r="S7434" t="s">
        <v>323</v>
      </c>
      <c r="T7434">
        <v>7.6</v>
      </c>
      <c r="Y7434" s="42">
        <v>43865</v>
      </c>
    </row>
    <row r="7435" spans="1:25">
      <c r="N7435" s="42">
        <v>43853</v>
      </c>
      <c r="O7435" t="s">
        <v>324</v>
      </c>
      <c r="P7435" s="42">
        <v>43853</v>
      </c>
      <c r="Q7435" t="s">
        <v>324</v>
      </c>
      <c r="R7435" t="s">
        <v>320</v>
      </c>
      <c r="S7435" t="s">
        <v>323</v>
      </c>
      <c r="T7435">
        <v>7.6</v>
      </c>
      <c r="Y7435" s="42">
        <v>43865</v>
      </c>
    </row>
    <row r="7436" spans="1:25">
      <c r="N7436" s="42">
        <v>43852</v>
      </c>
      <c r="O7436" t="s">
        <v>328</v>
      </c>
      <c r="P7436" s="42">
        <v>43852</v>
      </c>
      <c r="Q7436" t="s">
        <v>328</v>
      </c>
      <c r="R7436" t="s">
        <v>320</v>
      </c>
      <c r="S7436" t="s">
        <v>323</v>
      </c>
      <c r="T7436">
        <v>7.6</v>
      </c>
      <c r="Y7436" s="42">
        <v>43865</v>
      </c>
    </row>
    <row r="7437" spans="1:25">
      <c r="N7437" s="42">
        <v>43851</v>
      </c>
      <c r="O7437" t="s">
        <v>333</v>
      </c>
      <c r="P7437" s="42">
        <v>43851</v>
      </c>
      <c r="Q7437" t="s">
        <v>333</v>
      </c>
      <c r="R7437" t="s">
        <v>320</v>
      </c>
      <c r="S7437" t="s">
        <v>323</v>
      </c>
      <c r="T7437">
        <v>7.6</v>
      </c>
      <c r="Y7437" s="42">
        <v>43851</v>
      </c>
    </row>
    <row r="7438" spans="1:25">
      <c r="A7438">
        <v>18891</v>
      </c>
      <c r="B7438" t="s">
        <v>432</v>
      </c>
      <c r="C7438" t="s">
        <v>320</v>
      </c>
      <c r="D7438" t="s">
        <v>336</v>
      </c>
      <c r="E7438" t="s">
        <v>337</v>
      </c>
      <c r="F7438">
        <v>1</v>
      </c>
      <c r="G7438" s="42">
        <v>45234</v>
      </c>
      <c r="H7438">
        <v>121.6</v>
      </c>
      <c r="I7438">
        <v>91.054199999999994</v>
      </c>
      <c r="J7438">
        <v>39.978099999999998</v>
      </c>
      <c r="K7438">
        <v>131.03229999999999</v>
      </c>
      <c r="L7438" t="s">
        <v>323</v>
      </c>
      <c r="M7438" s="43">
        <v>0.1277777777777778</v>
      </c>
      <c r="N7438" s="42">
        <v>44952</v>
      </c>
      <c r="O7438" t="s">
        <v>324</v>
      </c>
      <c r="P7438" s="42">
        <v>44952</v>
      </c>
      <c r="Q7438" t="s">
        <v>324</v>
      </c>
      <c r="R7438" t="s">
        <v>320</v>
      </c>
      <c r="S7438" t="s">
        <v>323</v>
      </c>
      <c r="U7438">
        <v>7.6</v>
      </c>
    </row>
    <row r="7439" spans="1:25">
      <c r="C7439" t="s">
        <v>325</v>
      </c>
      <c r="D7439" t="s">
        <v>326</v>
      </c>
      <c r="E7439" t="s">
        <v>327</v>
      </c>
      <c r="F7439">
        <v>1</v>
      </c>
      <c r="G7439" s="42">
        <v>47399</v>
      </c>
      <c r="H7439">
        <v>89.919600000000003</v>
      </c>
      <c r="I7439">
        <v>0</v>
      </c>
      <c r="J7439">
        <v>89.919600000000003</v>
      </c>
      <c r="K7439">
        <v>89.919600000000003</v>
      </c>
      <c r="L7439" t="s">
        <v>323</v>
      </c>
      <c r="N7439" s="42">
        <v>44939</v>
      </c>
      <c r="O7439" t="s">
        <v>346</v>
      </c>
      <c r="P7439" s="42">
        <v>44939</v>
      </c>
      <c r="Q7439" t="s">
        <v>346</v>
      </c>
      <c r="R7439" t="s">
        <v>320</v>
      </c>
      <c r="S7439" t="s">
        <v>323</v>
      </c>
      <c r="T7439">
        <v>7.6</v>
      </c>
      <c r="Y7439" s="42">
        <v>44943</v>
      </c>
    </row>
    <row r="7440" spans="1:25">
      <c r="C7440" t="s">
        <v>329</v>
      </c>
      <c r="D7440" t="s">
        <v>342</v>
      </c>
      <c r="E7440" t="s">
        <v>343</v>
      </c>
      <c r="F7440">
        <v>1</v>
      </c>
      <c r="G7440" s="42">
        <v>45207</v>
      </c>
      <c r="H7440">
        <v>60.8</v>
      </c>
      <c r="I7440">
        <v>96.751499999999993</v>
      </c>
      <c r="J7440">
        <v>24.486599999999999</v>
      </c>
      <c r="K7440">
        <v>121.2381</v>
      </c>
      <c r="L7440" t="s">
        <v>323</v>
      </c>
      <c r="N7440" s="42">
        <v>44938</v>
      </c>
      <c r="O7440" t="s">
        <v>324</v>
      </c>
      <c r="P7440" s="42">
        <v>44938</v>
      </c>
      <c r="Q7440" t="s">
        <v>324</v>
      </c>
      <c r="R7440" t="s">
        <v>320</v>
      </c>
      <c r="S7440" t="s">
        <v>323</v>
      </c>
      <c r="T7440">
        <v>7.6</v>
      </c>
      <c r="Y7440" s="42">
        <v>44943</v>
      </c>
    </row>
    <row r="7441" spans="14:25">
      <c r="N7441" s="42">
        <v>44937</v>
      </c>
      <c r="O7441" t="s">
        <v>328</v>
      </c>
      <c r="P7441" s="42">
        <v>44937</v>
      </c>
      <c r="Q7441" t="s">
        <v>328</v>
      </c>
      <c r="R7441" t="s">
        <v>320</v>
      </c>
      <c r="S7441" t="s">
        <v>323</v>
      </c>
      <c r="T7441">
        <v>7.6</v>
      </c>
      <c r="Y7441" s="42">
        <v>44943</v>
      </c>
    </row>
    <row r="7442" spans="14:25">
      <c r="N7442" s="42">
        <v>44936</v>
      </c>
      <c r="O7442" t="s">
        <v>333</v>
      </c>
      <c r="P7442" s="42">
        <v>44936</v>
      </c>
      <c r="Q7442" t="s">
        <v>333</v>
      </c>
      <c r="R7442" t="s">
        <v>320</v>
      </c>
      <c r="S7442" t="s">
        <v>323</v>
      </c>
      <c r="T7442">
        <v>7.6</v>
      </c>
      <c r="Y7442" s="42">
        <v>44943</v>
      </c>
    </row>
    <row r="7443" spans="14:25">
      <c r="N7443" s="42">
        <v>44932</v>
      </c>
      <c r="O7443" t="s">
        <v>346</v>
      </c>
      <c r="P7443" s="42">
        <v>44932</v>
      </c>
      <c r="Q7443" t="s">
        <v>346</v>
      </c>
      <c r="R7443" t="s">
        <v>320</v>
      </c>
      <c r="S7443" t="s">
        <v>323</v>
      </c>
      <c r="T7443">
        <v>7.6</v>
      </c>
      <c r="Y7443" s="42">
        <v>44943</v>
      </c>
    </row>
    <row r="7444" spans="14:25">
      <c r="N7444" s="42">
        <v>44931</v>
      </c>
      <c r="O7444" t="s">
        <v>324</v>
      </c>
      <c r="P7444" s="42">
        <v>44931</v>
      </c>
      <c r="Q7444" t="s">
        <v>324</v>
      </c>
      <c r="R7444" t="s">
        <v>320</v>
      </c>
      <c r="S7444" t="s">
        <v>323</v>
      </c>
      <c r="T7444">
        <v>7.6</v>
      </c>
      <c r="Y7444" s="42">
        <v>44943</v>
      </c>
    </row>
    <row r="7445" spans="14:25">
      <c r="N7445" s="42">
        <v>44930</v>
      </c>
      <c r="O7445" t="s">
        <v>328</v>
      </c>
      <c r="P7445" s="42">
        <v>44930</v>
      </c>
      <c r="Q7445" t="s">
        <v>328</v>
      </c>
      <c r="R7445" t="s">
        <v>320</v>
      </c>
      <c r="S7445" t="s">
        <v>323</v>
      </c>
      <c r="T7445">
        <v>7.6</v>
      </c>
      <c r="Y7445" s="42">
        <v>44943</v>
      </c>
    </row>
    <row r="7446" spans="14:25">
      <c r="N7446" s="42">
        <v>44929</v>
      </c>
      <c r="O7446" t="s">
        <v>333</v>
      </c>
      <c r="P7446" s="42">
        <v>44929</v>
      </c>
      <c r="Q7446" t="s">
        <v>333</v>
      </c>
      <c r="R7446" t="s">
        <v>320</v>
      </c>
      <c r="S7446" t="s">
        <v>323</v>
      </c>
      <c r="T7446">
        <v>7.6</v>
      </c>
      <c r="Y7446" s="42">
        <v>44929</v>
      </c>
    </row>
    <row r="7447" spans="14:25">
      <c r="N7447" s="42">
        <v>44925</v>
      </c>
      <c r="O7447" t="s">
        <v>346</v>
      </c>
      <c r="P7447" s="42">
        <v>44925</v>
      </c>
      <c r="Q7447" t="s">
        <v>346</v>
      </c>
      <c r="R7447" t="s">
        <v>320</v>
      </c>
      <c r="S7447" t="s">
        <v>323</v>
      </c>
      <c r="T7447">
        <v>7.6</v>
      </c>
      <c r="Y7447" s="42">
        <v>44929</v>
      </c>
    </row>
    <row r="7448" spans="14:25">
      <c r="N7448" s="42">
        <v>44924</v>
      </c>
      <c r="O7448" t="s">
        <v>324</v>
      </c>
      <c r="P7448" s="42">
        <v>44924</v>
      </c>
      <c r="Q7448" t="s">
        <v>324</v>
      </c>
      <c r="R7448" t="s">
        <v>320</v>
      </c>
      <c r="S7448" t="s">
        <v>323</v>
      </c>
      <c r="T7448">
        <v>7.6</v>
      </c>
      <c r="Y7448" s="42">
        <v>44929</v>
      </c>
    </row>
    <row r="7449" spans="14:25">
      <c r="N7449" s="42">
        <v>44923</v>
      </c>
      <c r="O7449" t="s">
        <v>328</v>
      </c>
      <c r="P7449" s="42">
        <v>44923</v>
      </c>
      <c r="Q7449" t="s">
        <v>328</v>
      </c>
      <c r="R7449" t="s">
        <v>320</v>
      </c>
      <c r="S7449" t="s">
        <v>323</v>
      </c>
      <c r="T7449">
        <v>7.6</v>
      </c>
      <c r="Y7449" s="42">
        <v>44929</v>
      </c>
    </row>
    <row r="7450" spans="14:25">
      <c r="N7450" s="42">
        <v>44922</v>
      </c>
      <c r="O7450" t="s">
        <v>333</v>
      </c>
      <c r="P7450" s="42">
        <v>44922</v>
      </c>
      <c r="Q7450" t="s">
        <v>333</v>
      </c>
      <c r="R7450" t="s">
        <v>320</v>
      </c>
      <c r="S7450" t="s">
        <v>323</v>
      </c>
      <c r="U7450">
        <v>7.6</v>
      </c>
    </row>
    <row r="7451" spans="14:25">
      <c r="N7451" s="42">
        <v>44915</v>
      </c>
      <c r="O7451" t="s">
        <v>333</v>
      </c>
      <c r="P7451" s="42">
        <v>44915</v>
      </c>
      <c r="Q7451" t="s">
        <v>333</v>
      </c>
      <c r="R7451" t="s">
        <v>329</v>
      </c>
      <c r="S7451" t="s">
        <v>323</v>
      </c>
      <c r="T7451">
        <v>2</v>
      </c>
      <c r="W7451" t="s">
        <v>330</v>
      </c>
      <c r="Y7451" s="42">
        <v>44915</v>
      </c>
    </row>
    <row r="7452" spans="14:25">
      <c r="N7452" s="42">
        <v>44882</v>
      </c>
      <c r="O7452" t="s">
        <v>324</v>
      </c>
      <c r="P7452" s="42">
        <v>44882</v>
      </c>
      <c r="Q7452" t="s">
        <v>324</v>
      </c>
      <c r="R7452" t="s">
        <v>329</v>
      </c>
      <c r="S7452" t="s">
        <v>323</v>
      </c>
      <c r="T7452">
        <v>7.6</v>
      </c>
      <c r="W7452" t="s">
        <v>330</v>
      </c>
      <c r="Y7452" s="42">
        <v>44887</v>
      </c>
    </row>
    <row r="7453" spans="14:25">
      <c r="N7453" s="42">
        <v>44880</v>
      </c>
      <c r="O7453" t="s">
        <v>333</v>
      </c>
      <c r="P7453" s="42">
        <v>44880</v>
      </c>
      <c r="Q7453" t="s">
        <v>333</v>
      </c>
      <c r="R7453" t="s">
        <v>320</v>
      </c>
      <c r="S7453" t="s">
        <v>323</v>
      </c>
      <c r="T7453">
        <v>7.6</v>
      </c>
      <c r="Y7453" s="42">
        <v>44887</v>
      </c>
    </row>
    <row r="7454" spans="14:25">
      <c r="N7454" s="42">
        <v>44868</v>
      </c>
      <c r="O7454" t="s">
        <v>324</v>
      </c>
      <c r="P7454" s="42">
        <v>44868</v>
      </c>
      <c r="Q7454" t="s">
        <v>324</v>
      </c>
      <c r="R7454" t="s">
        <v>329</v>
      </c>
      <c r="S7454" t="s">
        <v>323</v>
      </c>
      <c r="T7454">
        <v>7.6</v>
      </c>
      <c r="W7454" t="s">
        <v>330</v>
      </c>
      <c r="Y7454" s="42">
        <v>44873</v>
      </c>
    </row>
    <row r="7455" spans="14:25">
      <c r="N7455" s="42">
        <v>44862</v>
      </c>
      <c r="O7455" t="s">
        <v>346</v>
      </c>
      <c r="P7455" s="42">
        <v>44862</v>
      </c>
      <c r="Q7455" t="s">
        <v>346</v>
      </c>
      <c r="R7455" t="s">
        <v>329</v>
      </c>
      <c r="S7455" t="s">
        <v>323</v>
      </c>
      <c r="T7455">
        <v>2</v>
      </c>
      <c r="W7455" t="s">
        <v>330</v>
      </c>
      <c r="Y7455" s="42">
        <v>44873</v>
      </c>
    </row>
    <row r="7456" spans="14:25">
      <c r="N7456" s="42">
        <v>44826</v>
      </c>
      <c r="O7456" t="s">
        <v>324</v>
      </c>
      <c r="P7456" s="42">
        <v>44826</v>
      </c>
      <c r="Q7456" t="s">
        <v>324</v>
      </c>
      <c r="R7456" t="s">
        <v>320</v>
      </c>
      <c r="S7456" t="s">
        <v>323</v>
      </c>
      <c r="U7456">
        <v>7.6</v>
      </c>
    </row>
    <row r="7457" spans="14:25">
      <c r="N7457" s="42">
        <v>44820</v>
      </c>
      <c r="O7457" t="s">
        <v>346</v>
      </c>
      <c r="P7457" s="42">
        <v>44820</v>
      </c>
      <c r="Q7457" t="s">
        <v>346</v>
      </c>
      <c r="R7457" t="s">
        <v>329</v>
      </c>
      <c r="S7457" t="s">
        <v>323</v>
      </c>
      <c r="T7457">
        <v>2.5</v>
      </c>
      <c r="W7457" t="s">
        <v>330</v>
      </c>
      <c r="Y7457" s="42">
        <v>44831</v>
      </c>
    </row>
    <row r="7458" spans="14:25">
      <c r="N7458" s="42">
        <v>44819</v>
      </c>
      <c r="O7458" t="s">
        <v>324</v>
      </c>
      <c r="P7458" s="42">
        <v>44819</v>
      </c>
      <c r="Q7458" t="s">
        <v>324</v>
      </c>
      <c r="R7458" t="s">
        <v>329</v>
      </c>
      <c r="S7458" t="s">
        <v>323</v>
      </c>
      <c r="T7458">
        <v>2.5</v>
      </c>
      <c r="W7458" t="s">
        <v>330</v>
      </c>
      <c r="Y7458" s="42">
        <v>44831</v>
      </c>
    </row>
    <row r="7459" spans="14:25">
      <c r="N7459" s="42">
        <v>44813</v>
      </c>
      <c r="O7459" t="s">
        <v>346</v>
      </c>
      <c r="P7459" s="42">
        <v>44813</v>
      </c>
      <c r="Q7459" t="s">
        <v>346</v>
      </c>
      <c r="R7459" t="s">
        <v>334</v>
      </c>
      <c r="S7459" t="s">
        <v>323</v>
      </c>
      <c r="T7459">
        <v>2</v>
      </c>
      <c r="W7459" t="s">
        <v>330</v>
      </c>
      <c r="Y7459" s="42">
        <v>44817</v>
      </c>
    </row>
    <row r="7460" spans="14:25">
      <c r="N7460" s="42">
        <v>44778</v>
      </c>
      <c r="O7460" t="s">
        <v>346</v>
      </c>
      <c r="P7460" s="42">
        <v>44778</v>
      </c>
      <c r="Q7460" t="s">
        <v>346</v>
      </c>
      <c r="R7460" t="s">
        <v>320</v>
      </c>
      <c r="S7460" t="s">
        <v>323</v>
      </c>
      <c r="T7460">
        <v>7.6</v>
      </c>
      <c r="Y7460" s="42">
        <v>44789</v>
      </c>
    </row>
    <row r="7461" spans="14:25">
      <c r="N7461" s="42">
        <v>44737</v>
      </c>
      <c r="O7461" t="s">
        <v>359</v>
      </c>
      <c r="P7461" s="42">
        <v>44737</v>
      </c>
      <c r="Q7461" t="s">
        <v>359</v>
      </c>
      <c r="R7461" t="s">
        <v>320</v>
      </c>
      <c r="S7461" t="s">
        <v>323</v>
      </c>
      <c r="T7461">
        <v>7.6</v>
      </c>
      <c r="Y7461" s="42">
        <v>44747</v>
      </c>
    </row>
    <row r="7462" spans="14:25">
      <c r="N7462" s="42">
        <v>44726</v>
      </c>
      <c r="O7462" t="s">
        <v>333</v>
      </c>
      <c r="P7462" s="42">
        <v>44726</v>
      </c>
      <c r="Q7462" t="s">
        <v>333</v>
      </c>
      <c r="R7462" t="s">
        <v>320</v>
      </c>
      <c r="S7462" t="s">
        <v>323</v>
      </c>
      <c r="T7462">
        <v>7.6</v>
      </c>
      <c r="Y7462" s="42">
        <v>44733</v>
      </c>
    </row>
    <row r="7463" spans="14:25">
      <c r="N7463" s="42">
        <v>44667</v>
      </c>
      <c r="O7463" t="s">
        <v>359</v>
      </c>
      <c r="P7463" s="42">
        <v>44667</v>
      </c>
      <c r="Q7463" t="s">
        <v>359</v>
      </c>
      <c r="R7463" t="s">
        <v>320</v>
      </c>
      <c r="S7463" t="s">
        <v>323</v>
      </c>
      <c r="U7463">
        <v>7.6</v>
      </c>
    </row>
    <row r="7464" spans="14:25">
      <c r="N7464" s="42">
        <v>44666</v>
      </c>
      <c r="O7464" t="s">
        <v>346</v>
      </c>
      <c r="P7464" s="42">
        <v>44666</v>
      </c>
      <c r="Q7464" t="s">
        <v>346</v>
      </c>
      <c r="R7464" t="s">
        <v>320</v>
      </c>
      <c r="S7464" t="s">
        <v>323</v>
      </c>
      <c r="U7464">
        <v>7.6</v>
      </c>
    </row>
    <row r="7465" spans="14:25">
      <c r="N7465" s="42">
        <v>44663</v>
      </c>
      <c r="O7465" t="s">
        <v>333</v>
      </c>
      <c r="P7465" s="42">
        <v>44663</v>
      </c>
      <c r="Q7465" t="s">
        <v>333</v>
      </c>
      <c r="R7465" t="s">
        <v>329</v>
      </c>
      <c r="S7465" t="s">
        <v>323</v>
      </c>
      <c r="T7465">
        <v>7.6</v>
      </c>
      <c r="W7465" t="s">
        <v>330</v>
      </c>
      <c r="Y7465" s="42">
        <v>44663</v>
      </c>
    </row>
    <row r="7466" spans="14:25">
      <c r="N7466" s="42">
        <v>44611</v>
      </c>
      <c r="O7466" t="s">
        <v>359</v>
      </c>
      <c r="P7466" s="42">
        <v>44611</v>
      </c>
      <c r="Q7466" t="s">
        <v>359</v>
      </c>
      <c r="R7466" t="s">
        <v>320</v>
      </c>
      <c r="S7466" t="s">
        <v>323</v>
      </c>
      <c r="T7466">
        <v>7.6</v>
      </c>
      <c r="Y7466" s="42">
        <v>44621</v>
      </c>
    </row>
    <row r="7467" spans="14:25">
      <c r="N7467" s="42">
        <v>44590</v>
      </c>
      <c r="O7467" t="s">
        <v>359</v>
      </c>
      <c r="P7467" s="42">
        <v>44590</v>
      </c>
      <c r="Q7467" t="s">
        <v>359</v>
      </c>
      <c r="R7467" t="s">
        <v>329</v>
      </c>
      <c r="S7467" t="s">
        <v>323</v>
      </c>
      <c r="T7467">
        <v>7.6</v>
      </c>
      <c r="W7467" t="s">
        <v>330</v>
      </c>
      <c r="Y7467" s="42">
        <v>44593</v>
      </c>
    </row>
    <row r="7468" spans="14:25">
      <c r="N7468" s="42">
        <v>44589</v>
      </c>
      <c r="O7468" t="s">
        <v>346</v>
      </c>
      <c r="P7468" s="42">
        <v>44589</v>
      </c>
      <c r="Q7468" t="s">
        <v>346</v>
      </c>
      <c r="R7468" t="s">
        <v>329</v>
      </c>
      <c r="S7468" t="s">
        <v>323</v>
      </c>
      <c r="T7468">
        <v>7.6</v>
      </c>
      <c r="W7468" t="s">
        <v>330</v>
      </c>
      <c r="Y7468" s="42">
        <v>44593</v>
      </c>
    </row>
    <row r="7469" spans="14:25">
      <c r="N7469" s="42">
        <v>44588</v>
      </c>
      <c r="O7469" t="s">
        <v>324</v>
      </c>
      <c r="P7469" s="42">
        <v>44588</v>
      </c>
      <c r="Q7469" t="s">
        <v>324</v>
      </c>
      <c r="R7469" t="s">
        <v>329</v>
      </c>
      <c r="S7469" t="s">
        <v>323</v>
      </c>
      <c r="T7469">
        <v>7.6</v>
      </c>
      <c r="W7469" t="s">
        <v>330</v>
      </c>
      <c r="Y7469" s="42">
        <v>44593</v>
      </c>
    </row>
    <row r="7470" spans="14:25">
      <c r="N7470" s="42">
        <v>44587</v>
      </c>
      <c r="O7470" t="s">
        <v>328</v>
      </c>
      <c r="P7470" s="42">
        <v>44587</v>
      </c>
      <c r="Q7470" t="s">
        <v>328</v>
      </c>
      <c r="R7470" t="s">
        <v>320</v>
      </c>
      <c r="S7470" t="s">
        <v>323</v>
      </c>
      <c r="U7470">
        <v>7.6</v>
      </c>
    </row>
    <row r="7471" spans="14:25">
      <c r="N7471" s="42">
        <v>44586</v>
      </c>
      <c r="O7471" t="s">
        <v>333</v>
      </c>
      <c r="P7471" s="42">
        <v>44586</v>
      </c>
      <c r="Q7471" t="s">
        <v>333</v>
      </c>
      <c r="R7471" t="s">
        <v>329</v>
      </c>
      <c r="S7471" t="s">
        <v>323</v>
      </c>
      <c r="T7471">
        <v>7.6</v>
      </c>
      <c r="W7471" t="s">
        <v>330</v>
      </c>
      <c r="Y7471" s="42">
        <v>44593</v>
      </c>
    </row>
    <row r="7472" spans="14:25">
      <c r="N7472" s="42">
        <v>44583</v>
      </c>
      <c r="O7472" t="s">
        <v>359</v>
      </c>
      <c r="P7472" s="42">
        <v>44583</v>
      </c>
      <c r="Q7472" t="s">
        <v>359</v>
      </c>
      <c r="R7472" t="s">
        <v>334</v>
      </c>
      <c r="S7472" t="s">
        <v>323</v>
      </c>
      <c r="T7472">
        <v>7.6</v>
      </c>
      <c r="W7472" t="s">
        <v>330</v>
      </c>
      <c r="Y7472" s="42">
        <v>44593</v>
      </c>
    </row>
    <row r="7473" spans="14:25">
      <c r="N7473" s="42">
        <v>44582</v>
      </c>
      <c r="O7473" t="s">
        <v>346</v>
      </c>
      <c r="P7473" s="42">
        <v>44582</v>
      </c>
      <c r="Q7473" t="s">
        <v>346</v>
      </c>
      <c r="R7473" t="s">
        <v>334</v>
      </c>
      <c r="S7473" t="s">
        <v>323</v>
      </c>
      <c r="T7473">
        <v>4</v>
      </c>
      <c r="W7473" t="s">
        <v>330</v>
      </c>
      <c r="Y7473" s="42">
        <v>44593</v>
      </c>
    </row>
    <row r="7474" spans="14:25">
      <c r="N7474" s="42">
        <v>44575</v>
      </c>
      <c r="O7474" t="s">
        <v>346</v>
      </c>
      <c r="P7474" s="42">
        <v>44575</v>
      </c>
      <c r="Q7474" t="s">
        <v>346</v>
      </c>
      <c r="R7474" t="s">
        <v>334</v>
      </c>
      <c r="S7474" t="s">
        <v>323</v>
      </c>
      <c r="T7474">
        <v>7.6</v>
      </c>
      <c r="W7474" t="s">
        <v>330</v>
      </c>
      <c r="Y7474" s="42">
        <v>44579</v>
      </c>
    </row>
    <row r="7475" spans="14:25">
      <c r="N7475" s="42">
        <v>44574</v>
      </c>
      <c r="O7475" t="s">
        <v>324</v>
      </c>
      <c r="P7475" s="42">
        <v>44574</v>
      </c>
      <c r="Q7475" t="s">
        <v>324</v>
      </c>
      <c r="R7475" t="s">
        <v>334</v>
      </c>
      <c r="S7475" t="s">
        <v>323</v>
      </c>
      <c r="T7475">
        <v>4.5</v>
      </c>
      <c r="W7475" t="s">
        <v>330</v>
      </c>
      <c r="Y7475" s="42">
        <v>44579</v>
      </c>
    </row>
    <row r="7476" spans="14:25">
      <c r="N7476" s="42">
        <v>44572</v>
      </c>
      <c r="O7476" t="s">
        <v>333</v>
      </c>
      <c r="P7476" s="42">
        <v>44572</v>
      </c>
      <c r="Q7476" t="s">
        <v>333</v>
      </c>
      <c r="R7476" t="s">
        <v>320</v>
      </c>
      <c r="S7476" t="s">
        <v>323</v>
      </c>
      <c r="T7476">
        <v>7.6</v>
      </c>
      <c r="Y7476" s="42">
        <v>44579</v>
      </c>
    </row>
    <row r="7477" spans="14:25">
      <c r="N7477" s="42">
        <v>44569</v>
      </c>
      <c r="O7477" t="s">
        <v>359</v>
      </c>
      <c r="P7477" s="42">
        <v>44569</v>
      </c>
      <c r="Q7477" t="s">
        <v>359</v>
      </c>
      <c r="R7477" t="s">
        <v>320</v>
      </c>
      <c r="S7477" t="s">
        <v>323</v>
      </c>
      <c r="T7477">
        <v>7.6</v>
      </c>
      <c r="Y7477" s="42">
        <v>44579</v>
      </c>
    </row>
    <row r="7478" spans="14:25">
      <c r="N7478" s="42">
        <v>44568</v>
      </c>
      <c r="O7478" t="s">
        <v>346</v>
      </c>
      <c r="P7478" s="42">
        <v>44568</v>
      </c>
      <c r="Q7478" t="s">
        <v>346</v>
      </c>
      <c r="R7478" t="s">
        <v>320</v>
      </c>
      <c r="S7478" t="s">
        <v>323</v>
      </c>
      <c r="T7478">
        <v>7.6</v>
      </c>
      <c r="Y7478" s="42">
        <v>44579</v>
      </c>
    </row>
    <row r="7479" spans="14:25">
      <c r="N7479" s="42">
        <v>44567</v>
      </c>
      <c r="O7479" t="s">
        <v>324</v>
      </c>
      <c r="P7479" s="42">
        <v>44567</v>
      </c>
      <c r="Q7479" t="s">
        <v>324</v>
      </c>
      <c r="R7479" t="s">
        <v>320</v>
      </c>
      <c r="S7479" t="s">
        <v>323</v>
      </c>
      <c r="T7479">
        <v>7.6</v>
      </c>
      <c r="Y7479" s="42">
        <v>44579</v>
      </c>
    </row>
    <row r="7480" spans="14:25">
      <c r="N7480" s="42">
        <v>44566</v>
      </c>
      <c r="O7480" t="s">
        <v>328</v>
      </c>
      <c r="P7480" s="42">
        <v>44566</v>
      </c>
      <c r="Q7480" t="s">
        <v>328</v>
      </c>
      <c r="R7480" t="s">
        <v>320</v>
      </c>
      <c r="S7480" t="s">
        <v>323</v>
      </c>
      <c r="T7480">
        <v>7.6</v>
      </c>
      <c r="Y7480" s="42">
        <v>44579</v>
      </c>
    </row>
    <row r="7481" spans="14:25">
      <c r="N7481" s="42">
        <v>44565</v>
      </c>
      <c r="O7481" t="s">
        <v>333</v>
      </c>
      <c r="P7481" s="42">
        <v>44565</v>
      </c>
      <c r="Q7481" t="s">
        <v>333</v>
      </c>
      <c r="R7481" t="s">
        <v>320</v>
      </c>
      <c r="S7481" t="s">
        <v>323</v>
      </c>
      <c r="T7481">
        <v>7.6</v>
      </c>
      <c r="Y7481" s="42">
        <v>44565</v>
      </c>
    </row>
    <row r="7482" spans="14:25">
      <c r="N7482" s="42">
        <v>44562</v>
      </c>
      <c r="O7482" t="s">
        <v>359</v>
      </c>
      <c r="P7482" s="42">
        <v>44562</v>
      </c>
      <c r="Q7482" t="s">
        <v>359</v>
      </c>
      <c r="R7482" t="s">
        <v>320</v>
      </c>
      <c r="S7482" t="s">
        <v>323</v>
      </c>
      <c r="U7482">
        <v>7.6</v>
      </c>
    </row>
    <row r="7483" spans="14:25">
      <c r="N7483" s="42">
        <v>44561</v>
      </c>
      <c r="O7483" t="s">
        <v>346</v>
      </c>
      <c r="P7483" s="42">
        <v>44561</v>
      </c>
      <c r="Q7483" t="s">
        <v>346</v>
      </c>
      <c r="R7483" t="s">
        <v>320</v>
      </c>
      <c r="S7483" t="s">
        <v>323</v>
      </c>
      <c r="T7483">
        <v>7.6</v>
      </c>
      <c r="Y7483" s="42">
        <v>44565</v>
      </c>
    </row>
    <row r="7484" spans="14:25">
      <c r="N7484" s="42">
        <v>44560</v>
      </c>
      <c r="O7484" t="s">
        <v>324</v>
      </c>
      <c r="P7484" s="42">
        <v>44560</v>
      </c>
      <c r="Q7484" t="s">
        <v>324</v>
      </c>
      <c r="R7484" t="s">
        <v>320</v>
      </c>
      <c r="S7484" t="s">
        <v>323</v>
      </c>
      <c r="T7484">
        <v>7.6</v>
      </c>
      <c r="Y7484" s="42">
        <v>44565</v>
      </c>
    </row>
    <row r="7485" spans="14:25">
      <c r="N7485" s="42">
        <v>44559</v>
      </c>
      <c r="O7485" t="s">
        <v>328</v>
      </c>
      <c r="P7485" s="42">
        <v>44559</v>
      </c>
      <c r="Q7485" t="s">
        <v>328</v>
      </c>
      <c r="R7485" t="s">
        <v>320</v>
      </c>
      <c r="S7485" t="s">
        <v>323</v>
      </c>
      <c r="T7485">
        <v>7.6</v>
      </c>
      <c r="Y7485" s="42">
        <v>44565</v>
      </c>
    </row>
    <row r="7486" spans="14:25">
      <c r="N7486" s="42">
        <v>44558</v>
      </c>
      <c r="O7486" t="s">
        <v>333</v>
      </c>
      <c r="P7486" s="42">
        <v>44558</v>
      </c>
      <c r="Q7486" t="s">
        <v>333</v>
      </c>
      <c r="R7486" t="s">
        <v>320</v>
      </c>
      <c r="S7486" t="s">
        <v>323</v>
      </c>
      <c r="U7486">
        <v>7.6</v>
      </c>
    </row>
    <row r="7487" spans="14:25">
      <c r="N7487" s="42">
        <v>44555</v>
      </c>
      <c r="O7487" t="s">
        <v>359</v>
      </c>
      <c r="P7487" s="42">
        <v>44555</v>
      </c>
      <c r="Q7487" t="s">
        <v>359</v>
      </c>
      <c r="R7487" t="s">
        <v>320</v>
      </c>
      <c r="S7487" t="s">
        <v>323</v>
      </c>
      <c r="U7487">
        <v>7.6</v>
      </c>
    </row>
    <row r="7488" spans="14:25">
      <c r="N7488" s="42">
        <v>44541</v>
      </c>
      <c r="O7488" t="s">
        <v>359</v>
      </c>
      <c r="P7488" s="42">
        <v>44541</v>
      </c>
      <c r="Q7488" t="s">
        <v>359</v>
      </c>
      <c r="R7488" t="s">
        <v>334</v>
      </c>
      <c r="S7488" t="s">
        <v>323</v>
      </c>
      <c r="T7488">
        <v>7.6</v>
      </c>
      <c r="W7488" t="s">
        <v>330</v>
      </c>
      <c r="Y7488" s="42">
        <v>44551</v>
      </c>
    </row>
    <row r="7489" spans="14:25">
      <c r="N7489" s="42">
        <v>44496</v>
      </c>
      <c r="O7489" t="s">
        <v>328</v>
      </c>
      <c r="P7489" s="42">
        <v>44496</v>
      </c>
      <c r="Q7489" t="s">
        <v>328</v>
      </c>
      <c r="R7489" t="s">
        <v>329</v>
      </c>
      <c r="S7489" t="s">
        <v>323</v>
      </c>
      <c r="T7489">
        <v>7.6</v>
      </c>
      <c r="W7489" t="s">
        <v>330</v>
      </c>
      <c r="Y7489" s="42">
        <v>44509</v>
      </c>
    </row>
    <row r="7490" spans="14:25">
      <c r="N7490" s="42">
        <v>44495</v>
      </c>
      <c r="O7490" t="s">
        <v>333</v>
      </c>
      <c r="P7490" s="42">
        <v>44495</v>
      </c>
      <c r="Q7490" t="s">
        <v>333</v>
      </c>
      <c r="R7490" t="s">
        <v>329</v>
      </c>
      <c r="S7490" t="s">
        <v>323</v>
      </c>
      <c r="T7490">
        <v>7.6</v>
      </c>
      <c r="W7490" t="s">
        <v>330</v>
      </c>
      <c r="Y7490" s="42">
        <v>44495</v>
      </c>
    </row>
    <row r="7491" spans="14:25">
      <c r="N7491" s="42">
        <v>44433</v>
      </c>
      <c r="O7491" t="s">
        <v>328</v>
      </c>
      <c r="P7491" s="42">
        <v>44433</v>
      </c>
      <c r="Q7491" t="s">
        <v>328</v>
      </c>
      <c r="R7491" t="s">
        <v>329</v>
      </c>
      <c r="S7491" t="s">
        <v>323</v>
      </c>
      <c r="T7491">
        <v>7.6</v>
      </c>
      <c r="W7491" t="s">
        <v>330</v>
      </c>
      <c r="Y7491" s="42">
        <v>44439</v>
      </c>
    </row>
    <row r="7492" spans="14:25">
      <c r="N7492" s="42">
        <v>44415</v>
      </c>
      <c r="O7492" t="s">
        <v>359</v>
      </c>
      <c r="P7492" s="42">
        <v>44415</v>
      </c>
      <c r="Q7492" t="s">
        <v>359</v>
      </c>
      <c r="R7492" t="s">
        <v>334</v>
      </c>
      <c r="S7492" t="s">
        <v>323</v>
      </c>
      <c r="T7492">
        <v>7.6</v>
      </c>
      <c r="W7492" t="s">
        <v>330</v>
      </c>
      <c r="Y7492" s="42">
        <v>44425</v>
      </c>
    </row>
    <row r="7493" spans="14:25">
      <c r="N7493" s="42">
        <v>44378</v>
      </c>
      <c r="O7493" t="s">
        <v>324</v>
      </c>
      <c r="P7493" s="42">
        <v>44378</v>
      </c>
      <c r="Q7493" t="s">
        <v>324</v>
      </c>
      <c r="R7493" t="s">
        <v>334</v>
      </c>
      <c r="S7493" t="s">
        <v>323</v>
      </c>
      <c r="T7493">
        <v>7.6</v>
      </c>
      <c r="W7493" t="s">
        <v>330</v>
      </c>
      <c r="Y7493" s="42">
        <v>44383</v>
      </c>
    </row>
    <row r="7494" spans="14:25">
      <c r="N7494" s="42">
        <v>44377</v>
      </c>
      <c r="O7494" t="s">
        <v>328</v>
      </c>
      <c r="P7494" s="42">
        <v>44377</v>
      </c>
      <c r="Q7494" t="s">
        <v>328</v>
      </c>
      <c r="R7494" t="s">
        <v>334</v>
      </c>
      <c r="S7494" t="s">
        <v>323</v>
      </c>
      <c r="T7494">
        <v>7.6</v>
      </c>
      <c r="W7494" t="s">
        <v>330</v>
      </c>
      <c r="Y7494" s="42">
        <v>44383</v>
      </c>
    </row>
    <row r="7495" spans="14:25">
      <c r="N7495" s="42">
        <v>44376</v>
      </c>
      <c r="O7495" t="s">
        <v>333</v>
      </c>
      <c r="P7495" s="42">
        <v>44376</v>
      </c>
      <c r="Q7495" t="s">
        <v>333</v>
      </c>
      <c r="R7495" t="s">
        <v>334</v>
      </c>
      <c r="S7495" t="s">
        <v>323</v>
      </c>
      <c r="T7495">
        <v>7.6</v>
      </c>
      <c r="W7495" t="s">
        <v>330</v>
      </c>
      <c r="Y7495" s="42">
        <v>44383</v>
      </c>
    </row>
    <row r="7496" spans="14:25">
      <c r="N7496" s="42">
        <v>44310</v>
      </c>
      <c r="O7496" t="s">
        <v>359</v>
      </c>
      <c r="P7496" s="42">
        <v>44310</v>
      </c>
      <c r="Q7496" t="s">
        <v>359</v>
      </c>
      <c r="R7496" t="s">
        <v>329</v>
      </c>
      <c r="S7496" t="s">
        <v>323</v>
      </c>
      <c r="T7496">
        <v>7.6</v>
      </c>
      <c r="W7496" t="s">
        <v>330</v>
      </c>
      <c r="Y7496" s="42">
        <v>44313</v>
      </c>
    </row>
    <row r="7497" spans="14:25">
      <c r="N7497" s="42">
        <v>44309</v>
      </c>
      <c r="O7497" t="s">
        <v>346</v>
      </c>
      <c r="P7497" s="42">
        <v>44309</v>
      </c>
      <c r="Q7497" t="s">
        <v>346</v>
      </c>
      <c r="R7497" t="s">
        <v>329</v>
      </c>
      <c r="S7497" t="s">
        <v>323</v>
      </c>
      <c r="T7497">
        <v>7.6</v>
      </c>
      <c r="W7497" t="s">
        <v>330</v>
      </c>
      <c r="Y7497" s="42">
        <v>44313</v>
      </c>
    </row>
    <row r="7498" spans="14:25">
      <c r="N7498" s="42">
        <v>44308</v>
      </c>
      <c r="O7498" t="s">
        <v>324</v>
      </c>
      <c r="P7498" s="42">
        <v>44308</v>
      </c>
      <c r="Q7498" t="s">
        <v>324</v>
      </c>
      <c r="R7498" t="s">
        <v>329</v>
      </c>
      <c r="S7498" t="s">
        <v>323</v>
      </c>
      <c r="T7498">
        <v>7.6</v>
      </c>
      <c r="W7498" t="s">
        <v>330</v>
      </c>
      <c r="Y7498" s="42">
        <v>44313</v>
      </c>
    </row>
    <row r="7499" spans="14:25">
      <c r="N7499" s="42">
        <v>44289</v>
      </c>
      <c r="O7499" t="s">
        <v>359</v>
      </c>
      <c r="P7499" s="42">
        <v>44289</v>
      </c>
      <c r="Q7499" t="s">
        <v>359</v>
      </c>
      <c r="R7499" t="s">
        <v>320</v>
      </c>
      <c r="S7499" t="s">
        <v>323</v>
      </c>
      <c r="U7499">
        <v>7.6</v>
      </c>
    </row>
    <row r="7500" spans="14:25">
      <c r="N7500" s="42">
        <v>44288</v>
      </c>
      <c r="O7500" t="s">
        <v>346</v>
      </c>
      <c r="P7500" s="42">
        <v>44288</v>
      </c>
      <c r="Q7500" t="s">
        <v>346</v>
      </c>
      <c r="R7500" t="s">
        <v>320</v>
      </c>
      <c r="S7500" t="s">
        <v>323</v>
      </c>
      <c r="U7500">
        <v>7.6</v>
      </c>
    </row>
    <row r="7501" spans="14:25">
      <c r="N7501" s="42">
        <v>44236</v>
      </c>
      <c r="O7501" t="s">
        <v>333</v>
      </c>
      <c r="P7501" s="42">
        <v>44236</v>
      </c>
      <c r="Q7501" t="s">
        <v>333</v>
      </c>
      <c r="R7501" t="s">
        <v>320</v>
      </c>
      <c r="S7501" t="s">
        <v>323</v>
      </c>
      <c r="T7501">
        <v>7.6</v>
      </c>
      <c r="Y7501" s="42">
        <v>44243</v>
      </c>
    </row>
    <row r="7502" spans="14:25">
      <c r="N7502" s="42">
        <v>44233</v>
      </c>
      <c r="O7502" t="s">
        <v>359</v>
      </c>
      <c r="P7502" s="42">
        <v>44233</v>
      </c>
      <c r="Q7502" t="s">
        <v>359</v>
      </c>
      <c r="R7502" t="s">
        <v>320</v>
      </c>
      <c r="S7502" t="s">
        <v>323</v>
      </c>
      <c r="T7502">
        <v>7.6</v>
      </c>
      <c r="Y7502" s="42">
        <v>44243</v>
      </c>
    </row>
    <row r="7503" spans="14:25">
      <c r="N7503" s="42">
        <v>44232</v>
      </c>
      <c r="O7503" t="s">
        <v>346</v>
      </c>
      <c r="P7503" s="42">
        <v>44232</v>
      </c>
      <c r="Q7503" t="s">
        <v>346</v>
      </c>
      <c r="R7503" t="s">
        <v>320</v>
      </c>
      <c r="S7503" t="s">
        <v>323</v>
      </c>
      <c r="T7503">
        <v>7.6</v>
      </c>
      <c r="Y7503" s="42">
        <v>44243</v>
      </c>
    </row>
    <row r="7504" spans="14:25">
      <c r="N7504" s="42">
        <v>44231</v>
      </c>
      <c r="O7504" t="s">
        <v>324</v>
      </c>
      <c r="P7504" s="42">
        <v>44231</v>
      </c>
      <c r="Q7504" t="s">
        <v>324</v>
      </c>
      <c r="R7504" t="s">
        <v>320</v>
      </c>
      <c r="S7504" t="s">
        <v>323</v>
      </c>
      <c r="T7504">
        <v>7.6</v>
      </c>
      <c r="Y7504" s="42">
        <v>44243</v>
      </c>
    </row>
    <row r="7505" spans="14:25">
      <c r="N7505" s="42">
        <v>44230</v>
      </c>
      <c r="O7505" t="s">
        <v>328</v>
      </c>
      <c r="P7505" s="42">
        <v>44230</v>
      </c>
      <c r="Q7505" t="s">
        <v>328</v>
      </c>
      <c r="R7505" t="s">
        <v>320</v>
      </c>
      <c r="S7505" t="s">
        <v>323</v>
      </c>
      <c r="T7505">
        <v>7.6</v>
      </c>
      <c r="Y7505" s="42">
        <v>44243</v>
      </c>
    </row>
    <row r="7506" spans="14:25">
      <c r="N7506" s="42">
        <v>44229</v>
      </c>
      <c r="O7506" t="s">
        <v>333</v>
      </c>
      <c r="P7506" s="42">
        <v>44229</v>
      </c>
      <c r="Q7506" t="s">
        <v>333</v>
      </c>
      <c r="R7506" t="s">
        <v>320</v>
      </c>
      <c r="S7506" t="s">
        <v>323</v>
      </c>
      <c r="T7506">
        <v>7.6</v>
      </c>
      <c r="Y7506" s="42">
        <v>44229</v>
      </c>
    </row>
    <row r="7507" spans="14:25">
      <c r="N7507" s="42">
        <v>44226</v>
      </c>
      <c r="O7507" t="s">
        <v>359</v>
      </c>
      <c r="P7507" s="42">
        <v>44226</v>
      </c>
      <c r="Q7507" t="s">
        <v>359</v>
      </c>
      <c r="R7507" t="s">
        <v>320</v>
      </c>
      <c r="S7507" t="s">
        <v>323</v>
      </c>
      <c r="T7507">
        <v>7.6</v>
      </c>
      <c r="Y7507" s="42">
        <v>44229</v>
      </c>
    </row>
    <row r="7508" spans="14:25">
      <c r="N7508" s="42">
        <v>44225</v>
      </c>
      <c r="O7508" t="s">
        <v>346</v>
      </c>
      <c r="P7508" s="42">
        <v>44225</v>
      </c>
      <c r="Q7508" t="s">
        <v>346</v>
      </c>
      <c r="R7508" t="s">
        <v>320</v>
      </c>
      <c r="S7508" t="s">
        <v>323</v>
      </c>
      <c r="T7508">
        <v>7.6</v>
      </c>
      <c r="Y7508" s="42">
        <v>44229</v>
      </c>
    </row>
    <row r="7509" spans="14:25">
      <c r="N7509" s="42">
        <v>44224</v>
      </c>
      <c r="O7509" t="s">
        <v>324</v>
      </c>
      <c r="P7509" s="42">
        <v>44224</v>
      </c>
      <c r="Q7509" t="s">
        <v>324</v>
      </c>
      <c r="R7509" t="s">
        <v>320</v>
      </c>
      <c r="S7509" t="s">
        <v>323</v>
      </c>
      <c r="T7509">
        <v>7.6</v>
      </c>
      <c r="Y7509" s="42">
        <v>44229</v>
      </c>
    </row>
    <row r="7510" spans="14:25">
      <c r="N7510" s="42">
        <v>44223</v>
      </c>
      <c r="O7510" t="s">
        <v>328</v>
      </c>
      <c r="P7510" s="42">
        <v>44223</v>
      </c>
      <c r="Q7510" t="s">
        <v>328</v>
      </c>
      <c r="R7510" t="s">
        <v>320</v>
      </c>
      <c r="S7510" t="s">
        <v>323</v>
      </c>
      <c r="T7510">
        <v>7.6</v>
      </c>
      <c r="Y7510" s="42">
        <v>44229</v>
      </c>
    </row>
    <row r="7511" spans="14:25">
      <c r="N7511" s="42">
        <v>44222</v>
      </c>
      <c r="O7511" t="s">
        <v>333</v>
      </c>
      <c r="P7511" s="42">
        <v>44222</v>
      </c>
      <c r="Q7511" t="s">
        <v>333</v>
      </c>
      <c r="R7511" t="s">
        <v>320</v>
      </c>
      <c r="S7511" t="s">
        <v>323</v>
      </c>
      <c r="U7511">
        <v>7.6</v>
      </c>
    </row>
    <row r="7512" spans="14:25">
      <c r="N7512" s="42">
        <v>44204</v>
      </c>
      <c r="O7512" t="s">
        <v>346</v>
      </c>
      <c r="P7512" s="42">
        <v>44204</v>
      </c>
      <c r="Q7512" t="s">
        <v>346</v>
      </c>
      <c r="R7512" t="s">
        <v>320</v>
      </c>
      <c r="S7512" t="s">
        <v>323</v>
      </c>
      <c r="T7512">
        <v>7.6</v>
      </c>
      <c r="Y7512" s="42">
        <v>44215</v>
      </c>
    </row>
    <row r="7513" spans="14:25">
      <c r="N7513" s="42">
        <v>44203</v>
      </c>
      <c r="O7513" t="s">
        <v>324</v>
      </c>
      <c r="P7513" s="42">
        <v>44203</v>
      </c>
      <c r="Q7513" t="s">
        <v>324</v>
      </c>
      <c r="R7513" t="s">
        <v>320</v>
      </c>
      <c r="S7513" t="s">
        <v>323</v>
      </c>
      <c r="T7513">
        <v>7.6</v>
      </c>
      <c r="Y7513" s="42">
        <v>44215</v>
      </c>
    </row>
    <row r="7514" spans="14:25">
      <c r="N7514" s="42">
        <v>44202</v>
      </c>
      <c r="O7514" t="s">
        <v>328</v>
      </c>
      <c r="P7514" s="42">
        <v>44202</v>
      </c>
      <c r="Q7514" t="s">
        <v>328</v>
      </c>
      <c r="R7514" t="s">
        <v>320</v>
      </c>
      <c r="S7514" t="s">
        <v>323</v>
      </c>
      <c r="T7514">
        <v>7.6</v>
      </c>
      <c r="Y7514" s="42">
        <v>44215</v>
      </c>
    </row>
    <row r="7515" spans="14:25">
      <c r="N7515" s="42">
        <v>44198</v>
      </c>
      <c r="O7515" t="s">
        <v>359</v>
      </c>
      <c r="P7515" s="42">
        <v>44198</v>
      </c>
      <c r="Q7515" t="s">
        <v>359</v>
      </c>
      <c r="R7515" t="s">
        <v>320</v>
      </c>
      <c r="S7515" t="s">
        <v>323</v>
      </c>
      <c r="T7515">
        <v>7.6</v>
      </c>
      <c r="Y7515" s="42">
        <v>44201</v>
      </c>
    </row>
    <row r="7516" spans="14:25">
      <c r="N7516" s="42">
        <v>44197</v>
      </c>
      <c r="O7516" t="s">
        <v>346</v>
      </c>
      <c r="P7516" s="42">
        <v>44197</v>
      </c>
      <c r="Q7516" t="s">
        <v>346</v>
      </c>
      <c r="R7516" t="s">
        <v>320</v>
      </c>
      <c r="S7516" t="s">
        <v>323</v>
      </c>
      <c r="U7516">
        <v>7.6</v>
      </c>
    </row>
    <row r="7517" spans="14:25">
      <c r="N7517" s="42">
        <v>44196</v>
      </c>
      <c r="O7517" t="s">
        <v>324</v>
      </c>
      <c r="P7517" s="42">
        <v>44196</v>
      </c>
      <c r="Q7517" t="s">
        <v>324</v>
      </c>
      <c r="R7517" t="s">
        <v>320</v>
      </c>
      <c r="S7517" t="s">
        <v>323</v>
      </c>
      <c r="T7517">
        <v>7.6</v>
      </c>
      <c r="Y7517" s="42">
        <v>44201</v>
      </c>
    </row>
    <row r="7518" spans="14:25">
      <c r="N7518" s="42">
        <v>44195</v>
      </c>
      <c r="O7518" t="s">
        <v>328</v>
      </c>
      <c r="P7518" s="42">
        <v>44195</v>
      </c>
      <c r="Q7518" t="s">
        <v>328</v>
      </c>
      <c r="R7518" t="s">
        <v>320</v>
      </c>
      <c r="S7518" t="s">
        <v>323</v>
      </c>
      <c r="T7518">
        <v>7.6</v>
      </c>
      <c r="Y7518" s="42">
        <v>44201</v>
      </c>
    </row>
    <row r="7519" spans="14:25">
      <c r="N7519" s="42">
        <v>44194</v>
      </c>
      <c r="O7519" t="s">
        <v>333</v>
      </c>
      <c r="P7519" s="42">
        <v>44194</v>
      </c>
      <c r="Q7519" t="s">
        <v>333</v>
      </c>
      <c r="R7519" t="s">
        <v>320</v>
      </c>
      <c r="S7519" t="s">
        <v>323</v>
      </c>
      <c r="T7519">
        <v>7.6</v>
      </c>
      <c r="Y7519" s="42">
        <v>44201</v>
      </c>
    </row>
    <row r="7520" spans="14:25">
      <c r="N7520" s="42">
        <v>44193</v>
      </c>
      <c r="O7520" t="s">
        <v>345</v>
      </c>
      <c r="P7520" s="42">
        <v>44193</v>
      </c>
      <c r="Q7520" t="s">
        <v>345</v>
      </c>
      <c r="R7520" t="s">
        <v>320</v>
      </c>
      <c r="S7520" t="s">
        <v>323</v>
      </c>
      <c r="U7520">
        <v>7.6</v>
      </c>
    </row>
    <row r="7521" spans="1:25">
      <c r="N7521" s="42">
        <v>44191</v>
      </c>
      <c r="O7521" t="s">
        <v>359</v>
      </c>
      <c r="P7521" s="42">
        <v>44191</v>
      </c>
      <c r="Q7521" t="s">
        <v>359</v>
      </c>
      <c r="R7521" t="s">
        <v>320</v>
      </c>
      <c r="S7521" t="s">
        <v>323</v>
      </c>
      <c r="T7521">
        <v>7.6</v>
      </c>
      <c r="Y7521" s="42">
        <v>44201</v>
      </c>
    </row>
    <row r="7522" spans="1:25">
      <c r="N7522" s="42">
        <v>44190</v>
      </c>
      <c r="O7522" t="s">
        <v>346</v>
      </c>
      <c r="P7522" s="42">
        <v>44190</v>
      </c>
      <c r="Q7522" t="s">
        <v>346</v>
      </c>
      <c r="R7522" t="s">
        <v>320</v>
      </c>
      <c r="S7522" t="s">
        <v>323</v>
      </c>
      <c r="U7522">
        <v>7.6</v>
      </c>
    </row>
    <row r="7523" spans="1:25">
      <c r="N7523" s="42">
        <v>44174</v>
      </c>
      <c r="O7523" t="s">
        <v>328</v>
      </c>
      <c r="P7523" s="42">
        <v>44174</v>
      </c>
      <c r="Q7523" t="s">
        <v>328</v>
      </c>
      <c r="R7523" t="s">
        <v>329</v>
      </c>
      <c r="S7523" t="s">
        <v>323</v>
      </c>
      <c r="T7523">
        <v>7.6</v>
      </c>
      <c r="W7523" t="s">
        <v>330</v>
      </c>
      <c r="Y7523" s="42">
        <v>44187</v>
      </c>
    </row>
    <row r="7524" spans="1:25">
      <c r="N7524" s="42">
        <v>44086</v>
      </c>
      <c r="O7524" t="s">
        <v>359</v>
      </c>
      <c r="P7524" s="42">
        <v>44086</v>
      </c>
      <c r="Q7524" t="s">
        <v>359</v>
      </c>
      <c r="R7524" t="s">
        <v>320</v>
      </c>
      <c r="S7524" t="s">
        <v>323</v>
      </c>
      <c r="T7524">
        <v>7.6</v>
      </c>
      <c r="Y7524" s="42">
        <v>44089</v>
      </c>
    </row>
    <row r="7525" spans="1:25">
      <c r="N7525" s="42">
        <v>43936</v>
      </c>
      <c r="O7525" t="s">
        <v>328</v>
      </c>
      <c r="P7525" s="42">
        <v>43936</v>
      </c>
      <c r="Q7525" t="s">
        <v>328</v>
      </c>
      <c r="R7525" t="s">
        <v>329</v>
      </c>
      <c r="S7525" t="s">
        <v>323</v>
      </c>
      <c r="T7525">
        <v>5.5</v>
      </c>
      <c r="W7525" t="s">
        <v>330</v>
      </c>
      <c r="Y7525" s="42">
        <v>43949</v>
      </c>
    </row>
    <row r="7526" spans="1:25">
      <c r="N7526" s="42">
        <v>43930</v>
      </c>
      <c r="O7526" t="s">
        <v>324</v>
      </c>
      <c r="P7526" s="42">
        <v>43930</v>
      </c>
      <c r="Q7526" t="s">
        <v>324</v>
      </c>
      <c r="R7526" t="s">
        <v>320</v>
      </c>
      <c r="S7526" t="s">
        <v>323</v>
      </c>
      <c r="T7526">
        <v>7.6</v>
      </c>
      <c r="Y7526" s="42">
        <v>43935</v>
      </c>
    </row>
    <row r="7527" spans="1:25">
      <c r="N7527" s="42">
        <v>43865</v>
      </c>
      <c r="O7527" t="s">
        <v>333</v>
      </c>
      <c r="P7527" s="42">
        <v>43865</v>
      </c>
      <c r="Q7527" t="s">
        <v>333</v>
      </c>
      <c r="R7527" t="s">
        <v>329</v>
      </c>
      <c r="S7527" t="s">
        <v>323</v>
      </c>
      <c r="T7527">
        <v>7.6</v>
      </c>
      <c r="W7527" t="s">
        <v>330</v>
      </c>
      <c r="Y7527" s="42">
        <v>43865</v>
      </c>
    </row>
    <row r="7528" spans="1:25">
      <c r="N7528" s="42">
        <v>43837</v>
      </c>
      <c r="O7528" t="s">
        <v>333</v>
      </c>
      <c r="P7528" s="42">
        <v>43837</v>
      </c>
      <c r="Q7528" t="s">
        <v>333</v>
      </c>
      <c r="R7528" t="s">
        <v>320</v>
      </c>
      <c r="S7528" t="s">
        <v>323</v>
      </c>
      <c r="T7528">
        <v>7.6</v>
      </c>
      <c r="Y7528" s="42">
        <v>43837</v>
      </c>
    </row>
    <row r="7529" spans="1:25">
      <c r="N7529" s="42">
        <v>43806</v>
      </c>
      <c r="O7529" t="s">
        <v>359</v>
      </c>
      <c r="P7529" s="42">
        <v>43806</v>
      </c>
      <c r="Q7529" t="s">
        <v>359</v>
      </c>
      <c r="R7529" t="s">
        <v>320</v>
      </c>
      <c r="S7529" t="s">
        <v>323</v>
      </c>
      <c r="T7529">
        <v>7.6</v>
      </c>
      <c r="Y7529" s="42">
        <v>43809</v>
      </c>
    </row>
    <row r="7530" spans="1:25">
      <c r="A7530">
        <v>18892</v>
      </c>
      <c r="B7530" t="s">
        <v>433</v>
      </c>
      <c r="C7530" t="s">
        <v>320</v>
      </c>
      <c r="D7530" t="s">
        <v>336</v>
      </c>
      <c r="E7530" t="s">
        <v>337</v>
      </c>
      <c r="F7530">
        <v>1</v>
      </c>
      <c r="G7530" s="42">
        <v>45220</v>
      </c>
      <c r="H7530">
        <v>120</v>
      </c>
      <c r="I7530">
        <v>29.654</v>
      </c>
      <c r="J7530">
        <v>44.0548</v>
      </c>
      <c r="K7530">
        <v>73.708799999999997</v>
      </c>
      <c r="L7530" t="s">
        <v>323</v>
      </c>
      <c r="M7530" s="43">
        <v>0.1277777777777778</v>
      </c>
      <c r="N7530" s="42">
        <v>44966</v>
      </c>
      <c r="O7530" t="s">
        <v>324</v>
      </c>
      <c r="P7530" s="42">
        <v>44966</v>
      </c>
      <c r="Q7530" t="s">
        <v>324</v>
      </c>
      <c r="R7530" t="s">
        <v>329</v>
      </c>
      <c r="S7530" t="s">
        <v>323</v>
      </c>
      <c r="T7530">
        <v>6</v>
      </c>
      <c r="W7530" t="s">
        <v>330</v>
      </c>
      <c r="Y7530" s="42">
        <v>44971</v>
      </c>
    </row>
    <row r="7531" spans="1:25">
      <c r="C7531" t="s">
        <v>325</v>
      </c>
      <c r="D7531" t="s">
        <v>352</v>
      </c>
      <c r="E7531" t="s">
        <v>353</v>
      </c>
      <c r="F7531">
        <v>1</v>
      </c>
      <c r="G7531" s="42">
        <v>47420</v>
      </c>
      <c r="H7531">
        <v>277.52910000000003</v>
      </c>
      <c r="I7531">
        <v>0</v>
      </c>
      <c r="J7531">
        <v>104.4975</v>
      </c>
      <c r="K7531">
        <v>104.4975</v>
      </c>
      <c r="L7531" t="s">
        <v>323</v>
      </c>
      <c r="N7531" s="42">
        <v>44966</v>
      </c>
      <c r="O7531" t="s">
        <v>324</v>
      </c>
      <c r="P7531" s="42">
        <v>44966</v>
      </c>
      <c r="Q7531" t="s">
        <v>324</v>
      </c>
      <c r="R7531" t="s">
        <v>347</v>
      </c>
      <c r="S7531" t="s">
        <v>323</v>
      </c>
      <c r="T7531">
        <v>6</v>
      </c>
      <c r="W7531" t="s">
        <v>330</v>
      </c>
      <c r="X7531" t="s">
        <v>330</v>
      </c>
      <c r="Y7531" s="42">
        <v>44971</v>
      </c>
    </row>
    <row r="7532" spans="1:25">
      <c r="C7532" t="s">
        <v>329</v>
      </c>
      <c r="D7532" t="s">
        <v>342</v>
      </c>
      <c r="E7532" t="s">
        <v>343</v>
      </c>
      <c r="F7532">
        <v>1</v>
      </c>
      <c r="G7532" s="42">
        <v>45220</v>
      </c>
      <c r="H7532">
        <v>60</v>
      </c>
      <c r="I7532">
        <v>-7.8231999999999999</v>
      </c>
      <c r="J7532">
        <v>22.0274</v>
      </c>
      <c r="K7532">
        <v>14.2042</v>
      </c>
      <c r="L7532" t="s">
        <v>323</v>
      </c>
      <c r="N7532" s="42">
        <v>44952</v>
      </c>
      <c r="O7532" t="s">
        <v>324</v>
      </c>
      <c r="P7532" s="42">
        <v>44952</v>
      </c>
      <c r="Q7532" t="s">
        <v>324</v>
      </c>
      <c r="R7532" t="s">
        <v>320</v>
      </c>
      <c r="S7532" t="s">
        <v>323</v>
      </c>
      <c r="U7532">
        <v>6</v>
      </c>
    </row>
    <row r="7533" spans="1:25">
      <c r="N7533" s="42">
        <v>44946</v>
      </c>
      <c r="O7533" t="s">
        <v>346</v>
      </c>
      <c r="P7533" s="42">
        <v>44946</v>
      </c>
      <c r="Q7533" t="s">
        <v>346</v>
      </c>
      <c r="R7533" t="s">
        <v>320</v>
      </c>
      <c r="S7533" t="s">
        <v>323</v>
      </c>
      <c r="T7533">
        <v>6</v>
      </c>
      <c r="Y7533" s="42">
        <v>44957</v>
      </c>
    </row>
    <row r="7534" spans="1:25">
      <c r="N7534" s="42">
        <v>44945</v>
      </c>
      <c r="O7534" t="s">
        <v>324</v>
      </c>
      <c r="P7534" s="42">
        <v>44945</v>
      </c>
      <c r="Q7534" t="s">
        <v>324</v>
      </c>
      <c r="R7534" t="s">
        <v>320</v>
      </c>
      <c r="S7534" t="s">
        <v>323</v>
      </c>
      <c r="T7534">
        <v>6</v>
      </c>
      <c r="Y7534" s="42">
        <v>44957</v>
      </c>
    </row>
    <row r="7535" spans="1:25">
      <c r="N7535" s="42">
        <v>44944</v>
      </c>
      <c r="O7535" t="s">
        <v>328</v>
      </c>
      <c r="P7535" s="42">
        <v>44944</v>
      </c>
      <c r="Q7535" t="s">
        <v>328</v>
      </c>
      <c r="R7535" t="s">
        <v>320</v>
      </c>
      <c r="S7535" t="s">
        <v>323</v>
      </c>
      <c r="T7535">
        <v>6</v>
      </c>
      <c r="Y7535" s="42">
        <v>44957</v>
      </c>
    </row>
    <row r="7536" spans="1:25">
      <c r="N7536" s="42">
        <v>44928</v>
      </c>
      <c r="O7536" t="s">
        <v>345</v>
      </c>
      <c r="P7536" s="42">
        <v>44928</v>
      </c>
      <c r="Q7536" t="s">
        <v>345</v>
      </c>
      <c r="R7536" t="s">
        <v>320</v>
      </c>
      <c r="S7536" t="s">
        <v>323</v>
      </c>
      <c r="U7536">
        <v>6</v>
      </c>
    </row>
    <row r="7537" spans="14:25">
      <c r="N7537" s="42">
        <v>44922</v>
      </c>
      <c r="O7537" t="s">
        <v>333</v>
      </c>
      <c r="P7537" s="42">
        <v>44922</v>
      </c>
      <c r="Q7537" t="s">
        <v>333</v>
      </c>
      <c r="R7537" t="s">
        <v>320</v>
      </c>
      <c r="S7537" t="s">
        <v>323</v>
      </c>
      <c r="U7537">
        <v>6</v>
      </c>
    </row>
    <row r="7538" spans="14:25">
      <c r="N7538" s="42">
        <v>44921</v>
      </c>
      <c r="O7538" t="s">
        <v>345</v>
      </c>
      <c r="P7538" s="42">
        <v>44921</v>
      </c>
      <c r="Q7538" t="s">
        <v>345</v>
      </c>
      <c r="R7538" t="s">
        <v>320</v>
      </c>
      <c r="S7538" t="s">
        <v>323</v>
      </c>
      <c r="U7538">
        <v>6</v>
      </c>
    </row>
    <row r="7539" spans="14:25">
      <c r="N7539" s="42">
        <v>44907</v>
      </c>
      <c r="O7539" t="s">
        <v>345</v>
      </c>
      <c r="P7539" s="42">
        <v>44907</v>
      </c>
      <c r="Q7539" t="s">
        <v>345</v>
      </c>
      <c r="R7539" t="s">
        <v>329</v>
      </c>
      <c r="S7539" t="s">
        <v>323</v>
      </c>
      <c r="T7539">
        <v>6</v>
      </c>
      <c r="W7539" t="s">
        <v>330</v>
      </c>
      <c r="Y7539" s="42">
        <v>44915</v>
      </c>
    </row>
    <row r="7540" spans="14:25">
      <c r="N7540" s="42">
        <v>44852</v>
      </c>
      <c r="O7540" t="s">
        <v>333</v>
      </c>
      <c r="P7540" s="42">
        <v>44852</v>
      </c>
      <c r="Q7540" t="s">
        <v>333</v>
      </c>
      <c r="R7540" t="s">
        <v>338</v>
      </c>
      <c r="S7540" t="s">
        <v>323</v>
      </c>
      <c r="T7540">
        <v>6</v>
      </c>
      <c r="W7540" t="s">
        <v>330</v>
      </c>
      <c r="Y7540" s="42">
        <v>44859</v>
      </c>
    </row>
    <row r="7541" spans="14:25">
      <c r="N7541" s="42">
        <v>44851</v>
      </c>
      <c r="O7541" t="s">
        <v>345</v>
      </c>
      <c r="P7541" s="42">
        <v>44851</v>
      </c>
      <c r="Q7541" t="s">
        <v>345</v>
      </c>
      <c r="R7541" t="s">
        <v>338</v>
      </c>
      <c r="S7541" t="s">
        <v>323</v>
      </c>
      <c r="T7541">
        <v>6</v>
      </c>
      <c r="W7541" t="s">
        <v>330</v>
      </c>
      <c r="Y7541" s="42">
        <v>44859</v>
      </c>
    </row>
    <row r="7542" spans="14:25">
      <c r="N7542" s="42">
        <v>44837</v>
      </c>
      <c r="O7542" t="s">
        <v>345</v>
      </c>
      <c r="P7542" s="42">
        <v>44837</v>
      </c>
      <c r="Q7542" t="s">
        <v>345</v>
      </c>
      <c r="R7542" t="s">
        <v>320</v>
      </c>
      <c r="S7542" t="s">
        <v>323</v>
      </c>
      <c r="U7542">
        <v>6</v>
      </c>
    </row>
    <row r="7543" spans="14:25">
      <c r="N7543" s="42">
        <v>44834</v>
      </c>
      <c r="O7543" t="s">
        <v>346</v>
      </c>
      <c r="P7543" s="42">
        <v>44834</v>
      </c>
      <c r="Q7543" t="s">
        <v>346</v>
      </c>
      <c r="R7543" t="s">
        <v>338</v>
      </c>
      <c r="S7543" t="s">
        <v>323</v>
      </c>
      <c r="T7543">
        <v>6</v>
      </c>
      <c r="W7543" t="s">
        <v>330</v>
      </c>
      <c r="Y7543" s="42">
        <v>44845</v>
      </c>
    </row>
    <row r="7544" spans="14:25">
      <c r="N7544" s="42">
        <v>44826</v>
      </c>
      <c r="O7544" t="s">
        <v>324</v>
      </c>
      <c r="P7544" s="42">
        <v>44826</v>
      </c>
      <c r="Q7544" t="s">
        <v>324</v>
      </c>
      <c r="R7544" t="s">
        <v>320</v>
      </c>
      <c r="S7544" t="s">
        <v>323</v>
      </c>
      <c r="U7544">
        <v>6</v>
      </c>
    </row>
    <row r="7545" spans="14:25">
      <c r="N7545" s="42">
        <v>44823</v>
      </c>
      <c r="O7545" t="s">
        <v>345</v>
      </c>
      <c r="P7545" s="42">
        <v>44823</v>
      </c>
      <c r="Q7545" t="s">
        <v>345</v>
      </c>
      <c r="R7545" t="s">
        <v>329</v>
      </c>
      <c r="S7545" t="s">
        <v>323</v>
      </c>
      <c r="T7545">
        <v>6</v>
      </c>
      <c r="W7545" t="s">
        <v>330</v>
      </c>
      <c r="Y7545" s="42">
        <v>44831</v>
      </c>
    </row>
    <row r="7546" spans="14:25">
      <c r="N7546" s="42">
        <v>44802</v>
      </c>
      <c r="O7546" t="s">
        <v>345</v>
      </c>
      <c r="P7546" s="42">
        <v>44802</v>
      </c>
      <c r="Q7546" t="s">
        <v>345</v>
      </c>
      <c r="R7546" t="s">
        <v>338</v>
      </c>
      <c r="S7546" t="s">
        <v>323</v>
      </c>
      <c r="T7546">
        <v>6</v>
      </c>
      <c r="W7546" t="s">
        <v>330</v>
      </c>
      <c r="Y7546" s="42">
        <v>44803</v>
      </c>
    </row>
    <row r="7547" spans="14:25">
      <c r="N7547" s="42">
        <v>44762</v>
      </c>
      <c r="O7547" t="s">
        <v>328</v>
      </c>
      <c r="P7547" s="42">
        <v>44762</v>
      </c>
      <c r="Q7547" t="s">
        <v>328</v>
      </c>
      <c r="R7547" t="s">
        <v>329</v>
      </c>
      <c r="S7547" t="s">
        <v>323</v>
      </c>
      <c r="T7547">
        <v>6</v>
      </c>
      <c r="W7547" t="s">
        <v>330</v>
      </c>
      <c r="Y7547" s="42">
        <v>44775</v>
      </c>
    </row>
    <row r="7548" spans="14:25">
      <c r="N7548" s="42">
        <v>44761</v>
      </c>
      <c r="O7548" t="s">
        <v>333</v>
      </c>
      <c r="P7548" s="42">
        <v>44761</v>
      </c>
      <c r="Q7548" t="s">
        <v>333</v>
      </c>
      <c r="R7548" t="s">
        <v>329</v>
      </c>
      <c r="S7548" t="s">
        <v>323</v>
      </c>
      <c r="T7548">
        <v>6</v>
      </c>
      <c r="W7548" t="s">
        <v>330</v>
      </c>
      <c r="Y7548" s="42">
        <v>44761</v>
      </c>
    </row>
    <row r="7549" spans="14:25">
      <c r="N7549" s="42">
        <v>44736</v>
      </c>
      <c r="O7549" t="s">
        <v>346</v>
      </c>
      <c r="P7549" s="42">
        <v>44736</v>
      </c>
      <c r="Q7549" t="s">
        <v>346</v>
      </c>
      <c r="R7549" t="s">
        <v>338</v>
      </c>
      <c r="S7549" t="s">
        <v>323</v>
      </c>
      <c r="T7549">
        <v>6</v>
      </c>
      <c r="W7549" t="s">
        <v>330</v>
      </c>
      <c r="Y7549" s="42">
        <v>44747</v>
      </c>
    </row>
    <row r="7550" spans="14:25">
      <c r="N7550" s="42">
        <v>44725</v>
      </c>
      <c r="O7550" t="s">
        <v>345</v>
      </c>
      <c r="P7550" s="42">
        <v>44725</v>
      </c>
      <c r="Q7550" t="s">
        <v>345</v>
      </c>
      <c r="R7550" t="s">
        <v>320</v>
      </c>
      <c r="S7550" t="s">
        <v>323</v>
      </c>
      <c r="U7550">
        <v>6</v>
      </c>
    </row>
    <row r="7551" spans="14:25">
      <c r="N7551" s="42">
        <v>44715</v>
      </c>
      <c r="O7551" t="s">
        <v>346</v>
      </c>
      <c r="P7551" s="42">
        <v>44715</v>
      </c>
      <c r="Q7551" t="s">
        <v>346</v>
      </c>
      <c r="R7551" t="s">
        <v>338</v>
      </c>
      <c r="S7551" t="s">
        <v>323</v>
      </c>
      <c r="T7551">
        <v>6</v>
      </c>
      <c r="W7551" t="s">
        <v>330</v>
      </c>
      <c r="Y7551" s="42">
        <v>44719</v>
      </c>
    </row>
    <row r="7552" spans="14:25">
      <c r="N7552" s="42">
        <v>44711</v>
      </c>
      <c r="O7552" t="s">
        <v>345</v>
      </c>
      <c r="P7552" s="42">
        <v>44711</v>
      </c>
      <c r="Q7552" t="s">
        <v>345</v>
      </c>
      <c r="R7552" t="s">
        <v>338</v>
      </c>
      <c r="S7552" t="s">
        <v>323</v>
      </c>
      <c r="T7552">
        <v>6</v>
      </c>
      <c r="W7552" t="s">
        <v>330</v>
      </c>
      <c r="Y7552" s="42">
        <v>44719</v>
      </c>
    </row>
    <row r="7553" spans="14:25">
      <c r="N7553" s="42">
        <v>44701</v>
      </c>
      <c r="O7553" t="s">
        <v>346</v>
      </c>
      <c r="P7553" s="42">
        <v>44701</v>
      </c>
      <c r="Q7553" t="s">
        <v>346</v>
      </c>
      <c r="R7553" t="s">
        <v>329</v>
      </c>
      <c r="S7553" t="s">
        <v>323</v>
      </c>
      <c r="T7553">
        <v>6</v>
      </c>
      <c r="W7553" t="s">
        <v>330</v>
      </c>
      <c r="Y7553" s="42">
        <v>44705</v>
      </c>
    </row>
    <row r="7554" spans="14:25">
      <c r="N7554" s="42">
        <v>44691</v>
      </c>
      <c r="O7554" t="s">
        <v>333</v>
      </c>
      <c r="P7554" s="42">
        <v>44691</v>
      </c>
      <c r="Q7554" t="s">
        <v>333</v>
      </c>
      <c r="R7554" t="s">
        <v>329</v>
      </c>
      <c r="S7554" t="s">
        <v>323</v>
      </c>
      <c r="T7554">
        <v>6</v>
      </c>
      <c r="W7554" t="s">
        <v>330</v>
      </c>
      <c r="Y7554" s="42">
        <v>44691</v>
      </c>
    </row>
    <row r="7555" spans="14:25">
      <c r="N7555" s="42">
        <v>44687</v>
      </c>
      <c r="O7555" t="s">
        <v>346</v>
      </c>
      <c r="P7555" s="42">
        <v>44687</v>
      </c>
      <c r="Q7555" t="s">
        <v>346</v>
      </c>
      <c r="R7555" t="s">
        <v>320</v>
      </c>
      <c r="S7555" t="s">
        <v>323</v>
      </c>
      <c r="T7555">
        <v>6</v>
      </c>
      <c r="Y7555" s="42">
        <v>44691</v>
      </c>
    </row>
    <row r="7556" spans="14:25">
      <c r="N7556" s="42">
        <v>44680</v>
      </c>
      <c r="O7556" t="s">
        <v>346</v>
      </c>
      <c r="P7556" s="42">
        <v>44680</v>
      </c>
      <c r="Q7556" t="s">
        <v>346</v>
      </c>
      <c r="R7556" t="s">
        <v>320</v>
      </c>
      <c r="S7556" t="s">
        <v>323</v>
      </c>
      <c r="T7556">
        <v>7.6</v>
      </c>
      <c r="Y7556" s="42">
        <v>44691</v>
      </c>
    </row>
    <row r="7557" spans="14:25">
      <c r="N7557" s="42">
        <v>44679</v>
      </c>
      <c r="O7557" t="s">
        <v>324</v>
      </c>
      <c r="P7557" s="42">
        <v>44679</v>
      </c>
      <c r="Q7557" t="s">
        <v>324</v>
      </c>
      <c r="R7557" t="s">
        <v>320</v>
      </c>
      <c r="S7557" t="s">
        <v>323</v>
      </c>
      <c r="T7557">
        <v>7.6</v>
      </c>
      <c r="Y7557" s="42">
        <v>44691</v>
      </c>
    </row>
    <row r="7558" spans="14:25">
      <c r="N7558" s="42">
        <v>44678</v>
      </c>
      <c r="O7558" t="s">
        <v>328</v>
      </c>
      <c r="P7558" s="42">
        <v>44678</v>
      </c>
      <c r="Q7558" t="s">
        <v>328</v>
      </c>
      <c r="R7558" t="s">
        <v>320</v>
      </c>
      <c r="S7558" t="s">
        <v>323</v>
      </c>
      <c r="T7558">
        <v>7.6</v>
      </c>
      <c r="Y7558" s="42">
        <v>44691</v>
      </c>
    </row>
    <row r="7559" spans="14:25">
      <c r="N7559" s="42">
        <v>44677</v>
      </c>
      <c r="O7559" t="s">
        <v>333</v>
      </c>
      <c r="P7559" s="42">
        <v>44677</v>
      </c>
      <c r="Q7559" t="s">
        <v>333</v>
      </c>
      <c r="R7559" t="s">
        <v>320</v>
      </c>
      <c r="S7559" t="s">
        <v>323</v>
      </c>
      <c r="T7559">
        <v>7.6</v>
      </c>
      <c r="Y7559" s="42">
        <v>44677</v>
      </c>
    </row>
    <row r="7560" spans="14:25">
      <c r="N7560" s="42">
        <v>44676</v>
      </c>
      <c r="O7560" t="s">
        <v>345</v>
      </c>
      <c r="P7560" s="42">
        <v>44676</v>
      </c>
      <c r="Q7560" t="s">
        <v>345</v>
      </c>
      <c r="R7560" t="s">
        <v>320</v>
      </c>
      <c r="S7560" t="s">
        <v>323</v>
      </c>
      <c r="U7560">
        <v>7.6</v>
      </c>
    </row>
    <row r="7561" spans="14:25">
      <c r="N7561" s="42">
        <v>44673</v>
      </c>
      <c r="O7561" t="s">
        <v>346</v>
      </c>
      <c r="P7561" s="42">
        <v>44673</v>
      </c>
      <c r="Q7561" t="s">
        <v>346</v>
      </c>
      <c r="R7561" t="s">
        <v>320</v>
      </c>
      <c r="S7561" t="s">
        <v>323</v>
      </c>
      <c r="T7561">
        <v>7.6</v>
      </c>
      <c r="Y7561" s="42">
        <v>44677</v>
      </c>
    </row>
    <row r="7562" spans="14:25">
      <c r="N7562" s="42">
        <v>44672</v>
      </c>
      <c r="O7562" t="s">
        <v>324</v>
      </c>
      <c r="P7562" s="42">
        <v>44672</v>
      </c>
      <c r="Q7562" t="s">
        <v>324</v>
      </c>
      <c r="R7562" t="s">
        <v>320</v>
      </c>
      <c r="S7562" t="s">
        <v>323</v>
      </c>
      <c r="T7562">
        <v>7.6</v>
      </c>
      <c r="Y7562" s="42">
        <v>44677</v>
      </c>
    </row>
    <row r="7563" spans="14:25">
      <c r="N7563" s="42">
        <v>44671</v>
      </c>
      <c r="O7563" t="s">
        <v>328</v>
      </c>
      <c r="P7563" s="42">
        <v>44671</v>
      </c>
      <c r="Q7563" t="s">
        <v>328</v>
      </c>
      <c r="R7563" t="s">
        <v>320</v>
      </c>
      <c r="S7563" t="s">
        <v>323</v>
      </c>
      <c r="T7563">
        <v>7.6</v>
      </c>
      <c r="Y7563" s="42">
        <v>44677</v>
      </c>
    </row>
    <row r="7564" spans="14:25">
      <c r="N7564" s="42">
        <v>44670</v>
      </c>
      <c r="O7564" t="s">
        <v>333</v>
      </c>
      <c r="P7564" s="42">
        <v>44670</v>
      </c>
      <c r="Q7564" t="s">
        <v>333</v>
      </c>
      <c r="R7564" t="s">
        <v>320</v>
      </c>
      <c r="S7564" t="s">
        <v>323</v>
      </c>
      <c r="T7564">
        <v>7.6</v>
      </c>
      <c r="Y7564" s="42">
        <v>44677</v>
      </c>
    </row>
    <row r="7565" spans="14:25">
      <c r="N7565" s="42">
        <v>44669</v>
      </c>
      <c r="O7565" t="s">
        <v>345</v>
      </c>
      <c r="P7565" s="42">
        <v>44669</v>
      </c>
      <c r="Q7565" t="s">
        <v>345</v>
      </c>
      <c r="R7565" t="s">
        <v>320</v>
      </c>
      <c r="S7565" t="s">
        <v>323</v>
      </c>
      <c r="U7565">
        <v>7.6</v>
      </c>
    </row>
    <row r="7566" spans="14:25">
      <c r="N7566" s="42">
        <v>44666</v>
      </c>
      <c r="O7566" t="s">
        <v>346</v>
      </c>
      <c r="P7566" s="42">
        <v>44666</v>
      </c>
      <c r="Q7566" t="s">
        <v>346</v>
      </c>
      <c r="R7566" t="s">
        <v>320</v>
      </c>
      <c r="S7566" t="s">
        <v>323</v>
      </c>
      <c r="U7566">
        <v>7.6</v>
      </c>
    </row>
    <row r="7567" spans="14:25">
      <c r="N7567" s="42">
        <v>44665</v>
      </c>
      <c r="O7567" t="s">
        <v>324</v>
      </c>
      <c r="P7567" s="42">
        <v>44665</v>
      </c>
      <c r="Q7567" t="s">
        <v>324</v>
      </c>
      <c r="R7567" t="s">
        <v>320</v>
      </c>
      <c r="S7567" t="s">
        <v>323</v>
      </c>
      <c r="T7567">
        <v>7.6</v>
      </c>
      <c r="Y7567" s="42">
        <v>44677</v>
      </c>
    </row>
    <row r="7568" spans="14:25">
      <c r="N7568" s="42">
        <v>44664</v>
      </c>
      <c r="O7568" t="s">
        <v>328</v>
      </c>
      <c r="P7568" s="42">
        <v>44664</v>
      </c>
      <c r="Q7568" t="s">
        <v>328</v>
      </c>
      <c r="R7568" t="s">
        <v>320</v>
      </c>
      <c r="S7568" t="s">
        <v>323</v>
      </c>
      <c r="T7568">
        <v>7.6</v>
      </c>
      <c r="Y7568" s="42">
        <v>44677</v>
      </c>
    </row>
    <row r="7569" spans="14:25">
      <c r="N7569" s="42">
        <v>44663</v>
      </c>
      <c r="O7569" t="s">
        <v>333</v>
      </c>
      <c r="P7569" s="42">
        <v>44663</v>
      </c>
      <c r="Q7569" t="s">
        <v>333</v>
      </c>
      <c r="R7569" t="s">
        <v>320</v>
      </c>
      <c r="S7569" t="s">
        <v>323</v>
      </c>
      <c r="T7569">
        <v>7.6</v>
      </c>
      <c r="Y7569" s="42">
        <v>44663</v>
      </c>
    </row>
    <row r="7570" spans="14:25">
      <c r="N7570" s="42">
        <v>44662</v>
      </c>
      <c r="O7570" t="s">
        <v>345</v>
      </c>
      <c r="P7570" s="42">
        <v>44662</v>
      </c>
      <c r="Q7570" t="s">
        <v>345</v>
      </c>
      <c r="R7570" t="s">
        <v>320</v>
      </c>
      <c r="S7570" t="s">
        <v>323</v>
      </c>
      <c r="T7570">
        <v>7.6</v>
      </c>
      <c r="Y7570" s="42">
        <v>44663</v>
      </c>
    </row>
    <row r="7571" spans="14:25">
      <c r="N7571" s="42">
        <v>44659</v>
      </c>
      <c r="O7571" t="s">
        <v>346</v>
      </c>
      <c r="P7571" s="42">
        <v>44659</v>
      </c>
      <c r="Q7571" t="s">
        <v>346</v>
      </c>
      <c r="R7571" t="s">
        <v>320</v>
      </c>
      <c r="S7571" t="s">
        <v>323</v>
      </c>
      <c r="T7571">
        <v>7.6</v>
      </c>
      <c r="Y7571" s="42">
        <v>44663</v>
      </c>
    </row>
    <row r="7572" spans="14:25">
      <c r="N7572" s="42">
        <v>44658</v>
      </c>
      <c r="O7572" t="s">
        <v>324</v>
      </c>
      <c r="P7572" s="42">
        <v>44658</v>
      </c>
      <c r="Q7572" t="s">
        <v>324</v>
      </c>
      <c r="R7572" t="s">
        <v>320</v>
      </c>
      <c r="S7572" t="s">
        <v>323</v>
      </c>
      <c r="T7572">
        <v>7.6</v>
      </c>
      <c r="Y7572" s="42">
        <v>44663</v>
      </c>
    </row>
    <row r="7573" spans="14:25">
      <c r="N7573" s="42">
        <v>44657</v>
      </c>
      <c r="O7573" t="s">
        <v>328</v>
      </c>
      <c r="P7573" s="42">
        <v>44657</v>
      </c>
      <c r="Q7573" t="s">
        <v>328</v>
      </c>
      <c r="R7573" t="s">
        <v>320</v>
      </c>
      <c r="S7573" t="s">
        <v>323</v>
      </c>
      <c r="T7573">
        <v>7.6</v>
      </c>
      <c r="Y7573" s="42">
        <v>44663</v>
      </c>
    </row>
    <row r="7574" spans="14:25">
      <c r="N7574" s="42">
        <v>44656</v>
      </c>
      <c r="O7574" t="s">
        <v>333</v>
      </c>
      <c r="P7574" s="42">
        <v>44656</v>
      </c>
      <c r="Q7574" t="s">
        <v>333</v>
      </c>
      <c r="R7574" t="s">
        <v>320</v>
      </c>
      <c r="S7574" t="s">
        <v>323</v>
      </c>
      <c r="T7574">
        <v>7.6</v>
      </c>
      <c r="Y7574" s="42">
        <v>44663</v>
      </c>
    </row>
    <row r="7575" spans="14:25">
      <c r="N7575" s="42">
        <v>44655</v>
      </c>
      <c r="O7575" t="s">
        <v>345</v>
      </c>
      <c r="P7575" s="42">
        <v>44655</v>
      </c>
      <c r="Q7575" t="s">
        <v>345</v>
      </c>
      <c r="R7575" t="s">
        <v>320</v>
      </c>
      <c r="S7575" t="s">
        <v>323</v>
      </c>
      <c r="T7575">
        <v>7.6</v>
      </c>
      <c r="Y7575" s="42">
        <v>44663</v>
      </c>
    </row>
    <row r="7576" spans="14:25">
      <c r="N7576" s="42">
        <v>44652</v>
      </c>
      <c r="O7576" t="s">
        <v>346</v>
      </c>
      <c r="P7576" s="42">
        <v>44652</v>
      </c>
      <c r="Q7576" t="s">
        <v>346</v>
      </c>
      <c r="R7576" t="s">
        <v>320</v>
      </c>
      <c r="S7576" t="s">
        <v>323</v>
      </c>
      <c r="T7576">
        <v>7.6</v>
      </c>
      <c r="Y7576" s="42">
        <v>44663</v>
      </c>
    </row>
    <row r="7577" spans="14:25">
      <c r="N7577" s="42">
        <v>44651</v>
      </c>
      <c r="O7577" t="s">
        <v>324</v>
      </c>
      <c r="P7577" s="42">
        <v>44651</v>
      </c>
      <c r="Q7577" t="s">
        <v>324</v>
      </c>
      <c r="R7577" t="s">
        <v>320</v>
      </c>
      <c r="S7577" t="s">
        <v>323</v>
      </c>
      <c r="T7577">
        <v>7.6</v>
      </c>
      <c r="Y7577" s="42">
        <v>44663</v>
      </c>
    </row>
    <row r="7578" spans="14:25">
      <c r="N7578" s="42">
        <v>44650</v>
      </c>
      <c r="O7578" t="s">
        <v>328</v>
      </c>
      <c r="P7578" s="42">
        <v>44650</v>
      </c>
      <c r="Q7578" t="s">
        <v>328</v>
      </c>
      <c r="R7578" t="s">
        <v>320</v>
      </c>
      <c r="S7578" t="s">
        <v>323</v>
      </c>
      <c r="T7578">
        <v>7.6</v>
      </c>
      <c r="Y7578" s="42">
        <v>44663</v>
      </c>
    </row>
    <row r="7579" spans="14:25">
      <c r="N7579" s="42">
        <v>44649</v>
      </c>
      <c r="O7579" t="s">
        <v>333</v>
      </c>
      <c r="P7579" s="42">
        <v>44649</v>
      </c>
      <c r="Q7579" t="s">
        <v>333</v>
      </c>
      <c r="R7579" t="s">
        <v>338</v>
      </c>
      <c r="S7579" t="s">
        <v>323</v>
      </c>
      <c r="T7579">
        <v>5.6666999999999996</v>
      </c>
      <c r="W7579" t="s">
        <v>330</v>
      </c>
      <c r="Y7579" s="42">
        <v>44649</v>
      </c>
    </row>
    <row r="7580" spans="14:25">
      <c r="N7580" s="42">
        <v>44643</v>
      </c>
      <c r="O7580" t="s">
        <v>328</v>
      </c>
      <c r="P7580" s="42">
        <v>44643</v>
      </c>
      <c r="Q7580" t="s">
        <v>328</v>
      </c>
      <c r="R7580" t="s">
        <v>329</v>
      </c>
      <c r="S7580" t="s">
        <v>323</v>
      </c>
      <c r="T7580">
        <v>7.6</v>
      </c>
      <c r="W7580" t="s">
        <v>330</v>
      </c>
      <c r="Y7580" s="42">
        <v>44649</v>
      </c>
    </row>
    <row r="7581" spans="14:25">
      <c r="N7581" s="42">
        <v>44636</v>
      </c>
      <c r="O7581" t="s">
        <v>328</v>
      </c>
      <c r="P7581" s="42">
        <v>44636</v>
      </c>
      <c r="Q7581" t="s">
        <v>328</v>
      </c>
      <c r="R7581" t="s">
        <v>329</v>
      </c>
      <c r="S7581" t="s">
        <v>323</v>
      </c>
      <c r="T7581">
        <v>7.6</v>
      </c>
      <c r="W7581" t="s">
        <v>330</v>
      </c>
      <c r="Y7581" s="42">
        <v>44649</v>
      </c>
    </row>
    <row r="7582" spans="14:25">
      <c r="N7582" s="42">
        <v>44628</v>
      </c>
      <c r="O7582" t="s">
        <v>333</v>
      </c>
      <c r="P7582" s="42">
        <v>44628</v>
      </c>
      <c r="Q7582" t="s">
        <v>333</v>
      </c>
      <c r="R7582" t="s">
        <v>320</v>
      </c>
      <c r="S7582" t="s">
        <v>323</v>
      </c>
      <c r="T7582">
        <v>3.6</v>
      </c>
      <c r="Y7582" s="42">
        <v>44635</v>
      </c>
    </row>
    <row r="7583" spans="14:25">
      <c r="N7583" s="42">
        <v>44623</v>
      </c>
      <c r="O7583" t="s">
        <v>324</v>
      </c>
      <c r="P7583" s="42">
        <v>44623</v>
      </c>
      <c r="Q7583" t="s">
        <v>324</v>
      </c>
      <c r="R7583" t="s">
        <v>320</v>
      </c>
      <c r="S7583" t="s">
        <v>323</v>
      </c>
      <c r="T7583">
        <v>7.6</v>
      </c>
      <c r="Y7583" s="42">
        <v>44635</v>
      </c>
    </row>
    <row r="7584" spans="14:25">
      <c r="N7584" s="42">
        <v>44622</v>
      </c>
      <c r="O7584" t="s">
        <v>328</v>
      </c>
      <c r="P7584" s="42">
        <v>44622</v>
      </c>
      <c r="Q7584" t="s">
        <v>328</v>
      </c>
      <c r="R7584" t="s">
        <v>320</v>
      </c>
      <c r="S7584" t="s">
        <v>323</v>
      </c>
      <c r="T7584">
        <v>7.25</v>
      </c>
      <c r="Y7584" s="42">
        <v>44635</v>
      </c>
    </row>
    <row r="7585" spans="14:25">
      <c r="N7585" s="42">
        <v>44615</v>
      </c>
      <c r="O7585" t="s">
        <v>328</v>
      </c>
      <c r="P7585" s="42">
        <v>44615</v>
      </c>
      <c r="Q7585" t="s">
        <v>328</v>
      </c>
      <c r="R7585" t="s">
        <v>320</v>
      </c>
      <c r="S7585" t="s">
        <v>323</v>
      </c>
      <c r="T7585">
        <v>1</v>
      </c>
      <c r="Y7585" s="42">
        <v>44621</v>
      </c>
    </row>
    <row r="7586" spans="14:25">
      <c r="N7586" s="42">
        <v>44594</v>
      </c>
      <c r="O7586" t="s">
        <v>328</v>
      </c>
      <c r="P7586" s="42">
        <v>44594</v>
      </c>
      <c r="Q7586" t="s">
        <v>328</v>
      </c>
      <c r="R7586" t="s">
        <v>329</v>
      </c>
      <c r="S7586" t="s">
        <v>323</v>
      </c>
      <c r="T7586">
        <v>7.6</v>
      </c>
      <c r="W7586" t="s">
        <v>330</v>
      </c>
      <c r="Y7586" s="42">
        <v>44607</v>
      </c>
    </row>
    <row r="7587" spans="14:25">
      <c r="N7587" s="42">
        <v>44587</v>
      </c>
      <c r="O7587" t="s">
        <v>328</v>
      </c>
      <c r="P7587" s="42">
        <v>44587</v>
      </c>
      <c r="Q7587" t="s">
        <v>328</v>
      </c>
      <c r="R7587" t="s">
        <v>320</v>
      </c>
      <c r="S7587" t="s">
        <v>323</v>
      </c>
      <c r="U7587">
        <v>7.6</v>
      </c>
    </row>
    <row r="7588" spans="14:25">
      <c r="N7588" s="42">
        <v>44586</v>
      </c>
      <c r="O7588" t="s">
        <v>333</v>
      </c>
      <c r="P7588" s="42">
        <v>44586</v>
      </c>
      <c r="Q7588" t="s">
        <v>333</v>
      </c>
      <c r="R7588" t="s">
        <v>329</v>
      </c>
      <c r="S7588" t="s">
        <v>323</v>
      </c>
      <c r="T7588">
        <v>7.6</v>
      </c>
      <c r="W7588" t="s">
        <v>330</v>
      </c>
      <c r="Y7588" s="42">
        <v>44593</v>
      </c>
    </row>
    <row r="7589" spans="14:25">
      <c r="N7589" s="42">
        <v>44585</v>
      </c>
      <c r="O7589" t="s">
        <v>345</v>
      </c>
      <c r="P7589" s="42">
        <v>44585</v>
      </c>
      <c r="Q7589" t="s">
        <v>345</v>
      </c>
      <c r="R7589" t="s">
        <v>329</v>
      </c>
      <c r="S7589" t="s">
        <v>323</v>
      </c>
      <c r="T7589">
        <v>7.6</v>
      </c>
      <c r="W7589" t="s">
        <v>330</v>
      </c>
      <c r="Y7589" s="42">
        <v>44593</v>
      </c>
    </row>
    <row r="7590" spans="14:25">
      <c r="N7590" s="42">
        <v>44573</v>
      </c>
      <c r="O7590" t="s">
        <v>328</v>
      </c>
      <c r="P7590" s="42">
        <v>44573</v>
      </c>
      <c r="Q7590" t="s">
        <v>328</v>
      </c>
      <c r="R7590" t="s">
        <v>320</v>
      </c>
      <c r="S7590" t="s">
        <v>323</v>
      </c>
      <c r="T7590">
        <v>0.45</v>
      </c>
      <c r="Y7590" s="42">
        <v>44579</v>
      </c>
    </row>
    <row r="7591" spans="14:25">
      <c r="N7591" s="42">
        <v>44564</v>
      </c>
      <c r="O7591" t="s">
        <v>345</v>
      </c>
      <c r="P7591" s="42">
        <v>44564</v>
      </c>
      <c r="Q7591" t="s">
        <v>345</v>
      </c>
      <c r="R7591" t="s">
        <v>320</v>
      </c>
      <c r="S7591" t="s">
        <v>323</v>
      </c>
      <c r="U7591">
        <v>7.6</v>
      </c>
    </row>
    <row r="7592" spans="14:25">
      <c r="N7592" s="42">
        <v>44561</v>
      </c>
      <c r="O7592" t="s">
        <v>346</v>
      </c>
      <c r="P7592" s="42">
        <v>44561</v>
      </c>
      <c r="Q7592" t="s">
        <v>346</v>
      </c>
      <c r="R7592" t="s">
        <v>320</v>
      </c>
      <c r="S7592" t="s">
        <v>323</v>
      </c>
      <c r="T7592">
        <v>7.6</v>
      </c>
      <c r="Y7592" s="42">
        <v>44565</v>
      </c>
    </row>
    <row r="7593" spans="14:25">
      <c r="N7593" s="42">
        <v>44558</v>
      </c>
      <c r="O7593" t="s">
        <v>333</v>
      </c>
      <c r="P7593" s="42">
        <v>44558</v>
      </c>
      <c r="Q7593" t="s">
        <v>333</v>
      </c>
      <c r="R7593" t="s">
        <v>320</v>
      </c>
      <c r="S7593" t="s">
        <v>323</v>
      </c>
      <c r="U7593">
        <v>7.6</v>
      </c>
    </row>
    <row r="7594" spans="14:25">
      <c r="N7594" s="42">
        <v>44557</v>
      </c>
      <c r="O7594" t="s">
        <v>345</v>
      </c>
      <c r="P7594" s="42">
        <v>44557</v>
      </c>
      <c r="Q7594" t="s">
        <v>345</v>
      </c>
      <c r="R7594" t="s">
        <v>320</v>
      </c>
      <c r="S7594" t="s">
        <v>323</v>
      </c>
      <c r="U7594">
        <v>7.6</v>
      </c>
    </row>
    <row r="7595" spans="14:25">
      <c r="N7595" s="42">
        <v>44554</v>
      </c>
      <c r="O7595" t="s">
        <v>346</v>
      </c>
      <c r="P7595" s="42">
        <v>44554</v>
      </c>
      <c r="Q7595" t="s">
        <v>346</v>
      </c>
      <c r="R7595" t="s">
        <v>320</v>
      </c>
      <c r="S7595" t="s">
        <v>323</v>
      </c>
      <c r="T7595">
        <v>7.6</v>
      </c>
      <c r="Y7595" s="42">
        <v>44565</v>
      </c>
    </row>
    <row r="7596" spans="14:25">
      <c r="N7596" s="42">
        <v>44545</v>
      </c>
      <c r="O7596" t="s">
        <v>328</v>
      </c>
      <c r="P7596" s="42">
        <v>44545</v>
      </c>
      <c r="Q7596" t="s">
        <v>328</v>
      </c>
      <c r="R7596" t="s">
        <v>320</v>
      </c>
      <c r="S7596" t="s">
        <v>323</v>
      </c>
      <c r="T7596">
        <v>1</v>
      </c>
      <c r="Y7596" s="42">
        <v>44551</v>
      </c>
    </row>
    <row r="7597" spans="14:25">
      <c r="N7597" s="42">
        <v>44540</v>
      </c>
      <c r="O7597" t="s">
        <v>346</v>
      </c>
      <c r="P7597" s="42">
        <v>44540</v>
      </c>
      <c r="Q7597" t="s">
        <v>346</v>
      </c>
      <c r="R7597" t="s">
        <v>320</v>
      </c>
      <c r="S7597" t="s">
        <v>323</v>
      </c>
      <c r="T7597">
        <v>7.6</v>
      </c>
      <c r="Y7597" s="42">
        <v>44551</v>
      </c>
    </row>
    <row r="7598" spans="14:25">
      <c r="N7598" s="42">
        <v>44518</v>
      </c>
      <c r="O7598" t="s">
        <v>324</v>
      </c>
      <c r="P7598" s="42">
        <v>44518</v>
      </c>
      <c r="Q7598" t="s">
        <v>324</v>
      </c>
      <c r="R7598" t="s">
        <v>320</v>
      </c>
      <c r="S7598" t="s">
        <v>323</v>
      </c>
      <c r="T7598">
        <v>7.6</v>
      </c>
      <c r="Y7598" s="42">
        <v>44523</v>
      </c>
    </row>
    <row r="7599" spans="14:25">
      <c r="N7599" s="42">
        <v>44517</v>
      </c>
      <c r="O7599" t="s">
        <v>328</v>
      </c>
      <c r="P7599" s="42">
        <v>44517</v>
      </c>
      <c r="Q7599" t="s">
        <v>328</v>
      </c>
      <c r="R7599" t="s">
        <v>320</v>
      </c>
      <c r="S7599" t="s">
        <v>323</v>
      </c>
      <c r="T7599">
        <v>3</v>
      </c>
      <c r="Y7599" s="42">
        <v>44523</v>
      </c>
    </row>
    <row r="7600" spans="14:25">
      <c r="N7600" s="42">
        <v>44491</v>
      </c>
      <c r="O7600" t="s">
        <v>346</v>
      </c>
      <c r="P7600" s="42">
        <v>44491</v>
      </c>
      <c r="Q7600" t="s">
        <v>346</v>
      </c>
      <c r="R7600" t="s">
        <v>329</v>
      </c>
      <c r="S7600" t="s">
        <v>323</v>
      </c>
      <c r="T7600">
        <v>7.6</v>
      </c>
      <c r="W7600" t="s">
        <v>330</v>
      </c>
      <c r="Y7600" s="42">
        <v>44495</v>
      </c>
    </row>
    <row r="7601" spans="14:25">
      <c r="N7601" s="42">
        <v>44473</v>
      </c>
      <c r="O7601" t="s">
        <v>345</v>
      </c>
      <c r="P7601" s="42">
        <v>44473</v>
      </c>
      <c r="Q7601" t="s">
        <v>345</v>
      </c>
      <c r="R7601" t="s">
        <v>320</v>
      </c>
      <c r="S7601" t="s">
        <v>323</v>
      </c>
      <c r="U7601">
        <v>7.6</v>
      </c>
    </row>
    <row r="7602" spans="14:25">
      <c r="N7602" s="42">
        <v>44463</v>
      </c>
      <c r="O7602" t="s">
        <v>346</v>
      </c>
      <c r="P7602" s="42">
        <v>44463</v>
      </c>
      <c r="Q7602" t="s">
        <v>346</v>
      </c>
      <c r="R7602" t="s">
        <v>320</v>
      </c>
      <c r="S7602" t="s">
        <v>323</v>
      </c>
      <c r="T7602">
        <v>7.6</v>
      </c>
      <c r="Y7602" s="42">
        <v>44467</v>
      </c>
    </row>
    <row r="7603" spans="14:25">
      <c r="N7603" s="42">
        <v>44462</v>
      </c>
      <c r="O7603" t="s">
        <v>324</v>
      </c>
      <c r="P7603" s="42">
        <v>44462</v>
      </c>
      <c r="Q7603" t="s">
        <v>324</v>
      </c>
      <c r="R7603" t="s">
        <v>320</v>
      </c>
      <c r="S7603" t="s">
        <v>323</v>
      </c>
      <c r="T7603">
        <v>7.6</v>
      </c>
      <c r="Y7603" s="42">
        <v>44467</v>
      </c>
    </row>
    <row r="7604" spans="14:25">
      <c r="N7604" s="42">
        <v>44435</v>
      </c>
      <c r="O7604" t="s">
        <v>346</v>
      </c>
      <c r="P7604" s="42">
        <v>44435</v>
      </c>
      <c r="Q7604" t="s">
        <v>346</v>
      </c>
      <c r="R7604" t="s">
        <v>320</v>
      </c>
      <c r="S7604" t="s">
        <v>323</v>
      </c>
      <c r="T7604">
        <v>7.6</v>
      </c>
      <c r="Y7604" s="42">
        <v>44439</v>
      </c>
    </row>
    <row r="7605" spans="14:25">
      <c r="N7605" s="42">
        <v>44434</v>
      </c>
      <c r="O7605" t="s">
        <v>324</v>
      </c>
      <c r="P7605" s="42">
        <v>44434</v>
      </c>
      <c r="Q7605" t="s">
        <v>324</v>
      </c>
      <c r="R7605" t="s">
        <v>320</v>
      </c>
      <c r="S7605" t="s">
        <v>323</v>
      </c>
      <c r="T7605">
        <v>7.6</v>
      </c>
      <c r="Y7605" s="42">
        <v>44439</v>
      </c>
    </row>
    <row r="7606" spans="14:25">
      <c r="N7606" s="42">
        <v>44433</v>
      </c>
      <c r="O7606" t="s">
        <v>328</v>
      </c>
      <c r="P7606" s="42">
        <v>44433</v>
      </c>
      <c r="Q7606" t="s">
        <v>328</v>
      </c>
      <c r="R7606" t="s">
        <v>320</v>
      </c>
      <c r="S7606" t="s">
        <v>323</v>
      </c>
      <c r="T7606">
        <v>7.6</v>
      </c>
      <c r="Y7606" s="42">
        <v>44439</v>
      </c>
    </row>
    <row r="7607" spans="14:25">
      <c r="N7607" s="42">
        <v>44414</v>
      </c>
      <c r="O7607" t="s">
        <v>346</v>
      </c>
      <c r="P7607" s="42">
        <v>44414</v>
      </c>
      <c r="Q7607" t="s">
        <v>346</v>
      </c>
      <c r="R7607" t="s">
        <v>329</v>
      </c>
      <c r="S7607" t="s">
        <v>323</v>
      </c>
      <c r="T7607">
        <v>7.6</v>
      </c>
      <c r="W7607" t="s">
        <v>330</v>
      </c>
      <c r="Y7607" s="42">
        <v>44425</v>
      </c>
    </row>
    <row r="7608" spans="14:25">
      <c r="N7608" s="42">
        <v>44407</v>
      </c>
      <c r="O7608" t="s">
        <v>346</v>
      </c>
      <c r="P7608" s="42">
        <v>44407</v>
      </c>
      <c r="Q7608" t="s">
        <v>346</v>
      </c>
      <c r="R7608" t="s">
        <v>329</v>
      </c>
      <c r="S7608" t="s">
        <v>323</v>
      </c>
      <c r="T7608">
        <v>7.6</v>
      </c>
      <c r="W7608" t="s">
        <v>330</v>
      </c>
      <c r="Y7608" s="42">
        <v>44411</v>
      </c>
    </row>
    <row r="7609" spans="14:25">
      <c r="N7609" s="42">
        <v>44384</v>
      </c>
      <c r="O7609" t="s">
        <v>328</v>
      </c>
      <c r="P7609" s="42">
        <v>44384</v>
      </c>
      <c r="Q7609" t="s">
        <v>328</v>
      </c>
      <c r="R7609" t="s">
        <v>329</v>
      </c>
      <c r="S7609" t="s">
        <v>323</v>
      </c>
      <c r="T7609">
        <v>3</v>
      </c>
      <c r="W7609" t="s">
        <v>330</v>
      </c>
      <c r="Y7609" s="42">
        <v>44397</v>
      </c>
    </row>
    <row r="7610" spans="14:25">
      <c r="N7610" s="42">
        <v>44361</v>
      </c>
      <c r="O7610" t="s">
        <v>345</v>
      </c>
      <c r="P7610" s="42">
        <v>44361</v>
      </c>
      <c r="Q7610" t="s">
        <v>345</v>
      </c>
      <c r="R7610" t="s">
        <v>320</v>
      </c>
      <c r="S7610" t="s">
        <v>323</v>
      </c>
      <c r="U7610">
        <v>7.6</v>
      </c>
    </row>
    <row r="7611" spans="14:25">
      <c r="N7611" s="42">
        <v>44344</v>
      </c>
      <c r="O7611" t="s">
        <v>346</v>
      </c>
      <c r="P7611" s="42">
        <v>44344</v>
      </c>
      <c r="Q7611" t="s">
        <v>346</v>
      </c>
      <c r="R7611" t="s">
        <v>320</v>
      </c>
      <c r="S7611" t="s">
        <v>323</v>
      </c>
      <c r="T7611">
        <v>7.6</v>
      </c>
      <c r="Y7611" s="42">
        <v>44355</v>
      </c>
    </row>
    <row r="7612" spans="14:25">
      <c r="N7612" s="42">
        <v>44343</v>
      </c>
      <c r="O7612" t="s">
        <v>324</v>
      </c>
      <c r="P7612" s="42">
        <v>44343</v>
      </c>
      <c r="Q7612" t="s">
        <v>324</v>
      </c>
      <c r="R7612" t="s">
        <v>320</v>
      </c>
      <c r="S7612" t="s">
        <v>323</v>
      </c>
      <c r="T7612">
        <v>7.6</v>
      </c>
      <c r="Y7612" s="42">
        <v>44355</v>
      </c>
    </row>
    <row r="7613" spans="14:25">
      <c r="N7613" s="42">
        <v>44342</v>
      </c>
      <c r="O7613" t="s">
        <v>328</v>
      </c>
      <c r="P7613" s="42">
        <v>44342</v>
      </c>
      <c r="Q7613" t="s">
        <v>328</v>
      </c>
      <c r="R7613" t="s">
        <v>320</v>
      </c>
      <c r="S7613" t="s">
        <v>323</v>
      </c>
      <c r="T7613">
        <v>7.6</v>
      </c>
      <c r="Y7613" s="42">
        <v>44355</v>
      </c>
    </row>
    <row r="7614" spans="14:25">
      <c r="N7614" s="42">
        <v>44341</v>
      </c>
      <c r="O7614" t="s">
        <v>333</v>
      </c>
      <c r="P7614" s="42">
        <v>44341</v>
      </c>
      <c r="Q7614" t="s">
        <v>333</v>
      </c>
      <c r="R7614" t="s">
        <v>320</v>
      </c>
      <c r="S7614" t="s">
        <v>323</v>
      </c>
      <c r="T7614">
        <v>7.6</v>
      </c>
      <c r="Y7614" s="42">
        <v>44341</v>
      </c>
    </row>
    <row r="7615" spans="14:25">
      <c r="N7615" s="42">
        <v>44340</v>
      </c>
      <c r="O7615" t="s">
        <v>345</v>
      </c>
      <c r="P7615" s="42">
        <v>44340</v>
      </c>
      <c r="Q7615" t="s">
        <v>345</v>
      </c>
      <c r="R7615" t="s">
        <v>320</v>
      </c>
      <c r="S7615" t="s">
        <v>323</v>
      </c>
      <c r="T7615">
        <v>7.6</v>
      </c>
      <c r="Y7615" s="42">
        <v>44341</v>
      </c>
    </row>
    <row r="7616" spans="14:25">
      <c r="N7616" s="42">
        <v>44316</v>
      </c>
      <c r="O7616" t="s">
        <v>346</v>
      </c>
      <c r="P7616" s="42">
        <v>44316</v>
      </c>
      <c r="Q7616" t="s">
        <v>346</v>
      </c>
      <c r="R7616" t="s">
        <v>329</v>
      </c>
      <c r="S7616" t="s">
        <v>323</v>
      </c>
      <c r="T7616">
        <v>7.6</v>
      </c>
      <c r="W7616" t="s">
        <v>330</v>
      </c>
      <c r="Y7616" s="42">
        <v>44327</v>
      </c>
    </row>
    <row r="7617" spans="14:25">
      <c r="N7617" s="42">
        <v>44313</v>
      </c>
      <c r="O7617" t="s">
        <v>333</v>
      </c>
      <c r="P7617" s="42">
        <v>44313</v>
      </c>
      <c r="Q7617" t="s">
        <v>333</v>
      </c>
      <c r="R7617" t="s">
        <v>329</v>
      </c>
      <c r="S7617" t="s">
        <v>323</v>
      </c>
      <c r="T7617">
        <v>2</v>
      </c>
      <c r="W7617" t="s">
        <v>330</v>
      </c>
      <c r="Y7617" s="42">
        <v>44313</v>
      </c>
    </row>
    <row r="7618" spans="14:25">
      <c r="N7618" s="42">
        <v>44291</v>
      </c>
      <c r="O7618" t="s">
        <v>345</v>
      </c>
      <c r="P7618" s="42">
        <v>44291</v>
      </c>
      <c r="Q7618" t="s">
        <v>345</v>
      </c>
      <c r="R7618" t="s">
        <v>320</v>
      </c>
      <c r="S7618" t="s">
        <v>323</v>
      </c>
      <c r="U7618">
        <v>7.6</v>
      </c>
    </row>
    <row r="7619" spans="14:25">
      <c r="N7619" s="42">
        <v>44288</v>
      </c>
      <c r="O7619" t="s">
        <v>346</v>
      </c>
      <c r="P7619" s="42">
        <v>44288</v>
      </c>
      <c r="Q7619" t="s">
        <v>346</v>
      </c>
      <c r="R7619" t="s">
        <v>320</v>
      </c>
      <c r="S7619" t="s">
        <v>323</v>
      </c>
      <c r="U7619">
        <v>7.6</v>
      </c>
    </row>
    <row r="7620" spans="14:25">
      <c r="N7620" s="42">
        <v>44274</v>
      </c>
      <c r="O7620" t="s">
        <v>346</v>
      </c>
      <c r="P7620" s="42">
        <v>44274</v>
      </c>
      <c r="Q7620" t="s">
        <v>346</v>
      </c>
      <c r="R7620" t="s">
        <v>320</v>
      </c>
      <c r="S7620" t="s">
        <v>323</v>
      </c>
      <c r="T7620">
        <v>7.6</v>
      </c>
      <c r="Y7620" s="42">
        <v>44285</v>
      </c>
    </row>
    <row r="7621" spans="14:25">
      <c r="N7621" s="42">
        <v>44273</v>
      </c>
      <c r="O7621" t="s">
        <v>324</v>
      </c>
      <c r="P7621" s="42">
        <v>44273</v>
      </c>
      <c r="Q7621" t="s">
        <v>324</v>
      </c>
      <c r="R7621" t="s">
        <v>320</v>
      </c>
      <c r="S7621" t="s">
        <v>323</v>
      </c>
      <c r="T7621">
        <v>7.6</v>
      </c>
      <c r="Y7621" s="42">
        <v>44285</v>
      </c>
    </row>
    <row r="7622" spans="14:25">
      <c r="N7622" s="42">
        <v>44272</v>
      </c>
      <c r="O7622" t="s">
        <v>328</v>
      </c>
      <c r="P7622" s="42">
        <v>44272</v>
      </c>
      <c r="Q7622" t="s">
        <v>328</v>
      </c>
      <c r="R7622" t="s">
        <v>320</v>
      </c>
      <c r="S7622" t="s">
        <v>323</v>
      </c>
      <c r="T7622">
        <v>7.6</v>
      </c>
      <c r="Y7622" s="42">
        <v>44285</v>
      </c>
    </row>
    <row r="7623" spans="14:25">
      <c r="N7623" s="42">
        <v>44271</v>
      </c>
      <c r="O7623" t="s">
        <v>333</v>
      </c>
      <c r="P7623" s="42">
        <v>44271</v>
      </c>
      <c r="Q7623" t="s">
        <v>333</v>
      </c>
      <c r="R7623" t="s">
        <v>320</v>
      </c>
      <c r="S7623" t="s">
        <v>323</v>
      </c>
      <c r="T7623">
        <v>7.6</v>
      </c>
      <c r="Y7623" s="42">
        <v>44271</v>
      </c>
    </row>
    <row r="7624" spans="14:25">
      <c r="N7624" s="42">
        <v>44270</v>
      </c>
      <c r="O7624" t="s">
        <v>345</v>
      </c>
      <c r="P7624" s="42">
        <v>44270</v>
      </c>
      <c r="Q7624" t="s">
        <v>345</v>
      </c>
      <c r="R7624" t="s">
        <v>320</v>
      </c>
      <c r="S7624" t="s">
        <v>323</v>
      </c>
      <c r="T7624">
        <v>7.6</v>
      </c>
      <c r="Y7624" s="42">
        <v>44271</v>
      </c>
    </row>
    <row r="7625" spans="14:25">
      <c r="N7625" s="42">
        <v>44267</v>
      </c>
      <c r="O7625" t="s">
        <v>346</v>
      </c>
      <c r="P7625" s="42">
        <v>44267</v>
      </c>
      <c r="Q7625" t="s">
        <v>346</v>
      </c>
      <c r="R7625" t="s">
        <v>329</v>
      </c>
      <c r="S7625" t="s">
        <v>323</v>
      </c>
      <c r="T7625">
        <v>7.6</v>
      </c>
      <c r="W7625" t="s">
        <v>330</v>
      </c>
      <c r="Y7625" s="42">
        <v>44271</v>
      </c>
    </row>
    <row r="7626" spans="14:25">
      <c r="N7626" s="42">
        <v>44266</v>
      </c>
      <c r="O7626" t="s">
        <v>324</v>
      </c>
      <c r="P7626" s="42">
        <v>44266</v>
      </c>
      <c r="Q7626" t="s">
        <v>324</v>
      </c>
      <c r="R7626" t="s">
        <v>329</v>
      </c>
      <c r="S7626" t="s">
        <v>323</v>
      </c>
      <c r="T7626">
        <v>7.6</v>
      </c>
      <c r="W7626" t="s">
        <v>330</v>
      </c>
      <c r="Y7626" s="42">
        <v>44271</v>
      </c>
    </row>
    <row r="7627" spans="14:25">
      <c r="N7627" s="42">
        <v>44265</v>
      </c>
      <c r="O7627" t="s">
        <v>328</v>
      </c>
      <c r="P7627" s="42">
        <v>44265</v>
      </c>
      <c r="Q7627" t="s">
        <v>328</v>
      </c>
      <c r="R7627" t="s">
        <v>329</v>
      </c>
      <c r="S7627" t="s">
        <v>323</v>
      </c>
      <c r="T7627">
        <v>7.6</v>
      </c>
      <c r="W7627" t="s">
        <v>330</v>
      </c>
      <c r="Y7627" s="42">
        <v>44271</v>
      </c>
    </row>
    <row r="7628" spans="14:25">
      <c r="N7628" s="42">
        <v>44264</v>
      </c>
      <c r="O7628" t="s">
        <v>333</v>
      </c>
      <c r="P7628" s="42">
        <v>44264</v>
      </c>
      <c r="Q7628" t="s">
        <v>333</v>
      </c>
      <c r="R7628" t="s">
        <v>329</v>
      </c>
      <c r="S7628" t="s">
        <v>323</v>
      </c>
      <c r="T7628">
        <v>7.6</v>
      </c>
      <c r="W7628" t="s">
        <v>330</v>
      </c>
      <c r="Y7628" s="42">
        <v>44271</v>
      </c>
    </row>
    <row r="7629" spans="14:25">
      <c r="N7629" s="42">
        <v>44263</v>
      </c>
      <c r="O7629" t="s">
        <v>345</v>
      </c>
      <c r="P7629" s="42">
        <v>44263</v>
      </c>
      <c r="Q7629" t="s">
        <v>345</v>
      </c>
      <c r="R7629" t="s">
        <v>329</v>
      </c>
      <c r="S7629" t="s">
        <v>323</v>
      </c>
      <c r="T7629">
        <v>7.6</v>
      </c>
      <c r="W7629" t="s">
        <v>330</v>
      </c>
      <c r="Y7629" s="42">
        <v>44271</v>
      </c>
    </row>
    <row r="7630" spans="14:25">
      <c r="N7630" s="42">
        <v>44260</v>
      </c>
      <c r="O7630" t="s">
        <v>346</v>
      </c>
      <c r="P7630" s="42">
        <v>44260</v>
      </c>
      <c r="Q7630" t="s">
        <v>346</v>
      </c>
      <c r="R7630" t="s">
        <v>329</v>
      </c>
      <c r="S7630" t="s">
        <v>323</v>
      </c>
      <c r="T7630">
        <v>7.6</v>
      </c>
      <c r="W7630" t="s">
        <v>330</v>
      </c>
      <c r="Y7630" s="42">
        <v>44271</v>
      </c>
    </row>
    <row r="7631" spans="14:25">
      <c r="N7631" s="42">
        <v>44256</v>
      </c>
      <c r="O7631" t="s">
        <v>345</v>
      </c>
      <c r="P7631" s="42">
        <v>44256</v>
      </c>
      <c r="Q7631" t="s">
        <v>345</v>
      </c>
      <c r="R7631" t="s">
        <v>329</v>
      </c>
      <c r="S7631" t="s">
        <v>323</v>
      </c>
      <c r="T7631">
        <v>7.6</v>
      </c>
      <c r="W7631" t="s">
        <v>330</v>
      </c>
      <c r="Y7631" s="42">
        <v>44257</v>
      </c>
    </row>
    <row r="7632" spans="14:25">
      <c r="N7632" s="42">
        <v>44252</v>
      </c>
      <c r="O7632" t="s">
        <v>324</v>
      </c>
      <c r="P7632" s="42">
        <v>44252</v>
      </c>
      <c r="Q7632" t="s">
        <v>324</v>
      </c>
      <c r="R7632" t="s">
        <v>329</v>
      </c>
      <c r="S7632" t="s">
        <v>323</v>
      </c>
      <c r="T7632">
        <v>2</v>
      </c>
      <c r="W7632" t="s">
        <v>330</v>
      </c>
      <c r="Y7632" s="42">
        <v>44257</v>
      </c>
    </row>
    <row r="7633" spans="14:25">
      <c r="N7633" s="42">
        <v>44249</v>
      </c>
      <c r="O7633" t="s">
        <v>345</v>
      </c>
      <c r="P7633" s="42">
        <v>44249</v>
      </c>
      <c r="Q7633" t="s">
        <v>345</v>
      </c>
      <c r="R7633" t="s">
        <v>329</v>
      </c>
      <c r="S7633" t="s">
        <v>323</v>
      </c>
      <c r="T7633">
        <v>4.25</v>
      </c>
      <c r="W7633" t="s">
        <v>330</v>
      </c>
      <c r="Y7633" s="42">
        <v>44257</v>
      </c>
    </row>
    <row r="7634" spans="14:25">
      <c r="N7634" s="42">
        <v>44225</v>
      </c>
      <c r="O7634" t="s">
        <v>346</v>
      </c>
      <c r="P7634" s="42">
        <v>44225</v>
      </c>
      <c r="Q7634" t="s">
        <v>346</v>
      </c>
      <c r="R7634" t="s">
        <v>329</v>
      </c>
      <c r="S7634" t="s">
        <v>323</v>
      </c>
      <c r="T7634">
        <v>7.6</v>
      </c>
      <c r="W7634" t="s">
        <v>330</v>
      </c>
      <c r="Y7634" s="42">
        <v>44229</v>
      </c>
    </row>
    <row r="7635" spans="14:25">
      <c r="N7635" s="42">
        <v>44222</v>
      </c>
      <c r="O7635" t="s">
        <v>333</v>
      </c>
      <c r="P7635" s="42">
        <v>44222</v>
      </c>
      <c r="Q7635" t="s">
        <v>333</v>
      </c>
      <c r="R7635" t="s">
        <v>320</v>
      </c>
      <c r="S7635" t="s">
        <v>323</v>
      </c>
      <c r="U7635">
        <v>7.6</v>
      </c>
    </row>
    <row r="7636" spans="14:25">
      <c r="N7636" s="42">
        <v>44197</v>
      </c>
      <c r="O7636" t="s">
        <v>346</v>
      </c>
      <c r="P7636" s="42">
        <v>44197</v>
      </c>
      <c r="Q7636" t="s">
        <v>346</v>
      </c>
      <c r="R7636" t="s">
        <v>320</v>
      </c>
      <c r="S7636" t="s">
        <v>323</v>
      </c>
      <c r="U7636">
        <v>7.6</v>
      </c>
    </row>
    <row r="7637" spans="14:25">
      <c r="N7637" s="42">
        <v>44193</v>
      </c>
      <c r="O7637" t="s">
        <v>345</v>
      </c>
      <c r="P7637" s="42">
        <v>44193</v>
      </c>
      <c r="Q7637" t="s">
        <v>345</v>
      </c>
      <c r="R7637" t="s">
        <v>320</v>
      </c>
      <c r="S7637" t="s">
        <v>323</v>
      </c>
      <c r="U7637">
        <v>7.6</v>
      </c>
    </row>
    <row r="7638" spans="14:25">
      <c r="N7638" s="42">
        <v>44190</v>
      </c>
      <c r="O7638" t="s">
        <v>346</v>
      </c>
      <c r="P7638" s="42">
        <v>44190</v>
      </c>
      <c r="Q7638" t="s">
        <v>346</v>
      </c>
      <c r="R7638" t="s">
        <v>320</v>
      </c>
      <c r="S7638" t="s">
        <v>323</v>
      </c>
      <c r="U7638">
        <v>7.6</v>
      </c>
    </row>
    <row r="7639" spans="14:25">
      <c r="N7639" s="42">
        <v>44180</v>
      </c>
      <c r="O7639" t="s">
        <v>333</v>
      </c>
      <c r="P7639" s="42">
        <v>44180</v>
      </c>
      <c r="Q7639" t="s">
        <v>333</v>
      </c>
      <c r="R7639" t="s">
        <v>320</v>
      </c>
      <c r="S7639" t="s">
        <v>323</v>
      </c>
      <c r="T7639">
        <v>7.6</v>
      </c>
      <c r="Y7639" s="42">
        <v>44187</v>
      </c>
    </row>
    <row r="7640" spans="14:25">
      <c r="N7640" s="42">
        <v>44166</v>
      </c>
      <c r="O7640" t="s">
        <v>333</v>
      </c>
      <c r="P7640" s="42">
        <v>44166</v>
      </c>
      <c r="Q7640" t="s">
        <v>333</v>
      </c>
      <c r="R7640" t="s">
        <v>320</v>
      </c>
      <c r="S7640" t="s">
        <v>323</v>
      </c>
      <c r="T7640">
        <v>7.6</v>
      </c>
      <c r="Y7640" s="42">
        <v>44173</v>
      </c>
    </row>
    <row r="7641" spans="14:25">
      <c r="N7641" s="42">
        <v>44147</v>
      </c>
      <c r="O7641" t="s">
        <v>324</v>
      </c>
      <c r="P7641" s="42">
        <v>44147</v>
      </c>
      <c r="Q7641" t="s">
        <v>324</v>
      </c>
      <c r="R7641" t="s">
        <v>320</v>
      </c>
      <c r="S7641" t="s">
        <v>323</v>
      </c>
      <c r="T7641">
        <v>7.6</v>
      </c>
      <c r="Y7641" s="42">
        <v>44159</v>
      </c>
    </row>
    <row r="7642" spans="14:25">
      <c r="N7642" s="42">
        <v>44144</v>
      </c>
      <c r="O7642" t="s">
        <v>345</v>
      </c>
      <c r="P7642" s="42">
        <v>44144</v>
      </c>
      <c r="Q7642" t="s">
        <v>345</v>
      </c>
      <c r="R7642" t="s">
        <v>320</v>
      </c>
      <c r="S7642" t="s">
        <v>323</v>
      </c>
      <c r="T7642">
        <v>7.6</v>
      </c>
      <c r="Y7642" s="42">
        <v>44145</v>
      </c>
    </row>
    <row r="7643" spans="14:25">
      <c r="N7643" s="42">
        <v>44127</v>
      </c>
      <c r="O7643" t="s">
        <v>346</v>
      </c>
      <c r="P7643" s="42">
        <v>44127</v>
      </c>
      <c r="Q7643" t="s">
        <v>346</v>
      </c>
      <c r="R7643" t="s">
        <v>329</v>
      </c>
      <c r="S7643" t="s">
        <v>323</v>
      </c>
      <c r="T7643">
        <v>7.6</v>
      </c>
      <c r="W7643" t="s">
        <v>330</v>
      </c>
      <c r="Y7643" s="42">
        <v>44131</v>
      </c>
    </row>
    <row r="7644" spans="14:25">
      <c r="N7644" s="42">
        <v>44118</v>
      </c>
      <c r="O7644" t="s">
        <v>328</v>
      </c>
      <c r="P7644" s="42">
        <v>44118</v>
      </c>
      <c r="Q7644" t="s">
        <v>328</v>
      </c>
      <c r="R7644" t="s">
        <v>320</v>
      </c>
      <c r="S7644" t="s">
        <v>323</v>
      </c>
      <c r="T7644">
        <v>7.6</v>
      </c>
      <c r="Y7644" s="42">
        <v>44131</v>
      </c>
    </row>
    <row r="7645" spans="14:25">
      <c r="N7645" s="42">
        <v>44117</v>
      </c>
      <c r="O7645" t="s">
        <v>333</v>
      </c>
      <c r="P7645" s="42">
        <v>44117</v>
      </c>
      <c r="Q7645" t="s">
        <v>333</v>
      </c>
      <c r="R7645" t="s">
        <v>320</v>
      </c>
      <c r="S7645" t="s">
        <v>323</v>
      </c>
      <c r="T7645">
        <v>2.5</v>
      </c>
      <c r="Y7645" s="42">
        <v>44117</v>
      </c>
    </row>
    <row r="7646" spans="14:25">
      <c r="N7646" s="42">
        <v>44109</v>
      </c>
      <c r="O7646" t="s">
        <v>345</v>
      </c>
      <c r="P7646" s="42">
        <v>44109</v>
      </c>
      <c r="Q7646" t="s">
        <v>345</v>
      </c>
      <c r="R7646" t="s">
        <v>320</v>
      </c>
      <c r="S7646" t="s">
        <v>323</v>
      </c>
      <c r="U7646">
        <v>7.6</v>
      </c>
    </row>
    <row r="7647" spans="14:25">
      <c r="N7647" s="42">
        <v>44067</v>
      </c>
      <c r="O7647" t="s">
        <v>345</v>
      </c>
      <c r="P7647" s="42">
        <v>44067</v>
      </c>
      <c r="Q7647" t="s">
        <v>345</v>
      </c>
      <c r="R7647" t="s">
        <v>320</v>
      </c>
      <c r="S7647" t="s">
        <v>323</v>
      </c>
      <c r="T7647">
        <v>7.6</v>
      </c>
      <c r="Y7647" s="42">
        <v>44075</v>
      </c>
    </row>
    <row r="7648" spans="14:25">
      <c r="N7648" s="42">
        <v>44064</v>
      </c>
      <c r="O7648" t="s">
        <v>346</v>
      </c>
      <c r="P7648" s="42">
        <v>44064</v>
      </c>
      <c r="Q7648" t="s">
        <v>346</v>
      </c>
      <c r="R7648" t="s">
        <v>320</v>
      </c>
      <c r="S7648" t="s">
        <v>323</v>
      </c>
      <c r="T7648">
        <v>7.6</v>
      </c>
      <c r="Y7648" s="42">
        <v>44075</v>
      </c>
    </row>
    <row r="7649" spans="1:25">
      <c r="N7649" s="42">
        <v>43973</v>
      </c>
      <c r="O7649" t="s">
        <v>346</v>
      </c>
      <c r="P7649" s="42">
        <v>43973</v>
      </c>
      <c r="Q7649" t="s">
        <v>346</v>
      </c>
      <c r="R7649" t="s">
        <v>329</v>
      </c>
      <c r="S7649" t="s">
        <v>323</v>
      </c>
      <c r="T7649">
        <v>7.6</v>
      </c>
      <c r="W7649" t="s">
        <v>330</v>
      </c>
      <c r="Y7649" s="42">
        <v>43977</v>
      </c>
    </row>
    <row r="7650" spans="1:25">
      <c r="N7650" s="42">
        <v>43938</v>
      </c>
      <c r="O7650" t="s">
        <v>346</v>
      </c>
      <c r="P7650" s="42">
        <v>43938</v>
      </c>
      <c r="Q7650" t="s">
        <v>346</v>
      </c>
      <c r="R7650" t="s">
        <v>329</v>
      </c>
      <c r="S7650" t="s">
        <v>323</v>
      </c>
      <c r="T7650">
        <v>7.6</v>
      </c>
      <c r="W7650" t="s">
        <v>330</v>
      </c>
      <c r="Y7650" s="42">
        <v>43949</v>
      </c>
    </row>
    <row r="7651" spans="1:25">
      <c r="N7651" s="42">
        <v>43907</v>
      </c>
      <c r="O7651" t="s">
        <v>333</v>
      </c>
      <c r="P7651" s="42">
        <v>43907</v>
      </c>
      <c r="Q7651" t="s">
        <v>333</v>
      </c>
      <c r="R7651" t="s">
        <v>329</v>
      </c>
      <c r="S7651" t="s">
        <v>323</v>
      </c>
      <c r="T7651">
        <v>7.6</v>
      </c>
      <c r="W7651" t="s">
        <v>330</v>
      </c>
      <c r="Y7651" s="42">
        <v>43907</v>
      </c>
    </row>
    <row r="7652" spans="1:25">
      <c r="N7652" s="42">
        <v>43879</v>
      </c>
      <c r="O7652" t="s">
        <v>333</v>
      </c>
      <c r="P7652" s="42">
        <v>43879</v>
      </c>
      <c r="Q7652" t="s">
        <v>333</v>
      </c>
      <c r="R7652" t="s">
        <v>329</v>
      </c>
      <c r="S7652" t="s">
        <v>323</v>
      </c>
      <c r="T7652">
        <v>7.6</v>
      </c>
      <c r="W7652" t="s">
        <v>330</v>
      </c>
      <c r="Y7652" s="42">
        <v>43879</v>
      </c>
    </row>
    <row r="7653" spans="1:25">
      <c r="N7653" s="42">
        <v>43871</v>
      </c>
      <c r="O7653" t="s">
        <v>345</v>
      </c>
      <c r="P7653" s="42">
        <v>43871</v>
      </c>
      <c r="Q7653" t="s">
        <v>345</v>
      </c>
      <c r="R7653" t="s">
        <v>320</v>
      </c>
      <c r="S7653" t="s">
        <v>323</v>
      </c>
      <c r="T7653">
        <v>7.6</v>
      </c>
      <c r="Y7653" s="42">
        <v>43879</v>
      </c>
    </row>
    <row r="7654" spans="1:25">
      <c r="A7654">
        <v>18893</v>
      </c>
      <c r="B7654" t="s">
        <v>434</v>
      </c>
      <c r="C7654" t="s">
        <v>320</v>
      </c>
      <c r="D7654" t="s">
        <v>336</v>
      </c>
      <c r="E7654" t="s">
        <v>337</v>
      </c>
      <c r="F7654">
        <v>1</v>
      </c>
      <c r="G7654" s="42">
        <v>45195</v>
      </c>
      <c r="H7654">
        <v>91.2</v>
      </c>
      <c r="I7654">
        <v>-19.789000000000001</v>
      </c>
      <c r="J7654">
        <v>39.728200000000001</v>
      </c>
      <c r="K7654">
        <v>19.9392</v>
      </c>
      <c r="L7654" t="s">
        <v>323</v>
      </c>
      <c r="M7654" s="43">
        <v>0.1277777777777778</v>
      </c>
      <c r="N7654" s="42">
        <v>44953</v>
      </c>
      <c r="O7654" t="s">
        <v>346</v>
      </c>
      <c r="P7654" s="42">
        <v>44953</v>
      </c>
      <c r="Q7654" t="s">
        <v>346</v>
      </c>
      <c r="R7654" t="s">
        <v>320</v>
      </c>
      <c r="S7654" t="s">
        <v>323</v>
      </c>
      <c r="T7654">
        <v>7.6</v>
      </c>
      <c r="V7654">
        <v>0</v>
      </c>
      <c r="Y7654" s="42">
        <v>44957</v>
      </c>
    </row>
    <row r="7655" spans="1:25">
      <c r="C7655" t="s">
        <v>325</v>
      </c>
      <c r="D7655" t="s">
        <v>326</v>
      </c>
      <c r="E7655" t="s">
        <v>327</v>
      </c>
      <c r="F7655">
        <v>1</v>
      </c>
      <c r="G7655" s="42">
        <v>48483</v>
      </c>
      <c r="H7655">
        <v>6.9646999999999997</v>
      </c>
      <c r="I7655">
        <v>22.486799999999999</v>
      </c>
      <c r="J7655">
        <v>6.9646999999999997</v>
      </c>
      <c r="K7655">
        <v>29.451499999999999</v>
      </c>
      <c r="L7655" t="s">
        <v>323</v>
      </c>
      <c r="N7655" s="42">
        <v>44952</v>
      </c>
      <c r="O7655" t="s">
        <v>324</v>
      </c>
      <c r="P7655" s="42">
        <v>44952</v>
      </c>
      <c r="Q7655" t="s">
        <v>324</v>
      </c>
      <c r="R7655" t="s">
        <v>320</v>
      </c>
      <c r="S7655" t="s">
        <v>323</v>
      </c>
      <c r="U7655">
        <v>7.6</v>
      </c>
      <c r="Y7655" s="42">
        <v>44957</v>
      </c>
    </row>
    <row r="7656" spans="1:25">
      <c r="C7656" t="s">
        <v>329</v>
      </c>
      <c r="D7656" t="s">
        <v>342</v>
      </c>
      <c r="E7656" t="s">
        <v>343</v>
      </c>
      <c r="F7656">
        <v>1</v>
      </c>
      <c r="G7656" s="42">
        <v>45195</v>
      </c>
      <c r="H7656">
        <v>45.6</v>
      </c>
      <c r="I7656">
        <v>-1.5945</v>
      </c>
      <c r="J7656">
        <v>19.864100000000001</v>
      </c>
      <c r="K7656">
        <v>18.269600000000001</v>
      </c>
      <c r="L7656" t="s">
        <v>323</v>
      </c>
      <c r="N7656" s="42">
        <v>44944</v>
      </c>
      <c r="O7656" t="s">
        <v>328</v>
      </c>
      <c r="P7656" s="42">
        <v>44944</v>
      </c>
      <c r="Q7656" t="s">
        <v>328</v>
      </c>
      <c r="R7656" t="s">
        <v>329</v>
      </c>
      <c r="S7656" t="s">
        <v>323</v>
      </c>
      <c r="T7656">
        <v>7.6</v>
      </c>
      <c r="W7656" t="s">
        <v>339</v>
      </c>
      <c r="Y7656" s="42">
        <v>44957</v>
      </c>
    </row>
    <row r="7657" spans="1:25">
      <c r="N7657" s="42">
        <v>44928</v>
      </c>
      <c r="O7657" t="s">
        <v>345</v>
      </c>
      <c r="P7657" s="42">
        <v>44928</v>
      </c>
      <c r="Q7657" t="s">
        <v>345</v>
      </c>
      <c r="R7657" t="s">
        <v>320</v>
      </c>
      <c r="S7657" t="s">
        <v>323</v>
      </c>
      <c r="U7657">
        <v>7.6</v>
      </c>
      <c r="Y7657" s="42">
        <v>44929</v>
      </c>
    </row>
    <row r="7658" spans="1:25">
      <c r="N7658" s="42">
        <v>44923</v>
      </c>
      <c r="O7658" t="s">
        <v>328</v>
      </c>
      <c r="P7658" s="42">
        <v>44923</v>
      </c>
      <c r="Q7658" t="s">
        <v>328</v>
      </c>
      <c r="R7658" t="s">
        <v>320</v>
      </c>
      <c r="S7658" t="s">
        <v>323</v>
      </c>
      <c r="T7658">
        <v>7.6</v>
      </c>
      <c r="V7658">
        <v>0</v>
      </c>
      <c r="Y7658" s="42">
        <v>44929</v>
      </c>
    </row>
    <row r="7659" spans="1:25">
      <c r="N7659" s="42">
        <v>44922</v>
      </c>
      <c r="O7659" t="s">
        <v>333</v>
      </c>
      <c r="P7659" s="42">
        <v>44922</v>
      </c>
      <c r="Q7659" t="s">
        <v>333</v>
      </c>
      <c r="R7659" t="s">
        <v>320</v>
      </c>
      <c r="S7659" t="s">
        <v>323</v>
      </c>
      <c r="U7659">
        <v>7.6</v>
      </c>
      <c r="Y7659" s="42">
        <v>44929</v>
      </c>
    </row>
    <row r="7660" spans="1:25">
      <c r="N7660" s="42">
        <v>44921</v>
      </c>
      <c r="O7660" t="s">
        <v>345</v>
      </c>
      <c r="P7660" s="42">
        <v>44921</v>
      </c>
      <c r="Q7660" t="s">
        <v>345</v>
      </c>
      <c r="R7660" t="s">
        <v>320</v>
      </c>
      <c r="S7660" t="s">
        <v>323</v>
      </c>
      <c r="U7660">
        <v>7.6</v>
      </c>
      <c r="Y7660" s="42">
        <v>44929</v>
      </c>
    </row>
    <row r="7661" spans="1:25">
      <c r="N7661" s="42">
        <v>44901</v>
      </c>
      <c r="O7661" t="s">
        <v>333</v>
      </c>
      <c r="P7661" s="42">
        <v>44901</v>
      </c>
      <c r="Q7661" t="s">
        <v>333</v>
      </c>
      <c r="R7661" t="s">
        <v>329</v>
      </c>
      <c r="S7661" t="s">
        <v>323</v>
      </c>
      <c r="T7661">
        <v>7.6</v>
      </c>
      <c r="W7661" t="s">
        <v>339</v>
      </c>
      <c r="Y7661" s="42">
        <v>44901</v>
      </c>
    </row>
    <row r="7662" spans="1:25">
      <c r="N7662" s="42">
        <v>44858</v>
      </c>
      <c r="O7662" t="s">
        <v>345</v>
      </c>
      <c r="P7662" s="42">
        <v>44858</v>
      </c>
      <c r="Q7662" t="s">
        <v>345</v>
      </c>
      <c r="R7662" t="s">
        <v>329</v>
      </c>
      <c r="S7662" t="s">
        <v>323</v>
      </c>
      <c r="T7662">
        <v>7.6</v>
      </c>
      <c r="W7662" t="s">
        <v>330</v>
      </c>
      <c r="Y7662" s="42">
        <v>44859</v>
      </c>
    </row>
    <row r="7663" spans="1:25">
      <c r="N7663" s="42">
        <v>44837</v>
      </c>
      <c r="O7663" t="s">
        <v>345</v>
      </c>
      <c r="P7663" s="42">
        <v>44837</v>
      </c>
      <c r="Q7663" t="s">
        <v>345</v>
      </c>
      <c r="R7663" t="s">
        <v>320</v>
      </c>
      <c r="S7663" t="s">
        <v>323</v>
      </c>
      <c r="U7663">
        <v>7.6</v>
      </c>
    </row>
    <row r="7664" spans="1:25">
      <c r="N7664" s="42">
        <v>44224</v>
      </c>
      <c r="O7664" t="s">
        <v>324</v>
      </c>
      <c r="P7664" s="42">
        <v>44224</v>
      </c>
      <c r="Q7664" t="s">
        <v>324</v>
      </c>
      <c r="R7664" t="s">
        <v>320</v>
      </c>
      <c r="S7664" t="s">
        <v>323</v>
      </c>
      <c r="T7664">
        <v>5</v>
      </c>
      <c r="Y7664" s="42">
        <v>44229</v>
      </c>
    </row>
    <row r="7665" spans="14:25">
      <c r="N7665" s="42">
        <v>44223</v>
      </c>
      <c r="O7665" t="s">
        <v>328</v>
      </c>
      <c r="P7665" s="42">
        <v>44223</v>
      </c>
      <c r="Q7665" t="s">
        <v>328</v>
      </c>
      <c r="R7665" t="s">
        <v>320</v>
      </c>
      <c r="S7665" t="s">
        <v>323</v>
      </c>
      <c r="T7665">
        <v>5</v>
      </c>
      <c r="Y7665" s="42">
        <v>44229</v>
      </c>
    </row>
    <row r="7666" spans="14:25">
      <c r="N7666" s="42">
        <v>44222</v>
      </c>
      <c r="O7666" t="s">
        <v>333</v>
      </c>
      <c r="P7666" s="42">
        <v>44222</v>
      </c>
      <c r="Q7666" t="s">
        <v>333</v>
      </c>
      <c r="R7666" t="s">
        <v>320</v>
      </c>
      <c r="S7666" t="s">
        <v>323</v>
      </c>
      <c r="U7666">
        <v>5</v>
      </c>
    </row>
    <row r="7667" spans="14:25">
      <c r="N7667" s="42">
        <v>44221</v>
      </c>
      <c r="O7667" t="s">
        <v>345</v>
      </c>
      <c r="P7667" s="42">
        <v>44221</v>
      </c>
      <c r="Q7667" t="s">
        <v>345</v>
      </c>
      <c r="R7667" t="s">
        <v>320</v>
      </c>
      <c r="S7667" t="s">
        <v>323</v>
      </c>
      <c r="T7667">
        <v>5</v>
      </c>
      <c r="Y7667" s="42">
        <v>44229</v>
      </c>
    </row>
    <row r="7668" spans="14:25">
      <c r="N7668" s="42">
        <v>44218</v>
      </c>
      <c r="O7668" t="s">
        <v>346</v>
      </c>
      <c r="P7668" s="42">
        <v>44218</v>
      </c>
      <c r="Q7668" t="s">
        <v>346</v>
      </c>
      <c r="R7668" t="s">
        <v>320</v>
      </c>
      <c r="S7668" t="s">
        <v>323</v>
      </c>
      <c r="T7668">
        <v>5</v>
      </c>
      <c r="Y7668" s="42">
        <v>44229</v>
      </c>
    </row>
    <row r="7669" spans="14:25">
      <c r="N7669" s="42">
        <v>44217</v>
      </c>
      <c r="O7669" t="s">
        <v>324</v>
      </c>
      <c r="P7669" s="42">
        <v>44217</v>
      </c>
      <c r="Q7669" t="s">
        <v>324</v>
      </c>
      <c r="R7669" t="s">
        <v>320</v>
      </c>
      <c r="S7669" t="s">
        <v>323</v>
      </c>
      <c r="T7669">
        <v>5</v>
      </c>
      <c r="Y7669" s="42">
        <v>44229</v>
      </c>
    </row>
    <row r="7670" spans="14:25">
      <c r="N7670" s="42">
        <v>44216</v>
      </c>
      <c r="O7670" t="s">
        <v>328</v>
      </c>
      <c r="P7670" s="42">
        <v>44216</v>
      </c>
      <c r="Q7670" t="s">
        <v>328</v>
      </c>
      <c r="R7670" t="s">
        <v>320</v>
      </c>
      <c r="S7670" t="s">
        <v>323</v>
      </c>
      <c r="T7670">
        <v>5</v>
      </c>
      <c r="Y7670" s="42">
        <v>44229</v>
      </c>
    </row>
    <row r="7671" spans="14:25">
      <c r="N7671" s="42">
        <v>44202</v>
      </c>
      <c r="O7671" t="s">
        <v>328</v>
      </c>
      <c r="P7671" s="42">
        <v>44215</v>
      </c>
      <c r="Q7671" t="s">
        <v>333</v>
      </c>
      <c r="R7671" t="s">
        <v>320</v>
      </c>
      <c r="S7671" t="s">
        <v>323</v>
      </c>
      <c r="T7671">
        <v>50</v>
      </c>
      <c r="Y7671" s="42">
        <v>44215</v>
      </c>
    </row>
    <row r="7672" spans="14:25">
      <c r="N7672" s="42">
        <v>44201</v>
      </c>
      <c r="O7672" t="s">
        <v>333</v>
      </c>
      <c r="P7672" s="42">
        <v>44201</v>
      </c>
      <c r="Q7672" t="s">
        <v>333</v>
      </c>
      <c r="R7672" t="s">
        <v>320</v>
      </c>
      <c r="S7672" t="s">
        <v>323</v>
      </c>
      <c r="T7672">
        <v>5</v>
      </c>
      <c r="Y7672" s="42">
        <v>44201</v>
      </c>
    </row>
    <row r="7673" spans="14:25">
      <c r="N7673" s="42">
        <v>44200</v>
      </c>
      <c r="O7673" t="s">
        <v>345</v>
      </c>
      <c r="P7673" s="42">
        <v>44200</v>
      </c>
      <c r="Q7673" t="s">
        <v>345</v>
      </c>
      <c r="R7673" t="s">
        <v>320</v>
      </c>
      <c r="S7673" t="s">
        <v>323</v>
      </c>
      <c r="T7673">
        <v>5</v>
      </c>
      <c r="Y7673" s="42">
        <v>44201</v>
      </c>
    </row>
    <row r="7674" spans="14:25">
      <c r="N7674" s="42">
        <v>44197</v>
      </c>
      <c r="O7674" t="s">
        <v>346</v>
      </c>
      <c r="P7674" s="42">
        <v>44197</v>
      </c>
      <c r="Q7674" t="s">
        <v>346</v>
      </c>
      <c r="R7674" t="s">
        <v>320</v>
      </c>
      <c r="S7674" t="s">
        <v>323</v>
      </c>
      <c r="U7674">
        <v>5</v>
      </c>
    </row>
    <row r="7675" spans="14:25">
      <c r="N7675" s="42">
        <v>44193</v>
      </c>
      <c r="O7675" t="s">
        <v>345</v>
      </c>
      <c r="P7675" s="42">
        <v>44193</v>
      </c>
      <c r="Q7675" t="s">
        <v>345</v>
      </c>
      <c r="R7675" t="s">
        <v>320</v>
      </c>
      <c r="S7675" t="s">
        <v>323</v>
      </c>
      <c r="U7675">
        <v>5</v>
      </c>
    </row>
    <row r="7676" spans="14:25">
      <c r="N7676" s="42">
        <v>44190</v>
      </c>
      <c r="O7676" t="s">
        <v>346</v>
      </c>
      <c r="P7676" s="42">
        <v>44190</v>
      </c>
      <c r="Q7676" t="s">
        <v>346</v>
      </c>
      <c r="R7676" t="s">
        <v>320</v>
      </c>
      <c r="S7676" t="s">
        <v>323</v>
      </c>
      <c r="U7676">
        <v>5</v>
      </c>
    </row>
    <row r="7677" spans="14:25">
      <c r="N7677" s="42">
        <v>44117</v>
      </c>
      <c r="O7677" t="s">
        <v>333</v>
      </c>
      <c r="P7677" s="42">
        <v>44117</v>
      </c>
      <c r="Q7677" t="s">
        <v>333</v>
      </c>
      <c r="R7677" t="s">
        <v>329</v>
      </c>
      <c r="S7677" t="s">
        <v>323</v>
      </c>
      <c r="T7677">
        <v>5</v>
      </c>
      <c r="W7677" t="s">
        <v>330</v>
      </c>
      <c r="Y7677" s="42">
        <v>44117</v>
      </c>
    </row>
    <row r="7678" spans="14:25">
      <c r="N7678" s="42">
        <v>44109</v>
      </c>
      <c r="O7678" t="s">
        <v>345</v>
      </c>
      <c r="P7678" s="42">
        <v>44109</v>
      </c>
      <c r="Q7678" t="s">
        <v>345</v>
      </c>
      <c r="R7678" t="s">
        <v>320</v>
      </c>
      <c r="S7678" t="s">
        <v>323</v>
      </c>
      <c r="U7678">
        <v>5</v>
      </c>
    </row>
    <row r="7679" spans="14:25">
      <c r="N7679" s="42">
        <v>44106</v>
      </c>
      <c r="O7679" t="s">
        <v>346</v>
      </c>
      <c r="P7679" s="42">
        <v>44106</v>
      </c>
      <c r="Q7679" t="s">
        <v>346</v>
      </c>
      <c r="R7679" t="s">
        <v>320</v>
      </c>
      <c r="S7679" t="s">
        <v>323</v>
      </c>
      <c r="T7679">
        <v>5</v>
      </c>
      <c r="Y7679" s="42">
        <v>44117</v>
      </c>
    </row>
    <row r="7680" spans="14:25">
      <c r="N7680" s="42">
        <v>44105</v>
      </c>
      <c r="O7680" t="s">
        <v>324</v>
      </c>
      <c r="P7680" s="42">
        <v>44105</v>
      </c>
      <c r="Q7680" t="s">
        <v>324</v>
      </c>
      <c r="R7680" t="s">
        <v>320</v>
      </c>
      <c r="S7680" t="s">
        <v>323</v>
      </c>
      <c r="T7680">
        <v>5</v>
      </c>
      <c r="Y7680" s="42">
        <v>44117</v>
      </c>
    </row>
    <row r="7681" spans="1:25">
      <c r="N7681" s="42">
        <v>44088</v>
      </c>
      <c r="O7681" t="s">
        <v>345</v>
      </c>
      <c r="P7681" s="42">
        <v>44088</v>
      </c>
      <c r="Q7681" t="s">
        <v>345</v>
      </c>
      <c r="R7681" t="s">
        <v>329</v>
      </c>
      <c r="S7681" t="s">
        <v>323</v>
      </c>
      <c r="T7681">
        <v>4</v>
      </c>
      <c r="W7681" t="s">
        <v>330</v>
      </c>
      <c r="Y7681" s="42">
        <v>44089</v>
      </c>
    </row>
    <row r="7682" spans="1:25">
      <c r="N7682" s="42">
        <v>44061</v>
      </c>
      <c r="O7682" t="s">
        <v>333</v>
      </c>
      <c r="P7682" s="42">
        <v>44061</v>
      </c>
      <c r="Q7682" t="s">
        <v>333</v>
      </c>
      <c r="R7682" t="s">
        <v>329</v>
      </c>
      <c r="S7682" t="s">
        <v>323</v>
      </c>
      <c r="T7682">
        <v>5</v>
      </c>
      <c r="W7682" t="s">
        <v>330</v>
      </c>
      <c r="Y7682" s="42">
        <v>44061</v>
      </c>
    </row>
    <row r="7683" spans="1:25">
      <c r="N7683" s="42">
        <v>44060</v>
      </c>
      <c r="O7683" t="s">
        <v>345</v>
      </c>
      <c r="P7683" s="42">
        <v>44060</v>
      </c>
      <c r="Q7683" t="s">
        <v>345</v>
      </c>
      <c r="R7683" t="s">
        <v>329</v>
      </c>
      <c r="S7683" t="s">
        <v>323</v>
      </c>
      <c r="T7683">
        <v>5</v>
      </c>
      <c r="W7683" t="s">
        <v>330</v>
      </c>
      <c r="Y7683" s="42">
        <v>44061</v>
      </c>
    </row>
    <row r="7684" spans="1:25">
      <c r="N7684" s="42">
        <v>44046</v>
      </c>
      <c r="O7684" t="s">
        <v>345</v>
      </c>
      <c r="P7684" s="42">
        <v>44046</v>
      </c>
      <c r="Q7684" t="s">
        <v>345</v>
      </c>
      <c r="R7684" t="s">
        <v>320</v>
      </c>
      <c r="S7684" t="s">
        <v>323</v>
      </c>
      <c r="T7684">
        <v>5</v>
      </c>
      <c r="Y7684" s="42">
        <v>44047</v>
      </c>
    </row>
    <row r="7685" spans="1:25">
      <c r="N7685" s="42">
        <v>43986</v>
      </c>
      <c r="O7685" t="s">
        <v>324</v>
      </c>
      <c r="P7685" s="42">
        <v>43986</v>
      </c>
      <c r="Q7685" t="s">
        <v>324</v>
      </c>
      <c r="R7685" t="s">
        <v>329</v>
      </c>
      <c r="S7685" t="s">
        <v>323</v>
      </c>
      <c r="T7685">
        <v>5</v>
      </c>
      <c r="W7685" t="s">
        <v>330</v>
      </c>
      <c r="Y7685" s="42">
        <v>43991</v>
      </c>
    </row>
    <row r="7686" spans="1:25">
      <c r="N7686" s="42">
        <v>43977</v>
      </c>
      <c r="O7686" t="s">
        <v>333</v>
      </c>
      <c r="P7686" s="42">
        <v>43977</v>
      </c>
      <c r="Q7686" t="s">
        <v>333</v>
      </c>
      <c r="R7686" t="s">
        <v>320</v>
      </c>
      <c r="S7686" t="s">
        <v>323</v>
      </c>
      <c r="T7686">
        <v>5</v>
      </c>
      <c r="Y7686" s="42">
        <v>43977</v>
      </c>
    </row>
    <row r="7687" spans="1:25">
      <c r="N7687" s="42">
        <v>43976</v>
      </c>
      <c r="O7687" t="s">
        <v>345</v>
      </c>
      <c r="P7687" s="42">
        <v>43976</v>
      </c>
      <c r="Q7687" t="s">
        <v>345</v>
      </c>
      <c r="R7687" t="s">
        <v>320</v>
      </c>
      <c r="S7687" t="s">
        <v>323</v>
      </c>
      <c r="T7687">
        <v>5</v>
      </c>
      <c r="Y7687" s="42">
        <v>43977</v>
      </c>
    </row>
    <row r="7688" spans="1:25">
      <c r="N7688" s="42">
        <v>43914</v>
      </c>
      <c r="O7688" t="s">
        <v>333</v>
      </c>
      <c r="P7688" s="42">
        <v>43921</v>
      </c>
      <c r="Q7688" t="s">
        <v>333</v>
      </c>
      <c r="R7688" t="s">
        <v>329</v>
      </c>
      <c r="S7688" t="s">
        <v>323</v>
      </c>
      <c r="T7688">
        <v>10</v>
      </c>
      <c r="W7688" t="s">
        <v>330</v>
      </c>
      <c r="Y7688" s="42">
        <v>43921</v>
      </c>
    </row>
    <row r="7689" spans="1:25">
      <c r="N7689" s="42">
        <v>43857</v>
      </c>
      <c r="O7689" t="s">
        <v>345</v>
      </c>
      <c r="P7689" s="42">
        <v>43857</v>
      </c>
      <c r="Q7689" t="s">
        <v>345</v>
      </c>
      <c r="R7689" t="s">
        <v>320</v>
      </c>
      <c r="S7689" t="s">
        <v>323</v>
      </c>
      <c r="T7689">
        <v>0</v>
      </c>
      <c r="U7689">
        <v>5</v>
      </c>
      <c r="Y7689" s="42">
        <v>43865</v>
      </c>
    </row>
    <row r="7690" spans="1:25">
      <c r="A7690">
        <v>18894</v>
      </c>
      <c r="B7690" t="s">
        <v>435</v>
      </c>
      <c r="C7690" t="s">
        <v>320</v>
      </c>
      <c r="D7690" t="s">
        <v>336</v>
      </c>
      <c r="E7690" t="s">
        <v>337</v>
      </c>
      <c r="F7690">
        <v>1</v>
      </c>
      <c r="G7690" s="42">
        <v>45240</v>
      </c>
      <c r="H7690">
        <v>59.550699999999999</v>
      </c>
      <c r="I7690">
        <v>31.314399999999999</v>
      </c>
      <c r="J7690">
        <v>28.192900000000002</v>
      </c>
      <c r="K7690">
        <v>59.507300000000001</v>
      </c>
      <c r="L7690" t="s">
        <v>323</v>
      </c>
      <c r="M7690" s="43">
        <v>9.0277777777777776E-2</v>
      </c>
      <c r="N7690" s="42">
        <v>44928</v>
      </c>
      <c r="O7690" t="s">
        <v>345</v>
      </c>
      <c r="P7690" s="42">
        <v>44928</v>
      </c>
      <c r="Q7690" t="s">
        <v>345</v>
      </c>
      <c r="R7690" t="s">
        <v>320</v>
      </c>
      <c r="S7690" t="s">
        <v>323</v>
      </c>
      <c r="U7690">
        <v>7.6</v>
      </c>
    </row>
    <row r="7691" spans="1:25">
      <c r="C7691" t="s">
        <v>325</v>
      </c>
      <c r="D7691" t="s">
        <v>436</v>
      </c>
      <c r="E7691" t="s">
        <v>437</v>
      </c>
      <c r="F7691">
        <v>1</v>
      </c>
      <c r="G7691" s="42">
        <v>47435</v>
      </c>
      <c r="H7691">
        <v>7.2210000000000001</v>
      </c>
      <c r="I7691">
        <v>0</v>
      </c>
      <c r="J7691">
        <v>1.4178999999999999</v>
      </c>
      <c r="K7691">
        <v>1.4178999999999999</v>
      </c>
      <c r="L7691" t="s">
        <v>438</v>
      </c>
      <c r="N7691" s="42">
        <v>44922</v>
      </c>
      <c r="O7691" t="s">
        <v>333</v>
      </c>
      <c r="P7691" s="42">
        <v>44922</v>
      </c>
      <c r="Q7691" t="s">
        <v>333</v>
      </c>
      <c r="R7691" t="s">
        <v>320</v>
      </c>
      <c r="S7691" t="s">
        <v>323</v>
      </c>
      <c r="U7691">
        <v>7.6</v>
      </c>
    </row>
    <row r="7692" spans="1:25">
      <c r="C7692" t="s">
        <v>329</v>
      </c>
      <c r="D7692" t="s">
        <v>342</v>
      </c>
      <c r="E7692" t="s">
        <v>343</v>
      </c>
      <c r="F7692">
        <v>1</v>
      </c>
      <c r="G7692" s="42">
        <v>45240</v>
      </c>
      <c r="H7692">
        <v>29.775300000000001</v>
      </c>
      <c r="I7692">
        <v>7.9904000000000002</v>
      </c>
      <c r="J7692">
        <v>14.096399999999999</v>
      </c>
      <c r="K7692">
        <v>22.0868</v>
      </c>
      <c r="L7692" t="s">
        <v>323</v>
      </c>
      <c r="N7692" s="42">
        <v>44921</v>
      </c>
      <c r="O7692" t="s">
        <v>345</v>
      </c>
      <c r="P7692" s="42">
        <v>44921</v>
      </c>
      <c r="Q7692" t="s">
        <v>345</v>
      </c>
      <c r="R7692" t="s">
        <v>320</v>
      </c>
      <c r="S7692" t="s">
        <v>323</v>
      </c>
      <c r="U7692">
        <v>7.6</v>
      </c>
    </row>
    <row r="7693" spans="1:25">
      <c r="N7693" s="42">
        <v>44896</v>
      </c>
      <c r="O7693" t="s">
        <v>324</v>
      </c>
      <c r="P7693" s="42">
        <v>44896</v>
      </c>
      <c r="Q7693" t="s">
        <v>324</v>
      </c>
      <c r="R7693" t="s">
        <v>329</v>
      </c>
      <c r="S7693" t="s">
        <v>323</v>
      </c>
      <c r="T7693">
        <v>5</v>
      </c>
      <c r="W7693" t="s">
        <v>330</v>
      </c>
      <c r="Y7693" s="42">
        <v>44901</v>
      </c>
    </row>
    <row r="7694" spans="1:25">
      <c r="N7694" s="42">
        <v>44886</v>
      </c>
      <c r="O7694" t="s">
        <v>345</v>
      </c>
      <c r="P7694" s="42">
        <v>44886</v>
      </c>
      <c r="Q7694" t="s">
        <v>345</v>
      </c>
      <c r="R7694" t="s">
        <v>320</v>
      </c>
      <c r="S7694" t="s">
        <v>323</v>
      </c>
      <c r="T7694">
        <v>7.6</v>
      </c>
      <c r="Y7694" s="42">
        <v>44887</v>
      </c>
    </row>
    <row r="7695" spans="1:25">
      <c r="N7695" s="42">
        <v>44861</v>
      </c>
      <c r="O7695" t="s">
        <v>324</v>
      </c>
      <c r="P7695" s="42">
        <v>44861</v>
      </c>
      <c r="Q7695" t="s">
        <v>324</v>
      </c>
      <c r="R7695" t="s">
        <v>329</v>
      </c>
      <c r="S7695" t="s">
        <v>323</v>
      </c>
      <c r="T7695">
        <v>5</v>
      </c>
      <c r="W7695" t="s">
        <v>330</v>
      </c>
      <c r="Y7695" s="42">
        <v>44873</v>
      </c>
    </row>
    <row r="7696" spans="1:25">
      <c r="N7696" s="42">
        <v>44858</v>
      </c>
      <c r="O7696" t="s">
        <v>345</v>
      </c>
      <c r="P7696" s="42">
        <v>44858</v>
      </c>
      <c r="Q7696" t="s">
        <v>345</v>
      </c>
      <c r="R7696" t="s">
        <v>320</v>
      </c>
      <c r="S7696" t="s">
        <v>323</v>
      </c>
      <c r="T7696">
        <v>7.6</v>
      </c>
      <c r="Y7696" s="42">
        <v>44859</v>
      </c>
    </row>
    <row r="7697" spans="14:25">
      <c r="N7697" s="42">
        <v>44847</v>
      </c>
      <c r="O7697" t="s">
        <v>324</v>
      </c>
      <c r="P7697" s="42">
        <v>44847</v>
      </c>
      <c r="Q7697" t="s">
        <v>324</v>
      </c>
      <c r="R7697" t="s">
        <v>329</v>
      </c>
      <c r="S7697" t="s">
        <v>323</v>
      </c>
      <c r="T7697">
        <v>5</v>
      </c>
      <c r="W7697" t="s">
        <v>330</v>
      </c>
      <c r="Y7697" s="42">
        <v>44859</v>
      </c>
    </row>
    <row r="7698" spans="14:25">
      <c r="N7698" s="42">
        <v>44837</v>
      </c>
      <c r="O7698" t="s">
        <v>345</v>
      </c>
      <c r="P7698" s="42">
        <v>44837</v>
      </c>
      <c r="Q7698" t="s">
        <v>345</v>
      </c>
      <c r="R7698" t="s">
        <v>320</v>
      </c>
      <c r="S7698" t="s">
        <v>323</v>
      </c>
      <c r="U7698">
        <v>7.6</v>
      </c>
    </row>
    <row r="7699" spans="14:25">
      <c r="N7699" s="42">
        <v>44826</v>
      </c>
      <c r="O7699" t="s">
        <v>324</v>
      </c>
      <c r="P7699" s="42">
        <v>44826</v>
      </c>
      <c r="Q7699" t="s">
        <v>324</v>
      </c>
      <c r="R7699" t="s">
        <v>320</v>
      </c>
      <c r="S7699" t="s">
        <v>323</v>
      </c>
      <c r="U7699">
        <v>5</v>
      </c>
    </row>
    <row r="7700" spans="14:25">
      <c r="N7700" s="42">
        <v>44750</v>
      </c>
      <c r="O7700" t="s">
        <v>346</v>
      </c>
      <c r="P7700" s="42">
        <v>44750</v>
      </c>
      <c r="Q7700" t="s">
        <v>346</v>
      </c>
      <c r="R7700" t="s">
        <v>329</v>
      </c>
      <c r="S7700" t="s">
        <v>323</v>
      </c>
      <c r="T7700">
        <v>7.6</v>
      </c>
      <c r="W7700" t="s">
        <v>330</v>
      </c>
      <c r="Y7700" s="42">
        <v>44761</v>
      </c>
    </row>
    <row r="7701" spans="14:25">
      <c r="N7701" s="42">
        <v>44679</v>
      </c>
      <c r="O7701" t="s">
        <v>324</v>
      </c>
      <c r="P7701" s="42">
        <v>44679</v>
      </c>
      <c r="Q7701" t="s">
        <v>324</v>
      </c>
      <c r="R7701" t="s">
        <v>338</v>
      </c>
      <c r="S7701" t="s">
        <v>323</v>
      </c>
      <c r="T7701">
        <v>7</v>
      </c>
      <c r="W7701" t="s">
        <v>330</v>
      </c>
      <c r="Y7701" s="42">
        <v>44691</v>
      </c>
    </row>
    <row r="7702" spans="14:25">
      <c r="N7702" s="42">
        <v>44678</v>
      </c>
      <c r="O7702" t="s">
        <v>328</v>
      </c>
      <c r="P7702" s="42">
        <v>44679</v>
      </c>
      <c r="Q7702" t="s">
        <v>324</v>
      </c>
      <c r="R7702" t="s">
        <v>320</v>
      </c>
      <c r="S7702" t="s">
        <v>323</v>
      </c>
      <c r="T7702">
        <v>13.333399999999999</v>
      </c>
      <c r="V7702">
        <v>0</v>
      </c>
      <c r="Y7702" s="42">
        <v>44691</v>
      </c>
    </row>
    <row r="7703" spans="14:25">
      <c r="N7703" s="42">
        <v>44678</v>
      </c>
      <c r="O7703" t="s">
        <v>328</v>
      </c>
      <c r="P7703" s="42">
        <v>44678</v>
      </c>
      <c r="Q7703" t="s">
        <v>328</v>
      </c>
      <c r="R7703" t="s">
        <v>338</v>
      </c>
      <c r="S7703" t="s">
        <v>323</v>
      </c>
      <c r="T7703">
        <v>7</v>
      </c>
      <c r="W7703" t="s">
        <v>330</v>
      </c>
      <c r="Y7703" s="42">
        <v>44691</v>
      </c>
    </row>
    <row r="7704" spans="14:25">
      <c r="N7704" s="42">
        <v>44677</v>
      </c>
      <c r="O7704" t="s">
        <v>333</v>
      </c>
      <c r="P7704" s="42">
        <v>44677</v>
      </c>
      <c r="Q7704" t="s">
        <v>333</v>
      </c>
      <c r="R7704" t="s">
        <v>338</v>
      </c>
      <c r="S7704" t="s">
        <v>323</v>
      </c>
      <c r="T7704">
        <v>5</v>
      </c>
      <c r="W7704" t="s">
        <v>330</v>
      </c>
      <c r="Y7704" s="42">
        <v>44677</v>
      </c>
    </row>
    <row r="7705" spans="14:25">
      <c r="N7705" s="42">
        <v>44673</v>
      </c>
      <c r="O7705" t="s">
        <v>346</v>
      </c>
      <c r="P7705" s="42">
        <v>44673</v>
      </c>
      <c r="Q7705" t="s">
        <v>346</v>
      </c>
      <c r="R7705" t="s">
        <v>320</v>
      </c>
      <c r="S7705" t="s">
        <v>323</v>
      </c>
      <c r="T7705">
        <v>7</v>
      </c>
      <c r="Y7705" s="42">
        <v>44677</v>
      </c>
    </row>
    <row r="7706" spans="14:25">
      <c r="N7706" s="42">
        <v>44672</v>
      </c>
      <c r="O7706" t="s">
        <v>324</v>
      </c>
      <c r="P7706" s="42">
        <v>44673</v>
      </c>
      <c r="Q7706" t="s">
        <v>346</v>
      </c>
      <c r="R7706" t="s">
        <v>320</v>
      </c>
      <c r="S7706" t="s">
        <v>323</v>
      </c>
      <c r="T7706">
        <v>13.333299999999999</v>
      </c>
      <c r="Y7706" s="42">
        <v>44677</v>
      </c>
    </row>
    <row r="7707" spans="14:25">
      <c r="N7707" s="42">
        <v>44672</v>
      </c>
      <c r="O7707" t="s">
        <v>324</v>
      </c>
      <c r="P7707" s="42">
        <v>44672</v>
      </c>
      <c r="Q7707" t="s">
        <v>324</v>
      </c>
      <c r="R7707" t="s">
        <v>320</v>
      </c>
      <c r="S7707" t="s">
        <v>323</v>
      </c>
      <c r="T7707">
        <v>7</v>
      </c>
      <c r="Y7707" s="42">
        <v>44677</v>
      </c>
    </row>
    <row r="7708" spans="14:25">
      <c r="N7708" s="42">
        <v>44672</v>
      </c>
      <c r="O7708" t="s">
        <v>324</v>
      </c>
      <c r="P7708" s="42">
        <v>44673</v>
      </c>
      <c r="Q7708" t="s">
        <v>346</v>
      </c>
      <c r="R7708" t="s">
        <v>338</v>
      </c>
      <c r="S7708" t="s">
        <v>323</v>
      </c>
      <c r="T7708">
        <v>13.333299999999999</v>
      </c>
      <c r="W7708" t="s">
        <v>330</v>
      </c>
    </row>
    <row r="7709" spans="14:25">
      <c r="N7709" s="42">
        <v>44671</v>
      </c>
      <c r="O7709" t="s">
        <v>328</v>
      </c>
      <c r="P7709" s="42">
        <v>44671</v>
      </c>
      <c r="Q7709" t="s">
        <v>328</v>
      </c>
      <c r="R7709" t="s">
        <v>338</v>
      </c>
      <c r="S7709" t="s">
        <v>323</v>
      </c>
      <c r="T7709">
        <v>7</v>
      </c>
      <c r="W7709" t="s">
        <v>330</v>
      </c>
      <c r="Y7709" s="42">
        <v>44677</v>
      </c>
    </row>
    <row r="7710" spans="14:25">
      <c r="N7710" s="42">
        <v>44665</v>
      </c>
      <c r="O7710" t="s">
        <v>324</v>
      </c>
      <c r="P7710" s="42">
        <v>44665</v>
      </c>
      <c r="Q7710" t="s">
        <v>324</v>
      </c>
      <c r="R7710" t="s">
        <v>338</v>
      </c>
      <c r="S7710" t="s">
        <v>323</v>
      </c>
      <c r="T7710">
        <v>7</v>
      </c>
      <c r="W7710" t="s">
        <v>330</v>
      </c>
      <c r="Y7710" s="42">
        <v>44677</v>
      </c>
    </row>
    <row r="7711" spans="14:25">
      <c r="N7711" s="42">
        <v>44664</v>
      </c>
      <c r="O7711" t="s">
        <v>328</v>
      </c>
      <c r="P7711" s="42">
        <v>44664</v>
      </c>
      <c r="Q7711" t="s">
        <v>328</v>
      </c>
      <c r="R7711" t="s">
        <v>338</v>
      </c>
      <c r="S7711" t="s">
        <v>323</v>
      </c>
      <c r="T7711">
        <v>7</v>
      </c>
      <c r="W7711" t="s">
        <v>330</v>
      </c>
      <c r="Y7711" s="42">
        <v>44677</v>
      </c>
    </row>
    <row r="7712" spans="14:25">
      <c r="N7712" s="42">
        <v>44645</v>
      </c>
      <c r="O7712" t="s">
        <v>346</v>
      </c>
      <c r="P7712" s="42">
        <v>44645</v>
      </c>
      <c r="Q7712" t="s">
        <v>346</v>
      </c>
      <c r="R7712" t="s">
        <v>329</v>
      </c>
      <c r="S7712" t="s">
        <v>323</v>
      </c>
      <c r="T7712">
        <v>6</v>
      </c>
      <c r="W7712" t="s">
        <v>330</v>
      </c>
      <c r="Y7712" s="42">
        <v>44649</v>
      </c>
    </row>
    <row r="7713" spans="1:25">
      <c r="N7713" s="42">
        <v>44587</v>
      </c>
      <c r="O7713" t="s">
        <v>328</v>
      </c>
      <c r="P7713" s="42">
        <v>44587</v>
      </c>
      <c r="Q7713" t="s">
        <v>328</v>
      </c>
      <c r="R7713" t="s">
        <v>320</v>
      </c>
      <c r="S7713" t="s">
        <v>323</v>
      </c>
      <c r="U7713">
        <v>7</v>
      </c>
    </row>
    <row r="7714" spans="1:25">
      <c r="N7714" s="42">
        <v>44582</v>
      </c>
      <c r="O7714" t="s">
        <v>346</v>
      </c>
      <c r="P7714" s="42">
        <v>44582</v>
      </c>
      <c r="Q7714" t="s">
        <v>346</v>
      </c>
      <c r="R7714" t="s">
        <v>329</v>
      </c>
      <c r="S7714" t="s">
        <v>323</v>
      </c>
      <c r="T7714">
        <v>7</v>
      </c>
      <c r="W7714" t="s">
        <v>330</v>
      </c>
      <c r="Y7714" s="42">
        <v>44593</v>
      </c>
    </row>
    <row r="7715" spans="1:25">
      <c r="N7715" s="42">
        <v>43922</v>
      </c>
      <c r="O7715" t="s">
        <v>328</v>
      </c>
      <c r="P7715" s="42">
        <v>43926</v>
      </c>
      <c r="Q7715" t="s">
        <v>344</v>
      </c>
      <c r="R7715" t="s">
        <v>320</v>
      </c>
      <c r="S7715" t="s">
        <v>323</v>
      </c>
      <c r="T7715">
        <v>27.685700000000001</v>
      </c>
      <c r="Y7715" s="42">
        <v>43935</v>
      </c>
    </row>
    <row r="7716" spans="1:25">
      <c r="A7716">
        <v>18895</v>
      </c>
      <c r="B7716" t="s">
        <v>439</v>
      </c>
      <c r="C7716" t="s">
        <v>320</v>
      </c>
      <c r="D7716" t="s">
        <v>321</v>
      </c>
      <c r="E7716" t="s">
        <v>322</v>
      </c>
      <c r="F7716">
        <v>1</v>
      </c>
      <c r="G7716" s="42">
        <v>45127</v>
      </c>
      <c r="H7716">
        <v>61.383299999999998</v>
      </c>
      <c r="I7716">
        <v>-53.2789</v>
      </c>
      <c r="J7716">
        <v>61.383299999999998</v>
      </c>
      <c r="K7716">
        <v>8.1044</v>
      </c>
      <c r="L7716" t="s">
        <v>323</v>
      </c>
      <c r="M7716" s="43">
        <v>0.12638888888888888</v>
      </c>
      <c r="N7716" s="42">
        <v>44958</v>
      </c>
      <c r="O7716" t="s">
        <v>328</v>
      </c>
      <c r="P7716" s="42">
        <v>44958</v>
      </c>
      <c r="Q7716" t="s">
        <v>328</v>
      </c>
      <c r="R7716" t="s">
        <v>338</v>
      </c>
      <c r="S7716" t="s">
        <v>323</v>
      </c>
      <c r="T7716">
        <v>7.6</v>
      </c>
      <c r="W7716" t="s">
        <v>330</v>
      </c>
      <c r="Y7716" s="42">
        <v>44971</v>
      </c>
    </row>
    <row r="7717" spans="1:25">
      <c r="C7717" t="s">
        <v>325</v>
      </c>
      <c r="D7717" t="s">
        <v>326</v>
      </c>
      <c r="E7717" t="s">
        <v>327</v>
      </c>
      <c r="F7717">
        <v>1</v>
      </c>
      <c r="G7717" s="42">
        <v>48074</v>
      </c>
      <c r="H7717">
        <v>33.499299999999998</v>
      </c>
      <c r="I7717">
        <v>3.9169999999999998</v>
      </c>
      <c r="J7717">
        <v>33.499299999999998</v>
      </c>
      <c r="K7717">
        <v>37.4163</v>
      </c>
      <c r="L7717" t="s">
        <v>323</v>
      </c>
      <c r="N7717" s="42">
        <v>44957</v>
      </c>
      <c r="O7717" t="s">
        <v>333</v>
      </c>
      <c r="P7717" s="42">
        <v>44957</v>
      </c>
      <c r="Q7717" t="s">
        <v>333</v>
      </c>
      <c r="R7717" t="s">
        <v>338</v>
      </c>
      <c r="S7717" t="s">
        <v>323</v>
      </c>
      <c r="T7717">
        <v>7.6</v>
      </c>
      <c r="W7717" t="s">
        <v>330</v>
      </c>
      <c r="Y7717" s="42">
        <v>44957</v>
      </c>
    </row>
    <row r="7718" spans="1:25">
      <c r="C7718" t="s">
        <v>329</v>
      </c>
      <c r="D7718" t="s">
        <v>331</v>
      </c>
      <c r="E7718" t="s">
        <v>332</v>
      </c>
      <c r="F7718">
        <v>1</v>
      </c>
      <c r="G7718" s="42">
        <v>45127</v>
      </c>
      <c r="H7718">
        <v>30.691700000000001</v>
      </c>
      <c r="I7718">
        <v>-14.8773</v>
      </c>
      <c r="J7718">
        <v>30.691700000000001</v>
      </c>
      <c r="K7718">
        <v>15.814399999999999</v>
      </c>
      <c r="L7718" t="s">
        <v>323</v>
      </c>
      <c r="N7718" s="42">
        <v>44953</v>
      </c>
      <c r="O7718" t="s">
        <v>346</v>
      </c>
      <c r="P7718" s="42">
        <v>44953</v>
      </c>
      <c r="Q7718" t="s">
        <v>346</v>
      </c>
      <c r="R7718" t="s">
        <v>338</v>
      </c>
      <c r="S7718" t="s">
        <v>323</v>
      </c>
      <c r="T7718">
        <v>7.6</v>
      </c>
      <c r="W7718" t="s">
        <v>330</v>
      </c>
      <c r="Y7718" s="42">
        <v>44957</v>
      </c>
    </row>
    <row r="7719" spans="1:25">
      <c r="N7719" s="42">
        <v>44952</v>
      </c>
      <c r="O7719" t="s">
        <v>324</v>
      </c>
      <c r="P7719" s="42">
        <v>44952</v>
      </c>
      <c r="Q7719" t="s">
        <v>324</v>
      </c>
      <c r="R7719" t="s">
        <v>320</v>
      </c>
      <c r="S7719" t="s">
        <v>323</v>
      </c>
      <c r="U7719">
        <v>7.6</v>
      </c>
    </row>
    <row r="7720" spans="1:25">
      <c r="N7720" s="42">
        <v>44951</v>
      </c>
      <c r="O7720" t="s">
        <v>328</v>
      </c>
      <c r="P7720" s="42">
        <v>44951</v>
      </c>
      <c r="Q7720" t="s">
        <v>328</v>
      </c>
      <c r="R7720" t="s">
        <v>338</v>
      </c>
      <c r="S7720" t="s">
        <v>323</v>
      </c>
      <c r="T7720">
        <v>7.6</v>
      </c>
      <c r="W7720" t="s">
        <v>330</v>
      </c>
      <c r="Y7720" s="42">
        <v>44957</v>
      </c>
    </row>
    <row r="7721" spans="1:25">
      <c r="N7721" s="42">
        <v>44950</v>
      </c>
      <c r="O7721" t="s">
        <v>333</v>
      </c>
      <c r="P7721" s="42">
        <v>44950</v>
      </c>
      <c r="Q7721" t="s">
        <v>333</v>
      </c>
      <c r="R7721" t="s">
        <v>338</v>
      </c>
      <c r="S7721" t="s">
        <v>323</v>
      </c>
      <c r="T7721">
        <v>7.6</v>
      </c>
      <c r="W7721" t="s">
        <v>330</v>
      </c>
      <c r="Y7721" s="42">
        <v>44957</v>
      </c>
    </row>
    <row r="7722" spans="1:25">
      <c r="N7722" s="42">
        <v>44946</v>
      </c>
      <c r="O7722" t="s">
        <v>346</v>
      </c>
      <c r="P7722" s="42">
        <v>44946</v>
      </c>
      <c r="Q7722" t="s">
        <v>346</v>
      </c>
      <c r="R7722" t="s">
        <v>338</v>
      </c>
      <c r="S7722" t="s">
        <v>323</v>
      </c>
      <c r="T7722">
        <v>7.6</v>
      </c>
      <c r="W7722" t="s">
        <v>330</v>
      </c>
      <c r="Y7722" s="42">
        <v>44957</v>
      </c>
    </row>
    <row r="7723" spans="1:25">
      <c r="N7723" s="42">
        <v>44945</v>
      </c>
      <c r="O7723" t="s">
        <v>324</v>
      </c>
      <c r="P7723" s="42">
        <v>44945</v>
      </c>
      <c r="Q7723" t="s">
        <v>324</v>
      </c>
      <c r="R7723" t="s">
        <v>338</v>
      </c>
      <c r="S7723" t="s">
        <v>323</v>
      </c>
      <c r="T7723">
        <v>7.6</v>
      </c>
      <c r="W7723" t="s">
        <v>330</v>
      </c>
      <c r="Y7723" s="42">
        <v>44957</v>
      </c>
    </row>
    <row r="7724" spans="1:25">
      <c r="N7724" s="42">
        <v>44944</v>
      </c>
      <c r="O7724" t="s">
        <v>328</v>
      </c>
      <c r="P7724" s="42">
        <v>44944</v>
      </c>
      <c r="Q7724" t="s">
        <v>328</v>
      </c>
      <c r="R7724" t="s">
        <v>338</v>
      </c>
      <c r="S7724" t="s">
        <v>323</v>
      </c>
      <c r="T7724">
        <v>7.6</v>
      </c>
      <c r="W7724" t="s">
        <v>330</v>
      </c>
      <c r="Y7724" s="42">
        <v>44957</v>
      </c>
    </row>
    <row r="7725" spans="1:25">
      <c r="N7725" s="42">
        <v>44943</v>
      </c>
      <c r="O7725" t="s">
        <v>333</v>
      </c>
      <c r="P7725" s="42">
        <v>44943</v>
      </c>
      <c r="Q7725" t="s">
        <v>333</v>
      </c>
      <c r="R7725" t="s">
        <v>320</v>
      </c>
      <c r="S7725" t="s">
        <v>323</v>
      </c>
      <c r="T7725">
        <v>7.6</v>
      </c>
      <c r="Y7725" s="42">
        <v>44943</v>
      </c>
    </row>
    <row r="7726" spans="1:25">
      <c r="N7726" s="42">
        <v>44939</v>
      </c>
      <c r="O7726" t="s">
        <v>346</v>
      </c>
      <c r="P7726" s="42">
        <v>44939</v>
      </c>
      <c r="Q7726" t="s">
        <v>346</v>
      </c>
      <c r="R7726" t="s">
        <v>338</v>
      </c>
      <c r="S7726" t="s">
        <v>323</v>
      </c>
      <c r="T7726">
        <v>7.6</v>
      </c>
      <c r="W7726" t="s">
        <v>330</v>
      </c>
      <c r="Y7726" s="42">
        <v>44943</v>
      </c>
    </row>
    <row r="7727" spans="1:25">
      <c r="N7727" s="42">
        <v>44938</v>
      </c>
      <c r="O7727" t="s">
        <v>324</v>
      </c>
      <c r="P7727" s="42">
        <v>44938</v>
      </c>
      <c r="Q7727" t="s">
        <v>324</v>
      </c>
      <c r="R7727" t="s">
        <v>338</v>
      </c>
      <c r="S7727" t="s">
        <v>323</v>
      </c>
      <c r="T7727">
        <v>7.6</v>
      </c>
      <c r="W7727" t="s">
        <v>330</v>
      </c>
      <c r="Y7727" s="42">
        <v>44943</v>
      </c>
    </row>
    <row r="7728" spans="1:25">
      <c r="N7728" s="42">
        <v>44937</v>
      </c>
      <c r="O7728" t="s">
        <v>328</v>
      </c>
      <c r="P7728" s="42">
        <v>44937</v>
      </c>
      <c r="Q7728" t="s">
        <v>328</v>
      </c>
      <c r="R7728" t="s">
        <v>338</v>
      </c>
      <c r="S7728" t="s">
        <v>323</v>
      </c>
      <c r="T7728">
        <v>7.6</v>
      </c>
      <c r="W7728" t="s">
        <v>330</v>
      </c>
      <c r="Y7728" s="42">
        <v>44943</v>
      </c>
    </row>
    <row r="7729" spans="14:25">
      <c r="N7729" s="42">
        <v>44936</v>
      </c>
      <c r="O7729" t="s">
        <v>333</v>
      </c>
      <c r="P7729" s="42">
        <v>44936</v>
      </c>
      <c r="Q7729" t="s">
        <v>333</v>
      </c>
      <c r="R7729" t="s">
        <v>338</v>
      </c>
      <c r="S7729" t="s">
        <v>323</v>
      </c>
      <c r="T7729">
        <v>7.6</v>
      </c>
      <c r="W7729" t="s">
        <v>330</v>
      </c>
      <c r="Y7729" s="42">
        <v>44943</v>
      </c>
    </row>
    <row r="7730" spans="14:25">
      <c r="N7730" s="42">
        <v>44932</v>
      </c>
      <c r="O7730" t="s">
        <v>346</v>
      </c>
      <c r="P7730" s="42">
        <v>44932</v>
      </c>
      <c r="Q7730" t="s">
        <v>346</v>
      </c>
      <c r="R7730" t="s">
        <v>320</v>
      </c>
      <c r="S7730" t="s">
        <v>323</v>
      </c>
      <c r="T7730">
        <v>7.6</v>
      </c>
      <c r="Y7730" s="42">
        <v>44943</v>
      </c>
    </row>
    <row r="7731" spans="14:25">
      <c r="N7731" s="42">
        <v>44931</v>
      </c>
      <c r="O7731" t="s">
        <v>324</v>
      </c>
      <c r="P7731" s="42">
        <v>44931</v>
      </c>
      <c r="Q7731" t="s">
        <v>324</v>
      </c>
      <c r="R7731" t="s">
        <v>320</v>
      </c>
      <c r="S7731" t="s">
        <v>323</v>
      </c>
      <c r="T7731">
        <v>7.6</v>
      </c>
      <c r="Y7731" s="42">
        <v>44943</v>
      </c>
    </row>
    <row r="7732" spans="14:25">
      <c r="N7732" s="42">
        <v>44930</v>
      </c>
      <c r="O7732" t="s">
        <v>328</v>
      </c>
      <c r="P7732" s="42">
        <v>44930</v>
      </c>
      <c r="Q7732" t="s">
        <v>328</v>
      </c>
      <c r="R7732" t="s">
        <v>338</v>
      </c>
      <c r="S7732" t="s">
        <v>323</v>
      </c>
      <c r="T7732">
        <v>7.6</v>
      </c>
      <c r="W7732" t="s">
        <v>330</v>
      </c>
      <c r="Y7732" s="42">
        <v>44943</v>
      </c>
    </row>
    <row r="7733" spans="14:25">
      <c r="N7733" s="42">
        <v>44929</v>
      </c>
      <c r="O7733" t="s">
        <v>333</v>
      </c>
      <c r="P7733" s="42">
        <v>44929</v>
      </c>
      <c r="Q7733" t="s">
        <v>333</v>
      </c>
      <c r="R7733" t="s">
        <v>338</v>
      </c>
      <c r="S7733" t="s">
        <v>323</v>
      </c>
      <c r="T7733">
        <v>7.6</v>
      </c>
      <c r="W7733" t="s">
        <v>330</v>
      </c>
      <c r="Y7733" s="42">
        <v>44929</v>
      </c>
    </row>
    <row r="7734" spans="14:25">
      <c r="N7734" s="42">
        <v>44925</v>
      </c>
      <c r="O7734" t="s">
        <v>346</v>
      </c>
      <c r="P7734" s="42">
        <v>44925</v>
      </c>
      <c r="Q7734" t="s">
        <v>346</v>
      </c>
      <c r="R7734" t="s">
        <v>338</v>
      </c>
      <c r="S7734" t="s">
        <v>323</v>
      </c>
      <c r="T7734">
        <v>7.6</v>
      </c>
      <c r="W7734" t="s">
        <v>330</v>
      </c>
      <c r="Y7734" s="42">
        <v>44929</v>
      </c>
    </row>
    <row r="7735" spans="14:25">
      <c r="N7735" s="42">
        <v>44924</v>
      </c>
      <c r="O7735" t="s">
        <v>324</v>
      </c>
      <c r="P7735" s="42">
        <v>44924</v>
      </c>
      <c r="Q7735" t="s">
        <v>324</v>
      </c>
      <c r="R7735" t="s">
        <v>338</v>
      </c>
      <c r="S7735" t="s">
        <v>323</v>
      </c>
      <c r="T7735">
        <v>7.6</v>
      </c>
      <c r="W7735" t="s">
        <v>330</v>
      </c>
      <c r="Y7735" s="42">
        <v>44929</v>
      </c>
    </row>
    <row r="7736" spans="14:25">
      <c r="N7736" s="42">
        <v>44923</v>
      </c>
      <c r="O7736" t="s">
        <v>328</v>
      </c>
      <c r="P7736" s="42">
        <v>44923</v>
      </c>
      <c r="Q7736" t="s">
        <v>328</v>
      </c>
      <c r="R7736" t="s">
        <v>338</v>
      </c>
      <c r="S7736" t="s">
        <v>323</v>
      </c>
      <c r="T7736">
        <v>7.6</v>
      </c>
      <c r="W7736" t="s">
        <v>330</v>
      </c>
      <c r="Y7736" s="42">
        <v>44929</v>
      </c>
    </row>
    <row r="7737" spans="14:25">
      <c r="N7737" s="42">
        <v>44922</v>
      </c>
      <c r="O7737" t="s">
        <v>333</v>
      </c>
      <c r="P7737" s="42">
        <v>44922</v>
      </c>
      <c r="Q7737" t="s">
        <v>333</v>
      </c>
      <c r="R7737" t="s">
        <v>320</v>
      </c>
      <c r="S7737" t="s">
        <v>323</v>
      </c>
      <c r="U7737">
        <v>7.6</v>
      </c>
    </row>
    <row r="7738" spans="14:25">
      <c r="N7738" s="42">
        <v>44918</v>
      </c>
      <c r="O7738" t="s">
        <v>346</v>
      </c>
      <c r="P7738" s="42">
        <v>44918</v>
      </c>
      <c r="Q7738" t="s">
        <v>346</v>
      </c>
      <c r="R7738" t="s">
        <v>338</v>
      </c>
      <c r="S7738" t="s">
        <v>323</v>
      </c>
      <c r="T7738">
        <v>7.6</v>
      </c>
      <c r="W7738" t="s">
        <v>330</v>
      </c>
      <c r="Y7738" s="42">
        <v>44929</v>
      </c>
    </row>
    <row r="7739" spans="14:25">
      <c r="N7739" s="42">
        <v>44917</v>
      </c>
      <c r="O7739" t="s">
        <v>324</v>
      </c>
      <c r="P7739" s="42">
        <v>44917</v>
      </c>
      <c r="Q7739" t="s">
        <v>324</v>
      </c>
      <c r="R7739" t="s">
        <v>338</v>
      </c>
      <c r="S7739" t="s">
        <v>323</v>
      </c>
      <c r="T7739">
        <v>7.6</v>
      </c>
      <c r="W7739" t="s">
        <v>330</v>
      </c>
      <c r="Y7739" s="42">
        <v>44929</v>
      </c>
    </row>
    <row r="7740" spans="14:25">
      <c r="N7740" s="42">
        <v>44916</v>
      </c>
      <c r="O7740" t="s">
        <v>328</v>
      </c>
      <c r="P7740" s="42">
        <v>44916</v>
      </c>
      <c r="Q7740" t="s">
        <v>328</v>
      </c>
      <c r="R7740" t="s">
        <v>338</v>
      </c>
      <c r="S7740" t="s">
        <v>323</v>
      </c>
      <c r="T7740">
        <v>7.6</v>
      </c>
      <c r="W7740" t="s">
        <v>330</v>
      </c>
      <c r="Y7740" s="42">
        <v>44929</v>
      </c>
    </row>
    <row r="7741" spans="14:25">
      <c r="N7741" s="42">
        <v>44915</v>
      </c>
      <c r="O7741" t="s">
        <v>333</v>
      </c>
      <c r="P7741" s="42">
        <v>44915</v>
      </c>
      <c r="Q7741" t="s">
        <v>333</v>
      </c>
      <c r="R7741" t="s">
        <v>338</v>
      </c>
      <c r="S7741" t="s">
        <v>323</v>
      </c>
      <c r="T7741">
        <v>7.6</v>
      </c>
      <c r="W7741" t="s">
        <v>330</v>
      </c>
      <c r="Y7741" s="42">
        <v>44915</v>
      </c>
    </row>
    <row r="7742" spans="14:25">
      <c r="N7742" s="42">
        <v>44911</v>
      </c>
      <c r="O7742" t="s">
        <v>346</v>
      </c>
      <c r="P7742" s="42">
        <v>44911</v>
      </c>
      <c r="Q7742" t="s">
        <v>346</v>
      </c>
      <c r="R7742" t="s">
        <v>338</v>
      </c>
      <c r="S7742" t="s">
        <v>323</v>
      </c>
      <c r="T7742">
        <v>7.6</v>
      </c>
      <c r="W7742" t="s">
        <v>330</v>
      </c>
      <c r="Y7742" s="42">
        <v>44915</v>
      </c>
    </row>
    <row r="7743" spans="14:25">
      <c r="N7743" s="42">
        <v>44910</v>
      </c>
      <c r="O7743" t="s">
        <v>324</v>
      </c>
      <c r="P7743" s="42">
        <v>44910</v>
      </c>
      <c r="Q7743" t="s">
        <v>324</v>
      </c>
      <c r="R7743" t="s">
        <v>338</v>
      </c>
      <c r="S7743" t="s">
        <v>323</v>
      </c>
      <c r="T7743">
        <v>7.6</v>
      </c>
      <c r="W7743" t="s">
        <v>330</v>
      </c>
      <c r="Y7743" s="42">
        <v>44915</v>
      </c>
    </row>
    <row r="7744" spans="14:25">
      <c r="N7744" s="42">
        <v>44909</v>
      </c>
      <c r="O7744" t="s">
        <v>328</v>
      </c>
      <c r="P7744" s="42">
        <v>44909</v>
      </c>
      <c r="Q7744" t="s">
        <v>328</v>
      </c>
      <c r="R7744" t="s">
        <v>320</v>
      </c>
      <c r="S7744" t="s">
        <v>323</v>
      </c>
      <c r="T7744">
        <v>7.6</v>
      </c>
      <c r="Y7744" s="42">
        <v>44915</v>
      </c>
    </row>
    <row r="7745" spans="14:25">
      <c r="N7745" s="42">
        <v>44908</v>
      </c>
      <c r="O7745" t="s">
        <v>333</v>
      </c>
      <c r="P7745" s="42">
        <v>44908</v>
      </c>
      <c r="Q7745" t="s">
        <v>333</v>
      </c>
      <c r="R7745" t="s">
        <v>320</v>
      </c>
      <c r="S7745" t="s">
        <v>323</v>
      </c>
      <c r="T7745">
        <v>7.6</v>
      </c>
      <c r="Y7745" s="42">
        <v>44915</v>
      </c>
    </row>
    <row r="7746" spans="14:25">
      <c r="N7746" s="42">
        <v>44904</v>
      </c>
      <c r="O7746" t="s">
        <v>346</v>
      </c>
      <c r="P7746" s="42">
        <v>44904</v>
      </c>
      <c r="Q7746" t="s">
        <v>346</v>
      </c>
      <c r="R7746" t="s">
        <v>320</v>
      </c>
      <c r="S7746" t="s">
        <v>323</v>
      </c>
      <c r="T7746">
        <v>7.6</v>
      </c>
      <c r="Y7746" s="42">
        <v>44915</v>
      </c>
    </row>
    <row r="7747" spans="14:25">
      <c r="N7747" s="42">
        <v>44903</v>
      </c>
      <c r="O7747" t="s">
        <v>324</v>
      </c>
      <c r="P7747" s="42">
        <v>44903</v>
      </c>
      <c r="Q7747" t="s">
        <v>324</v>
      </c>
      <c r="R7747" t="s">
        <v>320</v>
      </c>
      <c r="S7747" t="s">
        <v>323</v>
      </c>
      <c r="T7747">
        <v>7.6</v>
      </c>
      <c r="Y7747" s="42">
        <v>44915</v>
      </c>
    </row>
    <row r="7748" spans="14:25">
      <c r="N7748" s="42">
        <v>44902</v>
      </c>
      <c r="O7748" t="s">
        <v>328</v>
      </c>
      <c r="P7748" s="42">
        <v>44902</v>
      </c>
      <c r="Q7748" t="s">
        <v>328</v>
      </c>
      <c r="R7748" t="s">
        <v>320</v>
      </c>
      <c r="S7748" t="s">
        <v>323</v>
      </c>
      <c r="T7748">
        <v>7.6</v>
      </c>
      <c r="Y7748" s="42">
        <v>44915</v>
      </c>
    </row>
    <row r="7749" spans="14:25">
      <c r="N7749" s="42">
        <v>44901</v>
      </c>
      <c r="O7749" t="s">
        <v>333</v>
      </c>
      <c r="P7749" s="42">
        <v>44901</v>
      </c>
      <c r="Q7749" t="s">
        <v>333</v>
      </c>
      <c r="R7749" t="s">
        <v>320</v>
      </c>
      <c r="S7749" t="s">
        <v>323</v>
      </c>
      <c r="T7749">
        <v>7.6</v>
      </c>
      <c r="Y7749" s="42">
        <v>44901</v>
      </c>
    </row>
    <row r="7750" spans="14:25">
      <c r="N7750" s="42">
        <v>44897</v>
      </c>
      <c r="O7750" t="s">
        <v>346</v>
      </c>
      <c r="P7750" s="42">
        <v>44897</v>
      </c>
      <c r="Q7750" t="s">
        <v>346</v>
      </c>
      <c r="R7750" t="s">
        <v>320</v>
      </c>
      <c r="S7750" t="s">
        <v>323</v>
      </c>
      <c r="T7750">
        <v>7.6</v>
      </c>
      <c r="Y7750" s="42">
        <v>44901</v>
      </c>
    </row>
    <row r="7751" spans="14:25">
      <c r="N7751" s="42">
        <v>44896</v>
      </c>
      <c r="O7751" t="s">
        <v>324</v>
      </c>
      <c r="P7751" s="42">
        <v>44896</v>
      </c>
      <c r="Q7751" t="s">
        <v>324</v>
      </c>
      <c r="R7751" t="s">
        <v>320</v>
      </c>
      <c r="S7751" t="s">
        <v>323</v>
      </c>
      <c r="T7751">
        <v>7.6</v>
      </c>
      <c r="Y7751" s="42">
        <v>44901</v>
      </c>
    </row>
    <row r="7752" spans="14:25">
      <c r="N7752" s="42">
        <v>44895</v>
      </c>
      <c r="O7752" t="s">
        <v>328</v>
      </c>
      <c r="P7752" s="42">
        <v>44895</v>
      </c>
      <c r="Q7752" t="s">
        <v>328</v>
      </c>
      <c r="R7752" t="s">
        <v>320</v>
      </c>
      <c r="S7752" t="s">
        <v>323</v>
      </c>
      <c r="T7752">
        <v>7.6</v>
      </c>
      <c r="Y7752" s="42">
        <v>44901</v>
      </c>
    </row>
    <row r="7753" spans="14:25">
      <c r="N7753" s="42">
        <v>44867</v>
      </c>
      <c r="O7753" t="s">
        <v>328</v>
      </c>
      <c r="P7753" s="42">
        <v>44867</v>
      </c>
      <c r="Q7753" t="s">
        <v>328</v>
      </c>
      <c r="R7753" t="s">
        <v>338</v>
      </c>
      <c r="S7753" t="s">
        <v>323</v>
      </c>
      <c r="T7753">
        <v>3</v>
      </c>
      <c r="W7753" t="s">
        <v>330</v>
      </c>
      <c r="Y7753" s="42">
        <v>44873</v>
      </c>
    </row>
    <row r="7754" spans="14:25">
      <c r="N7754" s="42">
        <v>44832</v>
      </c>
      <c r="O7754" t="s">
        <v>328</v>
      </c>
      <c r="P7754" s="42">
        <v>44832</v>
      </c>
      <c r="Q7754" t="s">
        <v>328</v>
      </c>
      <c r="R7754" t="s">
        <v>329</v>
      </c>
      <c r="S7754" t="s">
        <v>323</v>
      </c>
      <c r="T7754">
        <v>7.6</v>
      </c>
      <c r="W7754" t="s">
        <v>330</v>
      </c>
      <c r="Y7754" s="42">
        <v>44845</v>
      </c>
    </row>
    <row r="7755" spans="14:25">
      <c r="N7755" s="42">
        <v>44832</v>
      </c>
      <c r="O7755" t="s">
        <v>328</v>
      </c>
      <c r="P7755" s="42">
        <v>44832</v>
      </c>
      <c r="Q7755" t="s">
        <v>328</v>
      </c>
      <c r="R7755" t="s">
        <v>329</v>
      </c>
      <c r="S7755" t="s">
        <v>323</v>
      </c>
      <c r="T7755">
        <v>7.6</v>
      </c>
      <c r="W7755" t="s">
        <v>339</v>
      </c>
      <c r="Y7755" s="42">
        <v>44845</v>
      </c>
    </row>
    <row r="7756" spans="14:25">
      <c r="N7756" s="42">
        <v>44826</v>
      </c>
      <c r="O7756" t="s">
        <v>324</v>
      </c>
      <c r="P7756" s="42">
        <v>44826</v>
      </c>
      <c r="Q7756" t="s">
        <v>324</v>
      </c>
      <c r="R7756" t="s">
        <v>320</v>
      </c>
      <c r="S7756" t="s">
        <v>323</v>
      </c>
      <c r="U7756">
        <v>7.6</v>
      </c>
    </row>
    <row r="7757" spans="14:25">
      <c r="N7757" s="42">
        <v>44804</v>
      </c>
      <c r="O7757" t="s">
        <v>328</v>
      </c>
      <c r="P7757" s="42">
        <v>44804</v>
      </c>
      <c r="Q7757" t="s">
        <v>328</v>
      </c>
      <c r="R7757" t="s">
        <v>329</v>
      </c>
      <c r="S7757" t="s">
        <v>323</v>
      </c>
      <c r="T7757">
        <v>3.5</v>
      </c>
      <c r="W7757" t="s">
        <v>330</v>
      </c>
      <c r="Y7757" s="42">
        <v>44817</v>
      </c>
    </row>
    <row r="7758" spans="14:25">
      <c r="N7758" s="42">
        <v>44782</v>
      </c>
      <c r="O7758" t="s">
        <v>333</v>
      </c>
      <c r="P7758" s="42">
        <v>44782</v>
      </c>
      <c r="Q7758" t="s">
        <v>333</v>
      </c>
      <c r="R7758" t="s">
        <v>329</v>
      </c>
      <c r="S7758" t="s">
        <v>323</v>
      </c>
      <c r="T7758">
        <v>3.5</v>
      </c>
      <c r="W7758" t="s">
        <v>330</v>
      </c>
      <c r="Y7758" s="42">
        <v>44789</v>
      </c>
    </row>
    <row r="7759" spans="14:25">
      <c r="N7759" s="42">
        <v>44770</v>
      </c>
      <c r="O7759" t="s">
        <v>324</v>
      </c>
      <c r="P7759" s="42">
        <v>44770</v>
      </c>
      <c r="Q7759" t="s">
        <v>324</v>
      </c>
      <c r="R7759" t="s">
        <v>329</v>
      </c>
      <c r="S7759" t="s">
        <v>323</v>
      </c>
      <c r="T7759">
        <v>7.6</v>
      </c>
      <c r="W7759" t="s">
        <v>330</v>
      </c>
      <c r="Y7759" s="42">
        <v>44775</v>
      </c>
    </row>
    <row r="7760" spans="14:25">
      <c r="N7760" s="42">
        <v>44726</v>
      </c>
      <c r="O7760" t="s">
        <v>333</v>
      </c>
      <c r="P7760" s="42">
        <v>44726</v>
      </c>
      <c r="Q7760" t="s">
        <v>333</v>
      </c>
      <c r="R7760" t="s">
        <v>329</v>
      </c>
      <c r="S7760" t="s">
        <v>323</v>
      </c>
      <c r="T7760">
        <v>7.6</v>
      </c>
      <c r="W7760" t="s">
        <v>330</v>
      </c>
      <c r="Y7760" s="42">
        <v>44733</v>
      </c>
    </row>
    <row r="7761" spans="14:25">
      <c r="N7761" s="42">
        <v>44684</v>
      </c>
      <c r="O7761" t="s">
        <v>333</v>
      </c>
      <c r="P7761" s="42">
        <v>44684</v>
      </c>
      <c r="Q7761" t="s">
        <v>333</v>
      </c>
      <c r="R7761" t="s">
        <v>338</v>
      </c>
      <c r="S7761" t="s">
        <v>323</v>
      </c>
      <c r="T7761">
        <v>7.6</v>
      </c>
      <c r="W7761" t="s">
        <v>330</v>
      </c>
      <c r="Y7761" s="42">
        <v>44691</v>
      </c>
    </row>
    <row r="7762" spans="14:25">
      <c r="N7762" s="42">
        <v>44680</v>
      </c>
      <c r="O7762" t="s">
        <v>346</v>
      </c>
      <c r="P7762" s="42">
        <v>44680</v>
      </c>
      <c r="Q7762" t="s">
        <v>346</v>
      </c>
      <c r="R7762" t="s">
        <v>320</v>
      </c>
      <c r="S7762" t="s">
        <v>323</v>
      </c>
      <c r="T7762">
        <v>7.6</v>
      </c>
      <c r="Y7762" s="42">
        <v>44691</v>
      </c>
    </row>
    <row r="7763" spans="14:25">
      <c r="N7763" s="42">
        <v>44679</v>
      </c>
      <c r="O7763" t="s">
        <v>324</v>
      </c>
      <c r="P7763" s="42">
        <v>44679</v>
      </c>
      <c r="Q7763" t="s">
        <v>324</v>
      </c>
      <c r="R7763" t="s">
        <v>320</v>
      </c>
      <c r="S7763" t="s">
        <v>323</v>
      </c>
      <c r="T7763">
        <v>7.6</v>
      </c>
      <c r="Y7763" s="42">
        <v>44691</v>
      </c>
    </row>
    <row r="7764" spans="14:25">
      <c r="N7764" s="42">
        <v>44678</v>
      </c>
      <c r="O7764" t="s">
        <v>328</v>
      </c>
      <c r="P7764" s="42">
        <v>44678</v>
      </c>
      <c r="Q7764" t="s">
        <v>328</v>
      </c>
      <c r="R7764" t="s">
        <v>320</v>
      </c>
      <c r="S7764" t="s">
        <v>323</v>
      </c>
      <c r="T7764">
        <v>3.6</v>
      </c>
      <c r="Y7764" s="42">
        <v>44691</v>
      </c>
    </row>
    <row r="7765" spans="14:25">
      <c r="N7765" s="42">
        <v>44677</v>
      </c>
      <c r="O7765" t="s">
        <v>333</v>
      </c>
      <c r="P7765" s="42">
        <v>44677</v>
      </c>
      <c r="Q7765" t="s">
        <v>333</v>
      </c>
      <c r="R7765" t="s">
        <v>320</v>
      </c>
      <c r="S7765" t="s">
        <v>323</v>
      </c>
      <c r="T7765">
        <v>7.6</v>
      </c>
      <c r="Y7765" s="42">
        <v>44677</v>
      </c>
    </row>
    <row r="7766" spans="14:25">
      <c r="N7766" s="42">
        <v>44673</v>
      </c>
      <c r="O7766" t="s">
        <v>346</v>
      </c>
      <c r="P7766" s="42">
        <v>44673</v>
      </c>
      <c r="Q7766" t="s">
        <v>346</v>
      </c>
      <c r="R7766" t="s">
        <v>320</v>
      </c>
      <c r="S7766" t="s">
        <v>323</v>
      </c>
      <c r="T7766">
        <v>7.6</v>
      </c>
      <c r="Y7766" s="42">
        <v>44677</v>
      </c>
    </row>
    <row r="7767" spans="14:25">
      <c r="N7767" s="42">
        <v>44672</v>
      </c>
      <c r="O7767" t="s">
        <v>324</v>
      </c>
      <c r="P7767" s="42">
        <v>44672</v>
      </c>
      <c r="Q7767" t="s">
        <v>324</v>
      </c>
      <c r="R7767" t="s">
        <v>329</v>
      </c>
      <c r="S7767" t="s">
        <v>323</v>
      </c>
      <c r="T7767">
        <v>7.6</v>
      </c>
      <c r="W7767" t="s">
        <v>330</v>
      </c>
      <c r="Y7767" s="42">
        <v>44677</v>
      </c>
    </row>
    <row r="7768" spans="14:25">
      <c r="N7768" s="42">
        <v>44671</v>
      </c>
      <c r="O7768" t="s">
        <v>328</v>
      </c>
      <c r="P7768" s="42">
        <v>44671</v>
      </c>
      <c r="Q7768" t="s">
        <v>328</v>
      </c>
      <c r="R7768" t="s">
        <v>329</v>
      </c>
      <c r="S7768" t="s">
        <v>323</v>
      </c>
      <c r="T7768">
        <v>7.6</v>
      </c>
      <c r="W7768" t="s">
        <v>330</v>
      </c>
      <c r="Y7768" s="42">
        <v>44677</v>
      </c>
    </row>
    <row r="7769" spans="14:25">
      <c r="N7769" s="42">
        <v>44670</v>
      </c>
      <c r="O7769" t="s">
        <v>333</v>
      </c>
      <c r="P7769" s="42">
        <v>44670</v>
      </c>
      <c r="Q7769" t="s">
        <v>333</v>
      </c>
      <c r="R7769" t="s">
        <v>329</v>
      </c>
      <c r="S7769" t="s">
        <v>323</v>
      </c>
      <c r="T7769">
        <v>7.6</v>
      </c>
      <c r="W7769" t="s">
        <v>330</v>
      </c>
      <c r="Y7769" s="42">
        <v>44677</v>
      </c>
    </row>
    <row r="7770" spans="14:25">
      <c r="N7770" s="42">
        <v>44666</v>
      </c>
      <c r="O7770" t="s">
        <v>346</v>
      </c>
      <c r="P7770" s="42">
        <v>44666</v>
      </c>
      <c r="Q7770" t="s">
        <v>346</v>
      </c>
      <c r="R7770" t="s">
        <v>320</v>
      </c>
      <c r="S7770" t="s">
        <v>323</v>
      </c>
      <c r="U7770">
        <v>7.6</v>
      </c>
    </row>
    <row r="7771" spans="14:25">
      <c r="N7771" s="42">
        <v>44587</v>
      </c>
      <c r="O7771" t="s">
        <v>328</v>
      </c>
      <c r="P7771" s="42">
        <v>44587</v>
      </c>
      <c r="Q7771" t="s">
        <v>328</v>
      </c>
      <c r="R7771" t="s">
        <v>320</v>
      </c>
      <c r="S7771" t="s">
        <v>323</v>
      </c>
      <c r="U7771">
        <v>7.6</v>
      </c>
    </row>
    <row r="7772" spans="14:25">
      <c r="N7772" s="42">
        <v>44575</v>
      </c>
      <c r="O7772" t="s">
        <v>346</v>
      </c>
      <c r="P7772" s="42">
        <v>44575</v>
      </c>
      <c r="Q7772" t="s">
        <v>346</v>
      </c>
      <c r="R7772" t="s">
        <v>320</v>
      </c>
      <c r="S7772" t="s">
        <v>323</v>
      </c>
      <c r="T7772">
        <v>7.6</v>
      </c>
      <c r="Y7772" s="42">
        <v>44579</v>
      </c>
    </row>
    <row r="7773" spans="14:25">
      <c r="N7773" s="42">
        <v>44558</v>
      </c>
      <c r="O7773" t="s">
        <v>333</v>
      </c>
      <c r="P7773" s="42">
        <v>44558</v>
      </c>
      <c r="Q7773" t="s">
        <v>333</v>
      </c>
      <c r="R7773" t="s">
        <v>320</v>
      </c>
      <c r="S7773" t="s">
        <v>323</v>
      </c>
      <c r="U7773">
        <v>4</v>
      </c>
    </row>
    <row r="7774" spans="14:25">
      <c r="N7774" s="42">
        <v>44487</v>
      </c>
      <c r="O7774" t="s">
        <v>345</v>
      </c>
      <c r="P7774" s="42">
        <v>44487</v>
      </c>
      <c r="Q7774" t="s">
        <v>345</v>
      </c>
      <c r="R7774" t="s">
        <v>383</v>
      </c>
      <c r="S7774" t="s">
        <v>323</v>
      </c>
      <c r="T7774">
        <v>6.49</v>
      </c>
      <c r="W7774" t="s">
        <v>339</v>
      </c>
      <c r="Y7774" s="42">
        <v>44495</v>
      </c>
    </row>
    <row r="7775" spans="14:25">
      <c r="N7775" s="42">
        <v>44480</v>
      </c>
      <c r="O7775" t="s">
        <v>345</v>
      </c>
      <c r="P7775" s="42">
        <v>44480</v>
      </c>
      <c r="Q7775" t="s">
        <v>345</v>
      </c>
      <c r="R7775" t="s">
        <v>383</v>
      </c>
      <c r="S7775" t="s">
        <v>323</v>
      </c>
      <c r="T7775">
        <v>7.6</v>
      </c>
      <c r="W7775" t="s">
        <v>339</v>
      </c>
      <c r="Y7775" s="42">
        <v>44495</v>
      </c>
    </row>
    <row r="7776" spans="14:25">
      <c r="N7776" s="42">
        <v>44473</v>
      </c>
      <c r="O7776" t="s">
        <v>345</v>
      </c>
      <c r="P7776" s="42">
        <v>44473</v>
      </c>
      <c r="Q7776" t="s">
        <v>345</v>
      </c>
      <c r="R7776" t="s">
        <v>383</v>
      </c>
      <c r="S7776" t="s">
        <v>323</v>
      </c>
      <c r="T7776">
        <v>7.6</v>
      </c>
      <c r="W7776" t="s">
        <v>339</v>
      </c>
      <c r="Y7776" s="42">
        <v>44495</v>
      </c>
    </row>
    <row r="7777" spans="1:25">
      <c r="N7777" s="42">
        <v>44467</v>
      </c>
      <c r="O7777" t="s">
        <v>333</v>
      </c>
      <c r="P7777" s="42">
        <v>44467</v>
      </c>
      <c r="Q7777" t="s">
        <v>333</v>
      </c>
      <c r="R7777" t="s">
        <v>320</v>
      </c>
      <c r="S7777" t="s">
        <v>323</v>
      </c>
      <c r="T7777">
        <v>7.6</v>
      </c>
      <c r="Y7777" s="42">
        <v>44467</v>
      </c>
    </row>
    <row r="7778" spans="1:25">
      <c r="N7778" s="42">
        <v>44462</v>
      </c>
      <c r="O7778" t="s">
        <v>324</v>
      </c>
      <c r="P7778" s="42">
        <v>44462</v>
      </c>
      <c r="Q7778" t="s">
        <v>324</v>
      </c>
      <c r="R7778" t="s">
        <v>329</v>
      </c>
      <c r="S7778" t="s">
        <v>323</v>
      </c>
      <c r="T7778">
        <v>1.0832999999999999</v>
      </c>
      <c r="W7778" t="s">
        <v>330</v>
      </c>
      <c r="Y7778" s="42">
        <v>44467</v>
      </c>
    </row>
    <row r="7779" spans="1:25">
      <c r="N7779" s="42">
        <v>44418</v>
      </c>
      <c r="O7779" t="s">
        <v>333</v>
      </c>
      <c r="P7779" s="42">
        <v>44418</v>
      </c>
      <c r="Q7779" t="s">
        <v>333</v>
      </c>
      <c r="R7779" t="s">
        <v>329</v>
      </c>
      <c r="S7779" t="s">
        <v>323</v>
      </c>
      <c r="T7779">
        <v>4</v>
      </c>
      <c r="W7779" t="s">
        <v>330</v>
      </c>
      <c r="Y7779" s="42">
        <v>44425</v>
      </c>
    </row>
    <row r="7780" spans="1:25">
      <c r="N7780" s="42">
        <v>43942</v>
      </c>
      <c r="O7780" t="s">
        <v>333</v>
      </c>
      <c r="P7780" s="42">
        <v>43942</v>
      </c>
      <c r="Q7780" t="s">
        <v>333</v>
      </c>
      <c r="R7780" t="s">
        <v>329</v>
      </c>
      <c r="S7780" t="s">
        <v>323</v>
      </c>
      <c r="T7780">
        <v>4</v>
      </c>
      <c r="W7780" t="s">
        <v>330</v>
      </c>
      <c r="Y7780" s="42">
        <v>43949</v>
      </c>
    </row>
    <row r="7781" spans="1:25">
      <c r="N7781" s="42">
        <v>43851</v>
      </c>
      <c r="O7781" t="s">
        <v>333</v>
      </c>
      <c r="P7781" s="42">
        <v>43851</v>
      </c>
      <c r="Q7781" t="s">
        <v>333</v>
      </c>
      <c r="R7781" t="s">
        <v>338</v>
      </c>
      <c r="S7781" t="s">
        <v>323</v>
      </c>
      <c r="T7781">
        <v>4</v>
      </c>
      <c r="W7781" t="s">
        <v>330</v>
      </c>
      <c r="Y7781" s="42">
        <v>43851</v>
      </c>
    </row>
    <row r="7782" spans="1:25">
      <c r="N7782" s="42">
        <v>43847</v>
      </c>
      <c r="O7782" t="s">
        <v>346</v>
      </c>
      <c r="P7782" s="42">
        <v>43847</v>
      </c>
      <c r="Q7782" t="s">
        <v>346</v>
      </c>
      <c r="R7782" t="s">
        <v>338</v>
      </c>
      <c r="S7782" t="s">
        <v>323</v>
      </c>
      <c r="T7782">
        <v>4</v>
      </c>
      <c r="W7782" t="s">
        <v>330</v>
      </c>
      <c r="Y7782" s="42">
        <v>43851</v>
      </c>
    </row>
    <row r="7783" spans="1:25">
      <c r="N7783" s="42">
        <v>43844</v>
      </c>
      <c r="O7783" t="s">
        <v>333</v>
      </c>
      <c r="P7783" s="42">
        <v>43844</v>
      </c>
      <c r="Q7783" t="s">
        <v>333</v>
      </c>
      <c r="R7783" t="s">
        <v>338</v>
      </c>
      <c r="S7783" t="s">
        <v>323</v>
      </c>
      <c r="T7783">
        <v>4</v>
      </c>
      <c r="W7783" t="s">
        <v>330</v>
      </c>
      <c r="Y7783" s="42">
        <v>43851</v>
      </c>
    </row>
    <row r="7784" spans="1:25">
      <c r="N7784" s="42">
        <v>43840</v>
      </c>
      <c r="O7784" t="s">
        <v>346</v>
      </c>
      <c r="P7784" s="42">
        <v>43840</v>
      </c>
      <c r="Q7784" t="s">
        <v>346</v>
      </c>
      <c r="R7784" t="s">
        <v>338</v>
      </c>
      <c r="S7784" t="s">
        <v>323</v>
      </c>
      <c r="T7784">
        <v>4</v>
      </c>
      <c r="W7784" t="s">
        <v>330</v>
      </c>
      <c r="Y7784" s="42">
        <v>43851</v>
      </c>
    </row>
    <row r="7785" spans="1:25">
      <c r="N7785" s="42">
        <v>43837</v>
      </c>
      <c r="O7785" t="s">
        <v>333</v>
      </c>
      <c r="P7785" s="42">
        <v>43837</v>
      </c>
      <c r="Q7785" t="s">
        <v>333</v>
      </c>
      <c r="R7785" t="s">
        <v>338</v>
      </c>
      <c r="S7785" t="s">
        <v>323</v>
      </c>
      <c r="T7785">
        <v>4</v>
      </c>
      <c r="W7785" t="s">
        <v>330</v>
      </c>
      <c r="Y7785" s="42">
        <v>43837</v>
      </c>
    </row>
    <row r="7786" spans="1:25">
      <c r="N7786" s="42">
        <v>43833</v>
      </c>
      <c r="O7786" t="s">
        <v>346</v>
      </c>
      <c r="P7786" s="42">
        <v>43833</v>
      </c>
      <c r="Q7786" t="s">
        <v>346</v>
      </c>
      <c r="R7786" t="s">
        <v>338</v>
      </c>
      <c r="S7786" t="s">
        <v>323</v>
      </c>
      <c r="T7786">
        <v>4</v>
      </c>
      <c r="W7786" t="s">
        <v>330</v>
      </c>
      <c r="Y7786" s="42">
        <v>43837</v>
      </c>
    </row>
    <row r="7787" spans="1:25">
      <c r="N7787" s="42">
        <v>43830</v>
      </c>
      <c r="O7787" t="s">
        <v>333</v>
      </c>
      <c r="P7787" s="42">
        <v>43830</v>
      </c>
      <c r="Q7787" t="s">
        <v>333</v>
      </c>
      <c r="R7787" t="s">
        <v>338</v>
      </c>
      <c r="S7787" t="s">
        <v>323</v>
      </c>
      <c r="T7787">
        <v>4</v>
      </c>
      <c r="W7787" t="s">
        <v>330</v>
      </c>
      <c r="Y7787" s="42">
        <v>43837</v>
      </c>
    </row>
    <row r="7788" spans="1:25">
      <c r="N7788" s="42">
        <v>43826</v>
      </c>
      <c r="O7788" t="s">
        <v>346</v>
      </c>
      <c r="P7788" s="42">
        <v>43826</v>
      </c>
      <c r="Q7788" t="s">
        <v>346</v>
      </c>
      <c r="R7788" t="s">
        <v>338</v>
      </c>
      <c r="S7788" t="s">
        <v>323</v>
      </c>
      <c r="T7788">
        <v>4</v>
      </c>
      <c r="W7788" t="s">
        <v>330</v>
      </c>
      <c r="Y7788" s="42">
        <v>43837</v>
      </c>
    </row>
    <row r="7789" spans="1:25">
      <c r="N7789" s="42">
        <v>43809</v>
      </c>
      <c r="O7789" t="s">
        <v>333</v>
      </c>
      <c r="P7789" s="42">
        <v>43809</v>
      </c>
      <c r="Q7789" t="s">
        <v>333</v>
      </c>
      <c r="R7789" t="s">
        <v>338</v>
      </c>
      <c r="S7789" t="s">
        <v>323</v>
      </c>
      <c r="T7789">
        <v>4</v>
      </c>
      <c r="W7789" t="s">
        <v>330</v>
      </c>
      <c r="Y7789" s="42">
        <v>43809</v>
      </c>
    </row>
    <row r="7790" spans="1:25">
      <c r="N7790" s="42">
        <v>43805</v>
      </c>
      <c r="O7790" t="s">
        <v>346</v>
      </c>
      <c r="P7790" s="42">
        <v>43805</v>
      </c>
      <c r="Q7790" t="s">
        <v>346</v>
      </c>
      <c r="R7790" t="s">
        <v>338</v>
      </c>
      <c r="S7790" t="s">
        <v>323</v>
      </c>
      <c r="T7790">
        <v>4</v>
      </c>
      <c r="W7790" t="s">
        <v>330</v>
      </c>
      <c r="Y7790" s="42">
        <v>43809</v>
      </c>
    </row>
    <row r="7791" spans="1:25">
      <c r="N7791" s="42">
        <v>43798</v>
      </c>
      <c r="O7791" t="s">
        <v>346</v>
      </c>
      <c r="P7791" s="42">
        <v>43798</v>
      </c>
      <c r="Q7791" t="s">
        <v>346</v>
      </c>
      <c r="R7791" t="s">
        <v>338</v>
      </c>
      <c r="S7791" t="s">
        <v>323</v>
      </c>
      <c r="T7791">
        <v>4</v>
      </c>
      <c r="W7791" t="s">
        <v>330</v>
      </c>
      <c r="Y7791" s="42">
        <v>43809</v>
      </c>
    </row>
    <row r="7792" spans="1:25">
      <c r="A7792">
        <v>18898</v>
      </c>
      <c r="B7792" t="s">
        <v>440</v>
      </c>
      <c r="C7792" t="s">
        <v>320</v>
      </c>
      <c r="D7792" t="s">
        <v>336</v>
      </c>
      <c r="E7792" t="s">
        <v>337</v>
      </c>
      <c r="F7792">
        <v>1</v>
      </c>
      <c r="G7792" s="42">
        <v>45325</v>
      </c>
      <c r="H7792">
        <v>137.6</v>
      </c>
      <c r="I7792">
        <v>12.7308</v>
      </c>
      <c r="J7792">
        <v>10.932600000000001</v>
      </c>
      <c r="K7792">
        <v>23.663399999999999</v>
      </c>
      <c r="L7792" t="s">
        <v>323</v>
      </c>
      <c r="M7792" s="43">
        <v>0.12569444444444444</v>
      </c>
      <c r="N7792" s="42">
        <v>44981</v>
      </c>
      <c r="O7792" t="s">
        <v>346</v>
      </c>
      <c r="P7792" s="42">
        <v>44981</v>
      </c>
      <c r="Q7792" t="s">
        <v>346</v>
      </c>
      <c r="R7792" t="s">
        <v>320</v>
      </c>
      <c r="S7792" t="s">
        <v>323</v>
      </c>
      <c r="T7792">
        <v>4</v>
      </c>
      <c r="Y7792" s="42">
        <v>44985</v>
      </c>
    </row>
    <row r="7793" spans="3:25">
      <c r="C7793" t="s">
        <v>325</v>
      </c>
      <c r="D7793" t="s">
        <v>366</v>
      </c>
      <c r="E7793" t="s">
        <v>367</v>
      </c>
      <c r="F7793">
        <v>1</v>
      </c>
      <c r="G7793" s="42">
        <v>47517</v>
      </c>
      <c r="H7793">
        <v>298.90410000000003</v>
      </c>
      <c r="I7793">
        <v>0</v>
      </c>
      <c r="J7793">
        <v>92.209100000000007</v>
      </c>
      <c r="K7793">
        <v>92.209100000000007</v>
      </c>
      <c r="L7793" t="s">
        <v>323</v>
      </c>
      <c r="N7793" s="42">
        <v>44980</v>
      </c>
      <c r="O7793" t="s">
        <v>324</v>
      </c>
      <c r="P7793" s="42">
        <v>44980</v>
      </c>
      <c r="Q7793" t="s">
        <v>324</v>
      </c>
      <c r="R7793" t="s">
        <v>320</v>
      </c>
      <c r="S7793" t="s">
        <v>323</v>
      </c>
      <c r="T7793">
        <v>4</v>
      </c>
      <c r="Y7793" s="42">
        <v>44985</v>
      </c>
    </row>
    <row r="7794" spans="3:25">
      <c r="C7794" t="s">
        <v>329</v>
      </c>
      <c r="D7794" t="s">
        <v>342</v>
      </c>
      <c r="E7794" t="s">
        <v>343</v>
      </c>
      <c r="F7794">
        <v>1</v>
      </c>
      <c r="G7794" s="42">
        <v>45325</v>
      </c>
      <c r="H7794">
        <v>68.8</v>
      </c>
      <c r="I7794">
        <v>13.682</v>
      </c>
      <c r="J7794">
        <v>5.4663000000000004</v>
      </c>
      <c r="K7794">
        <v>19.148299999999999</v>
      </c>
      <c r="L7794" t="s">
        <v>323</v>
      </c>
      <c r="N7794" s="42">
        <v>44979</v>
      </c>
      <c r="O7794" t="s">
        <v>328</v>
      </c>
      <c r="P7794" s="42">
        <v>44979</v>
      </c>
      <c r="Q7794" t="s">
        <v>328</v>
      </c>
      <c r="R7794" t="s">
        <v>320</v>
      </c>
      <c r="S7794" t="s">
        <v>323</v>
      </c>
      <c r="T7794">
        <v>7.6</v>
      </c>
      <c r="Y7794" s="42">
        <v>44985</v>
      </c>
    </row>
    <row r="7795" spans="3:25">
      <c r="N7795" s="42">
        <v>44978</v>
      </c>
      <c r="O7795" t="s">
        <v>333</v>
      </c>
      <c r="P7795" s="42">
        <v>44978</v>
      </c>
      <c r="Q7795" t="s">
        <v>333</v>
      </c>
      <c r="R7795" t="s">
        <v>320</v>
      </c>
      <c r="S7795" t="s">
        <v>323</v>
      </c>
      <c r="T7795">
        <v>7.6</v>
      </c>
      <c r="Y7795" s="42">
        <v>44985</v>
      </c>
    </row>
    <row r="7796" spans="3:25">
      <c r="N7796" s="42">
        <v>44977</v>
      </c>
      <c r="O7796" t="s">
        <v>345</v>
      </c>
      <c r="P7796" s="42">
        <v>44977</v>
      </c>
      <c r="Q7796" t="s">
        <v>345</v>
      </c>
      <c r="R7796" t="s">
        <v>320</v>
      </c>
      <c r="S7796" t="s">
        <v>323</v>
      </c>
      <c r="T7796">
        <v>7.6</v>
      </c>
      <c r="Y7796" s="42">
        <v>44985</v>
      </c>
    </row>
    <row r="7797" spans="3:25">
      <c r="N7797" s="42">
        <v>44956</v>
      </c>
      <c r="O7797" t="s">
        <v>345</v>
      </c>
      <c r="P7797" s="42">
        <v>44956</v>
      </c>
      <c r="Q7797" t="s">
        <v>345</v>
      </c>
      <c r="R7797" t="s">
        <v>329</v>
      </c>
      <c r="S7797" t="s">
        <v>323</v>
      </c>
      <c r="T7797">
        <v>7.6</v>
      </c>
      <c r="W7797" t="s">
        <v>330</v>
      </c>
      <c r="Y7797" s="42">
        <v>44957</v>
      </c>
    </row>
    <row r="7798" spans="3:25">
      <c r="N7798" s="42">
        <v>44952</v>
      </c>
      <c r="O7798" t="s">
        <v>324</v>
      </c>
      <c r="P7798" s="42">
        <v>44952</v>
      </c>
      <c r="Q7798" t="s">
        <v>324</v>
      </c>
      <c r="R7798" t="s">
        <v>320</v>
      </c>
      <c r="S7798" t="s">
        <v>323</v>
      </c>
      <c r="U7798">
        <v>7.6</v>
      </c>
    </row>
    <row r="7799" spans="3:25">
      <c r="N7799" s="42">
        <v>44928</v>
      </c>
      <c r="O7799" t="s">
        <v>345</v>
      </c>
      <c r="P7799" s="42">
        <v>44928</v>
      </c>
      <c r="Q7799" t="s">
        <v>345</v>
      </c>
      <c r="R7799" t="s">
        <v>320</v>
      </c>
      <c r="S7799" t="s">
        <v>323</v>
      </c>
      <c r="U7799">
        <v>7.6</v>
      </c>
    </row>
    <row r="7800" spans="3:25">
      <c r="N7800" s="42">
        <v>44925</v>
      </c>
      <c r="O7800" t="s">
        <v>346</v>
      </c>
      <c r="P7800" s="42">
        <v>44925</v>
      </c>
      <c r="Q7800" t="s">
        <v>346</v>
      </c>
      <c r="R7800" t="s">
        <v>320</v>
      </c>
      <c r="S7800" t="s">
        <v>323</v>
      </c>
      <c r="T7800">
        <v>7.6</v>
      </c>
      <c r="Y7800" s="42">
        <v>44929</v>
      </c>
    </row>
    <row r="7801" spans="3:25">
      <c r="N7801" s="42">
        <v>44924</v>
      </c>
      <c r="O7801" t="s">
        <v>324</v>
      </c>
      <c r="P7801" s="42">
        <v>44924</v>
      </c>
      <c r="Q7801" t="s">
        <v>324</v>
      </c>
      <c r="R7801" t="s">
        <v>320</v>
      </c>
      <c r="S7801" t="s">
        <v>323</v>
      </c>
      <c r="T7801">
        <v>4</v>
      </c>
      <c r="Y7801" s="42">
        <v>44929</v>
      </c>
    </row>
    <row r="7802" spans="3:25">
      <c r="N7802" s="42">
        <v>44923</v>
      </c>
      <c r="O7802" t="s">
        <v>328</v>
      </c>
      <c r="P7802" s="42">
        <v>44923</v>
      </c>
      <c r="Q7802" t="s">
        <v>328</v>
      </c>
      <c r="R7802" t="s">
        <v>320</v>
      </c>
      <c r="S7802" t="s">
        <v>323</v>
      </c>
      <c r="T7802">
        <v>7.6</v>
      </c>
      <c r="Y7802" s="42">
        <v>44929</v>
      </c>
    </row>
    <row r="7803" spans="3:25">
      <c r="N7803" s="42">
        <v>44922</v>
      </c>
      <c r="O7803" t="s">
        <v>333</v>
      </c>
      <c r="P7803" s="42">
        <v>44922</v>
      </c>
      <c r="Q7803" t="s">
        <v>333</v>
      </c>
      <c r="R7803" t="s">
        <v>320</v>
      </c>
      <c r="S7803" t="s">
        <v>323</v>
      </c>
      <c r="U7803">
        <v>7.6</v>
      </c>
    </row>
    <row r="7804" spans="3:25">
      <c r="N7804" s="42">
        <v>44921</v>
      </c>
      <c r="O7804" t="s">
        <v>345</v>
      </c>
      <c r="P7804" s="42">
        <v>44921</v>
      </c>
      <c r="Q7804" t="s">
        <v>345</v>
      </c>
      <c r="R7804" t="s">
        <v>320</v>
      </c>
      <c r="S7804" t="s">
        <v>323</v>
      </c>
      <c r="U7804">
        <v>7.6</v>
      </c>
    </row>
    <row r="7805" spans="3:25">
      <c r="N7805" s="42">
        <v>44918</v>
      </c>
      <c r="O7805" t="s">
        <v>346</v>
      </c>
      <c r="P7805" s="42">
        <v>44918</v>
      </c>
      <c r="Q7805" t="s">
        <v>346</v>
      </c>
      <c r="R7805" t="s">
        <v>320</v>
      </c>
      <c r="S7805" t="s">
        <v>323</v>
      </c>
      <c r="T7805">
        <v>7.6</v>
      </c>
      <c r="Y7805" s="42">
        <v>44929</v>
      </c>
    </row>
    <row r="7806" spans="3:25">
      <c r="N7806" s="42">
        <v>44917</v>
      </c>
      <c r="O7806" t="s">
        <v>324</v>
      </c>
      <c r="P7806" s="42">
        <v>44917</v>
      </c>
      <c r="Q7806" t="s">
        <v>324</v>
      </c>
      <c r="R7806" t="s">
        <v>320</v>
      </c>
      <c r="S7806" t="s">
        <v>323</v>
      </c>
      <c r="T7806">
        <v>4</v>
      </c>
      <c r="Y7806" s="42">
        <v>44929</v>
      </c>
    </row>
    <row r="7807" spans="3:25">
      <c r="N7807" s="42">
        <v>44916</v>
      </c>
      <c r="O7807" t="s">
        <v>328</v>
      </c>
      <c r="P7807" s="42">
        <v>44916</v>
      </c>
      <c r="Q7807" t="s">
        <v>328</v>
      </c>
      <c r="R7807" t="s">
        <v>320</v>
      </c>
      <c r="S7807" t="s">
        <v>323</v>
      </c>
      <c r="T7807">
        <v>7.6</v>
      </c>
      <c r="Y7807" s="42">
        <v>44929</v>
      </c>
    </row>
    <row r="7808" spans="3:25">
      <c r="N7808" s="42">
        <v>44915</v>
      </c>
      <c r="O7808" t="s">
        <v>333</v>
      </c>
      <c r="P7808" s="42">
        <v>44915</v>
      </c>
      <c r="Q7808" t="s">
        <v>333</v>
      </c>
      <c r="R7808" t="s">
        <v>320</v>
      </c>
      <c r="S7808" t="s">
        <v>323</v>
      </c>
      <c r="T7808">
        <v>7.6</v>
      </c>
      <c r="Y7808" s="42">
        <v>44915</v>
      </c>
    </row>
    <row r="7809" spans="14:25">
      <c r="N7809" s="42">
        <v>44914</v>
      </c>
      <c r="O7809" t="s">
        <v>345</v>
      </c>
      <c r="P7809" s="42">
        <v>44914</v>
      </c>
      <c r="Q7809" t="s">
        <v>345</v>
      </c>
      <c r="R7809" t="s">
        <v>320</v>
      </c>
      <c r="S7809" t="s">
        <v>323</v>
      </c>
      <c r="T7809">
        <v>7.6</v>
      </c>
      <c r="Y7809" s="42">
        <v>44915</v>
      </c>
    </row>
    <row r="7810" spans="14:25">
      <c r="N7810" s="42">
        <v>44911</v>
      </c>
      <c r="O7810" t="s">
        <v>346</v>
      </c>
      <c r="P7810" s="42">
        <v>44911</v>
      </c>
      <c r="Q7810" t="s">
        <v>346</v>
      </c>
      <c r="R7810" t="s">
        <v>320</v>
      </c>
      <c r="S7810" t="s">
        <v>323</v>
      </c>
      <c r="T7810">
        <v>7.6</v>
      </c>
      <c r="Y7810" s="42">
        <v>44915</v>
      </c>
    </row>
    <row r="7811" spans="14:25">
      <c r="N7811" s="42">
        <v>44910</v>
      </c>
      <c r="O7811" t="s">
        <v>324</v>
      </c>
      <c r="P7811" s="42">
        <v>44910</v>
      </c>
      <c r="Q7811" t="s">
        <v>324</v>
      </c>
      <c r="R7811" t="s">
        <v>320</v>
      </c>
      <c r="S7811" t="s">
        <v>323</v>
      </c>
      <c r="T7811">
        <v>4</v>
      </c>
      <c r="Y7811" s="42">
        <v>44915</v>
      </c>
    </row>
    <row r="7812" spans="14:25">
      <c r="N7812" s="42">
        <v>44909</v>
      </c>
      <c r="O7812" t="s">
        <v>328</v>
      </c>
      <c r="P7812" s="42">
        <v>44909</v>
      </c>
      <c r="Q7812" t="s">
        <v>328</v>
      </c>
      <c r="R7812" t="s">
        <v>320</v>
      </c>
      <c r="S7812" t="s">
        <v>323</v>
      </c>
      <c r="T7812">
        <v>7.6</v>
      </c>
      <c r="Y7812" s="42">
        <v>44915</v>
      </c>
    </row>
    <row r="7813" spans="14:25">
      <c r="N7813" s="42">
        <v>44908</v>
      </c>
      <c r="O7813" t="s">
        <v>333</v>
      </c>
      <c r="P7813" s="42">
        <v>44908</v>
      </c>
      <c r="Q7813" t="s">
        <v>333</v>
      </c>
      <c r="R7813" t="s">
        <v>320</v>
      </c>
      <c r="S7813" t="s">
        <v>323</v>
      </c>
      <c r="T7813">
        <v>7.6</v>
      </c>
      <c r="Y7813" s="42">
        <v>44915</v>
      </c>
    </row>
    <row r="7814" spans="14:25">
      <c r="N7814" s="42">
        <v>44907</v>
      </c>
      <c r="O7814" t="s">
        <v>345</v>
      </c>
      <c r="P7814" s="42">
        <v>44907</v>
      </c>
      <c r="Q7814" t="s">
        <v>345</v>
      </c>
      <c r="R7814" t="s">
        <v>329</v>
      </c>
      <c r="S7814" t="s">
        <v>323</v>
      </c>
      <c r="T7814">
        <v>7.6</v>
      </c>
      <c r="W7814" t="s">
        <v>330</v>
      </c>
      <c r="Y7814" s="42">
        <v>44915</v>
      </c>
    </row>
    <row r="7815" spans="14:25">
      <c r="N7815" s="42">
        <v>44900</v>
      </c>
      <c r="O7815" t="s">
        <v>345</v>
      </c>
      <c r="P7815" s="42">
        <v>44900</v>
      </c>
      <c r="Q7815" t="s">
        <v>345</v>
      </c>
      <c r="R7815" t="s">
        <v>329</v>
      </c>
      <c r="S7815" t="s">
        <v>323</v>
      </c>
      <c r="T7815">
        <v>7.6</v>
      </c>
      <c r="W7815" t="s">
        <v>330</v>
      </c>
      <c r="Y7815" s="42">
        <v>44901</v>
      </c>
    </row>
    <row r="7816" spans="14:25">
      <c r="N7816" s="42">
        <v>44897</v>
      </c>
      <c r="O7816" t="s">
        <v>346</v>
      </c>
      <c r="P7816" s="42">
        <v>44897</v>
      </c>
      <c r="Q7816" t="s">
        <v>346</v>
      </c>
      <c r="R7816" t="s">
        <v>329</v>
      </c>
      <c r="S7816" t="s">
        <v>323</v>
      </c>
      <c r="T7816">
        <v>7.6</v>
      </c>
      <c r="W7816" t="s">
        <v>330</v>
      </c>
      <c r="Y7816" s="42">
        <v>44901</v>
      </c>
    </row>
    <row r="7817" spans="14:25">
      <c r="N7817" s="42">
        <v>44896</v>
      </c>
      <c r="O7817" t="s">
        <v>324</v>
      </c>
      <c r="P7817" s="42">
        <v>44896</v>
      </c>
      <c r="Q7817" t="s">
        <v>324</v>
      </c>
      <c r="R7817" t="s">
        <v>329</v>
      </c>
      <c r="S7817" t="s">
        <v>323</v>
      </c>
      <c r="T7817">
        <v>4</v>
      </c>
      <c r="W7817" t="s">
        <v>330</v>
      </c>
      <c r="Y7817" s="42">
        <v>44901</v>
      </c>
    </row>
    <row r="7818" spans="14:25">
      <c r="N7818" s="42">
        <v>44866</v>
      </c>
      <c r="O7818" t="s">
        <v>333</v>
      </c>
      <c r="P7818" s="42">
        <v>44866</v>
      </c>
      <c r="Q7818" t="s">
        <v>333</v>
      </c>
      <c r="R7818" t="s">
        <v>320</v>
      </c>
      <c r="S7818" t="s">
        <v>323</v>
      </c>
      <c r="T7818">
        <v>7.6</v>
      </c>
      <c r="Y7818" s="42">
        <v>44873</v>
      </c>
    </row>
    <row r="7819" spans="14:25">
      <c r="N7819" s="42">
        <v>44865</v>
      </c>
      <c r="O7819" t="s">
        <v>345</v>
      </c>
      <c r="P7819" s="42">
        <v>44865</v>
      </c>
      <c r="Q7819" t="s">
        <v>345</v>
      </c>
      <c r="R7819" t="s">
        <v>320</v>
      </c>
      <c r="S7819" t="s">
        <v>323</v>
      </c>
      <c r="T7819">
        <v>7.6</v>
      </c>
      <c r="Y7819" s="42">
        <v>44873</v>
      </c>
    </row>
    <row r="7820" spans="14:25">
      <c r="N7820" s="42">
        <v>44862</v>
      </c>
      <c r="O7820" t="s">
        <v>346</v>
      </c>
      <c r="P7820" s="42">
        <v>44862</v>
      </c>
      <c r="Q7820" t="s">
        <v>346</v>
      </c>
      <c r="R7820" t="s">
        <v>320</v>
      </c>
      <c r="S7820" t="s">
        <v>323</v>
      </c>
      <c r="T7820">
        <v>7.6</v>
      </c>
      <c r="Y7820" s="42">
        <v>44873</v>
      </c>
    </row>
    <row r="7821" spans="14:25">
      <c r="N7821" s="42">
        <v>44861</v>
      </c>
      <c r="O7821" t="s">
        <v>324</v>
      </c>
      <c r="P7821" s="42">
        <v>44861</v>
      </c>
      <c r="Q7821" t="s">
        <v>324</v>
      </c>
      <c r="R7821" t="s">
        <v>320</v>
      </c>
      <c r="S7821" t="s">
        <v>323</v>
      </c>
      <c r="T7821">
        <v>4</v>
      </c>
      <c r="Y7821" s="42">
        <v>44873</v>
      </c>
    </row>
    <row r="7822" spans="14:25">
      <c r="N7822" s="42">
        <v>44860</v>
      </c>
      <c r="O7822" t="s">
        <v>328</v>
      </c>
      <c r="P7822" s="42">
        <v>44860</v>
      </c>
      <c r="Q7822" t="s">
        <v>328</v>
      </c>
      <c r="R7822" t="s">
        <v>320</v>
      </c>
      <c r="S7822" t="s">
        <v>323</v>
      </c>
      <c r="T7822">
        <v>7.6</v>
      </c>
      <c r="Y7822" s="42">
        <v>44873</v>
      </c>
    </row>
    <row r="7823" spans="14:25">
      <c r="N7823" s="42">
        <v>44859</v>
      </c>
      <c r="O7823" t="s">
        <v>333</v>
      </c>
      <c r="P7823" s="42">
        <v>44859</v>
      </c>
      <c r="Q7823" t="s">
        <v>333</v>
      </c>
      <c r="R7823" t="s">
        <v>320</v>
      </c>
      <c r="S7823" t="s">
        <v>323</v>
      </c>
      <c r="T7823">
        <v>7.6</v>
      </c>
      <c r="Y7823" s="42">
        <v>44859</v>
      </c>
    </row>
    <row r="7824" spans="14:25">
      <c r="N7824" s="42">
        <v>44858</v>
      </c>
      <c r="O7824" t="s">
        <v>345</v>
      </c>
      <c r="P7824" s="42">
        <v>44858</v>
      </c>
      <c r="Q7824" t="s">
        <v>345</v>
      </c>
      <c r="R7824" t="s">
        <v>320</v>
      </c>
      <c r="S7824" t="s">
        <v>323</v>
      </c>
      <c r="T7824">
        <v>7.6</v>
      </c>
      <c r="Y7824" s="42">
        <v>44859</v>
      </c>
    </row>
    <row r="7825" spans="14:25">
      <c r="N7825" s="42">
        <v>44849</v>
      </c>
      <c r="O7825" t="s">
        <v>359</v>
      </c>
      <c r="P7825" s="42">
        <v>44849</v>
      </c>
      <c r="Q7825" t="s">
        <v>359</v>
      </c>
      <c r="R7825" t="s">
        <v>329</v>
      </c>
      <c r="S7825" t="s">
        <v>323</v>
      </c>
      <c r="T7825">
        <v>7.6</v>
      </c>
      <c r="W7825" t="s">
        <v>330</v>
      </c>
      <c r="Y7825" s="42">
        <v>44859</v>
      </c>
    </row>
    <row r="7826" spans="14:25">
      <c r="N7826" s="42">
        <v>44830</v>
      </c>
      <c r="O7826" t="s">
        <v>345</v>
      </c>
      <c r="P7826" s="42">
        <v>44830</v>
      </c>
      <c r="Q7826" t="s">
        <v>345</v>
      </c>
      <c r="R7826" t="s">
        <v>320</v>
      </c>
      <c r="S7826" t="s">
        <v>323</v>
      </c>
      <c r="U7826">
        <v>7.6</v>
      </c>
    </row>
    <row r="7827" spans="14:25">
      <c r="N7827" s="42">
        <v>44826</v>
      </c>
      <c r="O7827" t="s">
        <v>324</v>
      </c>
      <c r="P7827" s="42">
        <v>44826</v>
      </c>
      <c r="Q7827" t="s">
        <v>324</v>
      </c>
      <c r="R7827" t="s">
        <v>320</v>
      </c>
      <c r="S7827" t="s">
        <v>323</v>
      </c>
      <c r="U7827">
        <v>7.6</v>
      </c>
    </row>
    <row r="7828" spans="14:25">
      <c r="N7828" s="42">
        <v>44809</v>
      </c>
      <c r="O7828" t="s">
        <v>345</v>
      </c>
      <c r="P7828" s="42">
        <v>44809</v>
      </c>
      <c r="Q7828" t="s">
        <v>345</v>
      </c>
      <c r="R7828" t="s">
        <v>329</v>
      </c>
      <c r="S7828" t="s">
        <v>323</v>
      </c>
      <c r="T7828">
        <v>0.55000000000000004</v>
      </c>
      <c r="W7828" t="s">
        <v>330</v>
      </c>
      <c r="Y7828" s="42">
        <v>44817</v>
      </c>
    </row>
    <row r="7829" spans="14:25">
      <c r="N7829" s="42">
        <v>44797</v>
      </c>
      <c r="O7829" t="s">
        <v>328</v>
      </c>
      <c r="P7829" s="42">
        <v>44797</v>
      </c>
      <c r="Q7829" t="s">
        <v>328</v>
      </c>
      <c r="R7829" t="s">
        <v>329</v>
      </c>
      <c r="S7829" t="s">
        <v>323</v>
      </c>
      <c r="T7829">
        <v>2.3332999999999999</v>
      </c>
      <c r="W7829" t="s">
        <v>330</v>
      </c>
      <c r="Y7829" s="42">
        <v>44803</v>
      </c>
    </row>
    <row r="7830" spans="14:25">
      <c r="N7830" s="42">
        <v>44788</v>
      </c>
      <c r="O7830" t="s">
        <v>345</v>
      </c>
      <c r="P7830" s="42">
        <v>44788</v>
      </c>
      <c r="Q7830" t="s">
        <v>345</v>
      </c>
      <c r="R7830" t="s">
        <v>320</v>
      </c>
      <c r="S7830" t="s">
        <v>323</v>
      </c>
      <c r="T7830">
        <v>7.6</v>
      </c>
      <c r="Y7830" s="42">
        <v>44789</v>
      </c>
    </row>
    <row r="7831" spans="14:25">
      <c r="N7831" s="42">
        <v>44785</v>
      </c>
      <c r="O7831" t="s">
        <v>346</v>
      </c>
      <c r="P7831" s="42">
        <v>44785</v>
      </c>
      <c r="Q7831" t="s">
        <v>346</v>
      </c>
      <c r="R7831" t="s">
        <v>320</v>
      </c>
      <c r="S7831" t="s">
        <v>323</v>
      </c>
      <c r="T7831">
        <v>7.6</v>
      </c>
      <c r="Y7831" s="42">
        <v>44789</v>
      </c>
    </row>
    <row r="7832" spans="14:25">
      <c r="N7832" s="42">
        <v>44783</v>
      </c>
      <c r="O7832" t="s">
        <v>328</v>
      </c>
      <c r="P7832" s="42">
        <v>44783</v>
      </c>
      <c r="Q7832" t="s">
        <v>328</v>
      </c>
      <c r="R7832" t="s">
        <v>320</v>
      </c>
      <c r="S7832" t="s">
        <v>323</v>
      </c>
      <c r="T7832">
        <v>4</v>
      </c>
      <c r="Y7832" s="42">
        <v>44789</v>
      </c>
    </row>
    <row r="7833" spans="14:25">
      <c r="N7833" s="42">
        <v>44757</v>
      </c>
      <c r="O7833" t="s">
        <v>346</v>
      </c>
      <c r="P7833" s="42">
        <v>44757</v>
      </c>
      <c r="Q7833" t="s">
        <v>346</v>
      </c>
      <c r="R7833" t="s">
        <v>329</v>
      </c>
      <c r="S7833" t="s">
        <v>323</v>
      </c>
      <c r="T7833">
        <v>7.6</v>
      </c>
      <c r="W7833" t="s">
        <v>330</v>
      </c>
      <c r="Y7833" s="42">
        <v>44761</v>
      </c>
    </row>
    <row r="7834" spans="14:25">
      <c r="N7834" s="42">
        <v>44756</v>
      </c>
      <c r="O7834" t="s">
        <v>324</v>
      </c>
      <c r="P7834" s="42">
        <v>44756</v>
      </c>
      <c r="Q7834" t="s">
        <v>324</v>
      </c>
      <c r="R7834" t="s">
        <v>329</v>
      </c>
      <c r="S7834" t="s">
        <v>323</v>
      </c>
      <c r="T7834">
        <v>7.6</v>
      </c>
      <c r="W7834" t="s">
        <v>330</v>
      </c>
      <c r="Y7834" s="42">
        <v>44761</v>
      </c>
    </row>
    <row r="7835" spans="14:25">
      <c r="N7835" s="42">
        <v>44755</v>
      </c>
      <c r="O7835" t="s">
        <v>328</v>
      </c>
      <c r="P7835" s="42">
        <v>44755</v>
      </c>
      <c r="Q7835" t="s">
        <v>328</v>
      </c>
      <c r="R7835" t="s">
        <v>329</v>
      </c>
      <c r="S7835" t="s">
        <v>323</v>
      </c>
      <c r="T7835">
        <v>7.6</v>
      </c>
      <c r="W7835" t="s">
        <v>330</v>
      </c>
      <c r="Y7835" s="42">
        <v>44761</v>
      </c>
    </row>
    <row r="7836" spans="14:25">
      <c r="N7836" s="42">
        <v>44732</v>
      </c>
      <c r="O7836" t="s">
        <v>345</v>
      </c>
      <c r="P7836" s="42">
        <v>44732</v>
      </c>
      <c r="Q7836" t="s">
        <v>345</v>
      </c>
      <c r="R7836" t="s">
        <v>329</v>
      </c>
      <c r="S7836" t="s">
        <v>323</v>
      </c>
      <c r="T7836">
        <v>7.6</v>
      </c>
      <c r="W7836" t="s">
        <v>330</v>
      </c>
      <c r="Y7836" s="42">
        <v>44733</v>
      </c>
    </row>
    <row r="7837" spans="14:25">
      <c r="N7837" s="42">
        <v>44718</v>
      </c>
      <c r="O7837" t="s">
        <v>345</v>
      </c>
      <c r="P7837" s="42">
        <v>44718</v>
      </c>
      <c r="Q7837" t="s">
        <v>345</v>
      </c>
      <c r="R7837" t="s">
        <v>320</v>
      </c>
      <c r="S7837" t="s">
        <v>323</v>
      </c>
      <c r="U7837">
        <v>7.6</v>
      </c>
    </row>
    <row r="7838" spans="14:25">
      <c r="N7838" s="42">
        <v>44715</v>
      </c>
      <c r="O7838" t="s">
        <v>346</v>
      </c>
      <c r="P7838" s="42">
        <v>44715</v>
      </c>
      <c r="Q7838" t="s">
        <v>346</v>
      </c>
      <c r="R7838" t="s">
        <v>320</v>
      </c>
      <c r="S7838" t="s">
        <v>323</v>
      </c>
      <c r="T7838">
        <v>7.6</v>
      </c>
      <c r="Y7838" s="42">
        <v>44719</v>
      </c>
    </row>
    <row r="7839" spans="14:25">
      <c r="N7839" s="42">
        <v>44714</v>
      </c>
      <c r="O7839" t="s">
        <v>324</v>
      </c>
      <c r="P7839" s="42">
        <v>44714</v>
      </c>
      <c r="Q7839" t="s">
        <v>324</v>
      </c>
      <c r="R7839" t="s">
        <v>320</v>
      </c>
      <c r="S7839" t="s">
        <v>323</v>
      </c>
      <c r="T7839">
        <v>7.6</v>
      </c>
      <c r="Y7839" s="42">
        <v>44719</v>
      </c>
    </row>
    <row r="7840" spans="14:25">
      <c r="N7840" s="42">
        <v>44711</v>
      </c>
      <c r="O7840" t="s">
        <v>345</v>
      </c>
      <c r="P7840" s="42">
        <v>44711</v>
      </c>
      <c r="Q7840" t="s">
        <v>345</v>
      </c>
      <c r="R7840" t="s">
        <v>320</v>
      </c>
      <c r="S7840" t="s">
        <v>323</v>
      </c>
      <c r="T7840">
        <v>7.6</v>
      </c>
      <c r="Y7840" s="42">
        <v>44719</v>
      </c>
    </row>
    <row r="7841" spans="14:25">
      <c r="N7841" s="42">
        <v>44708</v>
      </c>
      <c r="O7841" t="s">
        <v>346</v>
      </c>
      <c r="P7841" s="42">
        <v>44708</v>
      </c>
      <c r="Q7841" t="s">
        <v>346</v>
      </c>
      <c r="R7841" t="s">
        <v>320</v>
      </c>
      <c r="S7841" t="s">
        <v>323</v>
      </c>
      <c r="T7841">
        <v>7.6</v>
      </c>
      <c r="Y7841" s="42">
        <v>44719</v>
      </c>
    </row>
    <row r="7842" spans="14:25">
      <c r="N7842" s="42">
        <v>44707</v>
      </c>
      <c r="O7842" t="s">
        <v>324</v>
      </c>
      <c r="P7842" s="42">
        <v>44707</v>
      </c>
      <c r="Q7842" t="s">
        <v>324</v>
      </c>
      <c r="R7842" t="s">
        <v>320</v>
      </c>
      <c r="S7842" t="s">
        <v>323</v>
      </c>
      <c r="T7842">
        <v>7.6</v>
      </c>
      <c r="Y7842" s="42">
        <v>44719</v>
      </c>
    </row>
    <row r="7843" spans="14:25">
      <c r="N7843" s="42">
        <v>44704</v>
      </c>
      <c r="O7843" t="s">
        <v>345</v>
      </c>
      <c r="P7843" s="42">
        <v>44704</v>
      </c>
      <c r="Q7843" t="s">
        <v>345</v>
      </c>
      <c r="R7843" t="s">
        <v>320</v>
      </c>
      <c r="S7843" t="s">
        <v>323</v>
      </c>
      <c r="T7843">
        <v>7.6</v>
      </c>
      <c r="Y7843" s="42">
        <v>44705</v>
      </c>
    </row>
    <row r="7844" spans="14:25">
      <c r="N7844" s="42">
        <v>44701</v>
      </c>
      <c r="O7844" t="s">
        <v>346</v>
      </c>
      <c r="P7844" s="42">
        <v>44701</v>
      </c>
      <c r="Q7844" t="s">
        <v>346</v>
      </c>
      <c r="R7844" t="s">
        <v>320</v>
      </c>
      <c r="S7844" t="s">
        <v>323</v>
      </c>
      <c r="T7844">
        <v>7.6</v>
      </c>
      <c r="Y7844" s="42">
        <v>44705</v>
      </c>
    </row>
    <row r="7845" spans="14:25">
      <c r="N7845" s="42">
        <v>44676</v>
      </c>
      <c r="O7845" t="s">
        <v>345</v>
      </c>
      <c r="P7845" s="42">
        <v>44676</v>
      </c>
      <c r="Q7845" t="s">
        <v>345</v>
      </c>
      <c r="R7845" t="s">
        <v>320</v>
      </c>
      <c r="S7845" t="s">
        <v>323</v>
      </c>
      <c r="U7845">
        <v>7.6</v>
      </c>
    </row>
    <row r="7846" spans="14:25">
      <c r="N7846" s="42">
        <v>44669</v>
      </c>
      <c r="O7846" t="s">
        <v>345</v>
      </c>
      <c r="P7846" s="42">
        <v>44669</v>
      </c>
      <c r="Q7846" t="s">
        <v>345</v>
      </c>
      <c r="R7846" t="s">
        <v>320</v>
      </c>
      <c r="S7846" t="s">
        <v>323</v>
      </c>
      <c r="U7846">
        <v>7.6</v>
      </c>
    </row>
    <row r="7847" spans="14:25">
      <c r="N7847" s="42">
        <v>44666</v>
      </c>
      <c r="O7847" t="s">
        <v>346</v>
      </c>
      <c r="P7847" s="42">
        <v>44666</v>
      </c>
      <c r="Q7847" t="s">
        <v>346</v>
      </c>
      <c r="R7847" t="s">
        <v>320</v>
      </c>
      <c r="S7847" t="s">
        <v>323</v>
      </c>
      <c r="U7847">
        <v>7.6</v>
      </c>
    </row>
    <row r="7848" spans="14:25">
      <c r="N7848" s="42">
        <v>44645</v>
      </c>
      <c r="O7848" t="s">
        <v>346</v>
      </c>
      <c r="P7848" s="42">
        <v>44645</v>
      </c>
      <c r="Q7848" t="s">
        <v>346</v>
      </c>
      <c r="R7848" t="s">
        <v>329</v>
      </c>
      <c r="S7848" t="s">
        <v>323</v>
      </c>
      <c r="T7848">
        <v>7.6</v>
      </c>
      <c r="W7848" t="s">
        <v>330</v>
      </c>
      <c r="Y7848" s="42">
        <v>44649</v>
      </c>
    </row>
    <row r="7849" spans="14:25">
      <c r="N7849" s="42">
        <v>44644</v>
      </c>
      <c r="O7849" t="s">
        <v>324</v>
      </c>
      <c r="P7849" s="42">
        <v>44644</v>
      </c>
      <c r="Q7849" t="s">
        <v>324</v>
      </c>
      <c r="R7849" t="s">
        <v>329</v>
      </c>
      <c r="S7849" t="s">
        <v>323</v>
      </c>
      <c r="T7849">
        <v>7.6</v>
      </c>
      <c r="W7849" t="s">
        <v>330</v>
      </c>
      <c r="Y7849" s="42">
        <v>44649</v>
      </c>
    </row>
    <row r="7850" spans="14:25">
      <c r="N7850" s="42">
        <v>44637</v>
      </c>
      <c r="O7850" t="s">
        <v>324</v>
      </c>
      <c r="P7850" s="42">
        <v>44637</v>
      </c>
      <c r="Q7850" t="s">
        <v>324</v>
      </c>
      <c r="R7850" t="s">
        <v>329</v>
      </c>
      <c r="S7850" t="s">
        <v>323</v>
      </c>
      <c r="T7850">
        <v>7.6</v>
      </c>
      <c r="W7850" t="s">
        <v>330</v>
      </c>
      <c r="Y7850" s="42">
        <v>44649</v>
      </c>
    </row>
    <row r="7851" spans="14:25">
      <c r="N7851" s="42">
        <v>44630</v>
      </c>
      <c r="O7851" t="s">
        <v>324</v>
      </c>
      <c r="P7851" s="42">
        <v>44630</v>
      </c>
      <c r="Q7851" t="s">
        <v>324</v>
      </c>
      <c r="R7851" t="s">
        <v>329</v>
      </c>
      <c r="S7851" t="s">
        <v>323</v>
      </c>
      <c r="T7851">
        <v>7.6</v>
      </c>
      <c r="W7851" t="s">
        <v>330</v>
      </c>
      <c r="Y7851" s="42">
        <v>44635</v>
      </c>
    </row>
    <row r="7852" spans="14:25">
      <c r="N7852" s="42">
        <v>44627</v>
      </c>
      <c r="O7852" t="s">
        <v>345</v>
      </c>
      <c r="P7852" s="42">
        <v>44627</v>
      </c>
      <c r="Q7852" t="s">
        <v>345</v>
      </c>
      <c r="R7852" t="s">
        <v>320</v>
      </c>
      <c r="S7852" t="s">
        <v>323</v>
      </c>
      <c r="U7852">
        <v>7.6</v>
      </c>
    </row>
    <row r="7853" spans="14:25">
      <c r="N7853" s="42">
        <v>44593</v>
      </c>
      <c r="O7853" t="s">
        <v>333</v>
      </c>
      <c r="P7853" s="42">
        <v>44593</v>
      </c>
      <c r="Q7853" t="s">
        <v>333</v>
      </c>
      <c r="R7853" t="s">
        <v>320</v>
      </c>
      <c r="S7853" t="s">
        <v>323</v>
      </c>
      <c r="T7853">
        <v>7.6</v>
      </c>
      <c r="Y7853" s="42">
        <v>44593</v>
      </c>
    </row>
    <row r="7854" spans="14:25">
      <c r="N7854" s="42">
        <v>44587</v>
      </c>
      <c r="O7854" t="s">
        <v>328</v>
      </c>
      <c r="P7854" s="42">
        <v>44587</v>
      </c>
      <c r="Q7854" t="s">
        <v>328</v>
      </c>
      <c r="R7854" t="s">
        <v>320</v>
      </c>
      <c r="S7854" t="s">
        <v>323</v>
      </c>
      <c r="U7854">
        <v>7.6</v>
      </c>
    </row>
    <row r="7855" spans="14:25">
      <c r="N7855" s="42">
        <v>44564</v>
      </c>
      <c r="O7855" t="s">
        <v>345</v>
      </c>
      <c r="P7855" s="42">
        <v>44564</v>
      </c>
      <c r="Q7855" t="s">
        <v>345</v>
      </c>
      <c r="R7855" t="s">
        <v>320</v>
      </c>
      <c r="S7855" t="s">
        <v>323</v>
      </c>
      <c r="U7855">
        <v>7.6</v>
      </c>
    </row>
    <row r="7856" spans="14:25">
      <c r="N7856" s="42">
        <v>44558</v>
      </c>
      <c r="O7856" t="s">
        <v>333</v>
      </c>
      <c r="P7856" s="42">
        <v>44558</v>
      </c>
      <c r="Q7856" t="s">
        <v>333</v>
      </c>
      <c r="R7856" t="s">
        <v>320</v>
      </c>
      <c r="S7856" t="s">
        <v>323</v>
      </c>
      <c r="U7856">
        <v>7.6</v>
      </c>
    </row>
    <row r="7857" spans="14:25">
      <c r="N7857" s="42">
        <v>44557</v>
      </c>
      <c r="O7857" t="s">
        <v>345</v>
      </c>
      <c r="P7857" s="42">
        <v>44557</v>
      </c>
      <c r="Q7857" t="s">
        <v>345</v>
      </c>
      <c r="R7857" t="s">
        <v>320</v>
      </c>
      <c r="S7857" t="s">
        <v>323</v>
      </c>
      <c r="U7857">
        <v>7.6</v>
      </c>
    </row>
    <row r="7858" spans="14:25">
      <c r="N7858" s="42">
        <v>44552</v>
      </c>
      <c r="O7858" t="s">
        <v>328</v>
      </c>
      <c r="P7858" s="42">
        <v>44552</v>
      </c>
      <c r="Q7858" t="s">
        <v>328</v>
      </c>
      <c r="R7858" t="s">
        <v>329</v>
      </c>
      <c r="S7858" t="s">
        <v>323</v>
      </c>
      <c r="T7858">
        <v>7.6</v>
      </c>
      <c r="W7858" t="s">
        <v>330</v>
      </c>
      <c r="Y7858" s="42">
        <v>44565</v>
      </c>
    </row>
    <row r="7859" spans="14:25">
      <c r="N7859" s="42">
        <v>44540</v>
      </c>
      <c r="O7859" t="s">
        <v>346</v>
      </c>
      <c r="P7859" s="42">
        <v>44540</v>
      </c>
      <c r="Q7859" t="s">
        <v>346</v>
      </c>
      <c r="R7859" t="s">
        <v>320</v>
      </c>
      <c r="S7859" t="s">
        <v>323</v>
      </c>
      <c r="T7859">
        <v>7.6</v>
      </c>
      <c r="Y7859" s="42">
        <v>44551</v>
      </c>
    </row>
    <row r="7860" spans="14:25">
      <c r="N7860" s="42">
        <v>44539</v>
      </c>
      <c r="O7860" t="s">
        <v>324</v>
      </c>
      <c r="P7860" s="42">
        <v>44539</v>
      </c>
      <c r="Q7860" t="s">
        <v>324</v>
      </c>
      <c r="R7860" t="s">
        <v>320</v>
      </c>
      <c r="S7860" t="s">
        <v>323</v>
      </c>
      <c r="T7860">
        <v>7.6</v>
      </c>
      <c r="Y7860" s="42">
        <v>44551</v>
      </c>
    </row>
    <row r="7861" spans="14:25">
      <c r="N7861" s="42">
        <v>44538</v>
      </c>
      <c r="O7861" t="s">
        <v>328</v>
      </c>
      <c r="P7861" s="42">
        <v>44538</v>
      </c>
      <c r="Q7861" t="s">
        <v>328</v>
      </c>
      <c r="R7861" t="s">
        <v>320</v>
      </c>
      <c r="S7861" t="s">
        <v>323</v>
      </c>
      <c r="T7861">
        <v>7.6</v>
      </c>
      <c r="Y7861" s="42">
        <v>44551</v>
      </c>
    </row>
    <row r="7862" spans="14:25">
      <c r="N7862" s="42">
        <v>44537</v>
      </c>
      <c r="O7862" t="s">
        <v>333</v>
      </c>
      <c r="P7862" s="42">
        <v>44537</v>
      </c>
      <c r="Q7862" t="s">
        <v>333</v>
      </c>
      <c r="R7862" t="s">
        <v>320</v>
      </c>
      <c r="S7862" t="s">
        <v>323</v>
      </c>
      <c r="T7862">
        <v>7.6</v>
      </c>
      <c r="Y7862" s="42">
        <v>44537</v>
      </c>
    </row>
    <row r="7863" spans="14:25">
      <c r="N7863" s="42">
        <v>44536</v>
      </c>
      <c r="O7863" t="s">
        <v>345</v>
      </c>
      <c r="P7863" s="42">
        <v>44536</v>
      </c>
      <c r="Q7863" t="s">
        <v>345</v>
      </c>
      <c r="R7863" t="s">
        <v>320</v>
      </c>
      <c r="S7863" t="s">
        <v>323</v>
      </c>
      <c r="T7863">
        <v>7.6</v>
      </c>
      <c r="Y7863" s="42">
        <v>44537</v>
      </c>
    </row>
    <row r="7864" spans="14:25">
      <c r="N7864" s="42">
        <v>44525</v>
      </c>
      <c r="O7864" t="s">
        <v>324</v>
      </c>
      <c r="P7864" s="42">
        <v>44525</v>
      </c>
      <c r="Q7864" t="s">
        <v>324</v>
      </c>
      <c r="R7864" t="s">
        <v>329</v>
      </c>
      <c r="S7864" t="s">
        <v>323</v>
      </c>
      <c r="T7864">
        <v>1.35</v>
      </c>
      <c r="W7864" t="s">
        <v>330</v>
      </c>
      <c r="Y7864" s="42">
        <v>44537</v>
      </c>
    </row>
    <row r="7865" spans="14:25">
      <c r="N7865" s="42">
        <v>44501</v>
      </c>
      <c r="O7865" t="s">
        <v>345</v>
      </c>
      <c r="P7865" s="42">
        <v>44501</v>
      </c>
      <c r="Q7865" t="s">
        <v>345</v>
      </c>
      <c r="R7865" t="s">
        <v>329</v>
      </c>
      <c r="S7865" t="s">
        <v>323</v>
      </c>
      <c r="T7865">
        <v>7.6</v>
      </c>
      <c r="W7865" t="s">
        <v>330</v>
      </c>
      <c r="Y7865" s="42">
        <v>44509</v>
      </c>
    </row>
    <row r="7866" spans="14:25">
      <c r="N7866" s="42">
        <v>44491</v>
      </c>
      <c r="O7866" t="s">
        <v>346</v>
      </c>
      <c r="P7866" s="42">
        <v>44491</v>
      </c>
      <c r="Q7866" t="s">
        <v>346</v>
      </c>
      <c r="R7866" t="s">
        <v>329</v>
      </c>
      <c r="S7866" t="s">
        <v>323</v>
      </c>
      <c r="T7866">
        <v>7.6</v>
      </c>
      <c r="W7866" t="s">
        <v>330</v>
      </c>
      <c r="Y7866" s="42">
        <v>44495</v>
      </c>
    </row>
    <row r="7867" spans="14:25">
      <c r="N7867" s="42">
        <v>44489</v>
      </c>
      <c r="O7867" t="s">
        <v>328</v>
      </c>
      <c r="P7867" s="42">
        <v>44489</v>
      </c>
      <c r="Q7867" t="s">
        <v>328</v>
      </c>
      <c r="R7867" t="s">
        <v>329</v>
      </c>
      <c r="S7867" t="s">
        <v>323</v>
      </c>
      <c r="T7867">
        <v>1.2333000000000001</v>
      </c>
      <c r="W7867" t="s">
        <v>330</v>
      </c>
      <c r="Y7867" s="42">
        <v>44495</v>
      </c>
    </row>
    <row r="7868" spans="14:25">
      <c r="N7868" s="42">
        <v>44477</v>
      </c>
      <c r="O7868" t="s">
        <v>346</v>
      </c>
      <c r="P7868" s="42">
        <v>44477</v>
      </c>
      <c r="Q7868" t="s">
        <v>346</v>
      </c>
      <c r="R7868" t="s">
        <v>329</v>
      </c>
      <c r="S7868" t="s">
        <v>323</v>
      </c>
      <c r="T7868">
        <v>0.7167</v>
      </c>
      <c r="W7868" t="s">
        <v>330</v>
      </c>
      <c r="Y7868" s="42">
        <v>44481</v>
      </c>
    </row>
    <row r="7869" spans="14:25">
      <c r="N7869" s="42">
        <v>44466</v>
      </c>
      <c r="O7869" t="s">
        <v>345</v>
      </c>
      <c r="P7869" s="42">
        <v>44466</v>
      </c>
      <c r="Q7869" t="s">
        <v>345</v>
      </c>
      <c r="R7869" t="s">
        <v>320</v>
      </c>
      <c r="S7869" t="s">
        <v>323</v>
      </c>
      <c r="U7869">
        <v>7.6</v>
      </c>
    </row>
    <row r="7870" spans="14:25">
      <c r="N7870" s="42">
        <v>44447</v>
      </c>
      <c r="O7870" t="s">
        <v>328</v>
      </c>
      <c r="P7870" s="42">
        <v>44447</v>
      </c>
      <c r="Q7870" t="s">
        <v>328</v>
      </c>
      <c r="R7870" t="s">
        <v>329</v>
      </c>
      <c r="S7870" t="s">
        <v>323</v>
      </c>
      <c r="T7870">
        <v>1.5333000000000001</v>
      </c>
      <c r="W7870" t="s">
        <v>330</v>
      </c>
      <c r="Y7870" s="42">
        <v>44453</v>
      </c>
    </row>
    <row r="7871" spans="14:25">
      <c r="N7871" s="42">
        <v>44433</v>
      </c>
      <c r="O7871" t="s">
        <v>328</v>
      </c>
      <c r="P7871" s="42">
        <v>44433</v>
      </c>
      <c r="Q7871" t="s">
        <v>328</v>
      </c>
      <c r="R7871" t="s">
        <v>320</v>
      </c>
      <c r="S7871" t="s">
        <v>323</v>
      </c>
      <c r="T7871">
        <v>7.6</v>
      </c>
      <c r="Y7871" s="42">
        <v>44439</v>
      </c>
    </row>
    <row r="7872" spans="14:25">
      <c r="N7872" s="42">
        <v>44431</v>
      </c>
      <c r="O7872" t="s">
        <v>345</v>
      </c>
      <c r="P7872" s="42">
        <v>44431</v>
      </c>
      <c r="Q7872" t="s">
        <v>345</v>
      </c>
      <c r="R7872" t="s">
        <v>329</v>
      </c>
      <c r="S7872" t="s">
        <v>323</v>
      </c>
      <c r="T7872">
        <v>7.6</v>
      </c>
      <c r="W7872" t="s">
        <v>330</v>
      </c>
      <c r="Y7872" s="42">
        <v>44439</v>
      </c>
    </row>
    <row r="7873" spans="14:25">
      <c r="N7873" s="42">
        <v>44417</v>
      </c>
      <c r="O7873" t="s">
        <v>345</v>
      </c>
      <c r="P7873" s="42">
        <v>44417</v>
      </c>
      <c r="Q7873" t="s">
        <v>345</v>
      </c>
      <c r="R7873" t="s">
        <v>329</v>
      </c>
      <c r="S7873" t="s">
        <v>323</v>
      </c>
      <c r="T7873">
        <v>0.31669999999999998</v>
      </c>
      <c r="W7873" t="s">
        <v>330</v>
      </c>
      <c r="Y7873" s="42">
        <v>44425</v>
      </c>
    </row>
    <row r="7874" spans="14:25">
      <c r="N7874" s="42">
        <v>44399</v>
      </c>
      <c r="O7874" t="s">
        <v>324</v>
      </c>
      <c r="P7874" s="42">
        <v>44399</v>
      </c>
      <c r="Q7874" t="s">
        <v>324</v>
      </c>
      <c r="R7874" t="s">
        <v>329</v>
      </c>
      <c r="S7874" t="s">
        <v>323</v>
      </c>
      <c r="T7874">
        <v>1.6167</v>
      </c>
      <c r="W7874" t="s">
        <v>330</v>
      </c>
      <c r="Y7874" s="42">
        <v>44411</v>
      </c>
    </row>
    <row r="7875" spans="14:25">
      <c r="N7875" s="42">
        <v>44362</v>
      </c>
      <c r="O7875" t="s">
        <v>333</v>
      </c>
      <c r="P7875" s="42">
        <v>44362</v>
      </c>
      <c r="Q7875" t="s">
        <v>333</v>
      </c>
      <c r="R7875" t="s">
        <v>329</v>
      </c>
      <c r="S7875" t="s">
        <v>323</v>
      </c>
      <c r="T7875">
        <v>7.6</v>
      </c>
      <c r="W7875" t="s">
        <v>330</v>
      </c>
      <c r="Y7875" s="42">
        <v>44369</v>
      </c>
    </row>
    <row r="7876" spans="14:25">
      <c r="N7876" s="42">
        <v>44361</v>
      </c>
      <c r="O7876" t="s">
        <v>345</v>
      </c>
      <c r="P7876" s="42">
        <v>44361</v>
      </c>
      <c r="Q7876" t="s">
        <v>345</v>
      </c>
      <c r="R7876" t="s">
        <v>329</v>
      </c>
      <c r="S7876" t="s">
        <v>323</v>
      </c>
      <c r="T7876">
        <v>7.6</v>
      </c>
      <c r="W7876" t="s">
        <v>330</v>
      </c>
      <c r="Y7876" s="42">
        <v>44369</v>
      </c>
    </row>
    <row r="7877" spans="14:25">
      <c r="N7877" s="42">
        <v>44354</v>
      </c>
      <c r="O7877" t="s">
        <v>345</v>
      </c>
      <c r="P7877" s="42">
        <v>44354</v>
      </c>
      <c r="Q7877" t="s">
        <v>345</v>
      </c>
      <c r="R7877" t="s">
        <v>320</v>
      </c>
      <c r="S7877" t="s">
        <v>323</v>
      </c>
      <c r="U7877">
        <v>7.6</v>
      </c>
    </row>
    <row r="7878" spans="14:25">
      <c r="N7878" s="42">
        <v>44340</v>
      </c>
      <c r="O7878" t="s">
        <v>345</v>
      </c>
      <c r="P7878" s="42">
        <v>44340</v>
      </c>
      <c r="Q7878" t="s">
        <v>345</v>
      </c>
      <c r="R7878" t="s">
        <v>329</v>
      </c>
      <c r="S7878" t="s">
        <v>323</v>
      </c>
      <c r="T7878">
        <v>1.8167</v>
      </c>
      <c r="W7878" t="s">
        <v>330</v>
      </c>
      <c r="Y7878" s="42">
        <v>44341</v>
      </c>
    </row>
    <row r="7879" spans="14:25">
      <c r="N7879" s="42">
        <v>44330</v>
      </c>
      <c r="O7879" t="s">
        <v>346</v>
      </c>
      <c r="P7879" s="42">
        <v>44330</v>
      </c>
      <c r="Q7879" t="s">
        <v>346</v>
      </c>
      <c r="R7879" t="s">
        <v>320</v>
      </c>
      <c r="S7879" t="s">
        <v>323</v>
      </c>
      <c r="T7879">
        <v>7.6</v>
      </c>
      <c r="Y7879" s="42">
        <v>44341</v>
      </c>
    </row>
    <row r="7880" spans="14:25">
      <c r="N7880" s="42">
        <v>44329</v>
      </c>
      <c r="O7880" t="s">
        <v>324</v>
      </c>
      <c r="P7880" s="42">
        <v>44329</v>
      </c>
      <c r="Q7880" t="s">
        <v>324</v>
      </c>
      <c r="R7880" t="s">
        <v>320</v>
      </c>
      <c r="S7880" t="s">
        <v>323</v>
      </c>
      <c r="T7880">
        <v>7.6</v>
      </c>
      <c r="Y7880" s="42">
        <v>44341</v>
      </c>
    </row>
    <row r="7881" spans="14:25">
      <c r="N7881" s="42">
        <v>44328</v>
      </c>
      <c r="O7881" t="s">
        <v>328</v>
      </c>
      <c r="P7881" s="42">
        <v>44328</v>
      </c>
      <c r="Q7881" t="s">
        <v>328</v>
      </c>
      <c r="R7881" t="s">
        <v>320</v>
      </c>
      <c r="S7881" t="s">
        <v>323</v>
      </c>
      <c r="T7881">
        <v>7.6</v>
      </c>
      <c r="Y7881" s="42">
        <v>44341</v>
      </c>
    </row>
    <row r="7882" spans="14:25">
      <c r="N7882" s="42">
        <v>44327</v>
      </c>
      <c r="O7882" t="s">
        <v>333</v>
      </c>
      <c r="P7882" s="42">
        <v>44327</v>
      </c>
      <c r="Q7882" t="s">
        <v>333</v>
      </c>
      <c r="R7882" t="s">
        <v>320</v>
      </c>
      <c r="S7882" t="s">
        <v>323</v>
      </c>
      <c r="T7882">
        <v>7.6</v>
      </c>
      <c r="Y7882" s="42">
        <v>44327</v>
      </c>
    </row>
    <row r="7883" spans="14:25">
      <c r="N7883" s="42">
        <v>44326</v>
      </c>
      <c r="O7883" t="s">
        <v>345</v>
      </c>
      <c r="P7883" s="42">
        <v>44326</v>
      </c>
      <c r="Q7883" t="s">
        <v>345</v>
      </c>
      <c r="R7883" t="s">
        <v>320</v>
      </c>
      <c r="S7883" t="s">
        <v>323</v>
      </c>
      <c r="T7883">
        <v>7.6</v>
      </c>
      <c r="Y7883" s="42">
        <v>44327</v>
      </c>
    </row>
    <row r="7884" spans="14:25">
      <c r="N7884" s="42">
        <v>44323</v>
      </c>
      <c r="O7884" t="s">
        <v>346</v>
      </c>
      <c r="P7884" s="42">
        <v>44323</v>
      </c>
      <c r="Q7884" t="s">
        <v>346</v>
      </c>
      <c r="R7884" t="s">
        <v>320</v>
      </c>
      <c r="S7884" t="s">
        <v>323</v>
      </c>
      <c r="T7884">
        <v>7.6</v>
      </c>
      <c r="Y7884" s="42">
        <v>44327</v>
      </c>
    </row>
    <row r="7885" spans="14:25">
      <c r="N7885" s="42">
        <v>44322</v>
      </c>
      <c r="O7885" t="s">
        <v>324</v>
      </c>
      <c r="P7885" s="42">
        <v>44322</v>
      </c>
      <c r="Q7885" t="s">
        <v>324</v>
      </c>
      <c r="R7885" t="s">
        <v>320</v>
      </c>
      <c r="S7885" t="s">
        <v>323</v>
      </c>
      <c r="T7885">
        <v>7.6</v>
      </c>
      <c r="Y7885" s="42">
        <v>44327</v>
      </c>
    </row>
    <row r="7886" spans="14:25">
      <c r="N7886" s="42">
        <v>44321</v>
      </c>
      <c r="O7886" t="s">
        <v>328</v>
      </c>
      <c r="P7886" s="42">
        <v>44321</v>
      </c>
      <c r="Q7886" t="s">
        <v>328</v>
      </c>
      <c r="R7886" t="s">
        <v>320</v>
      </c>
      <c r="S7886" t="s">
        <v>323</v>
      </c>
      <c r="T7886">
        <v>7.6</v>
      </c>
      <c r="Y7886" s="42">
        <v>44327</v>
      </c>
    </row>
    <row r="7887" spans="14:25">
      <c r="N7887" s="42">
        <v>44320</v>
      </c>
      <c r="O7887" t="s">
        <v>333</v>
      </c>
      <c r="P7887" s="42">
        <v>44320</v>
      </c>
      <c r="Q7887" t="s">
        <v>333</v>
      </c>
      <c r="R7887" t="s">
        <v>320</v>
      </c>
      <c r="S7887" t="s">
        <v>323</v>
      </c>
      <c r="T7887">
        <v>7.6</v>
      </c>
      <c r="Y7887" s="42">
        <v>44327</v>
      </c>
    </row>
    <row r="7888" spans="14:25">
      <c r="N7888" s="42">
        <v>44319</v>
      </c>
      <c r="O7888" t="s">
        <v>345</v>
      </c>
      <c r="P7888" s="42">
        <v>44319</v>
      </c>
      <c r="Q7888" t="s">
        <v>345</v>
      </c>
      <c r="R7888" t="s">
        <v>320</v>
      </c>
      <c r="S7888" t="s">
        <v>323</v>
      </c>
      <c r="T7888">
        <v>7.6</v>
      </c>
      <c r="Y7888" s="42">
        <v>44327</v>
      </c>
    </row>
    <row r="7889" spans="14:25">
      <c r="N7889" s="42">
        <v>44312</v>
      </c>
      <c r="O7889" t="s">
        <v>345</v>
      </c>
      <c r="P7889" s="42">
        <v>44312</v>
      </c>
      <c r="Q7889" t="s">
        <v>345</v>
      </c>
      <c r="R7889" t="s">
        <v>320</v>
      </c>
      <c r="S7889" t="s">
        <v>323</v>
      </c>
      <c r="U7889">
        <v>7.6</v>
      </c>
    </row>
    <row r="7890" spans="14:25">
      <c r="N7890" s="42">
        <v>44301</v>
      </c>
      <c r="O7890" t="s">
        <v>324</v>
      </c>
      <c r="P7890" s="42">
        <v>44301</v>
      </c>
      <c r="Q7890" t="s">
        <v>324</v>
      </c>
      <c r="R7890" t="s">
        <v>329</v>
      </c>
      <c r="S7890" t="s">
        <v>323</v>
      </c>
      <c r="T7890">
        <v>3</v>
      </c>
      <c r="W7890" t="s">
        <v>330</v>
      </c>
      <c r="Y7890" s="42">
        <v>44313</v>
      </c>
    </row>
    <row r="7891" spans="14:25">
      <c r="N7891" s="42">
        <v>44291</v>
      </c>
      <c r="O7891" t="s">
        <v>345</v>
      </c>
      <c r="P7891" s="42">
        <v>44291</v>
      </c>
      <c r="Q7891" t="s">
        <v>345</v>
      </c>
      <c r="R7891" t="s">
        <v>320</v>
      </c>
      <c r="S7891" t="s">
        <v>323</v>
      </c>
      <c r="U7891">
        <v>4.5</v>
      </c>
    </row>
    <row r="7892" spans="14:25">
      <c r="N7892" s="42">
        <v>44288</v>
      </c>
      <c r="O7892" t="s">
        <v>346</v>
      </c>
      <c r="P7892" s="42">
        <v>44288</v>
      </c>
      <c r="Q7892" t="s">
        <v>346</v>
      </c>
      <c r="R7892" t="s">
        <v>320</v>
      </c>
      <c r="S7892" t="s">
        <v>323</v>
      </c>
      <c r="U7892">
        <v>7.6</v>
      </c>
    </row>
    <row r="7893" spans="14:25">
      <c r="N7893" s="42">
        <v>44280</v>
      </c>
      <c r="O7893" t="s">
        <v>324</v>
      </c>
      <c r="P7893" s="42">
        <v>44280</v>
      </c>
      <c r="Q7893" t="s">
        <v>324</v>
      </c>
      <c r="R7893" t="s">
        <v>320</v>
      </c>
      <c r="S7893" t="s">
        <v>323</v>
      </c>
      <c r="T7893">
        <v>7.6</v>
      </c>
      <c r="Y7893" s="42">
        <v>44285</v>
      </c>
    </row>
    <row r="7894" spans="14:25">
      <c r="N7894" s="42">
        <v>44265</v>
      </c>
      <c r="O7894" t="s">
        <v>328</v>
      </c>
      <c r="P7894" s="42">
        <v>44265</v>
      </c>
      <c r="Q7894" t="s">
        <v>328</v>
      </c>
      <c r="R7894" t="s">
        <v>320</v>
      </c>
      <c r="S7894" t="s">
        <v>323</v>
      </c>
      <c r="T7894">
        <v>3.8666999999999998</v>
      </c>
      <c r="Y7894" s="42">
        <v>44271</v>
      </c>
    </row>
    <row r="7895" spans="14:25">
      <c r="N7895" s="42">
        <v>44256</v>
      </c>
      <c r="O7895" t="s">
        <v>345</v>
      </c>
      <c r="P7895" s="42">
        <v>44256</v>
      </c>
      <c r="Q7895" t="s">
        <v>345</v>
      </c>
      <c r="R7895" t="s">
        <v>320</v>
      </c>
      <c r="S7895" t="s">
        <v>323</v>
      </c>
      <c r="U7895">
        <v>4.5</v>
      </c>
    </row>
    <row r="7896" spans="14:25">
      <c r="N7896" s="42">
        <v>44239</v>
      </c>
      <c r="O7896" t="s">
        <v>346</v>
      </c>
      <c r="P7896" s="42">
        <v>44239</v>
      </c>
      <c r="Q7896" t="s">
        <v>346</v>
      </c>
      <c r="R7896" t="s">
        <v>329</v>
      </c>
      <c r="S7896" t="s">
        <v>323</v>
      </c>
      <c r="T7896">
        <v>7.6</v>
      </c>
      <c r="W7896" t="s">
        <v>330</v>
      </c>
      <c r="Y7896" s="42">
        <v>44243</v>
      </c>
    </row>
    <row r="7897" spans="14:25">
      <c r="N7897" s="42">
        <v>44224</v>
      </c>
      <c r="O7897" t="s">
        <v>324</v>
      </c>
      <c r="P7897" s="42">
        <v>44224</v>
      </c>
      <c r="Q7897" t="s">
        <v>324</v>
      </c>
      <c r="R7897" t="s">
        <v>329</v>
      </c>
      <c r="S7897" t="s">
        <v>323</v>
      </c>
      <c r="T7897">
        <v>7.6</v>
      </c>
      <c r="W7897" t="s">
        <v>330</v>
      </c>
      <c r="Y7897" s="42">
        <v>44229</v>
      </c>
    </row>
    <row r="7898" spans="14:25">
      <c r="N7898" s="42">
        <v>44222</v>
      </c>
      <c r="O7898" t="s">
        <v>333</v>
      </c>
      <c r="P7898" s="42">
        <v>44222</v>
      </c>
      <c r="Q7898" t="s">
        <v>333</v>
      </c>
      <c r="R7898" t="s">
        <v>320</v>
      </c>
      <c r="S7898" t="s">
        <v>323</v>
      </c>
      <c r="U7898">
        <v>7.6</v>
      </c>
    </row>
    <row r="7899" spans="14:25">
      <c r="N7899" s="42">
        <v>44197</v>
      </c>
      <c r="O7899" t="s">
        <v>346</v>
      </c>
      <c r="P7899" s="42">
        <v>44197</v>
      </c>
      <c r="Q7899" t="s">
        <v>346</v>
      </c>
      <c r="R7899" t="s">
        <v>320</v>
      </c>
      <c r="S7899" t="s">
        <v>323</v>
      </c>
      <c r="U7899">
        <v>7.6</v>
      </c>
    </row>
    <row r="7900" spans="14:25">
      <c r="N7900" s="42">
        <v>44193</v>
      </c>
      <c r="O7900" t="s">
        <v>345</v>
      </c>
      <c r="P7900" s="42">
        <v>44193</v>
      </c>
      <c r="Q7900" t="s">
        <v>345</v>
      </c>
      <c r="R7900" t="s">
        <v>320</v>
      </c>
      <c r="S7900" t="s">
        <v>323</v>
      </c>
      <c r="U7900">
        <v>4.5</v>
      </c>
    </row>
    <row r="7901" spans="14:25">
      <c r="N7901" s="42">
        <v>44190</v>
      </c>
      <c r="O7901" t="s">
        <v>346</v>
      </c>
      <c r="P7901" s="42">
        <v>44190</v>
      </c>
      <c r="Q7901" t="s">
        <v>346</v>
      </c>
      <c r="R7901" t="s">
        <v>320</v>
      </c>
      <c r="S7901" t="s">
        <v>323</v>
      </c>
      <c r="U7901">
        <v>7.6</v>
      </c>
    </row>
    <row r="7902" spans="14:25">
      <c r="N7902" s="42">
        <v>44186</v>
      </c>
      <c r="O7902" t="s">
        <v>345</v>
      </c>
      <c r="P7902" s="42">
        <v>44186</v>
      </c>
      <c r="Q7902" t="s">
        <v>345</v>
      </c>
      <c r="R7902" t="s">
        <v>320</v>
      </c>
      <c r="S7902" t="s">
        <v>323</v>
      </c>
      <c r="T7902">
        <v>4.5</v>
      </c>
      <c r="Y7902" s="42">
        <v>44187</v>
      </c>
    </row>
    <row r="7903" spans="14:25">
      <c r="N7903" s="42">
        <v>44183</v>
      </c>
      <c r="O7903" t="s">
        <v>346</v>
      </c>
      <c r="P7903" s="42">
        <v>44183</v>
      </c>
      <c r="Q7903" t="s">
        <v>346</v>
      </c>
      <c r="R7903" t="s">
        <v>320</v>
      </c>
      <c r="S7903" t="s">
        <v>323</v>
      </c>
      <c r="T7903">
        <v>7.6</v>
      </c>
      <c r="Y7903" s="42">
        <v>44187</v>
      </c>
    </row>
    <row r="7904" spans="14:25">
      <c r="N7904" s="42">
        <v>44140</v>
      </c>
      <c r="O7904" t="s">
        <v>324</v>
      </c>
      <c r="P7904" s="42">
        <v>44140</v>
      </c>
      <c r="Q7904" t="s">
        <v>324</v>
      </c>
      <c r="R7904" t="s">
        <v>329</v>
      </c>
      <c r="S7904" t="s">
        <v>323</v>
      </c>
      <c r="T7904">
        <v>7.6</v>
      </c>
      <c r="W7904" t="s">
        <v>330</v>
      </c>
      <c r="Y7904" s="42">
        <v>44145</v>
      </c>
    </row>
    <row r="7905" spans="1:25">
      <c r="N7905" s="42">
        <v>44104</v>
      </c>
      <c r="O7905" t="s">
        <v>328</v>
      </c>
      <c r="P7905" s="42">
        <v>44104</v>
      </c>
      <c r="Q7905" t="s">
        <v>328</v>
      </c>
      <c r="R7905" t="s">
        <v>320</v>
      </c>
      <c r="S7905" t="s">
        <v>323</v>
      </c>
      <c r="T7905">
        <v>7.6</v>
      </c>
      <c r="Y7905" s="42">
        <v>44117</v>
      </c>
    </row>
    <row r="7906" spans="1:25">
      <c r="N7906" s="42">
        <v>44103</v>
      </c>
      <c r="O7906" t="s">
        <v>333</v>
      </c>
      <c r="P7906" s="42">
        <v>44103</v>
      </c>
      <c r="Q7906" t="s">
        <v>333</v>
      </c>
      <c r="R7906" t="s">
        <v>320</v>
      </c>
      <c r="S7906" t="s">
        <v>323</v>
      </c>
      <c r="T7906">
        <v>7.6</v>
      </c>
      <c r="Y7906" s="42">
        <v>44103</v>
      </c>
    </row>
    <row r="7907" spans="1:25">
      <c r="N7907" s="42">
        <v>44102</v>
      </c>
      <c r="O7907" t="s">
        <v>345</v>
      </c>
      <c r="P7907" s="42">
        <v>44102</v>
      </c>
      <c r="Q7907" t="s">
        <v>345</v>
      </c>
      <c r="R7907" t="s">
        <v>320</v>
      </c>
      <c r="S7907" t="s">
        <v>323</v>
      </c>
      <c r="U7907">
        <v>4.5</v>
      </c>
    </row>
    <row r="7908" spans="1:25">
      <c r="N7908" s="42">
        <v>44049</v>
      </c>
      <c r="O7908" t="s">
        <v>324</v>
      </c>
      <c r="P7908" s="42">
        <v>44049</v>
      </c>
      <c r="Q7908" t="s">
        <v>324</v>
      </c>
      <c r="R7908" t="s">
        <v>329</v>
      </c>
      <c r="S7908" t="s">
        <v>323</v>
      </c>
      <c r="T7908">
        <v>7.6</v>
      </c>
      <c r="W7908" t="s">
        <v>339</v>
      </c>
      <c r="Y7908" s="42">
        <v>44061</v>
      </c>
    </row>
    <row r="7909" spans="1:25">
      <c r="A7909">
        <v>18900</v>
      </c>
      <c r="B7909" t="s">
        <v>441</v>
      </c>
      <c r="C7909" t="s">
        <v>320</v>
      </c>
      <c r="D7909" t="s">
        <v>375</v>
      </c>
      <c r="E7909" t="s">
        <v>376</v>
      </c>
      <c r="F7909">
        <v>1</v>
      </c>
      <c r="G7909" s="42">
        <v>45335</v>
      </c>
      <c r="H7909">
        <v>0</v>
      </c>
      <c r="I7909">
        <v>0</v>
      </c>
      <c r="J7909">
        <v>0</v>
      </c>
      <c r="K7909">
        <v>0</v>
      </c>
      <c r="L7909" t="s">
        <v>323</v>
      </c>
      <c r="M7909" s="43">
        <v>9.0972222222222218E-2</v>
      </c>
      <c r="N7909" s="42">
        <v>44869</v>
      </c>
      <c r="O7909" t="s">
        <v>346</v>
      </c>
      <c r="P7909" s="42">
        <v>44869</v>
      </c>
      <c r="Q7909" t="s">
        <v>346</v>
      </c>
      <c r="R7909" t="s">
        <v>320</v>
      </c>
      <c r="S7909" t="s">
        <v>323</v>
      </c>
      <c r="T7909">
        <v>-199.3939</v>
      </c>
      <c r="U7909">
        <v>0</v>
      </c>
    </row>
    <row r="7910" spans="1:25">
      <c r="C7910" t="s">
        <v>325</v>
      </c>
      <c r="D7910" t="s">
        <v>352</v>
      </c>
      <c r="E7910" t="s">
        <v>353</v>
      </c>
      <c r="F7910">
        <v>1</v>
      </c>
      <c r="G7910" s="42">
        <v>47559</v>
      </c>
      <c r="H7910">
        <v>329.346</v>
      </c>
      <c r="I7910">
        <v>0</v>
      </c>
      <c r="J7910">
        <v>97.640799999999999</v>
      </c>
      <c r="K7910">
        <v>97.640799999999999</v>
      </c>
      <c r="L7910" t="s">
        <v>323</v>
      </c>
      <c r="N7910" s="42">
        <v>44496</v>
      </c>
      <c r="O7910" t="s">
        <v>328</v>
      </c>
      <c r="P7910" s="42">
        <v>44496</v>
      </c>
      <c r="Q7910" t="s">
        <v>328</v>
      </c>
      <c r="R7910" t="s">
        <v>320</v>
      </c>
      <c r="S7910" t="s">
        <v>323</v>
      </c>
      <c r="T7910">
        <v>199.3939</v>
      </c>
      <c r="Y7910" s="42">
        <v>44495</v>
      </c>
    </row>
    <row r="7911" spans="1:25">
      <c r="C7911" t="s">
        <v>329</v>
      </c>
      <c r="D7911" t="s">
        <v>379</v>
      </c>
      <c r="E7911" t="s">
        <v>380</v>
      </c>
      <c r="F7911">
        <v>1</v>
      </c>
      <c r="G7911" s="42">
        <v>45335</v>
      </c>
      <c r="H7911">
        <v>0</v>
      </c>
      <c r="I7911">
        <v>119.9983</v>
      </c>
      <c r="J7911">
        <v>0</v>
      </c>
      <c r="K7911">
        <v>119.9983</v>
      </c>
      <c r="L7911" t="s">
        <v>323</v>
      </c>
      <c r="N7911" s="42">
        <v>44473</v>
      </c>
      <c r="O7911" t="s">
        <v>345</v>
      </c>
      <c r="P7911" s="42">
        <v>44473</v>
      </c>
      <c r="Q7911" t="s">
        <v>345</v>
      </c>
      <c r="R7911" t="s">
        <v>320</v>
      </c>
      <c r="S7911" t="s">
        <v>323</v>
      </c>
      <c r="U7911">
        <v>7.6</v>
      </c>
    </row>
    <row r="7912" spans="1:25">
      <c r="N7912" s="42">
        <v>44452</v>
      </c>
      <c r="O7912" t="s">
        <v>345</v>
      </c>
      <c r="P7912" s="42">
        <v>44452</v>
      </c>
      <c r="Q7912" t="s">
        <v>345</v>
      </c>
      <c r="R7912" t="s">
        <v>320</v>
      </c>
      <c r="S7912" t="s">
        <v>323</v>
      </c>
      <c r="T7912">
        <v>7.6</v>
      </c>
      <c r="Y7912" s="42">
        <v>44453</v>
      </c>
    </row>
    <row r="7913" spans="1:25">
      <c r="N7913" s="42">
        <v>44449</v>
      </c>
      <c r="O7913" t="s">
        <v>346</v>
      </c>
      <c r="P7913" s="42">
        <v>44449</v>
      </c>
      <c r="Q7913" t="s">
        <v>346</v>
      </c>
      <c r="R7913" t="s">
        <v>320</v>
      </c>
      <c r="S7913" t="s">
        <v>323</v>
      </c>
      <c r="T7913">
        <v>7.6</v>
      </c>
      <c r="Y7913" s="42">
        <v>44453</v>
      </c>
    </row>
    <row r="7914" spans="1:25">
      <c r="N7914" s="42">
        <v>44361</v>
      </c>
      <c r="O7914" t="s">
        <v>345</v>
      </c>
      <c r="P7914" s="42">
        <v>44361</v>
      </c>
      <c r="Q7914" t="s">
        <v>345</v>
      </c>
      <c r="R7914" t="s">
        <v>320</v>
      </c>
      <c r="S7914" t="s">
        <v>323</v>
      </c>
      <c r="U7914">
        <v>7.6</v>
      </c>
    </row>
    <row r="7915" spans="1:25">
      <c r="N7915" s="42">
        <v>44291</v>
      </c>
      <c r="O7915" t="s">
        <v>345</v>
      </c>
      <c r="P7915" s="42">
        <v>44291</v>
      </c>
      <c r="Q7915" t="s">
        <v>345</v>
      </c>
      <c r="R7915" t="s">
        <v>320</v>
      </c>
      <c r="S7915" t="s">
        <v>323</v>
      </c>
      <c r="U7915">
        <v>7.6</v>
      </c>
    </row>
    <row r="7916" spans="1:25">
      <c r="N7916" s="42">
        <v>44288</v>
      </c>
      <c r="O7916" t="s">
        <v>346</v>
      </c>
      <c r="P7916" s="42">
        <v>44288</v>
      </c>
      <c r="Q7916" t="s">
        <v>346</v>
      </c>
      <c r="R7916" t="s">
        <v>320</v>
      </c>
      <c r="S7916" t="s">
        <v>323</v>
      </c>
      <c r="U7916">
        <v>7.6</v>
      </c>
    </row>
    <row r="7917" spans="1:25">
      <c r="N7917" s="42">
        <v>44243</v>
      </c>
      <c r="O7917" t="s">
        <v>333</v>
      </c>
      <c r="P7917" s="42">
        <v>44243</v>
      </c>
      <c r="Q7917" t="s">
        <v>333</v>
      </c>
      <c r="R7917" t="s">
        <v>320</v>
      </c>
      <c r="S7917" t="s">
        <v>323</v>
      </c>
      <c r="T7917">
        <v>7.6</v>
      </c>
      <c r="Y7917" s="42">
        <v>44243</v>
      </c>
    </row>
    <row r="7918" spans="1:25">
      <c r="N7918" s="42">
        <v>44222</v>
      </c>
      <c r="O7918" t="s">
        <v>333</v>
      </c>
      <c r="P7918" s="42">
        <v>44222</v>
      </c>
      <c r="Q7918" t="s">
        <v>333</v>
      </c>
      <c r="R7918" t="s">
        <v>320</v>
      </c>
      <c r="S7918" t="s">
        <v>323</v>
      </c>
      <c r="U7918">
        <v>7.6</v>
      </c>
    </row>
    <row r="7919" spans="1:25">
      <c r="N7919" s="42">
        <v>44221</v>
      </c>
      <c r="O7919" t="s">
        <v>345</v>
      </c>
      <c r="P7919" s="42">
        <v>44221</v>
      </c>
      <c r="Q7919" t="s">
        <v>345</v>
      </c>
      <c r="R7919" t="s">
        <v>320</v>
      </c>
      <c r="S7919" t="s">
        <v>323</v>
      </c>
      <c r="T7919">
        <v>7.6</v>
      </c>
      <c r="V7919">
        <v>0</v>
      </c>
      <c r="Y7919" s="42">
        <v>44229</v>
      </c>
    </row>
    <row r="7920" spans="1:25">
      <c r="N7920" s="42">
        <v>44201</v>
      </c>
      <c r="O7920" t="s">
        <v>333</v>
      </c>
      <c r="P7920" s="42">
        <v>44201</v>
      </c>
      <c r="Q7920" t="s">
        <v>333</v>
      </c>
      <c r="R7920" t="s">
        <v>320</v>
      </c>
      <c r="S7920" t="s">
        <v>323</v>
      </c>
      <c r="T7920">
        <v>7.6</v>
      </c>
      <c r="Y7920" s="42">
        <v>44201</v>
      </c>
    </row>
    <row r="7921" spans="1:25">
      <c r="N7921" s="42">
        <v>44197</v>
      </c>
      <c r="O7921" t="s">
        <v>346</v>
      </c>
      <c r="P7921" s="42">
        <v>44197</v>
      </c>
      <c r="Q7921" t="s">
        <v>346</v>
      </c>
      <c r="R7921" t="s">
        <v>320</v>
      </c>
      <c r="S7921" t="s">
        <v>323</v>
      </c>
      <c r="U7921">
        <v>7.6</v>
      </c>
    </row>
    <row r="7922" spans="1:25">
      <c r="N7922" s="42">
        <v>44193</v>
      </c>
      <c r="O7922" t="s">
        <v>345</v>
      </c>
      <c r="P7922" s="42">
        <v>44193</v>
      </c>
      <c r="Q7922" t="s">
        <v>345</v>
      </c>
      <c r="R7922" t="s">
        <v>320</v>
      </c>
      <c r="S7922" t="s">
        <v>323</v>
      </c>
      <c r="U7922">
        <v>7.6</v>
      </c>
    </row>
    <row r="7923" spans="1:25">
      <c r="N7923" s="42">
        <v>44190</v>
      </c>
      <c r="O7923" t="s">
        <v>346</v>
      </c>
      <c r="P7923" s="42">
        <v>44190</v>
      </c>
      <c r="Q7923" t="s">
        <v>346</v>
      </c>
      <c r="R7923" t="s">
        <v>320</v>
      </c>
      <c r="S7923" t="s">
        <v>323</v>
      </c>
      <c r="U7923">
        <v>7.6</v>
      </c>
    </row>
    <row r="7924" spans="1:25">
      <c r="N7924" s="42">
        <v>44119</v>
      </c>
      <c r="O7924" t="s">
        <v>324</v>
      </c>
      <c r="P7924" s="42">
        <v>44119</v>
      </c>
      <c r="Q7924" t="s">
        <v>324</v>
      </c>
      <c r="R7924" t="s">
        <v>320</v>
      </c>
      <c r="S7924" t="s">
        <v>323</v>
      </c>
      <c r="T7924">
        <v>7.6</v>
      </c>
      <c r="Y7924" s="42">
        <v>44131</v>
      </c>
    </row>
    <row r="7925" spans="1:25">
      <c r="N7925" s="42">
        <v>44109</v>
      </c>
      <c r="O7925" t="s">
        <v>345</v>
      </c>
      <c r="P7925" s="42">
        <v>44109</v>
      </c>
      <c r="Q7925" t="s">
        <v>345</v>
      </c>
      <c r="R7925" t="s">
        <v>320</v>
      </c>
      <c r="S7925" t="s">
        <v>323</v>
      </c>
      <c r="U7925">
        <v>7.6</v>
      </c>
    </row>
    <row r="7926" spans="1:25">
      <c r="N7926" s="42">
        <v>43908</v>
      </c>
      <c r="O7926" t="s">
        <v>328</v>
      </c>
      <c r="P7926" s="42">
        <v>43916</v>
      </c>
      <c r="Q7926" t="s">
        <v>324</v>
      </c>
      <c r="R7926" t="s">
        <v>338</v>
      </c>
      <c r="S7926" t="s">
        <v>323</v>
      </c>
      <c r="T7926">
        <v>53.2</v>
      </c>
      <c r="W7926" t="s">
        <v>330</v>
      </c>
      <c r="Y7926" s="42">
        <v>43921</v>
      </c>
    </row>
    <row r="7927" spans="1:25">
      <c r="N7927" s="42">
        <v>43894</v>
      </c>
      <c r="O7927" t="s">
        <v>328</v>
      </c>
      <c r="P7927" s="42">
        <v>43907</v>
      </c>
      <c r="Q7927" t="s">
        <v>333</v>
      </c>
      <c r="R7927" t="s">
        <v>338</v>
      </c>
      <c r="S7927" t="s">
        <v>323</v>
      </c>
      <c r="T7927">
        <v>76</v>
      </c>
      <c r="W7927" t="s">
        <v>330</v>
      </c>
      <c r="Y7927" s="42">
        <v>43907</v>
      </c>
    </row>
    <row r="7928" spans="1:25">
      <c r="N7928" s="42">
        <v>43885</v>
      </c>
      <c r="O7928" t="s">
        <v>345</v>
      </c>
      <c r="P7928" s="42">
        <v>43893</v>
      </c>
      <c r="Q7928" t="s">
        <v>333</v>
      </c>
      <c r="R7928" t="s">
        <v>338</v>
      </c>
      <c r="S7928" t="s">
        <v>323</v>
      </c>
      <c r="T7928">
        <v>53.2</v>
      </c>
      <c r="W7928" t="s">
        <v>330</v>
      </c>
      <c r="Y7928" s="42">
        <v>43893</v>
      </c>
    </row>
    <row r="7929" spans="1:25">
      <c r="A7929">
        <v>18903</v>
      </c>
      <c r="B7929" t="s">
        <v>442</v>
      </c>
      <c r="C7929" t="s">
        <v>320</v>
      </c>
      <c r="D7929" t="s">
        <v>336</v>
      </c>
      <c r="E7929" t="s">
        <v>337</v>
      </c>
      <c r="F7929">
        <v>1</v>
      </c>
      <c r="G7929" s="42">
        <v>44989</v>
      </c>
      <c r="H7929">
        <v>152</v>
      </c>
      <c r="I7929">
        <v>96.3</v>
      </c>
      <c r="J7929">
        <v>152</v>
      </c>
      <c r="K7929">
        <v>248.3</v>
      </c>
      <c r="L7929" t="s">
        <v>323</v>
      </c>
      <c r="M7929" s="43">
        <v>0.125</v>
      </c>
      <c r="N7929" s="42">
        <v>44952</v>
      </c>
      <c r="O7929" t="s">
        <v>324</v>
      </c>
      <c r="P7929" s="42">
        <v>44952</v>
      </c>
      <c r="Q7929" t="s">
        <v>324</v>
      </c>
      <c r="R7929" t="s">
        <v>320</v>
      </c>
      <c r="S7929" t="s">
        <v>323</v>
      </c>
      <c r="U7929">
        <v>7.6</v>
      </c>
    </row>
    <row r="7930" spans="1:25">
      <c r="C7930" t="s">
        <v>325</v>
      </c>
      <c r="D7930" t="s">
        <v>352</v>
      </c>
      <c r="E7930" t="s">
        <v>353</v>
      </c>
      <c r="F7930">
        <v>1</v>
      </c>
      <c r="G7930" s="42">
        <v>47546</v>
      </c>
      <c r="H7930">
        <v>329.346</v>
      </c>
      <c r="I7930">
        <v>0</v>
      </c>
      <c r="J7930">
        <v>98.749700000000004</v>
      </c>
      <c r="K7930">
        <v>98.749700000000004</v>
      </c>
      <c r="L7930" t="s">
        <v>323</v>
      </c>
      <c r="N7930" s="42">
        <v>44951</v>
      </c>
      <c r="O7930" t="s">
        <v>328</v>
      </c>
      <c r="P7930" s="42">
        <v>44951</v>
      </c>
      <c r="Q7930" t="s">
        <v>328</v>
      </c>
      <c r="R7930" t="s">
        <v>320</v>
      </c>
      <c r="S7930" t="s">
        <v>323</v>
      </c>
      <c r="T7930">
        <v>7.6</v>
      </c>
      <c r="Y7930" s="42">
        <v>44957</v>
      </c>
    </row>
    <row r="7931" spans="1:25">
      <c r="C7931" t="s">
        <v>329</v>
      </c>
      <c r="D7931" t="s">
        <v>342</v>
      </c>
      <c r="E7931" t="s">
        <v>343</v>
      </c>
      <c r="F7931">
        <v>1</v>
      </c>
      <c r="G7931" s="42">
        <v>44989</v>
      </c>
      <c r="H7931">
        <v>76</v>
      </c>
      <c r="I7931">
        <v>35.6</v>
      </c>
      <c r="J7931">
        <v>76</v>
      </c>
      <c r="K7931">
        <v>111.6</v>
      </c>
      <c r="L7931" t="s">
        <v>323</v>
      </c>
      <c r="N7931" s="42">
        <v>44950</v>
      </c>
      <c r="O7931" t="s">
        <v>333</v>
      </c>
      <c r="P7931" s="42">
        <v>44950</v>
      </c>
      <c r="Q7931" t="s">
        <v>333</v>
      </c>
      <c r="R7931" t="s">
        <v>320</v>
      </c>
      <c r="S7931" t="s">
        <v>323</v>
      </c>
      <c r="T7931">
        <v>7.6</v>
      </c>
      <c r="Y7931" s="42">
        <v>44957</v>
      </c>
    </row>
    <row r="7932" spans="1:25">
      <c r="N7932" s="42">
        <v>44922</v>
      </c>
      <c r="O7932" t="s">
        <v>333</v>
      </c>
      <c r="P7932" s="42">
        <v>44922</v>
      </c>
      <c r="Q7932" t="s">
        <v>333</v>
      </c>
      <c r="R7932" t="s">
        <v>320</v>
      </c>
      <c r="S7932" t="s">
        <v>323</v>
      </c>
      <c r="U7932">
        <v>7.6</v>
      </c>
    </row>
    <row r="7933" spans="1:25">
      <c r="N7933" s="42">
        <v>44884</v>
      </c>
      <c r="O7933" t="s">
        <v>359</v>
      </c>
      <c r="P7933" s="42">
        <v>44884</v>
      </c>
      <c r="Q7933" t="s">
        <v>359</v>
      </c>
      <c r="R7933" t="s">
        <v>320</v>
      </c>
      <c r="S7933" t="s">
        <v>323</v>
      </c>
      <c r="T7933">
        <v>7.6</v>
      </c>
      <c r="Y7933" s="42">
        <v>44887</v>
      </c>
    </row>
    <row r="7934" spans="1:25">
      <c r="N7934" s="42">
        <v>44883</v>
      </c>
      <c r="O7934" t="s">
        <v>346</v>
      </c>
      <c r="P7934" s="42">
        <v>44883</v>
      </c>
      <c r="Q7934" t="s">
        <v>346</v>
      </c>
      <c r="R7934" t="s">
        <v>320</v>
      </c>
      <c r="S7934" t="s">
        <v>323</v>
      </c>
      <c r="T7934">
        <v>7.6</v>
      </c>
      <c r="Y7934" s="42">
        <v>44887</v>
      </c>
    </row>
    <row r="7935" spans="1:25">
      <c r="N7935" s="42">
        <v>44882</v>
      </c>
      <c r="O7935" t="s">
        <v>324</v>
      </c>
      <c r="P7935" s="42">
        <v>44882</v>
      </c>
      <c r="Q7935" t="s">
        <v>324</v>
      </c>
      <c r="R7935" t="s">
        <v>320</v>
      </c>
      <c r="S7935" t="s">
        <v>323</v>
      </c>
      <c r="T7935">
        <v>7.6</v>
      </c>
      <c r="Y7935" s="42">
        <v>44887</v>
      </c>
    </row>
    <row r="7936" spans="1:25">
      <c r="N7936" s="42">
        <v>44826</v>
      </c>
      <c r="O7936" t="s">
        <v>324</v>
      </c>
      <c r="P7936" s="42">
        <v>44826</v>
      </c>
      <c r="Q7936" t="s">
        <v>324</v>
      </c>
      <c r="R7936" t="s">
        <v>320</v>
      </c>
      <c r="S7936" t="s">
        <v>323</v>
      </c>
      <c r="U7936">
        <v>7.6</v>
      </c>
    </row>
    <row r="7937" spans="14:25">
      <c r="N7937" s="42">
        <v>44820</v>
      </c>
      <c r="O7937" t="s">
        <v>346</v>
      </c>
      <c r="P7937" s="42">
        <v>44820</v>
      </c>
      <c r="Q7937" t="s">
        <v>346</v>
      </c>
      <c r="R7937" t="s">
        <v>329</v>
      </c>
      <c r="S7937" t="s">
        <v>323</v>
      </c>
      <c r="T7937">
        <v>2</v>
      </c>
      <c r="W7937" t="s">
        <v>330</v>
      </c>
      <c r="Y7937" s="42">
        <v>44831</v>
      </c>
    </row>
    <row r="7938" spans="14:25">
      <c r="N7938" s="42">
        <v>44803</v>
      </c>
      <c r="O7938" t="s">
        <v>333</v>
      </c>
      <c r="P7938" s="42">
        <v>44803</v>
      </c>
      <c r="Q7938" t="s">
        <v>333</v>
      </c>
      <c r="R7938" t="s">
        <v>320</v>
      </c>
      <c r="S7938" t="s">
        <v>323</v>
      </c>
      <c r="T7938">
        <v>2.5</v>
      </c>
      <c r="Y7938" s="42">
        <v>44803</v>
      </c>
    </row>
    <row r="7939" spans="14:25">
      <c r="N7939" s="42">
        <v>44749</v>
      </c>
      <c r="O7939" t="s">
        <v>324</v>
      </c>
      <c r="P7939" s="42">
        <v>44749</v>
      </c>
      <c r="Q7939" t="s">
        <v>324</v>
      </c>
      <c r="R7939" t="s">
        <v>329</v>
      </c>
      <c r="S7939" t="s">
        <v>323</v>
      </c>
      <c r="T7939">
        <v>7.6</v>
      </c>
      <c r="W7939" t="s">
        <v>330</v>
      </c>
      <c r="Y7939" s="42">
        <v>44761</v>
      </c>
    </row>
    <row r="7940" spans="14:25">
      <c r="N7940" s="42">
        <v>44748</v>
      </c>
      <c r="O7940" t="s">
        <v>328</v>
      </c>
      <c r="P7940" s="42">
        <v>44748</v>
      </c>
      <c r="Q7940" t="s">
        <v>328</v>
      </c>
      <c r="R7940" t="s">
        <v>329</v>
      </c>
      <c r="S7940" t="s">
        <v>323</v>
      </c>
      <c r="T7940">
        <v>7.6</v>
      </c>
      <c r="W7940" t="s">
        <v>330</v>
      </c>
      <c r="Y7940" s="42">
        <v>44761</v>
      </c>
    </row>
    <row r="7941" spans="14:25">
      <c r="N7941" s="42">
        <v>44747</v>
      </c>
      <c r="O7941" t="s">
        <v>333</v>
      </c>
      <c r="P7941" s="42">
        <v>44747</v>
      </c>
      <c r="Q7941" t="s">
        <v>333</v>
      </c>
      <c r="R7941" t="s">
        <v>329</v>
      </c>
      <c r="S7941" t="s">
        <v>323</v>
      </c>
      <c r="T7941">
        <v>7.6</v>
      </c>
      <c r="W7941" t="s">
        <v>330</v>
      </c>
      <c r="Y7941" s="42">
        <v>44747</v>
      </c>
    </row>
    <row r="7942" spans="14:25">
      <c r="N7942" s="42">
        <v>44744</v>
      </c>
      <c r="O7942" t="s">
        <v>359</v>
      </c>
      <c r="P7942" s="42">
        <v>44744</v>
      </c>
      <c r="Q7942" t="s">
        <v>359</v>
      </c>
      <c r="R7942" t="s">
        <v>329</v>
      </c>
      <c r="S7942" t="s">
        <v>323</v>
      </c>
      <c r="T7942">
        <v>7.6</v>
      </c>
      <c r="W7942" t="s">
        <v>330</v>
      </c>
      <c r="Y7942" s="42">
        <v>44747</v>
      </c>
    </row>
    <row r="7943" spans="14:25">
      <c r="N7943" s="42">
        <v>44743</v>
      </c>
      <c r="O7943" t="s">
        <v>346</v>
      </c>
      <c r="P7943" s="42">
        <v>44743</v>
      </c>
      <c r="Q7943" t="s">
        <v>346</v>
      </c>
      <c r="R7943" t="s">
        <v>320</v>
      </c>
      <c r="S7943" t="s">
        <v>323</v>
      </c>
      <c r="T7943">
        <v>7.6</v>
      </c>
      <c r="Y7943" s="42">
        <v>44747</v>
      </c>
    </row>
    <row r="7944" spans="14:25">
      <c r="N7944" s="42">
        <v>44742</v>
      </c>
      <c r="O7944" t="s">
        <v>324</v>
      </c>
      <c r="P7944" s="42">
        <v>44742</v>
      </c>
      <c r="Q7944" t="s">
        <v>324</v>
      </c>
      <c r="R7944" t="s">
        <v>320</v>
      </c>
      <c r="S7944" t="s">
        <v>323</v>
      </c>
      <c r="T7944">
        <v>7.6</v>
      </c>
      <c r="Y7944" s="42">
        <v>44747</v>
      </c>
    </row>
    <row r="7945" spans="14:25">
      <c r="N7945" s="42">
        <v>44741</v>
      </c>
      <c r="O7945" t="s">
        <v>328</v>
      </c>
      <c r="P7945" s="42">
        <v>44741</v>
      </c>
      <c r="Q7945" t="s">
        <v>328</v>
      </c>
      <c r="R7945" t="s">
        <v>320</v>
      </c>
      <c r="S7945" t="s">
        <v>323</v>
      </c>
      <c r="T7945">
        <v>7.6</v>
      </c>
      <c r="Y7945" s="42">
        <v>44747</v>
      </c>
    </row>
    <row r="7946" spans="14:25">
      <c r="N7946" s="42">
        <v>44740</v>
      </c>
      <c r="O7946" t="s">
        <v>333</v>
      </c>
      <c r="P7946" s="42">
        <v>44740</v>
      </c>
      <c r="Q7946" t="s">
        <v>333</v>
      </c>
      <c r="R7946" t="s">
        <v>320</v>
      </c>
      <c r="S7946" t="s">
        <v>323</v>
      </c>
      <c r="T7946">
        <v>7.6</v>
      </c>
      <c r="Y7946" s="42">
        <v>44747</v>
      </c>
    </row>
    <row r="7947" spans="14:25">
      <c r="N7947" s="42">
        <v>44686</v>
      </c>
      <c r="O7947" t="s">
        <v>324</v>
      </c>
      <c r="P7947" s="42">
        <v>44686</v>
      </c>
      <c r="Q7947" t="s">
        <v>324</v>
      </c>
      <c r="R7947" t="s">
        <v>329</v>
      </c>
      <c r="S7947" t="s">
        <v>323</v>
      </c>
      <c r="T7947">
        <v>4</v>
      </c>
      <c r="W7947" t="s">
        <v>330</v>
      </c>
      <c r="Y7947" s="42">
        <v>44691</v>
      </c>
    </row>
    <row r="7948" spans="14:25">
      <c r="N7948" s="42">
        <v>44671</v>
      </c>
      <c r="O7948" t="s">
        <v>328</v>
      </c>
      <c r="P7948" s="42">
        <v>44671</v>
      </c>
      <c r="Q7948" t="s">
        <v>328</v>
      </c>
      <c r="R7948" t="s">
        <v>320</v>
      </c>
      <c r="S7948" t="s">
        <v>323</v>
      </c>
      <c r="T7948">
        <v>7.6</v>
      </c>
      <c r="Y7948" s="42">
        <v>44677</v>
      </c>
    </row>
    <row r="7949" spans="14:25">
      <c r="N7949" s="42">
        <v>44670</v>
      </c>
      <c r="O7949" t="s">
        <v>333</v>
      </c>
      <c r="P7949" s="42">
        <v>44670</v>
      </c>
      <c r="Q7949" t="s">
        <v>333</v>
      </c>
      <c r="R7949" t="s">
        <v>320</v>
      </c>
      <c r="S7949" t="s">
        <v>323</v>
      </c>
      <c r="T7949">
        <v>7.6</v>
      </c>
      <c r="Y7949" s="42">
        <v>44677</v>
      </c>
    </row>
    <row r="7950" spans="14:25">
      <c r="N7950" s="42">
        <v>44667</v>
      </c>
      <c r="O7950" t="s">
        <v>359</v>
      </c>
      <c r="P7950" s="42">
        <v>44667</v>
      </c>
      <c r="Q7950" t="s">
        <v>359</v>
      </c>
      <c r="R7950" t="s">
        <v>320</v>
      </c>
      <c r="S7950" t="s">
        <v>323</v>
      </c>
      <c r="U7950">
        <v>7.6</v>
      </c>
    </row>
    <row r="7951" spans="14:25">
      <c r="N7951" s="42">
        <v>44666</v>
      </c>
      <c r="O7951" t="s">
        <v>346</v>
      </c>
      <c r="P7951" s="42">
        <v>44666</v>
      </c>
      <c r="Q7951" t="s">
        <v>346</v>
      </c>
      <c r="R7951" t="s">
        <v>320</v>
      </c>
      <c r="S7951" t="s">
        <v>323</v>
      </c>
      <c r="U7951">
        <v>7.6</v>
      </c>
    </row>
    <row r="7952" spans="14:25">
      <c r="N7952" s="42">
        <v>44651</v>
      </c>
      <c r="O7952" t="s">
        <v>324</v>
      </c>
      <c r="P7952" s="42">
        <v>44651</v>
      </c>
      <c r="Q7952" t="s">
        <v>324</v>
      </c>
      <c r="R7952" t="s">
        <v>329</v>
      </c>
      <c r="S7952" t="s">
        <v>323</v>
      </c>
      <c r="T7952">
        <v>7.6</v>
      </c>
      <c r="W7952" t="s">
        <v>330</v>
      </c>
      <c r="Y7952" s="42">
        <v>44663</v>
      </c>
    </row>
    <row r="7953" spans="14:25">
      <c r="N7953" s="42">
        <v>44629</v>
      </c>
      <c r="O7953" t="s">
        <v>328</v>
      </c>
      <c r="P7953" s="42">
        <v>44629</v>
      </c>
      <c r="Q7953" t="s">
        <v>328</v>
      </c>
      <c r="R7953" t="s">
        <v>320</v>
      </c>
      <c r="S7953" t="s">
        <v>323</v>
      </c>
      <c r="T7953">
        <v>7.6</v>
      </c>
      <c r="Y7953" s="42">
        <v>44635</v>
      </c>
    </row>
    <row r="7954" spans="14:25">
      <c r="N7954" s="42">
        <v>44628</v>
      </c>
      <c r="O7954" t="s">
        <v>333</v>
      </c>
      <c r="P7954" s="42">
        <v>44628</v>
      </c>
      <c r="Q7954" t="s">
        <v>333</v>
      </c>
      <c r="R7954" t="s">
        <v>320</v>
      </c>
      <c r="S7954" t="s">
        <v>323</v>
      </c>
      <c r="T7954">
        <v>7.6</v>
      </c>
      <c r="Y7954" s="42">
        <v>44635</v>
      </c>
    </row>
    <row r="7955" spans="14:25">
      <c r="N7955" s="42">
        <v>44596</v>
      </c>
      <c r="O7955" t="s">
        <v>346</v>
      </c>
      <c r="P7955" s="42">
        <v>44596</v>
      </c>
      <c r="Q7955" t="s">
        <v>346</v>
      </c>
      <c r="R7955" t="s">
        <v>320</v>
      </c>
      <c r="S7955" t="s">
        <v>323</v>
      </c>
      <c r="T7955">
        <v>7.6</v>
      </c>
      <c r="Y7955" s="42">
        <v>44607</v>
      </c>
    </row>
    <row r="7956" spans="14:25">
      <c r="N7956" s="42">
        <v>44595</v>
      </c>
      <c r="O7956" t="s">
        <v>324</v>
      </c>
      <c r="P7956" s="42">
        <v>44595</v>
      </c>
      <c r="Q7956" t="s">
        <v>324</v>
      </c>
      <c r="R7956" t="s">
        <v>320</v>
      </c>
      <c r="S7956" t="s">
        <v>323</v>
      </c>
      <c r="T7956">
        <v>7.6</v>
      </c>
      <c r="Y7956" s="42">
        <v>44607</v>
      </c>
    </row>
    <row r="7957" spans="14:25">
      <c r="N7957" s="42">
        <v>44594</v>
      </c>
      <c r="O7957" t="s">
        <v>328</v>
      </c>
      <c r="P7957" s="42">
        <v>44594</v>
      </c>
      <c r="Q7957" t="s">
        <v>328</v>
      </c>
      <c r="R7957" t="s">
        <v>320</v>
      </c>
      <c r="S7957" t="s">
        <v>323</v>
      </c>
      <c r="T7957">
        <v>7.6</v>
      </c>
      <c r="Y7957" s="42">
        <v>44607</v>
      </c>
    </row>
    <row r="7958" spans="14:25">
      <c r="N7958" s="42">
        <v>44593</v>
      </c>
      <c r="O7958" t="s">
        <v>333</v>
      </c>
      <c r="P7958" s="42">
        <v>44593</v>
      </c>
      <c r="Q7958" t="s">
        <v>333</v>
      </c>
      <c r="R7958" t="s">
        <v>320</v>
      </c>
      <c r="S7958" t="s">
        <v>323</v>
      </c>
      <c r="T7958">
        <v>7.6</v>
      </c>
      <c r="Y7958" s="42">
        <v>44593</v>
      </c>
    </row>
    <row r="7959" spans="14:25">
      <c r="N7959" s="42">
        <v>44587</v>
      </c>
      <c r="O7959" t="s">
        <v>328</v>
      </c>
      <c r="P7959" s="42">
        <v>44587</v>
      </c>
      <c r="Q7959" t="s">
        <v>328</v>
      </c>
      <c r="R7959" t="s">
        <v>320</v>
      </c>
      <c r="S7959" t="s">
        <v>323</v>
      </c>
      <c r="U7959">
        <v>7.6</v>
      </c>
    </row>
    <row r="7960" spans="14:25">
      <c r="N7960" s="42">
        <v>44573</v>
      </c>
      <c r="O7960" t="s">
        <v>328</v>
      </c>
      <c r="P7960" s="42">
        <v>44573</v>
      </c>
      <c r="Q7960" t="s">
        <v>328</v>
      </c>
      <c r="R7960" t="s">
        <v>320</v>
      </c>
      <c r="S7960" t="s">
        <v>323</v>
      </c>
      <c r="T7960">
        <v>7.6</v>
      </c>
      <c r="Y7960" s="42">
        <v>44579</v>
      </c>
    </row>
    <row r="7961" spans="14:25">
      <c r="N7961" s="42">
        <v>44572</v>
      </c>
      <c r="O7961" t="s">
        <v>333</v>
      </c>
      <c r="P7961" s="42">
        <v>44572</v>
      </c>
      <c r="Q7961" t="s">
        <v>333</v>
      </c>
      <c r="R7961" t="s">
        <v>320</v>
      </c>
      <c r="S7961" t="s">
        <v>323</v>
      </c>
      <c r="T7961">
        <v>7.6</v>
      </c>
      <c r="Y7961" s="42">
        <v>44579</v>
      </c>
    </row>
    <row r="7962" spans="14:25">
      <c r="N7962" s="42">
        <v>44562</v>
      </c>
      <c r="O7962" t="s">
        <v>359</v>
      </c>
      <c r="P7962" s="42">
        <v>44562</v>
      </c>
      <c r="Q7962" t="s">
        <v>359</v>
      </c>
      <c r="R7962" t="s">
        <v>320</v>
      </c>
      <c r="S7962" t="s">
        <v>323</v>
      </c>
      <c r="U7962">
        <v>7.6</v>
      </c>
    </row>
    <row r="7963" spans="14:25">
      <c r="N7963" s="42">
        <v>44561</v>
      </c>
      <c r="O7963" t="s">
        <v>346</v>
      </c>
      <c r="P7963" s="42">
        <v>44561</v>
      </c>
      <c r="Q7963" t="s">
        <v>346</v>
      </c>
      <c r="R7963" t="s">
        <v>320</v>
      </c>
      <c r="S7963" t="s">
        <v>323</v>
      </c>
      <c r="T7963">
        <v>7.6</v>
      </c>
      <c r="Y7963" s="42">
        <v>44565</v>
      </c>
    </row>
    <row r="7964" spans="14:25">
      <c r="N7964" s="42">
        <v>44560</v>
      </c>
      <c r="O7964" t="s">
        <v>324</v>
      </c>
      <c r="P7964" s="42">
        <v>44560</v>
      </c>
      <c r="Q7964" t="s">
        <v>324</v>
      </c>
      <c r="R7964" t="s">
        <v>320</v>
      </c>
      <c r="S7964" t="s">
        <v>323</v>
      </c>
      <c r="T7964">
        <v>7.6</v>
      </c>
      <c r="Y7964" s="42">
        <v>44565</v>
      </c>
    </row>
    <row r="7965" spans="14:25">
      <c r="N7965" s="42">
        <v>44559</v>
      </c>
      <c r="O7965" t="s">
        <v>328</v>
      </c>
      <c r="P7965" s="42">
        <v>44559</v>
      </c>
      <c r="Q7965" t="s">
        <v>328</v>
      </c>
      <c r="R7965" t="s">
        <v>320</v>
      </c>
      <c r="S7965" t="s">
        <v>323</v>
      </c>
      <c r="T7965">
        <v>7.6</v>
      </c>
      <c r="Y7965" s="42">
        <v>44565</v>
      </c>
    </row>
    <row r="7966" spans="14:25">
      <c r="N7966" s="42">
        <v>44558</v>
      </c>
      <c r="O7966" t="s">
        <v>333</v>
      </c>
      <c r="P7966" s="42">
        <v>44558</v>
      </c>
      <c r="Q7966" t="s">
        <v>333</v>
      </c>
      <c r="R7966" t="s">
        <v>320</v>
      </c>
      <c r="S7966" t="s">
        <v>323</v>
      </c>
      <c r="U7966">
        <v>7.6</v>
      </c>
    </row>
    <row r="7967" spans="14:25">
      <c r="N7967" s="42">
        <v>44555</v>
      </c>
      <c r="O7967" t="s">
        <v>359</v>
      </c>
      <c r="P7967" s="42">
        <v>44555</v>
      </c>
      <c r="Q7967" t="s">
        <v>359</v>
      </c>
      <c r="R7967" t="s">
        <v>320</v>
      </c>
      <c r="S7967" t="s">
        <v>323</v>
      </c>
      <c r="U7967">
        <v>7.6</v>
      </c>
    </row>
    <row r="7968" spans="14:25">
      <c r="N7968" s="42">
        <v>44502</v>
      </c>
      <c r="O7968" t="s">
        <v>333</v>
      </c>
      <c r="P7968" s="42">
        <v>44502</v>
      </c>
      <c r="Q7968" t="s">
        <v>333</v>
      </c>
      <c r="R7968" t="s">
        <v>329</v>
      </c>
      <c r="S7968" t="s">
        <v>323</v>
      </c>
      <c r="T7968">
        <v>7.6</v>
      </c>
      <c r="W7968" t="s">
        <v>330</v>
      </c>
      <c r="Y7968" s="42">
        <v>44509</v>
      </c>
    </row>
    <row r="7969" spans="14:25">
      <c r="N7969" s="42">
        <v>44467</v>
      </c>
      <c r="O7969" t="s">
        <v>333</v>
      </c>
      <c r="P7969" s="42">
        <v>44467</v>
      </c>
      <c r="Q7969" t="s">
        <v>333</v>
      </c>
      <c r="R7969" t="s">
        <v>320</v>
      </c>
      <c r="S7969" t="s">
        <v>323</v>
      </c>
      <c r="T7969">
        <v>7.6</v>
      </c>
      <c r="Y7969" s="42">
        <v>44467</v>
      </c>
    </row>
    <row r="7970" spans="14:25">
      <c r="N7970" s="42">
        <v>44440</v>
      </c>
      <c r="O7970" t="s">
        <v>328</v>
      </c>
      <c r="P7970" s="42">
        <v>44440</v>
      </c>
      <c r="Q7970" t="s">
        <v>328</v>
      </c>
      <c r="R7970" t="s">
        <v>329</v>
      </c>
      <c r="S7970" t="s">
        <v>323</v>
      </c>
      <c r="T7970">
        <v>4</v>
      </c>
      <c r="W7970" t="s">
        <v>330</v>
      </c>
      <c r="Y7970" s="42">
        <v>44453</v>
      </c>
    </row>
    <row r="7971" spans="14:25">
      <c r="N7971" s="42">
        <v>44418</v>
      </c>
      <c r="O7971" t="s">
        <v>333</v>
      </c>
      <c r="P7971" s="42">
        <v>44418</v>
      </c>
      <c r="Q7971" t="s">
        <v>333</v>
      </c>
      <c r="R7971" t="s">
        <v>329</v>
      </c>
      <c r="S7971" t="s">
        <v>323</v>
      </c>
      <c r="T7971">
        <v>7.6</v>
      </c>
      <c r="W7971" t="s">
        <v>330</v>
      </c>
      <c r="Y7971" s="42">
        <v>44425</v>
      </c>
    </row>
    <row r="7972" spans="14:25">
      <c r="N7972" s="42">
        <v>44376</v>
      </c>
      <c r="O7972" t="s">
        <v>333</v>
      </c>
      <c r="P7972" s="42">
        <v>44376</v>
      </c>
      <c r="Q7972" t="s">
        <v>333</v>
      </c>
      <c r="R7972" t="s">
        <v>320</v>
      </c>
      <c r="S7972" t="s">
        <v>323</v>
      </c>
      <c r="T7972">
        <v>7.6</v>
      </c>
      <c r="Y7972" s="42">
        <v>44383</v>
      </c>
    </row>
    <row r="7973" spans="14:25">
      <c r="N7973" s="42">
        <v>44335</v>
      </c>
      <c r="O7973" t="s">
        <v>328</v>
      </c>
      <c r="P7973" s="42">
        <v>44335</v>
      </c>
      <c r="Q7973" t="s">
        <v>328</v>
      </c>
      <c r="R7973" t="s">
        <v>329</v>
      </c>
      <c r="S7973" t="s">
        <v>323</v>
      </c>
      <c r="T7973">
        <v>7.6</v>
      </c>
      <c r="W7973" t="s">
        <v>330</v>
      </c>
      <c r="Y7973" s="42">
        <v>44341</v>
      </c>
    </row>
    <row r="7974" spans="14:25">
      <c r="N7974" s="42">
        <v>44299</v>
      </c>
      <c r="O7974" t="s">
        <v>333</v>
      </c>
      <c r="P7974" s="42">
        <v>44299</v>
      </c>
      <c r="Q7974" t="s">
        <v>333</v>
      </c>
      <c r="R7974" t="s">
        <v>329</v>
      </c>
      <c r="S7974" t="s">
        <v>323</v>
      </c>
      <c r="T7974">
        <v>7.6</v>
      </c>
      <c r="W7974" t="s">
        <v>330</v>
      </c>
      <c r="Y7974" s="42">
        <v>44299</v>
      </c>
    </row>
    <row r="7975" spans="14:25">
      <c r="N7975" s="42">
        <v>44289</v>
      </c>
      <c r="O7975" t="s">
        <v>359</v>
      </c>
      <c r="P7975" s="42">
        <v>44289</v>
      </c>
      <c r="Q7975" t="s">
        <v>359</v>
      </c>
      <c r="R7975" t="s">
        <v>320</v>
      </c>
      <c r="S7975" t="s">
        <v>323</v>
      </c>
      <c r="U7975">
        <v>7.6</v>
      </c>
    </row>
    <row r="7976" spans="14:25">
      <c r="N7976" s="42">
        <v>44288</v>
      </c>
      <c r="O7976" t="s">
        <v>346</v>
      </c>
      <c r="P7976" s="42">
        <v>44288</v>
      </c>
      <c r="Q7976" t="s">
        <v>346</v>
      </c>
      <c r="R7976" t="s">
        <v>320</v>
      </c>
      <c r="S7976" t="s">
        <v>323</v>
      </c>
      <c r="U7976">
        <v>7.6</v>
      </c>
    </row>
    <row r="7977" spans="14:25">
      <c r="N7977" s="42">
        <v>44254</v>
      </c>
      <c r="O7977" t="s">
        <v>359</v>
      </c>
      <c r="P7977" s="42">
        <v>44254</v>
      </c>
      <c r="Q7977" t="s">
        <v>359</v>
      </c>
      <c r="R7977" t="s">
        <v>320</v>
      </c>
      <c r="S7977" t="s">
        <v>323</v>
      </c>
      <c r="T7977">
        <v>7.6</v>
      </c>
      <c r="Y7977" s="42">
        <v>44257</v>
      </c>
    </row>
    <row r="7978" spans="14:25">
      <c r="N7978" s="42">
        <v>44253</v>
      </c>
      <c r="O7978" t="s">
        <v>346</v>
      </c>
      <c r="P7978" s="42">
        <v>44253</v>
      </c>
      <c r="Q7978" t="s">
        <v>346</v>
      </c>
      <c r="R7978" t="s">
        <v>320</v>
      </c>
      <c r="S7978" t="s">
        <v>323</v>
      </c>
      <c r="T7978">
        <v>7.6</v>
      </c>
      <c r="Y7978" s="42">
        <v>44257</v>
      </c>
    </row>
    <row r="7979" spans="14:25">
      <c r="N7979" s="42">
        <v>44252</v>
      </c>
      <c r="O7979" t="s">
        <v>324</v>
      </c>
      <c r="P7979" s="42">
        <v>44252</v>
      </c>
      <c r="Q7979" t="s">
        <v>324</v>
      </c>
      <c r="R7979" t="s">
        <v>320</v>
      </c>
      <c r="S7979" t="s">
        <v>323</v>
      </c>
      <c r="T7979">
        <v>7.6</v>
      </c>
      <c r="Y7979" s="42">
        <v>44257</v>
      </c>
    </row>
    <row r="7980" spans="14:25">
      <c r="N7980" s="42">
        <v>44222</v>
      </c>
      <c r="O7980" t="s">
        <v>333</v>
      </c>
      <c r="P7980" s="42">
        <v>44222</v>
      </c>
      <c r="Q7980" t="s">
        <v>333</v>
      </c>
      <c r="R7980" t="s">
        <v>320</v>
      </c>
      <c r="S7980" t="s">
        <v>323</v>
      </c>
      <c r="U7980">
        <v>7.6</v>
      </c>
    </row>
    <row r="7981" spans="14:25">
      <c r="N7981" s="42">
        <v>44197</v>
      </c>
      <c r="O7981" t="s">
        <v>346</v>
      </c>
      <c r="P7981" s="42">
        <v>44197</v>
      </c>
      <c r="Q7981" t="s">
        <v>346</v>
      </c>
      <c r="R7981" t="s">
        <v>320</v>
      </c>
      <c r="S7981" t="s">
        <v>323</v>
      </c>
      <c r="U7981">
        <v>7.6</v>
      </c>
    </row>
    <row r="7982" spans="14:25">
      <c r="N7982" s="42">
        <v>44193</v>
      </c>
      <c r="O7982" t="s">
        <v>345</v>
      </c>
      <c r="P7982" s="42">
        <v>44193</v>
      </c>
      <c r="Q7982" t="s">
        <v>345</v>
      </c>
      <c r="R7982" t="s">
        <v>320</v>
      </c>
      <c r="S7982" t="s">
        <v>323</v>
      </c>
      <c r="U7982">
        <v>7.6</v>
      </c>
    </row>
    <row r="7983" spans="14:25">
      <c r="N7983" s="42">
        <v>44190</v>
      </c>
      <c r="O7983" t="s">
        <v>346</v>
      </c>
      <c r="P7983" s="42">
        <v>44190</v>
      </c>
      <c r="Q7983" t="s">
        <v>346</v>
      </c>
      <c r="R7983" t="s">
        <v>320</v>
      </c>
      <c r="S7983" t="s">
        <v>323</v>
      </c>
      <c r="U7983">
        <v>7.6</v>
      </c>
    </row>
    <row r="7984" spans="14:25">
      <c r="N7984" s="42">
        <v>44166</v>
      </c>
      <c r="O7984" t="s">
        <v>333</v>
      </c>
      <c r="P7984" s="42">
        <v>44166</v>
      </c>
      <c r="Q7984" t="s">
        <v>333</v>
      </c>
      <c r="R7984" t="s">
        <v>329</v>
      </c>
      <c r="S7984" t="s">
        <v>323</v>
      </c>
      <c r="T7984">
        <v>7.6</v>
      </c>
      <c r="W7984" t="s">
        <v>330</v>
      </c>
      <c r="Y7984" s="42">
        <v>44173</v>
      </c>
    </row>
    <row r="7985" spans="1:25">
      <c r="N7985" s="42">
        <v>44118</v>
      </c>
      <c r="O7985" t="s">
        <v>328</v>
      </c>
      <c r="P7985" s="42">
        <v>44118</v>
      </c>
      <c r="Q7985" t="s">
        <v>328</v>
      </c>
      <c r="R7985" t="s">
        <v>329</v>
      </c>
      <c r="S7985" t="s">
        <v>323</v>
      </c>
      <c r="T7985">
        <v>7.6</v>
      </c>
      <c r="W7985" t="s">
        <v>330</v>
      </c>
      <c r="Y7985" s="42">
        <v>44131</v>
      </c>
    </row>
    <row r="7986" spans="1:25">
      <c r="N7986" s="42">
        <v>44082</v>
      </c>
      <c r="O7986" t="s">
        <v>333</v>
      </c>
      <c r="P7986" s="42">
        <v>44082</v>
      </c>
      <c r="Q7986" t="s">
        <v>333</v>
      </c>
      <c r="R7986" t="s">
        <v>329</v>
      </c>
      <c r="S7986" t="s">
        <v>323</v>
      </c>
      <c r="T7986">
        <v>7.6</v>
      </c>
      <c r="W7986" t="s">
        <v>330</v>
      </c>
      <c r="Y7986" s="42">
        <v>44089</v>
      </c>
    </row>
    <row r="7987" spans="1:25">
      <c r="N7987" s="42">
        <v>44026</v>
      </c>
      <c r="O7987" t="s">
        <v>333</v>
      </c>
      <c r="P7987" s="42">
        <v>44026</v>
      </c>
      <c r="Q7987" t="s">
        <v>333</v>
      </c>
      <c r="R7987" t="s">
        <v>329</v>
      </c>
      <c r="S7987" t="s">
        <v>323</v>
      </c>
      <c r="T7987">
        <v>7.6</v>
      </c>
      <c r="W7987" t="s">
        <v>339</v>
      </c>
      <c r="Y7987" s="42">
        <v>44033</v>
      </c>
    </row>
    <row r="7988" spans="1:25">
      <c r="N7988" s="42">
        <v>44014</v>
      </c>
      <c r="O7988" t="s">
        <v>324</v>
      </c>
      <c r="P7988" s="42">
        <v>44014</v>
      </c>
      <c r="Q7988" t="s">
        <v>324</v>
      </c>
      <c r="R7988" t="s">
        <v>329</v>
      </c>
      <c r="S7988" t="s">
        <v>323</v>
      </c>
      <c r="T7988">
        <v>7.6</v>
      </c>
      <c r="W7988" t="s">
        <v>339</v>
      </c>
      <c r="Y7988" s="42">
        <v>44033</v>
      </c>
    </row>
    <row r="7989" spans="1:25">
      <c r="A7989">
        <v>18904</v>
      </c>
      <c r="B7989" t="s">
        <v>443</v>
      </c>
      <c r="C7989" t="s">
        <v>320</v>
      </c>
      <c r="D7989" t="s">
        <v>336</v>
      </c>
      <c r="E7989" t="s">
        <v>337</v>
      </c>
      <c r="F7989">
        <v>1</v>
      </c>
      <c r="G7989" s="42">
        <v>44994</v>
      </c>
      <c r="H7989">
        <v>152</v>
      </c>
      <c r="I7989">
        <v>7.4307999999999996</v>
      </c>
      <c r="J7989">
        <v>149.9178</v>
      </c>
      <c r="K7989">
        <v>157.3486</v>
      </c>
      <c r="L7989" t="s">
        <v>323</v>
      </c>
      <c r="M7989" s="43">
        <v>9.0972222222222218E-2</v>
      </c>
      <c r="N7989" s="42">
        <v>44967</v>
      </c>
      <c r="O7989" t="s">
        <v>346</v>
      </c>
      <c r="P7989" s="42">
        <v>44967</v>
      </c>
      <c r="Q7989" t="s">
        <v>346</v>
      </c>
      <c r="R7989" t="s">
        <v>329</v>
      </c>
      <c r="S7989" t="s">
        <v>323</v>
      </c>
      <c r="T7989">
        <v>7.6</v>
      </c>
      <c r="W7989" t="s">
        <v>330</v>
      </c>
      <c r="Y7989" s="42">
        <v>44971</v>
      </c>
    </row>
    <row r="7990" spans="1:25">
      <c r="C7990" t="s">
        <v>325</v>
      </c>
      <c r="D7990" t="s">
        <v>395</v>
      </c>
      <c r="E7990" t="s">
        <v>396</v>
      </c>
      <c r="F7990">
        <v>1</v>
      </c>
      <c r="G7990" s="42">
        <v>47553</v>
      </c>
      <c r="H7990">
        <v>329.33330000000001</v>
      </c>
      <c r="I7990">
        <v>0</v>
      </c>
      <c r="J7990">
        <v>98.114599999999996</v>
      </c>
      <c r="K7990">
        <v>98.114599999999996</v>
      </c>
      <c r="L7990" t="s">
        <v>323</v>
      </c>
      <c r="N7990" s="42">
        <v>44952</v>
      </c>
      <c r="O7990" t="s">
        <v>324</v>
      </c>
      <c r="P7990" s="42">
        <v>44952</v>
      </c>
      <c r="Q7990" t="s">
        <v>324</v>
      </c>
      <c r="R7990" t="s">
        <v>320</v>
      </c>
      <c r="S7990" t="s">
        <v>323</v>
      </c>
      <c r="U7990">
        <v>7.6</v>
      </c>
    </row>
    <row r="7991" spans="1:25">
      <c r="C7991" t="s">
        <v>329</v>
      </c>
      <c r="D7991" t="s">
        <v>342</v>
      </c>
      <c r="E7991" t="s">
        <v>343</v>
      </c>
      <c r="F7991">
        <v>1</v>
      </c>
      <c r="G7991" s="42">
        <v>44994</v>
      </c>
      <c r="H7991">
        <v>76</v>
      </c>
      <c r="I7991">
        <v>-34.034599999999998</v>
      </c>
      <c r="J7991">
        <v>74.9589</v>
      </c>
      <c r="K7991">
        <v>40.924300000000002</v>
      </c>
      <c r="L7991" t="s">
        <v>323</v>
      </c>
      <c r="N7991" s="42">
        <v>44928</v>
      </c>
      <c r="O7991" t="s">
        <v>345</v>
      </c>
      <c r="P7991" s="42">
        <v>44928</v>
      </c>
      <c r="Q7991" t="s">
        <v>345</v>
      </c>
      <c r="R7991" t="s">
        <v>320</v>
      </c>
      <c r="S7991" t="s">
        <v>323</v>
      </c>
      <c r="U7991">
        <v>7.6</v>
      </c>
    </row>
    <row r="7992" spans="1:25">
      <c r="N7992" s="42">
        <v>44924</v>
      </c>
      <c r="O7992" t="s">
        <v>324</v>
      </c>
      <c r="P7992" s="42">
        <v>44924</v>
      </c>
      <c r="Q7992" t="s">
        <v>324</v>
      </c>
      <c r="R7992" t="s">
        <v>329</v>
      </c>
      <c r="S7992" t="s">
        <v>323</v>
      </c>
      <c r="T7992">
        <v>7.6</v>
      </c>
      <c r="W7992" t="s">
        <v>330</v>
      </c>
      <c r="Y7992" s="42">
        <v>44929</v>
      </c>
    </row>
    <row r="7993" spans="1:25">
      <c r="N7993" s="42">
        <v>44922</v>
      </c>
      <c r="O7993" t="s">
        <v>333</v>
      </c>
      <c r="P7993" s="42">
        <v>44922</v>
      </c>
      <c r="Q7993" t="s">
        <v>333</v>
      </c>
      <c r="R7993" t="s">
        <v>320</v>
      </c>
      <c r="S7993" t="s">
        <v>323</v>
      </c>
      <c r="U7993">
        <v>7.6</v>
      </c>
    </row>
    <row r="7994" spans="1:25">
      <c r="N7994" s="42">
        <v>44921</v>
      </c>
      <c r="O7994" t="s">
        <v>345</v>
      </c>
      <c r="P7994" s="42">
        <v>44921</v>
      </c>
      <c r="Q7994" t="s">
        <v>345</v>
      </c>
      <c r="R7994" t="s">
        <v>320</v>
      </c>
      <c r="S7994" t="s">
        <v>323</v>
      </c>
      <c r="U7994">
        <v>7.6</v>
      </c>
    </row>
    <row r="7995" spans="1:25">
      <c r="N7995" s="42">
        <v>44873</v>
      </c>
      <c r="O7995" t="s">
        <v>333</v>
      </c>
      <c r="P7995" s="42">
        <v>44873</v>
      </c>
      <c r="Q7995" t="s">
        <v>333</v>
      </c>
      <c r="R7995" t="s">
        <v>383</v>
      </c>
      <c r="S7995" t="s">
        <v>323</v>
      </c>
      <c r="T7995">
        <v>38</v>
      </c>
      <c r="W7995" t="s">
        <v>339</v>
      </c>
      <c r="Y7995" s="42">
        <v>44873</v>
      </c>
    </row>
    <row r="7996" spans="1:25">
      <c r="N7996" s="42">
        <v>44855</v>
      </c>
      <c r="O7996" t="s">
        <v>346</v>
      </c>
      <c r="P7996" s="42">
        <v>44855</v>
      </c>
      <c r="Q7996" t="s">
        <v>346</v>
      </c>
      <c r="R7996" t="s">
        <v>320</v>
      </c>
      <c r="S7996" t="s">
        <v>323</v>
      </c>
      <c r="T7996">
        <v>7.6</v>
      </c>
      <c r="Y7996" s="42">
        <v>44859</v>
      </c>
    </row>
    <row r="7997" spans="1:25">
      <c r="N7997" s="42">
        <v>44854</v>
      </c>
      <c r="O7997" t="s">
        <v>324</v>
      </c>
      <c r="P7997" s="42">
        <v>44854</v>
      </c>
      <c r="Q7997" t="s">
        <v>324</v>
      </c>
      <c r="R7997" t="s">
        <v>320</v>
      </c>
      <c r="S7997" t="s">
        <v>323</v>
      </c>
      <c r="T7997">
        <v>7.6</v>
      </c>
      <c r="Y7997" s="42">
        <v>44859</v>
      </c>
    </row>
    <row r="7998" spans="1:25">
      <c r="N7998" s="42">
        <v>44853</v>
      </c>
      <c r="O7998" t="s">
        <v>328</v>
      </c>
      <c r="P7998" s="42">
        <v>44853</v>
      </c>
      <c r="Q7998" t="s">
        <v>328</v>
      </c>
      <c r="R7998" t="s">
        <v>320</v>
      </c>
      <c r="S7998" t="s">
        <v>323</v>
      </c>
      <c r="T7998">
        <v>7.6</v>
      </c>
      <c r="Y7998" s="42">
        <v>44859</v>
      </c>
    </row>
    <row r="7999" spans="1:25">
      <c r="N7999" s="42">
        <v>44852</v>
      </c>
      <c r="O7999" t="s">
        <v>333</v>
      </c>
      <c r="P7999" s="42">
        <v>44852</v>
      </c>
      <c r="Q7999" t="s">
        <v>333</v>
      </c>
      <c r="R7999" t="s">
        <v>320</v>
      </c>
      <c r="S7999" t="s">
        <v>323</v>
      </c>
      <c r="T7999">
        <v>7.6</v>
      </c>
      <c r="Y7999" s="42">
        <v>44859</v>
      </c>
    </row>
    <row r="8000" spans="1:25">
      <c r="N8000" s="42">
        <v>44851</v>
      </c>
      <c r="O8000" t="s">
        <v>345</v>
      </c>
      <c r="P8000" s="42">
        <v>44851</v>
      </c>
      <c r="Q8000" t="s">
        <v>345</v>
      </c>
      <c r="R8000" t="s">
        <v>320</v>
      </c>
      <c r="S8000" t="s">
        <v>323</v>
      </c>
      <c r="T8000">
        <v>7.6</v>
      </c>
      <c r="Y8000" s="42">
        <v>44859</v>
      </c>
    </row>
    <row r="8001" spans="14:25">
      <c r="N8001" s="42">
        <v>44837</v>
      </c>
      <c r="O8001" t="s">
        <v>345</v>
      </c>
      <c r="P8001" s="42">
        <v>44837</v>
      </c>
      <c r="Q8001" t="s">
        <v>345</v>
      </c>
      <c r="R8001" t="s">
        <v>320</v>
      </c>
      <c r="S8001" t="s">
        <v>323</v>
      </c>
      <c r="U8001">
        <v>7.6</v>
      </c>
    </row>
    <row r="8002" spans="14:25">
      <c r="N8002" s="42">
        <v>44826</v>
      </c>
      <c r="O8002" t="s">
        <v>324</v>
      </c>
      <c r="P8002" s="42">
        <v>44826</v>
      </c>
      <c r="Q8002" t="s">
        <v>324</v>
      </c>
      <c r="R8002" t="s">
        <v>320</v>
      </c>
      <c r="S8002" t="s">
        <v>323</v>
      </c>
      <c r="U8002">
        <v>7.6</v>
      </c>
    </row>
    <row r="8003" spans="14:25">
      <c r="N8003" s="42">
        <v>44783</v>
      </c>
      <c r="O8003" t="s">
        <v>328</v>
      </c>
      <c r="P8003" s="42">
        <v>44783</v>
      </c>
      <c r="Q8003" t="s">
        <v>328</v>
      </c>
      <c r="R8003" t="s">
        <v>320</v>
      </c>
      <c r="S8003" t="s">
        <v>323</v>
      </c>
      <c r="U8003">
        <v>7.6</v>
      </c>
    </row>
    <row r="8004" spans="14:25">
      <c r="N8004" s="42">
        <v>44715</v>
      </c>
      <c r="O8004" t="s">
        <v>346</v>
      </c>
      <c r="P8004" s="42">
        <v>44715</v>
      </c>
      <c r="Q8004" t="s">
        <v>346</v>
      </c>
      <c r="R8004" t="s">
        <v>334</v>
      </c>
      <c r="S8004" t="s">
        <v>323</v>
      </c>
      <c r="T8004">
        <v>7.6</v>
      </c>
      <c r="W8004" t="s">
        <v>330</v>
      </c>
      <c r="Y8004" s="42">
        <v>44719</v>
      </c>
    </row>
    <row r="8005" spans="14:25">
      <c r="N8005" s="42">
        <v>44714</v>
      </c>
      <c r="O8005" t="s">
        <v>324</v>
      </c>
      <c r="P8005" s="42">
        <v>44714</v>
      </c>
      <c r="Q8005" t="s">
        <v>324</v>
      </c>
      <c r="R8005" t="s">
        <v>334</v>
      </c>
      <c r="S8005" t="s">
        <v>323</v>
      </c>
      <c r="T8005">
        <v>7.6</v>
      </c>
      <c r="W8005" t="s">
        <v>330</v>
      </c>
      <c r="Y8005" s="42">
        <v>44719</v>
      </c>
    </row>
    <row r="8006" spans="14:25">
      <c r="N8006" s="42">
        <v>44713</v>
      </c>
      <c r="O8006" t="s">
        <v>328</v>
      </c>
      <c r="P8006" s="42">
        <v>44713</v>
      </c>
      <c r="Q8006" t="s">
        <v>328</v>
      </c>
      <c r="R8006" t="s">
        <v>334</v>
      </c>
      <c r="S8006" t="s">
        <v>323</v>
      </c>
      <c r="T8006">
        <v>7.6</v>
      </c>
      <c r="W8006" t="s">
        <v>330</v>
      </c>
      <c r="Y8006" s="42">
        <v>44719</v>
      </c>
    </row>
    <row r="8007" spans="14:25">
      <c r="N8007" s="42">
        <v>44712</v>
      </c>
      <c r="O8007" t="s">
        <v>333</v>
      </c>
      <c r="P8007" s="42">
        <v>44712</v>
      </c>
      <c r="Q8007" t="s">
        <v>333</v>
      </c>
      <c r="R8007" t="s">
        <v>334</v>
      </c>
      <c r="S8007" t="s">
        <v>323</v>
      </c>
      <c r="T8007">
        <v>7.6</v>
      </c>
      <c r="W8007" t="s">
        <v>330</v>
      </c>
      <c r="Y8007" s="42">
        <v>44719</v>
      </c>
    </row>
    <row r="8008" spans="14:25">
      <c r="N8008" s="42">
        <v>44711</v>
      </c>
      <c r="O8008" t="s">
        <v>345</v>
      </c>
      <c r="P8008" s="42">
        <v>44711</v>
      </c>
      <c r="Q8008" t="s">
        <v>345</v>
      </c>
      <c r="R8008" t="s">
        <v>334</v>
      </c>
      <c r="S8008" t="s">
        <v>323</v>
      </c>
      <c r="T8008">
        <v>7.6</v>
      </c>
      <c r="W8008" t="s">
        <v>330</v>
      </c>
      <c r="Y8008" s="42">
        <v>44719</v>
      </c>
    </row>
    <row r="8009" spans="14:25">
      <c r="N8009" s="42">
        <v>44708</v>
      </c>
      <c r="O8009" t="s">
        <v>346</v>
      </c>
      <c r="P8009" s="42">
        <v>44708</v>
      </c>
      <c r="Q8009" t="s">
        <v>346</v>
      </c>
      <c r="R8009" t="s">
        <v>320</v>
      </c>
      <c r="S8009" t="s">
        <v>323</v>
      </c>
      <c r="T8009">
        <v>7.6</v>
      </c>
      <c r="Y8009" s="42">
        <v>44719</v>
      </c>
    </row>
    <row r="8010" spans="14:25">
      <c r="N8010" s="42">
        <v>44707</v>
      </c>
      <c r="O8010" t="s">
        <v>324</v>
      </c>
      <c r="P8010" s="42">
        <v>44707</v>
      </c>
      <c r="Q8010" t="s">
        <v>324</v>
      </c>
      <c r="R8010" t="s">
        <v>320</v>
      </c>
      <c r="S8010" t="s">
        <v>323</v>
      </c>
      <c r="T8010">
        <v>7.6</v>
      </c>
      <c r="Y8010" s="42">
        <v>44719</v>
      </c>
    </row>
    <row r="8011" spans="14:25">
      <c r="N8011" s="42">
        <v>44706</v>
      </c>
      <c r="O8011" t="s">
        <v>328</v>
      </c>
      <c r="P8011" s="42">
        <v>44706</v>
      </c>
      <c r="Q8011" t="s">
        <v>328</v>
      </c>
      <c r="R8011" t="s">
        <v>329</v>
      </c>
      <c r="S8011" t="s">
        <v>323</v>
      </c>
      <c r="T8011">
        <v>7.6</v>
      </c>
      <c r="W8011" t="s">
        <v>330</v>
      </c>
      <c r="Y8011" s="42">
        <v>44719</v>
      </c>
    </row>
    <row r="8012" spans="14:25">
      <c r="N8012" s="42">
        <v>44705</v>
      </c>
      <c r="O8012" t="s">
        <v>333</v>
      </c>
      <c r="P8012" s="42">
        <v>44705</v>
      </c>
      <c r="Q8012" t="s">
        <v>333</v>
      </c>
      <c r="R8012" t="s">
        <v>329</v>
      </c>
      <c r="S8012" t="s">
        <v>323</v>
      </c>
      <c r="T8012">
        <v>7.6</v>
      </c>
      <c r="W8012" t="s">
        <v>330</v>
      </c>
      <c r="Y8012" s="42">
        <v>44705</v>
      </c>
    </row>
    <row r="8013" spans="14:25">
      <c r="N8013" s="42">
        <v>44704</v>
      </c>
      <c r="O8013" t="s">
        <v>345</v>
      </c>
      <c r="P8013" s="42">
        <v>44704</v>
      </c>
      <c r="Q8013" t="s">
        <v>345</v>
      </c>
      <c r="R8013" t="s">
        <v>329</v>
      </c>
      <c r="S8013" t="s">
        <v>323</v>
      </c>
      <c r="T8013">
        <v>7.6</v>
      </c>
      <c r="W8013" t="s">
        <v>330</v>
      </c>
      <c r="Y8013" s="42">
        <v>44705</v>
      </c>
    </row>
    <row r="8014" spans="14:25">
      <c r="N8014" s="42">
        <v>44701</v>
      </c>
      <c r="O8014" t="s">
        <v>346</v>
      </c>
      <c r="P8014" s="42">
        <v>44701</v>
      </c>
      <c r="Q8014" t="s">
        <v>346</v>
      </c>
      <c r="R8014" t="s">
        <v>329</v>
      </c>
      <c r="S8014" t="s">
        <v>323</v>
      </c>
      <c r="T8014">
        <v>7.6</v>
      </c>
      <c r="W8014" t="s">
        <v>330</v>
      </c>
      <c r="Y8014" s="42">
        <v>44705</v>
      </c>
    </row>
    <row r="8015" spans="14:25">
      <c r="N8015" s="42">
        <v>44700</v>
      </c>
      <c r="O8015" t="s">
        <v>324</v>
      </c>
      <c r="P8015" s="42">
        <v>44700</v>
      </c>
      <c r="Q8015" t="s">
        <v>324</v>
      </c>
      <c r="R8015" t="s">
        <v>329</v>
      </c>
      <c r="S8015" t="s">
        <v>323</v>
      </c>
      <c r="T8015">
        <v>7.6</v>
      </c>
      <c r="W8015" t="s">
        <v>330</v>
      </c>
      <c r="Y8015" s="42">
        <v>44705</v>
      </c>
    </row>
    <row r="8016" spans="14:25">
      <c r="N8016" s="42">
        <v>44699</v>
      </c>
      <c r="O8016" t="s">
        <v>328</v>
      </c>
      <c r="P8016" s="42">
        <v>44699</v>
      </c>
      <c r="Q8016" t="s">
        <v>328</v>
      </c>
      <c r="R8016" t="s">
        <v>329</v>
      </c>
      <c r="S8016" t="s">
        <v>323</v>
      </c>
      <c r="T8016">
        <v>7.6</v>
      </c>
      <c r="W8016" t="s">
        <v>330</v>
      </c>
      <c r="Y8016" s="42">
        <v>44705</v>
      </c>
    </row>
    <row r="8017" spans="14:25">
      <c r="N8017" s="42">
        <v>44691</v>
      </c>
      <c r="O8017" t="s">
        <v>333</v>
      </c>
      <c r="P8017" s="42">
        <v>44691</v>
      </c>
      <c r="Q8017" t="s">
        <v>333</v>
      </c>
      <c r="R8017" t="s">
        <v>320</v>
      </c>
      <c r="S8017" t="s">
        <v>323</v>
      </c>
      <c r="T8017">
        <v>7.6</v>
      </c>
      <c r="Y8017" s="42">
        <v>44691</v>
      </c>
    </row>
    <row r="8018" spans="14:25">
      <c r="N8018" s="42">
        <v>44690</v>
      </c>
      <c r="O8018" t="s">
        <v>345</v>
      </c>
      <c r="P8018" s="42">
        <v>44690</v>
      </c>
      <c r="Q8018" t="s">
        <v>345</v>
      </c>
      <c r="R8018" t="s">
        <v>320</v>
      </c>
      <c r="S8018" t="s">
        <v>323</v>
      </c>
      <c r="T8018">
        <v>7.6</v>
      </c>
      <c r="Y8018" s="42">
        <v>44691</v>
      </c>
    </row>
    <row r="8019" spans="14:25">
      <c r="N8019" s="42">
        <v>44687</v>
      </c>
      <c r="O8019" t="s">
        <v>346</v>
      </c>
      <c r="P8019" s="42">
        <v>44687</v>
      </c>
      <c r="Q8019" t="s">
        <v>346</v>
      </c>
      <c r="R8019" t="s">
        <v>320</v>
      </c>
      <c r="S8019" t="s">
        <v>323</v>
      </c>
      <c r="T8019">
        <v>7.6</v>
      </c>
      <c r="Y8019" s="42">
        <v>44691</v>
      </c>
    </row>
    <row r="8020" spans="14:25">
      <c r="N8020" s="42">
        <v>44686</v>
      </c>
      <c r="O8020" t="s">
        <v>324</v>
      </c>
      <c r="P8020" s="42">
        <v>44686</v>
      </c>
      <c r="Q8020" t="s">
        <v>324</v>
      </c>
      <c r="R8020" t="s">
        <v>320</v>
      </c>
      <c r="S8020" t="s">
        <v>323</v>
      </c>
      <c r="T8020">
        <v>7.6</v>
      </c>
      <c r="Y8020" s="42">
        <v>44691</v>
      </c>
    </row>
    <row r="8021" spans="14:25">
      <c r="N8021" s="42">
        <v>44685</v>
      </c>
      <c r="O8021" t="s">
        <v>328</v>
      </c>
      <c r="P8021" s="42">
        <v>44685</v>
      </c>
      <c r="Q8021" t="s">
        <v>328</v>
      </c>
      <c r="R8021" t="s">
        <v>320</v>
      </c>
      <c r="S8021" t="s">
        <v>323</v>
      </c>
      <c r="T8021">
        <v>7.6</v>
      </c>
      <c r="Y8021" s="42">
        <v>44691</v>
      </c>
    </row>
    <row r="8022" spans="14:25">
      <c r="N8022" s="42">
        <v>44684</v>
      </c>
      <c r="O8022" t="s">
        <v>333</v>
      </c>
      <c r="P8022" s="42">
        <v>44684</v>
      </c>
      <c r="Q8022" t="s">
        <v>333</v>
      </c>
      <c r="R8022" t="s">
        <v>320</v>
      </c>
      <c r="S8022" t="s">
        <v>323</v>
      </c>
      <c r="T8022">
        <v>7.6</v>
      </c>
      <c r="Y8022" s="42">
        <v>44691</v>
      </c>
    </row>
    <row r="8023" spans="14:25">
      <c r="N8023" s="42">
        <v>44683</v>
      </c>
      <c r="O8023" t="s">
        <v>345</v>
      </c>
      <c r="P8023" s="42">
        <v>44683</v>
      </c>
      <c r="Q8023" t="s">
        <v>345</v>
      </c>
      <c r="R8023" t="s">
        <v>320</v>
      </c>
      <c r="S8023" t="s">
        <v>323</v>
      </c>
      <c r="U8023">
        <v>7.6</v>
      </c>
    </row>
    <row r="8024" spans="14:25">
      <c r="N8024" s="42">
        <v>44680</v>
      </c>
      <c r="O8024" t="s">
        <v>346</v>
      </c>
      <c r="P8024" s="42">
        <v>44680</v>
      </c>
      <c r="Q8024" t="s">
        <v>346</v>
      </c>
      <c r="R8024" t="s">
        <v>320</v>
      </c>
      <c r="S8024" t="s">
        <v>323</v>
      </c>
      <c r="T8024">
        <v>7.6</v>
      </c>
      <c r="Y8024" s="42">
        <v>44691</v>
      </c>
    </row>
    <row r="8025" spans="14:25">
      <c r="N8025" s="42">
        <v>44679</v>
      </c>
      <c r="O8025" t="s">
        <v>324</v>
      </c>
      <c r="P8025" s="42">
        <v>44679</v>
      </c>
      <c r="Q8025" t="s">
        <v>324</v>
      </c>
      <c r="R8025" t="s">
        <v>320</v>
      </c>
      <c r="S8025" t="s">
        <v>323</v>
      </c>
      <c r="T8025">
        <v>7.6</v>
      </c>
      <c r="Y8025" s="42">
        <v>44691</v>
      </c>
    </row>
    <row r="8026" spans="14:25">
      <c r="N8026" s="42">
        <v>44676</v>
      </c>
      <c r="O8026" t="s">
        <v>345</v>
      </c>
      <c r="P8026" s="42">
        <v>44676</v>
      </c>
      <c r="Q8026" t="s">
        <v>345</v>
      </c>
      <c r="R8026" t="s">
        <v>320</v>
      </c>
      <c r="S8026" t="s">
        <v>323</v>
      </c>
      <c r="U8026">
        <v>7.6</v>
      </c>
    </row>
    <row r="8027" spans="14:25">
      <c r="N8027" s="42">
        <v>44669</v>
      </c>
      <c r="O8027" t="s">
        <v>345</v>
      </c>
      <c r="P8027" s="42">
        <v>44669</v>
      </c>
      <c r="Q8027" t="s">
        <v>345</v>
      </c>
      <c r="R8027" t="s">
        <v>320</v>
      </c>
      <c r="S8027" t="s">
        <v>323</v>
      </c>
      <c r="U8027">
        <v>7.6</v>
      </c>
    </row>
    <row r="8028" spans="14:25">
      <c r="N8028" s="42">
        <v>44666</v>
      </c>
      <c r="O8028" t="s">
        <v>346</v>
      </c>
      <c r="P8028" s="42">
        <v>44666</v>
      </c>
      <c r="Q8028" t="s">
        <v>346</v>
      </c>
      <c r="R8028" t="s">
        <v>320</v>
      </c>
      <c r="S8028" t="s">
        <v>323</v>
      </c>
      <c r="U8028">
        <v>7.6</v>
      </c>
    </row>
    <row r="8029" spans="14:25">
      <c r="N8029" s="42">
        <v>44587</v>
      </c>
      <c r="O8029" t="s">
        <v>328</v>
      </c>
      <c r="P8029" s="42">
        <v>44587</v>
      </c>
      <c r="Q8029" t="s">
        <v>328</v>
      </c>
      <c r="R8029" t="s">
        <v>320</v>
      </c>
      <c r="S8029" t="s">
        <v>323</v>
      </c>
      <c r="U8029">
        <v>7.6</v>
      </c>
    </row>
    <row r="8030" spans="14:25">
      <c r="N8030" s="42">
        <v>44564</v>
      </c>
      <c r="O8030" t="s">
        <v>345</v>
      </c>
      <c r="P8030" s="42">
        <v>44564</v>
      </c>
      <c r="Q8030" t="s">
        <v>345</v>
      </c>
      <c r="R8030" t="s">
        <v>320</v>
      </c>
      <c r="S8030" t="s">
        <v>323</v>
      </c>
      <c r="U8030">
        <v>7.6</v>
      </c>
    </row>
    <row r="8031" spans="14:25">
      <c r="N8031" s="42">
        <v>44558</v>
      </c>
      <c r="O8031" t="s">
        <v>333</v>
      </c>
      <c r="P8031" s="42">
        <v>44558</v>
      </c>
      <c r="Q8031" t="s">
        <v>333</v>
      </c>
      <c r="R8031" t="s">
        <v>320</v>
      </c>
      <c r="S8031" t="s">
        <v>323</v>
      </c>
      <c r="U8031">
        <v>7.6</v>
      </c>
    </row>
    <row r="8032" spans="14:25">
      <c r="N8032" s="42">
        <v>44557</v>
      </c>
      <c r="O8032" t="s">
        <v>345</v>
      </c>
      <c r="P8032" s="42">
        <v>44557</v>
      </c>
      <c r="Q8032" t="s">
        <v>345</v>
      </c>
      <c r="R8032" t="s">
        <v>320</v>
      </c>
      <c r="S8032" t="s">
        <v>323</v>
      </c>
      <c r="U8032">
        <v>7.6</v>
      </c>
    </row>
    <row r="8033" spans="14:25">
      <c r="N8033" s="42">
        <v>44539</v>
      </c>
      <c r="O8033" t="s">
        <v>324</v>
      </c>
      <c r="P8033" s="42">
        <v>44539</v>
      </c>
      <c r="Q8033" t="s">
        <v>324</v>
      </c>
      <c r="R8033" t="s">
        <v>338</v>
      </c>
      <c r="S8033" t="s">
        <v>323</v>
      </c>
      <c r="T8033">
        <v>7.6</v>
      </c>
      <c r="W8033" t="s">
        <v>330</v>
      </c>
      <c r="Y8033" s="42">
        <v>44551</v>
      </c>
    </row>
    <row r="8034" spans="14:25">
      <c r="N8034" s="42">
        <v>44538</v>
      </c>
      <c r="O8034" t="s">
        <v>328</v>
      </c>
      <c r="P8034" s="42">
        <v>44538</v>
      </c>
      <c r="Q8034" t="s">
        <v>328</v>
      </c>
      <c r="R8034" t="s">
        <v>338</v>
      </c>
      <c r="S8034" t="s">
        <v>323</v>
      </c>
      <c r="T8034">
        <v>7.6</v>
      </c>
      <c r="W8034" t="s">
        <v>330</v>
      </c>
      <c r="Y8034" s="42">
        <v>44551</v>
      </c>
    </row>
    <row r="8035" spans="14:25">
      <c r="N8035" s="42">
        <v>44537</v>
      </c>
      <c r="O8035" t="s">
        <v>333</v>
      </c>
      <c r="P8035" s="42">
        <v>44537</v>
      </c>
      <c r="Q8035" t="s">
        <v>333</v>
      </c>
      <c r="R8035" t="s">
        <v>329</v>
      </c>
      <c r="S8035" t="s">
        <v>323</v>
      </c>
      <c r="T8035">
        <v>4</v>
      </c>
      <c r="W8035" t="s">
        <v>330</v>
      </c>
      <c r="Y8035" s="42">
        <v>44537</v>
      </c>
    </row>
    <row r="8036" spans="14:25">
      <c r="N8036" s="42">
        <v>44533</v>
      </c>
      <c r="O8036" t="s">
        <v>346</v>
      </c>
      <c r="P8036" s="42">
        <v>44533</v>
      </c>
      <c r="Q8036" t="s">
        <v>346</v>
      </c>
      <c r="R8036" t="s">
        <v>329</v>
      </c>
      <c r="S8036" t="s">
        <v>323</v>
      </c>
      <c r="T8036">
        <v>7.1</v>
      </c>
      <c r="W8036" t="s">
        <v>330</v>
      </c>
      <c r="Y8036" s="42">
        <v>44537</v>
      </c>
    </row>
    <row r="8037" spans="14:25">
      <c r="N8037" s="42">
        <v>44532</v>
      </c>
      <c r="O8037" t="s">
        <v>324</v>
      </c>
      <c r="P8037" s="42">
        <v>44532</v>
      </c>
      <c r="Q8037" t="s">
        <v>324</v>
      </c>
      <c r="R8037" t="s">
        <v>329</v>
      </c>
      <c r="S8037" t="s">
        <v>323</v>
      </c>
      <c r="T8037">
        <v>7.1</v>
      </c>
      <c r="W8037" t="s">
        <v>330</v>
      </c>
      <c r="Y8037" s="42">
        <v>44537</v>
      </c>
    </row>
    <row r="8038" spans="14:25">
      <c r="N8038" s="42">
        <v>44531</v>
      </c>
      <c r="O8038" t="s">
        <v>328</v>
      </c>
      <c r="P8038" s="42">
        <v>44531</v>
      </c>
      <c r="Q8038" t="s">
        <v>328</v>
      </c>
      <c r="R8038" t="s">
        <v>329</v>
      </c>
      <c r="S8038" t="s">
        <v>323</v>
      </c>
      <c r="T8038">
        <v>7.1</v>
      </c>
      <c r="W8038" t="s">
        <v>330</v>
      </c>
      <c r="Y8038" s="42">
        <v>44537</v>
      </c>
    </row>
    <row r="8039" spans="14:25">
      <c r="N8039" s="42">
        <v>44530</v>
      </c>
      <c r="O8039" t="s">
        <v>333</v>
      </c>
      <c r="P8039" s="42">
        <v>44530</v>
      </c>
      <c r="Q8039" t="s">
        <v>333</v>
      </c>
      <c r="R8039" t="s">
        <v>329</v>
      </c>
      <c r="S8039" t="s">
        <v>323</v>
      </c>
      <c r="T8039">
        <v>7.1</v>
      </c>
      <c r="W8039" t="s">
        <v>330</v>
      </c>
      <c r="Y8039" s="42">
        <v>44537</v>
      </c>
    </row>
    <row r="8040" spans="14:25">
      <c r="N8040" s="42">
        <v>44529</v>
      </c>
      <c r="O8040" t="s">
        <v>345</v>
      </c>
      <c r="P8040" s="42">
        <v>44529</v>
      </c>
      <c r="Q8040" t="s">
        <v>345</v>
      </c>
      <c r="R8040" t="s">
        <v>329</v>
      </c>
      <c r="S8040" t="s">
        <v>323</v>
      </c>
      <c r="T8040">
        <v>7.1</v>
      </c>
      <c r="W8040" t="s">
        <v>330</v>
      </c>
      <c r="Y8040" s="42">
        <v>44537</v>
      </c>
    </row>
    <row r="8041" spans="14:25">
      <c r="N8041" s="42">
        <v>44526</v>
      </c>
      <c r="O8041" t="s">
        <v>346</v>
      </c>
      <c r="P8041" s="42">
        <v>44526</v>
      </c>
      <c r="Q8041" t="s">
        <v>346</v>
      </c>
      <c r="R8041" t="s">
        <v>329</v>
      </c>
      <c r="S8041" t="s">
        <v>323</v>
      </c>
      <c r="T8041">
        <v>7.6</v>
      </c>
      <c r="W8041" t="s">
        <v>330</v>
      </c>
      <c r="Y8041" s="42">
        <v>44537</v>
      </c>
    </row>
    <row r="8042" spans="14:25">
      <c r="N8042" s="42">
        <v>44525</v>
      </c>
      <c r="O8042" t="s">
        <v>324</v>
      </c>
      <c r="P8042" s="42">
        <v>44525</v>
      </c>
      <c r="Q8042" t="s">
        <v>324</v>
      </c>
      <c r="R8042" t="s">
        <v>329</v>
      </c>
      <c r="S8042" t="s">
        <v>323</v>
      </c>
      <c r="T8042">
        <v>7.6</v>
      </c>
      <c r="W8042" t="s">
        <v>330</v>
      </c>
      <c r="Y8042" s="42">
        <v>44537</v>
      </c>
    </row>
    <row r="8043" spans="14:25">
      <c r="N8043" s="42">
        <v>44524</v>
      </c>
      <c r="O8043" t="s">
        <v>328</v>
      </c>
      <c r="P8043" s="42">
        <v>44524</v>
      </c>
      <c r="Q8043" t="s">
        <v>328</v>
      </c>
      <c r="R8043" t="s">
        <v>329</v>
      </c>
      <c r="S8043" t="s">
        <v>323</v>
      </c>
      <c r="T8043">
        <v>7.6</v>
      </c>
      <c r="W8043" t="s">
        <v>330</v>
      </c>
      <c r="Y8043" s="42">
        <v>44537</v>
      </c>
    </row>
    <row r="8044" spans="14:25">
      <c r="N8044" s="42">
        <v>44523</v>
      </c>
      <c r="O8044" t="s">
        <v>333</v>
      </c>
      <c r="P8044" s="42">
        <v>44523</v>
      </c>
      <c r="Q8044" t="s">
        <v>333</v>
      </c>
      <c r="R8044" t="s">
        <v>329</v>
      </c>
      <c r="S8044" t="s">
        <v>323</v>
      </c>
      <c r="T8044">
        <v>7.6</v>
      </c>
      <c r="W8044" t="s">
        <v>330</v>
      </c>
      <c r="Y8044" s="42">
        <v>44523</v>
      </c>
    </row>
    <row r="8045" spans="14:25">
      <c r="N8045" s="42">
        <v>44522</v>
      </c>
      <c r="O8045" t="s">
        <v>345</v>
      </c>
      <c r="P8045" s="42">
        <v>44522</v>
      </c>
      <c r="Q8045" t="s">
        <v>345</v>
      </c>
      <c r="R8045" t="s">
        <v>329</v>
      </c>
      <c r="S8045" t="s">
        <v>323</v>
      </c>
      <c r="T8045">
        <v>7.6</v>
      </c>
      <c r="W8045" t="s">
        <v>330</v>
      </c>
      <c r="Y8045" s="42">
        <v>44523</v>
      </c>
    </row>
    <row r="8046" spans="14:25">
      <c r="N8046" s="42">
        <v>44519</v>
      </c>
      <c r="O8046" t="s">
        <v>346</v>
      </c>
      <c r="P8046" s="42">
        <v>44519</v>
      </c>
      <c r="Q8046" t="s">
        <v>346</v>
      </c>
      <c r="R8046" t="s">
        <v>329</v>
      </c>
      <c r="S8046" t="s">
        <v>323</v>
      </c>
      <c r="T8046">
        <v>7.6</v>
      </c>
      <c r="W8046" t="s">
        <v>330</v>
      </c>
      <c r="Y8046" s="42">
        <v>44523</v>
      </c>
    </row>
    <row r="8047" spans="14:25">
      <c r="N8047" s="42">
        <v>44518</v>
      </c>
      <c r="O8047" t="s">
        <v>324</v>
      </c>
      <c r="P8047" s="42">
        <v>44518</v>
      </c>
      <c r="Q8047" t="s">
        <v>324</v>
      </c>
      <c r="R8047" t="s">
        <v>320</v>
      </c>
      <c r="S8047" t="s">
        <v>323</v>
      </c>
      <c r="T8047">
        <v>7.1</v>
      </c>
      <c r="Y8047" s="42">
        <v>44523</v>
      </c>
    </row>
    <row r="8048" spans="14:25">
      <c r="N8048" s="42">
        <v>44517</v>
      </c>
      <c r="O8048" t="s">
        <v>328</v>
      </c>
      <c r="P8048" s="42">
        <v>44517</v>
      </c>
      <c r="Q8048" t="s">
        <v>328</v>
      </c>
      <c r="R8048" t="s">
        <v>320</v>
      </c>
      <c r="S8048" t="s">
        <v>323</v>
      </c>
      <c r="T8048">
        <v>7.1</v>
      </c>
      <c r="Y8048" s="42">
        <v>44523</v>
      </c>
    </row>
    <row r="8049" spans="14:25">
      <c r="N8049" s="42">
        <v>44516</v>
      </c>
      <c r="O8049" t="s">
        <v>333</v>
      </c>
      <c r="P8049" s="42">
        <v>44516</v>
      </c>
      <c r="Q8049" t="s">
        <v>333</v>
      </c>
      <c r="R8049" t="s">
        <v>334</v>
      </c>
      <c r="S8049" t="s">
        <v>323</v>
      </c>
      <c r="T8049">
        <v>7.1</v>
      </c>
      <c r="W8049" t="s">
        <v>330</v>
      </c>
      <c r="Y8049" s="42">
        <v>44523</v>
      </c>
    </row>
    <row r="8050" spans="14:25">
      <c r="N8050" s="42">
        <v>44515</v>
      </c>
      <c r="O8050" t="s">
        <v>345</v>
      </c>
      <c r="P8050" s="42">
        <v>44515</v>
      </c>
      <c r="Q8050" t="s">
        <v>345</v>
      </c>
      <c r="R8050" t="s">
        <v>334</v>
      </c>
      <c r="S8050" t="s">
        <v>323</v>
      </c>
      <c r="T8050">
        <v>7.1</v>
      </c>
      <c r="W8050" t="s">
        <v>330</v>
      </c>
      <c r="Y8050" s="42">
        <v>44523</v>
      </c>
    </row>
    <row r="8051" spans="14:25">
      <c r="N8051" s="42">
        <v>44498</v>
      </c>
      <c r="O8051" t="s">
        <v>346</v>
      </c>
      <c r="P8051" s="42">
        <v>44498</v>
      </c>
      <c r="Q8051" t="s">
        <v>346</v>
      </c>
      <c r="R8051" t="s">
        <v>320</v>
      </c>
      <c r="S8051" t="s">
        <v>323</v>
      </c>
      <c r="U8051">
        <v>7.6</v>
      </c>
    </row>
    <row r="8052" spans="14:25">
      <c r="N8052" s="42">
        <v>44473</v>
      </c>
      <c r="O8052" t="s">
        <v>345</v>
      </c>
      <c r="P8052" s="42">
        <v>44473</v>
      </c>
      <c r="Q8052" t="s">
        <v>345</v>
      </c>
      <c r="R8052" t="s">
        <v>320</v>
      </c>
      <c r="S8052" t="s">
        <v>323</v>
      </c>
      <c r="U8052">
        <v>7.6</v>
      </c>
    </row>
    <row r="8053" spans="14:25">
      <c r="N8053" s="42">
        <v>44470</v>
      </c>
      <c r="O8053" t="s">
        <v>346</v>
      </c>
      <c r="P8053" s="42">
        <v>44470</v>
      </c>
      <c r="Q8053" t="s">
        <v>346</v>
      </c>
      <c r="R8053" t="s">
        <v>320</v>
      </c>
      <c r="S8053" t="s">
        <v>323</v>
      </c>
      <c r="T8053">
        <v>7.6</v>
      </c>
      <c r="Y8053" s="42">
        <v>44481</v>
      </c>
    </row>
    <row r="8054" spans="14:25">
      <c r="N8054" s="42">
        <v>44469</v>
      </c>
      <c r="O8054" t="s">
        <v>324</v>
      </c>
      <c r="P8054" s="42">
        <v>44469</v>
      </c>
      <c r="Q8054" t="s">
        <v>324</v>
      </c>
      <c r="R8054" t="s">
        <v>320</v>
      </c>
      <c r="S8054" t="s">
        <v>323</v>
      </c>
      <c r="T8054">
        <v>7.6</v>
      </c>
      <c r="Y8054" s="42">
        <v>44481</v>
      </c>
    </row>
    <row r="8055" spans="14:25">
      <c r="N8055" s="42">
        <v>44468</v>
      </c>
      <c r="O8055" t="s">
        <v>328</v>
      </c>
      <c r="P8055" s="42">
        <v>44468</v>
      </c>
      <c r="Q8055" t="s">
        <v>328</v>
      </c>
      <c r="R8055" t="s">
        <v>320</v>
      </c>
      <c r="S8055" t="s">
        <v>323</v>
      </c>
      <c r="T8055">
        <v>7.6</v>
      </c>
      <c r="Y8055" s="42">
        <v>44481</v>
      </c>
    </row>
    <row r="8056" spans="14:25">
      <c r="N8056" s="42">
        <v>44467</v>
      </c>
      <c r="O8056" t="s">
        <v>333</v>
      </c>
      <c r="P8056" s="42">
        <v>44467</v>
      </c>
      <c r="Q8056" t="s">
        <v>333</v>
      </c>
      <c r="R8056" t="s">
        <v>320</v>
      </c>
      <c r="S8056" t="s">
        <v>323</v>
      </c>
      <c r="T8056">
        <v>7.6</v>
      </c>
      <c r="Y8056" s="42">
        <v>44467</v>
      </c>
    </row>
    <row r="8057" spans="14:25">
      <c r="N8057" s="42">
        <v>44466</v>
      </c>
      <c r="O8057" t="s">
        <v>345</v>
      </c>
      <c r="P8057" s="42">
        <v>44466</v>
      </c>
      <c r="Q8057" t="s">
        <v>345</v>
      </c>
      <c r="R8057" t="s">
        <v>320</v>
      </c>
      <c r="S8057" t="s">
        <v>323</v>
      </c>
      <c r="T8057">
        <v>7.6</v>
      </c>
      <c r="Y8057" s="42">
        <v>44467</v>
      </c>
    </row>
    <row r="8058" spans="14:25">
      <c r="N8058" s="42">
        <v>44414</v>
      </c>
      <c r="O8058" t="s">
        <v>346</v>
      </c>
      <c r="P8058" s="42">
        <v>44414</v>
      </c>
      <c r="Q8058" t="s">
        <v>346</v>
      </c>
      <c r="R8058" t="s">
        <v>320</v>
      </c>
      <c r="S8058" t="s">
        <v>323</v>
      </c>
      <c r="T8058">
        <v>7.6</v>
      </c>
      <c r="Y8058" s="42">
        <v>44425</v>
      </c>
    </row>
    <row r="8059" spans="14:25">
      <c r="N8059" s="42">
        <v>44413</v>
      </c>
      <c r="O8059" t="s">
        <v>324</v>
      </c>
      <c r="P8059" s="42">
        <v>44413</v>
      </c>
      <c r="Q8059" t="s">
        <v>324</v>
      </c>
      <c r="R8059" t="s">
        <v>320</v>
      </c>
      <c r="S8059" t="s">
        <v>323</v>
      </c>
      <c r="T8059">
        <v>7.6</v>
      </c>
      <c r="Y8059" s="42">
        <v>44425</v>
      </c>
    </row>
    <row r="8060" spans="14:25">
      <c r="N8060" s="42">
        <v>44412</v>
      </c>
      <c r="O8060" t="s">
        <v>328</v>
      </c>
      <c r="P8060" s="42">
        <v>44412</v>
      </c>
      <c r="Q8060" t="s">
        <v>328</v>
      </c>
      <c r="R8060" t="s">
        <v>320</v>
      </c>
      <c r="S8060" t="s">
        <v>323</v>
      </c>
      <c r="T8060">
        <v>7.6</v>
      </c>
      <c r="Y8060" s="42">
        <v>44425</v>
      </c>
    </row>
    <row r="8061" spans="14:25">
      <c r="N8061" s="42">
        <v>44411</v>
      </c>
      <c r="O8061" t="s">
        <v>333</v>
      </c>
      <c r="P8061" s="42">
        <v>44411</v>
      </c>
      <c r="Q8061" t="s">
        <v>333</v>
      </c>
      <c r="R8061" t="s">
        <v>320</v>
      </c>
      <c r="S8061" t="s">
        <v>323</v>
      </c>
      <c r="T8061">
        <v>7.6</v>
      </c>
      <c r="Y8061" s="42">
        <v>44411</v>
      </c>
    </row>
    <row r="8062" spans="14:25">
      <c r="N8062" s="42">
        <v>44410</v>
      </c>
      <c r="O8062" t="s">
        <v>345</v>
      </c>
      <c r="P8062" s="42">
        <v>44410</v>
      </c>
      <c r="Q8062" t="s">
        <v>345</v>
      </c>
      <c r="R8062" t="s">
        <v>320</v>
      </c>
      <c r="S8062" t="s">
        <v>323</v>
      </c>
      <c r="T8062">
        <v>7.6</v>
      </c>
      <c r="Y8062" s="42">
        <v>44411</v>
      </c>
    </row>
    <row r="8063" spans="14:25">
      <c r="N8063" s="42">
        <v>44407</v>
      </c>
      <c r="O8063" t="s">
        <v>346</v>
      </c>
      <c r="P8063" s="42">
        <v>44407</v>
      </c>
      <c r="Q8063" t="s">
        <v>346</v>
      </c>
      <c r="R8063" t="s">
        <v>320</v>
      </c>
      <c r="S8063" t="s">
        <v>323</v>
      </c>
      <c r="T8063">
        <v>7.6</v>
      </c>
      <c r="Y8063" s="42">
        <v>44411</v>
      </c>
    </row>
    <row r="8064" spans="14:25">
      <c r="N8064" s="42">
        <v>44406</v>
      </c>
      <c r="O8064" t="s">
        <v>324</v>
      </c>
      <c r="P8064" s="42">
        <v>44406</v>
      </c>
      <c r="Q8064" t="s">
        <v>324</v>
      </c>
      <c r="R8064" t="s">
        <v>320</v>
      </c>
      <c r="S8064" t="s">
        <v>323</v>
      </c>
      <c r="T8064">
        <v>7.6</v>
      </c>
      <c r="Y8064" s="42">
        <v>44411</v>
      </c>
    </row>
    <row r="8065" spans="14:25">
      <c r="N8065" s="42">
        <v>44405</v>
      </c>
      <c r="O8065" t="s">
        <v>328</v>
      </c>
      <c r="P8065" s="42">
        <v>44405</v>
      </c>
      <c r="Q8065" t="s">
        <v>328</v>
      </c>
      <c r="R8065" t="s">
        <v>320</v>
      </c>
      <c r="S8065" t="s">
        <v>323</v>
      </c>
      <c r="T8065">
        <v>7.6</v>
      </c>
      <c r="Y8065" s="42">
        <v>44411</v>
      </c>
    </row>
    <row r="8066" spans="14:25">
      <c r="N8066" s="42">
        <v>44404</v>
      </c>
      <c r="O8066" t="s">
        <v>333</v>
      </c>
      <c r="P8066" s="42">
        <v>44404</v>
      </c>
      <c r="Q8066" t="s">
        <v>333</v>
      </c>
      <c r="R8066" t="s">
        <v>320</v>
      </c>
      <c r="S8066" t="s">
        <v>323</v>
      </c>
      <c r="T8066">
        <v>7.6</v>
      </c>
      <c r="Y8066" s="42">
        <v>44411</v>
      </c>
    </row>
    <row r="8067" spans="14:25">
      <c r="N8067" s="42">
        <v>44403</v>
      </c>
      <c r="O8067" t="s">
        <v>345</v>
      </c>
      <c r="P8067" s="42">
        <v>44403</v>
      </c>
      <c r="Q8067" t="s">
        <v>345</v>
      </c>
      <c r="R8067" t="s">
        <v>320</v>
      </c>
      <c r="S8067" t="s">
        <v>323</v>
      </c>
      <c r="T8067">
        <v>7.6</v>
      </c>
      <c r="Y8067" s="42">
        <v>44411</v>
      </c>
    </row>
    <row r="8068" spans="14:25">
      <c r="N8068" s="42">
        <v>44399</v>
      </c>
      <c r="O8068" t="s">
        <v>324</v>
      </c>
      <c r="P8068" s="42">
        <v>44399</v>
      </c>
      <c r="Q8068" t="s">
        <v>324</v>
      </c>
      <c r="R8068" t="s">
        <v>329</v>
      </c>
      <c r="S8068" t="s">
        <v>323</v>
      </c>
      <c r="T8068">
        <v>7.6</v>
      </c>
      <c r="W8068" t="s">
        <v>330</v>
      </c>
      <c r="Y8068" s="42">
        <v>44411</v>
      </c>
    </row>
    <row r="8069" spans="14:25">
      <c r="N8069" s="42">
        <v>44382</v>
      </c>
      <c r="O8069" t="s">
        <v>345</v>
      </c>
      <c r="P8069" s="42">
        <v>44382</v>
      </c>
      <c r="Q8069" t="s">
        <v>345</v>
      </c>
      <c r="R8069" t="s">
        <v>329</v>
      </c>
      <c r="S8069" t="s">
        <v>323</v>
      </c>
      <c r="T8069">
        <v>1.55</v>
      </c>
      <c r="W8069" t="s">
        <v>339</v>
      </c>
      <c r="Y8069" s="42">
        <v>44383</v>
      </c>
    </row>
    <row r="8070" spans="14:25">
      <c r="N8070" s="42">
        <v>44347</v>
      </c>
      <c r="O8070" t="s">
        <v>345</v>
      </c>
      <c r="P8070" s="42">
        <v>44347</v>
      </c>
      <c r="Q8070" t="s">
        <v>345</v>
      </c>
      <c r="R8070" t="s">
        <v>320</v>
      </c>
      <c r="S8070" t="s">
        <v>323</v>
      </c>
      <c r="T8070">
        <v>7.6</v>
      </c>
      <c r="Y8070" s="42">
        <v>44355</v>
      </c>
    </row>
    <row r="8071" spans="14:25">
      <c r="N8071" s="42">
        <v>44344</v>
      </c>
      <c r="O8071" t="s">
        <v>346</v>
      </c>
      <c r="P8071" s="42">
        <v>44344</v>
      </c>
      <c r="Q8071" t="s">
        <v>346</v>
      </c>
      <c r="R8071" t="s">
        <v>320</v>
      </c>
      <c r="S8071" t="s">
        <v>323</v>
      </c>
      <c r="T8071">
        <v>7.6</v>
      </c>
      <c r="Y8071" s="42">
        <v>44355</v>
      </c>
    </row>
    <row r="8072" spans="14:25">
      <c r="N8072" s="42">
        <v>44326</v>
      </c>
      <c r="O8072" t="s">
        <v>345</v>
      </c>
      <c r="P8072" s="42">
        <v>44326</v>
      </c>
      <c r="Q8072" t="s">
        <v>345</v>
      </c>
      <c r="R8072" t="s">
        <v>329</v>
      </c>
      <c r="S8072" t="s">
        <v>323</v>
      </c>
      <c r="T8072">
        <v>7.6</v>
      </c>
      <c r="W8072" t="s">
        <v>330</v>
      </c>
      <c r="Y8072" s="42">
        <v>44327</v>
      </c>
    </row>
    <row r="8073" spans="14:25">
      <c r="N8073" s="42">
        <v>44319</v>
      </c>
      <c r="O8073" t="s">
        <v>345</v>
      </c>
      <c r="P8073" s="42">
        <v>44319</v>
      </c>
      <c r="Q8073" t="s">
        <v>345</v>
      </c>
      <c r="R8073" t="s">
        <v>320</v>
      </c>
      <c r="S8073" t="s">
        <v>323</v>
      </c>
      <c r="U8073">
        <v>7.6</v>
      </c>
    </row>
    <row r="8074" spans="14:25">
      <c r="N8074" s="42">
        <v>44312</v>
      </c>
      <c r="O8074" t="s">
        <v>345</v>
      </c>
      <c r="P8074" s="42">
        <v>44312</v>
      </c>
      <c r="Q8074" t="s">
        <v>345</v>
      </c>
      <c r="R8074" t="s">
        <v>320</v>
      </c>
      <c r="S8074" t="s">
        <v>323</v>
      </c>
      <c r="U8074">
        <v>7.6</v>
      </c>
    </row>
    <row r="8075" spans="14:25">
      <c r="N8075" s="42">
        <v>44309</v>
      </c>
      <c r="O8075" t="s">
        <v>346</v>
      </c>
      <c r="P8075" s="42">
        <v>44309</v>
      </c>
      <c r="Q8075" t="s">
        <v>346</v>
      </c>
      <c r="R8075" t="s">
        <v>329</v>
      </c>
      <c r="S8075" t="s">
        <v>323</v>
      </c>
      <c r="T8075">
        <v>7.6</v>
      </c>
      <c r="W8075" t="s">
        <v>330</v>
      </c>
      <c r="Y8075" s="42">
        <v>44313</v>
      </c>
    </row>
    <row r="8076" spans="14:25">
      <c r="N8076" s="42">
        <v>44308</v>
      </c>
      <c r="O8076" t="s">
        <v>324</v>
      </c>
      <c r="P8076" s="42">
        <v>44308</v>
      </c>
      <c r="Q8076" t="s">
        <v>324</v>
      </c>
      <c r="R8076" t="s">
        <v>329</v>
      </c>
      <c r="S8076" t="s">
        <v>323</v>
      </c>
      <c r="T8076">
        <v>7.6</v>
      </c>
      <c r="W8076" t="s">
        <v>330</v>
      </c>
      <c r="Y8076" s="42">
        <v>44313</v>
      </c>
    </row>
    <row r="8077" spans="14:25">
      <c r="N8077" s="42">
        <v>44307</v>
      </c>
      <c r="O8077" t="s">
        <v>328</v>
      </c>
      <c r="P8077" s="42">
        <v>44307</v>
      </c>
      <c r="Q8077" t="s">
        <v>328</v>
      </c>
      <c r="R8077" t="s">
        <v>329</v>
      </c>
      <c r="S8077" t="s">
        <v>323</v>
      </c>
      <c r="T8077">
        <v>7.6</v>
      </c>
      <c r="W8077" t="s">
        <v>330</v>
      </c>
      <c r="Y8077" s="42">
        <v>44313</v>
      </c>
    </row>
    <row r="8078" spans="14:25">
      <c r="N8078" s="42">
        <v>44291</v>
      </c>
      <c r="O8078" t="s">
        <v>345</v>
      </c>
      <c r="P8078" s="42">
        <v>44291</v>
      </c>
      <c r="Q8078" t="s">
        <v>345</v>
      </c>
      <c r="R8078" t="s">
        <v>320</v>
      </c>
      <c r="S8078" t="s">
        <v>323</v>
      </c>
      <c r="U8078">
        <v>7.6</v>
      </c>
    </row>
    <row r="8079" spans="14:25">
      <c r="N8079" s="42">
        <v>44288</v>
      </c>
      <c r="O8079" t="s">
        <v>346</v>
      </c>
      <c r="P8079" s="42">
        <v>44288</v>
      </c>
      <c r="Q8079" t="s">
        <v>346</v>
      </c>
      <c r="R8079" t="s">
        <v>320</v>
      </c>
      <c r="S8079" t="s">
        <v>323</v>
      </c>
      <c r="U8079">
        <v>7.6</v>
      </c>
    </row>
    <row r="8080" spans="14:25">
      <c r="N8080" s="42">
        <v>44222</v>
      </c>
      <c r="O8080" t="s">
        <v>333</v>
      </c>
      <c r="P8080" s="42">
        <v>44222</v>
      </c>
      <c r="Q8080" t="s">
        <v>333</v>
      </c>
      <c r="R8080" t="s">
        <v>320</v>
      </c>
      <c r="S8080" t="s">
        <v>323</v>
      </c>
      <c r="U8080">
        <v>7.6</v>
      </c>
    </row>
    <row r="8081" spans="1:25">
      <c r="N8081" s="42">
        <v>44197</v>
      </c>
      <c r="O8081" t="s">
        <v>346</v>
      </c>
      <c r="P8081" s="42">
        <v>44197</v>
      </c>
      <c r="Q8081" t="s">
        <v>346</v>
      </c>
      <c r="R8081" t="s">
        <v>320</v>
      </c>
      <c r="S8081" t="s">
        <v>323</v>
      </c>
      <c r="U8081">
        <v>7.6</v>
      </c>
    </row>
    <row r="8082" spans="1:25">
      <c r="N8082" s="42">
        <v>44193</v>
      </c>
      <c r="O8082" t="s">
        <v>345</v>
      </c>
      <c r="P8082" s="42">
        <v>44193</v>
      </c>
      <c r="Q8082" t="s">
        <v>345</v>
      </c>
      <c r="R8082" t="s">
        <v>320</v>
      </c>
      <c r="S8082" t="s">
        <v>323</v>
      </c>
      <c r="U8082">
        <v>7.6</v>
      </c>
    </row>
    <row r="8083" spans="1:25">
      <c r="N8083" s="42">
        <v>44190</v>
      </c>
      <c r="O8083" t="s">
        <v>346</v>
      </c>
      <c r="P8083" s="42">
        <v>44190</v>
      </c>
      <c r="Q8083" t="s">
        <v>346</v>
      </c>
      <c r="R8083" t="s">
        <v>320</v>
      </c>
      <c r="S8083" t="s">
        <v>323</v>
      </c>
      <c r="U8083">
        <v>7.6</v>
      </c>
    </row>
    <row r="8084" spans="1:25">
      <c r="N8084" s="42">
        <v>44109</v>
      </c>
      <c r="O8084" t="s">
        <v>345</v>
      </c>
      <c r="P8084" s="42">
        <v>44109</v>
      </c>
      <c r="Q8084" t="s">
        <v>345</v>
      </c>
      <c r="R8084" t="s">
        <v>320</v>
      </c>
      <c r="S8084" t="s">
        <v>323</v>
      </c>
      <c r="U8084">
        <v>7.6</v>
      </c>
    </row>
    <row r="8085" spans="1:25">
      <c r="A8085">
        <v>18907</v>
      </c>
      <c r="B8085" t="s">
        <v>444</v>
      </c>
      <c r="C8085" t="s">
        <v>320</v>
      </c>
      <c r="D8085" t="s">
        <v>321</v>
      </c>
      <c r="E8085" t="s">
        <v>322</v>
      </c>
      <c r="F8085">
        <v>1</v>
      </c>
      <c r="G8085" s="42">
        <v>45015</v>
      </c>
      <c r="H8085">
        <v>0</v>
      </c>
      <c r="I8085">
        <v>-71.323099999999997</v>
      </c>
      <c r="J8085">
        <v>71.323099999999997</v>
      </c>
      <c r="K8085">
        <v>0</v>
      </c>
      <c r="L8085" t="s">
        <v>323</v>
      </c>
      <c r="M8085" s="43">
        <v>6.2499999999999995E-3</v>
      </c>
      <c r="N8085" s="42">
        <v>44204</v>
      </c>
      <c r="O8085" t="s">
        <v>346</v>
      </c>
      <c r="P8085" s="42">
        <v>44204</v>
      </c>
      <c r="Q8085" t="s">
        <v>346</v>
      </c>
      <c r="R8085" t="s">
        <v>320</v>
      </c>
      <c r="S8085" t="s">
        <v>323</v>
      </c>
      <c r="T8085">
        <v>40.923099999999998</v>
      </c>
      <c r="Y8085" s="42">
        <v>44215</v>
      </c>
    </row>
    <row r="8086" spans="1:25">
      <c r="C8086" t="s">
        <v>325</v>
      </c>
      <c r="D8086" t="s">
        <v>340</v>
      </c>
      <c r="E8086" t="s">
        <v>341</v>
      </c>
      <c r="F8086">
        <v>1</v>
      </c>
      <c r="G8086" s="42">
        <v>46476</v>
      </c>
      <c r="H8086">
        <v>138.3253</v>
      </c>
      <c r="I8086">
        <v>-15.4236</v>
      </c>
      <c r="J8086">
        <v>15.4236</v>
      </c>
      <c r="K8086">
        <v>0</v>
      </c>
      <c r="L8086" t="s">
        <v>323</v>
      </c>
      <c r="N8086" s="42">
        <v>44204</v>
      </c>
      <c r="O8086" t="s">
        <v>346</v>
      </c>
      <c r="P8086" s="42">
        <v>44204</v>
      </c>
      <c r="Q8086" t="s">
        <v>346</v>
      </c>
      <c r="R8086" t="s">
        <v>329</v>
      </c>
      <c r="S8086" t="s">
        <v>323</v>
      </c>
      <c r="T8086">
        <v>20.461500000000001</v>
      </c>
      <c r="W8086" t="s">
        <v>330</v>
      </c>
      <c r="Y8086" s="42">
        <v>44215</v>
      </c>
    </row>
    <row r="8087" spans="1:25">
      <c r="C8087" t="s">
        <v>329</v>
      </c>
      <c r="D8087" t="s">
        <v>331</v>
      </c>
      <c r="E8087" t="s">
        <v>332</v>
      </c>
      <c r="F8087">
        <v>1</v>
      </c>
      <c r="G8087" s="42">
        <v>45015</v>
      </c>
      <c r="H8087">
        <v>0</v>
      </c>
      <c r="I8087">
        <v>-35.661499999999997</v>
      </c>
      <c r="J8087">
        <v>35.661499999999997</v>
      </c>
      <c r="K8087">
        <v>0</v>
      </c>
      <c r="L8087" t="s">
        <v>323</v>
      </c>
      <c r="N8087" s="42">
        <v>44204</v>
      </c>
      <c r="O8087" t="s">
        <v>346</v>
      </c>
      <c r="P8087" s="42">
        <v>44204</v>
      </c>
      <c r="Q8087" t="s">
        <v>346</v>
      </c>
      <c r="R8087" t="s">
        <v>325</v>
      </c>
      <c r="S8087" t="s">
        <v>323</v>
      </c>
      <c r="T8087">
        <v>15.4236</v>
      </c>
      <c r="Y8087" s="42">
        <v>44215</v>
      </c>
    </row>
    <row r="8088" spans="1:25">
      <c r="N8088" s="42">
        <v>44200</v>
      </c>
      <c r="O8088" t="s">
        <v>345</v>
      </c>
      <c r="P8088" s="42">
        <v>44200</v>
      </c>
      <c r="Q8088" t="s">
        <v>345</v>
      </c>
      <c r="R8088" t="s">
        <v>329</v>
      </c>
      <c r="S8088" t="s">
        <v>323</v>
      </c>
      <c r="T8088">
        <v>7.6</v>
      </c>
      <c r="W8088" t="s">
        <v>339</v>
      </c>
      <c r="Y8088" s="42">
        <v>44201</v>
      </c>
    </row>
    <row r="8089" spans="1:25">
      <c r="N8089" s="42">
        <v>44197</v>
      </c>
      <c r="O8089" t="s">
        <v>346</v>
      </c>
      <c r="P8089" s="42">
        <v>44197</v>
      </c>
      <c r="Q8089" t="s">
        <v>346</v>
      </c>
      <c r="R8089" t="s">
        <v>320</v>
      </c>
      <c r="S8089" t="s">
        <v>323</v>
      </c>
      <c r="U8089">
        <v>7.6</v>
      </c>
      <c r="Y8089" s="42">
        <v>44201</v>
      </c>
    </row>
    <row r="8090" spans="1:25">
      <c r="N8090" s="42">
        <v>44196</v>
      </c>
      <c r="O8090" t="s">
        <v>324</v>
      </c>
      <c r="P8090" s="42">
        <v>44196</v>
      </c>
      <c r="Q8090" t="s">
        <v>324</v>
      </c>
      <c r="R8090" t="s">
        <v>320</v>
      </c>
      <c r="S8090" t="s">
        <v>323</v>
      </c>
      <c r="T8090">
        <v>7.6</v>
      </c>
      <c r="V8090">
        <v>0</v>
      </c>
      <c r="Y8090" s="42">
        <v>44201</v>
      </c>
    </row>
    <row r="8091" spans="1:25">
      <c r="N8091" s="42">
        <v>44193</v>
      </c>
      <c r="O8091" t="s">
        <v>345</v>
      </c>
      <c r="P8091" s="42">
        <v>44193</v>
      </c>
      <c r="Q8091" t="s">
        <v>345</v>
      </c>
      <c r="R8091" t="s">
        <v>320</v>
      </c>
      <c r="S8091" t="s">
        <v>323</v>
      </c>
      <c r="U8091">
        <v>7.6</v>
      </c>
      <c r="Y8091" s="42">
        <v>44201</v>
      </c>
    </row>
    <row r="8092" spans="1:25">
      <c r="N8092" s="42">
        <v>44190</v>
      </c>
      <c r="O8092" t="s">
        <v>346</v>
      </c>
      <c r="P8092" s="42">
        <v>44190</v>
      </c>
      <c r="Q8092" t="s">
        <v>346</v>
      </c>
      <c r="R8092" t="s">
        <v>320</v>
      </c>
      <c r="S8092" t="s">
        <v>323</v>
      </c>
      <c r="U8092">
        <v>7.6</v>
      </c>
      <c r="Y8092" s="42">
        <v>44201</v>
      </c>
    </row>
    <row r="8093" spans="1:25">
      <c r="N8093" s="42">
        <v>44188</v>
      </c>
      <c r="O8093" t="s">
        <v>328</v>
      </c>
      <c r="P8093" s="42">
        <v>44189</v>
      </c>
      <c r="Q8093" t="s">
        <v>324</v>
      </c>
      <c r="R8093" t="s">
        <v>320</v>
      </c>
      <c r="S8093" t="s">
        <v>323</v>
      </c>
      <c r="T8093">
        <v>15.2</v>
      </c>
      <c r="V8093">
        <v>0</v>
      </c>
      <c r="Y8093" s="42">
        <v>44201</v>
      </c>
    </row>
    <row r="8094" spans="1:25">
      <c r="N8094" s="42">
        <v>44161</v>
      </c>
      <c r="O8094" t="s">
        <v>324</v>
      </c>
      <c r="P8094" s="42">
        <v>44161</v>
      </c>
      <c r="Q8094" t="s">
        <v>324</v>
      </c>
      <c r="R8094" t="s">
        <v>329</v>
      </c>
      <c r="S8094" t="s">
        <v>323</v>
      </c>
      <c r="T8094">
        <v>7.6</v>
      </c>
      <c r="W8094" t="s">
        <v>339</v>
      </c>
      <c r="Y8094" s="42">
        <v>44173</v>
      </c>
    </row>
    <row r="8095" spans="1:25">
      <c r="N8095" s="42">
        <v>44138</v>
      </c>
      <c r="O8095" t="s">
        <v>333</v>
      </c>
      <c r="P8095" s="42">
        <v>44138</v>
      </c>
      <c r="Q8095" t="s">
        <v>333</v>
      </c>
      <c r="R8095" t="s">
        <v>320</v>
      </c>
      <c r="S8095" t="s">
        <v>323</v>
      </c>
      <c r="U8095">
        <v>7.6</v>
      </c>
      <c r="Y8095" s="42">
        <v>44145</v>
      </c>
    </row>
    <row r="8096" spans="1:25">
      <c r="N8096" s="42">
        <v>44137</v>
      </c>
      <c r="O8096" t="s">
        <v>345</v>
      </c>
      <c r="P8096" s="42">
        <v>44137</v>
      </c>
      <c r="Q8096" t="s">
        <v>345</v>
      </c>
      <c r="R8096" t="s">
        <v>320</v>
      </c>
      <c r="S8096" t="s">
        <v>323</v>
      </c>
      <c r="T8096">
        <v>7.6</v>
      </c>
      <c r="V8096">
        <v>0</v>
      </c>
      <c r="Y8096" s="42">
        <v>44145</v>
      </c>
    </row>
    <row r="8097" spans="1:25">
      <c r="N8097" s="42">
        <v>44127</v>
      </c>
      <c r="O8097" t="s">
        <v>346</v>
      </c>
      <c r="P8097" s="42">
        <v>44127</v>
      </c>
      <c r="Q8097" t="s">
        <v>346</v>
      </c>
      <c r="R8097" t="s">
        <v>320</v>
      </c>
      <c r="S8097" t="s">
        <v>323</v>
      </c>
      <c r="U8097">
        <v>7.6</v>
      </c>
      <c r="Y8097" s="42">
        <v>44131</v>
      </c>
    </row>
    <row r="8098" spans="1:25">
      <c r="N8098" s="42">
        <v>43990</v>
      </c>
      <c r="O8098" t="s">
        <v>345</v>
      </c>
      <c r="P8098" s="42">
        <v>43990</v>
      </c>
      <c r="Q8098" t="s">
        <v>345</v>
      </c>
      <c r="R8098" t="s">
        <v>320</v>
      </c>
      <c r="S8098" t="s">
        <v>323</v>
      </c>
      <c r="T8098">
        <v>0</v>
      </c>
      <c r="U8098">
        <v>7.6</v>
      </c>
      <c r="Y8098" s="42">
        <v>43991</v>
      </c>
    </row>
    <row r="8099" spans="1:25">
      <c r="N8099" s="42">
        <v>43934</v>
      </c>
      <c r="O8099" t="s">
        <v>345</v>
      </c>
      <c r="P8099" s="42">
        <v>43934</v>
      </c>
      <c r="Q8099" t="s">
        <v>345</v>
      </c>
      <c r="R8099" t="s">
        <v>320</v>
      </c>
      <c r="S8099" t="s">
        <v>323</v>
      </c>
      <c r="T8099">
        <v>0</v>
      </c>
      <c r="U8099">
        <v>7.6</v>
      </c>
      <c r="Y8099" s="42">
        <v>43935</v>
      </c>
    </row>
    <row r="8100" spans="1:25">
      <c r="N8100" s="42">
        <v>43931</v>
      </c>
      <c r="O8100" t="s">
        <v>346</v>
      </c>
      <c r="P8100" s="42">
        <v>43931</v>
      </c>
      <c r="Q8100" t="s">
        <v>346</v>
      </c>
      <c r="R8100" t="s">
        <v>320</v>
      </c>
      <c r="S8100" t="s">
        <v>323</v>
      </c>
      <c r="T8100">
        <v>0</v>
      </c>
      <c r="U8100">
        <v>7.6</v>
      </c>
      <c r="Y8100" s="42">
        <v>43935</v>
      </c>
    </row>
    <row r="8101" spans="1:25">
      <c r="A8101">
        <v>18911</v>
      </c>
      <c r="B8101" t="s">
        <v>445</v>
      </c>
      <c r="C8101" t="s">
        <v>320</v>
      </c>
      <c r="D8101" t="s">
        <v>336</v>
      </c>
      <c r="E8101" t="s">
        <v>337</v>
      </c>
      <c r="F8101">
        <v>1</v>
      </c>
      <c r="G8101" s="42">
        <v>45025</v>
      </c>
      <c r="H8101">
        <v>152</v>
      </c>
      <c r="I8101">
        <v>7.3369999999999997</v>
      </c>
      <c r="J8101">
        <v>137.00819999999999</v>
      </c>
      <c r="K8101">
        <v>144.34520000000001</v>
      </c>
      <c r="L8101" t="s">
        <v>323</v>
      </c>
      <c r="M8101" s="43">
        <v>9.0277777777777776E-2</v>
      </c>
      <c r="N8101" s="42">
        <v>44981</v>
      </c>
      <c r="O8101" t="s">
        <v>346</v>
      </c>
      <c r="P8101" s="42">
        <v>44981</v>
      </c>
      <c r="Q8101" t="s">
        <v>346</v>
      </c>
      <c r="R8101" t="s">
        <v>320</v>
      </c>
      <c r="S8101" t="s">
        <v>323</v>
      </c>
      <c r="T8101">
        <v>7.6</v>
      </c>
      <c r="Y8101" s="42">
        <v>44985</v>
      </c>
    </row>
    <row r="8102" spans="1:25">
      <c r="C8102" t="s">
        <v>325</v>
      </c>
      <c r="D8102" t="s">
        <v>352</v>
      </c>
      <c r="E8102" t="s">
        <v>353</v>
      </c>
      <c r="F8102">
        <v>1</v>
      </c>
      <c r="G8102" s="42">
        <v>47582</v>
      </c>
      <c r="H8102">
        <v>325.99740000000003</v>
      </c>
      <c r="I8102">
        <v>0</v>
      </c>
      <c r="J8102">
        <v>92.154499999999999</v>
      </c>
      <c r="K8102">
        <v>92.154499999999999</v>
      </c>
      <c r="L8102" t="s">
        <v>323</v>
      </c>
      <c r="N8102" s="42">
        <v>44980</v>
      </c>
      <c r="O8102" t="s">
        <v>324</v>
      </c>
      <c r="P8102" s="42">
        <v>44980</v>
      </c>
      <c r="Q8102" t="s">
        <v>324</v>
      </c>
      <c r="R8102" t="s">
        <v>320</v>
      </c>
      <c r="S8102" t="s">
        <v>323</v>
      </c>
      <c r="T8102">
        <v>7.6</v>
      </c>
      <c r="Y8102" s="42">
        <v>44985</v>
      </c>
    </row>
    <row r="8103" spans="1:25">
      <c r="C8103" t="s">
        <v>329</v>
      </c>
      <c r="D8103" t="s">
        <v>342</v>
      </c>
      <c r="E8103" t="s">
        <v>343</v>
      </c>
      <c r="F8103">
        <v>1</v>
      </c>
      <c r="G8103" s="42">
        <v>45025</v>
      </c>
      <c r="H8103">
        <v>76</v>
      </c>
      <c r="I8103">
        <v>86.0685</v>
      </c>
      <c r="J8103">
        <v>68.504099999999994</v>
      </c>
      <c r="K8103">
        <v>154.57259999999999</v>
      </c>
      <c r="L8103" t="s">
        <v>323</v>
      </c>
      <c r="N8103" s="42">
        <v>44952</v>
      </c>
      <c r="O8103" t="s">
        <v>324</v>
      </c>
      <c r="P8103" s="42">
        <v>44952</v>
      </c>
      <c r="Q8103" t="s">
        <v>324</v>
      </c>
      <c r="R8103" t="s">
        <v>320</v>
      </c>
      <c r="S8103" t="s">
        <v>323</v>
      </c>
      <c r="U8103">
        <v>7.6</v>
      </c>
    </row>
    <row r="8104" spans="1:25">
      <c r="N8104" s="42">
        <v>44928</v>
      </c>
      <c r="O8104" t="s">
        <v>345</v>
      </c>
      <c r="P8104" s="42">
        <v>44928</v>
      </c>
      <c r="Q8104" t="s">
        <v>345</v>
      </c>
      <c r="R8104" t="s">
        <v>320</v>
      </c>
      <c r="S8104" t="s">
        <v>323</v>
      </c>
      <c r="U8104">
        <v>7.6</v>
      </c>
    </row>
    <row r="8105" spans="1:25">
      <c r="N8105" s="42">
        <v>44922</v>
      </c>
      <c r="O8105" t="s">
        <v>333</v>
      </c>
      <c r="P8105" s="42">
        <v>44922</v>
      </c>
      <c r="Q8105" t="s">
        <v>333</v>
      </c>
      <c r="R8105" t="s">
        <v>320</v>
      </c>
      <c r="S8105" t="s">
        <v>323</v>
      </c>
      <c r="U8105">
        <v>7.6</v>
      </c>
    </row>
    <row r="8106" spans="1:25">
      <c r="N8106" s="42">
        <v>44921</v>
      </c>
      <c r="O8106" t="s">
        <v>345</v>
      </c>
      <c r="P8106" s="42">
        <v>44921</v>
      </c>
      <c r="Q8106" t="s">
        <v>345</v>
      </c>
      <c r="R8106" t="s">
        <v>320</v>
      </c>
      <c r="S8106" t="s">
        <v>323</v>
      </c>
      <c r="U8106">
        <v>7.6</v>
      </c>
    </row>
    <row r="8107" spans="1:25">
      <c r="N8107" s="42">
        <v>44917</v>
      </c>
      <c r="O8107" t="s">
        <v>324</v>
      </c>
      <c r="P8107" s="42">
        <v>44917</v>
      </c>
      <c r="Q8107" t="s">
        <v>324</v>
      </c>
      <c r="R8107" t="s">
        <v>329</v>
      </c>
      <c r="S8107" t="s">
        <v>323</v>
      </c>
      <c r="T8107">
        <v>7.6</v>
      </c>
      <c r="W8107" t="s">
        <v>330</v>
      </c>
      <c r="Y8107" s="42">
        <v>44929</v>
      </c>
    </row>
    <row r="8108" spans="1:25">
      <c r="N8108" s="42">
        <v>44845</v>
      </c>
      <c r="O8108" t="s">
        <v>333</v>
      </c>
      <c r="P8108" s="42">
        <v>44845</v>
      </c>
      <c r="Q8108" t="s">
        <v>333</v>
      </c>
      <c r="R8108" t="s">
        <v>320</v>
      </c>
      <c r="S8108" t="s">
        <v>323</v>
      </c>
      <c r="T8108">
        <v>7.6</v>
      </c>
      <c r="Y8108" s="42">
        <v>44845</v>
      </c>
    </row>
    <row r="8109" spans="1:25">
      <c r="N8109" s="42">
        <v>44837</v>
      </c>
      <c r="O8109" t="s">
        <v>345</v>
      </c>
      <c r="P8109" s="42">
        <v>44837</v>
      </c>
      <c r="Q8109" t="s">
        <v>345</v>
      </c>
      <c r="R8109" t="s">
        <v>320</v>
      </c>
      <c r="S8109" t="s">
        <v>323</v>
      </c>
      <c r="U8109">
        <v>7.6</v>
      </c>
    </row>
    <row r="8110" spans="1:25">
      <c r="N8110" s="42">
        <v>44826</v>
      </c>
      <c r="O8110" t="s">
        <v>324</v>
      </c>
      <c r="P8110" s="42">
        <v>44826</v>
      </c>
      <c r="Q8110" t="s">
        <v>324</v>
      </c>
      <c r="R8110" t="s">
        <v>320</v>
      </c>
      <c r="S8110" t="s">
        <v>323</v>
      </c>
      <c r="U8110">
        <v>7.6</v>
      </c>
    </row>
    <row r="8111" spans="1:25">
      <c r="N8111" s="42">
        <v>44806</v>
      </c>
      <c r="O8111" t="s">
        <v>346</v>
      </c>
      <c r="P8111" s="42">
        <v>44806</v>
      </c>
      <c r="Q8111" t="s">
        <v>346</v>
      </c>
      <c r="R8111" t="s">
        <v>320</v>
      </c>
      <c r="S8111" t="s">
        <v>323</v>
      </c>
      <c r="T8111">
        <v>7.6</v>
      </c>
      <c r="Y8111" s="42">
        <v>44817</v>
      </c>
    </row>
    <row r="8112" spans="1:25">
      <c r="N8112" s="42">
        <v>44805</v>
      </c>
      <c r="O8112" t="s">
        <v>324</v>
      </c>
      <c r="P8112" s="42">
        <v>44805</v>
      </c>
      <c r="Q8112" t="s">
        <v>324</v>
      </c>
      <c r="R8112" t="s">
        <v>320</v>
      </c>
      <c r="S8112" t="s">
        <v>323</v>
      </c>
      <c r="T8112">
        <v>7.6</v>
      </c>
      <c r="Y8112" s="42">
        <v>44817</v>
      </c>
    </row>
    <row r="8113" spans="14:25">
      <c r="N8113" s="42">
        <v>44804</v>
      </c>
      <c r="O8113" t="s">
        <v>328</v>
      </c>
      <c r="P8113" s="42">
        <v>44804</v>
      </c>
      <c r="Q8113" t="s">
        <v>328</v>
      </c>
      <c r="R8113" t="s">
        <v>320</v>
      </c>
      <c r="S8113" t="s">
        <v>323</v>
      </c>
      <c r="T8113">
        <v>7.6</v>
      </c>
      <c r="Y8113" s="42">
        <v>44817</v>
      </c>
    </row>
    <row r="8114" spans="14:25">
      <c r="N8114" s="42">
        <v>44803</v>
      </c>
      <c r="O8114" t="s">
        <v>333</v>
      </c>
      <c r="P8114" s="42">
        <v>44803</v>
      </c>
      <c r="Q8114" t="s">
        <v>333</v>
      </c>
      <c r="R8114" t="s">
        <v>320</v>
      </c>
      <c r="S8114" t="s">
        <v>323</v>
      </c>
      <c r="T8114">
        <v>7.6</v>
      </c>
      <c r="Y8114" s="42">
        <v>44803</v>
      </c>
    </row>
    <row r="8115" spans="14:25">
      <c r="N8115" s="42">
        <v>44802</v>
      </c>
      <c r="O8115" t="s">
        <v>345</v>
      </c>
      <c r="P8115" s="42">
        <v>44802</v>
      </c>
      <c r="Q8115" t="s">
        <v>345</v>
      </c>
      <c r="R8115" t="s">
        <v>320</v>
      </c>
      <c r="S8115" t="s">
        <v>323</v>
      </c>
      <c r="T8115">
        <v>7.6</v>
      </c>
      <c r="Y8115" s="42">
        <v>44803</v>
      </c>
    </row>
    <row r="8116" spans="14:25">
      <c r="N8116" s="42">
        <v>44799</v>
      </c>
      <c r="O8116" t="s">
        <v>346</v>
      </c>
      <c r="P8116" s="42">
        <v>44799</v>
      </c>
      <c r="Q8116" t="s">
        <v>346</v>
      </c>
      <c r="R8116" t="s">
        <v>320</v>
      </c>
      <c r="S8116" t="s">
        <v>323</v>
      </c>
      <c r="T8116">
        <v>7.6</v>
      </c>
      <c r="Y8116" s="42">
        <v>44803</v>
      </c>
    </row>
    <row r="8117" spans="14:25">
      <c r="N8117" s="42">
        <v>44798</v>
      </c>
      <c r="O8117" t="s">
        <v>324</v>
      </c>
      <c r="P8117" s="42">
        <v>44798</v>
      </c>
      <c r="Q8117" t="s">
        <v>324</v>
      </c>
      <c r="R8117" t="s">
        <v>320</v>
      </c>
      <c r="S8117" t="s">
        <v>323</v>
      </c>
      <c r="T8117">
        <v>7.6</v>
      </c>
      <c r="Y8117" s="42">
        <v>44803</v>
      </c>
    </row>
    <row r="8118" spans="14:25">
      <c r="N8118" s="42">
        <v>44797</v>
      </c>
      <c r="O8118" t="s">
        <v>328</v>
      </c>
      <c r="P8118" s="42">
        <v>44797</v>
      </c>
      <c r="Q8118" t="s">
        <v>328</v>
      </c>
      <c r="R8118" t="s">
        <v>320</v>
      </c>
      <c r="S8118" t="s">
        <v>323</v>
      </c>
      <c r="T8118">
        <v>7.6</v>
      </c>
      <c r="Y8118" s="42">
        <v>44803</v>
      </c>
    </row>
    <row r="8119" spans="14:25">
      <c r="N8119" s="42">
        <v>44796</v>
      </c>
      <c r="O8119" t="s">
        <v>333</v>
      </c>
      <c r="P8119" s="42">
        <v>44796</v>
      </c>
      <c r="Q8119" t="s">
        <v>333</v>
      </c>
      <c r="R8119" t="s">
        <v>320</v>
      </c>
      <c r="S8119" t="s">
        <v>323</v>
      </c>
      <c r="T8119">
        <v>7.6</v>
      </c>
      <c r="Y8119" s="42">
        <v>44803</v>
      </c>
    </row>
    <row r="8120" spans="14:25">
      <c r="N8120" s="42">
        <v>44795</v>
      </c>
      <c r="O8120" t="s">
        <v>345</v>
      </c>
      <c r="P8120" s="42">
        <v>44795</v>
      </c>
      <c r="Q8120" t="s">
        <v>345</v>
      </c>
      <c r="R8120" t="s">
        <v>320</v>
      </c>
      <c r="S8120" t="s">
        <v>323</v>
      </c>
      <c r="T8120">
        <v>7.6</v>
      </c>
      <c r="Y8120" s="42">
        <v>44803</v>
      </c>
    </row>
    <row r="8121" spans="14:25">
      <c r="N8121" s="42">
        <v>44792</v>
      </c>
      <c r="O8121" t="s">
        <v>346</v>
      </c>
      <c r="P8121" s="42">
        <v>44792</v>
      </c>
      <c r="Q8121" t="s">
        <v>346</v>
      </c>
      <c r="R8121" t="s">
        <v>320</v>
      </c>
      <c r="S8121" t="s">
        <v>323</v>
      </c>
      <c r="T8121">
        <v>7.6</v>
      </c>
      <c r="Y8121" s="42">
        <v>44803</v>
      </c>
    </row>
    <row r="8122" spans="14:25">
      <c r="N8122" s="42">
        <v>44791</v>
      </c>
      <c r="O8122" t="s">
        <v>324</v>
      </c>
      <c r="P8122" s="42">
        <v>44791</v>
      </c>
      <c r="Q8122" t="s">
        <v>324</v>
      </c>
      <c r="R8122" t="s">
        <v>320</v>
      </c>
      <c r="S8122" t="s">
        <v>323</v>
      </c>
      <c r="T8122">
        <v>7.6</v>
      </c>
      <c r="Y8122" s="42">
        <v>44803</v>
      </c>
    </row>
    <row r="8123" spans="14:25">
      <c r="N8123" s="42">
        <v>44790</v>
      </c>
      <c r="O8123" t="s">
        <v>328</v>
      </c>
      <c r="P8123" s="42">
        <v>44790</v>
      </c>
      <c r="Q8123" t="s">
        <v>328</v>
      </c>
      <c r="R8123" t="s">
        <v>320</v>
      </c>
      <c r="S8123" t="s">
        <v>323</v>
      </c>
      <c r="T8123">
        <v>7.6</v>
      </c>
      <c r="Y8123" s="42">
        <v>44803</v>
      </c>
    </row>
    <row r="8124" spans="14:25">
      <c r="N8124" s="42">
        <v>44789</v>
      </c>
      <c r="O8124" t="s">
        <v>333</v>
      </c>
      <c r="P8124" s="42">
        <v>44789</v>
      </c>
      <c r="Q8124" t="s">
        <v>333</v>
      </c>
      <c r="R8124" t="s">
        <v>320</v>
      </c>
      <c r="S8124" t="s">
        <v>323</v>
      </c>
      <c r="T8124">
        <v>7.6</v>
      </c>
      <c r="Y8124" s="42">
        <v>44789</v>
      </c>
    </row>
    <row r="8125" spans="14:25">
      <c r="N8125" s="42">
        <v>44788</v>
      </c>
      <c r="O8125" t="s">
        <v>345</v>
      </c>
      <c r="P8125" s="42">
        <v>44788</v>
      </c>
      <c r="Q8125" t="s">
        <v>345</v>
      </c>
      <c r="R8125" t="s">
        <v>320</v>
      </c>
      <c r="S8125" t="s">
        <v>323</v>
      </c>
      <c r="T8125">
        <v>7.6</v>
      </c>
      <c r="Y8125" s="42">
        <v>44789</v>
      </c>
    </row>
    <row r="8126" spans="14:25">
      <c r="N8126" s="42">
        <v>44785</v>
      </c>
      <c r="O8126" t="s">
        <v>346</v>
      </c>
      <c r="P8126" s="42">
        <v>44785</v>
      </c>
      <c r="Q8126" t="s">
        <v>346</v>
      </c>
      <c r="R8126" t="s">
        <v>320</v>
      </c>
      <c r="S8126" t="s">
        <v>323</v>
      </c>
      <c r="T8126">
        <v>7.6</v>
      </c>
      <c r="Y8126" s="42">
        <v>44789</v>
      </c>
    </row>
    <row r="8127" spans="14:25">
      <c r="N8127" s="42">
        <v>44784</v>
      </c>
      <c r="O8127" t="s">
        <v>324</v>
      </c>
      <c r="P8127" s="42">
        <v>44784</v>
      </c>
      <c r="Q8127" t="s">
        <v>324</v>
      </c>
      <c r="R8127" t="s">
        <v>320</v>
      </c>
      <c r="S8127" t="s">
        <v>323</v>
      </c>
      <c r="T8127">
        <v>7.6</v>
      </c>
      <c r="Y8127" s="42">
        <v>44789</v>
      </c>
    </row>
    <row r="8128" spans="14:25">
      <c r="N8128" s="42">
        <v>44783</v>
      </c>
      <c r="O8128" t="s">
        <v>328</v>
      </c>
      <c r="P8128" s="42">
        <v>44783</v>
      </c>
      <c r="Q8128" t="s">
        <v>328</v>
      </c>
      <c r="R8128" t="s">
        <v>320</v>
      </c>
      <c r="S8128" t="s">
        <v>323</v>
      </c>
      <c r="T8128">
        <v>7.6</v>
      </c>
      <c r="Y8128" s="42">
        <v>44789</v>
      </c>
    </row>
    <row r="8129" spans="14:25">
      <c r="N8129" s="42">
        <v>44782</v>
      </c>
      <c r="O8129" t="s">
        <v>333</v>
      </c>
      <c r="P8129" s="42">
        <v>44782</v>
      </c>
      <c r="Q8129" t="s">
        <v>333</v>
      </c>
      <c r="R8129" t="s">
        <v>320</v>
      </c>
      <c r="S8129" t="s">
        <v>323</v>
      </c>
      <c r="T8129">
        <v>7.6</v>
      </c>
      <c r="Y8129" s="42">
        <v>44789</v>
      </c>
    </row>
    <row r="8130" spans="14:25">
      <c r="N8130" s="42">
        <v>44781</v>
      </c>
      <c r="O8130" t="s">
        <v>345</v>
      </c>
      <c r="P8130" s="42">
        <v>44781</v>
      </c>
      <c r="Q8130" t="s">
        <v>345</v>
      </c>
      <c r="R8130" t="s">
        <v>320</v>
      </c>
      <c r="S8130" t="s">
        <v>323</v>
      </c>
      <c r="T8130">
        <v>7.6</v>
      </c>
      <c r="Y8130" s="42">
        <v>44789</v>
      </c>
    </row>
    <row r="8131" spans="14:25">
      <c r="N8131" s="42">
        <v>44778</v>
      </c>
      <c r="O8131" t="s">
        <v>346</v>
      </c>
      <c r="P8131" s="42">
        <v>44778</v>
      </c>
      <c r="Q8131" t="s">
        <v>346</v>
      </c>
      <c r="R8131" t="s">
        <v>320</v>
      </c>
      <c r="S8131" t="s">
        <v>323</v>
      </c>
      <c r="T8131">
        <v>7.6</v>
      </c>
      <c r="Y8131" s="42">
        <v>44789</v>
      </c>
    </row>
    <row r="8132" spans="14:25">
      <c r="N8132" s="42">
        <v>44777</v>
      </c>
      <c r="O8132" t="s">
        <v>324</v>
      </c>
      <c r="P8132" s="42">
        <v>44777</v>
      </c>
      <c r="Q8132" t="s">
        <v>324</v>
      </c>
      <c r="R8132" t="s">
        <v>320</v>
      </c>
      <c r="S8132" t="s">
        <v>323</v>
      </c>
      <c r="T8132">
        <v>7.6</v>
      </c>
      <c r="Y8132" s="42">
        <v>44789</v>
      </c>
    </row>
    <row r="8133" spans="14:25">
      <c r="N8133" s="42">
        <v>44776</v>
      </c>
      <c r="O8133" t="s">
        <v>328</v>
      </c>
      <c r="P8133" s="42">
        <v>44776</v>
      </c>
      <c r="Q8133" t="s">
        <v>328</v>
      </c>
      <c r="R8133" t="s">
        <v>320</v>
      </c>
      <c r="S8133" t="s">
        <v>323</v>
      </c>
      <c r="T8133">
        <v>7.6</v>
      </c>
      <c r="Y8133" s="42">
        <v>44789</v>
      </c>
    </row>
    <row r="8134" spans="14:25">
      <c r="N8134" s="42">
        <v>44775</v>
      </c>
      <c r="O8134" t="s">
        <v>333</v>
      </c>
      <c r="P8134" s="42">
        <v>44775</v>
      </c>
      <c r="Q8134" t="s">
        <v>333</v>
      </c>
      <c r="R8134" t="s">
        <v>320</v>
      </c>
      <c r="S8134" t="s">
        <v>323</v>
      </c>
      <c r="T8134">
        <v>7.6</v>
      </c>
      <c r="Y8134" s="42">
        <v>44775</v>
      </c>
    </row>
    <row r="8135" spans="14:25">
      <c r="N8135" s="42">
        <v>44774</v>
      </c>
      <c r="O8135" t="s">
        <v>345</v>
      </c>
      <c r="P8135" s="42">
        <v>44774</v>
      </c>
      <c r="Q8135" t="s">
        <v>345</v>
      </c>
      <c r="R8135" t="s">
        <v>320</v>
      </c>
      <c r="S8135" t="s">
        <v>323</v>
      </c>
      <c r="T8135">
        <v>7.6</v>
      </c>
      <c r="Y8135" s="42">
        <v>44775</v>
      </c>
    </row>
    <row r="8136" spans="14:25">
      <c r="N8136" s="42">
        <v>44771</v>
      </c>
      <c r="O8136" t="s">
        <v>346</v>
      </c>
      <c r="P8136" s="42">
        <v>44771</v>
      </c>
      <c r="Q8136" t="s">
        <v>346</v>
      </c>
      <c r="R8136" t="s">
        <v>320</v>
      </c>
      <c r="S8136" t="s">
        <v>323</v>
      </c>
      <c r="T8136">
        <v>7.6</v>
      </c>
      <c r="Y8136" s="42">
        <v>44775</v>
      </c>
    </row>
    <row r="8137" spans="14:25">
      <c r="N8137" s="42">
        <v>44770</v>
      </c>
      <c r="O8137" t="s">
        <v>324</v>
      </c>
      <c r="P8137" s="42">
        <v>44770</v>
      </c>
      <c r="Q8137" t="s">
        <v>324</v>
      </c>
      <c r="R8137" t="s">
        <v>320</v>
      </c>
      <c r="S8137" t="s">
        <v>323</v>
      </c>
      <c r="T8137">
        <v>7.6</v>
      </c>
      <c r="Y8137" s="42">
        <v>44775</v>
      </c>
    </row>
    <row r="8138" spans="14:25">
      <c r="N8138" s="42">
        <v>44769</v>
      </c>
      <c r="O8138" t="s">
        <v>328</v>
      </c>
      <c r="P8138" s="42">
        <v>44769</v>
      </c>
      <c r="Q8138" t="s">
        <v>328</v>
      </c>
      <c r="R8138" t="s">
        <v>320</v>
      </c>
      <c r="S8138" t="s">
        <v>323</v>
      </c>
      <c r="T8138">
        <v>7.6</v>
      </c>
      <c r="Y8138" s="42">
        <v>44775</v>
      </c>
    </row>
    <row r="8139" spans="14:25">
      <c r="N8139" s="42">
        <v>44768</v>
      </c>
      <c r="O8139" t="s">
        <v>333</v>
      </c>
      <c r="P8139" s="42">
        <v>44768</v>
      </c>
      <c r="Q8139" t="s">
        <v>333</v>
      </c>
      <c r="R8139" t="s">
        <v>320</v>
      </c>
      <c r="S8139" t="s">
        <v>323</v>
      </c>
      <c r="T8139">
        <v>7.6</v>
      </c>
      <c r="Y8139" s="42">
        <v>44775</v>
      </c>
    </row>
    <row r="8140" spans="14:25">
      <c r="N8140" s="42">
        <v>44767</v>
      </c>
      <c r="O8140" t="s">
        <v>345</v>
      </c>
      <c r="P8140" s="42">
        <v>44767</v>
      </c>
      <c r="Q8140" t="s">
        <v>345</v>
      </c>
      <c r="R8140" t="s">
        <v>320</v>
      </c>
      <c r="S8140" t="s">
        <v>323</v>
      </c>
      <c r="T8140">
        <v>7.6</v>
      </c>
      <c r="Y8140" s="42">
        <v>44775</v>
      </c>
    </row>
    <row r="8141" spans="14:25">
      <c r="N8141" s="42">
        <v>44764</v>
      </c>
      <c r="O8141" t="s">
        <v>346</v>
      </c>
      <c r="P8141" s="42">
        <v>44764</v>
      </c>
      <c r="Q8141" t="s">
        <v>346</v>
      </c>
      <c r="R8141" t="s">
        <v>320</v>
      </c>
      <c r="S8141" t="s">
        <v>323</v>
      </c>
      <c r="T8141">
        <v>7.6</v>
      </c>
      <c r="Y8141" s="42">
        <v>44775</v>
      </c>
    </row>
    <row r="8142" spans="14:25">
      <c r="N8142" s="42">
        <v>44725</v>
      </c>
      <c r="O8142" t="s">
        <v>345</v>
      </c>
      <c r="P8142" s="42">
        <v>44725</v>
      </c>
      <c r="Q8142" t="s">
        <v>345</v>
      </c>
      <c r="R8142" t="s">
        <v>320</v>
      </c>
      <c r="S8142" t="s">
        <v>323</v>
      </c>
      <c r="U8142">
        <v>7.6</v>
      </c>
    </row>
    <row r="8143" spans="14:25">
      <c r="N8143" s="42">
        <v>44676</v>
      </c>
      <c r="O8143" t="s">
        <v>345</v>
      </c>
      <c r="P8143" s="42">
        <v>44676</v>
      </c>
      <c r="Q8143" t="s">
        <v>345</v>
      </c>
      <c r="R8143" t="s">
        <v>320</v>
      </c>
      <c r="S8143" t="s">
        <v>323</v>
      </c>
      <c r="U8143">
        <v>7.6</v>
      </c>
    </row>
    <row r="8144" spans="14:25">
      <c r="N8144" s="42">
        <v>44669</v>
      </c>
      <c r="O8144" t="s">
        <v>345</v>
      </c>
      <c r="P8144" s="42">
        <v>44669</v>
      </c>
      <c r="Q8144" t="s">
        <v>345</v>
      </c>
      <c r="R8144" t="s">
        <v>320</v>
      </c>
      <c r="S8144" t="s">
        <v>323</v>
      </c>
      <c r="U8144">
        <v>7.6</v>
      </c>
    </row>
    <row r="8145" spans="14:25">
      <c r="N8145" s="42">
        <v>44666</v>
      </c>
      <c r="O8145" t="s">
        <v>346</v>
      </c>
      <c r="P8145" s="42">
        <v>44666</v>
      </c>
      <c r="Q8145" t="s">
        <v>346</v>
      </c>
      <c r="R8145" t="s">
        <v>320</v>
      </c>
      <c r="S8145" t="s">
        <v>323</v>
      </c>
      <c r="U8145">
        <v>7.6</v>
      </c>
    </row>
    <row r="8146" spans="14:25">
      <c r="N8146" s="42">
        <v>44665</v>
      </c>
      <c r="O8146" t="s">
        <v>324</v>
      </c>
      <c r="P8146" s="42">
        <v>44665</v>
      </c>
      <c r="Q8146" t="s">
        <v>324</v>
      </c>
      <c r="R8146" t="s">
        <v>329</v>
      </c>
      <c r="S8146" t="s">
        <v>323</v>
      </c>
      <c r="T8146">
        <v>7.6</v>
      </c>
      <c r="W8146" t="s">
        <v>330</v>
      </c>
      <c r="Y8146" s="42">
        <v>44677</v>
      </c>
    </row>
    <row r="8147" spans="14:25">
      <c r="N8147" s="42">
        <v>44664</v>
      </c>
      <c r="O8147" t="s">
        <v>328</v>
      </c>
      <c r="P8147" s="42">
        <v>44664</v>
      </c>
      <c r="Q8147" t="s">
        <v>328</v>
      </c>
      <c r="R8147" t="s">
        <v>329</v>
      </c>
      <c r="S8147" t="s">
        <v>323</v>
      </c>
      <c r="T8147">
        <v>7.6</v>
      </c>
      <c r="W8147" t="s">
        <v>330</v>
      </c>
      <c r="Y8147" s="42">
        <v>44677</v>
      </c>
    </row>
    <row r="8148" spans="14:25">
      <c r="N8148" s="42">
        <v>44663</v>
      </c>
      <c r="O8148" t="s">
        <v>333</v>
      </c>
      <c r="P8148" s="42">
        <v>44663</v>
      </c>
      <c r="Q8148" t="s">
        <v>333</v>
      </c>
      <c r="R8148" t="s">
        <v>329</v>
      </c>
      <c r="S8148" t="s">
        <v>323</v>
      </c>
      <c r="T8148">
        <v>7.6</v>
      </c>
      <c r="W8148" t="s">
        <v>330</v>
      </c>
      <c r="Y8148" s="42">
        <v>44663</v>
      </c>
    </row>
    <row r="8149" spans="14:25">
      <c r="N8149" s="42">
        <v>44662</v>
      </c>
      <c r="O8149" t="s">
        <v>345</v>
      </c>
      <c r="P8149" s="42">
        <v>44662</v>
      </c>
      <c r="Q8149" t="s">
        <v>345</v>
      </c>
      <c r="R8149" t="s">
        <v>329</v>
      </c>
      <c r="S8149" t="s">
        <v>323</v>
      </c>
      <c r="T8149">
        <v>7.6</v>
      </c>
      <c r="W8149" t="s">
        <v>330</v>
      </c>
      <c r="Y8149" s="42">
        <v>44663</v>
      </c>
    </row>
    <row r="8150" spans="14:25">
      <c r="N8150" s="42">
        <v>44634</v>
      </c>
      <c r="O8150" t="s">
        <v>345</v>
      </c>
      <c r="P8150" s="42">
        <v>44634</v>
      </c>
      <c r="Q8150" t="s">
        <v>345</v>
      </c>
      <c r="R8150" t="s">
        <v>329</v>
      </c>
      <c r="S8150" t="s">
        <v>323</v>
      </c>
      <c r="T8150">
        <v>7.6</v>
      </c>
      <c r="W8150" t="s">
        <v>330</v>
      </c>
      <c r="Y8150" s="42">
        <v>44635</v>
      </c>
    </row>
    <row r="8151" spans="14:25">
      <c r="N8151" s="42">
        <v>44587</v>
      </c>
      <c r="O8151" t="s">
        <v>328</v>
      </c>
      <c r="P8151" s="42">
        <v>44587</v>
      </c>
      <c r="Q8151" t="s">
        <v>328</v>
      </c>
      <c r="R8151" t="s">
        <v>320</v>
      </c>
      <c r="S8151" t="s">
        <v>323</v>
      </c>
      <c r="U8151">
        <v>7.6</v>
      </c>
    </row>
    <row r="8152" spans="14:25">
      <c r="N8152" s="42">
        <v>44564</v>
      </c>
      <c r="O8152" t="s">
        <v>345</v>
      </c>
      <c r="P8152" s="42">
        <v>44564</v>
      </c>
      <c r="Q8152" t="s">
        <v>345</v>
      </c>
      <c r="R8152" t="s">
        <v>320</v>
      </c>
      <c r="S8152" t="s">
        <v>323</v>
      </c>
      <c r="U8152">
        <v>7.6</v>
      </c>
    </row>
    <row r="8153" spans="14:25">
      <c r="N8153" s="42">
        <v>44558</v>
      </c>
      <c r="O8153" t="s">
        <v>333</v>
      </c>
      <c r="P8153" s="42">
        <v>44558</v>
      </c>
      <c r="Q8153" t="s">
        <v>333</v>
      </c>
      <c r="R8153" t="s">
        <v>320</v>
      </c>
      <c r="S8153" t="s">
        <v>323</v>
      </c>
      <c r="U8153">
        <v>7.6</v>
      </c>
    </row>
    <row r="8154" spans="14:25">
      <c r="N8154" s="42">
        <v>44557</v>
      </c>
      <c r="O8154" t="s">
        <v>345</v>
      </c>
      <c r="P8154" s="42">
        <v>44557</v>
      </c>
      <c r="Q8154" t="s">
        <v>345</v>
      </c>
      <c r="R8154" t="s">
        <v>320</v>
      </c>
      <c r="S8154" t="s">
        <v>323</v>
      </c>
      <c r="U8154">
        <v>7.6</v>
      </c>
    </row>
    <row r="8155" spans="14:25">
      <c r="N8155" s="42">
        <v>44473</v>
      </c>
      <c r="O8155" t="s">
        <v>345</v>
      </c>
      <c r="P8155" s="42">
        <v>44473</v>
      </c>
      <c r="Q8155" t="s">
        <v>345</v>
      </c>
      <c r="R8155" t="s">
        <v>320</v>
      </c>
      <c r="S8155" t="s">
        <v>323</v>
      </c>
      <c r="U8155">
        <v>7.6</v>
      </c>
    </row>
    <row r="8156" spans="14:25">
      <c r="N8156" s="42">
        <v>44413</v>
      </c>
      <c r="O8156" t="s">
        <v>324</v>
      </c>
      <c r="P8156" s="42">
        <v>44413</v>
      </c>
      <c r="Q8156" t="s">
        <v>324</v>
      </c>
      <c r="R8156" t="s">
        <v>320</v>
      </c>
      <c r="S8156" t="s">
        <v>323</v>
      </c>
      <c r="T8156">
        <v>7.6</v>
      </c>
      <c r="Y8156" s="42">
        <v>44425</v>
      </c>
    </row>
    <row r="8157" spans="14:25">
      <c r="N8157" s="42">
        <v>44378</v>
      </c>
      <c r="O8157" t="s">
        <v>324</v>
      </c>
      <c r="P8157" s="42">
        <v>44378</v>
      </c>
      <c r="Q8157" t="s">
        <v>324</v>
      </c>
      <c r="R8157" t="s">
        <v>329</v>
      </c>
      <c r="S8157" t="s">
        <v>323</v>
      </c>
      <c r="T8157">
        <v>12.6</v>
      </c>
      <c r="W8157" t="s">
        <v>330</v>
      </c>
      <c r="Y8157" s="42">
        <v>44383</v>
      </c>
    </row>
    <row r="8158" spans="14:25">
      <c r="N8158" s="42">
        <v>44361</v>
      </c>
      <c r="O8158" t="s">
        <v>345</v>
      </c>
      <c r="P8158" s="42">
        <v>44361</v>
      </c>
      <c r="Q8158" t="s">
        <v>345</v>
      </c>
      <c r="R8158" t="s">
        <v>320</v>
      </c>
      <c r="S8158" t="s">
        <v>323</v>
      </c>
      <c r="U8158">
        <v>7.6</v>
      </c>
    </row>
    <row r="8159" spans="14:25">
      <c r="N8159" s="42">
        <v>44319</v>
      </c>
      <c r="O8159" t="s">
        <v>345</v>
      </c>
      <c r="P8159" s="42">
        <v>44319</v>
      </c>
      <c r="Q8159" t="s">
        <v>345</v>
      </c>
      <c r="R8159" t="s">
        <v>320</v>
      </c>
      <c r="S8159" t="s">
        <v>323</v>
      </c>
      <c r="T8159">
        <v>7.6</v>
      </c>
      <c r="Y8159" s="42">
        <v>44327</v>
      </c>
    </row>
    <row r="8160" spans="14:25">
      <c r="N8160" s="42">
        <v>44291</v>
      </c>
      <c r="O8160" t="s">
        <v>345</v>
      </c>
      <c r="P8160" s="42">
        <v>44291</v>
      </c>
      <c r="Q8160" t="s">
        <v>345</v>
      </c>
      <c r="R8160" t="s">
        <v>320</v>
      </c>
      <c r="S8160" t="s">
        <v>323</v>
      </c>
      <c r="U8160">
        <v>7.6</v>
      </c>
    </row>
    <row r="8161" spans="1:25">
      <c r="N8161" s="42">
        <v>44288</v>
      </c>
      <c r="O8161" t="s">
        <v>346</v>
      </c>
      <c r="P8161" s="42">
        <v>44288</v>
      </c>
      <c r="Q8161" t="s">
        <v>346</v>
      </c>
      <c r="R8161" t="s">
        <v>320</v>
      </c>
      <c r="S8161" t="s">
        <v>323</v>
      </c>
      <c r="U8161">
        <v>7.6</v>
      </c>
    </row>
    <row r="8162" spans="1:25">
      <c r="N8162" s="42">
        <v>44222</v>
      </c>
      <c r="O8162" t="s">
        <v>333</v>
      </c>
      <c r="P8162" s="42">
        <v>44222</v>
      </c>
      <c r="Q8162" t="s">
        <v>333</v>
      </c>
      <c r="R8162" t="s">
        <v>320</v>
      </c>
      <c r="S8162" t="s">
        <v>323</v>
      </c>
      <c r="U8162">
        <v>7.6</v>
      </c>
    </row>
    <row r="8163" spans="1:25">
      <c r="N8163" s="42">
        <v>44197</v>
      </c>
      <c r="O8163" t="s">
        <v>346</v>
      </c>
      <c r="P8163" s="42">
        <v>44197</v>
      </c>
      <c r="Q8163" t="s">
        <v>346</v>
      </c>
      <c r="R8163" t="s">
        <v>320</v>
      </c>
      <c r="S8163" t="s">
        <v>323</v>
      </c>
      <c r="U8163">
        <v>7.6</v>
      </c>
    </row>
    <row r="8164" spans="1:25">
      <c r="N8164" s="42">
        <v>44193</v>
      </c>
      <c r="O8164" t="s">
        <v>345</v>
      </c>
      <c r="P8164" s="42">
        <v>44193</v>
      </c>
      <c r="Q8164" t="s">
        <v>345</v>
      </c>
      <c r="R8164" t="s">
        <v>320</v>
      </c>
      <c r="S8164" t="s">
        <v>323</v>
      </c>
      <c r="U8164">
        <v>7.6</v>
      </c>
    </row>
    <row r="8165" spans="1:25">
      <c r="N8165" s="42">
        <v>44190</v>
      </c>
      <c r="O8165" t="s">
        <v>346</v>
      </c>
      <c r="P8165" s="42">
        <v>44190</v>
      </c>
      <c r="Q8165" t="s">
        <v>346</v>
      </c>
      <c r="R8165" t="s">
        <v>320</v>
      </c>
      <c r="S8165" t="s">
        <v>323</v>
      </c>
      <c r="U8165">
        <v>7.6</v>
      </c>
    </row>
    <row r="8166" spans="1:25">
      <c r="N8166" s="42">
        <v>44109</v>
      </c>
      <c r="O8166" t="s">
        <v>345</v>
      </c>
      <c r="P8166" s="42">
        <v>44109</v>
      </c>
      <c r="Q8166" t="s">
        <v>345</v>
      </c>
      <c r="R8166" t="s">
        <v>320</v>
      </c>
      <c r="S8166" t="s">
        <v>323</v>
      </c>
      <c r="U8166">
        <v>7.6</v>
      </c>
    </row>
    <row r="8167" spans="1:25">
      <c r="N8167" s="42">
        <v>44027</v>
      </c>
      <c r="O8167" t="s">
        <v>328</v>
      </c>
      <c r="P8167" s="42">
        <v>44027</v>
      </c>
      <c r="Q8167" t="s">
        <v>328</v>
      </c>
      <c r="R8167" t="s">
        <v>320</v>
      </c>
      <c r="S8167" t="s">
        <v>323</v>
      </c>
      <c r="T8167">
        <v>7.6</v>
      </c>
      <c r="Y8167" s="42">
        <v>44033</v>
      </c>
    </row>
    <row r="8168" spans="1:25">
      <c r="A8168">
        <v>18917</v>
      </c>
      <c r="B8168" t="s">
        <v>446</v>
      </c>
      <c r="C8168" t="s">
        <v>320</v>
      </c>
      <c r="D8168" t="s">
        <v>375</v>
      </c>
      <c r="E8168" t="s">
        <v>376</v>
      </c>
      <c r="F8168">
        <v>1</v>
      </c>
      <c r="G8168" s="42">
        <v>45338</v>
      </c>
      <c r="H8168">
        <v>0</v>
      </c>
      <c r="I8168">
        <v>60.633400000000002</v>
      </c>
      <c r="J8168">
        <v>0</v>
      </c>
      <c r="K8168">
        <v>60.633400000000002</v>
      </c>
      <c r="L8168" t="s">
        <v>323</v>
      </c>
      <c r="M8168" s="43">
        <v>8.3333333333333329E-2</v>
      </c>
    </row>
    <row r="8169" spans="1:25">
      <c r="C8169" t="s">
        <v>325</v>
      </c>
      <c r="D8169" t="s">
        <v>393</v>
      </c>
      <c r="E8169" t="s">
        <v>394</v>
      </c>
      <c r="F8169">
        <v>1</v>
      </c>
      <c r="G8169" s="42">
        <v>47657</v>
      </c>
      <c r="H8169">
        <v>13.13</v>
      </c>
      <c r="I8169">
        <v>0</v>
      </c>
      <c r="J8169">
        <v>13.13</v>
      </c>
      <c r="K8169">
        <v>13.13</v>
      </c>
      <c r="L8169" t="s">
        <v>323</v>
      </c>
    </row>
    <row r="8170" spans="1:25">
      <c r="C8170" t="s">
        <v>329</v>
      </c>
      <c r="D8170" t="s">
        <v>379</v>
      </c>
      <c r="E8170" t="s">
        <v>380</v>
      </c>
      <c r="F8170">
        <v>1</v>
      </c>
      <c r="G8170" s="42">
        <v>45338</v>
      </c>
      <c r="H8170">
        <v>0</v>
      </c>
      <c r="I8170">
        <v>30.316700000000001</v>
      </c>
      <c r="J8170">
        <v>0</v>
      </c>
      <c r="K8170">
        <v>30.316700000000001</v>
      </c>
      <c r="L8170" t="s">
        <v>323</v>
      </c>
    </row>
    <row r="8171" spans="1:25">
      <c r="A8171">
        <v>18918</v>
      </c>
      <c r="B8171" t="s">
        <v>447</v>
      </c>
      <c r="C8171" t="s">
        <v>320</v>
      </c>
      <c r="D8171" t="s">
        <v>336</v>
      </c>
      <c r="E8171" t="s">
        <v>337</v>
      </c>
      <c r="F8171">
        <v>1</v>
      </c>
      <c r="G8171" s="42">
        <v>45099</v>
      </c>
      <c r="H8171">
        <v>152</v>
      </c>
      <c r="I8171">
        <v>231.35</v>
      </c>
      <c r="J8171">
        <v>106.1918</v>
      </c>
      <c r="K8171">
        <v>337.54180000000002</v>
      </c>
      <c r="L8171" t="s">
        <v>323</v>
      </c>
      <c r="M8171" s="43">
        <v>8.8888888888888892E-2</v>
      </c>
      <c r="N8171" s="42">
        <v>44952</v>
      </c>
      <c r="O8171" t="s">
        <v>324</v>
      </c>
      <c r="P8171" s="42">
        <v>44952</v>
      </c>
      <c r="Q8171" t="s">
        <v>324</v>
      </c>
      <c r="R8171" t="s">
        <v>320</v>
      </c>
      <c r="S8171" t="s">
        <v>323</v>
      </c>
      <c r="U8171">
        <v>7.6</v>
      </c>
    </row>
    <row r="8172" spans="1:25">
      <c r="C8172" t="s">
        <v>325</v>
      </c>
      <c r="D8172" t="s">
        <v>340</v>
      </c>
      <c r="E8172" t="s">
        <v>341</v>
      </c>
      <c r="F8172">
        <v>1</v>
      </c>
      <c r="G8172" s="42">
        <v>46560</v>
      </c>
      <c r="H8172">
        <v>230.54220000000001</v>
      </c>
      <c r="I8172">
        <v>0</v>
      </c>
      <c r="J8172">
        <v>88.843500000000006</v>
      </c>
      <c r="K8172">
        <v>88.843500000000006</v>
      </c>
      <c r="L8172" t="s">
        <v>323</v>
      </c>
      <c r="N8172" s="42">
        <v>44945</v>
      </c>
      <c r="O8172" t="s">
        <v>324</v>
      </c>
      <c r="P8172" s="42">
        <v>44945</v>
      </c>
      <c r="Q8172" t="s">
        <v>324</v>
      </c>
      <c r="R8172" t="s">
        <v>320</v>
      </c>
      <c r="S8172" t="s">
        <v>323</v>
      </c>
      <c r="T8172">
        <v>7.6</v>
      </c>
      <c r="Y8172" s="42">
        <v>44957</v>
      </c>
    </row>
    <row r="8173" spans="1:25">
      <c r="C8173" t="s">
        <v>329</v>
      </c>
      <c r="D8173" t="s">
        <v>342</v>
      </c>
      <c r="E8173" t="s">
        <v>343</v>
      </c>
      <c r="F8173">
        <v>1</v>
      </c>
      <c r="G8173" s="42">
        <v>45099</v>
      </c>
      <c r="H8173">
        <v>76</v>
      </c>
      <c r="I8173">
        <v>-42.76</v>
      </c>
      <c r="J8173">
        <v>53.0959</v>
      </c>
      <c r="K8173">
        <v>10.335900000000001</v>
      </c>
      <c r="L8173" t="s">
        <v>323</v>
      </c>
      <c r="N8173" s="42">
        <v>44942</v>
      </c>
      <c r="O8173" t="s">
        <v>345</v>
      </c>
      <c r="P8173" s="42">
        <v>44942</v>
      </c>
      <c r="Q8173" t="s">
        <v>345</v>
      </c>
      <c r="R8173" t="s">
        <v>320</v>
      </c>
      <c r="S8173" t="s">
        <v>323</v>
      </c>
      <c r="T8173">
        <v>7.6</v>
      </c>
      <c r="Y8173" s="42">
        <v>44943</v>
      </c>
    </row>
    <row r="8174" spans="1:25">
      <c r="N8174" s="42">
        <v>44931</v>
      </c>
      <c r="O8174" t="s">
        <v>324</v>
      </c>
      <c r="P8174" s="42">
        <v>44931</v>
      </c>
      <c r="Q8174" t="s">
        <v>324</v>
      </c>
      <c r="R8174" t="s">
        <v>329</v>
      </c>
      <c r="S8174" t="s">
        <v>323</v>
      </c>
      <c r="T8174">
        <v>7.6</v>
      </c>
      <c r="W8174" t="s">
        <v>330</v>
      </c>
      <c r="Y8174" s="42">
        <v>44943</v>
      </c>
    </row>
    <row r="8175" spans="1:25">
      <c r="N8175" s="42">
        <v>44930</v>
      </c>
      <c r="O8175" t="s">
        <v>328</v>
      </c>
      <c r="P8175" s="42">
        <v>44930</v>
      </c>
      <c r="Q8175" t="s">
        <v>328</v>
      </c>
      <c r="R8175" t="s">
        <v>329</v>
      </c>
      <c r="S8175" t="s">
        <v>323</v>
      </c>
      <c r="T8175">
        <v>7.6</v>
      </c>
      <c r="W8175" t="s">
        <v>330</v>
      </c>
      <c r="Y8175" s="42">
        <v>44943</v>
      </c>
    </row>
    <row r="8176" spans="1:25">
      <c r="N8176" s="42">
        <v>44929</v>
      </c>
      <c r="O8176" t="s">
        <v>333</v>
      </c>
      <c r="P8176" s="42">
        <v>44929</v>
      </c>
      <c r="Q8176" t="s">
        <v>333</v>
      </c>
      <c r="R8176" t="s">
        <v>329</v>
      </c>
      <c r="S8176" t="s">
        <v>323</v>
      </c>
      <c r="T8176">
        <v>7.6</v>
      </c>
      <c r="W8176" t="s">
        <v>330</v>
      </c>
      <c r="Y8176" s="42">
        <v>44929</v>
      </c>
    </row>
    <row r="8177" spans="14:25">
      <c r="N8177" s="42">
        <v>44925</v>
      </c>
      <c r="O8177" t="s">
        <v>346</v>
      </c>
      <c r="P8177" s="42">
        <v>44925</v>
      </c>
      <c r="Q8177" t="s">
        <v>346</v>
      </c>
      <c r="R8177" t="s">
        <v>329</v>
      </c>
      <c r="S8177" t="s">
        <v>323</v>
      </c>
      <c r="T8177">
        <v>7.6</v>
      </c>
      <c r="W8177" t="s">
        <v>330</v>
      </c>
      <c r="Y8177" s="42">
        <v>44929</v>
      </c>
    </row>
    <row r="8178" spans="14:25">
      <c r="N8178" s="42">
        <v>44924</v>
      </c>
      <c r="O8178" t="s">
        <v>324</v>
      </c>
      <c r="P8178" s="42">
        <v>44924</v>
      </c>
      <c r="Q8178" t="s">
        <v>324</v>
      </c>
      <c r="R8178" t="s">
        <v>329</v>
      </c>
      <c r="S8178" t="s">
        <v>323</v>
      </c>
      <c r="T8178">
        <v>7.6</v>
      </c>
      <c r="W8178" t="s">
        <v>330</v>
      </c>
      <c r="Y8178" s="42">
        <v>44929</v>
      </c>
    </row>
    <row r="8179" spans="14:25">
      <c r="N8179" s="42">
        <v>44922</v>
      </c>
      <c r="O8179" t="s">
        <v>333</v>
      </c>
      <c r="P8179" s="42">
        <v>44922</v>
      </c>
      <c r="Q8179" t="s">
        <v>333</v>
      </c>
      <c r="R8179" t="s">
        <v>320</v>
      </c>
      <c r="S8179" t="s">
        <v>323</v>
      </c>
      <c r="U8179">
        <v>7.6</v>
      </c>
    </row>
    <row r="8180" spans="14:25">
      <c r="N8180" s="42">
        <v>44915</v>
      </c>
      <c r="O8180" t="s">
        <v>333</v>
      </c>
      <c r="P8180" s="42">
        <v>44915</v>
      </c>
      <c r="Q8180" t="s">
        <v>333</v>
      </c>
      <c r="R8180" t="s">
        <v>329</v>
      </c>
      <c r="S8180" t="s">
        <v>323</v>
      </c>
      <c r="T8180">
        <v>7.6</v>
      </c>
      <c r="W8180" t="s">
        <v>330</v>
      </c>
      <c r="Y8180" s="42">
        <v>44915</v>
      </c>
    </row>
    <row r="8181" spans="14:25">
      <c r="N8181" s="42">
        <v>44866</v>
      </c>
      <c r="O8181" t="s">
        <v>333</v>
      </c>
      <c r="P8181" s="42">
        <v>44866</v>
      </c>
      <c r="Q8181" t="s">
        <v>333</v>
      </c>
      <c r="R8181" t="s">
        <v>320</v>
      </c>
      <c r="S8181" t="s">
        <v>323</v>
      </c>
      <c r="U8181">
        <v>7.6</v>
      </c>
    </row>
    <row r="8182" spans="14:25">
      <c r="N8182" s="42">
        <v>44827</v>
      </c>
      <c r="O8182" t="s">
        <v>346</v>
      </c>
      <c r="P8182" s="42">
        <v>44827</v>
      </c>
      <c r="Q8182" t="s">
        <v>346</v>
      </c>
      <c r="R8182" t="s">
        <v>320</v>
      </c>
      <c r="S8182" t="s">
        <v>323</v>
      </c>
      <c r="U8182">
        <v>7.6</v>
      </c>
    </row>
    <row r="8183" spans="14:25">
      <c r="N8183" s="42">
        <v>44826</v>
      </c>
      <c r="O8183" t="s">
        <v>324</v>
      </c>
      <c r="P8183" s="42">
        <v>44826</v>
      </c>
      <c r="Q8183" t="s">
        <v>324</v>
      </c>
      <c r="R8183" t="s">
        <v>320</v>
      </c>
      <c r="S8183" t="s">
        <v>323</v>
      </c>
      <c r="U8183">
        <v>7.6</v>
      </c>
    </row>
    <row r="8184" spans="14:25">
      <c r="N8184" s="42">
        <v>44825</v>
      </c>
      <c r="O8184" t="s">
        <v>328</v>
      </c>
      <c r="P8184" s="42">
        <v>44825</v>
      </c>
      <c r="Q8184" t="s">
        <v>328</v>
      </c>
      <c r="R8184" t="s">
        <v>320</v>
      </c>
      <c r="S8184" t="s">
        <v>323</v>
      </c>
      <c r="T8184">
        <v>7.6</v>
      </c>
      <c r="Y8184" s="42">
        <v>44831</v>
      </c>
    </row>
    <row r="8185" spans="14:25">
      <c r="N8185" s="42">
        <v>44824</v>
      </c>
      <c r="O8185" t="s">
        <v>333</v>
      </c>
      <c r="P8185" s="42">
        <v>44824</v>
      </c>
      <c r="Q8185" t="s">
        <v>333</v>
      </c>
      <c r="R8185" t="s">
        <v>320</v>
      </c>
      <c r="S8185" t="s">
        <v>323</v>
      </c>
      <c r="T8185">
        <v>7.6</v>
      </c>
      <c r="Y8185" s="42">
        <v>44831</v>
      </c>
    </row>
    <row r="8186" spans="14:25">
      <c r="N8186" s="42">
        <v>44807</v>
      </c>
      <c r="O8186" t="s">
        <v>359</v>
      </c>
      <c r="P8186" s="42">
        <v>44807</v>
      </c>
      <c r="Q8186" t="s">
        <v>359</v>
      </c>
      <c r="R8186" t="s">
        <v>329</v>
      </c>
      <c r="S8186" t="s">
        <v>323</v>
      </c>
      <c r="T8186">
        <v>7.6</v>
      </c>
      <c r="W8186" t="s">
        <v>330</v>
      </c>
      <c r="Y8186" s="42">
        <v>44817</v>
      </c>
    </row>
    <row r="8187" spans="14:25">
      <c r="N8187" s="42">
        <v>44797</v>
      </c>
      <c r="O8187" t="s">
        <v>328</v>
      </c>
      <c r="P8187" s="42">
        <v>44797</v>
      </c>
      <c r="Q8187" t="s">
        <v>328</v>
      </c>
      <c r="R8187" t="s">
        <v>329</v>
      </c>
      <c r="S8187" t="s">
        <v>323</v>
      </c>
      <c r="T8187">
        <v>7.6</v>
      </c>
      <c r="W8187" t="s">
        <v>330</v>
      </c>
      <c r="Y8187" s="42">
        <v>44803</v>
      </c>
    </row>
    <row r="8188" spans="14:25">
      <c r="N8188" s="42">
        <v>44783</v>
      </c>
      <c r="O8188" t="s">
        <v>328</v>
      </c>
      <c r="P8188" s="42">
        <v>44783</v>
      </c>
      <c r="Q8188" t="s">
        <v>328</v>
      </c>
      <c r="R8188" t="s">
        <v>329</v>
      </c>
      <c r="S8188" t="s">
        <v>323</v>
      </c>
      <c r="T8188">
        <v>7.6</v>
      </c>
      <c r="W8188" t="s">
        <v>330</v>
      </c>
      <c r="Y8188" s="42">
        <v>44789</v>
      </c>
    </row>
    <row r="8189" spans="14:25">
      <c r="N8189" s="42">
        <v>44771</v>
      </c>
      <c r="O8189" t="s">
        <v>346</v>
      </c>
      <c r="P8189" s="42">
        <v>44771</v>
      </c>
      <c r="Q8189" t="s">
        <v>346</v>
      </c>
      <c r="R8189" t="s">
        <v>320</v>
      </c>
      <c r="S8189" t="s">
        <v>323</v>
      </c>
      <c r="T8189">
        <v>7.6</v>
      </c>
      <c r="Y8189" s="42">
        <v>44775</v>
      </c>
    </row>
    <row r="8190" spans="14:25">
      <c r="N8190" s="42">
        <v>44770</v>
      </c>
      <c r="O8190" t="s">
        <v>324</v>
      </c>
      <c r="P8190" s="42">
        <v>44770</v>
      </c>
      <c r="Q8190" t="s">
        <v>324</v>
      </c>
      <c r="R8190" t="s">
        <v>320</v>
      </c>
      <c r="S8190" t="s">
        <v>323</v>
      </c>
      <c r="T8190">
        <v>7.6</v>
      </c>
      <c r="Y8190" s="42">
        <v>44775</v>
      </c>
    </row>
    <row r="8191" spans="14:25">
      <c r="N8191" s="42">
        <v>44698</v>
      </c>
      <c r="O8191" t="s">
        <v>333</v>
      </c>
      <c r="P8191" s="42">
        <v>44698</v>
      </c>
      <c r="Q8191" t="s">
        <v>333</v>
      </c>
      <c r="R8191" t="s">
        <v>329</v>
      </c>
      <c r="S8191" t="s">
        <v>323</v>
      </c>
      <c r="T8191">
        <v>7.6</v>
      </c>
      <c r="W8191" t="s">
        <v>330</v>
      </c>
      <c r="Y8191" s="42">
        <v>44705</v>
      </c>
    </row>
    <row r="8192" spans="14:25">
      <c r="N8192" s="42">
        <v>44684</v>
      </c>
      <c r="O8192" t="s">
        <v>333</v>
      </c>
      <c r="P8192" s="42">
        <v>44684</v>
      </c>
      <c r="Q8192" t="s">
        <v>333</v>
      </c>
      <c r="R8192" t="s">
        <v>329</v>
      </c>
      <c r="S8192" t="s">
        <v>323</v>
      </c>
      <c r="T8192">
        <v>7.6</v>
      </c>
      <c r="W8192" t="s">
        <v>330</v>
      </c>
      <c r="Y8192" s="42">
        <v>44691</v>
      </c>
    </row>
    <row r="8193" spans="14:25">
      <c r="N8193" s="42">
        <v>44676</v>
      </c>
      <c r="O8193" t="s">
        <v>345</v>
      </c>
      <c r="P8193" s="42">
        <v>44676</v>
      </c>
      <c r="Q8193" t="s">
        <v>345</v>
      </c>
      <c r="R8193" t="s">
        <v>320</v>
      </c>
      <c r="S8193" t="s">
        <v>323</v>
      </c>
      <c r="U8193">
        <v>7.6</v>
      </c>
    </row>
    <row r="8194" spans="14:25">
      <c r="N8194" s="42">
        <v>44669</v>
      </c>
      <c r="O8194" t="s">
        <v>345</v>
      </c>
      <c r="P8194" s="42">
        <v>44669</v>
      </c>
      <c r="Q8194" t="s">
        <v>345</v>
      </c>
      <c r="R8194" t="s">
        <v>320</v>
      </c>
      <c r="S8194" t="s">
        <v>323</v>
      </c>
      <c r="U8194">
        <v>7.6</v>
      </c>
    </row>
    <row r="8195" spans="14:25">
      <c r="N8195" s="42">
        <v>44667</v>
      </c>
      <c r="O8195" t="s">
        <v>359</v>
      </c>
      <c r="P8195" s="42">
        <v>44667</v>
      </c>
      <c r="Q8195" t="s">
        <v>359</v>
      </c>
      <c r="R8195" t="s">
        <v>320</v>
      </c>
      <c r="S8195" t="s">
        <v>323</v>
      </c>
      <c r="U8195">
        <v>7.6</v>
      </c>
    </row>
    <row r="8196" spans="14:25">
      <c r="N8196" s="42">
        <v>44666</v>
      </c>
      <c r="O8196" t="s">
        <v>346</v>
      </c>
      <c r="P8196" s="42">
        <v>44666</v>
      </c>
      <c r="Q8196" t="s">
        <v>346</v>
      </c>
      <c r="R8196" t="s">
        <v>320</v>
      </c>
      <c r="S8196" t="s">
        <v>323</v>
      </c>
      <c r="U8196">
        <v>7.6</v>
      </c>
    </row>
    <row r="8197" spans="14:25">
      <c r="N8197" s="42">
        <v>44642</v>
      </c>
      <c r="O8197" t="s">
        <v>333</v>
      </c>
      <c r="P8197" s="42">
        <v>44642</v>
      </c>
      <c r="Q8197" t="s">
        <v>333</v>
      </c>
      <c r="R8197" t="s">
        <v>320</v>
      </c>
      <c r="S8197" t="s">
        <v>323</v>
      </c>
      <c r="T8197">
        <v>7.6</v>
      </c>
      <c r="Y8197" s="42">
        <v>44649</v>
      </c>
    </row>
    <row r="8198" spans="14:25">
      <c r="N8198" s="42">
        <v>44635</v>
      </c>
      <c r="O8198" t="s">
        <v>333</v>
      </c>
      <c r="P8198" s="42">
        <v>44635</v>
      </c>
      <c r="Q8198" t="s">
        <v>333</v>
      </c>
      <c r="R8198" t="s">
        <v>329</v>
      </c>
      <c r="S8198" t="s">
        <v>323</v>
      </c>
      <c r="T8198">
        <v>7.6</v>
      </c>
      <c r="W8198" t="s">
        <v>330</v>
      </c>
      <c r="Y8198" s="42">
        <v>44635</v>
      </c>
    </row>
    <row r="8199" spans="14:25">
      <c r="N8199" s="42">
        <v>44634</v>
      </c>
      <c r="O8199" t="s">
        <v>345</v>
      </c>
      <c r="P8199" s="42">
        <v>44634</v>
      </c>
      <c r="Q8199" t="s">
        <v>345</v>
      </c>
      <c r="R8199" t="s">
        <v>320</v>
      </c>
      <c r="S8199" t="s">
        <v>323</v>
      </c>
      <c r="U8199">
        <v>7.6</v>
      </c>
    </row>
    <row r="8200" spans="14:25">
      <c r="N8200" s="42">
        <v>44607</v>
      </c>
      <c r="O8200" t="s">
        <v>333</v>
      </c>
      <c r="P8200" s="42">
        <v>44607</v>
      </c>
      <c r="Q8200" t="s">
        <v>333</v>
      </c>
      <c r="R8200" t="s">
        <v>329</v>
      </c>
      <c r="S8200" t="s">
        <v>323</v>
      </c>
      <c r="T8200">
        <v>7.6</v>
      </c>
      <c r="W8200" t="s">
        <v>330</v>
      </c>
      <c r="Y8200" s="42">
        <v>44607</v>
      </c>
    </row>
    <row r="8201" spans="14:25">
      <c r="N8201" s="42">
        <v>44587</v>
      </c>
      <c r="O8201" t="s">
        <v>328</v>
      </c>
      <c r="P8201" s="42">
        <v>44587</v>
      </c>
      <c r="Q8201" t="s">
        <v>328</v>
      </c>
      <c r="R8201" t="s">
        <v>320</v>
      </c>
      <c r="S8201" t="s">
        <v>323</v>
      </c>
      <c r="U8201">
        <v>7.6</v>
      </c>
    </row>
    <row r="8202" spans="14:25">
      <c r="N8202" s="42">
        <v>44579</v>
      </c>
      <c r="O8202" t="s">
        <v>333</v>
      </c>
      <c r="P8202" s="42">
        <v>44579</v>
      </c>
      <c r="Q8202" t="s">
        <v>333</v>
      </c>
      <c r="R8202" t="s">
        <v>320</v>
      </c>
      <c r="S8202" t="s">
        <v>323</v>
      </c>
      <c r="T8202">
        <v>7.6</v>
      </c>
      <c r="Y8202" s="42">
        <v>44579</v>
      </c>
    </row>
    <row r="8203" spans="14:25">
      <c r="N8203" s="42">
        <v>44562</v>
      </c>
      <c r="O8203" t="s">
        <v>359</v>
      </c>
      <c r="P8203" s="42">
        <v>44562</v>
      </c>
      <c r="Q8203" t="s">
        <v>359</v>
      </c>
      <c r="R8203" t="s">
        <v>320</v>
      </c>
      <c r="S8203" t="s">
        <v>323</v>
      </c>
      <c r="U8203">
        <v>7.6</v>
      </c>
    </row>
    <row r="8204" spans="14:25">
      <c r="N8204" s="42">
        <v>44558</v>
      </c>
      <c r="O8204" t="s">
        <v>333</v>
      </c>
      <c r="P8204" s="42">
        <v>44558</v>
      </c>
      <c r="Q8204" t="s">
        <v>333</v>
      </c>
      <c r="R8204" t="s">
        <v>320</v>
      </c>
      <c r="S8204" t="s">
        <v>323</v>
      </c>
      <c r="U8204">
        <v>7.6</v>
      </c>
    </row>
    <row r="8205" spans="14:25">
      <c r="N8205" s="42">
        <v>44555</v>
      </c>
      <c r="O8205" t="s">
        <v>359</v>
      </c>
      <c r="P8205" s="42">
        <v>44555</v>
      </c>
      <c r="Q8205" t="s">
        <v>359</v>
      </c>
      <c r="R8205" t="s">
        <v>320</v>
      </c>
      <c r="S8205" t="s">
        <v>323</v>
      </c>
      <c r="U8205">
        <v>7.6</v>
      </c>
    </row>
    <row r="8206" spans="14:25">
      <c r="N8206" s="42">
        <v>44551</v>
      </c>
      <c r="O8206" t="s">
        <v>333</v>
      </c>
      <c r="P8206" s="42">
        <v>44551</v>
      </c>
      <c r="Q8206" t="s">
        <v>333</v>
      </c>
      <c r="R8206" t="s">
        <v>329</v>
      </c>
      <c r="S8206" t="s">
        <v>323</v>
      </c>
      <c r="T8206">
        <v>7.6</v>
      </c>
      <c r="W8206" t="s">
        <v>330</v>
      </c>
      <c r="Y8206" s="42">
        <v>44551</v>
      </c>
    </row>
    <row r="8207" spans="14:25">
      <c r="N8207" s="42">
        <v>44523</v>
      </c>
      <c r="O8207" t="s">
        <v>333</v>
      </c>
      <c r="P8207" s="42">
        <v>44523</v>
      </c>
      <c r="Q8207" t="s">
        <v>333</v>
      </c>
      <c r="R8207" t="s">
        <v>329</v>
      </c>
      <c r="S8207" t="s">
        <v>323</v>
      </c>
      <c r="T8207">
        <v>7.6</v>
      </c>
      <c r="W8207" t="s">
        <v>330</v>
      </c>
      <c r="Y8207" s="42">
        <v>44523</v>
      </c>
    </row>
    <row r="8208" spans="14:25">
      <c r="N8208" s="42">
        <v>44502</v>
      </c>
      <c r="O8208" t="s">
        <v>333</v>
      </c>
      <c r="P8208" s="42">
        <v>44502</v>
      </c>
      <c r="Q8208" t="s">
        <v>333</v>
      </c>
      <c r="R8208" t="s">
        <v>320</v>
      </c>
      <c r="S8208" t="s">
        <v>323</v>
      </c>
      <c r="U8208">
        <v>7.6</v>
      </c>
    </row>
    <row r="8209" spans="14:25">
      <c r="N8209" s="42">
        <v>44497</v>
      </c>
      <c r="O8209" t="s">
        <v>324</v>
      </c>
      <c r="P8209" s="42">
        <v>44497</v>
      </c>
      <c r="Q8209" t="s">
        <v>324</v>
      </c>
      <c r="R8209" t="s">
        <v>329</v>
      </c>
      <c r="S8209" t="s">
        <v>323</v>
      </c>
      <c r="T8209">
        <v>7.6</v>
      </c>
      <c r="W8209" t="s">
        <v>330</v>
      </c>
      <c r="Y8209" s="42">
        <v>44509</v>
      </c>
    </row>
    <row r="8210" spans="14:25">
      <c r="N8210" s="42">
        <v>44463</v>
      </c>
      <c r="O8210" t="s">
        <v>346</v>
      </c>
      <c r="P8210" s="42">
        <v>44463</v>
      </c>
      <c r="Q8210" t="s">
        <v>346</v>
      </c>
      <c r="R8210" t="s">
        <v>320</v>
      </c>
      <c r="S8210" t="s">
        <v>323</v>
      </c>
      <c r="U8210">
        <v>7.6</v>
      </c>
    </row>
    <row r="8211" spans="14:25">
      <c r="N8211" s="42">
        <v>44405</v>
      </c>
      <c r="O8211" t="s">
        <v>328</v>
      </c>
      <c r="P8211" s="42">
        <v>44405</v>
      </c>
      <c r="Q8211" t="s">
        <v>328</v>
      </c>
      <c r="R8211" t="s">
        <v>329</v>
      </c>
      <c r="S8211" t="s">
        <v>323</v>
      </c>
      <c r="T8211">
        <v>7.6</v>
      </c>
      <c r="W8211" t="s">
        <v>330</v>
      </c>
      <c r="Y8211" s="42">
        <v>44411</v>
      </c>
    </row>
    <row r="8212" spans="14:25">
      <c r="N8212" s="42">
        <v>44363</v>
      </c>
      <c r="O8212" t="s">
        <v>328</v>
      </c>
      <c r="P8212" s="42">
        <v>44363</v>
      </c>
      <c r="Q8212" t="s">
        <v>328</v>
      </c>
      <c r="R8212" t="s">
        <v>329</v>
      </c>
      <c r="S8212" t="s">
        <v>323</v>
      </c>
      <c r="T8212">
        <v>7.6</v>
      </c>
      <c r="W8212" t="s">
        <v>339</v>
      </c>
      <c r="Y8212" s="42">
        <v>44369</v>
      </c>
    </row>
    <row r="8213" spans="14:25">
      <c r="N8213" s="42">
        <v>44361</v>
      </c>
      <c r="O8213" t="s">
        <v>345</v>
      </c>
      <c r="P8213" s="42">
        <v>44361</v>
      </c>
      <c r="Q8213" t="s">
        <v>345</v>
      </c>
      <c r="R8213" t="s">
        <v>320</v>
      </c>
      <c r="S8213" t="s">
        <v>323</v>
      </c>
      <c r="U8213">
        <v>7.6</v>
      </c>
    </row>
    <row r="8214" spans="14:25">
      <c r="N8214" s="42">
        <v>44344</v>
      </c>
      <c r="O8214" t="s">
        <v>346</v>
      </c>
      <c r="P8214" s="42">
        <v>44344</v>
      </c>
      <c r="Q8214" t="s">
        <v>346</v>
      </c>
      <c r="R8214" t="s">
        <v>329</v>
      </c>
      <c r="S8214" t="s">
        <v>323</v>
      </c>
      <c r="T8214">
        <v>7.6</v>
      </c>
      <c r="W8214" t="s">
        <v>339</v>
      </c>
      <c r="Y8214" s="42">
        <v>44355</v>
      </c>
    </row>
    <row r="8215" spans="14:25">
      <c r="N8215" s="42">
        <v>44291</v>
      </c>
      <c r="O8215" t="s">
        <v>345</v>
      </c>
      <c r="P8215" s="42">
        <v>44291</v>
      </c>
      <c r="Q8215" t="s">
        <v>345</v>
      </c>
      <c r="R8215" t="s">
        <v>320</v>
      </c>
      <c r="S8215" t="s">
        <v>323</v>
      </c>
      <c r="U8215">
        <v>7.6</v>
      </c>
    </row>
    <row r="8216" spans="14:25">
      <c r="N8216" s="42">
        <v>44288</v>
      </c>
      <c r="O8216" t="s">
        <v>346</v>
      </c>
      <c r="P8216" s="42">
        <v>44288</v>
      </c>
      <c r="Q8216" t="s">
        <v>346</v>
      </c>
      <c r="R8216" t="s">
        <v>320</v>
      </c>
      <c r="S8216" t="s">
        <v>323</v>
      </c>
      <c r="U8216">
        <v>7.6</v>
      </c>
    </row>
    <row r="8217" spans="14:25">
      <c r="N8217" s="42">
        <v>44286</v>
      </c>
      <c r="O8217" t="s">
        <v>328</v>
      </c>
      <c r="P8217" s="42">
        <v>44286</v>
      </c>
      <c r="Q8217" t="s">
        <v>328</v>
      </c>
      <c r="R8217" t="s">
        <v>329</v>
      </c>
      <c r="S8217" t="s">
        <v>323</v>
      </c>
      <c r="T8217">
        <v>7.6</v>
      </c>
      <c r="W8217" t="s">
        <v>330</v>
      </c>
      <c r="Y8217" s="42">
        <v>44299</v>
      </c>
    </row>
    <row r="8218" spans="14:25">
      <c r="N8218" s="42">
        <v>44263</v>
      </c>
      <c r="O8218" t="s">
        <v>345</v>
      </c>
      <c r="P8218" s="42">
        <v>44263</v>
      </c>
      <c r="Q8218" t="s">
        <v>345</v>
      </c>
      <c r="R8218" t="s">
        <v>320</v>
      </c>
      <c r="S8218" t="s">
        <v>323</v>
      </c>
      <c r="U8218">
        <v>7.6</v>
      </c>
    </row>
    <row r="8219" spans="14:25">
      <c r="N8219" s="42">
        <v>44253</v>
      </c>
      <c r="O8219" t="s">
        <v>346</v>
      </c>
      <c r="P8219" s="42">
        <v>44253</v>
      </c>
      <c r="Q8219" t="s">
        <v>346</v>
      </c>
      <c r="R8219" t="s">
        <v>329</v>
      </c>
      <c r="S8219" t="s">
        <v>323</v>
      </c>
      <c r="T8219">
        <v>7.6</v>
      </c>
      <c r="W8219" t="s">
        <v>330</v>
      </c>
      <c r="Y8219" s="42">
        <v>44257</v>
      </c>
    </row>
    <row r="8220" spans="14:25">
      <c r="N8220" s="42">
        <v>44222</v>
      </c>
      <c r="O8220" t="s">
        <v>333</v>
      </c>
      <c r="P8220" s="42">
        <v>44222</v>
      </c>
      <c r="Q8220" t="s">
        <v>333</v>
      </c>
      <c r="R8220" t="s">
        <v>320</v>
      </c>
      <c r="S8220" t="s">
        <v>323</v>
      </c>
      <c r="U8220">
        <v>7.6</v>
      </c>
    </row>
    <row r="8221" spans="14:25">
      <c r="N8221" s="42">
        <v>44218</v>
      </c>
      <c r="O8221" t="s">
        <v>346</v>
      </c>
      <c r="P8221" s="42">
        <v>44218</v>
      </c>
      <c r="Q8221" t="s">
        <v>346</v>
      </c>
      <c r="R8221" t="s">
        <v>329</v>
      </c>
      <c r="S8221" t="s">
        <v>323</v>
      </c>
      <c r="T8221">
        <v>7.6</v>
      </c>
      <c r="W8221" t="s">
        <v>330</v>
      </c>
      <c r="Y8221" s="42">
        <v>44229</v>
      </c>
    </row>
    <row r="8222" spans="14:25">
      <c r="N8222" s="42">
        <v>44197</v>
      </c>
      <c r="O8222" t="s">
        <v>346</v>
      </c>
      <c r="P8222" s="42">
        <v>44197</v>
      </c>
      <c r="Q8222" t="s">
        <v>346</v>
      </c>
      <c r="R8222" t="s">
        <v>320</v>
      </c>
      <c r="S8222" t="s">
        <v>323</v>
      </c>
      <c r="U8222">
        <v>7.6</v>
      </c>
    </row>
    <row r="8223" spans="14:25">
      <c r="N8223" s="42">
        <v>44194</v>
      </c>
      <c r="O8223" t="s">
        <v>333</v>
      </c>
      <c r="P8223" s="42">
        <v>44194</v>
      </c>
      <c r="Q8223" t="s">
        <v>333</v>
      </c>
      <c r="R8223" t="s">
        <v>329</v>
      </c>
      <c r="S8223" t="s">
        <v>323</v>
      </c>
      <c r="T8223">
        <v>1.51</v>
      </c>
      <c r="W8223" t="s">
        <v>330</v>
      </c>
      <c r="X8223" t="s">
        <v>330</v>
      </c>
      <c r="Y8223" s="42">
        <v>44201</v>
      </c>
    </row>
    <row r="8224" spans="14:25">
      <c r="N8224" s="42">
        <v>44193</v>
      </c>
      <c r="O8224" t="s">
        <v>345</v>
      </c>
      <c r="P8224" s="42">
        <v>44193</v>
      </c>
      <c r="Q8224" t="s">
        <v>345</v>
      </c>
      <c r="R8224" t="s">
        <v>320</v>
      </c>
      <c r="S8224" t="s">
        <v>323</v>
      </c>
      <c r="U8224">
        <v>7.6</v>
      </c>
    </row>
    <row r="8225" spans="1:25">
      <c r="N8225" s="42">
        <v>44190</v>
      </c>
      <c r="O8225" t="s">
        <v>346</v>
      </c>
      <c r="P8225" s="42">
        <v>44190</v>
      </c>
      <c r="Q8225" t="s">
        <v>346</v>
      </c>
      <c r="R8225" t="s">
        <v>320</v>
      </c>
      <c r="S8225" t="s">
        <v>323</v>
      </c>
      <c r="U8225">
        <v>7.6</v>
      </c>
    </row>
    <row r="8226" spans="1:25">
      <c r="N8226" s="42">
        <v>44141</v>
      </c>
      <c r="O8226" t="s">
        <v>346</v>
      </c>
      <c r="P8226" s="42">
        <v>44141</v>
      </c>
      <c r="Q8226" t="s">
        <v>346</v>
      </c>
      <c r="R8226" t="s">
        <v>329</v>
      </c>
      <c r="S8226" t="s">
        <v>323</v>
      </c>
      <c r="T8226">
        <v>7.6</v>
      </c>
      <c r="W8226" t="s">
        <v>339</v>
      </c>
      <c r="Y8226" s="42">
        <v>44145</v>
      </c>
    </row>
    <row r="8227" spans="1:25">
      <c r="N8227" s="42">
        <v>44138</v>
      </c>
      <c r="O8227" t="s">
        <v>333</v>
      </c>
      <c r="P8227" s="42">
        <v>44138</v>
      </c>
      <c r="Q8227" t="s">
        <v>333</v>
      </c>
      <c r="R8227" t="s">
        <v>320</v>
      </c>
      <c r="S8227" t="s">
        <v>323</v>
      </c>
      <c r="U8227">
        <v>7.6</v>
      </c>
    </row>
    <row r="8228" spans="1:25">
      <c r="N8228" s="42">
        <v>44127</v>
      </c>
      <c r="O8228" t="s">
        <v>346</v>
      </c>
      <c r="P8228" s="42">
        <v>44127</v>
      </c>
      <c r="Q8228" t="s">
        <v>346</v>
      </c>
      <c r="R8228" t="s">
        <v>320</v>
      </c>
      <c r="S8228" t="s">
        <v>323</v>
      </c>
      <c r="U8228">
        <v>7.6</v>
      </c>
    </row>
    <row r="8229" spans="1:25">
      <c r="N8229" s="42">
        <v>44113</v>
      </c>
      <c r="O8229" t="s">
        <v>346</v>
      </c>
      <c r="P8229" s="42">
        <v>44113</v>
      </c>
      <c r="Q8229" t="s">
        <v>346</v>
      </c>
      <c r="R8229" t="s">
        <v>329</v>
      </c>
      <c r="S8229" t="s">
        <v>323</v>
      </c>
      <c r="T8229">
        <v>7.6</v>
      </c>
      <c r="W8229" t="s">
        <v>339</v>
      </c>
      <c r="Y8229" s="42">
        <v>44117</v>
      </c>
    </row>
    <row r="8230" spans="1:25">
      <c r="N8230" s="42">
        <v>44083</v>
      </c>
      <c r="O8230" t="s">
        <v>328</v>
      </c>
      <c r="P8230" s="42">
        <v>44083</v>
      </c>
      <c r="Q8230" t="s">
        <v>328</v>
      </c>
      <c r="R8230" t="s">
        <v>329</v>
      </c>
      <c r="S8230" t="s">
        <v>323</v>
      </c>
      <c r="T8230">
        <v>7.6</v>
      </c>
      <c r="W8230" t="s">
        <v>339</v>
      </c>
      <c r="Y8230" s="42">
        <v>44089</v>
      </c>
    </row>
    <row r="8231" spans="1:25">
      <c r="N8231" s="42">
        <v>44055</v>
      </c>
      <c r="O8231" t="s">
        <v>328</v>
      </c>
      <c r="P8231" s="42">
        <v>44055</v>
      </c>
      <c r="Q8231" t="s">
        <v>328</v>
      </c>
      <c r="R8231" t="s">
        <v>320</v>
      </c>
      <c r="S8231" t="s">
        <v>323</v>
      </c>
      <c r="T8231">
        <v>7.6</v>
      </c>
      <c r="Y8231" s="42">
        <v>44061</v>
      </c>
    </row>
    <row r="8232" spans="1:25">
      <c r="N8232" s="42">
        <v>44019</v>
      </c>
      <c r="O8232" t="s">
        <v>333</v>
      </c>
      <c r="P8232" s="42">
        <v>44019</v>
      </c>
      <c r="Q8232" t="s">
        <v>333</v>
      </c>
      <c r="R8232" t="s">
        <v>320</v>
      </c>
      <c r="S8232" t="s">
        <v>323</v>
      </c>
      <c r="T8232">
        <v>4.25</v>
      </c>
      <c r="Y8232" s="42">
        <v>44019</v>
      </c>
    </row>
    <row r="8233" spans="1:25">
      <c r="N8233" s="42">
        <v>44019</v>
      </c>
      <c r="O8233" t="s">
        <v>333</v>
      </c>
      <c r="P8233" s="42">
        <v>44019</v>
      </c>
      <c r="Q8233" t="s">
        <v>333</v>
      </c>
      <c r="R8233" t="s">
        <v>329</v>
      </c>
      <c r="S8233" t="s">
        <v>323</v>
      </c>
      <c r="T8233">
        <v>3.25</v>
      </c>
      <c r="W8233" t="s">
        <v>330</v>
      </c>
      <c r="Y8233" s="42">
        <v>44019</v>
      </c>
    </row>
    <row r="8234" spans="1:25">
      <c r="A8234">
        <v>18920</v>
      </c>
      <c r="B8234" t="s">
        <v>448</v>
      </c>
      <c r="C8234" t="s">
        <v>320</v>
      </c>
      <c r="D8234" t="s">
        <v>336</v>
      </c>
      <c r="E8234" t="s">
        <v>337</v>
      </c>
      <c r="F8234">
        <v>1</v>
      </c>
      <c r="G8234" s="42">
        <v>45155</v>
      </c>
      <c r="H8234">
        <v>152</v>
      </c>
      <c r="I8234">
        <v>-12.1846</v>
      </c>
      <c r="J8234">
        <v>82.871200000000002</v>
      </c>
      <c r="K8234">
        <v>70.686599999999999</v>
      </c>
      <c r="L8234" t="s">
        <v>323</v>
      </c>
      <c r="M8234" s="43">
        <v>8.7500000000000008E-2</v>
      </c>
      <c r="N8234" s="42">
        <v>45028</v>
      </c>
      <c r="O8234" t="s">
        <v>328</v>
      </c>
      <c r="P8234" s="42">
        <v>45028</v>
      </c>
      <c r="Q8234" t="s">
        <v>328</v>
      </c>
      <c r="R8234" t="s">
        <v>320</v>
      </c>
      <c r="S8234" t="s">
        <v>323</v>
      </c>
      <c r="T8234">
        <v>7.6</v>
      </c>
      <c r="V8234">
        <v>0</v>
      </c>
    </row>
    <row r="8235" spans="1:25">
      <c r="C8235" t="s">
        <v>325</v>
      </c>
      <c r="D8235" t="s">
        <v>395</v>
      </c>
      <c r="E8235" t="s">
        <v>396</v>
      </c>
      <c r="F8235">
        <v>1</v>
      </c>
      <c r="G8235" s="42">
        <v>47713</v>
      </c>
      <c r="H8235">
        <v>329.33330000000001</v>
      </c>
      <c r="I8235">
        <v>0</v>
      </c>
      <c r="J8235">
        <v>83.686000000000007</v>
      </c>
      <c r="K8235">
        <v>83.686000000000007</v>
      </c>
      <c r="L8235" t="s">
        <v>323</v>
      </c>
      <c r="N8235" s="42">
        <v>45020</v>
      </c>
      <c r="O8235" t="s">
        <v>333</v>
      </c>
      <c r="P8235" s="42">
        <v>45022</v>
      </c>
      <c r="Q8235" t="s">
        <v>324</v>
      </c>
      <c r="R8235" t="s">
        <v>320</v>
      </c>
      <c r="S8235" t="s">
        <v>323</v>
      </c>
      <c r="T8235">
        <v>22.8</v>
      </c>
      <c r="V8235">
        <v>0</v>
      </c>
    </row>
    <row r="8236" spans="1:25">
      <c r="C8236" t="s">
        <v>329</v>
      </c>
      <c r="D8236" t="s">
        <v>342</v>
      </c>
      <c r="E8236" t="s">
        <v>343</v>
      </c>
      <c r="F8236">
        <v>1</v>
      </c>
      <c r="G8236" s="42">
        <v>45155</v>
      </c>
      <c r="H8236">
        <v>76</v>
      </c>
      <c r="I8236">
        <v>37.707700000000003</v>
      </c>
      <c r="J8236">
        <v>41.435600000000001</v>
      </c>
      <c r="K8236">
        <v>79.143299999999996</v>
      </c>
      <c r="L8236" t="s">
        <v>323</v>
      </c>
      <c r="N8236" s="42">
        <v>44952</v>
      </c>
      <c r="O8236" t="s">
        <v>324</v>
      </c>
      <c r="P8236" s="42">
        <v>44952</v>
      </c>
      <c r="Q8236" t="s">
        <v>324</v>
      </c>
      <c r="R8236" t="s">
        <v>320</v>
      </c>
      <c r="S8236" t="s">
        <v>323</v>
      </c>
      <c r="U8236">
        <v>7.6</v>
      </c>
      <c r="Y8236" s="42">
        <v>44957</v>
      </c>
    </row>
    <row r="8237" spans="1:25">
      <c r="N8237" s="42">
        <v>44928</v>
      </c>
      <c r="O8237" t="s">
        <v>345</v>
      </c>
      <c r="P8237" s="42">
        <v>44928</v>
      </c>
      <c r="Q8237" t="s">
        <v>345</v>
      </c>
      <c r="R8237" t="s">
        <v>320</v>
      </c>
      <c r="S8237" t="s">
        <v>323</v>
      </c>
      <c r="U8237">
        <v>7.6</v>
      </c>
      <c r="Y8237" s="42">
        <v>44929</v>
      </c>
    </row>
    <row r="8238" spans="1:25">
      <c r="N8238" s="42">
        <v>44922</v>
      </c>
      <c r="O8238" t="s">
        <v>333</v>
      </c>
      <c r="P8238" s="42">
        <v>44922</v>
      </c>
      <c r="Q8238" t="s">
        <v>333</v>
      </c>
      <c r="R8238" t="s">
        <v>320</v>
      </c>
      <c r="S8238" t="s">
        <v>323</v>
      </c>
      <c r="U8238">
        <v>7.6</v>
      </c>
      <c r="Y8238" s="42">
        <v>44929</v>
      </c>
    </row>
    <row r="8239" spans="1:25">
      <c r="N8239" s="42">
        <v>44921</v>
      </c>
      <c r="O8239" t="s">
        <v>345</v>
      </c>
      <c r="P8239" s="42">
        <v>44921</v>
      </c>
      <c r="Q8239" t="s">
        <v>345</v>
      </c>
      <c r="R8239" t="s">
        <v>320</v>
      </c>
      <c r="S8239" t="s">
        <v>323</v>
      </c>
      <c r="U8239">
        <v>7.6</v>
      </c>
      <c r="Y8239" s="42">
        <v>44929</v>
      </c>
    </row>
    <row r="8240" spans="1:25">
      <c r="N8240" s="42">
        <v>44916</v>
      </c>
      <c r="O8240" t="s">
        <v>328</v>
      </c>
      <c r="P8240" s="42">
        <v>44918</v>
      </c>
      <c r="Q8240" t="s">
        <v>346</v>
      </c>
      <c r="R8240" t="s">
        <v>320</v>
      </c>
      <c r="S8240" t="s">
        <v>323</v>
      </c>
      <c r="T8240">
        <v>22.8</v>
      </c>
      <c r="V8240">
        <v>0</v>
      </c>
      <c r="Y8240" s="42">
        <v>44929</v>
      </c>
    </row>
    <row r="8241" spans="14:25">
      <c r="N8241" s="42">
        <v>44914</v>
      </c>
      <c r="O8241" t="s">
        <v>345</v>
      </c>
      <c r="P8241" s="42">
        <v>44915</v>
      </c>
      <c r="Q8241" t="s">
        <v>333</v>
      </c>
      <c r="R8241" t="s">
        <v>320</v>
      </c>
      <c r="S8241" t="s">
        <v>323</v>
      </c>
      <c r="T8241">
        <v>15.2</v>
      </c>
      <c r="V8241">
        <v>0</v>
      </c>
      <c r="Y8241" s="42">
        <v>44915</v>
      </c>
    </row>
    <row r="8242" spans="14:25">
      <c r="N8242" s="42">
        <v>44908</v>
      </c>
      <c r="O8242" t="s">
        <v>333</v>
      </c>
      <c r="P8242" s="42">
        <v>44911</v>
      </c>
      <c r="Q8242" t="s">
        <v>346</v>
      </c>
      <c r="R8242" t="s">
        <v>320</v>
      </c>
      <c r="S8242" t="s">
        <v>323</v>
      </c>
      <c r="T8242">
        <v>30.4</v>
      </c>
      <c r="V8242">
        <v>0</v>
      </c>
      <c r="Y8242" s="42">
        <v>44915</v>
      </c>
    </row>
    <row r="8243" spans="14:25">
      <c r="N8243" s="42">
        <v>44888</v>
      </c>
      <c r="O8243" t="s">
        <v>328</v>
      </c>
      <c r="P8243" s="42">
        <v>44890</v>
      </c>
      <c r="Q8243" t="s">
        <v>346</v>
      </c>
      <c r="R8243" t="s">
        <v>320</v>
      </c>
      <c r="S8243" t="s">
        <v>323</v>
      </c>
      <c r="T8243">
        <v>22.8</v>
      </c>
      <c r="U8243">
        <v>0</v>
      </c>
      <c r="V8243">
        <v>0</v>
      </c>
      <c r="Y8243" s="42">
        <v>44901</v>
      </c>
    </row>
    <row r="8244" spans="14:25">
      <c r="N8244" s="42">
        <v>44887</v>
      </c>
      <c r="O8244" t="s">
        <v>333</v>
      </c>
      <c r="P8244" s="42">
        <v>44887</v>
      </c>
      <c r="Q8244" t="s">
        <v>333</v>
      </c>
      <c r="R8244" t="s">
        <v>320</v>
      </c>
      <c r="S8244" t="s">
        <v>323</v>
      </c>
      <c r="T8244">
        <v>7.6</v>
      </c>
      <c r="U8244">
        <v>0</v>
      </c>
    </row>
    <row r="8245" spans="14:25">
      <c r="N8245" s="42">
        <v>44848</v>
      </c>
      <c r="O8245" t="s">
        <v>346</v>
      </c>
      <c r="P8245" s="42">
        <v>44851</v>
      </c>
      <c r="Q8245" t="s">
        <v>345</v>
      </c>
      <c r="R8245" t="s">
        <v>320</v>
      </c>
      <c r="S8245" t="s">
        <v>323</v>
      </c>
      <c r="T8245">
        <v>15.2</v>
      </c>
      <c r="V8245">
        <v>0</v>
      </c>
      <c r="Y8245" s="42">
        <v>44859</v>
      </c>
    </row>
    <row r="8246" spans="14:25">
      <c r="N8246" s="42">
        <v>44844</v>
      </c>
      <c r="O8246" t="s">
        <v>345</v>
      </c>
      <c r="P8246" s="42">
        <v>44844</v>
      </c>
      <c r="Q8246" t="s">
        <v>345</v>
      </c>
      <c r="R8246" t="s">
        <v>320</v>
      </c>
      <c r="S8246" t="s">
        <v>323</v>
      </c>
      <c r="T8246">
        <v>7.6</v>
      </c>
      <c r="V8246">
        <v>0</v>
      </c>
      <c r="Y8246" s="42">
        <v>44845</v>
      </c>
    </row>
    <row r="8247" spans="14:25">
      <c r="N8247" s="42">
        <v>44838</v>
      </c>
      <c r="O8247" t="s">
        <v>333</v>
      </c>
      <c r="P8247" s="42">
        <v>44839</v>
      </c>
      <c r="Q8247" t="s">
        <v>328</v>
      </c>
      <c r="R8247" t="s">
        <v>320</v>
      </c>
      <c r="S8247" t="s">
        <v>323</v>
      </c>
      <c r="T8247">
        <v>15.2</v>
      </c>
      <c r="V8247">
        <v>0</v>
      </c>
      <c r="Y8247" s="42">
        <v>44845</v>
      </c>
    </row>
    <row r="8248" spans="14:25">
      <c r="N8248" s="42">
        <v>44837</v>
      </c>
      <c r="O8248" t="s">
        <v>345</v>
      </c>
      <c r="P8248" s="42">
        <v>44837</v>
      </c>
      <c r="Q8248" t="s">
        <v>345</v>
      </c>
      <c r="R8248" t="s">
        <v>320</v>
      </c>
      <c r="S8248" t="s">
        <v>323</v>
      </c>
      <c r="U8248">
        <v>7.6</v>
      </c>
      <c r="Y8248" s="42">
        <v>44845</v>
      </c>
    </row>
    <row r="8249" spans="14:25">
      <c r="N8249" s="42">
        <v>44830</v>
      </c>
      <c r="O8249" t="s">
        <v>345</v>
      </c>
      <c r="P8249" s="42">
        <v>44830</v>
      </c>
      <c r="Q8249" t="s">
        <v>345</v>
      </c>
      <c r="R8249" t="s">
        <v>320</v>
      </c>
      <c r="S8249" t="s">
        <v>323</v>
      </c>
      <c r="T8249">
        <v>7.6</v>
      </c>
      <c r="V8249">
        <v>0</v>
      </c>
      <c r="Y8249" s="42">
        <v>44831</v>
      </c>
    </row>
    <row r="8250" spans="14:25">
      <c r="N8250" s="42">
        <v>44826</v>
      </c>
      <c r="O8250" t="s">
        <v>324</v>
      </c>
      <c r="P8250" s="42">
        <v>44826</v>
      </c>
      <c r="Q8250" t="s">
        <v>324</v>
      </c>
      <c r="R8250" t="s">
        <v>320</v>
      </c>
      <c r="S8250" t="s">
        <v>323</v>
      </c>
      <c r="U8250">
        <v>7.6</v>
      </c>
      <c r="Y8250" s="42">
        <v>44831</v>
      </c>
    </row>
    <row r="8251" spans="14:25">
      <c r="N8251" s="42">
        <v>44783</v>
      </c>
      <c r="O8251" t="s">
        <v>328</v>
      </c>
      <c r="P8251" s="42">
        <v>44783</v>
      </c>
      <c r="Q8251" t="s">
        <v>328</v>
      </c>
      <c r="R8251" t="s">
        <v>320</v>
      </c>
      <c r="S8251" t="s">
        <v>323</v>
      </c>
      <c r="U8251">
        <v>7.6</v>
      </c>
      <c r="Y8251" s="42">
        <v>44789</v>
      </c>
    </row>
    <row r="8252" spans="14:25">
      <c r="N8252" s="42">
        <v>44771</v>
      </c>
      <c r="O8252" t="s">
        <v>346</v>
      </c>
      <c r="P8252" s="42">
        <v>44771</v>
      </c>
      <c r="Q8252" t="s">
        <v>346</v>
      </c>
      <c r="R8252" t="s">
        <v>320</v>
      </c>
      <c r="S8252" t="s">
        <v>323</v>
      </c>
      <c r="T8252">
        <v>7.6</v>
      </c>
      <c r="V8252">
        <v>0</v>
      </c>
      <c r="Y8252" s="42">
        <v>44775</v>
      </c>
    </row>
    <row r="8253" spans="14:25">
      <c r="N8253" s="42">
        <v>44767</v>
      </c>
      <c r="O8253" t="s">
        <v>345</v>
      </c>
      <c r="P8253" s="42">
        <v>44767</v>
      </c>
      <c r="Q8253" t="s">
        <v>345</v>
      </c>
      <c r="R8253" t="s">
        <v>329</v>
      </c>
      <c r="S8253" t="s">
        <v>323</v>
      </c>
      <c r="T8253">
        <v>7.6</v>
      </c>
      <c r="W8253" t="s">
        <v>339</v>
      </c>
      <c r="Y8253" s="42">
        <v>44775</v>
      </c>
    </row>
    <row r="8254" spans="14:25">
      <c r="N8254" s="42">
        <v>44763</v>
      </c>
      <c r="O8254" t="s">
        <v>324</v>
      </c>
      <c r="P8254" s="42">
        <v>44764</v>
      </c>
      <c r="Q8254" t="s">
        <v>346</v>
      </c>
      <c r="R8254" t="s">
        <v>329</v>
      </c>
      <c r="S8254" t="s">
        <v>323</v>
      </c>
      <c r="T8254">
        <v>15.2</v>
      </c>
      <c r="W8254" t="s">
        <v>339</v>
      </c>
      <c r="Y8254" s="42">
        <v>44775</v>
      </c>
    </row>
    <row r="8255" spans="14:25">
      <c r="N8255" s="42">
        <v>44715</v>
      </c>
      <c r="O8255" t="s">
        <v>346</v>
      </c>
      <c r="P8255" s="42">
        <v>44715</v>
      </c>
      <c r="Q8255" t="s">
        <v>346</v>
      </c>
      <c r="R8255" t="s">
        <v>320</v>
      </c>
      <c r="S8255" t="s">
        <v>323</v>
      </c>
      <c r="T8255">
        <v>7.6</v>
      </c>
      <c r="V8255">
        <v>0</v>
      </c>
      <c r="Y8255" s="42">
        <v>44719</v>
      </c>
    </row>
    <row r="8256" spans="14:25">
      <c r="N8256" s="42">
        <v>44683</v>
      </c>
      <c r="O8256" t="s">
        <v>345</v>
      </c>
      <c r="P8256" s="42">
        <v>44683</v>
      </c>
      <c r="Q8256" t="s">
        <v>345</v>
      </c>
      <c r="R8256" t="s">
        <v>320</v>
      </c>
      <c r="S8256" t="s">
        <v>323</v>
      </c>
      <c r="U8256">
        <v>7.6</v>
      </c>
      <c r="Y8256" s="42">
        <v>44691</v>
      </c>
    </row>
    <row r="8257" spans="14:25">
      <c r="N8257" s="42">
        <v>44676</v>
      </c>
      <c r="O8257" t="s">
        <v>345</v>
      </c>
      <c r="P8257" s="42">
        <v>44676</v>
      </c>
      <c r="Q8257" t="s">
        <v>345</v>
      </c>
      <c r="R8257" t="s">
        <v>320</v>
      </c>
      <c r="S8257" t="s">
        <v>323</v>
      </c>
      <c r="U8257">
        <v>7.6</v>
      </c>
      <c r="Y8257" s="42">
        <v>44677</v>
      </c>
    </row>
    <row r="8258" spans="14:25">
      <c r="N8258" s="42">
        <v>44673</v>
      </c>
      <c r="O8258" t="s">
        <v>346</v>
      </c>
      <c r="P8258" s="42">
        <v>44673</v>
      </c>
      <c r="Q8258" t="s">
        <v>346</v>
      </c>
      <c r="R8258" t="s">
        <v>320</v>
      </c>
      <c r="S8258" t="s">
        <v>323</v>
      </c>
      <c r="T8258">
        <v>7.6</v>
      </c>
      <c r="V8258">
        <v>0</v>
      </c>
      <c r="Y8258" s="42">
        <v>44677</v>
      </c>
    </row>
    <row r="8259" spans="14:25">
      <c r="N8259" s="42">
        <v>44669</v>
      </c>
      <c r="O8259" t="s">
        <v>345</v>
      </c>
      <c r="P8259" s="42">
        <v>44669</v>
      </c>
      <c r="Q8259" t="s">
        <v>345</v>
      </c>
      <c r="R8259" t="s">
        <v>320</v>
      </c>
      <c r="S8259" t="s">
        <v>323</v>
      </c>
      <c r="U8259">
        <v>7.6</v>
      </c>
      <c r="Y8259" s="42">
        <v>44677</v>
      </c>
    </row>
    <row r="8260" spans="14:25">
      <c r="N8260" s="42">
        <v>44666</v>
      </c>
      <c r="O8260" t="s">
        <v>346</v>
      </c>
      <c r="P8260" s="42">
        <v>44666</v>
      </c>
      <c r="Q8260" t="s">
        <v>346</v>
      </c>
      <c r="R8260" t="s">
        <v>320</v>
      </c>
      <c r="S8260" t="s">
        <v>323</v>
      </c>
      <c r="U8260">
        <v>7.6</v>
      </c>
      <c r="Y8260" s="42">
        <v>44677</v>
      </c>
    </row>
    <row r="8261" spans="14:25">
      <c r="N8261" s="42">
        <v>44664</v>
      </c>
      <c r="O8261" t="s">
        <v>328</v>
      </c>
      <c r="P8261" s="42">
        <v>44665</v>
      </c>
      <c r="Q8261" t="s">
        <v>324</v>
      </c>
      <c r="R8261" t="s">
        <v>320</v>
      </c>
      <c r="S8261" t="s">
        <v>323</v>
      </c>
      <c r="T8261">
        <v>15.2</v>
      </c>
      <c r="V8261">
        <v>0</v>
      </c>
      <c r="Y8261" s="42">
        <v>44677</v>
      </c>
    </row>
    <row r="8262" spans="14:25">
      <c r="N8262" s="42">
        <v>44587</v>
      </c>
      <c r="O8262" t="s">
        <v>328</v>
      </c>
      <c r="P8262" s="42">
        <v>44587</v>
      </c>
      <c r="Q8262" t="s">
        <v>328</v>
      </c>
      <c r="R8262" t="s">
        <v>320</v>
      </c>
      <c r="S8262" t="s">
        <v>323</v>
      </c>
      <c r="U8262">
        <v>7.6</v>
      </c>
      <c r="Y8262" s="42">
        <v>44593</v>
      </c>
    </row>
    <row r="8263" spans="14:25">
      <c r="N8263" s="42">
        <v>44564</v>
      </c>
      <c r="O8263" t="s">
        <v>345</v>
      </c>
      <c r="P8263" s="42">
        <v>44564</v>
      </c>
      <c r="Q8263" t="s">
        <v>345</v>
      </c>
      <c r="R8263" t="s">
        <v>320</v>
      </c>
      <c r="S8263" t="s">
        <v>323</v>
      </c>
      <c r="U8263">
        <v>7.6</v>
      </c>
      <c r="Y8263" s="42">
        <v>44565</v>
      </c>
    </row>
    <row r="8264" spans="14:25">
      <c r="N8264" s="42">
        <v>44558</v>
      </c>
      <c r="O8264" t="s">
        <v>333</v>
      </c>
      <c r="P8264" s="42">
        <v>44558</v>
      </c>
      <c r="Q8264" t="s">
        <v>333</v>
      </c>
      <c r="R8264" t="s">
        <v>320</v>
      </c>
      <c r="S8264" t="s">
        <v>323</v>
      </c>
      <c r="U8264">
        <v>7.6</v>
      </c>
      <c r="Y8264" s="42">
        <v>44565</v>
      </c>
    </row>
    <row r="8265" spans="14:25">
      <c r="N8265" s="42">
        <v>44557</v>
      </c>
      <c r="O8265" t="s">
        <v>345</v>
      </c>
      <c r="P8265" s="42">
        <v>44557</v>
      </c>
      <c r="Q8265" t="s">
        <v>345</v>
      </c>
      <c r="R8265" t="s">
        <v>320</v>
      </c>
      <c r="S8265" t="s">
        <v>323</v>
      </c>
      <c r="U8265">
        <v>7.6</v>
      </c>
      <c r="Y8265" s="42">
        <v>44565</v>
      </c>
    </row>
    <row r="8266" spans="14:25">
      <c r="N8266" s="42">
        <v>44510</v>
      </c>
      <c r="O8266" t="s">
        <v>328</v>
      </c>
      <c r="P8266" s="42">
        <v>44512</v>
      </c>
      <c r="Q8266" t="s">
        <v>346</v>
      </c>
      <c r="R8266" t="s">
        <v>320</v>
      </c>
      <c r="S8266" t="s">
        <v>323</v>
      </c>
      <c r="T8266">
        <v>22.8</v>
      </c>
      <c r="V8266">
        <v>0</v>
      </c>
      <c r="Y8266" s="42">
        <v>44523</v>
      </c>
    </row>
    <row r="8267" spans="14:25">
      <c r="N8267" s="42">
        <v>44508</v>
      </c>
      <c r="O8267" t="s">
        <v>345</v>
      </c>
      <c r="P8267" s="42">
        <v>44509</v>
      </c>
      <c r="Q8267" t="s">
        <v>333</v>
      </c>
      <c r="R8267" t="s">
        <v>329</v>
      </c>
      <c r="S8267" t="s">
        <v>323</v>
      </c>
      <c r="T8267">
        <v>15.2</v>
      </c>
      <c r="W8267" t="s">
        <v>339</v>
      </c>
      <c r="Y8267" s="42">
        <v>44509</v>
      </c>
    </row>
    <row r="8268" spans="14:25">
      <c r="N8268" s="42">
        <v>44497</v>
      </c>
      <c r="O8268" t="s">
        <v>324</v>
      </c>
      <c r="P8268" s="42">
        <v>44505</v>
      </c>
      <c r="Q8268" t="s">
        <v>346</v>
      </c>
      <c r="R8268" t="s">
        <v>329</v>
      </c>
      <c r="S8268" t="s">
        <v>323</v>
      </c>
      <c r="T8268">
        <v>53.2</v>
      </c>
      <c r="W8268" t="s">
        <v>339</v>
      </c>
      <c r="Y8268" s="42">
        <v>44509</v>
      </c>
    </row>
    <row r="8269" spans="14:25">
      <c r="N8269" s="42">
        <v>44480</v>
      </c>
      <c r="O8269" t="s">
        <v>345</v>
      </c>
      <c r="P8269" s="42">
        <v>44480</v>
      </c>
      <c r="Q8269" t="s">
        <v>345</v>
      </c>
      <c r="R8269" t="s">
        <v>320</v>
      </c>
      <c r="S8269" t="s">
        <v>323</v>
      </c>
      <c r="T8269">
        <v>7.6</v>
      </c>
      <c r="V8269">
        <v>0</v>
      </c>
      <c r="Y8269" s="42">
        <v>44481</v>
      </c>
    </row>
    <row r="8270" spans="14:25">
      <c r="N8270" s="42">
        <v>44473</v>
      </c>
      <c r="O8270" t="s">
        <v>345</v>
      </c>
      <c r="P8270" s="42">
        <v>44473</v>
      </c>
      <c r="Q8270" t="s">
        <v>345</v>
      </c>
      <c r="R8270" t="s">
        <v>320</v>
      </c>
      <c r="S8270" t="s">
        <v>323</v>
      </c>
      <c r="U8270">
        <v>7.6</v>
      </c>
      <c r="Y8270" s="42">
        <v>44481</v>
      </c>
    </row>
    <row r="8271" spans="14:25">
      <c r="N8271" s="42">
        <v>44460</v>
      </c>
      <c r="O8271" t="s">
        <v>333</v>
      </c>
      <c r="P8271" s="42">
        <v>44467</v>
      </c>
      <c r="Q8271" t="s">
        <v>333</v>
      </c>
      <c r="R8271" t="s">
        <v>320</v>
      </c>
      <c r="S8271" t="s">
        <v>323</v>
      </c>
      <c r="T8271">
        <v>45.6</v>
      </c>
      <c r="V8271">
        <v>0</v>
      </c>
      <c r="Y8271" s="42">
        <v>44467</v>
      </c>
    </row>
    <row r="8272" spans="14:25">
      <c r="N8272" s="42">
        <v>44454</v>
      </c>
      <c r="O8272" t="s">
        <v>328</v>
      </c>
      <c r="P8272" s="42">
        <v>44455</v>
      </c>
      <c r="Q8272" t="s">
        <v>324</v>
      </c>
      <c r="R8272" t="s">
        <v>320</v>
      </c>
      <c r="S8272" t="s">
        <v>323</v>
      </c>
      <c r="T8272">
        <v>15.2</v>
      </c>
      <c r="V8272">
        <v>0</v>
      </c>
      <c r="Y8272" s="42">
        <v>44467</v>
      </c>
    </row>
    <row r="8273" spans="14:25">
      <c r="N8273" s="42">
        <v>44446</v>
      </c>
      <c r="O8273" t="s">
        <v>333</v>
      </c>
      <c r="P8273" s="42">
        <v>44446</v>
      </c>
      <c r="Q8273" t="s">
        <v>333</v>
      </c>
      <c r="R8273" t="s">
        <v>320</v>
      </c>
      <c r="S8273" t="s">
        <v>323</v>
      </c>
      <c r="T8273">
        <v>7.6</v>
      </c>
      <c r="V8273">
        <v>0</v>
      </c>
      <c r="Y8273" s="42">
        <v>44453</v>
      </c>
    </row>
    <row r="8274" spans="14:25">
      <c r="N8274" s="42">
        <v>44424</v>
      </c>
      <c r="O8274" t="s">
        <v>345</v>
      </c>
      <c r="P8274" s="42">
        <v>44424</v>
      </c>
      <c r="Q8274" t="s">
        <v>345</v>
      </c>
      <c r="R8274" t="s">
        <v>329</v>
      </c>
      <c r="S8274" t="s">
        <v>323</v>
      </c>
      <c r="T8274">
        <v>7.6</v>
      </c>
      <c r="W8274" t="s">
        <v>339</v>
      </c>
      <c r="Y8274" s="42">
        <v>44425</v>
      </c>
    </row>
    <row r="8275" spans="14:25">
      <c r="N8275" s="42">
        <v>44396</v>
      </c>
      <c r="O8275" t="s">
        <v>345</v>
      </c>
      <c r="P8275" s="42">
        <v>44396</v>
      </c>
      <c r="Q8275" t="s">
        <v>345</v>
      </c>
      <c r="R8275" t="s">
        <v>329</v>
      </c>
      <c r="S8275" t="s">
        <v>323</v>
      </c>
      <c r="T8275">
        <v>7.6</v>
      </c>
      <c r="W8275" t="s">
        <v>339</v>
      </c>
      <c r="Y8275" s="42">
        <v>44397</v>
      </c>
    </row>
    <row r="8276" spans="14:25">
      <c r="N8276" s="42">
        <v>44330</v>
      </c>
      <c r="O8276" t="s">
        <v>346</v>
      </c>
      <c r="P8276" s="42">
        <v>44330</v>
      </c>
      <c r="Q8276" t="s">
        <v>346</v>
      </c>
      <c r="R8276" t="s">
        <v>320</v>
      </c>
      <c r="S8276" t="s">
        <v>323</v>
      </c>
      <c r="T8276">
        <v>7.6</v>
      </c>
      <c r="V8276">
        <v>0</v>
      </c>
      <c r="Y8276" s="42">
        <v>44341</v>
      </c>
    </row>
    <row r="8277" spans="14:25">
      <c r="N8277" s="42">
        <v>44326</v>
      </c>
      <c r="O8277" t="s">
        <v>345</v>
      </c>
      <c r="P8277" s="42">
        <v>44326</v>
      </c>
      <c r="Q8277" t="s">
        <v>345</v>
      </c>
      <c r="R8277" t="s">
        <v>329</v>
      </c>
      <c r="S8277" t="s">
        <v>323</v>
      </c>
      <c r="T8277">
        <v>7.6</v>
      </c>
      <c r="W8277" t="s">
        <v>339</v>
      </c>
      <c r="Y8277" s="42">
        <v>44327</v>
      </c>
    </row>
    <row r="8278" spans="14:25">
      <c r="N8278" s="42">
        <v>44319</v>
      </c>
      <c r="O8278" t="s">
        <v>345</v>
      </c>
      <c r="P8278" s="42">
        <v>44319</v>
      </c>
      <c r="Q8278" t="s">
        <v>345</v>
      </c>
      <c r="R8278" t="s">
        <v>320</v>
      </c>
      <c r="S8278" t="s">
        <v>323</v>
      </c>
      <c r="U8278">
        <v>7.6</v>
      </c>
      <c r="Y8278" s="42">
        <v>44327</v>
      </c>
    </row>
    <row r="8279" spans="14:25">
      <c r="N8279" s="42">
        <v>44312</v>
      </c>
      <c r="O8279" t="s">
        <v>345</v>
      </c>
      <c r="P8279" s="42">
        <v>44312</v>
      </c>
      <c r="Q8279" t="s">
        <v>345</v>
      </c>
      <c r="R8279" t="s">
        <v>320</v>
      </c>
      <c r="S8279" t="s">
        <v>323</v>
      </c>
      <c r="U8279">
        <v>7.6</v>
      </c>
      <c r="Y8279" s="42">
        <v>44313</v>
      </c>
    </row>
    <row r="8280" spans="14:25">
      <c r="N8280" s="42">
        <v>44291</v>
      </c>
      <c r="O8280" t="s">
        <v>345</v>
      </c>
      <c r="P8280" s="42">
        <v>44291</v>
      </c>
      <c r="Q8280" t="s">
        <v>345</v>
      </c>
      <c r="R8280" t="s">
        <v>320</v>
      </c>
      <c r="S8280" t="s">
        <v>323</v>
      </c>
      <c r="U8280">
        <v>7.6</v>
      </c>
      <c r="Y8280" s="42">
        <v>44299</v>
      </c>
    </row>
    <row r="8281" spans="14:25">
      <c r="N8281" s="42">
        <v>44288</v>
      </c>
      <c r="O8281" t="s">
        <v>346</v>
      </c>
      <c r="P8281" s="42">
        <v>44288</v>
      </c>
      <c r="Q8281" t="s">
        <v>346</v>
      </c>
      <c r="R8281" t="s">
        <v>320</v>
      </c>
      <c r="S8281" t="s">
        <v>323</v>
      </c>
      <c r="U8281">
        <v>7.6</v>
      </c>
      <c r="Y8281" s="42">
        <v>44299</v>
      </c>
    </row>
    <row r="8282" spans="14:25">
      <c r="N8282" s="42">
        <v>44287</v>
      </c>
      <c r="O8282" t="s">
        <v>324</v>
      </c>
      <c r="P8282" s="42">
        <v>44287</v>
      </c>
      <c r="Q8282" t="s">
        <v>324</v>
      </c>
      <c r="R8282" t="s">
        <v>320</v>
      </c>
      <c r="S8282" t="s">
        <v>323</v>
      </c>
      <c r="T8282">
        <v>7.6</v>
      </c>
      <c r="V8282">
        <v>0</v>
      </c>
      <c r="Y8282" s="42">
        <v>44299</v>
      </c>
    </row>
    <row r="8283" spans="14:25">
      <c r="N8283" s="42">
        <v>44281</v>
      </c>
      <c r="O8283" t="s">
        <v>346</v>
      </c>
      <c r="P8283" s="42">
        <v>44281</v>
      </c>
      <c r="Q8283" t="s">
        <v>346</v>
      </c>
      <c r="R8283" t="s">
        <v>320</v>
      </c>
      <c r="S8283" t="s">
        <v>323</v>
      </c>
      <c r="T8283">
        <v>7.6</v>
      </c>
      <c r="V8283">
        <v>0</v>
      </c>
      <c r="Y8283" s="42">
        <v>44285</v>
      </c>
    </row>
    <row r="8284" spans="14:25">
      <c r="N8284" s="42">
        <v>44222</v>
      </c>
      <c r="O8284" t="s">
        <v>333</v>
      </c>
      <c r="P8284" s="42">
        <v>44222</v>
      </c>
      <c r="Q8284" t="s">
        <v>333</v>
      </c>
      <c r="R8284" t="s">
        <v>320</v>
      </c>
      <c r="S8284" t="s">
        <v>323</v>
      </c>
      <c r="U8284">
        <v>7.6</v>
      </c>
      <c r="Y8284" s="42">
        <v>44229</v>
      </c>
    </row>
    <row r="8285" spans="14:25">
      <c r="N8285" s="42">
        <v>44221</v>
      </c>
      <c r="O8285" t="s">
        <v>345</v>
      </c>
      <c r="P8285" s="42">
        <v>44221</v>
      </c>
      <c r="Q8285" t="s">
        <v>345</v>
      </c>
      <c r="R8285" t="s">
        <v>320</v>
      </c>
      <c r="S8285" t="s">
        <v>323</v>
      </c>
      <c r="T8285">
        <v>7.6</v>
      </c>
      <c r="V8285">
        <v>0</v>
      </c>
      <c r="Y8285" s="42">
        <v>44229</v>
      </c>
    </row>
    <row r="8286" spans="14:25">
      <c r="N8286" s="42">
        <v>44210</v>
      </c>
      <c r="O8286" t="s">
        <v>324</v>
      </c>
      <c r="P8286" s="42">
        <v>44210</v>
      </c>
      <c r="Q8286" t="s">
        <v>324</v>
      </c>
      <c r="R8286" t="s">
        <v>320</v>
      </c>
      <c r="S8286" t="s">
        <v>323</v>
      </c>
      <c r="T8286">
        <v>4</v>
      </c>
      <c r="V8286">
        <v>0</v>
      </c>
      <c r="Y8286" s="42">
        <v>44215</v>
      </c>
    </row>
    <row r="8287" spans="14:25">
      <c r="N8287" s="42">
        <v>44197</v>
      </c>
      <c r="O8287" t="s">
        <v>346</v>
      </c>
      <c r="P8287" s="42">
        <v>44197</v>
      </c>
      <c r="Q8287" t="s">
        <v>346</v>
      </c>
      <c r="R8287" t="s">
        <v>320</v>
      </c>
      <c r="S8287" t="s">
        <v>323</v>
      </c>
      <c r="U8287">
        <v>7.6</v>
      </c>
      <c r="Y8287" s="42">
        <v>44201</v>
      </c>
    </row>
    <row r="8288" spans="14:25">
      <c r="N8288" s="42">
        <v>44193</v>
      </c>
      <c r="O8288" t="s">
        <v>345</v>
      </c>
      <c r="P8288" s="42">
        <v>44193</v>
      </c>
      <c r="Q8288" t="s">
        <v>345</v>
      </c>
      <c r="R8288" t="s">
        <v>320</v>
      </c>
      <c r="S8288" t="s">
        <v>323</v>
      </c>
      <c r="U8288">
        <v>7.6</v>
      </c>
      <c r="Y8288" s="42">
        <v>44201</v>
      </c>
    </row>
    <row r="8289" spans="1:25">
      <c r="N8289" s="42">
        <v>44190</v>
      </c>
      <c r="O8289" t="s">
        <v>346</v>
      </c>
      <c r="P8289" s="42">
        <v>44190</v>
      </c>
      <c r="Q8289" t="s">
        <v>346</v>
      </c>
      <c r="R8289" t="s">
        <v>320</v>
      </c>
      <c r="S8289" t="s">
        <v>323</v>
      </c>
      <c r="U8289">
        <v>7.6</v>
      </c>
      <c r="Y8289" s="42">
        <v>44201</v>
      </c>
    </row>
    <row r="8290" spans="1:25">
      <c r="N8290" s="42">
        <v>44109</v>
      </c>
      <c r="O8290" t="s">
        <v>345</v>
      </c>
      <c r="P8290" s="42">
        <v>44109</v>
      </c>
      <c r="Q8290" t="s">
        <v>345</v>
      </c>
      <c r="R8290" t="s">
        <v>320</v>
      </c>
      <c r="S8290" t="s">
        <v>323</v>
      </c>
      <c r="U8290">
        <v>7.6</v>
      </c>
      <c r="Y8290" s="42">
        <v>44117</v>
      </c>
    </row>
    <row r="8291" spans="1:25">
      <c r="N8291" s="42">
        <v>44102</v>
      </c>
      <c r="O8291" t="s">
        <v>345</v>
      </c>
      <c r="P8291" s="42">
        <v>44102</v>
      </c>
      <c r="Q8291" t="s">
        <v>345</v>
      </c>
      <c r="R8291" t="s">
        <v>338</v>
      </c>
      <c r="S8291" t="s">
        <v>323</v>
      </c>
      <c r="T8291">
        <v>7.6</v>
      </c>
      <c r="W8291" t="s">
        <v>339</v>
      </c>
      <c r="Y8291" s="42">
        <v>44103</v>
      </c>
    </row>
    <row r="8292" spans="1:25">
      <c r="A8292">
        <v>18923</v>
      </c>
      <c r="B8292" t="s">
        <v>449</v>
      </c>
      <c r="C8292" t="s">
        <v>320</v>
      </c>
      <c r="D8292" t="s">
        <v>336</v>
      </c>
      <c r="E8292" t="s">
        <v>337</v>
      </c>
      <c r="F8292">
        <v>1</v>
      </c>
      <c r="G8292" s="42">
        <v>45079</v>
      </c>
      <c r="H8292">
        <v>152</v>
      </c>
      <c r="I8292">
        <v>-7.6</v>
      </c>
      <c r="J8292">
        <v>114.5205</v>
      </c>
      <c r="K8292">
        <v>106.9205</v>
      </c>
      <c r="L8292" t="s">
        <v>323</v>
      </c>
      <c r="M8292" s="43">
        <v>8.6805555555555566E-2</v>
      </c>
      <c r="N8292" s="42">
        <v>44971</v>
      </c>
      <c r="O8292" t="s">
        <v>333</v>
      </c>
      <c r="P8292" s="42">
        <v>44971</v>
      </c>
      <c r="Q8292" t="s">
        <v>333</v>
      </c>
      <c r="R8292" t="s">
        <v>320</v>
      </c>
      <c r="S8292" t="s">
        <v>323</v>
      </c>
      <c r="T8292">
        <v>7.6</v>
      </c>
      <c r="Y8292" s="42">
        <v>44971</v>
      </c>
    </row>
    <row r="8293" spans="1:25">
      <c r="C8293" t="s">
        <v>325</v>
      </c>
      <c r="D8293" t="s">
        <v>349</v>
      </c>
      <c r="E8293" t="s">
        <v>350</v>
      </c>
      <c r="F8293">
        <v>1</v>
      </c>
      <c r="G8293" s="42">
        <v>46648</v>
      </c>
      <c r="H8293">
        <v>55.977600000000002</v>
      </c>
      <c r="I8293">
        <v>0</v>
      </c>
      <c r="J8293">
        <v>55.977600000000002</v>
      </c>
      <c r="K8293">
        <v>55.977600000000002</v>
      </c>
      <c r="L8293" t="s">
        <v>323</v>
      </c>
      <c r="N8293" s="42">
        <v>44970</v>
      </c>
      <c r="O8293" t="s">
        <v>345</v>
      </c>
      <c r="P8293" s="42">
        <v>44970</v>
      </c>
      <c r="Q8293" t="s">
        <v>345</v>
      </c>
      <c r="R8293" t="s">
        <v>320</v>
      </c>
      <c r="S8293" t="s">
        <v>323</v>
      </c>
      <c r="T8293">
        <v>7.6</v>
      </c>
      <c r="Y8293" s="42">
        <v>44971</v>
      </c>
    </row>
    <row r="8294" spans="1:25">
      <c r="C8294" t="s">
        <v>329</v>
      </c>
      <c r="D8294" t="s">
        <v>342</v>
      </c>
      <c r="E8294" t="s">
        <v>343</v>
      </c>
      <c r="F8294">
        <v>1</v>
      </c>
      <c r="G8294" s="42">
        <v>45079</v>
      </c>
      <c r="H8294">
        <v>76</v>
      </c>
      <c r="I8294">
        <v>0.9</v>
      </c>
      <c r="J8294">
        <v>57.260300000000001</v>
      </c>
      <c r="K8294">
        <v>58.160299999999999</v>
      </c>
      <c r="L8294" t="s">
        <v>323</v>
      </c>
      <c r="N8294" s="42">
        <v>44967</v>
      </c>
      <c r="O8294" t="s">
        <v>346</v>
      </c>
      <c r="P8294" s="42">
        <v>44967</v>
      </c>
      <c r="Q8294" t="s">
        <v>346</v>
      </c>
      <c r="R8294" t="s">
        <v>320</v>
      </c>
      <c r="S8294" t="s">
        <v>323</v>
      </c>
      <c r="T8294">
        <v>7.6</v>
      </c>
      <c r="Y8294" s="42">
        <v>44971</v>
      </c>
    </row>
    <row r="8295" spans="1:25">
      <c r="N8295" s="42">
        <v>44952</v>
      </c>
      <c r="O8295" t="s">
        <v>324</v>
      </c>
      <c r="P8295" s="42">
        <v>44952</v>
      </c>
      <c r="Q8295" t="s">
        <v>324</v>
      </c>
      <c r="R8295" t="s">
        <v>320</v>
      </c>
      <c r="S8295" t="s">
        <v>323</v>
      </c>
      <c r="U8295">
        <v>7.6</v>
      </c>
    </row>
    <row r="8296" spans="1:25">
      <c r="N8296" s="42">
        <v>44938</v>
      </c>
      <c r="O8296" t="s">
        <v>324</v>
      </c>
      <c r="P8296" s="42">
        <v>44938</v>
      </c>
      <c r="Q8296" t="s">
        <v>324</v>
      </c>
      <c r="R8296" t="s">
        <v>320</v>
      </c>
      <c r="S8296" t="s">
        <v>323</v>
      </c>
      <c r="T8296">
        <v>7.6</v>
      </c>
      <c r="Y8296" s="42">
        <v>44943</v>
      </c>
    </row>
    <row r="8297" spans="1:25">
      <c r="N8297" s="42">
        <v>44936</v>
      </c>
      <c r="O8297" t="s">
        <v>333</v>
      </c>
      <c r="P8297" s="42">
        <v>44936</v>
      </c>
      <c r="Q8297" t="s">
        <v>333</v>
      </c>
      <c r="R8297" t="s">
        <v>320</v>
      </c>
      <c r="S8297" t="s">
        <v>323</v>
      </c>
      <c r="T8297">
        <v>7.6</v>
      </c>
      <c r="Y8297" s="42">
        <v>44943</v>
      </c>
    </row>
    <row r="8298" spans="1:25">
      <c r="N8298" s="42">
        <v>44928</v>
      </c>
      <c r="O8298" t="s">
        <v>345</v>
      </c>
      <c r="P8298" s="42">
        <v>44928</v>
      </c>
      <c r="Q8298" t="s">
        <v>345</v>
      </c>
      <c r="R8298" t="s">
        <v>320</v>
      </c>
      <c r="S8298" t="s">
        <v>323</v>
      </c>
      <c r="U8298">
        <v>7.6</v>
      </c>
    </row>
    <row r="8299" spans="1:25">
      <c r="N8299" s="42">
        <v>44922</v>
      </c>
      <c r="O8299" t="s">
        <v>333</v>
      </c>
      <c r="P8299" s="42">
        <v>44922</v>
      </c>
      <c r="Q8299" t="s">
        <v>333</v>
      </c>
      <c r="R8299" t="s">
        <v>320</v>
      </c>
      <c r="S8299" t="s">
        <v>323</v>
      </c>
      <c r="U8299">
        <v>7.6</v>
      </c>
    </row>
    <row r="8300" spans="1:25">
      <c r="N8300" s="42">
        <v>44921</v>
      </c>
      <c r="O8300" t="s">
        <v>345</v>
      </c>
      <c r="P8300" s="42">
        <v>44921</v>
      </c>
      <c r="Q8300" t="s">
        <v>345</v>
      </c>
      <c r="R8300" t="s">
        <v>320</v>
      </c>
      <c r="S8300" t="s">
        <v>323</v>
      </c>
      <c r="U8300">
        <v>7.6</v>
      </c>
    </row>
    <row r="8301" spans="1:25">
      <c r="N8301" s="42">
        <v>44918</v>
      </c>
      <c r="O8301" t="s">
        <v>346</v>
      </c>
      <c r="P8301" s="42">
        <v>44918</v>
      </c>
      <c r="Q8301" t="s">
        <v>346</v>
      </c>
      <c r="R8301" t="s">
        <v>320</v>
      </c>
      <c r="S8301" t="s">
        <v>323</v>
      </c>
      <c r="T8301">
        <v>7.6</v>
      </c>
      <c r="Y8301" s="42">
        <v>44929</v>
      </c>
    </row>
    <row r="8302" spans="1:25">
      <c r="N8302" s="42">
        <v>44911</v>
      </c>
      <c r="O8302" t="s">
        <v>346</v>
      </c>
      <c r="P8302" s="42">
        <v>44911</v>
      </c>
      <c r="Q8302" t="s">
        <v>346</v>
      </c>
      <c r="R8302" t="s">
        <v>320</v>
      </c>
      <c r="S8302" t="s">
        <v>323</v>
      </c>
      <c r="T8302">
        <v>7.6</v>
      </c>
      <c r="Y8302" s="42">
        <v>44915</v>
      </c>
    </row>
    <row r="8303" spans="1:25">
      <c r="N8303" s="42">
        <v>44910</v>
      </c>
      <c r="O8303" t="s">
        <v>324</v>
      </c>
      <c r="P8303" s="42">
        <v>44910</v>
      </c>
      <c r="Q8303" t="s">
        <v>324</v>
      </c>
      <c r="R8303" t="s">
        <v>320</v>
      </c>
      <c r="S8303" t="s">
        <v>323</v>
      </c>
      <c r="T8303">
        <v>7.6</v>
      </c>
      <c r="Y8303" s="42">
        <v>44915</v>
      </c>
    </row>
    <row r="8304" spans="1:25">
      <c r="N8304" s="42">
        <v>44876</v>
      </c>
      <c r="O8304" t="s">
        <v>346</v>
      </c>
      <c r="P8304" s="42">
        <v>44876</v>
      </c>
      <c r="Q8304" t="s">
        <v>346</v>
      </c>
      <c r="R8304" t="s">
        <v>320</v>
      </c>
      <c r="S8304" t="s">
        <v>323</v>
      </c>
      <c r="T8304">
        <v>7.6</v>
      </c>
      <c r="Y8304" s="42">
        <v>44887</v>
      </c>
    </row>
    <row r="8305" spans="14:25">
      <c r="N8305" s="42">
        <v>44875</v>
      </c>
      <c r="O8305" t="s">
        <v>324</v>
      </c>
      <c r="P8305" s="42">
        <v>44875</v>
      </c>
      <c r="Q8305" t="s">
        <v>324</v>
      </c>
      <c r="R8305" t="s">
        <v>320</v>
      </c>
      <c r="S8305" t="s">
        <v>323</v>
      </c>
      <c r="T8305">
        <v>7.6</v>
      </c>
      <c r="Y8305" s="42">
        <v>44887</v>
      </c>
    </row>
    <row r="8306" spans="14:25">
      <c r="N8306" s="42">
        <v>44874</v>
      </c>
      <c r="O8306" t="s">
        <v>328</v>
      </c>
      <c r="P8306" s="42">
        <v>44874</v>
      </c>
      <c r="Q8306" t="s">
        <v>328</v>
      </c>
      <c r="R8306" t="s">
        <v>320</v>
      </c>
      <c r="S8306" t="s">
        <v>323</v>
      </c>
      <c r="T8306">
        <v>7.6</v>
      </c>
      <c r="Y8306" s="42">
        <v>44887</v>
      </c>
    </row>
    <row r="8307" spans="14:25">
      <c r="N8307" s="42">
        <v>44873</v>
      </c>
      <c r="O8307" t="s">
        <v>333</v>
      </c>
      <c r="P8307" s="42">
        <v>44873</v>
      </c>
      <c r="Q8307" t="s">
        <v>333</v>
      </c>
      <c r="R8307" t="s">
        <v>320</v>
      </c>
      <c r="S8307" t="s">
        <v>323</v>
      </c>
      <c r="T8307">
        <v>7.6</v>
      </c>
      <c r="Y8307" s="42">
        <v>44873</v>
      </c>
    </row>
    <row r="8308" spans="14:25">
      <c r="N8308" s="42">
        <v>44872</v>
      </c>
      <c r="O8308" t="s">
        <v>345</v>
      </c>
      <c r="P8308" s="42">
        <v>44872</v>
      </c>
      <c r="Q8308" t="s">
        <v>345</v>
      </c>
      <c r="R8308" t="s">
        <v>320</v>
      </c>
      <c r="S8308" t="s">
        <v>323</v>
      </c>
      <c r="T8308">
        <v>7.6</v>
      </c>
      <c r="Y8308" s="42">
        <v>44873</v>
      </c>
    </row>
    <row r="8309" spans="14:25">
      <c r="N8309" s="42">
        <v>44868</v>
      </c>
      <c r="O8309" t="s">
        <v>324</v>
      </c>
      <c r="P8309" s="42">
        <v>44868</v>
      </c>
      <c r="Q8309" t="s">
        <v>324</v>
      </c>
      <c r="R8309" t="s">
        <v>334</v>
      </c>
      <c r="S8309" t="s">
        <v>323</v>
      </c>
      <c r="T8309">
        <v>7.6</v>
      </c>
      <c r="W8309" t="s">
        <v>330</v>
      </c>
      <c r="Y8309" s="42">
        <v>44873</v>
      </c>
    </row>
    <row r="8310" spans="14:25">
      <c r="N8310" s="42">
        <v>44866</v>
      </c>
      <c r="O8310" t="s">
        <v>333</v>
      </c>
      <c r="P8310" s="42">
        <v>44866</v>
      </c>
      <c r="Q8310" t="s">
        <v>333</v>
      </c>
      <c r="R8310" t="s">
        <v>320</v>
      </c>
      <c r="S8310" t="s">
        <v>323</v>
      </c>
      <c r="U8310">
        <v>7.6</v>
      </c>
    </row>
    <row r="8311" spans="14:25">
      <c r="N8311" s="42">
        <v>44847</v>
      </c>
      <c r="O8311" t="s">
        <v>324</v>
      </c>
      <c r="P8311" s="42">
        <v>44847</v>
      </c>
      <c r="Q8311" t="s">
        <v>324</v>
      </c>
      <c r="R8311" t="s">
        <v>329</v>
      </c>
      <c r="S8311" t="s">
        <v>323</v>
      </c>
      <c r="T8311">
        <v>7.6</v>
      </c>
      <c r="W8311" t="s">
        <v>330</v>
      </c>
      <c r="Y8311" s="42">
        <v>44859</v>
      </c>
    </row>
    <row r="8312" spans="14:25">
      <c r="N8312" s="42">
        <v>44826</v>
      </c>
      <c r="O8312" t="s">
        <v>324</v>
      </c>
      <c r="P8312" s="42">
        <v>44826</v>
      </c>
      <c r="Q8312" t="s">
        <v>324</v>
      </c>
      <c r="R8312" t="s">
        <v>320</v>
      </c>
      <c r="S8312" t="s">
        <v>323</v>
      </c>
      <c r="U8312">
        <v>7.6</v>
      </c>
    </row>
    <row r="8313" spans="14:25">
      <c r="N8313" s="42">
        <v>44799</v>
      </c>
      <c r="O8313" t="s">
        <v>346</v>
      </c>
      <c r="P8313" s="42">
        <v>44799</v>
      </c>
      <c r="Q8313" t="s">
        <v>346</v>
      </c>
      <c r="R8313" t="s">
        <v>329</v>
      </c>
      <c r="S8313" t="s">
        <v>323</v>
      </c>
      <c r="T8313">
        <v>4.9832999999999998</v>
      </c>
      <c r="W8313" t="s">
        <v>330</v>
      </c>
      <c r="Y8313" s="42">
        <v>44803</v>
      </c>
    </row>
    <row r="8314" spans="14:25">
      <c r="N8314" s="42">
        <v>44795</v>
      </c>
      <c r="O8314" t="s">
        <v>345</v>
      </c>
      <c r="P8314" s="42">
        <v>44795</v>
      </c>
      <c r="Q8314" t="s">
        <v>345</v>
      </c>
      <c r="R8314" t="s">
        <v>329</v>
      </c>
      <c r="S8314" t="s">
        <v>323</v>
      </c>
      <c r="T8314">
        <v>4.3167</v>
      </c>
      <c r="W8314" t="s">
        <v>330</v>
      </c>
      <c r="Y8314" s="42">
        <v>44803</v>
      </c>
    </row>
    <row r="8315" spans="14:25">
      <c r="N8315" s="42">
        <v>44790</v>
      </c>
      <c r="O8315" t="s">
        <v>328</v>
      </c>
      <c r="P8315" s="42">
        <v>44790</v>
      </c>
      <c r="Q8315" t="s">
        <v>328</v>
      </c>
      <c r="R8315" t="s">
        <v>329</v>
      </c>
      <c r="S8315" t="s">
        <v>323</v>
      </c>
      <c r="T8315">
        <v>7.6</v>
      </c>
      <c r="W8315" t="s">
        <v>330</v>
      </c>
      <c r="Y8315" s="42">
        <v>44803</v>
      </c>
    </row>
    <row r="8316" spans="14:25">
      <c r="N8316" s="42">
        <v>44771</v>
      </c>
      <c r="O8316" t="s">
        <v>346</v>
      </c>
      <c r="P8316" s="42">
        <v>44771</v>
      </c>
      <c r="Q8316" t="s">
        <v>346</v>
      </c>
      <c r="R8316" t="s">
        <v>320</v>
      </c>
      <c r="S8316" t="s">
        <v>323</v>
      </c>
      <c r="T8316">
        <v>7.6</v>
      </c>
      <c r="Y8316" s="42">
        <v>44775</v>
      </c>
    </row>
    <row r="8317" spans="14:25">
      <c r="N8317" s="42">
        <v>44763</v>
      </c>
      <c r="O8317" t="s">
        <v>324</v>
      </c>
      <c r="P8317" s="42">
        <v>44763</v>
      </c>
      <c r="Q8317" t="s">
        <v>324</v>
      </c>
      <c r="R8317" t="s">
        <v>320</v>
      </c>
      <c r="S8317" t="s">
        <v>323</v>
      </c>
      <c r="T8317">
        <v>7.6</v>
      </c>
      <c r="Y8317" s="42">
        <v>44775</v>
      </c>
    </row>
    <row r="8318" spans="14:25">
      <c r="N8318" s="42">
        <v>44687</v>
      </c>
      <c r="O8318" t="s">
        <v>346</v>
      </c>
      <c r="P8318" s="42">
        <v>44687</v>
      </c>
      <c r="Q8318" t="s">
        <v>346</v>
      </c>
      <c r="R8318" t="s">
        <v>320</v>
      </c>
      <c r="S8318" t="s">
        <v>323</v>
      </c>
      <c r="T8318">
        <v>7.6</v>
      </c>
      <c r="Y8318" s="42">
        <v>44691</v>
      </c>
    </row>
    <row r="8319" spans="14:25">
      <c r="N8319" s="42">
        <v>44686</v>
      </c>
      <c r="O8319" t="s">
        <v>324</v>
      </c>
      <c r="P8319" s="42">
        <v>44686</v>
      </c>
      <c r="Q8319" t="s">
        <v>324</v>
      </c>
      <c r="R8319" t="s">
        <v>320</v>
      </c>
      <c r="S8319" t="s">
        <v>323</v>
      </c>
      <c r="T8319">
        <v>7.6</v>
      </c>
      <c r="Y8319" s="42">
        <v>44691</v>
      </c>
    </row>
    <row r="8320" spans="14:25">
      <c r="N8320" s="42">
        <v>44672</v>
      </c>
      <c r="O8320" t="s">
        <v>324</v>
      </c>
      <c r="P8320" s="42">
        <v>44672</v>
      </c>
      <c r="Q8320" t="s">
        <v>324</v>
      </c>
      <c r="R8320" t="s">
        <v>329</v>
      </c>
      <c r="S8320" t="s">
        <v>323</v>
      </c>
      <c r="T8320">
        <v>5</v>
      </c>
      <c r="W8320" t="s">
        <v>330</v>
      </c>
      <c r="Y8320" s="42">
        <v>44677</v>
      </c>
    </row>
    <row r="8321" spans="1:25">
      <c r="N8321" s="42">
        <v>44596</v>
      </c>
      <c r="O8321" t="s">
        <v>346</v>
      </c>
      <c r="P8321" s="42">
        <v>44596</v>
      </c>
      <c r="Q8321" t="s">
        <v>346</v>
      </c>
      <c r="R8321" t="s">
        <v>320</v>
      </c>
      <c r="S8321" t="s">
        <v>323</v>
      </c>
      <c r="T8321">
        <v>7.6</v>
      </c>
      <c r="Y8321" s="42">
        <v>44607</v>
      </c>
    </row>
    <row r="8322" spans="1:25">
      <c r="N8322" s="42">
        <v>44595</v>
      </c>
      <c r="O8322" t="s">
        <v>324</v>
      </c>
      <c r="P8322" s="42">
        <v>44595</v>
      </c>
      <c r="Q8322" t="s">
        <v>324</v>
      </c>
      <c r="R8322" t="s">
        <v>320</v>
      </c>
      <c r="S8322" t="s">
        <v>323</v>
      </c>
      <c r="T8322">
        <v>7.6</v>
      </c>
      <c r="Y8322" s="42">
        <v>44607</v>
      </c>
    </row>
    <row r="8323" spans="1:25">
      <c r="N8323" s="42">
        <v>44594</v>
      </c>
      <c r="O8323" t="s">
        <v>328</v>
      </c>
      <c r="P8323" s="42">
        <v>44594</v>
      </c>
      <c r="Q8323" t="s">
        <v>328</v>
      </c>
      <c r="R8323" t="s">
        <v>320</v>
      </c>
      <c r="S8323" t="s">
        <v>323</v>
      </c>
      <c r="T8323">
        <v>7.6</v>
      </c>
      <c r="Y8323" s="42">
        <v>44607</v>
      </c>
    </row>
    <row r="8324" spans="1:25">
      <c r="N8324" s="42">
        <v>44593</v>
      </c>
      <c r="O8324" t="s">
        <v>333</v>
      </c>
      <c r="P8324" s="42">
        <v>44593</v>
      </c>
      <c r="Q8324" t="s">
        <v>333</v>
      </c>
      <c r="R8324" t="s">
        <v>329</v>
      </c>
      <c r="S8324" t="s">
        <v>323</v>
      </c>
      <c r="T8324">
        <v>7.6</v>
      </c>
      <c r="W8324" t="s">
        <v>330</v>
      </c>
      <c r="Y8324" s="42">
        <v>44593</v>
      </c>
    </row>
    <row r="8325" spans="1:25">
      <c r="N8325" s="42">
        <v>44592</v>
      </c>
      <c r="O8325" t="s">
        <v>345</v>
      </c>
      <c r="P8325" s="42">
        <v>44592</v>
      </c>
      <c r="Q8325" t="s">
        <v>345</v>
      </c>
      <c r="R8325" t="s">
        <v>329</v>
      </c>
      <c r="S8325" t="s">
        <v>323</v>
      </c>
      <c r="T8325">
        <v>7.6</v>
      </c>
      <c r="W8325" t="s">
        <v>330</v>
      </c>
      <c r="Y8325" s="42">
        <v>44593</v>
      </c>
    </row>
    <row r="8326" spans="1:25">
      <c r="N8326" s="42">
        <v>44589</v>
      </c>
      <c r="O8326" t="s">
        <v>346</v>
      </c>
      <c r="P8326" s="42">
        <v>44589</v>
      </c>
      <c r="Q8326" t="s">
        <v>346</v>
      </c>
      <c r="R8326" t="s">
        <v>329</v>
      </c>
      <c r="S8326" t="s">
        <v>323</v>
      </c>
      <c r="T8326">
        <v>7.6</v>
      </c>
      <c r="W8326" t="s">
        <v>330</v>
      </c>
      <c r="Y8326" s="42">
        <v>44593</v>
      </c>
    </row>
    <row r="8327" spans="1:25">
      <c r="N8327" s="42">
        <v>44588</v>
      </c>
      <c r="O8327" t="s">
        <v>324</v>
      </c>
      <c r="P8327" s="42">
        <v>44588</v>
      </c>
      <c r="Q8327" t="s">
        <v>324</v>
      </c>
      <c r="R8327" t="s">
        <v>329</v>
      </c>
      <c r="S8327" t="s">
        <v>323</v>
      </c>
      <c r="T8327">
        <v>7.6</v>
      </c>
      <c r="W8327" t="s">
        <v>330</v>
      </c>
      <c r="Y8327" s="42">
        <v>44593</v>
      </c>
    </row>
    <row r="8328" spans="1:25">
      <c r="N8328" s="42">
        <v>44585</v>
      </c>
      <c r="O8328" t="s">
        <v>345</v>
      </c>
      <c r="P8328" s="42">
        <v>44585</v>
      </c>
      <c r="Q8328" t="s">
        <v>345</v>
      </c>
      <c r="R8328" t="s">
        <v>320</v>
      </c>
      <c r="S8328" t="s">
        <v>323</v>
      </c>
      <c r="T8328">
        <v>7.6</v>
      </c>
      <c r="Y8328" s="42">
        <v>44593</v>
      </c>
    </row>
    <row r="8329" spans="1:25">
      <c r="N8329" s="42">
        <v>44530</v>
      </c>
      <c r="O8329" t="s">
        <v>333</v>
      </c>
      <c r="P8329" s="42">
        <v>44530</v>
      </c>
      <c r="Q8329" t="s">
        <v>333</v>
      </c>
      <c r="R8329" t="s">
        <v>329</v>
      </c>
      <c r="S8329" t="s">
        <v>323</v>
      </c>
      <c r="T8329">
        <v>7.6</v>
      </c>
      <c r="W8329" t="s">
        <v>339</v>
      </c>
      <c r="Y8329" s="42">
        <v>44537</v>
      </c>
    </row>
    <row r="8330" spans="1:25">
      <c r="N8330" s="42">
        <v>44502</v>
      </c>
      <c r="O8330" t="s">
        <v>333</v>
      </c>
      <c r="P8330" s="42">
        <v>44502</v>
      </c>
      <c r="Q8330" t="s">
        <v>333</v>
      </c>
      <c r="R8330" t="s">
        <v>320</v>
      </c>
      <c r="S8330" t="s">
        <v>323</v>
      </c>
      <c r="U8330">
        <v>7.6</v>
      </c>
    </row>
    <row r="8331" spans="1:25">
      <c r="N8331" s="42">
        <v>44435</v>
      </c>
      <c r="O8331" t="s">
        <v>346</v>
      </c>
      <c r="P8331" s="42">
        <v>44435</v>
      </c>
      <c r="Q8331" t="s">
        <v>346</v>
      </c>
      <c r="R8331" t="s">
        <v>329</v>
      </c>
      <c r="S8331" t="s">
        <v>323</v>
      </c>
      <c r="T8331">
        <v>7.6</v>
      </c>
      <c r="W8331" t="s">
        <v>330</v>
      </c>
      <c r="Y8331" s="42">
        <v>44439</v>
      </c>
    </row>
    <row r="8332" spans="1:25">
      <c r="A8332">
        <v>18924</v>
      </c>
      <c r="B8332" t="s">
        <v>450</v>
      </c>
      <c r="C8332" t="s">
        <v>320</v>
      </c>
      <c r="D8332" t="s">
        <v>336</v>
      </c>
      <c r="E8332" t="s">
        <v>337</v>
      </c>
      <c r="F8332">
        <v>1</v>
      </c>
      <c r="G8332" s="42">
        <v>45072</v>
      </c>
      <c r="H8332">
        <v>92.292500000000004</v>
      </c>
      <c r="I8332">
        <v>-23.964400000000001</v>
      </c>
      <c r="J8332">
        <v>69.552800000000005</v>
      </c>
      <c r="K8332">
        <v>45.5884</v>
      </c>
      <c r="L8332" t="s">
        <v>323</v>
      </c>
      <c r="M8332" s="43">
        <v>8.6111111111111124E-2</v>
      </c>
      <c r="N8332" s="42">
        <v>44960</v>
      </c>
      <c r="O8332" t="s">
        <v>346</v>
      </c>
      <c r="P8332" s="42">
        <v>44960</v>
      </c>
      <c r="Q8332" t="s">
        <v>346</v>
      </c>
      <c r="R8332" t="s">
        <v>338</v>
      </c>
      <c r="S8332" t="s">
        <v>323</v>
      </c>
      <c r="T8332">
        <v>5</v>
      </c>
      <c r="W8332" t="s">
        <v>330</v>
      </c>
      <c r="Y8332" s="42">
        <v>44971</v>
      </c>
    </row>
    <row r="8333" spans="1:25">
      <c r="C8333" t="s">
        <v>325</v>
      </c>
      <c r="D8333" t="s">
        <v>393</v>
      </c>
      <c r="E8333" t="s">
        <v>394</v>
      </c>
      <c r="F8333">
        <v>1</v>
      </c>
      <c r="G8333" s="42">
        <v>47773</v>
      </c>
      <c r="H8333">
        <v>42.2179</v>
      </c>
      <c r="I8333">
        <v>0</v>
      </c>
      <c r="J8333">
        <v>42.2179</v>
      </c>
      <c r="K8333">
        <v>42.2179</v>
      </c>
      <c r="L8333" t="s">
        <v>323</v>
      </c>
      <c r="N8333" s="42">
        <v>44959</v>
      </c>
      <c r="O8333" t="s">
        <v>324</v>
      </c>
      <c r="P8333" s="42">
        <v>44959</v>
      </c>
      <c r="Q8333" t="s">
        <v>324</v>
      </c>
      <c r="R8333" t="s">
        <v>329</v>
      </c>
      <c r="S8333" t="s">
        <v>323</v>
      </c>
      <c r="T8333">
        <v>5</v>
      </c>
      <c r="W8333" t="s">
        <v>330</v>
      </c>
      <c r="Y8333" s="42">
        <v>44971</v>
      </c>
    </row>
    <row r="8334" spans="1:25">
      <c r="C8334" t="s">
        <v>329</v>
      </c>
      <c r="D8334" t="s">
        <v>342</v>
      </c>
      <c r="E8334" t="s">
        <v>343</v>
      </c>
      <c r="F8334">
        <v>1</v>
      </c>
      <c r="G8334" s="42">
        <v>45072</v>
      </c>
      <c r="H8334">
        <v>46.146299999999997</v>
      </c>
      <c r="I8334">
        <v>-30.882200000000001</v>
      </c>
      <c r="J8334">
        <v>34.776400000000002</v>
      </c>
      <c r="K8334">
        <v>3.8942000000000001</v>
      </c>
      <c r="L8334" t="s">
        <v>323</v>
      </c>
      <c r="N8334" s="42">
        <v>44958</v>
      </c>
      <c r="O8334" t="s">
        <v>328</v>
      </c>
      <c r="P8334" s="42">
        <v>44958</v>
      </c>
      <c r="Q8334" t="s">
        <v>328</v>
      </c>
      <c r="R8334" t="s">
        <v>329</v>
      </c>
      <c r="S8334" t="s">
        <v>323</v>
      </c>
      <c r="T8334">
        <v>5</v>
      </c>
      <c r="W8334" t="s">
        <v>330</v>
      </c>
      <c r="Y8334" s="42">
        <v>44971</v>
      </c>
    </row>
    <row r="8335" spans="1:25">
      <c r="N8335" s="42">
        <v>44957</v>
      </c>
      <c r="O8335" t="s">
        <v>333</v>
      </c>
      <c r="P8335" s="42">
        <v>44957</v>
      </c>
      <c r="Q8335" t="s">
        <v>333</v>
      </c>
      <c r="R8335" t="s">
        <v>338</v>
      </c>
      <c r="S8335" t="s">
        <v>323</v>
      </c>
      <c r="T8335">
        <v>5</v>
      </c>
      <c r="W8335" t="s">
        <v>330</v>
      </c>
      <c r="Y8335" s="42">
        <v>44957</v>
      </c>
    </row>
    <row r="8336" spans="1:25">
      <c r="N8336" s="42">
        <v>44956</v>
      </c>
      <c r="O8336" t="s">
        <v>345</v>
      </c>
      <c r="P8336" s="42">
        <v>44956</v>
      </c>
      <c r="Q8336" t="s">
        <v>345</v>
      </c>
      <c r="R8336" t="s">
        <v>338</v>
      </c>
      <c r="S8336" t="s">
        <v>323</v>
      </c>
      <c r="T8336">
        <v>5</v>
      </c>
      <c r="W8336" t="s">
        <v>330</v>
      </c>
      <c r="Y8336" s="42">
        <v>44957</v>
      </c>
    </row>
    <row r="8337" spans="14:25">
      <c r="N8337" s="42">
        <v>44953</v>
      </c>
      <c r="O8337" t="s">
        <v>346</v>
      </c>
      <c r="P8337" s="42">
        <v>44953</v>
      </c>
      <c r="Q8337" t="s">
        <v>346</v>
      </c>
      <c r="R8337" t="s">
        <v>338</v>
      </c>
      <c r="S8337" t="s">
        <v>323</v>
      </c>
      <c r="T8337">
        <v>5</v>
      </c>
      <c r="W8337" t="s">
        <v>330</v>
      </c>
      <c r="Y8337" s="42">
        <v>44957</v>
      </c>
    </row>
    <row r="8338" spans="14:25">
      <c r="N8338" s="42">
        <v>44952</v>
      </c>
      <c r="O8338" t="s">
        <v>324</v>
      </c>
      <c r="P8338" s="42">
        <v>44952</v>
      </c>
      <c r="Q8338" t="s">
        <v>324</v>
      </c>
      <c r="R8338" t="s">
        <v>320</v>
      </c>
      <c r="S8338" t="s">
        <v>323</v>
      </c>
      <c r="U8338">
        <v>5</v>
      </c>
    </row>
    <row r="8339" spans="14:25">
      <c r="N8339" s="42">
        <v>44951</v>
      </c>
      <c r="O8339" t="s">
        <v>328</v>
      </c>
      <c r="P8339" s="42">
        <v>44951</v>
      </c>
      <c r="Q8339" t="s">
        <v>328</v>
      </c>
      <c r="R8339" t="s">
        <v>338</v>
      </c>
      <c r="S8339" t="s">
        <v>323</v>
      </c>
      <c r="T8339">
        <v>5</v>
      </c>
      <c r="W8339" t="s">
        <v>330</v>
      </c>
      <c r="Y8339" s="42">
        <v>44957</v>
      </c>
    </row>
    <row r="8340" spans="14:25">
      <c r="N8340" s="42">
        <v>44950</v>
      </c>
      <c r="O8340" t="s">
        <v>333</v>
      </c>
      <c r="P8340" s="42">
        <v>44950</v>
      </c>
      <c r="Q8340" t="s">
        <v>333</v>
      </c>
      <c r="R8340" t="s">
        <v>334</v>
      </c>
      <c r="S8340" t="s">
        <v>323</v>
      </c>
      <c r="T8340">
        <v>5</v>
      </c>
      <c r="W8340" t="s">
        <v>330</v>
      </c>
      <c r="Y8340" s="42">
        <v>44957</v>
      </c>
    </row>
    <row r="8341" spans="14:25">
      <c r="N8341" s="42">
        <v>44949</v>
      </c>
      <c r="O8341" t="s">
        <v>345</v>
      </c>
      <c r="P8341" s="42">
        <v>44949</v>
      </c>
      <c r="Q8341" t="s">
        <v>345</v>
      </c>
      <c r="R8341" t="s">
        <v>334</v>
      </c>
      <c r="S8341" t="s">
        <v>323</v>
      </c>
      <c r="T8341">
        <v>5</v>
      </c>
      <c r="W8341" t="s">
        <v>330</v>
      </c>
      <c r="Y8341" s="42">
        <v>44957</v>
      </c>
    </row>
    <row r="8342" spans="14:25">
      <c r="N8342" s="42">
        <v>44932</v>
      </c>
      <c r="O8342" t="s">
        <v>346</v>
      </c>
      <c r="P8342" s="42">
        <v>44932</v>
      </c>
      <c r="Q8342" t="s">
        <v>346</v>
      </c>
      <c r="R8342" t="s">
        <v>338</v>
      </c>
      <c r="S8342" t="s">
        <v>323</v>
      </c>
      <c r="T8342">
        <v>5</v>
      </c>
      <c r="W8342" t="s">
        <v>330</v>
      </c>
      <c r="Y8342" s="42">
        <v>44943</v>
      </c>
    </row>
    <row r="8343" spans="14:25">
      <c r="N8343" s="42">
        <v>44931</v>
      </c>
      <c r="O8343" t="s">
        <v>324</v>
      </c>
      <c r="P8343" s="42">
        <v>44931</v>
      </c>
      <c r="Q8343" t="s">
        <v>324</v>
      </c>
      <c r="R8343" t="s">
        <v>338</v>
      </c>
      <c r="S8343" t="s">
        <v>323</v>
      </c>
      <c r="T8343">
        <v>5</v>
      </c>
      <c r="W8343" t="s">
        <v>330</v>
      </c>
      <c r="Y8343" s="42">
        <v>44943</v>
      </c>
    </row>
    <row r="8344" spans="14:25">
      <c r="N8344" s="42">
        <v>44930</v>
      </c>
      <c r="O8344" t="s">
        <v>328</v>
      </c>
      <c r="P8344" s="42">
        <v>44930</v>
      </c>
      <c r="Q8344" t="s">
        <v>328</v>
      </c>
      <c r="R8344" t="s">
        <v>338</v>
      </c>
      <c r="S8344" t="s">
        <v>323</v>
      </c>
      <c r="T8344">
        <v>5</v>
      </c>
      <c r="W8344" t="s">
        <v>330</v>
      </c>
      <c r="Y8344" s="42">
        <v>44943</v>
      </c>
    </row>
    <row r="8345" spans="14:25">
      <c r="N8345" s="42">
        <v>44929</v>
      </c>
      <c r="O8345" t="s">
        <v>333</v>
      </c>
      <c r="P8345" s="42">
        <v>44929</v>
      </c>
      <c r="Q8345" t="s">
        <v>333</v>
      </c>
      <c r="R8345" t="s">
        <v>338</v>
      </c>
      <c r="S8345" t="s">
        <v>323</v>
      </c>
      <c r="T8345">
        <v>5</v>
      </c>
      <c r="W8345" t="s">
        <v>330</v>
      </c>
      <c r="Y8345" s="42">
        <v>44929</v>
      </c>
    </row>
    <row r="8346" spans="14:25">
      <c r="N8346" s="42">
        <v>44928</v>
      </c>
      <c r="O8346" t="s">
        <v>345</v>
      </c>
      <c r="P8346" s="42">
        <v>44928</v>
      </c>
      <c r="Q8346" t="s">
        <v>345</v>
      </c>
      <c r="R8346" t="s">
        <v>320</v>
      </c>
      <c r="S8346" t="s">
        <v>323</v>
      </c>
      <c r="U8346">
        <v>5</v>
      </c>
    </row>
    <row r="8347" spans="14:25">
      <c r="N8347" s="42">
        <v>44925</v>
      </c>
      <c r="O8347" t="s">
        <v>346</v>
      </c>
      <c r="P8347" s="42">
        <v>44925</v>
      </c>
      <c r="Q8347" t="s">
        <v>346</v>
      </c>
      <c r="R8347" t="s">
        <v>338</v>
      </c>
      <c r="S8347" t="s">
        <v>323</v>
      </c>
      <c r="T8347">
        <v>5</v>
      </c>
      <c r="W8347" t="s">
        <v>330</v>
      </c>
      <c r="Y8347" s="42">
        <v>44929</v>
      </c>
    </row>
    <row r="8348" spans="14:25">
      <c r="N8348" s="42">
        <v>44924</v>
      </c>
      <c r="O8348" t="s">
        <v>324</v>
      </c>
      <c r="P8348" s="42">
        <v>44924</v>
      </c>
      <c r="Q8348" t="s">
        <v>324</v>
      </c>
      <c r="R8348" t="s">
        <v>338</v>
      </c>
      <c r="S8348" t="s">
        <v>323</v>
      </c>
      <c r="T8348">
        <v>5</v>
      </c>
      <c r="W8348" t="s">
        <v>330</v>
      </c>
      <c r="Y8348" s="42">
        <v>44929</v>
      </c>
    </row>
    <row r="8349" spans="14:25">
      <c r="N8349" s="42">
        <v>44923</v>
      </c>
      <c r="O8349" t="s">
        <v>328</v>
      </c>
      <c r="P8349" s="42">
        <v>44923</v>
      </c>
      <c r="Q8349" t="s">
        <v>328</v>
      </c>
      <c r="R8349" t="s">
        <v>338</v>
      </c>
      <c r="S8349" t="s">
        <v>323</v>
      </c>
      <c r="T8349">
        <v>5</v>
      </c>
      <c r="W8349" t="s">
        <v>330</v>
      </c>
      <c r="Y8349" s="42">
        <v>44929</v>
      </c>
    </row>
    <row r="8350" spans="14:25">
      <c r="N8350" s="42">
        <v>44922</v>
      </c>
      <c r="O8350" t="s">
        <v>333</v>
      </c>
      <c r="P8350" s="42">
        <v>44922</v>
      </c>
      <c r="Q8350" t="s">
        <v>333</v>
      </c>
      <c r="R8350" t="s">
        <v>320</v>
      </c>
      <c r="S8350" t="s">
        <v>323</v>
      </c>
      <c r="U8350">
        <v>5</v>
      </c>
    </row>
    <row r="8351" spans="14:25">
      <c r="N8351" s="42">
        <v>44921</v>
      </c>
      <c r="O8351" t="s">
        <v>345</v>
      </c>
      <c r="P8351" s="42">
        <v>44921</v>
      </c>
      <c r="Q8351" t="s">
        <v>345</v>
      </c>
      <c r="R8351" t="s">
        <v>320</v>
      </c>
      <c r="S8351" t="s">
        <v>323</v>
      </c>
      <c r="U8351">
        <v>5</v>
      </c>
    </row>
    <row r="8352" spans="14:25">
      <c r="N8352" s="42">
        <v>44883</v>
      </c>
      <c r="O8352" t="s">
        <v>346</v>
      </c>
      <c r="P8352" s="42">
        <v>44883</v>
      </c>
      <c r="Q8352" t="s">
        <v>346</v>
      </c>
      <c r="R8352" t="s">
        <v>320</v>
      </c>
      <c r="S8352" t="s">
        <v>323</v>
      </c>
      <c r="T8352">
        <v>7.6</v>
      </c>
      <c r="Y8352" s="42">
        <v>44887</v>
      </c>
    </row>
    <row r="8353" spans="14:25">
      <c r="N8353" s="42">
        <v>44874</v>
      </c>
      <c r="O8353" t="s">
        <v>328</v>
      </c>
      <c r="P8353" s="42">
        <v>44874</v>
      </c>
      <c r="Q8353" t="s">
        <v>328</v>
      </c>
      <c r="R8353" t="s">
        <v>320</v>
      </c>
      <c r="S8353" t="s">
        <v>323</v>
      </c>
      <c r="T8353">
        <v>7.6</v>
      </c>
      <c r="Y8353" s="42">
        <v>44887</v>
      </c>
    </row>
    <row r="8354" spans="14:25">
      <c r="N8354" s="42">
        <v>44859</v>
      </c>
      <c r="O8354" t="s">
        <v>333</v>
      </c>
      <c r="P8354" s="42">
        <v>44859</v>
      </c>
      <c r="Q8354" t="s">
        <v>333</v>
      </c>
      <c r="R8354" t="s">
        <v>338</v>
      </c>
      <c r="S8354" t="s">
        <v>323</v>
      </c>
      <c r="T8354">
        <v>7.6</v>
      </c>
      <c r="W8354" t="s">
        <v>330</v>
      </c>
      <c r="Y8354" s="42">
        <v>44859</v>
      </c>
    </row>
    <row r="8355" spans="14:25">
      <c r="N8355" s="42">
        <v>44846</v>
      </c>
      <c r="O8355" t="s">
        <v>328</v>
      </c>
      <c r="P8355" s="42">
        <v>44846</v>
      </c>
      <c r="Q8355" t="s">
        <v>328</v>
      </c>
      <c r="R8355" t="s">
        <v>338</v>
      </c>
      <c r="S8355" t="s">
        <v>323</v>
      </c>
      <c r="T8355">
        <v>7.6</v>
      </c>
      <c r="W8355" t="s">
        <v>330</v>
      </c>
      <c r="Y8355" s="42">
        <v>44859</v>
      </c>
    </row>
    <row r="8356" spans="14:25">
      <c r="N8356" s="42">
        <v>44837</v>
      </c>
      <c r="O8356" t="s">
        <v>345</v>
      </c>
      <c r="P8356" s="42">
        <v>44837</v>
      </c>
      <c r="Q8356" t="s">
        <v>345</v>
      </c>
      <c r="R8356" t="s">
        <v>320</v>
      </c>
      <c r="S8356" t="s">
        <v>323</v>
      </c>
      <c r="U8356">
        <v>5</v>
      </c>
    </row>
    <row r="8357" spans="14:25">
      <c r="N8357" s="42">
        <v>44826</v>
      </c>
      <c r="O8357" t="s">
        <v>324</v>
      </c>
      <c r="P8357" s="42">
        <v>44826</v>
      </c>
      <c r="Q8357" t="s">
        <v>324</v>
      </c>
      <c r="R8357" t="s">
        <v>320</v>
      </c>
      <c r="S8357" t="s">
        <v>323</v>
      </c>
      <c r="U8357">
        <v>5</v>
      </c>
    </row>
    <row r="8358" spans="14:25">
      <c r="N8358" s="42">
        <v>44802</v>
      </c>
      <c r="O8358" t="s">
        <v>345</v>
      </c>
      <c r="P8358" s="42">
        <v>44802</v>
      </c>
      <c r="Q8358" t="s">
        <v>345</v>
      </c>
      <c r="R8358" t="s">
        <v>338</v>
      </c>
      <c r="S8358" t="s">
        <v>323</v>
      </c>
      <c r="T8358">
        <v>5</v>
      </c>
      <c r="W8358" t="s">
        <v>330</v>
      </c>
      <c r="Y8358" s="42">
        <v>44803</v>
      </c>
    </row>
    <row r="8359" spans="14:25">
      <c r="N8359" s="42">
        <v>44783</v>
      </c>
      <c r="O8359" t="s">
        <v>328</v>
      </c>
      <c r="P8359" s="42">
        <v>44783</v>
      </c>
      <c r="Q8359" t="s">
        <v>328</v>
      </c>
      <c r="R8359" t="s">
        <v>320</v>
      </c>
      <c r="S8359" t="s">
        <v>323</v>
      </c>
      <c r="U8359">
        <v>5</v>
      </c>
    </row>
    <row r="8360" spans="14:25">
      <c r="N8360" s="42">
        <v>44774</v>
      </c>
      <c r="O8360" t="s">
        <v>345</v>
      </c>
      <c r="P8360" s="42">
        <v>44774</v>
      </c>
      <c r="Q8360" t="s">
        <v>345</v>
      </c>
      <c r="R8360" t="s">
        <v>338</v>
      </c>
      <c r="S8360" t="s">
        <v>323</v>
      </c>
      <c r="T8360">
        <v>5</v>
      </c>
      <c r="W8360" t="s">
        <v>330</v>
      </c>
      <c r="Y8360" s="42">
        <v>44775</v>
      </c>
    </row>
    <row r="8361" spans="14:25">
      <c r="N8361" s="42">
        <v>44764</v>
      </c>
      <c r="O8361" t="s">
        <v>346</v>
      </c>
      <c r="P8361" s="42">
        <v>44764</v>
      </c>
      <c r="Q8361" t="s">
        <v>346</v>
      </c>
      <c r="R8361" t="s">
        <v>338</v>
      </c>
      <c r="S8361" t="s">
        <v>323</v>
      </c>
      <c r="T8361">
        <v>5</v>
      </c>
      <c r="W8361" t="s">
        <v>330</v>
      </c>
      <c r="Y8361" s="42">
        <v>44775</v>
      </c>
    </row>
    <row r="8362" spans="14:25">
      <c r="N8362" s="42">
        <v>44763</v>
      </c>
      <c r="O8362" t="s">
        <v>324</v>
      </c>
      <c r="P8362" s="42">
        <v>44763</v>
      </c>
      <c r="Q8362" t="s">
        <v>324</v>
      </c>
      <c r="R8362" t="s">
        <v>338</v>
      </c>
      <c r="S8362" t="s">
        <v>323</v>
      </c>
      <c r="T8362">
        <v>5</v>
      </c>
      <c r="W8362" t="s">
        <v>330</v>
      </c>
      <c r="Y8362" s="42">
        <v>44775</v>
      </c>
    </row>
    <row r="8363" spans="14:25">
      <c r="N8363" s="42">
        <v>44762</v>
      </c>
      <c r="O8363" t="s">
        <v>328</v>
      </c>
      <c r="P8363" s="42">
        <v>44762</v>
      </c>
      <c r="Q8363" t="s">
        <v>328</v>
      </c>
      <c r="R8363" t="s">
        <v>338</v>
      </c>
      <c r="S8363" t="s">
        <v>323</v>
      </c>
      <c r="T8363">
        <v>5</v>
      </c>
      <c r="W8363" t="s">
        <v>330</v>
      </c>
      <c r="Y8363" s="42">
        <v>44775</v>
      </c>
    </row>
    <row r="8364" spans="14:25">
      <c r="N8364" s="42">
        <v>44761</v>
      </c>
      <c r="O8364" t="s">
        <v>333</v>
      </c>
      <c r="P8364" s="42">
        <v>44761</v>
      </c>
      <c r="Q8364" t="s">
        <v>333</v>
      </c>
      <c r="R8364" t="s">
        <v>329</v>
      </c>
      <c r="S8364" t="s">
        <v>323</v>
      </c>
      <c r="T8364">
        <v>5</v>
      </c>
      <c r="W8364" t="s">
        <v>330</v>
      </c>
      <c r="Y8364" s="42">
        <v>44761</v>
      </c>
    </row>
    <row r="8365" spans="14:25">
      <c r="N8365" s="42">
        <v>44760</v>
      </c>
      <c r="O8365" t="s">
        <v>345</v>
      </c>
      <c r="P8365" s="42">
        <v>44760</v>
      </c>
      <c r="Q8365" t="s">
        <v>345</v>
      </c>
      <c r="R8365" t="s">
        <v>329</v>
      </c>
      <c r="S8365" t="s">
        <v>323</v>
      </c>
      <c r="T8365">
        <v>5</v>
      </c>
      <c r="W8365" t="s">
        <v>330</v>
      </c>
      <c r="Y8365" s="42">
        <v>44761</v>
      </c>
    </row>
    <row r="8366" spans="14:25">
      <c r="N8366" s="42">
        <v>44757</v>
      </c>
      <c r="O8366" t="s">
        <v>346</v>
      </c>
      <c r="P8366" s="42">
        <v>44757</v>
      </c>
      <c r="Q8366" t="s">
        <v>346</v>
      </c>
      <c r="R8366" t="s">
        <v>329</v>
      </c>
      <c r="S8366" t="s">
        <v>323</v>
      </c>
      <c r="T8366">
        <v>5</v>
      </c>
      <c r="W8366" t="s">
        <v>330</v>
      </c>
      <c r="Y8366" s="42">
        <v>44761</v>
      </c>
    </row>
    <row r="8367" spans="14:25">
      <c r="N8367" s="42">
        <v>44756</v>
      </c>
      <c r="O8367" t="s">
        <v>324</v>
      </c>
      <c r="P8367" s="42">
        <v>44756</v>
      </c>
      <c r="Q8367" t="s">
        <v>324</v>
      </c>
      <c r="R8367" t="s">
        <v>329</v>
      </c>
      <c r="S8367" t="s">
        <v>323</v>
      </c>
      <c r="T8367">
        <v>5</v>
      </c>
      <c r="W8367" t="s">
        <v>330</v>
      </c>
      <c r="Y8367" s="42">
        <v>44761</v>
      </c>
    </row>
    <row r="8368" spans="14:25">
      <c r="N8368" s="42">
        <v>44734</v>
      </c>
      <c r="O8368" t="s">
        <v>328</v>
      </c>
      <c r="P8368" s="42">
        <v>44740</v>
      </c>
      <c r="Q8368" t="s">
        <v>333</v>
      </c>
      <c r="R8368" t="s">
        <v>320</v>
      </c>
      <c r="S8368" t="s">
        <v>323</v>
      </c>
      <c r="T8368">
        <v>25</v>
      </c>
      <c r="Y8368" s="42">
        <v>44747</v>
      </c>
    </row>
    <row r="8369" spans="14:25">
      <c r="N8369" s="42">
        <v>44733</v>
      </c>
      <c r="O8369" t="s">
        <v>333</v>
      </c>
      <c r="P8369" s="42">
        <v>44733</v>
      </c>
      <c r="Q8369" t="s">
        <v>333</v>
      </c>
      <c r="R8369" t="s">
        <v>320</v>
      </c>
      <c r="S8369" t="s">
        <v>323</v>
      </c>
      <c r="T8369">
        <v>5</v>
      </c>
      <c r="Y8369" s="42">
        <v>44733</v>
      </c>
    </row>
    <row r="8370" spans="14:25">
      <c r="N8370" s="42">
        <v>44732</v>
      </c>
      <c r="O8370" t="s">
        <v>345</v>
      </c>
      <c r="P8370" s="42">
        <v>44732</v>
      </c>
      <c r="Q8370" t="s">
        <v>345</v>
      </c>
      <c r="R8370" t="s">
        <v>320</v>
      </c>
      <c r="S8370" t="s">
        <v>323</v>
      </c>
      <c r="T8370">
        <v>5</v>
      </c>
      <c r="Y8370" s="42">
        <v>44733</v>
      </c>
    </row>
    <row r="8371" spans="14:25">
      <c r="N8371" s="42">
        <v>44729</v>
      </c>
      <c r="O8371" t="s">
        <v>346</v>
      </c>
      <c r="P8371" s="42">
        <v>44729</v>
      </c>
      <c r="Q8371" t="s">
        <v>346</v>
      </c>
      <c r="R8371" t="s">
        <v>320</v>
      </c>
      <c r="S8371" t="s">
        <v>323</v>
      </c>
      <c r="T8371">
        <v>5</v>
      </c>
      <c r="Y8371" s="42">
        <v>44733</v>
      </c>
    </row>
    <row r="8372" spans="14:25">
      <c r="N8372" s="42">
        <v>44728</v>
      </c>
      <c r="O8372" t="s">
        <v>324</v>
      </c>
      <c r="P8372" s="42">
        <v>44728</v>
      </c>
      <c r="Q8372" t="s">
        <v>324</v>
      </c>
      <c r="R8372" t="s">
        <v>320</v>
      </c>
      <c r="S8372" t="s">
        <v>323</v>
      </c>
      <c r="T8372">
        <v>5</v>
      </c>
      <c r="Y8372" s="42">
        <v>44733</v>
      </c>
    </row>
    <row r="8373" spans="14:25">
      <c r="N8373" s="42">
        <v>44727</v>
      </c>
      <c r="O8373" t="s">
        <v>328</v>
      </c>
      <c r="P8373" s="42">
        <v>44727</v>
      </c>
      <c r="Q8373" t="s">
        <v>328</v>
      </c>
      <c r="R8373" t="s">
        <v>320</v>
      </c>
      <c r="S8373" t="s">
        <v>323</v>
      </c>
      <c r="T8373">
        <v>5</v>
      </c>
      <c r="Y8373" s="42">
        <v>44733</v>
      </c>
    </row>
    <row r="8374" spans="14:25">
      <c r="N8374" s="42">
        <v>44726</v>
      </c>
      <c r="O8374" t="s">
        <v>333</v>
      </c>
      <c r="P8374" s="42">
        <v>44726</v>
      </c>
      <c r="Q8374" t="s">
        <v>333</v>
      </c>
      <c r="R8374" t="s">
        <v>320</v>
      </c>
      <c r="S8374" t="s">
        <v>323</v>
      </c>
      <c r="T8374">
        <v>5</v>
      </c>
      <c r="Y8374" s="42">
        <v>44733</v>
      </c>
    </row>
    <row r="8375" spans="14:25">
      <c r="N8375" s="42">
        <v>44725</v>
      </c>
      <c r="O8375" t="s">
        <v>345</v>
      </c>
      <c r="P8375" s="42">
        <v>44725</v>
      </c>
      <c r="Q8375" t="s">
        <v>345</v>
      </c>
      <c r="R8375" t="s">
        <v>320</v>
      </c>
      <c r="S8375" t="s">
        <v>323</v>
      </c>
      <c r="T8375">
        <v>5</v>
      </c>
      <c r="Y8375" s="42">
        <v>44733</v>
      </c>
    </row>
    <row r="8376" spans="14:25">
      <c r="N8376" s="42">
        <v>44722</v>
      </c>
      <c r="O8376" t="s">
        <v>346</v>
      </c>
      <c r="P8376" s="42">
        <v>44722</v>
      </c>
      <c r="Q8376" t="s">
        <v>346</v>
      </c>
      <c r="R8376" t="s">
        <v>320</v>
      </c>
      <c r="S8376" t="s">
        <v>323</v>
      </c>
      <c r="T8376">
        <v>5</v>
      </c>
      <c r="Y8376" s="42">
        <v>44733</v>
      </c>
    </row>
    <row r="8377" spans="14:25">
      <c r="N8377" s="42">
        <v>44721</v>
      </c>
      <c r="O8377" t="s">
        <v>324</v>
      </c>
      <c r="P8377" s="42">
        <v>44721</v>
      </c>
      <c r="Q8377" t="s">
        <v>324</v>
      </c>
      <c r="R8377" t="s">
        <v>320</v>
      </c>
      <c r="S8377" t="s">
        <v>323</v>
      </c>
      <c r="T8377">
        <v>5</v>
      </c>
      <c r="Y8377" s="42">
        <v>44733</v>
      </c>
    </row>
    <row r="8378" spans="14:25">
      <c r="N8378" s="42">
        <v>44720</v>
      </c>
      <c r="O8378" t="s">
        <v>328</v>
      </c>
      <c r="P8378" s="42">
        <v>44720</v>
      </c>
      <c r="Q8378" t="s">
        <v>328</v>
      </c>
      <c r="R8378" t="s">
        <v>320</v>
      </c>
      <c r="S8378" t="s">
        <v>323</v>
      </c>
      <c r="T8378">
        <v>5</v>
      </c>
      <c r="Y8378" s="42">
        <v>44733</v>
      </c>
    </row>
    <row r="8379" spans="14:25">
      <c r="N8379" s="42">
        <v>44719</v>
      </c>
      <c r="O8379" t="s">
        <v>333</v>
      </c>
      <c r="P8379" s="42">
        <v>44719</v>
      </c>
      <c r="Q8379" t="s">
        <v>333</v>
      </c>
      <c r="R8379" t="s">
        <v>320</v>
      </c>
      <c r="S8379" t="s">
        <v>323</v>
      </c>
      <c r="T8379">
        <v>5</v>
      </c>
      <c r="Y8379" s="42">
        <v>44719</v>
      </c>
    </row>
    <row r="8380" spans="14:25">
      <c r="N8380" s="42">
        <v>44718</v>
      </c>
      <c r="O8380" t="s">
        <v>345</v>
      </c>
      <c r="P8380" s="42">
        <v>44718</v>
      </c>
      <c r="Q8380" t="s">
        <v>345</v>
      </c>
      <c r="R8380" t="s">
        <v>320</v>
      </c>
      <c r="S8380" t="s">
        <v>323</v>
      </c>
      <c r="T8380">
        <v>5</v>
      </c>
      <c r="Y8380" s="42">
        <v>44719</v>
      </c>
    </row>
    <row r="8381" spans="14:25">
      <c r="N8381" s="42">
        <v>44715</v>
      </c>
      <c r="O8381" t="s">
        <v>346</v>
      </c>
      <c r="P8381" s="42">
        <v>44715</v>
      </c>
      <c r="Q8381" t="s">
        <v>346</v>
      </c>
      <c r="R8381" t="s">
        <v>320</v>
      </c>
      <c r="S8381" t="s">
        <v>323</v>
      </c>
      <c r="T8381">
        <v>5</v>
      </c>
      <c r="Y8381" s="42">
        <v>44719</v>
      </c>
    </row>
    <row r="8382" spans="14:25">
      <c r="N8382" s="42">
        <v>44714</v>
      </c>
      <c r="O8382" t="s">
        <v>324</v>
      </c>
      <c r="P8382" s="42">
        <v>44714</v>
      </c>
      <c r="Q8382" t="s">
        <v>324</v>
      </c>
      <c r="R8382" t="s">
        <v>320</v>
      </c>
      <c r="S8382" t="s">
        <v>323</v>
      </c>
      <c r="T8382">
        <v>5</v>
      </c>
      <c r="Y8382" s="42">
        <v>44719</v>
      </c>
    </row>
    <row r="8383" spans="14:25">
      <c r="N8383" s="42">
        <v>44713</v>
      </c>
      <c r="O8383" t="s">
        <v>328</v>
      </c>
      <c r="P8383" s="42">
        <v>44713</v>
      </c>
      <c r="Q8383" t="s">
        <v>328</v>
      </c>
      <c r="R8383" t="s">
        <v>320</v>
      </c>
      <c r="S8383" t="s">
        <v>323</v>
      </c>
      <c r="T8383">
        <v>5</v>
      </c>
      <c r="Y8383" s="42">
        <v>44719</v>
      </c>
    </row>
    <row r="8384" spans="14:25">
      <c r="N8384" s="42">
        <v>44712</v>
      </c>
      <c r="O8384" t="s">
        <v>333</v>
      </c>
      <c r="P8384" s="42">
        <v>44712</v>
      </c>
      <c r="Q8384" t="s">
        <v>333</v>
      </c>
      <c r="R8384" t="s">
        <v>320</v>
      </c>
      <c r="S8384" t="s">
        <v>323</v>
      </c>
      <c r="T8384">
        <v>5</v>
      </c>
      <c r="Y8384" s="42">
        <v>44719</v>
      </c>
    </row>
    <row r="8385" spans="14:25">
      <c r="N8385" s="42">
        <v>44711</v>
      </c>
      <c r="O8385" t="s">
        <v>345</v>
      </c>
      <c r="P8385" s="42">
        <v>44711</v>
      </c>
      <c r="Q8385" t="s">
        <v>345</v>
      </c>
      <c r="R8385" t="s">
        <v>320</v>
      </c>
      <c r="S8385" t="s">
        <v>323</v>
      </c>
      <c r="T8385">
        <v>5</v>
      </c>
      <c r="Y8385" s="42">
        <v>44719</v>
      </c>
    </row>
    <row r="8386" spans="14:25">
      <c r="N8386" s="42">
        <v>44708</v>
      </c>
      <c r="O8386" t="s">
        <v>346</v>
      </c>
      <c r="P8386" s="42">
        <v>44708</v>
      </c>
      <c r="Q8386" t="s">
        <v>346</v>
      </c>
      <c r="R8386" t="s">
        <v>320</v>
      </c>
      <c r="S8386" t="s">
        <v>323</v>
      </c>
      <c r="T8386">
        <v>5</v>
      </c>
      <c r="Y8386" s="42">
        <v>44719</v>
      </c>
    </row>
    <row r="8387" spans="14:25">
      <c r="N8387" s="42">
        <v>44691</v>
      </c>
      <c r="O8387" t="s">
        <v>333</v>
      </c>
      <c r="P8387" s="42">
        <v>44691</v>
      </c>
      <c r="Q8387" t="s">
        <v>333</v>
      </c>
      <c r="R8387" t="s">
        <v>329</v>
      </c>
      <c r="S8387" t="s">
        <v>323</v>
      </c>
      <c r="T8387">
        <v>5</v>
      </c>
      <c r="W8387" t="s">
        <v>330</v>
      </c>
      <c r="Y8387" s="42">
        <v>44691</v>
      </c>
    </row>
    <row r="8388" spans="14:25">
      <c r="N8388" s="42">
        <v>44690</v>
      </c>
      <c r="O8388" t="s">
        <v>345</v>
      </c>
      <c r="P8388" s="42">
        <v>44690</v>
      </c>
      <c r="Q8388" t="s">
        <v>345</v>
      </c>
      <c r="R8388" t="s">
        <v>329</v>
      </c>
      <c r="S8388" t="s">
        <v>323</v>
      </c>
      <c r="T8388">
        <v>5</v>
      </c>
      <c r="W8388" t="s">
        <v>330</v>
      </c>
      <c r="Y8388" s="42">
        <v>44691</v>
      </c>
    </row>
    <row r="8389" spans="14:25">
      <c r="N8389" s="42">
        <v>44683</v>
      </c>
      <c r="O8389" t="s">
        <v>345</v>
      </c>
      <c r="P8389" s="42">
        <v>44683</v>
      </c>
      <c r="Q8389" t="s">
        <v>345</v>
      </c>
      <c r="R8389" t="s">
        <v>320</v>
      </c>
      <c r="S8389" t="s">
        <v>323</v>
      </c>
      <c r="U8389">
        <v>5</v>
      </c>
    </row>
    <row r="8390" spans="14:25">
      <c r="N8390" s="42">
        <v>44676</v>
      </c>
      <c r="O8390" t="s">
        <v>345</v>
      </c>
      <c r="P8390" s="42">
        <v>44676</v>
      </c>
      <c r="Q8390" t="s">
        <v>345</v>
      </c>
      <c r="R8390" t="s">
        <v>320</v>
      </c>
      <c r="S8390" t="s">
        <v>323</v>
      </c>
      <c r="U8390">
        <v>6</v>
      </c>
    </row>
    <row r="8391" spans="14:25">
      <c r="N8391" s="42">
        <v>44669</v>
      </c>
      <c r="O8391" t="s">
        <v>345</v>
      </c>
      <c r="P8391" s="42">
        <v>44669</v>
      </c>
      <c r="Q8391" t="s">
        <v>345</v>
      </c>
      <c r="R8391" t="s">
        <v>320</v>
      </c>
      <c r="S8391" t="s">
        <v>323</v>
      </c>
      <c r="U8391">
        <v>6</v>
      </c>
    </row>
    <row r="8392" spans="14:25">
      <c r="N8392" s="42">
        <v>44666</v>
      </c>
      <c r="O8392" t="s">
        <v>346</v>
      </c>
      <c r="P8392" s="42">
        <v>44666</v>
      </c>
      <c r="Q8392" t="s">
        <v>346</v>
      </c>
      <c r="R8392" t="s">
        <v>320</v>
      </c>
      <c r="S8392" t="s">
        <v>323</v>
      </c>
      <c r="U8392">
        <v>6</v>
      </c>
    </row>
    <row r="8393" spans="14:25">
      <c r="N8393" s="42">
        <v>44657</v>
      </c>
      <c r="O8393" t="s">
        <v>328</v>
      </c>
      <c r="P8393" s="42">
        <v>44657</v>
      </c>
      <c r="Q8393" t="s">
        <v>328</v>
      </c>
      <c r="R8393" t="s">
        <v>329</v>
      </c>
      <c r="S8393" t="s">
        <v>323</v>
      </c>
      <c r="T8393">
        <v>6</v>
      </c>
      <c r="W8393" t="s">
        <v>330</v>
      </c>
      <c r="Y8393" s="42">
        <v>44663</v>
      </c>
    </row>
    <row r="8394" spans="14:25">
      <c r="N8394" s="42">
        <v>44656</v>
      </c>
      <c r="O8394" t="s">
        <v>333</v>
      </c>
      <c r="P8394" s="42">
        <v>44656</v>
      </c>
      <c r="Q8394" t="s">
        <v>333</v>
      </c>
      <c r="R8394" t="s">
        <v>329</v>
      </c>
      <c r="S8394" t="s">
        <v>323</v>
      </c>
      <c r="T8394">
        <v>6</v>
      </c>
      <c r="W8394" t="s">
        <v>330</v>
      </c>
      <c r="Y8394" s="42">
        <v>44663</v>
      </c>
    </row>
    <row r="8395" spans="14:25">
      <c r="N8395" s="42">
        <v>44624</v>
      </c>
      <c r="O8395" t="s">
        <v>346</v>
      </c>
      <c r="P8395" s="42">
        <v>44624</v>
      </c>
      <c r="Q8395" t="s">
        <v>346</v>
      </c>
      <c r="R8395" t="s">
        <v>329</v>
      </c>
      <c r="S8395" t="s">
        <v>323</v>
      </c>
      <c r="T8395">
        <v>6</v>
      </c>
      <c r="W8395" t="s">
        <v>330</v>
      </c>
      <c r="Y8395" s="42">
        <v>44635</v>
      </c>
    </row>
    <row r="8396" spans="14:25">
      <c r="N8396" s="42">
        <v>44620</v>
      </c>
      <c r="O8396" t="s">
        <v>345</v>
      </c>
      <c r="P8396" s="42">
        <v>44620</v>
      </c>
      <c r="Q8396" t="s">
        <v>345</v>
      </c>
      <c r="R8396" t="s">
        <v>329</v>
      </c>
      <c r="S8396" t="s">
        <v>323</v>
      </c>
      <c r="T8396">
        <v>2</v>
      </c>
      <c r="W8396" t="s">
        <v>330</v>
      </c>
      <c r="Y8396" s="42">
        <v>44621</v>
      </c>
    </row>
    <row r="8397" spans="14:25">
      <c r="N8397" s="42">
        <v>44607</v>
      </c>
      <c r="O8397" t="s">
        <v>333</v>
      </c>
      <c r="P8397" s="42">
        <v>44607</v>
      </c>
      <c r="Q8397" t="s">
        <v>333</v>
      </c>
      <c r="R8397" t="s">
        <v>329</v>
      </c>
      <c r="S8397" t="s">
        <v>323</v>
      </c>
      <c r="T8397">
        <v>6</v>
      </c>
      <c r="W8397" t="s">
        <v>330</v>
      </c>
      <c r="Y8397" s="42">
        <v>44607</v>
      </c>
    </row>
    <row r="8398" spans="14:25">
      <c r="N8398" s="42">
        <v>44582</v>
      </c>
      <c r="O8398" t="s">
        <v>346</v>
      </c>
      <c r="P8398" s="42">
        <v>44582</v>
      </c>
      <c r="Q8398" t="s">
        <v>346</v>
      </c>
      <c r="R8398" t="s">
        <v>329</v>
      </c>
      <c r="S8398" t="s">
        <v>323</v>
      </c>
      <c r="T8398">
        <v>6</v>
      </c>
      <c r="W8398" t="s">
        <v>330</v>
      </c>
      <c r="Y8398" s="42">
        <v>44593</v>
      </c>
    </row>
    <row r="8399" spans="14:25">
      <c r="N8399" s="42">
        <v>44581</v>
      </c>
      <c r="O8399" t="s">
        <v>324</v>
      </c>
      <c r="P8399" s="42">
        <v>44581</v>
      </c>
      <c r="Q8399" t="s">
        <v>324</v>
      </c>
      <c r="R8399" t="s">
        <v>329</v>
      </c>
      <c r="S8399" t="s">
        <v>323</v>
      </c>
      <c r="T8399">
        <v>6</v>
      </c>
      <c r="W8399" t="s">
        <v>330</v>
      </c>
      <c r="Y8399" s="42">
        <v>44593</v>
      </c>
    </row>
    <row r="8400" spans="14:25">
      <c r="N8400" s="42">
        <v>44580</v>
      </c>
      <c r="O8400" t="s">
        <v>328</v>
      </c>
      <c r="P8400" s="42">
        <v>44580</v>
      </c>
      <c r="Q8400" t="s">
        <v>328</v>
      </c>
      <c r="R8400" t="s">
        <v>329</v>
      </c>
      <c r="S8400" t="s">
        <v>323</v>
      </c>
      <c r="T8400">
        <v>6</v>
      </c>
      <c r="W8400" t="s">
        <v>330</v>
      </c>
      <c r="Y8400" s="42">
        <v>44593</v>
      </c>
    </row>
    <row r="8401" spans="1:25">
      <c r="N8401" s="42">
        <v>44557</v>
      </c>
      <c r="O8401" t="s">
        <v>345</v>
      </c>
      <c r="P8401" s="42">
        <v>44557</v>
      </c>
      <c r="Q8401" t="s">
        <v>345</v>
      </c>
      <c r="R8401" t="s">
        <v>320</v>
      </c>
      <c r="S8401" t="s">
        <v>323</v>
      </c>
      <c r="U8401">
        <v>6</v>
      </c>
    </row>
    <row r="8402" spans="1:25">
      <c r="N8402" s="42">
        <v>44498</v>
      </c>
      <c r="O8402" t="s">
        <v>346</v>
      </c>
      <c r="P8402" s="42">
        <v>44498</v>
      </c>
      <c r="Q8402" t="s">
        <v>346</v>
      </c>
      <c r="R8402" t="s">
        <v>320</v>
      </c>
      <c r="S8402" t="s">
        <v>323</v>
      </c>
      <c r="U8402">
        <v>7.1</v>
      </c>
    </row>
    <row r="8403" spans="1:25">
      <c r="A8403">
        <v>18932</v>
      </c>
      <c r="B8403" t="s">
        <v>451</v>
      </c>
      <c r="C8403" t="s">
        <v>320</v>
      </c>
      <c r="D8403" t="s">
        <v>336</v>
      </c>
      <c r="E8403" t="s">
        <v>337</v>
      </c>
      <c r="F8403">
        <v>1</v>
      </c>
      <c r="G8403" s="42">
        <v>45318</v>
      </c>
      <c r="H8403">
        <v>152</v>
      </c>
      <c r="I8403">
        <v>22.9</v>
      </c>
      <c r="J8403">
        <v>14.9918</v>
      </c>
      <c r="K8403">
        <v>37.891800000000003</v>
      </c>
      <c r="L8403" t="s">
        <v>323</v>
      </c>
      <c r="M8403" s="43">
        <v>8.4027777777777771E-2</v>
      </c>
      <c r="N8403" s="42">
        <v>44977</v>
      </c>
      <c r="O8403" t="s">
        <v>345</v>
      </c>
      <c r="P8403" s="42">
        <v>44977</v>
      </c>
      <c r="Q8403" t="s">
        <v>345</v>
      </c>
      <c r="R8403" t="s">
        <v>329</v>
      </c>
      <c r="S8403" t="s">
        <v>323</v>
      </c>
      <c r="T8403">
        <v>7.6</v>
      </c>
      <c r="W8403" t="s">
        <v>330</v>
      </c>
      <c r="Y8403" s="42">
        <v>44985</v>
      </c>
    </row>
    <row r="8404" spans="1:25">
      <c r="C8404" t="s">
        <v>325</v>
      </c>
      <c r="D8404" t="s">
        <v>340</v>
      </c>
      <c r="E8404" t="s">
        <v>341</v>
      </c>
      <c r="F8404">
        <v>1</v>
      </c>
      <c r="G8404" s="42">
        <v>46779</v>
      </c>
      <c r="H8404">
        <v>230.54220000000001</v>
      </c>
      <c r="I8404">
        <v>0</v>
      </c>
      <c r="J8404">
        <v>69.090500000000006</v>
      </c>
      <c r="K8404">
        <v>69.090500000000006</v>
      </c>
      <c r="L8404" t="s">
        <v>323</v>
      </c>
      <c r="N8404" s="42">
        <v>44963</v>
      </c>
      <c r="O8404" t="s">
        <v>345</v>
      </c>
      <c r="P8404" s="42">
        <v>44963</v>
      </c>
      <c r="Q8404" t="s">
        <v>345</v>
      </c>
      <c r="R8404" t="s">
        <v>329</v>
      </c>
      <c r="S8404" t="s">
        <v>323</v>
      </c>
      <c r="T8404">
        <v>7.6</v>
      </c>
      <c r="W8404" t="s">
        <v>330</v>
      </c>
      <c r="Y8404" s="42">
        <v>44971</v>
      </c>
    </row>
    <row r="8405" spans="1:25">
      <c r="C8405" t="s">
        <v>329</v>
      </c>
      <c r="D8405" t="s">
        <v>342</v>
      </c>
      <c r="E8405" t="s">
        <v>343</v>
      </c>
      <c r="F8405">
        <v>1</v>
      </c>
      <c r="G8405" s="42">
        <v>45318</v>
      </c>
      <c r="H8405">
        <v>76</v>
      </c>
      <c r="I8405">
        <v>9.6999999999999993</v>
      </c>
      <c r="J8405">
        <v>7.4958999999999998</v>
      </c>
      <c r="K8405">
        <v>17.195900000000002</v>
      </c>
      <c r="L8405" t="s">
        <v>323</v>
      </c>
      <c r="N8405" s="42">
        <v>44960</v>
      </c>
      <c r="O8405" t="s">
        <v>346</v>
      </c>
      <c r="P8405" s="42">
        <v>44960</v>
      </c>
      <c r="Q8405" t="s">
        <v>346</v>
      </c>
      <c r="R8405" t="s">
        <v>320</v>
      </c>
      <c r="S8405" t="s">
        <v>323</v>
      </c>
      <c r="T8405">
        <v>7.6</v>
      </c>
      <c r="Y8405" s="42">
        <v>44971</v>
      </c>
    </row>
    <row r="8406" spans="1:25">
      <c r="N8406" s="42">
        <v>44959</v>
      </c>
      <c r="O8406" t="s">
        <v>324</v>
      </c>
      <c r="P8406" s="42">
        <v>44959</v>
      </c>
      <c r="Q8406" t="s">
        <v>324</v>
      </c>
      <c r="R8406" t="s">
        <v>320</v>
      </c>
      <c r="S8406" t="s">
        <v>323</v>
      </c>
      <c r="T8406">
        <v>7.6</v>
      </c>
      <c r="Y8406" s="42">
        <v>44971</v>
      </c>
    </row>
    <row r="8407" spans="1:25">
      <c r="N8407" s="42">
        <v>44958</v>
      </c>
      <c r="O8407" t="s">
        <v>328</v>
      </c>
      <c r="P8407" s="42">
        <v>44958</v>
      </c>
      <c r="Q8407" t="s">
        <v>328</v>
      </c>
      <c r="R8407" t="s">
        <v>320</v>
      </c>
      <c r="S8407" t="s">
        <v>323</v>
      </c>
      <c r="T8407">
        <v>7.6</v>
      </c>
      <c r="Y8407" s="42">
        <v>44971</v>
      </c>
    </row>
    <row r="8408" spans="1:25">
      <c r="N8408" s="42">
        <v>44957</v>
      </c>
      <c r="O8408" t="s">
        <v>333</v>
      </c>
      <c r="P8408" s="42">
        <v>44957</v>
      </c>
      <c r="Q8408" t="s">
        <v>333</v>
      </c>
      <c r="R8408" t="s">
        <v>320</v>
      </c>
      <c r="S8408" t="s">
        <v>323</v>
      </c>
      <c r="T8408">
        <v>7.6</v>
      </c>
      <c r="Y8408" s="42">
        <v>44957</v>
      </c>
    </row>
    <row r="8409" spans="1:25">
      <c r="N8409" s="42">
        <v>44956</v>
      </c>
      <c r="O8409" t="s">
        <v>345</v>
      </c>
      <c r="P8409" s="42">
        <v>44956</v>
      </c>
      <c r="Q8409" t="s">
        <v>345</v>
      </c>
      <c r="R8409" t="s">
        <v>320</v>
      </c>
      <c r="S8409" t="s">
        <v>323</v>
      </c>
      <c r="T8409">
        <v>7.6</v>
      </c>
      <c r="Y8409" s="42">
        <v>44957</v>
      </c>
    </row>
    <row r="8410" spans="1:25">
      <c r="N8410" s="42">
        <v>44953</v>
      </c>
      <c r="O8410" t="s">
        <v>346</v>
      </c>
      <c r="P8410" s="42">
        <v>44953</v>
      </c>
      <c r="Q8410" t="s">
        <v>346</v>
      </c>
      <c r="R8410" t="s">
        <v>320</v>
      </c>
      <c r="S8410" t="s">
        <v>323</v>
      </c>
      <c r="T8410">
        <v>7.6</v>
      </c>
      <c r="Y8410" s="42">
        <v>44957</v>
      </c>
    </row>
    <row r="8411" spans="1:25">
      <c r="N8411" s="42">
        <v>44952</v>
      </c>
      <c r="O8411" t="s">
        <v>324</v>
      </c>
      <c r="P8411" s="42">
        <v>44952</v>
      </c>
      <c r="Q8411" t="s">
        <v>324</v>
      </c>
      <c r="R8411" t="s">
        <v>320</v>
      </c>
      <c r="S8411" t="s">
        <v>323</v>
      </c>
      <c r="U8411">
        <v>7.6</v>
      </c>
    </row>
    <row r="8412" spans="1:25">
      <c r="N8412" s="42">
        <v>44951</v>
      </c>
      <c r="O8412" t="s">
        <v>328</v>
      </c>
      <c r="P8412" s="42">
        <v>44951</v>
      </c>
      <c r="Q8412" t="s">
        <v>328</v>
      </c>
      <c r="R8412" t="s">
        <v>320</v>
      </c>
      <c r="S8412" t="s">
        <v>323</v>
      </c>
      <c r="T8412">
        <v>7.6</v>
      </c>
      <c r="Y8412" s="42">
        <v>44957</v>
      </c>
    </row>
    <row r="8413" spans="1:25">
      <c r="N8413" s="42">
        <v>44950</v>
      </c>
      <c r="O8413" t="s">
        <v>333</v>
      </c>
      <c r="P8413" s="42">
        <v>44950</v>
      </c>
      <c r="Q8413" t="s">
        <v>333</v>
      </c>
      <c r="R8413" t="s">
        <v>320</v>
      </c>
      <c r="S8413" t="s">
        <v>323</v>
      </c>
      <c r="T8413">
        <v>7.6</v>
      </c>
      <c r="Y8413" s="42">
        <v>44957</v>
      </c>
    </row>
    <row r="8414" spans="1:25">
      <c r="N8414" s="42">
        <v>44949</v>
      </c>
      <c r="O8414" t="s">
        <v>345</v>
      </c>
      <c r="P8414" s="42">
        <v>44949</v>
      </c>
      <c r="Q8414" t="s">
        <v>345</v>
      </c>
      <c r="R8414" t="s">
        <v>320</v>
      </c>
      <c r="S8414" t="s">
        <v>323</v>
      </c>
      <c r="T8414">
        <v>7.6</v>
      </c>
      <c r="Y8414" s="42">
        <v>44957</v>
      </c>
    </row>
    <row r="8415" spans="1:25">
      <c r="N8415" s="42">
        <v>44946</v>
      </c>
      <c r="O8415" t="s">
        <v>346</v>
      </c>
      <c r="P8415" s="42">
        <v>44946</v>
      </c>
      <c r="Q8415" t="s">
        <v>346</v>
      </c>
      <c r="R8415" t="s">
        <v>320</v>
      </c>
      <c r="S8415" t="s">
        <v>323</v>
      </c>
      <c r="T8415">
        <v>7.6</v>
      </c>
      <c r="Y8415" s="42">
        <v>44957</v>
      </c>
    </row>
    <row r="8416" spans="1:25">
      <c r="N8416" s="42">
        <v>44945</v>
      </c>
      <c r="O8416" t="s">
        <v>324</v>
      </c>
      <c r="P8416" s="42">
        <v>44945</v>
      </c>
      <c r="Q8416" t="s">
        <v>324</v>
      </c>
      <c r="R8416" t="s">
        <v>320</v>
      </c>
      <c r="S8416" t="s">
        <v>323</v>
      </c>
      <c r="T8416">
        <v>7.6</v>
      </c>
      <c r="Y8416" s="42">
        <v>44957</v>
      </c>
    </row>
    <row r="8417" spans="14:25">
      <c r="N8417" s="42">
        <v>44944</v>
      </c>
      <c r="O8417" t="s">
        <v>328</v>
      </c>
      <c r="P8417" s="42">
        <v>44944</v>
      </c>
      <c r="Q8417" t="s">
        <v>328</v>
      </c>
      <c r="R8417" t="s">
        <v>320</v>
      </c>
      <c r="S8417" t="s">
        <v>323</v>
      </c>
      <c r="T8417">
        <v>7.6</v>
      </c>
      <c r="Y8417" s="42">
        <v>44957</v>
      </c>
    </row>
    <row r="8418" spans="14:25">
      <c r="N8418" s="42">
        <v>44943</v>
      </c>
      <c r="O8418" t="s">
        <v>333</v>
      </c>
      <c r="P8418" s="42">
        <v>44943</v>
      </c>
      <c r="Q8418" t="s">
        <v>333</v>
      </c>
      <c r="R8418" t="s">
        <v>320</v>
      </c>
      <c r="S8418" t="s">
        <v>323</v>
      </c>
      <c r="T8418">
        <v>7.6</v>
      </c>
      <c r="Y8418" s="42">
        <v>44943</v>
      </c>
    </row>
    <row r="8419" spans="14:25">
      <c r="N8419" s="42">
        <v>44942</v>
      </c>
      <c r="O8419" t="s">
        <v>345</v>
      </c>
      <c r="P8419" s="42">
        <v>44942</v>
      </c>
      <c r="Q8419" t="s">
        <v>345</v>
      </c>
      <c r="R8419" t="s">
        <v>320</v>
      </c>
      <c r="S8419" t="s">
        <v>323</v>
      </c>
      <c r="T8419">
        <v>7.6</v>
      </c>
      <c r="Y8419" s="42">
        <v>44943</v>
      </c>
    </row>
    <row r="8420" spans="14:25">
      <c r="N8420" s="42">
        <v>44939</v>
      </c>
      <c r="O8420" t="s">
        <v>346</v>
      </c>
      <c r="P8420" s="42">
        <v>44939</v>
      </c>
      <c r="Q8420" t="s">
        <v>346</v>
      </c>
      <c r="R8420" t="s">
        <v>320</v>
      </c>
      <c r="S8420" t="s">
        <v>323</v>
      </c>
      <c r="T8420">
        <v>7.6</v>
      </c>
      <c r="Y8420" s="42">
        <v>44943</v>
      </c>
    </row>
    <row r="8421" spans="14:25">
      <c r="N8421" s="42">
        <v>44938</v>
      </c>
      <c r="O8421" t="s">
        <v>324</v>
      </c>
      <c r="P8421" s="42">
        <v>44938</v>
      </c>
      <c r="Q8421" t="s">
        <v>324</v>
      </c>
      <c r="R8421" t="s">
        <v>320</v>
      </c>
      <c r="S8421" t="s">
        <v>323</v>
      </c>
      <c r="T8421">
        <v>7.6</v>
      </c>
      <c r="Y8421" s="42">
        <v>44943</v>
      </c>
    </row>
    <row r="8422" spans="14:25">
      <c r="N8422" s="42">
        <v>44937</v>
      </c>
      <c r="O8422" t="s">
        <v>328</v>
      </c>
      <c r="P8422" s="42">
        <v>44937</v>
      </c>
      <c r="Q8422" t="s">
        <v>328</v>
      </c>
      <c r="R8422" t="s">
        <v>320</v>
      </c>
      <c r="S8422" t="s">
        <v>323</v>
      </c>
      <c r="T8422">
        <v>7.6</v>
      </c>
      <c r="Y8422" s="42">
        <v>44943</v>
      </c>
    </row>
    <row r="8423" spans="14:25">
      <c r="N8423" s="42">
        <v>44936</v>
      </c>
      <c r="O8423" t="s">
        <v>333</v>
      </c>
      <c r="P8423" s="42">
        <v>44936</v>
      </c>
      <c r="Q8423" t="s">
        <v>333</v>
      </c>
      <c r="R8423" t="s">
        <v>320</v>
      </c>
      <c r="S8423" t="s">
        <v>323</v>
      </c>
      <c r="T8423">
        <v>7.6</v>
      </c>
      <c r="Y8423" s="42">
        <v>44943</v>
      </c>
    </row>
    <row r="8424" spans="14:25">
      <c r="N8424" s="42">
        <v>44935</v>
      </c>
      <c r="O8424" t="s">
        <v>345</v>
      </c>
      <c r="P8424" s="42">
        <v>44935</v>
      </c>
      <c r="Q8424" t="s">
        <v>345</v>
      </c>
      <c r="R8424" t="s">
        <v>320</v>
      </c>
      <c r="S8424" t="s">
        <v>323</v>
      </c>
      <c r="T8424">
        <v>7.6</v>
      </c>
      <c r="Y8424" s="42">
        <v>44943</v>
      </c>
    </row>
    <row r="8425" spans="14:25">
      <c r="N8425" s="42">
        <v>44932</v>
      </c>
      <c r="O8425" t="s">
        <v>346</v>
      </c>
      <c r="P8425" s="42">
        <v>44932</v>
      </c>
      <c r="Q8425" t="s">
        <v>346</v>
      </c>
      <c r="R8425" t="s">
        <v>320</v>
      </c>
      <c r="S8425" t="s">
        <v>323</v>
      </c>
      <c r="T8425">
        <v>7.6</v>
      </c>
      <c r="Y8425" s="42">
        <v>44943</v>
      </c>
    </row>
    <row r="8426" spans="14:25">
      <c r="N8426" s="42">
        <v>44931</v>
      </c>
      <c r="O8426" t="s">
        <v>324</v>
      </c>
      <c r="P8426" s="42">
        <v>44931</v>
      </c>
      <c r="Q8426" t="s">
        <v>324</v>
      </c>
      <c r="R8426" t="s">
        <v>320</v>
      </c>
      <c r="S8426" t="s">
        <v>323</v>
      </c>
      <c r="T8426">
        <v>7.6</v>
      </c>
      <c r="Y8426" s="42">
        <v>44943</v>
      </c>
    </row>
    <row r="8427" spans="14:25">
      <c r="N8427" s="42">
        <v>44930</v>
      </c>
      <c r="O8427" t="s">
        <v>328</v>
      </c>
      <c r="P8427" s="42">
        <v>44930</v>
      </c>
      <c r="Q8427" t="s">
        <v>328</v>
      </c>
      <c r="R8427" t="s">
        <v>320</v>
      </c>
      <c r="S8427" t="s">
        <v>323</v>
      </c>
      <c r="T8427">
        <v>7.6</v>
      </c>
      <c r="Y8427" s="42">
        <v>44943</v>
      </c>
    </row>
    <row r="8428" spans="14:25">
      <c r="N8428" s="42">
        <v>44928</v>
      </c>
      <c r="O8428" t="s">
        <v>345</v>
      </c>
      <c r="P8428" s="42">
        <v>44928</v>
      </c>
      <c r="Q8428" t="s">
        <v>345</v>
      </c>
      <c r="R8428" t="s">
        <v>320</v>
      </c>
      <c r="S8428" t="s">
        <v>323</v>
      </c>
      <c r="U8428">
        <v>7.6</v>
      </c>
    </row>
    <row r="8429" spans="14:25">
      <c r="N8429" s="42">
        <v>44923</v>
      </c>
      <c r="O8429" t="s">
        <v>328</v>
      </c>
      <c r="P8429" s="42">
        <v>44923</v>
      </c>
      <c r="Q8429" t="s">
        <v>328</v>
      </c>
      <c r="R8429" t="s">
        <v>329</v>
      </c>
      <c r="S8429" t="s">
        <v>323</v>
      </c>
      <c r="T8429">
        <v>7.6</v>
      </c>
      <c r="W8429" t="s">
        <v>330</v>
      </c>
      <c r="Y8429" s="42">
        <v>44929</v>
      </c>
    </row>
    <row r="8430" spans="14:25">
      <c r="N8430" s="42">
        <v>44922</v>
      </c>
      <c r="O8430" t="s">
        <v>333</v>
      </c>
      <c r="P8430" s="42">
        <v>44922</v>
      </c>
      <c r="Q8430" t="s">
        <v>333</v>
      </c>
      <c r="R8430" t="s">
        <v>320</v>
      </c>
      <c r="S8430" t="s">
        <v>323</v>
      </c>
      <c r="U8430">
        <v>7.6</v>
      </c>
    </row>
    <row r="8431" spans="14:25">
      <c r="N8431" s="42">
        <v>44921</v>
      </c>
      <c r="O8431" t="s">
        <v>345</v>
      </c>
      <c r="P8431" s="42">
        <v>44921</v>
      </c>
      <c r="Q8431" t="s">
        <v>345</v>
      </c>
      <c r="R8431" t="s">
        <v>320</v>
      </c>
      <c r="S8431" t="s">
        <v>323</v>
      </c>
      <c r="U8431">
        <v>7.6</v>
      </c>
    </row>
    <row r="8432" spans="14:25">
      <c r="N8432" s="42">
        <v>44895</v>
      </c>
      <c r="O8432" t="s">
        <v>328</v>
      </c>
      <c r="P8432" s="42">
        <v>44895</v>
      </c>
      <c r="Q8432" t="s">
        <v>328</v>
      </c>
      <c r="R8432" t="s">
        <v>329</v>
      </c>
      <c r="S8432" t="s">
        <v>323</v>
      </c>
      <c r="T8432">
        <v>7.6</v>
      </c>
      <c r="W8432" t="s">
        <v>330</v>
      </c>
      <c r="Y8432" s="42">
        <v>44901</v>
      </c>
    </row>
    <row r="8433" spans="14:25">
      <c r="N8433" s="42">
        <v>44872</v>
      </c>
      <c r="O8433" t="s">
        <v>345</v>
      </c>
      <c r="P8433" s="42">
        <v>44872</v>
      </c>
      <c r="Q8433" t="s">
        <v>345</v>
      </c>
      <c r="R8433" t="s">
        <v>320</v>
      </c>
      <c r="S8433" t="s">
        <v>323</v>
      </c>
      <c r="T8433">
        <v>7.6</v>
      </c>
      <c r="Y8433" s="42">
        <v>44873</v>
      </c>
    </row>
    <row r="8434" spans="14:25">
      <c r="N8434" s="42">
        <v>44866</v>
      </c>
      <c r="O8434" t="s">
        <v>333</v>
      </c>
      <c r="P8434" s="42">
        <v>44866</v>
      </c>
      <c r="Q8434" t="s">
        <v>333</v>
      </c>
      <c r="R8434" t="s">
        <v>320</v>
      </c>
      <c r="S8434" t="s">
        <v>323</v>
      </c>
      <c r="U8434">
        <v>7.6</v>
      </c>
    </row>
    <row r="8435" spans="14:25">
      <c r="N8435" s="42">
        <v>44862</v>
      </c>
      <c r="O8435" t="s">
        <v>346</v>
      </c>
      <c r="P8435" s="42">
        <v>44862</v>
      </c>
      <c r="Q8435" t="s">
        <v>346</v>
      </c>
      <c r="R8435" t="s">
        <v>320</v>
      </c>
      <c r="S8435" t="s">
        <v>323</v>
      </c>
      <c r="T8435">
        <v>7.6</v>
      </c>
      <c r="Y8435" s="42">
        <v>44873</v>
      </c>
    </row>
    <row r="8436" spans="14:25">
      <c r="N8436" s="42">
        <v>44861</v>
      </c>
      <c r="O8436" t="s">
        <v>324</v>
      </c>
      <c r="P8436" s="42">
        <v>44861</v>
      </c>
      <c r="Q8436" t="s">
        <v>324</v>
      </c>
      <c r="R8436" t="s">
        <v>320</v>
      </c>
      <c r="S8436" t="s">
        <v>323</v>
      </c>
      <c r="T8436">
        <v>7.6</v>
      </c>
      <c r="Y8436" s="42">
        <v>44873</v>
      </c>
    </row>
    <row r="8437" spans="14:25">
      <c r="N8437" s="42">
        <v>44860</v>
      </c>
      <c r="O8437" t="s">
        <v>328</v>
      </c>
      <c r="P8437" s="42">
        <v>44860</v>
      </c>
      <c r="Q8437" t="s">
        <v>328</v>
      </c>
      <c r="R8437" t="s">
        <v>320</v>
      </c>
      <c r="S8437" t="s">
        <v>323</v>
      </c>
      <c r="T8437">
        <v>7.6</v>
      </c>
      <c r="Y8437" s="42">
        <v>44873</v>
      </c>
    </row>
    <row r="8438" spans="14:25">
      <c r="N8438" s="42">
        <v>44859</v>
      </c>
      <c r="O8438" t="s">
        <v>333</v>
      </c>
      <c r="P8438" s="42">
        <v>44859</v>
      </c>
      <c r="Q8438" t="s">
        <v>333</v>
      </c>
      <c r="R8438" t="s">
        <v>320</v>
      </c>
      <c r="S8438" t="s">
        <v>323</v>
      </c>
      <c r="T8438">
        <v>7.6</v>
      </c>
      <c r="Y8438" s="42">
        <v>44859</v>
      </c>
    </row>
    <row r="8439" spans="14:25">
      <c r="N8439" s="42">
        <v>44858</v>
      </c>
      <c r="O8439" t="s">
        <v>345</v>
      </c>
      <c r="P8439" s="42">
        <v>44858</v>
      </c>
      <c r="Q8439" t="s">
        <v>345</v>
      </c>
      <c r="R8439" t="s">
        <v>320</v>
      </c>
      <c r="S8439" t="s">
        <v>323</v>
      </c>
      <c r="T8439">
        <v>7.6</v>
      </c>
      <c r="Y8439" s="42">
        <v>44859</v>
      </c>
    </row>
    <row r="8440" spans="14:25">
      <c r="N8440" s="42">
        <v>44826</v>
      </c>
      <c r="O8440" t="s">
        <v>324</v>
      </c>
      <c r="P8440" s="42">
        <v>44826</v>
      </c>
      <c r="Q8440" t="s">
        <v>324</v>
      </c>
      <c r="R8440" t="s">
        <v>320</v>
      </c>
      <c r="S8440" t="s">
        <v>323</v>
      </c>
      <c r="U8440">
        <v>7.6</v>
      </c>
    </row>
    <row r="8441" spans="14:25">
      <c r="N8441" s="42">
        <v>44819</v>
      </c>
      <c r="O8441" t="s">
        <v>324</v>
      </c>
      <c r="P8441" s="42">
        <v>44819</v>
      </c>
      <c r="Q8441" t="s">
        <v>324</v>
      </c>
      <c r="R8441" t="s">
        <v>329</v>
      </c>
      <c r="S8441" t="s">
        <v>323</v>
      </c>
      <c r="T8441">
        <v>7.6</v>
      </c>
      <c r="W8441" t="s">
        <v>330</v>
      </c>
      <c r="Y8441" s="42">
        <v>44831</v>
      </c>
    </row>
    <row r="8442" spans="14:25">
      <c r="N8442" s="42">
        <v>44768</v>
      </c>
      <c r="O8442" t="s">
        <v>333</v>
      </c>
      <c r="P8442" s="42">
        <v>44768</v>
      </c>
      <c r="Q8442" t="s">
        <v>333</v>
      </c>
      <c r="R8442" t="s">
        <v>320</v>
      </c>
      <c r="S8442" t="s">
        <v>323</v>
      </c>
      <c r="T8442">
        <v>7.6</v>
      </c>
      <c r="Y8442" s="42">
        <v>44775</v>
      </c>
    </row>
    <row r="8443" spans="14:25">
      <c r="N8443" s="42">
        <v>44758</v>
      </c>
      <c r="O8443" t="s">
        <v>359</v>
      </c>
      <c r="P8443" s="42">
        <v>44758</v>
      </c>
      <c r="Q8443" t="s">
        <v>359</v>
      </c>
      <c r="R8443" t="s">
        <v>320</v>
      </c>
      <c r="S8443" t="s">
        <v>323</v>
      </c>
      <c r="T8443">
        <v>7.5</v>
      </c>
      <c r="Y8443" s="42">
        <v>44761</v>
      </c>
    </row>
    <row r="8444" spans="14:25">
      <c r="N8444" s="42">
        <v>44737</v>
      </c>
      <c r="O8444" t="s">
        <v>359</v>
      </c>
      <c r="P8444" s="42">
        <v>44737</v>
      </c>
      <c r="Q8444" t="s">
        <v>359</v>
      </c>
      <c r="R8444" t="s">
        <v>329</v>
      </c>
      <c r="S8444" t="s">
        <v>323</v>
      </c>
      <c r="T8444">
        <v>7.6</v>
      </c>
      <c r="W8444" t="s">
        <v>330</v>
      </c>
      <c r="Y8444" s="42">
        <v>44747</v>
      </c>
    </row>
    <row r="8445" spans="14:25">
      <c r="N8445" s="42">
        <v>44736</v>
      </c>
      <c r="O8445" t="s">
        <v>346</v>
      </c>
      <c r="P8445" s="42">
        <v>44736</v>
      </c>
      <c r="Q8445" t="s">
        <v>346</v>
      </c>
      <c r="R8445" t="s">
        <v>329</v>
      </c>
      <c r="S8445" t="s">
        <v>323</v>
      </c>
      <c r="T8445">
        <v>7.6</v>
      </c>
      <c r="W8445" t="s">
        <v>330</v>
      </c>
      <c r="Y8445" s="42">
        <v>44747</v>
      </c>
    </row>
    <row r="8446" spans="14:25">
      <c r="N8446" s="42">
        <v>44716</v>
      </c>
      <c r="O8446" t="s">
        <v>359</v>
      </c>
      <c r="P8446" s="42">
        <v>44716</v>
      </c>
      <c r="Q8446" t="s">
        <v>359</v>
      </c>
      <c r="R8446" t="s">
        <v>320</v>
      </c>
      <c r="S8446" t="s">
        <v>323</v>
      </c>
      <c r="T8446">
        <v>7.6</v>
      </c>
      <c r="Y8446" s="42">
        <v>44719</v>
      </c>
    </row>
    <row r="8447" spans="14:25">
      <c r="N8447" s="42">
        <v>44691</v>
      </c>
      <c r="O8447" t="s">
        <v>333</v>
      </c>
      <c r="P8447" s="42">
        <v>44691</v>
      </c>
      <c r="Q8447" t="s">
        <v>333</v>
      </c>
      <c r="R8447" t="s">
        <v>329</v>
      </c>
      <c r="S8447" t="s">
        <v>323</v>
      </c>
      <c r="T8447">
        <v>7.6</v>
      </c>
      <c r="W8447" t="s">
        <v>330</v>
      </c>
      <c r="Y8447" s="42">
        <v>44691</v>
      </c>
    </row>
    <row r="8448" spans="14:25">
      <c r="N8448" s="42">
        <v>44667</v>
      </c>
      <c r="O8448" t="s">
        <v>359</v>
      </c>
      <c r="P8448" s="42">
        <v>44667</v>
      </c>
      <c r="Q8448" t="s">
        <v>359</v>
      </c>
      <c r="R8448" t="s">
        <v>320</v>
      </c>
      <c r="S8448" t="s">
        <v>323</v>
      </c>
      <c r="U8448">
        <v>7.6</v>
      </c>
    </row>
    <row r="8449" spans="14:25">
      <c r="N8449" s="42">
        <v>44666</v>
      </c>
      <c r="O8449" t="s">
        <v>346</v>
      </c>
      <c r="P8449" s="42">
        <v>44666</v>
      </c>
      <c r="Q8449" t="s">
        <v>346</v>
      </c>
      <c r="R8449" t="s">
        <v>320</v>
      </c>
      <c r="S8449" t="s">
        <v>323</v>
      </c>
      <c r="U8449">
        <v>7.6</v>
      </c>
    </row>
    <row r="8450" spans="14:25">
      <c r="N8450" s="42">
        <v>44665</v>
      </c>
      <c r="O8450" t="s">
        <v>324</v>
      </c>
      <c r="P8450" s="42">
        <v>44665</v>
      </c>
      <c r="Q8450" t="s">
        <v>324</v>
      </c>
      <c r="R8450" t="s">
        <v>329</v>
      </c>
      <c r="S8450" t="s">
        <v>323</v>
      </c>
      <c r="T8450">
        <v>7.6</v>
      </c>
      <c r="W8450" t="s">
        <v>330</v>
      </c>
      <c r="Y8450" s="42">
        <v>44677</v>
      </c>
    </row>
    <row r="8451" spans="14:25">
      <c r="N8451" s="42">
        <v>44649</v>
      </c>
      <c r="O8451" t="s">
        <v>333</v>
      </c>
      <c r="P8451" s="42">
        <v>44649</v>
      </c>
      <c r="Q8451" t="s">
        <v>333</v>
      </c>
      <c r="R8451" t="s">
        <v>320</v>
      </c>
      <c r="S8451" t="s">
        <v>323</v>
      </c>
      <c r="T8451">
        <v>7.6</v>
      </c>
      <c r="Y8451" s="42">
        <v>44649</v>
      </c>
    </row>
    <row r="8452" spans="14:25">
      <c r="N8452" s="42">
        <v>44622</v>
      </c>
      <c r="O8452" t="s">
        <v>328</v>
      </c>
      <c r="P8452" s="42">
        <v>44622</v>
      </c>
      <c r="Q8452" t="s">
        <v>328</v>
      </c>
      <c r="R8452" t="s">
        <v>329</v>
      </c>
      <c r="S8452" t="s">
        <v>323</v>
      </c>
      <c r="T8452">
        <v>7.6</v>
      </c>
      <c r="W8452" t="s">
        <v>330</v>
      </c>
      <c r="Y8452" s="42">
        <v>44635</v>
      </c>
    </row>
    <row r="8453" spans="14:25">
      <c r="N8453" s="42">
        <v>44607</v>
      </c>
      <c r="O8453" t="s">
        <v>333</v>
      </c>
      <c r="P8453" s="42">
        <v>44607</v>
      </c>
      <c r="Q8453" t="s">
        <v>333</v>
      </c>
      <c r="R8453" t="s">
        <v>320</v>
      </c>
      <c r="S8453" t="s">
        <v>323</v>
      </c>
      <c r="T8453">
        <v>7.6</v>
      </c>
      <c r="Y8453" s="42">
        <v>44607</v>
      </c>
    </row>
    <row r="8454" spans="14:25">
      <c r="N8454" s="42">
        <v>44587</v>
      </c>
      <c r="O8454" t="s">
        <v>328</v>
      </c>
      <c r="P8454" s="42">
        <v>44587</v>
      </c>
      <c r="Q8454" t="s">
        <v>328</v>
      </c>
      <c r="R8454" t="s">
        <v>320</v>
      </c>
      <c r="S8454" t="s">
        <v>323</v>
      </c>
      <c r="U8454">
        <v>7.6</v>
      </c>
    </row>
    <row r="8455" spans="14:25">
      <c r="N8455" s="42">
        <v>44572</v>
      </c>
      <c r="O8455" t="s">
        <v>333</v>
      </c>
      <c r="P8455" s="42">
        <v>44572</v>
      </c>
      <c r="Q8455" t="s">
        <v>333</v>
      </c>
      <c r="R8455" t="s">
        <v>329</v>
      </c>
      <c r="S8455" t="s">
        <v>323</v>
      </c>
      <c r="T8455">
        <v>7.6</v>
      </c>
      <c r="W8455" t="s">
        <v>330</v>
      </c>
      <c r="Y8455" s="42">
        <v>44579</v>
      </c>
    </row>
    <row r="8456" spans="14:25">
      <c r="N8456" s="42">
        <v>44569</v>
      </c>
      <c r="O8456" t="s">
        <v>359</v>
      </c>
      <c r="P8456" s="42">
        <v>44569</v>
      </c>
      <c r="Q8456" t="s">
        <v>359</v>
      </c>
      <c r="R8456" t="s">
        <v>329</v>
      </c>
      <c r="S8456" t="s">
        <v>323</v>
      </c>
      <c r="T8456">
        <v>7.6</v>
      </c>
      <c r="W8456" t="s">
        <v>330</v>
      </c>
      <c r="Y8456" s="42">
        <v>44579</v>
      </c>
    </row>
    <row r="8457" spans="14:25">
      <c r="N8457" s="42">
        <v>44568</v>
      </c>
      <c r="O8457" t="s">
        <v>346</v>
      </c>
      <c r="P8457" s="42">
        <v>44568</v>
      </c>
      <c r="Q8457" t="s">
        <v>346</v>
      </c>
      <c r="R8457" t="s">
        <v>329</v>
      </c>
      <c r="S8457" t="s">
        <v>323</v>
      </c>
      <c r="T8457">
        <v>7.6</v>
      </c>
      <c r="W8457" t="s">
        <v>330</v>
      </c>
      <c r="Y8457" s="42">
        <v>44579</v>
      </c>
    </row>
    <row r="8458" spans="14:25">
      <c r="N8458" s="42">
        <v>44567</v>
      </c>
      <c r="O8458" t="s">
        <v>324</v>
      </c>
      <c r="P8458" s="42">
        <v>44567</v>
      </c>
      <c r="Q8458" t="s">
        <v>324</v>
      </c>
      <c r="R8458" t="s">
        <v>329</v>
      </c>
      <c r="S8458" t="s">
        <v>323</v>
      </c>
      <c r="T8458">
        <v>7.6</v>
      </c>
      <c r="W8458" t="s">
        <v>330</v>
      </c>
      <c r="Y8458" s="42">
        <v>44579</v>
      </c>
    </row>
    <row r="8459" spans="14:25">
      <c r="N8459" s="42">
        <v>44566</v>
      </c>
      <c r="O8459" t="s">
        <v>328</v>
      </c>
      <c r="P8459" s="42">
        <v>44566</v>
      </c>
      <c r="Q8459" t="s">
        <v>328</v>
      </c>
      <c r="R8459" t="s">
        <v>329</v>
      </c>
      <c r="S8459" t="s">
        <v>323</v>
      </c>
      <c r="T8459">
        <v>7.6</v>
      </c>
      <c r="W8459" t="s">
        <v>330</v>
      </c>
      <c r="Y8459" s="42">
        <v>44579</v>
      </c>
    </row>
    <row r="8460" spans="14:25">
      <c r="N8460" s="42">
        <v>44565</v>
      </c>
      <c r="O8460" t="s">
        <v>333</v>
      </c>
      <c r="P8460" s="42">
        <v>44565</v>
      </c>
      <c r="Q8460" t="s">
        <v>333</v>
      </c>
      <c r="R8460" t="s">
        <v>329</v>
      </c>
      <c r="S8460" t="s">
        <v>323</v>
      </c>
      <c r="T8460">
        <v>7.6</v>
      </c>
      <c r="W8460" t="s">
        <v>330</v>
      </c>
      <c r="Y8460" s="42">
        <v>44565</v>
      </c>
    </row>
    <row r="8461" spans="14:25">
      <c r="N8461" s="42">
        <v>44564</v>
      </c>
      <c r="O8461" t="s">
        <v>345</v>
      </c>
      <c r="P8461" s="42">
        <v>44564</v>
      </c>
      <c r="Q8461" t="s">
        <v>345</v>
      </c>
      <c r="R8461" t="s">
        <v>320</v>
      </c>
      <c r="S8461" t="s">
        <v>323</v>
      </c>
      <c r="U8461">
        <v>7.6</v>
      </c>
    </row>
    <row r="8462" spans="14:25">
      <c r="N8462" s="42">
        <v>44561</v>
      </c>
      <c r="O8462" t="s">
        <v>346</v>
      </c>
      <c r="P8462" s="42">
        <v>44561</v>
      </c>
      <c r="Q8462" t="s">
        <v>346</v>
      </c>
      <c r="R8462" t="s">
        <v>320</v>
      </c>
      <c r="S8462" t="s">
        <v>323</v>
      </c>
      <c r="T8462">
        <v>7.6</v>
      </c>
      <c r="Y8462" s="42">
        <v>44565</v>
      </c>
    </row>
    <row r="8463" spans="14:25">
      <c r="N8463" s="42">
        <v>44560</v>
      </c>
      <c r="O8463" t="s">
        <v>324</v>
      </c>
      <c r="P8463" s="42">
        <v>44560</v>
      </c>
      <c r="Q8463" t="s">
        <v>324</v>
      </c>
      <c r="R8463" t="s">
        <v>320</v>
      </c>
      <c r="S8463" t="s">
        <v>323</v>
      </c>
      <c r="T8463">
        <v>7.6</v>
      </c>
      <c r="Y8463" s="42">
        <v>44565</v>
      </c>
    </row>
    <row r="8464" spans="14:25">
      <c r="N8464" s="42">
        <v>44559</v>
      </c>
      <c r="O8464" t="s">
        <v>328</v>
      </c>
      <c r="P8464" s="42">
        <v>44559</v>
      </c>
      <c r="Q8464" t="s">
        <v>328</v>
      </c>
      <c r="R8464" t="s">
        <v>320</v>
      </c>
      <c r="S8464" t="s">
        <v>323</v>
      </c>
      <c r="T8464">
        <v>7.6</v>
      </c>
      <c r="Y8464" s="42">
        <v>44565</v>
      </c>
    </row>
    <row r="8465" spans="1:25">
      <c r="N8465" s="42">
        <v>44558</v>
      </c>
      <c r="O8465" t="s">
        <v>333</v>
      </c>
      <c r="P8465" s="42">
        <v>44558</v>
      </c>
      <c r="Q8465" t="s">
        <v>333</v>
      </c>
      <c r="R8465" t="s">
        <v>320</v>
      </c>
      <c r="S8465" t="s">
        <v>323</v>
      </c>
      <c r="U8465">
        <v>7.6</v>
      </c>
    </row>
    <row r="8466" spans="1:25">
      <c r="N8466" s="42">
        <v>44557</v>
      </c>
      <c r="O8466" t="s">
        <v>345</v>
      </c>
      <c r="P8466" s="42">
        <v>44557</v>
      </c>
      <c r="Q8466" t="s">
        <v>345</v>
      </c>
      <c r="R8466" t="s">
        <v>320</v>
      </c>
      <c r="S8466" t="s">
        <v>323</v>
      </c>
      <c r="U8466">
        <v>7.6</v>
      </c>
    </row>
    <row r="8467" spans="1:25">
      <c r="N8467" s="42">
        <v>44515</v>
      </c>
      <c r="O8467" t="s">
        <v>345</v>
      </c>
      <c r="P8467" s="42">
        <v>44515</v>
      </c>
      <c r="Q8467" t="s">
        <v>345</v>
      </c>
      <c r="R8467" t="s">
        <v>329</v>
      </c>
      <c r="S8467" t="s">
        <v>323</v>
      </c>
      <c r="T8467">
        <v>7.6</v>
      </c>
      <c r="W8467" t="s">
        <v>330</v>
      </c>
      <c r="Y8467" s="42">
        <v>44523</v>
      </c>
    </row>
    <row r="8468" spans="1:25">
      <c r="N8468" s="42">
        <v>44502</v>
      </c>
      <c r="O8468" t="s">
        <v>333</v>
      </c>
      <c r="P8468" s="42">
        <v>44502</v>
      </c>
      <c r="Q8468" t="s">
        <v>333</v>
      </c>
      <c r="R8468" t="s">
        <v>320</v>
      </c>
      <c r="S8468" t="s">
        <v>323</v>
      </c>
      <c r="U8468">
        <v>7.6</v>
      </c>
    </row>
    <row r="8469" spans="1:25">
      <c r="N8469" s="42">
        <v>44470</v>
      </c>
      <c r="O8469" t="s">
        <v>346</v>
      </c>
      <c r="P8469" s="42">
        <v>44470</v>
      </c>
      <c r="Q8469" t="s">
        <v>346</v>
      </c>
      <c r="R8469" t="s">
        <v>329</v>
      </c>
      <c r="S8469" t="s">
        <v>323</v>
      </c>
      <c r="T8469">
        <v>5.5</v>
      </c>
      <c r="W8469" t="s">
        <v>330</v>
      </c>
      <c r="Y8469" s="42">
        <v>44481</v>
      </c>
    </row>
    <row r="8470" spans="1:25">
      <c r="N8470" s="42">
        <v>44463</v>
      </c>
      <c r="O8470" t="s">
        <v>346</v>
      </c>
      <c r="P8470" s="42">
        <v>44463</v>
      </c>
      <c r="Q8470" t="s">
        <v>346</v>
      </c>
      <c r="R8470" t="s">
        <v>320</v>
      </c>
      <c r="S8470" t="s">
        <v>323</v>
      </c>
      <c r="U8470">
        <v>7.6</v>
      </c>
    </row>
    <row r="8471" spans="1:25">
      <c r="N8471" s="42">
        <v>44421</v>
      </c>
      <c r="O8471" t="s">
        <v>346</v>
      </c>
      <c r="P8471" s="42">
        <v>44421</v>
      </c>
      <c r="Q8471" t="s">
        <v>346</v>
      </c>
      <c r="R8471" t="s">
        <v>329</v>
      </c>
      <c r="S8471" t="s">
        <v>323</v>
      </c>
      <c r="T8471">
        <v>7.6</v>
      </c>
      <c r="W8471" t="s">
        <v>330</v>
      </c>
      <c r="Y8471" s="42">
        <v>44425</v>
      </c>
    </row>
    <row r="8472" spans="1:25">
      <c r="N8472" s="42">
        <v>44361</v>
      </c>
      <c r="O8472" t="s">
        <v>345</v>
      </c>
      <c r="P8472" s="42">
        <v>44361</v>
      </c>
      <c r="Q8472" t="s">
        <v>345</v>
      </c>
      <c r="R8472" t="s">
        <v>320</v>
      </c>
      <c r="S8472" t="s">
        <v>323</v>
      </c>
      <c r="U8472">
        <v>7.6</v>
      </c>
    </row>
    <row r="8473" spans="1:25">
      <c r="N8473" s="42">
        <v>44328</v>
      </c>
      <c r="O8473" t="s">
        <v>328</v>
      </c>
      <c r="P8473" s="42">
        <v>44328</v>
      </c>
      <c r="Q8473" t="s">
        <v>328</v>
      </c>
      <c r="R8473" t="s">
        <v>320</v>
      </c>
      <c r="S8473" t="s">
        <v>323</v>
      </c>
      <c r="T8473">
        <v>7.6</v>
      </c>
      <c r="Y8473" s="42">
        <v>44341</v>
      </c>
    </row>
    <row r="8474" spans="1:25">
      <c r="N8474" s="42">
        <v>44291</v>
      </c>
      <c r="O8474" t="s">
        <v>345</v>
      </c>
      <c r="P8474" s="42">
        <v>44291</v>
      </c>
      <c r="Q8474" t="s">
        <v>345</v>
      </c>
      <c r="R8474" t="s">
        <v>320</v>
      </c>
      <c r="S8474" t="s">
        <v>323</v>
      </c>
      <c r="U8474">
        <v>7.6</v>
      </c>
    </row>
    <row r="8475" spans="1:25">
      <c r="N8475" s="42">
        <v>44288</v>
      </c>
      <c r="O8475" t="s">
        <v>346</v>
      </c>
      <c r="P8475" s="42">
        <v>44288</v>
      </c>
      <c r="Q8475" t="s">
        <v>346</v>
      </c>
      <c r="R8475" t="s">
        <v>320</v>
      </c>
      <c r="S8475" t="s">
        <v>323</v>
      </c>
      <c r="U8475">
        <v>7.6</v>
      </c>
    </row>
    <row r="8476" spans="1:25">
      <c r="N8476" s="42">
        <v>44263</v>
      </c>
      <c r="O8476" t="s">
        <v>345</v>
      </c>
      <c r="P8476" s="42">
        <v>44263</v>
      </c>
      <c r="Q8476" t="s">
        <v>345</v>
      </c>
      <c r="R8476" t="s">
        <v>320</v>
      </c>
      <c r="S8476" t="s">
        <v>323</v>
      </c>
      <c r="U8476">
        <v>7.6</v>
      </c>
    </row>
    <row r="8477" spans="1:25">
      <c r="A8477">
        <v>18942</v>
      </c>
      <c r="B8477" t="s">
        <v>452</v>
      </c>
      <c r="C8477" t="s">
        <v>320</v>
      </c>
      <c r="D8477" t="s">
        <v>336</v>
      </c>
      <c r="E8477" t="s">
        <v>337</v>
      </c>
      <c r="F8477">
        <v>1</v>
      </c>
      <c r="G8477" s="42">
        <v>45353</v>
      </c>
      <c r="H8477">
        <v>152</v>
      </c>
      <c r="I8477">
        <v>28.8</v>
      </c>
      <c r="J8477">
        <v>0.8306</v>
      </c>
      <c r="K8477">
        <v>29.630600000000001</v>
      </c>
      <c r="L8477" t="s">
        <v>323</v>
      </c>
      <c r="M8477" s="43">
        <v>8.3333333333333329E-2</v>
      </c>
      <c r="N8477" s="42">
        <v>44984</v>
      </c>
      <c r="O8477" t="s">
        <v>345</v>
      </c>
      <c r="P8477" s="42">
        <v>44984</v>
      </c>
      <c r="Q8477" t="s">
        <v>345</v>
      </c>
      <c r="R8477" t="s">
        <v>320</v>
      </c>
      <c r="S8477" t="s">
        <v>323</v>
      </c>
      <c r="T8477">
        <v>7.6</v>
      </c>
      <c r="Y8477" s="42">
        <v>44985</v>
      </c>
    </row>
    <row r="8478" spans="1:25">
      <c r="C8478" t="s">
        <v>325</v>
      </c>
      <c r="D8478" t="s">
        <v>395</v>
      </c>
      <c r="E8478" t="s">
        <v>396</v>
      </c>
      <c r="F8478">
        <v>1</v>
      </c>
      <c r="G8478" s="42">
        <v>47909</v>
      </c>
      <c r="H8478">
        <v>329.33330000000001</v>
      </c>
      <c r="I8478">
        <v>0</v>
      </c>
      <c r="J8478">
        <v>66.010900000000007</v>
      </c>
      <c r="K8478">
        <v>66.010900000000007</v>
      </c>
      <c r="L8478" t="s">
        <v>323</v>
      </c>
      <c r="N8478" s="42">
        <v>44980</v>
      </c>
      <c r="O8478" t="s">
        <v>324</v>
      </c>
      <c r="P8478" s="42">
        <v>44980</v>
      </c>
      <c r="Q8478" t="s">
        <v>324</v>
      </c>
      <c r="R8478" t="s">
        <v>320</v>
      </c>
      <c r="S8478" t="s">
        <v>323</v>
      </c>
      <c r="T8478">
        <v>1.6</v>
      </c>
      <c r="Y8478" s="42">
        <v>44985</v>
      </c>
    </row>
    <row r="8479" spans="1:25">
      <c r="C8479" t="s">
        <v>329</v>
      </c>
      <c r="D8479" t="s">
        <v>342</v>
      </c>
      <c r="E8479" t="s">
        <v>343</v>
      </c>
      <c r="F8479">
        <v>1</v>
      </c>
      <c r="G8479" s="42">
        <v>45353</v>
      </c>
      <c r="H8479">
        <v>76</v>
      </c>
      <c r="I8479">
        <v>0.2</v>
      </c>
      <c r="J8479">
        <v>0.4153</v>
      </c>
      <c r="K8479">
        <v>0.61529999999999996</v>
      </c>
      <c r="L8479" t="s">
        <v>323</v>
      </c>
      <c r="N8479" s="42">
        <v>44980</v>
      </c>
      <c r="O8479" t="s">
        <v>324</v>
      </c>
      <c r="P8479" s="42">
        <v>44980</v>
      </c>
      <c r="Q8479" t="s">
        <v>324</v>
      </c>
      <c r="R8479" t="s">
        <v>329</v>
      </c>
      <c r="S8479" t="s">
        <v>323</v>
      </c>
      <c r="T8479">
        <v>6</v>
      </c>
      <c r="W8479" t="s">
        <v>330</v>
      </c>
      <c r="Y8479" s="42">
        <v>44985</v>
      </c>
    </row>
    <row r="8480" spans="1:25">
      <c r="N8480" s="42">
        <v>44973</v>
      </c>
      <c r="O8480" t="s">
        <v>324</v>
      </c>
      <c r="P8480" s="42">
        <v>44973</v>
      </c>
      <c r="Q8480" t="s">
        <v>324</v>
      </c>
      <c r="R8480" t="s">
        <v>329</v>
      </c>
      <c r="S8480" t="s">
        <v>323</v>
      </c>
      <c r="T8480">
        <v>7.6</v>
      </c>
      <c r="W8480" t="s">
        <v>330</v>
      </c>
      <c r="Y8480" s="42">
        <v>44985</v>
      </c>
    </row>
    <row r="8481" spans="14:25">
      <c r="N8481" s="42">
        <v>44972</v>
      </c>
      <c r="O8481" t="s">
        <v>328</v>
      </c>
      <c r="P8481" s="42">
        <v>44972</v>
      </c>
      <c r="Q8481" t="s">
        <v>328</v>
      </c>
      <c r="R8481" t="s">
        <v>329</v>
      </c>
      <c r="S8481" t="s">
        <v>323</v>
      </c>
      <c r="T8481">
        <v>7.6</v>
      </c>
      <c r="W8481" t="s">
        <v>330</v>
      </c>
      <c r="Y8481" s="42">
        <v>44985</v>
      </c>
    </row>
    <row r="8482" spans="14:25">
      <c r="N8482" s="42">
        <v>44952</v>
      </c>
      <c r="O8482" t="s">
        <v>324</v>
      </c>
      <c r="P8482" s="42">
        <v>44952</v>
      </c>
      <c r="Q8482" t="s">
        <v>324</v>
      </c>
      <c r="R8482" t="s">
        <v>320</v>
      </c>
      <c r="S8482" t="s">
        <v>323</v>
      </c>
      <c r="U8482">
        <v>7.6</v>
      </c>
    </row>
    <row r="8483" spans="14:25">
      <c r="N8483" s="42">
        <v>44938</v>
      </c>
      <c r="O8483" t="s">
        <v>324</v>
      </c>
      <c r="P8483" s="42">
        <v>44938</v>
      </c>
      <c r="Q8483" t="s">
        <v>324</v>
      </c>
      <c r="R8483" t="s">
        <v>320</v>
      </c>
      <c r="S8483" t="s">
        <v>323</v>
      </c>
      <c r="T8483">
        <v>7.6</v>
      </c>
      <c r="Y8483" s="42">
        <v>44943</v>
      </c>
    </row>
    <row r="8484" spans="14:25">
      <c r="N8484" s="42">
        <v>44937</v>
      </c>
      <c r="O8484" t="s">
        <v>328</v>
      </c>
      <c r="P8484" s="42">
        <v>44937</v>
      </c>
      <c r="Q8484" t="s">
        <v>328</v>
      </c>
      <c r="R8484" t="s">
        <v>320</v>
      </c>
      <c r="S8484" t="s">
        <v>323</v>
      </c>
      <c r="T8484">
        <v>7.6</v>
      </c>
      <c r="Y8484" s="42">
        <v>44943</v>
      </c>
    </row>
    <row r="8485" spans="14:25">
      <c r="N8485" s="42">
        <v>44936</v>
      </c>
      <c r="O8485" t="s">
        <v>333</v>
      </c>
      <c r="P8485" s="42">
        <v>44936</v>
      </c>
      <c r="Q8485" t="s">
        <v>333</v>
      </c>
      <c r="R8485" t="s">
        <v>320</v>
      </c>
      <c r="S8485" t="s">
        <v>323</v>
      </c>
      <c r="T8485">
        <v>7.6</v>
      </c>
      <c r="Y8485" s="42">
        <v>44943</v>
      </c>
    </row>
    <row r="8486" spans="14:25">
      <c r="N8486" s="42">
        <v>44935</v>
      </c>
      <c r="O8486" t="s">
        <v>345</v>
      </c>
      <c r="P8486" s="42">
        <v>44935</v>
      </c>
      <c r="Q8486" t="s">
        <v>345</v>
      </c>
      <c r="R8486" t="s">
        <v>320</v>
      </c>
      <c r="S8486" t="s">
        <v>323</v>
      </c>
      <c r="T8486">
        <v>7.6</v>
      </c>
      <c r="Y8486" s="42">
        <v>44943</v>
      </c>
    </row>
    <row r="8487" spans="14:25">
      <c r="N8487" s="42">
        <v>44934</v>
      </c>
      <c r="O8487" t="s">
        <v>344</v>
      </c>
      <c r="P8487" s="42">
        <v>44934</v>
      </c>
      <c r="Q8487" t="s">
        <v>344</v>
      </c>
      <c r="R8487" t="s">
        <v>320</v>
      </c>
      <c r="S8487" t="s">
        <v>323</v>
      </c>
      <c r="T8487">
        <v>7.6</v>
      </c>
      <c r="Y8487" s="42">
        <v>44943</v>
      </c>
    </row>
    <row r="8488" spans="14:25">
      <c r="N8488" s="42">
        <v>44931</v>
      </c>
      <c r="O8488" t="s">
        <v>324</v>
      </c>
      <c r="P8488" s="42">
        <v>44931</v>
      </c>
      <c r="Q8488" t="s">
        <v>324</v>
      </c>
      <c r="R8488" t="s">
        <v>320</v>
      </c>
      <c r="S8488" t="s">
        <v>323</v>
      </c>
      <c r="T8488">
        <v>7.6</v>
      </c>
      <c r="Y8488" s="42">
        <v>44943</v>
      </c>
    </row>
    <row r="8489" spans="14:25">
      <c r="N8489" s="42">
        <v>44930</v>
      </c>
      <c r="O8489" t="s">
        <v>328</v>
      </c>
      <c r="P8489" s="42">
        <v>44930</v>
      </c>
      <c r="Q8489" t="s">
        <v>328</v>
      </c>
      <c r="R8489" t="s">
        <v>320</v>
      </c>
      <c r="S8489" t="s">
        <v>323</v>
      </c>
      <c r="T8489">
        <v>7.6</v>
      </c>
      <c r="Y8489" s="42">
        <v>44943</v>
      </c>
    </row>
    <row r="8490" spans="14:25">
      <c r="N8490" s="42">
        <v>44928</v>
      </c>
      <c r="O8490" t="s">
        <v>345</v>
      </c>
      <c r="P8490" s="42">
        <v>44928</v>
      </c>
      <c r="Q8490" t="s">
        <v>345</v>
      </c>
      <c r="R8490" t="s">
        <v>320</v>
      </c>
      <c r="S8490" t="s">
        <v>323</v>
      </c>
      <c r="U8490">
        <v>7.6</v>
      </c>
    </row>
    <row r="8491" spans="14:25">
      <c r="N8491" s="42">
        <v>44927</v>
      </c>
      <c r="O8491" t="s">
        <v>344</v>
      </c>
      <c r="P8491" s="42">
        <v>44927</v>
      </c>
      <c r="Q8491" t="s">
        <v>344</v>
      </c>
      <c r="R8491" t="s">
        <v>320</v>
      </c>
      <c r="S8491" t="s">
        <v>323</v>
      </c>
      <c r="U8491">
        <v>7.6</v>
      </c>
    </row>
    <row r="8492" spans="14:25">
      <c r="N8492" s="42">
        <v>44922</v>
      </c>
      <c r="O8492" t="s">
        <v>333</v>
      </c>
      <c r="P8492" s="42">
        <v>44922</v>
      </c>
      <c r="Q8492" t="s">
        <v>333</v>
      </c>
      <c r="R8492" t="s">
        <v>320</v>
      </c>
      <c r="S8492" t="s">
        <v>323</v>
      </c>
      <c r="U8492">
        <v>7.6</v>
      </c>
    </row>
    <row r="8493" spans="14:25">
      <c r="N8493" s="42">
        <v>44921</v>
      </c>
      <c r="O8493" t="s">
        <v>345</v>
      </c>
      <c r="P8493" s="42">
        <v>44921</v>
      </c>
      <c r="Q8493" t="s">
        <v>345</v>
      </c>
      <c r="R8493" t="s">
        <v>320</v>
      </c>
      <c r="S8493" t="s">
        <v>323</v>
      </c>
      <c r="U8493">
        <v>7.6</v>
      </c>
    </row>
    <row r="8494" spans="14:25">
      <c r="N8494" s="42">
        <v>44920</v>
      </c>
      <c r="O8494" t="s">
        <v>344</v>
      </c>
      <c r="P8494" s="42">
        <v>44920</v>
      </c>
      <c r="Q8494" t="s">
        <v>344</v>
      </c>
      <c r="R8494" t="s">
        <v>320</v>
      </c>
      <c r="S8494" t="s">
        <v>323</v>
      </c>
      <c r="U8494">
        <v>7.6</v>
      </c>
    </row>
    <row r="8495" spans="14:25">
      <c r="N8495" s="42">
        <v>44910</v>
      </c>
      <c r="O8495" t="s">
        <v>324</v>
      </c>
      <c r="P8495" s="42">
        <v>44910</v>
      </c>
      <c r="Q8495" t="s">
        <v>324</v>
      </c>
      <c r="R8495" t="s">
        <v>320</v>
      </c>
      <c r="S8495" t="s">
        <v>323</v>
      </c>
      <c r="T8495">
        <v>7.6</v>
      </c>
      <c r="Y8495" s="42">
        <v>44915</v>
      </c>
    </row>
    <row r="8496" spans="14:25">
      <c r="N8496" s="42">
        <v>44909</v>
      </c>
      <c r="O8496" t="s">
        <v>328</v>
      </c>
      <c r="P8496" s="42">
        <v>44909</v>
      </c>
      <c r="Q8496" t="s">
        <v>328</v>
      </c>
      <c r="R8496" t="s">
        <v>320</v>
      </c>
      <c r="S8496" t="s">
        <v>323</v>
      </c>
      <c r="T8496">
        <v>7.6</v>
      </c>
      <c r="Y8496" s="42">
        <v>44915</v>
      </c>
    </row>
    <row r="8497" spans="14:25">
      <c r="N8497" s="42">
        <v>44896</v>
      </c>
      <c r="O8497" t="s">
        <v>324</v>
      </c>
      <c r="P8497" s="42">
        <v>44896</v>
      </c>
      <c r="Q8497" t="s">
        <v>324</v>
      </c>
      <c r="R8497" t="s">
        <v>320</v>
      </c>
      <c r="S8497" t="s">
        <v>323</v>
      </c>
      <c r="T8497">
        <v>7.6</v>
      </c>
      <c r="Y8497" s="42">
        <v>44901</v>
      </c>
    </row>
    <row r="8498" spans="14:25">
      <c r="N8498" s="42">
        <v>44895</v>
      </c>
      <c r="O8498" t="s">
        <v>328</v>
      </c>
      <c r="P8498" s="42">
        <v>44895</v>
      </c>
      <c r="Q8498" t="s">
        <v>328</v>
      </c>
      <c r="R8498" t="s">
        <v>320</v>
      </c>
      <c r="S8498" t="s">
        <v>323</v>
      </c>
      <c r="T8498">
        <v>7.6</v>
      </c>
      <c r="Y8498" s="42">
        <v>44901</v>
      </c>
    </row>
    <row r="8499" spans="14:25">
      <c r="N8499" s="42">
        <v>44882</v>
      </c>
      <c r="O8499" t="s">
        <v>324</v>
      </c>
      <c r="P8499" s="42">
        <v>44882</v>
      </c>
      <c r="Q8499" t="s">
        <v>324</v>
      </c>
      <c r="R8499" t="s">
        <v>329</v>
      </c>
      <c r="S8499" t="s">
        <v>323</v>
      </c>
      <c r="T8499">
        <v>7.6</v>
      </c>
      <c r="W8499" t="s">
        <v>330</v>
      </c>
      <c r="Y8499" s="42">
        <v>44887</v>
      </c>
    </row>
    <row r="8500" spans="14:25">
      <c r="N8500" s="42">
        <v>44837</v>
      </c>
      <c r="O8500" t="s">
        <v>345</v>
      </c>
      <c r="P8500" s="42">
        <v>44837</v>
      </c>
      <c r="Q8500" t="s">
        <v>345</v>
      </c>
      <c r="R8500" t="s">
        <v>320</v>
      </c>
      <c r="S8500" t="s">
        <v>323</v>
      </c>
      <c r="U8500">
        <v>7.6</v>
      </c>
    </row>
    <row r="8501" spans="14:25">
      <c r="N8501" s="42">
        <v>44836</v>
      </c>
      <c r="O8501" t="s">
        <v>344</v>
      </c>
      <c r="P8501" s="42">
        <v>44836</v>
      </c>
      <c r="Q8501" t="s">
        <v>344</v>
      </c>
      <c r="R8501" t="s">
        <v>329</v>
      </c>
      <c r="S8501" t="s">
        <v>323</v>
      </c>
      <c r="T8501">
        <v>7.6</v>
      </c>
      <c r="W8501" t="s">
        <v>330</v>
      </c>
      <c r="Y8501" s="42">
        <v>44845</v>
      </c>
    </row>
    <row r="8502" spans="14:25">
      <c r="N8502" s="42">
        <v>44832</v>
      </c>
      <c r="O8502" t="s">
        <v>328</v>
      </c>
      <c r="P8502" s="42">
        <v>44832</v>
      </c>
      <c r="Q8502" t="s">
        <v>328</v>
      </c>
      <c r="R8502" t="s">
        <v>329</v>
      </c>
      <c r="S8502" t="s">
        <v>323</v>
      </c>
      <c r="T8502">
        <v>7.6</v>
      </c>
      <c r="W8502" t="s">
        <v>330</v>
      </c>
      <c r="Y8502" s="42">
        <v>44845</v>
      </c>
    </row>
    <row r="8503" spans="14:25">
      <c r="N8503" s="42">
        <v>44826</v>
      </c>
      <c r="O8503" t="s">
        <v>324</v>
      </c>
      <c r="P8503" s="42">
        <v>44826</v>
      </c>
      <c r="Q8503" t="s">
        <v>324</v>
      </c>
      <c r="R8503" t="s">
        <v>320</v>
      </c>
      <c r="S8503" t="s">
        <v>323</v>
      </c>
      <c r="U8503">
        <v>7.6</v>
      </c>
    </row>
    <row r="8504" spans="14:25">
      <c r="N8504" s="42">
        <v>44784</v>
      </c>
      <c r="O8504" t="s">
        <v>324</v>
      </c>
      <c r="P8504" s="42">
        <v>44784</v>
      </c>
      <c r="Q8504" t="s">
        <v>324</v>
      </c>
      <c r="R8504" t="s">
        <v>320</v>
      </c>
      <c r="S8504" t="s">
        <v>323</v>
      </c>
      <c r="T8504">
        <v>7.6</v>
      </c>
      <c r="Y8504" s="42">
        <v>44789</v>
      </c>
    </row>
    <row r="8505" spans="14:25">
      <c r="N8505" s="42">
        <v>44783</v>
      </c>
      <c r="O8505" t="s">
        <v>328</v>
      </c>
      <c r="P8505" s="42">
        <v>44783</v>
      </c>
      <c r="Q8505" t="s">
        <v>328</v>
      </c>
      <c r="R8505" t="s">
        <v>320</v>
      </c>
      <c r="S8505" t="s">
        <v>323</v>
      </c>
      <c r="U8505">
        <v>7.6</v>
      </c>
    </row>
    <row r="8506" spans="14:25">
      <c r="N8506" s="42">
        <v>44782</v>
      </c>
      <c r="O8506" t="s">
        <v>333</v>
      </c>
      <c r="P8506" s="42">
        <v>44782</v>
      </c>
      <c r="Q8506" t="s">
        <v>333</v>
      </c>
      <c r="R8506" t="s">
        <v>320</v>
      </c>
      <c r="S8506" t="s">
        <v>323</v>
      </c>
      <c r="T8506">
        <v>7.6</v>
      </c>
      <c r="Y8506" s="42">
        <v>44789</v>
      </c>
    </row>
    <row r="8507" spans="14:25">
      <c r="N8507" s="42">
        <v>44777</v>
      </c>
      <c r="O8507" t="s">
        <v>324</v>
      </c>
      <c r="P8507" s="42">
        <v>44777</v>
      </c>
      <c r="Q8507" t="s">
        <v>324</v>
      </c>
      <c r="R8507" t="s">
        <v>320</v>
      </c>
      <c r="S8507" t="s">
        <v>323</v>
      </c>
      <c r="T8507">
        <v>7.6</v>
      </c>
      <c r="Y8507" s="42">
        <v>44789</v>
      </c>
    </row>
    <row r="8508" spans="14:25">
      <c r="N8508" s="42">
        <v>44776</v>
      </c>
      <c r="O8508" t="s">
        <v>328</v>
      </c>
      <c r="P8508" s="42">
        <v>44776</v>
      </c>
      <c r="Q8508" t="s">
        <v>328</v>
      </c>
      <c r="R8508" t="s">
        <v>320</v>
      </c>
      <c r="S8508" t="s">
        <v>323</v>
      </c>
      <c r="T8508">
        <v>7.6</v>
      </c>
      <c r="Y8508" s="42">
        <v>44789</v>
      </c>
    </row>
    <row r="8509" spans="14:25">
      <c r="N8509" s="42">
        <v>44775</v>
      </c>
      <c r="O8509" t="s">
        <v>333</v>
      </c>
      <c r="P8509" s="42">
        <v>44775</v>
      </c>
      <c r="Q8509" t="s">
        <v>333</v>
      </c>
      <c r="R8509" t="s">
        <v>320</v>
      </c>
      <c r="S8509" t="s">
        <v>323</v>
      </c>
      <c r="T8509">
        <v>7.6</v>
      </c>
      <c r="U8509">
        <v>0</v>
      </c>
      <c r="V8509">
        <v>0</v>
      </c>
      <c r="Y8509" s="42">
        <v>44775</v>
      </c>
    </row>
    <row r="8510" spans="14:25">
      <c r="N8510" s="42">
        <v>44762</v>
      </c>
      <c r="O8510" t="s">
        <v>328</v>
      </c>
      <c r="P8510" s="42">
        <v>44762</v>
      </c>
      <c r="Q8510" t="s">
        <v>328</v>
      </c>
      <c r="R8510" t="s">
        <v>329</v>
      </c>
      <c r="S8510" t="s">
        <v>323</v>
      </c>
      <c r="T8510">
        <v>1</v>
      </c>
      <c r="W8510" t="s">
        <v>330</v>
      </c>
      <c r="Y8510" s="42">
        <v>44775</v>
      </c>
    </row>
    <row r="8511" spans="14:25">
      <c r="N8511" s="42">
        <v>44739</v>
      </c>
      <c r="O8511" t="s">
        <v>345</v>
      </c>
      <c r="P8511" s="42">
        <v>44739</v>
      </c>
      <c r="Q8511" t="s">
        <v>345</v>
      </c>
      <c r="R8511" t="s">
        <v>329</v>
      </c>
      <c r="S8511" t="s">
        <v>323</v>
      </c>
      <c r="T8511">
        <v>7.65</v>
      </c>
      <c r="W8511" t="s">
        <v>330</v>
      </c>
      <c r="Y8511" s="42">
        <v>44747</v>
      </c>
    </row>
    <row r="8512" spans="14:25">
      <c r="N8512" s="42">
        <v>44698</v>
      </c>
      <c r="O8512" t="s">
        <v>333</v>
      </c>
      <c r="P8512" s="42">
        <v>44698</v>
      </c>
      <c r="Q8512" t="s">
        <v>333</v>
      </c>
      <c r="R8512" t="s">
        <v>329</v>
      </c>
      <c r="S8512" t="s">
        <v>323</v>
      </c>
      <c r="T8512">
        <v>7.6</v>
      </c>
      <c r="W8512" t="s">
        <v>330</v>
      </c>
      <c r="Y8512" s="42">
        <v>44705</v>
      </c>
    </row>
    <row r="8513" spans="14:25">
      <c r="N8513" s="42">
        <v>44683</v>
      </c>
      <c r="O8513" t="s">
        <v>345</v>
      </c>
      <c r="P8513" s="42">
        <v>44683</v>
      </c>
      <c r="Q8513" t="s">
        <v>345</v>
      </c>
      <c r="R8513" t="s">
        <v>320</v>
      </c>
      <c r="S8513" t="s">
        <v>323</v>
      </c>
      <c r="U8513">
        <v>7.6</v>
      </c>
    </row>
    <row r="8514" spans="14:25">
      <c r="N8514" s="42">
        <v>44676</v>
      </c>
      <c r="O8514" t="s">
        <v>345</v>
      </c>
      <c r="P8514" s="42">
        <v>44676</v>
      </c>
      <c r="Q8514" t="s">
        <v>345</v>
      </c>
      <c r="R8514" t="s">
        <v>320</v>
      </c>
      <c r="S8514" t="s">
        <v>323</v>
      </c>
      <c r="U8514">
        <v>7.6</v>
      </c>
    </row>
    <row r="8515" spans="14:25">
      <c r="N8515" s="42">
        <v>44669</v>
      </c>
      <c r="O8515" t="s">
        <v>345</v>
      </c>
      <c r="P8515" s="42">
        <v>44669</v>
      </c>
      <c r="Q8515" t="s">
        <v>345</v>
      </c>
      <c r="R8515" t="s">
        <v>320</v>
      </c>
      <c r="S8515" t="s">
        <v>323</v>
      </c>
      <c r="U8515">
        <v>7.6</v>
      </c>
    </row>
    <row r="8516" spans="14:25">
      <c r="N8516" s="42">
        <v>44666</v>
      </c>
      <c r="O8516" t="s">
        <v>346</v>
      </c>
      <c r="P8516" s="42">
        <v>44666</v>
      </c>
      <c r="Q8516" t="s">
        <v>346</v>
      </c>
      <c r="R8516" t="s">
        <v>320</v>
      </c>
      <c r="S8516" t="s">
        <v>323</v>
      </c>
      <c r="U8516">
        <v>7.6</v>
      </c>
    </row>
    <row r="8517" spans="14:25">
      <c r="N8517" s="42">
        <v>44664</v>
      </c>
      <c r="O8517" t="s">
        <v>328</v>
      </c>
      <c r="P8517" s="42">
        <v>44664</v>
      </c>
      <c r="Q8517" t="s">
        <v>328</v>
      </c>
      <c r="R8517" t="s">
        <v>329</v>
      </c>
      <c r="S8517" t="s">
        <v>323</v>
      </c>
      <c r="T8517">
        <v>7.6</v>
      </c>
      <c r="W8517" t="s">
        <v>330</v>
      </c>
      <c r="Y8517" s="42">
        <v>44677</v>
      </c>
    </row>
    <row r="8518" spans="14:25">
      <c r="N8518" s="42">
        <v>44643</v>
      </c>
      <c r="O8518" t="s">
        <v>328</v>
      </c>
      <c r="P8518" s="42">
        <v>44643</v>
      </c>
      <c r="Q8518" t="s">
        <v>328</v>
      </c>
      <c r="R8518" t="s">
        <v>329</v>
      </c>
      <c r="S8518" t="s">
        <v>323</v>
      </c>
      <c r="T8518">
        <v>7.6</v>
      </c>
      <c r="W8518" t="s">
        <v>330</v>
      </c>
      <c r="Y8518" s="42">
        <v>44649</v>
      </c>
    </row>
    <row r="8519" spans="14:25">
      <c r="N8519" s="42">
        <v>44621</v>
      </c>
      <c r="O8519" t="s">
        <v>333</v>
      </c>
      <c r="P8519" s="42">
        <v>44621</v>
      </c>
      <c r="Q8519" t="s">
        <v>333</v>
      </c>
      <c r="R8519" t="s">
        <v>329</v>
      </c>
      <c r="S8519" t="s">
        <v>323</v>
      </c>
      <c r="T8519">
        <v>7.6</v>
      </c>
      <c r="W8519" t="s">
        <v>330</v>
      </c>
      <c r="Y8519" s="42">
        <v>44621</v>
      </c>
    </row>
    <row r="8520" spans="14:25">
      <c r="N8520" s="42">
        <v>44620</v>
      </c>
      <c r="O8520" t="s">
        <v>345</v>
      </c>
      <c r="P8520" s="42">
        <v>44620</v>
      </c>
      <c r="Q8520" t="s">
        <v>345</v>
      </c>
      <c r="R8520" t="s">
        <v>329</v>
      </c>
      <c r="S8520" t="s">
        <v>323</v>
      </c>
      <c r="T8520">
        <v>3.6</v>
      </c>
      <c r="W8520" t="s">
        <v>330</v>
      </c>
      <c r="Y8520" s="42">
        <v>44621</v>
      </c>
    </row>
    <row r="8521" spans="14:25">
      <c r="N8521" s="42">
        <v>44587</v>
      </c>
      <c r="O8521" t="s">
        <v>328</v>
      </c>
      <c r="P8521" s="42">
        <v>44587</v>
      </c>
      <c r="Q8521" t="s">
        <v>328</v>
      </c>
      <c r="R8521" t="s">
        <v>320</v>
      </c>
      <c r="S8521" t="s">
        <v>323</v>
      </c>
      <c r="U8521">
        <v>7.6</v>
      </c>
    </row>
    <row r="8522" spans="14:25">
      <c r="N8522" s="42">
        <v>44586</v>
      </c>
      <c r="O8522" t="s">
        <v>333</v>
      </c>
      <c r="P8522" s="42">
        <v>44586</v>
      </c>
      <c r="Q8522" t="s">
        <v>333</v>
      </c>
      <c r="R8522" t="s">
        <v>329</v>
      </c>
      <c r="S8522" t="s">
        <v>323</v>
      </c>
      <c r="T8522">
        <v>7.6</v>
      </c>
      <c r="W8522" t="s">
        <v>330</v>
      </c>
      <c r="Y8522" s="42">
        <v>44593</v>
      </c>
    </row>
    <row r="8523" spans="14:25">
      <c r="N8523" s="42">
        <v>44585</v>
      </c>
      <c r="O8523" t="s">
        <v>345</v>
      </c>
      <c r="P8523" s="42">
        <v>44585</v>
      </c>
      <c r="Q8523" t="s">
        <v>345</v>
      </c>
      <c r="R8523" t="s">
        <v>329</v>
      </c>
      <c r="S8523" t="s">
        <v>323</v>
      </c>
      <c r="T8523">
        <v>7.6</v>
      </c>
      <c r="W8523" t="s">
        <v>330</v>
      </c>
      <c r="Y8523" s="42">
        <v>44593</v>
      </c>
    </row>
    <row r="8524" spans="14:25">
      <c r="N8524" s="42">
        <v>44582</v>
      </c>
      <c r="O8524" t="s">
        <v>346</v>
      </c>
      <c r="P8524" s="42">
        <v>44582</v>
      </c>
      <c r="Q8524" t="s">
        <v>346</v>
      </c>
      <c r="R8524" t="s">
        <v>329</v>
      </c>
      <c r="S8524" t="s">
        <v>323</v>
      </c>
      <c r="T8524">
        <v>7.6</v>
      </c>
      <c r="W8524" t="s">
        <v>330</v>
      </c>
      <c r="Y8524" s="42">
        <v>44593</v>
      </c>
    </row>
    <row r="8525" spans="14:25">
      <c r="N8525" s="42">
        <v>44581</v>
      </c>
      <c r="O8525" t="s">
        <v>324</v>
      </c>
      <c r="P8525" s="42">
        <v>44581</v>
      </c>
      <c r="Q8525" t="s">
        <v>324</v>
      </c>
      <c r="R8525" t="s">
        <v>329</v>
      </c>
      <c r="S8525" t="s">
        <v>323</v>
      </c>
      <c r="T8525">
        <v>7.6</v>
      </c>
      <c r="W8525" t="s">
        <v>330</v>
      </c>
      <c r="Y8525" s="42">
        <v>44593</v>
      </c>
    </row>
    <row r="8526" spans="14:25">
      <c r="N8526" s="42">
        <v>44580</v>
      </c>
      <c r="O8526" t="s">
        <v>328</v>
      </c>
      <c r="P8526" s="42">
        <v>44582</v>
      </c>
      <c r="Q8526" t="s">
        <v>346</v>
      </c>
      <c r="R8526" t="s">
        <v>320</v>
      </c>
      <c r="S8526" t="s">
        <v>323</v>
      </c>
      <c r="T8526">
        <v>22.8</v>
      </c>
      <c r="U8526">
        <v>0</v>
      </c>
      <c r="V8526">
        <v>0</v>
      </c>
      <c r="Y8526" s="42">
        <v>44593</v>
      </c>
    </row>
    <row r="8527" spans="14:25">
      <c r="N8527" s="42">
        <v>44580</v>
      </c>
      <c r="O8527" t="s">
        <v>328</v>
      </c>
      <c r="P8527" s="42">
        <v>44580</v>
      </c>
      <c r="Q8527" t="s">
        <v>328</v>
      </c>
      <c r="R8527" t="s">
        <v>329</v>
      </c>
      <c r="S8527" t="s">
        <v>323</v>
      </c>
      <c r="T8527">
        <v>7.6</v>
      </c>
      <c r="W8527" t="s">
        <v>330</v>
      </c>
      <c r="Y8527" s="42">
        <v>44593</v>
      </c>
    </row>
    <row r="8528" spans="14:25">
      <c r="N8528" s="42">
        <v>44579</v>
      </c>
      <c r="O8528" t="s">
        <v>333</v>
      </c>
      <c r="P8528" s="42">
        <v>44579</v>
      </c>
      <c r="Q8528" t="s">
        <v>333</v>
      </c>
      <c r="R8528" t="s">
        <v>320</v>
      </c>
      <c r="S8528" t="s">
        <v>323</v>
      </c>
      <c r="T8528">
        <v>7.6</v>
      </c>
      <c r="Y8528" s="42">
        <v>44579</v>
      </c>
    </row>
    <row r="8529" spans="14:25">
      <c r="N8529" s="42">
        <v>44578</v>
      </c>
      <c r="O8529" t="s">
        <v>345</v>
      </c>
      <c r="P8529" s="42">
        <v>44578</v>
      </c>
      <c r="Q8529" t="s">
        <v>345</v>
      </c>
      <c r="R8529" t="s">
        <v>320</v>
      </c>
      <c r="S8529" t="s">
        <v>323</v>
      </c>
      <c r="T8529">
        <v>7.6</v>
      </c>
      <c r="Y8529" s="42">
        <v>44579</v>
      </c>
    </row>
    <row r="8530" spans="14:25">
      <c r="N8530" s="42">
        <v>44575</v>
      </c>
      <c r="O8530" t="s">
        <v>346</v>
      </c>
      <c r="P8530" s="42">
        <v>44575</v>
      </c>
      <c r="Q8530" t="s">
        <v>346</v>
      </c>
      <c r="R8530" t="s">
        <v>320</v>
      </c>
      <c r="S8530" t="s">
        <v>323</v>
      </c>
      <c r="T8530">
        <v>7.6</v>
      </c>
      <c r="Y8530" s="42">
        <v>44579</v>
      </c>
    </row>
    <row r="8531" spans="14:25">
      <c r="N8531" s="42">
        <v>44574</v>
      </c>
      <c r="O8531" t="s">
        <v>324</v>
      </c>
      <c r="P8531" s="42">
        <v>44574</v>
      </c>
      <c r="Q8531" t="s">
        <v>324</v>
      </c>
      <c r="R8531" t="s">
        <v>320</v>
      </c>
      <c r="S8531" t="s">
        <v>323</v>
      </c>
      <c r="T8531">
        <v>7.6</v>
      </c>
      <c r="Y8531" s="42">
        <v>44579</v>
      </c>
    </row>
    <row r="8532" spans="14:25">
      <c r="N8532" s="42">
        <v>44573</v>
      </c>
      <c r="O8532" t="s">
        <v>328</v>
      </c>
      <c r="P8532" s="42">
        <v>44573</v>
      </c>
      <c r="Q8532" t="s">
        <v>328</v>
      </c>
      <c r="R8532" t="s">
        <v>320</v>
      </c>
      <c r="S8532" t="s">
        <v>323</v>
      </c>
      <c r="T8532">
        <v>7.6</v>
      </c>
      <c r="Y8532" s="42">
        <v>44579</v>
      </c>
    </row>
    <row r="8533" spans="14:25">
      <c r="N8533" s="42">
        <v>44572</v>
      </c>
      <c r="O8533" t="s">
        <v>333</v>
      </c>
      <c r="P8533" s="42">
        <v>44572</v>
      </c>
      <c r="Q8533" t="s">
        <v>333</v>
      </c>
      <c r="R8533" t="s">
        <v>320</v>
      </c>
      <c r="S8533" t="s">
        <v>323</v>
      </c>
      <c r="T8533">
        <v>7.6</v>
      </c>
      <c r="Y8533" s="42">
        <v>44579</v>
      </c>
    </row>
    <row r="8534" spans="14:25">
      <c r="N8534" s="42">
        <v>44571</v>
      </c>
      <c r="O8534" t="s">
        <v>345</v>
      </c>
      <c r="P8534" s="42">
        <v>44571</v>
      </c>
      <c r="Q8534" t="s">
        <v>345</v>
      </c>
      <c r="R8534" t="s">
        <v>320</v>
      </c>
      <c r="S8534" t="s">
        <v>323</v>
      </c>
      <c r="T8534">
        <v>7.6</v>
      </c>
      <c r="Y8534" s="42">
        <v>44579</v>
      </c>
    </row>
    <row r="8535" spans="14:25">
      <c r="N8535" s="42">
        <v>44568</v>
      </c>
      <c r="O8535" t="s">
        <v>346</v>
      </c>
      <c r="P8535" s="42">
        <v>44579</v>
      </c>
      <c r="Q8535" t="s">
        <v>333</v>
      </c>
      <c r="R8535" t="s">
        <v>320</v>
      </c>
      <c r="S8535" t="s">
        <v>323</v>
      </c>
      <c r="T8535">
        <v>60.8</v>
      </c>
      <c r="U8535">
        <v>0</v>
      </c>
      <c r="V8535">
        <v>0</v>
      </c>
      <c r="Y8535" s="42">
        <v>44579</v>
      </c>
    </row>
    <row r="8536" spans="14:25">
      <c r="N8536" s="42">
        <v>44564</v>
      </c>
      <c r="O8536" t="s">
        <v>345</v>
      </c>
      <c r="P8536" s="42">
        <v>44564</v>
      </c>
      <c r="Q8536" t="s">
        <v>345</v>
      </c>
      <c r="R8536" t="s">
        <v>320</v>
      </c>
      <c r="S8536" t="s">
        <v>323</v>
      </c>
      <c r="U8536">
        <v>7.6</v>
      </c>
    </row>
    <row r="8537" spans="14:25">
      <c r="N8537" s="42">
        <v>44558</v>
      </c>
      <c r="O8537" t="s">
        <v>333</v>
      </c>
      <c r="P8537" s="42">
        <v>44558</v>
      </c>
      <c r="Q8537" t="s">
        <v>333</v>
      </c>
      <c r="R8537" t="s">
        <v>320</v>
      </c>
      <c r="S8537" t="s">
        <v>323</v>
      </c>
      <c r="U8537">
        <v>7.6</v>
      </c>
    </row>
    <row r="8538" spans="14:25">
      <c r="N8538" s="42">
        <v>44557</v>
      </c>
      <c r="O8538" t="s">
        <v>345</v>
      </c>
      <c r="P8538" s="42">
        <v>44557</v>
      </c>
      <c r="Q8538" t="s">
        <v>345</v>
      </c>
      <c r="R8538" t="s">
        <v>320</v>
      </c>
      <c r="S8538" t="s">
        <v>323</v>
      </c>
      <c r="U8538">
        <v>7.6</v>
      </c>
    </row>
    <row r="8539" spans="14:25">
      <c r="N8539" s="42">
        <v>44498</v>
      </c>
      <c r="O8539" t="s">
        <v>346</v>
      </c>
      <c r="P8539" s="42">
        <v>44498</v>
      </c>
      <c r="Q8539" t="s">
        <v>346</v>
      </c>
      <c r="R8539" t="s">
        <v>320</v>
      </c>
      <c r="S8539" t="s">
        <v>323</v>
      </c>
      <c r="U8539">
        <v>7.6</v>
      </c>
    </row>
    <row r="8540" spans="14:25">
      <c r="N8540" s="42">
        <v>44473</v>
      </c>
      <c r="O8540" t="s">
        <v>345</v>
      </c>
      <c r="P8540" s="42">
        <v>44473</v>
      </c>
      <c r="Q8540" t="s">
        <v>345</v>
      </c>
      <c r="R8540" t="s">
        <v>320</v>
      </c>
      <c r="S8540" t="s">
        <v>323</v>
      </c>
      <c r="U8540">
        <v>7.6</v>
      </c>
    </row>
    <row r="8541" spans="14:25">
      <c r="N8541" s="42">
        <v>44463</v>
      </c>
      <c r="O8541" t="s">
        <v>346</v>
      </c>
      <c r="P8541" s="42">
        <v>44463</v>
      </c>
      <c r="Q8541" t="s">
        <v>346</v>
      </c>
      <c r="R8541" t="s">
        <v>329</v>
      </c>
      <c r="S8541" t="s">
        <v>323</v>
      </c>
      <c r="T8541">
        <v>7.1</v>
      </c>
      <c r="W8541" t="s">
        <v>330</v>
      </c>
      <c r="Y8541" s="42">
        <v>44467</v>
      </c>
    </row>
    <row r="8542" spans="14:25">
      <c r="N8542" s="42">
        <v>44383</v>
      </c>
      <c r="O8542" t="s">
        <v>333</v>
      </c>
      <c r="P8542" s="42">
        <v>44383</v>
      </c>
      <c r="Q8542" t="s">
        <v>333</v>
      </c>
      <c r="R8542" t="s">
        <v>329</v>
      </c>
      <c r="S8542" t="s">
        <v>323</v>
      </c>
      <c r="T8542">
        <v>15.2</v>
      </c>
      <c r="W8542" t="s">
        <v>330</v>
      </c>
      <c r="Y8542" s="42">
        <v>44383</v>
      </c>
    </row>
    <row r="8543" spans="14:25">
      <c r="N8543" s="42">
        <v>44376</v>
      </c>
      <c r="O8543" t="s">
        <v>333</v>
      </c>
      <c r="P8543" s="42">
        <v>44376</v>
      </c>
      <c r="Q8543" t="s">
        <v>333</v>
      </c>
      <c r="R8543" t="s">
        <v>320</v>
      </c>
      <c r="S8543" t="s">
        <v>323</v>
      </c>
      <c r="T8543">
        <v>7.6</v>
      </c>
      <c r="Y8543" s="42">
        <v>44383</v>
      </c>
    </row>
    <row r="8544" spans="14:25">
      <c r="N8544" s="42">
        <v>44375</v>
      </c>
      <c r="O8544" t="s">
        <v>345</v>
      </c>
      <c r="P8544" s="42">
        <v>44375</v>
      </c>
      <c r="Q8544" t="s">
        <v>345</v>
      </c>
      <c r="R8544" t="s">
        <v>329</v>
      </c>
      <c r="S8544" t="s">
        <v>323</v>
      </c>
      <c r="T8544">
        <v>4.8499999999999996</v>
      </c>
      <c r="W8544" t="s">
        <v>330</v>
      </c>
      <c r="Y8544" s="42">
        <v>44383</v>
      </c>
    </row>
    <row r="8545" spans="1:25">
      <c r="N8545" s="42">
        <v>44319</v>
      </c>
      <c r="O8545" t="s">
        <v>345</v>
      </c>
      <c r="P8545" s="42">
        <v>44319</v>
      </c>
      <c r="Q8545" t="s">
        <v>345</v>
      </c>
      <c r="R8545" t="s">
        <v>320</v>
      </c>
      <c r="S8545" t="s">
        <v>323</v>
      </c>
      <c r="U8545">
        <v>7.6</v>
      </c>
    </row>
    <row r="8546" spans="1:25">
      <c r="N8546" s="42">
        <v>44312</v>
      </c>
      <c r="O8546" t="s">
        <v>345</v>
      </c>
      <c r="P8546" s="42">
        <v>44312</v>
      </c>
      <c r="Q8546" t="s">
        <v>345</v>
      </c>
      <c r="R8546" t="s">
        <v>320</v>
      </c>
      <c r="S8546" t="s">
        <v>323</v>
      </c>
      <c r="U8546">
        <v>7.6</v>
      </c>
    </row>
    <row r="8547" spans="1:25">
      <c r="N8547" s="42">
        <v>44291</v>
      </c>
      <c r="O8547" t="s">
        <v>345</v>
      </c>
      <c r="P8547" s="42">
        <v>44291</v>
      </c>
      <c r="Q8547" t="s">
        <v>345</v>
      </c>
      <c r="R8547" t="s">
        <v>320</v>
      </c>
      <c r="S8547" t="s">
        <v>323</v>
      </c>
      <c r="U8547">
        <v>7.6</v>
      </c>
    </row>
    <row r="8548" spans="1:25">
      <c r="N8548" s="42">
        <v>44288</v>
      </c>
      <c r="O8548" t="s">
        <v>346</v>
      </c>
      <c r="P8548" s="42">
        <v>44288</v>
      </c>
      <c r="Q8548" t="s">
        <v>346</v>
      </c>
      <c r="R8548" t="s">
        <v>320</v>
      </c>
      <c r="S8548" t="s">
        <v>323</v>
      </c>
      <c r="U8548">
        <v>7.6</v>
      </c>
    </row>
    <row r="8549" spans="1:25">
      <c r="A8549">
        <v>18946</v>
      </c>
      <c r="B8549" t="s">
        <v>453</v>
      </c>
      <c r="C8549" t="s">
        <v>320</v>
      </c>
      <c r="D8549" t="s">
        <v>336</v>
      </c>
      <c r="E8549" t="s">
        <v>337</v>
      </c>
      <c r="F8549">
        <v>1</v>
      </c>
      <c r="G8549" s="42">
        <v>45007</v>
      </c>
      <c r="H8549">
        <v>152</v>
      </c>
      <c r="I8549">
        <v>-77.061499999999995</v>
      </c>
      <c r="J8549">
        <v>144.50409999999999</v>
      </c>
      <c r="K8549">
        <v>67.442599999999999</v>
      </c>
      <c r="L8549" t="s">
        <v>323</v>
      </c>
      <c r="M8549" s="43">
        <v>4.7916666666666663E-2</v>
      </c>
      <c r="N8549" s="42">
        <v>45042</v>
      </c>
      <c r="O8549" t="s">
        <v>328</v>
      </c>
      <c r="P8549" s="42">
        <v>45044</v>
      </c>
      <c r="Q8549" t="s">
        <v>346</v>
      </c>
      <c r="R8549" t="s">
        <v>320</v>
      </c>
      <c r="S8549" t="s">
        <v>323</v>
      </c>
      <c r="T8549">
        <v>22.8</v>
      </c>
      <c r="U8549">
        <v>0</v>
      </c>
      <c r="V8549">
        <v>0</v>
      </c>
    </row>
    <row r="8550" spans="1:25">
      <c r="C8550" t="s">
        <v>325</v>
      </c>
      <c r="D8550" t="s">
        <v>395</v>
      </c>
      <c r="E8550" t="s">
        <v>396</v>
      </c>
      <c r="F8550">
        <v>1</v>
      </c>
      <c r="G8550" s="42">
        <v>47990</v>
      </c>
      <c r="H8550">
        <v>329.33330000000001</v>
      </c>
      <c r="I8550">
        <v>0</v>
      </c>
      <c r="J8550">
        <v>58.706499999999998</v>
      </c>
      <c r="K8550">
        <v>58.706499999999998</v>
      </c>
      <c r="L8550" t="s">
        <v>323</v>
      </c>
      <c r="N8550" s="42">
        <v>45040</v>
      </c>
      <c r="O8550" t="s">
        <v>345</v>
      </c>
      <c r="P8550" s="42">
        <v>45041</v>
      </c>
      <c r="Q8550" t="s">
        <v>333</v>
      </c>
      <c r="R8550" t="s">
        <v>320</v>
      </c>
      <c r="S8550" t="s">
        <v>323</v>
      </c>
      <c r="T8550">
        <v>7.6</v>
      </c>
      <c r="U8550">
        <v>7.6</v>
      </c>
      <c r="V8550">
        <v>0</v>
      </c>
    </row>
    <row r="8551" spans="1:25">
      <c r="C8551" t="s">
        <v>329</v>
      </c>
      <c r="D8551" t="s">
        <v>342</v>
      </c>
      <c r="E8551" t="s">
        <v>343</v>
      </c>
      <c r="F8551">
        <v>1</v>
      </c>
      <c r="G8551" s="42">
        <v>45007</v>
      </c>
      <c r="H8551">
        <v>76</v>
      </c>
      <c r="I8551">
        <v>-30.3307</v>
      </c>
      <c r="J8551">
        <v>72.252099999999999</v>
      </c>
      <c r="K8551">
        <v>41.921399999999998</v>
      </c>
      <c r="L8551" t="s">
        <v>323</v>
      </c>
      <c r="N8551" s="42">
        <v>44952</v>
      </c>
      <c r="O8551" t="s">
        <v>324</v>
      </c>
      <c r="P8551" s="42">
        <v>44952</v>
      </c>
      <c r="Q8551" t="s">
        <v>324</v>
      </c>
      <c r="R8551" t="s">
        <v>320</v>
      </c>
      <c r="S8551" t="s">
        <v>323</v>
      </c>
      <c r="U8551">
        <v>7.6</v>
      </c>
      <c r="Y8551" s="42">
        <v>44957</v>
      </c>
    </row>
    <row r="8552" spans="1:25">
      <c r="N8552" s="42">
        <v>44930</v>
      </c>
      <c r="O8552" t="s">
        <v>328</v>
      </c>
      <c r="P8552" s="42">
        <v>44932</v>
      </c>
      <c r="Q8552" t="s">
        <v>346</v>
      </c>
      <c r="R8552" t="s">
        <v>320</v>
      </c>
      <c r="S8552" t="s">
        <v>323</v>
      </c>
      <c r="T8552">
        <v>22.8</v>
      </c>
      <c r="U8552">
        <v>0</v>
      </c>
      <c r="V8552">
        <v>0</v>
      </c>
      <c r="Y8552" s="42">
        <v>44943</v>
      </c>
    </row>
    <row r="8553" spans="1:25">
      <c r="N8553" s="42">
        <v>44916</v>
      </c>
      <c r="O8553" t="s">
        <v>328</v>
      </c>
      <c r="P8553" s="42">
        <v>44929</v>
      </c>
      <c r="Q8553" t="s">
        <v>333</v>
      </c>
      <c r="R8553" t="s">
        <v>320</v>
      </c>
      <c r="S8553" t="s">
        <v>323</v>
      </c>
      <c r="T8553">
        <v>53.2</v>
      </c>
      <c r="U8553">
        <v>22.8</v>
      </c>
      <c r="V8553">
        <v>0</v>
      </c>
      <c r="Y8553" s="42">
        <v>44929</v>
      </c>
    </row>
    <row r="8554" spans="1:25">
      <c r="N8554" s="42">
        <v>44914</v>
      </c>
      <c r="O8554" t="s">
        <v>345</v>
      </c>
      <c r="P8554" s="42">
        <v>44915</v>
      </c>
      <c r="Q8554" t="s">
        <v>333</v>
      </c>
      <c r="R8554" t="s">
        <v>320</v>
      </c>
      <c r="S8554" t="s">
        <v>323</v>
      </c>
      <c r="T8554">
        <v>15.2</v>
      </c>
      <c r="U8554">
        <v>0</v>
      </c>
      <c r="V8554">
        <v>0</v>
      </c>
      <c r="Y8554" s="42">
        <v>44915</v>
      </c>
    </row>
    <row r="8555" spans="1:25">
      <c r="N8555" s="42">
        <v>44893</v>
      </c>
      <c r="O8555" t="s">
        <v>345</v>
      </c>
      <c r="P8555" s="42">
        <v>44893</v>
      </c>
      <c r="Q8555" t="s">
        <v>345</v>
      </c>
      <c r="R8555" t="s">
        <v>320</v>
      </c>
      <c r="S8555" t="s">
        <v>323</v>
      </c>
      <c r="T8555">
        <v>7.6</v>
      </c>
      <c r="V8555">
        <v>0</v>
      </c>
      <c r="Y8555" s="42">
        <v>44901</v>
      </c>
    </row>
    <row r="8556" spans="1:25">
      <c r="N8556" s="42">
        <v>44837</v>
      </c>
      <c r="O8556" t="s">
        <v>345</v>
      </c>
      <c r="P8556" s="42">
        <v>44837</v>
      </c>
      <c r="Q8556" t="s">
        <v>345</v>
      </c>
      <c r="R8556" t="s">
        <v>320</v>
      </c>
      <c r="S8556" t="s">
        <v>323</v>
      </c>
      <c r="U8556">
        <v>7.6</v>
      </c>
      <c r="Y8556" s="42">
        <v>44845</v>
      </c>
    </row>
    <row r="8557" spans="1:25">
      <c r="N8557" s="42">
        <v>44826</v>
      </c>
      <c r="O8557" t="s">
        <v>324</v>
      </c>
      <c r="P8557" s="42">
        <v>44826</v>
      </c>
      <c r="Q8557" t="s">
        <v>324</v>
      </c>
      <c r="R8557" t="s">
        <v>320</v>
      </c>
      <c r="S8557" t="s">
        <v>323</v>
      </c>
      <c r="U8557">
        <v>7.6</v>
      </c>
      <c r="Y8557" s="42">
        <v>44831</v>
      </c>
    </row>
    <row r="8558" spans="1:25">
      <c r="N8558" s="42">
        <v>44804</v>
      </c>
      <c r="O8558" t="s">
        <v>328</v>
      </c>
      <c r="P8558" s="42">
        <v>44804</v>
      </c>
      <c r="Q8558" t="s">
        <v>328</v>
      </c>
      <c r="R8558" t="s">
        <v>329</v>
      </c>
      <c r="S8558" t="s">
        <v>323</v>
      </c>
      <c r="T8558">
        <v>7.6</v>
      </c>
      <c r="U8558">
        <v>0</v>
      </c>
      <c r="W8558" t="s">
        <v>330</v>
      </c>
      <c r="X8558" t="s">
        <v>330</v>
      </c>
      <c r="Y8558" s="42">
        <v>44817</v>
      </c>
    </row>
    <row r="8559" spans="1:25">
      <c r="N8559" s="42">
        <v>44798</v>
      </c>
      <c r="O8559" t="s">
        <v>324</v>
      </c>
      <c r="P8559" s="42">
        <v>44803</v>
      </c>
      <c r="Q8559" t="s">
        <v>333</v>
      </c>
      <c r="R8559" t="s">
        <v>329</v>
      </c>
      <c r="S8559" t="s">
        <v>323</v>
      </c>
      <c r="T8559">
        <v>30.4</v>
      </c>
      <c r="U8559">
        <v>0</v>
      </c>
      <c r="W8559" t="s">
        <v>330</v>
      </c>
      <c r="X8559" t="s">
        <v>330</v>
      </c>
      <c r="Y8559" s="42">
        <v>44803</v>
      </c>
    </row>
    <row r="8560" spans="1:25">
      <c r="N8560" s="42">
        <v>44783</v>
      </c>
      <c r="O8560" t="s">
        <v>328</v>
      </c>
      <c r="P8560" s="42">
        <v>44783</v>
      </c>
      <c r="Q8560" t="s">
        <v>328</v>
      </c>
      <c r="R8560" t="s">
        <v>320</v>
      </c>
      <c r="S8560" t="s">
        <v>323</v>
      </c>
      <c r="U8560">
        <v>7.6</v>
      </c>
      <c r="Y8560" s="42">
        <v>44789</v>
      </c>
    </row>
    <row r="8561" spans="14:25">
      <c r="N8561" s="42">
        <v>44778</v>
      </c>
      <c r="O8561" t="s">
        <v>346</v>
      </c>
      <c r="P8561" s="42">
        <v>44778</v>
      </c>
      <c r="Q8561" t="s">
        <v>346</v>
      </c>
      <c r="R8561" t="s">
        <v>320</v>
      </c>
      <c r="S8561" t="s">
        <v>323</v>
      </c>
      <c r="T8561">
        <v>7.6</v>
      </c>
      <c r="V8561">
        <v>0</v>
      </c>
      <c r="Y8561" s="42">
        <v>44789</v>
      </c>
    </row>
    <row r="8562" spans="14:25">
      <c r="N8562" s="42">
        <v>44764</v>
      </c>
      <c r="O8562" t="s">
        <v>346</v>
      </c>
      <c r="P8562" s="42">
        <v>44764</v>
      </c>
      <c r="Q8562" t="s">
        <v>346</v>
      </c>
      <c r="R8562" t="s">
        <v>320</v>
      </c>
      <c r="S8562" t="s">
        <v>323</v>
      </c>
      <c r="T8562">
        <v>4</v>
      </c>
      <c r="V8562">
        <v>0</v>
      </c>
      <c r="Y8562" s="42">
        <v>44775</v>
      </c>
    </row>
    <row r="8563" spans="14:25">
      <c r="N8563" s="42">
        <v>44762</v>
      </c>
      <c r="O8563" t="s">
        <v>328</v>
      </c>
      <c r="P8563" s="42">
        <v>44762</v>
      </c>
      <c r="Q8563" t="s">
        <v>328</v>
      </c>
      <c r="R8563" t="s">
        <v>329</v>
      </c>
      <c r="S8563" t="s">
        <v>323</v>
      </c>
      <c r="T8563">
        <v>7.6</v>
      </c>
      <c r="U8563">
        <v>0</v>
      </c>
      <c r="W8563" t="s">
        <v>330</v>
      </c>
      <c r="X8563" t="s">
        <v>330</v>
      </c>
      <c r="Y8563" s="42">
        <v>44775</v>
      </c>
    </row>
    <row r="8564" spans="14:25">
      <c r="N8564" s="42">
        <v>44761</v>
      </c>
      <c r="O8564" t="s">
        <v>333</v>
      </c>
      <c r="P8564" s="42">
        <v>44761</v>
      </c>
      <c r="Q8564" t="s">
        <v>333</v>
      </c>
      <c r="R8564" t="s">
        <v>329</v>
      </c>
      <c r="S8564" t="s">
        <v>323</v>
      </c>
      <c r="T8564">
        <v>7.6</v>
      </c>
      <c r="U8564">
        <v>0</v>
      </c>
      <c r="W8564" t="s">
        <v>330</v>
      </c>
      <c r="X8564" t="s">
        <v>330</v>
      </c>
      <c r="Y8564" s="42">
        <v>44775</v>
      </c>
    </row>
    <row r="8565" spans="14:25">
      <c r="N8565" s="42">
        <v>44683</v>
      </c>
      <c r="O8565" t="s">
        <v>345</v>
      </c>
      <c r="P8565" s="42">
        <v>44683</v>
      </c>
      <c r="Q8565" t="s">
        <v>345</v>
      </c>
      <c r="R8565" t="s">
        <v>320</v>
      </c>
      <c r="S8565" t="s">
        <v>323</v>
      </c>
      <c r="U8565">
        <v>7.6</v>
      </c>
      <c r="Y8565" s="42">
        <v>44691</v>
      </c>
    </row>
    <row r="8566" spans="14:25">
      <c r="N8566" s="42">
        <v>44676</v>
      </c>
      <c r="O8566" t="s">
        <v>345</v>
      </c>
      <c r="P8566" s="42">
        <v>44676</v>
      </c>
      <c r="Q8566" t="s">
        <v>345</v>
      </c>
      <c r="R8566" t="s">
        <v>320</v>
      </c>
      <c r="S8566" t="s">
        <v>323</v>
      </c>
      <c r="U8566">
        <v>7.6</v>
      </c>
      <c r="Y8566" s="42">
        <v>44677</v>
      </c>
    </row>
    <row r="8567" spans="14:25">
      <c r="N8567" s="42">
        <v>44669</v>
      </c>
      <c r="O8567" t="s">
        <v>345</v>
      </c>
      <c r="P8567" s="42">
        <v>44669</v>
      </c>
      <c r="Q8567" t="s">
        <v>345</v>
      </c>
      <c r="R8567" t="s">
        <v>320</v>
      </c>
      <c r="S8567" t="s">
        <v>323</v>
      </c>
      <c r="U8567">
        <v>7.6</v>
      </c>
      <c r="Y8567" s="42">
        <v>44677</v>
      </c>
    </row>
    <row r="8568" spans="14:25">
      <c r="N8568" s="42">
        <v>44666</v>
      </c>
      <c r="O8568" t="s">
        <v>346</v>
      </c>
      <c r="P8568" s="42">
        <v>44666</v>
      </c>
      <c r="Q8568" t="s">
        <v>346</v>
      </c>
      <c r="R8568" t="s">
        <v>320</v>
      </c>
      <c r="S8568" t="s">
        <v>323</v>
      </c>
      <c r="U8568">
        <v>7.6</v>
      </c>
      <c r="Y8568" s="42">
        <v>44677</v>
      </c>
    </row>
    <row r="8569" spans="14:25">
      <c r="N8569" s="42">
        <v>44664</v>
      </c>
      <c r="O8569" t="s">
        <v>328</v>
      </c>
      <c r="P8569" s="42">
        <v>44665</v>
      </c>
      <c r="Q8569" t="s">
        <v>324</v>
      </c>
      <c r="R8569" t="s">
        <v>320</v>
      </c>
      <c r="S8569" t="s">
        <v>323</v>
      </c>
      <c r="T8569">
        <v>15.2</v>
      </c>
      <c r="U8569">
        <v>0</v>
      </c>
      <c r="V8569">
        <v>0</v>
      </c>
      <c r="Y8569" s="42">
        <v>44677</v>
      </c>
    </row>
    <row r="8570" spans="14:25">
      <c r="N8570" s="42">
        <v>44655</v>
      </c>
      <c r="O8570" t="s">
        <v>345</v>
      </c>
      <c r="P8570" s="42">
        <v>44663</v>
      </c>
      <c r="Q8570" t="s">
        <v>333</v>
      </c>
      <c r="R8570" t="s">
        <v>320</v>
      </c>
      <c r="S8570" t="s">
        <v>323</v>
      </c>
      <c r="T8570">
        <v>53.2</v>
      </c>
      <c r="U8570">
        <v>0</v>
      </c>
      <c r="V8570">
        <v>0</v>
      </c>
      <c r="Y8570" s="42">
        <v>44663</v>
      </c>
    </row>
    <row r="8571" spans="14:25">
      <c r="N8571" s="42">
        <v>44587</v>
      </c>
      <c r="O8571" t="s">
        <v>328</v>
      </c>
      <c r="P8571" s="42">
        <v>44587</v>
      </c>
      <c r="Q8571" t="s">
        <v>328</v>
      </c>
      <c r="R8571" t="s">
        <v>320</v>
      </c>
      <c r="S8571" t="s">
        <v>323</v>
      </c>
      <c r="U8571">
        <v>7.6</v>
      </c>
      <c r="Y8571" s="42">
        <v>44593</v>
      </c>
    </row>
    <row r="8572" spans="14:25">
      <c r="N8572" s="42">
        <v>44582</v>
      </c>
      <c r="O8572" t="s">
        <v>346</v>
      </c>
      <c r="P8572" s="42">
        <v>44586</v>
      </c>
      <c r="Q8572" t="s">
        <v>333</v>
      </c>
      <c r="R8572" t="s">
        <v>320</v>
      </c>
      <c r="S8572" t="s">
        <v>323</v>
      </c>
      <c r="T8572">
        <v>22.8</v>
      </c>
      <c r="U8572">
        <v>0</v>
      </c>
      <c r="V8572">
        <v>0</v>
      </c>
      <c r="Y8572" s="42">
        <v>44593</v>
      </c>
    </row>
    <row r="8573" spans="14:25">
      <c r="N8573" s="42">
        <v>44564</v>
      </c>
      <c r="O8573" t="s">
        <v>345</v>
      </c>
      <c r="P8573" s="42">
        <v>44564</v>
      </c>
      <c r="Q8573" t="s">
        <v>345</v>
      </c>
      <c r="R8573" t="s">
        <v>320</v>
      </c>
      <c r="S8573" t="s">
        <v>323</v>
      </c>
      <c r="U8573">
        <v>7.6</v>
      </c>
      <c r="Y8573" s="42">
        <v>44565</v>
      </c>
    </row>
    <row r="8574" spans="14:25">
      <c r="N8574" s="42">
        <v>44558</v>
      </c>
      <c r="O8574" t="s">
        <v>333</v>
      </c>
      <c r="P8574" s="42">
        <v>44558</v>
      </c>
      <c r="Q8574" t="s">
        <v>333</v>
      </c>
      <c r="R8574" t="s">
        <v>320</v>
      </c>
      <c r="S8574" t="s">
        <v>323</v>
      </c>
      <c r="U8574">
        <v>7.6</v>
      </c>
      <c r="Y8574" s="42">
        <v>44565</v>
      </c>
    </row>
    <row r="8575" spans="14:25">
      <c r="N8575" s="42">
        <v>44557</v>
      </c>
      <c r="O8575" t="s">
        <v>345</v>
      </c>
      <c r="P8575" s="42">
        <v>44557</v>
      </c>
      <c r="Q8575" t="s">
        <v>345</v>
      </c>
      <c r="R8575" t="s">
        <v>320</v>
      </c>
      <c r="S8575" t="s">
        <v>323</v>
      </c>
      <c r="U8575">
        <v>7.6</v>
      </c>
      <c r="Y8575" s="42">
        <v>44565</v>
      </c>
    </row>
    <row r="8576" spans="14:25">
      <c r="N8576" s="42">
        <v>44473</v>
      </c>
      <c r="O8576" t="s">
        <v>345</v>
      </c>
      <c r="P8576" s="42">
        <v>44473</v>
      </c>
      <c r="Q8576" t="s">
        <v>345</v>
      </c>
      <c r="R8576" t="s">
        <v>320</v>
      </c>
      <c r="S8576" t="s">
        <v>323</v>
      </c>
      <c r="U8576">
        <v>7.6</v>
      </c>
      <c r="Y8576" s="42">
        <v>44481</v>
      </c>
    </row>
    <row r="8577" spans="1:25">
      <c r="N8577" s="42">
        <v>44414</v>
      </c>
      <c r="O8577" t="s">
        <v>346</v>
      </c>
      <c r="P8577" s="42">
        <v>44414</v>
      </c>
      <c r="Q8577" t="s">
        <v>346</v>
      </c>
      <c r="R8577" t="s">
        <v>320</v>
      </c>
      <c r="S8577" t="s">
        <v>323</v>
      </c>
      <c r="T8577">
        <v>7.6</v>
      </c>
      <c r="V8577">
        <v>0</v>
      </c>
      <c r="Y8577" s="42">
        <v>44425</v>
      </c>
    </row>
    <row r="8578" spans="1:25">
      <c r="N8578" s="42">
        <v>44370</v>
      </c>
      <c r="O8578" t="s">
        <v>328</v>
      </c>
      <c r="P8578" s="42">
        <v>44379</v>
      </c>
      <c r="Q8578" t="s">
        <v>346</v>
      </c>
      <c r="R8578" t="s">
        <v>454</v>
      </c>
      <c r="S8578" t="s">
        <v>323</v>
      </c>
      <c r="T8578">
        <v>8.8000000000000007</v>
      </c>
      <c r="W8578" t="s">
        <v>330</v>
      </c>
      <c r="Y8578" s="42">
        <v>44383</v>
      </c>
    </row>
    <row r="8579" spans="1:25">
      <c r="N8579" s="42">
        <v>44356</v>
      </c>
      <c r="O8579" t="s">
        <v>328</v>
      </c>
      <c r="P8579" s="42">
        <v>44369</v>
      </c>
      <c r="Q8579" t="s">
        <v>333</v>
      </c>
      <c r="R8579" t="s">
        <v>454</v>
      </c>
      <c r="S8579" t="s">
        <v>323</v>
      </c>
      <c r="T8579">
        <v>23</v>
      </c>
      <c r="W8579" t="s">
        <v>330</v>
      </c>
      <c r="Y8579" s="42">
        <v>44369</v>
      </c>
    </row>
    <row r="8580" spans="1:25">
      <c r="N8580" s="42">
        <v>44347</v>
      </c>
      <c r="O8580" t="s">
        <v>345</v>
      </c>
      <c r="P8580" s="42">
        <v>44347</v>
      </c>
      <c r="Q8580" t="s">
        <v>345</v>
      </c>
      <c r="R8580" t="s">
        <v>338</v>
      </c>
      <c r="S8580" t="s">
        <v>323</v>
      </c>
      <c r="T8580">
        <v>76</v>
      </c>
      <c r="W8580" t="s">
        <v>330</v>
      </c>
      <c r="Y8580" s="42">
        <v>44341</v>
      </c>
    </row>
    <row r="8581" spans="1:25">
      <c r="N8581" s="42">
        <v>44342</v>
      </c>
      <c r="O8581" t="s">
        <v>328</v>
      </c>
      <c r="P8581" s="42">
        <v>44355</v>
      </c>
      <c r="Q8581" t="s">
        <v>333</v>
      </c>
      <c r="R8581" t="s">
        <v>454</v>
      </c>
      <c r="S8581" t="s">
        <v>323</v>
      </c>
      <c r="T8581">
        <v>34</v>
      </c>
      <c r="W8581" t="s">
        <v>330</v>
      </c>
      <c r="Y8581" s="42">
        <v>44355</v>
      </c>
    </row>
    <row r="8582" spans="1:25">
      <c r="N8582" s="42">
        <v>44314</v>
      </c>
      <c r="O8582" t="s">
        <v>328</v>
      </c>
      <c r="P8582" s="42">
        <v>44327</v>
      </c>
      <c r="Q8582" t="s">
        <v>333</v>
      </c>
      <c r="R8582" t="s">
        <v>338</v>
      </c>
      <c r="S8582" t="s">
        <v>323</v>
      </c>
      <c r="T8582">
        <v>76</v>
      </c>
      <c r="W8582" t="s">
        <v>330</v>
      </c>
      <c r="Y8582" s="42">
        <v>44327</v>
      </c>
    </row>
    <row r="8583" spans="1:25">
      <c r="N8583" s="42">
        <v>44312</v>
      </c>
      <c r="O8583" t="s">
        <v>345</v>
      </c>
      <c r="P8583" s="42">
        <v>44312</v>
      </c>
      <c r="Q8583" t="s">
        <v>345</v>
      </c>
      <c r="R8583" t="s">
        <v>320</v>
      </c>
      <c r="S8583" t="s">
        <v>323</v>
      </c>
      <c r="U8583">
        <v>7.6</v>
      </c>
      <c r="Y8583" s="42">
        <v>44313</v>
      </c>
    </row>
    <row r="8584" spans="1:25">
      <c r="N8584" s="42">
        <v>44307</v>
      </c>
      <c r="O8584" t="s">
        <v>328</v>
      </c>
      <c r="P8584" s="42">
        <v>44313</v>
      </c>
      <c r="Q8584" t="s">
        <v>333</v>
      </c>
      <c r="R8584" t="s">
        <v>338</v>
      </c>
      <c r="S8584" t="s">
        <v>323</v>
      </c>
      <c r="T8584">
        <v>30.4</v>
      </c>
      <c r="W8584" t="s">
        <v>330</v>
      </c>
      <c r="Y8584" s="42">
        <v>44313</v>
      </c>
    </row>
    <row r="8585" spans="1:25">
      <c r="N8585" s="42">
        <v>44300</v>
      </c>
      <c r="O8585" t="s">
        <v>328</v>
      </c>
      <c r="P8585" s="42">
        <v>44306</v>
      </c>
      <c r="Q8585" t="s">
        <v>333</v>
      </c>
      <c r="R8585" t="s">
        <v>329</v>
      </c>
      <c r="S8585" t="s">
        <v>323</v>
      </c>
      <c r="T8585">
        <v>38</v>
      </c>
      <c r="W8585" t="s">
        <v>330</v>
      </c>
      <c r="Y8585" s="42">
        <v>44313</v>
      </c>
    </row>
    <row r="8586" spans="1:25">
      <c r="N8586" s="42">
        <v>44298</v>
      </c>
      <c r="O8586" t="s">
        <v>345</v>
      </c>
      <c r="P8586" s="42">
        <v>44298</v>
      </c>
      <c r="Q8586" t="s">
        <v>345</v>
      </c>
      <c r="R8586" t="s">
        <v>329</v>
      </c>
      <c r="S8586" t="s">
        <v>323</v>
      </c>
      <c r="T8586">
        <v>5.2</v>
      </c>
      <c r="W8586" t="s">
        <v>330</v>
      </c>
      <c r="Y8586" s="42">
        <v>44299</v>
      </c>
    </row>
    <row r="8587" spans="1:25">
      <c r="N8587" s="42">
        <v>44298</v>
      </c>
      <c r="O8587" t="s">
        <v>345</v>
      </c>
      <c r="P8587" s="42">
        <v>44299</v>
      </c>
      <c r="Q8587" t="s">
        <v>333</v>
      </c>
      <c r="R8587" t="s">
        <v>338</v>
      </c>
      <c r="S8587" t="s">
        <v>323</v>
      </c>
      <c r="T8587">
        <v>10</v>
      </c>
      <c r="W8587" t="s">
        <v>330</v>
      </c>
      <c r="Y8587" s="42">
        <v>44299</v>
      </c>
    </row>
    <row r="8588" spans="1:25">
      <c r="N8588" s="42">
        <v>44291</v>
      </c>
      <c r="O8588" t="s">
        <v>345</v>
      </c>
      <c r="P8588" s="42">
        <v>44291</v>
      </c>
      <c r="Q8588" t="s">
        <v>345</v>
      </c>
      <c r="R8588" t="s">
        <v>320</v>
      </c>
      <c r="S8588" t="s">
        <v>323</v>
      </c>
      <c r="U8588">
        <v>7.6</v>
      </c>
      <c r="Y8588" s="42">
        <v>44299</v>
      </c>
    </row>
    <row r="8589" spans="1:25">
      <c r="N8589" s="42">
        <v>44288</v>
      </c>
      <c r="O8589" t="s">
        <v>346</v>
      </c>
      <c r="P8589" s="42">
        <v>44288</v>
      </c>
      <c r="Q8589" t="s">
        <v>346</v>
      </c>
      <c r="R8589" t="s">
        <v>320</v>
      </c>
      <c r="S8589" t="s">
        <v>323</v>
      </c>
      <c r="U8589">
        <v>7.6</v>
      </c>
      <c r="Y8589" s="42">
        <v>44299</v>
      </c>
    </row>
    <row r="8590" spans="1:25">
      <c r="A8590">
        <v>18948</v>
      </c>
      <c r="B8590" t="s">
        <v>455</v>
      </c>
      <c r="C8590" t="s">
        <v>320</v>
      </c>
      <c r="D8590" t="s">
        <v>336</v>
      </c>
      <c r="E8590" t="s">
        <v>337</v>
      </c>
      <c r="F8590">
        <v>1</v>
      </c>
      <c r="G8590" s="42">
        <v>45009</v>
      </c>
      <c r="H8590">
        <v>149.9385</v>
      </c>
      <c r="I8590">
        <v>-114</v>
      </c>
      <c r="J8590">
        <v>141.6097</v>
      </c>
      <c r="K8590">
        <v>27.6097</v>
      </c>
      <c r="L8590" t="s">
        <v>323</v>
      </c>
      <c r="M8590" s="43">
        <v>4.9305555555555554E-2</v>
      </c>
      <c r="N8590" s="42">
        <v>44984</v>
      </c>
      <c r="O8590" t="s">
        <v>345</v>
      </c>
      <c r="P8590" s="42">
        <v>44985</v>
      </c>
      <c r="Q8590" t="s">
        <v>333</v>
      </c>
      <c r="R8590" t="s">
        <v>320</v>
      </c>
      <c r="S8590" t="s">
        <v>323</v>
      </c>
      <c r="T8590">
        <v>15.2</v>
      </c>
      <c r="V8590">
        <v>0</v>
      </c>
      <c r="Y8590" s="42">
        <v>44985</v>
      </c>
    </row>
    <row r="8591" spans="1:25">
      <c r="C8591" t="s">
        <v>325</v>
      </c>
      <c r="D8591" t="s">
        <v>340</v>
      </c>
      <c r="E8591" t="s">
        <v>341</v>
      </c>
      <c r="F8591">
        <v>1</v>
      </c>
      <c r="G8591" s="42">
        <v>46840</v>
      </c>
      <c r="H8591">
        <v>230.54220000000001</v>
      </c>
      <c r="I8591">
        <v>0</v>
      </c>
      <c r="J8591">
        <v>63.653799999999997</v>
      </c>
      <c r="K8591">
        <v>63.653799999999997</v>
      </c>
      <c r="L8591" t="s">
        <v>323</v>
      </c>
      <c r="N8591" s="42">
        <v>44966</v>
      </c>
      <c r="O8591" t="s">
        <v>324</v>
      </c>
      <c r="P8591" s="42">
        <v>44967</v>
      </c>
      <c r="Q8591" t="s">
        <v>346</v>
      </c>
      <c r="R8591" t="s">
        <v>454</v>
      </c>
      <c r="S8591" t="s">
        <v>323</v>
      </c>
      <c r="T8591">
        <v>11.6</v>
      </c>
      <c r="W8591" t="s">
        <v>339</v>
      </c>
      <c r="Y8591" s="42">
        <v>44971</v>
      </c>
    </row>
    <row r="8592" spans="1:25">
      <c r="C8592" t="s">
        <v>329</v>
      </c>
      <c r="D8592" t="s">
        <v>342</v>
      </c>
      <c r="E8592" t="s">
        <v>343</v>
      </c>
      <c r="F8592">
        <v>1</v>
      </c>
      <c r="G8592" s="42">
        <v>45009</v>
      </c>
      <c r="H8592">
        <v>74.969200000000001</v>
      </c>
      <c r="I8592">
        <v>-64.7</v>
      </c>
      <c r="J8592">
        <v>70.8048</v>
      </c>
      <c r="K8592">
        <v>6.1048</v>
      </c>
      <c r="L8592" t="s">
        <v>323</v>
      </c>
      <c r="N8592" s="42">
        <v>44965</v>
      </c>
      <c r="O8592" t="s">
        <v>328</v>
      </c>
      <c r="P8592" s="42">
        <v>44965</v>
      </c>
      <c r="Q8592" t="s">
        <v>328</v>
      </c>
      <c r="R8592" t="s">
        <v>329</v>
      </c>
      <c r="S8592" t="s">
        <v>323</v>
      </c>
      <c r="T8592">
        <v>7.6</v>
      </c>
      <c r="W8592" t="s">
        <v>339</v>
      </c>
      <c r="Y8592" s="42">
        <v>44971</v>
      </c>
    </row>
    <row r="8593" spans="14:25">
      <c r="N8593" s="42">
        <v>44952</v>
      </c>
      <c r="O8593" t="s">
        <v>324</v>
      </c>
      <c r="P8593" s="42">
        <v>44952</v>
      </c>
      <c r="Q8593" t="s">
        <v>324</v>
      </c>
      <c r="R8593" t="s">
        <v>320</v>
      </c>
      <c r="S8593" t="s">
        <v>323</v>
      </c>
      <c r="U8593">
        <v>7.6</v>
      </c>
      <c r="Y8593" s="42">
        <v>44957</v>
      </c>
    </row>
    <row r="8594" spans="14:25">
      <c r="N8594" s="42">
        <v>44928</v>
      </c>
      <c r="O8594" t="s">
        <v>345</v>
      </c>
      <c r="P8594" s="42">
        <v>44928</v>
      </c>
      <c r="Q8594" t="s">
        <v>345</v>
      </c>
      <c r="R8594" t="s">
        <v>320</v>
      </c>
      <c r="S8594" t="s">
        <v>323</v>
      </c>
      <c r="U8594">
        <v>7.6</v>
      </c>
      <c r="Y8594" s="42">
        <v>44929</v>
      </c>
    </row>
    <row r="8595" spans="14:25">
      <c r="N8595" s="42">
        <v>44922</v>
      </c>
      <c r="O8595" t="s">
        <v>333</v>
      </c>
      <c r="P8595" s="42">
        <v>44922</v>
      </c>
      <c r="Q8595" t="s">
        <v>333</v>
      </c>
      <c r="R8595" t="s">
        <v>320</v>
      </c>
      <c r="S8595" t="s">
        <v>323</v>
      </c>
      <c r="U8595">
        <v>7.6</v>
      </c>
      <c r="Y8595" s="42">
        <v>44929</v>
      </c>
    </row>
    <row r="8596" spans="14:25">
      <c r="N8596" s="42">
        <v>44921</v>
      </c>
      <c r="O8596" t="s">
        <v>345</v>
      </c>
      <c r="P8596" s="42">
        <v>44921</v>
      </c>
      <c r="Q8596" t="s">
        <v>345</v>
      </c>
      <c r="R8596" t="s">
        <v>320</v>
      </c>
      <c r="S8596" t="s">
        <v>323</v>
      </c>
      <c r="U8596">
        <v>7.6</v>
      </c>
      <c r="Y8596" s="42">
        <v>44929</v>
      </c>
    </row>
    <row r="8597" spans="14:25">
      <c r="N8597" s="42">
        <v>44914</v>
      </c>
      <c r="O8597" t="s">
        <v>345</v>
      </c>
      <c r="P8597" s="42">
        <v>44915</v>
      </c>
      <c r="Q8597" t="s">
        <v>333</v>
      </c>
      <c r="R8597" t="s">
        <v>338</v>
      </c>
      <c r="S8597" t="s">
        <v>323</v>
      </c>
      <c r="T8597">
        <v>15.2</v>
      </c>
      <c r="W8597" t="s">
        <v>330</v>
      </c>
      <c r="Y8597" s="42">
        <v>44915</v>
      </c>
    </row>
    <row r="8598" spans="14:25">
      <c r="N8598" s="42">
        <v>44907</v>
      </c>
      <c r="O8598" t="s">
        <v>345</v>
      </c>
      <c r="P8598" s="42">
        <v>44911</v>
      </c>
      <c r="Q8598" t="s">
        <v>346</v>
      </c>
      <c r="R8598" t="s">
        <v>320</v>
      </c>
      <c r="S8598" t="s">
        <v>323</v>
      </c>
      <c r="T8598">
        <v>38</v>
      </c>
      <c r="V8598">
        <v>0</v>
      </c>
      <c r="Y8598" s="42">
        <v>44915</v>
      </c>
    </row>
    <row r="8599" spans="14:25">
      <c r="N8599" s="42">
        <v>44902</v>
      </c>
      <c r="O8599" t="s">
        <v>328</v>
      </c>
      <c r="P8599" s="42">
        <v>44904</v>
      </c>
      <c r="Q8599" t="s">
        <v>346</v>
      </c>
      <c r="R8599" t="s">
        <v>329</v>
      </c>
      <c r="S8599" t="s">
        <v>323</v>
      </c>
      <c r="T8599">
        <v>2.8</v>
      </c>
      <c r="U8599">
        <v>0</v>
      </c>
      <c r="W8599" t="s">
        <v>339</v>
      </c>
      <c r="Y8599" s="42">
        <v>44915</v>
      </c>
    </row>
    <row r="8600" spans="14:25">
      <c r="N8600" s="42">
        <v>44900</v>
      </c>
      <c r="O8600" t="s">
        <v>345</v>
      </c>
      <c r="P8600" s="42">
        <v>44901</v>
      </c>
      <c r="Q8600" t="s">
        <v>333</v>
      </c>
      <c r="R8600" t="s">
        <v>329</v>
      </c>
      <c r="S8600" t="s">
        <v>323</v>
      </c>
      <c r="T8600">
        <v>15.2</v>
      </c>
      <c r="U8600">
        <v>0</v>
      </c>
      <c r="W8600" t="s">
        <v>339</v>
      </c>
      <c r="Y8600" s="42">
        <v>44915</v>
      </c>
    </row>
    <row r="8601" spans="14:25">
      <c r="N8601" s="42">
        <v>44893</v>
      </c>
      <c r="O8601" t="s">
        <v>345</v>
      </c>
      <c r="P8601" s="42">
        <v>44897</v>
      </c>
      <c r="Q8601" t="s">
        <v>346</v>
      </c>
      <c r="R8601" t="s">
        <v>329</v>
      </c>
      <c r="S8601" t="s">
        <v>323</v>
      </c>
      <c r="T8601">
        <v>13</v>
      </c>
      <c r="W8601" t="s">
        <v>339</v>
      </c>
      <c r="Y8601" s="42">
        <v>44915</v>
      </c>
    </row>
    <row r="8602" spans="14:25">
      <c r="N8602" s="42">
        <v>44888</v>
      </c>
      <c r="O8602" t="s">
        <v>328</v>
      </c>
      <c r="P8602" s="42">
        <v>44890</v>
      </c>
      <c r="Q8602" t="s">
        <v>346</v>
      </c>
      <c r="R8602" t="s">
        <v>320</v>
      </c>
      <c r="S8602" t="s">
        <v>323</v>
      </c>
      <c r="T8602">
        <v>22.8</v>
      </c>
      <c r="U8602">
        <v>0</v>
      </c>
      <c r="V8602">
        <v>0</v>
      </c>
      <c r="Y8602" s="42">
        <v>44915</v>
      </c>
    </row>
    <row r="8603" spans="14:25">
      <c r="N8603" s="42">
        <v>44886</v>
      </c>
      <c r="O8603" t="s">
        <v>345</v>
      </c>
      <c r="P8603" s="42">
        <v>44887</v>
      </c>
      <c r="Q8603" t="s">
        <v>333</v>
      </c>
      <c r="R8603" t="s">
        <v>320</v>
      </c>
      <c r="S8603" t="s">
        <v>323</v>
      </c>
      <c r="T8603">
        <v>15.2</v>
      </c>
      <c r="U8603">
        <v>0</v>
      </c>
      <c r="V8603">
        <v>0</v>
      </c>
      <c r="Y8603" s="42">
        <v>44915</v>
      </c>
    </row>
    <row r="8604" spans="14:25">
      <c r="N8604" s="42">
        <v>44879</v>
      </c>
      <c r="O8604" t="s">
        <v>345</v>
      </c>
      <c r="P8604" s="42">
        <v>44883</v>
      </c>
      <c r="Q8604" t="s">
        <v>346</v>
      </c>
      <c r="R8604" t="s">
        <v>329</v>
      </c>
      <c r="S8604" t="s">
        <v>323</v>
      </c>
      <c r="T8604">
        <v>13</v>
      </c>
      <c r="W8604" t="s">
        <v>339</v>
      </c>
      <c r="Y8604" s="42">
        <v>44901</v>
      </c>
    </row>
    <row r="8605" spans="14:25">
      <c r="N8605" s="42">
        <v>44874</v>
      </c>
      <c r="O8605" t="s">
        <v>328</v>
      </c>
      <c r="P8605" s="42">
        <v>44876</v>
      </c>
      <c r="Q8605" t="s">
        <v>346</v>
      </c>
      <c r="R8605" t="s">
        <v>329</v>
      </c>
      <c r="S8605" t="s">
        <v>323</v>
      </c>
      <c r="T8605">
        <v>10.199999999999999</v>
      </c>
      <c r="U8605">
        <v>0</v>
      </c>
      <c r="W8605" t="s">
        <v>339</v>
      </c>
      <c r="Y8605" s="42">
        <v>44901</v>
      </c>
    </row>
    <row r="8606" spans="14:25">
      <c r="N8606" s="42">
        <v>44872</v>
      </c>
      <c r="O8606" t="s">
        <v>345</v>
      </c>
      <c r="P8606" s="42">
        <v>44873</v>
      </c>
      <c r="Q8606" t="s">
        <v>333</v>
      </c>
      <c r="R8606" t="s">
        <v>329</v>
      </c>
      <c r="S8606" t="s">
        <v>323</v>
      </c>
      <c r="T8606">
        <v>15.2</v>
      </c>
      <c r="U8606">
        <v>0</v>
      </c>
      <c r="W8606" t="s">
        <v>339</v>
      </c>
      <c r="Y8606" s="42">
        <v>44901</v>
      </c>
    </row>
    <row r="8607" spans="14:25">
      <c r="N8607" s="42">
        <v>44867</v>
      </c>
      <c r="O8607" t="s">
        <v>328</v>
      </c>
      <c r="P8607" s="42">
        <v>44869</v>
      </c>
      <c r="Q8607" t="s">
        <v>346</v>
      </c>
      <c r="R8607" t="s">
        <v>320</v>
      </c>
      <c r="S8607" t="s">
        <v>323</v>
      </c>
      <c r="T8607">
        <v>22.8</v>
      </c>
      <c r="V8607">
        <v>0</v>
      </c>
      <c r="Y8607" s="42">
        <v>44873</v>
      </c>
    </row>
    <row r="8608" spans="14:25">
      <c r="N8608" s="42">
        <v>44866</v>
      </c>
      <c r="O8608" t="s">
        <v>333</v>
      </c>
      <c r="P8608" s="42">
        <v>44866</v>
      </c>
      <c r="Q8608" t="s">
        <v>333</v>
      </c>
      <c r="R8608" t="s">
        <v>320</v>
      </c>
      <c r="S8608" t="s">
        <v>323</v>
      </c>
      <c r="U8608">
        <v>7.6</v>
      </c>
      <c r="Y8608" s="42">
        <v>44873</v>
      </c>
    </row>
    <row r="8609" spans="14:25">
      <c r="N8609" s="42">
        <v>44865</v>
      </c>
      <c r="O8609" t="s">
        <v>345</v>
      </c>
      <c r="P8609" s="42">
        <v>44865</v>
      </c>
      <c r="Q8609" t="s">
        <v>345</v>
      </c>
      <c r="R8609" t="s">
        <v>320</v>
      </c>
      <c r="S8609" t="s">
        <v>323</v>
      </c>
      <c r="T8609">
        <v>7.6</v>
      </c>
      <c r="V8609">
        <v>0</v>
      </c>
      <c r="Y8609" s="42">
        <v>44873</v>
      </c>
    </row>
    <row r="8610" spans="14:25">
      <c r="N8610" s="42">
        <v>44854</v>
      </c>
      <c r="O8610" t="s">
        <v>324</v>
      </c>
      <c r="P8610" s="42">
        <v>44854</v>
      </c>
      <c r="Q8610" t="s">
        <v>324</v>
      </c>
      <c r="R8610" t="s">
        <v>329</v>
      </c>
      <c r="S8610" t="s">
        <v>323</v>
      </c>
      <c r="T8610">
        <v>3</v>
      </c>
      <c r="W8610" t="s">
        <v>339</v>
      </c>
      <c r="Y8610" s="42">
        <v>44859</v>
      </c>
    </row>
    <row r="8611" spans="14:25">
      <c r="N8611" s="42">
        <v>44852</v>
      </c>
      <c r="O8611" t="s">
        <v>333</v>
      </c>
      <c r="P8611" s="42">
        <v>44852</v>
      </c>
      <c r="Q8611" t="s">
        <v>333</v>
      </c>
      <c r="R8611" t="s">
        <v>320</v>
      </c>
      <c r="S8611" t="s">
        <v>323</v>
      </c>
      <c r="T8611">
        <v>7.6</v>
      </c>
      <c r="V8611">
        <v>0</v>
      </c>
      <c r="Y8611" s="42">
        <v>44859</v>
      </c>
    </row>
    <row r="8612" spans="14:25">
      <c r="N8612" s="42">
        <v>44846</v>
      </c>
      <c r="O8612" t="s">
        <v>328</v>
      </c>
      <c r="P8612" s="42">
        <v>44846</v>
      </c>
      <c r="Q8612" t="s">
        <v>328</v>
      </c>
      <c r="R8612" t="s">
        <v>329</v>
      </c>
      <c r="S8612" t="s">
        <v>323</v>
      </c>
      <c r="T8612">
        <v>7.6</v>
      </c>
      <c r="U8612">
        <v>0</v>
      </c>
      <c r="W8612" t="s">
        <v>339</v>
      </c>
      <c r="Y8612" s="42">
        <v>44859</v>
      </c>
    </row>
    <row r="8613" spans="14:25">
      <c r="N8613" s="42">
        <v>44844</v>
      </c>
      <c r="O8613" t="s">
        <v>345</v>
      </c>
      <c r="P8613" s="42">
        <v>44845</v>
      </c>
      <c r="Q8613" t="s">
        <v>333</v>
      </c>
      <c r="R8613" t="s">
        <v>329</v>
      </c>
      <c r="S8613" t="s">
        <v>323</v>
      </c>
      <c r="T8613">
        <v>15.2</v>
      </c>
      <c r="U8613">
        <v>0</v>
      </c>
      <c r="W8613" t="s">
        <v>339</v>
      </c>
      <c r="Y8613" s="42">
        <v>44859</v>
      </c>
    </row>
    <row r="8614" spans="14:25">
      <c r="N8614" s="42">
        <v>44827</v>
      </c>
      <c r="O8614" t="s">
        <v>346</v>
      </c>
      <c r="P8614" s="42">
        <v>44827</v>
      </c>
      <c r="Q8614" t="s">
        <v>346</v>
      </c>
      <c r="R8614" t="s">
        <v>320</v>
      </c>
      <c r="S8614" t="s">
        <v>323</v>
      </c>
      <c r="U8614">
        <v>7.6</v>
      </c>
      <c r="Y8614" s="42">
        <v>44831</v>
      </c>
    </row>
    <row r="8615" spans="14:25">
      <c r="N8615" s="42">
        <v>44826</v>
      </c>
      <c r="O8615" t="s">
        <v>324</v>
      </c>
      <c r="P8615" s="42">
        <v>44826</v>
      </c>
      <c r="Q8615" t="s">
        <v>324</v>
      </c>
      <c r="R8615" t="s">
        <v>320</v>
      </c>
      <c r="S8615" t="s">
        <v>323</v>
      </c>
      <c r="U8615">
        <v>7.6</v>
      </c>
      <c r="Y8615" s="42">
        <v>44831</v>
      </c>
    </row>
    <row r="8616" spans="14:25">
      <c r="N8616" s="42">
        <v>44825</v>
      </c>
      <c r="O8616" t="s">
        <v>328</v>
      </c>
      <c r="P8616" s="42">
        <v>44825</v>
      </c>
      <c r="Q8616" t="s">
        <v>328</v>
      </c>
      <c r="R8616" t="s">
        <v>329</v>
      </c>
      <c r="S8616" t="s">
        <v>323</v>
      </c>
      <c r="T8616">
        <v>3</v>
      </c>
      <c r="W8616" t="s">
        <v>339</v>
      </c>
      <c r="Y8616" s="42">
        <v>44831</v>
      </c>
    </row>
    <row r="8617" spans="14:25">
      <c r="N8617" s="42">
        <v>44777</v>
      </c>
      <c r="O8617" t="s">
        <v>324</v>
      </c>
      <c r="P8617" s="42">
        <v>44778</v>
      </c>
      <c r="Q8617" t="s">
        <v>346</v>
      </c>
      <c r="R8617" t="s">
        <v>320</v>
      </c>
      <c r="S8617" t="s">
        <v>323</v>
      </c>
      <c r="T8617">
        <v>15.2</v>
      </c>
      <c r="V8617">
        <v>0</v>
      </c>
      <c r="Y8617" s="42">
        <v>44789</v>
      </c>
    </row>
    <row r="8618" spans="14:25">
      <c r="N8618" s="42">
        <v>44725</v>
      </c>
      <c r="O8618" t="s">
        <v>345</v>
      </c>
      <c r="P8618" s="42">
        <v>44725</v>
      </c>
      <c r="Q8618" t="s">
        <v>345</v>
      </c>
      <c r="R8618" t="s">
        <v>320</v>
      </c>
      <c r="S8618" t="s">
        <v>323</v>
      </c>
      <c r="U8618">
        <v>7.6</v>
      </c>
      <c r="Y8618" s="42">
        <v>44733</v>
      </c>
    </row>
    <row r="8619" spans="14:25">
      <c r="N8619" s="42">
        <v>44676</v>
      </c>
      <c r="O8619" t="s">
        <v>345</v>
      </c>
      <c r="P8619" s="42">
        <v>44676</v>
      </c>
      <c r="Q8619" t="s">
        <v>345</v>
      </c>
      <c r="R8619" t="s">
        <v>320</v>
      </c>
      <c r="S8619" t="s">
        <v>323</v>
      </c>
      <c r="U8619">
        <v>7.6</v>
      </c>
      <c r="Y8619" s="42">
        <v>44677</v>
      </c>
    </row>
    <row r="8620" spans="14:25">
      <c r="N8620" s="42">
        <v>44669</v>
      </c>
      <c r="O8620" t="s">
        <v>345</v>
      </c>
      <c r="P8620" s="42">
        <v>44669</v>
      </c>
      <c r="Q8620" t="s">
        <v>345</v>
      </c>
      <c r="R8620" t="s">
        <v>320</v>
      </c>
      <c r="S8620" t="s">
        <v>323</v>
      </c>
      <c r="U8620">
        <v>7.6</v>
      </c>
      <c r="Y8620" s="42">
        <v>44677</v>
      </c>
    </row>
    <row r="8621" spans="14:25">
      <c r="N8621" s="42">
        <v>44666</v>
      </c>
      <c r="O8621" t="s">
        <v>346</v>
      </c>
      <c r="P8621" s="42">
        <v>44666</v>
      </c>
      <c r="Q8621" t="s">
        <v>346</v>
      </c>
      <c r="R8621" t="s">
        <v>320</v>
      </c>
      <c r="S8621" t="s">
        <v>323</v>
      </c>
      <c r="U8621">
        <v>7.6</v>
      </c>
      <c r="Y8621" s="42">
        <v>44677</v>
      </c>
    </row>
    <row r="8622" spans="14:25">
      <c r="N8622" s="42">
        <v>44634</v>
      </c>
      <c r="O8622" t="s">
        <v>345</v>
      </c>
      <c r="P8622" s="42">
        <v>44634</v>
      </c>
      <c r="Q8622" t="s">
        <v>345</v>
      </c>
      <c r="R8622" t="s">
        <v>320</v>
      </c>
      <c r="S8622" t="s">
        <v>323</v>
      </c>
      <c r="U8622">
        <v>7.6</v>
      </c>
      <c r="Y8622" s="42">
        <v>44635</v>
      </c>
    </row>
    <row r="8623" spans="14:25">
      <c r="N8623" s="42">
        <v>44622</v>
      </c>
      <c r="O8623" t="s">
        <v>328</v>
      </c>
      <c r="P8623" s="42">
        <v>44624</v>
      </c>
      <c r="Q8623" t="s">
        <v>346</v>
      </c>
      <c r="R8623" t="s">
        <v>320</v>
      </c>
      <c r="S8623" t="s">
        <v>323</v>
      </c>
      <c r="T8623">
        <v>22.8</v>
      </c>
      <c r="U8623">
        <v>0</v>
      </c>
      <c r="V8623">
        <v>0</v>
      </c>
      <c r="Y8623" s="42">
        <v>44635</v>
      </c>
    </row>
    <row r="8624" spans="14:25">
      <c r="N8624" s="42">
        <v>44620</v>
      </c>
      <c r="O8624" t="s">
        <v>345</v>
      </c>
      <c r="P8624" s="42">
        <v>44621</v>
      </c>
      <c r="Q8624" t="s">
        <v>333</v>
      </c>
      <c r="R8624" t="s">
        <v>320</v>
      </c>
      <c r="S8624" t="s">
        <v>323</v>
      </c>
      <c r="T8624">
        <v>15.2</v>
      </c>
      <c r="U8624">
        <v>0</v>
      </c>
      <c r="V8624">
        <v>0</v>
      </c>
      <c r="Y8624" s="42">
        <v>44635</v>
      </c>
    </row>
    <row r="8625" spans="14:25">
      <c r="N8625" s="42">
        <v>44594</v>
      </c>
      <c r="O8625" t="s">
        <v>328</v>
      </c>
      <c r="P8625" s="42">
        <v>44603</v>
      </c>
      <c r="Q8625" t="s">
        <v>346</v>
      </c>
      <c r="R8625" t="s">
        <v>320</v>
      </c>
      <c r="S8625" t="s">
        <v>323</v>
      </c>
      <c r="T8625">
        <v>60.8</v>
      </c>
      <c r="U8625">
        <v>0</v>
      </c>
      <c r="V8625">
        <v>0</v>
      </c>
      <c r="Y8625" s="42">
        <v>44635</v>
      </c>
    </row>
    <row r="8626" spans="14:25">
      <c r="N8626" s="42">
        <v>44593</v>
      </c>
      <c r="O8626" t="s">
        <v>333</v>
      </c>
      <c r="P8626" s="42">
        <v>44593</v>
      </c>
      <c r="Q8626" t="s">
        <v>333</v>
      </c>
      <c r="R8626" t="s">
        <v>320</v>
      </c>
      <c r="S8626" t="s">
        <v>323</v>
      </c>
      <c r="T8626">
        <v>7.6</v>
      </c>
      <c r="U8626">
        <v>0</v>
      </c>
      <c r="V8626">
        <v>0</v>
      </c>
      <c r="Y8626" s="42">
        <v>44635</v>
      </c>
    </row>
    <row r="8627" spans="14:25">
      <c r="N8627" s="42">
        <v>44587</v>
      </c>
      <c r="O8627" t="s">
        <v>328</v>
      </c>
      <c r="P8627" s="42">
        <v>44587</v>
      </c>
      <c r="Q8627" t="s">
        <v>328</v>
      </c>
      <c r="R8627" t="s">
        <v>320</v>
      </c>
      <c r="S8627" t="s">
        <v>323</v>
      </c>
      <c r="U8627">
        <v>7.6</v>
      </c>
      <c r="Y8627" s="42">
        <v>44593</v>
      </c>
    </row>
    <row r="8628" spans="14:25">
      <c r="N8628" s="42">
        <v>44566</v>
      </c>
      <c r="O8628" t="s">
        <v>328</v>
      </c>
      <c r="P8628" s="42">
        <v>44566</v>
      </c>
      <c r="Q8628" t="s">
        <v>328</v>
      </c>
      <c r="R8628" t="s">
        <v>329</v>
      </c>
      <c r="S8628" t="s">
        <v>323</v>
      </c>
      <c r="T8628">
        <v>4.5</v>
      </c>
      <c r="W8628" t="s">
        <v>339</v>
      </c>
      <c r="Y8628" s="42">
        <v>44579</v>
      </c>
    </row>
    <row r="8629" spans="14:25">
      <c r="N8629" s="42">
        <v>44564</v>
      </c>
      <c r="O8629" t="s">
        <v>345</v>
      </c>
      <c r="P8629" s="42">
        <v>44564</v>
      </c>
      <c r="Q8629" t="s">
        <v>345</v>
      </c>
      <c r="R8629" t="s">
        <v>320</v>
      </c>
      <c r="S8629" t="s">
        <v>323</v>
      </c>
      <c r="U8629">
        <v>7.6</v>
      </c>
      <c r="Y8629" s="42">
        <v>44565</v>
      </c>
    </row>
    <row r="8630" spans="14:25">
      <c r="N8630" s="42">
        <v>44558</v>
      </c>
      <c r="O8630" t="s">
        <v>333</v>
      </c>
      <c r="P8630" s="42">
        <v>44558</v>
      </c>
      <c r="Q8630" t="s">
        <v>333</v>
      </c>
      <c r="R8630" t="s">
        <v>320</v>
      </c>
      <c r="S8630" t="s">
        <v>323</v>
      </c>
      <c r="U8630">
        <v>7.6</v>
      </c>
      <c r="Y8630" s="42">
        <v>44565</v>
      </c>
    </row>
    <row r="8631" spans="14:25">
      <c r="N8631" s="42">
        <v>44557</v>
      </c>
      <c r="O8631" t="s">
        <v>345</v>
      </c>
      <c r="P8631" s="42">
        <v>44557</v>
      </c>
      <c r="Q8631" t="s">
        <v>345</v>
      </c>
      <c r="R8631" t="s">
        <v>320</v>
      </c>
      <c r="S8631" t="s">
        <v>323</v>
      </c>
      <c r="U8631">
        <v>7.6</v>
      </c>
      <c r="Y8631" s="42">
        <v>44565</v>
      </c>
    </row>
    <row r="8632" spans="14:25">
      <c r="N8632" s="42">
        <v>44554</v>
      </c>
      <c r="O8632" t="s">
        <v>346</v>
      </c>
      <c r="P8632" s="42">
        <v>44554</v>
      </c>
      <c r="Q8632" t="s">
        <v>346</v>
      </c>
      <c r="R8632" t="s">
        <v>320</v>
      </c>
      <c r="S8632" t="s">
        <v>323</v>
      </c>
      <c r="T8632">
        <v>7.6</v>
      </c>
      <c r="V8632">
        <v>0</v>
      </c>
      <c r="Y8632" s="42">
        <v>44565</v>
      </c>
    </row>
    <row r="8633" spans="14:25">
      <c r="N8633" s="42">
        <v>44543</v>
      </c>
      <c r="O8633" t="s">
        <v>345</v>
      </c>
      <c r="P8633" s="42">
        <v>44543</v>
      </c>
      <c r="Q8633" t="s">
        <v>345</v>
      </c>
      <c r="R8633" t="s">
        <v>329</v>
      </c>
      <c r="S8633" t="s">
        <v>323</v>
      </c>
      <c r="T8633">
        <v>7.6</v>
      </c>
      <c r="W8633" t="s">
        <v>339</v>
      </c>
      <c r="Y8633" s="42">
        <v>44551</v>
      </c>
    </row>
    <row r="8634" spans="14:25">
      <c r="N8634" s="42">
        <v>44502</v>
      </c>
      <c r="O8634" t="s">
        <v>333</v>
      </c>
      <c r="P8634" s="42">
        <v>44502</v>
      </c>
      <c r="Q8634" t="s">
        <v>333</v>
      </c>
      <c r="R8634" t="s">
        <v>320</v>
      </c>
      <c r="S8634" t="s">
        <v>323</v>
      </c>
      <c r="U8634">
        <v>7.6</v>
      </c>
      <c r="Y8634" s="42">
        <v>44509</v>
      </c>
    </row>
    <row r="8635" spans="14:25">
      <c r="N8635" s="42">
        <v>44490</v>
      </c>
      <c r="O8635" t="s">
        <v>324</v>
      </c>
      <c r="P8635" s="42">
        <v>44490</v>
      </c>
      <c r="Q8635" t="s">
        <v>324</v>
      </c>
      <c r="R8635" t="s">
        <v>329</v>
      </c>
      <c r="S8635" t="s">
        <v>323</v>
      </c>
      <c r="T8635">
        <v>7.6</v>
      </c>
      <c r="W8635" t="s">
        <v>339</v>
      </c>
      <c r="Y8635" s="42">
        <v>44495</v>
      </c>
    </row>
    <row r="8636" spans="14:25">
      <c r="N8636" s="42">
        <v>44463</v>
      </c>
      <c r="O8636" t="s">
        <v>346</v>
      </c>
      <c r="P8636" s="42">
        <v>44463</v>
      </c>
      <c r="Q8636" t="s">
        <v>346</v>
      </c>
      <c r="R8636" t="s">
        <v>320</v>
      </c>
      <c r="S8636" t="s">
        <v>323</v>
      </c>
      <c r="U8636">
        <v>7.6</v>
      </c>
      <c r="Y8636" s="42">
        <v>44467</v>
      </c>
    </row>
    <row r="8637" spans="14:25">
      <c r="N8637" s="42">
        <v>44431</v>
      </c>
      <c r="O8637" t="s">
        <v>345</v>
      </c>
      <c r="P8637" s="42">
        <v>44431</v>
      </c>
      <c r="Q8637" t="s">
        <v>345</v>
      </c>
      <c r="R8637" t="s">
        <v>329</v>
      </c>
      <c r="S8637" t="s">
        <v>323</v>
      </c>
      <c r="T8637">
        <v>7.6</v>
      </c>
      <c r="W8637" t="s">
        <v>339</v>
      </c>
      <c r="Y8637" s="42">
        <v>44439</v>
      </c>
    </row>
    <row r="8638" spans="14:25">
      <c r="N8638" s="42">
        <v>44382</v>
      </c>
      <c r="O8638" t="s">
        <v>345</v>
      </c>
      <c r="P8638" s="42">
        <v>44382</v>
      </c>
      <c r="Q8638" t="s">
        <v>345</v>
      </c>
      <c r="R8638" t="s">
        <v>329</v>
      </c>
      <c r="S8638" t="s">
        <v>323</v>
      </c>
      <c r="T8638">
        <v>7.6</v>
      </c>
      <c r="W8638" t="s">
        <v>339</v>
      </c>
      <c r="Y8638" s="42">
        <v>44383</v>
      </c>
    </row>
    <row r="8639" spans="14:25">
      <c r="N8639" s="42">
        <v>44361</v>
      </c>
      <c r="O8639" t="s">
        <v>345</v>
      </c>
      <c r="P8639" s="42">
        <v>44361</v>
      </c>
      <c r="Q8639" t="s">
        <v>345</v>
      </c>
      <c r="R8639" t="s">
        <v>320</v>
      </c>
      <c r="S8639" t="s">
        <v>323</v>
      </c>
      <c r="U8639">
        <v>7.6</v>
      </c>
      <c r="Y8639" s="42">
        <v>44369</v>
      </c>
    </row>
    <row r="8640" spans="14:25">
      <c r="N8640" s="42">
        <v>44321</v>
      </c>
      <c r="O8640" t="s">
        <v>328</v>
      </c>
      <c r="P8640" s="42">
        <v>44321</v>
      </c>
      <c r="Q8640" t="s">
        <v>328</v>
      </c>
      <c r="R8640" t="s">
        <v>320</v>
      </c>
      <c r="S8640" t="s">
        <v>323</v>
      </c>
      <c r="T8640">
        <v>7.6</v>
      </c>
      <c r="V8640">
        <v>0</v>
      </c>
      <c r="Y8640" s="42">
        <v>44327</v>
      </c>
    </row>
    <row r="8641" spans="1:25">
      <c r="N8641" s="42">
        <v>44291</v>
      </c>
      <c r="O8641" t="s">
        <v>345</v>
      </c>
      <c r="P8641" s="42">
        <v>44291</v>
      </c>
      <c r="Q8641" t="s">
        <v>345</v>
      </c>
      <c r="R8641" t="s">
        <v>320</v>
      </c>
      <c r="S8641" t="s">
        <v>323</v>
      </c>
      <c r="U8641">
        <v>7.6</v>
      </c>
      <c r="Y8641" s="42">
        <v>44299</v>
      </c>
    </row>
    <row r="8642" spans="1:25">
      <c r="N8642" s="42">
        <v>44288</v>
      </c>
      <c r="O8642" t="s">
        <v>346</v>
      </c>
      <c r="P8642" s="42">
        <v>44288</v>
      </c>
      <c r="Q8642" t="s">
        <v>346</v>
      </c>
      <c r="R8642" t="s">
        <v>320</v>
      </c>
      <c r="S8642" t="s">
        <v>323</v>
      </c>
      <c r="U8642">
        <v>7.6</v>
      </c>
      <c r="Y8642" s="42">
        <v>44299</v>
      </c>
    </row>
    <row r="8643" spans="1:25">
      <c r="A8643">
        <v>18949</v>
      </c>
      <c r="B8643" t="s">
        <v>456</v>
      </c>
      <c r="C8643" t="s">
        <v>320</v>
      </c>
      <c r="D8643" t="s">
        <v>336</v>
      </c>
      <c r="E8643" t="s">
        <v>337</v>
      </c>
      <c r="F8643">
        <v>1</v>
      </c>
      <c r="G8643" s="42">
        <v>45226</v>
      </c>
      <c r="H8643">
        <v>152</v>
      </c>
      <c r="I8643">
        <v>-22.8</v>
      </c>
      <c r="J8643">
        <v>53.304099999999998</v>
      </c>
      <c r="K8643">
        <v>30.504100000000001</v>
      </c>
      <c r="L8643" t="s">
        <v>323</v>
      </c>
      <c r="M8643" s="43">
        <v>4.8611111111111112E-2</v>
      </c>
      <c r="N8643" s="42">
        <v>44952</v>
      </c>
      <c r="O8643" t="s">
        <v>324</v>
      </c>
      <c r="P8643" s="42">
        <v>44952</v>
      </c>
      <c r="Q8643" t="s">
        <v>324</v>
      </c>
      <c r="R8643" t="s">
        <v>320</v>
      </c>
      <c r="S8643" t="s">
        <v>323</v>
      </c>
      <c r="U8643">
        <v>7.6</v>
      </c>
    </row>
    <row r="8644" spans="1:25">
      <c r="C8644" t="s">
        <v>325</v>
      </c>
      <c r="D8644" t="s">
        <v>340</v>
      </c>
      <c r="E8644" t="s">
        <v>341</v>
      </c>
      <c r="F8644">
        <v>1</v>
      </c>
      <c r="G8644" s="42">
        <v>47053</v>
      </c>
      <c r="H8644">
        <v>235.85570000000001</v>
      </c>
      <c r="I8644">
        <v>0</v>
      </c>
      <c r="J8644">
        <v>49.762999999999998</v>
      </c>
      <c r="K8644">
        <v>49.762999999999998</v>
      </c>
      <c r="L8644" t="s">
        <v>323</v>
      </c>
      <c r="N8644" s="42">
        <v>44932</v>
      </c>
      <c r="O8644" t="s">
        <v>346</v>
      </c>
      <c r="P8644" s="42">
        <v>44932</v>
      </c>
      <c r="Q8644" t="s">
        <v>346</v>
      </c>
      <c r="R8644" t="s">
        <v>329</v>
      </c>
      <c r="S8644" t="s">
        <v>323</v>
      </c>
      <c r="T8644">
        <v>7.6</v>
      </c>
      <c r="W8644" t="s">
        <v>330</v>
      </c>
      <c r="Y8644" s="42">
        <v>44943</v>
      </c>
    </row>
    <row r="8645" spans="1:25">
      <c r="C8645" t="s">
        <v>329</v>
      </c>
      <c r="D8645" t="s">
        <v>342</v>
      </c>
      <c r="E8645" t="s">
        <v>343</v>
      </c>
      <c r="F8645">
        <v>1</v>
      </c>
      <c r="G8645" s="42">
        <v>45226</v>
      </c>
      <c r="H8645">
        <v>76</v>
      </c>
      <c r="I8645">
        <v>-7.6</v>
      </c>
      <c r="J8645">
        <v>26.652100000000001</v>
      </c>
      <c r="K8645">
        <v>19.052099999999999</v>
      </c>
      <c r="L8645" t="s">
        <v>323</v>
      </c>
      <c r="N8645" s="42">
        <v>44931</v>
      </c>
      <c r="O8645" t="s">
        <v>324</v>
      </c>
      <c r="P8645" s="42">
        <v>44931</v>
      </c>
      <c r="Q8645" t="s">
        <v>324</v>
      </c>
      <c r="R8645" t="s">
        <v>329</v>
      </c>
      <c r="S8645" t="s">
        <v>323</v>
      </c>
      <c r="T8645">
        <v>7.6</v>
      </c>
      <c r="W8645" t="s">
        <v>330</v>
      </c>
      <c r="Y8645" s="42">
        <v>44943</v>
      </c>
    </row>
    <row r="8646" spans="1:25">
      <c r="N8646" s="42">
        <v>44930</v>
      </c>
      <c r="O8646" t="s">
        <v>328</v>
      </c>
      <c r="P8646" s="42">
        <v>44930</v>
      </c>
      <c r="Q8646" t="s">
        <v>328</v>
      </c>
      <c r="R8646" t="s">
        <v>329</v>
      </c>
      <c r="S8646" t="s">
        <v>323</v>
      </c>
      <c r="T8646">
        <v>7.6</v>
      </c>
      <c r="W8646" t="s">
        <v>330</v>
      </c>
      <c r="Y8646" s="42">
        <v>44943</v>
      </c>
    </row>
    <row r="8647" spans="1:25">
      <c r="N8647" s="42">
        <v>44929</v>
      </c>
      <c r="O8647" t="s">
        <v>333</v>
      </c>
      <c r="P8647" s="42">
        <v>44929</v>
      </c>
      <c r="Q8647" t="s">
        <v>333</v>
      </c>
      <c r="R8647" t="s">
        <v>320</v>
      </c>
      <c r="S8647" t="s">
        <v>323</v>
      </c>
      <c r="T8647">
        <v>7.6</v>
      </c>
      <c r="Y8647" s="42">
        <v>44929</v>
      </c>
    </row>
    <row r="8648" spans="1:25">
      <c r="N8648" s="42">
        <v>44928</v>
      </c>
      <c r="O8648" t="s">
        <v>345</v>
      </c>
      <c r="P8648" s="42">
        <v>44928</v>
      </c>
      <c r="Q8648" t="s">
        <v>345</v>
      </c>
      <c r="R8648" t="s">
        <v>320</v>
      </c>
      <c r="S8648" t="s">
        <v>323</v>
      </c>
      <c r="U8648">
        <v>7.6</v>
      </c>
    </row>
    <row r="8649" spans="1:25">
      <c r="N8649" s="42">
        <v>44925</v>
      </c>
      <c r="O8649" t="s">
        <v>346</v>
      </c>
      <c r="P8649" s="42">
        <v>44925</v>
      </c>
      <c r="Q8649" t="s">
        <v>346</v>
      </c>
      <c r="R8649" t="s">
        <v>320</v>
      </c>
      <c r="S8649" t="s">
        <v>323</v>
      </c>
      <c r="T8649">
        <v>7.6</v>
      </c>
      <c r="Y8649" s="42">
        <v>44929</v>
      </c>
    </row>
    <row r="8650" spans="1:25">
      <c r="N8650" s="42">
        <v>44924</v>
      </c>
      <c r="O8650" t="s">
        <v>324</v>
      </c>
      <c r="P8650" s="42">
        <v>44924</v>
      </c>
      <c r="Q8650" t="s">
        <v>324</v>
      </c>
      <c r="R8650" t="s">
        <v>320</v>
      </c>
      <c r="S8650" t="s">
        <v>323</v>
      </c>
      <c r="T8650">
        <v>7.6</v>
      </c>
      <c r="Y8650" s="42">
        <v>44929</v>
      </c>
    </row>
    <row r="8651" spans="1:25">
      <c r="N8651" s="42">
        <v>44923</v>
      </c>
      <c r="O8651" t="s">
        <v>328</v>
      </c>
      <c r="P8651" s="42">
        <v>44923</v>
      </c>
      <c r="Q8651" t="s">
        <v>328</v>
      </c>
      <c r="R8651" t="s">
        <v>320</v>
      </c>
      <c r="S8651" t="s">
        <v>323</v>
      </c>
      <c r="T8651">
        <v>7.6</v>
      </c>
      <c r="Y8651" s="42">
        <v>44929</v>
      </c>
    </row>
    <row r="8652" spans="1:25">
      <c r="N8652" s="42">
        <v>44922</v>
      </c>
      <c r="O8652" t="s">
        <v>333</v>
      </c>
      <c r="P8652" s="42">
        <v>44922</v>
      </c>
      <c r="Q8652" t="s">
        <v>333</v>
      </c>
      <c r="R8652" t="s">
        <v>320</v>
      </c>
      <c r="S8652" t="s">
        <v>323</v>
      </c>
      <c r="U8652">
        <v>7.6</v>
      </c>
    </row>
    <row r="8653" spans="1:25">
      <c r="N8653" s="42">
        <v>44921</v>
      </c>
      <c r="O8653" t="s">
        <v>345</v>
      </c>
      <c r="P8653" s="42">
        <v>44921</v>
      </c>
      <c r="Q8653" t="s">
        <v>345</v>
      </c>
      <c r="R8653" t="s">
        <v>320</v>
      </c>
      <c r="S8653" t="s">
        <v>323</v>
      </c>
      <c r="U8653">
        <v>7.6</v>
      </c>
    </row>
    <row r="8654" spans="1:25">
      <c r="N8654" s="42">
        <v>44918</v>
      </c>
      <c r="O8654" t="s">
        <v>346</v>
      </c>
      <c r="P8654" s="42">
        <v>44918</v>
      </c>
      <c r="Q8654" t="s">
        <v>346</v>
      </c>
      <c r="R8654" t="s">
        <v>320</v>
      </c>
      <c r="S8654" t="s">
        <v>323</v>
      </c>
      <c r="T8654">
        <v>7.6</v>
      </c>
      <c r="Y8654" s="42">
        <v>44929</v>
      </c>
    </row>
    <row r="8655" spans="1:25">
      <c r="N8655" s="42">
        <v>44917</v>
      </c>
      <c r="O8655" t="s">
        <v>324</v>
      </c>
      <c r="P8655" s="42">
        <v>44917</v>
      </c>
      <c r="Q8655" t="s">
        <v>324</v>
      </c>
      <c r="R8655" t="s">
        <v>320</v>
      </c>
      <c r="S8655" t="s">
        <v>323</v>
      </c>
      <c r="T8655">
        <v>7.6</v>
      </c>
      <c r="Y8655" s="42">
        <v>44929</v>
      </c>
    </row>
    <row r="8656" spans="1:25">
      <c r="N8656" s="42">
        <v>44916</v>
      </c>
      <c r="O8656" t="s">
        <v>328</v>
      </c>
      <c r="P8656" s="42">
        <v>44916</v>
      </c>
      <c r="Q8656" t="s">
        <v>328</v>
      </c>
      <c r="R8656" t="s">
        <v>320</v>
      </c>
      <c r="S8656" t="s">
        <v>323</v>
      </c>
      <c r="T8656">
        <v>7.6</v>
      </c>
      <c r="Y8656" s="42">
        <v>44929</v>
      </c>
    </row>
    <row r="8657" spans="14:25">
      <c r="N8657" s="42">
        <v>44915</v>
      </c>
      <c r="O8657" t="s">
        <v>333</v>
      </c>
      <c r="P8657" s="42">
        <v>44915</v>
      </c>
      <c r="Q8657" t="s">
        <v>333</v>
      </c>
      <c r="R8657" t="s">
        <v>320</v>
      </c>
      <c r="S8657" t="s">
        <v>323</v>
      </c>
      <c r="T8657">
        <v>7.6</v>
      </c>
      <c r="Y8657" s="42">
        <v>44915</v>
      </c>
    </row>
    <row r="8658" spans="14:25">
      <c r="N8658" s="42">
        <v>44914</v>
      </c>
      <c r="O8658" t="s">
        <v>345</v>
      </c>
      <c r="P8658" s="42">
        <v>44914</v>
      </c>
      <c r="Q8658" t="s">
        <v>345</v>
      </c>
      <c r="R8658" t="s">
        <v>320</v>
      </c>
      <c r="S8658" t="s">
        <v>323</v>
      </c>
      <c r="T8658">
        <v>7.6</v>
      </c>
      <c r="Y8658" s="42">
        <v>44915</v>
      </c>
    </row>
    <row r="8659" spans="14:25">
      <c r="N8659" s="42">
        <v>44911</v>
      </c>
      <c r="O8659" t="s">
        <v>346</v>
      </c>
      <c r="P8659" s="42">
        <v>44911</v>
      </c>
      <c r="Q8659" t="s">
        <v>346</v>
      </c>
      <c r="R8659" t="s">
        <v>320</v>
      </c>
      <c r="S8659" t="s">
        <v>323</v>
      </c>
      <c r="T8659">
        <v>7.6</v>
      </c>
      <c r="Y8659" s="42">
        <v>44915</v>
      </c>
    </row>
    <row r="8660" spans="14:25">
      <c r="N8660" s="42">
        <v>44910</v>
      </c>
      <c r="O8660" t="s">
        <v>324</v>
      </c>
      <c r="P8660" s="42">
        <v>44910</v>
      </c>
      <c r="Q8660" t="s">
        <v>324</v>
      </c>
      <c r="R8660" t="s">
        <v>320</v>
      </c>
      <c r="S8660" t="s">
        <v>323</v>
      </c>
      <c r="T8660">
        <v>7.6</v>
      </c>
      <c r="Y8660" s="42">
        <v>44915</v>
      </c>
    </row>
    <row r="8661" spans="14:25">
      <c r="N8661" s="42">
        <v>44909</v>
      </c>
      <c r="O8661" t="s">
        <v>328</v>
      </c>
      <c r="P8661" s="42">
        <v>44909</v>
      </c>
      <c r="Q8661" t="s">
        <v>328</v>
      </c>
      <c r="R8661" t="s">
        <v>320</v>
      </c>
      <c r="S8661" t="s">
        <v>323</v>
      </c>
      <c r="T8661">
        <v>7.6</v>
      </c>
      <c r="Y8661" s="42">
        <v>44915</v>
      </c>
    </row>
    <row r="8662" spans="14:25">
      <c r="N8662" s="42">
        <v>44908</v>
      </c>
      <c r="O8662" t="s">
        <v>333</v>
      </c>
      <c r="P8662" s="42">
        <v>44908</v>
      </c>
      <c r="Q8662" t="s">
        <v>333</v>
      </c>
      <c r="R8662" t="s">
        <v>320</v>
      </c>
      <c r="S8662" t="s">
        <v>323</v>
      </c>
      <c r="T8662">
        <v>7.6</v>
      </c>
      <c r="Y8662" s="42">
        <v>44915</v>
      </c>
    </row>
    <row r="8663" spans="14:25">
      <c r="N8663" s="42">
        <v>44907</v>
      </c>
      <c r="O8663" t="s">
        <v>345</v>
      </c>
      <c r="P8663" s="42">
        <v>44907</v>
      </c>
      <c r="Q8663" t="s">
        <v>345</v>
      </c>
      <c r="R8663" t="s">
        <v>320</v>
      </c>
      <c r="S8663" t="s">
        <v>323</v>
      </c>
      <c r="T8663">
        <v>7.6</v>
      </c>
      <c r="Y8663" s="42">
        <v>44915</v>
      </c>
    </row>
    <row r="8664" spans="14:25">
      <c r="N8664" s="42">
        <v>44904</v>
      </c>
      <c r="O8664" t="s">
        <v>346</v>
      </c>
      <c r="P8664" s="42">
        <v>44904</v>
      </c>
      <c r="Q8664" t="s">
        <v>346</v>
      </c>
      <c r="R8664" t="s">
        <v>320</v>
      </c>
      <c r="S8664" t="s">
        <v>323</v>
      </c>
      <c r="T8664">
        <v>7.6</v>
      </c>
      <c r="Y8664" s="42">
        <v>44915</v>
      </c>
    </row>
    <row r="8665" spans="14:25">
      <c r="N8665" s="42">
        <v>44903</v>
      </c>
      <c r="O8665" t="s">
        <v>324</v>
      </c>
      <c r="P8665" s="42">
        <v>44903</v>
      </c>
      <c r="Q8665" t="s">
        <v>324</v>
      </c>
      <c r="R8665" t="s">
        <v>320</v>
      </c>
      <c r="S8665" t="s">
        <v>323</v>
      </c>
      <c r="T8665">
        <v>7.6</v>
      </c>
      <c r="Y8665" s="42">
        <v>44915</v>
      </c>
    </row>
    <row r="8666" spans="14:25">
      <c r="N8666" s="42">
        <v>44902</v>
      </c>
      <c r="O8666" t="s">
        <v>328</v>
      </c>
      <c r="P8666" s="42">
        <v>44902</v>
      </c>
      <c r="Q8666" t="s">
        <v>328</v>
      </c>
      <c r="R8666" t="s">
        <v>320</v>
      </c>
      <c r="S8666" t="s">
        <v>323</v>
      </c>
      <c r="T8666">
        <v>7.6</v>
      </c>
      <c r="Y8666" s="42">
        <v>44915</v>
      </c>
    </row>
    <row r="8667" spans="14:25">
      <c r="N8667" s="42">
        <v>44866</v>
      </c>
      <c r="O8667" t="s">
        <v>333</v>
      </c>
      <c r="P8667" s="42">
        <v>44866</v>
      </c>
      <c r="Q8667" t="s">
        <v>333</v>
      </c>
      <c r="R8667" t="s">
        <v>320</v>
      </c>
      <c r="S8667" t="s">
        <v>323</v>
      </c>
      <c r="U8667">
        <v>7.6</v>
      </c>
    </row>
    <row r="8668" spans="14:25">
      <c r="N8668" s="42">
        <v>44838</v>
      </c>
      <c r="O8668" t="s">
        <v>333</v>
      </c>
      <c r="P8668" s="42">
        <v>44838</v>
      </c>
      <c r="Q8668" t="s">
        <v>333</v>
      </c>
      <c r="R8668" t="s">
        <v>320</v>
      </c>
      <c r="S8668" t="s">
        <v>323</v>
      </c>
      <c r="T8668">
        <v>7.6</v>
      </c>
      <c r="Y8668" s="42">
        <v>44845</v>
      </c>
    </row>
    <row r="8669" spans="14:25">
      <c r="N8669" s="42">
        <v>44835</v>
      </c>
      <c r="O8669" t="s">
        <v>359</v>
      </c>
      <c r="P8669" s="42">
        <v>44835</v>
      </c>
      <c r="Q8669" t="s">
        <v>359</v>
      </c>
      <c r="R8669" t="s">
        <v>320</v>
      </c>
      <c r="S8669" t="s">
        <v>323</v>
      </c>
      <c r="T8669">
        <v>7.6</v>
      </c>
      <c r="Y8669" s="42">
        <v>44845</v>
      </c>
    </row>
    <row r="8670" spans="14:25">
      <c r="N8670" s="42">
        <v>44828</v>
      </c>
      <c r="O8670" t="s">
        <v>359</v>
      </c>
      <c r="P8670" s="42">
        <v>44828</v>
      </c>
      <c r="Q8670" t="s">
        <v>359</v>
      </c>
      <c r="R8670" t="s">
        <v>329</v>
      </c>
      <c r="S8670" t="s">
        <v>323</v>
      </c>
      <c r="T8670">
        <v>7.6</v>
      </c>
      <c r="W8670" t="s">
        <v>330</v>
      </c>
      <c r="Y8670" s="42">
        <v>44831</v>
      </c>
    </row>
    <row r="8671" spans="14:25">
      <c r="N8671" s="42">
        <v>44827</v>
      </c>
      <c r="O8671" t="s">
        <v>346</v>
      </c>
      <c r="P8671" s="42">
        <v>44827</v>
      </c>
      <c r="Q8671" t="s">
        <v>346</v>
      </c>
      <c r="R8671" t="s">
        <v>320</v>
      </c>
      <c r="S8671" t="s">
        <v>323</v>
      </c>
      <c r="U8671">
        <v>7.6</v>
      </c>
    </row>
    <row r="8672" spans="14:25">
      <c r="N8672" s="42">
        <v>44826</v>
      </c>
      <c r="O8672" t="s">
        <v>324</v>
      </c>
      <c r="P8672" s="42">
        <v>44826</v>
      </c>
      <c r="Q8672" t="s">
        <v>324</v>
      </c>
      <c r="R8672" t="s">
        <v>320</v>
      </c>
      <c r="S8672" t="s">
        <v>323</v>
      </c>
      <c r="U8672">
        <v>7.6</v>
      </c>
    </row>
    <row r="8673" spans="14:25">
      <c r="N8673" s="42">
        <v>44814</v>
      </c>
      <c r="O8673" t="s">
        <v>359</v>
      </c>
      <c r="P8673" s="42">
        <v>44814</v>
      </c>
      <c r="Q8673" t="s">
        <v>359</v>
      </c>
      <c r="R8673" t="s">
        <v>320</v>
      </c>
      <c r="S8673" t="s">
        <v>323</v>
      </c>
      <c r="T8673">
        <v>7.6</v>
      </c>
      <c r="Y8673" s="42">
        <v>44817</v>
      </c>
    </row>
    <row r="8674" spans="14:25">
      <c r="N8674" s="42">
        <v>44789</v>
      </c>
      <c r="O8674" t="s">
        <v>333</v>
      </c>
      <c r="P8674" s="42">
        <v>44789</v>
      </c>
      <c r="Q8674" t="s">
        <v>333</v>
      </c>
      <c r="R8674" t="s">
        <v>329</v>
      </c>
      <c r="S8674" t="s">
        <v>323</v>
      </c>
      <c r="T8674">
        <v>7.6</v>
      </c>
      <c r="W8674" t="s">
        <v>330</v>
      </c>
      <c r="Y8674" s="42">
        <v>44789</v>
      </c>
    </row>
    <row r="8675" spans="14:25">
      <c r="N8675" s="42">
        <v>44786</v>
      </c>
      <c r="O8675" t="s">
        <v>359</v>
      </c>
      <c r="P8675" s="42">
        <v>44786</v>
      </c>
      <c r="Q8675" t="s">
        <v>359</v>
      </c>
      <c r="R8675" t="s">
        <v>329</v>
      </c>
      <c r="S8675" t="s">
        <v>323</v>
      </c>
      <c r="T8675">
        <v>7.6</v>
      </c>
      <c r="W8675" t="s">
        <v>330</v>
      </c>
      <c r="Y8675" s="42">
        <v>44789</v>
      </c>
    </row>
    <row r="8676" spans="14:25">
      <c r="N8676" s="42">
        <v>44785</v>
      </c>
      <c r="O8676" t="s">
        <v>346</v>
      </c>
      <c r="P8676" s="42">
        <v>44785</v>
      </c>
      <c r="Q8676" t="s">
        <v>346</v>
      </c>
      <c r="R8676" t="s">
        <v>329</v>
      </c>
      <c r="S8676" t="s">
        <v>323</v>
      </c>
      <c r="T8676">
        <v>7.6</v>
      </c>
      <c r="W8676" t="s">
        <v>330</v>
      </c>
      <c r="Y8676" s="42">
        <v>44789</v>
      </c>
    </row>
    <row r="8677" spans="14:25">
      <c r="N8677" s="42">
        <v>44784</v>
      </c>
      <c r="O8677" t="s">
        <v>324</v>
      </c>
      <c r="P8677" s="42">
        <v>44784</v>
      </c>
      <c r="Q8677" t="s">
        <v>324</v>
      </c>
      <c r="R8677" t="s">
        <v>329</v>
      </c>
      <c r="S8677" t="s">
        <v>323</v>
      </c>
      <c r="T8677">
        <v>7.6</v>
      </c>
      <c r="W8677" t="s">
        <v>330</v>
      </c>
      <c r="Y8677" s="42">
        <v>44789</v>
      </c>
    </row>
    <row r="8678" spans="14:25">
      <c r="N8678" s="42">
        <v>44776</v>
      </c>
      <c r="O8678" t="s">
        <v>328</v>
      </c>
      <c r="P8678" s="42">
        <v>44776</v>
      </c>
      <c r="Q8678" t="s">
        <v>328</v>
      </c>
      <c r="R8678" t="s">
        <v>320</v>
      </c>
      <c r="S8678" t="s">
        <v>323</v>
      </c>
      <c r="T8678">
        <v>7.6</v>
      </c>
      <c r="Y8678" s="42">
        <v>44789</v>
      </c>
    </row>
    <row r="8679" spans="14:25">
      <c r="N8679" s="42">
        <v>44775</v>
      </c>
      <c r="O8679" t="s">
        <v>333</v>
      </c>
      <c r="P8679" s="42">
        <v>44775</v>
      </c>
      <c r="Q8679" t="s">
        <v>333</v>
      </c>
      <c r="R8679" t="s">
        <v>320</v>
      </c>
      <c r="S8679" t="s">
        <v>323</v>
      </c>
      <c r="T8679">
        <v>7.6</v>
      </c>
      <c r="Y8679" s="42">
        <v>44775</v>
      </c>
    </row>
    <row r="8680" spans="14:25">
      <c r="N8680" s="42">
        <v>44761</v>
      </c>
      <c r="O8680" t="s">
        <v>333</v>
      </c>
      <c r="P8680" s="42">
        <v>44761</v>
      </c>
      <c r="Q8680" t="s">
        <v>333</v>
      </c>
      <c r="R8680" t="s">
        <v>329</v>
      </c>
      <c r="S8680" t="s">
        <v>323</v>
      </c>
      <c r="T8680">
        <v>7.6</v>
      </c>
      <c r="W8680" t="s">
        <v>330</v>
      </c>
      <c r="Y8680" s="42">
        <v>44761</v>
      </c>
    </row>
    <row r="8681" spans="14:25">
      <c r="N8681" s="42">
        <v>44667</v>
      </c>
      <c r="O8681" t="s">
        <v>359</v>
      </c>
      <c r="P8681" s="42">
        <v>44667</v>
      </c>
      <c r="Q8681" t="s">
        <v>359</v>
      </c>
      <c r="R8681" t="s">
        <v>320</v>
      </c>
      <c r="S8681" t="s">
        <v>323</v>
      </c>
      <c r="U8681">
        <v>7.6</v>
      </c>
    </row>
    <row r="8682" spans="14:25">
      <c r="N8682" s="42">
        <v>44666</v>
      </c>
      <c r="O8682" t="s">
        <v>346</v>
      </c>
      <c r="P8682" s="42">
        <v>44666</v>
      </c>
      <c r="Q8682" t="s">
        <v>346</v>
      </c>
      <c r="R8682" t="s">
        <v>320</v>
      </c>
      <c r="S8682" t="s">
        <v>323</v>
      </c>
      <c r="U8682">
        <v>7.6</v>
      </c>
    </row>
    <row r="8683" spans="14:25">
      <c r="N8683" s="42">
        <v>44665</v>
      </c>
      <c r="O8683" t="s">
        <v>324</v>
      </c>
      <c r="P8683" s="42">
        <v>44665</v>
      </c>
      <c r="Q8683" t="s">
        <v>324</v>
      </c>
      <c r="R8683" t="s">
        <v>320</v>
      </c>
      <c r="S8683" t="s">
        <v>323</v>
      </c>
      <c r="T8683">
        <v>7.6</v>
      </c>
      <c r="Y8683" s="42">
        <v>44677</v>
      </c>
    </row>
    <row r="8684" spans="14:25">
      <c r="N8684" s="42">
        <v>44616</v>
      </c>
      <c r="O8684" t="s">
        <v>324</v>
      </c>
      <c r="P8684" s="42">
        <v>44616</v>
      </c>
      <c r="Q8684" t="s">
        <v>324</v>
      </c>
      <c r="R8684" t="s">
        <v>329</v>
      </c>
      <c r="S8684" t="s">
        <v>323</v>
      </c>
      <c r="T8684">
        <v>7.6</v>
      </c>
      <c r="W8684" t="s">
        <v>330</v>
      </c>
      <c r="Y8684" s="42">
        <v>44621</v>
      </c>
    </row>
    <row r="8685" spans="14:25">
      <c r="N8685" s="42">
        <v>44615</v>
      </c>
      <c r="O8685" t="s">
        <v>328</v>
      </c>
      <c r="P8685" s="42">
        <v>44615</v>
      </c>
      <c r="Q8685" t="s">
        <v>328</v>
      </c>
      <c r="R8685" t="s">
        <v>329</v>
      </c>
      <c r="S8685" t="s">
        <v>323</v>
      </c>
      <c r="T8685">
        <v>7.6</v>
      </c>
      <c r="W8685" t="s">
        <v>330</v>
      </c>
      <c r="Y8685" s="42">
        <v>44621</v>
      </c>
    </row>
    <row r="8686" spans="14:25">
      <c r="N8686" s="42">
        <v>44587</v>
      </c>
      <c r="O8686" t="s">
        <v>328</v>
      </c>
      <c r="P8686" s="42">
        <v>44587</v>
      </c>
      <c r="Q8686" t="s">
        <v>328</v>
      </c>
      <c r="R8686" t="s">
        <v>320</v>
      </c>
      <c r="S8686" t="s">
        <v>323</v>
      </c>
      <c r="U8686">
        <v>7.6</v>
      </c>
    </row>
    <row r="8687" spans="14:25">
      <c r="N8687" s="42">
        <v>44562</v>
      </c>
      <c r="O8687" t="s">
        <v>359</v>
      </c>
      <c r="P8687" s="42">
        <v>44562</v>
      </c>
      <c r="Q8687" t="s">
        <v>359</v>
      </c>
      <c r="R8687" t="s">
        <v>320</v>
      </c>
      <c r="S8687" t="s">
        <v>323</v>
      </c>
      <c r="U8687">
        <v>7.6</v>
      </c>
    </row>
    <row r="8688" spans="14:25">
      <c r="N8688" s="42">
        <v>44558</v>
      </c>
      <c r="O8688" t="s">
        <v>333</v>
      </c>
      <c r="P8688" s="42">
        <v>44558</v>
      </c>
      <c r="Q8688" t="s">
        <v>333</v>
      </c>
      <c r="R8688" t="s">
        <v>320</v>
      </c>
      <c r="S8688" t="s">
        <v>323</v>
      </c>
      <c r="U8688">
        <v>7.6</v>
      </c>
    </row>
    <row r="8689" spans="1:25">
      <c r="N8689" s="42">
        <v>44555</v>
      </c>
      <c r="O8689" t="s">
        <v>359</v>
      </c>
      <c r="P8689" s="42">
        <v>44555</v>
      </c>
      <c r="Q8689" t="s">
        <v>359</v>
      </c>
      <c r="R8689" t="s">
        <v>320</v>
      </c>
      <c r="S8689" t="s">
        <v>323</v>
      </c>
      <c r="U8689">
        <v>7.6</v>
      </c>
    </row>
    <row r="8690" spans="1:25">
      <c r="N8690" s="42">
        <v>44502</v>
      </c>
      <c r="O8690" t="s">
        <v>333</v>
      </c>
      <c r="P8690" s="42">
        <v>44502</v>
      </c>
      <c r="Q8690" t="s">
        <v>333</v>
      </c>
      <c r="R8690" t="s">
        <v>320</v>
      </c>
      <c r="S8690" t="s">
        <v>323</v>
      </c>
      <c r="U8690">
        <v>7.6</v>
      </c>
    </row>
    <row r="8691" spans="1:25">
      <c r="N8691" s="42">
        <v>44397</v>
      </c>
      <c r="O8691" t="s">
        <v>333</v>
      </c>
      <c r="P8691" s="42">
        <v>44397</v>
      </c>
      <c r="Q8691" t="s">
        <v>333</v>
      </c>
      <c r="R8691" t="s">
        <v>383</v>
      </c>
      <c r="S8691" t="s">
        <v>323</v>
      </c>
      <c r="T8691">
        <v>29.983599999999999</v>
      </c>
      <c r="W8691" t="s">
        <v>339</v>
      </c>
      <c r="Y8691" s="42">
        <v>44397</v>
      </c>
    </row>
    <row r="8692" spans="1:25">
      <c r="A8692">
        <v>18953</v>
      </c>
      <c r="B8692" t="s">
        <v>457</v>
      </c>
      <c r="C8692" t="s">
        <v>320</v>
      </c>
      <c r="D8692" t="s">
        <v>336</v>
      </c>
      <c r="E8692" t="s">
        <v>337</v>
      </c>
      <c r="F8692">
        <v>1</v>
      </c>
      <c r="G8692" s="42">
        <v>45063</v>
      </c>
      <c r="H8692">
        <v>152</v>
      </c>
      <c r="I8692">
        <v>86.057000000000002</v>
      </c>
      <c r="J8692">
        <v>121.1836</v>
      </c>
      <c r="K8692">
        <v>207.2406</v>
      </c>
      <c r="L8692" t="s">
        <v>323</v>
      </c>
      <c r="M8692" s="43">
        <v>4.7916666666666663E-2</v>
      </c>
      <c r="N8692" s="42">
        <v>44952</v>
      </c>
      <c r="O8692" t="s">
        <v>324</v>
      </c>
      <c r="P8692" s="42">
        <v>44952</v>
      </c>
      <c r="Q8692" t="s">
        <v>324</v>
      </c>
      <c r="R8692" t="s">
        <v>320</v>
      </c>
      <c r="S8692" t="s">
        <v>323</v>
      </c>
      <c r="U8692">
        <v>7.6</v>
      </c>
    </row>
    <row r="8693" spans="1:25">
      <c r="C8693" t="s">
        <v>325</v>
      </c>
      <c r="D8693" t="s">
        <v>366</v>
      </c>
      <c r="E8693" t="s">
        <v>367</v>
      </c>
      <c r="F8693">
        <v>1</v>
      </c>
      <c r="G8693" s="42">
        <v>47985</v>
      </c>
      <c r="H8693">
        <v>327.17009999999999</v>
      </c>
      <c r="I8693">
        <v>0</v>
      </c>
      <c r="J8693">
        <v>56.500799999999998</v>
      </c>
      <c r="K8693">
        <v>56.500799999999998</v>
      </c>
      <c r="L8693" t="s">
        <v>323</v>
      </c>
      <c r="N8693" s="42">
        <v>44928</v>
      </c>
      <c r="O8693" t="s">
        <v>345</v>
      </c>
      <c r="P8693" s="42">
        <v>44928</v>
      </c>
      <c r="Q8693" t="s">
        <v>345</v>
      </c>
      <c r="R8693" t="s">
        <v>320</v>
      </c>
      <c r="S8693" t="s">
        <v>323</v>
      </c>
      <c r="U8693">
        <v>7.6</v>
      </c>
    </row>
    <row r="8694" spans="1:25">
      <c r="C8694" t="s">
        <v>329</v>
      </c>
      <c r="D8694" t="s">
        <v>342</v>
      </c>
      <c r="E8694" t="s">
        <v>343</v>
      </c>
      <c r="F8694">
        <v>1</v>
      </c>
      <c r="G8694" s="42">
        <v>45063</v>
      </c>
      <c r="H8694">
        <v>76</v>
      </c>
      <c r="I8694">
        <v>46.828499999999998</v>
      </c>
      <c r="J8694">
        <v>60.591799999999999</v>
      </c>
      <c r="K8694">
        <v>107.4203</v>
      </c>
      <c r="L8694" t="s">
        <v>323</v>
      </c>
      <c r="N8694" s="42">
        <v>44922</v>
      </c>
      <c r="O8694" t="s">
        <v>333</v>
      </c>
      <c r="P8694" s="42">
        <v>44922</v>
      </c>
      <c r="Q8694" t="s">
        <v>333</v>
      </c>
      <c r="R8694" t="s">
        <v>320</v>
      </c>
      <c r="S8694" t="s">
        <v>323</v>
      </c>
      <c r="U8694">
        <v>7.6</v>
      </c>
    </row>
    <row r="8695" spans="1:25">
      <c r="N8695" s="42">
        <v>44921</v>
      </c>
      <c r="O8695" t="s">
        <v>345</v>
      </c>
      <c r="P8695" s="42">
        <v>44921</v>
      </c>
      <c r="Q8695" t="s">
        <v>345</v>
      </c>
      <c r="R8695" t="s">
        <v>320</v>
      </c>
      <c r="S8695" t="s">
        <v>323</v>
      </c>
      <c r="U8695">
        <v>7.6</v>
      </c>
    </row>
    <row r="8696" spans="1:25">
      <c r="N8696" s="42">
        <v>44876</v>
      </c>
      <c r="O8696" t="s">
        <v>346</v>
      </c>
      <c r="P8696" s="42">
        <v>44876</v>
      </c>
      <c r="Q8696" t="s">
        <v>346</v>
      </c>
      <c r="R8696" t="s">
        <v>320</v>
      </c>
      <c r="S8696" t="s">
        <v>323</v>
      </c>
      <c r="T8696">
        <v>7.6</v>
      </c>
      <c r="Y8696" s="42">
        <v>44887</v>
      </c>
    </row>
    <row r="8697" spans="1:25">
      <c r="N8697" s="42">
        <v>44875</v>
      </c>
      <c r="O8697" t="s">
        <v>324</v>
      </c>
      <c r="P8697" s="42">
        <v>44875</v>
      </c>
      <c r="Q8697" t="s">
        <v>324</v>
      </c>
      <c r="R8697" t="s">
        <v>320</v>
      </c>
      <c r="S8697" t="s">
        <v>323</v>
      </c>
      <c r="T8697">
        <v>7.6</v>
      </c>
      <c r="Y8697" s="42">
        <v>44887</v>
      </c>
    </row>
    <row r="8698" spans="1:25">
      <c r="N8698" s="42">
        <v>44874</v>
      </c>
      <c r="O8698" t="s">
        <v>328</v>
      </c>
      <c r="P8698" s="42">
        <v>44874</v>
      </c>
      <c r="Q8698" t="s">
        <v>328</v>
      </c>
      <c r="R8698" t="s">
        <v>320</v>
      </c>
      <c r="S8698" t="s">
        <v>323</v>
      </c>
      <c r="T8698">
        <v>7.6</v>
      </c>
      <c r="Y8698" s="42">
        <v>44887</v>
      </c>
    </row>
    <row r="8699" spans="1:25">
      <c r="N8699" s="42">
        <v>44873</v>
      </c>
      <c r="O8699" t="s">
        <v>333</v>
      </c>
      <c r="P8699" s="42">
        <v>44873</v>
      </c>
      <c r="Q8699" t="s">
        <v>333</v>
      </c>
      <c r="R8699" t="s">
        <v>320</v>
      </c>
      <c r="S8699" t="s">
        <v>323</v>
      </c>
      <c r="T8699">
        <v>7.6</v>
      </c>
      <c r="Y8699" s="42">
        <v>44873</v>
      </c>
    </row>
    <row r="8700" spans="1:25">
      <c r="N8700" s="42">
        <v>44872</v>
      </c>
      <c r="O8700" t="s">
        <v>345</v>
      </c>
      <c r="P8700" s="42">
        <v>44872</v>
      </c>
      <c r="Q8700" t="s">
        <v>345</v>
      </c>
      <c r="R8700" t="s">
        <v>320</v>
      </c>
      <c r="S8700" t="s">
        <v>323</v>
      </c>
      <c r="T8700">
        <v>7.6</v>
      </c>
      <c r="Y8700" s="42">
        <v>44873</v>
      </c>
    </row>
    <row r="8701" spans="1:25">
      <c r="N8701" s="42">
        <v>44869</v>
      </c>
      <c r="O8701" t="s">
        <v>346</v>
      </c>
      <c r="P8701" s="42">
        <v>44869</v>
      </c>
      <c r="Q8701" t="s">
        <v>346</v>
      </c>
      <c r="R8701" t="s">
        <v>320</v>
      </c>
      <c r="S8701" t="s">
        <v>323</v>
      </c>
      <c r="T8701">
        <v>7.6</v>
      </c>
      <c r="Y8701" s="42">
        <v>44873</v>
      </c>
    </row>
    <row r="8702" spans="1:25">
      <c r="N8702" s="42">
        <v>44868</v>
      </c>
      <c r="O8702" t="s">
        <v>324</v>
      </c>
      <c r="P8702" s="42">
        <v>44868</v>
      </c>
      <c r="Q8702" t="s">
        <v>324</v>
      </c>
      <c r="R8702" t="s">
        <v>320</v>
      </c>
      <c r="S8702" t="s">
        <v>323</v>
      </c>
      <c r="T8702">
        <v>7.6</v>
      </c>
      <c r="Y8702" s="42">
        <v>44873</v>
      </c>
    </row>
    <row r="8703" spans="1:25">
      <c r="N8703" s="42">
        <v>44830</v>
      </c>
      <c r="O8703" t="s">
        <v>345</v>
      </c>
      <c r="P8703" s="42">
        <v>44830</v>
      </c>
      <c r="Q8703" t="s">
        <v>345</v>
      </c>
      <c r="R8703" t="s">
        <v>320</v>
      </c>
      <c r="S8703" t="s">
        <v>323</v>
      </c>
      <c r="U8703">
        <v>7.6</v>
      </c>
    </row>
    <row r="8704" spans="1:25">
      <c r="N8704" s="42">
        <v>44826</v>
      </c>
      <c r="O8704" t="s">
        <v>324</v>
      </c>
      <c r="P8704" s="42">
        <v>44826</v>
      </c>
      <c r="Q8704" t="s">
        <v>324</v>
      </c>
      <c r="R8704" t="s">
        <v>320</v>
      </c>
      <c r="S8704" t="s">
        <v>323</v>
      </c>
      <c r="U8704">
        <v>7.6</v>
      </c>
    </row>
    <row r="8705" spans="1:25">
      <c r="N8705" s="42">
        <v>44718</v>
      </c>
      <c r="O8705" t="s">
        <v>345</v>
      </c>
      <c r="P8705" s="42">
        <v>44718</v>
      </c>
      <c r="Q8705" t="s">
        <v>345</v>
      </c>
      <c r="R8705" t="s">
        <v>320</v>
      </c>
      <c r="S8705" t="s">
        <v>323</v>
      </c>
      <c r="U8705">
        <v>7.6</v>
      </c>
    </row>
    <row r="8706" spans="1:25">
      <c r="N8706" s="42">
        <v>44711</v>
      </c>
      <c r="O8706" t="s">
        <v>345</v>
      </c>
      <c r="P8706" s="42">
        <v>44711</v>
      </c>
      <c r="Q8706" t="s">
        <v>345</v>
      </c>
      <c r="R8706" t="s">
        <v>329</v>
      </c>
      <c r="S8706" t="s">
        <v>323</v>
      </c>
      <c r="T8706">
        <v>7.6</v>
      </c>
      <c r="W8706" t="s">
        <v>330</v>
      </c>
      <c r="Y8706" s="42">
        <v>44719</v>
      </c>
    </row>
    <row r="8707" spans="1:25">
      <c r="N8707" s="42">
        <v>44708</v>
      </c>
      <c r="O8707" t="s">
        <v>346</v>
      </c>
      <c r="P8707" s="42">
        <v>44708</v>
      </c>
      <c r="Q8707" t="s">
        <v>346</v>
      </c>
      <c r="R8707" t="s">
        <v>329</v>
      </c>
      <c r="S8707" t="s">
        <v>323</v>
      </c>
      <c r="T8707">
        <v>7.6</v>
      </c>
      <c r="W8707" t="s">
        <v>330</v>
      </c>
      <c r="Y8707" s="42">
        <v>44719</v>
      </c>
    </row>
    <row r="8708" spans="1:25">
      <c r="N8708" s="42">
        <v>44705</v>
      </c>
      <c r="O8708" t="s">
        <v>333</v>
      </c>
      <c r="P8708" s="42">
        <v>44705</v>
      </c>
      <c r="Q8708" t="s">
        <v>333</v>
      </c>
      <c r="R8708" t="s">
        <v>329</v>
      </c>
      <c r="S8708" t="s">
        <v>323</v>
      </c>
      <c r="T8708">
        <v>7.6</v>
      </c>
      <c r="W8708" t="s">
        <v>330</v>
      </c>
      <c r="Y8708" s="42">
        <v>44705</v>
      </c>
    </row>
    <row r="8709" spans="1:25">
      <c r="N8709" s="42">
        <v>44676</v>
      </c>
      <c r="O8709" t="s">
        <v>345</v>
      </c>
      <c r="P8709" s="42">
        <v>44676</v>
      </c>
      <c r="Q8709" t="s">
        <v>345</v>
      </c>
      <c r="R8709" t="s">
        <v>320</v>
      </c>
      <c r="S8709" t="s">
        <v>323</v>
      </c>
      <c r="U8709">
        <v>7.6</v>
      </c>
    </row>
    <row r="8710" spans="1:25">
      <c r="N8710" s="42">
        <v>44669</v>
      </c>
      <c r="O8710" t="s">
        <v>345</v>
      </c>
      <c r="P8710" s="42">
        <v>44669</v>
      </c>
      <c r="Q8710" t="s">
        <v>345</v>
      </c>
      <c r="R8710" t="s">
        <v>320</v>
      </c>
      <c r="S8710" t="s">
        <v>323</v>
      </c>
      <c r="U8710">
        <v>7.6</v>
      </c>
    </row>
    <row r="8711" spans="1:25">
      <c r="N8711" s="42">
        <v>44666</v>
      </c>
      <c r="O8711" t="s">
        <v>346</v>
      </c>
      <c r="P8711" s="42">
        <v>44666</v>
      </c>
      <c r="Q8711" t="s">
        <v>346</v>
      </c>
      <c r="R8711" t="s">
        <v>320</v>
      </c>
      <c r="S8711" t="s">
        <v>323</v>
      </c>
      <c r="U8711">
        <v>7.6</v>
      </c>
    </row>
    <row r="8712" spans="1:25">
      <c r="N8712" s="42">
        <v>44627</v>
      </c>
      <c r="O8712" t="s">
        <v>345</v>
      </c>
      <c r="P8712" s="42">
        <v>44627</v>
      </c>
      <c r="Q8712" t="s">
        <v>345</v>
      </c>
      <c r="R8712" t="s">
        <v>320</v>
      </c>
      <c r="S8712" t="s">
        <v>323</v>
      </c>
      <c r="U8712">
        <v>7.6</v>
      </c>
    </row>
    <row r="8713" spans="1:25">
      <c r="N8713" s="42">
        <v>44587</v>
      </c>
      <c r="O8713" t="s">
        <v>328</v>
      </c>
      <c r="P8713" s="42">
        <v>44587</v>
      </c>
      <c r="Q8713" t="s">
        <v>328</v>
      </c>
      <c r="R8713" t="s">
        <v>320</v>
      </c>
      <c r="S8713" t="s">
        <v>323</v>
      </c>
      <c r="U8713">
        <v>7.6</v>
      </c>
    </row>
    <row r="8714" spans="1:25">
      <c r="N8714" s="42">
        <v>44564</v>
      </c>
      <c r="O8714" t="s">
        <v>345</v>
      </c>
      <c r="P8714" s="42">
        <v>44564</v>
      </c>
      <c r="Q8714" t="s">
        <v>345</v>
      </c>
      <c r="R8714" t="s">
        <v>320</v>
      </c>
      <c r="S8714" t="s">
        <v>323</v>
      </c>
      <c r="U8714">
        <v>7.6</v>
      </c>
    </row>
    <row r="8715" spans="1:25">
      <c r="N8715" s="42">
        <v>44558</v>
      </c>
      <c r="O8715" t="s">
        <v>333</v>
      </c>
      <c r="P8715" s="42">
        <v>44558</v>
      </c>
      <c r="Q8715" t="s">
        <v>333</v>
      </c>
      <c r="R8715" t="s">
        <v>320</v>
      </c>
      <c r="S8715" t="s">
        <v>323</v>
      </c>
      <c r="U8715">
        <v>7.6</v>
      </c>
    </row>
    <row r="8716" spans="1:25">
      <c r="N8716" s="42">
        <v>44557</v>
      </c>
      <c r="O8716" t="s">
        <v>345</v>
      </c>
      <c r="P8716" s="42">
        <v>44557</v>
      </c>
      <c r="Q8716" t="s">
        <v>345</v>
      </c>
      <c r="R8716" t="s">
        <v>320</v>
      </c>
      <c r="S8716" t="s">
        <v>323</v>
      </c>
      <c r="U8716">
        <v>7.6</v>
      </c>
    </row>
    <row r="8717" spans="1:25">
      <c r="N8717" s="42">
        <v>44466</v>
      </c>
      <c r="O8717" t="s">
        <v>345</v>
      </c>
      <c r="P8717" s="42">
        <v>44466</v>
      </c>
      <c r="Q8717" t="s">
        <v>345</v>
      </c>
      <c r="R8717" t="s">
        <v>320</v>
      </c>
      <c r="S8717" t="s">
        <v>323</v>
      </c>
      <c r="U8717">
        <v>7.6</v>
      </c>
    </row>
    <row r="8718" spans="1:25">
      <c r="N8718" s="42">
        <v>44354</v>
      </c>
      <c r="O8718" t="s">
        <v>345</v>
      </c>
      <c r="P8718" s="42">
        <v>44354</v>
      </c>
      <c r="Q8718" t="s">
        <v>345</v>
      </c>
      <c r="R8718" t="s">
        <v>320</v>
      </c>
      <c r="S8718" t="s">
        <v>323</v>
      </c>
      <c r="U8718">
        <v>7.6</v>
      </c>
    </row>
    <row r="8719" spans="1:25">
      <c r="A8719">
        <v>18954</v>
      </c>
      <c r="B8719" t="s">
        <v>458</v>
      </c>
      <c r="C8719" t="s">
        <v>320</v>
      </c>
      <c r="D8719" t="s">
        <v>336</v>
      </c>
      <c r="E8719" t="s">
        <v>337</v>
      </c>
      <c r="F8719">
        <v>1</v>
      </c>
      <c r="G8719" s="42">
        <v>45112</v>
      </c>
      <c r="H8719">
        <v>152</v>
      </c>
      <c r="I8719">
        <v>53.2</v>
      </c>
      <c r="J8719">
        <v>100.77809999999999</v>
      </c>
      <c r="K8719">
        <v>153.97810000000001</v>
      </c>
      <c r="L8719" t="s">
        <v>323</v>
      </c>
      <c r="M8719" s="43">
        <v>4.6527777777777779E-2</v>
      </c>
      <c r="N8719" s="42">
        <v>44952</v>
      </c>
      <c r="O8719" t="s">
        <v>324</v>
      </c>
      <c r="P8719" s="42">
        <v>44952</v>
      </c>
      <c r="Q8719" t="s">
        <v>324</v>
      </c>
      <c r="R8719" t="s">
        <v>320</v>
      </c>
      <c r="S8719" t="s">
        <v>323</v>
      </c>
      <c r="U8719">
        <v>7.6</v>
      </c>
      <c r="Y8719" s="42">
        <v>44957</v>
      </c>
    </row>
    <row r="8720" spans="1:25">
      <c r="C8720" t="s">
        <v>325</v>
      </c>
      <c r="D8720" t="s">
        <v>352</v>
      </c>
      <c r="E8720" t="s">
        <v>353</v>
      </c>
      <c r="F8720">
        <v>1</v>
      </c>
      <c r="G8720" s="42">
        <v>48034</v>
      </c>
      <c r="H8720">
        <v>329.346</v>
      </c>
      <c r="I8720">
        <v>0</v>
      </c>
      <c r="J8720">
        <v>54.740699999999997</v>
      </c>
      <c r="K8720">
        <v>54.740699999999997</v>
      </c>
      <c r="L8720" t="s">
        <v>323</v>
      </c>
      <c r="N8720" s="42">
        <v>44928</v>
      </c>
      <c r="O8720" t="s">
        <v>345</v>
      </c>
      <c r="P8720" s="42">
        <v>44928</v>
      </c>
      <c r="Q8720" t="s">
        <v>345</v>
      </c>
      <c r="R8720" t="s">
        <v>320</v>
      </c>
      <c r="S8720" t="s">
        <v>323</v>
      </c>
      <c r="U8720">
        <v>7.6</v>
      </c>
      <c r="Y8720" s="42">
        <v>44929</v>
      </c>
    </row>
    <row r="8721" spans="3:25">
      <c r="C8721" t="s">
        <v>329</v>
      </c>
      <c r="D8721" t="s">
        <v>342</v>
      </c>
      <c r="E8721" t="s">
        <v>343</v>
      </c>
      <c r="F8721">
        <v>1</v>
      </c>
      <c r="G8721" s="42">
        <v>45112</v>
      </c>
      <c r="H8721">
        <v>76</v>
      </c>
      <c r="I8721">
        <v>30.4</v>
      </c>
      <c r="J8721">
        <v>50.389000000000003</v>
      </c>
      <c r="K8721">
        <v>80.789000000000001</v>
      </c>
      <c r="L8721" t="s">
        <v>323</v>
      </c>
      <c r="N8721" s="42">
        <v>44922</v>
      </c>
      <c r="O8721" t="s">
        <v>333</v>
      </c>
      <c r="P8721" s="42">
        <v>44922</v>
      </c>
      <c r="Q8721" t="s">
        <v>333</v>
      </c>
      <c r="R8721" t="s">
        <v>320</v>
      </c>
      <c r="S8721" t="s">
        <v>323</v>
      </c>
      <c r="U8721">
        <v>7.6</v>
      </c>
      <c r="Y8721" s="42">
        <v>44929</v>
      </c>
    </row>
    <row r="8722" spans="3:25">
      <c r="N8722" s="42">
        <v>44921</v>
      </c>
      <c r="O8722" t="s">
        <v>345</v>
      </c>
      <c r="P8722" s="42">
        <v>44921</v>
      </c>
      <c r="Q8722" t="s">
        <v>345</v>
      </c>
      <c r="R8722" t="s">
        <v>320</v>
      </c>
      <c r="S8722" t="s">
        <v>323</v>
      </c>
      <c r="U8722">
        <v>7.6</v>
      </c>
      <c r="Y8722" s="42">
        <v>44929</v>
      </c>
    </row>
    <row r="8723" spans="3:25">
      <c r="N8723" s="42">
        <v>44837</v>
      </c>
      <c r="O8723" t="s">
        <v>345</v>
      </c>
      <c r="P8723" s="42">
        <v>44837</v>
      </c>
      <c r="Q8723" t="s">
        <v>345</v>
      </c>
      <c r="R8723" t="s">
        <v>320</v>
      </c>
      <c r="S8723" t="s">
        <v>323</v>
      </c>
      <c r="U8723">
        <v>7.6</v>
      </c>
      <c r="Y8723" s="42">
        <v>44845</v>
      </c>
    </row>
    <row r="8724" spans="3:25">
      <c r="N8724" s="42">
        <v>44826</v>
      </c>
      <c r="O8724" t="s">
        <v>324</v>
      </c>
      <c r="P8724" s="42">
        <v>44826</v>
      </c>
      <c r="Q8724" t="s">
        <v>324</v>
      </c>
      <c r="R8724" t="s">
        <v>320</v>
      </c>
      <c r="S8724" t="s">
        <v>323</v>
      </c>
      <c r="U8724">
        <v>7.6</v>
      </c>
      <c r="Y8724" s="42">
        <v>44831</v>
      </c>
    </row>
    <row r="8725" spans="3:25">
      <c r="N8725" s="42">
        <v>44817</v>
      </c>
      <c r="O8725" t="s">
        <v>333</v>
      </c>
      <c r="P8725" s="42">
        <v>44817</v>
      </c>
      <c r="Q8725" t="s">
        <v>333</v>
      </c>
      <c r="R8725" t="s">
        <v>320</v>
      </c>
      <c r="S8725" t="s">
        <v>323</v>
      </c>
      <c r="T8725">
        <v>7.6</v>
      </c>
      <c r="Y8725" s="42">
        <v>44817</v>
      </c>
    </row>
    <row r="8726" spans="3:25">
      <c r="N8726" s="42">
        <v>44816</v>
      </c>
      <c r="O8726" t="s">
        <v>345</v>
      </c>
      <c r="P8726" s="42">
        <v>44816</v>
      </c>
      <c r="Q8726" t="s">
        <v>345</v>
      </c>
      <c r="R8726" t="s">
        <v>320</v>
      </c>
      <c r="S8726" t="s">
        <v>323</v>
      </c>
      <c r="T8726">
        <v>7.6</v>
      </c>
      <c r="Y8726" s="42">
        <v>44817</v>
      </c>
    </row>
    <row r="8727" spans="3:25">
      <c r="N8727" s="42">
        <v>44813</v>
      </c>
      <c r="O8727" t="s">
        <v>346</v>
      </c>
      <c r="P8727" s="42">
        <v>44813</v>
      </c>
      <c r="Q8727" t="s">
        <v>346</v>
      </c>
      <c r="R8727" t="s">
        <v>320</v>
      </c>
      <c r="S8727" t="s">
        <v>323</v>
      </c>
      <c r="T8727">
        <v>7.6</v>
      </c>
      <c r="Y8727" s="42">
        <v>44817</v>
      </c>
    </row>
    <row r="8728" spans="3:25">
      <c r="N8728" s="42">
        <v>44812</v>
      </c>
      <c r="O8728" t="s">
        <v>324</v>
      </c>
      <c r="P8728" s="42">
        <v>44812</v>
      </c>
      <c r="Q8728" t="s">
        <v>324</v>
      </c>
      <c r="R8728" t="s">
        <v>320</v>
      </c>
      <c r="S8728" t="s">
        <v>323</v>
      </c>
      <c r="T8728">
        <v>7.6</v>
      </c>
      <c r="Y8728" s="42">
        <v>44817</v>
      </c>
    </row>
    <row r="8729" spans="3:25">
      <c r="N8729" s="42">
        <v>44811</v>
      </c>
      <c r="O8729" t="s">
        <v>328</v>
      </c>
      <c r="P8729" s="42">
        <v>44811</v>
      </c>
      <c r="Q8729" t="s">
        <v>328</v>
      </c>
      <c r="R8729" t="s">
        <v>320</v>
      </c>
      <c r="S8729" t="s">
        <v>323</v>
      </c>
      <c r="T8729">
        <v>7.6</v>
      </c>
      <c r="Y8729" s="42">
        <v>44817</v>
      </c>
    </row>
    <row r="8730" spans="3:25">
      <c r="N8730" s="42">
        <v>44810</v>
      </c>
      <c r="O8730" t="s">
        <v>333</v>
      </c>
      <c r="P8730" s="42">
        <v>44810</v>
      </c>
      <c r="Q8730" t="s">
        <v>333</v>
      </c>
      <c r="R8730" t="s">
        <v>320</v>
      </c>
      <c r="S8730" t="s">
        <v>323</v>
      </c>
      <c r="T8730">
        <v>7.6</v>
      </c>
      <c r="Y8730" s="42">
        <v>44817</v>
      </c>
    </row>
    <row r="8731" spans="3:25">
      <c r="N8731" s="42">
        <v>44809</v>
      </c>
      <c r="O8731" t="s">
        <v>345</v>
      </c>
      <c r="P8731" s="42">
        <v>44809</v>
      </c>
      <c r="Q8731" t="s">
        <v>345</v>
      </c>
      <c r="R8731" t="s">
        <v>320</v>
      </c>
      <c r="S8731" t="s">
        <v>323</v>
      </c>
      <c r="T8731">
        <v>7.6</v>
      </c>
      <c r="Y8731" s="42">
        <v>44817</v>
      </c>
    </row>
    <row r="8732" spans="3:25">
      <c r="N8732" s="42">
        <v>44806</v>
      </c>
      <c r="O8732" t="s">
        <v>346</v>
      </c>
      <c r="P8732" s="42">
        <v>44806</v>
      </c>
      <c r="Q8732" t="s">
        <v>346</v>
      </c>
      <c r="R8732" t="s">
        <v>320</v>
      </c>
      <c r="S8732" t="s">
        <v>323</v>
      </c>
      <c r="T8732">
        <v>7.6</v>
      </c>
      <c r="Y8732" s="42">
        <v>44817</v>
      </c>
    </row>
    <row r="8733" spans="3:25">
      <c r="N8733" s="42">
        <v>44805</v>
      </c>
      <c r="O8733" t="s">
        <v>324</v>
      </c>
      <c r="P8733" s="42">
        <v>44805</v>
      </c>
      <c r="Q8733" t="s">
        <v>324</v>
      </c>
      <c r="R8733" t="s">
        <v>320</v>
      </c>
      <c r="S8733" t="s">
        <v>323</v>
      </c>
      <c r="T8733">
        <v>7.6</v>
      </c>
      <c r="Y8733" s="42">
        <v>44817</v>
      </c>
    </row>
    <row r="8734" spans="3:25">
      <c r="N8734" s="42">
        <v>44804</v>
      </c>
      <c r="O8734" t="s">
        <v>328</v>
      </c>
      <c r="P8734" s="42">
        <v>44804</v>
      </c>
      <c r="Q8734" t="s">
        <v>328</v>
      </c>
      <c r="R8734" t="s">
        <v>320</v>
      </c>
      <c r="S8734" t="s">
        <v>323</v>
      </c>
      <c r="T8734">
        <v>7.6</v>
      </c>
      <c r="Y8734" s="42">
        <v>44817</v>
      </c>
    </row>
    <row r="8735" spans="3:25">
      <c r="N8735" s="42">
        <v>44803</v>
      </c>
      <c r="O8735" t="s">
        <v>333</v>
      </c>
      <c r="P8735" s="42">
        <v>44803</v>
      </c>
      <c r="Q8735" t="s">
        <v>333</v>
      </c>
      <c r="R8735" t="s">
        <v>320</v>
      </c>
      <c r="S8735" t="s">
        <v>323</v>
      </c>
      <c r="T8735">
        <v>7.6</v>
      </c>
      <c r="Y8735" s="42">
        <v>44803</v>
      </c>
    </row>
    <row r="8736" spans="3:25">
      <c r="N8736" s="42">
        <v>44802</v>
      </c>
      <c r="O8736" t="s">
        <v>345</v>
      </c>
      <c r="P8736" s="42">
        <v>44802</v>
      </c>
      <c r="Q8736" t="s">
        <v>345</v>
      </c>
      <c r="R8736" t="s">
        <v>320</v>
      </c>
      <c r="S8736" t="s">
        <v>323</v>
      </c>
      <c r="T8736">
        <v>7.6</v>
      </c>
      <c r="Y8736" s="42">
        <v>44803</v>
      </c>
    </row>
    <row r="8737" spans="14:25">
      <c r="N8737" s="42">
        <v>44799</v>
      </c>
      <c r="O8737" t="s">
        <v>346</v>
      </c>
      <c r="P8737" s="42">
        <v>44799</v>
      </c>
      <c r="Q8737" t="s">
        <v>346</v>
      </c>
      <c r="R8737" t="s">
        <v>320</v>
      </c>
      <c r="S8737" t="s">
        <v>323</v>
      </c>
      <c r="T8737">
        <v>7.6</v>
      </c>
      <c r="Y8737" s="42">
        <v>44803</v>
      </c>
    </row>
    <row r="8738" spans="14:25">
      <c r="N8738" s="42">
        <v>44725</v>
      </c>
      <c r="O8738" t="s">
        <v>345</v>
      </c>
      <c r="P8738" s="42">
        <v>44725</v>
      </c>
      <c r="Q8738" t="s">
        <v>345</v>
      </c>
      <c r="R8738" t="s">
        <v>320</v>
      </c>
      <c r="S8738" t="s">
        <v>323</v>
      </c>
      <c r="U8738">
        <v>7.6</v>
      </c>
      <c r="Y8738" s="42">
        <v>44733</v>
      </c>
    </row>
    <row r="8739" spans="14:25">
      <c r="N8739" s="42">
        <v>44712</v>
      </c>
      <c r="O8739" t="s">
        <v>333</v>
      </c>
      <c r="P8739" s="42">
        <v>44712</v>
      </c>
      <c r="Q8739" t="s">
        <v>333</v>
      </c>
      <c r="R8739" t="s">
        <v>329</v>
      </c>
      <c r="S8739" t="s">
        <v>323</v>
      </c>
      <c r="T8739">
        <v>7.6</v>
      </c>
      <c r="W8739" t="s">
        <v>330</v>
      </c>
      <c r="Y8739" s="42">
        <v>44719</v>
      </c>
    </row>
    <row r="8740" spans="14:25">
      <c r="N8740" s="42">
        <v>44687</v>
      </c>
      <c r="O8740" t="s">
        <v>346</v>
      </c>
      <c r="P8740" s="42">
        <v>44687</v>
      </c>
      <c r="Q8740" t="s">
        <v>346</v>
      </c>
      <c r="R8740" t="s">
        <v>329</v>
      </c>
      <c r="S8740" t="s">
        <v>323</v>
      </c>
      <c r="T8740">
        <v>7.6</v>
      </c>
      <c r="W8740" t="s">
        <v>330</v>
      </c>
      <c r="Y8740" s="42">
        <v>44691</v>
      </c>
    </row>
    <row r="8741" spans="14:25">
      <c r="N8741" s="42">
        <v>44686</v>
      </c>
      <c r="O8741" t="s">
        <v>324</v>
      </c>
      <c r="P8741" s="42">
        <v>44686</v>
      </c>
      <c r="Q8741" t="s">
        <v>324</v>
      </c>
      <c r="R8741" t="s">
        <v>329</v>
      </c>
      <c r="S8741" t="s">
        <v>323</v>
      </c>
      <c r="T8741">
        <v>7.6</v>
      </c>
      <c r="W8741" t="s">
        <v>330</v>
      </c>
      <c r="Y8741" s="42">
        <v>44691</v>
      </c>
    </row>
    <row r="8742" spans="14:25">
      <c r="N8742" s="42">
        <v>44685</v>
      </c>
      <c r="O8742" t="s">
        <v>328</v>
      </c>
      <c r="P8742" s="42">
        <v>44685</v>
      </c>
      <c r="Q8742" t="s">
        <v>328</v>
      </c>
      <c r="R8742" t="s">
        <v>329</v>
      </c>
      <c r="S8742" t="s">
        <v>323</v>
      </c>
      <c r="T8742">
        <v>7.6</v>
      </c>
      <c r="W8742" t="s">
        <v>330</v>
      </c>
      <c r="Y8742" s="42">
        <v>44691</v>
      </c>
    </row>
    <row r="8743" spans="14:25">
      <c r="N8743" s="42">
        <v>44684</v>
      </c>
      <c r="O8743" t="s">
        <v>333</v>
      </c>
      <c r="P8743" s="42">
        <v>44684</v>
      </c>
      <c r="Q8743" t="s">
        <v>333</v>
      </c>
      <c r="R8743" t="s">
        <v>329</v>
      </c>
      <c r="S8743" t="s">
        <v>323</v>
      </c>
      <c r="T8743">
        <v>7.6</v>
      </c>
      <c r="W8743" t="s">
        <v>330</v>
      </c>
      <c r="Y8743" s="42">
        <v>44691</v>
      </c>
    </row>
    <row r="8744" spans="14:25">
      <c r="N8744" s="42">
        <v>44683</v>
      </c>
      <c r="O8744" t="s">
        <v>345</v>
      </c>
      <c r="P8744" s="42">
        <v>44683</v>
      </c>
      <c r="Q8744" t="s">
        <v>345</v>
      </c>
      <c r="R8744" t="s">
        <v>329</v>
      </c>
      <c r="S8744" t="s">
        <v>323</v>
      </c>
      <c r="T8744">
        <v>7.6</v>
      </c>
      <c r="W8744" t="s">
        <v>330</v>
      </c>
      <c r="Y8744" s="42">
        <v>44691</v>
      </c>
    </row>
    <row r="8745" spans="14:25">
      <c r="N8745" s="42">
        <v>44676</v>
      </c>
      <c r="O8745" t="s">
        <v>345</v>
      </c>
      <c r="P8745" s="42">
        <v>44676</v>
      </c>
      <c r="Q8745" t="s">
        <v>345</v>
      </c>
      <c r="R8745" t="s">
        <v>320</v>
      </c>
      <c r="S8745" t="s">
        <v>323</v>
      </c>
      <c r="U8745">
        <v>7.6</v>
      </c>
    </row>
    <row r="8746" spans="14:25">
      <c r="N8746" s="42">
        <v>44669</v>
      </c>
      <c r="O8746" t="s">
        <v>345</v>
      </c>
      <c r="P8746" s="42">
        <v>44669</v>
      </c>
      <c r="Q8746" t="s">
        <v>345</v>
      </c>
      <c r="R8746" t="s">
        <v>320</v>
      </c>
      <c r="S8746" t="s">
        <v>323</v>
      </c>
      <c r="U8746">
        <v>7.6</v>
      </c>
    </row>
    <row r="8747" spans="14:25">
      <c r="N8747" s="42">
        <v>44666</v>
      </c>
      <c r="O8747" t="s">
        <v>346</v>
      </c>
      <c r="P8747" s="42">
        <v>44666</v>
      </c>
      <c r="Q8747" t="s">
        <v>346</v>
      </c>
      <c r="R8747" t="s">
        <v>320</v>
      </c>
      <c r="S8747" t="s">
        <v>323</v>
      </c>
      <c r="U8747">
        <v>7.6</v>
      </c>
    </row>
    <row r="8748" spans="14:25">
      <c r="N8748" s="42">
        <v>44587</v>
      </c>
      <c r="O8748" t="s">
        <v>328</v>
      </c>
      <c r="P8748" s="42">
        <v>44587</v>
      </c>
      <c r="Q8748" t="s">
        <v>328</v>
      </c>
      <c r="R8748" t="s">
        <v>320</v>
      </c>
      <c r="S8748" t="s">
        <v>323</v>
      </c>
      <c r="U8748">
        <v>7.6</v>
      </c>
    </row>
    <row r="8749" spans="14:25">
      <c r="N8749" s="42">
        <v>44564</v>
      </c>
      <c r="O8749" t="s">
        <v>345</v>
      </c>
      <c r="P8749" s="42">
        <v>44564</v>
      </c>
      <c r="Q8749" t="s">
        <v>345</v>
      </c>
      <c r="R8749" t="s">
        <v>320</v>
      </c>
      <c r="S8749" t="s">
        <v>323</v>
      </c>
      <c r="U8749">
        <v>7.6</v>
      </c>
    </row>
    <row r="8750" spans="14:25">
      <c r="N8750" s="42">
        <v>44558</v>
      </c>
      <c r="O8750" t="s">
        <v>333</v>
      </c>
      <c r="P8750" s="42">
        <v>44558</v>
      </c>
      <c r="Q8750" t="s">
        <v>333</v>
      </c>
      <c r="R8750" t="s">
        <v>320</v>
      </c>
      <c r="S8750" t="s">
        <v>323</v>
      </c>
      <c r="U8750">
        <v>7.6</v>
      </c>
    </row>
    <row r="8751" spans="14:25">
      <c r="N8751" s="42">
        <v>44557</v>
      </c>
      <c r="O8751" t="s">
        <v>345</v>
      </c>
      <c r="P8751" s="42">
        <v>44557</v>
      </c>
      <c r="Q8751" t="s">
        <v>345</v>
      </c>
      <c r="R8751" t="s">
        <v>320</v>
      </c>
      <c r="S8751" t="s">
        <v>323</v>
      </c>
      <c r="U8751">
        <v>7.6</v>
      </c>
    </row>
    <row r="8752" spans="14:25">
      <c r="N8752" s="42">
        <v>44473</v>
      </c>
      <c r="O8752" t="s">
        <v>345</v>
      </c>
      <c r="P8752" s="42">
        <v>44473</v>
      </c>
      <c r="Q8752" t="s">
        <v>345</v>
      </c>
      <c r="R8752" t="s">
        <v>320</v>
      </c>
      <c r="S8752" t="s">
        <v>323</v>
      </c>
      <c r="U8752">
        <v>7.6</v>
      </c>
    </row>
    <row r="8753" spans="1:25">
      <c r="A8753">
        <v>18957</v>
      </c>
      <c r="B8753" t="s">
        <v>459</v>
      </c>
      <c r="C8753" t="s">
        <v>320</v>
      </c>
      <c r="D8753" t="s">
        <v>336</v>
      </c>
      <c r="E8753" t="s">
        <v>337</v>
      </c>
      <c r="F8753">
        <v>1</v>
      </c>
      <c r="G8753" s="42">
        <v>45127</v>
      </c>
      <c r="H8753">
        <v>152</v>
      </c>
      <c r="I8753">
        <v>13.2</v>
      </c>
      <c r="J8753">
        <v>94.531499999999994</v>
      </c>
      <c r="K8753">
        <v>107.7315</v>
      </c>
      <c r="L8753" t="s">
        <v>323</v>
      </c>
      <c r="M8753" s="43">
        <v>4.6527777777777779E-2</v>
      </c>
      <c r="N8753" s="42">
        <v>44966</v>
      </c>
      <c r="O8753" t="s">
        <v>324</v>
      </c>
      <c r="P8753" s="42">
        <v>44966</v>
      </c>
      <c r="Q8753" t="s">
        <v>324</v>
      </c>
      <c r="R8753" t="s">
        <v>329</v>
      </c>
      <c r="S8753" t="s">
        <v>323</v>
      </c>
      <c r="T8753">
        <v>7.6</v>
      </c>
      <c r="W8753" t="s">
        <v>330</v>
      </c>
      <c r="Y8753" s="42">
        <v>44971</v>
      </c>
    </row>
    <row r="8754" spans="1:25">
      <c r="C8754" t="s">
        <v>325</v>
      </c>
      <c r="D8754" t="s">
        <v>352</v>
      </c>
      <c r="E8754" t="s">
        <v>353</v>
      </c>
      <c r="F8754">
        <v>1</v>
      </c>
      <c r="G8754" s="42">
        <v>48049</v>
      </c>
      <c r="H8754">
        <v>329.346</v>
      </c>
      <c r="I8754">
        <v>0</v>
      </c>
      <c r="J8754">
        <v>53.387999999999998</v>
      </c>
      <c r="K8754">
        <v>53.387999999999998</v>
      </c>
      <c r="L8754" t="s">
        <v>323</v>
      </c>
      <c r="N8754" s="42">
        <v>44960</v>
      </c>
      <c r="O8754" t="s">
        <v>346</v>
      </c>
      <c r="P8754" s="42">
        <v>44960</v>
      </c>
      <c r="Q8754" t="s">
        <v>346</v>
      </c>
      <c r="R8754" t="s">
        <v>320</v>
      </c>
      <c r="S8754" t="s">
        <v>323</v>
      </c>
      <c r="T8754">
        <v>7.6</v>
      </c>
      <c r="Y8754" s="42">
        <v>44971</v>
      </c>
    </row>
    <row r="8755" spans="1:25">
      <c r="C8755" t="s">
        <v>329</v>
      </c>
      <c r="D8755" t="s">
        <v>342</v>
      </c>
      <c r="E8755" t="s">
        <v>343</v>
      </c>
      <c r="F8755">
        <v>1</v>
      </c>
      <c r="G8755" s="42">
        <v>45127</v>
      </c>
      <c r="H8755">
        <v>76</v>
      </c>
      <c r="I8755">
        <v>-2.5</v>
      </c>
      <c r="J8755">
        <v>47.265799999999999</v>
      </c>
      <c r="K8755">
        <v>44.765799999999999</v>
      </c>
      <c r="L8755" t="s">
        <v>323</v>
      </c>
      <c r="N8755" s="42">
        <v>44959</v>
      </c>
      <c r="O8755" t="s">
        <v>324</v>
      </c>
      <c r="P8755" s="42">
        <v>44959</v>
      </c>
      <c r="Q8755" t="s">
        <v>324</v>
      </c>
      <c r="R8755" t="s">
        <v>320</v>
      </c>
      <c r="S8755" t="s">
        <v>323</v>
      </c>
      <c r="T8755">
        <v>7.6</v>
      </c>
      <c r="Y8755" s="42">
        <v>44971</v>
      </c>
    </row>
    <row r="8756" spans="1:25">
      <c r="N8756" s="42">
        <v>44958</v>
      </c>
      <c r="O8756" t="s">
        <v>328</v>
      </c>
      <c r="P8756" s="42">
        <v>44958</v>
      </c>
      <c r="Q8756" t="s">
        <v>328</v>
      </c>
      <c r="R8756" t="s">
        <v>320</v>
      </c>
      <c r="S8756" t="s">
        <v>323</v>
      </c>
      <c r="T8756">
        <v>7.6</v>
      </c>
      <c r="Y8756" s="42">
        <v>44971</v>
      </c>
    </row>
    <row r="8757" spans="1:25">
      <c r="N8757" s="42">
        <v>44957</v>
      </c>
      <c r="O8757" t="s">
        <v>333</v>
      </c>
      <c r="P8757" s="42">
        <v>44957</v>
      </c>
      <c r="Q8757" t="s">
        <v>333</v>
      </c>
      <c r="R8757" t="s">
        <v>320</v>
      </c>
      <c r="S8757" t="s">
        <v>323</v>
      </c>
      <c r="T8757">
        <v>7.6</v>
      </c>
      <c r="Y8757" s="42">
        <v>44957</v>
      </c>
    </row>
    <row r="8758" spans="1:25">
      <c r="N8758" s="42">
        <v>44956</v>
      </c>
      <c r="O8758" t="s">
        <v>345</v>
      </c>
      <c r="P8758" s="42">
        <v>44956</v>
      </c>
      <c r="Q8758" t="s">
        <v>345</v>
      </c>
      <c r="R8758" t="s">
        <v>320</v>
      </c>
      <c r="S8758" t="s">
        <v>323</v>
      </c>
      <c r="T8758">
        <v>7.6</v>
      </c>
      <c r="Y8758" s="42">
        <v>44957</v>
      </c>
    </row>
    <row r="8759" spans="1:25">
      <c r="N8759" s="42">
        <v>44953</v>
      </c>
      <c r="O8759" t="s">
        <v>346</v>
      </c>
      <c r="P8759" s="42">
        <v>44953</v>
      </c>
      <c r="Q8759" t="s">
        <v>346</v>
      </c>
      <c r="R8759" t="s">
        <v>320</v>
      </c>
      <c r="S8759" t="s">
        <v>323</v>
      </c>
      <c r="T8759">
        <v>7.6</v>
      </c>
      <c r="Y8759" s="42">
        <v>44957</v>
      </c>
    </row>
    <row r="8760" spans="1:25">
      <c r="N8760" s="42">
        <v>44952</v>
      </c>
      <c r="O8760" t="s">
        <v>324</v>
      </c>
      <c r="P8760" s="42">
        <v>44952</v>
      </c>
      <c r="Q8760" t="s">
        <v>324</v>
      </c>
      <c r="R8760" t="s">
        <v>320</v>
      </c>
      <c r="S8760" t="s">
        <v>323</v>
      </c>
      <c r="U8760">
        <v>7.6</v>
      </c>
    </row>
    <row r="8761" spans="1:25">
      <c r="N8761" s="42">
        <v>44951</v>
      </c>
      <c r="O8761" t="s">
        <v>328</v>
      </c>
      <c r="P8761" s="42">
        <v>44951</v>
      </c>
      <c r="Q8761" t="s">
        <v>328</v>
      </c>
      <c r="R8761" t="s">
        <v>320</v>
      </c>
      <c r="S8761" t="s">
        <v>323</v>
      </c>
      <c r="T8761">
        <v>7.6</v>
      </c>
      <c r="Y8761" s="42">
        <v>44957</v>
      </c>
    </row>
    <row r="8762" spans="1:25">
      <c r="N8762" s="42">
        <v>44950</v>
      </c>
      <c r="O8762" t="s">
        <v>333</v>
      </c>
      <c r="P8762" s="42">
        <v>44950</v>
      </c>
      <c r="Q8762" t="s">
        <v>333</v>
      </c>
      <c r="R8762" t="s">
        <v>320</v>
      </c>
      <c r="S8762" t="s">
        <v>323</v>
      </c>
      <c r="T8762">
        <v>7.6</v>
      </c>
      <c r="Y8762" s="42">
        <v>44957</v>
      </c>
    </row>
    <row r="8763" spans="1:25">
      <c r="N8763" s="42">
        <v>44949</v>
      </c>
      <c r="O8763" t="s">
        <v>345</v>
      </c>
      <c r="P8763" s="42">
        <v>44949</v>
      </c>
      <c r="Q8763" t="s">
        <v>345</v>
      </c>
      <c r="R8763" t="s">
        <v>320</v>
      </c>
      <c r="S8763" t="s">
        <v>323</v>
      </c>
      <c r="T8763">
        <v>7.6</v>
      </c>
      <c r="Y8763" s="42">
        <v>44957</v>
      </c>
    </row>
    <row r="8764" spans="1:25">
      <c r="N8764" s="42">
        <v>44942</v>
      </c>
      <c r="O8764" t="s">
        <v>345</v>
      </c>
      <c r="P8764" s="42">
        <v>44942</v>
      </c>
      <c r="Q8764" t="s">
        <v>345</v>
      </c>
      <c r="R8764" t="s">
        <v>320</v>
      </c>
      <c r="S8764" t="s">
        <v>323</v>
      </c>
      <c r="T8764">
        <v>7.6</v>
      </c>
      <c r="Y8764" s="42">
        <v>44943</v>
      </c>
    </row>
    <row r="8765" spans="1:25">
      <c r="N8765" s="42">
        <v>44928</v>
      </c>
      <c r="O8765" t="s">
        <v>345</v>
      </c>
      <c r="P8765" s="42">
        <v>44928</v>
      </c>
      <c r="Q8765" t="s">
        <v>345</v>
      </c>
      <c r="R8765" t="s">
        <v>320</v>
      </c>
      <c r="S8765" t="s">
        <v>323</v>
      </c>
      <c r="U8765">
        <v>7.6</v>
      </c>
    </row>
    <row r="8766" spans="1:25">
      <c r="N8766" s="42">
        <v>44922</v>
      </c>
      <c r="O8766" t="s">
        <v>333</v>
      </c>
      <c r="P8766" s="42">
        <v>44922</v>
      </c>
      <c r="Q8766" t="s">
        <v>333</v>
      </c>
      <c r="R8766" t="s">
        <v>320</v>
      </c>
      <c r="S8766" t="s">
        <v>323</v>
      </c>
      <c r="U8766">
        <v>7.6</v>
      </c>
    </row>
    <row r="8767" spans="1:25">
      <c r="N8767" s="42">
        <v>44921</v>
      </c>
      <c r="O8767" t="s">
        <v>345</v>
      </c>
      <c r="P8767" s="42">
        <v>44921</v>
      </c>
      <c r="Q8767" t="s">
        <v>345</v>
      </c>
      <c r="R8767" t="s">
        <v>320</v>
      </c>
      <c r="S8767" t="s">
        <v>323</v>
      </c>
      <c r="U8767">
        <v>7.6</v>
      </c>
    </row>
    <row r="8768" spans="1:25">
      <c r="N8768" s="42">
        <v>44910</v>
      </c>
      <c r="O8768" t="s">
        <v>324</v>
      </c>
      <c r="P8768" s="42">
        <v>44910</v>
      </c>
      <c r="Q8768" t="s">
        <v>324</v>
      </c>
      <c r="R8768" t="s">
        <v>320</v>
      </c>
      <c r="S8768" t="s">
        <v>323</v>
      </c>
      <c r="T8768">
        <v>2</v>
      </c>
      <c r="Y8768" s="42">
        <v>44915</v>
      </c>
    </row>
    <row r="8769" spans="14:25">
      <c r="N8769" s="42">
        <v>44907</v>
      </c>
      <c r="O8769" t="s">
        <v>345</v>
      </c>
      <c r="P8769" s="42">
        <v>44907</v>
      </c>
      <c r="Q8769" t="s">
        <v>345</v>
      </c>
      <c r="R8769" t="s">
        <v>329</v>
      </c>
      <c r="S8769" t="s">
        <v>323</v>
      </c>
      <c r="T8769">
        <v>7.6</v>
      </c>
      <c r="W8769" t="s">
        <v>330</v>
      </c>
      <c r="Y8769" s="42">
        <v>44915</v>
      </c>
    </row>
    <row r="8770" spans="14:25">
      <c r="N8770" s="42">
        <v>44893</v>
      </c>
      <c r="O8770" t="s">
        <v>345</v>
      </c>
      <c r="P8770" s="42">
        <v>44893</v>
      </c>
      <c r="Q8770" t="s">
        <v>345</v>
      </c>
      <c r="R8770" t="s">
        <v>320</v>
      </c>
      <c r="S8770" t="s">
        <v>323</v>
      </c>
      <c r="T8770">
        <v>7.6</v>
      </c>
      <c r="Y8770" s="42">
        <v>44901</v>
      </c>
    </row>
    <row r="8771" spans="14:25">
      <c r="N8771" s="42">
        <v>44851</v>
      </c>
      <c r="O8771" t="s">
        <v>345</v>
      </c>
      <c r="P8771" s="42">
        <v>44851</v>
      </c>
      <c r="Q8771" t="s">
        <v>345</v>
      </c>
      <c r="R8771" t="s">
        <v>329</v>
      </c>
      <c r="S8771" t="s">
        <v>323</v>
      </c>
      <c r="T8771">
        <v>7.6</v>
      </c>
      <c r="W8771" t="s">
        <v>330</v>
      </c>
      <c r="Y8771" s="42">
        <v>44859</v>
      </c>
    </row>
    <row r="8772" spans="14:25">
      <c r="N8772" s="42">
        <v>44837</v>
      </c>
      <c r="O8772" t="s">
        <v>345</v>
      </c>
      <c r="P8772" s="42">
        <v>44837</v>
      </c>
      <c r="Q8772" t="s">
        <v>345</v>
      </c>
      <c r="R8772" t="s">
        <v>320</v>
      </c>
      <c r="S8772" t="s">
        <v>323</v>
      </c>
      <c r="U8772">
        <v>7.6</v>
      </c>
    </row>
    <row r="8773" spans="14:25">
      <c r="N8773" s="42">
        <v>44826</v>
      </c>
      <c r="O8773" t="s">
        <v>324</v>
      </c>
      <c r="P8773" s="42">
        <v>44826</v>
      </c>
      <c r="Q8773" t="s">
        <v>324</v>
      </c>
      <c r="R8773" t="s">
        <v>320</v>
      </c>
      <c r="S8773" t="s">
        <v>323</v>
      </c>
      <c r="U8773">
        <v>7.6</v>
      </c>
    </row>
    <row r="8774" spans="14:25">
      <c r="N8774" s="42">
        <v>44763</v>
      </c>
      <c r="O8774" t="s">
        <v>324</v>
      </c>
      <c r="P8774" s="42">
        <v>44763</v>
      </c>
      <c r="Q8774" t="s">
        <v>324</v>
      </c>
      <c r="R8774" t="s">
        <v>329</v>
      </c>
      <c r="S8774" t="s">
        <v>323</v>
      </c>
      <c r="T8774">
        <v>7.6</v>
      </c>
      <c r="W8774" t="s">
        <v>330</v>
      </c>
      <c r="Y8774" s="42">
        <v>44775</v>
      </c>
    </row>
    <row r="8775" spans="14:25">
      <c r="N8775" s="42">
        <v>44750</v>
      </c>
      <c r="O8775" t="s">
        <v>346</v>
      </c>
      <c r="P8775" s="42">
        <v>44750</v>
      </c>
      <c r="Q8775" t="s">
        <v>346</v>
      </c>
      <c r="R8775" t="s">
        <v>329</v>
      </c>
      <c r="S8775" t="s">
        <v>323</v>
      </c>
      <c r="T8775">
        <v>7.6</v>
      </c>
      <c r="W8775" t="s">
        <v>330</v>
      </c>
      <c r="Y8775" s="42">
        <v>44761</v>
      </c>
    </row>
    <row r="8776" spans="14:25">
      <c r="N8776" s="42">
        <v>44749</v>
      </c>
      <c r="O8776" t="s">
        <v>324</v>
      </c>
      <c r="P8776" s="42">
        <v>44749</v>
      </c>
      <c r="Q8776" t="s">
        <v>324</v>
      </c>
      <c r="R8776" t="s">
        <v>329</v>
      </c>
      <c r="S8776" t="s">
        <v>323</v>
      </c>
      <c r="T8776">
        <v>7.6</v>
      </c>
      <c r="W8776" t="s">
        <v>330</v>
      </c>
      <c r="Y8776" s="42">
        <v>44761</v>
      </c>
    </row>
    <row r="8777" spans="14:25">
      <c r="N8777" s="42">
        <v>44748</v>
      </c>
      <c r="O8777" t="s">
        <v>328</v>
      </c>
      <c r="P8777" s="42">
        <v>44748</v>
      </c>
      <c r="Q8777" t="s">
        <v>328</v>
      </c>
      <c r="R8777" t="s">
        <v>329</v>
      </c>
      <c r="S8777" t="s">
        <v>323</v>
      </c>
      <c r="T8777">
        <v>2.5</v>
      </c>
      <c r="W8777" t="s">
        <v>330</v>
      </c>
      <c r="Y8777" s="42">
        <v>44761</v>
      </c>
    </row>
    <row r="8778" spans="14:25">
      <c r="N8778" s="42">
        <v>44725</v>
      </c>
      <c r="O8778" t="s">
        <v>345</v>
      </c>
      <c r="P8778" s="42">
        <v>44725</v>
      </c>
      <c r="Q8778" t="s">
        <v>345</v>
      </c>
      <c r="R8778" t="s">
        <v>320</v>
      </c>
      <c r="S8778" t="s">
        <v>323</v>
      </c>
      <c r="U8778">
        <v>7.6</v>
      </c>
    </row>
    <row r="8779" spans="14:25">
      <c r="N8779" s="42">
        <v>44676</v>
      </c>
      <c r="O8779" t="s">
        <v>345</v>
      </c>
      <c r="P8779" s="42">
        <v>44676</v>
      </c>
      <c r="Q8779" t="s">
        <v>345</v>
      </c>
      <c r="R8779" t="s">
        <v>320</v>
      </c>
      <c r="S8779" t="s">
        <v>323</v>
      </c>
      <c r="U8779">
        <v>7.6</v>
      </c>
    </row>
    <row r="8780" spans="14:25">
      <c r="N8780" s="42">
        <v>44669</v>
      </c>
      <c r="O8780" t="s">
        <v>345</v>
      </c>
      <c r="P8780" s="42">
        <v>44669</v>
      </c>
      <c r="Q8780" t="s">
        <v>345</v>
      </c>
      <c r="R8780" t="s">
        <v>320</v>
      </c>
      <c r="S8780" t="s">
        <v>323</v>
      </c>
      <c r="U8780">
        <v>7.6</v>
      </c>
    </row>
    <row r="8781" spans="14:25">
      <c r="N8781" s="42">
        <v>44666</v>
      </c>
      <c r="O8781" t="s">
        <v>346</v>
      </c>
      <c r="P8781" s="42">
        <v>44666</v>
      </c>
      <c r="Q8781" t="s">
        <v>346</v>
      </c>
      <c r="R8781" t="s">
        <v>320</v>
      </c>
      <c r="S8781" t="s">
        <v>323</v>
      </c>
      <c r="U8781">
        <v>7.6</v>
      </c>
    </row>
    <row r="8782" spans="14:25">
      <c r="N8782" s="42">
        <v>44593</v>
      </c>
      <c r="O8782" t="s">
        <v>333</v>
      </c>
      <c r="P8782" s="42">
        <v>44593</v>
      </c>
      <c r="Q8782" t="s">
        <v>333</v>
      </c>
      <c r="R8782" t="s">
        <v>320</v>
      </c>
      <c r="S8782" t="s">
        <v>323</v>
      </c>
      <c r="T8782">
        <v>7.6</v>
      </c>
      <c r="Y8782" s="42">
        <v>44593</v>
      </c>
    </row>
    <row r="8783" spans="14:25">
      <c r="N8783" s="42">
        <v>44587</v>
      </c>
      <c r="O8783" t="s">
        <v>328</v>
      </c>
      <c r="P8783" s="42">
        <v>44587</v>
      </c>
      <c r="Q8783" t="s">
        <v>328</v>
      </c>
      <c r="R8783" t="s">
        <v>320</v>
      </c>
      <c r="S8783" t="s">
        <v>323</v>
      </c>
      <c r="U8783">
        <v>7.6</v>
      </c>
    </row>
    <row r="8784" spans="14:25">
      <c r="N8784" s="42">
        <v>44572</v>
      </c>
      <c r="O8784" t="s">
        <v>333</v>
      </c>
      <c r="P8784" s="42">
        <v>44572</v>
      </c>
      <c r="Q8784" t="s">
        <v>333</v>
      </c>
      <c r="R8784" t="s">
        <v>329</v>
      </c>
      <c r="S8784" t="s">
        <v>323</v>
      </c>
      <c r="T8784">
        <v>7.6</v>
      </c>
      <c r="W8784" t="s">
        <v>330</v>
      </c>
      <c r="Y8784" s="42">
        <v>44579</v>
      </c>
    </row>
    <row r="8785" spans="1:25">
      <c r="N8785" s="42">
        <v>44564</v>
      </c>
      <c r="O8785" t="s">
        <v>345</v>
      </c>
      <c r="P8785" s="42">
        <v>44564</v>
      </c>
      <c r="Q8785" t="s">
        <v>345</v>
      </c>
      <c r="R8785" t="s">
        <v>320</v>
      </c>
      <c r="S8785" t="s">
        <v>323</v>
      </c>
      <c r="U8785">
        <v>7.6</v>
      </c>
    </row>
    <row r="8786" spans="1:25">
      <c r="N8786" s="42">
        <v>44558</v>
      </c>
      <c r="O8786" t="s">
        <v>333</v>
      </c>
      <c r="P8786" s="42">
        <v>44558</v>
      </c>
      <c r="Q8786" t="s">
        <v>333</v>
      </c>
      <c r="R8786" t="s">
        <v>320</v>
      </c>
      <c r="S8786" t="s">
        <v>323</v>
      </c>
      <c r="U8786">
        <v>7.6</v>
      </c>
    </row>
    <row r="8787" spans="1:25">
      <c r="N8787" s="42">
        <v>44557</v>
      </c>
      <c r="O8787" t="s">
        <v>345</v>
      </c>
      <c r="P8787" s="42">
        <v>44557</v>
      </c>
      <c r="Q8787" t="s">
        <v>345</v>
      </c>
      <c r="R8787" t="s">
        <v>320</v>
      </c>
      <c r="S8787" t="s">
        <v>323</v>
      </c>
      <c r="U8787">
        <v>7.6</v>
      </c>
    </row>
    <row r="8788" spans="1:25">
      <c r="N8788" s="42">
        <v>44547</v>
      </c>
      <c r="O8788" t="s">
        <v>346</v>
      </c>
      <c r="P8788" s="42">
        <v>44547</v>
      </c>
      <c r="Q8788" t="s">
        <v>346</v>
      </c>
      <c r="R8788" t="s">
        <v>320</v>
      </c>
      <c r="S8788" t="s">
        <v>323</v>
      </c>
      <c r="T8788">
        <v>7.6</v>
      </c>
      <c r="Y8788" s="42">
        <v>44551</v>
      </c>
    </row>
    <row r="8789" spans="1:25">
      <c r="N8789" s="42">
        <v>44546</v>
      </c>
      <c r="O8789" t="s">
        <v>324</v>
      </c>
      <c r="P8789" s="42">
        <v>44546</v>
      </c>
      <c r="Q8789" t="s">
        <v>324</v>
      </c>
      <c r="R8789" t="s">
        <v>320</v>
      </c>
      <c r="S8789" t="s">
        <v>323</v>
      </c>
      <c r="T8789">
        <v>7.6</v>
      </c>
      <c r="Y8789" s="42">
        <v>44551</v>
      </c>
    </row>
    <row r="8790" spans="1:25">
      <c r="N8790" s="42">
        <v>44545</v>
      </c>
      <c r="O8790" t="s">
        <v>328</v>
      </c>
      <c r="P8790" s="42">
        <v>44545</v>
      </c>
      <c r="Q8790" t="s">
        <v>328</v>
      </c>
      <c r="R8790" t="s">
        <v>320</v>
      </c>
      <c r="S8790" t="s">
        <v>323</v>
      </c>
      <c r="T8790">
        <v>7.6</v>
      </c>
      <c r="Y8790" s="42">
        <v>44551</v>
      </c>
    </row>
    <row r="8791" spans="1:25">
      <c r="N8791" s="42">
        <v>44544</v>
      </c>
      <c r="O8791" t="s">
        <v>333</v>
      </c>
      <c r="P8791" s="42">
        <v>44544</v>
      </c>
      <c r="Q8791" t="s">
        <v>333</v>
      </c>
      <c r="R8791" t="s">
        <v>320</v>
      </c>
      <c r="S8791" t="s">
        <v>323</v>
      </c>
      <c r="T8791">
        <v>7.6</v>
      </c>
      <c r="Y8791" s="42">
        <v>44551</v>
      </c>
    </row>
    <row r="8792" spans="1:25">
      <c r="N8792" s="42">
        <v>44543</v>
      </c>
      <c r="O8792" t="s">
        <v>345</v>
      </c>
      <c r="P8792" s="42">
        <v>44543</v>
      </c>
      <c r="Q8792" t="s">
        <v>345</v>
      </c>
      <c r="R8792" t="s">
        <v>320</v>
      </c>
      <c r="S8792" t="s">
        <v>323</v>
      </c>
      <c r="T8792">
        <v>7.6</v>
      </c>
      <c r="Y8792" s="42">
        <v>44551</v>
      </c>
    </row>
    <row r="8793" spans="1:25">
      <c r="N8793" s="42">
        <v>44473</v>
      </c>
      <c r="O8793" t="s">
        <v>345</v>
      </c>
      <c r="P8793" s="42">
        <v>44473</v>
      </c>
      <c r="Q8793" t="s">
        <v>345</v>
      </c>
      <c r="R8793" t="s">
        <v>320</v>
      </c>
      <c r="S8793" t="s">
        <v>323</v>
      </c>
      <c r="U8793">
        <v>7.6</v>
      </c>
    </row>
    <row r="8794" spans="1:25">
      <c r="N8794" s="42">
        <v>44469</v>
      </c>
      <c r="O8794" t="s">
        <v>324</v>
      </c>
      <c r="P8794" s="42">
        <v>44469</v>
      </c>
      <c r="Q8794" t="s">
        <v>324</v>
      </c>
      <c r="R8794" t="s">
        <v>320</v>
      </c>
      <c r="S8794" t="s">
        <v>323</v>
      </c>
      <c r="T8794">
        <v>7.6</v>
      </c>
      <c r="Y8794" s="42">
        <v>44481</v>
      </c>
    </row>
    <row r="8795" spans="1:25">
      <c r="N8795" s="42">
        <v>44404</v>
      </c>
      <c r="O8795" t="s">
        <v>333</v>
      </c>
      <c r="P8795" s="42">
        <v>44407</v>
      </c>
      <c r="Q8795" t="s">
        <v>346</v>
      </c>
      <c r="R8795" t="s">
        <v>329</v>
      </c>
      <c r="S8795" t="s">
        <v>323</v>
      </c>
      <c r="T8795">
        <v>22.8</v>
      </c>
      <c r="W8795" t="s">
        <v>330</v>
      </c>
      <c r="Y8795" s="42">
        <v>44411</v>
      </c>
    </row>
    <row r="8796" spans="1:25">
      <c r="A8796">
        <v>18960</v>
      </c>
      <c r="B8796" t="s">
        <v>460</v>
      </c>
      <c r="C8796" t="s">
        <v>320</v>
      </c>
      <c r="D8796" t="s">
        <v>336</v>
      </c>
      <c r="E8796" t="s">
        <v>337</v>
      </c>
      <c r="F8796">
        <v>1</v>
      </c>
      <c r="G8796" s="42">
        <v>45141</v>
      </c>
      <c r="H8796">
        <v>91.2</v>
      </c>
      <c r="I8796">
        <v>10.323600000000001</v>
      </c>
      <c r="J8796">
        <v>53.220799999999997</v>
      </c>
      <c r="K8796">
        <v>63.544400000000003</v>
      </c>
      <c r="L8796" t="s">
        <v>323</v>
      </c>
      <c r="M8796" s="43">
        <v>4.5833333333333337E-2</v>
      </c>
      <c r="N8796" s="42">
        <v>44978</v>
      </c>
      <c r="O8796" t="s">
        <v>333</v>
      </c>
      <c r="P8796" s="42">
        <v>44978</v>
      </c>
      <c r="Q8796" t="s">
        <v>333</v>
      </c>
      <c r="R8796" t="s">
        <v>320</v>
      </c>
      <c r="S8796" t="s">
        <v>323</v>
      </c>
      <c r="T8796">
        <v>7.6</v>
      </c>
      <c r="Y8796" s="42">
        <v>44985</v>
      </c>
    </row>
    <row r="8797" spans="1:25">
      <c r="C8797" t="s">
        <v>325</v>
      </c>
      <c r="D8797" t="s">
        <v>352</v>
      </c>
      <c r="E8797" t="s">
        <v>353</v>
      </c>
      <c r="F8797">
        <v>1</v>
      </c>
      <c r="G8797" s="42">
        <v>48066</v>
      </c>
      <c r="H8797">
        <v>197.60759999999999</v>
      </c>
      <c r="I8797">
        <v>0</v>
      </c>
      <c r="J8797">
        <v>31.1129</v>
      </c>
      <c r="K8797">
        <v>31.1129</v>
      </c>
      <c r="L8797" t="s">
        <v>323</v>
      </c>
      <c r="N8797" s="42">
        <v>44977</v>
      </c>
      <c r="O8797" t="s">
        <v>345</v>
      </c>
      <c r="P8797" s="42">
        <v>44977</v>
      </c>
      <c r="Q8797" t="s">
        <v>345</v>
      </c>
      <c r="R8797" t="s">
        <v>320</v>
      </c>
      <c r="S8797" t="s">
        <v>323</v>
      </c>
      <c r="T8797">
        <v>7.6</v>
      </c>
      <c r="Y8797" s="42">
        <v>44985</v>
      </c>
    </row>
    <row r="8798" spans="1:25">
      <c r="C8798" t="s">
        <v>329</v>
      </c>
      <c r="D8798" t="s">
        <v>342</v>
      </c>
      <c r="E8798" t="s">
        <v>343</v>
      </c>
      <c r="F8798">
        <v>1</v>
      </c>
      <c r="G8798" s="42">
        <v>45141</v>
      </c>
      <c r="H8798">
        <v>45.6</v>
      </c>
      <c r="I8798">
        <v>1.4618</v>
      </c>
      <c r="J8798">
        <v>26.610399999999998</v>
      </c>
      <c r="K8798">
        <v>28.072199999999999</v>
      </c>
      <c r="L8798" t="s">
        <v>323</v>
      </c>
      <c r="N8798" s="42">
        <v>44952</v>
      </c>
      <c r="O8798" t="s">
        <v>324</v>
      </c>
      <c r="P8798" s="42">
        <v>44952</v>
      </c>
      <c r="Q8798" t="s">
        <v>324</v>
      </c>
      <c r="R8798" t="s">
        <v>320</v>
      </c>
      <c r="S8798" t="s">
        <v>323</v>
      </c>
      <c r="U8798">
        <v>4</v>
      </c>
    </row>
    <row r="8799" spans="1:25">
      <c r="N8799" s="42">
        <v>44928</v>
      </c>
      <c r="O8799" t="s">
        <v>345</v>
      </c>
      <c r="P8799" s="42">
        <v>44928</v>
      </c>
      <c r="Q8799" t="s">
        <v>345</v>
      </c>
      <c r="R8799" t="s">
        <v>320</v>
      </c>
      <c r="S8799" t="s">
        <v>323</v>
      </c>
      <c r="U8799">
        <v>7.6</v>
      </c>
    </row>
    <row r="8800" spans="1:25">
      <c r="N8800" s="42">
        <v>44922</v>
      </c>
      <c r="O8800" t="s">
        <v>333</v>
      </c>
      <c r="P8800" s="42">
        <v>44922</v>
      </c>
      <c r="Q8800" t="s">
        <v>333</v>
      </c>
      <c r="R8800" t="s">
        <v>320</v>
      </c>
      <c r="S8800" t="s">
        <v>323</v>
      </c>
      <c r="U8800">
        <v>7.6</v>
      </c>
    </row>
    <row r="8801" spans="14:25">
      <c r="N8801" s="42">
        <v>44921</v>
      </c>
      <c r="O8801" t="s">
        <v>345</v>
      </c>
      <c r="P8801" s="42">
        <v>44921</v>
      </c>
      <c r="Q8801" t="s">
        <v>345</v>
      </c>
      <c r="R8801" t="s">
        <v>320</v>
      </c>
      <c r="S8801" t="s">
        <v>323</v>
      </c>
      <c r="U8801">
        <v>7.6</v>
      </c>
    </row>
    <row r="8802" spans="14:25">
      <c r="N8802" s="42">
        <v>44917</v>
      </c>
      <c r="O8802" t="s">
        <v>324</v>
      </c>
      <c r="P8802" s="42">
        <v>44917</v>
      </c>
      <c r="Q8802" t="s">
        <v>324</v>
      </c>
      <c r="R8802" t="s">
        <v>320</v>
      </c>
      <c r="S8802" t="s">
        <v>323</v>
      </c>
      <c r="T8802">
        <v>4</v>
      </c>
      <c r="Y8802" s="42">
        <v>44929</v>
      </c>
    </row>
    <row r="8803" spans="14:25">
      <c r="N8803" s="42">
        <v>44903</v>
      </c>
      <c r="O8803" t="s">
        <v>324</v>
      </c>
      <c r="P8803" s="42">
        <v>44903</v>
      </c>
      <c r="Q8803" t="s">
        <v>324</v>
      </c>
      <c r="R8803" t="s">
        <v>320</v>
      </c>
      <c r="S8803" t="s">
        <v>323</v>
      </c>
      <c r="T8803">
        <v>4</v>
      </c>
      <c r="Y8803" s="42">
        <v>44915</v>
      </c>
    </row>
    <row r="8804" spans="14:25">
      <c r="N8804" s="42">
        <v>44901</v>
      </c>
      <c r="O8804" t="s">
        <v>333</v>
      </c>
      <c r="P8804" s="42">
        <v>44901</v>
      </c>
      <c r="Q8804" t="s">
        <v>333</v>
      </c>
      <c r="R8804" t="s">
        <v>320</v>
      </c>
      <c r="S8804" t="s">
        <v>323</v>
      </c>
      <c r="T8804">
        <v>7.6</v>
      </c>
      <c r="Y8804" s="42">
        <v>44901</v>
      </c>
    </row>
    <row r="8805" spans="14:25">
      <c r="N8805" s="42">
        <v>44900</v>
      </c>
      <c r="O8805" t="s">
        <v>345</v>
      </c>
      <c r="P8805" s="42">
        <v>44900</v>
      </c>
      <c r="Q8805" t="s">
        <v>345</v>
      </c>
      <c r="R8805" t="s">
        <v>320</v>
      </c>
      <c r="S8805" t="s">
        <v>323</v>
      </c>
      <c r="T8805">
        <v>7.6</v>
      </c>
      <c r="Y8805" s="42">
        <v>44901</v>
      </c>
    </row>
    <row r="8806" spans="14:25">
      <c r="N8806" s="42">
        <v>44882</v>
      </c>
      <c r="O8806" t="s">
        <v>324</v>
      </c>
      <c r="P8806" s="42">
        <v>44882</v>
      </c>
      <c r="Q8806" t="s">
        <v>324</v>
      </c>
      <c r="R8806" t="s">
        <v>329</v>
      </c>
      <c r="S8806" t="s">
        <v>323</v>
      </c>
      <c r="T8806">
        <v>4</v>
      </c>
      <c r="W8806" t="s">
        <v>330</v>
      </c>
      <c r="Y8806" s="42">
        <v>44887</v>
      </c>
    </row>
    <row r="8807" spans="14:25">
      <c r="N8807" s="42">
        <v>44859</v>
      </c>
      <c r="O8807" t="s">
        <v>333</v>
      </c>
      <c r="P8807" s="42">
        <v>44859</v>
      </c>
      <c r="Q8807" t="s">
        <v>333</v>
      </c>
      <c r="R8807" t="s">
        <v>320</v>
      </c>
      <c r="S8807" t="s">
        <v>323</v>
      </c>
      <c r="T8807">
        <v>7.6</v>
      </c>
      <c r="Y8807" s="42">
        <v>44859</v>
      </c>
    </row>
    <row r="8808" spans="14:25">
      <c r="N8808" s="42">
        <v>44858</v>
      </c>
      <c r="O8808" t="s">
        <v>345</v>
      </c>
      <c r="P8808" s="42">
        <v>44858</v>
      </c>
      <c r="Q8808" t="s">
        <v>345</v>
      </c>
      <c r="R8808" t="s">
        <v>320</v>
      </c>
      <c r="S8808" t="s">
        <v>323</v>
      </c>
      <c r="T8808">
        <v>7.6</v>
      </c>
      <c r="Y8808" s="42">
        <v>44859</v>
      </c>
    </row>
    <row r="8809" spans="14:25">
      <c r="N8809" s="42">
        <v>44826</v>
      </c>
      <c r="O8809" t="s">
        <v>324</v>
      </c>
      <c r="P8809" s="42">
        <v>44826</v>
      </c>
      <c r="Q8809" t="s">
        <v>324</v>
      </c>
      <c r="R8809" t="s">
        <v>320</v>
      </c>
      <c r="S8809" t="s">
        <v>323</v>
      </c>
      <c r="U8809">
        <v>4</v>
      </c>
    </row>
    <row r="8810" spans="14:25">
      <c r="N8810" s="42">
        <v>44774</v>
      </c>
      <c r="O8810" t="s">
        <v>345</v>
      </c>
      <c r="P8810" s="42">
        <v>44774</v>
      </c>
      <c r="Q8810" t="s">
        <v>345</v>
      </c>
      <c r="R8810" t="s">
        <v>338</v>
      </c>
      <c r="S8810" t="s">
        <v>323</v>
      </c>
      <c r="T8810">
        <v>7.6</v>
      </c>
      <c r="W8810" t="s">
        <v>330</v>
      </c>
      <c r="Y8810" s="42">
        <v>44775</v>
      </c>
    </row>
    <row r="8811" spans="14:25">
      <c r="N8811" s="42">
        <v>44770</v>
      </c>
      <c r="O8811" t="s">
        <v>324</v>
      </c>
      <c r="P8811" s="42">
        <v>44770</v>
      </c>
      <c r="Q8811" t="s">
        <v>324</v>
      </c>
      <c r="R8811" t="s">
        <v>338</v>
      </c>
      <c r="S8811" t="s">
        <v>323</v>
      </c>
      <c r="T8811">
        <v>4</v>
      </c>
      <c r="W8811" t="s">
        <v>330</v>
      </c>
      <c r="Y8811" s="42">
        <v>44775</v>
      </c>
    </row>
    <row r="8812" spans="14:25">
      <c r="N8812" s="42">
        <v>44768</v>
      </c>
      <c r="O8812" t="s">
        <v>333</v>
      </c>
      <c r="P8812" s="42">
        <v>44768</v>
      </c>
      <c r="Q8812" t="s">
        <v>333</v>
      </c>
      <c r="R8812" t="s">
        <v>338</v>
      </c>
      <c r="S8812" t="s">
        <v>323</v>
      </c>
      <c r="T8812">
        <v>7.6</v>
      </c>
      <c r="W8812" t="s">
        <v>330</v>
      </c>
      <c r="Y8812" s="42">
        <v>44775</v>
      </c>
    </row>
    <row r="8813" spans="14:25">
      <c r="N8813" s="42">
        <v>44749</v>
      </c>
      <c r="O8813" t="s">
        <v>324</v>
      </c>
      <c r="P8813" s="42">
        <v>44749</v>
      </c>
      <c r="Q8813" t="s">
        <v>324</v>
      </c>
      <c r="R8813" t="s">
        <v>320</v>
      </c>
      <c r="S8813" t="s">
        <v>323</v>
      </c>
      <c r="T8813">
        <v>4</v>
      </c>
      <c r="Y8813" s="42">
        <v>44761</v>
      </c>
    </row>
    <row r="8814" spans="14:25">
      <c r="N8814" s="42">
        <v>44746</v>
      </c>
      <c r="O8814" t="s">
        <v>345</v>
      </c>
      <c r="P8814" s="42">
        <v>44746</v>
      </c>
      <c r="Q8814" t="s">
        <v>345</v>
      </c>
      <c r="R8814" t="s">
        <v>320</v>
      </c>
      <c r="S8814" t="s">
        <v>323</v>
      </c>
      <c r="T8814">
        <v>7.6</v>
      </c>
      <c r="Y8814" s="42">
        <v>44747</v>
      </c>
    </row>
    <row r="8815" spans="14:25">
      <c r="N8815" s="42">
        <v>44732</v>
      </c>
      <c r="O8815" t="s">
        <v>345</v>
      </c>
      <c r="P8815" s="42">
        <v>44732</v>
      </c>
      <c r="Q8815" t="s">
        <v>345</v>
      </c>
      <c r="R8815" t="s">
        <v>320</v>
      </c>
      <c r="S8815" t="s">
        <v>323</v>
      </c>
      <c r="T8815">
        <v>7.6</v>
      </c>
      <c r="Y8815" s="42">
        <v>44733</v>
      </c>
    </row>
    <row r="8816" spans="14:25">
      <c r="N8816" s="42">
        <v>44728</v>
      </c>
      <c r="O8816" t="s">
        <v>324</v>
      </c>
      <c r="P8816" s="42">
        <v>44728</v>
      </c>
      <c r="Q8816" t="s">
        <v>324</v>
      </c>
      <c r="R8816" t="s">
        <v>320</v>
      </c>
      <c r="S8816" t="s">
        <v>323</v>
      </c>
      <c r="T8816">
        <v>4</v>
      </c>
      <c r="Y8816" s="42">
        <v>44733</v>
      </c>
    </row>
    <row r="8817" spans="1:25">
      <c r="N8817" s="42">
        <v>44725</v>
      </c>
      <c r="O8817" t="s">
        <v>345</v>
      </c>
      <c r="P8817" s="42">
        <v>44725</v>
      </c>
      <c r="Q8817" t="s">
        <v>345</v>
      </c>
      <c r="R8817" t="s">
        <v>320</v>
      </c>
      <c r="S8817" t="s">
        <v>323</v>
      </c>
      <c r="T8817">
        <v>2.6</v>
      </c>
      <c r="Y8817" s="42">
        <v>44733</v>
      </c>
    </row>
    <row r="8818" spans="1:25">
      <c r="N8818" s="42">
        <v>44725</v>
      </c>
      <c r="O8818" t="s">
        <v>345</v>
      </c>
      <c r="P8818" s="42">
        <v>44725</v>
      </c>
      <c r="Q8818" t="s">
        <v>345</v>
      </c>
      <c r="R8818" t="s">
        <v>329</v>
      </c>
      <c r="S8818" t="s">
        <v>323</v>
      </c>
      <c r="T8818">
        <v>5</v>
      </c>
      <c r="W8818" t="s">
        <v>330</v>
      </c>
      <c r="Y8818" s="42">
        <v>44733</v>
      </c>
    </row>
    <row r="8819" spans="1:25">
      <c r="N8819" s="42">
        <v>44718</v>
      </c>
      <c r="O8819" t="s">
        <v>345</v>
      </c>
      <c r="P8819" s="42">
        <v>44718</v>
      </c>
      <c r="Q8819" t="s">
        <v>345</v>
      </c>
      <c r="R8819" t="s">
        <v>329</v>
      </c>
      <c r="S8819" t="s">
        <v>323</v>
      </c>
      <c r="T8819">
        <v>7.6</v>
      </c>
      <c r="W8819" t="s">
        <v>330</v>
      </c>
      <c r="Y8819" s="42">
        <v>44719</v>
      </c>
    </row>
    <row r="8820" spans="1:25">
      <c r="N8820" s="42">
        <v>44679</v>
      </c>
      <c r="O8820" t="s">
        <v>324</v>
      </c>
      <c r="P8820" s="42">
        <v>44679</v>
      </c>
      <c r="Q8820" t="s">
        <v>324</v>
      </c>
      <c r="R8820" t="s">
        <v>329</v>
      </c>
      <c r="S8820" t="s">
        <v>323</v>
      </c>
      <c r="T8820">
        <v>4</v>
      </c>
      <c r="W8820" t="s">
        <v>330</v>
      </c>
      <c r="Y8820" s="42">
        <v>44691</v>
      </c>
    </row>
    <row r="8821" spans="1:25">
      <c r="N8821" s="42">
        <v>44676</v>
      </c>
      <c r="O8821" t="s">
        <v>345</v>
      </c>
      <c r="P8821" s="42">
        <v>44676</v>
      </c>
      <c r="Q8821" t="s">
        <v>345</v>
      </c>
      <c r="R8821" t="s">
        <v>320</v>
      </c>
      <c r="S8821" t="s">
        <v>323</v>
      </c>
      <c r="U8821">
        <v>7.6</v>
      </c>
    </row>
    <row r="8822" spans="1:25">
      <c r="N8822" s="42">
        <v>44669</v>
      </c>
      <c r="O8822" t="s">
        <v>345</v>
      </c>
      <c r="P8822" s="42">
        <v>44669</v>
      </c>
      <c r="Q8822" t="s">
        <v>345</v>
      </c>
      <c r="R8822" t="s">
        <v>320</v>
      </c>
      <c r="S8822" t="s">
        <v>323</v>
      </c>
      <c r="U8822">
        <v>7.6</v>
      </c>
    </row>
    <row r="8823" spans="1:25">
      <c r="N8823" s="42">
        <v>44628</v>
      </c>
      <c r="O8823" t="s">
        <v>333</v>
      </c>
      <c r="P8823" s="42">
        <v>44628</v>
      </c>
      <c r="Q8823" t="s">
        <v>333</v>
      </c>
      <c r="R8823" t="s">
        <v>329</v>
      </c>
      <c r="S8823" t="s">
        <v>323</v>
      </c>
      <c r="T8823">
        <v>7.6</v>
      </c>
      <c r="W8823" t="s">
        <v>330</v>
      </c>
      <c r="Y8823" s="42">
        <v>44635</v>
      </c>
    </row>
    <row r="8824" spans="1:25">
      <c r="N8824" s="42">
        <v>44564</v>
      </c>
      <c r="O8824" t="s">
        <v>345</v>
      </c>
      <c r="P8824" s="42">
        <v>44564</v>
      </c>
      <c r="Q8824" t="s">
        <v>345</v>
      </c>
      <c r="R8824" t="s">
        <v>320</v>
      </c>
      <c r="S8824" t="s">
        <v>323</v>
      </c>
      <c r="U8824">
        <v>7.6</v>
      </c>
    </row>
    <row r="8825" spans="1:25">
      <c r="N8825" s="42">
        <v>44557</v>
      </c>
      <c r="O8825" t="s">
        <v>345</v>
      </c>
      <c r="P8825" s="42">
        <v>44557</v>
      </c>
      <c r="Q8825" t="s">
        <v>345</v>
      </c>
      <c r="R8825" t="s">
        <v>320</v>
      </c>
      <c r="S8825" t="s">
        <v>323</v>
      </c>
      <c r="U8825">
        <v>7.6</v>
      </c>
    </row>
    <row r="8826" spans="1:25">
      <c r="N8826" s="42">
        <v>44435</v>
      </c>
      <c r="O8826" t="s">
        <v>346</v>
      </c>
      <c r="P8826" s="42">
        <v>44435</v>
      </c>
      <c r="Q8826" t="s">
        <v>346</v>
      </c>
      <c r="R8826" t="s">
        <v>329</v>
      </c>
      <c r="S8826" t="s">
        <v>323</v>
      </c>
      <c r="T8826">
        <v>7.6</v>
      </c>
      <c r="W8826" t="s">
        <v>330</v>
      </c>
      <c r="Y8826" s="42">
        <v>44439</v>
      </c>
    </row>
    <row r="8827" spans="1:25">
      <c r="N8827" s="42">
        <v>44428</v>
      </c>
      <c r="O8827" t="s">
        <v>346</v>
      </c>
      <c r="P8827" s="42">
        <v>44428</v>
      </c>
      <c r="Q8827" t="s">
        <v>346</v>
      </c>
      <c r="R8827" t="s">
        <v>334</v>
      </c>
      <c r="S8827" t="s">
        <v>323</v>
      </c>
      <c r="T8827">
        <v>7.6</v>
      </c>
      <c r="W8827" t="s">
        <v>330</v>
      </c>
      <c r="Y8827" s="42">
        <v>44439</v>
      </c>
    </row>
    <row r="8828" spans="1:25">
      <c r="N8828" s="42">
        <v>44414</v>
      </c>
      <c r="O8828" t="s">
        <v>346</v>
      </c>
      <c r="P8828" s="42">
        <v>44414</v>
      </c>
      <c r="Q8828" t="s">
        <v>346</v>
      </c>
      <c r="R8828" t="s">
        <v>329</v>
      </c>
      <c r="S8828" t="s">
        <v>323</v>
      </c>
      <c r="T8828">
        <v>7.6</v>
      </c>
      <c r="W8828" t="s">
        <v>330</v>
      </c>
      <c r="Y8828" s="42">
        <v>44439</v>
      </c>
    </row>
    <row r="8829" spans="1:25">
      <c r="A8829">
        <v>18961</v>
      </c>
      <c r="B8829" t="s">
        <v>461</v>
      </c>
      <c r="C8829" t="s">
        <v>320</v>
      </c>
      <c r="D8829" t="s">
        <v>336</v>
      </c>
      <c r="E8829" t="s">
        <v>337</v>
      </c>
      <c r="F8829">
        <v>1</v>
      </c>
      <c r="G8829" s="42">
        <v>45142</v>
      </c>
      <c r="H8829">
        <v>152</v>
      </c>
      <c r="I8829">
        <v>-55.302999999999997</v>
      </c>
      <c r="J8829">
        <v>88.284899999999993</v>
      </c>
      <c r="K8829">
        <v>32.981900000000003</v>
      </c>
      <c r="L8829" t="s">
        <v>323</v>
      </c>
      <c r="M8829" s="43">
        <v>4.6527777777777779E-2</v>
      </c>
      <c r="N8829" s="42">
        <v>44953</v>
      </c>
      <c r="O8829" t="s">
        <v>346</v>
      </c>
      <c r="P8829" s="42">
        <v>44953</v>
      </c>
      <c r="Q8829" t="s">
        <v>346</v>
      </c>
      <c r="R8829" t="s">
        <v>320</v>
      </c>
      <c r="S8829" t="s">
        <v>323</v>
      </c>
      <c r="T8829">
        <v>7.6</v>
      </c>
      <c r="Y8829" s="42">
        <v>44957</v>
      </c>
    </row>
    <row r="8830" spans="1:25">
      <c r="C8830" t="s">
        <v>325</v>
      </c>
      <c r="D8830" t="s">
        <v>352</v>
      </c>
      <c r="E8830" t="s">
        <v>353</v>
      </c>
      <c r="F8830">
        <v>1</v>
      </c>
      <c r="G8830" s="42">
        <v>48064</v>
      </c>
      <c r="H8830">
        <v>323.95310000000001</v>
      </c>
      <c r="I8830">
        <v>0</v>
      </c>
      <c r="J8830">
        <v>46.642299999999999</v>
      </c>
      <c r="K8830">
        <v>46.642299999999999</v>
      </c>
      <c r="L8830" t="s">
        <v>323</v>
      </c>
      <c r="N8830" s="42">
        <v>44952</v>
      </c>
      <c r="O8830" t="s">
        <v>324</v>
      </c>
      <c r="P8830" s="42">
        <v>44952</v>
      </c>
      <c r="Q8830" t="s">
        <v>324</v>
      </c>
      <c r="R8830" t="s">
        <v>320</v>
      </c>
      <c r="S8830" t="s">
        <v>323</v>
      </c>
      <c r="U8830">
        <v>7.6</v>
      </c>
    </row>
    <row r="8831" spans="1:25">
      <c r="C8831" t="s">
        <v>329</v>
      </c>
      <c r="D8831" t="s">
        <v>342</v>
      </c>
      <c r="E8831" t="s">
        <v>343</v>
      </c>
      <c r="F8831">
        <v>1</v>
      </c>
      <c r="G8831" s="42">
        <v>45142</v>
      </c>
      <c r="H8831">
        <v>76</v>
      </c>
      <c r="I8831">
        <v>-27.651499999999999</v>
      </c>
      <c r="J8831">
        <v>44.142499999999998</v>
      </c>
      <c r="K8831">
        <v>16.491</v>
      </c>
      <c r="L8831" t="s">
        <v>323</v>
      </c>
      <c r="N8831" s="42">
        <v>44951</v>
      </c>
      <c r="O8831" t="s">
        <v>328</v>
      </c>
      <c r="P8831" s="42">
        <v>44951</v>
      </c>
      <c r="Q8831" t="s">
        <v>328</v>
      </c>
      <c r="R8831" t="s">
        <v>320</v>
      </c>
      <c r="S8831" t="s">
        <v>323</v>
      </c>
      <c r="T8831">
        <v>7.6</v>
      </c>
      <c r="Y8831" s="42">
        <v>44957</v>
      </c>
    </row>
    <row r="8832" spans="1:25">
      <c r="N8832" s="42">
        <v>44950</v>
      </c>
      <c r="O8832" t="s">
        <v>333</v>
      </c>
      <c r="P8832" s="42">
        <v>44950</v>
      </c>
      <c r="Q8832" t="s">
        <v>333</v>
      </c>
      <c r="R8832" t="s">
        <v>320</v>
      </c>
      <c r="S8832" t="s">
        <v>323</v>
      </c>
      <c r="T8832">
        <v>7.6</v>
      </c>
      <c r="Y8832" s="42">
        <v>44957</v>
      </c>
    </row>
    <row r="8833" spans="14:25">
      <c r="N8833" s="42">
        <v>44949</v>
      </c>
      <c r="O8833" t="s">
        <v>345</v>
      </c>
      <c r="P8833" s="42">
        <v>44949</v>
      </c>
      <c r="Q8833" t="s">
        <v>345</v>
      </c>
      <c r="R8833" t="s">
        <v>320</v>
      </c>
      <c r="S8833" t="s">
        <v>323</v>
      </c>
      <c r="T8833">
        <v>7.6</v>
      </c>
      <c r="Y8833" s="42">
        <v>44957</v>
      </c>
    </row>
    <row r="8834" spans="14:25">
      <c r="N8834" s="42">
        <v>44946</v>
      </c>
      <c r="O8834" t="s">
        <v>346</v>
      </c>
      <c r="P8834" s="42">
        <v>44946</v>
      </c>
      <c r="Q8834" t="s">
        <v>346</v>
      </c>
      <c r="R8834" t="s">
        <v>320</v>
      </c>
      <c r="S8834" t="s">
        <v>323</v>
      </c>
      <c r="T8834">
        <v>7.6</v>
      </c>
      <c r="Y8834" s="42">
        <v>44957</v>
      </c>
    </row>
    <row r="8835" spans="14:25">
      <c r="N8835" s="42">
        <v>44945</v>
      </c>
      <c r="O8835" t="s">
        <v>324</v>
      </c>
      <c r="P8835" s="42">
        <v>44945</v>
      </c>
      <c r="Q8835" t="s">
        <v>324</v>
      </c>
      <c r="R8835" t="s">
        <v>320</v>
      </c>
      <c r="S8835" t="s">
        <v>323</v>
      </c>
      <c r="T8835">
        <v>7.6</v>
      </c>
      <c r="Y8835" s="42">
        <v>44957</v>
      </c>
    </row>
    <row r="8836" spans="14:25">
      <c r="N8836" s="42">
        <v>44928</v>
      </c>
      <c r="O8836" t="s">
        <v>345</v>
      </c>
      <c r="P8836" s="42">
        <v>44928</v>
      </c>
      <c r="Q8836" t="s">
        <v>345</v>
      </c>
      <c r="R8836" t="s">
        <v>320</v>
      </c>
      <c r="S8836" t="s">
        <v>323</v>
      </c>
      <c r="U8836">
        <v>7.6</v>
      </c>
    </row>
    <row r="8837" spans="14:25">
      <c r="N8837" s="42">
        <v>44922</v>
      </c>
      <c r="O8837" t="s">
        <v>333</v>
      </c>
      <c r="P8837" s="42">
        <v>44922</v>
      </c>
      <c r="Q8837" t="s">
        <v>333</v>
      </c>
      <c r="R8837" t="s">
        <v>320</v>
      </c>
      <c r="S8837" t="s">
        <v>323</v>
      </c>
      <c r="U8837">
        <v>7.6</v>
      </c>
    </row>
    <row r="8838" spans="14:25">
      <c r="N8838" s="42">
        <v>44921</v>
      </c>
      <c r="O8838" t="s">
        <v>345</v>
      </c>
      <c r="P8838" s="42">
        <v>44921</v>
      </c>
      <c r="Q8838" t="s">
        <v>345</v>
      </c>
      <c r="R8838" t="s">
        <v>320</v>
      </c>
      <c r="S8838" t="s">
        <v>323</v>
      </c>
      <c r="U8838">
        <v>7.6</v>
      </c>
    </row>
    <row r="8839" spans="14:25">
      <c r="N8839" s="42">
        <v>44910</v>
      </c>
      <c r="O8839" t="s">
        <v>324</v>
      </c>
      <c r="P8839" s="42">
        <v>44910</v>
      </c>
      <c r="Q8839" t="s">
        <v>324</v>
      </c>
      <c r="R8839" t="s">
        <v>329</v>
      </c>
      <c r="S8839" t="s">
        <v>323</v>
      </c>
      <c r="T8839">
        <v>7.6</v>
      </c>
      <c r="W8839" t="s">
        <v>330</v>
      </c>
      <c r="Y8839" s="42">
        <v>44915</v>
      </c>
    </row>
    <row r="8840" spans="14:25">
      <c r="N8840" s="42">
        <v>44909</v>
      </c>
      <c r="O8840" t="s">
        <v>328</v>
      </c>
      <c r="P8840" s="42">
        <v>44909</v>
      </c>
      <c r="Q8840" t="s">
        <v>328</v>
      </c>
      <c r="R8840" t="s">
        <v>320</v>
      </c>
      <c r="S8840" t="s">
        <v>323</v>
      </c>
      <c r="T8840">
        <v>7.6</v>
      </c>
      <c r="Y8840" s="42">
        <v>44915</v>
      </c>
    </row>
    <row r="8841" spans="14:25">
      <c r="N8841" s="42">
        <v>44908</v>
      </c>
      <c r="O8841" t="s">
        <v>333</v>
      </c>
      <c r="P8841" s="42">
        <v>44908</v>
      </c>
      <c r="Q8841" t="s">
        <v>333</v>
      </c>
      <c r="R8841" t="s">
        <v>320</v>
      </c>
      <c r="S8841" t="s">
        <v>323</v>
      </c>
      <c r="T8841">
        <v>7.6</v>
      </c>
      <c r="Y8841" s="42">
        <v>44915</v>
      </c>
    </row>
    <row r="8842" spans="14:25">
      <c r="N8842" s="42">
        <v>44907</v>
      </c>
      <c r="O8842" t="s">
        <v>345</v>
      </c>
      <c r="P8842" s="42">
        <v>44907</v>
      </c>
      <c r="Q8842" t="s">
        <v>345</v>
      </c>
      <c r="R8842" t="s">
        <v>320</v>
      </c>
      <c r="S8842" t="s">
        <v>323</v>
      </c>
      <c r="T8842">
        <v>7.6</v>
      </c>
      <c r="Y8842" s="42">
        <v>44915</v>
      </c>
    </row>
    <row r="8843" spans="14:25">
      <c r="N8843" s="42">
        <v>44904</v>
      </c>
      <c r="O8843" t="s">
        <v>346</v>
      </c>
      <c r="P8843" s="42">
        <v>44904</v>
      </c>
      <c r="Q8843" t="s">
        <v>346</v>
      </c>
      <c r="R8843" t="s">
        <v>320</v>
      </c>
      <c r="S8843" t="s">
        <v>323</v>
      </c>
      <c r="T8843">
        <v>7.6</v>
      </c>
      <c r="Y8843" s="42">
        <v>44915</v>
      </c>
    </row>
    <row r="8844" spans="14:25">
      <c r="N8844" s="42">
        <v>44903</v>
      </c>
      <c r="O8844" t="s">
        <v>324</v>
      </c>
      <c r="P8844" s="42">
        <v>44903</v>
      </c>
      <c r="Q8844" t="s">
        <v>324</v>
      </c>
      <c r="R8844" t="s">
        <v>320</v>
      </c>
      <c r="S8844" t="s">
        <v>323</v>
      </c>
      <c r="T8844">
        <v>7.6</v>
      </c>
      <c r="Y8844" s="42">
        <v>44915</v>
      </c>
    </row>
    <row r="8845" spans="14:25">
      <c r="N8845" s="42">
        <v>44902</v>
      </c>
      <c r="O8845" t="s">
        <v>328</v>
      </c>
      <c r="P8845" s="42">
        <v>44902</v>
      </c>
      <c r="Q8845" t="s">
        <v>328</v>
      </c>
      <c r="R8845" t="s">
        <v>329</v>
      </c>
      <c r="S8845" t="s">
        <v>323</v>
      </c>
      <c r="T8845">
        <v>7.6</v>
      </c>
      <c r="W8845" t="s">
        <v>330</v>
      </c>
      <c r="Y8845" s="42">
        <v>44915</v>
      </c>
    </row>
    <row r="8846" spans="14:25">
      <c r="N8846" s="42">
        <v>44865</v>
      </c>
      <c r="O8846" t="s">
        <v>345</v>
      </c>
      <c r="P8846" s="42">
        <v>44865</v>
      </c>
      <c r="Q8846" t="s">
        <v>345</v>
      </c>
      <c r="R8846" t="s">
        <v>320</v>
      </c>
      <c r="S8846" t="s">
        <v>323</v>
      </c>
      <c r="T8846">
        <v>7.6</v>
      </c>
      <c r="Y8846" s="42">
        <v>44873</v>
      </c>
    </row>
    <row r="8847" spans="14:25">
      <c r="N8847" s="42">
        <v>44851</v>
      </c>
      <c r="O8847" t="s">
        <v>345</v>
      </c>
      <c r="P8847" s="42">
        <v>44851</v>
      </c>
      <c r="Q8847" t="s">
        <v>345</v>
      </c>
      <c r="R8847" t="s">
        <v>329</v>
      </c>
      <c r="S8847" t="s">
        <v>323</v>
      </c>
      <c r="T8847">
        <v>7.6</v>
      </c>
      <c r="W8847" t="s">
        <v>330</v>
      </c>
      <c r="Y8847" s="42">
        <v>44859</v>
      </c>
    </row>
    <row r="8848" spans="14:25">
      <c r="N8848" s="42">
        <v>44841</v>
      </c>
      <c r="O8848" t="s">
        <v>346</v>
      </c>
      <c r="P8848" s="42">
        <v>44841</v>
      </c>
      <c r="Q8848" t="s">
        <v>346</v>
      </c>
      <c r="R8848" t="s">
        <v>320</v>
      </c>
      <c r="S8848" t="s">
        <v>323</v>
      </c>
      <c r="T8848">
        <v>7.6</v>
      </c>
      <c r="Y8848" s="42">
        <v>44845</v>
      </c>
    </row>
    <row r="8849" spans="14:25">
      <c r="N8849" s="42">
        <v>44837</v>
      </c>
      <c r="O8849" t="s">
        <v>345</v>
      </c>
      <c r="P8849" s="42">
        <v>44837</v>
      </c>
      <c r="Q8849" t="s">
        <v>345</v>
      </c>
      <c r="R8849" t="s">
        <v>320</v>
      </c>
      <c r="S8849" t="s">
        <v>323</v>
      </c>
      <c r="U8849">
        <v>7.6</v>
      </c>
    </row>
    <row r="8850" spans="14:25">
      <c r="N8850" s="42">
        <v>44827</v>
      </c>
      <c r="O8850" t="s">
        <v>346</v>
      </c>
      <c r="P8850" s="42">
        <v>44827</v>
      </c>
      <c r="Q8850" t="s">
        <v>346</v>
      </c>
      <c r="R8850" t="s">
        <v>320</v>
      </c>
      <c r="S8850" t="s">
        <v>323</v>
      </c>
      <c r="T8850">
        <v>7.6</v>
      </c>
      <c r="Y8850" s="42">
        <v>44831</v>
      </c>
    </row>
    <row r="8851" spans="14:25">
      <c r="N8851" s="42">
        <v>44826</v>
      </c>
      <c r="O8851" t="s">
        <v>324</v>
      </c>
      <c r="P8851" s="42">
        <v>44826</v>
      </c>
      <c r="Q8851" t="s">
        <v>324</v>
      </c>
      <c r="R8851" t="s">
        <v>320</v>
      </c>
      <c r="S8851" t="s">
        <v>323</v>
      </c>
      <c r="U8851">
        <v>7.6</v>
      </c>
    </row>
    <row r="8852" spans="14:25">
      <c r="N8852" s="42">
        <v>44806</v>
      </c>
      <c r="O8852" t="s">
        <v>346</v>
      </c>
      <c r="P8852" s="42">
        <v>44806</v>
      </c>
      <c r="Q8852" t="s">
        <v>346</v>
      </c>
      <c r="R8852" t="s">
        <v>320</v>
      </c>
      <c r="S8852" t="s">
        <v>323</v>
      </c>
      <c r="T8852">
        <v>7.6</v>
      </c>
      <c r="Y8852" s="42">
        <v>44817</v>
      </c>
    </row>
    <row r="8853" spans="14:25">
      <c r="N8853" s="42">
        <v>44805</v>
      </c>
      <c r="O8853" t="s">
        <v>324</v>
      </c>
      <c r="P8853" s="42">
        <v>44805</v>
      </c>
      <c r="Q8853" t="s">
        <v>324</v>
      </c>
      <c r="R8853" t="s">
        <v>329</v>
      </c>
      <c r="S8853" t="s">
        <v>323</v>
      </c>
      <c r="T8853">
        <v>7.6</v>
      </c>
      <c r="W8853" t="s">
        <v>330</v>
      </c>
      <c r="Y8853" s="42">
        <v>44817</v>
      </c>
    </row>
    <row r="8854" spans="14:25">
      <c r="N8854" s="42">
        <v>44804</v>
      </c>
      <c r="O8854" t="s">
        <v>328</v>
      </c>
      <c r="P8854" s="42">
        <v>44804</v>
      </c>
      <c r="Q8854" t="s">
        <v>328</v>
      </c>
      <c r="R8854" t="s">
        <v>329</v>
      </c>
      <c r="S8854" t="s">
        <v>323</v>
      </c>
      <c r="T8854">
        <v>7.6</v>
      </c>
      <c r="W8854" t="s">
        <v>330</v>
      </c>
      <c r="Y8854" s="42">
        <v>44817</v>
      </c>
    </row>
    <row r="8855" spans="14:25">
      <c r="N8855" s="42">
        <v>44789</v>
      </c>
      <c r="O8855" t="s">
        <v>333</v>
      </c>
      <c r="P8855" s="42">
        <v>44789</v>
      </c>
      <c r="Q8855" t="s">
        <v>333</v>
      </c>
      <c r="R8855" t="s">
        <v>329</v>
      </c>
      <c r="S8855" t="s">
        <v>323</v>
      </c>
      <c r="T8855">
        <v>7.6</v>
      </c>
      <c r="W8855" t="s">
        <v>330</v>
      </c>
      <c r="Y8855" s="42">
        <v>44789</v>
      </c>
    </row>
    <row r="8856" spans="14:25">
      <c r="N8856" s="42">
        <v>44788</v>
      </c>
      <c r="O8856" t="s">
        <v>345</v>
      </c>
      <c r="P8856" s="42">
        <v>44788</v>
      </c>
      <c r="Q8856" t="s">
        <v>345</v>
      </c>
      <c r="R8856" t="s">
        <v>329</v>
      </c>
      <c r="S8856" t="s">
        <v>323</v>
      </c>
      <c r="T8856">
        <v>7.6</v>
      </c>
      <c r="W8856" t="s">
        <v>330</v>
      </c>
      <c r="Y8856" s="42">
        <v>44789</v>
      </c>
    </row>
    <row r="8857" spans="14:25">
      <c r="N8857" s="42">
        <v>44742</v>
      </c>
      <c r="O8857" t="s">
        <v>324</v>
      </c>
      <c r="P8857" s="42">
        <v>44742</v>
      </c>
      <c r="Q8857" t="s">
        <v>324</v>
      </c>
      <c r="R8857" t="s">
        <v>320</v>
      </c>
      <c r="S8857" t="s">
        <v>323</v>
      </c>
      <c r="T8857">
        <v>7.6</v>
      </c>
      <c r="Y8857" s="42">
        <v>44747</v>
      </c>
    </row>
    <row r="8858" spans="14:25">
      <c r="N8858" s="42">
        <v>44725</v>
      </c>
      <c r="O8858" t="s">
        <v>345</v>
      </c>
      <c r="P8858" s="42">
        <v>44725</v>
      </c>
      <c r="Q8858" t="s">
        <v>345</v>
      </c>
      <c r="R8858" t="s">
        <v>320</v>
      </c>
      <c r="S8858" t="s">
        <v>323</v>
      </c>
      <c r="U8858">
        <v>7.6</v>
      </c>
    </row>
    <row r="8859" spans="14:25">
      <c r="N8859" s="42">
        <v>44685</v>
      </c>
      <c r="O8859" t="s">
        <v>328</v>
      </c>
      <c r="P8859" s="42">
        <v>44685</v>
      </c>
      <c r="Q8859" t="s">
        <v>328</v>
      </c>
      <c r="R8859" t="s">
        <v>329</v>
      </c>
      <c r="S8859" t="s">
        <v>323</v>
      </c>
      <c r="T8859">
        <v>7.6</v>
      </c>
      <c r="W8859" t="s">
        <v>330</v>
      </c>
      <c r="Y8859" s="42">
        <v>44691</v>
      </c>
    </row>
    <row r="8860" spans="14:25">
      <c r="N8860" s="42">
        <v>44676</v>
      </c>
      <c r="O8860" t="s">
        <v>345</v>
      </c>
      <c r="P8860" s="42">
        <v>44676</v>
      </c>
      <c r="Q8860" t="s">
        <v>345</v>
      </c>
      <c r="R8860" t="s">
        <v>320</v>
      </c>
      <c r="S8860" t="s">
        <v>323</v>
      </c>
      <c r="U8860">
        <v>7.6</v>
      </c>
    </row>
    <row r="8861" spans="14:25">
      <c r="N8861" s="42">
        <v>44669</v>
      </c>
      <c r="O8861" t="s">
        <v>345</v>
      </c>
      <c r="P8861" s="42">
        <v>44669</v>
      </c>
      <c r="Q8861" t="s">
        <v>345</v>
      </c>
      <c r="R8861" t="s">
        <v>320</v>
      </c>
      <c r="S8861" t="s">
        <v>323</v>
      </c>
      <c r="U8861">
        <v>7.6</v>
      </c>
    </row>
    <row r="8862" spans="14:25">
      <c r="N8862" s="42">
        <v>44666</v>
      </c>
      <c r="O8862" t="s">
        <v>346</v>
      </c>
      <c r="P8862" s="42">
        <v>44666</v>
      </c>
      <c r="Q8862" t="s">
        <v>346</v>
      </c>
      <c r="R8862" t="s">
        <v>320</v>
      </c>
      <c r="S8862" t="s">
        <v>323</v>
      </c>
      <c r="U8862">
        <v>7.6</v>
      </c>
    </row>
    <row r="8863" spans="14:25">
      <c r="N8863" s="42">
        <v>44645</v>
      </c>
      <c r="O8863" t="s">
        <v>346</v>
      </c>
      <c r="P8863" s="42">
        <v>44645</v>
      </c>
      <c r="Q8863" t="s">
        <v>346</v>
      </c>
      <c r="R8863" t="s">
        <v>320</v>
      </c>
      <c r="S8863" t="s">
        <v>323</v>
      </c>
      <c r="T8863">
        <v>7.6</v>
      </c>
      <c r="Y8863" s="42">
        <v>44649</v>
      </c>
    </row>
    <row r="8864" spans="14:25">
      <c r="N8864" s="42">
        <v>44644</v>
      </c>
      <c r="O8864" t="s">
        <v>324</v>
      </c>
      <c r="P8864" s="42">
        <v>44644</v>
      </c>
      <c r="Q8864" t="s">
        <v>324</v>
      </c>
      <c r="R8864" t="s">
        <v>320</v>
      </c>
      <c r="S8864" t="s">
        <v>323</v>
      </c>
      <c r="T8864">
        <v>7.6</v>
      </c>
      <c r="Y8864" s="42">
        <v>44649</v>
      </c>
    </row>
    <row r="8865" spans="1:25">
      <c r="N8865" s="42">
        <v>44643</v>
      </c>
      <c r="O8865" t="s">
        <v>328</v>
      </c>
      <c r="P8865" s="42">
        <v>44643</v>
      </c>
      <c r="Q8865" t="s">
        <v>328</v>
      </c>
      <c r="R8865" t="s">
        <v>320</v>
      </c>
      <c r="S8865" t="s">
        <v>323</v>
      </c>
      <c r="T8865">
        <v>7.6</v>
      </c>
      <c r="Y8865" s="42">
        <v>44649</v>
      </c>
    </row>
    <row r="8866" spans="1:25">
      <c r="N8866" s="42">
        <v>44634</v>
      </c>
      <c r="O8866" t="s">
        <v>345</v>
      </c>
      <c r="P8866" s="42">
        <v>44634</v>
      </c>
      <c r="Q8866" t="s">
        <v>345</v>
      </c>
      <c r="R8866" t="s">
        <v>320</v>
      </c>
      <c r="S8866" t="s">
        <v>323</v>
      </c>
      <c r="T8866">
        <v>7.6</v>
      </c>
      <c r="Y8866" s="42">
        <v>44635</v>
      </c>
    </row>
    <row r="8867" spans="1:25">
      <c r="N8867" s="42">
        <v>44631</v>
      </c>
      <c r="O8867" t="s">
        <v>346</v>
      </c>
      <c r="P8867" s="42">
        <v>44631</v>
      </c>
      <c r="Q8867" t="s">
        <v>346</v>
      </c>
      <c r="R8867" t="s">
        <v>320</v>
      </c>
      <c r="S8867" t="s">
        <v>323</v>
      </c>
      <c r="T8867">
        <v>7.6</v>
      </c>
      <c r="Y8867" s="42">
        <v>44635</v>
      </c>
    </row>
    <row r="8868" spans="1:25">
      <c r="N8868" s="42">
        <v>44630</v>
      </c>
      <c r="O8868" t="s">
        <v>324</v>
      </c>
      <c r="P8868" s="42">
        <v>44630</v>
      </c>
      <c r="Q8868" t="s">
        <v>324</v>
      </c>
      <c r="R8868" t="s">
        <v>320</v>
      </c>
      <c r="S8868" t="s">
        <v>323</v>
      </c>
      <c r="T8868">
        <v>7.6</v>
      </c>
      <c r="Y8868" s="42">
        <v>44635</v>
      </c>
    </row>
    <row r="8869" spans="1:25">
      <c r="N8869" s="42">
        <v>44629</v>
      </c>
      <c r="O8869" t="s">
        <v>328</v>
      </c>
      <c r="P8869" s="42">
        <v>44629</v>
      </c>
      <c r="Q8869" t="s">
        <v>328</v>
      </c>
      <c r="R8869" t="s">
        <v>320</v>
      </c>
      <c r="S8869" t="s">
        <v>323</v>
      </c>
      <c r="T8869">
        <v>7.6</v>
      </c>
      <c r="Y8869" s="42">
        <v>44635</v>
      </c>
    </row>
    <row r="8870" spans="1:25">
      <c r="N8870" s="42">
        <v>44628</v>
      </c>
      <c r="O8870" t="s">
        <v>333</v>
      </c>
      <c r="P8870" s="42">
        <v>44628</v>
      </c>
      <c r="Q8870" t="s">
        <v>333</v>
      </c>
      <c r="R8870" t="s">
        <v>329</v>
      </c>
      <c r="S8870" t="s">
        <v>323</v>
      </c>
      <c r="T8870">
        <v>7.6</v>
      </c>
      <c r="W8870" t="s">
        <v>330</v>
      </c>
      <c r="Y8870" s="42">
        <v>44635</v>
      </c>
    </row>
    <row r="8871" spans="1:25">
      <c r="N8871" s="42">
        <v>44603</v>
      </c>
      <c r="O8871" t="s">
        <v>346</v>
      </c>
      <c r="P8871" s="42">
        <v>44603</v>
      </c>
      <c r="Q8871" t="s">
        <v>346</v>
      </c>
      <c r="R8871" t="s">
        <v>329</v>
      </c>
      <c r="S8871" t="s">
        <v>323</v>
      </c>
      <c r="T8871">
        <v>7.6</v>
      </c>
      <c r="W8871" t="s">
        <v>330</v>
      </c>
      <c r="Y8871" s="42">
        <v>44607</v>
      </c>
    </row>
    <row r="8872" spans="1:25">
      <c r="N8872" s="42">
        <v>44587</v>
      </c>
      <c r="O8872" t="s">
        <v>328</v>
      </c>
      <c r="P8872" s="42">
        <v>44587</v>
      </c>
      <c r="Q8872" t="s">
        <v>328</v>
      </c>
      <c r="R8872" t="s">
        <v>320</v>
      </c>
      <c r="S8872" t="s">
        <v>323</v>
      </c>
      <c r="U8872">
        <v>7.6</v>
      </c>
    </row>
    <row r="8873" spans="1:25">
      <c r="N8873" s="42">
        <v>44547</v>
      </c>
      <c r="O8873" t="s">
        <v>346</v>
      </c>
      <c r="P8873" s="42">
        <v>44547</v>
      </c>
      <c r="Q8873" t="s">
        <v>346</v>
      </c>
      <c r="R8873" t="s">
        <v>329</v>
      </c>
      <c r="S8873" t="s">
        <v>323</v>
      </c>
      <c r="T8873">
        <v>7.6</v>
      </c>
      <c r="W8873" t="s">
        <v>330</v>
      </c>
      <c r="Y8873" s="42">
        <v>44551</v>
      </c>
    </row>
    <row r="8874" spans="1:25">
      <c r="N8874" s="42">
        <v>44533</v>
      </c>
      <c r="O8874" t="s">
        <v>346</v>
      </c>
      <c r="P8874" s="42">
        <v>44533</v>
      </c>
      <c r="Q8874" t="s">
        <v>346</v>
      </c>
      <c r="R8874" t="s">
        <v>329</v>
      </c>
      <c r="S8874" t="s">
        <v>323</v>
      </c>
      <c r="T8874">
        <v>7.6</v>
      </c>
      <c r="W8874" t="s">
        <v>330</v>
      </c>
      <c r="Y8874" s="42">
        <v>44537</v>
      </c>
    </row>
    <row r="8875" spans="1:25">
      <c r="N8875" s="42">
        <v>44521</v>
      </c>
      <c r="O8875" t="s">
        <v>344</v>
      </c>
      <c r="P8875" s="42">
        <v>44521</v>
      </c>
      <c r="Q8875" t="s">
        <v>344</v>
      </c>
      <c r="R8875" t="s">
        <v>320</v>
      </c>
      <c r="S8875" t="s">
        <v>323</v>
      </c>
      <c r="T8875">
        <v>7.6</v>
      </c>
      <c r="Y8875" s="42">
        <v>44523</v>
      </c>
    </row>
    <row r="8876" spans="1:25">
      <c r="A8876">
        <v>18962</v>
      </c>
      <c r="B8876" t="s">
        <v>462</v>
      </c>
      <c r="C8876" t="s">
        <v>320</v>
      </c>
      <c r="D8876" t="s">
        <v>336</v>
      </c>
      <c r="E8876" t="s">
        <v>337</v>
      </c>
      <c r="F8876">
        <v>1</v>
      </c>
      <c r="G8876" s="42">
        <v>45154</v>
      </c>
      <c r="H8876">
        <v>152</v>
      </c>
      <c r="I8876">
        <v>-53.2</v>
      </c>
      <c r="J8876">
        <v>83.287700000000001</v>
      </c>
      <c r="K8876">
        <v>30.087700000000002</v>
      </c>
      <c r="L8876" t="s">
        <v>323</v>
      </c>
      <c r="M8876" s="43">
        <v>4.5833333333333337E-2</v>
      </c>
      <c r="N8876" s="42">
        <v>44952</v>
      </c>
      <c r="O8876" t="s">
        <v>324</v>
      </c>
      <c r="P8876" s="42">
        <v>44952</v>
      </c>
      <c r="Q8876" t="s">
        <v>324</v>
      </c>
      <c r="R8876" t="s">
        <v>320</v>
      </c>
      <c r="S8876" t="s">
        <v>323</v>
      </c>
      <c r="U8876">
        <v>7.6</v>
      </c>
      <c r="Y8876" s="42">
        <v>44957</v>
      </c>
    </row>
    <row r="8877" spans="1:25">
      <c r="C8877" t="s">
        <v>325</v>
      </c>
      <c r="D8877" t="s">
        <v>352</v>
      </c>
      <c r="E8877" t="s">
        <v>353</v>
      </c>
      <c r="F8877">
        <v>1</v>
      </c>
      <c r="G8877" s="42">
        <v>48076</v>
      </c>
      <c r="H8877">
        <v>329.346</v>
      </c>
      <c r="I8877">
        <v>0</v>
      </c>
      <c r="J8877">
        <v>50.953000000000003</v>
      </c>
      <c r="K8877">
        <v>50.953000000000003</v>
      </c>
      <c r="L8877" t="s">
        <v>323</v>
      </c>
      <c r="N8877" s="42">
        <v>44935</v>
      </c>
      <c r="O8877" t="s">
        <v>345</v>
      </c>
      <c r="P8877" s="42">
        <v>44936</v>
      </c>
      <c r="Q8877" t="s">
        <v>333</v>
      </c>
      <c r="R8877" t="s">
        <v>320</v>
      </c>
      <c r="S8877" t="s">
        <v>323</v>
      </c>
      <c r="T8877">
        <v>15.2</v>
      </c>
      <c r="V8877">
        <v>0</v>
      </c>
      <c r="Y8877" s="42">
        <v>44943</v>
      </c>
    </row>
    <row r="8878" spans="1:25">
      <c r="C8878" t="s">
        <v>329</v>
      </c>
      <c r="D8878" t="s">
        <v>342</v>
      </c>
      <c r="E8878" t="s">
        <v>343</v>
      </c>
      <c r="F8878">
        <v>1</v>
      </c>
      <c r="G8878" s="42">
        <v>45154</v>
      </c>
      <c r="H8878">
        <v>76</v>
      </c>
      <c r="I8878">
        <v>45.6</v>
      </c>
      <c r="J8878">
        <v>41.643799999999999</v>
      </c>
      <c r="K8878">
        <v>87.243799999999993</v>
      </c>
      <c r="L8878" t="s">
        <v>323</v>
      </c>
      <c r="N8878" s="42">
        <v>44930</v>
      </c>
      <c r="O8878" t="s">
        <v>328</v>
      </c>
      <c r="P8878" s="42">
        <v>44934</v>
      </c>
      <c r="Q8878" t="s">
        <v>344</v>
      </c>
      <c r="R8878" t="s">
        <v>320</v>
      </c>
      <c r="S8878" t="s">
        <v>323</v>
      </c>
      <c r="T8878">
        <v>22.8</v>
      </c>
      <c r="U8878">
        <v>0</v>
      </c>
      <c r="V8878">
        <v>0</v>
      </c>
      <c r="Y8878" s="42">
        <v>44943</v>
      </c>
    </row>
    <row r="8879" spans="1:25">
      <c r="N8879" s="42">
        <v>44916</v>
      </c>
      <c r="O8879" t="s">
        <v>328</v>
      </c>
      <c r="P8879" s="42">
        <v>44929</v>
      </c>
      <c r="Q8879" t="s">
        <v>333</v>
      </c>
      <c r="R8879" t="s">
        <v>320</v>
      </c>
      <c r="S8879" t="s">
        <v>323</v>
      </c>
      <c r="T8879">
        <v>53.2</v>
      </c>
      <c r="U8879">
        <v>22.8</v>
      </c>
      <c r="V8879">
        <v>0</v>
      </c>
      <c r="Y8879" s="42">
        <v>44929</v>
      </c>
    </row>
    <row r="8880" spans="1:25">
      <c r="N8880" s="42">
        <v>44902</v>
      </c>
      <c r="O8880" t="s">
        <v>328</v>
      </c>
      <c r="P8880" s="42">
        <v>44915</v>
      </c>
      <c r="Q8880" t="s">
        <v>333</v>
      </c>
      <c r="R8880" t="s">
        <v>320</v>
      </c>
      <c r="S8880" t="s">
        <v>323</v>
      </c>
      <c r="T8880">
        <v>76</v>
      </c>
      <c r="U8880">
        <v>0</v>
      </c>
      <c r="V8880">
        <v>0</v>
      </c>
      <c r="Y8880" s="42">
        <v>44915</v>
      </c>
    </row>
    <row r="8881" spans="14:25">
      <c r="N8881" s="42">
        <v>44896</v>
      </c>
      <c r="O8881" t="s">
        <v>324</v>
      </c>
      <c r="P8881" s="42">
        <v>44901</v>
      </c>
      <c r="Q8881" t="s">
        <v>333</v>
      </c>
      <c r="R8881" t="s">
        <v>320</v>
      </c>
      <c r="S8881" t="s">
        <v>323</v>
      </c>
      <c r="T8881">
        <v>30.4</v>
      </c>
      <c r="U8881">
        <v>0</v>
      </c>
      <c r="V8881">
        <v>0</v>
      </c>
      <c r="Y8881" s="42">
        <v>44901</v>
      </c>
    </row>
    <row r="8882" spans="14:25">
      <c r="N8882" s="42">
        <v>44837</v>
      </c>
      <c r="O8882" t="s">
        <v>345</v>
      </c>
      <c r="P8882" s="42">
        <v>44837</v>
      </c>
      <c r="Q8882" t="s">
        <v>345</v>
      </c>
      <c r="R8882" t="s">
        <v>320</v>
      </c>
      <c r="S8882" t="s">
        <v>323</v>
      </c>
      <c r="U8882">
        <v>7.6</v>
      </c>
      <c r="Y8882" s="42">
        <v>44845</v>
      </c>
    </row>
    <row r="8883" spans="14:25">
      <c r="N8883" s="42">
        <v>44826</v>
      </c>
      <c r="O8883" t="s">
        <v>324</v>
      </c>
      <c r="P8883" s="42">
        <v>44826</v>
      </c>
      <c r="Q8883" t="s">
        <v>324</v>
      </c>
      <c r="R8883" t="s">
        <v>320</v>
      </c>
      <c r="S8883" t="s">
        <v>323</v>
      </c>
      <c r="U8883">
        <v>7.6</v>
      </c>
      <c r="Y8883" s="42">
        <v>44831</v>
      </c>
    </row>
    <row r="8884" spans="14:25">
      <c r="N8884" s="42">
        <v>44781</v>
      </c>
      <c r="O8884" t="s">
        <v>345</v>
      </c>
      <c r="P8884" s="42">
        <v>44781</v>
      </c>
      <c r="Q8884" t="s">
        <v>345</v>
      </c>
      <c r="R8884" t="s">
        <v>329</v>
      </c>
      <c r="S8884" t="s">
        <v>323</v>
      </c>
      <c r="T8884">
        <v>7.6</v>
      </c>
      <c r="W8884" t="s">
        <v>339</v>
      </c>
      <c r="Y8884" s="42">
        <v>44789</v>
      </c>
    </row>
    <row r="8885" spans="14:25">
      <c r="N8885" s="42">
        <v>44748</v>
      </c>
      <c r="O8885" t="s">
        <v>328</v>
      </c>
      <c r="P8885" s="42">
        <v>44749</v>
      </c>
      <c r="Q8885" t="s">
        <v>324</v>
      </c>
      <c r="R8885" t="s">
        <v>329</v>
      </c>
      <c r="S8885" t="s">
        <v>323</v>
      </c>
      <c r="T8885">
        <v>15.2</v>
      </c>
      <c r="U8885">
        <v>0</v>
      </c>
      <c r="W8885" t="s">
        <v>339</v>
      </c>
      <c r="Y8885" s="42">
        <v>44761</v>
      </c>
    </row>
    <row r="8886" spans="14:25">
      <c r="N8886" s="42">
        <v>44747</v>
      </c>
      <c r="O8886" t="s">
        <v>333</v>
      </c>
      <c r="P8886" s="42">
        <v>44747</v>
      </c>
      <c r="Q8886" t="s">
        <v>333</v>
      </c>
      <c r="R8886" t="s">
        <v>329</v>
      </c>
      <c r="S8886" t="s">
        <v>323</v>
      </c>
      <c r="T8886">
        <v>7.6</v>
      </c>
      <c r="U8886">
        <v>0</v>
      </c>
      <c r="W8886" t="s">
        <v>339</v>
      </c>
      <c r="Y8886" s="42">
        <v>44747</v>
      </c>
    </row>
    <row r="8887" spans="14:25">
      <c r="N8887" s="42">
        <v>44725</v>
      </c>
      <c r="O8887" t="s">
        <v>345</v>
      </c>
      <c r="P8887" s="42">
        <v>44725</v>
      </c>
      <c r="Q8887" t="s">
        <v>345</v>
      </c>
      <c r="R8887" t="s">
        <v>320</v>
      </c>
      <c r="S8887" t="s">
        <v>323</v>
      </c>
      <c r="U8887">
        <v>7.6</v>
      </c>
      <c r="Y8887" s="42">
        <v>44733</v>
      </c>
    </row>
    <row r="8888" spans="14:25">
      <c r="N8888" s="42">
        <v>44684</v>
      </c>
      <c r="O8888" t="s">
        <v>333</v>
      </c>
      <c r="P8888" s="42">
        <v>44684</v>
      </c>
      <c r="Q8888" t="s">
        <v>333</v>
      </c>
      <c r="R8888" t="s">
        <v>320</v>
      </c>
      <c r="S8888" t="s">
        <v>323</v>
      </c>
      <c r="T8888">
        <v>7.6</v>
      </c>
      <c r="V8888">
        <v>0</v>
      </c>
      <c r="Y8888" s="42">
        <v>44691</v>
      </c>
    </row>
    <row r="8889" spans="14:25">
      <c r="N8889" s="42">
        <v>44676</v>
      </c>
      <c r="O8889" t="s">
        <v>345</v>
      </c>
      <c r="P8889" s="42">
        <v>44676</v>
      </c>
      <c r="Q8889" t="s">
        <v>345</v>
      </c>
      <c r="R8889" t="s">
        <v>320</v>
      </c>
      <c r="S8889" t="s">
        <v>323</v>
      </c>
      <c r="U8889">
        <v>7.6</v>
      </c>
      <c r="Y8889" s="42">
        <v>44677</v>
      </c>
    </row>
    <row r="8890" spans="14:25">
      <c r="N8890" s="42">
        <v>44669</v>
      </c>
      <c r="O8890" t="s">
        <v>345</v>
      </c>
      <c r="P8890" s="42">
        <v>44669</v>
      </c>
      <c r="Q8890" t="s">
        <v>345</v>
      </c>
      <c r="R8890" t="s">
        <v>320</v>
      </c>
      <c r="S8890" t="s">
        <v>323</v>
      </c>
      <c r="U8890">
        <v>7.6</v>
      </c>
      <c r="Y8890" s="42">
        <v>44677</v>
      </c>
    </row>
    <row r="8891" spans="14:25">
      <c r="N8891" s="42">
        <v>44666</v>
      </c>
      <c r="O8891" t="s">
        <v>346</v>
      </c>
      <c r="P8891" s="42">
        <v>44666</v>
      </c>
      <c r="Q8891" t="s">
        <v>346</v>
      </c>
      <c r="R8891" t="s">
        <v>320</v>
      </c>
      <c r="S8891" t="s">
        <v>323</v>
      </c>
      <c r="U8891">
        <v>7.6</v>
      </c>
      <c r="Y8891" s="42">
        <v>44677</v>
      </c>
    </row>
    <row r="8892" spans="14:25">
      <c r="N8892" s="42">
        <v>44587</v>
      </c>
      <c r="O8892" t="s">
        <v>328</v>
      </c>
      <c r="P8892" s="42">
        <v>44587</v>
      </c>
      <c r="Q8892" t="s">
        <v>328</v>
      </c>
      <c r="R8892" t="s">
        <v>320</v>
      </c>
      <c r="S8892" t="s">
        <v>323</v>
      </c>
      <c r="U8892">
        <v>7.6</v>
      </c>
      <c r="Y8892" s="42">
        <v>44593</v>
      </c>
    </row>
    <row r="8893" spans="14:25">
      <c r="N8893" s="42">
        <v>44564</v>
      </c>
      <c r="O8893" t="s">
        <v>345</v>
      </c>
      <c r="P8893" s="42">
        <v>44564</v>
      </c>
      <c r="Q8893" t="s">
        <v>345</v>
      </c>
      <c r="R8893" t="s">
        <v>320</v>
      </c>
      <c r="S8893" t="s">
        <v>323</v>
      </c>
      <c r="U8893">
        <v>7.6</v>
      </c>
      <c r="Y8893" s="42">
        <v>44565</v>
      </c>
    </row>
    <row r="8894" spans="14:25">
      <c r="N8894" s="42">
        <v>44558</v>
      </c>
      <c r="O8894" t="s">
        <v>333</v>
      </c>
      <c r="P8894" s="42">
        <v>44558</v>
      </c>
      <c r="Q8894" t="s">
        <v>333</v>
      </c>
      <c r="R8894" t="s">
        <v>320</v>
      </c>
      <c r="S8894" t="s">
        <v>323</v>
      </c>
      <c r="U8894">
        <v>7.6</v>
      </c>
      <c r="Y8894" s="42">
        <v>44565</v>
      </c>
    </row>
    <row r="8895" spans="14:25">
      <c r="N8895" s="42">
        <v>44557</v>
      </c>
      <c r="O8895" t="s">
        <v>345</v>
      </c>
      <c r="P8895" s="42">
        <v>44557</v>
      </c>
      <c r="Q8895" t="s">
        <v>345</v>
      </c>
      <c r="R8895" t="s">
        <v>320</v>
      </c>
      <c r="S8895" t="s">
        <v>323</v>
      </c>
      <c r="U8895">
        <v>7.6</v>
      </c>
      <c r="Y8895" s="42">
        <v>44565</v>
      </c>
    </row>
    <row r="8896" spans="14:25">
      <c r="N8896" s="42">
        <v>44473</v>
      </c>
      <c r="O8896" t="s">
        <v>345</v>
      </c>
      <c r="P8896" s="42">
        <v>44473</v>
      </c>
      <c r="Q8896" t="s">
        <v>345</v>
      </c>
      <c r="R8896" t="s">
        <v>320</v>
      </c>
      <c r="S8896" t="s">
        <v>323</v>
      </c>
      <c r="U8896">
        <v>7.6</v>
      </c>
      <c r="Y8896" s="42">
        <v>44481</v>
      </c>
    </row>
    <row r="8897" spans="1:25">
      <c r="A8897">
        <v>18967</v>
      </c>
      <c r="B8897" t="s">
        <v>463</v>
      </c>
      <c r="C8897" t="s">
        <v>320</v>
      </c>
      <c r="D8897" t="s">
        <v>336</v>
      </c>
      <c r="E8897" t="s">
        <v>337</v>
      </c>
      <c r="F8897">
        <v>1</v>
      </c>
      <c r="G8897" s="42">
        <v>45161</v>
      </c>
      <c r="H8897">
        <v>152</v>
      </c>
      <c r="I8897">
        <v>7.6</v>
      </c>
      <c r="J8897">
        <v>80.372600000000006</v>
      </c>
      <c r="K8897">
        <v>87.9726</v>
      </c>
      <c r="L8897" t="s">
        <v>323</v>
      </c>
      <c r="M8897" s="43">
        <v>4.5833333333333337E-2</v>
      </c>
      <c r="N8897" s="42">
        <v>44958</v>
      </c>
      <c r="O8897" t="s">
        <v>328</v>
      </c>
      <c r="P8897" s="42">
        <v>44958</v>
      </c>
      <c r="Q8897" t="s">
        <v>328</v>
      </c>
      <c r="R8897" t="s">
        <v>329</v>
      </c>
      <c r="S8897" t="s">
        <v>323</v>
      </c>
      <c r="T8897">
        <v>7.6</v>
      </c>
      <c r="W8897" t="s">
        <v>330</v>
      </c>
      <c r="Y8897" s="42">
        <v>44971</v>
      </c>
    </row>
    <row r="8898" spans="1:25">
      <c r="C8898" t="s">
        <v>325</v>
      </c>
      <c r="D8898" t="s">
        <v>352</v>
      </c>
      <c r="E8898" t="s">
        <v>353</v>
      </c>
      <c r="F8898">
        <v>1</v>
      </c>
      <c r="G8898" s="42">
        <v>48083</v>
      </c>
      <c r="H8898">
        <v>329.346</v>
      </c>
      <c r="I8898">
        <v>0</v>
      </c>
      <c r="J8898">
        <v>50.321800000000003</v>
      </c>
      <c r="K8898">
        <v>50.321800000000003</v>
      </c>
      <c r="L8898" t="s">
        <v>323</v>
      </c>
      <c r="N8898" s="42">
        <v>44957</v>
      </c>
      <c r="O8898" t="s">
        <v>333</v>
      </c>
      <c r="P8898" s="42">
        <v>44957</v>
      </c>
      <c r="Q8898" t="s">
        <v>333</v>
      </c>
      <c r="R8898" t="s">
        <v>329</v>
      </c>
      <c r="S8898" t="s">
        <v>323</v>
      </c>
      <c r="T8898">
        <v>7.6</v>
      </c>
      <c r="W8898" t="s">
        <v>330</v>
      </c>
      <c r="Y8898" s="42">
        <v>44957</v>
      </c>
    </row>
    <row r="8899" spans="1:25">
      <c r="C8899" t="s">
        <v>329</v>
      </c>
      <c r="D8899" t="s">
        <v>342</v>
      </c>
      <c r="E8899" t="s">
        <v>343</v>
      </c>
      <c r="F8899">
        <v>1</v>
      </c>
      <c r="G8899" s="42">
        <v>45161</v>
      </c>
      <c r="H8899">
        <v>76</v>
      </c>
      <c r="I8899">
        <v>-24.2</v>
      </c>
      <c r="J8899">
        <v>40.186300000000003</v>
      </c>
      <c r="K8899">
        <v>15.9863</v>
      </c>
      <c r="L8899" t="s">
        <v>323</v>
      </c>
      <c r="N8899" s="42">
        <v>44956</v>
      </c>
      <c r="O8899" t="s">
        <v>345</v>
      </c>
      <c r="P8899" s="42">
        <v>44956</v>
      </c>
      <c r="Q8899" t="s">
        <v>345</v>
      </c>
      <c r="R8899" t="s">
        <v>329</v>
      </c>
      <c r="S8899" t="s">
        <v>323</v>
      </c>
      <c r="T8899">
        <v>1</v>
      </c>
      <c r="W8899" t="s">
        <v>330</v>
      </c>
      <c r="Y8899" s="42">
        <v>44957</v>
      </c>
    </row>
    <row r="8900" spans="1:25">
      <c r="N8900" s="42">
        <v>44953</v>
      </c>
      <c r="O8900" t="s">
        <v>346</v>
      </c>
      <c r="P8900" s="42">
        <v>44953</v>
      </c>
      <c r="Q8900" t="s">
        <v>346</v>
      </c>
      <c r="R8900" t="s">
        <v>320</v>
      </c>
      <c r="S8900" t="s">
        <v>323</v>
      </c>
      <c r="T8900">
        <v>7.6</v>
      </c>
      <c r="Y8900" s="42">
        <v>44957</v>
      </c>
    </row>
    <row r="8901" spans="1:25">
      <c r="N8901" s="42">
        <v>44952</v>
      </c>
      <c r="O8901" t="s">
        <v>324</v>
      </c>
      <c r="P8901" s="42">
        <v>44952</v>
      </c>
      <c r="Q8901" t="s">
        <v>324</v>
      </c>
      <c r="R8901" t="s">
        <v>320</v>
      </c>
      <c r="S8901" t="s">
        <v>323</v>
      </c>
      <c r="U8901">
        <v>7.6</v>
      </c>
    </row>
    <row r="8902" spans="1:25">
      <c r="N8902" s="42">
        <v>44928</v>
      </c>
      <c r="O8902" t="s">
        <v>345</v>
      </c>
      <c r="P8902" s="42">
        <v>44928</v>
      </c>
      <c r="Q8902" t="s">
        <v>345</v>
      </c>
      <c r="R8902" t="s">
        <v>320</v>
      </c>
      <c r="S8902" t="s">
        <v>323</v>
      </c>
      <c r="U8902">
        <v>7.6</v>
      </c>
    </row>
    <row r="8903" spans="1:25">
      <c r="N8903" s="42">
        <v>44924</v>
      </c>
      <c r="O8903" t="s">
        <v>324</v>
      </c>
      <c r="P8903" s="42">
        <v>44924</v>
      </c>
      <c r="Q8903" t="s">
        <v>324</v>
      </c>
      <c r="R8903" t="s">
        <v>329</v>
      </c>
      <c r="S8903" t="s">
        <v>323</v>
      </c>
      <c r="T8903">
        <v>4</v>
      </c>
      <c r="W8903" t="s">
        <v>330</v>
      </c>
      <c r="Y8903" s="42">
        <v>44929</v>
      </c>
    </row>
    <row r="8904" spans="1:25">
      <c r="N8904" s="42">
        <v>44922</v>
      </c>
      <c r="O8904" t="s">
        <v>333</v>
      </c>
      <c r="P8904" s="42">
        <v>44922</v>
      </c>
      <c r="Q8904" t="s">
        <v>333</v>
      </c>
      <c r="R8904" t="s">
        <v>320</v>
      </c>
      <c r="S8904" t="s">
        <v>323</v>
      </c>
      <c r="U8904">
        <v>7.6</v>
      </c>
    </row>
    <row r="8905" spans="1:25">
      <c r="N8905" s="42">
        <v>44921</v>
      </c>
      <c r="O8905" t="s">
        <v>345</v>
      </c>
      <c r="P8905" s="42">
        <v>44921</v>
      </c>
      <c r="Q8905" t="s">
        <v>345</v>
      </c>
      <c r="R8905" t="s">
        <v>320</v>
      </c>
      <c r="S8905" t="s">
        <v>323</v>
      </c>
      <c r="U8905">
        <v>7.6</v>
      </c>
    </row>
    <row r="8906" spans="1:25">
      <c r="N8906" s="42">
        <v>44917</v>
      </c>
      <c r="O8906" t="s">
        <v>324</v>
      </c>
      <c r="P8906" s="42">
        <v>44917</v>
      </c>
      <c r="Q8906" t="s">
        <v>324</v>
      </c>
      <c r="R8906" t="s">
        <v>329</v>
      </c>
      <c r="S8906" t="s">
        <v>323</v>
      </c>
      <c r="T8906">
        <v>1</v>
      </c>
      <c r="W8906" t="s">
        <v>330</v>
      </c>
      <c r="Y8906" s="42">
        <v>44929</v>
      </c>
    </row>
    <row r="8907" spans="1:25">
      <c r="N8907" s="42">
        <v>44896</v>
      </c>
      <c r="O8907" t="s">
        <v>324</v>
      </c>
      <c r="P8907" s="42">
        <v>44896</v>
      </c>
      <c r="Q8907" t="s">
        <v>324</v>
      </c>
      <c r="R8907" t="s">
        <v>320</v>
      </c>
      <c r="S8907" t="s">
        <v>323</v>
      </c>
      <c r="T8907">
        <v>7.6</v>
      </c>
      <c r="Y8907" s="42">
        <v>44901</v>
      </c>
    </row>
    <row r="8908" spans="1:25">
      <c r="N8908" s="42">
        <v>44883</v>
      </c>
      <c r="O8908" t="s">
        <v>346</v>
      </c>
      <c r="P8908" s="42">
        <v>44883</v>
      </c>
      <c r="Q8908" t="s">
        <v>346</v>
      </c>
      <c r="R8908" t="s">
        <v>320</v>
      </c>
      <c r="S8908" t="s">
        <v>323</v>
      </c>
      <c r="T8908">
        <v>7.6</v>
      </c>
      <c r="Y8908" s="42">
        <v>44887</v>
      </c>
    </row>
    <row r="8909" spans="1:25">
      <c r="N8909" s="42">
        <v>44837</v>
      </c>
      <c r="O8909" t="s">
        <v>345</v>
      </c>
      <c r="P8909" s="42">
        <v>44837</v>
      </c>
      <c r="Q8909" t="s">
        <v>345</v>
      </c>
      <c r="R8909" t="s">
        <v>320</v>
      </c>
      <c r="S8909" t="s">
        <v>323</v>
      </c>
      <c r="U8909">
        <v>7.6</v>
      </c>
    </row>
    <row r="8910" spans="1:25">
      <c r="N8910" s="42">
        <v>44834</v>
      </c>
      <c r="O8910" t="s">
        <v>346</v>
      </c>
      <c r="P8910" s="42">
        <v>44834</v>
      </c>
      <c r="Q8910" t="s">
        <v>346</v>
      </c>
      <c r="R8910" t="s">
        <v>320</v>
      </c>
      <c r="S8910" t="s">
        <v>323</v>
      </c>
      <c r="T8910">
        <v>7.6</v>
      </c>
      <c r="Y8910" s="42">
        <v>44845</v>
      </c>
    </row>
    <row r="8911" spans="1:25">
      <c r="N8911" s="42">
        <v>44833</v>
      </c>
      <c r="O8911" t="s">
        <v>324</v>
      </c>
      <c r="P8911" s="42">
        <v>44833</v>
      </c>
      <c r="Q8911" t="s">
        <v>324</v>
      </c>
      <c r="R8911" t="s">
        <v>320</v>
      </c>
      <c r="S8911" t="s">
        <v>323</v>
      </c>
      <c r="T8911">
        <v>7.6</v>
      </c>
      <c r="Y8911" s="42">
        <v>44845</v>
      </c>
    </row>
    <row r="8912" spans="1:25">
      <c r="N8912" s="42">
        <v>44832</v>
      </c>
      <c r="O8912" t="s">
        <v>328</v>
      </c>
      <c r="P8912" s="42">
        <v>44832</v>
      </c>
      <c r="Q8912" t="s">
        <v>328</v>
      </c>
      <c r="R8912" t="s">
        <v>320</v>
      </c>
      <c r="S8912" t="s">
        <v>323</v>
      </c>
      <c r="T8912">
        <v>7.6</v>
      </c>
      <c r="Y8912" s="42">
        <v>44845</v>
      </c>
    </row>
    <row r="8913" spans="14:25">
      <c r="N8913" s="42">
        <v>44831</v>
      </c>
      <c r="O8913" t="s">
        <v>333</v>
      </c>
      <c r="P8913" s="42">
        <v>44831</v>
      </c>
      <c r="Q8913" t="s">
        <v>333</v>
      </c>
      <c r="R8913" t="s">
        <v>320</v>
      </c>
      <c r="S8913" t="s">
        <v>323</v>
      </c>
      <c r="T8913">
        <v>7.6</v>
      </c>
      <c r="Y8913" s="42">
        <v>44831</v>
      </c>
    </row>
    <row r="8914" spans="14:25">
      <c r="N8914" s="42">
        <v>44830</v>
      </c>
      <c r="O8914" t="s">
        <v>345</v>
      </c>
      <c r="P8914" s="42">
        <v>44830</v>
      </c>
      <c r="Q8914" t="s">
        <v>345</v>
      </c>
      <c r="R8914" t="s">
        <v>329</v>
      </c>
      <c r="S8914" t="s">
        <v>323</v>
      </c>
      <c r="T8914">
        <v>7.6</v>
      </c>
      <c r="W8914" t="s">
        <v>330</v>
      </c>
      <c r="Y8914" s="42">
        <v>44831</v>
      </c>
    </row>
    <row r="8915" spans="14:25">
      <c r="N8915" s="42">
        <v>44827</v>
      </c>
      <c r="O8915" t="s">
        <v>346</v>
      </c>
      <c r="P8915" s="42">
        <v>44827</v>
      </c>
      <c r="Q8915" t="s">
        <v>346</v>
      </c>
      <c r="R8915" t="s">
        <v>329</v>
      </c>
      <c r="S8915" t="s">
        <v>323</v>
      </c>
      <c r="T8915">
        <v>7.6</v>
      </c>
      <c r="W8915" t="s">
        <v>330</v>
      </c>
      <c r="Y8915" s="42">
        <v>44831</v>
      </c>
    </row>
    <row r="8916" spans="14:25">
      <c r="N8916" s="42">
        <v>44826</v>
      </c>
      <c r="O8916" t="s">
        <v>324</v>
      </c>
      <c r="P8916" s="42">
        <v>44826</v>
      </c>
      <c r="Q8916" t="s">
        <v>324</v>
      </c>
      <c r="R8916" t="s">
        <v>320</v>
      </c>
      <c r="S8916" t="s">
        <v>323</v>
      </c>
      <c r="U8916">
        <v>7.6</v>
      </c>
    </row>
    <row r="8917" spans="14:25">
      <c r="N8917" s="42">
        <v>44825</v>
      </c>
      <c r="O8917" t="s">
        <v>328</v>
      </c>
      <c r="P8917" s="42">
        <v>44825</v>
      </c>
      <c r="Q8917" t="s">
        <v>328</v>
      </c>
      <c r="R8917" t="s">
        <v>329</v>
      </c>
      <c r="S8917" t="s">
        <v>323</v>
      </c>
      <c r="T8917">
        <v>7.6</v>
      </c>
      <c r="W8917" t="s">
        <v>330</v>
      </c>
      <c r="Y8917" s="42">
        <v>44831</v>
      </c>
    </row>
    <row r="8918" spans="14:25">
      <c r="N8918" s="42">
        <v>44824</v>
      </c>
      <c r="O8918" t="s">
        <v>333</v>
      </c>
      <c r="P8918" s="42">
        <v>44824</v>
      </c>
      <c r="Q8918" t="s">
        <v>333</v>
      </c>
      <c r="R8918" t="s">
        <v>329</v>
      </c>
      <c r="S8918" t="s">
        <v>323</v>
      </c>
      <c r="T8918">
        <v>7.6</v>
      </c>
      <c r="W8918" t="s">
        <v>330</v>
      </c>
      <c r="Y8918" s="42">
        <v>44831</v>
      </c>
    </row>
    <row r="8919" spans="14:25">
      <c r="N8919" s="42">
        <v>44823</v>
      </c>
      <c r="O8919" t="s">
        <v>345</v>
      </c>
      <c r="P8919" s="42">
        <v>44823</v>
      </c>
      <c r="Q8919" t="s">
        <v>345</v>
      </c>
      <c r="R8919" t="s">
        <v>329</v>
      </c>
      <c r="S8919" t="s">
        <v>323</v>
      </c>
      <c r="T8919">
        <v>7.6</v>
      </c>
      <c r="W8919" t="s">
        <v>330</v>
      </c>
      <c r="Y8919" s="42">
        <v>44831</v>
      </c>
    </row>
    <row r="8920" spans="14:25">
      <c r="N8920" s="42">
        <v>44812</v>
      </c>
      <c r="O8920" t="s">
        <v>324</v>
      </c>
      <c r="P8920" s="42">
        <v>44812</v>
      </c>
      <c r="Q8920" t="s">
        <v>324</v>
      </c>
      <c r="R8920" t="s">
        <v>329</v>
      </c>
      <c r="S8920" t="s">
        <v>323</v>
      </c>
      <c r="T8920">
        <v>7.6</v>
      </c>
      <c r="W8920" t="s">
        <v>330</v>
      </c>
      <c r="Y8920" s="42">
        <v>44817</v>
      </c>
    </row>
    <row r="8921" spans="14:25">
      <c r="N8921" s="42">
        <v>44782</v>
      </c>
      <c r="O8921" t="s">
        <v>333</v>
      </c>
      <c r="P8921" s="42">
        <v>44782</v>
      </c>
      <c r="Q8921" t="s">
        <v>333</v>
      </c>
      <c r="R8921" t="s">
        <v>320</v>
      </c>
      <c r="S8921" t="s">
        <v>323</v>
      </c>
      <c r="T8921">
        <v>7.6</v>
      </c>
      <c r="Y8921" s="42">
        <v>44789</v>
      </c>
    </row>
    <row r="8922" spans="14:25">
      <c r="N8922" s="42">
        <v>44760</v>
      </c>
      <c r="O8922" t="s">
        <v>345</v>
      </c>
      <c r="P8922" s="42">
        <v>44760</v>
      </c>
      <c r="Q8922" t="s">
        <v>345</v>
      </c>
      <c r="R8922" t="s">
        <v>329</v>
      </c>
      <c r="S8922" t="s">
        <v>323</v>
      </c>
      <c r="T8922">
        <v>7.6</v>
      </c>
      <c r="W8922" t="s">
        <v>330</v>
      </c>
      <c r="Y8922" s="42">
        <v>44761</v>
      </c>
    </row>
    <row r="8923" spans="14:25">
      <c r="N8923" s="42">
        <v>44740</v>
      </c>
      <c r="O8923" t="s">
        <v>333</v>
      </c>
      <c r="P8923" s="42">
        <v>44740</v>
      </c>
      <c r="Q8923" t="s">
        <v>333</v>
      </c>
      <c r="R8923" t="s">
        <v>320</v>
      </c>
      <c r="S8923" t="s">
        <v>323</v>
      </c>
      <c r="T8923">
        <v>7.6</v>
      </c>
      <c r="Y8923" s="42">
        <v>44747</v>
      </c>
    </row>
    <row r="8924" spans="14:25">
      <c r="N8924" s="42">
        <v>44739</v>
      </c>
      <c r="O8924" t="s">
        <v>345</v>
      </c>
      <c r="P8924" s="42">
        <v>44739</v>
      </c>
      <c r="Q8924" t="s">
        <v>345</v>
      </c>
      <c r="R8924" t="s">
        <v>320</v>
      </c>
      <c r="S8924" t="s">
        <v>323</v>
      </c>
      <c r="T8924">
        <v>7.6</v>
      </c>
      <c r="Y8924" s="42">
        <v>44747</v>
      </c>
    </row>
    <row r="8925" spans="14:25">
      <c r="N8925" s="42">
        <v>44733</v>
      </c>
      <c r="O8925" t="s">
        <v>333</v>
      </c>
      <c r="P8925" s="42">
        <v>44733</v>
      </c>
      <c r="Q8925" t="s">
        <v>333</v>
      </c>
      <c r="R8925" t="s">
        <v>320</v>
      </c>
      <c r="S8925" t="s">
        <v>323</v>
      </c>
      <c r="T8925">
        <v>7.6</v>
      </c>
      <c r="Y8925" s="42">
        <v>44733</v>
      </c>
    </row>
    <row r="8926" spans="14:25">
      <c r="N8926" s="42">
        <v>44732</v>
      </c>
      <c r="O8926" t="s">
        <v>345</v>
      </c>
      <c r="P8926" s="42">
        <v>44732</v>
      </c>
      <c r="Q8926" t="s">
        <v>345</v>
      </c>
      <c r="R8926" t="s">
        <v>320</v>
      </c>
      <c r="S8926" t="s">
        <v>323</v>
      </c>
      <c r="T8926">
        <v>7.6</v>
      </c>
      <c r="Y8926" s="42">
        <v>44733</v>
      </c>
    </row>
    <row r="8927" spans="14:25">
      <c r="N8927" s="42">
        <v>44725</v>
      </c>
      <c r="O8927" t="s">
        <v>345</v>
      </c>
      <c r="P8927" s="42">
        <v>44725</v>
      </c>
      <c r="Q8927" t="s">
        <v>345</v>
      </c>
      <c r="R8927" t="s">
        <v>320</v>
      </c>
      <c r="S8927" t="s">
        <v>323</v>
      </c>
      <c r="U8927">
        <v>7.6</v>
      </c>
    </row>
    <row r="8928" spans="14:25">
      <c r="N8928" s="42">
        <v>44719</v>
      </c>
      <c r="O8928" t="s">
        <v>333</v>
      </c>
      <c r="P8928" s="42">
        <v>44719</v>
      </c>
      <c r="Q8928" t="s">
        <v>333</v>
      </c>
      <c r="R8928" t="s">
        <v>329</v>
      </c>
      <c r="S8928" t="s">
        <v>323</v>
      </c>
      <c r="T8928">
        <v>7.6</v>
      </c>
      <c r="W8928" t="s">
        <v>330</v>
      </c>
      <c r="Y8928" s="42">
        <v>44719</v>
      </c>
    </row>
    <row r="8929" spans="14:25">
      <c r="N8929" s="42">
        <v>44712</v>
      </c>
      <c r="O8929" t="s">
        <v>333</v>
      </c>
      <c r="P8929" s="42">
        <v>44712</v>
      </c>
      <c r="Q8929" t="s">
        <v>333</v>
      </c>
      <c r="R8929" t="s">
        <v>320</v>
      </c>
      <c r="S8929" t="s">
        <v>323</v>
      </c>
      <c r="T8929">
        <v>7.6</v>
      </c>
      <c r="Y8929" s="42">
        <v>44719</v>
      </c>
    </row>
    <row r="8930" spans="14:25">
      <c r="N8930" s="42">
        <v>44704</v>
      </c>
      <c r="O8930" t="s">
        <v>345</v>
      </c>
      <c r="P8930" s="42">
        <v>44704</v>
      </c>
      <c r="Q8930" t="s">
        <v>345</v>
      </c>
      <c r="R8930" t="s">
        <v>329</v>
      </c>
      <c r="S8930" t="s">
        <v>323</v>
      </c>
      <c r="T8930">
        <v>7.6</v>
      </c>
      <c r="W8930" t="s">
        <v>330</v>
      </c>
      <c r="Y8930" s="42">
        <v>44705</v>
      </c>
    </row>
    <row r="8931" spans="14:25">
      <c r="N8931" s="42">
        <v>44694</v>
      </c>
      <c r="O8931" t="s">
        <v>346</v>
      </c>
      <c r="P8931" s="42">
        <v>44694</v>
      </c>
      <c r="Q8931" t="s">
        <v>346</v>
      </c>
      <c r="R8931" t="s">
        <v>320</v>
      </c>
      <c r="S8931" t="s">
        <v>323</v>
      </c>
      <c r="T8931">
        <v>7.6</v>
      </c>
      <c r="Y8931" s="42">
        <v>44705</v>
      </c>
    </row>
    <row r="8932" spans="14:25">
      <c r="N8932" s="42">
        <v>44684</v>
      </c>
      <c r="O8932" t="s">
        <v>333</v>
      </c>
      <c r="P8932" s="42">
        <v>44684</v>
      </c>
      <c r="Q8932" t="s">
        <v>333</v>
      </c>
      <c r="R8932" t="s">
        <v>320</v>
      </c>
      <c r="S8932" t="s">
        <v>323</v>
      </c>
      <c r="T8932">
        <v>7.6</v>
      </c>
      <c r="Y8932" s="42">
        <v>44691</v>
      </c>
    </row>
    <row r="8933" spans="14:25">
      <c r="N8933" s="42">
        <v>44676</v>
      </c>
      <c r="O8933" t="s">
        <v>345</v>
      </c>
      <c r="P8933" s="42">
        <v>44676</v>
      </c>
      <c r="Q8933" t="s">
        <v>345</v>
      </c>
      <c r="R8933" t="s">
        <v>320</v>
      </c>
      <c r="S8933" t="s">
        <v>323</v>
      </c>
      <c r="U8933">
        <v>7.6</v>
      </c>
    </row>
    <row r="8934" spans="14:25">
      <c r="N8934" s="42">
        <v>44671</v>
      </c>
      <c r="O8934" t="s">
        <v>328</v>
      </c>
      <c r="P8934" s="42">
        <v>44671</v>
      </c>
      <c r="Q8934" t="s">
        <v>328</v>
      </c>
      <c r="R8934" t="s">
        <v>329</v>
      </c>
      <c r="S8934" t="s">
        <v>323</v>
      </c>
      <c r="T8934">
        <v>3</v>
      </c>
      <c r="W8934" t="s">
        <v>330</v>
      </c>
      <c r="Y8934" s="42">
        <v>44677</v>
      </c>
    </row>
    <row r="8935" spans="14:25">
      <c r="N8935" s="42">
        <v>44669</v>
      </c>
      <c r="O8935" t="s">
        <v>345</v>
      </c>
      <c r="P8935" s="42">
        <v>44669</v>
      </c>
      <c r="Q8935" t="s">
        <v>345</v>
      </c>
      <c r="R8935" t="s">
        <v>320</v>
      </c>
      <c r="S8935" t="s">
        <v>323</v>
      </c>
      <c r="U8935">
        <v>7.6</v>
      </c>
    </row>
    <row r="8936" spans="14:25">
      <c r="N8936" s="42">
        <v>44666</v>
      </c>
      <c r="O8936" t="s">
        <v>346</v>
      </c>
      <c r="P8936" s="42">
        <v>44666</v>
      </c>
      <c r="Q8936" t="s">
        <v>346</v>
      </c>
      <c r="R8936" t="s">
        <v>320</v>
      </c>
      <c r="S8936" t="s">
        <v>323</v>
      </c>
      <c r="U8936">
        <v>7.6</v>
      </c>
    </row>
    <row r="8937" spans="14:25">
      <c r="N8937" s="42">
        <v>44645</v>
      </c>
      <c r="O8937" t="s">
        <v>346</v>
      </c>
      <c r="P8937" s="42">
        <v>44645</v>
      </c>
      <c r="Q8937" t="s">
        <v>346</v>
      </c>
      <c r="R8937" t="s">
        <v>329</v>
      </c>
      <c r="S8937" t="s">
        <v>323</v>
      </c>
      <c r="T8937">
        <v>7.6</v>
      </c>
      <c r="W8937" t="s">
        <v>330</v>
      </c>
      <c r="Y8937" s="42">
        <v>44649</v>
      </c>
    </row>
    <row r="8938" spans="14:25">
      <c r="N8938" s="42">
        <v>44599</v>
      </c>
      <c r="O8938" t="s">
        <v>345</v>
      </c>
      <c r="P8938" s="42">
        <v>44599</v>
      </c>
      <c r="Q8938" t="s">
        <v>345</v>
      </c>
      <c r="R8938" t="s">
        <v>320</v>
      </c>
      <c r="S8938" t="s">
        <v>323</v>
      </c>
      <c r="T8938">
        <v>7.6</v>
      </c>
      <c r="Y8938" s="42">
        <v>44607</v>
      </c>
    </row>
    <row r="8939" spans="14:25">
      <c r="N8939" s="42">
        <v>44594</v>
      </c>
      <c r="O8939" t="s">
        <v>328</v>
      </c>
      <c r="P8939" s="42">
        <v>44594</v>
      </c>
      <c r="Q8939" t="s">
        <v>328</v>
      </c>
      <c r="R8939" t="s">
        <v>320</v>
      </c>
      <c r="S8939" t="s">
        <v>323</v>
      </c>
      <c r="T8939">
        <v>7.6</v>
      </c>
      <c r="Y8939" s="42">
        <v>44607</v>
      </c>
    </row>
    <row r="8940" spans="14:25">
      <c r="N8940" s="42">
        <v>44587</v>
      </c>
      <c r="O8940" t="s">
        <v>328</v>
      </c>
      <c r="P8940" s="42">
        <v>44587</v>
      </c>
      <c r="Q8940" t="s">
        <v>328</v>
      </c>
      <c r="R8940" t="s">
        <v>320</v>
      </c>
      <c r="S8940" t="s">
        <v>323</v>
      </c>
      <c r="U8940">
        <v>7.6</v>
      </c>
    </row>
    <row r="8941" spans="14:25">
      <c r="N8941" s="42">
        <v>44564</v>
      </c>
      <c r="O8941" t="s">
        <v>345</v>
      </c>
      <c r="P8941" s="42">
        <v>44564</v>
      </c>
      <c r="Q8941" t="s">
        <v>345</v>
      </c>
      <c r="R8941" t="s">
        <v>320</v>
      </c>
      <c r="S8941" t="s">
        <v>323</v>
      </c>
      <c r="U8941">
        <v>7.6</v>
      </c>
    </row>
    <row r="8942" spans="14:25">
      <c r="N8942" s="42">
        <v>44561</v>
      </c>
      <c r="O8942" t="s">
        <v>346</v>
      </c>
      <c r="P8942" s="42">
        <v>44561</v>
      </c>
      <c r="Q8942" t="s">
        <v>346</v>
      </c>
      <c r="R8942" t="s">
        <v>320</v>
      </c>
      <c r="S8942" t="s">
        <v>323</v>
      </c>
      <c r="T8942">
        <v>7.6</v>
      </c>
      <c r="Y8942" s="42">
        <v>44565</v>
      </c>
    </row>
    <row r="8943" spans="14:25">
      <c r="N8943" s="42">
        <v>44558</v>
      </c>
      <c r="O8943" t="s">
        <v>333</v>
      </c>
      <c r="P8943" s="42">
        <v>44558</v>
      </c>
      <c r="Q8943" t="s">
        <v>333</v>
      </c>
      <c r="R8943" t="s">
        <v>320</v>
      </c>
      <c r="S8943" t="s">
        <v>323</v>
      </c>
      <c r="U8943">
        <v>7.6</v>
      </c>
    </row>
    <row r="8944" spans="14:25">
      <c r="N8944" s="42">
        <v>44557</v>
      </c>
      <c r="O8944" t="s">
        <v>345</v>
      </c>
      <c r="P8944" s="42">
        <v>44557</v>
      </c>
      <c r="Q8944" t="s">
        <v>345</v>
      </c>
      <c r="R8944" t="s">
        <v>320</v>
      </c>
      <c r="S8944" t="s">
        <v>323</v>
      </c>
      <c r="U8944">
        <v>7.6</v>
      </c>
    </row>
    <row r="8945" spans="1:25">
      <c r="N8945" s="42">
        <v>44512</v>
      </c>
      <c r="O8945" t="s">
        <v>346</v>
      </c>
      <c r="P8945" s="42">
        <v>44512</v>
      </c>
      <c r="Q8945" t="s">
        <v>346</v>
      </c>
      <c r="R8945" t="s">
        <v>320</v>
      </c>
      <c r="S8945" t="s">
        <v>323</v>
      </c>
      <c r="T8945">
        <v>7.6</v>
      </c>
      <c r="Y8945" s="42">
        <v>44523</v>
      </c>
    </row>
    <row r="8946" spans="1:25">
      <c r="N8946" s="42">
        <v>44473</v>
      </c>
      <c r="O8946" t="s">
        <v>345</v>
      </c>
      <c r="P8946" s="42">
        <v>44473</v>
      </c>
      <c r="Q8946" t="s">
        <v>345</v>
      </c>
      <c r="R8946" t="s">
        <v>320</v>
      </c>
      <c r="S8946" t="s">
        <v>323</v>
      </c>
      <c r="U8946">
        <v>7.6</v>
      </c>
    </row>
    <row r="8947" spans="1:25">
      <c r="A8947">
        <v>18968</v>
      </c>
      <c r="B8947" t="s">
        <v>464</v>
      </c>
      <c r="C8947" t="s">
        <v>320</v>
      </c>
      <c r="D8947" t="s">
        <v>336</v>
      </c>
      <c r="E8947" t="s">
        <v>337</v>
      </c>
      <c r="F8947">
        <v>1</v>
      </c>
      <c r="G8947" s="42">
        <v>45170</v>
      </c>
      <c r="H8947">
        <v>152</v>
      </c>
      <c r="I8947">
        <v>37.35</v>
      </c>
      <c r="J8947">
        <v>76.624700000000004</v>
      </c>
      <c r="K8947">
        <v>113.9747</v>
      </c>
      <c r="L8947" t="s">
        <v>323</v>
      </c>
      <c r="M8947" s="43">
        <v>4.5833333333333337E-2</v>
      </c>
      <c r="N8947" s="42">
        <v>44960</v>
      </c>
      <c r="O8947" t="s">
        <v>346</v>
      </c>
      <c r="P8947" s="42">
        <v>44960</v>
      </c>
      <c r="Q8947" t="s">
        <v>346</v>
      </c>
      <c r="R8947" t="s">
        <v>320</v>
      </c>
      <c r="S8947" t="s">
        <v>323</v>
      </c>
      <c r="T8947">
        <v>1</v>
      </c>
      <c r="V8947">
        <v>0</v>
      </c>
      <c r="Y8947" s="42">
        <v>44971</v>
      </c>
    </row>
    <row r="8948" spans="1:25">
      <c r="C8948" t="s">
        <v>325</v>
      </c>
      <c r="D8948" t="s">
        <v>340</v>
      </c>
      <c r="E8948" t="s">
        <v>341</v>
      </c>
      <c r="F8948">
        <v>1</v>
      </c>
      <c r="G8948" s="42">
        <v>46997</v>
      </c>
      <c r="H8948">
        <v>230.54220000000001</v>
      </c>
      <c r="I8948">
        <v>0</v>
      </c>
      <c r="J8948">
        <v>49.4985</v>
      </c>
      <c r="K8948">
        <v>49.4985</v>
      </c>
      <c r="L8948" t="s">
        <v>323</v>
      </c>
      <c r="N8948" s="42">
        <v>44952</v>
      </c>
      <c r="O8948" t="s">
        <v>324</v>
      </c>
      <c r="P8948" s="42">
        <v>44952</v>
      </c>
      <c r="Q8948" t="s">
        <v>324</v>
      </c>
      <c r="R8948" t="s">
        <v>320</v>
      </c>
      <c r="S8948" t="s">
        <v>323</v>
      </c>
      <c r="U8948">
        <v>7.6</v>
      </c>
      <c r="Y8948" s="42">
        <v>44957</v>
      </c>
    </row>
    <row r="8949" spans="1:25">
      <c r="C8949" t="s">
        <v>329</v>
      </c>
      <c r="D8949" t="s">
        <v>342</v>
      </c>
      <c r="E8949" t="s">
        <v>343</v>
      </c>
      <c r="F8949">
        <v>1</v>
      </c>
      <c r="G8949" s="42">
        <v>45170</v>
      </c>
      <c r="H8949">
        <v>76</v>
      </c>
      <c r="I8949">
        <v>53.3</v>
      </c>
      <c r="J8949">
        <v>38.3123</v>
      </c>
      <c r="K8949">
        <v>91.612300000000005</v>
      </c>
      <c r="L8949" t="s">
        <v>323</v>
      </c>
      <c r="N8949" s="42">
        <v>44949</v>
      </c>
      <c r="O8949" t="s">
        <v>345</v>
      </c>
      <c r="P8949" s="42">
        <v>44950</v>
      </c>
      <c r="Q8949" t="s">
        <v>333</v>
      </c>
      <c r="R8949" t="s">
        <v>320</v>
      </c>
      <c r="S8949" t="s">
        <v>323</v>
      </c>
      <c r="T8949">
        <v>15.2</v>
      </c>
      <c r="V8949">
        <v>0</v>
      </c>
      <c r="Y8949" s="42">
        <v>44957</v>
      </c>
    </row>
    <row r="8950" spans="1:25">
      <c r="N8950" s="42">
        <v>44937</v>
      </c>
      <c r="O8950" t="s">
        <v>328</v>
      </c>
      <c r="P8950" s="42">
        <v>44937</v>
      </c>
      <c r="Q8950" t="s">
        <v>328</v>
      </c>
      <c r="R8950" t="s">
        <v>320</v>
      </c>
      <c r="S8950" t="s">
        <v>323</v>
      </c>
      <c r="T8950">
        <v>7.6</v>
      </c>
      <c r="V8950">
        <v>0</v>
      </c>
      <c r="Y8950" s="42">
        <v>44943</v>
      </c>
    </row>
    <row r="8951" spans="1:25">
      <c r="N8951" s="42">
        <v>44928</v>
      </c>
      <c r="O8951" t="s">
        <v>345</v>
      </c>
      <c r="P8951" s="42">
        <v>44928</v>
      </c>
      <c r="Q8951" t="s">
        <v>345</v>
      </c>
      <c r="R8951" t="s">
        <v>320</v>
      </c>
      <c r="S8951" t="s">
        <v>323</v>
      </c>
      <c r="U8951">
        <v>7.6</v>
      </c>
      <c r="Y8951" s="42">
        <v>44929</v>
      </c>
    </row>
    <row r="8952" spans="1:25">
      <c r="N8952" s="42">
        <v>44922</v>
      </c>
      <c r="O8952" t="s">
        <v>333</v>
      </c>
      <c r="P8952" s="42">
        <v>44922</v>
      </c>
      <c r="Q8952" t="s">
        <v>333</v>
      </c>
      <c r="R8952" t="s">
        <v>320</v>
      </c>
      <c r="S8952" t="s">
        <v>323</v>
      </c>
      <c r="U8952">
        <v>7.6</v>
      </c>
      <c r="Y8952" s="42">
        <v>44929</v>
      </c>
    </row>
    <row r="8953" spans="1:25">
      <c r="N8953" s="42">
        <v>44921</v>
      </c>
      <c r="O8953" t="s">
        <v>345</v>
      </c>
      <c r="P8953" s="42">
        <v>44921</v>
      </c>
      <c r="Q8953" t="s">
        <v>345</v>
      </c>
      <c r="R8953" t="s">
        <v>320</v>
      </c>
      <c r="S8953" t="s">
        <v>323</v>
      </c>
      <c r="U8953">
        <v>7.6</v>
      </c>
      <c r="Y8953" s="42">
        <v>44929</v>
      </c>
    </row>
    <row r="8954" spans="1:25">
      <c r="N8954" s="42">
        <v>44918</v>
      </c>
      <c r="O8954" t="s">
        <v>346</v>
      </c>
      <c r="P8954" s="42">
        <v>44918</v>
      </c>
      <c r="Q8954" t="s">
        <v>346</v>
      </c>
      <c r="R8954" t="s">
        <v>320</v>
      </c>
      <c r="S8954" t="s">
        <v>323</v>
      </c>
      <c r="T8954">
        <v>7.6</v>
      </c>
      <c r="V8954">
        <v>0</v>
      </c>
      <c r="Y8954" s="42">
        <v>44929</v>
      </c>
    </row>
    <row r="8955" spans="1:25">
      <c r="N8955" s="42">
        <v>44914</v>
      </c>
      <c r="O8955" t="s">
        <v>345</v>
      </c>
      <c r="P8955" s="42">
        <v>44914</v>
      </c>
      <c r="Q8955" t="s">
        <v>345</v>
      </c>
      <c r="R8955" t="s">
        <v>320</v>
      </c>
      <c r="S8955" t="s">
        <v>323</v>
      </c>
      <c r="T8955">
        <v>7.6</v>
      </c>
      <c r="U8955">
        <v>0</v>
      </c>
      <c r="Y8955" s="42">
        <v>44915</v>
      </c>
    </row>
    <row r="8956" spans="1:25">
      <c r="N8956" s="42">
        <v>44914</v>
      </c>
      <c r="O8956" t="s">
        <v>345</v>
      </c>
      <c r="P8956" s="42">
        <v>44914</v>
      </c>
      <c r="Q8956" t="s">
        <v>345</v>
      </c>
      <c r="R8956" t="s">
        <v>320</v>
      </c>
      <c r="S8956" t="s">
        <v>323</v>
      </c>
      <c r="T8956">
        <v>7.6</v>
      </c>
      <c r="V8956">
        <v>0</v>
      </c>
      <c r="Y8956" s="42">
        <v>44915</v>
      </c>
    </row>
    <row r="8957" spans="1:25">
      <c r="N8957" s="42">
        <v>44910</v>
      </c>
      <c r="O8957" t="s">
        <v>324</v>
      </c>
      <c r="P8957" s="42">
        <v>44911</v>
      </c>
      <c r="Q8957" t="s">
        <v>346</v>
      </c>
      <c r="R8957" t="s">
        <v>320</v>
      </c>
      <c r="S8957" t="s">
        <v>323</v>
      </c>
      <c r="T8957">
        <v>15.2</v>
      </c>
      <c r="V8957">
        <v>0</v>
      </c>
      <c r="Y8957" s="42">
        <v>44915</v>
      </c>
    </row>
    <row r="8958" spans="1:25">
      <c r="N8958" s="42">
        <v>44909</v>
      </c>
      <c r="O8958" t="s">
        <v>328</v>
      </c>
      <c r="P8958" s="42">
        <v>44909</v>
      </c>
      <c r="Q8958" t="s">
        <v>328</v>
      </c>
      <c r="R8958" t="s">
        <v>320</v>
      </c>
      <c r="S8958" t="s">
        <v>323</v>
      </c>
      <c r="T8958">
        <v>7.6</v>
      </c>
      <c r="V8958">
        <v>0</v>
      </c>
      <c r="Y8958" s="42">
        <v>44915</v>
      </c>
    </row>
    <row r="8959" spans="1:25">
      <c r="N8959" s="42">
        <v>44866</v>
      </c>
      <c r="O8959" t="s">
        <v>333</v>
      </c>
      <c r="P8959" s="42">
        <v>44866</v>
      </c>
      <c r="Q8959" t="s">
        <v>333</v>
      </c>
      <c r="R8959" t="s">
        <v>320</v>
      </c>
      <c r="S8959" t="s">
        <v>323</v>
      </c>
      <c r="U8959">
        <v>7.6</v>
      </c>
      <c r="Y8959" s="42">
        <v>44873</v>
      </c>
    </row>
    <row r="8960" spans="1:25">
      <c r="N8960" s="42">
        <v>44841</v>
      </c>
      <c r="O8960" t="s">
        <v>346</v>
      </c>
      <c r="P8960" s="42">
        <v>44841</v>
      </c>
      <c r="Q8960" t="s">
        <v>346</v>
      </c>
      <c r="R8960" t="s">
        <v>320</v>
      </c>
      <c r="S8960" t="s">
        <v>323</v>
      </c>
      <c r="T8960">
        <v>1.5</v>
      </c>
      <c r="V8960">
        <v>0</v>
      </c>
      <c r="Y8960" s="42">
        <v>44845</v>
      </c>
    </row>
    <row r="8961" spans="14:25">
      <c r="N8961" s="42">
        <v>44834</v>
      </c>
      <c r="O8961" t="s">
        <v>346</v>
      </c>
      <c r="P8961" s="42">
        <v>44834</v>
      </c>
      <c r="Q8961" t="s">
        <v>346</v>
      </c>
      <c r="R8961" t="s">
        <v>320</v>
      </c>
      <c r="S8961" t="s">
        <v>323</v>
      </c>
      <c r="T8961">
        <v>7.6</v>
      </c>
      <c r="V8961">
        <v>0</v>
      </c>
      <c r="Y8961" s="42">
        <v>44845</v>
      </c>
    </row>
    <row r="8962" spans="14:25">
      <c r="N8962" s="42">
        <v>44827</v>
      </c>
      <c r="O8962" t="s">
        <v>346</v>
      </c>
      <c r="P8962" s="42">
        <v>44827</v>
      </c>
      <c r="Q8962" t="s">
        <v>346</v>
      </c>
      <c r="R8962" t="s">
        <v>320</v>
      </c>
      <c r="S8962" t="s">
        <v>323</v>
      </c>
      <c r="U8962">
        <v>7.6</v>
      </c>
      <c r="Y8962" s="42">
        <v>44831</v>
      </c>
    </row>
    <row r="8963" spans="14:25">
      <c r="N8963" s="42">
        <v>44826</v>
      </c>
      <c r="O8963" t="s">
        <v>324</v>
      </c>
      <c r="P8963" s="42">
        <v>44826</v>
      </c>
      <c r="Q8963" t="s">
        <v>324</v>
      </c>
      <c r="R8963" t="s">
        <v>320</v>
      </c>
      <c r="S8963" t="s">
        <v>323</v>
      </c>
      <c r="U8963">
        <v>7.6</v>
      </c>
      <c r="Y8963" s="42">
        <v>44831</v>
      </c>
    </row>
    <row r="8964" spans="14:25">
      <c r="N8964" s="42">
        <v>44820</v>
      </c>
      <c r="O8964" t="s">
        <v>346</v>
      </c>
      <c r="P8964" s="42">
        <v>44820</v>
      </c>
      <c r="Q8964" t="s">
        <v>346</v>
      </c>
      <c r="R8964" t="s">
        <v>320</v>
      </c>
      <c r="S8964" t="s">
        <v>323</v>
      </c>
      <c r="T8964">
        <v>0.75</v>
      </c>
      <c r="V8964">
        <v>0</v>
      </c>
      <c r="Y8964" s="42">
        <v>44831</v>
      </c>
    </row>
    <row r="8965" spans="14:25">
      <c r="N8965" s="42">
        <v>44813</v>
      </c>
      <c r="O8965" t="s">
        <v>346</v>
      </c>
      <c r="P8965" s="42">
        <v>44813</v>
      </c>
      <c r="Q8965" t="s">
        <v>346</v>
      </c>
      <c r="R8965" t="s">
        <v>320</v>
      </c>
      <c r="S8965" t="s">
        <v>323</v>
      </c>
      <c r="T8965">
        <v>1</v>
      </c>
      <c r="V8965">
        <v>0</v>
      </c>
      <c r="Y8965" s="42">
        <v>44817</v>
      </c>
    </row>
    <row r="8966" spans="14:25">
      <c r="N8966" s="42">
        <v>44742</v>
      </c>
      <c r="O8966" t="s">
        <v>324</v>
      </c>
      <c r="P8966" s="42">
        <v>44742</v>
      </c>
      <c r="Q8966" t="s">
        <v>324</v>
      </c>
      <c r="R8966" t="s">
        <v>329</v>
      </c>
      <c r="S8966" t="s">
        <v>323</v>
      </c>
      <c r="T8966">
        <v>2.5</v>
      </c>
      <c r="W8966" t="s">
        <v>339</v>
      </c>
      <c r="Y8966" s="42">
        <v>44747</v>
      </c>
    </row>
    <row r="8967" spans="14:25">
      <c r="N8967" s="42">
        <v>44741</v>
      </c>
      <c r="O8967" t="s">
        <v>328</v>
      </c>
      <c r="P8967" s="42">
        <v>44741</v>
      </c>
      <c r="Q8967" t="s">
        <v>328</v>
      </c>
      <c r="R8967" t="s">
        <v>320</v>
      </c>
      <c r="S8967" t="s">
        <v>323</v>
      </c>
      <c r="T8967">
        <v>7.6</v>
      </c>
      <c r="V8967">
        <v>0</v>
      </c>
      <c r="Y8967" s="42">
        <v>44747</v>
      </c>
    </row>
    <row r="8968" spans="14:25">
      <c r="N8968" s="42">
        <v>44739</v>
      </c>
      <c r="O8968" t="s">
        <v>345</v>
      </c>
      <c r="P8968" s="42">
        <v>44739</v>
      </c>
      <c r="Q8968" t="s">
        <v>345</v>
      </c>
      <c r="R8968" t="s">
        <v>329</v>
      </c>
      <c r="S8968" t="s">
        <v>323</v>
      </c>
      <c r="T8968">
        <v>5</v>
      </c>
      <c r="W8968" t="s">
        <v>339</v>
      </c>
      <c r="Y8968" s="42">
        <v>44747</v>
      </c>
    </row>
    <row r="8969" spans="14:25">
      <c r="N8969" s="42">
        <v>44725</v>
      </c>
      <c r="O8969" t="s">
        <v>345</v>
      </c>
      <c r="P8969" s="42">
        <v>44725</v>
      </c>
      <c r="Q8969" t="s">
        <v>345</v>
      </c>
      <c r="R8969" t="s">
        <v>320</v>
      </c>
      <c r="S8969" t="s">
        <v>323</v>
      </c>
      <c r="U8969">
        <v>7.6</v>
      </c>
      <c r="Y8969" s="42">
        <v>44733</v>
      </c>
    </row>
    <row r="8970" spans="14:25">
      <c r="N8970" s="42">
        <v>44676</v>
      </c>
      <c r="O8970" t="s">
        <v>345</v>
      </c>
      <c r="P8970" s="42">
        <v>44676</v>
      </c>
      <c r="Q8970" t="s">
        <v>345</v>
      </c>
      <c r="R8970" t="s">
        <v>320</v>
      </c>
      <c r="S8970" t="s">
        <v>323</v>
      </c>
      <c r="U8970">
        <v>7.6</v>
      </c>
      <c r="Y8970" s="42">
        <v>44677</v>
      </c>
    </row>
    <row r="8971" spans="14:25">
      <c r="N8971" s="42">
        <v>44669</v>
      </c>
      <c r="O8971" t="s">
        <v>345</v>
      </c>
      <c r="P8971" s="42">
        <v>44669</v>
      </c>
      <c r="Q8971" t="s">
        <v>345</v>
      </c>
      <c r="R8971" t="s">
        <v>320</v>
      </c>
      <c r="S8971" t="s">
        <v>323</v>
      </c>
      <c r="U8971">
        <v>7.6</v>
      </c>
      <c r="Y8971" s="42">
        <v>44677</v>
      </c>
    </row>
    <row r="8972" spans="14:25">
      <c r="N8972" s="42">
        <v>44666</v>
      </c>
      <c r="O8972" t="s">
        <v>346</v>
      </c>
      <c r="P8972" s="42">
        <v>44666</v>
      </c>
      <c r="Q8972" t="s">
        <v>346</v>
      </c>
      <c r="R8972" t="s">
        <v>320</v>
      </c>
      <c r="S8972" t="s">
        <v>323</v>
      </c>
      <c r="U8972">
        <v>7.6</v>
      </c>
      <c r="Y8972" s="42">
        <v>44677</v>
      </c>
    </row>
    <row r="8973" spans="14:25">
      <c r="N8973" s="42">
        <v>44662</v>
      </c>
      <c r="O8973" t="s">
        <v>345</v>
      </c>
      <c r="P8973" s="42">
        <v>44663</v>
      </c>
      <c r="Q8973" t="s">
        <v>333</v>
      </c>
      <c r="R8973" t="s">
        <v>320</v>
      </c>
      <c r="S8973" t="s">
        <v>323</v>
      </c>
      <c r="T8973">
        <v>15.2</v>
      </c>
      <c r="V8973">
        <v>0</v>
      </c>
      <c r="Y8973" s="42">
        <v>44663</v>
      </c>
    </row>
    <row r="8974" spans="14:25">
      <c r="N8974" s="42">
        <v>44645</v>
      </c>
      <c r="O8974" t="s">
        <v>346</v>
      </c>
      <c r="P8974" s="42">
        <v>44645</v>
      </c>
      <c r="Q8974" t="s">
        <v>346</v>
      </c>
      <c r="R8974" t="s">
        <v>320</v>
      </c>
      <c r="S8974" t="s">
        <v>323</v>
      </c>
      <c r="T8974">
        <v>7.6</v>
      </c>
      <c r="V8974">
        <v>0</v>
      </c>
      <c r="Y8974" s="42">
        <v>44649</v>
      </c>
    </row>
    <row r="8975" spans="14:25">
      <c r="N8975" s="42">
        <v>44642</v>
      </c>
      <c r="O8975" t="s">
        <v>333</v>
      </c>
      <c r="P8975" s="42">
        <v>44642</v>
      </c>
      <c r="Q8975" t="s">
        <v>333</v>
      </c>
      <c r="R8975" t="s">
        <v>320</v>
      </c>
      <c r="S8975" t="s">
        <v>323</v>
      </c>
      <c r="T8975">
        <v>4</v>
      </c>
      <c r="V8975">
        <v>0</v>
      </c>
      <c r="Y8975" s="42">
        <v>44649</v>
      </c>
    </row>
    <row r="8976" spans="14:25">
      <c r="N8976" s="42">
        <v>44634</v>
      </c>
      <c r="O8976" t="s">
        <v>345</v>
      </c>
      <c r="P8976" s="42">
        <v>44634</v>
      </c>
      <c r="Q8976" t="s">
        <v>345</v>
      </c>
      <c r="R8976" t="s">
        <v>320</v>
      </c>
      <c r="S8976" t="s">
        <v>323</v>
      </c>
      <c r="U8976">
        <v>7.6</v>
      </c>
      <c r="Y8976" s="42">
        <v>44635</v>
      </c>
    </row>
    <row r="8977" spans="1:25">
      <c r="N8977" s="42">
        <v>44615</v>
      </c>
      <c r="O8977" t="s">
        <v>328</v>
      </c>
      <c r="P8977" s="42">
        <v>44615</v>
      </c>
      <c r="Q8977" t="s">
        <v>328</v>
      </c>
      <c r="R8977" t="s">
        <v>329</v>
      </c>
      <c r="S8977" t="s">
        <v>323</v>
      </c>
      <c r="T8977">
        <v>7.6</v>
      </c>
      <c r="W8977" t="s">
        <v>339</v>
      </c>
      <c r="Y8977" s="42">
        <v>44621</v>
      </c>
    </row>
    <row r="8978" spans="1:25">
      <c r="N8978" s="42">
        <v>44587</v>
      </c>
      <c r="O8978" t="s">
        <v>328</v>
      </c>
      <c r="P8978" s="42">
        <v>44587</v>
      </c>
      <c r="Q8978" t="s">
        <v>328</v>
      </c>
      <c r="R8978" t="s">
        <v>320</v>
      </c>
      <c r="S8978" t="s">
        <v>323</v>
      </c>
      <c r="U8978">
        <v>7.6</v>
      </c>
      <c r="Y8978" s="42">
        <v>44593</v>
      </c>
    </row>
    <row r="8979" spans="1:25">
      <c r="N8979" s="42">
        <v>44564</v>
      </c>
      <c r="O8979" t="s">
        <v>345</v>
      </c>
      <c r="P8979" s="42">
        <v>44564</v>
      </c>
      <c r="Q8979" t="s">
        <v>345</v>
      </c>
      <c r="R8979" t="s">
        <v>320</v>
      </c>
      <c r="S8979" t="s">
        <v>323</v>
      </c>
      <c r="U8979">
        <v>7.6</v>
      </c>
      <c r="Y8979" s="42">
        <v>44565</v>
      </c>
    </row>
    <row r="8980" spans="1:25">
      <c r="N8980" s="42">
        <v>44558</v>
      </c>
      <c r="O8980" t="s">
        <v>333</v>
      </c>
      <c r="P8980" s="42">
        <v>44558</v>
      </c>
      <c r="Q8980" t="s">
        <v>333</v>
      </c>
      <c r="R8980" t="s">
        <v>320</v>
      </c>
      <c r="S8980" t="s">
        <v>323</v>
      </c>
      <c r="U8980">
        <v>7.6</v>
      </c>
      <c r="Y8980" s="42">
        <v>44565</v>
      </c>
    </row>
    <row r="8981" spans="1:25">
      <c r="N8981" s="42">
        <v>44557</v>
      </c>
      <c r="O8981" t="s">
        <v>345</v>
      </c>
      <c r="P8981" s="42">
        <v>44557</v>
      </c>
      <c r="Q8981" t="s">
        <v>345</v>
      </c>
      <c r="R8981" t="s">
        <v>320</v>
      </c>
      <c r="S8981" t="s">
        <v>323</v>
      </c>
      <c r="U8981">
        <v>7.6</v>
      </c>
      <c r="Y8981" s="42">
        <v>44565</v>
      </c>
    </row>
    <row r="8982" spans="1:25">
      <c r="N8982" s="42">
        <v>44502</v>
      </c>
      <c r="O8982" t="s">
        <v>333</v>
      </c>
      <c r="P8982" s="42">
        <v>44502</v>
      </c>
      <c r="Q8982" t="s">
        <v>333</v>
      </c>
      <c r="R8982" t="s">
        <v>320</v>
      </c>
      <c r="S8982" t="s">
        <v>323</v>
      </c>
      <c r="U8982">
        <v>7.6</v>
      </c>
      <c r="Y8982" s="42">
        <v>44509</v>
      </c>
    </row>
    <row r="8983" spans="1:25">
      <c r="N8983" s="42">
        <v>44498</v>
      </c>
      <c r="O8983" t="s">
        <v>346</v>
      </c>
      <c r="P8983" s="42">
        <v>44498</v>
      </c>
      <c r="Q8983" t="s">
        <v>346</v>
      </c>
      <c r="R8983" t="s">
        <v>329</v>
      </c>
      <c r="S8983" t="s">
        <v>323</v>
      </c>
      <c r="T8983">
        <v>7.6</v>
      </c>
      <c r="W8983" t="s">
        <v>339</v>
      </c>
      <c r="Y8983" s="42">
        <v>44509</v>
      </c>
    </row>
    <row r="8984" spans="1:25">
      <c r="N8984" s="42">
        <v>44463</v>
      </c>
      <c r="O8984" t="s">
        <v>346</v>
      </c>
      <c r="P8984" s="42">
        <v>44463</v>
      </c>
      <c r="Q8984" t="s">
        <v>346</v>
      </c>
      <c r="R8984" t="s">
        <v>320</v>
      </c>
      <c r="S8984" t="s">
        <v>323</v>
      </c>
      <c r="U8984">
        <v>7.6</v>
      </c>
      <c r="Y8984" s="42">
        <v>44467</v>
      </c>
    </row>
    <row r="8985" spans="1:25">
      <c r="A8985">
        <v>18969</v>
      </c>
      <c r="B8985" t="s">
        <v>465</v>
      </c>
      <c r="C8985" t="s">
        <v>320</v>
      </c>
      <c r="D8985" t="s">
        <v>336</v>
      </c>
      <c r="E8985" t="s">
        <v>337</v>
      </c>
      <c r="F8985">
        <v>1</v>
      </c>
      <c r="G8985" s="42">
        <v>45182</v>
      </c>
      <c r="H8985">
        <v>152</v>
      </c>
      <c r="I8985">
        <v>26.4</v>
      </c>
      <c r="J8985">
        <v>71.627399999999994</v>
      </c>
      <c r="K8985">
        <v>98.0274</v>
      </c>
      <c r="L8985" t="s">
        <v>323</v>
      </c>
      <c r="M8985" s="43">
        <v>4.5138888888888888E-2</v>
      </c>
      <c r="N8985" s="42">
        <v>44966</v>
      </c>
      <c r="O8985" t="s">
        <v>324</v>
      </c>
      <c r="P8985" s="42">
        <v>44966</v>
      </c>
      <c r="Q8985" t="s">
        <v>324</v>
      </c>
      <c r="R8985" t="s">
        <v>320</v>
      </c>
      <c r="S8985" t="s">
        <v>323</v>
      </c>
      <c r="T8985">
        <v>4</v>
      </c>
      <c r="V8985">
        <v>0</v>
      </c>
      <c r="Y8985" s="42">
        <v>44971</v>
      </c>
    </row>
    <row r="8986" spans="1:25">
      <c r="C8986" t="s">
        <v>325</v>
      </c>
      <c r="D8986" t="s">
        <v>340</v>
      </c>
      <c r="E8986" t="s">
        <v>341</v>
      </c>
      <c r="F8986">
        <v>1</v>
      </c>
      <c r="G8986" s="42">
        <v>47009</v>
      </c>
      <c r="H8986">
        <v>230.54220000000001</v>
      </c>
      <c r="I8986">
        <v>0</v>
      </c>
      <c r="J8986">
        <v>48.416600000000003</v>
      </c>
      <c r="K8986">
        <v>48.416600000000003</v>
      </c>
      <c r="L8986" t="s">
        <v>323</v>
      </c>
      <c r="N8986" s="42">
        <v>44952</v>
      </c>
      <c r="O8986" t="s">
        <v>324</v>
      </c>
      <c r="P8986" s="42">
        <v>44952</v>
      </c>
      <c r="Q8986" t="s">
        <v>324</v>
      </c>
      <c r="R8986" t="s">
        <v>320</v>
      </c>
      <c r="S8986" t="s">
        <v>323</v>
      </c>
      <c r="U8986">
        <v>7.6</v>
      </c>
      <c r="Y8986" s="42">
        <v>44957</v>
      </c>
    </row>
    <row r="8987" spans="1:25">
      <c r="C8987" t="s">
        <v>329</v>
      </c>
      <c r="D8987" t="s">
        <v>342</v>
      </c>
      <c r="E8987" t="s">
        <v>343</v>
      </c>
      <c r="F8987">
        <v>1</v>
      </c>
      <c r="G8987" s="42">
        <v>45182</v>
      </c>
      <c r="H8987">
        <v>76</v>
      </c>
      <c r="I8987">
        <v>76</v>
      </c>
      <c r="J8987">
        <v>35.813699999999997</v>
      </c>
      <c r="K8987">
        <v>111.8137</v>
      </c>
      <c r="L8987" t="s">
        <v>323</v>
      </c>
      <c r="N8987" s="42">
        <v>44928</v>
      </c>
      <c r="O8987" t="s">
        <v>345</v>
      </c>
      <c r="P8987" s="42">
        <v>44928</v>
      </c>
      <c r="Q8987" t="s">
        <v>345</v>
      </c>
      <c r="R8987" t="s">
        <v>320</v>
      </c>
      <c r="S8987" t="s">
        <v>323</v>
      </c>
      <c r="U8987">
        <v>7.6</v>
      </c>
      <c r="Y8987" s="42">
        <v>44929</v>
      </c>
    </row>
    <row r="8988" spans="1:25">
      <c r="N8988" s="42">
        <v>44923</v>
      </c>
      <c r="O8988" t="s">
        <v>328</v>
      </c>
      <c r="P8988" s="42">
        <v>44925</v>
      </c>
      <c r="Q8988" t="s">
        <v>346</v>
      </c>
      <c r="R8988" t="s">
        <v>320</v>
      </c>
      <c r="S8988" t="s">
        <v>323</v>
      </c>
      <c r="T8988">
        <v>22.8</v>
      </c>
      <c r="V8988">
        <v>0</v>
      </c>
      <c r="Y8988" s="42">
        <v>44929</v>
      </c>
    </row>
    <row r="8989" spans="1:25">
      <c r="N8989" s="42">
        <v>44922</v>
      </c>
      <c r="O8989" t="s">
        <v>333</v>
      </c>
      <c r="P8989" s="42">
        <v>44922</v>
      </c>
      <c r="Q8989" t="s">
        <v>333</v>
      </c>
      <c r="R8989" t="s">
        <v>320</v>
      </c>
      <c r="S8989" t="s">
        <v>323</v>
      </c>
      <c r="U8989">
        <v>7.6</v>
      </c>
      <c r="Y8989" s="42">
        <v>44929</v>
      </c>
    </row>
    <row r="8990" spans="1:25">
      <c r="N8990" s="42">
        <v>44921</v>
      </c>
      <c r="O8990" t="s">
        <v>345</v>
      </c>
      <c r="P8990" s="42">
        <v>44921</v>
      </c>
      <c r="Q8990" t="s">
        <v>345</v>
      </c>
      <c r="R8990" t="s">
        <v>320</v>
      </c>
      <c r="S8990" t="s">
        <v>323</v>
      </c>
      <c r="U8990">
        <v>7.6</v>
      </c>
      <c r="Y8990" s="42">
        <v>44929</v>
      </c>
    </row>
    <row r="8991" spans="1:25">
      <c r="N8991" s="42">
        <v>44902</v>
      </c>
      <c r="O8991" t="s">
        <v>328</v>
      </c>
      <c r="P8991" s="42">
        <v>44904</v>
      </c>
      <c r="Q8991" t="s">
        <v>346</v>
      </c>
      <c r="R8991" t="s">
        <v>320</v>
      </c>
      <c r="S8991" t="s">
        <v>323</v>
      </c>
      <c r="T8991">
        <v>22.8</v>
      </c>
      <c r="U8991">
        <v>0</v>
      </c>
      <c r="V8991">
        <v>0</v>
      </c>
      <c r="Y8991" s="42">
        <v>44915</v>
      </c>
    </row>
    <row r="8992" spans="1:25">
      <c r="N8992" s="42">
        <v>44900</v>
      </c>
      <c r="O8992" t="s">
        <v>345</v>
      </c>
      <c r="P8992" s="42">
        <v>44901</v>
      </c>
      <c r="Q8992" t="s">
        <v>333</v>
      </c>
      <c r="R8992" t="s">
        <v>320</v>
      </c>
      <c r="S8992" t="s">
        <v>323</v>
      </c>
      <c r="T8992">
        <v>15.2</v>
      </c>
      <c r="U8992">
        <v>0</v>
      </c>
      <c r="V8992">
        <v>0</v>
      </c>
      <c r="Y8992" s="42">
        <v>44901</v>
      </c>
    </row>
    <row r="8993" spans="14:25">
      <c r="N8993" s="42">
        <v>44866</v>
      </c>
      <c r="O8993" t="s">
        <v>333</v>
      </c>
      <c r="P8993" s="42">
        <v>44866</v>
      </c>
      <c r="Q8993" t="s">
        <v>333</v>
      </c>
      <c r="R8993" t="s">
        <v>320</v>
      </c>
      <c r="S8993" t="s">
        <v>323</v>
      </c>
      <c r="U8993">
        <v>7.6</v>
      </c>
      <c r="Y8993" s="42">
        <v>44873</v>
      </c>
    </row>
    <row r="8994" spans="14:25">
      <c r="N8994" s="42">
        <v>44827</v>
      </c>
      <c r="O8994" t="s">
        <v>346</v>
      </c>
      <c r="P8994" s="42">
        <v>44827</v>
      </c>
      <c r="Q8994" t="s">
        <v>346</v>
      </c>
      <c r="R8994" t="s">
        <v>320</v>
      </c>
      <c r="S8994" t="s">
        <v>323</v>
      </c>
      <c r="U8994">
        <v>7.6</v>
      </c>
      <c r="Y8994" s="42">
        <v>44831</v>
      </c>
    </row>
    <row r="8995" spans="14:25">
      <c r="N8995" s="42">
        <v>44826</v>
      </c>
      <c r="O8995" t="s">
        <v>324</v>
      </c>
      <c r="P8995" s="42">
        <v>44826</v>
      </c>
      <c r="Q8995" t="s">
        <v>324</v>
      </c>
      <c r="R8995" t="s">
        <v>320</v>
      </c>
      <c r="S8995" t="s">
        <v>323</v>
      </c>
      <c r="U8995">
        <v>7.6</v>
      </c>
      <c r="Y8995" s="42">
        <v>44831</v>
      </c>
    </row>
    <row r="8996" spans="14:25">
      <c r="N8996" s="42">
        <v>44725</v>
      </c>
      <c r="O8996" t="s">
        <v>345</v>
      </c>
      <c r="P8996" s="42">
        <v>44725</v>
      </c>
      <c r="Q8996" t="s">
        <v>345</v>
      </c>
      <c r="R8996" t="s">
        <v>320</v>
      </c>
      <c r="S8996" t="s">
        <v>323</v>
      </c>
      <c r="U8996">
        <v>7.6</v>
      </c>
      <c r="Y8996" s="42">
        <v>44733</v>
      </c>
    </row>
    <row r="8997" spans="14:25">
      <c r="N8997" s="42">
        <v>44712</v>
      </c>
      <c r="O8997" t="s">
        <v>333</v>
      </c>
      <c r="P8997" s="42">
        <v>44712</v>
      </c>
      <c r="Q8997" t="s">
        <v>333</v>
      </c>
      <c r="R8997" t="s">
        <v>320</v>
      </c>
      <c r="S8997" t="s">
        <v>323</v>
      </c>
      <c r="T8997">
        <v>7.6</v>
      </c>
      <c r="V8997">
        <v>0</v>
      </c>
      <c r="Y8997" s="42">
        <v>44719</v>
      </c>
    </row>
    <row r="8998" spans="14:25">
      <c r="N8998" s="42">
        <v>44707</v>
      </c>
      <c r="O8998" t="s">
        <v>324</v>
      </c>
      <c r="P8998" s="42">
        <v>44708</v>
      </c>
      <c r="Q8998" t="s">
        <v>346</v>
      </c>
      <c r="R8998" t="s">
        <v>320</v>
      </c>
      <c r="S8998" t="s">
        <v>323</v>
      </c>
      <c r="T8998">
        <v>15.2</v>
      </c>
      <c r="V8998">
        <v>0</v>
      </c>
      <c r="Y8998" s="42">
        <v>44719</v>
      </c>
    </row>
    <row r="8999" spans="14:25">
      <c r="N8999" s="42">
        <v>44676</v>
      </c>
      <c r="O8999" t="s">
        <v>345</v>
      </c>
      <c r="P8999" s="42">
        <v>44676</v>
      </c>
      <c r="Q8999" t="s">
        <v>345</v>
      </c>
      <c r="R8999" t="s">
        <v>320</v>
      </c>
      <c r="S8999" t="s">
        <v>323</v>
      </c>
      <c r="U8999">
        <v>7.6</v>
      </c>
      <c r="Y8999" s="42">
        <v>44677</v>
      </c>
    </row>
    <row r="9000" spans="14:25">
      <c r="N9000" s="42">
        <v>44669</v>
      </c>
      <c r="O9000" t="s">
        <v>345</v>
      </c>
      <c r="P9000" s="42">
        <v>44669</v>
      </c>
      <c r="Q9000" t="s">
        <v>345</v>
      </c>
      <c r="R9000" t="s">
        <v>320</v>
      </c>
      <c r="S9000" t="s">
        <v>323</v>
      </c>
      <c r="U9000">
        <v>7.6</v>
      </c>
      <c r="Y9000" s="42">
        <v>44677</v>
      </c>
    </row>
    <row r="9001" spans="14:25">
      <c r="N9001" s="42">
        <v>44666</v>
      </c>
      <c r="O9001" t="s">
        <v>346</v>
      </c>
      <c r="P9001" s="42">
        <v>44666</v>
      </c>
      <c r="Q9001" t="s">
        <v>346</v>
      </c>
      <c r="R9001" t="s">
        <v>320</v>
      </c>
      <c r="S9001" t="s">
        <v>323</v>
      </c>
      <c r="U9001">
        <v>7.6</v>
      </c>
      <c r="Y9001" s="42">
        <v>44677</v>
      </c>
    </row>
    <row r="9002" spans="14:25">
      <c r="N9002" s="42">
        <v>44650</v>
      </c>
      <c r="O9002" t="s">
        <v>328</v>
      </c>
      <c r="P9002" s="42">
        <v>44650</v>
      </c>
      <c r="Q9002" t="s">
        <v>328</v>
      </c>
      <c r="R9002" t="s">
        <v>320</v>
      </c>
      <c r="S9002" t="s">
        <v>323</v>
      </c>
      <c r="T9002">
        <v>7.6</v>
      </c>
      <c r="V9002">
        <v>0</v>
      </c>
      <c r="Y9002" s="42">
        <v>44663</v>
      </c>
    </row>
    <row r="9003" spans="14:25">
      <c r="N9003" s="42">
        <v>44645</v>
      </c>
      <c r="O9003" t="s">
        <v>346</v>
      </c>
      <c r="P9003" s="42">
        <v>44645</v>
      </c>
      <c r="Q9003" t="s">
        <v>346</v>
      </c>
      <c r="R9003" t="s">
        <v>320</v>
      </c>
      <c r="S9003" t="s">
        <v>323</v>
      </c>
      <c r="T9003">
        <v>7.6</v>
      </c>
      <c r="V9003">
        <v>0</v>
      </c>
      <c r="Y9003" s="42">
        <v>44649</v>
      </c>
    </row>
    <row r="9004" spans="14:25">
      <c r="N9004" s="42">
        <v>44634</v>
      </c>
      <c r="O9004" t="s">
        <v>345</v>
      </c>
      <c r="P9004" s="42">
        <v>44634</v>
      </c>
      <c r="Q9004" t="s">
        <v>345</v>
      </c>
      <c r="R9004" t="s">
        <v>320</v>
      </c>
      <c r="S9004" t="s">
        <v>323</v>
      </c>
      <c r="U9004">
        <v>7.6</v>
      </c>
      <c r="Y9004" s="42">
        <v>44635</v>
      </c>
    </row>
    <row r="9005" spans="14:25">
      <c r="N9005" s="42">
        <v>44587</v>
      </c>
      <c r="O9005" t="s">
        <v>328</v>
      </c>
      <c r="P9005" s="42">
        <v>44587</v>
      </c>
      <c r="Q9005" t="s">
        <v>328</v>
      </c>
      <c r="R9005" t="s">
        <v>320</v>
      </c>
      <c r="S9005" t="s">
        <v>323</v>
      </c>
      <c r="U9005">
        <v>7.6</v>
      </c>
      <c r="Y9005" s="42">
        <v>44593</v>
      </c>
    </row>
    <row r="9006" spans="14:25">
      <c r="N9006" s="42">
        <v>44564</v>
      </c>
      <c r="O9006" t="s">
        <v>345</v>
      </c>
      <c r="P9006" s="42">
        <v>44564</v>
      </c>
      <c r="Q9006" t="s">
        <v>345</v>
      </c>
      <c r="R9006" t="s">
        <v>320</v>
      </c>
      <c r="S9006" t="s">
        <v>323</v>
      </c>
      <c r="U9006">
        <v>7.6</v>
      </c>
      <c r="Y9006" s="42">
        <v>44565</v>
      </c>
    </row>
    <row r="9007" spans="14:25">
      <c r="N9007" s="42">
        <v>44559</v>
      </c>
      <c r="O9007" t="s">
        <v>328</v>
      </c>
      <c r="P9007" s="42">
        <v>44561</v>
      </c>
      <c r="Q9007" t="s">
        <v>346</v>
      </c>
      <c r="R9007" t="s">
        <v>320</v>
      </c>
      <c r="S9007" t="s">
        <v>323</v>
      </c>
      <c r="T9007">
        <v>22.8</v>
      </c>
      <c r="V9007">
        <v>0</v>
      </c>
      <c r="Y9007" s="42">
        <v>44565</v>
      </c>
    </row>
    <row r="9008" spans="14:25">
      <c r="N9008" s="42">
        <v>44558</v>
      </c>
      <c r="O9008" t="s">
        <v>333</v>
      </c>
      <c r="P9008" s="42">
        <v>44558</v>
      </c>
      <c r="Q9008" t="s">
        <v>333</v>
      </c>
      <c r="R9008" t="s">
        <v>320</v>
      </c>
      <c r="S9008" t="s">
        <v>323</v>
      </c>
      <c r="U9008">
        <v>7.6</v>
      </c>
      <c r="Y9008" s="42">
        <v>44565</v>
      </c>
    </row>
    <row r="9009" spans="1:25">
      <c r="N9009" s="42">
        <v>44557</v>
      </c>
      <c r="O9009" t="s">
        <v>345</v>
      </c>
      <c r="P9009" s="42">
        <v>44557</v>
      </c>
      <c r="Q9009" t="s">
        <v>345</v>
      </c>
      <c r="R9009" t="s">
        <v>320</v>
      </c>
      <c r="S9009" t="s">
        <v>323</v>
      </c>
      <c r="U9009">
        <v>7.6</v>
      </c>
      <c r="Y9009" s="42">
        <v>44565</v>
      </c>
    </row>
    <row r="9010" spans="1:25">
      <c r="N9010" s="42">
        <v>44502</v>
      </c>
      <c r="O9010" t="s">
        <v>333</v>
      </c>
      <c r="P9010" s="42">
        <v>44502</v>
      </c>
      <c r="Q9010" t="s">
        <v>333</v>
      </c>
      <c r="R9010" t="s">
        <v>320</v>
      </c>
      <c r="S9010" t="s">
        <v>323</v>
      </c>
      <c r="U9010">
        <v>7.6</v>
      </c>
      <c r="Y9010" s="42">
        <v>44509</v>
      </c>
    </row>
    <row r="9011" spans="1:25">
      <c r="N9011" s="42">
        <v>44463</v>
      </c>
      <c r="O9011" t="s">
        <v>346</v>
      </c>
      <c r="P9011" s="42">
        <v>44463</v>
      </c>
      <c r="Q9011" t="s">
        <v>346</v>
      </c>
      <c r="R9011" t="s">
        <v>320</v>
      </c>
      <c r="S9011" t="s">
        <v>323</v>
      </c>
      <c r="U9011">
        <v>7.6</v>
      </c>
      <c r="Y9011" s="42">
        <v>44467</v>
      </c>
    </row>
    <row r="9012" spans="1:25">
      <c r="A9012">
        <v>18970</v>
      </c>
      <c r="B9012" t="s">
        <v>466</v>
      </c>
      <c r="C9012" t="s">
        <v>320</v>
      </c>
      <c r="D9012" t="s">
        <v>336</v>
      </c>
      <c r="E9012" t="s">
        <v>337</v>
      </c>
      <c r="F9012">
        <v>1</v>
      </c>
      <c r="G9012" s="42">
        <v>45182</v>
      </c>
      <c r="H9012">
        <v>121.0155</v>
      </c>
      <c r="I9012">
        <v>56.198399999999999</v>
      </c>
      <c r="J9012">
        <v>56.717399999999998</v>
      </c>
      <c r="K9012">
        <v>112.9158</v>
      </c>
      <c r="L9012" t="s">
        <v>323</v>
      </c>
      <c r="M9012" s="43">
        <v>4.5138888888888888E-2</v>
      </c>
      <c r="N9012" s="42">
        <v>44979</v>
      </c>
      <c r="O9012" t="s">
        <v>328</v>
      </c>
      <c r="P9012" s="42">
        <v>44979</v>
      </c>
      <c r="Q9012" t="s">
        <v>328</v>
      </c>
      <c r="R9012" t="s">
        <v>329</v>
      </c>
      <c r="S9012" t="s">
        <v>323</v>
      </c>
      <c r="T9012">
        <v>7.6</v>
      </c>
      <c r="W9012" t="s">
        <v>330</v>
      </c>
      <c r="Y9012" s="42">
        <v>44985</v>
      </c>
    </row>
    <row r="9013" spans="1:25">
      <c r="C9013" t="s">
        <v>325</v>
      </c>
      <c r="D9013" t="s">
        <v>395</v>
      </c>
      <c r="E9013" t="s">
        <v>396</v>
      </c>
      <c r="F9013">
        <v>1</v>
      </c>
      <c r="G9013" s="42">
        <v>48105</v>
      </c>
      <c r="H9013">
        <v>264.11590000000001</v>
      </c>
      <c r="I9013">
        <v>0</v>
      </c>
      <c r="J9013">
        <v>39.317999999999998</v>
      </c>
      <c r="K9013">
        <v>39.317999999999998</v>
      </c>
      <c r="L9013" t="s">
        <v>323</v>
      </c>
      <c r="N9013" s="42">
        <v>44966</v>
      </c>
      <c r="O9013" t="s">
        <v>324</v>
      </c>
      <c r="P9013" s="42">
        <v>44966</v>
      </c>
      <c r="Q9013" t="s">
        <v>324</v>
      </c>
      <c r="R9013" t="s">
        <v>329</v>
      </c>
      <c r="S9013" t="s">
        <v>323</v>
      </c>
      <c r="T9013">
        <v>7.6</v>
      </c>
      <c r="W9013" t="s">
        <v>330</v>
      </c>
      <c r="Y9013" s="42">
        <v>44971</v>
      </c>
    </row>
    <row r="9014" spans="1:25">
      <c r="C9014" t="s">
        <v>329</v>
      </c>
      <c r="D9014" t="s">
        <v>342</v>
      </c>
      <c r="E9014" t="s">
        <v>343</v>
      </c>
      <c r="F9014">
        <v>1</v>
      </c>
      <c r="G9014" s="42">
        <v>45182</v>
      </c>
      <c r="H9014">
        <v>60.5077</v>
      </c>
      <c r="I9014">
        <v>-24.9008</v>
      </c>
      <c r="J9014">
        <v>28.358699999999999</v>
      </c>
      <c r="K9014">
        <v>3.4579</v>
      </c>
      <c r="L9014" t="s">
        <v>323</v>
      </c>
      <c r="N9014" s="42">
        <v>44952</v>
      </c>
      <c r="O9014" t="s">
        <v>324</v>
      </c>
      <c r="P9014" s="42">
        <v>44952</v>
      </c>
      <c r="Q9014" t="s">
        <v>324</v>
      </c>
      <c r="R9014" t="s">
        <v>320</v>
      </c>
      <c r="S9014" t="s">
        <v>323</v>
      </c>
      <c r="U9014">
        <v>7.6</v>
      </c>
    </row>
    <row r="9015" spans="1:25">
      <c r="N9015" s="42">
        <v>44926</v>
      </c>
      <c r="O9015" t="s">
        <v>359</v>
      </c>
      <c r="P9015" s="42">
        <v>44926</v>
      </c>
      <c r="Q9015" t="s">
        <v>359</v>
      </c>
      <c r="R9015" t="s">
        <v>320</v>
      </c>
      <c r="S9015" t="s">
        <v>323</v>
      </c>
      <c r="T9015">
        <v>7.6</v>
      </c>
      <c r="Y9015" s="42">
        <v>44929</v>
      </c>
    </row>
    <row r="9016" spans="1:25">
      <c r="N9016" s="42">
        <v>44925</v>
      </c>
      <c r="O9016" t="s">
        <v>346</v>
      </c>
      <c r="P9016" s="42">
        <v>44925</v>
      </c>
      <c r="Q9016" t="s">
        <v>346</v>
      </c>
      <c r="R9016" t="s">
        <v>320</v>
      </c>
      <c r="S9016" t="s">
        <v>323</v>
      </c>
      <c r="T9016">
        <v>7.6</v>
      </c>
      <c r="Y9016" s="42">
        <v>44929</v>
      </c>
    </row>
    <row r="9017" spans="1:25">
      <c r="N9017" s="42">
        <v>44924</v>
      </c>
      <c r="O9017" t="s">
        <v>324</v>
      </c>
      <c r="P9017" s="42">
        <v>44924</v>
      </c>
      <c r="Q9017" t="s">
        <v>324</v>
      </c>
      <c r="R9017" t="s">
        <v>320</v>
      </c>
      <c r="S9017" t="s">
        <v>323</v>
      </c>
      <c r="T9017">
        <v>7.6</v>
      </c>
      <c r="Y9017" s="42">
        <v>44929</v>
      </c>
    </row>
    <row r="9018" spans="1:25">
      <c r="N9018" s="42">
        <v>44923</v>
      </c>
      <c r="O9018" t="s">
        <v>328</v>
      </c>
      <c r="P9018" s="42">
        <v>44923</v>
      </c>
      <c r="Q9018" t="s">
        <v>328</v>
      </c>
      <c r="R9018" t="s">
        <v>320</v>
      </c>
      <c r="S9018" t="s">
        <v>323</v>
      </c>
      <c r="T9018">
        <v>7.6</v>
      </c>
      <c r="Y9018" s="42">
        <v>44929</v>
      </c>
    </row>
    <row r="9019" spans="1:25">
      <c r="N9019" s="42">
        <v>44919</v>
      </c>
      <c r="O9019" t="s">
        <v>359</v>
      </c>
      <c r="P9019" s="42">
        <v>44919</v>
      </c>
      <c r="Q9019" t="s">
        <v>359</v>
      </c>
      <c r="R9019" t="s">
        <v>320</v>
      </c>
      <c r="S9019" t="s">
        <v>323</v>
      </c>
      <c r="U9019">
        <v>7.6</v>
      </c>
    </row>
    <row r="9020" spans="1:25">
      <c r="N9020" s="42">
        <v>44918</v>
      </c>
      <c r="O9020" t="s">
        <v>346</v>
      </c>
      <c r="P9020" s="42">
        <v>44918</v>
      </c>
      <c r="Q9020" t="s">
        <v>346</v>
      </c>
      <c r="R9020" t="s">
        <v>320</v>
      </c>
      <c r="S9020" t="s">
        <v>323</v>
      </c>
      <c r="T9020">
        <v>7.6</v>
      </c>
      <c r="Y9020" s="42">
        <v>44929</v>
      </c>
    </row>
    <row r="9021" spans="1:25">
      <c r="N9021" s="42">
        <v>44917</v>
      </c>
      <c r="O9021" t="s">
        <v>324</v>
      </c>
      <c r="P9021" s="42">
        <v>44917</v>
      </c>
      <c r="Q9021" t="s">
        <v>324</v>
      </c>
      <c r="R9021" t="s">
        <v>320</v>
      </c>
      <c r="S9021" t="s">
        <v>323</v>
      </c>
      <c r="T9021">
        <v>7.6</v>
      </c>
      <c r="Y9021" s="42">
        <v>44929</v>
      </c>
    </row>
    <row r="9022" spans="1:25">
      <c r="N9022" s="42">
        <v>44916</v>
      </c>
      <c r="O9022" t="s">
        <v>328</v>
      </c>
      <c r="P9022" s="42">
        <v>44916</v>
      </c>
      <c r="Q9022" t="s">
        <v>328</v>
      </c>
      <c r="R9022" t="s">
        <v>320</v>
      </c>
      <c r="S9022" t="s">
        <v>323</v>
      </c>
      <c r="T9022">
        <v>7.6</v>
      </c>
      <c r="Y9022" s="42">
        <v>44929</v>
      </c>
    </row>
    <row r="9023" spans="1:25">
      <c r="N9023" s="42">
        <v>44896</v>
      </c>
      <c r="O9023" t="s">
        <v>324</v>
      </c>
      <c r="P9023" s="42">
        <v>44896</v>
      </c>
      <c r="Q9023" t="s">
        <v>324</v>
      </c>
      <c r="R9023" t="s">
        <v>338</v>
      </c>
      <c r="S9023" t="s">
        <v>323</v>
      </c>
      <c r="T9023">
        <v>7.6</v>
      </c>
      <c r="W9023" t="s">
        <v>330</v>
      </c>
      <c r="Y9023" s="42">
        <v>44901</v>
      </c>
    </row>
    <row r="9024" spans="1:25">
      <c r="N9024" s="42">
        <v>44853</v>
      </c>
      <c r="O9024" t="s">
        <v>328</v>
      </c>
      <c r="P9024" s="42">
        <v>44853</v>
      </c>
      <c r="Q9024" t="s">
        <v>328</v>
      </c>
      <c r="R9024" t="s">
        <v>320</v>
      </c>
      <c r="S9024" t="s">
        <v>323</v>
      </c>
      <c r="T9024">
        <v>7.6</v>
      </c>
      <c r="Y9024" s="42">
        <v>44859</v>
      </c>
    </row>
    <row r="9025" spans="14:25">
      <c r="N9025" s="42">
        <v>44852</v>
      </c>
      <c r="O9025" t="s">
        <v>333</v>
      </c>
      <c r="P9025" s="42">
        <v>44852</v>
      </c>
      <c r="Q9025" t="s">
        <v>333</v>
      </c>
      <c r="R9025" t="s">
        <v>320</v>
      </c>
      <c r="S9025" t="s">
        <v>323</v>
      </c>
      <c r="T9025">
        <v>7.6</v>
      </c>
      <c r="Y9025" s="42">
        <v>44859</v>
      </c>
    </row>
    <row r="9026" spans="14:25">
      <c r="N9026" s="42">
        <v>44783</v>
      </c>
      <c r="O9026" t="s">
        <v>328</v>
      </c>
      <c r="P9026" s="42">
        <v>44783</v>
      </c>
      <c r="Q9026" t="s">
        <v>328</v>
      </c>
      <c r="R9026" t="s">
        <v>320</v>
      </c>
      <c r="S9026" t="s">
        <v>323</v>
      </c>
      <c r="U9026">
        <v>7.6</v>
      </c>
    </row>
    <row r="9027" spans="14:25">
      <c r="N9027" s="42">
        <v>44771</v>
      </c>
      <c r="O9027" t="s">
        <v>346</v>
      </c>
      <c r="P9027" s="42">
        <v>44771</v>
      </c>
      <c r="Q9027" t="s">
        <v>346</v>
      </c>
      <c r="R9027" t="s">
        <v>329</v>
      </c>
      <c r="S9027" t="s">
        <v>323</v>
      </c>
      <c r="T9027">
        <v>7.6</v>
      </c>
      <c r="W9027" t="s">
        <v>330</v>
      </c>
      <c r="Y9027" s="42">
        <v>44775</v>
      </c>
    </row>
    <row r="9028" spans="14:25">
      <c r="N9028" s="42">
        <v>44770</v>
      </c>
      <c r="O9028" t="s">
        <v>324</v>
      </c>
      <c r="P9028" s="42">
        <v>44770</v>
      </c>
      <c r="Q9028" t="s">
        <v>324</v>
      </c>
      <c r="R9028" t="s">
        <v>329</v>
      </c>
      <c r="S9028" t="s">
        <v>323</v>
      </c>
      <c r="T9028">
        <v>7.6</v>
      </c>
      <c r="W9028" t="s">
        <v>330</v>
      </c>
      <c r="Y9028" s="42">
        <v>44775</v>
      </c>
    </row>
    <row r="9029" spans="14:25">
      <c r="N9029" s="42">
        <v>44761</v>
      </c>
      <c r="O9029" t="s">
        <v>333</v>
      </c>
      <c r="P9029" s="42">
        <v>44761</v>
      </c>
      <c r="Q9029" t="s">
        <v>333</v>
      </c>
      <c r="R9029" t="s">
        <v>329</v>
      </c>
      <c r="S9029" t="s">
        <v>323</v>
      </c>
      <c r="T9029">
        <v>7.6</v>
      </c>
      <c r="W9029" t="s">
        <v>330</v>
      </c>
      <c r="Y9029" s="42">
        <v>44761</v>
      </c>
    </row>
    <row r="9030" spans="14:25">
      <c r="N9030" s="42">
        <v>44715</v>
      </c>
      <c r="O9030" t="s">
        <v>346</v>
      </c>
      <c r="P9030" s="42">
        <v>44715</v>
      </c>
      <c r="Q9030" t="s">
        <v>346</v>
      </c>
      <c r="R9030" t="s">
        <v>334</v>
      </c>
      <c r="S9030" t="s">
        <v>323</v>
      </c>
      <c r="T9030">
        <v>7.6</v>
      </c>
      <c r="W9030" t="s">
        <v>330</v>
      </c>
      <c r="Y9030" s="42">
        <v>44719</v>
      </c>
    </row>
    <row r="9031" spans="14:25">
      <c r="N9031" s="42">
        <v>44714</v>
      </c>
      <c r="O9031" t="s">
        <v>324</v>
      </c>
      <c r="P9031" s="42">
        <v>44714</v>
      </c>
      <c r="Q9031" t="s">
        <v>324</v>
      </c>
      <c r="R9031" t="s">
        <v>334</v>
      </c>
      <c r="S9031" t="s">
        <v>323</v>
      </c>
      <c r="T9031">
        <v>7.6</v>
      </c>
      <c r="W9031" t="s">
        <v>330</v>
      </c>
      <c r="Y9031" s="42">
        <v>44719</v>
      </c>
    </row>
    <row r="9032" spans="14:25">
      <c r="N9032" s="42">
        <v>44713</v>
      </c>
      <c r="O9032" t="s">
        <v>328</v>
      </c>
      <c r="P9032" s="42">
        <v>44713</v>
      </c>
      <c r="Q9032" t="s">
        <v>328</v>
      </c>
      <c r="R9032" t="s">
        <v>334</v>
      </c>
      <c r="S9032" t="s">
        <v>323</v>
      </c>
      <c r="T9032">
        <v>7.6</v>
      </c>
      <c r="W9032" t="s">
        <v>330</v>
      </c>
      <c r="Y9032" s="42">
        <v>44719</v>
      </c>
    </row>
    <row r="9033" spans="14:25">
      <c r="N9033" s="42">
        <v>44712</v>
      </c>
      <c r="O9033" t="s">
        <v>333</v>
      </c>
      <c r="P9033" s="42">
        <v>44712</v>
      </c>
      <c r="Q9033" t="s">
        <v>333</v>
      </c>
      <c r="R9033" t="s">
        <v>334</v>
      </c>
      <c r="S9033" t="s">
        <v>323</v>
      </c>
      <c r="T9033">
        <v>7.6</v>
      </c>
      <c r="W9033" t="s">
        <v>330</v>
      </c>
      <c r="Y9033" s="42">
        <v>44719</v>
      </c>
    </row>
    <row r="9034" spans="14:25">
      <c r="N9034" s="42">
        <v>44701</v>
      </c>
      <c r="O9034" t="s">
        <v>346</v>
      </c>
      <c r="P9034" s="42">
        <v>44701</v>
      </c>
      <c r="Q9034" t="s">
        <v>346</v>
      </c>
      <c r="R9034" t="s">
        <v>329</v>
      </c>
      <c r="S9034" t="s">
        <v>323</v>
      </c>
      <c r="T9034">
        <v>7.6</v>
      </c>
      <c r="W9034" t="s">
        <v>330</v>
      </c>
      <c r="Y9034" s="42">
        <v>44705</v>
      </c>
    </row>
    <row r="9035" spans="14:25">
      <c r="N9035" s="42">
        <v>44698</v>
      </c>
      <c r="O9035" t="s">
        <v>333</v>
      </c>
      <c r="P9035" s="42">
        <v>44698</v>
      </c>
      <c r="Q9035" t="s">
        <v>333</v>
      </c>
      <c r="R9035" t="s">
        <v>329</v>
      </c>
      <c r="S9035" t="s">
        <v>323</v>
      </c>
      <c r="T9035">
        <v>7.6</v>
      </c>
      <c r="W9035" t="s">
        <v>330</v>
      </c>
      <c r="Y9035" s="42">
        <v>44705</v>
      </c>
    </row>
    <row r="9036" spans="14:25">
      <c r="N9036" s="42">
        <v>44649</v>
      </c>
      <c r="O9036" t="s">
        <v>333</v>
      </c>
      <c r="P9036" s="42">
        <v>44649</v>
      </c>
      <c r="Q9036" t="s">
        <v>333</v>
      </c>
      <c r="R9036" t="s">
        <v>329</v>
      </c>
      <c r="S9036" t="s">
        <v>323</v>
      </c>
      <c r="T9036">
        <v>7.6</v>
      </c>
      <c r="W9036" t="s">
        <v>330</v>
      </c>
      <c r="Y9036" s="42">
        <v>44649</v>
      </c>
    </row>
    <row r="9037" spans="14:25">
      <c r="N9037" s="42">
        <v>44645</v>
      </c>
      <c r="O9037" t="s">
        <v>346</v>
      </c>
      <c r="P9037" s="42">
        <v>44645</v>
      </c>
      <c r="Q9037" t="s">
        <v>346</v>
      </c>
      <c r="R9037" t="s">
        <v>329</v>
      </c>
      <c r="S9037" t="s">
        <v>323</v>
      </c>
      <c r="T9037">
        <v>7.6</v>
      </c>
      <c r="W9037" t="s">
        <v>330</v>
      </c>
      <c r="Y9037" s="42">
        <v>44649</v>
      </c>
    </row>
    <row r="9038" spans="14:25">
      <c r="N9038" s="42">
        <v>44621</v>
      </c>
      <c r="O9038" t="s">
        <v>333</v>
      </c>
      <c r="P9038" s="42">
        <v>44621</v>
      </c>
      <c r="Q9038" t="s">
        <v>333</v>
      </c>
      <c r="R9038" t="s">
        <v>329</v>
      </c>
      <c r="S9038" t="s">
        <v>323</v>
      </c>
      <c r="T9038">
        <v>3.6</v>
      </c>
      <c r="W9038" t="s">
        <v>330</v>
      </c>
      <c r="Y9038" s="42">
        <v>44621</v>
      </c>
    </row>
    <row r="9039" spans="14:25">
      <c r="N9039" s="42">
        <v>44603</v>
      </c>
      <c r="O9039" t="s">
        <v>346</v>
      </c>
      <c r="P9039" s="42">
        <v>44603</v>
      </c>
      <c r="Q9039" t="s">
        <v>346</v>
      </c>
      <c r="R9039" t="s">
        <v>329</v>
      </c>
      <c r="S9039" t="s">
        <v>323</v>
      </c>
      <c r="T9039">
        <v>7.6</v>
      </c>
      <c r="W9039" t="s">
        <v>330</v>
      </c>
      <c r="Y9039" s="42">
        <v>44607</v>
      </c>
    </row>
    <row r="9040" spans="14:25">
      <c r="N9040" s="42">
        <v>44602</v>
      </c>
      <c r="O9040" t="s">
        <v>324</v>
      </c>
      <c r="P9040" s="42">
        <v>44602</v>
      </c>
      <c r="Q9040" t="s">
        <v>324</v>
      </c>
      <c r="R9040" t="s">
        <v>329</v>
      </c>
      <c r="S9040" t="s">
        <v>323</v>
      </c>
      <c r="T9040">
        <v>7.6</v>
      </c>
      <c r="W9040" t="s">
        <v>330</v>
      </c>
      <c r="Y9040" s="42">
        <v>44607</v>
      </c>
    </row>
    <row r="9041" spans="1:25">
      <c r="N9041" s="42">
        <v>44558</v>
      </c>
      <c r="O9041" t="s">
        <v>333</v>
      </c>
      <c r="P9041" s="42">
        <v>44558</v>
      </c>
      <c r="Q9041" t="s">
        <v>333</v>
      </c>
      <c r="R9041" t="s">
        <v>320</v>
      </c>
      <c r="S9041" t="s">
        <v>323</v>
      </c>
      <c r="U9041">
        <v>7.6</v>
      </c>
    </row>
    <row r="9042" spans="1:25">
      <c r="A9042">
        <v>18973</v>
      </c>
      <c r="B9042" t="s">
        <v>467</v>
      </c>
      <c r="C9042" t="s">
        <v>320</v>
      </c>
      <c r="D9042" t="s">
        <v>336</v>
      </c>
      <c r="E9042" t="s">
        <v>337</v>
      </c>
      <c r="F9042">
        <v>1</v>
      </c>
      <c r="G9042" s="42">
        <v>45198</v>
      </c>
      <c r="H9042">
        <v>91.2</v>
      </c>
      <c r="I9042">
        <v>-21.628599999999999</v>
      </c>
      <c r="J9042">
        <v>38.9786</v>
      </c>
      <c r="K9042">
        <v>17.350000000000001</v>
      </c>
      <c r="L9042" t="s">
        <v>323</v>
      </c>
      <c r="M9042" s="43">
        <v>4.4444444444444446E-2</v>
      </c>
      <c r="N9042" s="42">
        <v>44974</v>
      </c>
      <c r="O9042" t="s">
        <v>346</v>
      </c>
      <c r="P9042" s="42">
        <v>44974</v>
      </c>
      <c r="Q9042" t="s">
        <v>346</v>
      </c>
      <c r="R9042" t="s">
        <v>320</v>
      </c>
      <c r="S9042" t="s">
        <v>323</v>
      </c>
      <c r="T9042">
        <v>7.6</v>
      </c>
      <c r="Y9042" s="42">
        <v>44985</v>
      </c>
    </row>
    <row r="9043" spans="1:25">
      <c r="C9043" t="s">
        <v>325</v>
      </c>
      <c r="D9043" t="s">
        <v>352</v>
      </c>
      <c r="E9043" t="s">
        <v>353</v>
      </c>
      <c r="F9043">
        <v>1</v>
      </c>
      <c r="G9043" s="42">
        <v>48130</v>
      </c>
      <c r="H9043">
        <v>197.60759999999999</v>
      </c>
      <c r="I9043">
        <v>0</v>
      </c>
      <c r="J9043">
        <v>27.649899999999999</v>
      </c>
      <c r="K9043">
        <v>27.649899999999999</v>
      </c>
      <c r="L9043" t="s">
        <v>323</v>
      </c>
      <c r="N9043" s="42">
        <v>44953</v>
      </c>
      <c r="O9043" t="s">
        <v>346</v>
      </c>
      <c r="P9043" s="42">
        <v>44953</v>
      </c>
      <c r="Q9043" t="s">
        <v>346</v>
      </c>
      <c r="R9043" t="s">
        <v>320</v>
      </c>
      <c r="S9043" t="s">
        <v>323</v>
      </c>
      <c r="T9043">
        <v>7.6</v>
      </c>
      <c r="Y9043" s="42">
        <v>44957</v>
      </c>
    </row>
    <row r="9044" spans="1:25">
      <c r="C9044" t="s">
        <v>329</v>
      </c>
      <c r="D9044" t="s">
        <v>342</v>
      </c>
      <c r="E9044" t="s">
        <v>343</v>
      </c>
      <c r="F9044">
        <v>1</v>
      </c>
      <c r="G9044" s="42">
        <v>45198</v>
      </c>
      <c r="H9044">
        <v>45.6</v>
      </c>
      <c r="I9044">
        <v>-10.8142</v>
      </c>
      <c r="J9044">
        <v>19.4893</v>
      </c>
      <c r="K9044">
        <v>8.6751000000000005</v>
      </c>
      <c r="L9044" t="s">
        <v>323</v>
      </c>
      <c r="N9044" s="42">
        <v>44952</v>
      </c>
      <c r="O9044" t="s">
        <v>324</v>
      </c>
      <c r="P9044" s="42">
        <v>44952</v>
      </c>
      <c r="Q9044" t="s">
        <v>324</v>
      </c>
      <c r="R9044" t="s">
        <v>320</v>
      </c>
      <c r="S9044" t="s">
        <v>323</v>
      </c>
      <c r="U9044">
        <v>7.6</v>
      </c>
    </row>
    <row r="9045" spans="1:25">
      <c r="N9045" s="42">
        <v>44951</v>
      </c>
      <c r="O9045" t="s">
        <v>328</v>
      </c>
      <c r="P9045" s="42">
        <v>44951</v>
      </c>
      <c r="Q9045" t="s">
        <v>328</v>
      </c>
      <c r="R9045" t="s">
        <v>320</v>
      </c>
      <c r="S9045" t="s">
        <v>323</v>
      </c>
      <c r="T9045">
        <v>7.6</v>
      </c>
      <c r="Y9045" s="42">
        <v>44957</v>
      </c>
    </row>
    <row r="9046" spans="1:25">
      <c r="N9046" s="42">
        <v>44931</v>
      </c>
      <c r="O9046" t="s">
        <v>324</v>
      </c>
      <c r="P9046" s="42">
        <v>44931</v>
      </c>
      <c r="Q9046" t="s">
        <v>324</v>
      </c>
      <c r="R9046" t="s">
        <v>329</v>
      </c>
      <c r="S9046" t="s">
        <v>323</v>
      </c>
      <c r="T9046">
        <v>7.6</v>
      </c>
      <c r="W9046" t="s">
        <v>330</v>
      </c>
      <c r="Y9046" s="42">
        <v>44943</v>
      </c>
    </row>
    <row r="9047" spans="1:25">
      <c r="N9047" s="42">
        <v>44902</v>
      </c>
      <c r="O9047" t="s">
        <v>328</v>
      </c>
      <c r="P9047" s="42">
        <v>44902</v>
      </c>
      <c r="Q9047" t="s">
        <v>328</v>
      </c>
      <c r="R9047" t="s">
        <v>320</v>
      </c>
      <c r="S9047" t="s">
        <v>323</v>
      </c>
      <c r="T9047">
        <v>7.6</v>
      </c>
      <c r="Y9047" s="42">
        <v>44915</v>
      </c>
    </row>
    <row r="9048" spans="1:25">
      <c r="N9048" s="42">
        <v>44868</v>
      </c>
      <c r="O9048" t="s">
        <v>324</v>
      </c>
      <c r="P9048" s="42">
        <v>44868</v>
      </c>
      <c r="Q9048" t="s">
        <v>324</v>
      </c>
      <c r="R9048" t="s">
        <v>329</v>
      </c>
      <c r="S9048" t="s">
        <v>323</v>
      </c>
      <c r="T9048">
        <v>7.6</v>
      </c>
      <c r="W9048" t="s">
        <v>330</v>
      </c>
      <c r="Y9048" s="42">
        <v>44873</v>
      </c>
    </row>
    <row r="9049" spans="1:25">
      <c r="N9049" s="42">
        <v>44848</v>
      </c>
      <c r="O9049" t="s">
        <v>346</v>
      </c>
      <c r="P9049" s="42">
        <v>44848</v>
      </c>
      <c r="Q9049" t="s">
        <v>346</v>
      </c>
      <c r="R9049" t="s">
        <v>320</v>
      </c>
      <c r="S9049" t="s">
        <v>323</v>
      </c>
      <c r="T9049">
        <v>7.6</v>
      </c>
      <c r="Y9049" s="42">
        <v>44859</v>
      </c>
    </row>
    <row r="9050" spans="1:25">
      <c r="N9050" s="42">
        <v>44826</v>
      </c>
      <c r="O9050" t="s">
        <v>324</v>
      </c>
      <c r="P9050" s="42">
        <v>44826</v>
      </c>
      <c r="Q9050" t="s">
        <v>324</v>
      </c>
      <c r="R9050" t="s">
        <v>320</v>
      </c>
      <c r="S9050" t="s">
        <v>323</v>
      </c>
      <c r="U9050">
        <v>7.6</v>
      </c>
    </row>
    <row r="9051" spans="1:25">
      <c r="N9051" s="42">
        <v>44812</v>
      </c>
      <c r="O9051" t="s">
        <v>324</v>
      </c>
      <c r="P9051" s="42">
        <v>44812</v>
      </c>
      <c r="Q9051" t="s">
        <v>324</v>
      </c>
      <c r="R9051" t="s">
        <v>329</v>
      </c>
      <c r="S9051" t="s">
        <v>323</v>
      </c>
      <c r="T9051">
        <v>7.6</v>
      </c>
      <c r="W9051" t="s">
        <v>330</v>
      </c>
      <c r="Y9051" s="42">
        <v>44817</v>
      </c>
    </row>
    <row r="9052" spans="1:25">
      <c r="N9052" s="42">
        <v>44805</v>
      </c>
      <c r="O9052" t="s">
        <v>324</v>
      </c>
      <c r="P9052" s="42">
        <v>44805</v>
      </c>
      <c r="Q9052" t="s">
        <v>324</v>
      </c>
      <c r="R9052" t="s">
        <v>320</v>
      </c>
      <c r="S9052" t="s">
        <v>323</v>
      </c>
      <c r="T9052">
        <v>7.6</v>
      </c>
      <c r="Y9052" s="42">
        <v>44817</v>
      </c>
    </row>
    <row r="9053" spans="1:25">
      <c r="N9053" s="42">
        <v>44762</v>
      </c>
      <c r="O9053" t="s">
        <v>328</v>
      </c>
      <c r="P9053" s="42">
        <v>44762</v>
      </c>
      <c r="Q9053" t="s">
        <v>328</v>
      </c>
      <c r="R9053" t="s">
        <v>329</v>
      </c>
      <c r="S9053" t="s">
        <v>323</v>
      </c>
      <c r="T9053">
        <v>7.6</v>
      </c>
      <c r="W9053" t="s">
        <v>330</v>
      </c>
      <c r="Y9053" s="42">
        <v>44775</v>
      </c>
    </row>
    <row r="9054" spans="1:25">
      <c r="N9054" s="42">
        <v>44736</v>
      </c>
      <c r="O9054" t="s">
        <v>346</v>
      </c>
      <c r="P9054" s="42">
        <v>44736</v>
      </c>
      <c r="Q9054" t="s">
        <v>346</v>
      </c>
      <c r="R9054" t="s">
        <v>320</v>
      </c>
      <c r="S9054" t="s">
        <v>323</v>
      </c>
      <c r="T9054">
        <v>7.6</v>
      </c>
      <c r="Y9054" s="42">
        <v>44747</v>
      </c>
    </row>
    <row r="9055" spans="1:25">
      <c r="N9055" s="42">
        <v>44727</v>
      </c>
      <c r="O9055" t="s">
        <v>328</v>
      </c>
      <c r="P9055" s="42">
        <v>44727</v>
      </c>
      <c r="Q9055" t="s">
        <v>328</v>
      </c>
      <c r="R9055" t="s">
        <v>320</v>
      </c>
      <c r="S9055" t="s">
        <v>323</v>
      </c>
      <c r="T9055">
        <v>7.6</v>
      </c>
      <c r="Y9055" s="42">
        <v>44733</v>
      </c>
    </row>
    <row r="9056" spans="1:25">
      <c r="N9056" s="42">
        <v>44722</v>
      </c>
      <c r="O9056" t="s">
        <v>346</v>
      </c>
      <c r="P9056" s="42">
        <v>44722</v>
      </c>
      <c r="Q9056" t="s">
        <v>346</v>
      </c>
      <c r="R9056" t="s">
        <v>320</v>
      </c>
      <c r="S9056" t="s">
        <v>323</v>
      </c>
      <c r="T9056">
        <v>7.6</v>
      </c>
      <c r="Y9056" s="42">
        <v>44733</v>
      </c>
    </row>
    <row r="9057" spans="14:25">
      <c r="N9057" s="42">
        <v>44721</v>
      </c>
      <c r="O9057" t="s">
        <v>324</v>
      </c>
      <c r="P9057" s="42">
        <v>44721</v>
      </c>
      <c r="Q9057" t="s">
        <v>324</v>
      </c>
      <c r="R9057" t="s">
        <v>320</v>
      </c>
      <c r="S9057" t="s">
        <v>323</v>
      </c>
      <c r="T9057">
        <v>7.6</v>
      </c>
      <c r="Y9057" s="42">
        <v>44733</v>
      </c>
    </row>
    <row r="9058" spans="14:25">
      <c r="N9058" s="42">
        <v>44720</v>
      </c>
      <c r="O9058" t="s">
        <v>328</v>
      </c>
      <c r="P9058" s="42">
        <v>44720</v>
      </c>
      <c r="Q9058" t="s">
        <v>328</v>
      </c>
      <c r="R9058" t="s">
        <v>320</v>
      </c>
      <c r="S9058" t="s">
        <v>323</v>
      </c>
      <c r="T9058">
        <v>7.6</v>
      </c>
      <c r="Y9058" s="42">
        <v>44733</v>
      </c>
    </row>
    <row r="9059" spans="14:25">
      <c r="N9059" s="42">
        <v>44715</v>
      </c>
      <c r="O9059" t="s">
        <v>346</v>
      </c>
      <c r="P9059" s="42">
        <v>44715</v>
      </c>
      <c r="Q9059" t="s">
        <v>346</v>
      </c>
      <c r="R9059" t="s">
        <v>320</v>
      </c>
      <c r="S9059" t="s">
        <v>323</v>
      </c>
      <c r="T9059">
        <v>7.6</v>
      </c>
      <c r="Y9059" s="42">
        <v>44719</v>
      </c>
    </row>
    <row r="9060" spans="14:25">
      <c r="N9060" s="42">
        <v>44714</v>
      </c>
      <c r="O9060" t="s">
        <v>324</v>
      </c>
      <c r="P9060" s="42">
        <v>44714</v>
      </c>
      <c r="Q9060" t="s">
        <v>324</v>
      </c>
      <c r="R9060" t="s">
        <v>320</v>
      </c>
      <c r="S9060" t="s">
        <v>323</v>
      </c>
      <c r="T9060">
        <v>7.6</v>
      </c>
      <c r="Y9060" s="42">
        <v>44719</v>
      </c>
    </row>
    <row r="9061" spans="14:25">
      <c r="N9061" s="42">
        <v>44665</v>
      </c>
      <c r="O9061" t="s">
        <v>324</v>
      </c>
      <c r="P9061" s="42">
        <v>44665</v>
      </c>
      <c r="Q9061" t="s">
        <v>324</v>
      </c>
      <c r="R9061" t="s">
        <v>329</v>
      </c>
      <c r="S9061" t="s">
        <v>323</v>
      </c>
      <c r="T9061">
        <v>7.6</v>
      </c>
      <c r="W9061" t="s">
        <v>330</v>
      </c>
      <c r="Y9061" s="42">
        <v>44677</v>
      </c>
    </row>
    <row r="9062" spans="14:25">
      <c r="N9062" s="42">
        <v>44664</v>
      </c>
      <c r="O9062" t="s">
        <v>328</v>
      </c>
      <c r="P9062" s="42">
        <v>44664</v>
      </c>
      <c r="Q9062" t="s">
        <v>328</v>
      </c>
      <c r="R9062" t="s">
        <v>338</v>
      </c>
      <c r="S9062" t="s">
        <v>323</v>
      </c>
      <c r="T9062">
        <v>7.6</v>
      </c>
      <c r="W9062" t="s">
        <v>330</v>
      </c>
      <c r="Y9062" s="42">
        <v>44677</v>
      </c>
    </row>
    <row r="9063" spans="14:25">
      <c r="N9063" s="42">
        <v>44650</v>
      </c>
      <c r="O9063" t="s">
        <v>328</v>
      </c>
      <c r="P9063" s="42">
        <v>44650</v>
      </c>
      <c r="Q9063" t="s">
        <v>328</v>
      </c>
      <c r="R9063" t="s">
        <v>338</v>
      </c>
      <c r="S9063" t="s">
        <v>323</v>
      </c>
      <c r="T9063">
        <v>7.6</v>
      </c>
      <c r="W9063" t="s">
        <v>330</v>
      </c>
      <c r="Y9063" s="42">
        <v>44663</v>
      </c>
    </row>
    <row r="9064" spans="14:25">
      <c r="N9064" s="42">
        <v>44623</v>
      </c>
      <c r="O9064" t="s">
        <v>324</v>
      </c>
      <c r="P9064" s="42">
        <v>44623</v>
      </c>
      <c r="Q9064" t="s">
        <v>324</v>
      </c>
      <c r="R9064" t="s">
        <v>329</v>
      </c>
      <c r="S9064" t="s">
        <v>323</v>
      </c>
      <c r="T9064">
        <v>7.6</v>
      </c>
      <c r="W9064" t="s">
        <v>330</v>
      </c>
      <c r="Y9064" s="42">
        <v>44635</v>
      </c>
    </row>
    <row r="9065" spans="14:25">
      <c r="N9065" s="42">
        <v>44594</v>
      </c>
      <c r="O9065" t="s">
        <v>328</v>
      </c>
      <c r="P9065" s="42">
        <v>44594</v>
      </c>
      <c r="Q9065" t="s">
        <v>328</v>
      </c>
      <c r="R9065" t="s">
        <v>329</v>
      </c>
      <c r="S9065" t="s">
        <v>323</v>
      </c>
      <c r="T9065">
        <v>7.6</v>
      </c>
      <c r="W9065" t="s">
        <v>330</v>
      </c>
      <c r="Y9065" s="42">
        <v>44607</v>
      </c>
    </row>
    <row r="9066" spans="14:25">
      <c r="N9066" s="42">
        <v>44589</v>
      </c>
      <c r="O9066" t="s">
        <v>346</v>
      </c>
      <c r="P9066" s="42">
        <v>44589</v>
      </c>
      <c r="Q9066" t="s">
        <v>346</v>
      </c>
      <c r="R9066" t="s">
        <v>338</v>
      </c>
      <c r="S9066" t="s">
        <v>323</v>
      </c>
      <c r="T9066">
        <v>7.6</v>
      </c>
      <c r="W9066" t="s">
        <v>330</v>
      </c>
      <c r="Y9066" s="42">
        <v>44593</v>
      </c>
    </row>
    <row r="9067" spans="14:25">
      <c r="N9067" s="42">
        <v>44588</v>
      </c>
      <c r="O9067" t="s">
        <v>324</v>
      </c>
      <c r="P9067" s="42">
        <v>44588</v>
      </c>
      <c r="Q9067" t="s">
        <v>324</v>
      </c>
      <c r="R9067" t="s">
        <v>338</v>
      </c>
      <c r="S9067" t="s">
        <v>323</v>
      </c>
      <c r="T9067">
        <v>7.6</v>
      </c>
      <c r="W9067" t="s">
        <v>330</v>
      </c>
      <c r="Y9067" s="42">
        <v>44593</v>
      </c>
    </row>
    <row r="9068" spans="14:25">
      <c r="N9068" s="42">
        <v>44587</v>
      </c>
      <c r="O9068" t="s">
        <v>328</v>
      </c>
      <c r="P9068" s="42">
        <v>44587</v>
      </c>
      <c r="Q9068" t="s">
        <v>328</v>
      </c>
      <c r="R9068" t="s">
        <v>338</v>
      </c>
      <c r="S9068" t="s">
        <v>323</v>
      </c>
      <c r="T9068">
        <v>7.6</v>
      </c>
      <c r="W9068" t="s">
        <v>330</v>
      </c>
      <c r="Y9068" s="42">
        <v>44593</v>
      </c>
    </row>
    <row r="9069" spans="14:25">
      <c r="N9069" s="42">
        <v>44582</v>
      </c>
      <c r="O9069" t="s">
        <v>346</v>
      </c>
      <c r="P9069" s="42">
        <v>44582</v>
      </c>
      <c r="Q9069" t="s">
        <v>346</v>
      </c>
      <c r="R9069" t="s">
        <v>338</v>
      </c>
      <c r="S9069" t="s">
        <v>323</v>
      </c>
      <c r="T9069">
        <v>7.6</v>
      </c>
      <c r="W9069" t="s">
        <v>330</v>
      </c>
      <c r="Y9069" s="42">
        <v>44593</v>
      </c>
    </row>
    <row r="9070" spans="14:25">
      <c r="N9070" s="42">
        <v>44581</v>
      </c>
      <c r="O9070" t="s">
        <v>324</v>
      </c>
      <c r="P9070" s="42">
        <v>44581</v>
      </c>
      <c r="Q9070" t="s">
        <v>324</v>
      </c>
      <c r="R9070" t="s">
        <v>338</v>
      </c>
      <c r="S9070" t="s">
        <v>323</v>
      </c>
      <c r="T9070">
        <v>7.6</v>
      </c>
      <c r="W9070" t="s">
        <v>330</v>
      </c>
      <c r="Y9070" s="42">
        <v>44593</v>
      </c>
    </row>
    <row r="9071" spans="14:25">
      <c r="N9071" s="42">
        <v>44580</v>
      </c>
      <c r="O9071" t="s">
        <v>328</v>
      </c>
      <c r="P9071" s="42">
        <v>44580</v>
      </c>
      <c r="Q9071" t="s">
        <v>328</v>
      </c>
      <c r="R9071" t="s">
        <v>338</v>
      </c>
      <c r="S9071" t="s">
        <v>323</v>
      </c>
      <c r="T9071">
        <v>7.6</v>
      </c>
      <c r="W9071" t="s">
        <v>330</v>
      </c>
      <c r="Y9071" s="42">
        <v>44593</v>
      </c>
    </row>
    <row r="9072" spans="14:25">
      <c r="N9072" s="42">
        <v>44540</v>
      </c>
      <c r="O9072" t="s">
        <v>346</v>
      </c>
      <c r="P9072" s="42">
        <v>44540</v>
      </c>
      <c r="Q9072" t="s">
        <v>346</v>
      </c>
      <c r="R9072" t="s">
        <v>338</v>
      </c>
      <c r="S9072" t="s">
        <v>323</v>
      </c>
      <c r="T9072">
        <v>7.6</v>
      </c>
      <c r="W9072" t="s">
        <v>330</v>
      </c>
      <c r="Y9072" s="42">
        <v>44551</v>
      </c>
    </row>
    <row r="9073" spans="1:25">
      <c r="N9073" s="42">
        <v>44540</v>
      </c>
      <c r="O9073" t="s">
        <v>346</v>
      </c>
      <c r="P9073" s="42">
        <v>44540</v>
      </c>
      <c r="Q9073" t="s">
        <v>346</v>
      </c>
      <c r="R9073" t="s">
        <v>338</v>
      </c>
      <c r="S9073" t="s">
        <v>323</v>
      </c>
      <c r="T9073">
        <v>7.6</v>
      </c>
      <c r="W9073" t="s">
        <v>339</v>
      </c>
    </row>
    <row r="9074" spans="1:25">
      <c r="N9074" s="42">
        <v>44505</v>
      </c>
      <c r="O9074" t="s">
        <v>346</v>
      </c>
      <c r="P9074" s="42">
        <v>44505</v>
      </c>
      <c r="Q9074" t="s">
        <v>346</v>
      </c>
      <c r="R9074" t="s">
        <v>320</v>
      </c>
      <c r="S9074" t="s">
        <v>323</v>
      </c>
      <c r="T9074">
        <v>7.6</v>
      </c>
      <c r="Y9074" s="42">
        <v>44509</v>
      </c>
    </row>
    <row r="9075" spans="1:25">
      <c r="N9075" s="42">
        <v>44503</v>
      </c>
      <c r="O9075" t="s">
        <v>328</v>
      </c>
      <c r="P9075" s="42">
        <v>44503</v>
      </c>
      <c r="Q9075" t="s">
        <v>328</v>
      </c>
      <c r="R9075" t="s">
        <v>338</v>
      </c>
      <c r="S9075" t="s">
        <v>323</v>
      </c>
      <c r="T9075">
        <v>7.6</v>
      </c>
      <c r="W9075" t="s">
        <v>330</v>
      </c>
      <c r="Y9075" s="42">
        <v>44509</v>
      </c>
    </row>
    <row r="9076" spans="1:25">
      <c r="A9076">
        <v>18974</v>
      </c>
      <c r="B9076" t="s">
        <v>468</v>
      </c>
      <c r="C9076" t="s">
        <v>320</v>
      </c>
      <c r="D9076" t="s">
        <v>336</v>
      </c>
      <c r="E9076" t="s">
        <v>337</v>
      </c>
      <c r="F9076">
        <v>1</v>
      </c>
      <c r="G9076" s="42">
        <v>45233</v>
      </c>
      <c r="H9076">
        <v>152</v>
      </c>
      <c r="I9076">
        <v>51.9</v>
      </c>
      <c r="J9076">
        <v>50.389000000000003</v>
      </c>
      <c r="K9076">
        <v>102.289</v>
      </c>
      <c r="L9076" t="s">
        <v>323</v>
      </c>
      <c r="M9076" s="43">
        <v>4.4444444444444446E-2</v>
      </c>
      <c r="N9076" s="42">
        <v>44952</v>
      </c>
      <c r="O9076" t="s">
        <v>324</v>
      </c>
      <c r="P9076" s="42">
        <v>44952</v>
      </c>
      <c r="Q9076" t="s">
        <v>324</v>
      </c>
      <c r="R9076" t="s">
        <v>320</v>
      </c>
      <c r="S9076" t="s">
        <v>323</v>
      </c>
      <c r="U9076">
        <v>7.6</v>
      </c>
    </row>
    <row r="9077" spans="1:25">
      <c r="C9077" t="s">
        <v>325</v>
      </c>
      <c r="D9077" t="s">
        <v>352</v>
      </c>
      <c r="E9077" t="s">
        <v>353</v>
      </c>
      <c r="F9077">
        <v>1</v>
      </c>
      <c r="G9077" s="42">
        <v>48155</v>
      </c>
      <c r="H9077">
        <v>329.346</v>
      </c>
      <c r="I9077">
        <v>0</v>
      </c>
      <c r="J9077">
        <v>43.828600000000002</v>
      </c>
      <c r="K9077">
        <v>43.828600000000002</v>
      </c>
      <c r="L9077" t="s">
        <v>323</v>
      </c>
      <c r="N9077" s="42">
        <v>44927</v>
      </c>
      <c r="O9077" t="s">
        <v>344</v>
      </c>
      <c r="P9077" s="42">
        <v>44927</v>
      </c>
      <c r="Q9077" t="s">
        <v>344</v>
      </c>
      <c r="R9077" t="s">
        <v>320</v>
      </c>
      <c r="S9077" t="s">
        <v>323</v>
      </c>
      <c r="U9077">
        <v>7.6</v>
      </c>
    </row>
    <row r="9078" spans="1:25">
      <c r="C9078" t="s">
        <v>329</v>
      </c>
      <c r="D9078" t="s">
        <v>342</v>
      </c>
      <c r="E9078" t="s">
        <v>343</v>
      </c>
      <c r="F9078">
        <v>1</v>
      </c>
      <c r="G9078" s="42">
        <v>45233</v>
      </c>
      <c r="H9078">
        <v>76</v>
      </c>
      <c r="I9078">
        <v>18.8</v>
      </c>
      <c r="J9078">
        <v>25.194500000000001</v>
      </c>
      <c r="K9078">
        <v>43.994500000000002</v>
      </c>
      <c r="L9078" t="s">
        <v>323</v>
      </c>
      <c r="N9078" s="42">
        <v>44920</v>
      </c>
      <c r="O9078" t="s">
        <v>344</v>
      </c>
      <c r="P9078" s="42">
        <v>44920</v>
      </c>
      <c r="Q9078" t="s">
        <v>344</v>
      </c>
      <c r="R9078" t="s">
        <v>320</v>
      </c>
      <c r="S9078" t="s">
        <v>323</v>
      </c>
      <c r="U9078">
        <v>7.6</v>
      </c>
    </row>
    <row r="9079" spans="1:25">
      <c r="N9079" s="42">
        <v>44856</v>
      </c>
      <c r="O9079" t="s">
        <v>359</v>
      </c>
      <c r="P9079" s="42">
        <v>44856</v>
      </c>
      <c r="Q9079" t="s">
        <v>359</v>
      </c>
      <c r="R9079" t="s">
        <v>329</v>
      </c>
      <c r="S9079" t="s">
        <v>323</v>
      </c>
      <c r="T9079">
        <v>7.6</v>
      </c>
      <c r="W9079" t="s">
        <v>330</v>
      </c>
      <c r="Y9079" s="42">
        <v>44859</v>
      </c>
    </row>
    <row r="9080" spans="1:25">
      <c r="N9080" s="42">
        <v>44855</v>
      </c>
      <c r="O9080" t="s">
        <v>346</v>
      </c>
      <c r="P9080" s="42">
        <v>44855</v>
      </c>
      <c r="Q9080" t="s">
        <v>346</v>
      </c>
      <c r="R9080" t="s">
        <v>329</v>
      </c>
      <c r="S9080" t="s">
        <v>323</v>
      </c>
      <c r="T9080">
        <v>4</v>
      </c>
      <c r="W9080" t="s">
        <v>330</v>
      </c>
      <c r="Y9080" s="42">
        <v>44859</v>
      </c>
    </row>
    <row r="9081" spans="1:25">
      <c r="N9081" s="42">
        <v>44854</v>
      </c>
      <c r="O9081" t="s">
        <v>324</v>
      </c>
      <c r="P9081" s="42">
        <v>44854</v>
      </c>
      <c r="Q9081" t="s">
        <v>324</v>
      </c>
      <c r="R9081" t="s">
        <v>329</v>
      </c>
      <c r="S9081" t="s">
        <v>323</v>
      </c>
      <c r="T9081">
        <v>7.6</v>
      </c>
      <c r="W9081" t="s">
        <v>330</v>
      </c>
      <c r="Y9081" s="42">
        <v>44859</v>
      </c>
    </row>
    <row r="9082" spans="1:25">
      <c r="N9082" s="42">
        <v>44853</v>
      </c>
      <c r="O9082" t="s">
        <v>328</v>
      </c>
      <c r="P9082" s="42">
        <v>44853</v>
      </c>
      <c r="Q9082" t="s">
        <v>328</v>
      </c>
      <c r="R9082" t="s">
        <v>329</v>
      </c>
      <c r="S9082" t="s">
        <v>323</v>
      </c>
      <c r="T9082">
        <v>7.6</v>
      </c>
      <c r="W9082" t="s">
        <v>330</v>
      </c>
      <c r="Y9082" s="42">
        <v>44859</v>
      </c>
    </row>
    <row r="9083" spans="1:25">
      <c r="N9083" s="42">
        <v>44848</v>
      </c>
      <c r="O9083" t="s">
        <v>346</v>
      </c>
      <c r="P9083" s="42">
        <v>44848</v>
      </c>
      <c r="Q9083" t="s">
        <v>346</v>
      </c>
      <c r="R9083" t="s">
        <v>320</v>
      </c>
      <c r="S9083" t="s">
        <v>323</v>
      </c>
      <c r="T9083">
        <v>7.6</v>
      </c>
      <c r="Y9083" s="42">
        <v>44859</v>
      </c>
    </row>
    <row r="9084" spans="1:25">
      <c r="N9084" s="42">
        <v>44833</v>
      </c>
      <c r="O9084" t="s">
        <v>324</v>
      </c>
      <c r="P9084" s="42">
        <v>44833</v>
      </c>
      <c r="Q9084" t="s">
        <v>324</v>
      </c>
      <c r="R9084" t="s">
        <v>320</v>
      </c>
      <c r="S9084" t="s">
        <v>323</v>
      </c>
      <c r="T9084">
        <v>2.5</v>
      </c>
      <c r="Y9084" s="42">
        <v>44845</v>
      </c>
    </row>
    <row r="9085" spans="1:25">
      <c r="N9085" s="42">
        <v>44826</v>
      </c>
      <c r="O9085" t="s">
        <v>324</v>
      </c>
      <c r="P9085" s="42">
        <v>44826</v>
      </c>
      <c r="Q9085" t="s">
        <v>324</v>
      </c>
      <c r="R9085" t="s">
        <v>320</v>
      </c>
      <c r="S9085" t="s">
        <v>323</v>
      </c>
      <c r="U9085">
        <v>7.6</v>
      </c>
    </row>
    <row r="9086" spans="1:25">
      <c r="N9086" s="42">
        <v>44820</v>
      </c>
      <c r="O9086" t="s">
        <v>346</v>
      </c>
      <c r="P9086" s="42">
        <v>44820</v>
      </c>
      <c r="Q9086" t="s">
        <v>346</v>
      </c>
      <c r="R9086" t="s">
        <v>320</v>
      </c>
      <c r="S9086" t="s">
        <v>323</v>
      </c>
      <c r="T9086">
        <v>7.6</v>
      </c>
      <c r="Y9086" s="42">
        <v>44831</v>
      </c>
    </row>
    <row r="9087" spans="1:25">
      <c r="N9087" s="42">
        <v>44819</v>
      </c>
      <c r="O9087" t="s">
        <v>324</v>
      </c>
      <c r="P9087" s="42">
        <v>44819</v>
      </c>
      <c r="Q9087" t="s">
        <v>324</v>
      </c>
      <c r="R9087" t="s">
        <v>320</v>
      </c>
      <c r="S9087" t="s">
        <v>323</v>
      </c>
      <c r="T9087">
        <v>7.6</v>
      </c>
      <c r="Y9087" s="42">
        <v>44831</v>
      </c>
    </row>
    <row r="9088" spans="1:25">
      <c r="N9088" s="42">
        <v>44818</v>
      </c>
      <c r="O9088" t="s">
        <v>328</v>
      </c>
      <c r="P9088" s="42">
        <v>44818</v>
      </c>
      <c r="Q9088" t="s">
        <v>328</v>
      </c>
      <c r="R9088" t="s">
        <v>320</v>
      </c>
      <c r="S9088" t="s">
        <v>323</v>
      </c>
      <c r="T9088">
        <v>7.6</v>
      </c>
      <c r="Y9088" s="42">
        <v>44831</v>
      </c>
    </row>
    <row r="9089" spans="14:25">
      <c r="N9089" s="42">
        <v>44812</v>
      </c>
      <c r="O9089" t="s">
        <v>324</v>
      </c>
      <c r="P9089" s="42">
        <v>44812</v>
      </c>
      <c r="Q9089" t="s">
        <v>324</v>
      </c>
      <c r="R9089" t="s">
        <v>320</v>
      </c>
      <c r="S9089" t="s">
        <v>323</v>
      </c>
      <c r="T9089">
        <v>5</v>
      </c>
      <c r="Y9089" s="42">
        <v>44817</v>
      </c>
    </row>
    <row r="9090" spans="14:25">
      <c r="N9090" s="42">
        <v>44806</v>
      </c>
      <c r="O9090" t="s">
        <v>346</v>
      </c>
      <c r="P9090" s="42">
        <v>44806</v>
      </c>
      <c r="Q9090" t="s">
        <v>346</v>
      </c>
      <c r="R9090" t="s">
        <v>329</v>
      </c>
      <c r="S9090" t="s">
        <v>323</v>
      </c>
      <c r="T9090">
        <v>7.6</v>
      </c>
      <c r="W9090" t="s">
        <v>330</v>
      </c>
      <c r="Y9090" s="42">
        <v>44817</v>
      </c>
    </row>
    <row r="9091" spans="14:25">
      <c r="N9091" s="42">
        <v>44798</v>
      </c>
      <c r="O9091" t="s">
        <v>324</v>
      </c>
      <c r="P9091" s="42">
        <v>44798</v>
      </c>
      <c r="Q9091" t="s">
        <v>324</v>
      </c>
      <c r="R9091" t="s">
        <v>320</v>
      </c>
      <c r="S9091" t="s">
        <v>323</v>
      </c>
      <c r="T9091">
        <v>5</v>
      </c>
      <c r="Y9091" s="42">
        <v>44803</v>
      </c>
    </row>
    <row r="9092" spans="14:25">
      <c r="N9092" s="42">
        <v>44784</v>
      </c>
      <c r="O9092" t="s">
        <v>324</v>
      </c>
      <c r="P9092" s="42">
        <v>44784</v>
      </c>
      <c r="Q9092" t="s">
        <v>324</v>
      </c>
      <c r="R9092" t="s">
        <v>320</v>
      </c>
      <c r="S9092" t="s">
        <v>323</v>
      </c>
      <c r="T9092">
        <v>7.6</v>
      </c>
      <c r="Y9092" s="42">
        <v>44789</v>
      </c>
    </row>
    <row r="9093" spans="14:25">
      <c r="N9093" s="42">
        <v>44722</v>
      </c>
      <c r="O9093" t="s">
        <v>346</v>
      </c>
      <c r="P9093" s="42">
        <v>44722</v>
      </c>
      <c r="Q9093" t="s">
        <v>346</v>
      </c>
      <c r="R9093" t="s">
        <v>320</v>
      </c>
      <c r="S9093" t="s">
        <v>323</v>
      </c>
      <c r="T9093">
        <v>7.6</v>
      </c>
      <c r="Y9093" s="42">
        <v>44733</v>
      </c>
    </row>
    <row r="9094" spans="14:25">
      <c r="N9094" s="42">
        <v>44715</v>
      </c>
      <c r="O9094" t="s">
        <v>346</v>
      </c>
      <c r="P9094" s="42">
        <v>44715</v>
      </c>
      <c r="Q9094" t="s">
        <v>346</v>
      </c>
      <c r="R9094" t="s">
        <v>320</v>
      </c>
      <c r="S9094" t="s">
        <v>323</v>
      </c>
      <c r="T9094">
        <v>7.6</v>
      </c>
      <c r="Y9094" s="42">
        <v>44719</v>
      </c>
    </row>
    <row r="9095" spans="14:25">
      <c r="N9095" s="42">
        <v>44693</v>
      </c>
      <c r="O9095" t="s">
        <v>324</v>
      </c>
      <c r="P9095" s="42">
        <v>44693</v>
      </c>
      <c r="Q9095" t="s">
        <v>324</v>
      </c>
      <c r="R9095" t="s">
        <v>320</v>
      </c>
      <c r="S9095" t="s">
        <v>323</v>
      </c>
      <c r="T9095">
        <v>7.6</v>
      </c>
      <c r="Y9095" s="42">
        <v>44705</v>
      </c>
    </row>
    <row r="9096" spans="14:25">
      <c r="N9096" s="42">
        <v>44664</v>
      </c>
      <c r="O9096" t="s">
        <v>328</v>
      </c>
      <c r="P9096" s="42">
        <v>44664</v>
      </c>
      <c r="Q9096" t="s">
        <v>328</v>
      </c>
      <c r="R9096" t="s">
        <v>320</v>
      </c>
      <c r="S9096" t="s">
        <v>323</v>
      </c>
      <c r="T9096">
        <v>7.6</v>
      </c>
      <c r="Y9096" s="42">
        <v>44677</v>
      </c>
    </row>
    <row r="9097" spans="14:25">
      <c r="N9097" s="42">
        <v>44587</v>
      </c>
      <c r="O9097" t="s">
        <v>328</v>
      </c>
      <c r="P9097" s="42">
        <v>44587</v>
      </c>
      <c r="Q9097" t="s">
        <v>328</v>
      </c>
      <c r="R9097" t="s">
        <v>320</v>
      </c>
      <c r="S9097" t="s">
        <v>323</v>
      </c>
      <c r="U9097">
        <v>7.6</v>
      </c>
    </row>
    <row r="9098" spans="14:25">
      <c r="N9098" s="42">
        <v>44573</v>
      </c>
      <c r="O9098" t="s">
        <v>328</v>
      </c>
      <c r="P9098" s="42">
        <v>44573</v>
      </c>
      <c r="Q9098" t="s">
        <v>328</v>
      </c>
      <c r="R9098" t="s">
        <v>329</v>
      </c>
      <c r="S9098" t="s">
        <v>323</v>
      </c>
      <c r="T9098">
        <v>7.6</v>
      </c>
      <c r="W9098" t="s">
        <v>330</v>
      </c>
      <c r="Y9098" s="42">
        <v>44579</v>
      </c>
    </row>
    <row r="9099" spans="14:25">
      <c r="N9099" s="42">
        <v>44570</v>
      </c>
      <c r="O9099" t="s">
        <v>344</v>
      </c>
      <c r="P9099" s="42">
        <v>44570</v>
      </c>
      <c r="Q9099" t="s">
        <v>344</v>
      </c>
      <c r="R9099" t="s">
        <v>320</v>
      </c>
      <c r="S9099" t="s">
        <v>323</v>
      </c>
      <c r="T9099">
        <v>7.6</v>
      </c>
      <c r="Y9099" s="42">
        <v>44579</v>
      </c>
    </row>
    <row r="9100" spans="14:25">
      <c r="N9100" s="42">
        <v>44569</v>
      </c>
      <c r="O9100" t="s">
        <v>359</v>
      </c>
      <c r="P9100" s="42">
        <v>44569</v>
      </c>
      <c r="Q9100" t="s">
        <v>359</v>
      </c>
      <c r="R9100" t="s">
        <v>320</v>
      </c>
      <c r="S9100" t="s">
        <v>323</v>
      </c>
      <c r="T9100">
        <v>7.6</v>
      </c>
      <c r="Y9100" s="42">
        <v>44579</v>
      </c>
    </row>
    <row r="9101" spans="14:25">
      <c r="N9101" s="42">
        <v>44568</v>
      </c>
      <c r="O9101" t="s">
        <v>346</v>
      </c>
      <c r="P9101" s="42">
        <v>44568</v>
      </c>
      <c r="Q9101" t="s">
        <v>346</v>
      </c>
      <c r="R9101" t="s">
        <v>329</v>
      </c>
      <c r="S9101" t="s">
        <v>323</v>
      </c>
      <c r="T9101">
        <v>7.6</v>
      </c>
      <c r="W9101" t="s">
        <v>330</v>
      </c>
      <c r="Y9101" s="42">
        <v>44579</v>
      </c>
    </row>
    <row r="9102" spans="14:25">
      <c r="N9102" s="42">
        <v>44567</v>
      </c>
      <c r="O9102" t="s">
        <v>324</v>
      </c>
      <c r="P9102" s="42">
        <v>44567</v>
      </c>
      <c r="Q9102" t="s">
        <v>324</v>
      </c>
      <c r="R9102" t="s">
        <v>329</v>
      </c>
      <c r="S9102" t="s">
        <v>323</v>
      </c>
      <c r="T9102">
        <v>7.6</v>
      </c>
      <c r="W9102" t="s">
        <v>330</v>
      </c>
      <c r="Y9102" s="42">
        <v>44579</v>
      </c>
    </row>
    <row r="9103" spans="14:25">
      <c r="N9103" s="42">
        <v>44566</v>
      </c>
      <c r="O9103" t="s">
        <v>328</v>
      </c>
      <c r="P9103" s="42">
        <v>44566</v>
      </c>
      <c r="Q9103" t="s">
        <v>328</v>
      </c>
      <c r="R9103" t="s">
        <v>320</v>
      </c>
      <c r="S9103" t="s">
        <v>323</v>
      </c>
      <c r="T9103">
        <v>4</v>
      </c>
      <c r="Y9103" s="42">
        <v>44579</v>
      </c>
    </row>
    <row r="9104" spans="14:25">
      <c r="N9104" s="42">
        <v>44562</v>
      </c>
      <c r="O9104" t="s">
        <v>359</v>
      </c>
      <c r="P9104" s="42">
        <v>44562</v>
      </c>
      <c r="Q9104" t="s">
        <v>359</v>
      </c>
      <c r="R9104" t="s">
        <v>320</v>
      </c>
      <c r="S9104" t="s">
        <v>323</v>
      </c>
      <c r="U9104">
        <v>7.6</v>
      </c>
    </row>
    <row r="9105" spans="1:25">
      <c r="N9105" s="42">
        <v>44558</v>
      </c>
      <c r="O9105" t="s">
        <v>333</v>
      </c>
      <c r="P9105" s="42">
        <v>44558</v>
      </c>
      <c r="Q9105" t="s">
        <v>333</v>
      </c>
      <c r="R9105" t="s">
        <v>320</v>
      </c>
      <c r="S9105" t="s">
        <v>323</v>
      </c>
      <c r="U9105">
        <v>7.6</v>
      </c>
    </row>
    <row r="9106" spans="1:25">
      <c r="N9106" s="42">
        <v>44556</v>
      </c>
      <c r="O9106" t="s">
        <v>344</v>
      </c>
      <c r="P9106" s="42">
        <v>44556</v>
      </c>
      <c r="Q9106" t="s">
        <v>344</v>
      </c>
      <c r="R9106" t="s">
        <v>320</v>
      </c>
      <c r="S9106" t="s">
        <v>323</v>
      </c>
      <c r="U9106">
        <v>7.6</v>
      </c>
    </row>
    <row r="9107" spans="1:25">
      <c r="N9107" s="42">
        <v>44555</v>
      </c>
      <c r="O9107" t="s">
        <v>359</v>
      </c>
      <c r="P9107" s="42">
        <v>44555</v>
      </c>
      <c r="Q9107" t="s">
        <v>359</v>
      </c>
      <c r="R9107" t="s">
        <v>320</v>
      </c>
      <c r="S9107" t="s">
        <v>323</v>
      </c>
      <c r="U9107">
        <v>7.6</v>
      </c>
    </row>
    <row r="9108" spans="1:25">
      <c r="A9108">
        <v>18976</v>
      </c>
      <c r="B9108" t="s">
        <v>469</v>
      </c>
      <c r="C9108" t="s">
        <v>320</v>
      </c>
      <c r="D9108" t="s">
        <v>336</v>
      </c>
      <c r="E9108" t="s">
        <v>337</v>
      </c>
      <c r="F9108">
        <v>1</v>
      </c>
      <c r="G9108" s="42">
        <v>45231</v>
      </c>
      <c r="H9108">
        <v>152</v>
      </c>
      <c r="I9108">
        <v>7.0153999999999996</v>
      </c>
      <c r="J9108">
        <v>51.221899999999998</v>
      </c>
      <c r="K9108">
        <v>58.237299999999998</v>
      </c>
      <c r="L9108" t="s">
        <v>323</v>
      </c>
      <c r="M9108" s="43">
        <v>4.4444444444444446E-2</v>
      </c>
      <c r="N9108" s="42">
        <v>44952</v>
      </c>
      <c r="O9108" t="s">
        <v>324</v>
      </c>
      <c r="P9108" s="42">
        <v>44952</v>
      </c>
      <c r="Q9108" t="s">
        <v>324</v>
      </c>
      <c r="R9108" t="s">
        <v>320</v>
      </c>
      <c r="S9108" t="s">
        <v>323</v>
      </c>
      <c r="U9108">
        <v>7.6</v>
      </c>
      <c r="Y9108" s="42">
        <v>44957</v>
      </c>
    </row>
    <row r="9109" spans="1:25">
      <c r="C9109" t="s">
        <v>325</v>
      </c>
      <c r="D9109" t="s">
        <v>395</v>
      </c>
      <c r="E9109" t="s">
        <v>396</v>
      </c>
      <c r="F9109">
        <v>1</v>
      </c>
      <c r="G9109" s="42">
        <v>48154</v>
      </c>
      <c r="H9109">
        <v>329.33330000000001</v>
      </c>
      <c r="I9109">
        <v>0</v>
      </c>
      <c r="J9109">
        <v>43.917099999999998</v>
      </c>
      <c r="K9109">
        <v>43.917099999999998</v>
      </c>
      <c r="L9109" t="s">
        <v>323</v>
      </c>
      <c r="N9109" s="42">
        <v>44930</v>
      </c>
      <c r="O9109" t="s">
        <v>328</v>
      </c>
      <c r="P9109" s="42">
        <v>44932</v>
      </c>
      <c r="Q9109" t="s">
        <v>346</v>
      </c>
      <c r="R9109" t="s">
        <v>320</v>
      </c>
      <c r="S9109" t="s">
        <v>323</v>
      </c>
      <c r="T9109">
        <v>22.8</v>
      </c>
      <c r="V9109">
        <v>0</v>
      </c>
      <c r="Y9109" s="42">
        <v>44943</v>
      </c>
    </row>
    <row r="9110" spans="1:25">
      <c r="C9110" t="s">
        <v>329</v>
      </c>
      <c r="D9110" t="s">
        <v>342</v>
      </c>
      <c r="E9110" t="s">
        <v>343</v>
      </c>
      <c r="F9110">
        <v>1</v>
      </c>
      <c r="G9110" s="42">
        <v>45231</v>
      </c>
      <c r="H9110">
        <v>76</v>
      </c>
      <c r="I9110">
        <v>70.707700000000003</v>
      </c>
      <c r="J9110">
        <v>25.611000000000001</v>
      </c>
      <c r="K9110">
        <v>96.318700000000007</v>
      </c>
      <c r="L9110" t="s">
        <v>323</v>
      </c>
      <c r="N9110" s="42">
        <v>44928</v>
      </c>
      <c r="O9110" t="s">
        <v>345</v>
      </c>
      <c r="P9110" s="42">
        <v>44928</v>
      </c>
      <c r="Q9110" t="s">
        <v>345</v>
      </c>
      <c r="R9110" t="s">
        <v>320</v>
      </c>
      <c r="S9110" t="s">
        <v>323</v>
      </c>
      <c r="U9110">
        <v>7.6</v>
      </c>
      <c r="Y9110" s="42">
        <v>44929</v>
      </c>
    </row>
    <row r="9111" spans="1:25">
      <c r="N9111" s="42">
        <v>44922</v>
      </c>
      <c r="O9111" t="s">
        <v>333</v>
      </c>
      <c r="P9111" s="42">
        <v>44922</v>
      </c>
      <c r="Q9111" t="s">
        <v>333</v>
      </c>
      <c r="R9111" t="s">
        <v>320</v>
      </c>
      <c r="S9111" t="s">
        <v>323</v>
      </c>
      <c r="U9111">
        <v>7.6</v>
      </c>
      <c r="Y9111" s="42">
        <v>44929</v>
      </c>
    </row>
    <row r="9112" spans="1:25">
      <c r="N9112" s="42">
        <v>44921</v>
      </c>
      <c r="O9112" t="s">
        <v>345</v>
      </c>
      <c r="P9112" s="42">
        <v>44921</v>
      </c>
      <c r="Q9112" t="s">
        <v>345</v>
      </c>
      <c r="R9112" t="s">
        <v>320</v>
      </c>
      <c r="S9112" t="s">
        <v>323</v>
      </c>
      <c r="U9112">
        <v>7.6</v>
      </c>
      <c r="Y9112" s="42">
        <v>44929</v>
      </c>
    </row>
    <row r="9113" spans="1:25">
      <c r="N9113" s="42">
        <v>44902</v>
      </c>
      <c r="O9113" t="s">
        <v>328</v>
      </c>
      <c r="P9113" s="42">
        <v>44904</v>
      </c>
      <c r="Q9113" t="s">
        <v>346</v>
      </c>
      <c r="R9113" t="s">
        <v>320</v>
      </c>
      <c r="S9113" t="s">
        <v>323</v>
      </c>
      <c r="T9113">
        <v>22.8</v>
      </c>
      <c r="U9113">
        <v>0</v>
      </c>
      <c r="V9113">
        <v>0</v>
      </c>
      <c r="Y9113" s="42">
        <v>44915</v>
      </c>
    </row>
    <row r="9114" spans="1:25">
      <c r="N9114" s="42">
        <v>44900</v>
      </c>
      <c r="O9114" t="s">
        <v>345</v>
      </c>
      <c r="P9114" s="42">
        <v>44901</v>
      </c>
      <c r="Q9114" t="s">
        <v>333</v>
      </c>
      <c r="R9114" t="s">
        <v>320</v>
      </c>
      <c r="S9114" t="s">
        <v>323</v>
      </c>
      <c r="T9114">
        <v>15.2</v>
      </c>
      <c r="U9114">
        <v>0</v>
      </c>
      <c r="V9114">
        <v>0</v>
      </c>
      <c r="Y9114" s="42">
        <v>44901</v>
      </c>
    </row>
    <row r="9115" spans="1:25">
      <c r="N9115" s="42">
        <v>44844</v>
      </c>
      <c r="O9115" t="s">
        <v>345</v>
      </c>
      <c r="P9115" s="42">
        <v>44844</v>
      </c>
      <c r="Q9115" t="s">
        <v>345</v>
      </c>
      <c r="R9115" t="s">
        <v>320</v>
      </c>
      <c r="S9115" t="s">
        <v>323</v>
      </c>
      <c r="T9115">
        <v>7.6</v>
      </c>
      <c r="V9115">
        <v>0</v>
      </c>
      <c r="Y9115" s="42">
        <v>44845</v>
      </c>
    </row>
    <row r="9116" spans="1:25">
      <c r="N9116" s="42">
        <v>44837</v>
      </c>
      <c r="O9116" t="s">
        <v>345</v>
      </c>
      <c r="P9116" s="42">
        <v>44837</v>
      </c>
      <c r="Q9116" t="s">
        <v>345</v>
      </c>
      <c r="R9116" t="s">
        <v>320</v>
      </c>
      <c r="S9116" t="s">
        <v>323</v>
      </c>
      <c r="U9116">
        <v>7.6</v>
      </c>
      <c r="Y9116" s="42">
        <v>44845</v>
      </c>
    </row>
    <row r="9117" spans="1:25">
      <c r="N9117" s="42">
        <v>44826</v>
      </c>
      <c r="O9117" t="s">
        <v>324</v>
      </c>
      <c r="P9117" s="42">
        <v>44826</v>
      </c>
      <c r="Q9117" t="s">
        <v>324</v>
      </c>
      <c r="R9117" t="s">
        <v>320</v>
      </c>
      <c r="S9117" t="s">
        <v>323</v>
      </c>
      <c r="U9117">
        <v>7.6</v>
      </c>
      <c r="Y9117" s="42">
        <v>44831</v>
      </c>
    </row>
    <row r="9118" spans="1:25">
      <c r="N9118" s="42">
        <v>44783</v>
      </c>
      <c r="O9118" t="s">
        <v>328</v>
      </c>
      <c r="P9118" s="42">
        <v>44783</v>
      </c>
      <c r="Q9118" t="s">
        <v>328</v>
      </c>
      <c r="R9118" t="s">
        <v>320</v>
      </c>
      <c r="S9118" t="s">
        <v>323</v>
      </c>
      <c r="U9118">
        <v>7.6</v>
      </c>
      <c r="Y9118" s="42">
        <v>44789</v>
      </c>
    </row>
    <row r="9119" spans="1:25">
      <c r="N9119" s="42">
        <v>44781</v>
      </c>
      <c r="O9119" t="s">
        <v>345</v>
      </c>
      <c r="P9119" s="42">
        <v>44782</v>
      </c>
      <c r="Q9119" t="s">
        <v>333</v>
      </c>
      <c r="R9119" t="s">
        <v>320</v>
      </c>
      <c r="S9119" t="s">
        <v>323</v>
      </c>
      <c r="T9119">
        <v>15.2</v>
      </c>
      <c r="V9119">
        <v>0</v>
      </c>
      <c r="Y9119" s="42">
        <v>44789</v>
      </c>
    </row>
    <row r="9120" spans="1:25">
      <c r="N9120" s="42">
        <v>44683</v>
      </c>
      <c r="O9120" t="s">
        <v>345</v>
      </c>
      <c r="P9120" s="42">
        <v>44683</v>
      </c>
      <c r="Q9120" t="s">
        <v>345</v>
      </c>
      <c r="R9120" t="s">
        <v>320</v>
      </c>
      <c r="S9120" t="s">
        <v>323</v>
      </c>
      <c r="U9120">
        <v>7.6</v>
      </c>
      <c r="Y9120" s="42">
        <v>44691</v>
      </c>
    </row>
    <row r="9121" spans="1:25">
      <c r="N9121" s="42">
        <v>44676</v>
      </c>
      <c r="O9121" t="s">
        <v>345</v>
      </c>
      <c r="P9121" s="42">
        <v>44676</v>
      </c>
      <c r="Q9121" t="s">
        <v>345</v>
      </c>
      <c r="R9121" t="s">
        <v>320</v>
      </c>
      <c r="S9121" t="s">
        <v>323</v>
      </c>
      <c r="U9121">
        <v>7.6</v>
      </c>
      <c r="Y9121" s="42">
        <v>44677</v>
      </c>
    </row>
    <row r="9122" spans="1:25">
      <c r="N9122" s="42">
        <v>44673</v>
      </c>
      <c r="O9122" t="s">
        <v>346</v>
      </c>
      <c r="P9122" s="42">
        <v>44673</v>
      </c>
      <c r="Q9122" t="s">
        <v>346</v>
      </c>
      <c r="R9122" t="s">
        <v>320</v>
      </c>
      <c r="S9122" t="s">
        <v>323</v>
      </c>
      <c r="T9122">
        <v>7.6</v>
      </c>
      <c r="V9122">
        <v>0</v>
      </c>
      <c r="Y9122" s="42">
        <v>44677</v>
      </c>
    </row>
    <row r="9123" spans="1:25">
      <c r="N9123" s="42">
        <v>44672</v>
      </c>
      <c r="O9123" t="s">
        <v>324</v>
      </c>
      <c r="P9123" s="42">
        <v>44672</v>
      </c>
      <c r="Q9123" t="s">
        <v>324</v>
      </c>
      <c r="R9123" t="s">
        <v>320</v>
      </c>
      <c r="S9123" t="s">
        <v>323</v>
      </c>
      <c r="T9123">
        <v>7.6</v>
      </c>
      <c r="V9123">
        <v>0</v>
      </c>
      <c r="Y9123" s="42">
        <v>44677</v>
      </c>
    </row>
    <row r="9124" spans="1:25">
      <c r="N9124" s="42">
        <v>44670</v>
      </c>
      <c r="O9124" t="s">
        <v>333</v>
      </c>
      <c r="P9124" s="42">
        <v>44671</v>
      </c>
      <c r="Q9124" t="s">
        <v>328</v>
      </c>
      <c r="R9124" t="s">
        <v>320</v>
      </c>
      <c r="S9124" t="s">
        <v>323</v>
      </c>
      <c r="T9124">
        <v>15.2</v>
      </c>
      <c r="V9124">
        <v>0</v>
      </c>
      <c r="Y9124" s="42">
        <v>44677</v>
      </c>
    </row>
    <row r="9125" spans="1:25">
      <c r="N9125" s="42">
        <v>44669</v>
      </c>
      <c r="O9125" t="s">
        <v>345</v>
      </c>
      <c r="P9125" s="42">
        <v>44669</v>
      </c>
      <c r="Q9125" t="s">
        <v>345</v>
      </c>
      <c r="R9125" t="s">
        <v>320</v>
      </c>
      <c r="S9125" t="s">
        <v>323</v>
      </c>
      <c r="U9125">
        <v>7.6</v>
      </c>
      <c r="Y9125" s="42">
        <v>44677</v>
      </c>
    </row>
    <row r="9126" spans="1:25">
      <c r="N9126" s="42">
        <v>44666</v>
      </c>
      <c r="O9126" t="s">
        <v>346</v>
      </c>
      <c r="P9126" s="42">
        <v>44666</v>
      </c>
      <c r="Q9126" t="s">
        <v>346</v>
      </c>
      <c r="R9126" t="s">
        <v>320</v>
      </c>
      <c r="S9126" t="s">
        <v>323</v>
      </c>
      <c r="U9126">
        <v>7.6</v>
      </c>
      <c r="Y9126" s="42">
        <v>44677</v>
      </c>
    </row>
    <row r="9127" spans="1:25">
      <c r="N9127" s="42">
        <v>44665</v>
      </c>
      <c r="O9127" t="s">
        <v>324</v>
      </c>
      <c r="P9127" s="42">
        <v>44665</v>
      </c>
      <c r="Q9127" t="s">
        <v>324</v>
      </c>
      <c r="R9127" t="s">
        <v>320</v>
      </c>
      <c r="S9127" t="s">
        <v>323</v>
      </c>
      <c r="T9127">
        <v>7.6</v>
      </c>
      <c r="V9127">
        <v>0</v>
      </c>
      <c r="Y9127" s="42">
        <v>44677</v>
      </c>
    </row>
    <row r="9128" spans="1:25">
      <c r="N9128" s="42">
        <v>44662</v>
      </c>
      <c r="O9128" t="s">
        <v>345</v>
      </c>
      <c r="P9128" s="42">
        <v>44662</v>
      </c>
      <c r="Q9128" t="s">
        <v>345</v>
      </c>
      <c r="R9128" t="s">
        <v>320</v>
      </c>
      <c r="S9128" t="s">
        <v>323</v>
      </c>
      <c r="T9128">
        <v>7.6</v>
      </c>
      <c r="V9128">
        <v>0</v>
      </c>
      <c r="Y9128" s="42">
        <v>44663</v>
      </c>
    </row>
    <row r="9129" spans="1:25">
      <c r="N9129" s="42">
        <v>44587</v>
      </c>
      <c r="O9129" t="s">
        <v>328</v>
      </c>
      <c r="P9129" s="42">
        <v>44587</v>
      </c>
      <c r="Q9129" t="s">
        <v>328</v>
      </c>
      <c r="R9129" t="s">
        <v>320</v>
      </c>
      <c r="S9129" t="s">
        <v>323</v>
      </c>
      <c r="U9129">
        <v>7.6</v>
      </c>
      <c r="Y9129" s="42">
        <v>44593</v>
      </c>
    </row>
    <row r="9130" spans="1:25">
      <c r="N9130" s="42">
        <v>44564</v>
      </c>
      <c r="O9130" t="s">
        <v>345</v>
      </c>
      <c r="P9130" s="42">
        <v>44564</v>
      </c>
      <c r="Q9130" t="s">
        <v>345</v>
      </c>
      <c r="R9130" t="s">
        <v>320</v>
      </c>
      <c r="S9130" t="s">
        <v>323</v>
      </c>
      <c r="U9130">
        <v>7.6</v>
      </c>
      <c r="Y9130" s="42">
        <v>44565</v>
      </c>
    </row>
    <row r="9131" spans="1:25">
      <c r="N9131" s="42">
        <v>44563</v>
      </c>
      <c r="O9131" t="s">
        <v>344</v>
      </c>
      <c r="P9131" s="42">
        <v>44563</v>
      </c>
      <c r="Q9131" t="s">
        <v>344</v>
      </c>
      <c r="R9131" t="s">
        <v>338</v>
      </c>
      <c r="S9131" t="s">
        <v>323</v>
      </c>
      <c r="T9131">
        <v>7.6</v>
      </c>
      <c r="W9131" t="s">
        <v>330</v>
      </c>
      <c r="Y9131" s="42">
        <v>44565</v>
      </c>
    </row>
    <row r="9132" spans="1:25">
      <c r="N9132" s="42">
        <v>44559</v>
      </c>
      <c r="O9132" t="s">
        <v>328</v>
      </c>
      <c r="P9132" s="42">
        <v>44560</v>
      </c>
      <c r="Q9132" t="s">
        <v>324</v>
      </c>
      <c r="R9132" t="s">
        <v>320</v>
      </c>
      <c r="S9132" t="s">
        <v>323</v>
      </c>
      <c r="T9132">
        <v>15.2</v>
      </c>
      <c r="V9132">
        <v>0</v>
      </c>
      <c r="Y9132" s="42">
        <v>44565</v>
      </c>
    </row>
    <row r="9133" spans="1:25">
      <c r="N9133" s="42">
        <v>44558</v>
      </c>
      <c r="O9133" t="s">
        <v>333</v>
      </c>
      <c r="P9133" s="42">
        <v>44558</v>
      </c>
      <c r="Q9133" t="s">
        <v>333</v>
      </c>
      <c r="R9133" t="s">
        <v>320</v>
      </c>
      <c r="S9133" t="s">
        <v>323</v>
      </c>
      <c r="U9133">
        <v>7.6</v>
      </c>
      <c r="Y9133" s="42">
        <v>44565</v>
      </c>
    </row>
    <row r="9134" spans="1:25">
      <c r="N9134" s="42">
        <v>44557</v>
      </c>
      <c r="O9134" t="s">
        <v>345</v>
      </c>
      <c r="P9134" s="42">
        <v>44557</v>
      </c>
      <c r="Q9134" t="s">
        <v>345</v>
      </c>
      <c r="R9134" t="s">
        <v>320</v>
      </c>
      <c r="S9134" t="s">
        <v>323</v>
      </c>
      <c r="U9134">
        <v>7.6</v>
      </c>
      <c r="Y9134" s="42">
        <v>44565</v>
      </c>
    </row>
    <row r="9135" spans="1:25">
      <c r="N9135" s="42">
        <v>44525</v>
      </c>
      <c r="O9135" t="s">
        <v>324</v>
      </c>
      <c r="P9135" s="42">
        <v>44525</v>
      </c>
      <c r="Q9135" t="s">
        <v>324</v>
      </c>
      <c r="R9135" t="s">
        <v>329</v>
      </c>
      <c r="S9135" t="s">
        <v>323</v>
      </c>
      <c r="T9135">
        <v>5</v>
      </c>
      <c r="W9135" t="s">
        <v>339</v>
      </c>
      <c r="Y9135" s="42">
        <v>44537</v>
      </c>
    </row>
    <row r="9136" spans="1:25">
      <c r="A9136">
        <v>18979</v>
      </c>
      <c r="B9136" t="s">
        <v>470</v>
      </c>
      <c r="C9136" t="s">
        <v>320</v>
      </c>
      <c r="D9136" t="s">
        <v>336</v>
      </c>
      <c r="E9136" t="s">
        <v>337</v>
      </c>
      <c r="F9136">
        <v>1</v>
      </c>
      <c r="G9136" s="42">
        <v>45266</v>
      </c>
      <c r="H9136">
        <v>152</v>
      </c>
      <c r="I9136">
        <v>7.6</v>
      </c>
      <c r="J9136">
        <v>36.646599999999999</v>
      </c>
      <c r="K9136">
        <v>44.246600000000001</v>
      </c>
      <c r="L9136" t="s">
        <v>323</v>
      </c>
      <c r="M9136" s="43">
        <v>4.3055555555555562E-2</v>
      </c>
      <c r="N9136" s="42">
        <v>44967</v>
      </c>
      <c r="O9136" t="s">
        <v>346</v>
      </c>
      <c r="P9136" s="42">
        <v>44967</v>
      </c>
      <c r="Q9136" t="s">
        <v>346</v>
      </c>
      <c r="R9136" t="s">
        <v>320</v>
      </c>
      <c r="S9136" t="s">
        <v>323</v>
      </c>
      <c r="T9136">
        <v>7.6</v>
      </c>
      <c r="Y9136" s="42">
        <v>44971</v>
      </c>
    </row>
    <row r="9137" spans="3:25">
      <c r="C9137" t="s">
        <v>325</v>
      </c>
      <c r="D9137" t="s">
        <v>340</v>
      </c>
      <c r="E9137" t="s">
        <v>341</v>
      </c>
      <c r="F9137">
        <v>1</v>
      </c>
      <c r="G9137" s="42">
        <v>47093</v>
      </c>
      <c r="H9137">
        <v>230.54220000000001</v>
      </c>
      <c r="I9137">
        <v>0</v>
      </c>
      <c r="J9137">
        <v>40.843000000000004</v>
      </c>
      <c r="K9137">
        <v>40.843000000000004</v>
      </c>
      <c r="L9137" t="s">
        <v>323</v>
      </c>
      <c r="N9137" s="42">
        <v>44966</v>
      </c>
      <c r="O9137" t="s">
        <v>324</v>
      </c>
      <c r="P9137" s="42">
        <v>44966</v>
      </c>
      <c r="Q9137" t="s">
        <v>324</v>
      </c>
      <c r="R9137" t="s">
        <v>320</v>
      </c>
      <c r="S9137" t="s">
        <v>323</v>
      </c>
      <c r="T9137">
        <v>7.6</v>
      </c>
      <c r="Y9137" s="42">
        <v>44971</v>
      </c>
    </row>
    <row r="9138" spans="3:25">
      <c r="C9138" t="s">
        <v>329</v>
      </c>
      <c r="D9138" t="s">
        <v>342</v>
      </c>
      <c r="E9138" t="s">
        <v>343</v>
      </c>
      <c r="F9138">
        <v>1</v>
      </c>
      <c r="G9138" s="42">
        <v>45266</v>
      </c>
      <c r="H9138">
        <v>76</v>
      </c>
      <c r="I9138">
        <v>-8</v>
      </c>
      <c r="J9138">
        <v>18.3233</v>
      </c>
      <c r="K9138">
        <v>10.3233</v>
      </c>
      <c r="L9138" t="s">
        <v>323</v>
      </c>
      <c r="N9138" s="42">
        <v>44965</v>
      </c>
      <c r="O9138" t="s">
        <v>328</v>
      </c>
      <c r="P9138" s="42">
        <v>44965</v>
      </c>
      <c r="Q9138" t="s">
        <v>328</v>
      </c>
      <c r="R9138" t="s">
        <v>329</v>
      </c>
      <c r="S9138" t="s">
        <v>323</v>
      </c>
      <c r="T9138">
        <v>7.6</v>
      </c>
      <c r="W9138" t="s">
        <v>330</v>
      </c>
      <c r="Y9138" s="42">
        <v>44971</v>
      </c>
    </row>
    <row r="9139" spans="3:25">
      <c r="N9139" s="42">
        <v>44952</v>
      </c>
      <c r="O9139" t="s">
        <v>324</v>
      </c>
      <c r="P9139" s="42">
        <v>44952</v>
      </c>
      <c r="Q9139" t="s">
        <v>324</v>
      </c>
      <c r="R9139" t="s">
        <v>320</v>
      </c>
      <c r="S9139" t="s">
        <v>323</v>
      </c>
      <c r="U9139">
        <v>7.6</v>
      </c>
    </row>
    <row r="9140" spans="3:25">
      <c r="N9140" s="42">
        <v>44944</v>
      </c>
      <c r="O9140" t="s">
        <v>328</v>
      </c>
      <c r="P9140" s="42">
        <v>44944</v>
      </c>
      <c r="Q9140" t="s">
        <v>328</v>
      </c>
      <c r="R9140" t="s">
        <v>329</v>
      </c>
      <c r="S9140" t="s">
        <v>323</v>
      </c>
      <c r="T9140">
        <v>4</v>
      </c>
      <c r="W9140" t="s">
        <v>330</v>
      </c>
      <c r="Y9140" s="42">
        <v>44957</v>
      </c>
    </row>
    <row r="9141" spans="3:25">
      <c r="N9141" s="42">
        <v>44943</v>
      </c>
      <c r="O9141" t="s">
        <v>333</v>
      </c>
      <c r="P9141" s="42">
        <v>44943</v>
      </c>
      <c r="Q9141" t="s">
        <v>333</v>
      </c>
      <c r="R9141" t="s">
        <v>329</v>
      </c>
      <c r="S9141" t="s">
        <v>323</v>
      </c>
      <c r="T9141">
        <v>4</v>
      </c>
      <c r="W9141" t="s">
        <v>330</v>
      </c>
      <c r="Y9141" s="42">
        <v>44943</v>
      </c>
    </row>
    <row r="9142" spans="3:25">
      <c r="N9142" s="42">
        <v>44928</v>
      </c>
      <c r="O9142" t="s">
        <v>345</v>
      </c>
      <c r="P9142" s="42">
        <v>44928</v>
      </c>
      <c r="Q9142" t="s">
        <v>345</v>
      </c>
      <c r="R9142" t="s">
        <v>320</v>
      </c>
      <c r="S9142" t="s">
        <v>323</v>
      </c>
      <c r="U9142">
        <v>7.6</v>
      </c>
    </row>
    <row r="9143" spans="3:25">
      <c r="N9143" s="42">
        <v>44922</v>
      </c>
      <c r="O9143" t="s">
        <v>333</v>
      </c>
      <c r="P9143" s="42">
        <v>44922</v>
      </c>
      <c r="Q9143" t="s">
        <v>333</v>
      </c>
      <c r="R9143" t="s">
        <v>320</v>
      </c>
      <c r="S9143" t="s">
        <v>323</v>
      </c>
      <c r="U9143">
        <v>7.6</v>
      </c>
    </row>
    <row r="9144" spans="3:25">
      <c r="N9144" s="42">
        <v>44921</v>
      </c>
      <c r="O9144" t="s">
        <v>345</v>
      </c>
      <c r="P9144" s="42">
        <v>44921</v>
      </c>
      <c r="Q9144" t="s">
        <v>345</v>
      </c>
      <c r="R9144" t="s">
        <v>320</v>
      </c>
      <c r="S9144" t="s">
        <v>323</v>
      </c>
      <c r="U9144">
        <v>7.6</v>
      </c>
    </row>
    <row r="9145" spans="3:25">
      <c r="N9145" s="42">
        <v>44914</v>
      </c>
      <c r="O9145" t="s">
        <v>345</v>
      </c>
      <c r="P9145" s="42">
        <v>44914</v>
      </c>
      <c r="Q9145" t="s">
        <v>345</v>
      </c>
      <c r="R9145" t="s">
        <v>320</v>
      </c>
      <c r="S9145" t="s">
        <v>323</v>
      </c>
      <c r="T9145">
        <v>7.6</v>
      </c>
      <c r="Y9145" s="42">
        <v>44915</v>
      </c>
    </row>
    <row r="9146" spans="3:25">
      <c r="N9146" s="42">
        <v>44911</v>
      </c>
      <c r="O9146" t="s">
        <v>346</v>
      </c>
      <c r="P9146" s="42">
        <v>44911</v>
      </c>
      <c r="Q9146" t="s">
        <v>346</v>
      </c>
      <c r="R9146" t="s">
        <v>320</v>
      </c>
      <c r="S9146" t="s">
        <v>323</v>
      </c>
      <c r="T9146">
        <v>7.6</v>
      </c>
      <c r="Y9146" s="42">
        <v>44915</v>
      </c>
    </row>
    <row r="9147" spans="3:25">
      <c r="N9147" s="42">
        <v>44910</v>
      </c>
      <c r="O9147" t="s">
        <v>324</v>
      </c>
      <c r="P9147" s="42">
        <v>44910</v>
      </c>
      <c r="Q9147" t="s">
        <v>324</v>
      </c>
      <c r="R9147" t="s">
        <v>320</v>
      </c>
      <c r="S9147" t="s">
        <v>323</v>
      </c>
      <c r="T9147">
        <v>7.6</v>
      </c>
      <c r="Y9147" s="42">
        <v>44915</v>
      </c>
    </row>
    <row r="9148" spans="3:25">
      <c r="N9148" s="42">
        <v>44909</v>
      </c>
      <c r="O9148" t="s">
        <v>328</v>
      </c>
      <c r="P9148" s="42">
        <v>44909</v>
      </c>
      <c r="Q9148" t="s">
        <v>328</v>
      </c>
      <c r="R9148" t="s">
        <v>320</v>
      </c>
      <c r="S9148" t="s">
        <v>323</v>
      </c>
      <c r="T9148">
        <v>7.6</v>
      </c>
      <c r="Y9148" s="42">
        <v>44915</v>
      </c>
    </row>
    <row r="9149" spans="3:25">
      <c r="N9149" s="42">
        <v>44908</v>
      </c>
      <c r="O9149" t="s">
        <v>333</v>
      </c>
      <c r="P9149" s="42">
        <v>44908</v>
      </c>
      <c r="Q9149" t="s">
        <v>333</v>
      </c>
      <c r="R9149" t="s">
        <v>320</v>
      </c>
      <c r="S9149" t="s">
        <v>323</v>
      </c>
      <c r="T9149">
        <v>7.6</v>
      </c>
      <c r="Y9149" s="42">
        <v>44915</v>
      </c>
    </row>
    <row r="9150" spans="3:25">
      <c r="N9150" s="42">
        <v>44907</v>
      </c>
      <c r="O9150" t="s">
        <v>345</v>
      </c>
      <c r="P9150" s="42">
        <v>44907</v>
      </c>
      <c r="Q9150" t="s">
        <v>345</v>
      </c>
      <c r="R9150" t="s">
        <v>320</v>
      </c>
      <c r="S9150" t="s">
        <v>323</v>
      </c>
      <c r="T9150">
        <v>7.6</v>
      </c>
      <c r="Y9150" s="42">
        <v>44915</v>
      </c>
    </row>
    <row r="9151" spans="3:25">
      <c r="N9151" s="42">
        <v>44904</v>
      </c>
      <c r="O9151" t="s">
        <v>346</v>
      </c>
      <c r="P9151" s="42">
        <v>44904</v>
      </c>
      <c r="Q9151" t="s">
        <v>346</v>
      </c>
      <c r="R9151" t="s">
        <v>320</v>
      </c>
      <c r="S9151" t="s">
        <v>323</v>
      </c>
      <c r="T9151">
        <v>7.6</v>
      </c>
      <c r="Y9151" s="42">
        <v>44915</v>
      </c>
    </row>
    <row r="9152" spans="3:25">
      <c r="N9152" s="42">
        <v>44903</v>
      </c>
      <c r="O9152" t="s">
        <v>324</v>
      </c>
      <c r="P9152" s="42">
        <v>44903</v>
      </c>
      <c r="Q9152" t="s">
        <v>324</v>
      </c>
      <c r="R9152" t="s">
        <v>320</v>
      </c>
      <c r="S9152" t="s">
        <v>323</v>
      </c>
      <c r="T9152">
        <v>7.6</v>
      </c>
      <c r="Y9152" s="42">
        <v>44915</v>
      </c>
    </row>
    <row r="9153" spans="14:25">
      <c r="N9153" s="42">
        <v>44902</v>
      </c>
      <c r="O9153" t="s">
        <v>328</v>
      </c>
      <c r="P9153" s="42">
        <v>44902</v>
      </c>
      <c r="Q9153" t="s">
        <v>328</v>
      </c>
      <c r="R9153" t="s">
        <v>320</v>
      </c>
      <c r="S9153" t="s">
        <v>323</v>
      </c>
      <c r="T9153">
        <v>7.6</v>
      </c>
      <c r="Y9153" s="42">
        <v>44915</v>
      </c>
    </row>
    <row r="9154" spans="14:25">
      <c r="N9154" s="42">
        <v>44901</v>
      </c>
      <c r="O9154" t="s">
        <v>333</v>
      </c>
      <c r="P9154" s="42">
        <v>44901</v>
      </c>
      <c r="Q9154" t="s">
        <v>333</v>
      </c>
      <c r="R9154" t="s">
        <v>320</v>
      </c>
      <c r="S9154" t="s">
        <v>323</v>
      </c>
      <c r="T9154">
        <v>7.6</v>
      </c>
      <c r="Y9154" s="42">
        <v>44901</v>
      </c>
    </row>
    <row r="9155" spans="14:25">
      <c r="N9155" s="42">
        <v>44886</v>
      </c>
      <c r="O9155" t="s">
        <v>345</v>
      </c>
      <c r="P9155" s="42">
        <v>44886</v>
      </c>
      <c r="Q9155" t="s">
        <v>345</v>
      </c>
      <c r="R9155" t="s">
        <v>320</v>
      </c>
      <c r="S9155" t="s">
        <v>323</v>
      </c>
      <c r="T9155">
        <v>7.6</v>
      </c>
      <c r="Y9155" s="42">
        <v>44887</v>
      </c>
    </row>
    <row r="9156" spans="14:25">
      <c r="N9156" s="42">
        <v>44873</v>
      </c>
      <c r="O9156" t="s">
        <v>333</v>
      </c>
      <c r="P9156" s="42">
        <v>44873</v>
      </c>
      <c r="Q9156" t="s">
        <v>333</v>
      </c>
      <c r="R9156" t="s">
        <v>320</v>
      </c>
      <c r="S9156" t="s">
        <v>323</v>
      </c>
      <c r="T9156">
        <v>7.6</v>
      </c>
      <c r="Y9156" s="42">
        <v>44873</v>
      </c>
    </row>
    <row r="9157" spans="14:25">
      <c r="N9157" s="42">
        <v>44869</v>
      </c>
      <c r="O9157" t="s">
        <v>346</v>
      </c>
      <c r="P9157" s="42">
        <v>44869</v>
      </c>
      <c r="Q9157" t="s">
        <v>346</v>
      </c>
      <c r="R9157" t="s">
        <v>329</v>
      </c>
      <c r="S9157" t="s">
        <v>323</v>
      </c>
      <c r="T9157">
        <v>7.6</v>
      </c>
      <c r="W9157" t="s">
        <v>330</v>
      </c>
      <c r="Y9157" s="42">
        <v>44873</v>
      </c>
    </row>
    <row r="9158" spans="14:25">
      <c r="N9158" s="42">
        <v>44866</v>
      </c>
      <c r="O9158" t="s">
        <v>333</v>
      </c>
      <c r="P9158" s="42">
        <v>44866</v>
      </c>
      <c r="Q9158" t="s">
        <v>333</v>
      </c>
      <c r="R9158" t="s">
        <v>320</v>
      </c>
      <c r="S9158" t="s">
        <v>323</v>
      </c>
      <c r="U9158">
        <v>7.6</v>
      </c>
    </row>
    <row r="9159" spans="14:25">
      <c r="N9159" s="42">
        <v>44845</v>
      </c>
      <c r="O9159" t="s">
        <v>333</v>
      </c>
      <c r="P9159" s="42">
        <v>44845</v>
      </c>
      <c r="Q9159" t="s">
        <v>333</v>
      </c>
      <c r="R9159" t="s">
        <v>329</v>
      </c>
      <c r="S9159" t="s">
        <v>323</v>
      </c>
      <c r="T9159">
        <v>7.6</v>
      </c>
      <c r="W9159" t="s">
        <v>330</v>
      </c>
      <c r="Y9159" s="42">
        <v>44845</v>
      </c>
    </row>
    <row r="9160" spans="14:25">
      <c r="N9160" s="42">
        <v>44844</v>
      </c>
      <c r="O9160" t="s">
        <v>345</v>
      </c>
      <c r="P9160" s="42">
        <v>44844</v>
      </c>
      <c r="Q9160" t="s">
        <v>345</v>
      </c>
      <c r="R9160" t="s">
        <v>329</v>
      </c>
      <c r="S9160" t="s">
        <v>323</v>
      </c>
      <c r="T9160">
        <v>7.6</v>
      </c>
      <c r="W9160" t="s">
        <v>330</v>
      </c>
      <c r="Y9160" s="42">
        <v>44845</v>
      </c>
    </row>
    <row r="9161" spans="14:25">
      <c r="N9161" s="42">
        <v>44826</v>
      </c>
      <c r="O9161" t="s">
        <v>324</v>
      </c>
      <c r="P9161" s="42">
        <v>44826</v>
      </c>
      <c r="Q9161" t="s">
        <v>324</v>
      </c>
      <c r="R9161" t="s">
        <v>320</v>
      </c>
      <c r="S9161" t="s">
        <v>323</v>
      </c>
      <c r="U9161">
        <v>7.6</v>
      </c>
    </row>
    <row r="9162" spans="14:25">
      <c r="N9162" s="42">
        <v>44792</v>
      </c>
      <c r="O9162" t="s">
        <v>346</v>
      </c>
      <c r="P9162" s="42">
        <v>44792</v>
      </c>
      <c r="Q9162" t="s">
        <v>346</v>
      </c>
      <c r="R9162" t="s">
        <v>320</v>
      </c>
      <c r="S9162" t="s">
        <v>323</v>
      </c>
      <c r="T9162">
        <v>7.6</v>
      </c>
      <c r="Y9162" s="42">
        <v>44803</v>
      </c>
    </row>
    <row r="9163" spans="14:25">
      <c r="N9163" s="42">
        <v>44771</v>
      </c>
      <c r="O9163" t="s">
        <v>346</v>
      </c>
      <c r="P9163" s="42">
        <v>44771</v>
      </c>
      <c r="Q9163" t="s">
        <v>346</v>
      </c>
      <c r="R9163" t="s">
        <v>320</v>
      </c>
      <c r="S9163" t="s">
        <v>323</v>
      </c>
      <c r="T9163">
        <v>7.6</v>
      </c>
      <c r="Y9163" s="42">
        <v>44775</v>
      </c>
    </row>
    <row r="9164" spans="14:25">
      <c r="N9164" s="42">
        <v>44768</v>
      </c>
      <c r="O9164" t="s">
        <v>333</v>
      </c>
      <c r="P9164" s="42">
        <v>44768</v>
      </c>
      <c r="Q9164" t="s">
        <v>333</v>
      </c>
      <c r="R9164" t="s">
        <v>329</v>
      </c>
      <c r="S9164" t="s">
        <v>323</v>
      </c>
      <c r="T9164">
        <v>7.6</v>
      </c>
      <c r="W9164" t="s">
        <v>330</v>
      </c>
      <c r="Y9164" s="42">
        <v>44775</v>
      </c>
    </row>
    <row r="9165" spans="14:25">
      <c r="N9165" s="42">
        <v>44725</v>
      </c>
      <c r="O9165" t="s">
        <v>345</v>
      </c>
      <c r="P9165" s="42">
        <v>44725</v>
      </c>
      <c r="Q9165" t="s">
        <v>345</v>
      </c>
      <c r="R9165" t="s">
        <v>320</v>
      </c>
      <c r="S9165" t="s">
        <v>323</v>
      </c>
      <c r="U9165">
        <v>7.6</v>
      </c>
    </row>
    <row r="9166" spans="14:25">
      <c r="N9166" s="42">
        <v>44721</v>
      </c>
      <c r="O9166" t="s">
        <v>324</v>
      </c>
      <c r="P9166" s="42">
        <v>44721</v>
      </c>
      <c r="Q9166" t="s">
        <v>324</v>
      </c>
      <c r="R9166" t="s">
        <v>320</v>
      </c>
      <c r="S9166" t="s">
        <v>323</v>
      </c>
      <c r="T9166">
        <v>7.6</v>
      </c>
      <c r="Y9166" s="42">
        <v>44733</v>
      </c>
    </row>
    <row r="9167" spans="14:25">
      <c r="N9167" s="42">
        <v>44719</v>
      </c>
      <c r="O9167" t="s">
        <v>333</v>
      </c>
      <c r="P9167" s="42">
        <v>44719</v>
      </c>
      <c r="Q9167" t="s">
        <v>333</v>
      </c>
      <c r="R9167" t="s">
        <v>329</v>
      </c>
      <c r="S9167" t="s">
        <v>323</v>
      </c>
      <c r="T9167">
        <v>7.6</v>
      </c>
      <c r="W9167" t="s">
        <v>330</v>
      </c>
      <c r="Y9167" s="42">
        <v>44719</v>
      </c>
    </row>
    <row r="9168" spans="14:25">
      <c r="N9168" s="42">
        <v>44704</v>
      </c>
      <c r="O9168" t="s">
        <v>345</v>
      </c>
      <c r="P9168" s="42">
        <v>44704</v>
      </c>
      <c r="Q9168" t="s">
        <v>345</v>
      </c>
      <c r="R9168" t="s">
        <v>329</v>
      </c>
      <c r="S9168" t="s">
        <v>323</v>
      </c>
      <c r="T9168">
        <v>7.6</v>
      </c>
      <c r="W9168" t="s">
        <v>330</v>
      </c>
      <c r="Y9168" s="42">
        <v>44705</v>
      </c>
    </row>
    <row r="9169" spans="1:25">
      <c r="N9169" s="42">
        <v>44676</v>
      </c>
      <c r="O9169" t="s">
        <v>345</v>
      </c>
      <c r="P9169" s="42">
        <v>44676</v>
      </c>
      <c r="Q9169" t="s">
        <v>345</v>
      </c>
      <c r="R9169" t="s">
        <v>320</v>
      </c>
      <c r="S9169" t="s">
        <v>323</v>
      </c>
      <c r="U9169">
        <v>7.6</v>
      </c>
    </row>
    <row r="9170" spans="1:25">
      <c r="N9170" s="42">
        <v>44669</v>
      </c>
      <c r="O9170" t="s">
        <v>345</v>
      </c>
      <c r="P9170" s="42">
        <v>44669</v>
      </c>
      <c r="Q9170" t="s">
        <v>345</v>
      </c>
      <c r="R9170" t="s">
        <v>320</v>
      </c>
      <c r="S9170" t="s">
        <v>323</v>
      </c>
      <c r="U9170">
        <v>7.6</v>
      </c>
    </row>
    <row r="9171" spans="1:25">
      <c r="N9171" s="42">
        <v>44666</v>
      </c>
      <c r="O9171" t="s">
        <v>346</v>
      </c>
      <c r="P9171" s="42">
        <v>44666</v>
      </c>
      <c r="Q9171" t="s">
        <v>346</v>
      </c>
      <c r="R9171" t="s">
        <v>320</v>
      </c>
      <c r="S9171" t="s">
        <v>323</v>
      </c>
      <c r="U9171">
        <v>7.6</v>
      </c>
    </row>
    <row r="9172" spans="1:25">
      <c r="N9172" s="42">
        <v>44657</v>
      </c>
      <c r="O9172" t="s">
        <v>328</v>
      </c>
      <c r="P9172" s="42">
        <v>44657</v>
      </c>
      <c r="Q9172" t="s">
        <v>328</v>
      </c>
      <c r="R9172" t="s">
        <v>329</v>
      </c>
      <c r="S9172" t="s">
        <v>323</v>
      </c>
      <c r="T9172">
        <v>7.6</v>
      </c>
      <c r="W9172" t="s">
        <v>330</v>
      </c>
      <c r="Y9172" s="42">
        <v>44663</v>
      </c>
    </row>
    <row r="9173" spans="1:25">
      <c r="N9173" s="42">
        <v>44656</v>
      </c>
      <c r="O9173" t="s">
        <v>333</v>
      </c>
      <c r="P9173" s="42">
        <v>44656</v>
      </c>
      <c r="Q9173" t="s">
        <v>333</v>
      </c>
      <c r="R9173" t="s">
        <v>329</v>
      </c>
      <c r="S9173" t="s">
        <v>323</v>
      </c>
      <c r="T9173">
        <v>7.6</v>
      </c>
      <c r="W9173" t="s">
        <v>330</v>
      </c>
      <c r="Y9173" s="42">
        <v>44663</v>
      </c>
    </row>
    <row r="9174" spans="1:25">
      <c r="N9174" s="42">
        <v>44636</v>
      </c>
      <c r="O9174" t="s">
        <v>328</v>
      </c>
      <c r="P9174" s="42">
        <v>44636</v>
      </c>
      <c r="Q9174" t="s">
        <v>328</v>
      </c>
      <c r="R9174" t="s">
        <v>320</v>
      </c>
      <c r="S9174" t="s">
        <v>323</v>
      </c>
      <c r="T9174">
        <v>7.6</v>
      </c>
      <c r="Y9174" s="42">
        <v>44649</v>
      </c>
    </row>
    <row r="9175" spans="1:25">
      <c r="N9175" s="42">
        <v>44635</v>
      </c>
      <c r="O9175" t="s">
        <v>333</v>
      </c>
      <c r="P9175" s="42">
        <v>44635</v>
      </c>
      <c r="Q9175" t="s">
        <v>333</v>
      </c>
      <c r="R9175" t="s">
        <v>320</v>
      </c>
      <c r="S9175" t="s">
        <v>323</v>
      </c>
      <c r="T9175">
        <v>7.6</v>
      </c>
      <c r="Y9175" s="42">
        <v>44635</v>
      </c>
    </row>
    <row r="9176" spans="1:25">
      <c r="N9176" s="42">
        <v>44634</v>
      </c>
      <c r="O9176" t="s">
        <v>345</v>
      </c>
      <c r="P9176" s="42">
        <v>44634</v>
      </c>
      <c r="Q9176" t="s">
        <v>345</v>
      </c>
      <c r="R9176" t="s">
        <v>320</v>
      </c>
      <c r="S9176" t="s">
        <v>323</v>
      </c>
      <c r="U9176">
        <v>7.6</v>
      </c>
    </row>
    <row r="9177" spans="1:25">
      <c r="N9177" s="42">
        <v>44610</v>
      </c>
      <c r="O9177" t="s">
        <v>346</v>
      </c>
      <c r="P9177" s="42">
        <v>44610</v>
      </c>
      <c r="Q9177" t="s">
        <v>346</v>
      </c>
      <c r="R9177" t="s">
        <v>329</v>
      </c>
      <c r="S9177" t="s">
        <v>323</v>
      </c>
      <c r="T9177">
        <v>7.6</v>
      </c>
      <c r="W9177" t="s">
        <v>330</v>
      </c>
      <c r="Y9177" s="42">
        <v>44621</v>
      </c>
    </row>
    <row r="9178" spans="1:25">
      <c r="N9178" s="42">
        <v>44587</v>
      </c>
      <c r="O9178" t="s">
        <v>328</v>
      </c>
      <c r="P9178" s="42">
        <v>44587</v>
      </c>
      <c r="Q9178" t="s">
        <v>328</v>
      </c>
      <c r="R9178" t="s">
        <v>320</v>
      </c>
      <c r="S9178" t="s">
        <v>323</v>
      </c>
      <c r="U9178">
        <v>7.6</v>
      </c>
    </row>
    <row r="9179" spans="1:25">
      <c r="N9179" s="42">
        <v>44564</v>
      </c>
      <c r="O9179" t="s">
        <v>345</v>
      </c>
      <c r="P9179" s="42">
        <v>44564</v>
      </c>
      <c r="Q9179" t="s">
        <v>345</v>
      </c>
      <c r="R9179" t="s">
        <v>320</v>
      </c>
      <c r="S9179" t="s">
        <v>323</v>
      </c>
      <c r="U9179">
        <v>7.6</v>
      </c>
    </row>
    <row r="9180" spans="1:25">
      <c r="N9180" s="42">
        <v>44558</v>
      </c>
      <c r="O9180" t="s">
        <v>333</v>
      </c>
      <c r="P9180" s="42">
        <v>44558</v>
      </c>
      <c r="Q9180" t="s">
        <v>333</v>
      </c>
      <c r="R9180" t="s">
        <v>320</v>
      </c>
      <c r="S9180" t="s">
        <v>323</v>
      </c>
      <c r="U9180">
        <v>7.6</v>
      </c>
    </row>
    <row r="9181" spans="1:25">
      <c r="N9181" s="42">
        <v>44557</v>
      </c>
      <c r="O9181" t="s">
        <v>345</v>
      </c>
      <c r="P9181" s="42">
        <v>44557</v>
      </c>
      <c r="Q9181" t="s">
        <v>345</v>
      </c>
      <c r="R9181" t="s">
        <v>320</v>
      </c>
      <c r="S9181" t="s">
        <v>323</v>
      </c>
      <c r="U9181">
        <v>7.6</v>
      </c>
    </row>
    <row r="9182" spans="1:25">
      <c r="A9182">
        <v>18980</v>
      </c>
      <c r="B9182" t="s">
        <v>471</v>
      </c>
      <c r="C9182" t="s">
        <v>320</v>
      </c>
      <c r="D9182" t="s">
        <v>336</v>
      </c>
      <c r="E9182" t="s">
        <v>337</v>
      </c>
      <c r="F9182">
        <v>1</v>
      </c>
      <c r="G9182" s="42">
        <v>45262</v>
      </c>
      <c r="H9182">
        <v>152</v>
      </c>
      <c r="I9182">
        <v>58.215400000000002</v>
      </c>
      <c r="J9182">
        <v>38.3123</v>
      </c>
      <c r="K9182">
        <v>96.527699999999996</v>
      </c>
      <c r="L9182" t="s">
        <v>323</v>
      </c>
      <c r="M9182" s="43">
        <v>4.3750000000000004E-2</v>
      </c>
      <c r="N9182" s="42">
        <v>44952</v>
      </c>
      <c r="O9182" t="s">
        <v>324</v>
      </c>
      <c r="P9182" s="42">
        <v>44952</v>
      </c>
      <c r="Q9182" t="s">
        <v>324</v>
      </c>
      <c r="R9182" t="s">
        <v>320</v>
      </c>
      <c r="S9182" t="s">
        <v>323</v>
      </c>
      <c r="U9182">
        <v>7.6</v>
      </c>
    </row>
    <row r="9183" spans="1:25">
      <c r="C9183" t="s">
        <v>325</v>
      </c>
      <c r="D9183" t="s">
        <v>352</v>
      </c>
      <c r="E9183" t="s">
        <v>353</v>
      </c>
      <c r="F9183">
        <v>1</v>
      </c>
      <c r="G9183" s="42">
        <v>48185</v>
      </c>
      <c r="H9183">
        <v>329.346</v>
      </c>
      <c r="I9183">
        <v>0</v>
      </c>
      <c r="J9183">
        <v>41.123199999999997</v>
      </c>
      <c r="K9183">
        <v>41.123199999999997</v>
      </c>
      <c r="L9183" t="s">
        <v>323</v>
      </c>
      <c r="N9183" s="42">
        <v>44937</v>
      </c>
      <c r="O9183" t="s">
        <v>328</v>
      </c>
      <c r="P9183" s="42">
        <v>44937</v>
      </c>
      <c r="Q9183" t="s">
        <v>328</v>
      </c>
      <c r="R9183" t="s">
        <v>329</v>
      </c>
      <c r="S9183" t="s">
        <v>323</v>
      </c>
      <c r="T9183">
        <v>7.6</v>
      </c>
      <c r="W9183" t="s">
        <v>330</v>
      </c>
      <c r="Y9183" s="42">
        <v>44943</v>
      </c>
    </row>
    <row r="9184" spans="1:25">
      <c r="C9184" t="s">
        <v>329</v>
      </c>
      <c r="D9184" t="s">
        <v>342</v>
      </c>
      <c r="E9184" t="s">
        <v>343</v>
      </c>
      <c r="F9184">
        <v>1</v>
      </c>
      <c r="G9184" s="42">
        <v>45262</v>
      </c>
      <c r="H9184">
        <v>76</v>
      </c>
      <c r="I9184">
        <v>11.9077</v>
      </c>
      <c r="J9184">
        <v>19.156199999999998</v>
      </c>
      <c r="K9184">
        <v>31.0639</v>
      </c>
      <c r="L9184" t="s">
        <v>323</v>
      </c>
      <c r="N9184" s="42">
        <v>44932</v>
      </c>
      <c r="O9184" t="s">
        <v>346</v>
      </c>
      <c r="P9184" s="42">
        <v>44932</v>
      </c>
      <c r="Q9184" t="s">
        <v>346</v>
      </c>
      <c r="R9184" t="s">
        <v>320</v>
      </c>
      <c r="S9184" t="s">
        <v>323</v>
      </c>
      <c r="T9184">
        <v>7.6</v>
      </c>
      <c r="Y9184" s="42">
        <v>44943</v>
      </c>
    </row>
    <row r="9185" spans="14:25">
      <c r="N9185" s="42">
        <v>44931</v>
      </c>
      <c r="O9185" t="s">
        <v>324</v>
      </c>
      <c r="P9185" s="42">
        <v>44931</v>
      </c>
      <c r="Q9185" t="s">
        <v>324</v>
      </c>
      <c r="R9185" t="s">
        <v>320</v>
      </c>
      <c r="S9185" t="s">
        <v>323</v>
      </c>
      <c r="T9185">
        <v>7.6</v>
      </c>
      <c r="Y9185" s="42">
        <v>44943</v>
      </c>
    </row>
    <row r="9186" spans="14:25">
      <c r="N9186" s="42">
        <v>44930</v>
      </c>
      <c r="O9186" t="s">
        <v>328</v>
      </c>
      <c r="P9186" s="42">
        <v>44930</v>
      </c>
      <c r="Q9186" t="s">
        <v>328</v>
      </c>
      <c r="R9186" t="s">
        <v>320</v>
      </c>
      <c r="S9186" t="s">
        <v>323</v>
      </c>
      <c r="T9186">
        <v>7.6</v>
      </c>
      <c r="Y9186" s="42">
        <v>44943</v>
      </c>
    </row>
    <row r="9187" spans="14:25">
      <c r="N9187" s="42">
        <v>44929</v>
      </c>
      <c r="O9187" t="s">
        <v>333</v>
      </c>
      <c r="P9187" s="42">
        <v>44929</v>
      </c>
      <c r="Q9187" t="s">
        <v>333</v>
      </c>
      <c r="R9187" t="s">
        <v>320</v>
      </c>
      <c r="S9187" t="s">
        <v>323</v>
      </c>
      <c r="T9187">
        <v>7.6</v>
      </c>
      <c r="Y9187" s="42">
        <v>44929</v>
      </c>
    </row>
    <row r="9188" spans="14:25">
      <c r="N9188" s="42">
        <v>44928</v>
      </c>
      <c r="O9188" t="s">
        <v>345</v>
      </c>
      <c r="P9188" s="42">
        <v>44928</v>
      </c>
      <c r="Q9188" t="s">
        <v>345</v>
      </c>
      <c r="R9188" t="s">
        <v>320</v>
      </c>
      <c r="S9188" t="s">
        <v>323</v>
      </c>
      <c r="U9188">
        <v>7.6</v>
      </c>
    </row>
    <row r="9189" spans="14:25">
      <c r="N9189" s="42">
        <v>44922</v>
      </c>
      <c r="O9189" t="s">
        <v>333</v>
      </c>
      <c r="P9189" s="42">
        <v>44922</v>
      </c>
      <c r="Q9189" t="s">
        <v>333</v>
      </c>
      <c r="R9189" t="s">
        <v>320</v>
      </c>
      <c r="S9189" t="s">
        <v>323</v>
      </c>
      <c r="U9189">
        <v>7.6</v>
      </c>
    </row>
    <row r="9190" spans="14:25">
      <c r="N9190" s="42">
        <v>44921</v>
      </c>
      <c r="O9190" t="s">
        <v>345</v>
      </c>
      <c r="P9190" s="42">
        <v>44921</v>
      </c>
      <c r="Q9190" t="s">
        <v>345</v>
      </c>
      <c r="R9190" t="s">
        <v>320</v>
      </c>
      <c r="S9190" t="s">
        <v>323</v>
      </c>
      <c r="U9190">
        <v>7.6</v>
      </c>
    </row>
    <row r="9191" spans="14:25">
      <c r="N9191" s="42">
        <v>44907</v>
      </c>
      <c r="O9191" t="s">
        <v>345</v>
      </c>
      <c r="P9191" s="42">
        <v>44907</v>
      </c>
      <c r="Q9191" t="s">
        <v>345</v>
      </c>
      <c r="R9191" t="s">
        <v>329</v>
      </c>
      <c r="S9191" t="s">
        <v>323</v>
      </c>
      <c r="T9191">
        <v>7.6</v>
      </c>
      <c r="W9191" t="s">
        <v>330</v>
      </c>
      <c r="Y9191" s="42">
        <v>44915</v>
      </c>
    </row>
    <row r="9192" spans="14:25">
      <c r="N9192" s="42">
        <v>44888</v>
      </c>
      <c r="O9192" t="s">
        <v>328</v>
      </c>
      <c r="P9192" s="42">
        <v>44888</v>
      </c>
      <c r="Q9192" t="s">
        <v>328</v>
      </c>
      <c r="R9192" t="s">
        <v>329</v>
      </c>
      <c r="S9192" t="s">
        <v>323</v>
      </c>
      <c r="T9192">
        <v>7.6</v>
      </c>
      <c r="W9192" t="s">
        <v>330</v>
      </c>
      <c r="Y9192" s="42">
        <v>44901</v>
      </c>
    </row>
    <row r="9193" spans="14:25">
      <c r="N9193" s="42">
        <v>44859</v>
      </c>
      <c r="O9193" t="s">
        <v>333</v>
      </c>
      <c r="P9193" s="42">
        <v>44859</v>
      </c>
      <c r="Q9193" t="s">
        <v>333</v>
      </c>
      <c r="R9193" t="s">
        <v>329</v>
      </c>
      <c r="S9193" t="s">
        <v>323</v>
      </c>
      <c r="T9193">
        <v>7.6</v>
      </c>
      <c r="W9193" t="s">
        <v>330</v>
      </c>
      <c r="Y9193" s="42">
        <v>44859</v>
      </c>
    </row>
    <row r="9194" spans="14:25">
      <c r="N9194" s="42">
        <v>44845</v>
      </c>
      <c r="O9194" t="s">
        <v>333</v>
      </c>
      <c r="P9194" s="42">
        <v>44845</v>
      </c>
      <c r="Q9194" t="s">
        <v>333</v>
      </c>
      <c r="R9194" t="s">
        <v>320</v>
      </c>
      <c r="S9194" t="s">
        <v>323</v>
      </c>
      <c r="T9194">
        <v>7.6</v>
      </c>
      <c r="Y9194" s="42">
        <v>44845</v>
      </c>
    </row>
    <row r="9195" spans="14:25">
      <c r="N9195" s="42">
        <v>44844</v>
      </c>
      <c r="O9195" t="s">
        <v>345</v>
      </c>
      <c r="P9195" s="42">
        <v>44844</v>
      </c>
      <c r="Q9195" t="s">
        <v>345</v>
      </c>
      <c r="R9195" t="s">
        <v>320</v>
      </c>
      <c r="S9195" t="s">
        <v>323</v>
      </c>
      <c r="T9195">
        <v>7.6</v>
      </c>
      <c r="Y9195" s="42">
        <v>44845</v>
      </c>
    </row>
    <row r="9196" spans="14:25">
      <c r="N9196" s="42">
        <v>44837</v>
      </c>
      <c r="O9196" t="s">
        <v>345</v>
      </c>
      <c r="P9196" s="42">
        <v>44837</v>
      </c>
      <c r="Q9196" t="s">
        <v>345</v>
      </c>
      <c r="R9196" t="s">
        <v>320</v>
      </c>
      <c r="S9196" t="s">
        <v>323</v>
      </c>
      <c r="U9196">
        <v>7.6</v>
      </c>
    </row>
    <row r="9197" spans="14:25">
      <c r="N9197" s="42">
        <v>44826</v>
      </c>
      <c r="O9197" t="s">
        <v>324</v>
      </c>
      <c r="P9197" s="42">
        <v>44826</v>
      </c>
      <c r="Q9197" t="s">
        <v>324</v>
      </c>
      <c r="R9197" t="s">
        <v>320</v>
      </c>
      <c r="S9197" t="s">
        <v>323</v>
      </c>
      <c r="U9197">
        <v>7.6</v>
      </c>
    </row>
    <row r="9198" spans="14:25">
      <c r="N9198" s="42">
        <v>44812</v>
      </c>
      <c r="O9198" t="s">
        <v>324</v>
      </c>
      <c r="P9198" s="42">
        <v>44812</v>
      </c>
      <c r="Q9198" t="s">
        <v>324</v>
      </c>
      <c r="R9198" t="s">
        <v>329</v>
      </c>
      <c r="S9198" t="s">
        <v>323</v>
      </c>
      <c r="T9198">
        <v>3</v>
      </c>
      <c r="W9198" t="s">
        <v>330</v>
      </c>
      <c r="Y9198" s="42">
        <v>44817</v>
      </c>
    </row>
    <row r="9199" spans="14:25">
      <c r="N9199" s="42">
        <v>44804</v>
      </c>
      <c r="O9199" t="s">
        <v>328</v>
      </c>
      <c r="P9199" s="42">
        <v>44804</v>
      </c>
      <c r="Q9199" t="s">
        <v>328</v>
      </c>
      <c r="R9199" t="s">
        <v>329</v>
      </c>
      <c r="S9199" t="s">
        <v>323</v>
      </c>
      <c r="T9199">
        <v>7.6</v>
      </c>
      <c r="W9199" t="s">
        <v>330</v>
      </c>
      <c r="Y9199" s="42">
        <v>44817</v>
      </c>
    </row>
    <row r="9200" spans="14:25">
      <c r="N9200" s="42">
        <v>44756</v>
      </c>
      <c r="O9200" t="s">
        <v>324</v>
      </c>
      <c r="P9200" s="42">
        <v>44756</v>
      </c>
      <c r="Q9200" t="s">
        <v>324</v>
      </c>
      <c r="R9200" t="s">
        <v>320</v>
      </c>
      <c r="S9200" t="s">
        <v>323</v>
      </c>
      <c r="T9200">
        <v>7.6</v>
      </c>
      <c r="Y9200" s="42">
        <v>44761</v>
      </c>
    </row>
    <row r="9201" spans="14:25">
      <c r="N9201" s="42">
        <v>44739</v>
      </c>
      <c r="O9201" t="s">
        <v>345</v>
      </c>
      <c r="P9201" s="42">
        <v>44739</v>
      </c>
      <c r="Q9201" t="s">
        <v>345</v>
      </c>
      <c r="R9201" t="s">
        <v>329</v>
      </c>
      <c r="S9201" t="s">
        <v>323</v>
      </c>
      <c r="T9201">
        <v>7.6</v>
      </c>
      <c r="W9201" t="s">
        <v>330</v>
      </c>
      <c r="Y9201" s="42">
        <v>44747</v>
      </c>
    </row>
    <row r="9202" spans="14:25">
      <c r="N9202" s="42">
        <v>44725</v>
      </c>
      <c r="O9202" t="s">
        <v>345</v>
      </c>
      <c r="P9202" s="42">
        <v>44725</v>
      </c>
      <c r="Q9202" t="s">
        <v>345</v>
      </c>
      <c r="R9202" t="s">
        <v>320</v>
      </c>
      <c r="S9202" t="s">
        <v>323</v>
      </c>
      <c r="U9202">
        <v>7.6</v>
      </c>
    </row>
    <row r="9203" spans="14:25">
      <c r="N9203" s="42">
        <v>44684</v>
      </c>
      <c r="O9203" t="s">
        <v>333</v>
      </c>
      <c r="P9203" s="42">
        <v>44684</v>
      </c>
      <c r="Q9203" t="s">
        <v>333</v>
      </c>
      <c r="R9203" t="s">
        <v>320</v>
      </c>
      <c r="S9203" t="s">
        <v>323</v>
      </c>
      <c r="T9203">
        <v>2</v>
      </c>
      <c r="Y9203" s="42">
        <v>44691</v>
      </c>
    </row>
    <row r="9204" spans="14:25">
      <c r="N9204" s="42">
        <v>44676</v>
      </c>
      <c r="O9204" t="s">
        <v>345</v>
      </c>
      <c r="P9204" s="42">
        <v>44676</v>
      </c>
      <c r="Q9204" t="s">
        <v>345</v>
      </c>
      <c r="R9204" t="s">
        <v>320</v>
      </c>
      <c r="S9204" t="s">
        <v>323</v>
      </c>
      <c r="U9204">
        <v>7.6</v>
      </c>
    </row>
    <row r="9205" spans="14:25">
      <c r="N9205" s="42">
        <v>44669</v>
      </c>
      <c r="O9205" t="s">
        <v>345</v>
      </c>
      <c r="P9205" s="42">
        <v>44669</v>
      </c>
      <c r="Q9205" t="s">
        <v>345</v>
      </c>
      <c r="R9205" t="s">
        <v>320</v>
      </c>
      <c r="S9205" t="s">
        <v>323</v>
      </c>
      <c r="U9205">
        <v>7.6</v>
      </c>
    </row>
    <row r="9206" spans="14:25">
      <c r="N9206" s="42">
        <v>44666</v>
      </c>
      <c r="O9206" t="s">
        <v>346</v>
      </c>
      <c r="P9206" s="42">
        <v>44666</v>
      </c>
      <c r="Q9206" t="s">
        <v>346</v>
      </c>
      <c r="R9206" t="s">
        <v>320</v>
      </c>
      <c r="S9206" t="s">
        <v>323</v>
      </c>
      <c r="U9206">
        <v>7.6</v>
      </c>
    </row>
    <row r="9207" spans="14:25">
      <c r="N9207" s="42">
        <v>44644</v>
      </c>
      <c r="O9207" t="s">
        <v>324</v>
      </c>
      <c r="P9207" s="42">
        <v>44644</v>
      </c>
      <c r="Q9207" t="s">
        <v>324</v>
      </c>
      <c r="R9207" t="s">
        <v>320</v>
      </c>
      <c r="S9207" t="s">
        <v>323</v>
      </c>
      <c r="T9207">
        <v>7.6</v>
      </c>
      <c r="Y9207" s="42">
        <v>44649</v>
      </c>
    </row>
    <row r="9208" spans="14:25">
      <c r="N9208" s="42">
        <v>44643</v>
      </c>
      <c r="O9208" t="s">
        <v>328</v>
      </c>
      <c r="P9208" s="42">
        <v>44643</v>
      </c>
      <c r="Q9208" t="s">
        <v>328</v>
      </c>
      <c r="R9208" t="s">
        <v>320</v>
      </c>
      <c r="S9208" t="s">
        <v>323</v>
      </c>
      <c r="T9208">
        <v>7.6</v>
      </c>
      <c r="Y9208" s="42">
        <v>44649</v>
      </c>
    </row>
    <row r="9209" spans="14:25">
      <c r="N9209" s="42">
        <v>44642</v>
      </c>
      <c r="O9209" t="s">
        <v>333</v>
      </c>
      <c r="P9209" s="42">
        <v>44642</v>
      </c>
      <c r="Q9209" t="s">
        <v>333</v>
      </c>
      <c r="R9209" t="s">
        <v>320</v>
      </c>
      <c r="S9209" t="s">
        <v>323</v>
      </c>
      <c r="T9209">
        <v>7.6</v>
      </c>
      <c r="Y9209" s="42">
        <v>44649</v>
      </c>
    </row>
    <row r="9210" spans="14:25">
      <c r="N9210" s="42">
        <v>44641</v>
      </c>
      <c r="O9210" t="s">
        <v>345</v>
      </c>
      <c r="P9210" s="42">
        <v>44641</v>
      </c>
      <c r="Q9210" t="s">
        <v>345</v>
      </c>
      <c r="R9210" t="s">
        <v>320</v>
      </c>
      <c r="S9210" t="s">
        <v>323</v>
      </c>
      <c r="T9210">
        <v>7.6</v>
      </c>
      <c r="Y9210" s="42">
        <v>44649</v>
      </c>
    </row>
    <row r="9211" spans="14:25">
      <c r="N9211" s="42">
        <v>44638</v>
      </c>
      <c r="O9211" t="s">
        <v>346</v>
      </c>
      <c r="P9211" s="42">
        <v>44638</v>
      </c>
      <c r="Q9211" t="s">
        <v>346</v>
      </c>
      <c r="R9211" t="s">
        <v>338</v>
      </c>
      <c r="S9211" t="s">
        <v>323</v>
      </c>
      <c r="T9211">
        <v>7.6</v>
      </c>
      <c r="W9211" t="s">
        <v>330</v>
      </c>
      <c r="Y9211" s="42">
        <v>44649</v>
      </c>
    </row>
    <row r="9212" spans="14:25">
      <c r="N9212" s="42">
        <v>44600</v>
      </c>
      <c r="O9212" t="s">
        <v>333</v>
      </c>
      <c r="P9212" s="42">
        <v>44600</v>
      </c>
      <c r="Q9212" t="s">
        <v>333</v>
      </c>
      <c r="R9212" t="s">
        <v>329</v>
      </c>
      <c r="S9212" t="s">
        <v>323</v>
      </c>
      <c r="T9212">
        <v>7.6</v>
      </c>
      <c r="W9212" t="s">
        <v>330</v>
      </c>
      <c r="Y9212" s="42">
        <v>44607</v>
      </c>
    </row>
    <row r="9213" spans="14:25">
      <c r="N9213" s="42">
        <v>44600</v>
      </c>
      <c r="O9213" t="s">
        <v>333</v>
      </c>
      <c r="P9213" s="42">
        <v>44600</v>
      </c>
      <c r="Q9213" t="s">
        <v>333</v>
      </c>
      <c r="R9213" t="s">
        <v>329</v>
      </c>
      <c r="S9213" t="s">
        <v>323</v>
      </c>
      <c r="T9213">
        <v>7.6</v>
      </c>
      <c r="W9213" t="s">
        <v>339</v>
      </c>
      <c r="Y9213" s="42">
        <v>44607</v>
      </c>
    </row>
    <row r="9214" spans="14:25">
      <c r="N9214" s="42">
        <v>44587</v>
      </c>
      <c r="O9214" t="s">
        <v>328</v>
      </c>
      <c r="P9214" s="42">
        <v>44587</v>
      </c>
      <c r="Q9214" t="s">
        <v>328</v>
      </c>
      <c r="R9214" t="s">
        <v>320</v>
      </c>
      <c r="S9214" t="s">
        <v>323</v>
      </c>
      <c r="U9214">
        <v>7.6</v>
      </c>
    </row>
    <row r="9215" spans="14:25">
      <c r="N9215" s="42">
        <v>44564</v>
      </c>
      <c r="O9215" t="s">
        <v>345</v>
      </c>
      <c r="P9215" s="42">
        <v>44564</v>
      </c>
      <c r="Q9215" t="s">
        <v>345</v>
      </c>
      <c r="R9215" t="s">
        <v>320</v>
      </c>
      <c r="S9215" t="s">
        <v>323</v>
      </c>
      <c r="U9215">
        <v>7.6</v>
      </c>
    </row>
    <row r="9216" spans="14:25">
      <c r="N9216" s="42">
        <v>44561</v>
      </c>
      <c r="O9216" t="s">
        <v>346</v>
      </c>
      <c r="P9216" s="42">
        <v>44561</v>
      </c>
      <c r="Q9216" t="s">
        <v>346</v>
      </c>
      <c r="R9216" t="s">
        <v>320</v>
      </c>
      <c r="S9216" t="s">
        <v>323</v>
      </c>
      <c r="T9216">
        <v>7.6</v>
      </c>
      <c r="Y9216" s="42">
        <v>44565</v>
      </c>
    </row>
    <row r="9217" spans="1:25">
      <c r="N9217" s="42">
        <v>44558</v>
      </c>
      <c r="O9217" t="s">
        <v>333</v>
      </c>
      <c r="P9217" s="42">
        <v>44558</v>
      </c>
      <c r="Q9217" t="s">
        <v>333</v>
      </c>
      <c r="R9217" t="s">
        <v>320</v>
      </c>
      <c r="S9217" t="s">
        <v>323</v>
      </c>
      <c r="U9217">
        <v>7.6</v>
      </c>
    </row>
    <row r="9218" spans="1:25">
      <c r="N9218" s="42">
        <v>44557</v>
      </c>
      <c r="O9218" t="s">
        <v>345</v>
      </c>
      <c r="P9218" s="42">
        <v>44557</v>
      </c>
      <c r="Q9218" t="s">
        <v>345</v>
      </c>
      <c r="R9218" t="s">
        <v>320</v>
      </c>
      <c r="S9218" t="s">
        <v>323</v>
      </c>
      <c r="U9218">
        <v>7.6</v>
      </c>
    </row>
    <row r="9219" spans="1:25">
      <c r="A9219">
        <v>18983</v>
      </c>
      <c r="B9219" t="s">
        <v>472</v>
      </c>
      <c r="C9219" t="s">
        <v>320</v>
      </c>
      <c r="D9219" t="s">
        <v>336</v>
      </c>
      <c r="E9219" t="s">
        <v>337</v>
      </c>
      <c r="F9219">
        <v>1</v>
      </c>
      <c r="G9219" s="42">
        <v>45021</v>
      </c>
      <c r="H9219">
        <v>152</v>
      </c>
      <c r="I9219">
        <v>-83.6</v>
      </c>
      <c r="J9219">
        <v>138.67400000000001</v>
      </c>
      <c r="K9219">
        <v>55.073999999999998</v>
      </c>
      <c r="L9219" t="s">
        <v>323</v>
      </c>
      <c r="M9219" s="43">
        <v>4.3750000000000004E-2</v>
      </c>
      <c r="N9219" s="42">
        <v>44952</v>
      </c>
      <c r="O9219" t="s">
        <v>324</v>
      </c>
      <c r="P9219" s="42">
        <v>44952</v>
      </c>
      <c r="Q9219" t="s">
        <v>324</v>
      </c>
      <c r="R9219" t="s">
        <v>320</v>
      </c>
      <c r="S9219" t="s">
        <v>323</v>
      </c>
      <c r="U9219">
        <v>7.6</v>
      </c>
    </row>
    <row r="9220" spans="1:25">
      <c r="C9220" t="s">
        <v>325</v>
      </c>
      <c r="D9220" t="s">
        <v>340</v>
      </c>
      <c r="E9220" t="s">
        <v>341</v>
      </c>
      <c r="F9220">
        <v>1</v>
      </c>
      <c r="G9220" s="42">
        <v>47213</v>
      </c>
      <c r="H9220">
        <v>230.54220000000001</v>
      </c>
      <c r="I9220">
        <v>0</v>
      </c>
      <c r="J9220">
        <v>30.023700000000002</v>
      </c>
      <c r="K9220">
        <v>30.023700000000002</v>
      </c>
      <c r="L9220" t="s">
        <v>323</v>
      </c>
      <c r="N9220" s="42">
        <v>44938</v>
      </c>
      <c r="O9220" t="s">
        <v>324</v>
      </c>
      <c r="P9220" s="42">
        <v>44938</v>
      </c>
      <c r="Q9220" t="s">
        <v>324</v>
      </c>
      <c r="R9220" t="s">
        <v>329</v>
      </c>
      <c r="S9220" t="s">
        <v>323</v>
      </c>
      <c r="T9220">
        <v>7.6</v>
      </c>
      <c r="W9220" t="s">
        <v>330</v>
      </c>
      <c r="Y9220" s="42">
        <v>44943</v>
      </c>
    </row>
    <row r="9221" spans="1:25">
      <c r="C9221" t="s">
        <v>329</v>
      </c>
      <c r="D9221" t="s">
        <v>342</v>
      </c>
      <c r="E9221" t="s">
        <v>343</v>
      </c>
      <c r="F9221">
        <v>1</v>
      </c>
      <c r="G9221" s="42">
        <v>45021</v>
      </c>
      <c r="H9221">
        <v>76</v>
      </c>
      <c r="I9221">
        <v>-53.2</v>
      </c>
      <c r="J9221">
        <v>69.337000000000003</v>
      </c>
      <c r="K9221">
        <v>16.137</v>
      </c>
      <c r="L9221" t="s">
        <v>323</v>
      </c>
      <c r="N9221" s="42">
        <v>44925</v>
      </c>
      <c r="O9221" t="s">
        <v>346</v>
      </c>
      <c r="P9221" s="42">
        <v>44925</v>
      </c>
      <c r="Q9221" t="s">
        <v>346</v>
      </c>
      <c r="R9221" t="s">
        <v>329</v>
      </c>
      <c r="S9221" t="s">
        <v>323</v>
      </c>
      <c r="T9221">
        <v>7.6</v>
      </c>
      <c r="W9221" t="s">
        <v>330</v>
      </c>
      <c r="Y9221" s="42">
        <v>44929</v>
      </c>
    </row>
    <row r="9222" spans="1:25">
      <c r="N9222" s="42">
        <v>44922</v>
      </c>
      <c r="O9222" t="s">
        <v>333</v>
      </c>
      <c r="P9222" s="42">
        <v>44922</v>
      </c>
      <c r="Q9222" t="s">
        <v>333</v>
      </c>
      <c r="R9222" t="s">
        <v>320</v>
      </c>
      <c r="S9222" t="s">
        <v>323</v>
      </c>
      <c r="U9222">
        <v>7.6</v>
      </c>
    </row>
    <row r="9223" spans="1:25">
      <c r="N9223" s="42">
        <v>44866</v>
      </c>
      <c r="O9223" t="s">
        <v>333</v>
      </c>
      <c r="P9223" s="42">
        <v>44866</v>
      </c>
      <c r="Q9223" t="s">
        <v>333</v>
      </c>
      <c r="R9223" t="s">
        <v>320</v>
      </c>
      <c r="S9223" t="s">
        <v>323</v>
      </c>
      <c r="U9223">
        <v>7.6</v>
      </c>
    </row>
    <row r="9224" spans="1:25">
      <c r="N9224" s="42">
        <v>44835</v>
      </c>
      <c r="O9224" t="s">
        <v>359</v>
      </c>
      <c r="P9224" s="42">
        <v>44835</v>
      </c>
      <c r="Q9224" t="s">
        <v>359</v>
      </c>
      <c r="R9224" t="s">
        <v>329</v>
      </c>
      <c r="S9224" t="s">
        <v>323</v>
      </c>
      <c r="T9224">
        <v>7.6</v>
      </c>
      <c r="W9224" t="s">
        <v>330</v>
      </c>
      <c r="Y9224" s="42">
        <v>44845</v>
      </c>
    </row>
    <row r="9225" spans="1:25">
      <c r="N9225" s="42">
        <v>44827</v>
      </c>
      <c r="O9225" t="s">
        <v>346</v>
      </c>
      <c r="P9225" s="42">
        <v>44827</v>
      </c>
      <c r="Q9225" t="s">
        <v>346</v>
      </c>
      <c r="R9225" t="s">
        <v>320</v>
      </c>
      <c r="S9225" t="s">
        <v>323</v>
      </c>
      <c r="U9225">
        <v>7.6</v>
      </c>
    </row>
    <row r="9226" spans="1:25">
      <c r="N9226" s="42">
        <v>44826</v>
      </c>
      <c r="O9226" t="s">
        <v>324</v>
      </c>
      <c r="P9226" s="42">
        <v>44826</v>
      </c>
      <c r="Q9226" t="s">
        <v>324</v>
      </c>
      <c r="R9226" t="s">
        <v>320</v>
      </c>
      <c r="S9226" t="s">
        <v>323</v>
      </c>
      <c r="U9226">
        <v>7.6</v>
      </c>
    </row>
    <row r="9227" spans="1:25">
      <c r="N9227" s="42">
        <v>44807</v>
      </c>
      <c r="O9227" t="s">
        <v>359</v>
      </c>
      <c r="P9227" s="42">
        <v>44807</v>
      </c>
      <c r="Q9227" t="s">
        <v>359</v>
      </c>
      <c r="R9227" t="s">
        <v>329</v>
      </c>
      <c r="S9227" t="s">
        <v>323</v>
      </c>
      <c r="T9227">
        <v>7.6</v>
      </c>
      <c r="W9227" t="s">
        <v>330</v>
      </c>
      <c r="Y9227" s="42">
        <v>44817</v>
      </c>
    </row>
    <row r="9228" spans="1:25">
      <c r="N9228" s="42">
        <v>44800</v>
      </c>
      <c r="O9228" t="s">
        <v>359</v>
      </c>
      <c r="P9228" s="42">
        <v>44800</v>
      </c>
      <c r="Q9228" t="s">
        <v>359</v>
      </c>
      <c r="R9228" t="s">
        <v>320</v>
      </c>
      <c r="S9228" t="s">
        <v>323</v>
      </c>
      <c r="T9228">
        <v>7.6</v>
      </c>
      <c r="Y9228" s="42">
        <v>44803</v>
      </c>
    </row>
    <row r="9229" spans="1:25">
      <c r="N9229" s="42">
        <v>44799</v>
      </c>
      <c r="O9229" t="s">
        <v>346</v>
      </c>
      <c r="P9229" s="42">
        <v>44799</v>
      </c>
      <c r="Q9229" t="s">
        <v>346</v>
      </c>
      <c r="R9229" t="s">
        <v>320</v>
      </c>
      <c r="S9229" t="s">
        <v>323</v>
      </c>
      <c r="T9229">
        <v>7.6</v>
      </c>
      <c r="Y9229" s="42">
        <v>44803</v>
      </c>
    </row>
    <row r="9230" spans="1:25">
      <c r="N9230" s="42">
        <v>44798</v>
      </c>
      <c r="O9230" t="s">
        <v>324</v>
      </c>
      <c r="P9230" s="42">
        <v>44798</v>
      </c>
      <c r="Q9230" t="s">
        <v>324</v>
      </c>
      <c r="R9230" t="s">
        <v>320</v>
      </c>
      <c r="S9230" t="s">
        <v>323</v>
      </c>
      <c r="T9230">
        <v>7.6</v>
      </c>
      <c r="Y9230" s="42">
        <v>44803</v>
      </c>
    </row>
    <row r="9231" spans="1:25">
      <c r="N9231" s="42">
        <v>44797</v>
      </c>
      <c r="O9231" t="s">
        <v>328</v>
      </c>
      <c r="P9231" s="42">
        <v>44797</v>
      </c>
      <c r="Q9231" t="s">
        <v>328</v>
      </c>
      <c r="R9231" t="s">
        <v>320</v>
      </c>
      <c r="S9231" t="s">
        <v>323</v>
      </c>
      <c r="T9231">
        <v>7.6</v>
      </c>
      <c r="Y9231" s="42">
        <v>44803</v>
      </c>
    </row>
    <row r="9232" spans="1:25">
      <c r="N9232" s="42">
        <v>44796</v>
      </c>
      <c r="O9232" t="s">
        <v>333</v>
      </c>
      <c r="P9232" s="42">
        <v>44796</v>
      </c>
      <c r="Q9232" t="s">
        <v>333</v>
      </c>
      <c r="R9232" t="s">
        <v>320</v>
      </c>
      <c r="S9232" t="s">
        <v>323</v>
      </c>
      <c r="T9232">
        <v>7.6</v>
      </c>
      <c r="Y9232" s="42">
        <v>44803</v>
      </c>
    </row>
    <row r="9233" spans="1:25">
      <c r="N9233" s="42">
        <v>44793</v>
      </c>
      <c r="O9233" t="s">
        <v>359</v>
      </c>
      <c r="P9233" s="42">
        <v>44793</v>
      </c>
      <c r="Q9233" t="s">
        <v>359</v>
      </c>
      <c r="R9233" t="s">
        <v>320</v>
      </c>
      <c r="S9233" t="s">
        <v>323</v>
      </c>
      <c r="T9233">
        <v>7.6</v>
      </c>
      <c r="Y9233" s="42">
        <v>44803</v>
      </c>
    </row>
    <row r="9234" spans="1:25">
      <c r="N9234" s="42">
        <v>44792</v>
      </c>
      <c r="O9234" t="s">
        <v>346</v>
      </c>
      <c r="P9234" s="42">
        <v>44792</v>
      </c>
      <c r="Q9234" t="s">
        <v>346</v>
      </c>
      <c r="R9234" t="s">
        <v>320</v>
      </c>
      <c r="S9234" t="s">
        <v>323</v>
      </c>
      <c r="T9234">
        <v>7.6</v>
      </c>
      <c r="Y9234" s="42">
        <v>44803</v>
      </c>
    </row>
    <row r="9235" spans="1:25">
      <c r="N9235" s="42">
        <v>44791</v>
      </c>
      <c r="O9235" t="s">
        <v>324</v>
      </c>
      <c r="P9235" s="42">
        <v>44791</v>
      </c>
      <c r="Q9235" t="s">
        <v>324</v>
      </c>
      <c r="R9235" t="s">
        <v>320</v>
      </c>
      <c r="S9235" t="s">
        <v>323</v>
      </c>
      <c r="T9235">
        <v>7.6</v>
      </c>
      <c r="Y9235" s="42">
        <v>44803</v>
      </c>
    </row>
    <row r="9236" spans="1:25">
      <c r="N9236" s="42">
        <v>44790</v>
      </c>
      <c r="O9236" t="s">
        <v>328</v>
      </c>
      <c r="P9236" s="42">
        <v>44790</v>
      </c>
      <c r="Q9236" t="s">
        <v>328</v>
      </c>
      <c r="R9236" t="s">
        <v>320</v>
      </c>
      <c r="S9236" t="s">
        <v>323</v>
      </c>
      <c r="T9236">
        <v>7.6</v>
      </c>
      <c r="Y9236" s="42">
        <v>44803</v>
      </c>
    </row>
    <row r="9237" spans="1:25">
      <c r="N9237" s="42">
        <v>44789</v>
      </c>
      <c r="O9237" t="s">
        <v>333</v>
      </c>
      <c r="P9237" s="42">
        <v>44789</v>
      </c>
      <c r="Q9237" t="s">
        <v>333</v>
      </c>
      <c r="R9237" t="s">
        <v>320</v>
      </c>
      <c r="S9237" t="s">
        <v>323</v>
      </c>
      <c r="T9237">
        <v>7.6</v>
      </c>
      <c r="Y9237" s="42">
        <v>44789</v>
      </c>
    </row>
    <row r="9238" spans="1:25">
      <c r="N9238" s="42">
        <v>44769</v>
      </c>
      <c r="O9238" t="s">
        <v>328</v>
      </c>
      <c r="P9238" s="42">
        <v>44769</v>
      </c>
      <c r="Q9238" t="s">
        <v>328</v>
      </c>
      <c r="R9238" t="s">
        <v>329</v>
      </c>
      <c r="S9238" t="s">
        <v>323</v>
      </c>
      <c r="T9238">
        <v>7.6</v>
      </c>
      <c r="W9238" t="s">
        <v>330</v>
      </c>
      <c r="Y9238" s="42">
        <v>44775</v>
      </c>
    </row>
    <row r="9239" spans="1:25">
      <c r="N9239" s="42">
        <v>44768</v>
      </c>
      <c r="O9239" t="s">
        <v>333</v>
      </c>
      <c r="P9239" s="42">
        <v>44768</v>
      </c>
      <c r="Q9239" t="s">
        <v>333</v>
      </c>
      <c r="R9239" t="s">
        <v>329</v>
      </c>
      <c r="S9239" t="s">
        <v>323</v>
      </c>
      <c r="T9239">
        <v>7.6</v>
      </c>
      <c r="W9239" t="s">
        <v>330</v>
      </c>
      <c r="Y9239" s="42">
        <v>44775</v>
      </c>
    </row>
    <row r="9240" spans="1:25">
      <c r="N9240" s="42">
        <v>44720</v>
      </c>
      <c r="O9240" t="s">
        <v>328</v>
      </c>
      <c r="P9240" s="42">
        <v>44720</v>
      </c>
      <c r="Q9240" t="s">
        <v>328</v>
      </c>
      <c r="R9240" t="s">
        <v>329</v>
      </c>
      <c r="S9240" t="s">
        <v>323</v>
      </c>
      <c r="T9240">
        <v>7.6</v>
      </c>
      <c r="W9240" t="s">
        <v>330</v>
      </c>
      <c r="Y9240" s="42">
        <v>44733</v>
      </c>
    </row>
    <row r="9241" spans="1:25">
      <c r="N9241" s="42">
        <v>44719</v>
      </c>
      <c r="O9241" t="s">
        <v>333</v>
      </c>
      <c r="P9241" s="42">
        <v>44719</v>
      </c>
      <c r="Q9241" t="s">
        <v>333</v>
      </c>
      <c r="R9241" t="s">
        <v>320</v>
      </c>
      <c r="S9241" t="s">
        <v>323</v>
      </c>
      <c r="T9241">
        <v>7.6</v>
      </c>
      <c r="Y9241" s="42">
        <v>44719</v>
      </c>
    </row>
    <row r="9242" spans="1:25">
      <c r="N9242" s="42">
        <v>44667</v>
      </c>
      <c r="O9242" t="s">
        <v>359</v>
      </c>
      <c r="P9242" s="42">
        <v>44667</v>
      </c>
      <c r="Q9242" t="s">
        <v>359</v>
      </c>
      <c r="R9242" t="s">
        <v>320</v>
      </c>
      <c r="S9242" t="s">
        <v>323</v>
      </c>
      <c r="U9242">
        <v>7.6</v>
      </c>
    </row>
    <row r="9243" spans="1:25">
      <c r="N9243" s="42">
        <v>44666</v>
      </c>
      <c r="O9243" t="s">
        <v>346</v>
      </c>
      <c r="P9243" s="42">
        <v>44666</v>
      </c>
      <c r="Q9243" t="s">
        <v>346</v>
      </c>
      <c r="R9243" t="s">
        <v>320</v>
      </c>
      <c r="S9243" t="s">
        <v>323</v>
      </c>
      <c r="U9243">
        <v>7.6</v>
      </c>
    </row>
    <row r="9244" spans="1:25">
      <c r="A9244">
        <v>18986</v>
      </c>
      <c r="B9244" t="s">
        <v>473</v>
      </c>
      <c r="C9244" t="s">
        <v>320</v>
      </c>
      <c r="D9244" t="s">
        <v>336</v>
      </c>
      <c r="E9244" t="s">
        <v>337</v>
      </c>
      <c r="F9244">
        <v>1</v>
      </c>
      <c r="G9244" s="42">
        <v>45274</v>
      </c>
      <c r="H9244">
        <v>152</v>
      </c>
      <c r="I9244">
        <v>125.69459999999999</v>
      </c>
      <c r="J9244">
        <v>33.315100000000001</v>
      </c>
      <c r="K9244">
        <v>159.00970000000001</v>
      </c>
      <c r="L9244" t="s">
        <v>323</v>
      </c>
      <c r="M9244" s="43">
        <v>4.3055555555555562E-2</v>
      </c>
      <c r="N9244" s="42">
        <v>44952</v>
      </c>
      <c r="O9244" t="s">
        <v>324</v>
      </c>
      <c r="P9244" s="42">
        <v>44952</v>
      </c>
      <c r="Q9244" t="s">
        <v>324</v>
      </c>
      <c r="R9244" t="s">
        <v>320</v>
      </c>
      <c r="S9244" t="s">
        <v>323</v>
      </c>
      <c r="U9244">
        <v>7.6</v>
      </c>
    </row>
    <row r="9245" spans="1:25">
      <c r="C9245" t="s">
        <v>325</v>
      </c>
      <c r="D9245" t="s">
        <v>395</v>
      </c>
      <c r="E9245" t="s">
        <v>396</v>
      </c>
      <c r="F9245">
        <v>1</v>
      </c>
      <c r="G9245" s="42">
        <v>48203</v>
      </c>
      <c r="H9245">
        <v>326.19510000000002</v>
      </c>
      <c r="I9245">
        <v>0</v>
      </c>
      <c r="J9245">
        <v>36.360100000000003</v>
      </c>
      <c r="K9245">
        <v>36.360100000000003</v>
      </c>
      <c r="L9245" t="s">
        <v>323</v>
      </c>
      <c r="N9245" s="42">
        <v>44928</v>
      </c>
      <c r="O9245" t="s">
        <v>345</v>
      </c>
      <c r="P9245" s="42">
        <v>44928</v>
      </c>
      <c r="Q9245" t="s">
        <v>345</v>
      </c>
      <c r="R9245" t="s">
        <v>320</v>
      </c>
      <c r="S9245" t="s">
        <v>323</v>
      </c>
      <c r="U9245">
        <v>7.6</v>
      </c>
    </row>
    <row r="9246" spans="1:25">
      <c r="C9246" t="s">
        <v>329</v>
      </c>
      <c r="D9246" t="s">
        <v>342</v>
      </c>
      <c r="E9246" t="s">
        <v>343</v>
      </c>
      <c r="F9246">
        <v>1</v>
      </c>
      <c r="G9246" s="42">
        <v>45274</v>
      </c>
      <c r="H9246">
        <v>76</v>
      </c>
      <c r="I9246">
        <v>45.447299999999998</v>
      </c>
      <c r="J9246">
        <v>16.657499999999999</v>
      </c>
      <c r="K9246">
        <v>62.104799999999997</v>
      </c>
      <c r="L9246" t="s">
        <v>323</v>
      </c>
      <c r="N9246" s="42">
        <v>44922</v>
      </c>
      <c r="O9246" t="s">
        <v>333</v>
      </c>
      <c r="P9246" s="42">
        <v>44922</v>
      </c>
      <c r="Q9246" t="s">
        <v>333</v>
      </c>
      <c r="R9246" t="s">
        <v>320</v>
      </c>
      <c r="S9246" t="s">
        <v>323</v>
      </c>
      <c r="U9246">
        <v>7.6</v>
      </c>
    </row>
    <row r="9247" spans="1:25">
      <c r="N9247" s="42">
        <v>44921</v>
      </c>
      <c r="O9247" t="s">
        <v>345</v>
      </c>
      <c r="P9247" s="42">
        <v>44921</v>
      </c>
      <c r="Q9247" t="s">
        <v>345</v>
      </c>
      <c r="R9247" t="s">
        <v>320</v>
      </c>
      <c r="S9247" t="s">
        <v>323</v>
      </c>
      <c r="U9247">
        <v>7.6</v>
      </c>
    </row>
    <row r="9248" spans="1:25">
      <c r="N9248" s="42">
        <v>44862</v>
      </c>
      <c r="O9248" t="s">
        <v>346</v>
      </c>
      <c r="P9248" s="42">
        <v>44862</v>
      </c>
      <c r="Q9248" t="s">
        <v>346</v>
      </c>
      <c r="R9248" t="s">
        <v>329</v>
      </c>
      <c r="S9248" t="s">
        <v>323</v>
      </c>
      <c r="T9248">
        <v>7.6</v>
      </c>
      <c r="W9248" t="s">
        <v>330</v>
      </c>
      <c r="Y9248" s="42">
        <v>44873</v>
      </c>
    </row>
    <row r="9249" spans="1:25">
      <c r="N9249" s="42">
        <v>44854</v>
      </c>
      <c r="O9249" t="s">
        <v>324</v>
      </c>
      <c r="P9249" s="42">
        <v>44854</v>
      </c>
      <c r="Q9249" t="s">
        <v>324</v>
      </c>
      <c r="R9249" t="s">
        <v>320</v>
      </c>
      <c r="S9249" t="s">
        <v>323</v>
      </c>
      <c r="T9249">
        <v>7.6</v>
      </c>
      <c r="Y9249" s="42">
        <v>44859</v>
      </c>
    </row>
    <row r="9250" spans="1:25">
      <c r="N9250" s="42">
        <v>44837</v>
      </c>
      <c r="O9250" t="s">
        <v>345</v>
      </c>
      <c r="P9250" s="42">
        <v>44837</v>
      </c>
      <c r="Q9250" t="s">
        <v>345</v>
      </c>
      <c r="R9250" t="s">
        <v>320</v>
      </c>
      <c r="S9250" t="s">
        <v>323</v>
      </c>
      <c r="U9250">
        <v>7.6</v>
      </c>
    </row>
    <row r="9251" spans="1:25">
      <c r="N9251" s="42">
        <v>44826</v>
      </c>
      <c r="O9251" t="s">
        <v>324</v>
      </c>
      <c r="P9251" s="42">
        <v>44826</v>
      </c>
      <c r="Q9251" t="s">
        <v>324</v>
      </c>
      <c r="R9251" t="s">
        <v>320</v>
      </c>
      <c r="S9251" t="s">
        <v>323</v>
      </c>
      <c r="U9251">
        <v>7.6</v>
      </c>
    </row>
    <row r="9252" spans="1:25">
      <c r="N9252" s="42">
        <v>44783</v>
      </c>
      <c r="O9252" t="s">
        <v>328</v>
      </c>
      <c r="P9252" s="42">
        <v>44783</v>
      </c>
      <c r="Q9252" t="s">
        <v>328</v>
      </c>
      <c r="R9252" t="s">
        <v>320</v>
      </c>
      <c r="S9252" t="s">
        <v>323</v>
      </c>
      <c r="U9252">
        <v>7.6</v>
      </c>
    </row>
    <row r="9253" spans="1:25">
      <c r="N9253" s="42">
        <v>44677</v>
      </c>
      <c r="O9253" t="s">
        <v>333</v>
      </c>
      <c r="P9253" s="42">
        <v>44677</v>
      </c>
      <c r="Q9253" t="s">
        <v>333</v>
      </c>
      <c r="R9253" t="s">
        <v>329</v>
      </c>
      <c r="S9253" t="s">
        <v>323</v>
      </c>
      <c r="T9253">
        <v>7.6</v>
      </c>
      <c r="W9253" t="s">
        <v>330</v>
      </c>
      <c r="Y9253" s="42">
        <v>44677</v>
      </c>
    </row>
    <row r="9254" spans="1:25">
      <c r="N9254" s="42">
        <v>44666</v>
      </c>
      <c r="O9254" t="s">
        <v>346</v>
      </c>
      <c r="P9254" s="42">
        <v>44666</v>
      </c>
      <c r="Q9254" t="s">
        <v>346</v>
      </c>
      <c r="R9254" t="s">
        <v>320</v>
      </c>
      <c r="S9254" t="s">
        <v>323</v>
      </c>
      <c r="U9254">
        <v>7.6</v>
      </c>
    </row>
    <row r="9255" spans="1:25">
      <c r="N9255" s="42">
        <v>44587</v>
      </c>
      <c r="O9255" t="s">
        <v>328</v>
      </c>
      <c r="P9255" s="42">
        <v>44587</v>
      </c>
      <c r="Q9255" t="s">
        <v>328</v>
      </c>
      <c r="R9255" t="s">
        <v>320</v>
      </c>
      <c r="S9255" t="s">
        <v>323</v>
      </c>
      <c r="U9255">
        <v>7.6</v>
      </c>
    </row>
    <row r="9256" spans="1:25">
      <c r="N9256" s="42">
        <v>44575</v>
      </c>
      <c r="O9256" t="s">
        <v>346</v>
      </c>
      <c r="P9256" s="42">
        <v>44575</v>
      </c>
      <c r="Q9256" t="s">
        <v>346</v>
      </c>
      <c r="R9256" t="s">
        <v>338</v>
      </c>
      <c r="S9256" t="s">
        <v>323</v>
      </c>
      <c r="T9256">
        <v>7.6</v>
      </c>
      <c r="W9256" t="s">
        <v>330</v>
      </c>
      <c r="Y9256" s="42">
        <v>44579</v>
      </c>
    </row>
    <row r="9257" spans="1:25">
      <c r="N9257" s="42">
        <v>44574</v>
      </c>
      <c r="O9257" t="s">
        <v>324</v>
      </c>
      <c r="P9257" s="42">
        <v>44574</v>
      </c>
      <c r="Q9257" t="s">
        <v>324</v>
      </c>
      <c r="R9257" t="s">
        <v>338</v>
      </c>
      <c r="S9257" t="s">
        <v>323</v>
      </c>
      <c r="T9257">
        <v>7.6</v>
      </c>
      <c r="W9257" t="s">
        <v>330</v>
      </c>
      <c r="Y9257" s="42">
        <v>44579</v>
      </c>
    </row>
    <row r="9258" spans="1:25">
      <c r="N9258" s="42">
        <v>44573</v>
      </c>
      <c r="O9258" t="s">
        <v>328</v>
      </c>
      <c r="P9258" s="42">
        <v>44573</v>
      </c>
      <c r="Q9258" t="s">
        <v>328</v>
      </c>
      <c r="R9258" t="s">
        <v>338</v>
      </c>
      <c r="S9258" t="s">
        <v>323</v>
      </c>
      <c r="T9258">
        <v>7.6</v>
      </c>
      <c r="W9258" t="s">
        <v>330</v>
      </c>
      <c r="Y9258" s="42">
        <v>44579</v>
      </c>
    </row>
    <row r="9259" spans="1:25">
      <c r="N9259" s="42">
        <v>44572</v>
      </c>
      <c r="O9259" t="s">
        <v>333</v>
      </c>
      <c r="P9259" s="42">
        <v>44572</v>
      </c>
      <c r="Q9259" t="s">
        <v>333</v>
      </c>
      <c r="R9259" t="s">
        <v>338</v>
      </c>
      <c r="S9259" t="s">
        <v>323</v>
      </c>
      <c r="T9259">
        <v>7.6</v>
      </c>
      <c r="W9259" t="s">
        <v>330</v>
      </c>
      <c r="Y9259" s="42">
        <v>44579</v>
      </c>
    </row>
    <row r="9260" spans="1:25">
      <c r="N9260" s="42">
        <v>44568</v>
      </c>
      <c r="O9260" t="s">
        <v>346</v>
      </c>
      <c r="P9260" s="42">
        <v>44568</v>
      </c>
      <c r="Q9260" t="s">
        <v>346</v>
      </c>
      <c r="R9260" t="s">
        <v>338</v>
      </c>
      <c r="S9260" t="s">
        <v>323</v>
      </c>
      <c r="T9260">
        <v>7.6</v>
      </c>
      <c r="W9260" t="s">
        <v>330</v>
      </c>
      <c r="Y9260" s="42">
        <v>44579</v>
      </c>
    </row>
    <row r="9261" spans="1:25">
      <c r="N9261" s="42">
        <v>44567</v>
      </c>
      <c r="O9261" t="s">
        <v>324</v>
      </c>
      <c r="P9261" s="42">
        <v>44567</v>
      </c>
      <c r="Q9261" t="s">
        <v>324</v>
      </c>
      <c r="R9261" t="s">
        <v>338</v>
      </c>
      <c r="S9261" t="s">
        <v>323</v>
      </c>
      <c r="T9261">
        <v>7.6</v>
      </c>
      <c r="W9261" t="s">
        <v>330</v>
      </c>
      <c r="Y9261" s="42">
        <v>44579</v>
      </c>
    </row>
    <row r="9262" spans="1:25">
      <c r="N9262" s="42">
        <v>44566</v>
      </c>
      <c r="O9262" t="s">
        <v>328</v>
      </c>
      <c r="P9262" s="42">
        <v>44566</v>
      </c>
      <c r="Q9262" t="s">
        <v>328</v>
      </c>
      <c r="R9262" t="s">
        <v>329</v>
      </c>
      <c r="S9262" t="s">
        <v>323</v>
      </c>
      <c r="T9262">
        <v>6</v>
      </c>
      <c r="W9262" t="s">
        <v>330</v>
      </c>
      <c r="Y9262" s="42">
        <v>44579</v>
      </c>
    </row>
    <row r="9263" spans="1:25">
      <c r="N9263" s="42">
        <v>44566</v>
      </c>
      <c r="O9263" t="s">
        <v>328</v>
      </c>
      <c r="P9263" s="42">
        <v>44566</v>
      </c>
      <c r="Q9263" t="s">
        <v>328</v>
      </c>
      <c r="R9263" t="s">
        <v>338</v>
      </c>
      <c r="S9263" t="s">
        <v>323</v>
      </c>
      <c r="T9263">
        <v>1.6</v>
      </c>
      <c r="W9263" t="s">
        <v>330</v>
      </c>
      <c r="Y9263" s="42">
        <v>44579</v>
      </c>
    </row>
    <row r="9264" spans="1:25">
      <c r="A9264">
        <v>18987</v>
      </c>
      <c r="B9264" t="s">
        <v>474</v>
      </c>
      <c r="C9264" t="s">
        <v>320</v>
      </c>
      <c r="D9264" t="s">
        <v>336</v>
      </c>
      <c r="E9264" t="s">
        <v>337</v>
      </c>
      <c r="F9264">
        <v>1</v>
      </c>
      <c r="G9264" s="42">
        <v>45301</v>
      </c>
      <c r="H9264">
        <v>152</v>
      </c>
      <c r="I9264">
        <v>114</v>
      </c>
      <c r="J9264">
        <v>22.071200000000001</v>
      </c>
      <c r="K9264">
        <v>136.0712</v>
      </c>
      <c r="L9264" t="s">
        <v>323</v>
      </c>
      <c r="M9264" s="43">
        <v>4.2361111111111106E-2</v>
      </c>
      <c r="N9264" s="42">
        <v>45028</v>
      </c>
      <c r="O9264" t="s">
        <v>328</v>
      </c>
      <c r="P9264" s="42">
        <v>45030</v>
      </c>
      <c r="Q9264" t="s">
        <v>346</v>
      </c>
      <c r="R9264" t="s">
        <v>320</v>
      </c>
      <c r="S9264" t="s">
        <v>323</v>
      </c>
      <c r="T9264">
        <v>22.8</v>
      </c>
      <c r="U9264">
        <v>0</v>
      </c>
      <c r="V9264">
        <v>0</v>
      </c>
    </row>
    <row r="9265" spans="3:25">
      <c r="C9265" t="s">
        <v>325</v>
      </c>
      <c r="D9265" t="s">
        <v>395</v>
      </c>
      <c r="E9265" t="s">
        <v>396</v>
      </c>
      <c r="F9265">
        <v>1</v>
      </c>
      <c r="G9265" s="42">
        <v>48223</v>
      </c>
      <c r="H9265">
        <v>329.33330000000001</v>
      </c>
      <c r="I9265">
        <v>0</v>
      </c>
      <c r="J9265">
        <v>37.694800000000001</v>
      </c>
      <c r="K9265">
        <v>37.694800000000001</v>
      </c>
      <c r="L9265" t="s">
        <v>323</v>
      </c>
      <c r="N9265" s="42">
        <v>45027</v>
      </c>
      <c r="O9265" t="s">
        <v>333</v>
      </c>
      <c r="P9265" s="42">
        <v>45027</v>
      </c>
      <c r="Q9265" t="s">
        <v>333</v>
      </c>
      <c r="R9265" t="s">
        <v>320</v>
      </c>
      <c r="S9265" t="s">
        <v>323</v>
      </c>
      <c r="T9265">
        <v>7.6</v>
      </c>
      <c r="U9265">
        <v>0</v>
      </c>
      <c r="V9265">
        <v>0</v>
      </c>
    </row>
    <row r="9266" spans="3:25">
      <c r="C9266" t="s">
        <v>329</v>
      </c>
      <c r="D9266" t="s">
        <v>342</v>
      </c>
      <c r="E9266" t="s">
        <v>343</v>
      </c>
      <c r="F9266">
        <v>1</v>
      </c>
      <c r="G9266" s="42">
        <v>45301</v>
      </c>
      <c r="H9266">
        <v>76</v>
      </c>
      <c r="I9266">
        <v>60.8</v>
      </c>
      <c r="J9266">
        <v>11.035600000000001</v>
      </c>
      <c r="K9266">
        <v>71.835599999999999</v>
      </c>
      <c r="L9266" t="s">
        <v>323</v>
      </c>
      <c r="N9266" s="42">
        <v>45005</v>
      </c>
      <c r="O9266" t="s">
        <v>345</v>
      </c>
      <c r="P9266" s="42">
        <v>45005</v>
      </c>
      <c r="Q9266" t="s">
        <v>345</v>
      </c>
      <c r="R9266" t="s">
        <v>329</v>
      </c>
      <c r="S9266" t="s">
        <v>323</v>
      </c>
      <c r="T9266">
        <v>7.6</v>
      </c>
      <c r="W9266" t="s">
        <v>339</v>
      </c>
    </row>
    <row r="9267" spans="3:25">
      <c r="N9267" s="42">
        <v>44952</v>
      </c>
      <c r="O9267" t="s">
        <v>324</v>
      </c>
      <c r="P9267" s="42">
        <v>44952</v>
      </c>
      <c r="Q9267" t="s">
        <v>324</v>
      </c>
      <c r="R9267" t="s">
        <v>320</v>
      </c>
      <c r="S9267" t="s">
        <v>323</v>
      </c>
      <c r="U9267">
        <v>7.6</v>
      </c>
      <c r="Y9267" s="42">
        <v>44957</v>
      </c>
    </row>
    <row r="9268" spans="3:25">
      <c r="N9268" s="42">
        <v>44939</v>
      </c>
      <c r="O9268" t="s">
        <v>346</v>
      </c>
      <c r="P9268" s="42">
        <v>44939</v>
      </c>
      <c r="Q9268" t="s">
        <v>346</v>
      </c>
      <c r="R9268" t="s">
        <v>320</v>
      </c>
      <c r="S9268" t="s">
        <v>323</v>
      </c>
      <c r="T9268">
        <v>7.6</v>
      </c>
      <c r="V9268">
        <v>0</v>
      </c>
      <c r="Y9268" s="42">
        <v>44943</v>
      </c>
    </row>
    <row r="9269" spans="3:25">
      <c r="N9269" s="42">
        <v>44928</v>
      </c>
      <c r="O9269" t="s">
        <v>345</v>
      </c>
      <c r="P9269" s="42">
        <v>44928</v>
      </c>
      <c r="Q9269" t="s">
        <v>345</v>
      </c>
      <c r="R9269" t="s">
        <v>320</v>
      </c>
      <c r="S9269" t="s">
        <v>323</v>
      </c>
      <c r="U9269">
        <v>7.6</v>
      </c>
      <c r="Y9269" s="42">
        <v>44929</v>
      </c>
    </row>
    <row r="9270" spans="3:25">
      <c r="N9270" s="42">
        <v>44923</v>
      </c>
      <c r="O9270" t="s">
        <v>328</v>
      </c>
      <c r="P9270" s="42">
        <v>44923</v>
      </c>
      <c r="Q9270" t="s">
        <v>328</v>
      </c>
      <c r="R9270" t="s">
        <v>320</v>
      </c>
      <c r="S9270" t="s">
        <v>323</v>
      </c>
      <c r="T9270">
        <v>7.6</v>
      </c>
      <c r="V9270">
        <v>0</v>
      </c>
      <c r="Y9270" s="42">
        <v>44929</v>
      </c>
    </row>
    <row r="9271" spans="3:25">
      <c r="N9271" s="42">
        <v>44922</v>
      </c>
      <c r="O9271" t="s">
        <v>333</v>
      </c>
      <c r="P9271" s="42">
        <v>44922</v>
      </c>
      <c r="Q9271" t="s">
        <v>333</v>
      </c>
      <c r="R9271" t="s">
        <v>320</v>
      </c>
      <c r="S9271" t="s">
        <v>323</v>
      </c>
      <c r="U9271">
        <v>7.6</v>
      </c>
      <c r="Y9271" s="42">
        <v>44929</v>
      </c>
    </row>
    <row r="9272" spans="3:25">
      <c r="N9272" s="42">
        <v>44921</v>
      </c>
      <c r="O9272" t="s">
        <v>345</v>
      </c>
      <c r="P9272" s="42">
        <v>44921</v>
      </c>
      <c r="Q9272" t="s">
        <v>345</v>
      </c>
      <c r="R9272" t="s">
        <v>320</v>
      </c>
      <c r="S9272" t="s">
        <v>323</v>
      </c>
      <c r="U9272">
        <v>7.6</v>
      </c>
      <c r="Y9272" s="42">
        <v>44929</v>
      </c>
    </row>
    <row r="9273" spans="3:25">
      <c r="N9273" s="42">
        <v>44918</v>
      </c>
      <c r="O9273" t="s">
        <v>346</v>
      </c>
      <c r="P9273" s="42">
        <v>44918</v>
      </c>
      <c r="Q9273" t="s">
        <v>346</v>
      </c>
      <c r="R9273" t="s">
        <v>320</v>
      </c>
      <c r="S9273" t="s">
        <v>323</v>
      </c>
      <c r="T9273">
        <v>7.6</v>
      </c>
      <c r="V9273">
        <v>0</v>
      </c>
      <c r="Y9273" s="42">
        <v>44929</v>
      </c>
    </row>
    <row r="9274" spans="3:25">
      <c r="N9274" s="42">
        <v>44837</v>
      </c>
      <c r="O9274" t="s">
        <v>345</v>
      </c>
      <c r="P9274" s="42">
        <v>44837</v>
      </c>
      <c r="Q9274" t="s">
        <v>345</v>
      </c>
      <c r="R9274" t="s">
        <v>320</v>
      </c>
      <c r="S9274" t="s">
        <v>323</v>
      </c>
      <c r="U9274">
        <v>7.6</v>
      </c>
      <c r="Y9274" s="42">
        <v>44845</v>
      </c>
    </row>
    <row r="9275" spans="3:25">
      <c r="N9275" s="42">
        <v>44826</v>
      </c>
      <c r="O9275" t="s">
        <v>324</v>
      </c>
      <c r="P9275" s="42">
        <v>44827</v>
      </c>
      <c r="Q9275" t="s">
        <v>346</v>
      </c>
      <c r="R9275" t="s">
        <v>320</v>
      </c>
      <c r="S9275" t="s">
        <v>323</v>
      </c>
      <c r="T9275">
        <v>0</v>
      </c>
      <c r="U9275">
        <v>15.2</v>
      </c>
    </row>
    <row r="9276" spans="3:25">
      <c r="N9276" s="42">
        <v>44826</v>
      </c>
      <c r="O9276" t="s">
        <v>324</v>
      </c>
      <c r="P9276" s="42">
        <v>44827</v>
      </c>
      <c r="Q9276" t="s">
        <v>346</v>
      </c>
      <c r="R9276" t="s">
        <v>320</v>
      </c>
      <c r="S9276" t="s">
        <v>323</v>
      </c>
      <c r="T9276">
        <v>-15.2</v>
      </c>
      <c r="U9276">
        <v>0</v>
      </c>
    </row>
    <row r="9277" spans="3:25">
      <c r="N9277" s="42">
        <v>44826</v>
      </c>
      <c r="O9277" t="s">
        <v>324</v>
      </c>
      <c r="P9277" s="42">
        <v>44827</v>
      </c>
      <c r="Q9277" t="s">
        <v>346</v>
      </c>
      <c r="R9277" t="s">
        <v>320</v>
      </c>
      <c r="S9277" t="s">
        <v>323</v>
      </c>
      <c r="T9277">
        <v>15.2</v>
      </c>
      <c r="V9277">
        <v>0</v>
      </c>
      <c r="Y9277" s="42">
        <v>44831</v>
      </c>
    </row>
    <row r="9278" spans="3:25">
      <c r="N9278" s="42">
        <v>44825</v>
      </c>
      <c r="O9278" t="s">
        <v>328</v>
      </c>
      <c r="P9278" s="42">
        <v>44825</v>
      </c>
      <c r="Q9278" t="s">
        <v>328</v>
      </c>
      <c r="R9278" t="s">
        <v>320</v>
      </c>
      <c r="S9278" t="s">
        <v>323</v>
      </c>
      <c r="T9278">
        <v>7.6</v>
      </c>
      <c r="V9278">
        <v>0</v>
      </c>
      <c r="Y9278" s="42">
        <v>44831</v>
      </c>
    </row>
    <row r="9279" spans="3:25">
      <c r="N9279" s="42">
        <v>44824</v>
      </c>
      <c r="O9279" t="s">
        <v>333</v>
      </c>
      <c r="P9279" s="42">
        <v>44824</v>
      </c>
      <c r="Q9279" t="s">
        <v>333</v>
      </c>
      <c r="R9279" t="s">
        <v>320</v>
      </c>
      <c r="S9279" t="s">
        <v>323</v>
      </c>
      <c r="T9279">
        <v>7.6</v>
      </c>
    </row>
    <row r="9280" spans="3:25">
      <c r="N9280" s="42">
        <v>44783</v>
      </c>
      <c r="O9280" t="s">
        <v>328</v>
      </c>
      <c r="P9280" s="42">
        <v>44783</v>
      </c>
      <c r="Q9280" t="s">
        <v>328</v>
      </c>
      <c r="R9280" t="s">
        <v>320</v>
      </c>
      <c r="S9280" t="s">
        <v>323</v>
      </c>
      <c r="U9280">
        <v>7.6</v>
      </c>
      <c r="Y9280" s="42">
        <v>44789</v>
      </c>
    </row>
    <row r="9281" spans="1:25">
      <c r="N9281" s="42">
        <v>44732</v>
      </c>
      <c r="O9281" t="s">
        <v>345</v>
      </c>
      <c r="P9281" s="42">
        <v>44733</v>
      </c>
      <c r="Q9281" t="s">
        <v>333</v>
      </c>
      <c r="R9281" t="s">
        <v>329</v>
      </c>
      <c r="S9281" t="s">
        <v>323</v>
      </c>
      <c r="T9281">
        <v>15.2</v>
      </c>
      <c r="W9281" t="s">
        <v>339</v>
      </c>
      <c r="Y9281" s="42">
        <v>44733</v>
      </c>
    </row>
    <row r="9282" spans="1:25">
      <c r="N9282" s="42">
        <v>44683</v>
      </c>
      <c r="O9282" t="s">
        <v>345</v>
      </c>
      <c r="P9282" s="42">
        <v>44683</v>
      </c>
      <c r="Q9282" t="s">
        <v>345</v>
      </c>
      <c r="R9282" t="s">
        <v>320</v>
      </c>
      <c r="S9282" t="s">
        <v>323</v>
      </c>
      <c r="U9282">
        <v>7.6</v>
      </c>
      <c r="Y9282" s="42">
        <v>44691</v>
      </c>
    </row>
    <row r="9283" spans="1:25">
      <c r="N9283" s="42">
        <v>44676</v>
      </c>
      <c r="O9283" t="s">
        <v>345</v>
      </c>
      <c r="P9283" s="42">
        <v>44676</v>
      </c>
      <c r="Q9283" t="s">
        <v>345</v>
      </c>
      <c r="R9283" t="s">
        <v>320</v>
      </c>
      <c r="S9283" t="s">
        <v>323</v>
      </c>
      <c r="U9283">
        <v>7.6</v>
      </c>
      <c r="Y9283" s="42">
        <v>44677</v>
      </c>
    </row>
    <row r="9284" spans="1:25">
      <c r="N9284" s="42">
        <v>44669</v>
      </c>
      <c r="O9284" t="s">
        <v>345</v>
      </c>
      <c r="P9284" s="42">
        <v>44669</v>
      </c>
      <c r="Q9284" t="s">
        <v>345</v>
      </c>
      <c r="R9284" t="s">
        <v>320</v>
      </c>
      <c r="S9284" t="s">
        <v>323</v>
      </c>
      <c r="U9284">
        <v>7.6</v>
      </c>
      <c r="Y9284" s="42">
        <v>44677</v>
      </c>
    </row>
    <row r="9285" spans="1:25">
      <c r="N9285" s="42">
        <v>44666</v>
      </c>
      <c r="O9285" t="s">
        <v>346</v>
      </c>
      <c r="P9285" s="42">
        <v>44666</v>
      </c>
      <c r="Q9285" t="s">
        <v>346</v>
      </c>
      <c r="R9285" t="s">
        <v>320</v>
      </c>
      <c r="S9285" t="s">
        <v>323</v>
      </c>
      <c r="U9285">
        <v>7.6</v>
      </c>
      <c r="Y9285" s="42">
        <v>44677</v>
      </c>
    </row>
    <row r="9286" spans="1:25">
      <c r="N9286" s="42">
        <v>44587</v>
      </c>
      <c r="O9286" t="s">
        <v>328</v>
      </c>
      <c r="P9286" s="42">
        <v>44587</v>
      </c>
      <c r="Q9286" t="s">
        <v>328</v>
      </c>
      <c r="R9286" t="s">
        <v>320</v>
      </c>
      <c r="S9286" t="s">
        <v>323</v>
      </c>
      <c r="U9286">
        <v>7.6</v>
      </c>
      <c r="Y9286" s="42">
        <v>44593</v>
      </c>
    </row>
    <row r="9287" spans="1:25">
      <c r="A9287">
        <v>18988</v>
      </c>
      <c r="B9287" t="s">
        <v>475</v>
      </c>
      <c r="C9287" t="s">
        <v>320</v>
      </c>
      <c r="D9287" t="s">
        <v>336</v>
      </c>
      <c r="E9287" t="s">
        <v>337</v>
      </c>
      <c r="F9287">
        <v>1</v>
      </c>
      <c r="G9287" s="42">
        <v>45295</v>
      </c>
      <c r="H9287">
        <v>152</v>
      </c>
      <c r="I9287">
        <v>45.6</v>
      </c>
      <c r="J9287">
        <v>24.569900000000001</v>
      </c>
      <c r="K9287">
        <v>70.169899999999998</v>
      </c>
      <c r="L9287" t="s">
        <v>323</v>
      </c>
      <c r="M9287" s="43">
        <v>4.3055555555555562E-2</v>
      </c>
      <c r="N9287" s="42">
        <v>44952</v>
      </c>
      <c r="O9287" t="s">
        <v>324</v>
      </c>
      <c r="P9287" s="42">
        <v>44952</v>
      </c>
      <c r="Q9287" t="s">
        <v>324</v>
      </c>
      <c r="R9287" t="s">
        <v>320</v>
      </c>
      <c r="S9287" t="s">
        <v>323</v>
      </c>
      <c r="U9287">
        <v>7.6</v>
      </c>
      <c r="Y9287" s="42">
        <v>44957</v>
      </c>
    </row>
    <row r="9288" spans="1:25">
      <c r="C9288" t="s">
        <v>325</v>
      </c>
      <c r="D9288" t="s">
        <v>395</v>
      </c>
      <c r="E9288" t="s">
        <v>396</v>
      </c>
      <c r="F9288">
        <v>1</v>
      </c>
      <c r="G9288" s="42">
        <v>48217</v>
      </c>
      <c r="H9288">
        <v>329.33330000000001</v>
      </c>
      <c r="I9288">
        <v>0</v>
      </c>
      <c r="J9288">
        <v>38.235799999999998</v>
      </c>
      <c r="K9288">
        <v>38.235799999999998</v>
      </c>
      <c r="L9288" t="s">
        <v>323</v>
      </c>
      <c r="N9288" s="42">
        <v>44928</v>
      </c>
      <c r="O9288" t="s">
        <v>345</v>
      </c>
      <c r="P9288" s="42">
        <v>44928</v>
      </c>
      <c r="Q9288" t="s">
        <v>345</v>
      </c>
      <c r="R9288" t="s">
        <v>320</v>
      </c>
      <c r="S9288" t="s">
        <v>323</v>
      </c>
      <c r="U9288">
        <v>7.6</v>
      </c>
      <c r="Y9288" s="42">
        <v>44929</v>
      </c>
    </row>
    <row r="9289" spans="1:25">
      <c r="C9289" t="s">
        <v>329</v>
      </c>
      <c r="D9289" t="s">
        <v>342</v>
      </c>
      <c r="E9289" t="s">
        <v>343</v>
      </c>
      <c r="F9289">
        <v>1</v>
      </c>
      <c r="G9289" s="42">
        <v>45295</v>
      </c>
      <c r="H9289">
        <v>76</v>
      </c>
      <c r="I9289">
        <v>76</v>
      </c>
      <c r="J9289">
        <v>12.2849</v>
      </c>
      <c r="K9289">
        <v>88.284899999999993</v>
      </c>
      <c r="L9289" t="s">
        <v>323</v>
      </c>
      <c r="N9289" s="42">
        <v>44922</v>
      </c>
      <c r="O9289" t="s">
        <v>333</v>
      </c>
      <c r="P9289" s="42">
        <v>44922</v>
      </c>
      <c r="Q9289" t="s">
        <v>333</v>
      </c>
      <c r="R9289" t="s">
        <v>320</v>
      </c>
      <c r="S9289" t="s">
        <v>323</v>
      </c>
      <c r="U9289">
        <v>7.6</v>
      </c>
      <c r="Y9289" s="42">
        <v>44929</v>
      </c>
    </row>
    <row r="9290" spans="1:25">
      <c r="N9290" s="42">
        <v>44921</v>
      </c>
      <c r="O9290" t="s">
        <v>345</v>
      </c>
      <c r="P9290" s="42">
        <v>44921</v>
      </c>
      <c r="Q9290" t="s">
        <v>345</v>
      </c>
      <c r="R9290" t="s">
        <v>320</v>
      </c>
      <c r="S9290" t="s">
        <v>323</v>
      </c>
      <c r="U9290">
        <v>7.6</v>
      </c>
      <c r="Y9290" s="42">
        <v>44929</v>
      </c>
    </row>
    <row r="9291" spans="1:25">
      <c r="N9291" s="42">
        <v>44902</v>
      </c>
      <c r="O9291" t="s">
        <v>328</v>
      </c>
      <c r="P9291" s="42">
        <v>44904</v>
      </c>
      <c r="Q9291" t="s">
        <v>346</v>
      </c>
      <c r="R9291" t="s">
        <v>320</v>
      </c>
      <c r="S9291" t="s">
        <v>323</v>
      </c>
      <c r="T9291">
        <v>22.8</v>
      </c>
      <c r="U9291">
        <v>0</v>
      </c>
      <c r="V9291">
        <v>0</v>
      </c>
      <c r="Y9291" s="42">
        <v>44915</v>
      </c>
    </row>
    <row r="9292" spans="1:25">
      <c r="N9292" s="42">
        <v>44888</v>
      </c>
      <c r="O9292" t="s">
        <v>328</v>
      </c>
      <c r="P9292" s="42">
        <v>44901</v>
      </c>
      <c r="Q9292" t="s">
        <v>333</v>
      </c>
      <c r="R9292" t="s">
        <v>320</v>
      </c>
      <c r="S9292" t="s">
        <v>323</v>
      </c>
      <c r="T9292">
        <v>76</v>
      </c>
      <c r="U9292">
        <v>0</v>
      </c>
      <c r="V9292">
        <v>0</v>
      </c>
      <c r="Y9292" s="42">
        <v>44901</v>
      </c>
    </row>
    <row r="9293" spans="1:25">
      <c r="N9293" s="42">
        <v>44861</v>
      </c>
      <c r="O9293" t="s">
        <v>324</v>
      </c>
      <c r="P9293" s="42">
        <v>44861</v>
      </c>
      <c r="Q9293" t="s">
        <v>324</v>
      </c>
      <c r="R9293" t="s">
        <v>320</v>
      </c>
      <c r="S9293" t="s">
        <v>323</v>
      </c>
      <c r="T9293">
        <v>7.6</v>
      </c>
      <c r="V9293">
        <v>0</v>
      </c>
      <c r="Y9293" s="42">
        <v>44873</v>
      </c>
    </row>
    <row r="9294" spans="1:25">
      <c r="N9294" s="42">
        <v>44837</v>
      </c>
      <c r="O9294" t="s">
        <v>345</v>
      </c>
      <c r="P9294" s="42">
        <v>44837</v>
      </c>
      <c r="Q9294" t="s">
        <v>345</v>
      </c>
      <c r="R9294" t="s">
        <v>320</v>
      </c>
      <c r="S9294" t="s">
        <v>323</v>
      </c>
      <c r="U9294">
        <v>7.6</v>
      </c>
      <c r="Y9294" s="42">
        <v>44845</v>
      </c>
    </row>
    <row r="9295" spans="1:25">
      <c r="N9295" s="42">
        <v>44826</v>
      </c>
      <c r="O9295" t="s">
        <v>324</v>
      </c>
      <c r="P9295" s="42">
        <v>44826</v>
      </c>
      <c r="Q9295" t="s">
        <v>324</v>
      </c>
      <c r="R9295" t="s">
        <v>320</v>
      </c>
      <c r="S9295" t="s">
        <v>323</v>
      </c>
      <c r="U9295">
        <v>7.6</v>
      </c>
      <c r="Y9295" s="42">
        <v>44831</v>
      </c>
    </row>
    <row r="9296" spans="1:25">
      <c r="N9296" s="42">
        <v>44783</v>
      </c>
      <c r="O9296" t="s">
        <v>328</v>
      </c>
      <c r="P9296" s="42">
        <v>44783</v>
      </c>
      <c r="Q9296" t="s">
        <v>328</v>
      </c>
      <c r="R9296" t="s">
        <v>320</v>
      </c>
      <c r="S9296" t="s">
        <v>323</v>
      </c>
      <c r="U9296">
        <v>7.6</v>
      </c>
      <c r="Y9296" s="42">
        <v>44789</v>
      </c>
    </row>
    <row r="9297" spans="1:25">
      <c r="N9297" s="42">
        <v>44683</v>
      </c>
      <c r="O9297" t="s">
        <v>345</v>
      </c>
      <c r="P9297" s="42">
        <v>44683</v>
      </c>
      <c r="Q9297" t="s">
        <v>345</v>
      </c>
      <c r="R9297" t="s">
        <v>320</v>
      </c>
      <c r="S9297" t="s">
        <v>323</v>
      </c>
      <c r="U9297">
        <v>7.6</v>
      </c>
      <c r="Y9297" s="42">
        <v>44691</v>
      </c>
    </row>
    <row r="9298" spans="1:25">
      <c r="N9298" s="42">
        <v>44676</v>
      </c>
      <c r="O9298" t="s">
        <v>345</v>
      </c>
      <c r="P9298" s="42">
        <v>44676</v>
      </c>
      <c r="Q9298" t="s">
        <v>345</v>
      </c>
      <c r="R9298" t="s">
        <v>320</v>
      </c>
      <c r="S9298" t="s">
        <v>323</v>
      </c>
      <c r="U9298">
        <v>7.6</v>
      </c>
      <c r="Y9298" s="42">
        <v>44677</v>
      </c>
    </row>
    <row r="9299" spans="1:25">
      <c r="N9299" s="42">
        <v>44669</v>
      </c>
      <c r="O9299" t="s">
        <v>345</v>
      </c>
      <c r="P9299" s="42">
        <v>44669</v>
      </c>
      <c r="Q9299" t="s">
        <v>345</v>
      </c>
      <c r="R9299" t="s">
        <v>320</v>
      </c>
      <c r="S9299" t="s">
        <v>323</v>
      </c>
      <c r="U9299">
        <v>7.6</v>
      </c>
      <c r="Y9299" s="42">
        <v>44677</v>
      </c>
    </row>
    <row r="9300" spans="1:25">
      <c r="N9300" s="42">
        <v>44666</v>
      </c>
      <c r="O9300" t="s">
        <v>346</v>
      </c>
      <c r="P9300" s="42">
        <v>44666</v>
      </c>
      <c r="Q9300" t="s">
        <v>346</v>
      </c>
      <c r="R9300" t="s">
        <v>320</v>
      </c>
      <c r="S9300" t="s">
        <v>323</v>
      </c>
      <c r="U9300">
        <v>7.6</v>
      </c>
      <c r="Y9300" s="42">
        <v>44677</v>
      </c>
    </row>
    <row r="9301" spans="1:25">
      <c r="N9301" s="42">
        <v>44587</v>
      </c>
      <c r="O9301" t="s">
        <v>328</v>
      </c>
      <c r="P9301" s="42">
        <v>44587</v>
      </c>
      <c r="Q9301" t="s">
        <v>328</v>
      </c>
      <c r="R9301" t="s">
        <v>320</v>
      </c>
      <c r="S9301" t="s">
        <v>323</v>
      </c>
      <c r="U9301">
        <v>7.6</v>
      </c>
      <c r="Y9301" s="42">
        <v>44593</v>
      </c>
    </row>
    <row r="9302" spans="1:25">
      <c r="A9302">
        <v>18989</v>
      </c>
      <c r="B9302" t="s">
        <v>476</v>
      </c>
      <c r="C9302" t="s">
        <v>320</v>
      </c>
      <c r="D9302" t="s">
        <v>336</v>
      </c>
      <c r="E9302" t="s">
        <v>337</v>
      </c>
      <c r="F9302">
        <v>1</v>
      </c>
      <c r="G9302" s="42">
        <v>45301</v>
      </c>
      <c r="H9302">
        <v>152</v>
      </c>
      <c r="I9302">
        <v>-7.6</v>
      </c>
      <c r="J9302">
        <v>22.071200000000001</v>
      </c>
      <c r="K9302">
        <v>14.4712</v>
      </c>
      <c r="L9302" t="s">
        <v>323</v>
      </c>
      <c r="M9302" s="43">
        <v>4.2361111111111106E-2</v>
      </c>
      <c r="N9302" s="42">
        <v>44985</v>
      </c>
      <c r="O9302" t="s">
        <v>333</v>
      </c>
      <c r="P9302" s="42">
        <v>44985</v>
      </c>
      <c r="Q9302" t="s">
        <v>333</v>
      </c>
      <c r="R9302" t="s">
        <v>320</v>
      </c>
      <c r="S9302" t="s">
        <v>323</v>
      </c>
      <c r="T9302">
        <v>7.6</v>
      </c>
      <c r="Y9302" s="42">
        <v>44985</v>
      </c>
    </row>
    <row r="9303" spans="1:25">
      <c r="C9303" t="s">
        <v>325</v>
      </c>
      <c r="D9303" t="s">
        <v>340</v>
      </c>
      <c r="E9303" t="s">
        <v>341</v>
      </c>
      <c r="F9303">
        <v>1</v>
      </c>
      <c r="G9303" s="42">
        <v>47128</v>
      </c>
      <c r="H9303">
        <v>230.54220000000001</v>
      </c>
      <c r="I9303">
        <v>0</v>
      </c>
      <c r="J9303">
        <v>37.687399999999997</v>
      </c>
      <c r="K9303">
        <v>37.687399999999997</v>
      </c>
      <c r="L9303" t="s">
        <v>323</v>
      </c>
      <c r="N9303" s="42">
        <v>44982</v>
      </c>
      <c r="O9303" t="s">
        <v>359</v>
      </c>
      <c r="P9303" s="42">
        <v>44982</v>
      </c>
      <c r="Q9303" t="s">
        <v>359</v>
      </c>
      <c r="R9303" t="s">
        <v>320</v>
      </c>
      <c r="S9303" t="s">
        <v>323</v>
      </c>
      <c r="T9303">
        <v>7.6</v>
      </c>
      <c r="Y9303" s="42">
        <v>44985</v>
      </c>
    </row>
    <row r="9304" spans="1:25">
      <c r="C9304" t="s">
        <v>329</v>
      </c>
      <c r="D9304" t="s">
        <v>342</v>
      </c>
      <c r="E9304" t="s">
        <v>343</v>
      </c>
      <c r="F9304">
        <v>1</v>
      </c>
      <c r="G9304" s="42">
        <v>45301</v>
      </c>
      <c r="H9304">
        <v>76</v>
      </c>
      <c r="I9304">
        <v>15.2</v>
      </c>
      <c r="J9304">
        <v>11.035600000000001</v>
      </c>
      <c r="K9304">
        <v>26.235600000000002</v>
      </c>
      <c r="L9304" t="s">
        <v>323</v>
      </c>
      <c r="N9304" s="42">
        <v>44981</v>
      </c>
      <c r="O9304" t="s">
        <v>346</v>
      </c>
      <c r="P9304" s="42">
        <v>44981</v>
      </c>
      <c r="Q9304" t="s">
        <v>346</v>
      </c>
      <c r="R9304" t="s">
        <v>320</v>
      </c>
      <c r="S9304" t="s">
        <v>323</v>
      </c>
      <c r="T9304">
        <v>7.6</v>
      </c>
      <c r="Y9304" s="42">
        <v>44985</v>
      </c>
    </row>
    <row r="9305" spans="1:25">
      <c r="N9305" s="42">
        <v>44980</v>
      </c>
      <c r="O9305" t="s">
        <v>324</v>
      </c>
      <c r="P9305" s="42">
        <v>44980</v>
      </c>
      <c r="Q9305" t="s">
        <v>324</v>
      </c>
      <c r="R9305" t="s">
        <v>320</v>
      </c>
      <c r="S9305" t="s">
        <v>323</v>
      </c>
      <c r="T9305">
        <v>7.6</v>
      </c>
      <c r="Y9305" s="42">
        <v>44985</v>
      </c>
    </row>
    <row r="9306" spans="1:25">
      <c r="N9306" s="42">
        <v>44979</v>
      </c>
      <c r="O9306" t="s">
        <v>328</v>
      </c>
      <c r="P9306" s="42">
        <v>44979</v>
      </c>
      <c r="Q9306" t="s">
        <v>328</v>
      </c>
      <c r="R9306" t="s">
        <v>320</v>
      </c>
      <c r="S9306" t="s">
        <v>323</v>
      </c>
      <c r="T9306">
        <v>7.6</v>
      </c>
      <c r="Y9306" s="42">
        <v>44985</v>
      </c>
    </row>
    <row r="9307" spans="1:25">
      <c r="N9307" s="42">
        <v>44978</v>
      </c>
      <c r="O9307" t="s">
        <v>333</v>
      </c>
      <c r="P9307" s="42">
        <v>44978</v>
      </c>
      <c r="Q9307" t="s">
        <v>333</v>
      </c>
      <c r="R9307" t="s">
        <v>320</v>
      </c>
      <c r="S9307" t="s">
        <v>323</v>
      </c>
      <c r="T9307">
        <v>7.6</v>
      </c>
      <c r="Y9307" s="42">
        <v>44985</v>
      </c>
    </row>
    <row r="9308" spans="1:25">
      <c r="N9308" s="42">
        <v>44975</v>
      </c>
      <c r="O9308" t="s">
        <v>359</v>
      </c>
      <c r="P9308" s="42">
        <v>44975</v>
      </c>
      <c r="Q9308" t="s">
        <v>359</v>
      </c>
      <c r="R9308" t="s">
        <v>320</v>
      </c>
      <c r="S9308" t="s">
        <v>323</v>
      </c>
      <c r="T9308">
        <v>7.6</v>
      </c>
      <c r="Y9308" s="42">
        <v>44985</v>
      </c>
    </row>
    <row r="9309" spans="1:25">
      <c r="N9309" s="42">
        <v>44974</v>
      </c>
      <c r="O9309" t="s">
        <v>346</v>
      </c>
      <c r="P9309" s="42">
        <v>44974</v>
      </c>
      <c r="Q9309" t="s">
        <v>346</v>
      </c>
      <c r="R9309" t="s">
        <v>320</v>
      </c>
      <c r="S9309" t="s">
        <v>323</v>
      </c>
      <c r="T9309">
        <v>7.6</v>
      </c>
      <c r="Y9309" s="42">
        <v>44985</v>
      </c>
    </row>
    <row r="9310" spans="1:25">
      <c r="N9310" s="42">
        <v>44973</v>
      </c>
      <c r="O9310" t="s">
        <v>324</v>
      </c>
      <c r="P9310" s="42">
        <v>44973</v>
      </c>
      <c r="Q9310" t="s">
        <v>324</v>
      </c>
      <c r="R9310" t="s">
        <v>320</v>
      </c>
      <c r="S9310" t="s">
        <v>323</v>
      </c>
      <c r="T9310">
        <v>7.6</v>
      </c>
      <c r="Y9310" s="42">
        <v>44985</v>
      </c>
    </row>
    <row r="9311" spans="1:25">
      <c r="N9311" s="42">
        <v>44972</v>
      </c>
      <c r="O9311" t="s">
        <v>328</v>
      </c>
      <c r="P9311" s="42">
        <v>44972</v>
      </c>
      <c r="Q9311" t="s">
        <v>328</v>
      </c>
      <c r="R9311" t="s">
        <v>320</v>
      </c>
      <c r="S9311" t="s">
        <v>323</v>
      </c>
      <c r="T9311">
        <v>7.6</v>
      </c>
      <c r="Y9311" s="42">
        <v>44985</v>
      </c>
    </row>
    <row r="9312" spans="1:25">
      <c r="N9312" s="42">
        <v>44952</v>
      </c>
      <c r="O9312" t="s">
        <v>324</v>
      </c>
      <c r="P9312" s="42">
        <v>44952</v>
      </c>
      <c r="Q9312" t="s">
        <v>324</v>
      </c>
      <c r="R9312" t="s">
        <v>320</v>
      </c>
      <c r="S9312" t="s">
        <v>323</v>
      </c>
      <c r="U9312">
        <v>7.6</v>
      </c>
    </row>
    <row r="9313" spans="14:25">
      <c r="N9313" s="42">
        <v>44943</v>
      </c>
      <c r="O9313" t="s">
        <v>333</v>
      </c>
      <c r="P9313" s="42">
        <v>44943</v>
      </c>
      <c r="Q9313" t="s">
        <v>333</v>
      </c>
      <c r="R9313" t="s">
        <v>329</v>
      </c>
      <c r="S9313" t="s">
        <v>323</v>
      </c>
      <c r="T9313">
        <v>7.6</v>
      </c>
      <c r="W9313" t="s">
        <v>330</v>
      </c>
      <c r="Y9313" s="42">
        <v>44943</v>
      </c>
    </row>
    <row r="9314" spans="14:25">
      <c r="N9314" s="42">
        <v>44922</v>
      </c>
      <c r="O9314" t="s">
        <v>333</v>
      </c>
      <c r="P9314" s="42">
        <v>44922</v>
      </c>
      <c r="Q9314" t="s">
        <v>333</v>
      </c>
      <c r="R9314" t="s">
        <v>320</v>
      </c>
      <c r="S9314" t="s">
        <v>323</v>
      </c>
      <c r="U9314">
        <v>7.6</v>
      </c>
    </row>
    <row r="9315" spans="14:25">
      <c r="N9315" s="42">
        <v>44866</v>
      </c>
      <c r="O9315" t="s">
        <v>333</v>
      </c>
      <c r="P9315" s="42">
        <v>44866</v>
      </c>
      <c r="Q9315" t="s">
        <v>333</v>
      </c>
      <c r="R9315" t="s">
        <v>320</v>
      </c>
      <c r="S9315" t="s">
        <v>323</v>
      </c>
      <c r="U9315">
        <v>7.6</v>
      </c>
    </row>
    <row r="9316" spans="14:25">
      <c r="N9316" s="42">
        <v>44863</v>
      </c>
      <c r="O9316" t="s">
        <v>359</v>
      </c>
      <c r="P9316" s="42">
        <v>44863</v>
      </c>
      <c r="Q9316" t="s">
        <v>359</v>
      </c>
      <c r="R9316" t="s">
        <v>329</v>
      </c>
      <c r="S9316" t="s">
        <v>323</v>
      </c>
      <c r="T9316">
        <v>7.6</v>
      </c>
      <c r="W9316" t="s">
        <v>330</v>
      </c>
      <c r="Y9316" s="42">
        <v>44873</v>
      </c>
    </row>
    <row r="9317" spans="14:25">
      <c r="N9317" s="42">
        <v>44828</v>
      </c>
      <c r="O9317" t="s">
        <v>359</v>
      </c>
      <c r="P9317" s="42">
        <v>44828</v>
      </c>
      <c r="Q9317" t="s">
        <v>359</v>
      </c>
      <c r="R9317" t="s">
        <v>329</v>
      </c>
      <c r="S9317" t="s">
        <v>323</v>
      </c>
      <c r="T9317">
        <v>7.6</v>
      </c>
      <c r="W9317" t="s">
        <v>330</v>
      </c>
      <c r="Y9317" s="42">
        <v>44831</v>
      </c>
    </row>
    <row r="9318" spans="14:25">
      <c r="N9318" s="42">
        <v>44827</v>
      </c>
      <c r="O9318" t="s">
        <v>346</v>
      </c>
      <c r="P9318" s="42">
        <v>44827</v>
      </c>
      <c r="Q9318" t="s">
        <v>346</v>
      </c>
      <c r="R9318" t="s">
        <v>320</v>
      </c>
      <c r="S9318" t="s">
        <v>323</v>
      </c>
      <c r="U9318">
        <v>7.6</v>
      </c>
    </row>
    <row r="9319" spans="14:25">
      <c r="N9319" s="42">
        <v>44826</v>
      </c>
      <c r="O9319" t="s">
        <v>324</v>
      </c>
      <c r="P9319" s="42">
        <v>44826</v>
      </c>
      <c r="Q9319" t="s">
        <v>324</v>
      </c>
      <c r="R9319" t="s">
        <v>320</v>
      </c>
      <c r="S9319" t="s">
        <v>323</v>
      </c>
      <c r="U9319">
        <v>7.6</v>
      </c>
    </row>
    <row r="9320" spans="14:25">
      <c r="N9320" s="42">
        <v>44818</v>
      </c>
      <c r="O9320" t="s">
        <v>328</v>
      </c>
      <c r="P9320" s="42">
        <v>44818</v>
      </c>
      <c r="Q9320" t="s">
        <v>328</v>
      </c>
      <c r="R9320" t="s">
        <v>329</v>
      </c>
      <c r="S9320" t="s">
        <v>323</v>
      </c>
      <c r="T9320">
        <v>7.6</v>
      </c>
      <c r="W9320" t="s">
        <v>330</v>
      </c>
      <c r="Y9320" s="42">
        <v>44831</v>
      </c>
    </row>
    <row r="9321" spans="14:25">
      <c r="N9321" s="42">
        <v>44737</v>
      </c>
      <c r="O9321" t="s">
        <v>359</v>
      </c>
      <c r="P9321" s="42">
        <v>44737</v>
      </c>
      <c r="Q9321" t="s">
        <v>359</v>
      </c>
      <c r="R9321" t="s">
        <v>320</v>
      </c>
      <c r="S9321" t="s">
        <v>323</v>
      </c>
      <c r="T9321">
        <v>7.6</v>
      </c>
      <c r="Y9321" s="42">
        <v>44747</v>
      </c>
    </row>
    <row r="9322" spans="14:25">
      <c r="N9322" s="42">
        <v>44736</v>
      </c>
      <c r="O9322" t="s">
        <v>346</v>
      </c>
      <c r="P9322" s="42">
        <v>44736</v>
      </c>
      <c r="Q9322" t="s">
        <v>346</v>
      </c>
      <c r="R9322" t="s">
        <v>320</v>
      </c>
      <c r="S9322" t="s">
        <v>323</v>
      </c>
      <c r="T9322">
        <v>7.6</v>
      </c>
      <c r="Y9322" s="42">
        <v>44747</v>
      </c>
    </row>
    <row r="9323" spans="14:25">
      <c r="N9323" s="42">
        <v>44735</v>
      </c>
      <c r="O9323" t="s">
        <v>324</v>
      </c>
      <c r="P9323" s="42">
        <v>44735</v>
      </c>
      <c r="Q9323" t="s">
        <v>324</v>
      </c>
      <c r="R9323" t="s">
        <v>320</v>
      </c>
      <c r="S9323" t="s">
        <v>323</v>
      </c>
      <c r="T9323">
        <v>7.6</v>
      </c>
      <c r="Y9323" s="42">
        <v>44747</v>
      </c>
    </row>
    <row r="9324" spans="14:25">
      <c r="N9324" s="42">
        <v>44734</v>
      </c>
      <c r="O9324" t="s">
        <v>328</v>
      </c>
      <c r="P9324" s="42">
        <v>44734</v>
      </c>
      <c r="Q9324" t="s">
        <v>328</v>
      </c>
      <c r="R9324" t="s">
        <v>320</v>
      </c>
      <c r="S9324" t="s">
        <v>323</v>
      </c>
      <c r="T9324">
        <v>7.6</v>
      </c>
      <c r="Y9324" s="42">
        <v>44747</v>
      </c>
    </row>
    <row r="9325" spans="14:25">
      <c r="N9325" s="42">
        <v>44730</v>
      </c>
      <c r="O9325" t="s">
        <v>359</v>
      </c>
      <c r="P9325" s="42">
        <v>44730</v>
      </c>
      <c r="Q9325" t="s">
        <v>359</v>
      </c>
      <c r="R9325" t="s">
        <v>320</v>
      </c>
      <c r="S9325" t="s">
        <v>323</v>
      </c>
      <c r="T9325">
        <v>7.6</v>
      </c>
      <c r="Y9325" s="42">
        <v>44733</v>
      </c>
    </row>
    <row r="9326" spans="14:25">
      <c r="N9326" s="42">
        <v>44729</v>
      </c>
      <c r="O9326" t="s">
        <v>346</v>
      </c>
      <c r="P9326" s="42">
        <v>44729</v>
      </c>
      <c r="Q9326" t="s">
        <v>346</v>
      </c>
      <c r="R9326" t="s">
        <v>320</v>
      </c>
      <c r="S9326" t="s">
        <v>323</v>
      </c>
      <c r="T9326">
        <v>7.6</v>
      </c>
      <c r="Y9326" s="42">
        <v>44733</v>
      </c>
    </row>
    <row r="9327" spans="14:25">
      <c r="N9327" s="42">
        <v>44728</v>
      </c>
      <c r="O9327" t="s">
        <v>324</v>
      </c>
      <c r="P9327" s="42">
        <v>44728</v>
      </c>
      <c r="Q9327" t="s">
        <v>324</v>
      </c>
      <c r="R9327" t="s">
        <v>320</v>
      </c>
      <c r="S9327" t="s">
        <v>323</v>
      </c>
      <c r="T9327">
        <v>7.6</v>
      </c>
      <c r="Y9327" s="42">
        <v>44733</v>
      </c>
    </row>
    <row r="9328" spans="14:25">
      <c r="N9328" s="42">
        <v>44725</v>
      </c>
      <c r="O9328" t="s">
        <v>345</v>
      </c>
      <c r="P9328" s="42">
        <v>44725</v>
      </c>
      <c r="Q9328" t="s">
        <v>345</v>
      </c>
      <c r="R9328" t="s">
        <v>320</v>
      </c>
      <c r="S9328" t="s">
        <v>323</v>
      </c>
      <c r="U9328">
        <v>7.6</v>
      </c>
    </row>
    <row r="9329" spans="1:25">
      <c r="N9329" s="42">
        <v>44720</v>
      </c>
      <c r="O9329" t="s">
        <v>328</v>
      </c>
      <c r="P9329" s="42">
        <v>44720</v>
      </c>
      <c r="Q9329" t="s">
        <v>328</v>
      </c>
      <c r="R9329" t="s">
        <v>329</v>
      </c>
      <c r="S9329" t="s">
        <v>323</v>
      </c>
      <c r="T9329">
        <v>7.6</v>
      </c>
      <c r="W9329" t="s">
        <v>330</v>
      </c>
      <c r="Y9329" s="42">
        <v>44733</v>
      </c>
    </row>
    <row r="9330" spans="1:25">
      <c r="N9330" s="42">
        <v>44684</v>
      </c>
      <c r="O9330" t="s">
        <v>333</v>
      </c>
      <c r="P9330" s="42">
        <v>44684</v>
      </c>
      <c r="Q9330" t="s">
        <v>333</v>
      </c>
      <c r="R9330" t="s">
        <v>320</v>
      </c>
      <c r="S9330" t="s">
        <v>323</v>
      </c>
      <c r="T9330">
        <v>7.6</v>
      </c>
      <c r="Y9330" s="42">
        <v>44691</v>
      </c>
    </row>
    <row r="9331" spans="1:25">
      <c r="N9331" s="42">
        <v>44683</v>
      </c>
      <c r="O9331" t="s">
        <v>345</v>
      </c>
      <c r="P9331" s="42">
        <v>44683</v>
      </c>
      <c r="Q9331" t="s">
        <v>345</v>
      </c>
      <c r="R9331" t="s">
        <v>320</v>
      </c>
      <c r="S9331" t="s">
        <v>323</v>
      </c>
      <c r="T9331">
        <v>7.6</v>
      </c>
      <c r="Y9331" s="42">
        <v>44691</v>
      </c>
    </row>
    <row r="9332" spans="1:25">
      <c r="N9332" s="42">
        <v>44680</v>
      </c>
      <c r="O9332" t="s">
        <v>346</v>
      </c>
      <c r="P9332" s="42">
        <v>44680</v>
      </c>
      <c r="Q9332" t="s">
        <v>346</v>
      </c>
      <c r="R9332" t="s">
        <v>320</v>
      </c>
      <c r="S9332" t="s">
        <v>323</v>
      </c>
      <c r="T9332">
        <v>7.6</v>
      </c>
      <c r="Y9332" s="42">
        <v>44691</v>
      </c>
    </row>
    <row r="9333" spans="1:25">
      <c r="N9333" s="42">
        <v>44679</v>
      </c>
      <c r="O9333" t="s">
        <v>324</v>
      </c>
      <c r="P9333" s="42">
        <v>44679</v>
      </c>
      <c r="Q9333" t="s">
        <v>324</v>
      </c>
      <c r="R9333" t="s">
        <v>329</v>
      </c>
      <c r="S9333" t="s">
        <v>323</v>
      </c>
      <c r="T9333">
        <v>7.6</v>
      </c>
      <c r="W9333" t="s">
        <v>330</v>
      </c>
      <c r="Y9333" s="42">
        <v>44691</v>
      </c>
    </row>
    <row r="9334" spans="1:25">
      <c r="N9334" s="42">
        <v>44676</v>
      </c>
      <c r="O9334" t="s">
        <v>345</v>
      </c>
      <c r="P9334" s="42">
        <v>44676</v>
      </c>
      <c r="Q9334" t="s">
        <v>345</v>
      </c>
      <c r="R9334" t="s">
        <v>320</v>
      </c>
      <c r="S9334" t="s">
        <v>323</v>
      </c>
      <c r="U9334">
        <v>7.6</v>
      </c>
    </row>
    <row r="9335" spans="1:25">
      <c r="N9335" s="42">
        <v>44670</v>
      </c>
      <c r="O9335" t="s">
        <v>333</v>
      </c>
      <c r="P9335" s="42">
        <v>44670</v>
      </c>
      <c r="Q9335" t="s">
        <v>333</v>
      </c>
      <c r="R9335" t="s">
        <v>320</v>
      </c>
      <c r="S9335" t="s">
        <v>323</v>
      </c>
      <c r="T9335">
        <v>7.6</v>
      </c>
      <c r="Y9335" s="42">
        <v>44677</v>
      </c>
    </row>
    <row r="9336" spans="1:25">
      <c r="N9336" s="42">
        <v>44669</v>
      </c>
      <c r="O9336" t="s">
        <v>345</v>
      </c>
      <c r="P9336" s="42">
        <v>44669</v>
      </c>
      <c r="Q9336" t="s">
        <v>345</v>
      </c>
      <c r="R9336" t="s">
        <v>320</v>
      </c>
      <c r="S9336" t="s">
        <v>323</v>
      </c>
      <c r="U9336">
        <v>7.6</v>
      </c>
    </row>
    <row r="9337" spans="1:25">
      <c r="N9337" s="42">
        <v>44666</v>
      </c>
      <c r="O9337" t="s">
        <v>346</v>
      </c>
      <c r="P9337" s="42">
        <v>44666</v>
      </c>
      <c r="Q9337" t="s">
        <v>346</v>
      </c>
      <c r="R9337" t="s">
        <v>320</v>
      </c>
      <c r="S9337" t="s">
        <v>323</v>
      </c>
      <c r="U9337">
        <v>7.6</v>
      </c>
    </row>
    <row r="9338" spans="1:25">
      <c r="N9338" s="42">
        <v>44665</v>
      </c>
      <c r="O9338" t="s">
        <v>324</v>
      </c>
      <c r="P9338" s="42">
        <v>44665</v>
      </c>
      <c r="Q9338" t="s">
        <v>324</v>
      </c>
      <c r="R9338" t="s">
        <v>329</v>
      </c>
      <c r="S9338" t="s">
        <v>323</v>
      </c>
      <c r="T9338">
        <v>7.6</v>
      </c>
      <c r="W9338" t="s">
        <v>330</v>
      </c>
      <c r="Y9338" s="42">
        <v>44677</v>
      </c>
    </row>
    <row r="9339" spans="1:25">
      <c r="N9339" s="42">
        <v>44664</v>
      </c>
      <c r="O9339" t="s">
        <v>328</v>
      </c>
      <c r="P9339" s="42">
        <v>44664</v>
      </c>
      <c r="Q9339" t="s">
        <v>328</v>
      </c>
      <c r="R9339" t="s">
        <v>329</v>
      </c>
      <c r="S9339" t="s">
        <v>323</v>
      </c>
      <c r="T9339">
        <v>7.6</v>
      </c>
      <c r="W9339" t="s">
        <v>330</v>
      </c>
      <c r="Y9339" s="42">
        <v>44677</v>
      </c>
    </row>
    <row r="9340" spans="1:25">
      <c r="N9340" s="42">
        <v>44634</v>
      </c>
      <c r="O9340" t="s">
        <v>345</v>
      </c>
      <c r="P9340" s="42">
        <v>44634</v>
      </c>
      <c r="Q9340" t="s">
        <v>345</v>
      </c>
      <c r="R9340" t="s">
        <v>320</v>
      </c>
      <c r="S9340" t="s">
        <v>323</v>
      </c>
      <c r="U9340">
        <v>7.6</v>
      </c>
    </row>
    <row r="9341" spans="1:25">
      <c r="N9341" s="42">
        <v>44587</v>
      </c>
      <c r="O9341" t="s">
        <v>328</v>
      </c>
      <c r="P9341" s="42">
        <v>44587</v>
      </c>
      <c r="Q9341" t="s">
        <v>328</v>
      </c>
      <c r="R9341" t="s">
        <v>320</v>
      </c>
      <c r="S9341" t="s">
        <v>323</v>
      </c>
      <c r="U9341">
        <v>7.6</v>
      </c>
    </row>
    <row r="9342" spans="1:25">
      <c r="A9342">
        <v>18990</v>
      </c>
      <c r="B9342" t="s">
        <v>477</v>
      </c>
      <c r="C9342" t="s">
        <v>320</v>
      </c>
      <c r="D9342" t="s">
        <v>336</v>
      </c>
      <c r="E9342" t="s">
        <v>337</v>
      </c>
      <c r="F9342">
        <v>1</v>
      </c>
      <c r="G9342" s="42">
        <v>45312</v>
      </c>
      <c r="H9342">
        <v>152</v>
      </c>
      <c r="I9342">
        <v>38</v>
      </c>
      <c r="J9342">
        <v>17.490400000000001</v>
      </c>
      <c r="K9342">
        <v>55.490400000000001</v>
      </c>
      <c r="L9342" t="s">
        <v>323</v>
      </c>
      <c r="M9342" s="43">
        <v>4.2361111111111106E-2</v>
      </c>
      <c r="N9342" s="42">
        <v>44960</v>
      </c>
      <c r="O9342" t="s">
        <v>346</v>
      </c>
      <c r="P9342" s="42">
        <v>44960</v>
      </c>
      <c r="Q9342" t="s">
        <v>346</v>
      </c>
      <c r="R9342" t="s">
        <v>329</v>
      </c>
      <c r="S9342" t="s">
        <v>323</v>
      </c>
      <c r="T9342">
        <v>7.6</v>
      </c>
      <c r="W9342" t="s">
        <v>330</v>
      </c>
      <c r="Y9342" s="42">
        <v>44971</v>
      </c>
    </row>
    <row r="9343" spans="1:25">
      <c r="C9343" t="s">
        <v>325</v>
      </c>
      <c r="D9343" t="s">
        <v>395</v>
      </c>
      <c r="E9343" t="s">
        <v>396</v>
      </c>
      <c r="F9343">
        <v>1</v>
      </c>
      <c r="G9343" s="42">
        <v>48234</v>
      </c>
      <c r="H9343">
        <v>329.33330000000001</v>
      </c>
      <c r="I9343">
        <v>0</v>
      </c>
      <c r="J9343">
        <v>36.702800000000003</v>
      </c>
      <c r="K9343">
        <v>36.702800000000003</v>
      </c>
      <c r="L9343" t="s">
        <v>323</v>
      </c>
      <c r="N9343" s="42">
        <v>44959</v>
      </c>
      <c r="O9343" t="s">
        <v>324</v>
      </c>
      <c r="P9343" s="42">
        <v>44959</v>
      </c>
      <c r="Q9343" t="s">
        <v>324</v>
      </c>
      <c r="R9343" t="s">
        <v>329</v>
      </c>
      <c r="S9343" t="s">
        <v>323</v>
      </c>
      <c r="T9343">
        <v>7.6</v>
      </c>
      <c r="W9343" t="s">
        <v>330</v>
      </c>
      <c r="Y9343" s="42">
        <v>44971</v>
      </c>
    </row>
    <row r="9344" spans="1:25">
      <c r="C9344" t="s">
        <v>329</v>
      </c>
      <c r="D9344" t="s">
        <v>342</v>
      </c>
      <c r="E9344" t="s">
        <v>343</v>
      </c>
      <c r="F9344">
        <v>1</v>
      </c>
      <c r="G9344" s="42">
        <v>45312</v>
      </c>
      <c r="H9344">
        <v>76</v>
      </c>
      <c r="I9344">
        <v>0.4</v>
      </c>
      <c r="J9344">
        <v>8.7452000000000005</v>
      </c>
      <c r="K9344">
        <v>9.1452000000000009</v>
      </c>
      <c r="L9344" t="s">
        <v>323</v>
      </c>
      <c r="N9344" s="42">
        <v>44953</v>
      </c>
      <c r="O9344" t="s">
        <v>346</v>
      </c>
      <c r="P9344" s="42">
        <v>44953</v>
      </c>
      <c r="Q9344" t="s">
        <v>346</v>
      </c>
      <c r="R9344" t="s">
        <v>320</v>
      </c>
      <c r="S9344" t="s">
        <v>323</v>
      </c>
      <c r="T9344">
        <v>7.6</v>
      </c>
      <c r="Y9344" s="42">
        <v>44957</v>
      </c>
    </row>
    <row r="9345" spans="14:25">
      <c r="N9345" s="42">
        <v>44952</v>
      </c>
      <c r="O9345" t="s">
        <v>324</v>
      </c>
      <c r="P9345" s="42">
        <v>44952</v>
      </c>
      <c r="Q9345" t="s">
        <v>324</v>
      </c>
      <c r="R9345" t="s">
        <v>320</v>
      </c>
      <c r="S9345" t="s">
        <v>323</v>
      </c>
      <c r="U9345">
        <v>7.6</v>
      </c>
    </row>
    <row r="9346" spans="14:25">
      <c r="N9346" s="42">
        <v>44928</v>
      </c>
      <c r="O9346" t="s">
        <v>345</v>
      </c>
      <c r="P9346" s="42">
        <v>44928</v>
      </c>
      <c r="Q9346" t="s">
        <v>345</v>
      </c>
      <c r="R9346" t="s">
        <v>320</v>
      </c>
      <c r="S9346" t="s">
        <v>323</v>
      </c>
      <c r="U9346">
        <v>7.6</v>
      </c>
    </row>
    <row r="9347" spans="14:25">
      <c r="N9347" s="42">
        <v>44922</v>
      </c>
      <c r="O9347" t="s">
        <v>333</v>
      </c>
      <c r="P9347" s="42">
        <v>44922</v>
      </c>
      <c r="Q9347" t="s">
        <v>333</v>
      </c>
      <c r="R9347" t="s">
        <v>320</v>
      </c>
      <c r="S9347" t="s">
        <v>323</v>
      </c>
      <c r="U9347">
        <v>7.6</v>
      </c>
    </row>
    <row r="9348" spans="14:25">
      <c r="N9348" s="42">
        <v>44921</v>
      </c>
      <c r="O9348" t="s">
        <v>345</v>
      </c>
      <c r="P9348" s="42">
        <v>44921</v>
      </c>
      <c r="Q9348" t="s">
        <v>345</v>
      </c>
      <c r="R9348" t="s">
        <v>320</v>
      </c>
      <c r="S9348" t="s">
        <v>323</v>
      </c>
      <c r="U9348">
        <v>7.6</v>
      </c>
    </row>
    <row r="9349" spans="14:25">
      <c r="N9349" s="42">
        <v>44903</v>
      </c>
      <c r="O9349" t="s">
        <v>324</v>
      </c>
      <c r="P9349" s="42">
        <v>44903</v>
      </c>
      <c r="Q9349" t="s">
        <v>324</v>
      </c>
      <c r="R9349" t="s">
        <v>329</v>
      </c>
      <c r="S9349" t="s">
        <v>323</v>
      </c>
      <c r="T9349">
        <v>7.6</v>
      </c>
      <c r="W9349" t="s">
        <v>330</v>
      </c>
      <c r="Y9349" s="42">
        <v>44915</v>
      </c>
    </row>
    <row r="9350" spans="14:25">
      <c r="N9350" s="42">
        <v>44867</v>
      </c>
      <c r="O9350" t="s">
        <v>328</v>
      </c>
      <c r="P9350" s="42">
        <v>44869</v>
      </c>
      <c r="Q9350" t="s">
        <v>346</v>
      </c>
      <c r="R9350" t="s">
        <v>320</v>
      </c>
      <c r="S9350" t="s">
        <v>323</v>
      </c>
      <c r="T9350">
        <v>22.8</v>
      </c>
      <c r="V9350">
        <v>0</v>
      </c>
      <c r="Y9350" s="42">
        <v>44873</v>
      </c>
    </row>
    <row r="9351" spans="14:25">
      <c r="N9351" s="42">
        <v>44838</v>
      </c>
      <c r="O9351" t="s">
        <v>333</v>
      </c>
      <c r="P9351" s="42">
        <v>44838</v>
      </c>
      <c r="Q9351" t="s">
        <v>333</v>
      </c>
      <c r="R9351" t="s">
        <v>320</v>
      </c>
      <c r="S9351" t="s">
        <v>323</v>
      </c>
      <c r="T9351">
        <v>7.6</v>
      </c>
      <c r="Y9351" s="42">
        <v>44845</v>
      </c>
    </row>
    <row r="9352" spans="14:25">
      <c r="N9352" s="42">
        <v>44837</v>
      </c>
      <c r="O9352" t="s">
        <v>345</v>
      </c>
      <c r="P9352" s="42">
        <v>44837</v>
      </c>
      <c r="Q9352" t="s">
        <v>345</v>
      </c>
      <c r="R9352" t="s">
        <v>320</v>
      </c>
      <c r="S9352" t="s">
        <v>323</v>
      </c>
      <c r="U9352">
        <v>7.6</v>
      </c>
    </row>
    <row r="9353" spans="14:25">
      <c r="N9353" s="42">
        <v>44833</v>
      </c>
      <c r="O9353" t="s">
        <v>324</v>
      </c>
      <c r="P9353" s="42">
        <v>44833</v>
      </c>
      <c r="Q9353" t="s">
        <v>324</v>
      </c>
      <c r="R9353" t="s">
        <v>320</v>
      </c>
      <c r="S9353" t="s">
        <v>323</v>
      </c>
      <c r="T9353">
        <v>7.6</v>
      </c>
      <c r="Y9353" s="42">
        <v>44845</v>
      </c>
    </row>
    <row r="9354" spans="14:25">
      <c r="N9354" s="42">
        <v>44832</v>
      </c>
      <c r="O9354" t="s">
        <v>328</v>
      </c>
      <c r="P9354" s="42">
        <v>44832</v>
      </c>
      <c r="Q9354" t="s">
        <v>328</v>
      </c>
      <c r="R9354" t="s">
        <v>320</v>
      </c>
      <c r="S9354" t="s">
        <v>323</v>
      </c>
      <c r="T9354">
        <v>7.6</v>
      </c>
      <c r="Y9354" s="42">
        <v>44845</v>
      </c>
    </row>
    <row r="9355" spans="14:25">
      <c r="N9355" s="42">
        <v>44832</v>
      </c>
      <c r="O9355" t="s">
        <v>328</v>
      </c>
      <c r="P9355" s="42">
        <v>44838</v>
      </c>
      <c r="Q9355" t="s">
        <v>333</v>
      </c>
      <c r="R9355" t="s">
        <v>320</v>
      </c>
      <c r="S9355" t="s">
        <v>323</v>
      </c>
      <c r="T9355">
        <v>30.4</v>
      </c>
      <c r="U9355">
        <v>7.6</v>
      </c>
      <c r="V9355">
        <v>0</v>
      </c>
      <c r="Y9355" s="42">
        <v>44845</v>
      </c>
    </row>
    <row r="9356" spans="14:25">
      <c r="N9356" s="42">
        <v>44831</v>
      </c>
      <c r="O9356" t="s">
        <v>333</v>
      </c>
      <c r="P9356" s="42">
        <v>44831</v>
      </c>
      <c r="Q9356" t="s">
        <v>333</v>
      </c>
      <c r="R9356" t="s">
        <v>320</v>
      </c>
      <c r="S9356" t="s">
        <v>323</v>
      </c>
      <c r="T9356">
        <v>7.6</v>
      </c>
      <c r="Y9356" s="42">
        <v>44831</v>
      </c>
    </row>
    <row r="9357" spans="14:25">
      <c r="N9357" s="42">
        <v>44830</v>
      </c>
      <c r="O9357" t="s">
        <v>345</v>
      </c>
      <c r="P9357" s="42">
        <v>44830</v>
      </c>
      <c r="Q9357" t="s">
        <v>345</v>
      </c>
      <c r="R9357" t="s">
        <v>320</v>
      </c>
      <c r="S9357" t="s">
        <v>323</v>
      </c>
      <c r="T9357">
        <v>7.6</v>
      </c>
      <c r="Y9357" s="42">
        <v>44831</v>
      </c>
    </row>
    <row r="9358" spans="14:25">
      <c r="N9358" s="42">
        <v>44827</v>
      </c>
      <c r="O9358" t="s">
        <v>346</v>
      </c>
      <c r="P9358" s="42">
        <v>44827</v>
      </c>
      <c r="Q9358" t="s">
        <v>346</v>
      </c>
      <c r="R9358" t="s">
        <v>320</v>
      </c>
      <c r="S9358" t="s">
        <v>323</v>
      </c>
      <c r="T9358">
        <v>7.6</v>
      </c>
      <c r="Y9358" s="42">
        <v>44831</v>
      </c>
    </row>
    <row r="9359" spans="14:25">
      <c r="N9359" s="42">
        <v>44826</v>
      </c>
      <c r="O9359" t="s">
        <v>324</v>
      </c>
      <c r="P9359" s="42">
        <v>44826</v>
      </c>
      <c r="Q9359" t="s">
        <v>324</v>
      </c>
      <c r="R9359" t="s">
        <v>320</v>
      </c>
      <c r="S9359" t="s">
        <v>323</v>
      </c>
      <c r="U9359">
        <v>7.6</v>
      </c>
    </row>
    <row r="9360" spans="14:25">
      <c r="N9360" s="42">
        <v>44789</v>
      </c>
      <c r="O9360" t="s">
        <v>333</v>
      </c>
      <c r="P9360" s="42">
        <v>44789</v>
      </c>
      <c r="Q9360" t="s">
        <v>333</v>
      </c>
      <c r="R9360" t="s">
        <v>329</v>
      </c>
      <c r="S9360" t="s">
        <v>323</v>
      </c>
      <c r="T9360">
        <v>7.6</v>
      </c>
      <c r="W9360" t="s">
        <v>330</v>
      </c>
      <c r="Y9360" s="42">
        <v>44789</v>
      </c>
    </row>
    <row r="9361" spans="1:25">
      <c r="N9361" s="42">
        <v>44788</v>
      </c>
      <c r="O9361" t="s">
        <v>345</v>
      </c>
      <c r="P9361" s="42">
        <v>44788</v>
      </c>
      <c r="Q9361" t="s">
        <v>345</v>
      </c>
      <c r="R9361" t="s">
        <v>329</v>
      </c>
      <c r="S9361" t="s">
        <v>323</v>
      </c>
      <c r="T9361">
        <v>7.6</v>
      </c>
      <c r="W9361" t="s">
        <v>330</v>
      </c>
      <c r="Y9361" s="42">
        <v>44789</v>
      </c>
    </row>
    <row r="9362" spans="1:25">
      <c r="N9362" s="42">
        <v>44783</v>
      </c>
      <c r="O9362" t="s">
        <v>328</v>
      </c>
      <c r="P9362" s="42">
        <v>44783</v>
      </c>
      <c r="Q9362" t="s">
        <v>328</v>
      </c>
      <c r="R9362" t="s">
        <v>320</v>
      </c>
      <c r="S9362" t="s">
        <v>323</v>
      </c>
      <c r="U9362">
        <v>7.6</v>
      </c>
    </row>
    <row r="9363" spans="1:25">
      <c r="N9363" s="42">
        <v>44761</v>
      </c>
      <c r="O9363" t="s">
        <v>333</v>
      </c>
      <c r="P9363" s="42">
        <v>44761</v>
      </c>
      <c r="Q9363" t="s">
        <v>333</v>
      </c>
      <c r="R9363" t="s">
        <v>329</v>
      </c>
      <c r="S9363" t="s">
        <v>323</v>
      </c>
      <c r="T9363">
        <v>7.6</v>
      </c>
      <c r="W9363" t="s">
        <v>330</v>
      </c>
      <c r="Y9363" s="42">
        <v>44761</v>
      </c>
    </row>
    <row r="9364" spans="1:25">
      <c r="N9364" s="42">
        <v>44760</v>
      </c>
      <c r="O9364" t="s">
        <v>345</v>
      </c>
      <c r="P9364" s="42">
        <v>44760</v>
      </c>
      <c r="Q9364" t="s">
        <v>345</v>
      </c>
      <c r="R9364" t="s">
        <v>329</v>
      </c>
      <c r="S9364" t="s">
        <v>323</v>
      </c>
      <c r="T9364">
        <v>7.6</v>
      </c>
      <c r="W9364" t="s">
        <v>330</v>
      </c>
      <c r="Y9364" s="42">
        <v>44761</v>
      </c>
    </row>
    <row r="9365" spans="1:25">
      <c r="N9365" s="42">
        <v>44743</v>
      </c>
      <c r="O9365" t="s">
        <v>346</v>
      </c>
      <c r="P9365" s="42">
        <v>44743</v>
      </c>
      <c r="Q9365" t="s">
        <v>346</v>
      </c>
      <c r="R9365" t="s">
        <v>329</v>
      </c>
      <c r="S9365" t="s">
        <v>323</v>
      </c>
      <c r="T9365">
        <v>3.6</v>
      </c>
      <c r="W9365" t="s">
        <v>330</v>
      </c>
      <c r="Y9365" s="42">
        <v>44747</v>
      </c>
    </row>
    <row r="9366" spans="1:25">
      <c r="N9366" s="42">
        <v>44712</v>
      </c>
      <c r="O9366" t="s">
        <v>333</v>
      </c>
      <c r="P9366" s="42">
        <v>44712</v>
      </c>
      <c r="Q9366" t="s">
        <v>333</v>
      </c>
      <c r="R9366" t="s">
        <v>329</v>
      </c>
      <c r="S9366" t="s">
        <v>323</v>
      </c>
      <c r="T9366">
        <v>7.6</v>
      </c>
      <c r="W9366" t="s">
        <v>330</v>
      </c>
      <c r="Y9366" s="42">
        <v>44719</v>
      </c>
    </row>
    <row r="9367" spans="1:25">
      <c r="N9367" s="42">
        <v>44711</v>
      </c>
      <c r="O9367" t="s">
        <v>345</v>
      </c>
      <c r="P9367" s="42">
        <v>44711</v>
      </c>
      <c r="Q9367" t="s">
        <v>345</v>
      </c>
      <c r="R9367" t="s">
        <v>320</v>
      </c>
      <c r="S9367" t="s">
        <v>323</v>
      </c>
      <c r="T9367">
        <v>7.6</v>
      </c>
      <c r="V9367">
        <v>0</v>
      </c>
      <c r="Y9367" s="42">
        <v>44719</v>
      </c>
    </row>
    <row r="9368" spans="1:25">
      <c r="N9368" s="42">
        <v>44683</v>
      </c>
      <c r="O9368" t="s">
        <v>345</v>
      </c>
      <c r="P9368" s="42">
        <v>44683</v>
      </c>
      <c r="Q9368" t="s">
        <v>345</v>
      </c>
      <c r="R9368" t="s">
        <v>320</v>
      </c>
      <c r="S9368" t="s">
        <v>323</v>
      </c>
      <c r="U9368">
        <v>7.6</v>
      </c>
    </row>
    <row r="9369" spans="1:25">
      <c r="N9369" s="42">
        <v>44676</v>
      </c>
      <c r="O9369" t="s">
        <v>345</v>
      </c>
      <c r="P9369" s="42">
        <v>44676</v>
      </c>
      <c r="Q9369" t="s">
        <v>345</v>
      </c>
      <c r="R9369" t="s">
        <v>320</v>
      </c>
      <c r="S9369" t="s">
        <v>323</v>
      </c>
      <c r="U9369">
        <v>7.6</v>
      </c>
    </row>
    <row r="9370" spans="1:25">
      <c r="N9370" s="42">
        <v>44669</v>
      </c>
      <c r="O9370" t="s">
        <v>345</v>
      </c>
      <c r="P9370" s="42">
        <v>44669</v>
      </c>
      <c r="Q9370" t="s">
        <v>345</v>
      </c>
      <c r="R9370" t="s">
        <v>320</v>
      </c>
      <c r="S9370" t="s">
        <v>323</v>
      </c>
      <c r="U9370">
        <v>7.6</v>
      </c>
    </row>
    <row r="9371" spans="1:25">
      <c r="N9371" s="42">
        <v>44666</v>
      </c>
      <c r="O9371" t="s">
        <v>346</v>
      </c>
      <c r="P9371" s="42">
        <v>44666</v>
      </c>
      <c r="Q9371" t="s">
        <v>346</v>
      </c>
      <c r="R9371" t="s">
        <v>320</v>
      </c>
      <c r="S9371" t="s">
        <v>323</v>
      </c>
      <c r="U9371">
        <v>7.6</v>
      </c>
    </row>
    <row r="9372" spans="1:25">
      <c r="N9372" s="42">
        <v>44621</v>
      </c>
      <c r="O9372" t="s">
        <v>333</v>
      </c>
      <c r="P9372" s="42">
        <v>44621</v>
      </c>
      <c r="Q9372" t="s">
        <v>333</v>
      </c>
      <c r="R9372" t="s">
        <v>329</v>
      </c>
      <c r="S9372" t="s">
        <v>323</v>
      </c>
      <c r="T9372">
        <v>7.6</v>
      </c>
      <c r="W9372" t="s">
        <v>330</v>
      </c>
      <c r="Y9372" s="42">
        <v>44621</v>
      </c>
    </row>
    <row r="9373" spans="1:25">
      <c r="N9373" s="42">
        <v>44620</v>
      </c>
      <c r="O9373" t="s">
        <v>345</v>
      </c>
      <c r="P9373" s="42">
        <v>44620</v>
      </c>
      <c r="Q9373" t="s">
        <v>345</v>
      </c>
      <c r="R9373" t="s">
        <v>329</v>
      </c>
      <c r="S9373" t="s">
        <v>323</v>
      </c>
      <c r="T9373">
        <v>3.6</v>
      </c>
      <c r="W9373" t="s">
        <v>330</v>
      </c>
      <c r="Y9373" s="42">
        <v>44621</v>
      </c>
    </row>
    <row r="9374" spans="1:25">
      <c r="A9374">
        <v>18994</v>
      </c>
      <c r="B9374" t="s">
        <v>478</v>
      </c>
      <c r="C9374" t="s">
        <v>320</v>
      </c>
      <c r="D9374" t="s">
        <v>375</v>
      </c>
      <c r="E9374" t="s">
        <v>376</v>
      </c>
      <c r="F9374">
        <v>1</v>
      </c>
      <c r="G9374" s="42">
        <v>45310</v>
      </c>
      <c r="H9374">
        <v>0</v>
      </c>
      <c r="I9374">
        <v>0</v>
      </c>
      <c r="J9374">
        <v>0</v>
      </c>
      <c r="K9374">
        <v>0</v>
      </c>
      <c r="L9374" t="s">
        <v>323</v>
      </c>
      <c r="M9374" s="43">
        <v>4.2361111111111106E-2</v>
      </c>
    </row>
    <row r="9375" spans="1:25">
      <c r="C9375" t="s">
        <v>325</v>
      </c>
      <c r="D9375" t="s">
        <v>349</v>
      </c>
      <c r="E9375" t="s">
        <v>350</v>
      </c>
      <c r="F9375">
        <v>1</v>
      </c>
      <c r="G9375" s="42">
        <v>47137</v>
      </c>
      <c r="H9375">
        <v>0</v>
      </c>
      <c r="I9375">
        <v>0</v>
      </c>
      <c r="J9375">
        <v>0</v>
      </c>
      <c r="K9375">
        <v>0</v>
      </c>
      <c r="L9375" t="s">
        <v>323</v>
      </c>
    </row>
    <row r="9376" spans="1:25">
      <c r="C9376" t="s">
        <v>329</v>
      </c>
      <c r="D9376" t="s">
        <v>379</v>
      </c>
      <c r="E9376" t="s">
        <v>380</v>
      </c>
      <c r="F9376">
        <v>1</v>
      </c>
      <c r="G9376" s="42">
        <v>45310</v>
      </c>
      <c r="H9376">
        <v>0</v>
      </c>
      <c r="I9376">
        <v>0</v>
      </c>
      <c r="J9376">
        <v>0</v>
      </c>
      <c r="K9376">
        <v>0</v>
      </c>
      <c r="L9376" t="s">
        <v>323</v>
      </c>
    </row>
    <row r="9377" spans="1:25">
      <c r="A9377">
        <v>18996</v>
      </c>
      <c r="B9377" t="s">
        <v>479</v>
      </c>
      <c r="C9377" t="s">
        <v>320</v>
      </c>
      <c r="D9377" t="s">
        <v>336</v>
      </c>
      <c r="E9377" t="s">
        <v>337</v>
      </c>
      <c r="F9377">
        <v>1</v>
      </c>
      <c r="G9377" s="42">
        <v>45352</v>
      </c>
      <c r="H9377">
        <v>108.8</v>
      </c>
      <c r="I9377">
        <v>7.6412000000000004</v>
      </c>
      <c r="J9377">
        <v>0.89180000000000004</v>
      </c>
      <c r="K9377">
        <v>8.5329999999999995</v>
      </c>
      <c r="L9377" t="s">
        <v>323</v>
      </c>
      <c r="M9377" s="43">
        <v>7.6388888888888886E-3</v>
      </c>
      <c r="N9377" s="42">
        <v>44960</v>
      </c>
      <c r="O9377" t="s">
        <v>346</v>
      </c>
      <c r="P9377" s="42">
        <v>44960</v>
      </c>
      <c r="Q9377" t="s">
        <v>346</v>
      </c>
      <c r="R9377" t="s">
        <v>338</v>
      </c>
      <c r="S9377" t="s">
        <v>323</v>
      </c>
      <c r="T9377">
        <v>4</v>
      </c>
      <c r="W9377" t="s">
        <v>330</v>
      </c>
      <c r="Y9377" s="42">
        <v>44971</v>
      </c>
    </row>
    <row r="9378" spans="1:25">
      <c r="C9378" t="s">
        <v>325</v>
      </c>
      <c r="D9378" t="s">
        <v>366</v>
      </c>
      <c r="E9378" t="s">
        <v>367</v>
      </c>
      <c r="F9378">
        <v>1</v>
      </c>
      <c r="G9378" s="42">
        <v>48285</v>
      </c>
      <c r="H9378">
        <v>232.80950000000001</v>
      </c>
      <c r="I9378">
        <v>0</v>
      </c>
      <c r="J9378">
        <v>19.7256</v>
      </c>
      <c r="K9378">
        <v>19.7256</v>
      </c>
      <c r="L9378" t="s">
        <v>323</v>
      </c>
      <c r="N9378" s="42">
        <v>44959</v>
      </c>
      <c r="O9378" t="s">
        <v>324</v>
      </c>
      <c r="P9378" s="42">
        <v>44959</v>
      </c>
      <c r="Q9378" t="s">
        <v>324</v>
      </c>
      <c r="R9378" t="s">
        <v>338</v>
      </c>
      <c r="S9378" t="s">
        <v>323</v>
      </c>
      <c r="T9378">
        <v>4</v>
      </c>
      <c r="W9378" t="s">
        <v>330</v>
      </c>
      <c r="Y9378" s="42">
        <v>44971</v>
      </c>
    </row>
    <row r="9379" spans="1:25">
      <c r="C9379" t="s">
        <v>329</v>
      </c>
      <c r="D9379" t="s">
        <v>342</v>
      </c>
      <c r="E9379" t="s">
        <v>343</v>
      </c>
      <c r="F9379">
        <v>1</v>
      </c>
      <c r="G9379" s="42">
        <v>45352</v>
      </c>
      <c r="H9379">
        <v>54.4</v>
      </c>
      <c r="I9379">
        <v>36.420499999999997</v>
      </c>
      <c r="J9379">
        <v>0.44590000000000002</v>
      </c>
      <c r="K9379">
        <v>36.866399999999999</v>
      </c>
      <c r="L9379" t="s">
        <v>323</v>
      </c>
      <c r="N9379" s="42">
        <v>44958</v>
      </c>
      <c r="O9379" t="s">
        <v>328</v>
      </c>
      <c r="P9379" s="42">
        <v>44958</v>
      </c>
      <c r="Q9379" t="s">
        <v>328</v>
      </c>
      <c r="R9379" t="s">
        <v>338</v>
      </c>
      <c r="S9379" t="s">
        <v>323</v>
      </c>
      <c r="T9379">
        <v>7.6</v>
      </c>
      <c r="W9379" t="s">
        <v>330</v>
      </c>
      <c r="Y9379" s="42">
        <v>44971</v>
      </c>
    </row>
    <row r="9380" spans="1:25">
      <c r="N9380" s="42">
        <v>44957</v>
      </c>
      <c r="O9380" t="s">
        <v>333</v>
      </c>
      <c r="P9380" s="42">
        <v>44957</v>
      </c>
      <c r="Q9380" t="s">
        <v>333</v>
      </c>
      <c r="R9380" t="s">
        <v>338</v>
      </c>
      <c r="S9380" t="s">
        <v>323</v>
      </c>
      <c r="T9380">
        <v>7.6</v>
      </c>
      <c r="W9380" t="s">
        <v>330</v>
      </c>
      <c r="Y9380" s="42">
        <v>44957</v>
      </c>
    </row>
    <row r="9381" spans="1:25">
      <c r="N9381" s="42">
        <v>44954</v>
      </c>
      <c r="O9381" t="s">
        <v>359</v>
      </c>
      <c r="P9381" s="42">
        <v>44954</v>
      </c>
      <c r="Q9381" t="s">
        <v>359</v>
      </c>
      <c r="R9381" t="s">
        <v>338</v>
      </c>
      <c r="S9381" t="s">
        <v>323</v>
      </c>
      <c r="T9381">
        <v>4</v>
      </c>
      <c r="W9381" t="s">
        <v>330</v>
      </c>
      <c r="Y9381" s="42">
        <v>44957</v>
      </c>
    </row>
    <row r="9382" spans="1:25">
      <c r="N9382" s="42">
        <v>44953</v>
      </c>
      <c r="O9382" t="s">
        <v>346</v>
      </c>
      <c r="P9382" s="42">
        <v>44953</v>
      </c>
      <c r="Q9382" t="s">
        <v>346</v>
      </c>
      <c r="R9382" t="s">
        <v>338</v>
      </c>
      <c r="S9382" t="s">
        <v>323</v>
      </c>
      <c r="T9382">
        <v>4</v>
      </c>
      <c r="W9382" t="s">
        <v>330</v>
      </c>
      <c r="Y9382" s="42">
        <v>44957</v>
      </c>
    </row>
    <row r="9383" spans="1:25">
      <c r="N9383" s="42">
        <v>44952</v>
      </c>
      <c r="O9383" t="s">
        <v>324</v>
      </c>
      <c r="P9383" s="42">
        <v>44952</v>
      </c>
      <c r="Q9383" t="s">
        <v>324</v>
      </c>
      <c r="R9383" t="s">
        <v>320</v>
      </c>
      <c r="S9383" t="s">
        <v>323</v>
      </c>
      <c r="U9383">
        <v>4</v>
      </c>
    </row>
    <row r="9384" spans="1:25">
      <c r="N9384" s="42">
        <v>44951</v>
      </c>
      <c r="O9384" t="s">
        <v>328</v>
      </c>
      <c r="P9384" s="42">
        <v>44951</v>
      </c>
      <c r="Q9384" t="s">
        <v>328</v>
      </c>
      <c r="R9384" t="s">
        <v>338</v>
      </c>
      <c r="S9384" t="s">
        <v>323</v>
      </c>
      <c r="T9384">
        <v>7.6</v>
      </c>
      <c r="W9384" t="s">
        <v>330</v>
      </c>
      <c r="Y9384" s="42">
        <v>44957</v>
      </c>
    </row>
    <row r="9385" spans="1:25">
      <c r="N9385" s="42">
        <v>44950</v>
      </c>
      <c r="O9385" t="s">
        <v>333</v>
      </c>
      <c r="P9385" s="42">
        <v>44950</v>
      </c>
      <c r="Q9385" t="s">
        <v>333</v>
      </c>
      <c r="R9385" t="s">
        <v>338</v>
      </c>
      <c r="S9385" t="s">
        <v>323</v>
      </c>
      <c r="T9385">
        <v>7.6</v>
      </c>
      <c r="W9385" t="s">
        <v>330</v>
      </c>
      <c r="Y9385" s="42">
        <v>44957</v>
      </c>
    </row>
    <row r="9386" spans="1:25">
      <c r="N9386" s="42">
        <v>44947</v>
      </c>
      <c r="O9386" t="s">
        <v>359</v>
      </c>
      <c r="P9386" s="42">
        <v>44947</v>
      </c>
      <c r="Q9386" t="s">
        <v>359</v>
      </c>
      <c r="R9386" t="s">
        <v>338</v>
      </c>
      <c r="S9386" t="s">
        <v>323</v>
      </c>
      <c r="T9386">
        <v>4</v>
      </c>
      <c r="W9386" t="s">
        <v>330</v>
      </c>
      <c r="Y9386" s="42">
        <v>44957</v>
      </c>
    </row>
    <row r="9387" spans="1:25">
      <c r="N9387" s="42">
        <v>44946</v>
      </c>
      <c r="O9387" t="s">
        <v>346</v>
      </c>
      <c r="P9387" s="42">
        <v>44946</v>
      </c>
      <c r="Q9387" t="s">
        <v>346</v>
      </c>
      <c r="R9387" t="s">
        <v>338</v>
      </c>
      <c r="S9387" t="s">
        <v>323</v>
      </c>
      <c r="T9387">
        <v>4</v>
      </c>
      <c r="W9387" t="s">
        <v>330</v>
      </c>
      <c r="Y9387" s="42">
        <v>44957</v>
      </c>
    </row>
    <row r="9388" spans="1:25">
      <c r="N9388" s="42">
        <v>44945</v>
      </c>
      <c r="O9388" t="s">
        <v>324</v>
      </c>
      <c r="P9388" s="42">
        <v>44945</v>
      </c>
      <c r="Q9388" t="s">
        <v>324</v>
      </c>
      <c r="R9388" t="s">
        <v>338</v>
      </c>
      <c r="S9388" t="s">
        <v>323</v>
      </c>
      <c r="T9388">
        <v>4</v>
      </c>
      <c r="W9388" t="s">
        <v>330</v>
      </c>
      <c r="Y9388" s="42">
        <v>44957</v>
      </c>
    </row>
    <row r="9389" spans="1:25">
      <c r="N9389" s="42">
        <v>44944</v>
      </c>
      <c r="O9389" t="s">
        <v>328</v>
      </c>
      <c r="P9389" s="42">
        <v>44944</v>
      </c>
      <c r="Q9389" t="s">
        <v>328</v>
      </c>
      <c r="R9389" t="s">
        <v>320</v>
      </c>
      <c r="S9389" t="s">
        <v>323</v>
      </c>
      <c r="T9389">
        <v>7.6</v>
      </c>
      <c r="Y9389" s="42">
        <v>44957</v>
      </c>
    </row>
    <row r="9390" spans="1:25">
      <c r="N9390" s="42">
        <v>44943</v>
      </c>
      <c r="O9390" t="s">
        <v>333</v>
      </c>
      <c r="P9390" s="42">
        <v>44943</v>
      </c>
      <c r="Q9390" t="s">
        <v>333</v>
      </c>
      <c r="R9390" t="s">
        <v>320</v>
      </c>
      <c r="S9390" t="s">
        <v>323</v>
      </c>
      <c r="T9390">
        <v>7.6</v>
      </c>
      <c r="Y9390" s="42">
        <v>44943</v>
      </c>
    </row>
    <row r="9391" spans="1:25">
      <c r="N9391" s="42">
        <v>44940</v>
      </c>
      <c r="O9391" t="s">
        <v>359</v>
      </c>
      <c r="P9391" s="42">
        <v>44940</v>
      </c>
      <c r="Q9391" t="s">
        <v>359</v>
      </c>
      <c r="R9391" t="s">
        <v>320</v>
      </c>
      <c r="S9391" t="s">
        <v>323</v>
      </c>
      <c r="T9391">
        <v>4</v>
      </c>
      <c r="Y9391" s="42">
        <v>44943</v>
      </c>
    </row>
    <row r="9392" spans="1:25">
      <c r="N9392" s="42">
        <v>44939</v>
      </c>
      <c r="O9392" t="s">
        <v>346</v>
      </c>
      <c r="P9392" s="42">
        <v>44939</v>
      </c>
      <c r="Q9392" t="s">
        <v>346</v>
      </c>
      <c r="R9392" t="s">
        <v>320</v>
      </c>
      <c r="S9392" t="s">
        <v>323</v>
      </c>
      <c r="T9392">
        <v>4</v>
      </c>
      <c r="Y9392" s="42">
        <v>44943</v>
      </c>
    </row>
    <row r="9393" spans="1:25">
      <c r="N9393" s="42">
        <v>44938</v>
      </c>
      <c r="O9393" t="s">
        <v>324</v>
      </c>
      <c r="P9393" s="42">
        <v>44938</v>
      </c>
      <c r="Q9393" t="s">
        <v>324</v>
      </c>
      <c r="R9393" t="s">
        <v>320</v>
      </c>
      <c r="S9393" t="s">
        <v>323</v>
      </c>
      <c r="T9393">
        <v>4</v>
      </c>
      <c r="Y9393" s="42">
        <v>44943</v>
      </c>
    </row>
    <row r="9394" spans="1:25">
      <c r="N9394" s="42">
        <v>44937</v>
      </c>
      <c r="O9394" t="s">
        <v>328</v>
      </c>
      <c r="P9394" s="42">
        <v>44937</v>
      </c>
      <c r="Q9394" t="s">
        <v>328</v>
      </c>
      <c r="R9394" t="s">
        <v>320</v>
      </c>
      <c r="S9394" t="s">
        <v>323</v>
      </c>
      <c r="T9394">
        <v>7.6</v>
      </c>
      <c r="Y9394" s="42">
        <v>44943</v>
      </c>
    </row>
    <row r="9395" spans="1:25">
      <c r="N9395" s="42">
        <v>44936</v>
      </c>
      <c r="O9395" t="s">
        <v>333</v>
      </c>
      <c r="P9395" s="42">
        <v>44936</v>
      </c>
      <c r="Q9395" t="s">
        <v>333</v>
      </c>
      <c r="R9395" t="s">
        <v>320</v>
      </c>
      <c r="S9395" t="s">
        <v>323</v>
      </c>
      <c r="T9395">
        <v>7.6</v>
      </c>
      <c r="Y9395" s="42">
        <v>44943</v>
      </c>
    </row>
    <row r="9396" spans="1:25">
      <c r="N9396" s="42">
        <v>44933</v>
      </c>
      <c r="O9396" t="s">
        <v>359</v>
      </c>
      <c r="P9396" s="42">
        <v>44933</v>
      </c>
      <c r="Q9396" t="s">
        <v>359</v>
      </c>
      <c r="R9396" t="s">
        <v>320</v>
      </c>
      <c r="S9396" t="s">
        <v>323</v>
      </c>
      <c r="T9396">
        <v>4</v>
      </c>
      <c r="Y9396" s="42">
        <v>44943</v>
      </c>
    </row>
    <row r="9397" spans="1:25">
      <c r="N9397" s="42">
        <v>44932</v>
      </c>
      <c r="O9397" t="s">
        <v>346</v>
      </c>
      <c r="P9397" s="42">
        <v>44932</v>
      </c>
      <c r="Q9397" t="s">
        <v>346</v>
      </c>
      <c r="R9397" t="s">
        <v>320</v>
      </c>
      <c r="S9397" t="s">
        <v>323</v>
      </c>
      <c r="T9397">
        <v>4</v>
      </c>
      <c r="Y9397" s="42">
        <v>44943</v>
      </c>
    </row>
    <row r="9398" spans="1:25">
      <c r="N9398" s="42">
        <v>44931</v>
      </c>
      <c r="O9398" t="s">
        <v>324</v>
      </c>
      <c r="P9398" s="42">
        <v>44931</v>
      </c>
      <c r="Q9398" t="s">
        <v>324</v>
      </c>
      <c r="R9398" t="s">
        <v>320</v>
      </c>
      <c r="S9398" t="s">
        <v>323</v>
      </c>
      <c r="T9398">
        <v>4</v>
      </c>
      <c r="Y9398" s="42">
        <v>44943</v>
      </c>
    </row>
    <row r="9399" spans="1:25">
      <c r="N9399" s="42">
        <v>44930</v>
      </c>
      <c r="O9399" t="s">
        <v>328</v>
      </c>
      <c r="P9399" s="42">
        <v>44930</v>
      </c>
      <c r="Q9399" t="s">
        <v>328</v>
      </c>
      <c r="R9399" t="s">
        <v>320</v>
      </c>
      <c r="S9399" t="s">
        <v>323</v>
      </c>
      <c r="T9399">
        <v>7.6</v>
      </c>
      <c r="Y9399" s="42">
        <v>44943</v>
      </c>
    </row>
    <row r="9400" spans="1:25">
      <c r="N9400" s="42">
        <v>44929</v>
      </c>
      <c r="O9400" t="s">
        <v>333</v>
      </c>
      <c r="P9400" s="42">
        <v>44929</v>
      </c>
      <c r="Q9400" t="s">
        <v>333</v>
      </c>
      <c r="R9400" t="s">
        <v>320</v>
      </c>
      <c r="S9400" t="s">
        <v>323</v>
      </c>
      <c r="T9400">
        <v>7.6</v>
      </c>
      <c r="Y9400" s="42">
        <v>44929</v>
      </c>
    </row>
    <row r="9401" spans="1:25">
      <c r="N9401" s="42">
        <v>44922</v>
      </c>
      <c r="O9401" t="s">
        <v>333</v>
      </c>
      <c r="P9401" s="42">
        <v>44922</v>
      </c>
      <c r="Q9401" t="s">
        <v>333</v>
      </c>
      <c r="R9401" t="s">
        <v>320</v>
      </c>
      <c r="S9401" t="s">
        <v>323</v>
      </c>
      <c r="U9401">
        <v>7.6</v>
      </c>
    </row>
    <row r="9402" spans="1:25">
      <c r="N9402" s="42">
        <v>44860</v>
      </c>
      <c r="O9402" t="s">
        <v>328</v>
      </c>
      <c r="P9402" s="42">
        <v>44860</v>
      </c>
      <c r="Q9402" t="s">
        <v>328</v>
      </c>
      <c r="R9402" t="s">
        <v>320</v>
      </c>
      <c r="S9402" t="s">
        <v>323</v>
      </c>
      <c r="T9402">
        <v>7.6</v>
      </c>
      <c r="Y9402" s="42">
        <v>44873</v>
      </c>
    </row>
    <row r="9403" spans="1:25">
      <c r="N9403" s="42">
        <v>44826</v>
      </c>
      <c r="O9403" t="s">
        <v>324</v>
      </c>
      <c r="P9403" s="42">
        <v>44826</v>
      </c>
      <c r="Q9403" t="s">
        <v>324</v>
      </c>
      <c r="R9403" t="s">
        <v>320</v>
      </c>
      <c r="S9403" t="s">
        <v>323</v>
      </c>
      <c r="U9403">
        <v>4</v>
      </c>
    </row>
    <row r="9404" spans="1:25">
      <c r="N9404" s="42">
        <v>44735</v>
      </c>
      <c r="O9404" t="s">
        <v>324</v>
      </c>
      <c r="P9404" s="42">
        <v>44735</v>
      </c>
      <c r="Q9404" t="s">
        <v>324</v>
      </c>
      <c r="R9404" t="s">
        <v>329</v>
      </c>
      <c r="S9404" t="s">
        <v>323</v>
      </c>
      <c r="T9404">
        <v>4</v>
      </c>
      <c r="W9404" t="s">
        <v>330</v>
      </c>
      <c r="Y9404" s="42">
        <v>44747</v>
      </c>
    </row>
    <row r="9405" spans="1:25">
      <c r="N9405" s="42">
        <v>44734</v>
      </c>
      <c r="O9405" t="s">
        <v>328</v>
      </c>
      <c r="P9405" s="42">
        <v>44734</v>
      </c>
      <c r="Q9405" t="s">
        <v>328</v>
      </c>
      <c r="R9405" t="s">
        <v>329</v>
      </c>
      <c r="S9405" t="s">
        <v>323</v>
      </c>
      <c r="T9405">
        <v>4</v>
      </c>
      <c r="W9405" t="s">
        <v>330</v>
      </c>
      <c r="Y9405" s="42">
        <v>44747</v>
      </c>
    </row>
    <row r="9406" spans="1:25">
      <c r="N9406" s="42">
        <v>44730</v>
      </c>
      <c r="O9406" t="s">
        <v>359</v>
      </c>
      <c r="P9406" s="42">
        <v>44730</v>
      </c>
      <c r="Q9406" t="s">
        <v>359</v>
      </c>
      <c r="R9406" t="s">
        <v>320</v>
      </c>
      <c r="S9406" t="s">
        <v>323</v>
      </c>
      <c r="T9406">
        <v>4</v>
      </c>
      <c r="Y9406" s="42">
        <v>44733</v>
      </c>
    </row>
    <row r="9407" spans="1:25">
      <c r="N9407" s="42">
        <v>44666</v>
      </c>
      <c r="O9407" t="s">
        <v>346</v>
      </c>
      <c r="P9407" s="42">
        <v>44666</v>
      </c>
      <c r="Q9407" t="s">
        <v>346</v>
      </c>
      <c r="R9407" t="s">
        <v>320</v>
      </c>
      <c r="S9407" t="s">
        <v>323</v>
      </c>
      <c r="U9407">
        <v>4</v>
      </c>
    </row>
    <row r="9408" spans="1:25">
      <c r="A9408">
        <v>18999</v>
      </c>
      <c r="B9408" t="s">
        <v>480</v>
      </c>
      <c r="C9408" t="s">
        <v>320</v>
      </c>
      <c r="D9408" t="s">
        <v>336</v>
      </c>
      <c r="E9408" t="s">
        <v>337</v>
      </c>
      <c r="F9408">
        <v>1</v>
      </c>
      <c r="G9408" s="42">
        <v>45028</v>
      </c>
      <c r="H9408">
        <v>152</v>
      </c>
      <c r="I9408">
        <v>-127.86669999999999</v>
      </c>
      <c r="J9408">
        <v>135.75890000000001</v>
      </c>
      <c r="K9408">
        <v>7.8921999999999999</v>
      </c>
      <c r="L9408" t="s">
        <v>323</v>
      </c>
      <c r="M9408" s="43">
        <v>6.9444444444444441E-3</v>
      </c>
      <c r="N9408" s="42">
        <v>44974</v>
      </c>
      <c r="O9408" t="s">
        <v>346</v>
      </c>
      <c r="P9408" s="42">
        <v>44974</v>
      </c>
      <c r="Q9408" t="s">
        <v>346</v>
      </c>
      <c r="R9408" t="s">
        <v>320</v>
      </c>
      <c r="S9408" t="s">
        <v>323</v>
      </c>
      <c r="T9408">
        <v>7.6</v>
      </c>
      <c r="Y9408" s="42">
        <v>44985</v>
      </c>
    </row>
    <row r="9409" spans="3:25">
      <c r="C9409" t="s">
        <v>325</v>
      </c>
      <c r="D9409" t="s">
        <v>352</v>
      </c>
      <c r="E9409" t="s">
        <v>353</v>
      </c>
      <c r="F9409">
        <v>1</v>
      </c>
      <c r="G9409" s="42">
        <v>48316</v>
      </c>
      <c r="H9409">
        <v>329.346</v>
      </c>
      <c r="I9409">
        <v>0</v>
      </c>
      <c r="J9409">
        <v>29.391400000000001</v>
      </c>
      <c r="K9409">
        <v>29.391400000000001</v>
      </c>
      <c r="L9409" t="s">
        <v>323</v>
      </c>
      <c r="N9409" s="42">
        <v>44973</v>
      </c>
      <c r="O9409" t="s">
        <v>324</v>
      </c>
      <c r="P9409" s="42">
        <v>44973</v>
      </c>
      <c r="Q9409" t="s">
        <v>324</v>
      </c>
      <c r="R9409" t="s">
        <v>320</v>
      </c>
      <c r="S9409" t="s">
        <v>323</v>
      </c>
      <c r="T9409">
        <v>7.6</v>
      </c>
      <c r="Y9409" s="42">
        <v>44985</v>
      </c>
    </row>
    <row r="9410" spans="3:25">
      <c r="C9410" t="s">
        <v>329</v>
      </c>
      <c r="D9410" t="s">
        <v>342</v>
      </c>
      <c r="E9410" t="s">
        <v>343</v>
      </c>
      <c r="F9410">
        <v>1</v>
      </c>
      <c r="G9410" s="42">
        <v>45028</v>
      </c>
      <c r="H9410">
        <v>76</v>
      </c>
      <c r="I9410">
        <v>-48.6</v>
      </c>
      <c r="J9410">
        <v>67.879499999999993</v>
      </c>
      <c r="K9410">
        <v>19.279499999999999</v>
      </c>
      <c r="L9410" t="s">
        <v>323</v>
      </c>
      <c r="N9410" s="42">
        <v>44972</v>
      </c>
      <c r="O9410" t="s">
        <v>328</v>
      </c>
      <c r="P9410" s="42">
        <v>44972</v>
      </c>
      <c r="Q9410" t="s">
        <v>328</v>
      </c>
      <c r="R9410" t="s">
        <v>320</v>
      </c>
      <c r="S9410" t="s">
        <v>323</v>
      </c>
      <c r="T9410">
        <v>7.6</v>
      </c>
      <c r="Y9410" s="42">
        <v>44985</v>
      </c>
    </row>
    <row r="9411" spans="3:25">
      <c r="N9411" s="42">
        <v>44971</v>
      </c>
      <c r="O9411" t="s">
        <v>333</v>
      </c>
      <c r="P9411" s="42">
        <v>44971</v>
      </c>
      <c r="Q9411" t="s">
        <v>333</v>
      </c>
      <c r="R9411" t="s">
        <v>320</v>
      </c>
      <c r="S9411" t="s">
        <v>323</v>
      </c>
      <c r="T9411">
        <v>7.6</v>
      </c>
      <c r="Y9411" s="42">
        <v>44971</v>
      </c>
    </row>
    <row r="9412" spans="3:25">
      <c r="N9412" s="42">
        <v>44952</v>
      </c>
      <c r="O9412" t="s">
        <v>324</v>
      </c>
      <c r="P9412" s="42">
        <v>44952</v>
      </c>
      <c r="Q9412" t="s">
        <v>324</v>
      </c>
      <c r="R9412" t="s">
        <v>320</v>
      </c>
      <c r="S9412" t="s">
        <v>323</v>
      </c>
      <c r="U9412">
        <v>7.6</v>
      </c>
    </row>
    <row r="9413" spans="3:25">
      <c r="N9413" s="42">
        <v>44943</v>
      </c>
      <c r="O9413" t="s">
        <v>333</v>
      </c>
      <c r="P9413" s="42">
        <v>44943</v>
      </c>
      <c r="Q9413" t="s">
        <v>333</v>
      </c>
      <c r="R9413" t="s">
        <v>329</v>
      </c>
      <c r="S9413" t="s">
        <v>323</v>
      </c>
      <c r="T9413">
        <v>7.6</v>
      </c>
      <c r="W9413" t="s">
        <v>330</v>
      </c>
      <c r="Y9413" s="42">
        <v>44943</v>
      </c>
    </row>
    <row r="9414" spans="3:25">
      <c r="N9414" s="42">
        <v>44931</v>
      </c>
      <c r="O9414" t="s">
        <v>324</v>
      </c>
      <c r="P9414" s="42">
        <v>44931</v>
      </c>
      <c r="Q9414" t="s">
        <v>324</v>
      </c>
      <c r="R9414" t="s">
        <v>320</v>
      </c>
      <c r="S9414" t="s">
        <v>323</v>
      </c>
      <c r="T9414">
        <v>7.6</v>
      </c>
      <c r="Y9414" s="42">
        <v>44943</v>
      </c>
    </row>
    <row r="9415" spans="3:25">
      <c r="N9415" s="42">
        <v>44926</v>
      </c>
      <c r="O9415" t="s">
        <v>359</v>
      </c>
      <c r="P9415" s="42">
        <v>44926</v>
      </c>
      <c r="Q9415" t="s">
        <v>359</v>
      </c>
      <c r="R9415" t="s">
        <v>320</v>
      </c>
      <c r="S9415" t="s">
        <v>323</v>
      </c>
      <c r="T9415">
        <v>7.6</v>
      </c>
      <c r="Y9415" s="42">
        <v>44929</v>
      </c>
    </row>
    <row r="9416" spans="3:25">
      <c r="N9416" s="42">
        <v>44925</v>
      </c>
      <c r="O9416" t="s">
        <v>346</v>
      </c>
      <c r="P9416" s="42">
        <v>44925</v>
      </c>
      <c r="Q9416" t="s">
        <v>346</v>
      </c>
      <c r="R9416" t="s">
        <v>320</v>
      </c>
      <c r="S9416" t="s">
        <v>323</v>
      </c>
      <c r="T9416">
        <v>7.6</v>
      </c>
      <c r="Y9416" s="42">
        <v>44929</v>
      </c>
    </row>
    <row r="9417" spans="3:25">
      <c r="N9417" s="42">
        <v>44924</v>
      </c>
      <c r="O9417" t="s">
        <v>324</v>
      </c>
      <c r="P9417" s="42">
        <v>44924</v>
      </c>
      <c r="Q9417" t="s">
        <v>324</v>
      </c>
      <c r="R9417" t="s">
        <v>320</v>
      </c>
      <c r="S9417" t="s">
        <v>323</v>
      </c>
      <c r="T9417">
        <v>7.6</v>
      </c>
      <c r="Y9417" s="42">
        <v>44929</v>
      </c>
    </row>
    <row r="9418" spans="3:25">
      <c r="N9418" s="42">
        <v>44923</v>
      </c>
      <c r="O9418" t="s">
        <v>328</v>
      </c>
      <c r="P9418" s="42">
        <v>44923</v>
      </c>
      <c r="Q9418" t="s">
        <v>328</v>
      </c>
      <c r="R9418" t="s">
        <v>320</v>
      </c>
      <c r="S9418" t="s">
        <v>323</v>
      </c>
      <c r="T9418">
        <v>7.6</v>
      </c>
      <c r="Y9418" s="42">
        <v>44929</v>
      </c>
    </row>
    <row r="9419" spans="3:25">
      <c r="N9419" s="42">
        <v>44922</v>
      </c>
      <c r="O9419" t="s">
        <v>333</v>
      </c>
      <c r="P9419" s="42">
        <v>44922</v>
      </c>
      <c r="Q9419" t="s">
        <v>333</v>
      </c>
      <c r="R9419" t="s">
        <v>320</v>
      </c>
      <c r="S9419" t="s">
        <v>323</v>
      </c>
      <c r="U9419">
        <v>7.6</v>
      </c>
    </row>
    <row r="9420" spans="3:25">
      <c r="N9420" s="42">
        <v>44919</v>
      </c>
      <c r="O9420" t="s">
        <v>359</v>
      </c>
      <c r="P9420" s="42">
        <v>44919</v>
      </c>
      <c r="Q9420" t="s">
        <v>359</v>
      </c>
      <c r="R9420" t="s">
        <v>320</v>
      </c>
      <c r="S9420" t="s">
        <v>323</v>
      </c>
      <c r="T9420">
        <v>7.6</v>
      </c>
      <c r="Y9420" s="42">
        <v>44929</v>
      </c>
    </row>
    <row r="9421" spans="3:25">
      <c r="N9421" s="42">
        <v>44918</v>
      </c>
      <c r="O9421" t="s">
        <v>346</v>
      </c>
      <c r="P9421" s="42">
        <v>44918</v>
      </c>
      <c r="Q9421" t="s">
        <v>346</v>
      </c>
      <c r="R9421" t="s">
        <v>320</v>
      </c>
      <c r="S9421" t="s">
        <v>323</v>
      </c>
      <c r="T9421">
        <v>7.6</v>
      </c>
      <c r="Y9421" s="42">
        <v>44929</v>
      </c>
    </row>
    <row r="9422" spans="3:25">
      <c r="N9422" s="42">
        <v>44917</v>
      </c>
      <c r="O9422" t="s">
        <v>324</v>
      </c>
      <c r="P9422" s="42">
        <v>44917</v>
      </c>
      <c r="Q9422" t="s">
        <v>324</v>
      </c>
      <c r="R9422" t="s">
        <v>320</v>
      </c>
      <c r="S9422" t="s">
        <v>323</v>
      </c>
      <c r="T9422">
        <v>7.6</v>
      </c>
      <c r="Y9422" s="42">
        <v>44929</v>
      </c>
    </row>
    <row r="9423" spans="3:25">
      <c r="N9423" s="42">
        <v>44916</v>
      </c>
      <c r="O9423" t="s">
        <v>328</v>
      </c>
      <c r="P9423" s="42">
        <v>44916</v>
      </c>
      <c r="Q9423" t="s">
        <v>328</v>
      </c>
      <c r="R9423" t="s">
        <v>320</v>
      </c>
      <c r="S9423" t="s">
        <v>323</v>
      </c>
      <c r="T9423">
        <v>7.6</v>
      </c>
      <c r="Y9423" s="42">
        <v>44929</v>
      </c>
    </row>
    <row r="9424" spans="3:25">
      <c r="N9424" s="42">
        <v>44915</v>
      </c>
      <c r="O9424" t="s">
        <v>333</v>
      </c>
      <c r="P9424" s="42">
        <v>44915</v>
      </c>
      <c r="Q9424" t="s">
        <v>333</v>
      </c>
      <c r="R9424" t="s">
        <v>320</v>
      </c>
      <c r="S9424" t="s">
        <v>323</v>
      </c>
      <c r="T9424">
        <v>7.6</v>
      </c>
      <c r="Y9424" s="42">
        <v>44915</v>
      </c>
    </row>
    <row r="9425" spans="1:25">
      <c r="N9425" s="42">
        <v>44912</v>
      </c>
      <c r="O9425" t="s">
        <v>359</v>
      </c>
      <c r="P9425" s="42">
        <v>44912</v>
      </c>
      <c r="Q9425" t="s">
        <v>359</v>
      </c>
      <c r="R9425" t="s">
        <v>320</v>
      </c>
      <c r="S9425" t="s">
        <v>323</v>
      </c>
      <c r="T9425">
        <v>7.6</v>
      </c>
      <c r="Y9425" s="42">
        <v>44915</v>
      </c>
    </row>
    <row r="9426" spans="1:25">
      <c r="N9426" s="42">
        <v>44897</v>
      </c>
      <c r="O9426" t="s">
        <v>346</v>
      </c>
      <c r="P9426" s="42">
        <v>44897</v>
      </c>
      <c r="Q9426" t="s">
        <v>346</v>
      </c>
      <c r="R9426" t="s">
        <v>320</v>
      </c>
      <c r="S9426" t="s">
        <v>323</v>
      </c>
      <c r="T9426">
        <v>4.1666999999999996</v>
      </c>
      <c r="Y9426" s="42">
        <v>44901</v>
      </c>
    </row>
    <row r="9427" spans="1:25">
      <c r="N9427" s="42">
        <v>44895</v>
      </c>
      <c r="O9427" t="s">
        <v>328</v>
      </c>
      <c r="P9427" s="42">
        <v>44895</v>
      </c>
      <c r="Q9427" t="s">
        <v>328</v>
      </c>
      <c r="R9427" t="s">
        <v>320</v>
      </c>
      <c r="S9427" t="s">
        <v>323</v>
      </c>
      <c r="T9427">
        <v>2.1</v>
      </c>
      <c r="Y9427" s="42">
        <v>44901</v>
      </c>
    </row>
    <row r="9428" spans="1:25">
      <c r="N9428" s="42">
        <v>44887</v>
      </c>
      <c r="O9428" t="s">
        <v>333</v>
      </c>
      <c r="P9428" s="42">
        <v>44887</v>
      </c>
      <c r="Q9428" t="s">
        <v>333</v>
      </c>
      <c r="R9428" t="s">
        <v>329</v>
      </c>
      <c r="S9428" t="s">
        <v>323</v>
      </c>
      <c r="T9428">
        <v>7.6</v>
      </c>
      <c r="W9428" t="s">
        <v>330</v>
      </c>
      <c r="Y9428" s="42">
        <v>44887</v>
      </c>
    </row>
    <row r="9429" spans="1:25">
      <c r="N9429" s="42">
        <v>44849</v>
      </c>
      <c r="O9429" t="s">
        <v>359</v>
      </c>
      <c r="P9429" s="42">
        <v>44849</v>
      </c>
      <c r="Q9429" t="s">
        <v>359</v>
      </c>
      <c r="R9429" t="s">
        <v>329</v>
      </c>
      <c r="S9429" t="s">
        <v>323</v>
      </c>
      <c r="T9429">
        <v>7.6</v>
      </c>
      <c r="W9429" t="s">
        <v>330</v>
      </c>
      <c r="Y9429" s="42">
        <v>44859</v>
      </c>
    </row>
    <row r="9430" spans="1:25">
      <c r="N9430" s="42">
        <v>44835</v>
      </c>
      <c r="O9430" t="s">
        <v>359</v>
      </c>
      <c r="P9430" s="42">
        <v>44835</v>
      </c>
      <c r="Q9430" t="s">
        <v>359</v>
      </c>
      <c r="R9430" t="s">
        <v>320</v>
      </c>
      <c r="S9430" t="s">
        <v>323</v>
      </c>
      <c r="T9430">
        <v>7.6</v>
      </c>
      <c r="Y9430" s="42">
        <v>44845</v>
      </c>
    </row>
    <row r="9431" spans="1:25">
      <c r="N9431" s="42">
        <v>44826</v>
      </c>
      <c r="O9431" t="s">
        <v>324</v>
      </c>
      <c r="P9431" s="42">
        <v>44826</v>
      </c>
      <c r="Q9431" t="s">
        <v>324</v>
      </c>
      <c r="R9431" t="s">
        <v>320</v>
      </c>
      <c r="S9431" t="s">
        <v>323</v>
      </c>
      <c r="U9431">
        <v>7.6</v>
      </c>
    </row>
    <row r="9432" spans="1:25">
      <c r="N9432" s="42">
        <v>44755</v>
      </c>
      <c r="O9432" t="s">
        <v>328</v>
      </c>
      <c r="P9432" s="42">
        <v>44755</v>
      </c>
      <c r="Q9432" t="s">
        <v>328</v>
      </c>
      <c r="R9432" t="s">
        <v>329</v>
      </c>
      <c r="S9432" t="s">
        <v>323</v>
      </c>
      <c r="T9432">
        <v>7.6</v>
      </c>
      <c r="W9432" t="s">
        <v>330</v>
      </c>
      <c r="Y9432" s="42">
        <v>44761</v>
      </c>
    </row>
    <row r="9433" spans="1:25">
      <c r="N9433" s="42">
        <v>44754</v>
      </c>
      <c r="O9433" t="s">
        <v>333</v>
      </c>
      <c r="P9433" s="42">
        <v>44754</v>
      </c>
      <c r="Q9433" t="s">
        <v>333</v>
      </c>
      <c r="R9433" t="s">
        <v>329</v>
      </c>
      <c r="S9433" t="s">
        <v>323</v>
      </c>
      <c r="T9433">
        <v>7.6</v>
      </c>
      <c r="W9433" t="s">
        <v>330</v>
      </c>
      <c r="Y9433" s="42">
        <v>44761</v>
      </c>
    </row>
    <row r="9434" spans="1:25">
      <c r="N9434" s="42">
        <v>44714</v>
      </c>
      <c r="O9434" t="s">
        <v>324</v>
      </c>
      <c r="P9434" s="42">
        <v>44714</v>
      </c>
      <c r="Q9434" t="s">
        <v>324</v>
      </c>
      <c r="R9434" t="s">
        <v>329</v>
      </c>
      <c r="S9434" t="s">
        <v>323</v>
      </c>
      <c r="T9434">
        <v>3</v>
      </c>
      <c r="W9434" t="s">
        <v>330</v>
      </c>
      <c r="Y9434" s="42">
        <v>44719</v>
      </c>
    </row>
    <row r="9435" spans="1:25">
      <c r="N9435" s="42">
        <v>44677</v>
      </c>
      <c r="O9435" t="s">
        <v>333</v>
      </c>
      <c r="P9435" s="42">
        <v>44677</v>
      </c>
      <c r="Q9435" t="s">
        <v>333</v>
      </c>
      <c r="R9435" t="s">
        <v>329</v>
      </c>
      <c r="S9435" t="s">
        <v>323</v>
      </c>
      <c r="T9435">
        <v>7.6</v>
      </c>
      <c r="W9435" t="s">
        <v>330</v>
      </c>
      <c r="Y9435" s="42">
        <v>44677</v>
      </c>
    </row>
    <row r="9436" spans="1:25">
      <c r="N9436" s="42">
        <v>44667</v>
      </c>
      <c r="O9436" t="s">
        <v>359</v>
      </c>
      <c r="P9436" s="42">
        <v>44667</v>
      </c>
      <c r="Q9436" t="s">
        <v>359</v>
      </c>
      <c r="R9436" t="s">
        <v>320</v>
      </c>
      <c r="S9436" t="s">
        <v>323</v>
      </c>
      <c r="U9436">
        <v>7.6</v>
      </c>
    </row>
    <row r="9437" spans="1:25">
      <c r="N9437" s="42">
        <v>44666</v>
      </c>
      <c r="O9437" t="s">
        <v>346</v>
      </c>
      <c r="P9437" s="42">
        <v>44666</v>
      </c>
      <c r="Q9437" t="s">
        <v>346</v>
      </c>
      <c r="R9437" t="s">
        <v>320</v>
      </c>
      <c r="S9437" t="s">
        <v>323</v>
      </c>
      <c r="U9437">
        <v>7.6</v>
      </c>
    </row>
    <row r="9438" spans="1:25">
      <c r="A9438">
        <v>19003</v>
      </c>
      <c r="B9438" t="s">
        <v>527</v>
      </c>
      <c r="C9438" t="s">
        <v>320</v>
      </c>
      <c r="D9438" t="s">
        <v>336</v>
      </c>
      <c r="E9438" t="s">
        <v>337</v>
      </c>
      <c r="F9438">
        <v>1</v>
      </c>
      <c r="G9438" s="42">
        <v>45035</v>
      </c>
      <c r="H9438">
        <v>152</v>
      </c>
      <c r="I9438">
        <v>-76</v>
      </c>
      <c r="J9438">
        <v>132.84379999999999</v>
      </c>
      <c r="K9438">
        <v>56.843800000000002</v>
      </c>
      <c r="L9438" t="s">
        <v>323</v>
      </c>
      <c r="M9438" s="43">
        <v>6.9444444444444441E-3</v>
      </c>
      <c r="N9438" s="42">
        <v>45033</v>
      </c>
      <c r="O9438" t="s">
        <v>345</v>
      </c>
      <c r="P9438" s="42">
        <v>45040</v>
      </c>
      <c r="Q9438" t="s">
        <v>345</v>
      </c>
      <c r="R9438" t="s">
        <v>320</v>
      </c>
      <c r="S9438" t="s">
        <v>323</v>
      </c>
      <c r="T9438">
        <v>45.6</v>
      </c>
      <c r="V9438">
        <v>0</v>
      </c>
    </row>
    <row r="9439" spans="1:25">
      <c r="C9439" t="s">
        <v>325</v>
      </c>
      <c r="D9439" t="s">
        <v>340</v>
      </c>
      <c r="E9439" t="s">
        <v>341</v>
      </c>
      <c r="F9439">
        <v>1</v>
      </c>
      <c r="G9439" s="42">
        <v>47227</v>
      </c>
      <c r="H9439">
        <v>230.54220000000001</v>
      </c>
      <c r="I9439">
        <v>0</v>
      </c>
      <c r="J9439">
        <v>28.761399999999998</v>
      </c>
      <c r="K9439">
        <v>28.761399999999998</v>
      </c>
      <c r="L9439" t="s">
        <v>323</v>
      </c>
      <c r="N9439" s="42">
        <v>44973</v>
      </c>
      <c r="O9439" t="s">
        <v>324</v>
      </c>
      <c r="P9439" s="42">
        <v>44973</v>
      </c>
      <c r="Q9439" t="s">
        <v>324</v>
      </c>
      <c r="R9439" t="s">
        <v>320</v>
      </c>
      <c r="S9439" t="s">
        <v>323</v>
      </c>
      <c r="T9439">
        <v>7.6</v>
      </c>
      <c r="V9439">
        <v>0</v>
      </c>
      <c r="Y9439" s="42">
        <v>44985</v>
      </c>
    </row>
    <row r="9440" spans="1:25">
      <c r="C9440" t="s">
        <v>329</v>
      </c>
      <c r="D9440" t="s">
        <v>342</v>
      </c>
      <c r="E9440" t="s">
        <v>343</v>
      </c>
      <c r="F9440">
        <v>1</v>
      </c>
      <c r="G9440" s="42">
        <v>45035</v>
      </c>
      <c r="H9440">
        <v>76</v>
      </c>
      <c r="I9440">
        <v>-42</v>
      </c>
      <c r="J9440">
        <v>66.421899999999994</v>
      </c>
      <c r="K9440">
        <v>24.421900000000001</v>
      </c>
      <c r="L9440" t="s">
        <v>323</v>
      </c>
      <c r="N9440" s="42">
        <v>44971</v>
      </c>
      <c r="O9440" t="s">
        <v>333</v>
      </c>
      <c r="P9440" s="42">
        <v>44971</v>
      </c>
      <c r="Q9440" t="s">
        <v>333</v>
      </c>
      <c r="R9440" t="s">
        <v>329</v>
      </c>
      <c r="S9440" t="s">
        <v>323</v>
      </c>
      <c r="T9440">
        <v>7.6</v>
      </c>
      <c r="W9440" t="s">
        <v>339</v>
      </c>
      <c r="Y9440" s="42">
        <v>44985</v>
      </c>
    </row>
    <row r="9441" spans="14:25">
      <c r="N9441" s="42">
        <v>44952</v>
      </c>
      <c r="O9441" t="s">
        <v>324</v>
      </c>
      <c r="P9441" s="42">
        <v>44952</v>
      </c>
      <c r="Q9441" t="s">
        <v>324</v>
      </c>
      <c r="R9441" t="s">
        <v>320</v>
      </c>
      <c r="S9441" t="s">
        <v>323</v>
      </c>
      <c r="U9441">
        <v>7.6</v>
      </c>
      <c r="Y9441" s="42">
        <v>44957</v>
      </c>
    </row>
    <row r="9442" spans="14:25">
      <c r="N9442" s="42">
        <v>44944</v>
      </c>
      <c r="O9442" t="s">
        <v>328</v>
      </c>
      <c r="P9442" s="42">
        <v>44944</v>
      </c>
      <c r="Q9442" t="s">
        <v>328</v>
      </c>
      <c r="R9442" t="s">
        <v>329</v>
      </c>
      <c r="S9442" t="s">
        <v>323</v>
      </c>
      <c r="T9442">
        <v>4</v>
      </c>
      <c r="W9442" t="s">
        <v>339</v>
      </c>
      <c r="Y9442" s="42">
        <v>44957</v>
      </c>
    </row>
    <row r="9443" spans="14:25">
      <c r="N9443" s="42">
        <v>44928</v>
      </c>
      <c r="O9443" t="s">
        <v>345</v>
      </c>
      <c r="P9443" s="42">
        <v>44928</v>
      </c>
      <c r="Q9443" t="s">
        <v>345</v>
      </c>
      <c r="R9443" t="s">
        <v>320</v>
      </c>
      <c r="S9443" t="s">
        <v>323</v>
      </c>
      <c r="U9443">
        <v>7.6</v>
      </c>
      <c r="Y9443" s="42">
        <v>44929</v>
      </c>
    </row>
    <row r="9444" spans="14:25">
      <c r="N9444" s="42">
        <v>44923</v>
      </c>
      <c r="O9444" t="s">
        <v>328</v>
      </c>
      <c r="P9444" s="42">
        <v>44925</v>
      </c>
      <c r="Q9444" t="s">
        <v>346</v>
      </c>
      <c r="R9444" t="s">
        <v>320</v>
      </c>
      <c r="S9444" t="s">
        <v>323</v>
      </c>
      <c r="T9444">
        <v>22.8</v>
      </c>
      <c r="V9444">
        <v>0</v>
      </c>
      <c r="Y9444" s="42">
        <v>44929</v>
      </c>
    </row>
    <row r="9445" spans="14:25">
      <c r="N9445" s="42">
        <v>44922</v>
      </c>
      <c r="O9445" t="s">
        <v>333</v>
      </c>
      <c r="P9445" s="42">
        <v>44922</v>
      </c>
      <c r="Q9445" t="s">
        <v>333</v>
      </c>
      <c r="R9445" t="s">
        <v>320</v>
      </c>
      <c r="S9445" t="s">
        <v>323</v>
      </c>
      <c r="U9445">
        <v>7.6</v>
      </c>
      <c r="Y9445" s="42">
        <v>44929</v>
      </c>
    </row>
    <row r="9446" spans="14:25">
      <c r="N9446" s="42">
        <v>44921</v>
      </c>
      <c r="O9446" t="s">
        <v>345</v>
      </c>
      <c r="P9446" s="42">
        <v>44921</v>
      </c>
      <c r="Q9446" t="s">
        <v>345</v>
      </c>
      <c r="R9446" t="s">
        <v>320</v>
      </c>
      <c r="S9446" t="s">
        <v>323</v>
      </c>
      <c r="U9446">
        <v>7.6</v>
      </c>
      <c r="Y9446" s="42">
        <v>44929</v>
      </c>
    </row>
    <row r="9447" spans="14:25">
      <c r="N9447" s="42">
        <v>44886</v>
      </c>
      <c r="O9447" t="s">
        <v>345</v>
      </c>
      <c r="P9447" s="42">
        <v>44886</v>
      </c>
      <c r="Q9447" t="s">
        <v>345</v>
      </c>
      <c r="R9447" t="s">
        <v>320</v>
      </c>
      <c r="S9447" t="s">
        <v>323</v>
      </c>
      <c r="T9447">
        <v>7.6</v>
      </c>
      <c r="U9447">
        <v>0</v>
      </c>
    </row>
    <row r="9448" spans="14:25">
      <c r="N9448" s="42">
        <v>44879</v>
      </c>
      <c r="O9448" t="s">
        <v>345</v>
      </c>
      <c r="P9448" s="42">
        <v>44879</v>
      </c>
      <c r="Q9448" t="s">
        <v>345</v>
      </c>
      <c r="R9448" t="s">
        <v>320</v>
      </c>
      <c r="S9448" t="s">
        <v>323</v>
      </c>
      <c r="T9448">
        <v>7.6</v>
      </c>
      <c r="U9448">
        <v>0</v>
      </c>
    </row>
    <row r="9449" spans="14:25">
      <c r="N9449" s="42">
        <v>44866</v>
      </c>
      <c r="O9449" t="s">
        <v>333</v>
      </c>
      <c r="P9449" s="42">
        <v>44866</v>
      </c>
      <c r="Q9449" t="s">
        <v>333</v>
      </c>
      <c r="R9449" t="s">
        <v>320</v>
      </c>
      <c r="S9449" t="s">
        <v>323</v>
      </c>
      <c r="U9449">
        <v>7.6</v>
      </c>
      <c r="Y9449" s="42">
        <v>44873</v>
      </c>
    </row>
    <row r="9450" spans="14:25">
      <c r="N9450" s="42">
        <v>44865</v>
      </c>
      <c r="O9450" t="s">
        <v>345</v>
      </c>
      <c r="P9450" s="42">
        <v>44865</v>
      </c>
      <c r="Q9450" t="s">
        <v>345</v>
      </c>
      <c r="R9450" t="s">
        <v>320</v>
      </c>
      <c r="S9450" t="s">
        <v>323</v>
      </c>
      <c r="T9450">
        <v>7.6</v>
      </c>
      <c r="V9450">
        <v>0</v>
      </c>
      <c r="Y9450" s="42">
        <v>44873</v>
      </c>
    </row>
    <row r="9451" spans="14:25">
      <c r="N9451" s="42">
        <v>44853</v>
      </c>
      <c r="O9451" t="s">
        <v>328</v>
      </c>
      <c r="P9451" s="42">
        <v>44855</v>
      </c>
      <c r="Q9451" t="s">
        <v>346</v>
      </c>
      <c r="R9451" t="s">
        <v>329</v>
      </c>
      <c r="S9451" t="s">
        <v>323</v>
      </c>
      <c r="T9451">
        <v>22.8</v>
      </c>
      <c r="W9451" t="s">
        <v>330</v>
      </c>
      <c r="X9451" t="s">
        <v>330</v>
      </c>
      <c r="Y9451" s="42">
        <v>44859</v>
      </c>
    </row>
    <row r="9452" spans="14:25">
      <c r="N9452" s="42">
        <v>44841</v>
      </c>
      <c r="O9452" t="s">
        <v>346</v>
      </c>
      <c r="P9452" s="42">
        <v>44841</v>
      </c>
      <c r="Q9452" t="s">
        <v>346</v>
      </c>
      <c r="R9452" t="s">
        <v>320</v>
      </c>
      <c r="S9452" t="s">
        <v>323</v>
      </c>
      <c r="T9452">
        <v>7.6</v>
      </c>
      <c r="V9452">
        <v>0</v>
      </c>
      <c r="Y9452" s="42">
        <v>44845</v>
      </c>
    </row>
    <row r="9453" spans="14:25">
      <c r="N9453" s="42">
        <v>44827</v>
      </c>
      <c r="O9453" t="s">
        <v>346</v>
      </c>
      <c r="P9453" s="42">
        <v>44827</v>
      </c>
      <c r="Q9453" t="s">
        <v>346</v>
      </c>
      <c r="R9453" t="s">
        <v>320</v>
      </c>
      <c r="S9453" t="s">
        <v>323</v>
      </c>
      <c r="U9453">
        <v>7.6</v>
      </c>
      <c r="Y9453" s="42">
        <v>44831</v>
      </c>
    </row>
    <row r="9454" spans="14:25">
      <c r="N9454" s="42">
        <v>44826</v>
      </c>
      <c r="O9454" t="s">
        <v>324</v>
      </c>
      <c r="P9454" s="42">
        <v>44826</v>
      </c>
      <c r="Q9454" t="s">
        <v>324</v>
      </c>
      <c r="R9454" t="s">
        <v>320</v>
      </c>
      <c r="S9454" t="s">
        <v>323</v>
      </c>
      <c r="U9454">
        <v>7.6</v>
      </c>
      <c r="Y9454" s="42">
        <v>44831</v>
      </c>
    </row>
    <row r="9455" spans="14:25">
      <c r="N9455" s="42">
        <v>44725</v>
      </c>
      <c r="O9455" t="s">
        <v>345</v>
      </c>
      <c r="P9455" s="42">
        <v>44725</v>
      </c>
      <c r="Q9455" t="s">
        <v>345</v>
      </c>
      <c r="R9455" t="s">
        <v>320</v>
      </c>
      <c r="S9455" t="s">
        <v>323</v>
      </c>
      <c r="U9455">
        <v>7.6</v>
      </c>
      <c r="Y9455" s="42">
        <v>44733</v>
      </c>
    </row>
    <row r="9456" spans="14:25">
      <c r="N9456" s="42">
        <v>44713</v>
      </c>
      <c r="O9456" t="s">
        <v>328</v>
      </c>
      <c r="P9456" s="42">
        <v>44713</v>
      </c>
      <c r="Q9456" t="s">
        <v>328</v>
      </c>
      <c r="R9456" t="s">
        <v>329</v>
      </c>
      <c r="S9456" t="s">
        <v>323</v>
      </c>
      <c r="T9456">
        <v>7.6</v>
      </c>
      <c r="W9456" t="s">
        <v>330</v>
      </c>
      <c r="X9456" t="s">
        <v>330</v>
      </c>
      <c r="Y9456" s="42">
        <v>44719</v>
      </c>
    </row>
    <row r="9457" spans="1:25">
      <c r="N9457" s="42">
        <v>44711</v>
      </c>
      <c r="O9457" t="s">
        <v>345</v>
      </c>
      <c r="P9457" s="42">
        <v>44712</v>
      </c>
      <c r="Q9457" t="s">
        <v>333</v>
      </c>
      <c r="R9457" t="s">
        <v>320</v>
      </c>
      <c r="S9457" t="s">
        <v>323</v>
      </c>
      <c r="T9457">
        <v>15.2</v>
      </c>
      <c r="V9457">
        <v>0</v>
      </c>
      <c r="Y9457" s="42">
        <v>44719</v>
      </c>
    </row>
    <row r="9458" spans="1:25">
      <c r="N9458" s="42">
        <v>44676</v>
      </c>
      <c r="O9458" t="s">
        <v>345</v>
      </c>
      <c r="P9458" s="42">
        <v>44676</v>
      </c>
      <c r="Q9458" t="s">
        <v>345</v>
      </c>
      <c r="R9458" t="s">
        <v>320</v>
      </c>
      <c r="S9458" t="s">
        <v>323</v>
      </c>
      <c r="U9458">
        <v>7.6</v>
      </c>
      <c r="Y9458" s="42">
        <v>44677</v>
      </c>
    </row>
    <row r="9459" spans="1:25">
      <c r="A9459">
        <v>19006</v>
      </c>
      <c r="B9459" t="s">
        <v>481</v>
      </c>
      <c r="C9459" t="s">
        <v>320</v>
      </c>
      <c r="D9459" t="s">
        <v>336</v>
      </c>
      <c r="E9459" t="s">
        <v>337</v>
      </c>
      <c r="F9459">
        <v>1</v>
      </c>
      <c r="G9459" s="42">
        <v>45062</v>
      </c>
      <c r="H9459">
        <v>152</v>
      </c>
      <c r="I9459">
        <v>-7.6</v>
      </c>
      <c r="J9459">
        <v>121.6</v>
      </c>
      <c r="K9459">
        <v>114</v>
      </c>
      <c r="L9459" t="s">
        <v>323</v>
      </c>
      <c r="M9459" s="43">
        <v>6.2499999999999995E-3</v>
      </c>
      <c r="N9459" s="42">
        <v>44980</v>
      </c>
      <c r="O9459" t="s">
        <v>324</v>
      </c>
      <c r="P9459" s="42">
        <v>44980</v>
      </c>
      <c r="Q9459" t="s">
        <v>324</v>
      </c>
      <c r="R9459" t="s">
        <v>329</v>
      </c>
      <c r="S9459" t="s">
        <v>323</v>
      </c>
      <c r="T9459">
        <v>7.6</v>
      </c>
      <c r="W9459" t="s">
        <v>330</v>
      </c>
      <c r="Y9459" s="42">
        <v>44985</v>
      </c>
    </row>
    <row r="9460" spans="1:25">
      <c r="C9460" t="s">
        <v>325</v>
      </c>
      <c r="D9460" t="s">
        <v>352</v>
      </c>
      <c r="E9460" t="s">
        <v>353</v>
      </c>
      <c r="F9460">
        <v>1</v>
      </c>
      <c r="G9460" s="42">
        <v>48350</v>
      </c>
      <c r="H9460">
        <v>329.346</v>
      </c>
      <c r="I9460">
        <v>0</v>
      </c>
      <c r="J9460">
        <v>26.326000000000001</v>
      </c>
      <c r="K9460">
        <v>26.326000000000001</v>
      </c>
      <c r="L9460" t="s">
        <v>323</v>
      </c>
      <c r="N9460" s="42">
        <v>44952</v>
      </c>
      <c r="O9460" t="s">
        <v>324</v>
      </c>
      <c r="P9460" s="42">
        <v>44952</v>
      </c>
      <c r="Q9460" t="s">
        <v>324</v>
      </c>
      <c r="R9460" t="s">
        <v>320</v>
      </c>
      <c r="S9460" t="s">
        <v>323</v>
      </c>
      <c r="U9460">
        <v>7.6</v>
      </c>
    </row>
    <row r="9461" spans="1:25">
      <c r="C9461" t="s">
        <v>329</v>
      </c>
      <c r="D9461" t="s">
        <v>342</v>
      </c>
      <c r="E9461" t="s">
        <v>343</v>
      </c>
      <c r="F9461">
        <v>1</v>
      </c>
      <c r="G9461" s="42">
        <v>45062</v>
      </c>
      <c r="H9461">
        <v>76</v>
      </c>
      <c r="I9461">
        <v>-38</v>
      </c>
      <c r="J9461">
        <v>60.8</v>
      </c>
      <c r="K9461">
        <v>22.8</v>
      </c>
      <c r="L9461" t="s">
        <v>323</v>
      </c>
      <c r="N9461" s="42">
        <v>44928</v>
      </c>
      <c r="O9461" t="s">
        <v>345</v>
      </c>
      <c r="P9461" s="42">
        <v>44928</v>
      </c>
      <c r="Q9461" t="s">
        <v>345</v>
      </c>
      <c r="R9461" t="s">
        <v>320</v>
      </c>
      <c r="S9461" t="s">
        <v>323</v>
      </c>
      <c r="U9461">
        <v>7.6</v>
      </c>
    </row>
    <row r="9462" spans="1:25">
      <c r="N9462" s="42">
        <v>44922</v>
      </c>
      <c r="O9462" t="s">
        <v>333</v>
      </c>
      <c r="P9462" s="42">
        <v>44922</v>
      </c>
      <c r="Q9462" t="s">
        <v>333</v>
      </c>
      <c r="R9462" t="s">
        <v>320</v>
      </c>
      <c r="S9462" t="s">
        <v>323</v>
      </c>
      <c r="U9462">
        <v>7.6</v>
      </c>
    </row>
    <row r="9463" spans="1:25">
      <c r="N9463" s="42">
        <v>44921</v>
      </c>
      <c r="O9463" t="s">
        <v>345</v>
      </c>
      <c r="P9463" s="42">
        <v>44921</v>
      </c>
      <c r="Q9463" t="s">
        <v>345</v>
      </c>
      <c r="R9463" t="s">
        <v>320</v>
      </c>
      <c r="S9463" t="s">
        <v>323</v>
      </c>
      <c r="U9463">
        <v>7.6</v>
      </c>
    </row>
    <row r="9464" spans="1:25">
      <c r="N9464" s="42">
        <v>44897</v>
      </c>
      <c r="O9464" t="s">
        <v>346</v>
      </c>
      <c r="P9464" s="42">
        <v>44897</v>
      </c>
      <c r="Q9464" t="s">
        <v>346</v>
      </c>
      <c r="R9464" t="s">
        <v>320</v>
      </c>
      <c r="S9464" t="s">
        <v>323</v>
      </c>
      <c r="T9464">
        <v>7.6</v>
      </c>
      <c r="Y9464" s="42">
        <v>44901</v>
      </c>
    </row>
    <row r="9465" spans="1:25">
      <c r="N9465" s="42">
        <v>44896</v>
      </c>
      <c r="O9465" t="s">
        <v>324</v>
      </c>
      <c r="P9465" s="42">
        <v>44896</v>
      </c>
      <c r="Q9465" t="s">
        <v>324</v>
      </c>
      <c r="R9465" t="s">
        <v>329</v>
      </c>
      <c r="S9465" t="s">
        <v>323</v>
      </c>
      <c r="T9465">
        <v>7.6</v>
      </c>
      <c r="W9465" t="s">
        <v>330</v>
      </c>
      <c r="Y9465" s="42">
        <v>44901</v>
      </c>
    </row>
    <row r="9466" spans="1:25">
      <c r="N9466" s="42">
        <v>44895</v>
      </c>
      <c r="O9466" t="s">
        <v>328</v>
      </c>
      <c r="P9466" s="42">
        <v>44895</v>
      </c>
      <c r="Q9466" t="s">
        <v>328</v>
      </c>
      <c r="R9466" t="s">
        <v>329</v>
      </c>
      <c r="S9466" t="s">
        <v>323</v>
      </c>
      <c r="T9466">
        <v>7.6</v>
      </c>
      <c r="W9466" t="s">
        <v>330</v>
      </c>
      <c r="Y9466" s="42">
        <v>44901</v>
      </c>
    </row>
    <row r="9467" spans="1:25">
      <c r="N9467" s="42">
        <v>44894</v>
      </c>
      <c r="O9467" t="s">
        <v>333</v>
      </c>
      <c r="P9467" s="42">
        <v>44894</v>
      </c>
      <c r="Q9467" t="s">
        <v>333</v>
      </c>
      <c r="R9467" t="s">
        <v>329</v>
      </c>
      <c r="S9467" t="s">
        <v>323</v>
      </c>
      <c r="T9467">
        <v>7.6</v>
      </c>
      <c r="W9467" t="s">
        <v>330</v>
      </c>
      <c r="Y9467" s="42">
        <v>44901</v>
      </c>
    </row>
    <row r="9468" spans="1:25">
      <c r="N9468" s="42">
        <v>44893</v>
      </c>
      <c r="O9468" t="s">
        <v>345</v>
      </c>
      <c r="P9468" s="42">
        <v>44893</v>
      </c>
      <c r="Q9468" t="s">
        <v>345</v>
      </c>
      <c r="R9468" t="s">
        <v>329</v>
      </c>
      <c r="S9468" t="s">
        <v>323</v>
      </c>
      <c r="T9468">
        <v>7.6</v>
      </c>
      <c r="W9468" t="s">
        <v>330</v>
      </c>
      <c r="Y9468" s="42">
        <v>44901</v>
      </c>
    </row>
    <row r="9469" spans="1:25">
      <c r="N9469" s="42">
        <v>44837</v>
      </c>
      <c r="O9469" t="s">
        <v>345</v>
      </c>
      <c r="P9469" s="42">
        <v>44837</v>
      </c>
      <c r="Q9469" t="s">
        <v>345</v>
      </c>
      <c r="R9469" t="s">
        <v>320</v>
      </c>
      <c r="S9469" t="s">
        <v>323</v>
      </c>
      <c r="U9469">
        <v>7.6</v>
      </c>
    </row>
    <row r="9470" spans="1:25">
      <c r="N9470" s="42">
        <v>44826</v>
      </c>
      <c r="O9470" t="s">
        <v>324</v>
      </c>
      <c r="P9470" s="42">
        <v>44826</v>
      </c>
      <c r="Q9470" t="s">
        <v>324</v>
      </c>
      <c r="R9470" t="s">
        <v>320</v>
      </c>
      <c r="S9470" t="s">
        <v>323</v>
      </c>
      <c r="U9470">
        <v>7.6</v>
      </c>
    </row>
    <row r="9471" spans="1:25">
      <c r="N9471" s="42">
        <v>44725</v>
      </c>
      <c r="O9471" t="s">
        <v>345</v>
      </c>
      <c r="P9471" s="42">
        <v>44725</v>
      </c>
      <c r="Q9471" t="s">
        <v>345</v>
      </c>
      <c r="R9471" t="s">
        <v>320</v>
      </c>
      <c r="S9471" t="s">
        <v>323</v>
      </c>
      <c r="U9471">
        <v>7.6</v>
      </c>
    </row>
    <row r="9472" spans="1:25">
      <c r="A9472">
        <v>19007</v>
      </c>
      <c r="B9472" t="s">
        <v>482</v>
      </c>
      <c r="C9472" t="s">
        <v>320</v>
      </c>
      <c r="D9472" t="s">
        <v>336</v>
      </c>
      <c r="E9472" t="s">
        <v>337</v>
      </c>
      <c r="F9472">
        <v>1</v>
      </c>
      <c r="G9472" s="42">
        <v>45070</v>
      </c>
      <c r="H9472">
        <v>146.73859999999999</v>
      </c>
      <c r="I9472">
        <v>-78.400000000000006</v>
      </c>
      <c r="J9472">
        <v>113.00709999999999</v>
      </c>
      <c r="K9472">
        <v>34.607100000000003</v>
      </c>
      <c r="L9472" t="s">
        <v>323</v>
      </c>
      <c r="M9472" s="43">
        <v>5.5555555555555558E-3</v>
      </c>
      <c r="N9472" s="42">
        <v>44965</v>
      </c>
      <c r="O9472" t="s">
        <v>328</v>
      </c>
      <c r="P9472" s="42">
        <v>44965</v>
      </c>
      <c r="Q9472" t="s">
        <v>328</v>
      </c>
      <c r="R9472" t="s">
        <v>320</v>
      </c>
      <c r="S9472" t="s">
        <v>323</v>
      </c>
      <c r="T9472">
        <v>1</v>
      </c>
      <c r="Y9472" s="42">
        <v>44971</v>
      </c>
    </row>
    <row r="9473" spans="3:25">
      <c r="C9473" t="s">
        <v>325</v>
      </c>
      <c r="D9473" t="s">
        <v>352</v>
      </c>
      <c r="E9473" t="s">
        <v>353</v>
      </c>
      <c r="F9473">
        <v>1</v>
      </c>
      <c r="G9473" s="42">
        <v>48367</v>
      </c>
      <c r="H9473">
        <v>329.346</v>
      </c>
      <c r="I9473">
        <v>0</v>
      </c>
      <c r="J9473">
        <v>24.793399999999998</v>
      </c>
      <c r="K9473">
        <v>24.793399999999998</v>
      </c>
      <c r="L9473" t="s">
        <v>323</v>
      </c>
      <c r="N9473" s="42">
        <v>44964</v>
      </c>
      <c r="O9473" t="s">
        <v>333</v>
      </c>
      <c r="P9473" s="42">
        <v>44964</v>
      </c>
      <c r="Q9473" t="s">
        <v>333</v>
      </c>
      <c r="R9473" t="s">
        <v>320</v>
      </c>
      <c r="S9473" t="s">
        <v>323</v>
      </c>
      <c r="T9473">
        <v>7.6</v>
      </c>
      <c r="Y9473" s="42">
        <v>44971</v>
      </c>
    </row>
    <row r="9474" spans="3:25">
      <c r="C9474" t="s">
        <v>329</v>
      </c>
      <c r="D9474" t="s">
        <v>342</v>
      </c>
      <c r="E9474" t="s">
        <v>343</v>
      </c>
      <c r="F9474">
        <v>1</v>
      </c>
      <c r="G9474" s="42">
        <v>45070</v>
      </c>
      <c r="H9474">
        <v>73.369299999999996</v>
      </c>
      <c r="I9474">
        <v>-17.2</v>
      </c>
      <c r="J9474">
        <v>56.503500000000003</v>
      </c>
      <c r="K9474">
        <v>39.3035</v>
      </c>
      <c r="L9474" t="s">
        <v>323</v>
      </c>
      <c r="N9474" s="42">
        <v>44958</v>
      </c>
      <c r="O9474" t="s">
        <v>328</v>
      </c>
      <c r="P9474" s="42">
        <v>44958</v>
      </c>
      <c r="Q9474" t="s">
        <v>328</v>
      </c>
      <c r="R9474" t="s">
        <v>320</v>
      </c>
      <c r="S9474" t="s">
        <v>323</v>
      </c>
      <c r="T9474">
        <v>7.6</v>
      </c>
      <c r="Y9474" s="42">
        <v>44971</v>
      </c>
    </row>
    <row r="9475" spans="3:25">
      <c r="N9475" s="42">
        <v>44957</v>
      </c>
      <c r="O9475" t="s">
        <v>333</v>
      </c>
      <c r="P9475" s="42">
        <v>44957</v>
      </c>
      <c r="Q9475" t="s">
        <v>333</v>
      </c>
      <c r="R9475" t="s">
        <v>320</v>
      </c>
      <c r="S9475" t="s">
        <v>323</v>
      </c>
      <c r="T9475">
        <v>7.6</v>
      </c>
      <c r="Y9475" s="42">
        <v>44957</v>
      </c>
    </row>
    <row r="9476" spans="3:25">
      <c r="N9476" s="42">
        <v>44952</v>
      </c>
      <c r="O9476" t="s">
        <v>324</v>
      </c>
      <c r="P9476" s="42">
        <v>44952</v>
      </c>
      <c r="Q9476" t="s">
        <v>324</v>
      </c>
      <c r="R9476" t="s">
        <v>320</v>
      </c>
      <c r="S9476" t="s">
        <v>323</v>
      </c>
      <c r="U9476">
        <v>7.6</v>
      </c>
    </row>
    <row r="9477" spans="3:25">
      <c r="N9477" s="42">
        <v>44924</v>
      </c>
      <c r="O9477" t="s">
        <v>324</v>
      </c>
      <c r="P9477" s="42">
        <v>44924</v>
      </c>
      <c r="Q9477" t="s">
        <v>324</v>
      </c>
      <c r="R9477" t="s">
        <v>329</v>
      </c>
      <c r="S9477" t="s">
        <v>323</v>
      </c>
      <c r="T9477">
        <v>7.6</v>
      </c>
      <c r="W9477" t="s">
        <v>330</v>
      </c>
      <c r="Y9477" s="42">
        <v>44929</v>
      </c>
    </row>
    <row r="9478" spans="3:25">
      <c r="N9478" s="42">
        <v>44922</v>
      </c>
      <c r="O9478" t="s">
        <v>333</v>
      </c>
      <c r="P9478" s="42">
        <v>44922</v>
      </c>
      <c r="Q9478" t="s">
        <v>333</v>
      </c>
      <c r="R9478" t="s">
        <v>320</v>
      </c>
      <c r="S9478" t="s">
        <v>323</v>
      </c>
      <c r="U9478">
        <v>7.6</v>
      </c>
    </row>
    <row r="9479" spans="3:25">
      <c r="N9479" s="42">
        <v>44918</v>
      </c>
      <c r="O9479" t="s">
        <v>346</v>
      </c>
      <c r="P9479" s="42">
        <v>44918</v>
      </c>
      <c r="Q9479" t="s">
        <v>346</v>
      </c>
      <c r="R9479" t="s">
        <v>329</v>
      </c>
      <c r="S9479" t="s">
        <v>323</v>
      </c>
      <c r="T9479">
        <v>2</v>
      </c>
      <c r="W9479" t="s">
        <v>330</v>
      </c>
      <c r="Y9479" s="42">
        <v>44929</v>
      </c>
    </row>
    <row r="9480" spans="3:25">
      <c r="N9480" s="42">
        <v>44904</v>
      </c>
      <c r="O9480" t="s">
        <v>346</v>
      </c>
      <c r="P9480" s="42">
        <v>44904</v>
      </c>
      <c r="Q9480" t="s">
        <v>346</v>
      </c>
      <c r="R9480" t="s">
        <v>320</v>
      </c>
      <c r="S9480" t="s">
        <v>323</v>
      </c>
      <c r="T9480">
        <v>7.6</v>
      </c>
      <c r="Y9480" s="42">
        <v>44915</v>
      </c>
    </row>
    <row r="9481" spans="3:25">
      <c r="N9481" s="42">
        <v>44903</v>
      </c>
      <c r="O9481" t="s">
        <v>324</v>
      </c>
      <c r="P9481" s="42">
        <v>44903</v>
      </c>
      <c r="Q9481" t="s">
        <v>324</v>
      </c>
      <c r="R9481" t="s">
        <v>320</v>
      </c>
      <c r="S9481" t="s">
        <v>323</v>
      </c>
      <c r="T9481">
        <v>7.6</v>
      </c>
      <c r="Y9481" s="42">
        <v>44915</v>
      </c>
    </row>
    <row r="9482" spans="3:25">
      <c r="N9482" s="42">
        <v>44902</v>
      </c>
      <c r="O9482" t="s">
        <v>328</v>
      </c>
      <c r="P9482" s="42">
        <v>44902</v>
      </c>
      <c r="Q9482" t="s">
        <v>328</v>
      </c>
      <c r="R9482" t="s">
        <v>320</v>
      </c>
      <c r="S9482" t="s">
        <v>323</v>
      </c>
      <c r="T9482">
        <v>7.6</v>
      </c>
      <c r="Y9482" s="42">
        <v>44915</v>
      </c>
    </row>
    <row r="9483" spans="3:25">
      <c r="N9483" s="42">
        <v>44901</v>
      </c>
      <c r="O9483" t="s">
        <v>333</v>
      </c>
      <c r="P9483" s="42">
        <v>44901</v>
      </c>
      <c r="Q9483" t="s">
        <v>333</v>
      </c>
      <c r="R9483" t="s">
        <v>320</v>
      </c>
      <c r="S9483" t="s">
        <v>323</v>
      </c>
      <c r="T9483">
        <v>7.6</v>
      </c>
      <c r="Y9483" s="42">
        <v>44901</v>
      </c>
    </row>
    <row r="9484" spans="3:25">
      <c r="N9484" s="42">
        <v>44895</v>
      </c>
      <c r="O9484" t="s">
        <v>328</v>
      </c>
      <c r="P9484" s="42">
        <v>44895</v>
      </c>
      <c r="Q9484" t="s">
        <v>328</v>
      </c>
      <c r="R9484" t="s">
        <v>320</v>
      </c>
      <c r="S9484" t="s">
        <v>323</v>
      </c>
      <c r="T9484">
        <v>7.6</v>
      </c>
      <c r="Y9484" s="42">
        <v>44901</v>
      </c>
    </row>
    <row r="9485" spans="3:25">
      <c r="N9485" s="42">
        <v>44888</v>
      </c>
      <c r="O9485" t="s">
        <v>328</v>
      </c>
      <c r="P9485" s="42">
        <v>44888</v>
      </c>
      <c r="Q9485" t="s">
        <v>328</v>
      </c>
      <c r="R9485" t="s">
        <v>320</v>
      </c>
      <c r="S9485" t="s">
        <v>323</v>
      </c>
      <c r="T9485">
        <v>7.6</v>
      </c>
      <c r="Y9485" s="42">
        <v>44901</v>
      </c>
    </row>
    <row r="9486" spans="3:25">
      <c r="N9486" s="42">
        <v>44874</v>
      </c>
      <c r="O9486" t="s">
        <v>328</v>
      </c>
      <c r="P9486" s="42">
        <v>44874</v>
      </c>
      <c r="Q9486" t="s">
        <v>328</v>
      </c>
      <c r="R9486" t="s">
        <v>320</v>
      </c>
      <c r="S9486" t="s">
        <v>323</v>
      </c>
      <c r="T9486">
        <v>3</v>
      </c>
      <c r="Y9486" s="42">
        <v>44887</v>
      </c>
    </row>
    <row r="9487" spans="3:25">
      <c r="N9487" s="42">
        <v>44868</v>
      </c>
      <c r="O9487" t="s">
        <v>324</v>
      </c>
      <c r="P9487" s="42">
        <v>44868</v>
      </c>
      <c r="Q9487" t="s">
        <v>324</v>
      </c>
      <c r="R9487" t="s">
        <v>320</v>
      </c>
      <c r="S9487" t="s">
        <v>323</v>
      </c>
      <c r="T9487">
        <v>2</v>
      </c>
      <c r="Y9487" s="42">
        <v>44873</v>
      </c>
    </row>
    <row r="9488" spans="3:25">
      <c r="N9488" s="42">
        <v>44834</v>
      </c>
      <c r="O9488" t="s">
        <v>346</v>
      </c>
      <c r="P9488" s="42">
        <v>44834</v>
      </c>
      <c r="Q9488" t="s">
        <v>346</v>
      </c>
      <c r="R9488" t="s">
        <v>329</v>
      </c>
      <c r="S9488" t="s">
        <v>323</v>
      </c>
      <c r="T9488">
        <v>7.6</v>
      </c>
      <c r="W9488" t="s">
        <v>330</v>
      </c>
      <c r="Y9488" s="42">
        <v>44845</v>
      </c>
    </row>
    <row r="9489" spans="1:25">
      <c r="N9489" s="42">
        <v>44826</v>
      </c>
      <c r="O9489" t="s">
        <v>324</v>
      </c>
      <c r="P9489" s="42">
        <v>44826</v>
      </c>
      <c r="Q9489" t="s">
        <v>324</v>
      </c>
      <c r="R9489" t="s">
        <v>320</v>
      </c>
      <c r="S9489" t="s">
        <v>323</v>
      </c>
      <c r="U9489">
        <v>7.6</v>
      </c>
    </row>
    <row r="9490" spans="1:25">
      <c r="N9490" s="42">
        <v>44776</v>
      </c>
      <c r="O9490" t="s">
        <v>328</v>
      </c>
      <c r="P9490" s="42">
        <v>44776</v>
      </c>
      <c r="Q9490" t="s">
        <v>328</v>
      </c>
      <c r="R9490" t="s">
        <v>338</v>
      </c>
      <c r="S9490" t="s">
        <v>323</v>
      </c>
      <c r="T9490">
        <v>7.6</v>
      </c>
      <c r="W9490" t="s">
        <v>330</v>
      </c>
      <c r="Y9490" s="42">
        <v>44789</v>
      </c>
    </row>
    <row r="9491" spans="1:25">
      <c r="N9491" s="42">
        <v>44775</v>
      </c>
      <c r="O9491" t="s">
        <v>333</v>
      </c>
      <c r="P9491" s="42">
        <v>44775</v>
      </c>
      <c r="Q9491" t="s">
        <v>333</v>
      </c>
      <c r="R9491" t="s">
        <v>338</v>
      </c>
      <c r="S9491" t="s">
        <v>323</v>
      </c>
      <c r="T9491">
        <v>7.6</v>
      </c>
      <c r="W9491" t="s">
        <v>330</v>
      </c>
      <c r="Y9491" s="42">
        <v>44775</v>
      </c>
    </row>
    <row r="9492" spans="1:25">
      <c r="N9492" s="42">
        <v>44772</v>
      </c>
      <c r="O9492" t="s">
        <v>359</v>
      </c>
      <c r="P9492" s="42">
        <v>44772</v>
      </c>
      <c r="Q9492" t="s">
        <v>359</v>
      </c>
      <c r="R9492" t="s">
        <v>338</v>
      </c>
      <c r="S9492" t="s">
        <v>323</v>
      </c>
      <c r="T9492">
        <v>7.6</v>
      </c>
      <c r="W9492" t="s">
        <v>330</v>
      </c>
      <c r="Y9492" s="42">
        <v>44775</v>
      </c>
    </row>
    <row r="9493" spans="1:25">
      <c r="N9493" s="42">
        <v>44771</v>
      </c>
      <c r="O9493" t="s">
        <v>346</v>
      </c>
      <c r="P9493" s="42">
        <v>44771</v>
      </c>
      <c r="Q9493" t="s">
        <v>346</v>
      </c>
      <c r="R9493" t="s">
        <v>338</v>
      </c>
      <c r="S9493" t="s">
        <v>323</v>
      </c>
      <c r="T9493">
        <v>7.6</v>
      </c>
      <c r="W9493" t="s">
        <v>330</v>
      </c>
      <c r="Y9493" s="42">
        <v>44775</v>
      </c>
    </row>
    <row r="9494" spans="1:25">
      <c r="N9494" s="42">
        <v>44770</v>
      </c>
      <c r="O9494" t="s">
        <v>324</v>
      </c>
      <c r="P9494" s="42">
        <v>44770</v>
      </c>
      <c r="Q9494" t="s">
        <v>324</v>
      </c>
      <c r="R9494" t="s">
        <v>338</v>
      </c>
      <c r="S9494" t="s">
        <v>323</v>
      </c>
      <c r="T9494">
        <v>7.6</v>
      </c>
      <c r="W9494" t="s">
        <v>330</v>
      </c>
      <c r="Y9494" s="42">
        <v>44775</v>
      </c>
    </row>
    <row r="9495" spans="1:25">
      <c r="N9495" s="42">
        <v>44742</v>
      </c>
      <c r="O9495" t="s">
        <v>324</v>
      </c>
      <c r="P9495" s="42">
        <v>44742</v>
      </c>
      <c r="Q9495" t="s">
        <v>324</v>
      </c>
      <c r="R9495" t="s">
        <v>338</v>
      </c>
      <c r="S9495" t="s">
        <v>323</v>
      </c>
      <c r="T9495">
        <v>7.6</v>
      </c>
      <c r="W9495" t="s">
        <v>330</v>
      </c>
      <c r="Y9495" s="42">
        <v>44747</v>
      </c>
    </row>
    <row r="9496" spans="1:25">
      <c r="N9496" s="42">
        <v>44741</v>
      </c>
      <c r="O9496" t="s">
        <v>328</v>
      </c>
      <c r="P9496" s="42">
        <v>44741</v>
      </c>
      <c r="Q9496" t="s">
        <v>328</v>
      </c>
      <c r="R9496" t="s">
        <v>338</v>
      </c>
      <c r="S9496" t="s">
        <v>323</v>
      </c>
      <c r="T9496">
        <v>7.6</v>
      </c>
      <c r="W9496" t="s">
        <v>330</v>
      </c>
      <c r="Y9496" s="42">
        <v>44747</v>
      </c>
    </row>
    <row r="9497" spans="1:25">
      <c r="N9497" s="42">
        <v>44740</v>
      </c>
      <c r="O9497" t="s">
        <v>333</v>
      </c>
      <c r="P9497" s="42">
        <v>44740</v>
      </c>
      <c r="Q9497" t="s">
        <v>333</v>
      </c>
      <c r="R9497" t="s">
        <v>338</v>
      </c>
      <c r="S9497" t="s">
        <v>323</v>
      </c>
      <c r="T9497">
        <v>7.6</v>
      </c>
      <c r="W9497" t="s">
        <v>330</v>
      </c>
      <c r="Y9497" s="42">
        <v>44747</v>
      </c>
    </row>
    <row r="9498" spans="1:25">
      <c r="N9498" s="42">
        <v>44737</v>
      </c>
      <c r="O9498" t="s">
        <v>359</v>
      </c>
      <c r="P9498" s="42">
        <v>44737</v>
      </c>
      <c r="Q9498" t="s">
        <v>359</v>
      </c>
      <c r="R9498" t="s">
        <v>320</v>
      </c>
      <c r="S9498" t="s">
        <v>323</v>
      </c>
      <c r="T9498">
        <v>4</v>
      </c>
      <c r="Y9498" s="42">
        <v>44747</v>
      </c>
    </row>
    <row r="9499" spans="1:25">
      <c r="N9499" s="42">
        <v>44709</v>
      </c>
      <c r="O9499" t="s">
        <v>359</v>
      </c>
      <c r="P9499" s="42">
        <v>44709</v>
      </c>
      <c r="Q9499" t="s">
        <v>359</v>
      </c>
      <c r="R9499" t="s">
        <v>338</v>
      </c>
      <c r="S9499" t="s">
        <v>323</v>
      </c>
      <c r="T9499">
        <v>7.6</v>
      </c>
      <c r="W9499" t="s">
        <v>330</v>
      </c>
      <c r="Y9499" s="42">
        <v>44719</v>
      </c>
    </row>
    <row r="9500" spans="1:25">
      <c r="A9500">
        <v>19008</v>
      </c>
      <c r="B9500" t="s">
        <v>483</v>
      </c>
      <c r="C9500" t="s">
        <v>320</v>
      </c>
      <c r="D9500" t="s">
        <v>336</v>
      </c>
      <c r="E9500" t="s">
        <v>337</v>
      </c>
      <c r="F9500">
        <v>1</v>
      </c>
      <c r="G9500" s="42">
        <v>45100</v>
      </c>
      <c r="H9500">
        <v>97.863</v>
      </c>
      <c r="I9500">
        <v>-53.2</v>
      </c>
      <c r="J9500">
        <v>70.128200000000007</v>
      </c>
      <c r="K9500">
        <v>16.9282</v>
      </c>
      <c r="L9500" t="s">
        <v>323</v>
      </c>
      <c r="M9500" s="43">
        <v>6.2499999999999995E-3</v>
      </c>
      <c r="N9500" s="42">
        <v>44941</v>
      </c>
      <c r="O9500" t="s">
        <v>344</v>
      </c>
      <c r="P9500" s="42">
        <v>44941</v>
      </c>
      <c r="Q9500" t="s">
        <v>344</v>
      </c>
      <c r="R9500" t="s">
        <v>320</v>
      </c>
      <c r="S9500" t="s">
        <v>323</v>
      </c>
      <c r="T9500">
        <v>7.6</v>
      </c>
      <c r="Y9500" s="42">
        <v>44943</v>
      </c>
    </row>
    <row r="9501" spans="1:25">
      <c r="C9501" t="s">
        <v>325</v>
      </c>
      <c r="D9501" t="s">
        <v>340</v>
      </c>
      <c r="E9501" t="s">
        <v>341</v>
      </c>
      <c r="F9501">
        <v>1</v>
      </c>
      <c r="G9501" s="42">
        <v>47292</v>
      </c>
      <c r="H9501">
        <v>139.7679</v>
      </c>
      <c r="I9501">
        <v>0</v>
      </c>
      <c r="J9501">
        <v>15.1831</v>
      </c>
      <c r="K9501">
        <v>15.1831</v>
      </c>
      <c r="L9501" t="s">
        <v>323</v>
      </c>
      <c r="N9501" s="42">
        <v>44940</v>
      </c>
      <c r="O9501" t="s">
        <v>359</v>
      </c>
      <c r="P9501" s="42">
        <v>44940</v>
      </c>
      <c r="Q9501" t="s">
        <v>359</v>
      </c>
      <c r="R9501" t="s">
        <v>320</v>
      </c>
      <c r="S9501" t="s">
        <v>323</v>
      </c>
      <c r="T9501">
        <v>7.6</v>
      </c>
      <c r="Y9501" s="42">
        <v>44943</v>
      </c>
    </row>
    <row r="9502" spans="1:25">
      <c r="C9502" t="s">
        <v>329</v>
      </c>
      <c r="D9502" t="s">
        <v>342</v>
      </c>
      <c r="E9502" t="s">
        <v>343</v>
      </c>
      <c r="F9502">
        <v>1</v>
      </c>
      <c r="G9502" s="42">
        <v>45100</v>
      </c>
      <c r="H9502">
        <v>48.9315</v>
      </c>
      <c r="I9502">
        <v>-22.8</v>
      </c>
      <c r="J9502">
        <v>35.064100000000003</v>
      </c>
      <c r="K9502">
        <v>12.264099999999999</v>
      </c>
      <c r="L9502" t="s">
        <v>323</v>
      </c>
      <c r="N9502" s="42">
        <v>44939</v>
      </c>
      <c r="O9502" t="s">
        <v>346</v>
      </c>
      <c r="P9502" s="42">
        <v>44939</v>
      </c>
      <c r="Q9502" t="s">
        <v>346</v>
      </c>
      <c r="R9502" t="s">
        <v>320</v>
      </c>
      <c r="S9502" t="s">
        <v>323</v>
      </c>
      <c r="T9502">
        <v>7.6</v>
      </c>
      <c r="Y9502" s="42">
        <v>44943</v>
      </c>
    </row>
    <row r="9503" spans="1:25">
      <c r="N9503" s="42">
        <v>44933</v>
      </c>
      <c r="O9503" t="s">
        <v>359</v>
      </c>
      <c r="P9503" s="42">
        <v>44933</v>
      </c>
      <c r="Q9503" t="s">
        <v>359</v>
      </c>
      <c r="R9503" t="s">
        <v>329</v>
      </c>
      <c r="S9503" t="s">
        <v>323</v>
      </c>
      <c r="T9503">
        <v>7.6</v>
      </c>
      <c r="W9503" t="s">
        <v>330</v>
      </c>
      <c r="Y9503" s="42">
        <v>44943</v>
      </c>
    </row>
    <row r="9504" spans="1:25">
      <c r="N9504" s="42">
        <v>44927</v>
      </c>
      <c r="O9504" t="s">
        <v>344</v>
      </c>
      <c r="P9504" s="42">
        <v>44927</v>
      </c>
      <c r="Q9504" t="s">
        <v>344</v>
      </c>
      <c r="R9504" t="s">
        <v>320</v>
      </c>
      <c r="S9504" t="s">
        <v>323</v>
      </c>
      <c r="U9504">
        <v>7.6</v>
      </c>
    </row>
    <row r="9505" spans="1:25">
      <c r="N9505" s="42">
        <v>44920</v>
      </c>
      <c r="O9505" t="s">
        <v>344</v>
      </c>
      <c r="P9505" s="42">
        <v>44920</v>
      </c>
      <c r="Q9505" t="s">
        <v>344</v>
      </c>
      <c r="R9505" t="s">
        <v>320</v>
      </c>
      <c r="S9505" t="s">
        <v>323</v>
      </c>
      <c r="U9505">
        <v>7.6</v>
      </c>
    </row>
    <row r="9506" spans="1:25">
      <c r="N9506" s="42">
        <v>44849</v>
      </c>
      <c r="O9506" t="s">
        <v>359</v>
      </c>
      <c r="P9506" s="42">
        <v>44849</v>
      </c>
      <c r="Q9506" t="s">
        <v>359</v>
      </c>
      <c r="R9506" t="s">
        <v>329</v>
      </c>
      <c r="S9506" t="s">
        <v>323</v>
      </c>
      <c r="T9506">
        <v>7.6</v>
      </c>
      <c r="W9506" t="s">
        <v>330</v>
      </c>
      <c r="Y9506" s="42">
        <v>44859</v>
      </c>
    </row>
    <row r="9507" spans="1:25">
      <c r="N9507" s="42">
        <v>44848</v>
      </c>
      <c r="O9507" t="s">
        <v>346</v>
      </c>
      <c r="P9507" s="42">
        <v>44848</v>
      </c>
      <c r="Q9507" t="s">
        <v>346</v>
      </c>
      <c r="R9507" t="s">
        <v>329</v>
      </c>
      <c r="S9507" t="s">
        <v>323</v>
      </c>
      <c r="T9507">
        <v>7.6</v>
      </c>
      <c r="W9507" t="s">
        <v>330</v>
      </c>
      <c r="Y9507" s="42">
        <v>44859</v>
      </c>
    </row>
    <row r="9508" spans="1:25">
      <c r="N9508" s="42">
        <v>44844</v>
      </c>
      <c r="O9508" t="s">
        <v>345</v>
      </c>
      <c r="P9508" s="42">
        <v>44844</v>
      </c>
      <c r="Q9508" t="s">
        <v>345</v>
      </c>
      <c r="R9508" t="s">
        <v>320</v>
      </c>
      <c r="S9508" t="s">
        <v>323</v>
      </c>
      <c r="T9508">
        <v>7.6</v>
      </c>
      <c r="Y9508" s="42">
        <v>44845</v>
      </c>
    </row>
    <row r="9509" spans="1:25">
      <c r="N9509" s="42">
        <v>44842</v>
      </c>
      <c r="O9509" t="s">
        <v>359</v>
      </c>
      <c r="P9509" s="42">
        <v>44842</v>
      </c>
      <c r="Q9509" t="s">
        <v>359</v>
      </c>
      <c r="R9509" t="s">
        <v>320</v>
      </c>
      <c r="S9509" t="s">
        <v>323</v>
      </c>
      <c r="T9509">
        <v>7.6</v>
      </c>
      <c r="Y9509" s="42">
        <v>44845</v>
      </c>
    </row>
    <row r="9510" spans="1:25">
      <c r="N9510" s="42">
        <v>44841</v>
      </c>
      <c r="O9510" t="s">
        <v>346</v>
      </c>
      <c r="P9510" s="42">
        <v>44841</v>
      </c>
      <c r="Q9510" t="s">
        <v>346</v>
      </c>
      <c r="R9510" t="s">
        <v>320</v>
      </c>
      <c r="S9510" t="s">
        <v>323</v>
      </c>
      <c r="T9510">
        <v>7.6</v>
      </c>
      <c r="Y9510" s="42">
        <v>44845</v>
      </c>
    </row>
    <row r="9511" spans="1:25">
      <c r="N9511" s="42">
        <v>44837</v>
      </c>
      <c r="O9511" t="s">
        <v>345</v>
      </c>
      <c r="P9511" s="42">
        <v>44837</v>
      </c>
      <c r="Q9511" t="s">
        <v>345</v>
      </c>
      <c r="R9511" t="s">
        <v>320</v>
      </c>
      <c r="S9511" t="s">
        <v>323</v>
      </c>
      <c r="T9511">
        <v>7.6</v>
      </c>
      <c r="Y9511" s="42">
        <v>44845</v>
      </c>
    </row>
    <row r="9512" spans="1:25">
      <c r="N9512" s="42">
        <v>44827</v>
      </c>
      <c r="O9512" t="s">
        <v>346</v>
      </c>
      <c r="P9512" s="42">
        <v>44827</v>
      </c>
      <c r="Q9512" t="s">
        <v>346</v>
      </c>
      <c r="R9512" t="s">
        <v>320</v>
      </c>
      <c r="S9512" t="s">
        <v>323</v>
      </c>
      <c r="U9512">
        <v>7.6</v>
      </c>
    </row>
    <row r="9513" spans="1:25">
      <c r="A9513">
        <v>19009</v>
      </c>
      <c r="B9513" t="s">
        <v>484</v>
      </c>
      <c r="C9513" t="s">
        <v>320</v>
      </c>
      <c r="D9513" t="s">
        <v>336</v>
      </c>
      <c r="E9513" t="s">
        <v>337</v>
      </c>
      <c r="F9513">
        <v>1</v>
      </c>
      <c r="G9513" s="42">
        <v>45069</v>
      </c>
      <c r="H9513">
        <v>152</v>
      </c>
      <c r="I9513">
        <v>-76</v>
      </c>
      <c r="J9513">
        <v>118.6849</v>
      </c>
      <c r="K9513">
        <v>42.684899999999999</v>
      </c>
      <c r="L9513" t="s">
        <v>323</v>
      </c>
      <c r="M9513" s="43">
        <v>6.2499999999999995E-3</v>
      </c>
      <c r="N9513" s="42">
        <v>44981</v>
      </c>
      <c r="O9513" t="s">
        <v>346</v>
      </c>
      <c r="P9513" s="42">
        <v>44981</v>
      </c>
      <c r="Q9513" t="s">
        <v>346</v>
      </c>
      <c r="R9513" t="s">
        <v>329</v>
      </c>
      <c r="S9513" t="s">
        <v>323</v>
      </c>
      <c r="T9513">
        <v>7.6</v>
      </c>
      <c r="W9513" t="s">
        <v>330</v>
      </c>
      <c r="Y9513" s="42">
        <v>44985</v>
      </c>
    </row>
    <row r="9514" spans="1:25">
      <c r="C9514" t="s">
        <v>325</v>
      </c>
      <c r="D9514" t="s">
        <v>340</v>
      </c>
      <c r="E9514" t="s">
        <v>341</v>
      </c>
      <c r="F9514">
        <v>1</v>
      </c>
      <c r="G9514" s="42">
        <v>47261</v>
      </c>
      <c r="H9514">
        <v>230.54220000000001</v>
      </c>
      <c r="I9514">
        <v>0</v>
      </c>
      <c r="J9514">
        <v>25.695900000000002</v>
      </c>
      <c r="K9514">
        <v>25.695900000000002</v>
      </c>
      <c r="L9514" t="s">
        <v>323</v>
      </c>
      <c r="N9514" s="42">
        <v>44957</v>
      </c>
      <c r="O9514" t="s">
        <v>333</v>
      </c>
      <c r="P9514" s="42">
        <v>44957</v>
      </c>
      <c r="Q9514" t="s">
        <v>333</v>
      </c>
      <c r="R9514" t="s">
        <v>320</v>
      </c>
      <c r="S9514" t="s">
        <v>323</v>
      </c>
      <c r="T9514">
        <v>7.6</v>
      </c>
      <c r="Y9514" s="42">
        <v>44957</v>
      </c>
    </row>
    <row r="9515" spans="1:25">
      <c r="C9515" t="s">
        <v>329</v>
      </c>
      <c r="D9515" t="s">
        <v>342</v>
      </c>
      <c r="E9515" t="s">
        <v>343</v>
      </c>
      <c r="F9515">
        <v>1</v>
      </c>
      <c r="G9515" s="42">
        <v>45069</v>
      </c>
      <c r="H9515">
        <v>76</v>
      </c>
      <c r="I9515">
        <v>-56.7</v>
      </c>
      <c r="J9515">
        <v>59.342500000000001</v>
      </c>
      <c r="K9515">
        <v>2.6425000000000001</v>
      </c>
      <c r="L9515" t="s">
        <v>323</v>
      </c>
      <c r="N9515" s="42">
        <v>44954</v>
      </c>
      <c r="O9515" t="s">
        <v>359</v>
      </c>
      <c r="P9515" s="42">
        <v>44954</v>
      </c>
      <c r="Q9515" t="s">
        <v>359</v>
      </c>
      <c r="R9515" t="s">
        <v>320</v>
      </c>
      <c r="S9515" t="s">
        <v>323</v>
      </c>
      <c r="T9515">
        <v>7.6</v>
      </c>
      <c r="Y9515" s="42">
        <v>44957</v>
      </c>
    </row>
    <row r="9516" spans="1:25">
      <c r="N9516" s="42">
        <v>44952</v>
      </c>
      <c r="O9516" t="s">
        <v>324</v>
      </c>
      <c r="P9516" s="42">
        <v>44952</v>
      </c>
      <c r="Q9516" t="s">
        <v>324</v>
      </c>
      <c r="R9516" t="s">
        <v>320</v>
      </c>
      <c r="S9516" t="s">
        <v>323</v>
      </c>
      <c r="U9516">
        <v>7.6</v>
      </c>
    </row>
    <row r="9517" spans="1:25">
      <c r="N9517" s="42">
        <v>44939</v>
      </c>
      <c r="O9517" t="s">
        <v>346</v>
      </c>
      <c r="P9517" s="42">
        <v>44939</v>
      </c>
      <c r="Q9517" t="s">
        <v>346</v>
      </c>
      <c r="R9517" t="s">
        <v>329</v>
      </c>
      <c r="S9517" t="s">
        <v>323</v>
      </c>
      <c r="T9517">
        <v>7.6</v>
      </c>
      <c r="W9517" t="s">
        <v>330</v>
      </c>
      <c r="Y9517" s="42">
        <v>44943</v>
      </c>
    </row>
    <row r="9518" spans="1:25">
      <c r="N9518" s="42">
        <v>44929</v>
      </c>
      <c r="O9518" t="s">
        <v>333</v>
      </c>
      <c r="P9518" s="42">
        <v>44929</v>
      </c>
      <c r="Q9518" t="s">
        <v>333</v>
      </c>
      <c r="R9518" t="s">
        <v>320</v>
      </c>
      <c r="S9518" t="s">
        <v>323</v>
      </c>
      <c r="T9518">
        <v>7.6</v>
      </c>
      <c r="Y9518" s="42">
        <v>44929</v>
      </c>
    </row>
    <row r="9519" spans="1:25">
      <c r="N9519" s="42">
        <v>44922</v>
      </c>
      <c r="O9519" t="s">
        <v>333</v>
      </c>
      <c r="P9519" s="42">
        <v>44922</v>
      </c>
      <c r="Q9519" t="s">
        <v>333</v>
      </c>
      <c r="R9519" t="s">
        <v>320</v>
      </c>
      <c r="S9519" t="s">
        <v>323</v>
      </c>
      <c r="U9519">
        <v>7.6</v>
      </c>
    </row>
    <row r="9520" spans="1:25">
      <c r="N9520" s="42">
        <v>44912</v>
      </c>
      <c r="O9520" t="s">
        <v>359</v>
      </c>
      <c r="P9520" s="42">
        <v>44912</v>
      </c>
      <c r="Q9520" t="s">
        <v>359</v>
      </c>
      <c r="R9520" t="s">
        <v>329</v>
      </c>
      <c r="S9520" t="s">
        <v>323</v>
      </c>
      <c r="T9520">
        <v>7.6</v>
      </c>
      <c r="W9520" t="s">
        <v>330</v>
      </c>
      <c r="Y9520" s="42">
        <v>44915</v>
      </c>
    </row>
    <row r="9521" spans="14:25">
      <c r="N9521" s="42">
        <v>44898</v>
      </c>
      <c r="O9521" t="s">
        <v>359</v>
      </c>
      <c r="P9521" s="42">
        <v>44898</v>
      </c>
      <c r="Q9521" t="s">
        <v>359</v>
      </c>
      <c r="R9521" t="s">
        <v>320</v>
      </c>
      <c r="S9521" t="s">
        <v>323</v>
      </c>
      <c r="T9521">
        <v>7.6</v>
      </c>
      <c r="Y9521" s="42">
        <v>44901</v>
      </c>
    </row>
    <row r="9522" spans="14:25">
      <c r="N9522" s="42">
        <v>44897</v>
      </c>
      <c r="O9522" t="s">
        <v>346</v>
      </c>
      <c r="P9522" s="42">
        <v>44897</v>
      </c>
      <c r="Q9522" t="s">
        <v>346</v>
      </c>
      <c r="R9522" t="s">
        <v>320</v>
      </c>
      <c r="S9522" t="s">
        <v>323</v>
      </c>
      <c r="T9522">
        <v>7.6</v>
      </c>
      <c r="Y9522" s="42">
        <v>44901</v>
      </c>
    </row>
    <row r="9523" spans="14:25">
      <c r="N9523" s="42">
        <v>44896</v>
      </c>
      <c r="O9523" t="s">
        <v>324</v>
      </c>
      <c r="P9523" s="42">
        <v>44896</v>
      </c>
      <c r="Q9523" t="s">
        <v>324</v>
      </c>
      <c r="R9523" t="s">
        <v>329</v>
      </c>
      <c r="S9523" t="s">
        <v>323</v>
      </c>
      <c r="T9523">
        <v>7.6</v>
      </c>
      <c r="W9523" t="s">
        <v>330</v>
      </c>
      <c r="Y9523" s="42">
        <v>44901</v>
      </c>
    </row>
    <row r="9524" spans="14:25">
      <c r="N9524" s="42">
        <v>44866</v>
      </c>
      <c r="O9524" t="s">
        <v>333</v>
      </c>
      <c r="P9524" s="42">
        <v>44866</v>
      </c>
      <c r="Q9524" t="s">
        <v>333</v>
      </c>
      <c r="R9524" t="s">
        <v>320</v>
      </c>
      <c r="S9524" t="s">
        <v>323</v>
      </c>
      <c r="U9524">
        <v>7.6</v>
      </c>
    </row>
    <row r="9525" spans="14:25">
      <c r="N9525" s="42">
        <v>44854</v>
      </c>
      <c r="O9525" t="s">
        <v>324</v>
      </c>
      <c r="P9525" s="42">
        <v>44854</v>
      </c>
      <c r="Q9525" t="s">
        <v>324</v>
      </c>
      <c r="R9525" t="s">
        <v>320</v>
      </c>
      <c r="S9525" t="s">
        <v>323</v>
      </c>
      <c r="T9525">
        <v>7.6</v>
      </c>
      <c r="Y9525" s="42">
        <v>44859</v>
      </c>
    </row>
    <row r="9526" spans="14:25">
      <c r="N9526" s="42">
        <v>44840</v>
      </c>
      <c r="O9526" t="s">
        <v>324</v>
      </c>
      <c r="P9526" s="42">
        <v>44840</v>
      </c>
      <c r="Q9526" t="s">
        <v>324</v>
      </c>
      <c r="R9526" t="s">
        <v>320</v>
      </c>
      <c r="S9526" t="s">
        <v>323</v>
      </c>
      <c r="T9526">
        <v>7.6</v>
      </c>
      <c r="Y9526" s="42">
        <v>44845</v>
      </c>
    </row>
    <row r="9527" spans="14:25">
      <c r="N9527" s="42">
        <v>44834</v>
      </c>
      <c r="O9527" t="s">
        <v>346</v>
      </c>
      <c r="P9527" s="42">
        <v>44834</v>
      </c>
      <c r="Q9527" t="s">
        <v>346</v>
      </c>
      <c r="R9527" t="s">
        <v>329</v>
      </c>
      <c r="S9527" t="s">
        <v>323</v>
      </c>
      <c r="T9527">
        <v>7.6</v>
      </c>
      <c r="W9527" t="s">
        <v>330</v>
      </c>
      <c r="Y9527" s="42">
        <v>44845</v>
      </c>
    </row>
    <row r="9528" spans="14:25">
      <c r="N9528" s="42">
        <v>44827</v>
      </c>
      <c r="O9528" t="s">
        <v>346</v>
      </c>
      <c r="P9528" s="42">
        <v>44827</v>
      </c>
      <c r="Q9528" t="s">
        <v>346</v>
      </c>
      <c r="R9528" t="s">
        <v>320</v>
      </c>
      <c r="S9528" t="s">
        <v>323</v>
      </c>
      <c r="U9528">
        <v>7.6</v>
      </c>
    </row>
    <row r="9529" spans="14:25">
      <c r="N9529" s="42">
        <v>44826</v>
      </c>
      <c r="O9529" t="s">
        <v>324</v>
      </c>
      <c r="P9529" s="42">
        <v>44826</v>
      </c>
      <c r="Q9529" t="s">
        <v>324</v>
      </c>
      <c r="R9529" t="s">
        <v>320</v>
      </c>
      <c r="S9529" t="s">
        <v>323</v>
      </c>
      <c r="U9529">
        <v>7.6</v>
      </c>
    </row>
    <row r="9530" spans="14:25">
      <c r="N9530" s="42">
        <v>44796</v>
      </c>
      <c r="O9530" t="s">
        <v>333</v>
      </c>
      <c r="P9530" s="42">
        <v>44796</v>
      </c>
      <c r="Q9530" t="s">
        <v>333</v>
      </c>
      <c r="R9530" t="s">
        <v>329</v>
      </c>
      <c r="S9530" t="s">
        <v>323</v>
      </c>
      <c r="T9530">
        <v>7.6</v>
      </c>
      <c r="W9530" t="s">
        <v>330</v>
      </c>
      <c r="Y9530" s="42">
        <v>44803</v>
      </c>
    </row>
    <row r="9531" spans="14:25">
      <c r="N9531" s="42">
        <v>44757</v>
      </c>
      <c r="O9531" t="s">
        <v>346</v>
      </c>
      <c r="P9531" s="42">
        <v>44757</v>
      </c>
      <c r="Q9531" t="s">
        <v>346</v>
      </c>
      <c r="R9531" t="s">
        <v>329</v>
      </c>
      <c r="S9531" t="s">
        <v>323</v>
      </c>
      <c r="T9531">
        <v>3.5</v>
      </c>
      <c r="W9531" t="s">
        <v>330</v>
      </c>
      <c r="Y9531" s="42">
        <v>44761</v>
      </c>
    </row>
    <row r="9532" spans="14:25">
      <c r="N9532" s="42">
        <v>44756</v>
      </c>
      <c r="O9532" t="s">
        <v>324</v>
      </c>
      <c r="P9532" s="42">
        <v>44756</v>
      </c>
      <c r="Q9532" t="s">
        <v>324</v>
      </c>
      <c r="R9532" t="s">
        <v>320</v>
      </c>
      <c r="S9532" t="s">
        <v>323</v>
      </c>
      <c r="T9532">
        <v>7.6</v>
      </c>
      <c r="Y9532" s="42">
        <v>44761</v>
      </c>
    </row>
    <row r="9533" spans="14:25">
      <c r="N9533" s="42">
        <v>44755</v>
      </c>
      <c r="O9533" t="s">
        <v>328</v>
      </c>
      <c r="P9533" s="42">
        <v>44755</v>
      </c>
      <c r="Q9533" t="s">
        <v>328</v>
      </c>
      <c r="R9533" t="s">
        <v>320</v>
      </c>
      <c r="S9533" t="s">
        <v>323</v>
      </c>
      <c r="T9533">
        <v>7.6</v>
      </c>
      <c r="Y9533" s="42">
        <v>44761</v>
      </c>
    </row>
    <row r="9534" spans="14:25">
      <c r="N9534" s="42">
        <v>44741</v>
      </c>
      <c r="O9534" t="s">
        <v>328</v>
      </c>
      <c r="P9534" s="42">
        <v>44741</v>
      </c>
      <c r="Q9534" t="s">
        <v>328</v>
      </c>
      <c r="R9534" t="s">
        <v>320</v>
      </c>
      <c r="S9534" t="s">
        <v>323</v>
      </c>
      <c r="T9534">
        <v>7.6</v>
      </c>
      <c r="Y9534" s="42">
        <v>44747</v>
      </c>
    </row>
    <row r="9535" spans="14:25">
      <c r="N9535" s="42">
        <v>44740</v>
      </c>
      <c r="O9535" t="s">
        <v>333</v>
      </c>
      <c r="P9535" s="42">
        <v>44740</v>
      </c>
      <c r="Q9535" t="s">
        <v>333</v>
      </c>
      <c r="R9535" t="s">
        <v>329</v>
      </c>
      <c r="S9535" t="s">
        <v>323</v>
      </c>
      <c r="T9535">
        <v>7.6</v>
      </c>
      <c r="W9535" t="s">
        <v>330</v>
      </c>
      <c r="Y9535" s="42">
        <v>44747</v>
      </c>
    </row>
    <row r="9536" spans="14:25">
      <c r="N9536" s="42">
        <v>44725</v>
      </c>
      <c r="O9536" t="s">
        <v>345</v>
      </c>
      <c r="P9536" s="42">
        <v>44725</v>
      </c>
      <c r="Q9536" t="s">
        <v>345</v>
      </c>
      <c r="R9536" t="s">
        <v>320</v>
      </c>
      <c r="S9536" t="s">
        <v>323</v>
      </c>
      <c r="U9536">
        <v>7.6</v>
      </c>
    </row>
    <row r="9537" spans="1:25">
      <c r="A9537">
        <v>19011</v>
      </c>
      <c r="B9537" t="s">
        <v>485</v>
      </c>
      <c r="C9537" t="s">
        <v>320</v>
      </c>
      <c r="D9537" t="s">
        <v>336</v>
      </c>
      <c r="E9537" t="s">
        <v>337</v>
      </c>
      <c r="F9537">
        <v>1</v>
      </c>
      <c r="G9537" s="42">
        <v>45069</v>
      </c>
      <c r="H9537">
        <v>134.34299999999999</v>
      </c>
      <c r="I9537">
        <v>-53.2</v>
      </c>
      <c r="J9537">
        <v>101.0279</v>
      </c>
      <c r="K9537">
        <v>47.8279</v>
      </c>
      <c r="L9537" t="s">
        <v>323</v>
      </c>
      <c r="M9537" s="43">
        <v>6.2499999999999995E-3</v>
      </c>
      <c r="N9537" s="42">
        <v>44984</v>
      </c>
      <c r="O9537" t="s">
        <v>345</v>
      </c>
      <c r="P9537" s="42">
        <v>44984</v>
      </c>
      <c r="Q9537" t="s">
        <v>345</v>
      </c>
      <c r="R9537" t="s">
        <v>320</v>
      </c>
      <c r="S9537" t="s">
        <v>323</v>
      </c>
      <c r="T9537">
        <v>7.6</v>
      </c>
      <c r="Y9537" s="42">
        <v>44985</v>
      </c>
    </row>
    <row r="9538" spans="1:25">
      <c r="C9538" t="s">
        <v>325</v>
      </c>
      <c r="D9538" t="s">
        <v>340</v>
      </c>
      <c r="E9538" t="s">
        <v>341</v>
      </c>
      <c r="F9538">
        <v>1</v>
      </c>
      <c r="G9538" s="42">
        <v>47261</v>
      </c>
      <c r="H9538">
        <v>226.71940000000001</v>
      </c>
      <c r="I9538">
        <v>0</v>
      </c>
      <c r="J9538">
        <v>21.873100000000001</v>
      </c>
      <c r="K9538">
        <v>21.873100000000001</v>
      </c>
      <c r="L9538" t="s">
        <v>323</v>
      </c>
      <c r="N9538" s="42">
        <v>44967</v>
      </c>
      <c r="O9538" t="s">
        <v>346</v>
      </c>
      <c r="P9538" s="42">
        <v>44967</v>
      </c>
      <c r="Q9538" t="s">
        <v>346</v>
      </c>
      <c r="R9538" t="s">
        <v>320</v>
      </c>
      <c r="S9538" t="s">
        <v>323</v>
      </c>
      <c r="T9538">
        <v>7.6</v>
      </c>
      <c r="Y9538" s="42">
        <v>44971</v>
      </c>
    </row>
    <row r="9539" spans="1:25">
      <c r="C9539" t="s">
        <v>329</v>
      </c>
      <c r="D9539" t="s">
        <v>342</v>
      </c>
      <c r="E9539" t="s">
        <v>343</v>
      </c>
      <c r="F9539">
        <v>1</v>
      </c>
      <c r="G9539" s="42">
        <v>45069</v>
      </c>
      <c r="H9539">
        <v>67.171499999999995</v>
      </c>
      <c r="I9539">
        <v>-45.6</v>
      </c>
      <c r="J9539">
        <v>50.514000000000003</v>
      </c>
      <c r="K9539">
        <v>4.9139999999999997</v>
      </c>
      <c r="L9539" t="s">
        <v>323</v>
      </c>
      <c r="N9539" s="42">
        <v>44966</v>
      </c>
      <c r="O9539" t="s">
        <v>324</v>
      </c>
      <c r="P9539" s="42">
        <v>44966</v>
      </c>
      <c r="Q9539" t="s">
        <v>324</v>
      </c>
      <c r="R9539" t="s">
        <v>329</v>
      </c>
      <c r="S9539" t="s">
        <v>323</v>
      </c>
      <c r="T9539">
        <v>7.6</v>
      </c>
      <c r="W9539" t="s">
        <v>330</v>
      </c>
      <c r="Y9539" s="42">
        <v>44971</v>
      </c>
    </row>
    <row r="9540" spans="1:25">
      <c r="N9540" s="42">
        <v>44965</v>
      </c>
      <c r="O9540" t="s">
        <v>328</v>
      </c>
      <c r="P9540" s="42">
        <v>44965</v>
      </c>
      <c r="Q9540" t="s">
        <v>328</v>
      </c>
      <c r="R9540" t="s">
        <v>329</v>
      </c>
      <c r="S9540" t="s">
        <v>323</v>
      </c>
      <c r="T9540">
        <v>7.6</v>
      </c>
      <c r="W9540" t="s">
        <v>330</v>
      </c>
      <c r="Y9540" s="42">
        <v>44971</v>
      </c>
    </row>
    <row r="9541" spans="1:25">
      <c r="N9541" s="42">
        <v>44952</v>
      </c>
      <c r="O9541" t="s">
        <v>324</v>
      </c>
      <c r="P9541" s="42">
        <v>44952</v>
      </c>
      <c r="Q9541" t="s">
        <v>324</v>
      </c>
      <c r="R9541" t="s">
        <v>320</v>
      </c>
      <c r="S9541" t="s">
        <v>323</v>
      </c>
      <c r="U9541">
        <v>7.6</v>
      </c>
    </row>
    <row r="9542" spans="1:25">
      <c r="N9542" s="42">
        <v>44949</v>
      </c>
      <c r="O9542" t="s">
        <v>345</v>
      </c>
      <c r="P9542" s="42">
        <v>44949</v>
      </c>
      <c r="Q9542" t="s">
        <v>345</v>
      </c>
      <c r="R9542" t="s">
        <v>329</v>
      </c>
      <c r="S9542" t="s">
        <v>323</v>
      </c>
      <c r="T9542">
        <v>7.6</v>
      </c>
      <c r="W9542" t="s">
        <v>330</v>
      </c>
      <c r="Y9542" s="42">
        <v>44957</v>
      </c>
    </row>
    <row r="9543" spans="1:25">
      <c r="N9543" s="42">
        <v>44928</v>
      </c>
      <c r="O9543" t="s">
        <v>345</v>
      </c>
      <c r="P9543" s="42">
        <v>44928</v>
      </c>
      <c r="Q9543" t="s">
        <v>345</v>
      </c>
      <c r="R9543" t="s">
        <v>320</v>
      </c>
      <c r="S9543" t="s">
        <v>323</v>
      </c>
      <c r="U9543">
        <v>7.6</v>
      </c>
    </row>
    <row r="9544" spans="1:25">
      <c r="N9544" s="42">
        <v>44925</v>
      </c>
      <c r="O9544" t="s">
        <v>346</v>
      </c>
      <c r="P9544" s="42">
        <v>44925</v>
      </c>
      <c r="Q9544" t="s">
        <v>346</v>
      </c>
      <c r="R9544" t="s">
        <v>320</v>
      </c>
      <c r="S9544" t="s">
        <v>323</v>
      </c>
      <c r="T9544">
        <v>7.6</v>
      </c>
      <c r="Y9544" s="42">
        <v>44929</v>
      </c>
    </row>
    <row r="9545" spans="1:25">
      <c r="N9545" s="42">
        <v>44924</v>
      </c>
      <c r="O9545" t="s">
        <v>324</v>
      </c>
      <c r="P9545" s="42">
        <v>44924</v>
      </c>
      <c r="Q9545" t="s">
        <v>324</v>
      </c>
      <c r="R9545" t="s">
        <v>320</v>
      </c>
      <c r="S9545" t="s">
        <v>323</v>
      </c>
      <c r="T9545">
        <v>7.6</v>
      </c>
      <c r="Y9545" s="42">
        <v>44929</v>
      </c>
    </row>
    <row r="9546" spans="1:25">
      <c r="N9546" s="42">
        <v>44923</v>
      </c>
      <c r="O9546" t="s">
        <v>328</v>
      </c>
      <c r="P9546" s="42">
        <v>44923</v>
      </c>
      <c r="Q9546" t="s">
        <v>328</v>
      </c>
      <c r="R9546" t="s">
        <v>320</v>
      </c>
      <c r="S9546" t="s">
        <v>323</v>
      </c>
      <c r="T9546">
        <v>7.6</v>
      </c>
      <c r="Y9546" s="42">
        <v>44929</v>
      </c>
    </row>
    <row r="9547" spans="1:25">
      <c r="N9547" s="42">
        <v>44922</v>
      </c>
      <c r="O9547" t="s">
        <v>333</v>
      </c>
      <c r="P9547" s="42">
        <v>44922</v>
      </c>
      <c r="Q9547" t="s">
        <v>333</v>
      </c>
      <c r="R9547" t="s">
        <v>320</v>
      </c>
      <c r="S9547" t="s">
        <v>323</v>
      </c>
      <c r="U9547">
        <v>7.6</v>
      </c>
    </row>
    <row r="9548" spans="1:25">
      <c r="N9548" s="42">
        <v>44921</v>
      </c>
      <c r="O9548" t="s">
        <v>345</v>
      </c>
      <c r="P9548" s="42">
        <v>44921</v>
      </c>
      <c r="Q9548" t="s">
        <v>345</v>
      </c>
      <c r="R9548" t="s">
        <v>320</v>
      </c>
      <c r="S9548" t="s">
        <v>323</v>
      </c>
      <c r="U9548">
        <v>7.6</v>
      </c>
    </row>
    <row r="9549" spans="1:25">
      <c r="N9549" s="42">
        <v>44866</v>
      </c>
      <c r="O9549" t="s">
        <v>333</v>
      </c>
      <c r="P9549" s="42">
        <v>44866</v>
      </c>
      <c r="Q9549" t="s">
        <v>333</v>
      </c>
      <c r="R9549" t="s">
        <v>320</v>
      </c>
      <c r="S9549" t="s">
        <v>323</v>
      </c>
      <c r="U9549">
        <v>7.6</v>
      </c>
    </row>
    <row r="9550" spans="1:25">
      <c r="N9550" s="42">
        <v>44862</v>
      </c>
      <c r="O9550" t="s">
        <v>346</v>
      </c>
      <c r="P9550" s="42">
        <v>44862</v>
      </c>
      <c r="Q9550" t="s">
        <v>346</v>
      </c>
      <c r="R9550" t="s">
        <v>329</v>
      </c>
      <c r="S9550" t="s">
        <v>323</v>
      </c>
      <c r="T9550">
        <v>7.6</v>
      </c>
      <c r="W9550" t="s">
        <v>330</v>
      </c>
      <c r="Y9550" s="42">
        <v>44873</v>
      </c>
    </row>
    <row r="9551" spans="1:25">
      <c r="N9551" s="42">
        <v>44858</v>
      </c>
      <c r="O9551" t="s">
        <v>345</v>
      </c>
      <c r="P9551" s="42">
        <v>44858</v>
      </c>
      <c r="Q9551" t="s">
        <v>345</v>
      </c>
      <c r="R9551" t="s">
        <v>329</v>
      </c>
      <c r="S9551" t="s">
        <v>323</v>
      </c>
      <c r="T9551">
        <v>7.6</v>
      </c>
      <c r="W9551" t="s">
        <v>330</v>
      </c>
      <c r="Y9551" s="42">
        <v>44859</v>
      </c>
    </row>
    <row r="9552" spans="1:25">
      <c r="N9552" s="42">
        <v>44827</v>
      </c>
      <c r="O9552" t="s">
        <v>346</v>
      </c>
      <c r="P9552" s="42">
        <v>44827</v>
      </c>
      <c r="Q9552" t="s">
        <v>346</v>
      </c>
      <c r="R9552" t="s">
        <v>320</v>
      </c>
      <c r="S9552" t="s">
        <v>323</v>
      </c>
      <c r="U9552">
        <v>7.6</v>
      </c>
    </row>
    <row r="9553" spans="1:25">
      <c r="N9553" s="42">
        <v>44826</v>
      </c>
      <c r="O9553" t="s">
        <v>324</v>
      </c>
      <c r="P9553" s="42">
        <v>44826</v>
      </c>
      <c r="Q9553" t="s">
        <v>324</v>
      </c>
      <c r="R9553" t="s">
        <v>320</v>
      </c>
      <c r="S9553" t="s">
        <v>323</v>
      </c>
      <c r="U9553">
        <v>7.6</v>
      </c>
    </row>
    <row r="9554" spans="1:25">
      <c r="N9554" s="42">
        <v>44817</v>
      </c>
      <c r="O9554" t="s">
        <v>333</v>
      </c>
      <c r="P9554" s="42">
        <v>44817</v>
      </c>
      <c r="Q9554" t="s">
        <v>333</v>
      </c>
      <c r="R9554" t="s">
        <v>320</v>
      </c>
      <c r="S9554" t="s">
        <v>323</v>
      </c>
      <c r="T9554">
        <v>7.6</v>
      </c>
      <c r="Y9554" s="42">
        <v>44817</v>
      </c>
    </row>
    <row r="9555" spans="1:25">
      <c r="N9555" s="42">
        <v>44788</v>
      </c>
      <c r="O9555" t="s">
        <v>345</v>
      </c>
      <c r="P9555" s="42">
        <v>44788</v>
      </c>
      <c r="Q9555" t="s">
        <v>345</v>
      </c>
      <c r="R9555" t="s">
        <v>320</v>
      </c>
      <c r="S9555" t="s">
        <v>323</v>
      </c>
      <c r="T9555">
        <v>7.6</v>
      </c>
      <c r="Y9555" s="42">
        <v>44789</v>
      </c>
    </row>
    <row r="9556" spans="1:25">
      <c r="N9556" s="42">
        <v>44784</v>
      </c>
      <c r="O9556" t="s">
        <v>324</v>
      </c>
      <c r="P9556" s="42">
        <v>44784</v>
      </c>
      <c r="Q9556" t="s">
        <v>324</v>
      </c>
      <c r="R9556" t="s">
        <v>329</v>
      </c>
      <c r="S9556" t="s">
        <v>323</v>
      </c>
      <c r="T9556">
        <v>7.6</v>
      </c>
      <c r="W9556" t="s">
        <v>330</v>
      </c>
      <c r="Y9556" s="42">
        <v>44789</v>
      </c>
    </row>
    <row r="9557" spans="1:25">
      <c r="A9557">
        <v>19012</v>
      </c>
      <c r="B9557" t="s">
        <v>486</v>
      </c>
      <c r="C9557" t="s">
        <v>320</v>
      </c>
      <c r="D9557" t="s">
        <v>336</v>
      </c>
      <c r="E9557" t="s">
        <v>337</v>
      </c>
      <c r="F9557">
        <v>1</v>
      </c>
      <c r="G9557" s="42">
        <v>45069</v>
      </c>
      <c r="H9557">
        <v>144.50409999999999</v>
      </c>
      <c r="I9557">
        <v>-38</v>
      </c>
      <c r="J9557">
        <v>111.18899999999999</v>
      </c>
      <c r="K9557">
        <v>73.188999999999993</v>
      </c>
      <c r="L9557" t="s">
        <v>323</v>
      </c>
      <c r="M9557" s="43">
        <v>6.2499999999999995E-3</v>
      </c>
      <c r="N9557" s="42">
        <v>44952</v>
      </c>
      <c r="O9557" t="s">
        <v>324</v>
      </c>
      <c r="P9557" s="42">
        <v>44952</v>
      </c>
      <c r="Q9557" t="s">
        <v>324</v>
      </c>
      <c r="R9557" t="s">
        <v>320</v>
      </c>
      <c r="S9557" t="s">
        <v>323</v>
      </c>
      <c r="U9557">
        <v>7.6</v>
      </c>
    </row>
    <row r="9558" spans="1:25">
      <c r="C9558" t="s">
        <v>325</v>
      </c>
      <c r="D9558" t="s">
        <v>340</v>
      </c>
      <c r="E9558" t="s">
        <v>341</v>
      </c>
      <c r="F9558">
        <v>1</v>
      </c>
      <c r="G9558" s="42">
        <v>47261</v>
      </c>
      <c r="H9558">
        <v>228.91929999999999</v>
      </c>
      <c r="I9558">
        <v>0</v>
      </c>
      <c r="J9558">
        <v>24.073</v>
      </c>
      <c r="K9558">
        <v>24.073</v>
      </c>
      <c r="L9558" t="s">
        <v>323</v>
      </c>
      <c r="N9558" s="42">
        <v>44946</v>
      </c>
      <c r="O9558" t="s">
        <v>346</v>
      </c>
      <c r="P9558" s="42">
        <v>44946</v>
      </c>
      <c r="Q9558" t="s">
        <v>346</v>
      </c>
      <c r="R9558" t="s">
        <v>329</v>
      </c>
      <c r="S9558" t="s">
        <v>323</v>
      </c>
      <c r="T9558">
        <v>7.6</v>
      </c>
      <c r="W9558" t="s">
        <v>330</v>
      </c>
      <c r="Y9558" s="42">
        <v>44957</v>
      </c>
    </row>
    <row r="9559" spans="1:25">
      <c r="C9559" t="s">
        <v>329</v>
      </c>
      <c r="D9559" t="s">
        <v>342</v>
      </c>
      <c r="E9559" t="s">
        <v>343</v>
      </c>
      <c r="F9559">
        <v>1</v>
      </c>
      <c r="G9559" s="42">
        <v>45069</v>
      </c>
      <c r="H9559">
        <v>72.252099999999999</v>
      </c>
      <c r="I9559">
        <v>-45.6</v>
      </c>
      <c r="J9559">
        <v>55.594499999999996</v>
      </c>
      <c r="K9559">
        <v>9.9945000000000004</v>
      </c>
      <c r="L9559" t="s">
        <v>323</v>
      </c>
      <c r="N9559" s="42">
        <v>44922</v>
      </c>
      <c r="O9559" t="s">
        <v>333</v>
      </c>
      <c r="P9559" s="42">
        <v>44922</v>
      </c>
      <c r="Q9559" t="s">
        <v>333</v>
      </c>
      <c r="R9559" t="s">
        <v>320</v>
      </c>
      <c r="S9559" t="s">
        <v>323</v>
      </c>
      <c r="U9559">
        <v>7.6</v>
      </c>
    </row>
    <row r="9560" spans="1:25">
      <c r="N9560" s="42">
        <v>44916</v>
      </c>
      <c r="O9560" t="s">
        <v>328</v>
      </c>
      <c r="P9560" s="42">
        <v>44916</v>
      </c>
      <c r="Q9560" t="s">
        <v>328</v>
      </c>
      <c r="R9560" t="s">
        <v>329</v>
      </c>
      <c r="S9560" t="s">
        <v>323</v>
      </c>
      <c r="T9560">
        <v>7.6</v>
      </c>
      <c r="W9560" t="s">
        <v>330</v>
      </c>
      <c r="Y9560" s="42">
        <v>44929</v>
      </c>
    </row>
    <row r="9561" spans="1:25">
      <c r="N9561" s="42">
        <v>44915</v>
      </c>
      <c r="O9561" t="s">
        <v>333</v>
      </c>
      <c r="P9561" s="42">
        <v>44915</v>
      </c>
      <c r="Q9561" t="s">
        <v>333</v>
      </c>
      <c r="R9561" t="s">
        <v>329</v>
      </c>
      <c r="S9561" t="s">
        <v>323</v>
      </c>
      <c r="T9561">
        <v>7.6</v>
      </c>
      <c r="W9561" t="s">
        <v>330</v>
      </c>
      <c r="Y9561" s="42">
        <v>44915</v>
      </c>
    </row>
    <row r="9562" spans="1:25">
      <c r="N9562" s="42">
        <v>44888</v>
      </c>
      <c r="O9562" t="s">
        <v>328</v>
      </c>
      <c r="P9562" s="42">
        <v>44888</v>
      </c>
      <c r="Q9562" t="s">
        <v>328</v>
      </c>
      <c r="R9562" t="s">
        <v>329</v>
      </c>
      <c r="S9562" t="s">
        <v>323</v>
      </c>
      <c r="T9562">
        <v>7.6</v>
      </c>
      <c r="W9562" t="s">
        <v>330</v>
      </c>
      <c r="Y9562" s="42">
        <v>44901</v>
      </c>
    </row>
    <row r="9563" spans="1:25">
      <c r="N9563" s="42">
        <v>44866</v>
      </c>
      <c r="O9563" t="s">
        <v>333</v>
      </c>
      <c r="P9563" s="42">
        <v>44866</v>
      </c>
      <c r="Q9563" t="s">
        <v>333</v>
      </c>
      <c r="R9563" t="s">
        <v>320</v>
      </c>
      <c r="S9563" t="s">
        <v>323</v>
      </c>
      <c r="U9563">
        <v>7.6</v>
      </c>
    </row>
    <row r="9564" spans="1:25">
      <c r="N9564" s="42">
        <v>44828</v>
      </c>
      <c r="O9564" t="s">
        <v>359</v>
      </c>
      <c r="P9564" s="42">
        <v>44828</v>
      </c>
      <c r="Q9564" t="s">
        <v>359</v>
      </c>
      <c r="R9564" t="s">
        <v>320</v>
      </c>
      <c r="S9564" t="s">
        <v>323</v>
      </c>
      <c r="T9564">
        <v>7.6</v>
      </c>
      <c r="Y9564" s="42">
        <v>44831</v>
      </c>
    </row>
    <row r="9565" spans="1:25">
      <c r="N9565" s="42">
        <v>44827</v>
      </c>
      <c r="O9565" t="s">
        <v>346</v>
      </c>
      <c r="P9565" s="42">
        <v>44827</v>
      </c>
      <c r="Q9565" t="s">
        <v>346</v>
      </c>
      <c r="R9565" t="s">
        <v>320</v>
      </c>
      <c r="S9565" t="s">
        <v>323</v>
      </c>
      <c r="U9565">
        <v>7.6</v>
      </c>
    </row>
    <row r="9566" spans="1:25">
      <c r="N9566" s="42">
        <v>44826</v>
      </c>
      <c r="O9566" t="s">
        <v>324</v>
      </c>
      <c r="P9566" s="42">
        <v>44826</v>
      </c>
      <c r="Q9566" t="s">
        <v>324</v>
      </c>
      <c r="R9566" t="s">
        <v>320</v>
      </c>
      <c r="S9566" t="s">
        <v>323</v>
      </c>
      <c r="U9566">
        <v>7.6</v>
      </c>
    </row>
    <row r="9567" spans="1:25">
      <c r="N9567" s="42">
        <v>44799</v>
      </c>
      <c r="O9567" t="s">
        <v>346</v>
      </c>
      <c r="P9567" s="42">
        <v>44799</v>
      </c>
      <c r="Q9567" t="s">
        <v>346</v>
      </c>
      <c r="R9567" t="s">
        <v>320</v>
      </c>
      <c r="S9567" t="s">
        <v>323</v>
      </c>
      <c r="T9567">
        <v>7.6</v>
      </c>
      <c r="Y9567" s="42">
        <v>44803</v>
      </c>
    </row>
    <row r="9568" spans="1:25">
      <c r="N9568" s="42">
        <v>44798</v>
      </c>
      <c r="O9568" t="s">
        <v>324</v>
      </c>
      <c r="P9568" s="42">
        <v>44798</v>
      </c>
      <c r="Q9568" t="s">
        <v>324</v>
      </c>
      <c r="R9568" t="s">
        <v>320</v>
      </c>
      <c r="S9568" t="s">
        <v>323</v>
      </c>
      <c r="T9568">
        <v>7.6</v>
      </c>
      <c r="Y9568" s="42">
        <v>44803</v>
      </c>
    </row>
    <row r="9569" spans="1:25">
      <c r="N9569" s="42">
        <v>44797</v>
      </c>
      <c r="O9569" t="s">
        <v>328</v>
      </c>
      <c r="P9569" s="42">
        <v>44797</v>
      </c>
      <c r="Q9569" t="s">
        <v>328</v>
      </c>
      <c r="R9569" t="s">
        <v>320</v>
      </c>
      <c r="S9569" t="s">
        <v>323</v>
      </c>
      <c r="T9569">
        <v>7.6</v>
      </c>
      <c r="Y9569" s="42">
        <v>44803</v>
      </c>
    </row>
    <row r="9570" spans="1:25">
      <c r="N9570" s="42">
        <v>44796</v>
      </c>
      <c r="O9570" t="s">
        <v>333</v>
      </c>
      <c r="P9570" s="42">
        <v>44796</v>
      </c>
      <c r="Q9570" t="s">
        <v>333</v>
      </c>
      <c r="R9570" t="s">
        <v>329</v>
      </c>
      <c r="S9570" t="s">
        <v>323</v>
      </c>
      <c r="T9570">
        <v>7.6</v>
      </c>
      <c r="W9570" t="s">
        <v>330</v>
      </c>
      <c r="Y9570" s="42">
        <v>44803</v>
      </c>
    </row>
    <row r="9571" spans="1:25">
      <c r="N9571" s="42">
        <v>44792</v>
      </c>
      <c r="O9571" t="s">
        <v>346</v>
      </c>
      <c r="P9571" s="42">
        <v>44792</v>
      </c>
      <c r="Q9571" t="s">
        <v>346</v>
      </c>
      <c r="R9571" t="s">
        <v>329</v>
      </c>
      <c r="S9571" t="s">
        <v>323</v>
      </c>
      <c r="T9571">
        <v>7.6</v>
      </c>
      <c r="W9571" t="s">
        <v>330</v>
      </c>
      <c r="Y9571" s="42">
        <v>44803</v>
      </c>
    </row>
    <row r="9572" spans="1:25">
      <c r="N9572" s="42">
        <v>44756</v>
      </c>
      <c r="O9572" t="s">
        <v>324</v>
      </c>
      <c r="P9572" s="42">
        <v>44756</v>
      </c>
      <c r="Q9572" t="s">
        <v>324</v>
      </c>
      <c r="R9572" t="s">
        <v>320</v>
      </c>
      <c r="S9572" t="s">
        <v>323</v>
      </c>
      <c r="T9572">
        <v>7.6</v>
      </c>
      <c r="Y9572" s="42">
        <v>44761</v>
      </c>
    </row>
    <row r="9573" spans="1:25">
      <c r="A9573">
        <v>19013</v>
      </c>
      <c r="B9573" t="s">
        <v>487</v>
      </c>
      <c r="C9573" t="s">
        <v>320</v>
      </c>
      <c r="D9573" t="s">
        <v>336</v>
      </c>
      <c r="E9573" t="s">
        <v>337</v>
      </c>
      <c r="F9573">
        <v>1</v>
      </c>
      <c r="G9573" s="42">
        <v>45097</v>
      </c>
      <c r="H9573">
        <v>152</v>
      </c>
      <c r="I9573">
        <v>-7.6</v>
      </c>
      <c r="J9573">
        <v>107.0247</v>
      </c>
      <c r="K9573">
        <v>99.424700000000001</v>
      </c>
      <c r="L9573" t="s">
        <v>323</v>
      </c>
      <c r="M9573" s="43">
        <v>5.5555555555555558E-3</v>
      </c>
      <c r="N9573" s="42">
        <v>44952</v>
      </c>
      <c r="O9573" t="s">
        <v>324</v>
      </c>
      <c r="P9573" s="42">
        <v>44952</v>
      </c>
      <c r="Q9573" t="s">
        <v>324</v>
      </c>
      <c r="R9573" t="s">
        <v>320</v>
      </c>
      <c r="S9573" t="s">
        <v>323</v>
      </c>
      <c r="U9573">
        <v>7.6</v>
      </c>
    </row>
    <row r="9574" spans="1:25">
      <c r="C9574" t="s">
        <v>325</v>
      </c>
      <c r="D9574" t="s">
        <v>352</v>
      </c>
      <c r="E9574" t="s">
        <v>353</v>
      </c>
      <c r="F9574">
        <v>1</v>
      </c>
      <c r="G9574" s="42">
        <v>48385</v>
      </c>
      <c r="H9574">
        <v>329.346</v>
      </c>
      <c r="I9574">
        <v>0</v>
      </c>
      <c r="J9574">
        <v>23.170500000000001</v>
      </c>
      <c r="K9574">
        <v>23.170500000000001</v>
      </c>
      <c r="L9574" t="s">
        <v>323</v>
      </c>
      <c r="N9574" s="42">
        <v>44951</v>
      </c>
      <c r="O9574" t="s">
        <v>328</v>
      </c>
      <c r="P9574" s="42">
        <v>44951</v>
      </c>
      <c r="Q9574" t="s">
        <v>328</v>
      </c>
      <c r="R9574" t="s">
        <v>320</v>
      </c>
      <c r="S9574" t="s">
        <v>323</v>
      </c>
      <c r="T9574">
        <v>7.6</v>
      </c>
      <c r="Y9574" s="42">
        <v>44957</v>
      </c>
    </row>
    <row r="9575" spans="1:25">
      <c r="C9575" t="s">
        <v>329</v>
      </c>
      <c r="D9575" t="s">
        <v>342</v>
      </c>
      <c r="E9575" t="s">
        <v>343</v>
      </c>
      <c r="F9575">
        <v>1</v>
      </c>
      <c r="G9575" s="42">
        <v>45097</v>
      </c>
      <c r="H9575">
        <v>76</v>
      </c>
      <c r="I9575">
        <v>-7.6</v>
      </c>
      <c r="J9575">
        <v>53.512300000000003</v>
      </c>
      <c r="K9575">
        <v>45.912300000000002</v>
      </c>
      <c r="L9575" t="s">
        <v>323</v>
      </c>
      <c r="N9575" s="42">
        <v>44928</v>
      </c>
      <c r="O9575" t="s">
        <v>345</v>
      </c>
      <c r="P9575" s="42">
        <v>44928</v>
      </c>
      <c r="Q9575" t="s">
        <v>345</v>
      </c>
      <c r="R9575" t="s">
        <v>320</v>
      </c>
      <c r="S9575" t="s">
        <v>323</v>
      </c>
      <c r="U9575">
        <v>7.6</v>
      </c>
    </row>
    <row r="9576" spans="1:25">
      <c r="N9576" s="42">
        <v>44922</v>
      </c>
      <c r="O9576" t="s">
        <v>333</v>
      </c>
      <c r="P9576" s="42">
        <v>44922</v>
      </c>
      <c r="Q9576" t="s">
        <v>333</v>
      </c>
      <c r="R9576" t="s">
        <v>320</v>
      </c>
      <c r="S9576" t="s">
        <v>323</v>
      </c>
      <c r="U9576">
        <v>7.6</v>
      </c>
    </row>
    <row r="9577" spans="1:25">
      <c r="N9577" s="42">
        <v>44921</v>
      </c>
      <c r="O9577" t="s">
        <v>345</v>
      </c>
      <c r="P9577" s="42">
        <v>44921</v>
      </c>
      <c r="Q9577" t="s">
        <v>345</v>
      </c>
      <c r="R9577" t="s">
        <v>320</v>
      </c>
      <c r="S9577" t="s">
        <v>323</v>
      </c>
      <c r="U9577">
        <v>7.6</v>
      </c>
    </row>
    <row r="9578" spans="1:25">
      <c r="N9578" s="42">
        <v>44914</v>
      </c>
      <c r="O9578" t="s">
        <v>345</v>
      </c>
      <c r="P9578" s="42">
        <v>44914</v>
      </c>
      <c r="Q9578" t="s">
        <v>345</v>
      </c>
      <c r="R9578" t="s">
        <v>329</v>
      </c>
      <c r="S9578" t="s">
        <v>323</v>
      </c>
      <c r="T9578">
        <v>7.6</v>
      </c>
      <c r="W9578" t="s">
        <v>330</v>
      </c>
      <c r="Y9578" s="42">
        <v>44915</v>
      </c>
    </row>
    <row r="9579" spans="1:25">
      <c r="N9579" s="42">
        <v>44837</v>
      </c>
      <c r="O9579" t="s">
        <v>345</v>
      </c>
      <c r="P9579" s="42">
        <v>44837</v>
      </c>
      <c r="Q9579" t="s">
        <v>345</v>
      </c>
      <c r="R9579" t="s">
        <v>320</v>
      </c>
      <c r="S9579" t="s">
        <v>323</v>
      </c>
      <c r="U9579">
        <v>7.6</v>
      </c>
    </row>
    <row r="9580" spans="1:25">
      <c r="N9580" s="42">
        <v>44826</v>
      </c>
      <c r="O9580" t="s">
        <v>324</v>
      </c>
      <c r="P9580" s="42">
        <v>44826</v>
      </c>
      <c r="Q9580" t="s">
        <v>324</v>
      </c>
      <c r="R9580" t="s">
        <v>320</v>
      </c>
      <c r="S9580" t="s">
        <v>323</v>
      </c>
      <c r="U9580">
        <v>7.6</v>
      </c>
    </row>
    <row r="9581" spans="1:25">
      <c r="A9581">
        <v>19014</v>
      </c>
      <c r="B9581" t="s">
        <v>488</v>
      </c>
      <c r="C9581" t="s">
        <v>320</v>
      </c>
      <c r="D9581" t="s">
        <v>336</v>
      </c>
      <c r="E9581" t="s">
        <v>337</v>
      </c>
      <c r="F9581">
        <v>1</v>
      </c>
      <c r="G9581" s="42">
        <v>45092</v>
      </c>
      <c r="H9581">
        <v>150.24619999999999</v>
      </c>
      <c r="I9581">
        <v>-38.799999999999997</v>
      </c>
      <c r="J9581">
        <v>107.35299999999999</v>
      </c>
      <c r="K9581">
        <v>68.552999999999997</v>
      </c>
      <c r="L9581" t="s">
        <v>323</v>
      </c>
      <c r="M9581" s="43">
        <v>5.5555555555555558E-3</v>
      </c>
      <c r="N9581" s="42">
        <v>44977</v>
      </c>
      <c r="O9581" t="s">
        <v>345</v>
      </c>
      <c r="P9581" s="42">
        <v>44977</v>
      </c>
      <c r="Q9581" t="s">
        <v>345</v>
      </c>
      <c r="R9581" t="s">
        <v>320</v>
      </c>
      <c r="S9581" t="s">
        <v>323</v>
      </c>
      <c r="T9581">
        <v>7.6</v>
      </c>
      <c r="Y9581" s="42">
        <v>44985</v>
      </c>
    </row>
    <row r="9582" spans="1:25">
      <c r="C9582" t="s">
        <v>325</v>
      </c>
      <c r="D9582" t="s">
        <v>352</v>
      </c>
      <c r="E9582" t="s">
        <v>353</v>
      </c>
      <c r="F9582">
        <v>1</v>
      </c>
      <c r="G9582" s="42">
        <v>48385</v>
      </c>
      <c r="H9582">
        <v>329.346</v>
      </c>
      <c r="I9582">
        <v>0</v>
      </c>
      <c r="J9582">
        <v>23.170500000000001</v>
      </c>
      <c r="K9582">
        <v>23.170500000000001</v>
      </c>
      <c r="L9582" t="s">
        <v>323</v>
      </c>
      <c r="N9582" s="42">
        <v>44965</v>
      </c>
      <c r="O9582" t="s">
        <v>328</v>
      </c>
      <c r="P9582" s="42">
        <v>44965</v>
      </c>
      <c r="Q9582" t="s">
        <v>328</v>
      </c>
      <c r="R9582" t="s">
        <v>329</v>
      </c>
      <c r="S9582" t="s">
        <v>323</v>
      </c>
      <c r="T9582">
        <v>7.6</v>
      </c>
      <c r="W9582" t="s">
        <v>330</v>
      </c>
      <c r="Y9582" s="42">
        <v>44971</v>
      </c>
    </row>
    <row r="9583" spans="1:25">
      <c r="C9583" t="s">
        <v>329</v>
      </c>
      <c r="D9583" t="s">
        <v>342</v>
      </c>
      <c r="E9583" t="s">
        <v>343</v>
      </c>
      <c r="F9583">
        <v>1</v>
      </c>
      <c r="G9583" s="42">
        <v>45092</v>
      </c>
      <c r="H9583">
        <v>75.123099999999994</v>
      </c>
      <c r="I9583">
        <v>-7.6</v>
      </c>
      <c r="J9583">
        <v>53.676499999999997</v>
      </c>
      <c r="K9583">
        <v>46.076500000000003</v>
      </c>
      <c r="L9583" t="s">
        <v>323</v>
      </c>
      <c r="N9583" s="42">
        <v>44952</v>
      </c>
      <c r="O9583" t="s">
        <v>324</v>
      </c>
      <c r="P9583" s="42">
        <v>44952</v>
      </c>
      <c r="Q9583" t="s">
        <v>324</v>
      </c>
      <c r="R9583" t="s">
        <v>320</v>
      </c>
      <c r="S9583" t="s">
        <v>323</v>
      </c>
      <c r="U9583">
        <v>7.6</v>
      </c>
      <c r="Y9583" s="42">
        <v>44957</v>
      </c>
    </row>
    <row r="9584" spans="1:25">
      <c r="N9584" s="42">
        <v>44932</v>
      </c>
      <c r="O9584" t="s">
        <v>346</v>
      </c>
      <c r="P9584" s="42">
        <v>44932</v>
      </c>
      <c r="Q9584" t="s">
        <v>346</v>
      </c>
      <c r="R9584" t="s">
        <v>320</v>
      </c>
      <c r="S9584" t="s">
        <v>323</v>
      </c>
      <c r="T9584">
        <v>8</v>
      </c>
      <c r="Y9584" s="42">
        <v>44943</v>
      </c>
    </row>
    <row r="9585" spans="1:25">
      <c r="N9585" s="42">
        <v>44931</v>
      </c>
      <c r="O9585" t="s">
        <v>324</v>
      </c>
      <c r="P9585" s="42">
        <v>44931</v>
      </c>
      <c r="Q9585" t="s">
        <v>324</v>
      </c>
      <c r="R9585" t="s">
        <v>320</v>
      </c>
      <c r="S9585" t="s">
        <v>323</v>
      </c>
      <c r="T9585">
        <v>8</v>
      </c>
      <c r="Y9585" s="42">
        <v>44943</v>
      </c>
    </row>
    <row r="9586" spans="1:25">
      <c r="N9586" s="42">
        <v>44931</v>
      </c>
      <c r="O9586" t="s">
        <v>324</v>
      </c>
      <c r="P9586" s="42">
        <v>44932</v>
      </c>
      <c r="Q9586" t="s">
        <v>346</v>
      </c>
      <c r="R9586" t="s">
        <v>320</v>
      </c>
      <c r="S9586" t="s">
        <v>323</v>
      </c>
      <c r="T9586">
        <v>15.2</v>
      </c>
      <c r="V9586">
        <v>0</v>
      </c>
      <c r="Y9586" s="42">
        <v>44943</v>
      </c>
    </row>
    <row r="9587" spans="1:25">
      <c r="N9587" s="42">
        <v>44928</v>
      </c>
      <c r="O9587" t="s">
        <v>345</v>
      </c>
      <c r="P9587" s="42">
        <v>44928</v>
      </c>
      <c r="Q9587" t="s">
        <v>345</v>
      </c>
      <c r="R9587" t="s">
        <v>320</v>
      </c>
      <c r="S9587" t="s">
        <v>323</v>
      </c>
      <c r="U9587">
        <v>7.6</v>
      </c>
      <c r="Y9587" s="42">
        <v>44929</v>
      </c>
    </row>
    <row r="9588" spans="1:25">
      <c r="N9588" s="42">
        <v>44922</v>
      </c>
      <c r="O9588" t="s">
        <v>333</v>
      </c>
      <c r="P9588" s="42">
        <v>44922</v>
      </c>
      <c r="Q9588" t="s">
        <v>333</v>
      </c>
      <c r="R9588" t="s">
        <v>320</v>
      </c>
      <c r="S9588" t="s">
        <v>323</v>
      </c>
      <c r="U9588">
        <v>7.6</v>
      </c>
      <c r="Y9588" s="42">
        <v>44929</v>
      </c>
    </row>
    <row r="9589" spans="1:25">
      <c r="N9589" s="42">
        <v>44921</v>
      </c>
      <c r="O9589" t="s">
        <v>345</v>
      </c>
      <c r="P9589" s="42">
        <v>44921</v>
      </c>
      <c r="Q9589" t="s">
        <v>345</v>
      </c>
      <c r="R9589" t="s">
        <v>320</v>
      </c>
      <c r="S9589" t="s">
        <v>323</v>
      </c>
      <c r="U9589">
        <v>7.6</v>
      </c>
      <c r="Y9589" s="42">
        <v>44929</v>
      </c>
    </row>
    <row r="9590" spans="1:25">
      <c r="N9590" s="42">
        <v>44837</v>
      </c>
      <c r="O9590" t="s">
        <v>345</v>
      </c>
      <c r="P9590" s="42">
        <v>44837</v>
      </c>
      <c r="Q9590" t="s">
        <v>345</v>
      </c>
      <c r="R9590" t="s">
        <v>320</v>
      </c>
      <c r="S9590" t="s">
        <v>323</v>
      </c>
      <c r="U9590">
        <v>7.6</v>
      </c>
    </row>
    <row r="9591" spans="1:25">
      <c r="N9591" s="42">
        <v>44837</v>
      </c>
      <c r="O9591" t="s">
        <v>345</v>
      </c>
      <c r="P9591" s="42">
        <v>44837</v>
      </c>
      <c r="Q9591" t="s">
        <v>345</v>
      </c>
      <c r="R9591" t="s">
        <v>320</v>
      </c>
      <c r="S9591" t="s">
        <v>323</v>
      </c>
      <c r="U9591">
        <v>7.6</v>
      </c>
      <c r="Y9591" s="42">
        <v>44845</v>
      </c>
    </row>
    <row r="9592" spans="1:25">
      <c r="N9592" s="42">
        <v>44826</v>
      </c>
      <c r="O9592" t="s">
        <v>324</v>
      </c>
      <c r="P9592" s="42">
        <v>44826</v>
      </c>
      <c r="Q9592" t="s">
        <v>324</v>
      </c>
      <c r="R9592" t="s">
        <v>320</v>
      </c>
      <c r="S9592" t="s">
        <v>323</v>
      </c>
      <c r="U9592">
        <v>7.6</v>
      </c>
    </row>
    <row r="9593" spans="1:25">
      <c r="N9593" s="42">
        <v>44826</v>
      </c>
      <c r="O9593" t="s">
        <v>324</v>
      </c>
      <c r="P9593" s="42">
        <v>44826</v>
      </c>
      <c r="Q9593" t="s">
        <v>324</v>
      </c>
      <c r="R9593" t="s">
        <v>320</v>
      </c>
      <c r="S9593" t="s">
        <v>323</v>
      </c>
      <c r="U9593">
        <v>7.6</v>
      </c>
      <c r="Y9593" s="42">
        <v>44831</v>
      </c>
    </row>
    <row r="9594" spans="1:25">
      <c r="N9594" s="42">
        <v>44729</v>
      </c>
      <c r="O9594" t="s">
        <v>346</v>
      </c>
      <c r="P9594" s="42">
        <v>44733</v>
      </c>
      <c r="Q9594" t="s">
        <v>333</v>
      </c>
      <c r="R9594" t="s">
        <v>338</v>
      </c>
      <c r="S9594" t="s">
        <v>323</v>
      </c>
      <c r="T9594">
        <v>22.8</v>
      </c>
      <c r="W9594" t="s">
        <v>330</v>
      </c>
      <c r="Y9594" s="42">
        <v>44733</v>
      </c>
    </row>
    <row r="9595" spans="1:25">
      <c r="A9595">
        <v>19015</v>
      </c>
      <c r="B9595" t="s">
        <v>489</v>
      </c>
      <c r="C9595" t="s">
        <v>320</v>
      </c>
      <c r="D9595" t="s">
        <v>336</v>
      </c>
      <c r="E9595" t="s">
        <v>337</v>
      </c>
      <c r="F9595">
        <v>1</v>
      </c>
      <c r="G9595" s="42">
        <v>45086</v>
      </c>
      <c r="H9595">
        <v>152</v>
      </c>
      <c r="I9595">
        <v>-118</v>
      </c>
      <c r="J9595">
        <v>111.60550000000001</v>
      </c>
      <c r="K9595">
        <v>-6.3944999999999999</v>
      </c>
      <c r="L9595" t="s">
        <v>323</v>
      </c>
      <c r="M9595" s="43">
        <v>5.5555555555555558E-3</v>
      </c>
      <c r="N9595" s="42">
        <v>44971</v>
      </c>
      <c r="O9595" t="s">
        <v>333</v>
      </c>
      <c r="P9595" s="42">
        <v>44971</v>
      </c>
      <c r="Q9595" t="s">
        <v>333</v>
      </c>
      <c r="R9595" t="s">
        <v>320</v>
      </c>
      <c r="S9595" t="s">
        <v>323</v>
      </c>
      <c r="T9595">
        <v>7.6</v>
      </c>
      <c r="Y9595" s="42">
        <v>44971</v>
      </c>
    </row>
    <row r="9596" spans="1:25">
      <c r="C9596" t="s">
        <v>325</v>
      </c>
      <c r="D9596" t="s">
        <v>340</v>
      </c>
      <c r="E9596" t="s">
        <v>341</v>
      </c>
      <c r="F9596">
        <v>1</v>
      </c>
      <c r="G9596" s="42">
        <v>47278</v>
      </c>
      <c r="H9596">
        <v>230.54220000000001</v>
      </c>
      <c r="I9596">
        <v>0</v>
      </c>
      <c r="J9596">
        <v>24.1632</v>
      </c>
      <c r="K9596">
        <v>24.1632</v>
      </c>
      <c r="L9596" t="s">
        <v>323</v>
      </c>
      <c r="N9596" s="42">
        <v>44968</v>
      </c>
      <c r="O9596" t="s">
        <v>359</v>
      </c>
      <c r="P9596" s="42">
        <v>44968</v>
      </c>
      <c r="Q9596" t="s">
        <v>359</v>
      </c>
      <c r="R9596" t="s">
        <v>320</v>
      </c>
      <c r="S9596" t="s">
        <v>323</v>
      </c>
      <c r="T9596">
        <v>7.6</v>
      </c>
      <c r="Y9596" s="42">
        <v>44971</v>
      </c>
    </row>
    <row r="9597" spans="1:25">
      <c r="C9597" t="s">
        <v>329</v>
      </c>
      <c r="D9597" t="s">
        <v>342</v>
      </c>
      <c r="E9597" t="s">
        <v>343</v>
      </c>
      <c r="F9597">
        <v>1</v>
      </c>
      <c r="G9597" s="42">
        <v>45086</v>
      </c>
      <c r="H9597">
        <v>76</v>
      </c>
      <c r="I9597">
        <v>-44</v>
      </c>
      <c r="J9597">
        <v>55.802700000000002</v>
      </c>
      <c r="K9597">
        <v>11.8027</v>
      </c>
      <c r="L9597" t="s">
        <v>323</v>
      </c>
      <c r="N9597" s="42">
        <v>44967</v>
      </c>
      <c r="O9597" t="s">
        <v>346</v>
      </c>
      <c r="P9597" s="42">
        <v>44967</v>
      </c>
      <c r="Q9597" t="s">
        <v>346</v>
      </c>
      <c r="R9597" t="s">
        <v>320</v>
      </c>
      <c r="S9597" t="s">
        <v>323</v>
      </c>
      <c r="T9597">
        <v>7.6</v>
      </c>
      <c r="Y9597" s="42">
        <v>44971</v>
      </c>
    </row>
    <row r="9598" spans="1:25">
      <c r="N9598" s="42">
        <v>44966</v>
      </c>
      <c r="O9598" t="s">
        <v>324</v>
      </c>
      <c r="P9598" s="42">
        <v>44966</v>
      </c>
      <c r="Q9598" t="s">
        <v>324</v>
      </c>
      <c r="R9598" t="s">
        <v>320</v>
      </c>
      <c r="S9598" t="s">
        <v>323</v>
      </c>
      <c r="T9598">
        <v>7.6</v>
      </c>
      <c r="Y9598" s="42">
        <v>44971</v>
      </c>
    </row>
    <row r="9599" spans="1:25">
      <c r="N9599" s="42">
        <v>44965</v>
      </c>
      <c r="O9599" t="s">
        <v>328</v>
      </c>
      <c r="P9599" s="42">
        <v>44965</v>
      </c>
      <c r="Q9599" t="s">
        <v>328</v>
      </c>
      <c r="R9599" t="s">
        <v>320</v>
      </c>
      <c r="S9599" t="s">
        <v>323</v>
      </c>
      <c r="T9599">
        <v>7.6</v>
      </c>
      <c r="Y9599" s="42">
        <v>44971</v>
      </c>
    </row>
    <row r="9600" spans="1:25">
      <c r="N9600" s="42">
        <v>44964</v>
      </c>
      <c r="O9600" t="s">
        <v>333</v>
      </c>
      <c r="P9600" s="42">
        <v>44964</v>
      </c>
      <c r="Q9600" t="s">
        <v>333</v>
      </c>
      <c r="R9600" t="s">
        <v>320</v>
      </c>
      <c r="S9600" t="s">
        <v>323</v>
      </c>
      <c r="T9600">
        <v>7.6</v>
      </c>
      <c r="Y9600" s="42">
        <v>44971</v>
      </c>
    </row>
    <row r="9601" spans="14:25">
      <c r="N9601" s="42">
        <v>44961</v>
      </c>
      <c r="O9601" t="s">
        <v>359</v>
      </c>
      <c r="P9601" s="42">
        <v>44961</v>
      </c>
      <c r="Q9601" t="s">
        <v>359</v>
      </c>
      <c r="R9601" t="s">
        <v>320</v>
      </c>
      <c r="S9601" t="s">
        <v>323</v>
      </c>
      <c r="T9601">
        <v>7.6</v>
      </c>
      <c r="Y9601" s="42">
        <v>44971</v>
      </c>
    </row>
    <row r="9602" spans="14:25">
      <c r="N9602" s="42">
        <v>44960</v>
      </c>
      <c r="O9602" t="s">
        <v>346</v>
      </c>
      <c r="P9602" s="42">
        <v>44960</v>
      </c>
      <c r="Q9602" t="s">
        <v>346</v>
      </c>
      <c r="R9602" t="s">
        <v>320</v>
      </c>
      <c r="S9602" t="s">
        <v>323</v>
      </c>
      <c r="T9602">
        <v>7.6</v>
      </c>
      <c r="Y9602" s="42">
        <v>44971</v>
      </c>
    </row>
    <row r="9603" spans="14:25">
      <c r="N9603" s="42">
        <v>44959</v>
      </c>
      <c r="O9603" t="s">
        <v>324</v>
      </c>
      <c r="P9603" s="42">
        <v>44959</v>
      </c>
      <c r="Q9603" t="s">
        <v>324</v>
      </c>
      <c r="R9603" t="s">
        <v>320</v>
      </c>
      <c r="S9603" t="s">
        <v>323</v>
      </c>
      <c r="T9603">
        <v>7.6</v>
      </c>
      <c r="Y9603" s="42">
        <v>44971</v>
      </c>
    </row>
    <row r="9604" spans="14:25">
      <c r="N9604" s="42">
        <v>44958</v>
      </c>
      <c r="O9604" t="s">
        <v>328</v>
      </c>
      <c r="P9604" s="42">
        <v>44958</v>
      </c>
      <c r="Q9604" t="s">
        <v>328</v>
      </c>
      <c r="R9604" t="s">
        <v>320</v>
      </c>
      <c r="S9604" t="s">
        <v>323</v>
      </c>
      <c r="T9604">
        <v>7.6</v>
      </c>
      <c r="Y9604" s="42">
        <v>44971</v>
      </c>
    </row>
    <row r="9605" spans="14:25">
      <c r="N9605" s="42">
        <v>44957</v>
      </c>
      <c r="O9605" t="s">
        <v>333</v>
      </c>
      <c r="P9605" s="42">
        <v>44957</v>
      </c>
      <c r="Q9605" t="s">
        <v>333</v>
      </c>
      <c r="R9605" t="s">
        <v>320</v>
      </c>
      <c r="S9605" t="s">
        <v>323</v>
      </c>
      <c r="T9605">
        <v>7.6</v>
      </c>
      <c r="Y9605" s="42">
        <v>44957</v>
      </c>
    </row>
    <row r="9606" spans="14:25">
      <c r="N9606" s="42">
        <v>44954</v>
      </c>
      <c r="O9606" t="s">
        <v>359</v>
      </c>
      <c r="P9606" s="42">
        <v>44954</v>
      </c>
      <c r="Q9606" t="s">
        <v>359</v>
      </c>
      <c r="R9606" t="s">
        <v>320</v>
      </c>
      <c r="S9606" t="s">
        <v>323</v>
      </c>
      <c r="T9606">
        <v>7.6</v>
      </c>
      <c r="Y9606" s="42">
        <v>44957</v>
      </c>
    </row>
    <row r="9607" spans="14:25">
      <c r="N9607" s="42">
        <v>44953</v>
      </c>
      <c r="O9607" t="s">
        <v>346</v>
      </c>
      <c r="P9607" s="42">
        <v>44953</v>
      </c>
      <c r="Q9607" t="s">
        <v>346</v>
      </c>
      <c r="R9607" t="s">
        <v>320</v>
      </c>
      <c r="S9607" t="s">
        <v>323</v>
      </c>
      <c r="T9607">
        <v>7.6</v>
      </c>
      <c r="Y9607" s="42">
        <v>44957</v>
      </c>
    </row>
    <row r="9608" spans="14:25">
      <c r="N9608" s="42">
        <v>44952</v>
      </c>
      <c r="O9608" t="s">
        <v>324</v>
      </c>
      <c r="P9608" s="42">
        <v>44952</v>
      </c>
      <c r="Q9608" t="s">
        <v>324</v>
      </c>
      <c r="R9608" t="s">
        <v>320</v>
      </c>
      <c r="S9608" t="s">
        <v>323</v>
      </c>
      <c r="U9608">
        <v>7.6</v>
      </c>
    </row>
    <row r="9609" spans="14:25">
      <c r="N9609" s="42">
        <v>44951</v>
      </c>
      <c r="O9609" t="s">
        <v>328</v>
      </c>
      <c r="P9609" s="42">
        <v>44951</v>
      </c>
      <c r="Q9609" t="s">
        <v>328</v>
      </c>
      <c r="R9609" t="s">
        <v>320</v>
      </c>
      <c r="S9609" t="s">
        <v>323</v>
      </c>
      <c r="T9609">
        <v>7.6</v>
      </c>
      <c r="Y9609" s="42">
        <v>44957</v>
      </c>
    </row>
    <row r="9610" spans="14:25">
      <c r="N9610" s="42">
        <v>44950</v>
      </c>
      <c r="O9610" t="s">
        <v>333</v>
      </c>
      <c r="P9610" s="42">
        <v>44950</v>
      </c>
      <c r="Q9610" t="s">
        <v>333</v>
      </c>
      <c r="R9610" t="s">
        <v>320</v>
      </c>
      <c r="S9610" t="s">
        <v>323</v>
      </c>
      <c r="T9610">
        <v>7.6</v>
      </c>
      <c r="Y9610" s="42">
        <v>44957</v>
      </c>
    </row>
    <row r="9611" spans="14:25">
      <c r="N9611" s="42">
        <v>44947</v>
      </c>
      <c r="O9611" t="s">
        <v>359</v>
      </c>
      <c r="P9611" s="42">
        <v>44947</v>
      </c>
      <c r="Q9611" t="s">
        <v>359</v>
      </c>
      <c r="R9611" t="s">
        <v>329</v>
      </c>
      <c r="S9611" t="s">
        <v>323</v>
      </c>
      <c r="T9611">
        <v>6</v>
      </c>
      <c r="W9611" t="s">
        <v>330</v>
      </c>
      <c r="Y9611" s="42">
        <v>44957</v>
      </c>
    </row>
    <row r="9612" spans="14:25">
      <c r="N9612" s="42">
        <v>44924</v>
      </c>
      <c r="O9612" t="s">
        <v>324</v>
      </c>
      <c r="P9612" s="42">
        <v>44924</v>
      </c>
      <c r="Q9612" t="s">
        <v>324</v>
      </c>
      <c r="R9612" t="s">
        <v>329</v>
      </c>
      <c r="S9612" t="s">
        <v>323</v>
      </c>
      <c r="T9612">
        <v>7.6</v>
      </c>
      <c r="W9612" t="s">
        <v>330</v>
      </c>
      <c r="Y9612" s="42">
        <v>44929</v>
      </c>
    </row>
    <row r="9613" spans="14:25">
      <c r="N9613" s="42">
        <v>44923</v>
      </c>
      <c r="O9613" t="s">
        <v>328</v>
      </c>
      <c r="P9613" s="42">
        <v>44923</v>
      </c>
      <c r="Q9613" t="s">
        <v>328</v>
      </c>
      <c r="R9613" t="s">
        <v>329</v>
      </c>
      <c r="S9613" t="s">
        <v>323</v>
      </c>
      <c r="T9613">
        <v>7.6</v>
      </c>
      <c r="W9613" t="s">
        <v>330</v>
      </c>
      <c r="Y9613" s="42">
        <v>44929</v>
      </c>
    </row>
    <row r="9614" spans="14:25">
      <c r="N9614" s="42">
        <v>44922</v>
      </c>
      <c r="O9614" t="s">
        <v>333</v>
      </c>
      <c r="P9614" s="42">
        <v>44922</v>
      </c>
      <c r="Q9614" t="s">
        <v>333</v>
      </c>
      <c r="R9614" t="s">
        <v>320</v>
      </c>
      <c r="S9614" t="s">
        <v>323</v>
      </c>
      <c r="U9614">
        <v>7.6</v>
      </c>
    </row>
    <row r="9615" spans="14:25">
      <c r="N9615" s="42">
        <v>44867</v>
      </c>
      <c r="O9615" t="s">
        <v>328</v>
      </c>
      <c r="P9615" s="42">
        <v>44867</v>
      </c>
      <c r="Q9615" t="s">
        <v>328</v>
      </c>
      <c r="R9615" t="s">
        <v>329</v>
      </c>
      <c r="S9615" t="s">
        <v>323</v>
      </c>
      <c r="T9615">
        <v>7.6</v>
      </c>
      <c r="W9615" t="s">
        <v>330</v>
      </c>
      <c r="Y9615" s="42">
        <v>44873</v>
      </c>
    </row>
    <row r="9616" spans="14:25">
      <c r="N9616" s="42">
        <v>44866</v>
      </c>
      <c r="O9616" t="s">
        <v>333</v>
      </c>
      <c r="P9616" s="42">
        <v>44866</v>
      </c>
      <c r="Q9616" t="s">
        <v>333</v>
      </c>
      <c r="R9616" t="s">
        <v>320</v>
      </c>
      <c r="S9616" t="s">
        <v>323</v>
      </c>
      <c r="U9616">
        <v>7.6</v>
      </c>
    </row>
    <row r="9617" spans="1:25">
      <c r="N9617" s="42">
        <v>44862</v>
      </c>
      <c r="O9617" t="s">
        <v>346</v>
      </c>
      <c r="P9617" s="42">
        <v>44862</v>
      </c>
      <c r="Q9617" t="s">
        <v>346</v>
      </c>
      <c r="R9617" t="s">
        <v>320</v>
      </c>
      <c r="S9617" t="s">
        <v>323</v>
      </c>
      <c r="T9617">
        <v>4</v>
      </c>
      <c r="Y9617" s="42">
        <v>44873</v>
      </c>
    </row>
    <row r="9618" spans="1:25">
      <c r="N9618" s="42">
        <v>44842</v>
      </c>
      <c r="O9618" t="s">
        <v>359</v>
      </c>
      <c r="P9618" s="42">
        <v>44842</v>
      </c>
      <c r="Q9618" t="s">
        <v>359</v>
      </c>
      <c r="R9618" t="s">
        <v>329</v>
      </c>
      <c r="S9618" t="s">
        <v>323</v>
      </c>
      <c r="T9618">
        <v>7.6</v>
      </c>
      <c r="W9618" t="s">
        <v>330</v>
      </c>
      <c r="Y9618" s="42">
        <v>44845</v>
      </c>
    </row>
    <row r="9619" spans="1:25">
      <c r="N9619" s="42">
        <v>44838</v>
      </c>
      <c r="O9619" t="s">
        <v>333</v>
      </c>
      <c r="P9619" s="42">
        <v>44838</v>
      </c>
      <c r="Q9619" t="s">
        <v>333</v>
      </c>
      <c r="R9619" t="s">
        <v>329</v>
      </c>
      <c r="S9619" t="s">
        <v>323</v>
      </c>
      <c r="T9619">
        <v>7.6</v>
      </c>
      <c r="W9619" t="s">
        <v>330</v>
      </c>
      <c r="Y9619" s="42">
        <v>44845</v>
      </c>
    </row>
    <row r="9620" spans="1:25">
      <c r="N9620" s="42">
        <v>44827</v>
      </c>
      <c r="O9620" t="s">
        <v>346</v>
      </c>
      <c r="P9620" s="42">
        <v>44827</v>
      </c>
      <c r="Q9620" t="s">
        <v>346</v>
      </c>
      <c r="R9620" t="s">
        <v>320</v>
      </c>
      <c r="S9620" t="s">
        <v>323</v>
      </c>
      <c r="U9620">
        <v>7.6</v>
      </c>
    </row>
    <row r="9621" spans="1:25">
      <c r="N9621" s="42">
        <v>44826</v>
      </c>
      <c r="O9621" t="s">
        <v>324</v>
      </c>
      <c r="P9621" s="42">
        <v>44826</v>
      </c>
      <c r="Q9621" t="s">
        <v>324</v>
      </c>
      <c r="R9621" t="s">
        <v>320</v>
      </c>
      <c r="S9621" t="s">
        <v>323</v>
      </c>
      <c r="U9621">
        <v>7.6</v>
      </c>
    </row>
    <row r="9622" spans="1:25">
      <c r="A9622">
        <v>19017</v>
      </c>
      <c r="B9622" t="s">
        <v>490</v>
      </c>
      <c r="C9622" t="s">
        <v>320</v>
      </c>
      <c r="D9622" t="s">
        <v>336</v>
      </c>
      <c r="E9622" t="s">
        <v>337</v>
      </c>
      <c r="F9622">
        <v>1</v>
      </c>
      <c r="G9622" s="42">
        <v>45155</v>
      </c>
      <c r="H9622">
        <v>152</v>
      </c>
      <c r="I9622">
        <v>-15.2</v>
      </c>
      <c r="J9622">
        <v>82.871200000000002</v>
      </c>
      <c r="K9622">
        <v>67.671199999999999</v>
      </c>
      <c r="L9622" t="s">
        <v>323</v>
      </c>
      <c r="M9622" s="43">
        <v>5.5555555555555558E-3</v>
      </c>
      <c r="N9622" s="42">
        <v>44957</v>
      </c>
      <c r="O9622" t="s">
        <v>333</v>
      </c>
      <c r="P9622" s="42">
        <v>44957</v>
      </c>
      <c r="Q9622" t="s">
        <v>333</v>
      </c>
      <c r="R9622" t="s">
        <v>329</v>
      </c>
      <c r="S9622" t="s">
        <v>323</v>
      </c>
      <c r="T9622">
        <v>7.6</v>
      </c>
      <c r="W9622" t="s">
        <v>330</v>
      </c>
      <c r="Y9622" s="42">
        <v>44957</v>
      </c>
    </row>
    <row r="9623" spans="1:25">
      <c r="C9623" t="s">
        <v>325</v>
      </c>
      <c r="D9623" t="s">
        <v>340</v>
      </c>
      <c r="E9623" t="s">
        <v>341</v>
      </c>
      <c r="F9623">
        <v>1</v>
      </c>
      <c r="G9623" s="42">
        <v>47347</v>
      </c>
      <c r="H9623">
        <v>230.54220000000001</v>
      </c>
      <c r="I9623">
        <v>0</v>
      </c>
      <c r="J9623">
        <v>17.9421</v>
      </c>
      <c r="K9623">
        <v>17.9421</v>
      </c>
      <c r="L9623" t="s">
        <v>323</v>
      </c>
      <c r="N9623" s="42">
        <v>44952</v>
      </c>
      <c r="O9623" t="s">
        <v>324</v>
      </c>
      <c r="P9623" s="42">
        <v>44952</v>
      </c>
      <c r="Q9623" t="s">
        <v>324</v>
      </c>
      <c r="R9623" t="s">
        <v>320</v>
      </c>
      <c r="S9623" t="s">
        <v>323</v>
      </c>
      <c r="U9623">
        <v>7.6</v>
      </c>
    </row>
    <row r="9624" spans="1:25">
      <c r="C9624" t="s">
        <v>329</v>
      </c>
      <c r="D9624" t="s">
        <v>342</v>
      </c>
      <c r="E9624" t="s">
        <v>343</v>
      </c>
      <c r="F9624">
        <v>1</v>
      </c>
      <c r="G9624" s="42">
        <v>45155</v>
      </c>
      <c r="H9624">
        <v>76</v>
      </c>
      <c r="I9624">
        <v>-22.8</v>
      </c>
      <c r="J9624">
        <v>41.435600000000001</v>
      </c>
      <c r="K9624">
        <v>18.6356</v>
      </c>
      <c r="L9624" t="s">
        <v>323</v>
      </c>
      <c r="N9624" s="42">
        <v>44923</v>
      </c>
      <c r="O9624" t="s">
        <v>328</v>
      </c>
      <c r="P9624" s="42">
        <v>44923</v>
      </c>
      <c r="Q9624" t="s">
        <v>328</v>
      </c>
      <c r="R9624" t="s">
        <v>320</v>
      </c>
      <c r="S9624" t="s">
        <v>323</v>
      </c>
      <c r="T9624">
        <v>7.6</v>
      </c>
      <c r="Y9624" s="42">
        <v>44929</v>
      </c>
    </row>
    <row r="9625" spans="1:25">
      <c r="N9625" s="42">
        <v>44922</v>
      </c>
      <c r="O9625" t="s">
        <v>333</v>
      </c>
      <c r="P9625" s="42">
        <v>44922</v>
      </c>
      <c r="Q9625" t="s">
        <v>333</v>
      </c>
      <c r="R9625" t="s">
        <v>320</v>
      </c>
      <c r="S9625" t="s">
        <v>323</v>
      </c>
      <c r="U9625">
        <v>7.6</v>
      </c>
    </row>
    <row r="9626" spans="1:25">
      <c r="N9626" s="42">
        <v>44919</v>
      </c>
      <c r="O9626" t="s">
        <v>359</v>
      </c>
      <c r="P9626" s="42">
        <v>44919</v>
      </c>
      <c r="Q9626" t="s">
        <v>359</v>
      </c>
      <c r="R9626" t="s">
        <v>320</v>
      </c>
      <c r="S9626" t="s">
        <v>323</v>
      </c>
      <c r="T9626">
        <v>7.6</v>
      </c>
      <c r="Y9626" s="42">
        <v>44929</v>
      </c>
    </row>
    <row r="9627" spans="1:25">
      <c r="N9627" s="42">
        <v>44905</v>
      </c>
      <c r="O9627" t="s">
        <v>359</v>
      </c>
      <c r="P9627" s="42">
        <v>44905</v>
      </c>
      <c r="Q9627" t="s">
        <v>359</v>
      </c>
      <c r="R9627" t="s">
        <v>329</v>
      </c>
      <c r="S9627" t="s">
        <v>323</v>
      </c>
      <c r="T9627">
        <v>7.6</v>
      </c>
      <c r="W9627" t="s">
        <v>330</v>
      </c>
      <c r="Y9627" s="42">
        <v>44915</v>
      </c>
    </row>
    <row r="9628" spans="1:25">
      <c r="N9628" s="42">
        <v>44866</v>
      </c>
      <c r="O9628" t="s">
        <v>333</v>
      </c>
      <c r="P9628" s="42">
        <v>44866</v>
      </c>
      <c r="Q9628" t="s">
        <v>333</v>
      </c>
      <c r="R9628" t="s">
        <v>320</v>
      </c>
      <c r="S9628" t="s">
        <v>323</v>
      </c>
      <c r="U9628">
        <v>7.6</v>
      </c>
    </row>
    <row r="9629" spans="1:25">
      <c r="N9629" s="42">
        <v>44835</v>
      </c>
      <c r="O9629" t="s">
        <v>359</v>
      </c>
      <c r="P9629" s="42">
        <v>44835</v>
      </c>
      <c r="Q9629" t="s">
        <v>359</v>
      </c>
      <c r="R9629" t="s">
        <v>329</v>
      </c>
      <c r="S9629" t="s">
        <v>323</v>
      </c>
      <c r="T9629">
        <v>7.6</v>
      </c>
      <c r="W9629" t="s">
        <v>330</v>
      </c>
      <c r="Y9629" s="42">
        <v>44845</v>
      </c>
    </row>
    <row r="9630" spans="1:25">
      <c r="N9630" s="42">
        <v>44827</v>
      </c>
      <c r="O9630" t="s">
        <v>346</v>
      </c>
      <c r="P9630" s="42">
        <v>44827</v>
      </c>
      <c r="Q9630" t="s">
        <v>346</v>
      </c>
      <c r="R9630" t="s">
        <v>320</v>
      </c>
      <c r="S9630" t="s">
        <v>323</v>
      </c>
      <c r="U9630">
        <v>7.6</v>
      </c>
    </row>
    <row r="9631" spans="1:25">
      <c r="N9631" s="42">
        <v>44826</v>
      </c>
      <c r="O9631" t="s">
        <v>324</v>
      </c>
      <c r="P9631" s="42">
        <v>44826</v>
      </c>
      <c r="Q9631" t="s">
        <v>324</v>
      </c>
      <c r="R9631" t="s">
        <v>320</v>
      </c>
      <c r="S9631" t="s">
        <v>323</v>
      </c>
      <c r="U9631">
        <v>7.6</v>
      </c>
    </row>
    <row r="9632" spans="1:25">
      <c r="A9632">
        <v>19019</v>
      </c>
      <c r="B9632" t="s">
        <v>491</v>
      </c>
      <c r="C9632" t="s">
        <v>320</v>
      </c>
      <c r="D9632" t="s">
        <v>336</v>
      </c>
      <c r="E9632" t="s">
        <v>337</v>
      </c>
      <c r="F9632">
        <v>1</v>
      </c>
      <c r="G9632" s="42">
        <v>45099</v>
      </c>
      <c r="H9632">
        <v>150.64320000000001</v>
      </c>
      <c r="I9632">
        <v>-85.161600000000007</v>
      </c>
      <c r="J9632">
        <v>104.83499999999999</v>
      </c>
      <c r="K9632">
        <v>19.673400000000001</v>
      </c>
      <c r="L9632" t="s">
        <v>323</v>
      </c>
      <c r="M9632" s="43">
        <v>4.8611111111111112E-3</v>
      </c>
      <c r="N9632" s="42">
        <v>44974</v>
      </c>
      <c r="O9632" t="s">
        <v>346</v>
      </c>
      <c r="P9632" s="42">
        <v>44974</v>
      </c>
      <c r="Q9632" t="s">
        <v>346</v>
      </c>
      <c r="R9632" t="s">
        <v>320</v>
      </c>
      <c r="S9632" t="s">
        <v>323</v>
      </c>
      <c r="T9632">
        <v>7.6</v>
      </c>
      <c r="Y9632" s="42">
        <v>44985</v>
      </c>
    </row>
    <row r="9633" spans="1:25">
      <c r="C9633" t="s">
        <v>325</v>
      </c>
      <c r="D9633" t="s">
        <v>340</v>
      </c>
      <c r="E9633" t="s">
        <v>341</v>
      </c>
      <c r="F9633">
        <v>1</v>
      </c>
      <c r="G9633" s="42">
        <v>47305</v>
      </c>
      <c r="H9633">
        <v>230.54220000000001</v>
      </c>
      <c r="I9633">
        <v>0</v>
      </c>
      <c r="J9633">
        <v>21.728899999999999</v>
      </c>
      <c r="K9633">
        <v>21.728899999999999</v>
      </c>
      <c r="L9633" t="s">
        <v>323</v>
      </c>
      <c r="N9633" s="42">
        <v>44952</v>
      </c>
      <c r="O9633" t="s">
        <v>324</v>
      </c>
      <c r="P9633" s="42">
        <v>44952</v>
      </c>
      <c r="Q9633" t="s">
        <v>324</v>
      </c>
      <c r="R9633" t="s">
        <v>320</v>
      </c>
      <c r="S9633" t="s">
        <v>323</v>
      </c>
      <c r="U9633">
        <v>7.6</v>
      </c>
    </row>
    <row r="9634" spans="1:25">
      <c r="C9634" t="s">
        <v>329</v>
      </c>
      <c r="D9634" t="s">
        <v>342</v>
      </c>
      <c r="E9634" t="s">
        <v>343</v>
      </c>
      <c r="F9634">
        <v>1</v>
      </c>
      <c r="G9634" s="42">
        <v>45099</v>
      </c>
      <c r="H9634">
        <v>75.321600000000004</v>
      </c>
      <c r="I9634">
        <v>-38</v>
      </c>
      <c r="J9634">
        <v>52.417499999999997</v>
      </c>
      <c r="K9634">
        <v>14.4175</v>
      </c>
      <c r="L9634" t="s">
        <v>323</v>
      </c>
      <c r="N9634" s="42">
        <v>44947</v>
      </c>
      <c r="O9634" t="s">
        <v>359</v>
      </c>
      <c r="P9634" s="42">
        <v>44947</v>
      </c>
      <c r="Q9634" t="s">
        <v>359</v>
      </c>
      <c r="R9634" t="s">
        <v>329</v>
      </c>
      <c r="S9634" t="s">
        <v>323</v>
      </c>
      <c r="T9634">
        <v>7.6</v>
      </c>
      <c r="W9634" t="s">
        <v>330</v>
      </c>
      <c r="Y9634" s="42">
        <v>44957</v>
      </c>
    </row>
    <row r="9635" spans="1:25">
      <c r="N9635" s="42">
        <v>44922</v>
      </c>
      <c r="O9635" t="s">
        <v>333</v>
      </c>
      <c r="P9635" s="42">
        <v>44922</v>
      </c>
      <c r="Q9635" t="s">
        <v>333</v>
      </c>
      <c r="R9635" t="s">
        <v>320</v>
      </c>
      <c r="S9635" t="s">
        <v>323</v>
      </c>
      <c r="U9635">
        <v>7.6</v>
      </c>
    </row>
    <row r="9636" spans="1:25">
      <c r="N9636" s="42">
        <v>44918</v>
      </c>
      <c r="O9636" t="s">
        <v>346</v>
      </c>
      <c r="P9636" s="42">
        <v>44918</v>
      </c>
      <c r="Q9636" t="s">
        <v>346</v>
      </c>
      <c r="R9636" t="s">
        <v>329</v>
      </c>
      <c r="S9636" t="s">
        <v>323</v>
      </c>
      <c r="T9636">
        <v>7.6</v>
      </c>
      <c r="W9636" t="s">
        <v>330</v>
      </c>
      <c r="Y9636" s="42">
        <v>44929</v>
      </c>
    </row>
    <row r="9637" spans="1:25">
      <c r="N9637" s="42">
        <v>44917</v>
      </c>
      <c r="O9637" t="s">
        <v>324</v>
      </c>
      <c r="P9637" s="42">
        <v>44917</v>
      </c>
      <c r="Q9637" t="s">
        <v>324</v>
      </c>
      <c r="R9637" t="s">
        <v>329</v>
      </c>
      <c r="S9637" t="s">
        <v>323</v>
      </c>
      <c r="T9637">
        <v>7.6</v>
      </c>
      <c r="W9637" t="s">
        <v>330</v>
      </c>
      <c r="Y9637" s="42">
        <v>44929</v>
      </c>
    </row>
    <row r="9638" spans="1:25">
      <c r="N9638" s="42">
        <v>44916</v>
      </c>
      <c r="O9638" t="s">
        <v>328</v>
      </c>
      <c r="P9638" s="42">
        <v>44916</v>
      </c>
      <c r="Q9638" t="s">
        <v>328</v>
      </c>
      <c r="R9638" t="s">
        <v>320</v>
      </c>
      <c r="S9638" t="s">
        <v>323</v>
      </c>
      <c r="T9638">
        <v>7.6</v>
      </c>
      <c r="Y9638" s="42">
        <v>44929</v>
      </c>
    </row>
    <row r="9639" spans="1:25">
      <c r="N9639" s="42">
        <v>44888</v>
      </c>
      <c r="O9639" t="s">
        <v>328</v>
      </c>
      <c r="P9639" s="42">
        <v>44901</v>
      </c>
      <c r="Q9639" t="s">
        <v>333</v>
      </c>
      <c r="R9639" t="s">
        <v>320</v>
      </c>
      <c r="S9639" t="s">
        <v>323</v>
      </c>
      <c r="T9639">
        <v>58.361600000000003</v>
      </c>
      <c r="Y9639" s="42">
        <v>44901</v>
      </c>
    </row>
    <row r="9640" spans="1:25">
      <c r="N9640" s="42">
        <v>44888</v>
      </c>
      <c r="O9640" t="s">
        <v>328</v>
      </c>
      <c r="P9640" s="42">
        <v>44901</v>
      </c>
      <c r="Q9640" t="s">
        <v>333</v>
      </c>
      <c r="R9640" t="s">
        <v>338</v>
      </c>
      <c r="S9640" t="s">
        <v>323</v>
      </c>
      <c r="T9640">
        <v>17.638400000000001</v>
      </c>
      <c r="W9640" t="s">
        <v>330</v>
      </c>
      <c r="Y9640" s="42">
        <v>44901</v>
      </c>
    </row>
    <row r="9641" spans="1:25">
      <c r="N9641" s="42">
        <v>44887</v>
      </c>
      <c r="O9641" t="s">
        <v>333</v>
      </c>
      <c r="P9641" s="42">
        <v>44887</v>
      </c>
      <c r="Q9641" t="s">
        <v>333</v>
      </c>
      <c r="R9641" t="s">
        <v>320</v>
      </c>
      <c r="S9641" t="s">
        <v>323</v>
      </c>
      <c r="T9641">
        <v>7.6</v>
      </c>
      <c r="Y9641" s="42">
        <v>44887</v>
      </c>
    </row>
    <row r="9642" spans="1:25">
      <c r="N9642" s="42">
        <v>44882</v>
      </c>
      <c r="O9642" t="s">
        <v>324</v>
      </c>
      <c r="P9642" s="42">
        <v>44882</v>
      </c>
      <c r="Q9642" t="s">
        <v>324</v>
      </c>
      <c r="R9642" t="s">
        <v>329</v>
      </c>
      <c r="S9642" t="s">
        <v>323</v>
      </c>
      <c r="T9642">
        <v>7.6</v>
      </c>
      <c r="W9642" t="s">
        <v>330</v>
      </c>
      <c r="Y9642" s="42">
        <v>44887</v>
      </c>
    </row>
    <row r="9643" spans="1:25">
      <c r="N9643" s="42">
        <v>44866</v>
      </c>
      <c r="O9643" t="s">
        <v>333</v>
      </c>
      <c r="P9643" s="42">
        <v>44866</v>
      </c>
      <c r="Q9643" t="s">
        <v>333</v>
      </c>
      <c r="R9643" t="s">
        <v>320</v>
      </c>
      <c r="S9643" t="s">
        <v>323</v>
      </c>
      <c r="U9643">
        <v>7.6</v>
      </c>
    </row>
    <row r="9644" spans="1:25">
      <c r="N9644" s="42">
        <v>44862</v>
      </c>
      <c r="O9644" t="s">
        <v>346</v>
      </c>
      <c r="P9644" s="42">
        <v>44862</v>
      </c>
      <c r="Q9644" t="s">
        <v>346</v>
      </c>
      <c r="R9644" t="s">
        <v>320</v>
      </c>
      <c r="S9644" t="s">
        <v>323</v>
      </c>
      <c r="T9644">
        <v>4</v>
      </c>
      <c r="Y9644" s="42">
        <v>44873</v>
      </c>
    </row>
    <row r="9645" spans="1:25">
      <c r="N9645" s="42">
        <v>44855</v>
      </c>
      <c r="O9645" t="s">
        <v>346</v>
      </c>
      <c r="P9645" s="42">
        <v>44855</v>
      </c>
      <c r="Q9645" t="s">
        <v>346</v>
      </c>
      <c r="R9645" t="s">
        <v>329</v>
      </c>
      <c r="S9645" t="s">
        <v>323</v>
      </c>
      <c r="T9645">
        <v>7.6</v>
      </c>
      <c r="W9645" t="s">
        <v>330</v>
      </c>
      <c r="Y9645" s="42">
        <v>44859</v>
      </c>
    </row>
    <row r="9646" spans="1:25">
      <c r="N9646" s="42">
        <v>44827</v>
      </c>
      <c r="O9646" t="s">
        <v>346</v>
      </c>
      <c r="P9646" s="42">
        <v>44827</v>
      </c>
      <c r="Q9646" t="s">
        <v>346</v>
      </c>
      <c r="R9646" t="s">
        <v>320</v>
      </c>
      <c r="S9646" t="s">
        <v>323</v>
      </c>
      <c r="U9646">
        <v>7.6</v>
      </c>
    </row>
    <row r="9647" spans="1:25">
      <c r="N9647" s="42">
        <v>44826</v>
      </c>
      <c r="O9647" t="s">
        <v>324</v>
      </c>
      <c r="P9647" s="42">
        <v>44826</v>
      </c>
      <c r="Q9647" t="s">
        <v>324</v>
      </c>
      <c r="R9647" t="s">
        <v>320</v>
      </c>
      <c r="S9647" t="s">
        <v>323</v>
      </c>
      <c r="U9647">
        <v>7.6</v>
      </c>
    </row>
    <row r="9648" spans="1:25">
      <c r="A9648">
        <v>19020</v>
      </c>
      <c r="B9648" t="s">
        <v>492</v>
      </c>
      <c r="C9648" t="s">
        <v>320</v>
      </c>
      <c r="D9648" t="s">
        <v>336</v>
      </c>
      <c r="E9648" t="s">
        <v>337</v>
      </c>
      <c r="F9648">
        <v>1</v>
      </c>
      <c r="G9648" s="42">
        <v>45155</v>
      </c>
      <c r="H9648">
        <v>152</v>
      </c>
      <c r="I9648">
        <v>0</v>
      </c>
      <c r="J9648">
        <v>82.871200000000002</v>
      </c>
      <c r="K9648">
        <v>82.871200000000002</v>
      </c>
      <c r="L9648" t="s">
        <v>323</v>
      </c>
      <c r="M9648" s="43">
        <v>5.5555555555555558E-3</v>
      </c>
      <c r="N9648" s="42">
        <v>45040</v>
      </c>
      <c r="O9648" t="s">
        <v>345</v>
      </c>
      <c r="P9648" s="42">
        <v>45040</v>
      </c>
      <c r="Q9648" t="s">
        <v>345</v>
      </c>
      <c r="R9648" t="s">
        <v>320</v>
      </c>
      <c r="S9648" t="s">
        <v>323</v>
      </c>
      <c r="T9648">
        <v>7.6</v>
      </c>
      <c r="V9648">
        <v>0</v>
      </c>
    </row>
    <row r="9649" spans="1:25">
      <c r="C9649" t="s">
        <v>325</v>
      </c>
      <c r="D9649" t="s">
        <v>395</v>
      </c>
      <c r="E9649" t="s">
        <v>396</v>
      </c>
      <c r="F9649">
        <v>1</v>
      </c>
      <c r="G9649" s="42">
        <v>48443</v>
      </c>
      <c r="H9649">
        <v>329.33330000000001</v>
      </c>
      <c r="I9649">
        <v>0</v>
      </c>
      <c r="J9649">
        <v>17.9407</v>
      </c>
      <c r="K9649">
        <v>17.9407</v>
      </c>
      <c r="L9649" t="s">
        <v>323</v>
      </c>
      <c r="N9649" s="42">
        <v>44952</v>
      </c>
      <c r="O9649" t="s">
        <v>324</v>
      </c>
      <c r="P9649" s="42">
        <v>44952</v>
      </c>
      <c r="Q9649" t="s">
        <v>324</v>
      </c>
      <c r="R9649" t="s">
        <v>320</v>
      </c>
      <c r="S9649" t="s">
        <v>323</v>
      </c>
      <c r="U9649">
        <v>7.6</v>
      </c>
      <c r="Y9649" s="42">
        <v>44957</v>
      </c>
    </row>
    <row r="9650" spans="1:25">
      <c r="C9650" t="s">
        <v>329</v>
      </c>
      <c r="D9650" t="s">
        <v>342</v>
      </c>
      <c r="E9650" t="s">
        <v>343</v>
      </c>
      <c r="F9650">
        <v>1</v>
      </c>
      <c r="G9650" s="42">
        <v>45155</v>
      </c>
      <c r="H9650">
        <v>76</v>
      </c>
      <c r="I9650">
        <v>0</v>
      </c>
      <c r="J9650">
        <v>41.435600000000001</v>
      </c>
      <c r="K9650">
        <v>41.435600000000001</v>
      </c>
      <c r="L9650" t="s">
        <v>323</v>
      </c>
      <c r="N9650" s="42">
        <v>44944</v>
      </c>
      <c r="O9650" t="s">
        <v>328</v>
      </c>
      <c r="P9650" s="42">
        <v>44945</v>
      </c>
      <c r="Q9650" t="s">
        <v>324</v>
      </c>
      <c r="R9650" t="s">
        <v>354</v>
      </c>
      <c r="S9650" t="s">
        <v>323</v>
      </c>
      <c r="T9650">
        <v>15.2</v>
      </c>
      <c r="U9650">
        <v>0</v>
      </c>
      <c r="W9650" t="s">
        <v>339</v>
      </c>
      <c r="Y9650" s="42">
        <v>44957</v>
      </c>
    </row>
    <row r="9651" spans="1:25">
      <c r="N9651" s="42">
        <v>44942</v>
      </c>
      <c r="O9651" t="s">
        <v>345</v>
      </c>
      <c r="P9651" s="42">
        <v>44943</v>
      </c>
      <c r="Q9651" t="s">
        <v>333</v>
      </c>
      <c r="R9651" t="s">
        <v>354</v>
      </c>
      <c r="S9651" t="s">
        <v>323</v>
      </c>
      <c r="T9651">
        <v>15.2</v>
      </c>
      <c r="U9651">
        <v>0</v>
      </c>
      <c r="W9651" t="s">
        <v>339</v>
      </c>
      <c r="Y9651" s="42">
        <v>44943</v>
      </c>
    </row>
    <row r="9652" spans="1:25">
      <c r="N9652" s="42">
        <v>44928</v>
      </c>
      <c r="O9652" t="s">
        <v>345</v>
      </c>
      <c r="P9652" s="42">
        <v>44928</v>
      </c>
      <c r="Q9652" t="s">
        <v>345</v>
      </c>
      <c r="R9652" t="s">
        <v>320</v>
      </c>
      <c r="S9652" t="s">
        <v>323</v>
      </c>
      <c r="U9652">
        <v>7.6</v>
      </c>
      <c r="Y9652" s="42">
        <v>44929</v>
      </c>
    </row>
    <row r="9653" spans="1:25">
      <c r="N9653" s="42">
        <v>44922</v>
      </c>
      <c r="O9653" t="s">
        <v>333</v>
      </c>
      <c r="P9653" s="42">
        <v>44922</v>
      </c>
      <c r="Q9653" t="s">
        <v>333</v>
      </c>
      <c r="R9653" t="s">
        <v>320</v>
      </c>
      <c r="S9653" t="s">
        <v>323</v>
      </c>
      <c r="U9653">
        <v>7.6</v>
      </c>
      <c r="Y9653" s="42">
        <v>44929</v>
      </c>
    </row>
    <row r="9654" spans="1:25">
      <c r="N9654" s="42">
        <v>44921</v>
      </c>
      <c r="O9654" t="s">
        <v>345</v>
      </c>
      <c r="P9654" s="42">
        <v>44921</v>
      </c>
      <c r="Q9654" t="s">
        <v>345</v>
      </c>
      <c r="R9654" t="s">
        <v>320</v>
      </c>
      <c r="S9654" t="s">
        <v>323</v>
      </c>
      <c r="U9654">
        <v>7.6</v>
      </c>
      <c r="Y9654" s="42">
        <v>44929</v>
      </c>
    </row>
    <row r="9655" spans="1:25">
      <c r="N9655" s="42">
        <v>44837</v>
      </c>
      <c r="O9655" t="s">
        <v>345</v>
      </c>
      <c r="P9655" s="42">
        <v>44837</v>
      </c>
      <c r="Q9655" t="s">
        <v>345</v>
      </c>
      <c r="R9655" t="s">
        <v>320</v>
      </c>
      <c r="S9655" t="s">
        <v>323</v>
      </c>
      <c r="U9655">
        <v>7.6</v>
      </c>
      <c r="Y9655" s="42">
        <v>44845</v>
      </c>
    </row>
    <row r="9656" spans="1:25">
      <c r="N9656" s="42">
        <v>44826</v>
      </c>
      <c r="O9656" t="s">
        <v>324</v>
      </c>
      <c r="P9656" s="42">
        <v>44826</v>
      </c>
      <c r="Q9656" t="s">
        <v>324</v>
      </c>
      <c r="R9656" t="s">
        <v>320</v>
      </c>
      <c r="S9656" t="s">
        <v>323</v>
      </c>
      <c r="U9656">
        <v>7.6</v>
      </c>
      <c r="Y9656" s="42">
        <v>44831</v>
      </c>
    </row>
    <row r="9657" spans="1:25">
      <c r="A9657">
        <v>19021</v>
      </c>
      <c r="B9657" t="s">
        <v>493</v>
      </c>
      <c r="C9657" t="s">
        <v>320</v>
      </c>
      <c r="D9657" t="s">
        <v>336</v>
      </c>
      <c r="E9657" t="s">
        <v>337</v>
      </c>
      <c r="F9657">
        <v>1</v>
      </c>
      <c r="G9657" s="42">
        <v>45101</v>
      </c>
      <c r="H9657">
        <v>150.24619999999999</v>
      </c>
      <c r="I9657">
        <v>-15.2</v>
      </c>
      <c r="J9657">
        <v>103.60509999999999</v>
      </c>
      <c r="K9657">
        <v>88.405100000000004</v>
      </c>
      <c r="L9657" t="s">
        <v>323</v>
      </c>
      <c r="M9657" s="43">
        <v>5.5555555555555558E-3</v>
      </c>
      <c r="N9657" s="42">
        <v>44977</v>
      </c>
      <c r="O9657" t="s">
        <v>345</v>
      </c>
      <c r="P9657" s="42">
        <v>44977</v>
      </c>
      <c r="Q9657" t="s">
        <v>345</v>
      </c>
      <c r="R9657" t="s">
        <v>329</v>
      </c>
      <c r="S9657" t="s">
        <v>323</v>
      </c>
      <c r="T9657">
        <v>7.6</v>
      </c>
      <c r="W9657" t="s">
        <v>330</v>
      </c>
      <c r="Y9657" s="42">
        <v>44985</v>
      </c>
    </row>
    <row r="9658" spans="1:25">
      <c r="C9658" t="s">
        <v>325</v>
      </c>
      <c r="D9658" t="s">
        <v>352</v>
      </c>
      <c r="E9658" t="s">
        <v>353</v>
      </c>
      <c r="F9658">
        <v>1</v>
      </c>
      <c r="G9658" s="42">
        <v>48392</v>
      </c>
      <c r="H9658">
        <v>329.346</v>
      </c>
      <c r="I9658">
        <v>0</v>
      </c>
      <c r="J9658">
        <v>22.539400000000001</v>
      </c>
      <c r="K9658">
        <v>22.539400000000001</v>
      </c>
      <c r="L9658" t="s">
        <v>323</v>
      </c>
      <c r="N9658" s="42">
        <v>44952</v>
      </c>
      <c r="O9658" t="s">
        <v>324</v>
      </c>
      <c r="P9658" s="42">
        <v>44952</v>
      </c>
      <c r="Q9658" t="s">
        <v>324</v>
      </c>
      <c r="R9658" t="s">
        <v>320</v>
      </c>
      <c r="S9658" t="s">
        <v>323</v>
      </c>
      <c r="U9658">
        <v>7.6</v>
      </c>
    </row>
    <row r="9659" spans="1:25">
      <c r="C9659" t="s">
        <v>329</v>
      </c>
      <c r="D9659" t="s">
        <v>342</v>
      </c>
      <c r="E9659" t="s">
        <v>343</v>
      </c>
      <c r="F9659">
        <v>1</v>
      </c>
      <c r="G9659" s="42">
        <v>45101</v>
      </c>
      <c r="H9659">
        <v>75.123099999999994</v>
      </c>
      <c r="I9659">
        <v>-22.8</v>
      </c>
      <c r="J9659">
        <v>51.802599999999998</v>
      </c>
      <c r="K9659">
        <v>29.002600000000001</v>
      </c>
      <c r="L9659" t="s">
        <v>323</v>
      </c>
      <c r="N9659" s="42">
        <v>44946</v>
      </c>
      <c r="O9659" t="s">
        <v>346</v>
      </c>
      <c r="P9659" s="42">
        <v>44946</v>
      </c>
      <c r="Q9659" t="s">
        <v>346</v>
      </c>
      <c r="R9659" t="s">
        <v>338</v>
      </c>
      <c r="S9659" t="s">
        <v>323</v>
      </c>
      <c r="T9659">
        <v>7.6</v>
      </c>
      <c r="W9659" t="s">
        <v>330</v>
      </c>
      <c r="Y9659" s="42">
        <v>44957</v>
      </c>
    </row>
    <row r="9660" spans="1:25">
      <c r="N9660" s="42">
        <v>44928</v>
      </c>
      <c r="O9660" t="s">
        <v>345</v>
      </c>
      <c r="P9660" s="42">
        <v>44928</v>
      </c>
      <c r="Q9660" t="s">
        <v>345</v>
      </c>
      <c r="R9660" t="s">
        <v>320</v>
      </c>
      <c r="S9660" t="s">
        <v>323</v>
      </c>
      <c r="U9660">
        <v>7.6</v>
      </c>
    </row>
    <row r="9661" spans="1:25">
      <c r="N9661" s="42">
        <v>44922</v>
      </c>
      <c r="O9661" t="s">
        <v>333</v>
      </c>
      <c r="P9661" s="42">
        <v>44922</v>
      </c>
      <c r="Q9661" t="s">
        <v>333</v>
      </c>
      <c r="R9661" t="s">
        <v>320</v>
      </c>
      <c r="S9661" t="s">
        <v>323</v>
      </c>
      <c r="U9661">
        <v>7.6</v>
      </c>
    </row>
    <row r="9662" spans="1:25">
      <c r="N9662" s="42">
        <v>44921</v>
      </c>
      <c r="O9662" t="s">
        <v>345</v>
      </c>
      <c r="P9662" s="42">
        <v>44921</v>
      </c>
      <c r="Q9662" t="s">
        <v>345</v>
      </c>
      <c r="R9662" t="s">
        <v>320</v>
      </c>
      <c r="S9662" t="s">
        <v>323</v>
      </c>
      <c r="U9662">
        <v>7.6</v>
      </c>
    </row>
    <row r="9663" spans="1:25">
      <c r="N9663" s="42">
        <v>44904</v>
      </c>
      <c r="O9663" t="s">
        <v>346</v>
      </c>
      <c r="P9663" s="42">
        <v>44904</v>
      </c>
      <c r="Q9663" t="s">
        <v>346</v>
      </c>
      <c r="R9663" t="s">
        <v>338</v>
      </c>
      <c r="S9663" t="s">
        <v>323</v>
      </c>
      <c r="T9663">
        <v>7.6</v>
      </c>
      <c r="W9663" t="s">
        <v>330</v>
      </c>
      <c r="Y9663" s="42">
        <v>44915</v>
      </c>
    </row>
    <row r="9664" spans="1:25">
      <c r="N9664" s="42">
        <v>44903</v>
      </c>
      <c r="O9664" t="s">
        <v>324</v>
      </c>
      <c r="P9664" s="42">
        <v>44903</v>
      </c>
      <c r="Q9664" t="s">
        <v>324</v>
      </c>
      <c r="R9664" t="s">
        <v>338</v>
      </c>
      <c r="S9664" t="s">
        <v>323</v>
      </c>
      <c r="T9664">
        <v>7.6</v>
      </c>
      <c r="W9664" t="s">
        <v>330</v>
      </c>
      <c r="Y9664" s="42">
        <v>44915</v>
      </c>
    </row>
    <row r="9665" spans="1:25">
      <c r="N9665" s="42">
        <v>44902</v>
      </c>
      <c r="O9665" t="s">
        <v>328</v>
      </c>
      <c r="P9665" s="42">
        <v>44902</v>
      </c>
      <c r="Q9665" t="s">
        <v>328</v>
      </c>
      <c r="R9665" t="s">
        <v>320</v>
      </c>
      <c r="S9665" t="s">
        <v>323</v>
      </c>
      <c r="T9665">
        <v>7.6</v>
      </c>
      <c r="Y9665" s="42">
        <v>44915</v>
      </c>
    </row>
    <row r="9666" spans="1:25">
      <c r="N9666" s="42">
        <v>44879</v>
      </c>
      <c r="O9666" t="s">
        <v>345</v>
      </c>
      <c r="P9666" s="42">
        <v>44879</v>
      </c>
      <c r="Q9666" t="s">
        <v>345</v>
      </c>
      <c r="R9666" t="s">
        <v>329</v>
      </c>
      <c r="S9666" t="s">
        <v>323</v>
      </c>
      <c r="T9666">
        <v>7.6</v>
      </c>
      <c r="W9666" t="s">
        <v>330</v>
      </c>
      <c r="Y9666" s="42">
        <v>44887</v>
      </c>
    </row>
    <row r="9667" spans="1:25">
      <c r="N9667" s="42">
        <v>44858</v>
      </c>
      <c r="O9667" t="s">
        <v>345</v>
      </c>
      <c r="P9667" s="42">
        <v>44858</v>
      </c>
      <c r="Q9667" t="s">
        <v>345</v>
      </c>
      <c r="R9667" t="s">
        <v>320</v>
      </c>
      <c r="S9667" t="s">
        <v>323</v>
      </c>
      <c r="T9667">
        <v>7.6</v>
      </c>
      <c r="Y9667" s="42">
        <v>44859</v>
      </c>
    </row>
    <row r="9668" spans="1:25">
      <c r="N9668" s="42">
        <v>44837</v>
      </c>
      <c r="O9668" t="s">
        <v>345</v>
      </c>
      <c r="P9668" s="42">
        <v>44837</v>
      </c>
      <c r="Q9668" t="s">
        <v>345</v>
      </c>
      <c r="R9668" t="s">
        <v>320</v>
      </c>
      <c r="S9668" t="s">
        <v>323</v>
      </c>
      <c r="U9668">
        <v>7.6</v>
      </c>
    </row>
    <row r="9669" spans="1:25">
      <c r="N9669" s="42">
        <v>44826</v>
      </c>
      <c r="O9669" t="s">
        <v>324</v>
      </c>
      <c r="P9669" s="42">
        <v>44826</v>
      </c>
      <c r="Q9669" t="s">
        <v>324</v>
      </c>
      <c r="R9669" t="s">
        <v>320</v>
      </c>
      <c r="S9669" t="s">
        <v>323</v>
      </c>
      <c r="U9669">
        <v>7.6</v>
      </c>
    </row>
    <row r="9670" spans="1:25">
      <c r="N9670" s="42">
        <v>44820</v>
      </c>
      <c r="O9670" t="s">
        <v>346</v>
      </c>
      <c r="P9670" s="42">
        <v>44820</v>
      </c>
      <c r="Q9670" t="s">
        <v>346</v>
      </c>
      <c r="R9670" t="s">
        <v>329</v>
      </c>
      <c r="S9670" t="s">
        <v>323</v>
      </c>
      <c r="T9670">
        <v>7.6</v>
      </c>
      <c r="W9670" t="s">
        <v>330</v>
      </c>
      <c r="Y9670" s="42">
        <v>44831</v>
      </c>
    </row>
    <row r="9671" spans="1:25">
      <c r="A9671">
        <v>19023</v>
      </c>
      <c r="B9671" t="s">
        <v>494</v>
      </c>
      <c r="C9671" t="s">
        <v>320</v>
      </c>
      <c r="D9671" t="s">
        <v>375</v>
      </c>
      <c r="E9671" t="s">
        <v>376</v>
      </c>
      <c r="F9671">
        <v>1</v>
      </c>
      <c r="G9671" s="42">
        <v>45113</v>
      </c>
      <c r="H9671">
        <v>0</v>
      </c>
      <c r="I9671">
        <v>0</v>
      </c>
      <c r="J9671">
        <v>0</v>
      </c>
      <c r="K9671">
        <v>0</v>
      </c>
      <c r="L9671" t="s">
        <v>323</v>
      </c>
      <c r="M9671" s="43">
        <v>4.8611111111111112E-3</v>
      </c>
    </row>
    <row r="9672" spans="1:25">
      <c r="C9672" t="s">
        <v>325</v>
      </c>
      <c r="D9672" t="s">
        <v>393</v>
      </c>
      <c r="E9672" t="s">
        <v>394</v>
      </c>
      <c r="F9672">
        <v>1</v>
      </c>
      <c r="G9672" s="42">
        <v>48401</v>
      </c>
      <c r="H9672">
        <v>0</v>
      </c>
      <c r="I9672">
        <v>0</v>
      </c>
      <c r="J9672">
        <v>0</v>
      </c>
      <c r="K9672">
        <v>0</v>
      </c>
      <c r="L9672" t="s">
        <v>323</v>
      </c>
    </row>
    <row r="9673" spans="1:25">
      <c r="C9673" t="s">
        <v>329</v>
      </c>
      <c r="D9673" t="s">
        <v>379</v>
      </c>
      <c r="E9673" t="s">
        <v>380</v>
      </c>
      <c r="F9673">
        <v>1</v>
      </c>
      <c r="G9673" s="42">
        <v>45113</v>
      </c>
      <c r="H9673">
        <v>0</v>
      </c>
      <c r="I9673">
        <v>0</v>
      </c>
      <c r="J9673">
        <v>0</v>
      </c>
      <c r="K9673">
        <v>0</v>
      </c>
      <c r="L9673" t="s">
        <v>323</v>
      </c>
    </row>
    <row r="9674" spans="1:25">
      <c r="A9674">
        <v>19025</v>
      </c>
      <c r="B9674" t="s">
        <v>495</v>
      </c>
      <c r="C9674" t="s">
        <v>320</v>
      </c>
      <c r="D9674" t="s">
        <v>336</v>
      </c>
      <c r="E9674" t="s">
        <v>337</v>
      </c>
      <c r="F9674">
        <v>1</v>
      </c>
      <c r="G9674" s="42">
        <v>45132</v>
      </c>
      <c r="H9674">
        <v>152</v>
      </c>
      <c r="I9674">
        <v>-45.6</v>
      </c>
      <c r="J9674">
        <v>92.449299999999994</v>
      </c>
      <c r="K9674">
        <v>46.849299999999999</v>
      </c>
      <c r="L9674" t="s">
        <v>323</v>
      </c>
      <c r="M9674" s="43">
        <v>4.8611111111111112E-3</v>
      </c>
      <c r="N9674" s="42">
        <v>44977</v>
      </c>
      <c r="O9674" t="s">
        <v>345</v>
      </c>
      <c r="P9674" s="42">
        <v>44977</v>
      </c>
      <c r="Q9674" t="s">
        <v>345</v>
      </c>
      <c r="R9674" t="s">
        <v>329</v>
      </c>
      <c r="S9674" t="s">
        <v>323</v>
      </c>
      <c r="T9674">
        <v>4.5999999999999996</v>
      </c>
      <c r="W9674" t="s">
        <v>339</v>
      </c>
      <c r="Y9674" s="42">
        <v>44985</v>
      </c>
    </row>
    <row r="9675" spans="1:25">
      <c r="C9675" t="s">
        <v>325</v>
      </c>
      <c r="D9675" t="s">
        <v>340</v>
      </c>
      <c r="E9675" t="s">
        <v>341</v>
      </c>
      <c r="F9675">
        <v>1</v>
      </c>
      <c r="G9675" s="42">
        <v>47324</v>
      </c>
      <c r="H9675">
        <v>230.54220000000001</v>
      </c>
      <c r="I9675">
        <v>0</v>
      </c>
      <c r="J9675">
        <v>20.015799999999999</v>
      </c>
      <c r="K9675">
        <v>20.015799999999999</v>
      </c>
      <c r="L9675" t="s">
        <v>323</v>
      </c>
      <c r="N9675" s="42">
        <v>44960</v>
      </c>
      <c r="O9675" t="s">
        <v>346</v>
      </c>
      <c r="P9675" s="42">
        <v>44960</v>
      </c>
      <c r="Q9675" t="s">
        <v>346</v>
      </c>
      <c r="R9675" t="s">
        <v>329</v>
      </c>
      <c r="S9675" t="s">
        <v>323</v>
      </c>
      <c r="T9675">
        <v>7.6</v>
      </c>
      <c r="W9675" t="s">
        <v>339</v>
      </c>
      <c r="Y9675" s="42">
        <v>44971</v>
      </c>
    </row>
    <row r="9676" spans="1:25">
      <c r="C9676" t="s">
        <v>329</v>
      </c>
      <c r="D9676" t="s">
        <v>342</v>
      </c>
      <c r="E9676" t="s">
        <v>343</v>
      </c>
      <c r="F9676">
        <v>1</v>
      </c>
      <c r="G9676" s="42">
        <v>45132</v>
      </c>
      <c r="H9676">
        <v>76</v>
      </c>
      <c r="I9676">
        <v>-27.4</v>
      </c>
      <c r="J9676">
        <v>46.224699999999999</v>
      </c>
      <c r="K9676">
        <v>18.8247</v>
      </c>
      <c r="L9676" t="s">
        <v>323</v>
      </c>
      <c r="N9676" s="42">
        <v>44953</v>
      </c>
      <c r="O9676" t="s">
        <v>346</v>
      </c>
      <c r="P9676" s="42">
        <v>44953</v>
      </c>
      <c r="Q9676" t="s">
        <v>346</v>
      </c>
      <c r="R9676" t="s">
        <v>320</v>
      </c>
      <c r="S9676" t="s">
        <v>323</v>
      </c>
      <c r="T9676">
        <v>7.6</v>
      </c>
      <c r="V9676">
        <v>0</v>
      </c>
      <c r="Y9676" s="42">
        <v>44957</v>
      </c>
    </row>
    <row r="9677" spans="1:25">
      <c r="N9677" s="42">
        <v>44952</v>
      </c>
      <c r="O9677" t="s">
        <v>324</v>
      </c>
      <c r="P9677" s="42">
        <v>44952</v>
      </c>
      <c r="Q9677" t="s">
        <v>324</v>
      </c>
      <c r="R9677" t="s">
        <v>320</v>
      </c>
      <c r="S9677" t="s">
        <v>323</v>
      </c>
      <c r="U9677">
        <v>7.6</v>
      </c>
      <c r="Y9677" s="42">
        <v>44957</v>
      </c>
    </row>
    <row r="9678" spans="1:25">
      <c r="N9678" s="42">
        <v>44935</v>
      </c>
      <c r="O9678" t="s">
        <v>345</v>
      </c>
      <c r="P9678" s="42">
        <v>44935</v>
      </c>
      <c r="Q9678" t="s">
        <v>345</v>
      </c>
      <c r="R9678" t="s">
        <v>329</v>
      </c>
      <c r="S9678" t="s">
        <v>323</v>
      </c>
      <c r="T9678">
        <v>7.6</v>
      </c>
      <c r="W9678" t="s">
        <v>339</v>
      </c>
      <c r="Y9678" s="42">
        <v>44943</v>
      </c>
    </row>
    <row r="9679" spans="1:25">
      <c r="N9679" s="42">
        <v>44928</v>
      </c>
      <c r="O9679" t="s">
        <v>345</v>
      </c>
      <c r="P9679" s="42">
        <v>44928</v>
      </c>
      <c r="Q9679" t="s">
        <v>345</v>
      </c>
      <c r="R9679" t="s">
        <v>320</v>
      </c>
      <c r="S9679" t="s">
        <v>323</v>
      </c>
      <c r="U9679">
        <v>7.6</v>
      </c>
      <c r="Y9679" s="42">
        <v>44929</v>
      </c>
    </row>
    <row r="9680" spans="1:25">
      <c r="N9680" s="42">
        <v>44922</v>
      </c>
      <c r="O9680" t="s">
        <v>333</v>
      </c>
      <c r="P9680" s="42">
        <v>44922</v>
      </c>
      <c r="Q9680" t="s">
        <v>333</v>
      </c>
      <c r="R9680" t="s">
        <v>320</v>
      </c>
      <c r="S9680" t="s">
        <v>323</v>
      </c>
      <c r="U9680">
        <v>7.6</v>
      </c>
      <c r="Y9680" s="42">
        <v>44929</v>
      </c>
    </row>
    <row r="9681" spans="1:25">
      <c r="N9681" s="42">
        <v>44921</v>
      </c>
      <c r="O9681" t="s">
        <v>345</v>
      </c>
      <c r="P9681" s="42">
        <v>44921</v>
      </c>
      <c r="Q9681" t="s">
        <v>345</v>
      </c>
      <c r="R9681" t="s">
        <v>320</v>
      </c>
      <c r="S9681" t="s">
        <v>323</v>
      </c>
      <c r="U9681">
        <v>7.6</v>
      </c>
      <c r="Y9681" s="42">
        <v>44929</v>
      </c>
    </row>
    <row r="9682" spans="1:25">
      <c r="N9682" s="42">
        <v>44915</v>
      </c>
      <c r="O9682" t="s">
        <v>333</v>
      </c>
      <c r="P9682" s="42">
        <v>44915</v>
      </c>
      <c r="Q9682" t="s">
        <v>333</v>
      </c>
      <c r="R9682" t="s">
        <v>320</v>
      </c>
      <c r="S9682" t="s">
        <v>323</v>
      </c>
      <c r="T9682">
        <v>7.6</v>
      </c>
      <c r="U9682">
        <v>0</v>
      </c>
      <c r="Y9682" s="42">
        <v>44915</v>
      </c>
    </row>
    <row r="9683" spans="1:25">
      <c r="N9683" s="42">
        <v>44904</v>
      </c>
      <c r="O9683" t="s">
        <v>346</v>
      </c>
      <c r="P9683" s="42">
        <v>44904</v>
      </c>
      <c r="Q9683" t="s">
        <v>346</v>
      </c>
      <c r="R9683" t="s">
        <v>320</v>
      </c>
      <c r="S9683" t="s">
        <v>323</v>
      </c>
      <c r="T9683">
        <v>7.6</v>
      </c>
      <c r="V9683">
        <v>0</v>
      </c>
      <c r="Y9683" s="42">
        <v>44915</v>
      </c>
    </row>
    <row r="9684" spans="1:25">
      <c r="N9684" s="42">
        <v>44897</v>
      </c>
      <c r="O9684" t="s">
        <v>346</v>
      </c>
      <c r="P9684" s="42">
        <v>44897</v>
      </c>
      <c r="Q9684" t="s">
        <v>346</v>
      </c>
      <c r="R9684" t="s">
        <v>320</v>
      </c>
      <c r="S9684" t="s">
        <v>323</v>
      </c>
      <c r="T9684">
        <v>7.6</v>
      </c>
      <c r="V9684">
        <v>0</v>
      </c>
      <c r="Y9684" s="42">
        <v>44901</v>
      </c>
    </row>
    <row r="9685" spans="1:25">
      <c r="N9685" s="42">
        <v>44883</v>
      </c>
      <c r="O9685" t="s">
        <v>346</v>
      </c>
      <c r="P9685" s="42">
        <v>44883</v>
      </c>
      <c r="Q9685" t="s">
        <v>346</v>
      </c>
      <c r="R9685" t="s">
        <v>329</v>
      </c>
      <c r="S9685" t="s">
        <v>323</v>
      </c>
      <c r="T9685">
        <v>7.6</v>
      </c>
      <c r="W9685" t="s">
        <v>339</v>
      </c>
      <c r="Y9685" s="42">
        <v>44901</v>
      </c>
    </row>
    <row r="9686" spans="1:25">
      <c r="N9686" s="42">
        <v>44876</v>
      </c>
      <c r="O9686" t="s">
        <v>346</v>
      </c>
      <c r="P9686" s="42">
        <v>44876</v>
      </c>
      <c r="Q9686" t="s">
        <v>346</v>
      </c>
      <c r="R9686" t="s">
        <v>320</v>
      </c>
      <c r="S9686" t="s">
        <v>323</v>
      </c>
      <c r="T9686">
        <v>7.6</v>
      </c>
      <c r="U9686">
        <v>0</v>
      </c>
    </row>
    <row r="9687" spans="1:25">
      <c r="N9687" s="42">
        <v>44866</v>
      </c>
      <c r="O9687" t="s">
        <v>333</v>
      </c>
      <c r="P9687" s="42">
        <v>44866</v>
      </c>
      <c r="Q9687" t="s">
        <v>333</v>
      </c>
      <c r="R9687" t="s">
        <v>320</v>
      </c>
      <c r="S9687" t="s">
        <v>323</v>
      </c>
      <c r="U9687">
        <v>7.6</v>
      </c>
      <c r="Y9687" s="42">
        <v>44873</v>
      </c>
    </row>
    <row r="9688" spans="1:25">
      <c r="N9688" s="42">
        <v>44837</v>
      </c>
      <c r="O9688" t="s">
        <v>345</v>
      </c>
      <c r="P9688" s="42">
        <v>44837</v>
      </c>
      <c r="Q9688" t="s">
        <v>345</v>
      </c>
      <c r="R9688" t="s">
        <v>320</v>
      </c>
      <c r="S9688" t="s">
        <v>323</v>
      </c>
      <c r="T9688">
        <v>7.6</v>
      </c>
      <c r="V9688">
        <v>0</v>
      </c>
      <c r="Y9688" s="42">
        <v>44845</v>
      </c>
    </row>
    <row r="9689" spans="1:25">
      <c r="N9689" s="42">
        <v>44827</v>
      </c>
      <c r="O9689" t="s">
        <v>346</v>
      </c>
      <c r="P9689" s="42">
        <v>44827</v>
      </c>
      <c r="Q9689" t="s">
        <v>346</v>
      </c>
      <c r="R9689" t="s">
        <v>320</v>
      </c>
      <c r="S9689" t="s">
        <v>323</v>
      </c>
      <c r="U9689">
        <v>7.6</v>
      </c>
      <c r="Y9689" s="42">
        <v>44831</v>
      </c>
    </row>
    <row r="9690" spans="1:25">
      <c r="N9690" s="42">
        <v>44826</v>
      </c>
      <c r="O9690" t="s">
        <v>324</v>
      </c>
      <c r="P9690" s="42">
        <v>44826</v>
      </c>
      <c r="Q9690" t="s">
        <v>324</v>
      </c>
      <c r="R9690" t="s">
        <v>320</v>
      </c>
      <c r="S9690" t="s">
        <v>323</v>
      </c>
      <c r="U9690">
        <v>7.6</v>
      </c>
      <c r="Y9690" s="42">
        <v>44831</v>
      </c>
    </row>
    <row r="9691" spans="1:25">
      <c r="A9691">
        <v>19026</v>
      </c>
      <c r="B9691" t="s">
        <v>496</v>
      </c>
      <c r="C9691" t="s">
        <v>320</v>
      </c>
      <c r="D9691" t="s">
        <v>336</v>
      </c>
      <c r="E9691" t="s">
        <v>337</v>
      </c>
      <c r="F9691">
        <v>1</v>
      </c>
      <c r="G9691" s="42">
        <v>45139</v>
      </c>
      <c r="H9691">
        <v>91.2</v>
      </c>
      <c r="I9691">
        <v>0</v>
      </c>
      <c r="J9691">
        <v>53.720500000000001</v>
      </c>
      <c r="K9691">
        <v>53.720500000000001</v>
      </c>
      <c r="L9691" t="s">
        <v>323</v>
      </c>
      <c r="M9691" s="43">
        <v>4.8611111111111112E-3</v>
      </c>
      <c r="N9691" s="42">
        <v>44952</v>
      </c>
      <c r="O9691" t="s">
        <v>324</v>
      </c>
      <c r="P9691" s="42">
        <v>44952</v>
      </c>
      <c r="Q9691" t="s">
        <v>324</v>
      </c>
      <c r="R9691" t="s">
        <v>320</v>
      </c>
      <c r="S9691" t="s">
        <v>323</v>
      </c>
      <c r="U9691">
        <v>7.6</v>
      </c>
    </row>
    <row r="9692" spans="1:25">
      <c r="C9692" t="s">
        <v>325</v>
      </c>
      <c r="D9692" t="s">
        <v>352</v>
      </c>
      <c r="E9692" t="s">
        <v>353</v>
      </c>
      <c r="F9692">
        <v>1</v>
      </c>
      <c r="G9692" s="42">
        <v>48427</v>
      </c>
      <c r="H9692">
        <v>197.60759999999999</v>
      </c>
      <c r="I9692">
        <v>0</v>
      </c>
      <c r="J9692">
        <v>11.6303</v>
      </c>
      <c r="K9692">
        <v>11.6303</v>
      </c>
      <c r="L9692" t="s">
        <v>323</v>
      </c>
      <c r="N9692" s="42">
        <v>44928</v>
      </c>
      <c r="O9692" t="s">
        <v>345</v>
      </c>
      <c r="P9692" s="42">
        <v>44928</v>
      </c>
      <c r="Q9692" t="s">
        <v>345</v>
      </c>
      <c r="R9692" t="s">
        <v>320</v>
      </c>
      <c r="S9692" t="s">
        <v>323</v>
      </c>
      <c r="U9692">
        <v>7.6</v>
      </c>
    </row>
    <row r="9693" spans="1:25">
      <c r="C9693" t="s">
        <v>329</v>
      </c>
      <c r="D9693" t="s">
        <v>342</v>
      </c>
      <c r="E9693" t="s">
        <v>343</v>
      </c>
      <c r="F9693">
        <v>1</v>
      </c>
      <c r="G9693" s="42">
        <v>45139</v>
      </c>
      <c r="H9693">
        <v>45.6</v>
      </c>
      <c r="I9693">
        <v>-7.6</v>
      </c>
      <c r="J9693">
        <v>26.860299999999999</v>
      </c>
      <c r="K9693">
        <v>19.260300000000001</v>
      </c>
      <c r="L9693" t="s">
        <v>323</v>
      </c>
      <c r="N9693" s="42">
        <v>44921</v>
      </c>
      <c r="O9693" t="s">
        <v>345</v>
      </c>
      <c r="P9693" s="42">
        <v>44921</v>
      </c>
      <c r="Q9693" t="s">
        <v>345</v>
      </c>
      <c r="R9693" t="s">
        <v>320</v>
      </c>
      <c r="S9693" t="s">
        <v>323</v>
      </c>
      <c r="U9693">
        <v>7.6</v>
      </c>
    </row>
    <row r="9694" spans="1:25">
      <c r="N9694" s="42">
        <v>44837</v>
      </c>
      <c r="O9694" t="s">
        <v>345</v>
      </c>
      <c r="P9694" s="42">
        <v>44837</v>
      </c>
      <c r="Q9694" t="s">
        <v>345</v>
      </c>
      <c r="R9694" t="s">
        <v>320</v>
      </c>
      <c r="S9694" t="s">
        <v>323</v>
      </c>
      <c r="U9694">
        <v>7.6</v>
      </c>
    </row>
    <row r="9695" spans="1:25">
      <c r="N9695" s="42">
        <v>44833</v>
      </c>
      <c r="O9695" t="s">
        <v>324</v>
      </c>
      <c r="P9695" s="42">
        <v>44833</v>
      </c>
      <c r="Q9695" t="s">
        <v>324</v>
      </c>
      <c r="R9695" t="s">
        <v>329</v>
      </c>
      <c r="S9695" t="s">
        <v>323</v>
      </c>
      <c r="T9695">
        <v>7.6</v>
      </c>
      <c r="W9695" t="s">
        <v>330</v>
      </c>
      <c r="Y9695" s="42">
        <v>44845</v>
      </c>
    </row>
    <row r="9696" spans="1:25">
      <c r="N9696" s="42">
        <v>44826</v>
      </c>
      <c r="O9696" t="s">
        <v>324</v>
      </c>
      <c r="P9696" s="42">
        <v>44826</v>
      </c>
      <c r="Q9696" t="s">
        <v>324</v>
      </c>
      <c r="R9696" t="s">
        <v>320</v>
      </c>
      <c r="S9696" t="s">
        <v>323</v>
      </c>
      <c r="U9696">
        <v>7.6</v>
      </c>
    </row>
    <row r="9697" spans="1:25">
      <c r="A9697">
        <v>19027</v>
      </c>
      <c r="B9697" t="s">
        <v>497</v>
      </c>
      <c r="C9697" t="s">
        <v>320</v>
      </c>
      <c r="D9697" t="s">
        <v>336</v>
      </c>
      <c r="E9697" t="s">
        <v>337</v>
      </c>
      <c r="F9697">
        <v>1</v>
      </c>
      <c r="G9697" s="42">
        <v>45141</v>
      </c>
      <c r="H9697">
        <v>135.63079999999999</v>
      </c>
      <c r="I9697">
        <v>-7.6</v>
      </c>
      <c r="J9697">
        <v>72.3322</v>
      </c>
      <c r="K9697">
        <v>64.732200000000006</v>
      </c>
      <c r="L9697" t="s">
        <v>323</v>
      </c>
      <c r="M9697" s="43">
        <v>4.1666666666666666E-3</v>
      </c>
      <c r="N9697" s="42">
        <v>44964</v>
      </c>
      <c r="O9697" t="s">
        <v>333</v>
      </c>
      <c r="P9697" s="42">
        <v>44964</v>
      </c>
      <c r="Q9697" t="s">
        <v>333</v>
      </c>
      <c r="R9697" t="s">
        <v>338</v>
      </c>
      <c r="S9697" t="s">
        <v>323</v>
      </c>
      <c r="T9697">
        <v>7.6</v>
      </c>
      <c r="W9697" t="s">
        <v>330</v>
      </c>
      <c r="Y9697" s="42">
        <v>44971</v>
      </c>
    </row>
    <row r="9698" spans="1:25">
      <c r="C9698" t="s">
        <v>325</v>
      </c>
      <c r="D9698" t="s">
        <v>352</v>
      </c>
      <c r="E9698" t="s">
        <v>353</v>
      </c>
      <c r="F9698">
        <v>1</v>
      </c>
      <c r="G9698" s="42">
        <v>48457</v>
      </c>
      <c r="H9698">
        <v>329.346</v>
      </c>
      <c r="I9698">
        <v>0</v>
      </c>
      <c r="J9698">
        <v>16.679200000000002</v>
      </c>
      <c r="K9698">
        <v>16.679200000000002</v>
      </c>
      <c r="L9698" t="s">
        <v>323</v>
      </c>
      <c r="N9698" s="42">
        <v>44963</v>
      </c>
      <c r="O9698" t="s">
        <v>345</v>
      </c>
      <c r="P9698" s="42">
        <v>44963</v>
      </c>
      <c r="Q9698" t="s">
        <v>345</v>
      </c>
      <c r="R9698" t="s">
        <v>338</v>
      </c>
      <c r="S9698" t="s">
        <v>323</v>
      </c>
      <c r="T9698">
        <v>7.6</v>
      </c>
      <c r="W9698" t="s">
        <v>330</v>
      </c>
      <c r="Y9698" s="42">
        <v>44971</v>
      </c>
    </row>
    <row r="9699" spans="1:25">
      <c r="C9699" t="s">
        <v>329</v>
      </c>
      <c r="D9699" t="s">
        <v>342</v>
      </c>
      <c r="E9699" t="s">
        <v>343</v>
      </c>
      <c r="F9699">
        <v>1</v>
      </c>
      <c r="G9699" s="42">
        <v>45141</v>
      </c>
      <c r="H9699">
        <v>67.815600000000003</v>
      </c>
      <c r="I9699">
        <v>-4</v>
      </c>
      <c r="J9699">
        <v>36.1663</v>
      </c>
      <c r="K9699">
        <v>32.1663</v>
      </c>
      <c r="L9699" t="s">
        <v>323</v>
      </c>
      <c r="N9699" s="42">
        <v>44960</v>
      </c>
      <c r="O9699" t="s">
        <v>346</v>
      </c>
      <c r="P9699" s="42">
        <v>44960</v>
      </c>
      <c r="Q9699" t="s">
        <v>346</v>
      </c>
      <c r="R9699" t="s">
        <v>338</v>
      </c>
      <c r="S9699" t="s">
        <v>323</v>
      </c>
      <c r="T9699">
        <v>7.6</v>
      </c>
      <c r="W9699" t="s">
        <v>330</v>
      </c>
      <c r="Y9699" s="42">
        <v>44971</v>
      </c>
    </row>
    <row r="9700" spans="1:25">
      <c r="N9700" s="42">
        <v>44959</v>
      </c>
      <c r="O9700" t="s">
        <v>324</v>
      </c>
      <c r="P9700" s="42">
        <v>44959</v>
      </c>
      <c r="Q9700" t="s">
        <v>324</v>
      </c>
      <c r="R9700" t="s">
        <v>338</v>
      </c>
      <c r="S9700" t="s">
        <v>323</v>
      </c>
      <c r="T9700">
        <v>7.6</v>
      </c>
      <c r="W9700" t="s">
        <v>330</v>
      </c>
      <c r="Y9700" s="42">
        <v>44971</v>
      </c>
    </row>
    <row r="9701" spans="1:25">
      <c r="N9701" s="42">
        <v>44958</v>
      </c>
      <c r="O9701" t="s">
        <v>328</v>
      </c>
      <c r="P9701" s="42">
        <v>44958</v>
      </c>
      <c r="Q9701" t="s">
        <v>328</v>
      </c>
      <c r="R9701" t="s">
        <v>338</v>
      </c>
      <c r="S9701" t="s">
        <v>323</v>
      </c>
      <c r="T9701">
        <v>7.6</v>
      </c>
      <c r="W9701" t="s">
        <v>330</v>
      </c>
      <c r="Y9701" s="42">
        <v>44971</v>
      </c>
    </row>
    <row r="9702" spans="1:25">
      <c r="N9702" s="42">
        <v>44957</v>
      </c>
      <c r="O9702" t="s">
        <v>333</v>
      </c>
      <c r="P9702" s="42">
        <v>44957</v>
      </c>
      <c r="Q9702" t="s">
        <v>333</v>
      </c>
      <c r="R9702" t="s">
        <v>338</v>
      </c>
      <c r="S9702" t="s">
        <v>323</v>
      </c>
      <c r="T9702">
        <v>7.6</v>
      </c>
      <c r="W9702" t="s">
        <v>330</v>
      </c>
      <c r="Y9702" s="42">
        <v>44957</v>
      </c>
    </row>
    <row r="9703" spans="1:25">
      <c r="N9703" s="42">
        <v>44956</v>
      </c>
      <c r="O9703" t="s">
        <v>345</v>
      </c>
      <c r="P9703" s="42">
        <v>44956</v>
      </c>
      <c r="Q9703" t="s">
        <v>345</v>
      </c>
      <c r="R9703" t="s">
        <v>338</v>
      </c>
      <c r="S9703" t="s">
        <v>323</v>
      </c>
      <c r="T9703">
        <v>7.6</v>
      </c>
      <c r="W9703" t="s">
        <v>330</v>
      </c>
      <c r="Y9703" s="42">
        <v>44957</v>
      </c>
    </row>
    <row r="9704" spans="1:25">
      <c r="N9704" s="42">
        <v>44953</v>
      </c>
      <c r="O9704" t="s">
        <v>346</v>
      </c>
      <c r="P9704" s="42">
        <v>44953</v>
      </c>
      <c r="Q9704" t="s">
        <v>346</v>
      </c>
      <c r="R9704" t="s">
        <v>338</v>
      </c>
      <c r="S9704" t="s">
        <v>323</v>
      </c>
      <c r="T9704">
        <v>7.6</v>
      </c>
      <c r="W9704" t="s">
        <v>330</v>
      </c>
      <c r="Y9704" s="42">
        <v>44957</v>
      </c>
    </row>
    <row r="9705" spans="1:25">
      <c r="N9705" s="42">
        <v>44952</v>
      </c>
      <c r="O9705" t="s">
        <v>324</v>
      </c>
      <c r="P9705" s="42">
        <v>44952</v>
      </c>
      <c r="Q9705" t="s">
        <v>324</v>
      </c>
      <c r="R9705" t="s">
        <v>320</v>
      </c>
      <c r="S9705" t="s">
        <v>323</v>
      </c>
      <c r="U9705">
        <v>7.6</v>
      </c>
    </row>
    <row r="9706" spans="1:25">
      <c r="N9706" s="42">
        <v>44951</v>
      </c>
      <c r="O9706" t="s">
        <v>328</v>
      </c>
      <c r="P9706" s="42">
        <v>44951</v>
      </c>
      <c r="Q9706" t="s">
        <v>328</v>
      </c>
      <c r="R9706" t="s">
        <v>338</v>
      </c>
      <c r="S9706" t="s">
        <v>323</v>
      </c>
      <c r="T9706">
        <v>7.6</v>
      </c>
      <c r="W9706" t="s">
        <v>330</v>
      </c>
      <c r="Y9706" s="42">
        <v>44957</v>
      </c>
    </row>
    <row r="9707" spans="1:25">
      <c r="N9707" s="42">
        <v>44950</v>
      </c>
      <c r="O9707" t="s">
        <v>333</v>
      </c>
      <c r="P9707" s="42">
        <v>44950</v>
      </c>
      <c r="Q9707" t="s">
        <v>333</v>
      </c>
      <c r="R9707" t="s">
        <v>338</v>
      </c>
      <c r="S9707" t="s">
        <v>323</v>
      </c>
      <c r="T9707">
        <v>7.6</v>
      </c>
      <c r="W9707" t="s">
        <v>330</v>
      </c>
      <c r="Y9707" s="42">
        <v>44957</v>
      </c>
    </row>
    <row r="9708" spans="1:25">
      <c r="N9708" s="42">
        <v>44949</v>
      </c>
      <c r="O9708" t="s">
        <v>345</v>
      </c>
      <c r="P9708" s="42">
        <v>44949</v>
      </c>
      <c r="Q9708" t="s">
        <v>345</v>
      </c>
      <c r="R9708" t="s">
        <v>338</v>
      </c>
      <c r="S9708" t="s">
        <v>323</v>
      </c>
      <c r="T9708">
        <v>7.6</v>
      </c>
      <c r="W9708" t="s">
        <v>330</v>
      </c>
      <c r="Y9708" s="42">
        <v>44957</v>
      </c>
    </row>
    <row r="9709" spans="1:25">
      <c r="N9709" s="42">
        <v>44946</v>
      </c>
      <c r="O9709" t="s">
        <v>346</v>
      </c>
      <c r="P9709" s="42">
        <v>44946</v>
      </c>
      <c r="Q9709" t="s">
        <v>346</v>
      </c>
      <c r="R9709" t="s">
        <v>338</v>
      </c>
      <c r="S9709" t="s">
        <v>323</v>
      </c>
      <c r="T9709">
        <v>7.6</v>
      </c>
      <c r="W9709" t="s">
        <v>330</v>
      </c>
      <c r="Y9709" s="42">
        <v>44957</v>
      </c>
    </row>
    <row r="9710" spans="1:25">
      <c r="N9710" s="42">
        <v>44945</v>
      </c>
      <c r="O9710" t="s">
        <v>324</v>
      </c>
      <c r="P9710" s="42">
        <v>44945</v>
      </c>
      <c r="Q9710" t="s">
        <v>324</v>
      </c>
      <c r="R9710" t="s">
        <v>338</v>
      </c>
      <c r="S9710" t="s">
        <v>323</v>
      </c>
      <c r="T9710">
        <v>7.6</v>
      </c>
      <c r="W9710" t="s">
        <v>330</v>
      </c>
      <c r="Y9710" s="42">
        <v>44957</v>
      </c>
    </row>
    <row r="9711" spans="1:25">
      <c r="N9711" s="42">
        <v>44944</v>
      </c>
      <c r="O9711" t="s">
        <v>328</v>
      </c>
      <c r="P9711" s="42">
        <v>44944</v>
      </c>
      <c r="Q9711" t="s">
        <v>328</v>
      </c>
      <c r="R9711" t="s">
        <v>338</v>
      </c>
      <c r="S9711" t="s">
        <v>323</v>
      </c>
      <c r="T9711">
        <v>7.6</v>
      </c>
      <c r="W9711" t="s">
        <v>330</v>
      </c>
      <c r="Y9711" s="42">
        <v>44957</v>
      </c>
    </row>
    <row r="9712" spans="1:25">
      <c r="N9712" s="42">
        <v>44943</v>
      </c>
      <c r="O9712" t="s">
        <v>333</v>
      </c>
      <c r="P9712" s="42">
        <v>44943</v>
      </c>
      <c r="Q9712" t="s">
        <v>333</v>
      </c>
      <c r="R9712" t="s">
        <v>338</v>
      </c>
      <c r="S9712" t="s">
        <v>323</v>
      </c>
      <c r="T9712">
        <v>7.6</v>
      </c>
      <c r="W9712" t="s">
        <v>330</v>
      </c>
      <c r="Y9712" s="42">
        <v>44943</v>
      </c>
    </row>
    <row r="9713" spans="14:25">
      <c r="N9713" s="42">
        <v>44942</v>
      </c>
      <c r="O9713" t="s">
        <v>345</v>
      </c>
      <c r="P9713" s="42">
        <v>44942</v>
      </c>
      <c r="Q9713" t="s">
        <v>345</v>
      </c>
      <c r="R9713" t="s">
        <v>338</v>
      </c>
      <c r="S9713" t="s">
        <v>323</v>
      </c>
      <c r="T9713">
        <v>7.6</v>
      </c>
      <c r="W9713" t="s">
        <v>330</v>
      </c>
      <c r="Y9713" s="42">
        <v>44943</v>
      </c>
    </row>
    <row r="9714" spans="14:25">
      <c r="N9714" s="42">
        <v>44939</v>
      </c>
      <c r="O9714" t="s">
        <v>346</v>
      </c>
      <c r="P9714" s="42">
        <v>44939</v>
      </c>
      <c r="Q9714" t="s">
        <v>346</v>
      </c>
      <c r="R9714" t="s">
        <v>338</v>
      </c>
      <c r="S9714" t="s">
        <v>323</v>
      </c>
      <c r="T9714">
        <v>7.6</v>
      </c>
      <c r="W9714" t="s">
        <v>330</v>
      </c>
      <c r="Y9714" s="42">
        <v>44943</v>
      </c>
    </row>
    <row r="9715" spans="14:25">
      <c r="N9715" s="42">
        <v>44938</v>
      </c>
      <c r="O9715" t="s">
        <v>324</v>
      </c>
      <c r="P9715" s="42">
        <v>44938</v>
      </c>
      <c r="Q9715" t="s">
        <v>324</v>
      </c>
      <c r="R9715" t="s">
        <v>338</v>
      </c>
      <c r="S9715" t="s">
        <v>323</v>
      </c>
      <c r="T9715">
        <v>7.6</v>
      </c>
      <c r="W9715" t="s">
        <v>330</v>
      </c>
      <c r="Y9715" s="42">
        <v>44943</v>
      </c>
    </row>
    <row r="9716" spans="14:25">
      <c r="N9716" s="42">
        <v>44937</v>
      </c>
      <c r="O9716" t="s">
        <v>328</v>
      </c>
      <c r="P9716" s="42">
        <v>44937</v>
      </c>
      <c r="Q9716" t="s">
        <v>328</v>
      </c>
      <c r="R9716" t="s">
        <v>338</v>
      </c>
      <c r="S9716" t="s">
        <v>323</v>
      </c>
      <c r="T9716">
        <v>7.6</v>
      </c>
      <c r="W9716" t="s">
        <v>330</v>
      </c>
      <c r="Y9716" s="42">
        <v>44943</v>
      </c>
    </row>
    <row r="9717" spans="14:25">
      <c r="N9717" s="42">
        <v>44936</v>
      </c>
      <c r="O9717" t="s">
        <v>333</v>
      </c>
      <c r="P9717" s="42">
        <v>44936</v>
      </c>
      <c r="Q9717" t="s">
        <v>333</v>
      </c>
      <c r="R9717" t="s">
        <v>338</v>
      </c>
      <c r="S9717" t="s">
        <v>323</v>
      </c>
      <c r="T9717">
        <v>7.6</v>
      </c>
      <c r="W9717" t="s">
        <v>330</v>
      </c>
      <c r="Y9717" s="42">
        <v>44943</v>
      </c>
    </row>
    <row r="9718" spans="14:25">
      <c r="N9718" s="42">
        <v>44935</v>
      </c>
      <c r="O9718" t="s">
        <v>345</v>
      </c>
      <c r="P9718" s="42">
        <v>44935</v>
      </c>
      <c r="Q9718" t="s">
        <v>345</v>
      </c>
      <c r="R9718" t="s">
        <v>338</v>
      </c>
      <c r="S9718" t="s">
        <v>323</v>
      </c>
      <c r="T9718">
        <v>7.6</v>
      </c>
      <c r="W9718" t="s">
        <v>330</v>
      </c>
      <c r="Y9718" s="42">
        <v>44943</v>
      </c>
    </row>
    <row r="9719" spans="14:25">
      <c r="N9719" s="42">
        <v>44932</v>
      </c>
      <c r="O9719" t="s">
        <v>346</v>
      </c>
      <c r="P9719" s="42">
        <v>44932</v>
      </c>
      <c r="Q9719" t="s">
        <v>346</v>
      </c>
      <c r="R9719" t="s">
        <v>338</v>
      </c>
      <c r="S9719" t="s">
        <v>323</v>
      </c>
      <c r="T9719">
        <v>7.6</v>
      </c>
      <c r="W9719" t="s">
        <v>330</v>
      </c>
      <c r="Y9719" s="42">
        <v>44943</v>
      </c>
    </row>
    <row r="9720" spans="14:25">
      <c r="N9720" s="42">
        <v>44931</v>
      </c>
      <c r="O9720" t="s">
        <v>324</v>
      </c>
      <c r="P9720" s="42">
        <v>44931</v>
      </c>
      <c r="Q9720" t="s">
        <v>324</v>
      </c>
      <c r="R9720" t="s">
        <v>338</v>
      </c>
      <c r="S9720" t="s">
        <v>323</v>
      </c>
      <c r="T9720">
        <v>7.6</v>
      </c>
      <c r="W9720" t="s">
        <v>330</v>
      </c>
      <c r="Y9720" s="42">
        <v>44943</v>
      </c>
    </row>
    <row r="9721" spans="14:25">
      <c r="N9721" s="42">
        <v>44930</v>
      </c>
      <c r="O9721" t="s">
        <v>328</v>
      </c>
      <c r="P9721" s="42">
        <v>44930</v>
      </c>
      <c r="Q9721" t="s">
        <v>328</v>
      </c>
      <c r="R9721" t="s">
        <v>338</v>
      </c>
      <c r="S9721" t="s">
        <v>323</v>
      </c>
      <c r="T9721">
        <v>7.6</v>
      </c>
      <c r="W9721" t="s">
        <v>330</v>
      </c>
      <c r="Y9721" s="42">
        <v>44943</v>
      </c>
    </row>
    <row r="9722" spans="14:25">
      <c r="N9722" s="42">
        <v>44929</v>
      </c>
      <c r="O9722" t="s">
        <v>333</v>
      </c>
      <c r="P9722" s="42">
        <v>44929</v>
      </c>
      <c r="Q9722" t="s">
        <v>333</v>
      </c>
      <c r="R9722" t="s">
        <v>338</v>
      </c>
      <c r="S9722" t="s">
        <v>323</v>
      </c>
      <c r="T9722">
        <v>7.6</v>
      </c>
      <c r="W9722" t="s">
        <v>330</v>
      </c>
      <c r="Y9722" s="42">
        <v>44929</v>
      </c>
    </row>
    <row r="9723" spans="14:25">
      <c r="N9723" s="42">
        <v>44928</v>
      </c>
      <c r="O9723" t="s">
        <v>345</v>
      </c>
      <c r="P9723" s="42">
        <v>44928</v>
      </c>
      <c r="Q9723" t="s">
        <v>345</v>
      </c>
      <c r="R9723" t="s">
        <v>320</v>
      </c>
      <c r="S9723" t="s">
        <v>323</v>
      </c>
      <c r="U9723">
        <v>7.6</v>
      </c>
    </row>
    <row r="9724" spans="14:25">
      <c r="N9724" s="42">
        <v>44925</v>
      </c>
      <c r="O9724" t="s">
        <v>346</v>
      </c>
      <c r="P9724" s="42">
        <v>44925</v>
      </c>
      <c r="Q9724" t="s">
        <v>346</v>
      </c>
      <c r="R9724" t="s">
        <v>338</v>
      </c>
      <c r="S9724" t="s">
        <v>323</v>
      </c>
      <c r="T9724">
        <v>7.6</v>
      </c>
      <c r="W9724" t="s">
        <v>330</v>
      </c>
      <c r="Y9724" s="42">
        <v>44929</v>
      </c>
    </row>
    <row r="9725" spans="14:25">
      <c r="N9725" s="42">
        <v>44924</v>
      </c>
      <c r="O9725" t="s">
        <v>324</v>
      </c>
      <c r="P9725" s="42">
        <v>44924</v>
      </c>
      <c r="Q9725" t="s">
        <v>324</v>
      </c>
      <c r="R9725" t="s">
        <v>338</v>
      </c>
      <c r="S9725" t="s">
        <v>323</v>
      </c>
      <c r="T9725">
        <v>7.6</v>
      </c>
      <c r="W9725" t="s">
        <v>330</v>
      </c>
      <c r="Y9725" s="42">
        <v>44929</v>
      </c>
    </row>
    <row r="9726" spans="14:25">
      <c r="N9726" s="42">
        <v>44923</v>
      </c>
      <c r="O9726" t="s">
        <v>328</v>
      </c>
      <c r="P9726" s="42">
        <v>44923</v>
      </c>
      <c r="Q9726" t="s">
        <v>328</v>
      </c>
      <c r="R9726" t="s">
        <v>338</v>
      </c>
      <c r="S9726" t="s">
        <v>323</v>
      </c>
      <c r="T9726">
        <v>7.6</v>
      </c>
      <c r="W9726" t="s">
        <v>330</v>
      </c>
      <c r="Y9726" s="42">
        <v>44929</v>
      </c>
    </row>
    <row r="9727" spans="14:25">
      <c r="N9727" s="42">
        <v>44922</v>
      </c>
      <c r="O9727" t="s">
        <v>333</v>
      </c>
      <c r="P9727" s="42">
        <v>44922</v>
      </c>
      <c r="Q9727" t="s">
        <v>333</v>
      </c>
      <c r="R9727" t="s">
        <v>320</v>
      </c>
      <c r="S9727" t="s">
        <v>323</v>
      </c>
      <c r="U9727">
        <v>7.6</v>
      </c>
    </row>
    <row r="9728" spans="14:25">
      <c r="N9728" s="42">
        <v>44921</v>
      </c>
      <c r="O9728" t="s">
        <v>345</v>
      </c>
      <c r="P9728" s="42">
        <v>44921</v>
      </c>
      <c r="Q9728" t="s">
        <v>345</v>
      </c>
      <c r="R9728" t="s">
        <v>320</v>
      </c>
      <c r="S9728" t="s">
        <v>323</v>
      </c>
      <c r="U9728">
        <v>7.6</v>
      </c>
    </row>
    <row r="9729" spans="1:25">
      <c r="N9729" s="42">
        <v>44918</v>
      </c>
      <c r="O9729" t="s">
        <v>346</v>
      </c>
      <c r="P9729" s="42">
        <v>44918</v>
      </c>
      <c r="Q9729" t="s">
        <v>346</v>
      </c>
      <c r="R9729" t="s">
        <v>320</v>
      </c>
      <c r="S9729" t="s">
        <v>323</v>
      </c>
      <c r="T9729">
        <v>7.6</v>
      </c>
      <c r="Y9729" s="42">
        <v>44929</v>
      </c>
    </row>
    <row r="9730" spans="1:25">
      <c r="N9730" s="42">
        <v>44890</v>
      </c>
      <c r="O9730" t="s">
        <v>346</v>
      </c>
      <c r="P9730" s="42">
        <v>44890</v>
      </c>
      <c r="Q9730" t="s">
        <v>346</v>
      </c>
      <c r="R9730" t="s">
        <v>329</v>
      </c>
      <c r="S9730" t="s">
        <v>323</v>
      </c>
      <c r="T9730">
        <v>4</v>
      </c>
      <c r="W9730" t="s">
        <v>330</v>
      </c>
      <c r="Y9730" s="42">
        <v>44901</v>
      </c>
    </row>
    <row r="9731" spans="1:25">
      <c r="N9731" s="42">
        <v>44837</v>
      </c>
      <c r="O9731" t="s">
        <v>345</v>
      </c>
      <c r="P9731" s="42">
        <v>44837</v>
      </c>
      <c r="Q9731" t="s">
        <v>345</v>
      </c>
      <c r="R9731" t="s">
        <v>320</v>
      </c>
      <c r="S9731" t="s">
        <v>323</v>
      </c>
      <c r="U9731">
        <v>7.6</v>
      </c>
    </row>
    <row r="9732" spans="1:25">
      <c r="N9732" s="42">
        <v>44826</v>
      </c>
      <c r="O9732" t="s">
        <v>324</v>
      </c>
      <c r="P9732" s="42">
        <v>44826</v>
      </c>
      <c r="Q9732" t="s">
        <v>324</v>
      </c>
      <c r="R9732" t="s">
        <v>320</v>
      </c>
      <c r="S9732" t="s">
        <v>323</v>
      </c>
      <c r="U9732">
        <v>7.6</v>
      </c>
    </row>
    <row r="9733" spans="1:25">
      <c r="A9733">
        <v>19028</v>
      </c>
      <c r="B9733" t="s">
        <v>498</v>
      </c>
      <c r="C9733" t="s">
        <v>320</v>
      </c>
      <c r="D9733" t="s">
        <v>336</v>
      </c>
      <c r="E9733" t="s">
        <v>337</v>
      </c>
      <c r="F9733">
        <v>1</v>
      </c>
      <c r="G9733" s="42">
        <v>45153</v>
      </c>
      <c r="H9733">
        <v>152</v>
      </c>
      <c r="I9733">
        <v>-45.6</v>
      </c>
      <c r="J9733">
        <v>83.704099999999997</v>
      </c>
      <c r="K9733">
        <v>38.104100000000003</v>
      </c>
      <c r="L9733" t="s">
        <v>323</v>
      </c>
      <c r="M9733" s="43">
        <v>4.1666666666666666E-3</v>
      </c>
      <c r="N9733" s="42">
        <v>44978</v>
      </c>
      <c r="O9733" t="s">
        <v>333</v>
      </c>
      <c r="P9733" s="42">
        <v>44978</v>
      </c>
      <c r="Q9733" t="s">
        <v>333</v>
      </c>
      <c r="R9733" t="s">
        <v>329</v>
      </c>
      <c r="S9733" t="s">
        <v>323</v>
      </c>
      <c r="T9733">
        <v>7.6</v>
      </c>
      <c r="W9733" t="s">
        <v>330</v>
      </c>
      <c r="Y9733" s="42">
        <v>44985</v>
      </c>
    </row>
    <row r="9734" spans="1:25">
      <c r="C9734" t="s">
        <v>325</v>
      </c>
      <c r="D9734" t="s">
        <v>340</v>
      </c>
      <c r="E9734" t="s">
        <v>341</v>
      </c>
      <c r="F9734">
        <v>1</v>
      </c>
      <c r="G9734" s="42">
        <v>47345</v>
      </c>
      <c r="H9734">
        <v>230.54220000000001</v>
      </c>
      <c r="I9734">
        <v>0</v>
      </c>
      <c r="J9734">
        <v>18.122399999999999</v>
      </c>
      <c r="K9734">
        <v>18.122399999999999</v>
      </c>
      <c r="L9734" t="s">
        <v>323</v>
      </c>
      <c r="N9734" s="42">
        <v>44953</v>
      </c>
      <c r="O9734" t="s">
        <v>346</v>
      </c>
      <c r="P9734" s="42">
        <v>44953</v>
      </c>
      <c r="Q9734" t="s">
        <v>346</v>
      </c>
      <c r="R9734" t="s">
        <v>329</v>
      </c>
      <c r="S9734" t="s">
        <v>323</v>
      </c>
      <c r="T9734">
        <v>7.6</v>
      </c>
      <c r="W9734" t="s">
        <v>330</v>
      </c>
      <c r="Y9734" s="42">
        <v>44957</v>
      </c>
    </row>
    <row r="9735" spans="1:25">
      <c r="C9735" t="s">
        <v>329</v>
      </c>
      <c r="D9735" t="s">
        <v>342</v>
      </c>
      <c r="E9735" t="s">
        <v>343</v>
      </c>
      <c r="F9735">
        <v>1</v>
      </c>
      <c r="G9735" s="42">
        <v>45153</v>
      </c>
      <c r="H9735">
        <v>76</v>
      </c>
      <c r="I9735">
        <v>-38</v>
      </c>
      <c r="J9735">
        <v>41.8521</v>
      </c>
      <c r="K9735">
        <v>3.8521000000000001</v>
      </c>
      <c r="L9735" t="s">
        <v>323</v>
      </c>
      <c r="N9735" s="42">
        <v>44952</v>
      </c>
      <c r="O9735" t="s">
        <v>324</v>
      </c>
      <c r="P9735" s="42">
        <v>44952</v>
      </c>
      <c r="Q9735" t="s">
        <v>324</v>
      </c>
      <c r="R9735" t="s">
        <v>320</v>
      </c>
      <c r="S9735" t="s">
        <v>323</v>
      </c>
      <c r="U9735">
        <v>7.6</v>
      </c>
    </row>
    <row r="9736" spans="1:25">
      <c r="N9736" s="42">
        <v>44942</v>
      </c>
      <c r="O9736" t="s">
        <v>345</v>
      </c>
      <c r="P9736" s="42">
        <v>44942</v>
      </c>
      <c r="Q9736" t="s">
        <v>345</v>
      </c>
      <c r="R9736" t="s">
        <v>320</v>
      </c>
      <c r="S9736" t="s">
        <v>323</v>
      </c>
      <c r="T9736">
        <v>7.6</v>
      </c>
      <c r="Y9736" s="42">
        <v>44943</v>
      </c>
    </row>
    <row r="9737" spans="1:25">
      <c r="N9737" s="42">
        <v>44928</v>
      </c>
      <c r="O9737" t="s">
        <v>345</v>
      </c>
      <c r="P9737" s="42">
        <v>44928</v>
      </c>
      <c r="Q9737" t="s">
        <v>345</v>
      </c>
      <c r="R9737" t="s">
        <v>320</v>
      </c>
      <c r="S9737" t="s">
        <v>323</v>
      </c>
      <c r="U9737">
        <v>7.6</v>
      </c>
    </row>
    <row r="9738" spans="1:25">
      <c r="N9738" s="42">
        <v>44925</v>
      </c>
      <c r="O9738" t="s">
        <v>346</v>
      </c>
      <c r="P9738" s="42">
        <v>44925</v>
      </c>
      <c r="Q9738" t="s">
        <v>346</v>
      </c>
      <c r="R9738" t="s">
        <v>320</v>
      </c>
      <c r="S9738" t="s">
        <v>323</v>
      </c>
      <c r="T9738">
        <v>7.6</v>
      </c>
      <c r="Y9738" s="42">
        <v>44929</v>
      </c>
    </row>
    <row r="9739" spans="1:25">
      <c r="N9739" s="42">
        <v>44924</v>
      </c>
      <c r="O9739" t="s">
        <v>324</v>
      </c>
      <c r="P9739" s="42">
        <v>44924</v>
      </c>
      <c r="Q9739" t="s">
        <v>324</v>
      </c>
      <c r="R9739" t="s">
        <v>320</v>
      </c>
      <c r="S9739" t="s">
        <v>323</v>
      </c>
      <c r="T9739">
        <v>7.6</v>
      </c>
      <c r="Y9739" s="42">
        <v>44929</v>
      </c>
    </row>
    <row r="9740" spans="1:25">
      <c r="N9740" s="42">
        <v>44923</v>
      </c>
      <c r="O9740" t="s">
        <v>328</v>
      </c>
      <c r="P9740" s="42">
        <v>44923</v>
      </c>
      <c r="Q9740" t="s">
        <v>328</v>
      </c>
      <c r="R9740" t="s">
        <v>320</v>
      </c>
      <c r="S9740" t="s">
        <v>323</v>
      </c>
      <c r="T9740">
        <v>7.6</v>
      </c>
      <c r="Y9740" s="42">
        <v>44929</v>
      </c>
    </row>
    <row r="9741" spans="1:25">
      <c r="N9741" s="42">
        <v>44922</v>
      </c>
      <c r="O9741" t="s">
        <v>333</v>
      </c>
      <c r="P9741" s="42">
        <v>44922</v>
      </c>
      <c r="Q9741" t="s">
        <v>333</v>
      </c>
      <c r="R9741" t="s">
        <v>320</v>
      </c>
      <c r="S9741" t="s">
        <v>323</v>
      </c>
      <c r="U9741">
        <v>7.6</v>
      </c>
    </row>
    <row r="9742" spans="1:25">
      <c r="N9742" s="42">
        <v>44921</v>
      </c>
      <c r="O9742" t="s">
        <v>345</v>
      </c>
      <c r="P9742" s="42">
        <v>44921</v>
      </c>
      <c r="Q9742" t="s">
        <v>345</v>
      </c>
      <c r="R9742" t="s">
        <v>320</v>
      </c>
      <c r="S9742" t="s">
        <v>323</v>
      </c>
      <c r="U9742">
        <v>7.6</v>
      </c>
    </row>
    <row r="9743" spans="1:25">
      <c r="N9743" s="42">
        <v>44915</v>
      </c>
      <c r="O9743" t="s">
        <v>333</v>
      </c>
      <c r="P9743" s="42">
        <v>44915</v>
      </c>
      <c r="Q9743" t="s">
        <v>333</v>
      </c>
      <c r="R9743" t="s">
        <v>329</v>
      </c>
      <c r="S9743" t="s">
        <v>323</v>
      </c>
      <c r="T9743">
        <v>7.6</v>
      </c>
      <c r="W9743" t="s">
        <v>330</v>
      </c>
      <c r="Y9743" s="42">
        <v>44915</v>
      </c>
    </row>
    <row r="9744" spans="1:25">
      <c r="N9744" s="42">
        <v>44879</v>
      </c>
      <c r="O9744" t="s">
        <v>345</v>
      </c>
      <c r="P9744" s="42">
        <v>44879</v>
      </c>
      <c r="Q9744" t="s">
        <v>345</v>
      </c>
      <c r="R9744" t="s">
        <v>329</v>
      </c>
      <c r="S9744" t="s">
        <v>323</v>
      </c>
      <c r="T9744">
        <v>7.6</v>
      </c>
      <c r="W9744" t="s">
        <v>330</v>
      </c>
      <c r="Y9744" s="42">
        <v>44887</v>
      </c>
    </row>
    <row r="9745" spans="1:25">
      <c r="N9745" s="42">
        <v>44866</v>
      </c>
      <c r="O9745" t="s">
        <v>333</v>
      </c>
      <c r="P9745" s="42">
        <v>44866</v>
      </c>
      <c r="Q9745" t="s">
        <v>333</v>
      </c>
      <c r="R9745" t="s">
        <v>320</v>
      </c>
      <c r="S9745" t="s">
        <v>323</v>
      </c>
      <c r="U9745">
        <v>7.6</v>
      </c>
    </row>
    <row r="9746" spans="1:25">
      <c r="N9746" s="42">
        <v>44834</v>
      </c>
      <c r="O9746" t="s">
        <v>346</v>
      </c>
      <c r="P9746" s="42">
        <v>44834</v>
      </c>
      <c r="Q9746" t="s">
        <v>346</v>
      </c>
      <c r="R9746" t="s">
        <v>320</v>
      </c>
      <c r="S9746" t="s">
        <v>323</v>
      </c>
      <c r="T9746">
        <v>7.6</v>
      </c>
      <c r="Y9746" s="42">
        <v>44845</v>
      </c>
    </row>
    <row r="9747" spans="1:25">
      <c r="N9747" s="42">
        <v>44832</v>
      </c>
      <c r="O9747" t="s">
        <v>328</v>
      </c>
      <c r="P9747" s="42">
        <v>44832</v>
      </c>
      <c r="Q9747" t="s">
        <v>328</v>
      </c>
      <c r="R9747" t="s">
        <v>320</v>
      </c>
      <c r="S9747" t="s">
        <v>323</v>
      </c>
      <c r="T9747">
        <v>7.6</v>
      </c>
      <c r="Y9747" s="42">
        <v>44845</v>
      </c>
    </row>
    <row r="9748" spans="1:25">
      <c r="N9748" s="42">
        <v>44827</v>
      </c>
      <c r="O9748" t="s">
        <v>346</v>
      </c>
      <c r="P9748" s="42">
        <v>44827</v>
      </c>
      <c r="Q9748" t="s">
        <v>346</v>
      </c>
      <c r="R9748" t="s">
        <v>320</v>
      </c>
      <c r="S9748" t="s">
        <v>323</v>
      </c>
      <c r="U9748">
        <v>7.6</v>
      </c>
    </row>
    <row r="9749" spans="1:25">
      <c r="N9749" s="42">
        <v>44826</v>
      </c>
      <c r="O9749" t="s">
        <v>324</v>
      </c>
      <c r="P9749" s="42">
        <v>44826</v>
      </c>
      <c r="Q9749" t="s">
        <v>324</v>
      </c>
      <c r="R9749" t="s">
        <v>320</v>
      </c>
      <c r="S9749" t="s">
        <v>323</v>
      </c>
      <c r="U9749">
        <v>7.6</v>
      </c>
    </row>
    <row r="9750" spans="1:25">
      <c r="N9750" s="42">
        <v>44818</v>
      </c>
      <c r="O9750" t="s">
        <v>328</v>
      </c>
      <c r="P9750" s="42">
        <v>44818</v>
      </c>
      <c r="Q9750" t="s">
        <v>328</v>
      </c>
      <c r="R9750" t="s">
        <v>329</v>
      </c>
      <c r="S9750" t="s">
        <v>323</v>
      </c>
      <c r="T9750">
        <v>7.6</v>
      </c>
      <c r="W9750" t="s">
        <v>330</v>
      </c>
      <c r="Y9750" s="42">
        <v>44831</v>
      </c>
    </row>
    <row r="9751" spans="1:25">
      <c r="A9751">
        <v>19029</v>
      </c>
      <c r="B9751" t="s">
        <v>499</v>
      </c>
      <c r="C9751" t="s">
        <v>320</v>
      </c>
      <c r="D9751" t="s">
        <v>336</v>
      </c>
      <c r="E9751" t="s">
        <v>337</v>
      </c>
      <c r="F9751">
        <v>1</v>
      </c>
      <c r="G9751" s="42">
        <v>45154</v>
      </c>
      <c r="H9751">
        <v>152</v>
      </c>
      <c r="I9751">
        <v>0</v>
      </c>
      <c r="J9751">
        <v>83.287700000000001</v>
      </c>
      <c r="K9751">
        <v>83.287700000000001</v>
      </c>
      <c r="L9751" t="s">
        <v>323</v>
      </c>
      <c r="M9751" s="43">
        <v>4.1666666666666666E-3</v>
      </c>
      <c r="N9751" s="42">
        <v>44958</v>
      </c>
      <c r="O9751" t="s">
        <v>328</v>
      </c>
      <c r="P9751" s="42">
        <v>44958</v>
      </c>
      <c r="Q9751" t="s">
        <v>328</v>
      </c>
      <c r="R9751" t="s">
        <v>329</v>
      </c>
      <c r="S9751" t="s">
        <v>323</v>
      </c>
      <c r="T9751">
        <v>7.6</v>
      </c>
      <c r="W9751" t="s">
        <v>330</v>
      </c>
      <c r="Y9751" s="42">
        <v>44971</v>
      </c>
    </row>
    <row r="9752" spans="1:25">
      <c r="C9752" t="s">
        <v>325</v>
      </c>
      <c r="D9752" t="s">
        <v>340</v>
      </c>
      <c r="E9752" t="s">
        <v>341</v>
      </c>
      <c r="F9752">
        <v>1</v>
      </c>
      <c r="G9752" s="42">
        <v>47346</v>
      </c>
      <c r="H9752">
        <v>230.54220000000001</v>
      </c>
      <c r="I9752">
        <v>0</v>
      </c>
      <c r="J9752">
        <v>18.0322</v>
      </c>
      <c r="K9752">
        <v>18.0322</v>
      </c>
      <c r="L9752" t="s">
        <v>323</v>
      </c>
      <c r="N9752" s="42">
        <v>44952</v>
      </c>
      <c r="O9752" t="s">
        <v>324</v>
      </c>
      <c r="P9752" s="42">
        <v>44952</v>
      </c>
      <c r="Q9752" t="s">
        <v>324</v>
      </c>
      <c r="R9752" t="s">
        <v>320</v>
      </c>
      <c r="S9752" t="s">
        <v>323</v>
      </c>
      <c r="U9752">
        <v>7.6</v>
      </c>
    </row>
    <row r="9753" spans="1:25">
      <c r="C9753" t="s">
        <v>329</v>
      </c>
      <c r="D9753" t="s">
        <v>342</v>
      </c>
      <c r="E9753" t="s">
        <v>343</v>
      </c>
      <c r="F9753">
        <v>1</v>
      </c>
      <c r="G9753" s="42">
        <v>45154</v>
      </c>
      <c r="H9753">
        <v>76</v>
      </c>
      <c r="I9753">
        <v>-30.4</v>
      </c>
      <c r="J9753">
        <v>41.643799999999999</v>
      </c>
      <c r="K9753">
        <v>11.2438</v>
      </c>
      <c r="L9753" t="s">
        <v>323</v>
      </c>
      <c r="N9753" s="42">
        <v>44923</v>
      </c>
      <c r="O9753" t="s">
        <v>328</v>
      </c>
      <c r="P9753" s="42">
        <v>44923</v>
      </c>
      <c r="Q9753" t="s">
        <v>328</v>
      </c>
      <c r="R9753" t="s">
        <v>329</v>
      </c>
      <c r="S9753" t="s">
        <v>323</v>
      </c>
      <c r="T9753">
        <v>7.6</v>
      </c>
      <c r="W9753" t="s">
        <v>330</v>
      </c>
      <c r="Y9753" s="42">
        <v>44929</v>
      </c>
    </row>
    <row r="9754" spans="1:25">
      <c r="N9754" s="42">
        <v>44922</v>
      </c>
      <c r="O9754" t="s">
        <v>333</v>
      </c>
      <c r="P9754" s="42">
        <v>44922</v>
      </c>
      <c r="Q9754" t="s">
        <v>333</v>
      </c>
      <c r="R9754" t="s">
        <v>320</v>
      </c>
      <c r="S9754" t="s">
        <v>323</v>
      </c>
      <c r="U9754">
        <v>7.6</v>
      </c>
    </row>
    <row r="9755" spans="1:25">
      <c r="N9755" s="42">
        <v>44875</v>
      </c>
      <c r="O9755" t="s">
        <v>324</v>
      </c>
      <c r="P9755" s="42">
        <v>44875</v>
      </c>
      <c r="Q9755" t="s">
        <v>324</v>
      </c>
      <c r="R9755" t="s">
        <v>329</v>
      </c>
      <c r="S9755" t="s">
        <v>323</v>
      </c>
      <c r="T9755">
        <v>7.6</v>
      </c>
      <c r="W9755" t="s">
        <v>330</v>
      </c>
      <c r="Y9755" s="42">
        <v>44887</v>
      </c>
    </row>
    <row r="9756" spans="1:25">
      <c r="N9756" s="42">
        <v>44866</v>
      </c>
      <c r="O9756" t="s">
        <v>333</v>
      </c>
      <c r="P9756" s="42">
        <v>44866</v>
      </c>
      <c r="Q9756" t="s">
        <v>333</v>
      </c>
      <c r="R9756" t="s">
        <v>320</v>
      </c>
      <c r="S9756" t="s">
        <v>323</v>
      </c>
      <c r="U9756">
        <v>7.6</v>
      </c>
    </row>
    <row r="9757" spans="1:25">
      <c r="N9757" s="42">
        <v>44832</v>
      </c>
      <c r="O9757" t="s">
        <v>328</v>
      </c>
      <c r="P9757" s="42">
        <v>44832</v>
      </c>
      <c r="Q9757" t="s">
        <v>328</v>
      </c>
      <c r="R9757" t="s">
        <v>329</v>
      </c>
      <c r="S9757" t="s">
        <v>323</v>
      </c>
      <c r="T9757">
        <v>7.6</v>
      </c>
      <c r="W9757" t="s">
        <v>330</v>
      </c>
      <c r="Y9757" s="42">
        <v>44845</v>
      </c>
    </row>
    <row r="9758" spans="1:25">
      <c r="N9758" s="42">
        <v>44827</v>
      </c>
      <c r="O9758" t="s">
        <v>346</v>
      </c>
      <c r="P9758" s="42">
        <v>44827</v>
      </c>
      <c r="Q9758" t="s">
        <v>346</v>
      </c>
      <c r="R9758" t="s">
        <v>320</v>
      </c>
      <c r="S9758" t="s">
        <v>323</v>
      </c>
      <c r="U9758">
        <v>7.6</v>
      </c>
    </row>
    <row r="9759" spans="1:25">
      <c r="N9759" s="42">
        <v>44826</v>
      </c>
      <c r="O9759" t="s">
        <v>324</v>
      </c>
      <c r="P9759" s="42">
        <v>44826</v>
      </c>
      <c r="Q9759" t="s">
        <v>324</v>
      </c>
      <c r="R9759" t="s">
        <v>320</v>
      </c>
      <c r="S9759" t="s">
        <v>323</v>
      </c>
      <c r="U9759">
        <v>7.6</v>
      </c>
    </row>
    <row r="9760" spans="1:25">
      <c r="A9760">
        <v>19030</v>
      </c>
      <c r="B9760" t="s">
        <v>500</v>
      </c>
      <c r="C9760" t="s">
        <v>320</v>
      </c>
      <c r="D9760" t="s">
        <v>375</v>
      </c>
      <c r="E9760" t="s">
        <v>376</v>
      </c>
      <c r="F9760">
        <v>1</v>
      </c>
      <c r="G9760" s="42">
        <v>45150</v>
      </c>
      <c r="H9760">
        <v>0</v>
      </c>
      <c r="I9760">
        <v>0</v>
      </c>
      <c r="J9760">
        <v>0</v>
      </c>
      <c r="K9760">
        <v>0</v>
      </c>
      <c r="L9760" t="s">
        <v>323</v>
      </c>
      <c r="M9760" s="43">
        <v>4.1666666666666666E-3</v>
      </c>
    </row>
    <row r="9761" spans="1:25">
      <c r="C9761" t="s">
        <v>325</v>
      </c>
      <c r="D9761" t="s">
        <v>349</v>
      </c>
      <c r="E9761" t="s">
        <v>350</v>
      </c>
      <c r="F9761">
        <v>1</v>
      </c>
      <c r="G9761" s="42">
        <v>47342</v>
      </c>
      <c r="H9761">
        <v>0</v>
      </c>
      <c r="I9761">
        <v>0</v>
      </c>
      <c r="J9761">
        <v>0</v>
      </c>
      <c r="K9761">
        <v>0</v>
      </c>
      <c r="L9761" t="s">
        <v>323</v>
      </c>
    </row>
    <row r="9762" spans="1:25">
      <c r="C9762" t="s">
        <v>329</v>
      </c>
      <c r="D9762" t="s">
        <v>379</v>
      </c>
      <c r="E9762" t="s">
        <v>380</v>
      </c>
      <c r="F9762">
        <v>1</v>
      </c>
      <c r="G9762" s="42">
        <v>45150</v>
      </c>
      <c r="H9762">
        <v>0</v>
      </c>
      <c r="I9762">
        <v>0</v>
      </c>
      <c r="J9762">
        <v>0</v>
      </c>
      <c r="K9762">
        <v>0</v>
      </c>
      <c r="L9762" t="s">
        <v>323</v>
      </c>
    </row>
    <row r="9763" spans="1:25">
      <c r="A9763">
        <v>19031</v>
      </c>
      <c r="B9763" t="s">
        <v>501</v>
      </c>
      <c r="C9763" t="s">
        <v>320</v>
      </c>
      <c r="D9763" t="s">
        <v>336</v>
      </c>
      <c r="E9763" t="s">
        <v>337</v>
      </c>
      <c r="F9763">
        <v>1</v>
      </c>
      <c r="G9763" s="42">
        <v>45160</v>
      </c>
      <c r="H9763">
        <v>152</v>
      </c>
      <c r="I9763">
        <v>-30.4</v>
      </c>
      <c r="J9763">
        <v>80.789000000000001</v>
      </c>
      <c r="K9763">
        <v>50.389000000000003</v>
      </c>
      <c r="L9763" t="s">
        <v>323</v>
      </c>
      <c r="M9763" s="43">
        <v>4.1666666666666666E-3</v>
      </c>
      <c r="N9763" s="42">
        <v>44980</v>
      </c>
      <c r="O9763" t="s">
        <v>324</v>
      </c>
      <c r="P9763" s="42">
        <v>44980</v>
      </c>
      <c r="Q9763" t="s">
        <v>324</v>
      </c>
      <c r="R9763" t="s">
        <v>329</v>
      </c>
      <c r="S9763" t="s">
        <v>323</v>
      </c>
      <c r="T9763">
        <v>7.6</v>
      </c>
      <c r="W9763" t="s">
        <v>339</v>
      </c>
      <c r="Y9763" s="42">
        <v>44985</v>
      </c>
    </row>
    <row r="9764" spans="1:25">
      <c r="C9764" t="s">
        <v>325</v>
      </c>
      <c r="D9764" t="s">
        <v>395</v>
      </c>
      <c r="E9764" t="s">
        <v>396</v>
      </c>
      <c r="F9764">
        <v>1</v>
      </c>
      <c r="G9764" s="42">
        <v>48448</v>
      </c>
      <c r="H9764">
        <v>329.33330000000001</v>
      </c>
      <c r="I9764">
        <v>0</v>
      </c>
      <c r="J9764">
        <v>17.489899999999999</v>
      </c>
      <c r="K9764">
        <v>17.489899999999999</v>
      </c>
      <c r="L9764" t="s">
        <v>323</v>
      </c>
      <c r="N9764" s="42">
        <v>44952</v>
      </c>
      <c r="O9764" t="s">
        <v>324</v>
      </c>
      <c r="P9764" s="42">
        <v>44952</v>
      </c>
      <c r="Q9764" t="s">
        <v>324</v>
      </c>
      <c r="R9764" t="s">
        <v>320</v>
      </c>
      <c r="S9764" t="s">
        <v>323</v>
      </c>
      <c r="U9764">
        <v>7.6</v>
      </c>
      <c r="Y9764" s="42">
        <v>44957</v>
      </c>
    </row>
    <row r="9765" spans="1:25">
      <c r="C9765" t="s">
        <v>329</v>
      </c>
      <c r="D9765" t="s">
        <v>342</v>
      </c>
      <c r="E9765" t="s">
        <v>343</v>
      </c>
      <c r="F9765">
        <v>1</v>
      </c>
      <c r="G9765" s="42">
        <v>45160</v>
      </c>
      <c r="H9765">
        <v>76</v>
      </c>
      <c r="I9765">
        <v>-15.2</v>
      </c>
      <c r="J9765">
        <v>40.394500000000001</v>
      </c>
      <c r="K9765">
        <v>25.194500000000001</v>
      </c>
      <c r="L9765" t="s">
        <v>323</v>
      </c>
      <c r="N9765" s="42">
        <v>44928</v>
      </c>
      <c r="O9765" t="s">
        <v>345</v>
      </c>
      <c r="P9765" s="42">
        <v>44928</v>
      </c>
      <c r="Q9765" t="s">
        <v>345</v>
      </c>
      <c r="R9765" t="s">
        <v>320</v>
      </c>
      <c r="S9765" t="s">
        <v>323</v>
      </c>
      <c r="U9765">
        <v>7.6</v>
      </c>
      <c r="Y9765" s="42">
        <v>44929</v>
      </c>
    </row>
    <row r="9766" spans="1:25">
      <c r="N9766" s="42">
        <v>44923</v>
      </c>
      <c r="O9766" t="s">
        <v>328</v>
      </c>
      <c r="P9766" s="42">
        <v>44925</v>
      </c>
      <c r="Q9766" t="s">
        <v>346</v>
      </c>
      <c r="R9766" t="s">
        <v>320</v>
      </c>
      <c r="S9766" t="s">
        <v>323</v>
      </c>
      <c r="T9766">
        <v>22.8</v>
      </c>
      <c r="V9766">
        <v>0</v>
      </c>
      <c r="Y9766" s="42">
        <v>44929</v>
      </c>
    </row>
    <row r="9767" spans="1:25">
      <c r="N9767" s="42">
        <v>44922</v>
      </c>
      <c r="O9767" t="s">
        <v>333</v>
      </c>
      <c r="P9767" s="42">
        <v>44922</v>
      </c>
      <c r="Q9767" t="s">
        <v>333</v>
      </c>
      <c r="R9767" t="s">
        <v>320</v>
      </c>
      <c r="S9767" t="s">
        <v>323</v>
      </c>
      <c r="U9767">
        <v>7.6</v>
      </c>
      <c r="Y9767" s="42">
        <v>44929</v>
      </c>
    </row>
    <row r="9768" spans="1:25">
      <c r="N9768" s="42">
        <v>44921</v>
      </c>
      <c r="O9768" t="s">
        <v>345</v>
      </c>
      <c r="P9768" s="42">
        <v>44921</v>
      </c>
      <c r="Q9768" t="s">
        <v>345</v>
      </c>
      <c r="R9768" t="s">
        <v>320</v>
      </c>
      <c r="S9768" t="s">
        <v>323</v>
      </c>
      <c r="U9768">
        <v>7.6</v>
      </c>
      <c r="Y9768" s="42">
        <v>44929</v>
      </c>
    </row>
    <row r="9769" spans="1:25">
      <c r="N9769" s="42">
        <v>44897</v>
      </c>
      <c r="O9769" t="s">
        <v>346</v>
      </c>
      <c r="P9769" s="42">
        <v>44897</v>
      </c>
      <c r="Q9769" t="s">
        <v>346</v>
      </c>
      <c r="R9769" t="s">
        <v>329</v>
      </c>
      <c r="S9769" t="s">
        <v>323</v>
      </c>
      <c r="T9769">
        <v>7.6</v>
      </c>
      <c r="W9769" t="s">
        <v>339</v>
      </c>
      <c r="Y9769" s="42">
        <v>44901</v>
      </c>
    </row>
    <row r="9770" spans="1:25">
      <c r="N9770" s="42">
        <v>44869</v>
      </c>
      <c r="O9770" t="s">
        <v>346</v>
      </c>
      <c r="P9770" s="42">
        <v>44869</v>
      </c>
      <c r="Q9770" t="s">
        <v>346</v>
      </c>
      <c r="R9770" t="s">
        <v>320</v>
      </c>
      <c r="S9770" t="s">
        <v>323</v>
      </c>
      <c r="T9770">
        <v>7.6</v>
      </c>
      <c r="V9770">
        <v>0</v>
      </c>
      <c r="Y9770" s="42">
        <v>44873</v>
      </c>
    </row>
    <row r="9771" spans="1:25">
      <c r="N9771" s="42">
        <v>44837</v>
      </c>
      <c r="O9771" t="s">
        <v>345</v>
      </c>
      <c r="P9771" s="42">
        <v>44837</v>
      </c>
      <c r="Q9771" t="s">
        <v>345</v>
      </c>
      <c r="R9771" t="s">
        <v>320</v>
      </c>
      <c r="S9771" t="s">
        <v>323</v>
      </c>
      <c r="U9771">
        <v>7.6</v>
      </c>
      <c r="Y9771" s="42">
        <v>44845</v>
      </c>
    </row>
    <row r="9772" spans="1:25">
      <c r="N9772" s="42">
        <v>44826</v>
      </c>
      <c r="O9772" t="s">
        <v>324</v>
      </c>
      <c r="P9772" s="42">
        <v>44826</v>
      </c>
      <c r="Q9772" t="s">
        <v>324</v>
      </c>
      <c r="R9772" t="s">
        <v>320</v>
      </c>
      <c r="S9772" t="s">
        <v>323</v>
      </c>
      <c r="U9772">
        <v>7.6</v>
      </c>
      <c r="Y9772" s="42">
        <v>44831</v>
      </c>
    </row>
    <row r="9773" spans="1:25">
      <c r="A9773">
        <v>19032</v>
      </c>
      <c r="B9773" t="s">
        <v>502</v>
      </c>
      <c r="C9773" t="s">
        <v>320</v>
      </c>
      <c r="D9773" t="s">
        <v>336</v>
      </c>
      <c r="E9773" t="s">
        <v>337</v>
      </c>
      <c r="F9773">
        <v>1</v>
      </c>
      <c r="G9773" s="42">
        <v>45160</v>
      </c>
      <c r="H9773">
        <v>44.145299999999999</v>
      </c>
      <c r="I9773">
        <v>-7.6</v>
      </c>
      <c r="J9773">
        <v>22.782</v>
      </c>
      <c r="K9773">
        <v>15.182</v>
      </c>
      <c r="L9773" t="s">
        <v>323</v>
      </c>
      <c r="M9773" s="43">
        <v>4.1666666666666666E-3</v>
      </c>
      <c r="N9773" s="42">
        <v>44952</v>
      </c>
      <c r="O9773" t="s">
        <v>324</v>
      </c>
      <c r="P9773" s="42">
        <v>44952</v>
      </c>
      <c r="Q9773" t="s">
        <v>324</v>
      </c>
      <c r="R9773" t="s">
        <v>320</v>
      </c>
      <c r="S9773" t="s">
        <v>323</v>
      </c>
      <c r="U9773">
        <v>7.6</v>
      </c>
    </row>
    <row r="9774" spans="1:25">
      <c r="C9774" t="s">
        <v>325</v>
      </c>
      <c r="D9774" t="s">
        <v>352</v>
      </c>
      <c r="E9774" t="s">
        <v>353</v>
      </c>
      <c r="F9774">
        <v>1</v>
      </c>
      <c r="G9774" s="42">
        <v>48452</v>
      </c>
      <c r="H9774">
        <v>98.803799999999995</v>
      </c>
      <c r="I9774">
        <v>0</v>
      </c>
      <c r="J9774">
        <v>5.1390000000000002</v>
      </c>
      <c r="K9774">
        <v>5.1390000000000002</v>
      </c>
      <c r="L9774" t="s">
        <v>323</v>
      </c>
      <c r="N9774" s="42">
        <v>44922</v>
      </c>
      <c r="O9774" t="s">
        <v>333</v>
      </c>
      <c r="P9774" s="42">
        <v>44922</v>
      </c>
      <c r="Q9774" t="s">
        <v>333</v>
      </c>
      <c r="R9774" t="s">
        <v>320</v>
      </c>
      <c r="S9774" t="s">
        <v>323</v>
      </c>
      <c r="U9774">
        <v>7.6</v>
      </c>
    </row>
    <row r="9775" spans="1:25">
      <c r="C9775" t="s">
        <v>329</v>
      </c>
      <c r="D9775" t="s">
        <v>342</v>
      </c>
      <c r="E9775" t="s">
        <v>343</v>
      </c>
      <c r="F9775">
        <v>1</v>
      </c>
      <c r="G9775" s="42">
        <v>45160</v>
      </c>
      <c r="H9775">
        <v>22.072700000000001</v>
      </c>
      <c r="I9775">
        <v>0</v>
      </c>
      <c r="J9775">
        <v>11.3911</v>
      </c>
      <c r="K9775">
        <v>11.3911</v>
      </c>
      <c r="L9775" t="s">
        <v>323</v>
      </c>
      <c r="N9775" s="42">
        <v>44911</v>
      </c>
      <c r="O9775" t="s">
        <v>346</v>
      </c>
      <c r="P9775" s="42">
        <v>44911</v>
      </c>
      <c r="Q9775" t="s">
        <v>346</v>
      </c>
      <c r="R9775" t="s">
        <v>338</v>
      </c>
      <c r="S9775" t="s">
        <v>323</v>
      </c>
      <c r="T9775">
        <v>7.6</v>
      </c>
      <c r="W9775" t="s">
        <v>330</v>
      </c>
      <c r="Y9775" s="42">
        <v>44915</v>
      </c>
    </row>
    <row r="9776" spans="1:25">
      <c r="N9776" s="42">
        <v>44910</v>
      </c>
      <c r="O9776" t="s">
        <v>324</v>
      </c>
      <c r="P9776" s="42">
        <v>44910</v>
      </c>
      <c r="Q9776" t="s">
        <v>324</v>
      </c>
      <c r="R9776" t="s">
        <v>338</v>
      </c>
      <c r="S9776" t="s">
        <v>323</v>
      </c>
      <c r="T9776">
        <v>7.6</v>
      </c>
      <c r="W9776" t="s">
        <v>330</v>
      </c>
      <c r="Y9776" s="42">
        <v>44915</v>
      </c>
    </row>
    <row r="9777" spans="1:25">
      <c r="N9777" s="42">
        <v>44908</v>
      </c>
      <c r="O9777" t="s">
        <v>333</v>
      </c>
      <c r="P9777" s="42">
        <v>44908</v>
      </c>
      <c r="Q9777" t="s">
        <v>333</v>
      </c>
      <c r="R9777" t="s">
        <v>338</v>
      </c>
      <c r="S9777" t="s">
        <v>323</v>
      </c>
      <c r="T9777">
        <v>7.6</v>
      </c>
      <c r="W9777" t="s">
        <v>330</v>
      </c>
      <c r="Y9777" s="42">
        <v>44915</v>
      </c>
    </row>
    <row r="9778" spans="1:25">
      <c r="N9778" s="42">
        <v>44873</v>
      </c>
      <c r="O9778" t="s">
        <v>333</v>
      </c>
      <c r="P9778" s="42">
        <v>44873</v>
      </c>
      <c r="Q9778" t="s">
        <v>333</v>
      </c>
      <c r="R9778" t="s">
        <v>320</v>
      </c>
      <c r="S9778" t="s">
        <v>323</v>
      </c>
      <c r="T9778">
        <v>7.6</v>
      </c>
      <c r="Y9778" s="42">
        <v>44873</v>
      </c>
    </row>
    <row r="9779" spans="1:25">
      <c r="N9779" s="42">
        <v>44826</v>
      </c>
      <c r="O9779" t="s">
        <v>324</v>
      </c>
      <c r="P9779" s="42">
        <v>44826</v>
      </c>
      <c r="Q9779" t="s">
        <v>324</v>
      </c>
      <c r="R9779" t="s">
        <v>320</v>
      </c>
      <c r="S9779" t="s">
        <v>323</v>
      </c>
      <c r="U9779">
        <v>7.6</v>
      </c>
    </row>
    <row r="9780" spans="1:25">
      <c r="N9780" s="42">
        <v>44802</v>
      </c>
      <c r="O9780" t="s">
        <v>345</v>
      </c>
      <c r="P9780" s="42">
        <v>44802</v>
      </c>
      <c r="Q9780" t="s">
        <v>345</v>
      </c>
      <c r="R9780" t="s">
        <v>338</v>
      </c>
      <c r="S9780" t="s">
        <v>323</v>
      </c>
      <c r="T9780">
        <v>7.6</v>
      </c>
      <c r="W9780" t="s">
        <v>330</v>
      </c>
      <c r="Y9780" s="42">
        <v>44803</v>
      </c>
    </row>
    <row r="9781" spans="1:25">
      <c r="A9781">
        <v>19033</v>
      </c>
      <c r="B9781" t="s">
        <v>503</v>
      </c>
      <c r="C9781" t="s">
        <v>320</v>
      </c>
      <c r="D9781" t="s">
        <v>336</v>
      </c>
      <c r="E9781" t="s">
        <v>337</v>
      </c>
      <c r="F9781">
        <v>1</v>
      </c>
      <c r="G9781" s="42">
        <v>45167</v>
      </c>
      <c r="H9781">
        <v>152</v>
      </c>
      <c r="I9781">
        <v>-38</v>
      </c>
      <c r="J9781">
        <v>77.873999999999995</v>
      </c>
      <c r="K9781">
        <v>39.874000000000002</v>
      </c>
      <c r="L9781" t="s">
        <v>323</v>
      </c>
      <c r="M9781" s="43">
        <v>4.1666666666666666E-3</v>
      </c>
      <c r="N9781" s="42">
        <v>44964</v>
      </c>
      <c r="O9781" t="s">
        <v>333</v>
      </c>
      <c r="P9781" s="42">
        <v>44964</v>
      </c>
      <c r="Q9781" t="s">
        <v>333</v>
      </c>
      <c r="R9781" t="s">
        <v>329</v>
      </c>
      <c r="S9781" t="s">
        <v>323</v>
      </c>
      <c r="T9781">
        <v>6.6</v>
      </c>
      <c r="W9781" t="s">
        <v>330</v>
      </c>
      <c r="Y9781" s="42">
        <v>44971</v>
      </c>
    </row>
    <row r="9782" spans="1:25">
      <c r="C9782" t="s">
        <v>325</v>
      </c>
      <c r="D9782" t="s">
        <v>352</v>
      </c>
      <c r="E9782" t="s">
        <v>353</v>
      </c>
      <c r="F9782">
        <v>1</v>
      </c>
      <c r="G9782" s="42">
        <v>48455</v>
      </c>
      <c r="H9782">
        <v>329.346</v>
      </c>
      <c r="I9782">
        <v>0</v>
      </c>
      <c r="J9782">
        <v>16.859500000000001</v>
      </c>
      <c r="K9782">
        <v>16.859500000000001</v>
      </c>
      <c r="L9782" t="s">
        <v>323</v>
      </c>
      <c r="N9782" s="42">
        <v>44956</v>
      </c>
      <c r="O9782" t="s">
        <v>345</v>
      </c>
      <c r="P9782" s="42">
        <v>44956</v>
      </c>
      <c r="Q9782" t="s">
        <v>345</v>
      </c>
      <c r="R9782" t="s">
        <v>320</v>
      </c>
      <c r="S9782" t="s">
        <v>323</v>
      </c>
      <c r="T9782">
        <v>7.6</v>
      </c>
      <c r="Y9782" s="42">
        <v>44957</v>
      </c>
    </row>
    <row r="9783" spans="1:25">
      <c r="C9783" t="s">
        <v>329</v>
      </c>
      <c r="D9783" t="s">
        <v>342</v>
      </c>
      <c r="E9783" t="s">
        <v>343</v>
      </c>
      <c r="F9783">
        <v>1</v>
      </c>
      <c r="G9783" s="42">
        <v>45167</v>
      </c>
      <c r="H9783">
        <v>76</v>
      </c>
      <c r="I9783">
        <v>-14.2</v>
      </c>
      <c r="J9783">
        <v>38.936999999999998</v>
      </c>
      <c r="K9783">
        <v>24.736999999999998</v>
      </c>
      <c r="L9783" t="s">
        <v>323</v>
      </c>
      <c r="N9783" s="42">
        <v>44952</v>
      </c>
      <c r="O9783" t="s">
        <v>324</v>
      </c>
      <c r="P9783" s="42">
        <v>44952</v>
      </c>
      <c r="Q9783" t="s">
        <v>324</v>
      </c>
      <c r="R9783" t="s">
        <v>320</v>
      </c>
      <c r="S9783" t="s">
        <v>323</v>
      </c>
      <c r="U9783">
        <v>7.6</v>
      </c>
    </row>
    <row r="9784" spans="1:25">
      <c r="N9784" s="42">
        <v>44928</v>
      </c>
      <c r="O9784" t="s">
        <v>345</v>
      </c>
      <c r="P9784" s="42">
        <v>44928</v>
      </c>
      <c r="Q9784" t="s">
        <v>345</v>
      </c>
      <c r="R9784" t="s">
        <v>320</v>
      </c>
      <c r="S9784" t="s">
        <v>323</v>
      </c>
      <c r="U9784">
        <v>7.6</v>
      </c>
    </row>
    <row r="9785" spans="1:25">
      <c r="N9785" s="42">
        <v>44925</v>
      </c>
      <c r="O9785" t="s">
        <v>346</v>
      </c>
      <c r="P9785" s="42">
        <v>44925</v>
      </c>
      <c r="Q9785" t="s">
        <v>346</v>
      </c>
      <c r="R9785" t="s">
        <v>320</v>
      </c>
      <c r="S9785" t="s">
        <v>323</v>
      </c>
      <c r="T9785">
        <v>7.6</v>
      </c>
      <c r="Y9785" s="42">
        <v>44929</v>
      </c>
    </row>
    <row r="9786" spans="1:25">
      <c r="N9786" s="42">
        <v>44924</v>
      </c>
      <c r="O9786" t="s">
        <v>324</v>
      </c>
      <c r="P9786" s="42">
        <v>44924</v>
      </c>
      <c r="Q9786" t="s">
        <v>324</v>
      </c>
      <c r="R9786" t="s">
        <v>320</v>
      </c>
      <c r="S9786" t="s">
        <v>323</v>
      </c>
      <c r="T9786">
        <v>7.6</v>
      </c>
      <c r="Y9786" s="42">
        <v>44929</v>
      </c>
    </row>
    <row r="9787" spans="1:25">
      <c r="N9787" s="42">
        <v>44923</v>
      </c>
      <c r="O9787" t="s">
        <v>328</v>
      </c>
      <c r="P9787" s="42">
        <v>44923</v>
      </c>
      <c r="Q9787" t="s">
        <v>328</v>
      </c>
      <c r="R9787" t="s">
        <v>320</v>
      </c>
      <c r="S9787" t="s">
        <v>323</v>
      </c>
      <c r="T9787">
        <v>7.6</v>
      </c>
      <c r="Y9787" s="42">
        <v>44929</v>
      </c>
    </row>
    <row r="9788" spans="1:25">
      <c r="N9788" s="42">
        <v>44922</v>
      </c>
      <c r="O9788" t="s">
        <v>333</v>
      </c>
      <c r="P9788" s="42">
        <v>44922</v>
      </c>
      <c r="Q9788" t="s">
        <v>333</v>
      </c>
      <c r="R9788" t="s">
        <v>320</v>
      </c>
      <c r="S9788" t="s">
        <v>323</v>
      </c>
      <c r="U9788">
        <v>7.6</v>
      </c>
    </row>
    <row r="9789" spans="1:25">
      <c r="N9789" s="42">
        <v>44921</v>
      </c>
      <c r="O9789" t="s">
        <v>345</v>
      </c>
      <c r="P9789" s="42">
        <v>44921</v>
      </c>
      <c r="Q9789" t="s">
        <v>345</v>
      </c>
      <c r="R9789" t="s">
        <v>320</v>
      </c>
      <c r="S9789" t="s">
        <v>323</v>
      </c>
      <c r="U9789">
        <v>7.6</v>
      </c>
    </row>
    <row r="9790" spans="1:25">
      <c r="N9790" s="42">
        <v>44867</v>
      </c>
      <c r="O9790" t="s">
        <v>328</v>
      </c>
      <c r="P9790" s="42">
        <v>44867</v>
      </c>
      <c r="Q9790" t="s">
        <v>328</v>
      </c>
      <c r="R9790" t="s">
        <v>320</v>
      </c>
      <c r="S9790" t="s">
        <v>323</v>
      </c>
      <c r="T9790">
        <v>7.6</v>
      </c>
      <c r="Y9790" s="42">
        <v>44873</v>
      </c>
    </row>
    <row r="9791" spans="1:25">
      <c r="N9791" s="42">
        <v>44862</v>
      </c>
      <c r="O9791" t="s">
        <v>346</v>
      </c>
      <c r="P9791" s="42">
        <v>44862</v>
      </c>
      <c r="Q9791" t="s">
        <v>346</v>
      </c>
      <c r="R9791" t="s">
        <v>329</v>
      </c>
      <c r="S9791" t="s">
        <v>323</v>
      </c>
      <c r="T9791">
        <v>7.6</v>
      </c>
      <c r="W9791" t="s">
        <v>330</v>
      </c>
      <c r="Y9791" s="42">
        <v>44873</v>
      </c>
    </row>
    <row r="9792" spans="1:25">
      <c r="N9792" s="42">
        <v>44837</v>
      </c>
      <c r="O9792" t="s">
        <v>345</v>
      </c>
      <c r="P9792" s="42">
        <v>44837</v>
      </c>
      <c r="Q9792" t="s">
        <v>345</v>
      </c>
      <c r="R9792" t="s">
        <v>320</v>
      </c>
      <c r="S9792" t="s">
        <v>323</v>
      </c>
      <c r="U9792">
        <v>7.6</v>
      </c>
    </row>
    <row r="9793" spans="1:25">
      <c r="N9793" s="42">
        <v>44826</v>
      </c>
      <c r="O9793" t="s">
        <v>324</v>
      </c>
      <c r="P9793" s="42">
        <v>44826</v>
      </c>
      <c r="Q9793" t="s">
        <v>324</v>
      </c>
      <c r="R9793" t="s">
        <v>320</v>
      </c>
      <c r="S9793" t="s">
        <v>323</v>
      </c>
      <c r="U9793">
        <v>7.6</v>
      </c>
    </row>
    <row r="9794" spans="1:25">
      <c r="A9794">
        <v>19035</v>
      </c>
      <c r="B9794" t="s">
        <v>504</v>
      </c>
      <c r="C9794" t="s">
        <v>320</v>
      </c>
      <c r="D9794" t="s">
        <v>336</v>
      </c>
      <c r="E9794" t="s">
        <v>337</v>
      </c>
      <c r="F9794">
        <v>1</v>
      </c>
      <c r="G9794" s="42">
        <v>45174</v>
      </c>
      <c r="H9794">
        <v>150.83080000000001</v>
      </c>
      <c r="I9794">
        <v>-71.900000000000006</v>
      </c>
      <c r="J9794">
        <v>73.789699999999996</v>
      </c>
      <c r="K9794">
        <v>1.8896999999999999</v>
      </c>
      <c r="L9794" t="s">
        <v>323</v>
      </c>
      <c r="M9794" s="43">
        <v>3.472222222222222E-3</v>
      </c>
      <c r="N9794" s="42">
        <v>44980</v>
      </c>
      <c r="O9794" t="s">
        <v>324</v>
      </c>
      <c r="P9794" s="42">
        <v>44980</v>
      </c>
      <c r="Q9794" t="s">
        <v>324</v>
      </c>
      <c r="R9794" t="s">
        <v>320</v>
      </c>
      <c r="S9794" t="s">
        <v>323</v>
      </c>
      <c r="T9794">
        <v>3.5</v>
      </c>
      <c r="Y9794" s="42">
        <v>44985</v>
      </c>
    </row>
    <row r="9795" spans="1:25">
      <c r="C9795" t="s">
        <v>325</v>
      </c>
      <c r="D9795" t="s">
        <v>352</v>
      </c>
      <c r="E9795" t="s">
        <v>353</v>
      </c>
      <c r="F9795">
        <v>1</v>
      </c>
      <c r="G9795" s="42">
        <v>48464</v>
      </c>
      <c r="H9795">
        <v>329.346</v>
      </c>
      <c r="I9795">
        <v>0</v>
      </c>
      <c r="J9795">
        <v>16.048100000000002</v>
      </c>
      <c r="K9795">
        <v>16.048100000000002</v>
      </c>
      <c r="L9795" t="s">
        <v>323</v>
      </c>
      <c r="N9795" s="42">
        <v>44956</v>
      </c>
      <c r="O9795" t="s">
        <v>345</v>
      </c>
      <c r="P9795" s="42">
        <v>44956</v>
      </c>
      <c r="Q9795" t="s">
        <v>345</v>
      </c>
      <c r="R9795" t="s">
        <v>320</v>
      </c>
      <c r="S9795" t="s">
        <v>323</v>
      </c>
      <c r="T9795">
        <v>7.6</v>
      </c>
      <c r="Y9795" s="42">
        <v>44957</v>
      </c>
    </row>
    <row r="9796" spans="1:25">
      <c r="C9796" t="s">
        <v>329</v>
      </c>
      <c r="D9796" t="s">
        <v>342</v>
      </c>
      <c r="E9796" t="s">
        <v>343</v>
      </c>
      <c r="F9796">
        <v>1</v>
      </c>
      <c r="G9796" s="42">
        <v>45174</v>
      </c>
      <c r="H9796">
        <v>75.415400000000005</v>
      </c>
      <c r="I9796">
        <v>-26.8</v>
      </c>
      <c r="J9796">
        <v>36.8949</v>
      </c>
      <c r="K9796">
        <v>10.094900000000001</v>
      </c>
      <c r="L9796" t="s">
        <v>323</v>
      </c>
      <c r="N9796" s="42">
        <v>44953</v>
      </c>
      <c r="O9796" t="s">
        <v>346</v>
      </c>
      <c r="P9796" s="42">
        <v>44953</v>
      </c>
      <c r="Q9796" t="s">
        <v>346</v>
      </c>
      <c r="R9796" t="s">
        <v>320</v>
      </c>
      <c r="S9796" t="s">
        <v>323</v>
      </c>
      <c r="T9796">
        <v>7.6</v>
      </c>
      <c r="Y9796" s="42">
        <v>44957</v>
      </c>
    </row>
    <row r="9797" spans="1:25">
      <c r="N9797" s="42">
        <v>44952</v>
      </c>
      <c r="O9797" t="s">
        <v>324</v>
      </c>
      <c r="P9797" s="42">
        <v>44952</v>
      </c>
      <c r="Q9797" t="s">
        <v>324</v>
      </c>
      <c r="R9797" t="s">
        <v>320</v>
      </c>
      <c r="S9797" t="s">
        <v>323</v>
      </c>
      <c r="U9797">
        <v>7.6</v>
      </c>
    </row>
    <row r="9798" spans="1:25">
      <c r="N9798" s="42">
        <v>44946</v>
      </c>
      <c r="O9798" t="s">
        <v>346</v>
      </c>
      <c r="P9798" s="42">
        <v>44946</v>
      </c>
      <c r="Q9798" t="s">
        <v>346</v>
      </c>
      <c r="R9798" t="s">
        <v>320</v>
      </c>
      <c r="S9798" t="s">
        <v>323</v>
      </c>
      <c r="T9798">
        <v>7.6</v>
      </c>
      <c r="Y9798" s="42">
        <v>44957</v>
      </c>
    </row>
    <row r="9799" spans="1:25">
      <c r="N9799" s="42">
        <v>44942</v>
      </c>
      <c r="O9799" t="s">
        <v>345</v>
      </c>
      <c r="P9799" s="42">
        <v>44942</v>
      </c>
      <c r="Q9799" t="s">
        <v>345</v>
      </c>
      <c r="R9799" t="s">
        <v>329</v>
      </c>
      <c r="S9799" t="s">
        <v>323</v>
      </c>
      <c r="T9799">
        <v>7.6</v>
      </c>
      <c r="W9799" t="s">
        <v>330</v>
      </c>
      <c r="Y9799" s="42">
        <v>44943</v>
      </c>
    </row>
    <row r="9800" spans="1:25">
      <c r="N9800" s="42">
        <v>44937</v>
      </c>
      <c r="O9800" t="s">
        <v>328</v>
      </c>
      <c r="P9800" s="42">
        <v>44937</v>
      </c>
      <c r="Q9800" t="s">
        <v>328</v>
      </c>
      <c r="R9800" t="s">
        <v>320</v>
      </c>
      <c r="S9800" t="s">
        <v>323</v>
      </c>
      <c r="T9800">
        <v>7.6</v>
      </c>
      <c r="Y9800" s="42">
        <v>44943</v>
      </c>
    </row>
    <row r="9801" spans="1:25">
      <c r="N9801" s="42">
        <v>44928</v>
      </c>
      <c r="O9801" t="s">
        <v>345</v>
      </c>
      <c r="P9801" s="42">
        <v>44928</v>
      </c>
      <c r="Q9801" t="s">
        <v>345</v>
      </c>
      <c r="R9801" t="s">
        <v>320</v>
      </c>
      <c r="S9801" t="s">
        <v>323</v>
      </c>
      <c r="U9801">
        <v>7.6</v>
      </c>
    </row>
    <row r="9802" spans="1:25">
      <c r="N9802" s="42">
        <v>44922</v>
      </c>
      <c r="O9802" t="s">
        <v>333</v>
      </c>
      <c r="P9802" s="42">
        <v>44922</v>
      </c>
      <c r="Q9802" t="s">
        <v>333</v>
      </c>
      <c r="R9802" t="s">
        <v>320</v>
      </c>
      <c r="S9802" t="s">
        <v>323</v>
      </c>
      <c r="U9802">
        <v>7.6</v>
      </c>
    </row>
    <row r="9803" spans="1:25">
      <c r="N9803" s="42">
        <v>44921</v>
      </c>
      <c r="O9803" t="s">
        <v>345</v>
      </c>
      <c r="P9803" s="42">
        <v>44921</v>
      </c>
      <c r="Q9803" t="s">
        <v>345</v>
      </c>
      <c r="R9803" t="s">
        <v>320</v>
      </c>
      <c r="S9803" t="s">
        <v>323</v>
      </c>
      <c r="U9803">
        <v>7.6</v>
      </c>
    </row>
    <row r="9804" spans="1:25">
      <c r="N9804" s="42">
        <v>44914</v>
      </c>
      <c r="O9804" t="s">
        <v>345</v>
      </c>
      <c r="P9804" s="42">
        <v>44914</v>
      </c>
      <c r="Q9804" t="s">
        <v>345</v>
      </c>
      <c r="R9804" t="s">
        <v>329</v>
      </c>
      <c r="S9804" t="s">
        <v>323</v>
      </c>
      <c r="T9804">
        <v>7.6</v>
      </c>
      <c r="W9804" t="s">
        <v>330</v>
      </c>
      <c r="Y9804" s="42">
        <v>44915</v>
      </c>
    </row>
    <row r="9805" spans="1:25">
      <c r="N9805" s="42">
        <v>44879</v>
      </c>
      <c r="O9805" t="s">
        <v>345</v>
      </c>
      <c r="P9805" s="42">
        <v>44879</v>
      </c>
      <c r="Q9805" t="s">
        <v>345</v>
      </c>
      <c r="R9805" t="s">
        <v>338</v>
      </c>
      <c r="S9805" t="s">
        <v>323</v>
      </c>
      <c r="T9805">
        <v>7.6</v>
      </c>
      <c r="W9805" t="s">
        <v>330</v>
      </c>
      <c r="Y9805" s="42">
        <v>44887</v>
      </c>
    </row>
    <row r="9806" spans="1:25">
      <c r="N9806" s="42">
        <v>44872</v>
      </c>
      <c r="O9806" t="s">
        <v>345</v>
      </c>
      <c r="P9806" s="42">
        <v>44872</v>
      </c>
      <c r="Q9806" t="s">
        <v>345</v>
      </c>
      <c r="R9806" t="s">
        <v>329</v>
      </c>
      <c r="S9806" t="s">
        <v>323</v>
      </c>
      <c r="T9806">
        <v>4</v>
      </c>
      <c r="W9806" t="s">
        <v>330</v>
      </c>
      <c r="Y9806" s="42">
        <v>44873</v>
      </c>
    </row>
    <row r="9807" spans="1:25">
      <c r="N9807" s="42">
        <v>44858</v>
      </c>
      <c r="O9807" t="s">
        <v>345</v>
      </c>
      <c r="P9807" s="42">
        <v>44858</v>
      </c>
      <c r="Q9807" t="s">
        <v>345</v>
      </c>
      <c r="R9807" t="s">
        <v>320</v>
      </c>
      <c r="S9807" t="s">
        <v>323</v>
      </c>
      <c r="T9807">
        <v>7.6</v>
      </c>
      <c r="Y9807" s="42">
        <v>44859</v>
      </c>
    </row>
    <row r="9808" spans="1:25">
      <c r="N9808" s="42">
        <v>44853</v>
      </c>
      <c r="O9808" t="s">
        <v>328</v>
      </c>
      <c r="P9808" s="42">
        <v>44853</v>
      </c>
      <c r="Q9808" t="s">
        <v>328</v>
      </c>
      <c r="R9808" t="s">
        <v>320</v>
      </c>
      <c r="S9808" t="s">
        <v>323</v>
      </c>
      <c r="T9808">
        <v>7.6</v>
      </c>
      <c r="Y9808" s="42">
        <v>44859</v>
      </c>
    </row>
    <row r="9809" spans="1:25">
      <c r="N9809" s="42">
        <v>44852</v>
      </c>
      <c r="O9809" t="s">
        <v>333</v>
      </c>
      <c r="P9809" s="42">
        <v>44852</v>
      </c>
      <c r="Q9809" t="s">
        <v>333</v>
      </c>
      <c r="R9809" t="s">
        <v>320</v>
      </c>
      <c r="S9809" t="s">
        <v>323</v>
      </c>
      <c r="T9809">
        <v>7.6</v>
      </c>
      <c r="Y9809" s="42">
        <v>44859</v>
      </c>
    </row>
    <row r="9810" spans="1:25">
      <c r="N9810" s="42">
        <v>44851</v>
      </c>
      <c r="O9810" t="s">
        <v>345</v>
      </c>
      <c r="P9810" s="42">
        <v>44851</v>
      </c>
      <c r="Q9810" t="s">
        <v>345</v>
      </c>
      <c r="R9810" t="s">
        <v>320</v>
      </c>
      <c r="S9810" t="s">
        <v>323</v>
      </c>
      <c r="T9810">
        <v>7.6</v>
      </c>
      <c r="Y9810" s="42">
        <v>44859</v>
      </c>
    </row>
    <row r="9811" spans="1:25">
      <c r="N9811" s="42">
        <v>44847</v>
      </c>
      <c r="O9811" t="s">
        <v>324</v>
      </c>
      <c r="P9811" s="42">
        <v>44847</v>
      </c>
      <c r="Q9811" t="s">
        <v>324</v>
      </c>
      <c r="R9811" t="s">
        <v>320</v>
      </c>
      <c r="S9811" t="s">
        <v>323</v>
      </c>
      <c r="T9811">
        <v>7.6</v>
      </c>
      <c r="Y9811" s="42">
        <v>44859</v>
      </c>
    </row>
    <row r="9812" spans="1:25">
      <c r="N9812" s="42">
        <v>44841</v>
      </c>
      <c r="O9812" t="s">
        <v>346</v>
      </c>
      <c r="P9812" s="42">
        <v>44841</v>
      </c>
      <c r="Q9812" t="s">
        <v>346</v>
      </c>
      <c r="R9812" t="s">
        <v>329</v>
      </c>
      <c r="S9812" t="s">
        <v>323</v>
      </c>
      <c r="T9812">
        <v>7.6</v>
      </c>
      <c r="W9812" t="s">
        <v>330</v>
      </c>
      <c r="Y9812" s="42">
        <v>44845</v>
      </c>
    </row>
    <row r="9813" spans="1:25">
      <c r="N9813" s="42">
        <v>44837</v>
      </c>
      <c r="O9813" t="s">
        <v>345</v>
      </c>
      <c r="P9813" s="42">
        <v>44837</v>
      </c>
      <c r="Q9813" t="s">
        <v>345</v>
      </c>
      <c r="R9813" t="s">
        <v>320</v>
      </c>
      <c r="S9813" t="s">
        <v>323</v>
      </c>
      <c r="U9813">
        <v>7.6</v>
      </c>
    </row>
    <row r="9814" spans="1:25">
      <c r="N9814" s="42">
        <v>44826</v>
      </c>
      <c r="O9814" t="s">
        <v>324</v>
      </c>
      <c r="P9814" s="42">
        <v>44826</v>
      </c>
      <c r="Q9814" t="s">
        <v>324</v>
      </c>
      <c r="R9814" t="s">
        <v>320</v>
      </c>
      <c r="S9814" t="s">
        <v>323</v>
      </c>
      <c r="U9814">
        <v>7.6</v>
      </c>
    </row>
    <row r="9815" spans="1:25">
      <c r="N9815" s="42">
        <v>44813</v>
      </c>
      <c r="O9815" t="s">
        <v>346</v>
      </c>
      <c r="P9815" s="42">
        <v>44813</v>
      </c>
      <c r="Q9815" t="s">
        <v>346</v>
      </c>
      <c r="R9815" t="s">
        <v>338</v>
      </c>
      <c r="S9815" t="s">
        <v>323</v>
      </c>
      <c r="T9815">
        <v>7.6</v>
      </c>
      <c r="W9815" t="s">
        <v>330</v>
      </c>
      <c r="Y9815" s="42">
        <v>44817</v>
      </c>
    </row>
    <row r="9816" spans="1:25">
      <c r="A9816">
        <v>19037</v>
      </c>
      <c r="B9816" t="s">
        <v>505</v>
      </c>
      <c r="C9816" t="s">
        <v>320</v>
      </c>
      <c r="D9816" t="s">
        <v>336</v>
      </c>
      <c r="E9816" t="s">
        <v>337</v>
      </c>
      <c r="F9816">
        <v>1</v>
      </c>
      <c r="G9816" s="42">
        <v>45178</v>
      </c>
      <c r="H9816">
        <v>120.0586</v>
      </c>
      <c r="I9816">
        <v>-23</v>
      </c>
      <c r="J9816">
        <v>48.808100000000003</v>
      </c>
      <c r="K9816">
        <v>25.8081</v>
      </c>
      <c r="L9816" t="s">
        <v>323</v>
      </c>
      <c r="M9816" s="43">
        <v>3.472222222222222E-3</v>
      </c>
      <c r="N9816" s="42">
        <v>44956</v>
      </c>
      <c r="O9816" t="s">
        <v>345</v>
      </c>
      <c r="P9816" s="42">
        <v>44956</v>
      </c>
      <c r="Q9816" t="s">
        <v>345</v>
      </c>
      <c r="R9816" t="s">
        <v>338</v>
      </c>
      <c r="S9816" t="s">
        <v>323</v>
      </c>
      <c r="T9816">
        <v>7.6</v>
      </c>
      <c r="W9816" t="s">
        <v>330</v>
      </c>
      <c r="Y9816" s="42">
        <v>44957</v>
      </c>
    </row>
    <row r="9817" spans="1:25">
      <c r="C9817" t="s">
        <v>325</v>
      </c>
      <c r="D9817" t="s">
        <v>366</v>
      </c>
      <c r="E9817" t="s">
        <v>367</v>
      </c>
      <c r="F9817">
        <v>1</v>
      </c>
      <c r="G9817" s="42">
        <v>48468</v>
      </c>
      <c r="H9817">
        <v>295.10000000000002</v>
      </c>
      <c r="I9817">
        <v>0</v>
      </c>
      <c r="J9817">
        <v>10.649100000000001</v>
      </c>
      <c r="K9817">
        <v>10.649100000000001</v>
      </c>
      <c r="L9817" t="s">
        <v>323</v>
      </c>
      <c r="N9817" s="42">
        <v>44953</v>
      </c>
      <c r="O9817" t="s">
        <v>346</v>
      </c>
      <c r="P9817" s="42">
        <v>44953</v>
      </c>
      <c r="Q9817" t="s">
        <v>346</v>
      </c>
      <c r="R9817" t="s">
        <v>338</v>
      </c>
      <c r="S9817" t="s">
        <v>323</v>
      </c>
      <c r="T9817">
        <v>6</v>
      </c>
      <c r="W9817" t="s">
        <v>330</v>
      </c>
      <c r="Y9817" s="42">
        <v>44957</v>
      </c>
    </row>
    <row r="9818" spans="1:25">
      <c r="C9818" t="s">
        <v>329</v>
      </c>
      <c r="D9818" t="s">
        <v>342</v>
      </c>
      <c r="E9818" t="s">
        <v>343</v>
      </c>
      <c r="F9818">
        <v>1</v>
      </c>
      <c r="G9818" s="42">
        <v>45178</v>
      </c>
      <c r="H9818">
        <v>60.029299999999999</v>
      </c>
      <c r="I9818">
        <v>0</v>
      </c>
      <c r="J9818">
        <v>24.4041</v>
      </c>
      <c r="K9818">
        <v>24.4041</v>
      </c>
      <c r="L9818" t="s">
        <v>323</v>
      </c>
      <c r="N9818" s="42">
        <v>44952</v>
      </c>
      <c r="O9818" t="s">
        <v>324</v>
      </c>
      <c r="P9818" s="42">
        <v>44952</v>
      </c>
      <c r="Q9818" t="s">
        <v>324</v>
      </c>
      <c r="R9818" t="s">
        <v>320</v>
      </c>
      <c r="S9818" t="s">
        <v>323</v>
      </c>
      <c r="U9818">
        <v>7.6</v>
      </c>
    </row>
    <row r="9819" spans="1:25">
      <c r="N9819" s="42">
        <v>44946</v>
      </c>
      <c r="O9819" t="s">
        <v>346</v>
      </c>
      <c r="P9819" s="42">
        <v>44946</v>
      </c>
      <c r="Q9819" t="s">
        <v>346</v>
      </c>
      <c r="R9819" t="s">
        <v>320</v>
      </c>
      <c r="S9819" t="s">
        <v>323</v>
      </c>
      <c r="T9819">
        <v>6</v>
      </c>
      <c r="Y9819" s="42">
        <v>44957</v>
      </c>
    </row>
    <row r="9820" spans="1:25">
      <c r="N9820" s="42">
        <v>44942</v>
      </c>
      <c r="O9820" t="s">
        <v>345</v>
      </c>
      <c r="P9820" s="42">
        <v>44942</v>
      </c>
      <c r="Q9820" t="s">
        <v>345</v>
      </c>
      <c r="R9820" t="s">
        <v>320</v>
      </c>
      <c r="S9820" t="s">
        <v>323</v>
      </c>
      <c r="T9820">
        <v>5.5</v>
      </c>
      <c r="Y9820" s="42">
        <v>44943</v>
      </c>
    </row>
    <row r="9821" spans="1:25">
      <c r="N9821" s="42">
        <v>44940</v>
      </c>
      <c r="O9821" t="s">
        <v>359</v>
      </c>
      <c r="P9821" s="42">
        <v>44940</v>
      </c>
      <c r="Q9821" t="s">
        <v>359</v>
      </c>
      <c r="R9821" t="s">
        <v>320</v>
      </c>
      <c r="S9821" t="s">
        <v>323</v>
      </c>
      <c r="T9821">
        <v>4</v>
      </c>
      <c r="Y9821" s="42">
        <v>44943</v>
      </c>
    </row>
    <row r="9822" spans="1:25">
      <c r="N9822" s="42">
        <v>44939</v>
      </c>
      <c r="O9822" t="s">
        <v>346</v>
      </c>
      <c r="P9822" s="42">
        <v>44939</v>
      </c>
      <c r="Q9822" t="s">
        <v>346</v>
      </c>
      <c r="R9822" t="s">
        <v>320</v>
      </c>
      <c r="S9822" t="s">
        <v>323</v>
      </c>
      <c r="T9822">
        <v>7.5</v>
      </c>
      <c r="Y9822" s="42">
        <v>44943</v>
      </c>
    </row>
    <row r="9823" spans="1:25">
      <c r="N9823" s="42">
        <v>44928</v>
      </c>
      <c r="O9823" t="s">
        <v>345</v>
      </c>
      <c r="P9823" s="42">
        <v>44928</v>
      </c>
      <c r="Q9823" t="s">
        <v>345</v>
      </c>
      <c r="R9823" t="s">
        <v>320</v>
      </c>
      <c r="S9823" t="s">
        <v>323</v>
      </c>
      <c r="U9823">
        <v>7.6</v>
      </c>
    </row>
    <row r="9824" spans="1:25">
      <c r="N9824" s="42">
        <v>44921</v>
      </c>
      <c r="O9824" t="s">
        <v>345</v>
      </c>
      <c r="P9824" s="42">
        <v>44921</v>
      </c>
      <c r="Q9824" t="s">
        <v>345</v>
      </c>
      <c r="R9824" t="s">
        <v>320</v>
      </c>
      <c r="S9824" t="s">
        <v>323</v>
      </c>
      <c r="U9824">
        <v>7.6</v>
      </c>
    </row>
    <row r="9825" spans="1:25">
      <c r="N9825" s="42">
        <v>44830</v>
      </c>
      <c r="O9825" t="s">
        <v>345</v>
      </c>
      <c r="P9825" s="42">
        <v>44830</v>
      </c>
      <c r="Q9825" t="s">
        <v>345</v>
      </c>
      <c r="R9825" t="s">
        <v>320</v>
      </c>
      <c r="S9825" t="s">
        <v>323</v>
      </c>
      <c r="U9825">
        <v>7.6</v>
      </c>
    </row>
    <row r="9826" spans="1:25">
      <c r="A9826">
        <v>19039</v>
      </c>
      <c r="B9826" t="s">
        <v>506</v>
      </c>
      <c r="C9826" t="s">
        <v>320</v>
      </c>
      <c r="D9826" t="s">
        <v>336</v>
      </c>
      <c r="E9826" t="s">
        <v>337</v>
      </c>
      <c r="F9826">
        <v>1</v>
      </c>
      <c r="G9826" s="42">
        <v>45189</v>
      </c>
      <c r="H9826">
        <v>112</v>
      </c>
      <c r="I9826">
        <v>-37.6</v>
      </c>
      <c r="J9826">
        <v>50.630099999999999</v>
      </c>
      <c r="K9826">
        <v>13.030099999999999</v>
      </c>
      <c r="L9826" t="s">
        <v>323</v>
      </c>
      <c r="M9826" s="43">
        <v>3.472222222222222E-3</v>
      </c>
      <c r="N9826" s="42">
        <v>44959</v>
      </c>
      <c r="O9826" t="s">
        <v>324</v>
      </c>
      <c r="P9826" s="42">
        <v>44959</v>
      </c>
      <c r="Q9826" t="s">
        <v>324</v>
      </c>
      <c r="R9826" t="s">
        <v>320</v>
      </c>
      <c r="S9826" t="s">
        <v>323</v>
      </c>
      <c r="T9826">
        <v>7.6</v>
      </c>
      <c r="Y9826" s="42">
        <v>44971</v>
      </c>
    </row>
    <row r="9827" spans="1:25">
      <c r="C9827" t="s">
        <v>325</v>
      </c>
      <c r="D9827" t="s">
        <v>395</v>
      </c>
      <c r="E9827" t="s">
        <v>396</v>
      </c>
      <c r="F9827">
        <v>1</v>
      </c>
      <c r="G9827" s="42">
        <v>48477</v>
      </c>
      <c r="H9827">
        <v>242.66659999999999</v>
      </c>
      <c r="I9827">
        <v>0</v>
      </c>
      <c r="J9827">
        <v>10.960900000000001</v>
      </c>
      <c r="K9827">
        <v>10.960900000000001</v>
      </c>
      <c r="L9827" t="s">
        <v>323</v>
      </c>
      <c r="N9827" s="42">
        <v>44958</v>
      </c>
      <c r="O9827" t="s">
        <v>328</v>
      </c>
      <c r="P9827" s="42">
        <v>44958</v>
      </c>
      <c r="Q9827" t="s">
        <v>328</v>
      </c>
      <c r="R9827" t="s">
        <v>320</v>
      </c>
      <c r="S9827" t="s">
        <v>323</v>
      </c>
      <c r="T9827">
        <v>7.6</v>
      </c>
      <c r="Y9827" s="42">
        <v>44971</v>
      </c>
    </row>
    <row r="9828" spans="1:25">
      <c r="C9828" t="s">
        <v>329</v>
      </c>
      <c r="D9828" t="s">
        <v>342</v>
      </c>
      <c r="E9828" t="s">
        <v>343</v>
      </c>
      <c r="F9828">
        <v>1</v>
      </c>
      <c r="G9828" s="42">
        <v>45189</v>
      </c>
      <c r="H9828">
        <v>56</v>
      </c>
      <c r="I9828">
        <v>0</v>
      </c>
      <c r="J9828">
        <v>25.315100000000001</v>
      </c>
      <c r="K9828">
        <v>25.315100000000001</v>
      </c>
      <c r="L9828" t="s">
        <v>323</v>
      </c>
      <c r="N9828" s="42">
        <v>44955</v>
      </c>
      <c r="O9828" t="s">
        <v>344</v>
      </c>
      <c r="P9828" s="42">
        <v>44956</v>
      </c>
      <c r="Q9828" t="s">
        <v>345</v>
      </c>
      <c r="R9828" t="s">
        <v>320</v>
      </c>
      <c r="S9828" t="s">
        <v>323</v>
      </c>
      <c r="T9828">
        <v>5.6</v>
      </c>
      <c r="V9828">
        <v>0</v>
      </c>
      <c r="Y9828" s="42">
        <v>44957</v>
      </c>
    </row>
    <row r="9829" spans="1:25">
      <c r="N9829" s="42">
        <v>44952</v>
      </c>
      <c r="O9829" t="s">
        <v>324</v>
      </c>
      <c r="P9829" s="42">
        <v>44952</v>
      </c>
      <c r="Q9829" t="s">
        <v>324</v>
      </c>
      <c r="R9829" t="s">
        <v>320</v>
      </c>
      <c r="S9829" t="s">
        <v>323</v>
      </c>
      <c r="U9829">
        <v>7.6</v>
      </c>
    </row>
    <row r="9830" spans="1:25">
      <c r="N9830" s="42">
        <v>44950</v>
      </c>
      <c r="O9830" t="s">
        <v>333</v>
      </c>
      <c r="P9830" s="42">
        <v>44951</v>
      </c>
      <c r="Q9830" t="s">
        <v>328</v>
      </c>
      <c r="R9830" t="s">
        <v>320</v>
      </c>
      <c r="S9830" t="s">
        <v>323</v>
      </c>
      <c r="T9830">
        <v>11.2</v>
      </c>
      <c r="V9830">
        <v>0</v>
      </c>
      <c r="Y9830" s="42">
        <v>44957</v>
      </c>
    </row>
    <row r="9831" spans="1:25">
      <c r="N9831" s="42">
        <v>44948</v>
      </c>
      <c r="O9831" t="s">
        <v>344</v>
      </c>
      <c r="P9831" s="42">
        <v>44949</v>
      </c>
      <c r="Q9831" t="s">
        <v>345</v>
      </c>
      <c r="R9831" t="s">
        <v>320</v>
      </c>
      <c r="S9831" t="s">
        <v>323</v>
      </c>
      <c r="T9831">
        <v>5.6</v>
      </c>
      <c r="V9831">
        <v>0</v>
      </c>
      <c r="Y9831" s="42">
        <v>44957</v>
      </c>
    </row>
    <row r="9832" spans="1:25">
      <c r="N9832" s="42">
        <v>44927</v>
      </c>
      <c r="O9832" t="s">
        <v>344</v>
      </c>
      <c r="P9832" s="42">
        <v>44927</v>
      </c>
      <c r="Q9832" t="s">
        <v>344</v>
      </c>
      <c r="R9832" t="s">
        <v>320</v>
      </c>
      <c r="S9832" t="s">
        <v>323</v>
      </c>
      <c r="U9832">
        <v>5.5</v>
      </c>
    </row>
    <row r="9833" spans="1:25">
      <c r="N9833" s="42">
        <v>44922</v>
      </c>
      <c r="O9833" t="s">
        <v>333</v>
      </c>
      <c r="P9833" s="42">
        <v>44922</v>
      </c>
      <c r="Q9833" t="s">
        <v>333</v>
      </c>
      <c r="R9833" t="s">
        <v>320</v>
      </c>
      <c r="S9833" t="s">
        <v>323</v>
      </c>
      <c r="U9833">
        <v>7.6</v>
      </c>
    </row>
    <row r="9834" spans="1:25">
      <c r="N9834" s="42">
        <v>44920</v>
      </c>
      <c r="O9834" t="s">
        <v>344</v>
      </c>
      <c r="P9834" s="42">
        <v>44920</v>
      </c>
      <c r="Q9834" t="s">
        <v>344</v>
      </c>
      <c r="R9834" t="s">
        <v>320</v>
      </c>
      <c r="S9834" t="s">
        <v>323</v>
      </c>
      <c r="U9834">
        <v>5.5</v>
      </c>
    </row>
    <row r="9835" spans="1:25">
      <c r="A9835">
        <v>19040</v>
      </c>
      <c r="B9835" t="s">
        <v>507</v>
      </c>
      <c r="C9835" t="s">
        <v>320</v>
      </c>
      <c r="D9835" t="s">
        <v>336</v>
      </c>
      <c r="E9835" t="s">
        <v>337</v>
      </c>
      <c r="F9835">
        <v>1</v>
      </c>
      <c r="G9835" s="42">
        <v>45223</v>
      </c>
      <c r="H9835">
        <v>80</v>
      </c>
      <c r="I9835">
        <v>0</v>
      </c>
      <c r="J9835">
        <v>28.712299999999999</v>
      </c>
      <c r="K9835">
        <v>28.712299999999999</v>
      </c>
      <c r="L9835" t="s">
        <v>323</v>
      </c>
      <c r="M9835" s="43">
        <v>2.7777777777777779E-3</v>
      </c>
      <c r="N9835" s="42">
        <v>44952</v>
      </c>
      <c r="O9835" t="s">
        <v>324</v>
      </c>
      <c r="P9835" s="42">
        <v>44952</v>
      </c>
      <c r="Q9835" t="s">
        <v>324</v>
      </c>
      <c r="R9835" t="s">
        <v>320</v>
      </c>
      <c r="S9835" t="s">
        <v>323</v>
      </c>
      <c r="U9835">
        <v>6.6666999999999996</v>
      </c>
      <c r="Y9835" s="42">
        <v>44957</v>
      </c>
    </row>
    <row r="9836" spans="1:25">
      <c r="C9836" t="s">
        <v>325</v>
      </c>
      <c r="D9836" t="s">
        <v>352</v>
      </c>
      <c r="E9836" t="s">
        <v>353</v>
      </c>
      <c r="F9836">
        <v>1</v>
      </c>
      <c r="G9836" s="42">
        <v>48511</v>
      </c>
      <c r="H9836">
        <v>173.34</v>
      </c>
      <c r="I9836">
        <v>0</v>
      </c>
      <c r="J9836">
        <v>6.2161</v>
      </c>
      <c r="K9836">
        <v>6.2161</v>
      </c>
      <c r="L9836" t="s">
        <v>323</v>
      </c>
    </row>
    <row r="9837" spans="1:25">
      <c r="C9837" t="s">
        <v>329</v>
      </c>
      <c r="D9837" t="s">
        <v>342</v>
      </c>
      <c r="E9837" t="s">
        <v>343</v>
      </c>
      <c r="F9837">
        <v>1</v>
      </c>
      <c r="G9837" s="42">
        <v>45223</v>
      </c>
      <c r="H9837">
        <v>40</v>
      </c>
      <c r="I9837">
        <v>0</v>
      </c>
      <c r="J9837">
        <v>14.356199999999999</v>
      </c>
      <c r="K9837">
        <v>14.356199999999999</v>
      </c>
      <c r="L9837" t="s">
        <v>323</v>
      </c>
    </row>
    <row r="9838" spans="1:25">
      <c r="A9838">
        <v>19041</v>
      </c>
      <c r="B9838" t="s">
        <v>508</v>
      </c>
      <c r="C9838" t="s">
        <v>320</v>
      </c>
      <c r="D9838" t="s">
        <v>375</v>
      </c>
      <c r="E9838" t="s">
        <v>376</v>
      </c>
      <c r="F9838">
        <v>1</v>
      </c>
      <c r="G9838" s="42">
        <v>45239</v>
      </c>
      <c r="H9838">
        <v>0</v>
      </c>
      <c r="I9838">
        <v>0</v>
      </c>
      <c r="J9838">
        <v>0</v>
      </c>
      <c r="K9838">
        <v>0</v>
      </c>
      <c r="L9838" t="s">
        <v>323</v>
      </c>
      <c r="M9838" s="43">
        <v>2.0833333333333333E-3</v>
      </c>
    </row>
    <row r="9839" spans="1:25">
      <c r="C9839" t="s">
        <v>325</v>
      </c>
      <c r="D9839" t="s">
        <v>326</v>
      </c>
      <c r="E9839" t="s">
        <v>327</v>
      </c>
      <c r="F9839">
        <v>1</v>
      </c>
      <c r="G9839" s="42">
        <v>48527</v>
      </c>
      <c r="H9839">
        <v>0</v>
      </c>
      <c r="I9839">
        <v>0</v>
      </c>
      <c r="J9839">
        <v>0</v>
      </c>
      <c r="K9839">
        <v>0</v>
      </c>
      <c r="L9839" t="s">
        <v>323</v>
      </c>
    </row>
    <row r="9840" spans="1:25">
      <c r="C9840" t="s">
        <v>329</v>
      </c>
      <c r="D9840" t="s">
        <v>379</v>
      </c>
      <c r="E9840" t="s">
        <v>380</v>
      </c>
      <c r="F9840">
        <v>1</v>
      </c>
      <c r="G9840" s="42">
        <v>45239</v>
      </c>
      <c r="H9840">
        <v>0</v>
      </c>
      <c r="I9840">
        <v>0</v>
      </c>
      <c r="J9840">
        <v>0</v>
      </c>
      <c r="K9840">
        <v>0</v>
      </c>
      <c r="L9840" t="s">
        <v>323</v>
      </c>
    </row>
    <row r="9841" spans="1:25">
      <c r="A9841">
        <v>19042</v>
      </c>
      <c r="B9841" t="s">
        <v>509</v>
      </c>
      <c r="C9841" t="s">
        <v>320</v>
      </c>
      <c r="D9841" t="s">
        <v>336</v>
      </c>
      <c r="E9841" t="s">
        <v>337</v>
      </c>
      <c r="F9841">
        <v>1</v>
      </c>
      <c r="G9841" s="42">
        <v>45252</v>
      </c>
      <c r="H9841">
        <v>152</v>
      </c>
      <c r="I9841">
        <v>-7.6</v>
      </c>
      <c r="J9841">
        <v>42.476700000000001</v>
      </c>
      <c r="K9841">
        <v>34.8767</v>
      </c>
      <c r="L9841" t="s">
        <v>323</v>
      </c>
      <c r="M9841" s="43">
        <v>2.0833333333333333E-3</v>
      </c>
      <c r="N9841" s="42">
        <v>44953</v>
      </c>
      <c r="O9841" t="s">
        <v>346</v>
      </c>
      <c r="P9841" s="42">
        <v>44953</v>
      </c>
      <c r="Q9841" t="s">
        <v>346</v>
      </c>
      <c r="R9841" t="s">
        <v>329</v>
      </c>
      <c r="S9841" t="s">
        <v>323</v>
      </c>
      <c r="T9841">
        <v>7.6</v>
      </c>
      <c r="W9841" t="s">
        <v>330</v>
      </c>
      <c r="Y9841" s="42">
        <v>44957</v>
      </c>
    </row>
    <row r="9842" spans="1:25">
      <c r="C9842" t="s">
        <v>325</v>
      </c>
      <c r="D9842" t="s">
        <v>352</v>
      </c>
      <c r="E9842" t="s">
        <v>353</v>
      </c>
      <c r="F9842">
        <v>1</v>
      </c>
      <c r="G9842" s="42">
        <v>48540</v>
      </c>
      <c r="H9842">
        <v>329.346</v>
      </c>
      <c r="I9842">
        <v>0</v>
      </c>
      <c r="J9842">
        <v>9.1960999999999995</v>
      </c>
      <c r="K9842">
        <v>9.1960999999999995</v>
      </c>
      <c r="L9842" t="s">
        <v>323</v>
      </c>
      <c r="N9842" s="42">
        <v>44952</v>
      </c>
      <c r="O9842" t="s">
        <v>324</v>
      </c>
      <c r="P9842" s="42">
        <v>44952</v>
      </c>
      <c r="Q9842" t="s">
        <v>324</v>
      </c>
      <c r="R9842" t="s">
        <v>320</v>
      </c>
      <c r="S9842" t="s">
        <v>323</v>
      </c>
      <c r="U9842">
        <v>7.6</v>
      </c>
    </row>
    <row r="9843" spans="1:25">
      <c r="C9843" t="s">
        <v>329</v>
      </c>
      <c r="D9843" t="s">
        <v>342</v>
      </c>
      <c r="E9843" t="s">
        <v>343</v>
      </c>
      <c r="F9843">
        <v>1</v>
      </c>
      <c r="G9843" s="42">
        <v>45252</v>
      </c>
      <c r="H9843">
        <v>76</v>
      </c>
      <c r="I9843">
        <v>-7.6</v>
      </c>
      <c r="J9843">
        <v>21.238399999999999</v>
      </c>
      <c r="K9843">
        <v>13.638400000000001</v>
      </c>
      <c r="L9843" t="s">
        <v>323</v>
      </c>
      <c r="N9843" s="42">
        <v>44922</v>
      </c>
      <c r="O9843" t="s">
        <v>333</v>
      </c>
      <c r="P9843" s="42">
        <v>44922</v>
      </c>
      <c r="Q9843" t="s">
        <v>333</v>
      </c>
      <c r="R9843" t="s">
        <v>320</v>
      </c>
      <c r="S9843" t="s">
        <v>323</v>
      </c>
      <c r="U9843">
        <v>7.6</v>
      </c>
    </row>
    <row r="9844" spans="1:25">
      <c r="N9844" s="42">
        <v>44898</v>
      </c>
      <c r="O9844" t="s">
        <v>359</v>
      </c>
      <c r="P9844" s="42">
        <v>44898</v>
      </c>
      <c r="Q9844" t="s">
        <v>359</v>
      </c>
      <c r="R9844" t="s">
        <v>320</v>
      </c>
      <c r="S9844" t="s">
        <v>323</v>
      </c>
      <c r="T9844">
        <v>7.6</v>
      </c>
      <c r="Y9844" s="42">
        <v>44901</v>
      </c>
    </row>
    <row r="9845" spans="1:25">
      <c r="A9845">
        <v>19043</v>
      </c>
      <c r="B9845" t="s">
        <v>510</v>
      </c>
      <c r="C9845" t="s">
        <v>320</v>
      </c>
      <c r="D9845" t="s">
        <v>336</v>
      </c>
      <c r="E9845" t="s">
        <v>337</v>
      </c>
      <c r="F9845">
        <v>1</v>
      </c>
      <c r="G9845" s="42">
        <v>45251</v>
      </c>
      <c r="H9845">
        <v>149.66149999999999</v>
      </c>
      <c r="I9845">
        <v>-30.4</v>
      </c>
      <c r="J9845">
        <v>40.554699999999997</v>
      </c>
      <c r="K9845">
        <v>10.1547</v>
      </c>
      <c r="L9845" t="s">
        <v>323</v>
      </c>
      <c r="M9845" s="43">
        <v>2.0833333333333333E-3</v>
      </c>
      <c r="N9845" s="42">
        <v>44980</v>
      </c>
      <c r="O9845" t="s">
        <v>324</v>
      </c>
      <c r="P9845" s="42">
        <v>44980</v>
      </c>
      <c r="Q9845" t="s">
        <v>324</v>
      </c>
      <c r="R9845" t="s">
        <v>338</v>
      </c>
      <c r="S9845" t="s">
        <v>323</v>
      </c>
      <c r="T9845">
        <v>7.6</v>
      </c>
      <c r="W9845" t="s">
        <v>330</v>
      </c>
      <c r="Y9845" s="42">
        <v>44985</v>
      </c>
    </row>
    <row r="9846" spans="1:25">
      <c r="C9846" t="s">
        <v>325</v>
      </c>
      <c r="D9846" t="s">
        <v>366</v>
      </c>
      <c r="E9846" t="s">
        <v>367</v>
      </c>
      <c r="F9846">
        <v>1</v>
      </c>
      <c r="G9846" s="42">
        <v>48543</v>
      </c>
      <c r="H9846">
        <v>329.93459999999999</v>
      </c>
      <c r="I9846">
        <v>0</v>
      </c>
      <c r="J9846">
        <v>8.9415999999999993</v>
      </c>
      <c r="K9846">
        <v>8.9415999999999993</v>
      </c>
      <c r="L9846" t="s">
        <v>323</v>
      </c>
      <c r="N9846" s="42">
        <v>44979</v>
      </c>
      <c r="O9846" t="s">
        <v>328</v>
      </c>
      <c r="P9846" s="42">
        <v>44979</v>
      </c>
      <c r="Q9846" t="s">
        <v>328</v>
      </c>
      <c r="R9846" t="s">
        <v>338</v>
      </c>
      <c r="S9846" t="s">
        <v>323</v>
      </c>
      <c r="T9846">
        <v>7.6</v>
      </c>
      <c r="W9846" t="s">
        <v>330</v>
      </c>
      <c r="Y9846" s="42">
        <v>44985</v>
      </c>
    </row>
    <row r="9847" spans="1:25">
      <c r="C9847" t="s">
        <v>329</v>
      </c>
      <c r="D9847" t="s">
        <v>342</v>
      </c>
      <c r="E9847" t="s">
        <v>343</v>
      </c>
      <c r="F9847">
        <v>1</v>
      </c>
      <c r="G9847" s="42">
        <v>45251</v>
      </c>
      <c r="H9847">
        <v>74.830799999999996</v>
      </c>
      <c r="I9847">
        <v>0</v>
      </c>
      <c r="J9847">
        <v>20.2774</v>
      </c>
      <c r="K9847">
        <v>20.2774</v>
      </c>
      <c r="L9847" t="s">
        <v>323</v>
      </c>
      <c r="N9847" s="42">
        <v>44978</v>
      </c>
      <c r="O9847" t="s">
        <v>333</v>
      </c>
      <c r="P9847" s="42">
        <v>44978</v>
      </c>
      <c r="Q9847" t="s">
        <v>333</v>
      </c>
      <c r="R9847" t="s">
        <v>338</v>
      </c>
      <c r="S9847" t="s">
        <v>323</v>
      </c>
      <c r="T9847">
        <v>7.6</v>
      </c>
      <c r="W9847" t="s">
        <v>330</v>
      </c>
      <c r="Y9847" s="42">
        <v>44985</v>
      </c>
    </row>
    <row r="9848" spans="1:25">
      <c r="N9848" s="42">
        <v>44977</v>
      </c>
      <c r="O9848" t="s">
        <v>345</v>
      </c>
      <c r="P9848" s="42">
        <v>44977</v>
      </c>
      <c r="Q9848" t="s">
        <v>345</v>
      </c>
      <c r="R9848" t="s">
        <v>338</v>
      </c>
      <c r="S9848" t="s">
        <v>323</v>
      </c>
      <c r="T9848">
        <v>7.6</v>
      </c>
      <c r="W9848" t="s">
        <v>330</v>
      </c>
      <c r="Y9848" s="42">
        <v>44985</v>
      </c>
    </row>
    <row r="9849" spans="1:25">
      <c r="N9849" s="42">
        <v>44974</v>
      </c>
      <c r="O9849" t="s">
        <v>346</v>
      </c>
      <c r="P9849" s="42">
        <v>44974</v>
      </c>
      <c r="Q9849" t="s">
        <v>346</v>
      </c>
      <c r="R9849" t="s">
        <v>320</v>
      </c>
      <c r="S9849" t="s">
        <v>323</v>
      </c>
      <c r="T9849">
        <v>7.6</v>
      </c>
      <c r="Y9849" s="42">
        <v>44985</v>
      </c>
    </row>
    <row r="9850" spans="1:25">
      <c r="N9850" s="42">
        <v>44973</v>
      </c>
      <c r="O9850" t="s">
        <v>324</v>
      </c>
      <c r="P9850" s="42">
        <v>44973</v>
      </c>
      <c r="Q9850" t="s">
        <v>324</v>
      </c>
      <c r="R9850" t="s">
        <v>320</v>
      </c>
      <c r="S9850" t="s">
        <v>323</v>
      </c>
      <c r="T9850">
        <v>7.6</v>
      </c>
      <c r="Y9850" s="42">
        <v>44985</v>
      </c>
    </row>
    <row r="9851" spans="1:25">
      <c r="N9851" s="42">
        <v>44972</v>
      </c>
      <c r="O9851" t="s">
        <v>328</v>
      </c>
      <c r="P9851" s="42">
        <v>44972</v>
      </c>
      <c r="Q9851" t="s">
        <v>328</v>
      </c>
      <c r="R9851" t="s">
        <v>320</v>
      </c>
      <c r="S9851" t="s">
        <v>323</v>
      </c>
      <c r="T9851">
        <v>7.6</v>
      </c>
      <c r="Y9851" s="42">
        <v>44985</v>
      </c>
    </row>
    <row r="9852" spans="1:25">
      <c r="N9852" s="42">
        <v>44971</v>
      </c>
      <c r="O9852" t="s">
        <v>333</v>
      </c>
      <c r="P9852" s="42">
        <v>44971</v>
      </c>
      <c r="Q9852" t="s">
        <v>333</v>
      </c>
      <c r="R9852" t="s">
        <v>320</v>
      </c>
      <c r="S9852" t="s">
        <v>323</v>
      </c>
      <c r="T9852">
        <v>7.6</v>
      </c>
      <c r="Y9852" s="42">
        <v>44971</v>
      </c>
    </row>
    <row r="9853" spans="1:25">
      <c r="N9853" s="42">
        <v>44952</v>
      </c>
      <c r="O9853" t="s">
        <v>324</v>
      </c>
      <c r="P9853" s="42">
        <v>44952</v>
      </c>
      <c r="Q9853" t="s">
        <v>324</v>
      </c>
      <c r="R9853" t="s">
        <v>320</v>
      </c>
      <c r="S9853" t="s">
        <v>323</v>
      </c>
      <c r="U9853">
        <v>7.6</v>
      </c>
    </row>
    <row r="9854" spans="1:25">
      <c r="N9854" s="42">
        <v>44928</v>
      </c>
      <c r="O9854" t="s">
        <v>345</v>
      </c>
      <c r="P9854" s="42">
        <v>44928</v>
      </c>
      <c r="Q9854" t="s">
        <v>345</v>
      </c>
      <c r="R9854" t="s">
        <v>320</v>
      </c>
      <c r="S9854" t="s">
        <v>323</v>
      </c>
      <c r="U9854">
        <v>7.6</v>
      </c>
    </row>
    <row r="9855" spans="1:25">
      <c r="N9855" s="42">
        <v>44922</v>
      </c>
      <c r="O9855" t="s">
        <v>333</v>
      </c>
      <c r="P9855" s="42">
        <v>44922</v>
      </c>
      <c r="Q9855" t="s">
        <v>333</v>
      </c>
      <c r="R9855" t="s">
        <v>320</v>
      </c>
      <c r="S9855" t="s">
        <v>323</v>
      </c>
      <c r="U9855">
        <v>7.6</v>
      </c>
    </row>
    <row r="9856" spans="1:25">
      <c r="N9856" s="42">
        <v>44921</v>
      </c>
      <c r="O9856" t="s">
        <v>345</v>
      </c>
      <c r="P9856" s="42">
        <v>44921</v>
      </c>
      <c r="Q9856" t="s">
        <v>345</v>
      </c>
      <c r="R9856" t="s">
        <v>320</v>
      </c>
      <c r="S9856" t="s">
        <v>323</v>
      </c>
      <c r="U9856">
        <v>7.6</v>
      </c>
    </row>
    <row r="9857" spans="1:25">
      <c r="A9857">
        <v>19045</v>
      </c>
      <c r="B9857" t="s">
        <v>521</v>
      </c>
      <c r="C9857" t="s">
        <v>320</v>
      </c>
      <c r="D9857" t="s">
        <v>336</v>
      </c>
      <c r="E9857" t="s">
        <v>337</v>
      </c>
      <c r="F9857">
        <v>1</v>
      </c>
      <c r="G9857" s="42">
        <v>45253</v>
      </c>
      <c r="H9857">
        <v>91.2</v>
      </c>
      <c r="I9857">
        <v>-1.5</v>
      </c>
      <c r="J9857">
        <v>25.2362</v>
      </c>
      <c r="K9857">
        <v>23.7362</v>
      </c>
      <c r="L9857" t="s">
        <v>323</v>
      </c>
      <c r="M9857" s="43">
        <v>2.0833333333333333E-3</v>
      </c>
      <c r="N9857" s="42">
        <v>44928</v>
      </c>
      <c r="O9857" t="s">
        <v>345</v>
      </c>
      <c r="P9857" s="42">
        <v>44928</v>
      </c>
      <c r="Q9857" t="s">
        <v>345</v>
      </c>
      <c r="R9857" t="s">
        <v>320</v>
      </c>
      <c r="S9857" t="s">
        <v>323</v>
      </c>
      <c r="U9857">
        <v>7.6</v>
      </c>
    </row>
    <row r="9858" spans="1:25">
      <c r="C9858" t="s">
        <v>325</v>
      </c>
      <c r="D9858" t="s">
        <v>352</v>
      </c>
      <c r="E9858" t="s">
        <v>353</v>
      </c>
      <c r="F9858">
        <v>1</v>
      </c>
      <c r="G9858" s="42">
        <v>48541</v>
      </c>
      <c r="H9858">
        <v>197.60759999999999</v>
      </c>
      <c r="I9858">
        <v>0</v>
      </c>
      <c r="J9858">
        <v>5.4635999999999996</v>
      </c>
      <c r="K9858">
        <v>5.4635999999999996</v>
      </c>
      <c r="L9858" t="s">
        <v>323</v>
      </c>
      <c r="N9858" s="42">
        <v>44921</v>
      </c>
      <c r="O9858" t="s">
        <v>345</v>
      </c>
      <c r="P9858" s="42">
        <v>44921</v>
      </c>
      <c r="Q9858" t="s">
        <v>345</v>
      </c>
      <c r="R9858" t="s">
        <v>320</v>
      </c>
      <c r="S9858" t="s">
        <v>323</v>
      </c>
      <c r="U9858">
        <v>7.6</v>
      </c>
    </row>
    <row r="9859" spans="1:25">
      <c r="C9859" t="s">
        <v>329</v>
      </c>
      <c r="D9859" t="s">
        <v>342</v>
      </c>
      <c r="E9859" t="s">
        <v>343</v>
      </c>
      <c r="F9859">
        <v>1</v>
      </c>
      <c r="G9859" s="42">
        <v>45253</v>
      </c>
      <c r="H9859">
        <v>45.6</v>
      </c>
      <c r="I9859">
        <v>0</v>
      </c>
      <c r="J9859">
        <v>12.6181</v>
      </c>
      <c r="K9859">
        <v>12.6181</v>
      </c>
      <c r="L9859" t="s">
        <v>323</v>
      </c>
      <c r="N9859" s="42">
        <v>44907</v>
      </c>
      <c r="O9859" t="s">
        <v>345</v>
      </c>
      <c r="P9859" s="42">
        <v>44907</v>
      </c>
      <c r="Q9859" t="s">
        <v>345</v>
      </c>
      <c r="R9859" t="s">
        <v>320</v>
      </c>
      <c r="S9859" t="s">
        <v>323</v>
      </c>
      <c r="T9859">
        <v>1.5</v>
      </c>
      <c r="Y9859" s="42">
        <v>44915</v>
      </c>
    </row>
    <row r="9860" spans="1:25">
      <c r="A9860">
        <v>19046</v>
      </c>
      <c r="B9860" t="s">
        <v>522</v>
      </c>
      <c r="C9860" t="s">
        <v>320</v>
      </c>
      <c r="D9860" t="s">
        <v>336</v>
      </c>
      <c r="E9860" t="s">
        <v>337</v>
      </c>
      <c r="F9860">
        <v>1</v>
      </c>
      <c r="G9860" s="42">
        <v>45258</v>
      </c>
      <c r="H9860">
        <v>152</v>
      </c>
      <c r="I9860">
        <v>0</v>
      </c>
      <c r="J9860">
        <v>39.978099999999998</v>
      </c>
      <c r="K9860">
        <v>39.978099999999998</v>
      </c>
      <c r="L9860" t="s">
        <v>323</v>
      </c>
      <c r="M9860" s="43">
        <v>2.0833333333333333E-3</v>
      </c>
      <c r="N9860" s="42">
        <v>44960</v>
      </c>
      <c r="O9860" t="s">
        <v>346</v>
      </c>
      <c r="P9860" s="42">
        <v>44960</v>
      </c>
      <c r="Q9860" t="s">
        <v>346</v>
      </c>
      <c r="R9860" t="s">
        <v>329</v>
      </c>
      <c r="S9860" t="s">
        <v>323</v>
      </c>
      <c r="T9860">
        <v>7.6</v>
      </c>
      <c r="W9860" t="s">
        <v>330</v>
      </c>
      <c r="Y9860" s="42">
        <v>44971</v>
      </c>
    </row>
    <row r="9861" spans="1:25">
      <c r="C9861" t="s">
        <v>325</v>
      </c>
      <c r="D9861" t="s">
        <v>352</v>
      </c>
      <c r="E9861" t="s">
        <v>353</v>
      </c>
      <c r="F9861">
        <v>1</v>
      </c>
      <c r="G9861" s="42">
        <v>48546</v>
      </c>
      <c r="H9861">
        <v>329.346</v>
      </c>
      <c r="I9861">
        <v>0</v>
      </c>
      <c r="J9861">
        <v>8.6550999999999991</v>
      </c>
      <c r="K9861">
        <v>8.6550999999999991</v>
      </c>
      <c r="L9861" t="s">
        <v>323</v>
      </c>
      <c r="N9861" s="42">
        <v>44952</v>
      </c>
      <c r="O9861" t="s">
        <v>324</v>
      </c>
      <c r="P9861" s="42">
        <v>44952</v>
      </c>
      <c r="Q9861" t="s">
        <v>324</v>
      </c>
      <c r="R9861" t="s">
        <v>320</v>
      </c>
      <c r="S9861" t="s">
        <v>323</v>
      </c>
      <c r="U9861">
        <v>7.6</v>
      </c>
    </row>
    <row r="9862" spans="1:25">
      <c r="C9862" t="s">
        <v>329</v>
      </c>
      <c r="D9862" t="s">
        <v>342</v>
      </c>
      <c r="E9862" t="s">
        <v>343</v>
      </c>
      <c r="F9862">
        <v>1</v>
      </c>
      <c r="G9862" s="42">
        <v>45258</v>
      </c>
      <c r="H9862">
        <v>76</v>
      </c>
      <c r="I9862">
        <v>-7.6</v>
      </c>
      <c r="J9862">
        <v>19.989000000000001</v>
      </c>
      <c r="K9862">
        <v>12.388999999999999</v>
      </c>
      <c r="L9862" t="s">
        <v>323</v>
      </c>
      <c r="N9862" s="42">
        <v>44928</v>
      </c>
      <c r="O9862" t="s">
        <v>345</v>
      </c>
      <c r="P9862" s="42">
        <v>44928</v>
      </c>
      <c r="Q9862" t="s">
        <v>345</v>
      </c>
      <c r="R9862" t="s">
        <v>320</v>
      </c>
      <c r="S9862" t="s">
        <v>323</v>
      </c>
      <c r="U9862">
        <v>7.6</v>
      </c>
    </row>
    <row r="9863" spans="1:25">
      <c r="N9863" s="42">
        <v>44922</v>
      </c>
      <c r="O9863" t="s">
        <v>333</v>
      </c>
      <c r="P9863" s="42">
        <v>44922</v>
      </c>
      <c r="Q9863" t="s">
        <v>333</v>
      </c>
      <c r="R9863" t="s">
        <v>320</v>
      </c>
      <c r="S9863" t="s">
        <v>323</v>
      </c>
      <c r="U9863">
        <v>7.6</v>
      </c>
    </row>
    <row r="9864" spans="1:25">
      <c r="N9864" s="42">
        <v>44921</v>
      </c>
      <c r="O9864" t="s">
        <v>345</v>
      </c>
      <c r="P9864" s="42">
        <v>44921</v>
      </c>
      <c r="Q9864" t="s">
        <v>345</v>
      </c>
      <c r="R9864" t="s">
        <v>320</v>
      </c>
      <c r="S9864" t="s">
        <v>323</v>
      </c>
      <c r="U9864">
        <v>7.6</v>
      </c>
    </row>
    <row r="9865" spans="1:25">
      <c r="A9865">
        <v>19048</v>
      </c>
      <c r="B9865" t="s">
        <v>523</v>
      </c>
      <c r="C9865" t="s">
        <v>320</v>
      </c>
      <c r="D9865" t="s">
        <v>336</v>
      </c>
      <c r="E9865" t="s">
        <v>337</v>
      </c>
      <c r="F9865">
        <v>1</v>
      </c>
      <c r="G9865" s="42">
        <v>45267</v>
      </c>
      <c r="H9865">
        <v>152</v>
      </c>
      <c r="I9865">
        <v>0</v>
      </c>
      <c r="J9865">
        <v>36.2301</v>
      </c>
      <c r="K9865">
        <v>36.2301</v>
      </c>
      <c r="L9865" t="s">
        <v>323</v>
      </c>
      <c r="M9865" s="43">
        <v>1.3888888888888889E-3</v>
      </c>
      <c r="N9865" s="42">
        <v>44952</v>
      </c>
      <c r="O9865" t="s">
        <v>324</v>
      </c>
      <c r="P9865" s="42">
        <v>44952</v>
      </c>
      <c r="Q9865" t="s">
        <v>324</v>
      </c>
      <c r="R9865" t="s">
        <v>320</v>
      </c>
      <c r="S9865" t="s">
        <v>323</v>
      </c>
      <c r="U9865">
        <v>7.6</v>
      </c>
    </row>
    <row r="9866" spans="1:25">
      <c r="C9866" t="s">
        <v>325</v>
      </c>
      <c r="D9866" t="s">
        <v>352</v>
      </c>
      <c r="E9866" t="s">
        <v>353</v>
      </c>
      <c r="F9866">
        <v>1</v>
      </c>
      <c r="G9866" s="42">
        <v>48555</v>
      </c>
      <c r="H9866">
        <v>329.346</v>
      </c>
      <c r="I9866">
        <v>0</v>
      </c>
      <c r="J9866">
        <v>7.8437000000000001</v>
      </c>
      <c r="K9866">
        <v>7.8437000000000001</v>
      </c>
      <c r="L9866" t="s">
        <v>323</v>
      </c>
      <c r="N9866" s="42">
        <v>44939</v>
      </c>
      <c r="O9866" t="s">
        <v>346</v>
      </c>
      <c r="P9866" s="42">
        <v>44939</v>
      </c>
      <c r="Q9866" t="s">
        <v>346</v>
      </c>
      <c r="R9866" t="s">
        <v>329</v>
      </c>
      <c r="S9866" t="s">
        <v>323</v>
      </c>
      <c r="T9866">
        <v>7.6</v>
      </c>
      <c r="W9866" t="s">
        <v>330</v>
      </c>
      <c r="Y9866" s="42">
        <v>44943</v>
      </c>
    </row>
    <row r="9867" spans="1:25">
      <c r="C9867" t="s">
        <v>329</v>
      </c>
      <c r="D9867" t="s">
        <v>342</v>
      </c>
      <c r="E9867" t="s">
        <v>343</v>
      </c>
      <c r="F9867">
        <v>1</v>
      </c>
      <c r="G9867" s="42">
        <v>45267</v>
      </c>
      <c r="H9867">
        <v>76</v>
      </c>
      <c r="I9867">
        <v>-7.6</v>
      </c>
      <c r="J9867">
        <v>18.115100000000002</v>
      </c>
      <c r="K9867">
        <v>10.5151</v>
      </c>
      <c r="L9867" t="s">
        <v>323</v>
      </c>
      <c r="N9867" s="42">
        <v>44928</v>
      </c>
      <c r="O9867" t="s">
        <v>345</v>
      </c>
      <c r="P9867" s="42">
        <v>44928</v>
      </c>
      <c r="Q9867" t="s">
        <v>345</v>
      </c>
      <c r="R9867" t="s">
        <v>320</v>
      </c>
      <c r="S9867" t="s">
        <v>323</v>
      </c>
      <c r="U9867">
        <v>7.1</v>
      </c>
    </row>
    <row r="9868" spans="1:25">
      <c r="N9868" s="42">
        <v>44922</v>
      </c>
      <c r="O9868" t="s">
        <v>333</v>
      </c>
      <c r="P9868" s="42">
        <v>44922</v>
      </c>
      <c r="Q9868" t="s">
        <v>333</v>
      </c>
      <c r="R9868" t="s">
        <v>320</v>
      </c>
      <c r="S9868" t="s">
        <v>323</v>
      </c>
      <c r="U9868">
        <v>7.1</v>
      </c>
    </row>
    <row r="9869" spans="1:25">
      <c r="N9869" s="42">
        <v>44921</v>
      </c>
      <c r="O9869" t="s">
        <v>345</v>
      </c>
      <c r="P9869" s="42">
        <v>44921</v>
      </c>
      <c r="Q9869" t="s">
        <v>345</v>
      </c>
      <c r="R9869" t="s">
        <v>320</v>
      </c>
      <c r="S9869" t="s">
        <v>323</v>
      </c>
      <c r="U9869">
        <v>7.1</v>
      </c>
    </row>
    <row r="9870" spans="1:25">
      <c r="A9870">
        <v>19049</v>
      </c>
      <c r="B9870" t="s">
        <v>524</v>
      </c>
      <c r="C9870" t="s">
        <v>320</v>
      </c>
      <c r="D9870" t="s">
        <v>336</v>
      </c>
      <c r="E9870" t="s">
        <v>337</v>
      </c>
      <c r="F9870">
        <v>1</v>
      </c>
      <c r="G9870" s="42">
        <v>45266</v>
      </c>
      <c r="H9870">
        <v>152</v>
      </c>
      <c r="I9870">
        <v>0</v>
      </c>
      <c r="J9870">
        <v>36.646599999999999</v>
      </c>
      <c r="K9870">
        <v>36.646599999999999</v>
      </c>
      <c r="L9870" t="s">
        <v>323</v>
      </c>
      <c r="M9870" s="43">
        <v>1.3888888888888889E-3</v>
      </c>
      <c r="N9870" s="42">
        <v>44952</v>
      </c>
      <c r="O9870" t="s">
        <v>324</v>
      </c>
      <c r="P9870" s="42">
        <v>44952</v>
      </c>
      <c r="Q9870" t="s">
        <v>324</v>
      </c>
      <c r="R9870" t="s">
        <v>320</v>
      </c>
      <c r="S9870" t="s">
        <v>323</v>
      </c>
      <c r="U9870">
        <v>7.6</v>
      </c>
    </row>
    <row r="9871" spans="1:25">
      <c r="C9871" t="s">
        <v>325</v>
      </c>
      <c r="D9871" t="s">
        <v>340</v>
      </c>
      <c r="E9871" t="s">
        <v>341</v>
      </c>
      <c r="F9871">
        <v>1</v>
      </c>
      <c r="G9871" s="42">
        <v>47458</v>
      </c>
      <c r="H9871">
        <v>230.54220000000001</v>
      </c>
      <c r="I9871">
        <v>0</v>
      </c>
      <c r="J9871">
        <v>7.9341999999999997</v>
      </c>
      <c r="K9871">
        <v>7.9341999999999997</v>
      </c>
      <c r="L9871" t="s">
        <v>323</v>
      </c>
    </row>
    <row r="9872" spans="1:25">
      <c r="C9872" t="s">
        <v>329</v>
      </c>
      <c r="D9872" t="s">
        <v>342</v>
      </c>
      <c r="E9872" t="s">
        <v>343</v>
      </c>
      <c r="F9872">
        <v>1</v>
      </c>
      <c r="G9872" s="42">
        <v>45266</v>
      </c>
      <c r="H9872">
        <v>76</v>
      </c>
      <c r="I9872">
        <v>0</v>
      </c>
      <c r="J9872">
        <v>18.3233</v>
      </c>
      <c r="K9872">
        <v>18.3233</v>
      </c>
      <c r="L9872" t="s">
        <v>323</v>
      </c>
    </row>
    <row r="9873" spans="1:25">
      <c r="A9873">
        <v>19050</v>
      </c>
      <c r="B9873" t="s">
        <v>525</v>
      </c>
      <c r="C9873" t="s">
        <v>320</v>
      </c>
      <c r="D9873" t="s">
        <v>375</v>
      </c>
      <c r="E9873" t="s">
        <v>376</v>
      </c>
      <c r="F9873">
        <v>1</v>
      </c>
      <c r="G9873" s="42">
        <v>45267</v>
      </c>
      <c r="H9873">
        <v>0</v>
      </c>
      <c r="I9873">
        <v>0</v>
      </c>
      <c r="J9873">
        <v>0</v>
      </c>
      <c r="K9873">
        <v>0</v>
      </c>
      <c r="L9873" t="s">
        <v>323</v>
      </c>
      <c r="M9873" s="43">
        <v>1.3888888888888889E-3</v>
      </c>
    </row>
    <row r="9874" spans="1:25">
      <c r="C9874" t="s">
        <v>325</v>
      </c>
      <c r="D9874" t="s">
        <v>349</v>
      </c>
      <c r="E9874" t="s">
        <v>350</v>
      </c>
      <c r="F9874">
        <v>1</v>
      </c>
      <c r="G9874" s="42">
        <v>47459</v>
      </c>
      <c r="H9874">
        <v>0</v>
      </c>
      <c r="I9874">
        <v>0</v>
      </c>
      <c r="J9874">
        <v>0</v>
      </c>
      <c r="K9874">
        <v>0</v>
      </c>
      <c r="L9874" t="s">
        <v>323</v>
      </c>
    </row>
    <row r="9875" spans="1:25">
      <c r="C9875" t="s">
        <v>329</v>
      </c>
      <c r="D9875" t="s">
        <v>379</v>
      </c>
      <c r="E9875" t="s">
        <v>380</v>
      </c>
      <c r="F9875">
        <v>1</v>
      </c>
      <c r="G9875" s="42">
        <v>45267</v>
      </c>
      <c r="H9875">
        <v>0</v>
      </c>
      <c r="I9875">
        <v>0</v>
      </c>
      <c r="J9875">
        <v>0</v>
      </c>
      <c r="K9875">
        <v>0</v>
      </c>
      <c r="L9875" t="s">
        <v>323</v>
      </c>
    </row>
    <row r="9876" spans="1:25">
      <c r="A9876">
        <v>19051</v>
      </c>
      <c r="B9876" t="s">
        <v>526</v>
      </c>
      <c r="C9876" t="s">
        <v>320</v>
      </c>
      <c r="D9876" t="s">
        <v>336</v>
      </c>
      <c r="E9876" t="s">
        <v>337</v>
      </c>
      <c r="F9876">
        <v>1</v>
      </c>
      <c r="G9876" s="42">
        <v>45274</v>
      </c>
      <c r="H9876">
        <v>152</v>
      </c>
      <c r="I9876">
        <v>-15.2</v>
      </c>
      <c r="J9876">
        <v>33.315100000000001</v>
      </c>
      <c r="K9876">
        <v>18.115100000000002</v>
      </c>
      <c r="L9876" t="s">
        <v>323</v>
      </c>
      <c r="M9876" s="43">
        <v>1.3888888888888889E-3</v>
      </c>
      <c r="N9876" s="42">
        <v>44980</v>
      </c>
      <c r="O9876" t="s">
        <v>324</v>
      </c>
      <c r="P9876" s="42">
        <v>44980</v>
      </c>
      <c r="Q9876" t="s">
        <v>324</v>
      </c>
      <c r="R9876" t="s">
        <v>320</v>
      </c>
      <c r="S9876" t="s">
        <v>323</v>
      </c>
      <c r="T9876">
        <v>7.6</v>
      </c>
      <c r="Y9876" s="42">
        <v>44985</v>
      </c>
    </row>
    <row r="9877" spans="1:25">
      <c r="C9877" t="s">
        <v>325</v>
      </c>
      <c r="D9877" t="s">
        <v>352</v>
      </c>
      <c r="E9877" t="s">
        <v>353</v>
      </c>
      <c r="F9877">
        <v>1</v>
      </c>
      <c r="G9877" s="42">
        <v>48562</v>
      </c>
      <c r="H9877">
        <v>329.346</v>
      </c>
      <c r="I9877">
        <v>0</v>
      </c>
      <c r="J9877">
        <v>7.2126000000000001</v>
      </c>
      <c r="K9877">
        <v>7.2126000000000001</v>
      </c>
      <c r="L9877" t="s">
        <v>323</v>
      </c>
      <c r="N9877" s="42">
        <v>44960</v>
      </c>
      <c r="O9877" t="s">
        <v>346</v>
      </c>
      <c r="P9877" s="42">
        <v>44960</v>
      </c>
      <c r="Q9877" t="s">
        <v>346</v>
      </c>
      <c r="R9877" t="s">
        <v>320</v>
      </c>
      <c r="S9877" t="s">
        <v>323</v>
      </c>
      <c r="T9877">
        <v>7.6</v>
      </c>
      <c r="Y9877" s="42">
        <v>44971</v>
      </c>
    </row>
    <row r="9878" spans="1:25">
      <c r="C9878" t="s">
        <v>329</v>
      </c>
      <c r="D9878" t="s">
        <v>342</v>
      </c>
      <c r="E9878" t="s">
        <v>343</v>
      </c>
      <c r="F9878">
        <v>1</v>
      </c>
      <c r="G9878" s="42">
        <v>45274</v>
      </c>
      <c r="H9878">
        <v>76</v>
      </c>
      <c r="I9878">
        <v>-7.6</v>
      </c>
      <c r="J9878">
        <v>16.657499999999999</v>
      </c>
      <c r="K9878">
        <v>9.0574999999999992</v>
      </c>
      <c r="L9878" t="s">
        <v>323</v>
      </c>
      <c r="N9878" s="42">
        <v>44952</v>
      </c>
      <c r="O9878" t="s">
        <v>324</v>
      </c>
      <c r="P9878" s="42">
        <v>44952</v>
      </c>
      <c r="Q9878" t="s">
        <v>324</v>
      </c>
      <c r="R9878" t="s">
        <v>320</v>
      </c>
      <c r="S9878" t="s">
        <v>323</v>
      </c>
      <c r="U9878">
        <v>7.6</v>
      </c>
    </row>
    <row r="9879" spans="1:25">
      <c r="N9879" s="42">
        <v>44919</v>
      </c>
      <c r="O9879" t="s">
        <v>359</v>
      </c>
      <c r="P9879" s="42">
        <v>44919</v>
      </c>
      <c r="Q9879" t="s">
        <v>359</v>
      </c>
      <c r="R9879" t="s">
        <v>329</v>
      </c>
      <c r="S9879" t="s">
        <v>323</v>
      </c>
      <c r="T9879">
        <v>7.6</v>
      </c>
      <c r="W9879" t="s">
        <v>330</v>
      </c>
      <c r="Y9879" s="42">
        <v>44929</v>
      </c>
    </row>
    <row r="9880" spans="1:25">
      <c r="A9880">
        <v>19052</v>
      </c>
      <c r="B9880" t="s">
        <v>528</v>
      </c>
      <c r="C9880" t="s">
        <v>320</v>
      </c>
      <c r="D9880" t="s">
        <v>336</v>
      </c>
      <c r="E9880" t="s">
        <v>337</v>
      </c>
      <c r="F9880">
        <v>1</v>
      </c>
      <c r="G9880" s="42">
        <v>45296</v>
      </c>
      <c r="H9880">
        <v>152</v>
      </c>
      <c r="I9880">
        <v>0</v>
      </c>
      <c r="J9880">
        <v>24.153400000000001</v>
      </c>
      <c r="K9880">
        <v>24.153400000000001</v>
      </c>
      <c r="L9880" t="s">
        <v>323</v>
      </c>
      <c r="M9880" s="43">
        <v>6.9444444444444447E-4</v>
      </c>
      <c r="N9880" s="42">
        <v>44952</v>
      </c>
      <c r="O9880" t="s">
        <v>324</v>
      </c>
      <c r="P9880" s="42">
        <v>44952</v>
      </c>
      <c r="Q9880" t="s">
        <v>324</v>
      </c>
      <c r="R9880" t="s">
        <v>320</v>
      </c>
      <c r="S9880" t="s">
        <v>323</v>
      </c>
      <c r="U9880">
        <v>7.6</v>
      </c>
    </row>
    <row r="9881" spans="1:25">
      <c r="C9881" t="s">
        <v>325</v>
      </c>
      <c r="D9881" t="s">
        <v>352</v>
      </c>
      <c r="E9881" t="s">
        <v>353</v>
      </c>
      <c r="F9881">
        <v>1</v>
      </c>
      <c r="G9881" s="42">
        <v>48584</v>
      </c>
      <c r="H9881">
        <v>329.346</v>
      </c>
      <c r="I9881">
        <v>0</v>
      </c>
      <c r="J9881">
        <v>5.2290999999999999</v>
      </c>
      <c r="K9881">
        <v>5.2290999999999999</v>
      </c>
      <c r="L9881" t="s">
        <v>323</v>
      </c>
    </row>
    <row r="9882" spans="1:25">
      <c r="C9882" t="s">
        <v>329</v>
      </c>
      <c r="D9882" t="s">
        <v>342</v>
      </c>
      <c r="E9882" t="s">
        <v>343</v>
      </c>
      <c r="F9882">
        <v>1</v>
      </c>
      <c r="G9882" s="42">
        <v>45296</v>
      </c>
      <c r="H9882">
        <v>76</v>
      </c>
      <c r="I9882">
        <v>0</v>
      </c>
      <c r="J9882">
        <v>12.076700000000001</v>
      </c>
      <c r="K9882">
        <v>12.076700000000001</v>
      </c>
      <c r="L9882" t="s">
        <v>323</v>
      </c>
    </row>
    <row r="9883" spans="1:25">
      <c r="A9883">
        <v>19053</v>
      </c>
      <c r="B9883" t="s">
        <v>529</v>
      </c>
      <c r="C9883" t="s">
        <v>320</v>
      </c>
      <c r="D9883" t="s">
        <v>336</v>
      </c>
      <c r="E9883" t="s">
        <v>337</v>
      </c>
      <c r="F9883">
        <v>1</v>
      </c>
      <c r="G9883" s="42">
        <v>45295</v>
      </c>
      <c r="H9883">
        <v>147.90770000000001</v>
      </c>
      <c r="I9883">
        <v>-15.2</v>
      </c>
      <c r="J9883">
        <v>20.477599999999999</v>
      </c>
      <c r="K9883">
        <v>5.2775999999999996</v>
      </c>
      <c r="L9883" t="s">
        <v>323</v>
      </c>
      <c r="M9883" s="43">
        <v>6.9444444444444447E-4</v>
      </c>
      <c r="N9883" s="42">
        <v>44978</v>
      </c>
      <c r="O9883" t="s">
        <v>333</v>
      </c>
      <c r="P9883" s="42">
        <v>44978</v>
      </c>
      <c r="Q9883" t="s">
        <v>333</v>
      </c>
      <c r="R9883" t="s">
        <v>320</v>
      </c>
      <c r="S9883" t="s">
        <v>323</v>
      </c>
      <c r="T9883">
        <v>7.6</v>
      </c>
      <c r="Y9883" s="42">
        <v>44985</v>
      </c>
    </row>
    <row r="9884" spans="1:25">
      <c r="C9884" t="s">
        <v>325</v>
      </c>
      <c r="D9884" t="s">
        <v>352</v>
      </c>
      <c r="E9884" t="s">
        <v>353</v>
      </c>
      <c r="F9884">
        <v>1</v>
      </c>
      <c r="G9884" s="42">
        <v>48590</v>
      </c>
      <c r="H9884">
        <v>329.346</v>
      </c>
      <c r="I9884">
        <v>0</v>
      </c>
      <c r="J9884">
        <v>4.6882000000000001</v>
      </c>
      <c r="K9884">
        <v>4.6882000000000001</v>
      </c>
      <c r="L9884" t="s">
        <v>323</v>
      </c>
      <c r="N9884" s="42">
        <v>44977</v>
      </c>
      <c r="O9884" t="s">
        <v>345</v>
      </c>
      <c r="P9884" s="42">
        <v>44977</v>
      </c>
      <c r="Q9884" t="s">
        <v>345</v>
      </c>
      <c r="R9884" t="s">
        <v>329</v>
      </c>
      <c r="S9884" t="s">
        <v>323</v>
      </c>
      <c r="T9884">
        <v>7.6</v>
      </c>
      <c r="W9884" t="s">
        <v>330</v>
      </c>
      <c r="Y9884" s="42">
        <v>44985</v>
      </c>
    </row>
    <row r="9885" spans="1:25">
      <c r="C9885" t="s">
        <v>329</v>
      </c>
      <c r="D9885" t="s">
        <v>342</v>
      </c>
      <c r="E9885" t="s">
        <v>343</v>
      </c>
      <c r="F9885">
        <v>1</v>
      </c>
      <c r="G9885" s="42">
        <v>45295</v>
      </c>
      <c r="H9885">
        <v>73.953900000000004</v>
      </c>
      <c r="I9885">
        <v>-7.6</v>
      </c>
      <c r="J9885">
        <v>10.238799999999999</v>
      </c>
      <c r="K9885">
        <v>2.6387999999999998</v>
      </c>
      <c r="L9885" t="s">
        <v>323</v>
      </c>
      <c r="N9885" s="42">
        <v>44972</v>
      </c>
      <c r="O9885" t="s">
        <v>328</v>
      </c>
      <c r="P9885" s="42">
        <v>44972</v>
      </c>
      <c r="Q9885" t="s">
        <v>328</v>
      </c>
      <c r="R9885" t="s">
        <v>320</v>
      </c>
      <c r="S9885" t="s">
        <v>323</v>
      </c>
      <c r="T9885">
        <v>7.6</v>
      </c>
      <c r="Y9885" s="42">
        <v>44985</v>
      </c>
    </row>
    <row r="9886" spans="1:25">
      <c r="N9886" s="42">
        <v>44971</v>
      </c>
      <c r="O9886" t="s">
        <v>333</v>
      </c>
      <c r="P9886" s="42">
        <v>44971</v>
      </c>
      <c r="Q9886" t="s">
        <v>333</v>
      </c>
      <c r="R9886" t="s">
        <v>338</v>
      </c>
      <c r="S9886" t="s">
        <v>323</v>
      </c>
      <c r="T9886">
        <v>7.6</v>
      </c>
      <c r="W9886" t="s">
        <v>330</v>
      </c>
      <c r="Y9886" s="42">
        <v>44971</v>
      </c>
    </row>
    <row r="9887" spans="1:25">
      <c r="N9887" s="42">
        <v>44970</v>
      </c>
      <c r="O9887" t="s">
        <v>345</v>
      </c>
      <c r="P9887" s="42">
        <v>44970</v>
      </c>
      <c r="Q9887" t="s">
        <v>345</v>
      </c>
      <c r="R9887" t="s">
        <v>338</v>
      </c>
      <c r="S9887" t="s">
        <v>323</v>
      </c>
      <c r="T9887">
        <v>7.6</v>
      </c>
      <c r="W9887" t="s">
        <v>330</v>
      </c>
      <c r="Y9887" s="42">
        <v>44971</v>
      </c>
    </row>
    <row r="9888" spans="1:25">
      <c r="N9888" s="42">
        <v>44967</v>
      </c>
      <c r="O9888" t="s">
        <v>346</v>
      </c>
      <c r="P9888" s="42">
        <v>44967</v>
      </c>
      <c r="Q9888" t="s">
        <v>346</v>
      </c>
      <c r="R9888" t="s">
        <v>338</v>
      </c>
      <c r="S9888" t="s">
        <v>323</v>
      </c>
      <c r="T9888">
        <v>7.6</v>
      </c>
      <c r="W9888" t="s">
        <v>330</v>
      </c>
      <c r="Y9888" s="42">
        <v>44971</v>
      </c>
    </row>
    <row r="9889" spans="1:25">
      <c r="N9889" s="42">
        <v>44966</v>
      </c>
      <c r="O9889" t="s">
        <v>324</v>
      </c>
      <c r="P9889" s="42">
        <v>44966</v>
      </c>
      <c r="Q9889" t="s">
        <v>324</v>
      </c>
      <c r="R9889" t="s">
        <v>338</v>
      </c>
      <c r="S9889" t="s">
        <v>323</v>
      </c>
      <c r="T9889">
        <v>7.6</v>
      </c>
      <c r="W9889" t="s">
        <v>330</v>
      </c>
      <c r="Y9889" s="42">
        <v>44971</v>
      </c>
    </row>
    <row r="9890" spans="1:25">
      <c r="N9890" s="42">
        <v>44965</v>
      </c>
      <c r="O9890" t="s">
        <v>328</v>
      </c>
      <c r="P9890" s="42">
        <v>44965</v>
      </c>
      <c r="Q9890" t="s">
        <v>328</v>
      </c>
      <c r="R9890" t="s">
        <v>338</v>
      </c>
      <c r="S9890" t="s">
        <v>323</v>
      </c>
      <c r="T9890">
        <v>7.6</v>
      </c>
      <c r="W9890" t="s">
        <v>330</v>
      </c>
      <c r="Y9890" s="42">
        <v>44971</v>
      </c>
    </row>
    <row r="9891" spans="1:25">
      <c r="N9891" s="42">
        <v>44964</v>
      </c>
      <c r="O9891" t="s">
        <v>333</v>
      </c>
      <c r="P9891" s="42">
        <v>44964</v>
      </c>
      <c r="Q9891" t="s">
        <v>333</v>
      </c>
      <c r="R9891" t="s">
        <v>338</v>
      </c>
      <c r="S9891" t="s">
        <v>323</v>
      </c>
      <c r="T9891">
        <v>7.6</v>
      </c>
      <c r="W9891" t="s">
        <v>330</v>
      </c>
      <c r="Y9891" s="42">
        <v>44971</v>
      </c>
    </row>
    <row r="9892" spans="1:25">
      <c r="N9892" s="42">
        <v>44963</v>
      </c>
      <c r="O9892" t="s">
        <v>345</v>
      </c>
      <c r="P9892" s="42">
        <v>44963</v>
      </c>
      <c r="Q9892" t="s">
        <v>345</v>
      </c>
      <c r="R9892" t="s">
        <v>338</v>
      </c>
      <c r="S9892" t="s">
        <v>323</v>
      </c>
      <c r="T9892">
        <v>7.6</v>
      </c>
      <c r="W9892" t="s">
        <v>330</v>
      </c>
      <c r="Y9892" s="42">
        <v>44971</v>
      </c>
    </row>
    <row r="9893" spans="1:25">
      <c r="N9893" s="42">
        <v>44952</v>
      </c>
      <c r="O9893" t="s">
        <v>324</v>
      </c>
      <c r="P9893" s="42">
        <v>44952</v>
      </c>
      <c r="Q9893" t="s">
        <v>324</v>
      </c>
      <c r="R9893" t="s">
        <v>320</v>
      </c>
      <c r="S9893" t="s">
        <v>323</v>
      </c>
      <c r="U9893">
        <v>7.6</v>
      </c>
    </row>
    <row r="9894" spans="1:25">
      <c r="A9894">
        <v>19054</v>
      </c>
      <c r="B9894" t="s">
        <v>530</v>
      </c>
      <c r="C9894" t="s">
        <v>320</v>
      </c>
      <c r="D9894" t="s">
        <v>336</v>
      </c>
      <c r="E9894" t="s">
        <v>337</v>
      </c>
      <c r="F9894">
        <v>1</v>
      </c>
      <c r="G9894" s="42">
        <v>45314</v>
      </c>
      <c r="H9894">
        <v>152</v>
      </c>
      <c r="I9894">
        <v>0</v>
      </c>
      <c r="J9894">
        <v>16.657499999999999</v>
      </c>
      <c r="K9894">
        <v>16.657499999999999</v>
      </c>
      <c r="L9894" t="s">
        <v>323</v>
      </c>
      <c r="M9894" s="43">
        <v>6.9444444444444447E-4</v>
      </c>
      <c r="N9894" s="42">
        <v>44952</v>
      </c>
      <c r="O9894" t="s">
        <v>324</v>
      </c>
      <c r="P9894" s="42">
        <v>44952</v>
      </c>
      <c r="Q9894" t="s">
        <v>324</v>
      </c>
      <c r="R9894" t="s">
        <v>320</v>
      </c>
      <c r="S9894" t="s">
        <v>323</v>
      </c>
      <c r="U9894">
        <v>7.6</v>
      </c>
      <c r="Y9894" s="42">
        <v>44957</v>
      </c>
    </row>
    <row r="9895" spans="1:25">
      <c r="C9895" t="s">
        <v>325</v>
      </c>
      <c r="D9895" t="s">
        <v>340</v>
      </c>
      <c r="E9895" t="s">
        <v>341</v>
      </c>
      <c r="F9895">
        <v>1</v>
      </c>
      <c r="G9895" s="42">
        <v>47506</v>
      </c>
      <c r="H9895">
        <v>230.54220000000001</v>
      </c>
      <c r="I9895">
        <v>0</v>
      </c>
      <c r="J9895">
        <v>3.6063999999999998</v>
      </c>
      <c r="K9895">
        <v>3.6063999999999998</v>
      </c>
      <c r="L9895" t="s">
        <v>323</v>
      </c>
    </row>
    <row r="9896" spans="1:25">
      <c r="C9896" t="s">
        <v>329</v>
      </c>
      <c r="D9896" t="s">
        <v>342</v>
      </c>
      <c r="E9896" t="s">
        <v>343</v>
      </c>
      <c r="F9896">
        <v>1</v>
      </c>
      <c r="G9896" s="42">
        <v>45314</v>
      </c>
      <c r="H9896">
        <v>76</v>
      </c>
      <c r="I9896">
        <v>0</v>
      </c>
      <c r="J9896">
        <v>8.3287999999999993</v>
      </c>
      <c r="K9896">
        <v>8.3287999999999993</v>
      </c>
      <c r="L9896" t="s">
        <v>323</v>
      </c>
    </row>
    <row r="9897" spans="1:25">
      <c r="A9897">
        <v>19056</v>
      </c>
      <c r="B9897" t="s">
        <v>536</v>
      </c>
      <c r="C9897" t="s">
        <v>320</v>
      </c>
      <c r="D9897" t="s">
        <v>321</v>
      </c>
      <c r="E9897" t="s">
        <v>322</v>
      </c>
      <c r="F9897">
        <v>1</v>
      </c>
      <c r="G9897" s="42">
        <v>45323</v>
      </c>
      <c r="H9897">
        <v>7.0153999999999996</v>
      </c>
      <c r="I9897">
        <v>0</v>
      </c>
      <c r="J9897">
        <v>7.0153999999999996</v>
      </c>
      <c r="K9897">
        <v>7.0153999999999996</v>
      </c>
      <c r="L9897" t="s">
        <v>323</v>
      </c>
      <c r="M9897" s="43">
        <v>6.9444444444444447E-4</v>
      </c>
    </row>
    <row r="9898" spans="1:25">
      <c r="C9898" t="s">
        <v>325</v>
      </c>
      <c r="D9898" t="s">
        <v>340</v>
      </c>
      <c r="E9898" t="s">
        <v>341</v>
      </c>
      <c r="F9898">
        <v>1</v>
      </c>
      <c r="G9898" s="42">
        <v>47515</v>
      </c>
      <c r="H9898">
        <v>138.3253</v>
      </c>
      <c r="I9898">
        <v>0</v>
      </c>
      <c r="J9898">
        <v>1.677</v>
      </c>
      <c r="K9898">
        <v>1.677</v>
      </c>
      <c r="L9898" t="s">
        <v>323</v>
      </c>
    </row>
    <row r="9899" spans="1:25">
      <c r="C9899" t="s">
        <v>329</v>
      </c>
      <c r="D9899" t="s">
        <v>331</v>
      </c>
      <c r="E9899" t="s">
        <v>332</v>
      </c>
      <c r="F9899">
        <v>1</v>
      </c>
      <c r="G9899" s="42">
        <v>45323</v>
      </c>
      <c r="H9899">
        <v>3.5076999999999998</v>
      </c>
      <c r="I9899">
        <v>0</v>
      </c>
      <c r="J9899">
        <v>3.5076999999999998</v>
      </c>
      <c r="K9899">
        <v>3.5076999999999998</v>
      </c>
      <c r="L9899" t="s">
        <v>323</v>
      </c>
    </row>
    <row r="9900" spans="1:25">
      <c r="A9900">
        <v>19057</v>
      </c>
      <c r="B9900" t="s">
        <v>540</v>
      </c>
      <c r="C9900" t="s">
        <v>320</v>
      </c>
      <c r="D9900" t="s">
        <v>336</v>
      </c>
      <c r="E9900" t="s">
        <v>337</v>
      </c>
      <c r="F9900">
        <v>1</v>
      </c>
      <c r="G9900" s="42">
        <v>45335</v>
      </c>
      <c r="H9900">
        <v>152</v>
      </c>
      <c r="I9900">
        <v>0</v>
      </c>
      <c r="J9900">
        <v>7.9123000000000001</v>
      </c>
      <c r="K9900">
        <v>7.9123000000000001</v>
      </c>
      <c r="L9900" t="s">
        <v>323</v>
      </c>
      <c r="M9900" s="43">
        <v>0</v>
      </c>
    </row>
    <row r="9901" spans="1:25">
      <c r="C9901" t="s">
        <v>325</v>
      </c>
      <c r="D9901" t="s">
        <v>352</v>
      </c>
      <c r="E9901" t="s">
        <v>353</v>
      </c>
      <c r="F9901">
        <v>1</v>
      </c>
      <c r="G9901" s="42">
        <v>48623</v>
      </c>
      <c r="H9901">
        <v>329.346</v>
      </c>
      <c r="I9901">
        <v>0</v>
      </c>
      <c r="J9901">
        <v>1.7130000000000001</v>
      </c>
      <c r="K9901">
        <v>1.7130000000000001</v>
      </c>
      <c r="L9901" t="s">
        <v>323</v>
      </c>
    </row>
    <row r="9902" spans="1:25">
      <c r="C9902" t="s">
        <v>329</v>
      </c>
      <c r="D9902" t="s">
        <v>342</v>
      </c>
      <c r="E9902" t="s">
        <v>343</v>
      </c>
      <c r="F9902">
        <v>1</v>
      </c>
      <c r="G9902" s="42">
        <v>45335</v>
      </c>
      <c r="H9902">
        <v>76</v>
      </c>
      <c r="I9902">
        <v>0</v>
      </c>
      <c r="J9902">
        <v>3.9561999999999999</v>
      </c>
      <c r="K9902">
        <v>3.9561999999999999</v>
      </c>
      <c r="L9902" t="s">
        <v>323</v>
      </c>
    </row>
    <row r="9903" spans="1:25">
      <c r="A9903">
        <v>19058</v>
      </c>
      <c r="B9903" t="s">
        <v>541</v>
      </c>
      <c r="C9903" t="s">
        <v>320</v>
      </c>
      <c r="D9903" t="s">
        <v>336</v>
      </c>
      <c r="E9903" t="s">
        <v>337</v>
      </c>
      <c r="F9903">
        <v>1</v>
      </c>
      <c r="G9903" s="42">
        <v>45336</v>
      </c>
      <c r="H9903">
        <v>152</v>
      </c>
      <c r="I9903">
        <v>0</v>
      </c>
      <c r="J9903">
        <v>7.4958999999999998</v>
      </c>
      <c r="K9903">
        <v>7.4958999999999998</v>
      </c>
      <c r="L9903" t="s">
        <v>323</v>
      </c>
      <c r="M9903" s="43">
        <v>0</v>
      </c>
    </row>
    <row r="9904" spans="1:25">
      <c r="C9904" t="s">
        <v>325</v>
      </c>
      <c r="D9904" t="s">
        <v>340</v>
      </c>
      <c r="E9904" t="s">
        <v>341</v>
      </c>
      <c r="F9904">
        <v>1</v>
      </c>
      <c r="G9904" s="42">
        <v>47528</v>
      </c>
      <c r="H9904">
        <v>230.54220000000001</v>
      </c>
      <c r="I9904">
        <v>0</v>
      </c>
      <c r="J9904">
        <v>1.6229</v>
      </c>
      <c r="K9904">
        <v>1.6229</v>
      </c>
      <c r="L9904" t="s">
        <v>323</v>
      </c>
    </row>
    <row r="9905" spans="1:25">
      <c r="C9905" t="s">
        <v>329</v>
      </c>
      <c r="D9905" t="s">
        <v>342</v>
      </c>
      <c r="E9905" t="s">
        <v>343</v>
      </c>
      <c r="F9905">
        <v>1</v>
      </c>
      <c r="G9905" s="42">
        <v>45336</v>
      </c>
      <c r="H9905">
        <v>76</v>
      </c>
      <c r="I9905">
        <v>0</v>
      </c>
      <c r="J9905">
        <v>3.7479</v>
      </c>
      <c r="K9905">
        <v>3.7479</v>
      </c>
      <c r="L9905" t="s">
        <v>323</v>
      </c>
    </row>
    <row r="9906" spans="1:25">
      <c r="A9906">
        <v>19059</v>
      </c>
      <c r="B9906" t="s">
        <v>542</v>
      </c>
      <c r="C9906" t="s">
        <v>320</v>
      </c>
      <c r="D9906" t="s">
        <v>375</v>
      </c>
      <c r="E9906" t="s">
        <v>376</v>
      </c>
      <c r="F9906">
        <v>1</v>
      </c>
      <c r="G9906" s="42">
        <v>45349</v>
      </c>
      <c r="H9906">
        <v>0</v>
      </c>
      <c r="I9906">
        <v>0</v>
      </c>
      <c r="J9906">
        <v>0</v>
      </c>
      <c r="K9906">
        <v>0</v>
      </c>
      <c r="L9906" t="s">
        <v>323</v>
      </c>
      <c r="M9906" s="43">
        <v>0</v>
      </c>
    </row>
    <row r="9907" spans="1:25">
      <c r="C9907" t="s">
        <v>325</v>
      </c>
      <c r="D9907" t="s">
        <v>393</v>
      </c>
      <c r="E9907" t="s">
        <v>394</v>
      </c>
      <c r="F9907">
        <v>1</v>
      </c>
      <c r="G9907" s="42">
        <v>48637</v>
      </c>
      <c r="H9907">
        <v>0</v>
      </c>
      <c r="I9907">
        <v>0</v>
      </c>
      <c r="J9907">
        <v>0</v>
      </c>
      <c r="K9907">
        <v>0</v>
      </c>
      <c r="L9907" t="s">
        <v>323</v>
      </c>
    </row>
    <row r="9908" spans="1:25">
      <c r="C9908" t="s">
        <v>329</v>
      </c>
      <c r="D9908" t="s">
        <v>379</v>
      </c>
      <c r="E9908" t="s">
        <v>380</v>
      </c>
      <c r="F9908">
        <v>1</v>
      </c>
      <c r="G9908" s="42">
        <v>45349</v>
      </c>
      <c r="H9908">
        <v>0</v>
      </c>
      <c r="I9908">
        <v>0</v>
      </c>
      <c r="J9908">
        <v>0</v>
      </c>
      <c r="K9908">
        <v>0</v>
      </c>
      <c r="L9908" t="s">
        <v>323</v>
      </c>
    </row>
    <row r="9909" spans="1:25">
      <c r="A9909">
        <v>44705</v>
      </c>
      <c r="B9909" t="s">
        <v>511</v>
      </c>
      <c r="C9909" t="s">
        <v>320</v>
      </c>
      <c r="D9909" t="s">
        <v>336</v>
      </c>
      <c r="E9909" t="s">
        <v>337</v>
      </c>
      <c r="F9909">
        <v>1</v>
      </c>
      <c r="G9909" s="42">
        <v>45171</v>
      </c>
      <c r="H9909">
        <v>152</v>
      </c>
      <c r="I9909">
        <v>33.415399999999998</v>
      </c>
      <c r="J9909">
        <v>76.208200000000005</v>
      </c>
      <c r="K9909">
        <v>109.6236</v>
      </c>
      <c r="L9909" t="s">
        <v>323</v>
      </c>
      <c r="M9909" s="43">
        <v>0.12916666666666668</v>
      </c>
      <c r="N9909" s="42">
        <v>45042</v>
      </c>
      <c r="O9909" t="s">
        <v>328</v>
      </c>
      <c r="P9909" s="42">
        <v>45042</v>
      </c>
      <c r="Q9909" t="s">
        <v>328</v>
      </c>
      <c r="R9909" t="s">
        <v>320</v>
      </c>
      <c r="S9909" t="s">
        <v>323</v>
      </c>
      <c r="T9909">
        <v>7.6</v>
      </c>
      <c r="U9909">
        <v>0</v>
      </c>
      <c r="V9909">
        <v>0</v>
      </c>
    </row>
    <row r="9910" spans="1:25">
      <c r="C9910" t="s">
        <v>325</v>
      </c>
      <c r="D9910" t="s">
        <v>352</v>
      </c>
      <c r="E9910" t="s">
        <v>353</v>
      </c>
      <c r="F9910">
        <v>1</v>
      </c>
      <c r="G9910" s="42">
        <v>47364</v>
      </c>
      <c r="H9910">
        <v>329.346</v>
      </c>
      <c r="I9910">
        <v>0</v>
      </c>
      <c r="J9910">
        <v>115.22150000000001</v>
      </c>
      <c r="K9910">
        <v>115.22150000000001</v>
      </c>
      <c r="L9910" t="s">
        <v>323</v>
      </c>
      <c r="N9910" s="42">
        <v>45035</v>
      </c>
      <c r="O9910" t="s">
        <v>328</v>
      </c>
      <c r="P9910" s="42">
        <v>45041</v>
      </c>
      <c r="Q9910" t="s">
        <v>333</v>
      </c>
      <c r="R9910" t="s">
        <v>320</v>
      </c>
      <c r="S9910" t="s">
        <v>323</v>
      </c>
      <c r="T9910">
        <v>30.4</v>
      </c>
      <c r="U9910">
        <v>7.6</v>
      </c>
      <c r="V9910">
        <v>0</v>
      </c>
    </row>
    <row r="9911" spans="1:25">
      <c r="C9911" t="s">
        <v>329</v>
      </c>
      <c r="D9911" t="s">
        <v>342</v>
      </c>
      <c r="E9911" t="s">
        <v>343</v>
      </c>
      <c r="F9911">
        <v>1</v>
      </c>
      <c r="G9911" s="42">
        <v>45171</v>
      </c>
      <c r="H9911">
        <v>76</v>
      </c>
      <c r="I9911">
        <v>136.5077</v>
      </c>
      <c r="J9911">
        <v>38.104100000000003</v>
      </c>
      <c r="K9911">
        <v>174.61179999999999</v>
      </c>
      <c r="L9911" t="s">
        <v>323</v>
      </c>
      <c r="N9911" s="42">
        <v>44953</v>
      </c>
      <c r="O9911" t="s">
        <v>346</v>
      </c>
      <c r="P9911" s="42">
        <v>44953</v>
      </c>
      <c r="Q9911" t="s">
        <v>346</v>
      </c>
      <c r="R9911" t="s">
        <v>320</v>
      </c>
      <c r="S9911" t="s">
        <v>323</v>
      </c>
      <c r="T9911">
        <v>7.6</v>
      </c>
      <c r="V9911">
        <v>0</v>
      </c>
      <c r="Y9911" s="42">
        <v>44957</v>
      </c>
    </row>
    <row r="9912" spans="1:25">
      <c r="N9912" s="42">
        <v>44952</v>
      </c>
      <c r="O9912" t="s">
        <v>324</v>
      </c>
      <c r="P9912" s="42">
        <v>44952</v>
      </c>
      <c r="Q9912" t="s">
        <v>324</v>
      </c>
      <c r="R9912" t="s">
        <v>320</v>
      </c>
      <c r="S9912" t="s">
        <v>323</v>
      </c>
      <c r="U9912">
        <v>7.6</v>
      </c>
      <c r="Y9912" s="42">
        <v>44957</v>
      </c>
    </row>
    <row r="9913" spans="1:25">
      <c r="N9913" s="42">
        <v>44930</v>
      </c>
      <c r="O9913" t="s">
        <v>328</v>
      </c>
      <c r="P9913" s="42">
        <v>44934</v>
      </c>
      <c r="Q9913" t="s">
        <v>344</v>
      </c>
      <c r="R9913" t="s">
        <v>320</v>
      </c>
      <c r="S9913" t="s">
        <v>323</v>
      </c>
      <c r="T9913">
        <v>22.8</v>
      </c>
      <c r="U9913">
        <v>0</v>
      </c>
      <c r="V9913">
        <v>0</v>
      </c>
      <c r="Y9913" s="42">
        <v>44943</v>
      </c>
    </row>
    <row r="9914" spans="1:25">
      <c r="N9914" s="42">
        <v>44923</v>
      </c>
      <c r="O9914" t="s">
        <v>328</v>
      </c>
      <c r="P9914" s="42">
        <v>44929</v>
      </c>
      <c r="Q9914" t="s">
        <v>333</v>
      </c>
      <c r="R9914" t="s">
        <v>320</v>
      </c>
      <c r="S9914" t="s">
        <v>323</v>
      </c>
      <c r="T9914">
        <v>30.4</v>
      </c>
      <c r="U9914">
        <v>7.6</v>
      </c>
      <c r="V9914">
        <v>0</v>
      </c>
      <c r="Y9914" s="42">
        <v>44929</v>
      </c>
    </row>
    <row r="9915" spans="1:25">
      <c r="N9915" s="42">
        <v>44922</v>
      </c>
      <c r="O9915" t="s">
        <v>333</v>
      </c>
      <c r="P9915" s="42">
        <v>44922</v>
      </c>
      <c r="Q9915" t="s">
        <v>333</v>
      </c>
      <c r="R9915" t="s">
        <v>320</v>
      </c>
      <c r="S9915" t="s">
        <v>323</v>
      </c>
      <c r="U9915">
        <v>7.6</v>
      </c>
      <c r="Y9915" s="42">
        <v>44929</v>
      </c>
    </row>
    <row r="9916" spans="1:25">
      <c r="N9916" s="42">
        <v>44921</v>
      </c>
      <c r="O9916" t="s">
        <v>345</v>
      </c>
      <c r="P9916" s="42">
        <v>44921</v>
      </c>
      <c r="Q9916" t="s">
        <v>345</v>
      </c>
      <c r="R9916" t="s">
        <v>320</v>
      </c>
      <c r="S9916" t="s">
        <v>323</v>
      </c>
      <c r="U9916">
        <v>7.6</v>
      </c>
      <c r="Y9916" s="42">
        <v>44929</v>
      </c>
    </row>
    <row r="9917" spans="1:25">
      <c r="N9917" s="42">
        <v>44866</v>
      </c>
      <c r="O9917" t="s">
        <v>333</v>
      </c>
      <c r="P9917" s="42">
        <v>44866</v>
      </c>
      <c r="Q9917" t="s">
        <v>333</v>
      </c>
      <c r="R9917" t="s">
        <v>320</v>
      </c>
      <c r="S9917" t="s">
        <v>323</v>
      </c>
      <c r="T9917">
        <v>4</v>
      </c>
      <c r="V9917">
        <v>0</v>
      </c>
      <c r="Y9917" s="42">
        <v>44873</v>
      </c>
    </row>
    <row r="9918" spans="1:25">
      <c r="N9918" s="42">
        <v>44862</v>
      </c>
      <c r="O9918" t="s">
        <v>346</v>
      </c>
      <c r="P9918" s="42">
        <v>44862</v>
      </c>
      <c r="Q9918" t="s">
        <v>346</v>
      </c>
      <c r="R9918" t="s">
        <v>320</v>
      </c>
      <c r="S9918" t="s">
        <v>323</v>
      </c>
      <c r="T9918">
        <v>7.6</v>
      </c>
      <c r="V9918">
        <v>0</v>
      </c>
      <c r="Y9918" s="42">
        <v>44873</v>
      </c>
    </row>
    <row r="9919" spans="1:25">
      <c r="N9919" s="42">
        <v>44837</v>
      </c>
      <c r="O9919" t="s">
        <v>345</v>
      </c>
      <c r="P9919" s="42">
        <v>44837</v>
      </c>
      <c r="Q9919" t="s">
        <v>345</v>
      </c>
      <c r="R9919" t="s">
        <v>320</v>
      </c>
      <c r="S9919" t="s">
        <v>323</v>
      </c>
      <c r="U9919">
        <v>7.6</v>
      </c>
      <c r="Y9919" s="42">
        <v>44845</v>
      </c>
    </row>
    <row r="9920" spans="1:25">
      <c r="N9920" s="42">
        <v>44826</v>
      </c>
      <c r="O9920" t="s">
        <v>324</v>
      </c>
      <c r="P9920" s="42">
        <v>44826</v>
      </c>
      <c r="Q9920" t="s">
        <v>324</v>
      </c>
      <c r="R9920" t="s">
        <v>320</v>
      </c>
      <c r="S9920" t="s">
        <v>323</v>
      </c>
      <c r="U9920">
        <v>7.6</v>
      </c>
      <c r="Y9920" s="42">
        <v>44831</v>
      </c>
    </row>
    <row r="9921" spans="14:25">
      <c r="N9921" s="42">
        <v>44802</v>
      </c>
      <c r="O9921" t="s">
        <v>345</v>
      </c>
      <c r="P9921" s="42">
        <v>44802</v>
      </c>
      <c r="Q9921" t="s">
        <v>345</v>
      </c>
      <c r="R9921" t="s">
        <v>320</v>
      </c>
      <c r="S9921" t="s">
        <v>323</v>
      </c>
      <c r="T9921">
        <v>7.6</v>
      </c>
      <c r="V9921">
        <v>0</v>
      </c>
      <c r="Y9921" s="42">
        <v>44803</v>
      </c>
    </row>
    <row r="9922" spans="14:25">
      <c r="N9922" s="42">
        <v>44756</v>
      </c>
      <c r="O9922" t="s">
        <v>324</v>
      </c>
      <c r="P9922" s="42">
        <v>44756</v>
      </c>
      <c r="Q9922" t="s">
        <v>324</v>
      </c>
      <c r="R9922" t="s">
        <v>320</v>
      </c>
      <c r="S9922" t="s">
        <v>323</v>
      </c>
      <c r="T9922">
        <v>7.6</v>
      </c>
      <c r="V9922">
        <v>0</v>
      </c>
      <c r="Y9922" s="42">
        <v>44761</v>
      </c>
    </row>
    <row r="9923" spans="14:25">
      <c r="N9923" s="42">
        <v>44725</v>
      </c>
      <c r="O9923" t="s">
        <v>345</v>
      </c>
      <c r="P9923" s="42">
        <v>44725</v>
      </c>
      <c r="Q9923" t="s">
        <v>345</v>
      </c>
      <c r="R9923" t="s">
        <v>320</v>
      </c>
      <c r="S9923" t="s">
        <v>323</v>
      </c>
      <c r="U9923">
        <v>7.6</v>
      </c>
      <c r="Y9923" s="42">
        <v>44733</v>
      </c>
    </row>
    <row r="9924" spans="14:25">
      <c r="N9924" s="42">
        <v>44713</v>
      </c>
      <c r="O9924" t="s">
        <v>328</v>
      </c>
      <c r="P9924" s="42">
        <v>44713</v>
      </c>
      <c r="Q9924" t="s">
        <v>328</v>
      </c>
      <c r="R9924" t="s">
        <v>329</v>
      </c>
      <c r="S9924" t="s">
        <v>323</v>
      </c>
      <c r="T9924">
        <v>7.6</v>
      </c>
      <c r="W9924" t="s">
        <v>339</v>
      </c>
      <c r="Y9924" s="42">
        <v>44719</v>
      </c>
    </row>
    <row r="9925" spans="14:25">
      <c r="N9925" s="42">
        <v>44692</v>
      </c>
      <c r="O9925" t="s">
        <v>328</v>
      </c>
      <c r="P9925" s="42">
        <v>44692</v>
      </c>
      <c r="Q9925" t="s">
        <v>328</v>
      </c>
      <c r="R9925" t="s">
        <v>329</v>
      </c>
      <c r="S9925" t="s">
        <v>323</v>
      </c>
      <c r="T9925">
        <v>7.6</v>
      </c>
      <c r="W9925" t="s">
        <v>339</v>
      </c>
      <c r="Y9925" s="42">
        <v>44719</v>
      </c>
    </row>
    <row r="9926" spans="14:25">
      <c r="N9926" s="42">
        <v>44676</v>
      </c>
      <c r="O9926" t="s">
        <v>345</v>
      </c>
      <c r="P9926" s="42">
        <v>44676</v>
      </c>
      <c r="Q9926" t="s">
        <v>345</v>
      </c>
      <c r="R9926" t="s">
        <v>320</v>
      </c>
      <c r="S9926" t="s">
        <v>323</v>
      </c>
      <c r="U9926">
        <v>7.6</v>
      </c>
      <c r="Y9926" s="42">
        <v>44677</v>
      </c>
    </row>
    <row r="9927" spans="14:25">
      <c r="N9927" s="42">
        <v>44670</v>
      </c>
      <c r="O9927" t="s">
        <v>333</v>
      </c>
      <c r="P9927" s="42">
        <v>44673</v>
      </c>
      <c r="Q9927" t="s">
        <v>346</v>
      </c>
      <c r="R9927" t="s">
        <v>320</v>
      </c>
      <c r="S9927" t="s">
        <v>323</v>
      </c>
      <c r="T9927">
        <v>30.4</v>
      </c>
      <c r="V9927">
        <v>0</v>
      </c>
      <c r="Y9927" s="42">
        <v>44677</v>
      </c>
    </row>
    <row r="9928" spans="14:25">
      <c r="N9928" s="42">
        <v>44669</v>
      </c>
      <c r="O9928" t="s">
        <v>345</v>
      </c>
      <c r="P9928" s="42">
        <v>44669</v>
      </c>
      <c r="Q9928" t="s">
        <v>345</v>
      </c>
      <c r="R9928" t="s">
        <v>320</v>
      </c>
      <c r="S9928" t="s">
        <v>323</v>
      </c>
      <c r="U9928">
        <v>7.6</v>
      </c>
      <c r="Y9928" s="42">
        <v>44677</v>
      </c>
    </row>
    <row r="9929" spans="14:25">
      <c r="N9929" s="42">
        <v>44666</v>
      </c>
      <c r="O9929" t="s">
        <v>346</v>
      </c>
      <c r="P9929" s="42">
        <v>44666</v>
      </c>
      <c r="Q9929" t="s">
        <v>346</v>
      </c>
      <c r="R9929" t="s">
        <v>320</v>
      </c>
      <c r="S9929" t="s">
        <v>323</v>
      </c>
      <c r="U9929">
        <v>7.6</v>
      </c>
      <c r="Y9929" s="42">
        <v>44677</v>
      </c>
    </row>
    <row r="9930" spans="14:25">
      <c r="N9930" s="42">
        <v>44649</v>
      </c>
      <c r="O9930" t="s">
        <v>333</v>
      </c>
      <c r="P9930" s="42">
        <v>44649</v>
      </c>
      <c r="Q9930" t="s">
        <v>333</v>
      </c>
      <c r="R9930" t="s">
        <v>329</v>
      </c>
      <c r="S9930" t="s">
        <v>323</v>
      </c>
      <c r="T9930">
        <v>7.6</v>
      </c>
      <c r="W9930" t="s">
        <v>339</v>
      </c>
      <c r="Y9930" s="42">
        <v>44649</v>
      </c>
    </row>
    <row r="9931" spans="14:25">
      <c r="N9931" s="42">
        <v>44596</v>
      </c>
      <c r="O9931" t="s">
        <v>346</v>
      </c>
      <c r="P9931" s="42">
        <v>44596</v>
      </c>
      <c r="Q9931" t="s">
        <v>346</v>
      </c>
      <c r="R9931" t="s">
        <v>320</v>
      </c>
      <c r="S9931" t="s">
        <v>323</v>
      </c>
      <c r="T9931">
        <v>7.6</v>
      </c>
      <c r="V9931">
        <v>0</v>
      </c>
      <c r="Y9931" s="42">
        <v>44607</v>
      </c>
    </row>
    <row r="9932" spans="14:25">
      <c r="N9932" s="42">
        <v>44588</v>
      </c>
      <c r="O9932" t="s">
        <v>324</v>
      </c>
      <c r="P9932" s="42">
        <v>44589</v>
      </c>
      <c r="Q9932" t="s">
        <v>346</v>
      </c>
      <c r="R9932" t="s">
        <v>329</v>
      </c>
      <c r="S9932" t="s">
        <v>323</v>
      </c>
      <c r="T9932">
        <v>15.2</v>
      </c>
      <c r="W9932" t="s">
        <v>330</v>
      </c>
      <c r="X9932" t="s">
        <v>330</v>
      </c>
      <c r="Y9932" s="42">
        <v>44593</v>
      </c>
    </row>
    <row r="9933" spans="14:25">
      <c r="N9933" s="42">
        <v>44587</v>
      </c>
      <c r="O9933" t="s">
        <v>328</v>
      </c>
      <c r="P9933" s="42">
        <v>44587</v>
      </c>
      <c r="Q9933" t="s">
        <v>328</v>
      </c>
      <c r="R9933" t="s">
        <v>320</v>
      </c>
      <c r="S9933" t="s">
        <v>323</v>
      </c>
      <c r="U9933">
        <v>7.6</v>
      </c>
      <c r="Y9933" s="42">
        <v>44593</v>
      </c>
    </row>
    <row r="9934" spans="14:25">
      <c r="N9934" s="42">
        <v>44566</v>
      </c>
      <c r="O9934" t="s">
        <v>328</v>
      </c>
      <c r="P9934" s="42">
        <v>44568</v>
      </c>
      <c r="Q9934" t="s">
        <v>346</v>
      </c>
      <c r="R9934" t="s">
        <v>320</v>
      </c>
      <c r="S9934" t="s">
        <v>323</v>
      </c>
      <c r="T9934">
        <v>22.8</v>
      </c>
      <c r="U9934">
        <v>0</v>
      </c>
      <c r="V9934">
        <v>0</v>
      </c>
      <c r="Y9934" s="42">
        <v>44579</v>
      </c>
    </row>
    <row r="9935" spans="14:25">
      <c r="N9935" s="42">
        <v>44565</v>
      </c>
      <c r="O9935" t="s">
        <v>333</v>
      </c>
      <c r="P9935" s="42">
        <v>44565</v>
      </c>
      <c r="Q9935" t="s">
        <v>333</v>
      </c>
      <c r="R9935" t="s">
        <v>320</v>
      </c>
      <c r="S9935" t="s">
        <v>323</v>
      </c>
      <c r="T9935">
        <v>7.6</v>
      </c>
      <c r="U9935">
        <v>0</v>
      </c>
      <c r="V9935">
        <v>0</v>
      </c>
      <c r="Y9935" s="42">
        <v>44565</v>
      </c>
    </row>
    <row r="9936" spans="14:25">
      <c r="N9936" s="42">
        <v>44564</v>
      </c>
      <c r="O9936" t="s">
        <v>345</v>
      </c>
      <c r="P9936" s="42">
        <v>44564</v>
      </c>
      <c r="Q9936" t="s">
        <v>345</v>
      </c>
      <c r="R9936" t="s">
        <v>320</v>
      </c>
      <c r="S9936" t="s">
        <v>323</v>
      </c>
      <c r="U9936">
        <v>7.6</v>
      </c>
      <c r="Y9936" s="42">
        <v>44565</v>
      </c>
    </row>
    <row r="9937" spans="14:25">
      <c r="N9937" s="42">
        <v>44559</v>
      </c>
      <c r="O9937" t="s">
        <v>328</v>
      </c>
      <c r="P9937" s="42">
        <v>44561</v>
      </c>
      <c r="Q9937" t="s">
        <v>346</v>
      </c>
      <c r="R9937" t="s">
        <v>320</v>
      </c>
      <c r="S9937" t="s">
        <v>323</v>
      </c>
      <c r="T9937">
        <v>22.8</v>
      </c>
      <c r="V9937">
        <v>0</v>
      </c>
      <c r="Y9937" s="42">
        <v>44565</v>
      </c>
    </row>
    <row r="9938" spans="14:25">
      <c r="N9938" s="42">
        <v>44558</v>
      </c>
      <c r="O9938" t="s">
        <v>333</v>
      </c>
      <c r="P9938" s="42">
        <v>44558</v>
      </c>
      <c r="Q9938" t="s">
        <v>333</v>
      </c>
      <c r="R9938" t="s">
        <v>320</v>
      </c>
      <c r="S9938" t="s">
        <v>323</v>
      </c>
      <c r="U9938">
        <v>7.6</v>
      </c>
      <c r="Y9938" s="42">
        <v>44565</v>
      </c>
    </row>
    <row r="9939" spans="14:25">
      <c r="N9939" s="42">
        <v>44557</v>
      </c>
      <c r="O9939" t="s">
        <v>345</v>
      </c>
      <c r="P9939" s="42">
        <v>44557</v>
      </c>
      <c r="Q9939" t="s">
        <v>345</v>
      </c>
      <c r="R9939" t="s">
        <v>320</v>
      </c>
      <c r="S9939" t="s">
        <v>323</v>
      </c>
      <c r="U9939">
        <v>7.6</v>
      </c>
      <c r="Y9939" s="42">
        <v>44565</v>
      </c>
    </row>
    <row r="9940" spans="14:25">
      <c r="N9940" s="42">
        <v>44551</v>
      </c>
      <c r="O9940" t="s">
        <v>333</v>
      </c>
      <c r="P9940" s="42">
        <v>44551</v>
      </c>
      <c r="Q9940" t="s">
        <v>333</v>
      </c>
      <c r="R9940" t="s">
        <v>329</v>
      </c>
      <c r="S9940" t="s">
        <v>323</v>
      </c>
      <c r="T9940">
        <v>7.6</v>
      </c>
      <c r="W9940" t="s">
        <v>339</v>
      </c>
      <c r="Y9940" s="42">
        <v>44593</v>
      </c>
    </row>
    <row r="9941" spans="14:25">
      <c r="N9941" s="42">
        <v>44473</v>
      </c>
      <c r="O9941" t="s">
        <v>345</v>
      </c>
      <c r="P9941" s="42">
        <v>44473</v>
      </c>
      <c r="Q9941" t="s">
        <v>345</v>
      </c>
      <c r="R9941" t="s">
        <v>320</v>
      </c>
      <c r="S9941" t="s">
        <v>323</v>
      </c>
      <c r="U9941">
        <v>7.6</v>
      </c>
      <c r="Y9941" s="42">
        <v>44481</v>
      </c>
    </row>
    <row r="9942" spans="14:25">
      <c r="N9942" s="42">
        <v>44445</v>
      </c>
      <c r="O9942" t="s">
        <v>345</v>
      </c>
      <c r="P9942" s="42">
        <v>44449</v>
      </c>
      <c r="Q9942" t="s">
        <v>346</v>
      </c>
      <c r="R9942" t="s">
        <v>320</v>
      </c>
      <c r="S9942" t="s">
        <v>323</v>
      </c>
      <c r="T9942">
        <v>38</v>
      </c>
      <c r="V9942">
        <v>0</v>
      </c>
      <c r="Y9942" s="42">
        <v>44453</v>
      </c>
    </row>
    <row r="9943" spans="14:25">
      <c r="N9943" s="42">
        <v>44361</v>
      </c>
      <c r="O9943" t="s">
        <v>345</v>
      </c>
      <c r="P9943" s="42">
        <v>44361</v>
      </c>
      <c r="Q9943" t="s">
        <v>345</v>
      </c>
      <c r="R9943" t="s">
        <v>320</v>
      </c>
      <c r="S9943" t="s">
        <v>323</v>
      </c>
      <c r="U9943">
        <v>7.6</v>
      </c>
      <c r="Y9943" s="42">
        <v>44369</v>
      </c>
    </row>
    <row r="9944" spans="14:25">
      <c r="N9944" s="42">
        <v>44328</v>
      </c>
      <c r="O9944" t="s">
        <v>328</v>
      </c>
      <c r="P9944" s="42">
        <v>44334</v>
      </c>
      <c r="Q9944" t="s">
        <v>333</v>
      </c>
      <c r="R9944" t="s">
        <v>320</v>
      </c>
      <c r="S9944" t="s">
        <v>323</v>
      </c>
      <c r="T9944">
        <v>38</v>
      </c>
      <c r="V9944">
        <v>0</v>
      </c>
      <c r="Y9944" s="42">
        <v>44341</v>
      </c>
    </row>
    <row r="9945" spans="14:25">
      <c r="N9945" s="42">
        <v>44327</v>
      </c>
      <c r="O9945" t="s">
        <v>333</v>
      </c>
      <c r="P9945" s="42">
        <v>44327</v>
      </c>
      <c r="Q9945" t="s">
        <v>333</v>
      </c>
      <c r="R9945" t="s">
        <v>320</v>
      </c>
      <c r="S9945" t="s">
        <v>323</v>
      </c>
      <c r="T9945">
        <v>7.6</v>
      </c>
      <c r="V9945">
        <v>0</v>
      </c>
      <c r="Y9945" s="42">
        <v>44327</v>
      </c>
    </row>
    <row r="9946" spans="14:25">
      <c r="N9946" s="42">
        <v>44291</v>
      </c>
      <c r="O9946" t="s">
        <v>345</v>
      </c>
      <c r="P9946" s="42">
        <v>44291</v>
      </c>
      <c r="Q9946" t="s">
        <v>345</v>
      </c>
      <c r="R9946" t="s">
        <v>320</v>
      </c>
      <c r="S9946" t="s">
        <v>323</v>
      </c>
      <c r="U9946">
        <v>7.6</v>
      </c>
      <c r="Y9946" s="42">
        <v>44299</v>
      </c>
    </row>
    <row r="9947" spans="14:25">
      <c r="N9947" s="42">
        <v>44288</v>
      </c>
      <c r="O9947" t="s">
        <v>346</v>
      </c>
      <c r="P9947" s="42">
        <v>44288</v>
      </c>
      <c r="Q9947" t="s">
        <v>346</v>
      </c>
      <c r="R9947" t="s">
        <v>320</v>
      </c>
      <c r="S9947" t="s">
        <v>323</v>
      </c>
      <c r="U9947">
        <v>7.6</v>
      </c>
      <c r="Y9947" s="42">
        <v>44299</v>
      </c>
    </row>
    <row r="9948" spans="14:25">
      <c r="N9948" s="42">
        <v>44281</v>
      </c>
      <c r="O9948" t="s">
        <v>346</v>
      </c>
      <c r="P9948" s="42">
        <v>44284</v>
      </c>
      <c r="Q9948" t="s">
        <v>345</v>
      </c>
      <c r="R9948" t="s">
        <v>320</v>
      </c>
      <c r="S9948" t="s">
        <v>323</v>
      </c>
      <c r="T9948">
        <v>15.2</v>
      </c>
      <c r="V9948">
        <v>0</v>
      </c>
      <c r="Y9948" s="42">
        <v>44285</v>
      </c>
    </row>
    <row r="9949" spans="14:25">
      <c r="N9949" s="42">
        <v>44222</v>
      </c>
      <c r="O9949" t="s">
        <v>333</v>
      </c>
      <c r="P9949" s="42">
        <v>44222</v>
      </c>
      <c r="Q9949" t="s">
        <v>333</v>
      </c>
      <c r="R9949" t="s">
        <v>320</v>
      </c>
      <c r="S9949" t="s">
        <v>323</v>
      </c>
      <c r="U9949">
        <v>7.6</v>
      </c>
      <c r="Y9949" s="42">
        <v>44229</v>
      </c>
    </row>
    <row r="9950" spans="14:25">
      <c r="N9950" s="42">
        <v>44221</v>
      </c>
      <c r="O9950" t="s">
        <v>345</v>
      </c>
      <c r="P9950" s="42">
        <v>44221</v>
      </c>
      <c r="Q9950" t="s">
        <v>345</v>
      </c>
      <c r="R9950" t="s">
        <v>320</v>
      </c>
      <c r="S9950" t="s">
        <v>323</v>
      </c>
      <c r="T9950">
        <v>7.6</v>
      </c>
      <c r="V9950">
        <v>0</v>
      </c>
      <c r="Y9950" s="42">
        <v>44229</v>
      </c>
    </row>
    <row r="9951" spans="14:25">
      <c r="N9951" s="42">
        <v>44200</v>
      </c>
      <c r="O9951" t="s">
        <v>345</v>
      </c>
      <c r="P9951" s="42">
        <v>44200</v>
      </c>
      <c r="Q9951" t="s">
        <v>345</v>
      </c>
      <c r="R9951" t="s">
        <v>320</v>
      </c>
      <c r="S9951" t="s">
        <v>323</v>
      </c>
      <c r="T9951">
        <v>7.6</v>
      </c>
      <c r="V9951">
        <v>0</v>
      </c>
      <c r="Y9951" s="42">
        <v>44201</v>
      </c>
    </row>
    <row r="9952" spans="14:25">
      <c r="N9952" s="42">
        <v>44197</v>
      </c>
      <c r="O9952" t="s">
        <v>346</v>
      </c>
      <c r="P9952" s="42">
        <v>44197</v>
      </c>
      <c r="Q9952" t="s">
        <v>346</v>
      </c>
      <c r="R9952" t="s">
        <v>320</v>
      </c>
      <c r="S9952" t="s">
        <v>323</v>
      </c>
      <c r="U9952">
        <v>7.6</v>
      </c>
      <c r="Y9952" s="42">
        <v>44201</v>
      </c>
    </row>
    <row r="9953" spans="14:25">
      <c r="N9953" s="42">
        <v>44194</v>
      </c>
      <c r="O9953" t="s">
        <v>333</v>
      </c>
      <c r="P9953" s="42">
        <v>44194</v>
      </c>
      <c r="Q9953" t="s">
        <v>333</v>
      </c>
      <c r="R9953" t="s">
        <v>320</v>
      </c>
      <c r="S9953" t="s">
        <v>323</v>
      </c>
      <c r="T9953">
        <v>7.6</v>
      </c>
      <c r="V9953">
        <v>0</v>
      </c>
      <c r="Y9953" s="42">
        <v>44201</v>
      </c>
    </row>
    <row r="9954" spans="14:25">
      <c r="N9954" s="42">
        <v>44193</v>
      </c>
      <c r="O9954" t="s">
        <v>345</v>
      </c>
      <c r="P9954" s="42">
        <v>44193</v>
      </c>
      <c r="Q9954" t="s">
        <v>345</v>
      </c>
      <c r="R9954" t="s">
        <v>320</v>
      </c>
      <c r="S9954" t="s">
        <v>323</v>
      </c>
      <c r="U9954">
        <v>7.6</v>
      </c>
      <c r="Y9954" s="42">
        <v>44201</v>
      </c>
    </row>
    <row r="9955" spans="14:25">
      <c r="N9955" s="42">
        <v>44190</v>
      </c>
      <c r="O9955" t="s">
        <v>346</v>
      </c>
      <c r="P9955" s="42">
        <v>44190</v>
      </c>
      <c r="Q9955" t="s">
        <v>346</v>
      </c>
      <c r="R9955" t="s">
        <v>320</v>
      </c>
      <c r="S9955" t="s">
        <v>323</v>
      </c>
      <c r="U9955">
        <v>7.6</v>
      </c>
      <c r="Y9955" s="42">
        <v>44201</v>
      </c>
    </row>
    <row r="9956" spans="14:25">
      <c r="N9956" s="42">
        <v>44109</v>
      </c>
      <c r="O9956" t="s">
        <v>345</v>
      </c>
      <c r="P9956" s="42">
        <v>44109</v>
      </c>
      <c r="Q9956" t="s">
        <v>345</v>
      </c>
      <c r="R9956" t="s">
        <v>320</v>
      </c>
      <c r="S9956" t="s">
        <v>323</v>
      </c>
      <c r="U9956">
        <v>7.6</v>
      </c>
      <c r="Y9956" s="42">
        <v>44117</v>
      </c>
    </row>
    <row r="9957" spans="14:25">
      <c r="N9957" s="42">
        <v>44106</v>
      </c>
      <c r="O9957" t="s">
        <v>346</v>
      </c>
      <c r="P9957" s="42">
        <v>44106</v>
      </c>
      <c r="Q9957" t="s">
        <v>346</v>
      </c>
      <c r="R9957" t="s">
        <v>320</v>
      </c>
      <c r="S9957" t="s">
        <v>323</v>
      </c>
      <c r="T9957">
        <v>7.6</v>
      </c>
      <c r="V9957">
        <v>0</v>
      </c>
      <c r="Y9957" s="42">
        <v>44117</v>
      </c>
    </row>
    <row r="9958" spans="14:25">
      <c r="N9958" s="42">
        <v>44062</v>
      </c>
      <c r="O9958" t="s">
        <v>328</v>
      </c>
      <c r="P9958" s="42">
        <v>44067</v>
      </c>
      <c r="Q9958" t="s">
        <v>345</v>
      </c>
      <c r="R9958" t="s">
        <v>320</v>
      </c>
      <c r="S9958" t="s">
        <v>323</v>
      </c>
      <c r="T9958">
        <v>30.4</v>
      </c>
      <c r="U9958">
        <v>0</v>
      </c>
      <c r="V9958">
        <v>0</v>
      </c>
      <c r="Y9958" s="42">
        <v>44075</v>
      </c>
    </row>
    <row r="9959" spans="14:25">
      <c r="N9959" s="42">
        <v>44060</v>
      </c>
      <c r="O9959" t="s">
        <v>345</v>
      </c>
      <c r="P9959" s="42">
        <v>44061</v>
      </c>
      <c r="Q9959" t="s">
        <v>333</v>
      </c>
      <c r="R9959" t="s">
        <v>320</v>
      </c>
      <c r="S9959" t="s">
        <v>323</v>
      </c>
      <c r="T9959">
        <v>15.2</v>
      </c>
      <c r="U9959">
        <v>0</v>
      </c>
      <c r="V9959">
        <v>0</v>
      </c>
      <c r="Y9959" s="42">
        <v>44061</v>
      </c>
    </row>
    <row r="9960" spans="14:25">
      <c r="N9960" s="42">
        <v>44014</v>
      </c>
      <c r="O9960" t="s">
        <v>324</v>
      </c>
      <c r="P9960" s="42">
        <v>44018</v>
      </c>
      <c r="Q9960" t="s">
        <v>345</v>
      </c>
      <c r="R9960" t="s">
        <v>329</v>
      </c>
      <c r="S9960" t="s">
        <v>323</v>
      </c>
      <c r="T9960">
        <v>22.8</v>
      </c>
      <c r="W9960" t="s">
        <v>339</v>
      </c>
      <c r="Y9960" s="42">
        <v>44019</v>
      </c>
    </row>
    <row r="9961" spans="14:25">
      <c r="N9961" s="42">
        <v>44004</v>
      </c>
      <c r="O9961" t="s">
        <v>345</v>
      </c>
      <c r="P9961" s="42">
        <v>44004</v>
      </c>
      <c r="Q9961" t="s">
        <v>345</v>
      </c>
      <c r="R9961" t="s">
        <v>320</v>
      </c>
      <c r="S9961" t="s">
        <v>323</v>
      </c>
      <c r="T9961">
        <v>7.6</v>
      </c>
      <c r="V9961">
        <v>0</v>
      </c>
      <c r="Y9961" s="42">
        <v>44005</v>
      </c>
    </row>
    <row r="9962" spans="14:25">
      <c r="N9962" s="42">
        <v>43991</v>
      </c>
      <c r="O9962" t="s">
        <v>333</v>
      </c>
      <c r="P9962" s="42">
        <v>43991</v>
      </c>
      <c r="Q9962" t="s">
        <v>333</v>
      </c>
      <c r="R9962" t="s">
        <v>320</v>
      </c>
      <c r="S9962" t="s">
        <v>323</v>
      </c>
      <c r="T9962">
        <v>7.6</v>
      </c>
      <c r="V9962">
        <v>0</v>
      </c>
      <c r="Y9962" s="42">
        <v>43991</v>
      </c>
    </row>
    <row r="9963" spans="14:25">
      <c r="N9963" s="42">
        <v>43983</v>
      </c>
      <c r="O9963" t="s">
        <v>345</v>
      </c>
      <c r="P9963" s="42">
        <v>43983</v>
      </c>
      <c r="Q9963" t="s">
        <v>345</v>
      </c>
      <c r="R9963" t="s">
        <v>329</v>
      </c>
      <c r="S9963" t="s">
        <v>323</v>
      </c>
      <c r="T9963">
        <v>7.6</v>
      </c>
      <c r="W9963" t="s">
        <v>339</v>
      </c>
      <c r="Y9963" s="42">
        <v>43991</v>
      </c>
    </row>
    <row r="9964" spans="14:25">
      <c r="N9964" s="42">
        <v>43942</v>
      </c>
      <c r="O9964" t="s">
        <v>333</v>
      </c>
      <c r="P9964" s="42">
        <v>43942</v>
      </c>
      <c r="Q9964" t="s">
        <v>333</v>
      </c>
      <c r="R9964" t="s">
        <v>329</v>
      </c>
      <c r="S9964" t="s">
        <v>323</v>
      </c>
      <c r="T9964">
        <v>7.6</v>
      </c>
      <c r="W9964" t="s">
        <v>339</v>
      </c>
      <c r="Y9964" s="42">
        <v>43991</v>
      </c>
    </row>
    <row r="9965" spans="14:25">
      <c r="N9965" s="42">
        <v>43867</v>
      </c>
      <c r="O9965" t="s">
        <v>324</v>
      </c>
      <c r="P9965" s="42">
        <v>43867</v>
      </c>
      <c r="Q9965" t="s">
        <v>324</v>
      </c>
      <c r="R9965" t="s">
        <v>347</v>
      </c>
      <c r="S9965" t="s">
        <v>323</v>
      </c>
      <c r="T9965">
        <v>7.6</v>
      </c>
      <c r="W9965" t="s">
        <v>330</v>
      </c>
      <c r="Y9965" s="42">
        <v>43921</v>
      </c>
    </row>
    <row r="9966" spans="14:25">
      <c r="N9966" s="42">
        <v>43867</v>
      </c>
      <c r="O9966" t="s">
        <v>324</v>
      </c>
      <c r="P9966" s="42">
        <v>43867</v>
      </c>
      <c r="Q9966" t="s">
        <v>324</v>
      </c>
      <c r="R9966" t="s">
        <v>334</v>
      </c>
      <c r="S9966" t="s">
        <v>323</v>
      </c>
      <c r="T9966">
        <v>-7.6</v>
      </c>
      <c r="W9966" t="s">
        <v>330</v>
      </c>
      <c r="Y9966" s="42">
        <v>43921</v>
      </c>
    </row>
    <row r="9967" spans="14:25">
      <c r="N9967" s="42">
        <v>43866</v>
      </c>
      <c r="O9967" t="s">
        <v>328</v>
      </c>
      <c r="P9967" s="42">
        <v>43867</v>
      </c>
      <c r="Q9967" t="s">
        <v>324</v>
      </c>
      <c r="R9967" t="s">
        <v>334</v>
      </c>
      <c r="S9967" t="s">
        <v>323</v>
      </c>
      <c r="T9967">
        <v>15.2</v>
      </c>
      <c r="W9967" t="s">
        <v>339</v>
      </c>
      <c r="Y9967" s="42">
        <v>43907</v>
      </c>
    </row>
    <row r="9968" spans="14:25">
      <c r="N9968" s="42">
        <v>43858</v>
      </c>
      <c r="O9968" t="s">
        <v>333</v>
      </c>
      <c r="P9968" s="42">
        <v>43858</v>
      </c>
      <c r="Q9968" t="s">
        <v>333</v>
      </c>
      <c r="R9968" t="s">
        <v>334</v>
      </c>
      <c r="S9968" t="s">
        <v>323</v>
      </c>
      <c r="T9968">
        <v>7.6</v>
      </c>
      <c r="W9968" t="s">
        <v>339</v>
      </c>
      <c r="Y9968" s="42">
        <v>43907</v>
      </c>
    </row>
    <row r="9969" spans="1:25">
      <c r="N9969" s="42">
        <v>43831</v>
      </c>
      <c r="O9969" t="s">
        <v>328</v>
      </c>
      <c r="P9969" s="42">
        <v>43831</v>
      </c>
      <c r="Q9969" t="s">
        <v>328</v>
      </c>
      <c r="R9969" t="s">
        <v>320</v>
      </c>
      <c r="S9969" t="s">
        <v>323</v>
      </c>
      <c r="T9969">
        <v>0</v>
      </c>
      <c r="U9969">
        <v>7.6</v>
      </c>
      <c r="Y9969" s="42">
        <v>43837</v>
      </c>
    </row>
    <row r="9970" spans="1:25">
      <c r="N9970" s="42">
        <v>43830</v>
      </c>
      <c r="O9970" t="s">
        <v>333</v>
      </c>
      <c r="P9970" s="42">
        <v>43830</v>
      </c>
      <c r="Q9970" t="s">
        <v>333</v>
      </c>
      <c r="R9970" t="s">
        <v>338</v>
      </c>
      <c r="S9970" t="s">
        <v>323</v>
      </c>
      <c r="T9970">
        <v>7.6</v>
      </c>
      <c r="W9970" t="s">
        <v>339</v>
      </c>
      <c r="Y9970" s="42">
        <v>43837</v>
      </c>
    </row>
    <row r="9971" spans="1:25">
      <c r="N9971" s="42">
        <v>43829</v>
      </c>
      <c r="O9971" t="s">
        <v>345</v>
      </c>
      <c r="P9971" s="42">
        <v>43829</v>
      </c>
      <c r="Q9971" t="s">
        <v>345</v>
      </c>
      <c r="R9971" t="s">
        <v>320</v>
      </c>
      <c r="S9971" t="s">
        <v>323</v>
      </c>
      <c r="T9971">
        <v>7.6</v>
      </c>
      <c r="Y9971" s="42">
        <v>43851</v>
      </c>
    </row>
    <row r="9972" spans="1:25">
      <c r="N9972" s="42">
        <v>43826</v>
      </c>
      <c r="O9972" t="s">
        <v>346</v>
      </c>
      <c r="P9972" s="42">
        <v>43826</v>
      </c>
      <c r="Q9972" t="s">
        <v>346</v>
      </c>
      <c r="R9972" t="s">
        <v>320</v>
      </c>
      <c r="S9972" t="s">
        <v>323</v>
      </c>
      <c r="T9972">
        <v>7.6</v>
      </c>
      <c r="V9972">
        <v>0</v>
      </c>
      <c r="Y9972" s="42">
        <v>43837</v>
      </c>
    </row>
    <row r="9973" spans="1:25">
      <c r="N9973" s="42">
        <v>43824</v>
      </c>
      <c r="O9973" t="s">
        <v>328</v>
      </c>
      <c r="P9973" s="42">
        <v>43825</v>
      </c>
      <c r="Q9973" t="s">
        <v>324</v>
      </c>
      <c r="R9973" t="s">
        <v>320</v>
      </c>
      <c r="S9973" t="s">
        <v>323</v>
      </c>
      <c r="T9973">
        <v>0</v>
      </c>
      <c r="U9973">
        <v>15.2</v>
      </c>
      <c r="Y9973" s="42">
        <v>43837</v>
      </c>
    </row>
    <row r="9974" spans="1:25">
      <c r="N9974" s="42">
        <v>43762</v>
      </c>
      <c r="O9974" t="s">
        <v>324</v>
      </c>
      <c r="P9974" s="42">
        <v>43763</v>
      </c>
      <c r="Q9974" t="s">
        <v>346</v>
      </c>
      <c r="R9974" t="s">
        <v>320</v>
      </c>
      <c r="S9974" t="s">
        <v>323</v>
      </c>
      <c r="T9974">
        <v>15.2</v>
      </c>
      <c r="Y9974" s="42">
        <v>43809</v>
      </c>
    </row>
    <row r="9975" spans="1:25">
      <c r="N9975" s="42">
        <v>43759</v>
      </c>
      <c r="O9975" t="s">
        <v>345</v>
      </c>
      <c r="P9975" s="42">
        <v>43761</v>
      </c>
      <c r="Q9975" t="s">
        <v>328</v>
      </c>
      <c r="R9975" t="s">
        <v>320</v>
      </c>
      <c r="S9975" t="s">
        <v>323</v>
      </c>
      <c r="T9975">
        <v>22.8</v>
      </c>
      <c r="Y9975" s="42">
        <v>43781</v>
      </c>
    </row>
    <row r="9976" spans="1:25">
      <c r="A9976">
        <v>1018916</v>
      </c>
      <c r="K9976">
        <v>0</v>
      </c>
    </row>
  </sheetData>
  <autoFilter ref="A1:AA914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"/>
  <sheetViews>
    <sheetView workbookViewId="0">
      <selection activeCell="B9" sqref="B9"/>
    </sheetView>
  </sheetViews>
  <sheetFormatPr defaultColWidth="9" defaultRowHeight="15"/>
  <cols>
    <col min="2" max="2" width="21.140625" customWidth="1"/>
    <col min="3" max="3" width="17" customWidth="1"/>
    <col min="11" max="11" width="33.140625" customWidth="1"/>
  </cols>
  <sheetData>
    <row r="1" spans="1:4">
      <c r="A1" s="1" t="s">
        <v>271</v>
      </c>
      <c r="B1" s="1" t="s">
        <v>49</v>
      </c>
      <c r="C1" s="1" t="s">
        <v>48</v>
      </c>
      <c r="D1" s="36" t="s">
        <v>276</v>
      </c>
    </row>
    <row r="2" spans="1:4">
      <c r="A2" s="2">
        <v>12010500</v>
      </c>
      <c r="B2" t="s">
        <v>124</v>
      </c>
      <c r="C2" t="s">
        <v>95</v>
      </c>
      <c r="D2" t="s">
        <v>124</v>
      </c>
    </row>
    <row r="3" spans="1:4">
      <c r="A3" s="2">
        <v>12010700</v>
      </c>
      <c r="B3" t="s">
        <v>133</v>
      </c>
      <c r="C3" t="s">
        <v>133</v>
      </c>
      <c r="D3" t="s">
        <v>133</v>
      </c>
    </row>
    <row r="4" spans="1:4">
      <c r="A4" s="2">
        <v>12013012</v>
      </c>
      <c r="B4" t="s">
        <v>89</v>
      </c>
      <c r="C4" t="s">
        <v>56</v>
      </c>
      <c r="D4" s="36" t="s">
        <v>288</v>
      </c>
    </row>
    <row r="5" spans="1:4">
      <c r="A5" s="2">
        <v>12013250</v>
      </c>
      <c r="B5" t="s">
        <v>137</v>
      </c>
      <c r="C5" t="s">
        <v>137</v>
      </c>
      <c r="D5" t="s">
        <v>137</v>
      </c>
    </row>
    <row r="6" spans="1:4">
      <c r="A6" s="2">
        <v>12013260</v>
      </c>
      <c r="B6" t="s">
        <v>272</v>
      </c>
      <c r="C6" t="s">
        <v>272</v>
      </c>
      <c r="D6" s="36" t="s">
        <v>284</v>
      </c>
    </row>
    <row r="7" spans="1:4">
      <c r="A7" s="2">
        <v>12013011</v>
      </c>
      <c r="B7" t="s">
        <v>57</v>
      </c>
      <c r="C7" t="s">
        <v>56</v>
      </c>
      <c r="D7" t="s">
        <v>280</v>
      </c>
    </row>
    <row r="8" spans="1:4">
      <c r="A8" s="2">
        <v>12013300</v>
      </c>
      <c r="B8" t="s">
        <v>123</v>
      </c>
      <c r="C8" t="s">
        <v>123</v>
      </c>
      <c r="D8" t="s">
        <v>123</v>
      </c>
    </row>
    <row r="9" spans="1:4">
      <c r="A9" s="2">
        <v>12018099</v>
      </c>
      <c r="B9" t="s">
        <v>102</v>
      </c>
      <c r="C9" t="s">
        <v>98</v>
      </c>
      <c r="D9" t="s">
        <v>283</v>
      </c>
    </row>
    <row r="10" spans="1:4">
      <c r="A10" s="2">
        <v>12018199</v>
      </c>
      <c r="B10" t="s">
        <v>102</v>
      </c>
      <c r="C10" t="s">
        <v>98</v>
      </c>
      <c r="D10" t="s">
        <v>283</v>
      </c>
    </row>
    <row r="11" spans="1:4">
      <c r="A11" s="2">
        <v>12018599</v>
      </c>
      <c r="B11" t="s">
        <v>121</v>
      </c>
      <c r="C11" t="s">
        <v>119</v>
      </c>
      <c r="D11" t="s">
        <v>119</v>
      </c>
    </row>
    <row r="12" spans="1:4">
      <c r="A12" s="2">
        <v>12019099</v>
      </c>
      <c r="B12" t="s">
        <v>122</v>
      </c>
      <c r="C12" t="s">
        <v>119</v>
      </c>
      <c r="D12" t="s">
        <v>119</v>
      </c>
    </row>
    <row r="13" spans="1:4">
      <c r="A13" s="2">
        <v>12019199</v>
      </c>
      <c r="B13" t="s">
        <v>120</v>
      </c>
      <c r="C13" t="s">
        <v>119</v>
      </c>
      <c r="D13" t="s">
        <v>119</v>
      </c>
    </row>
    <row r="14" spans="1:4">
      <c r="A14" s="2">
        <v>12020400</v>
      </c>
      <c r="B14" t="s">
        <v>118</v>
      </c>
      <c r="C14" t="s">
        <v>114</v>
      </c>
      <c r="D14" t="s">
        <v>118</v>
      </c>
    </row>
    <row r="15" spans="1:4">
      <c r="A15" s="2">
        <v>12020500</v>
      </c>
      <c r="B15" t="s">
        <v>273</v>
      </c>
      <c r="C15" t="s">
        <v>95</v>
      </c>
      <c r="D15" t="s">
        <v>273</v>
      </c>
    </row>
    <row r="16" spans="1:4">
      <c r="A16" s="2">
        <v>12020611</v>
      </c>
      <c r="B16" t="s">
        <v>128</v>
      </c>
      <c r="C16" t="s">
        <v>56</v>
      </c>
      <c r="D16" t="s">
        <v>128</v>
      </c>
    </row>
    <row r="17" spans="1:4">
      <c r="A17" s="2">
        <v>12020711</v>
      </c>
      <c r="B17" t="s">
        <v>128</v>
      </c>
      <c r="C17" t="s">
        <v>56</v>
      </c>
      <c r="D17" t="s">
        <v>128</v>
      </c>
    </row>
    <row r="18" spans="1:4">
      <c r="A18" s="2">
        <v>12021021</v>
      </c>
      <c r="B18" t="s">
        <v>113</v>
      </c>
      <c r="C18" t="s">
        <v>86</v>
      </c>
      <c r="D18" t="s">
        <v>113</v>
      </c>
    </row>
    <row r="19" spans="1:4">
      <c r="A19" s="2">
        <v>12022511</v>
      </c>
      <c r="B19" t="s">
        <v>128</v>
      </c>
      <c r="C19" t="s">
        <v>56</v>
      </c>
      <c r="D19" t="s">
        <v>128</v>
      </c>
    </row>
    <row r="20" spans="1:4">
      <c r="A20" s="2">
        <v>12023011</v>
      </c>
      <c r="B20" t="s">
        <v>128</v>
      </c>
      <c r="C20" t="s">
        <v>56</v>
      </c>
      <c r="D20" t="s">
        <v>128</v>
      </c>
    </row>
    <row r="21" spans="1:4">
      <c r="A21" s="2">
        <v>12023021</v>
      </c>
      <c r="B21" t="s">
        <v>113</v>
      </c>
      <c r="C21" t="s">
        <v>86</v>
      </c>
      <c r="D21" t="s">
        <v>113</v>
      </c>
    </row>
    <row r="22" spans="1:4">
      <c r="A22" s="2">
        <v>12024021</v>
      </c>
      <c r="B22" t="s">
        <v>134</v>
      </c>
      <c r="C22" t="s">
        <v>134</v>
      </c>
      <c r="D22" t="s">
        <v>134</v>
      </c>
    </row>
    <row r="23" spans="1:4">
      <c r="A23" s="2">
        <v>12028099</v>
      </c>
      <c r="B23" t="s">
        <v>135</v>
      </c>
      <c r="C23" t="s">
        <v>98</v>
      </c>
      <c r="D23" t="s">
        <v>283</v>
      </c>
    </row>
    <row r="24" spans="1:4">
      <c r="A24" s="2">
        <v>12030400</v>
      </c>
      <c r="B24" t="s">
        <v>116</v>
      </c>
      <c r="C24" t="s">
        <v>114</v>
      </c>
      <c r="D24" t="s">
        <v>116</v>
      </c>
    </row>
    <row r="25" spans="1:4">
      <c r="A25" s="2">
        <v>12030500</v>
      </c>
      <c r="B25" t="s">
        <v>125</v>
      </c>
      <c r="C25" t="s">
        <v>95</v>
      </c>
      <c r="D25" t="s">
        <v>281</v>
      </c>
    </row>
    <row r="26" spans="1:4">
      <c r="A26" s="2">
        <v>12030611</v>
      </c>
      <c r="B26" t="s">
        <v>57</v>
      </c>
      <c r="C26" t="s">
        <v>56</v>
      </c>
      <c r="D26" t="s">
        <v>280</v>
      </c>
    </row>
    <row r="27" spans="1:4">
      <c r="A27" s="2">
        <v>12030711</v>
      </c>
      <c r="B27" t="s">
        <v>57</v>
      </c>
      <c r="C27" t="s">
        <v>56</v>
      </c>
      <c r="D27" t="s">
        <v>280</v>
      </c>
    </row>
    <row r="28" spans="1:4">
      <c r="A28" s="2">
        <v>12032511</v>
      </c>
      <c r="B28" t="s">
        <v>57</v>
      </c>
      <c r="C28" t="s">
        <v>56</v>
      </c>
      <c r="D28" t="s">
        <v>280</v>
      </c>
    </row>
    <row r="29" spans="1:4">
      <c r="A29" s="2">
        <v>12033011</v>
      </c>
      <c r="B29" t="s">
        <v>57</v>
      </c>
      <c r="C29" t="s">
        <v>56</v>
      </c>
      <c r="D29" t="s">
        <v>280</v>
      </c>
    </row>
    <row r="30" spans="1:4">
      <c r="A30" s="2">
        <v>12033013</v>
      </c>
      <c r="B30" t="s">
        <v>57</v>
      </c>
      <c r="C30" t="s">
        <v>56</v>
      </c>
      <c r="D30" t="s">
        <v>280</v>
      </c>
    </row>
    <row r="31" spans="1:4">
      <c r="A31" s="2">
        <v>12033123</v>
      </c>
      <c r="B31" t="s">
        <v>274</v>
      </c>
      <c r="C31" t="s">
        <v>86</v>
      </c>
      <c r="D31" t="s">
        <v>278</v>
      </c>
    </row>
    <row r="32" spans="1:4">
      <c r="A32" s="2">
        <v>12038099</v>
      </c>
      <c r="B32" t="s">
        <v>136</v>
      </c>
      <c r="C32" t="s">
        <v>98</v>
      </c>
      <c r="D32" t="s">
        <v>283</v>
      </c>
    </row>
    <row r="33" spans="1:4">
      <c r="A33">
        <v>12033012</v>
      </c>
      <c r="B33" t="s">
        <v>89</v>
      </c>
      <c r="C33" t="s">
        <v>56</v>
      </c>
      <c r="D33" s="36" t="s">
        <v>288</v>
      </c>
    </row>
    <row r="34" spans="1:4">
      <c r="A34" s="2">
        <v>12040400</v>
      </c>
      <c r="B34" t="s">
        <v>115</v>
      </c>
      <c r="C34" t="s">
        <v>114</v>
      </c>
      <c r="D34" t="s">
        <v>115</v>
      </c>
    </row>
    <row r="35" spans="1:4">
      <c r="A35" s="2">
        <v>12040500</v>
      </c>
      <c r="B35" t="s">
        <v>96</v>
      </c>
      <c r="C35" t="s">
        <v>95</v>
      </c>
      <c r="D35" t="s">
        <v>282</v>
      </c>
    </row>
    <row r="36" spans="1:4">
      <c r="A36" s="2">
        <v>12043011</v>
      </c>
      <c r="B36" t="s">
        <v>126</v>
      </c>
      <c r="C36" t="s">
        <v>56</v>
      </c>
      <c r="D36" t="s">
        <v>279</v>
      </c>
    </row>
    <row r="37" spans="1:4">
      <c r="A37" s="2">
        <v>12043123</v>
      </c>
      <c r="B37" t="s">
        <v>87</v>
      </c>
      <c r="C37" t="s">
        <v>86</v>
      </c>
      <c r="D37" t="s">
        <v>277</v>
      </c>
    </row>
    <row r="38" spans="1:4">
      <c r="A38" s="2">
        <v>12048099</v>
      </c>
      <c r="B38" t="s">
        <v>99</v>
      </c>
      <c r="C38" t="s">
        <v>98</v>
      </c>
      <c r="D38" t="s">
        <v>283</v>
      </c>
    </row>
    <row r="39" spans="1:4">
      <c r="A39" s="2">
        <v>12060400</v>
      </c>
      <c r="B39" t="s">
        <v>117</v>
      </c>
      <c r="C39" t="s">
        <v>114</v>
      </c>
      <c r="D39" t="s">
        <v>117</v>
      </c>
    </row>
    <row r="40" spans="1:4">
      <c r="A40" s="2">
        <v>12060611</v>
      </c>
      <c r="B40" t="s">
        <v>127</v>
      </c>
      <c r="C40" t="s">
        <v>56</v>
      </c>
      <c r="D40" t="s">
        <v>127</v>
      </c>
    </row>
    <row r="41" spans="1:4">
      <c r="A41" s="2">
        <v>12060711</v>
      </c>
      <c r="B41" t="s">
        <v>127</v>
      </c>
      <c r="C41" t="s">
        <v>56</v>
      </c>
      <c r="D41" t="s">
        <v>127</v>
      </c>
    </row>
    <row r="42" spans="1:4">
      <c r="A42" s="2">
        <v>12062511</v>
      </c>
      <c r="B42" t="s">
        <v>127</v>
      </c>
      <c r="C42" t="s">
        <v>56</v>
      </c>
      <c r="D42" t="s">
        <v>127</v>
      </c>
    </row>
    <row r="43" spans="1:4">
      <c r="A43" s="2">
        <v>12063011</v>
      </c>
      <c r="B43" t="s">
        <v>127</v>
      </c>
      <c r="C43" t="s">
        <v>56</v>
      </c>
      <c r="D43" t="s">
        <v>127</v>
      </c>
    </row>
    <row r="44" spans="1:4">
      <c r="A44" s="2">
        <v>12068099</v>
      </c>
      <c r="B44" t="s">
        <v>105</v>
      </c>
      <c r="C44" t="s">
        <v>98</v>
      </c>
      <c r="D44" t="s">
        <v>283</v>
      </c>
    </row>
    <row r="45" spans="1:4">
      <c r="A45">
        <v>12042511</v>
      </c>
      <c r="B45" t="s">
        <v>126</v>
      </c>
      <c r="C45" t="s">
        <v>56</v>
      </c>
      <c r="D45" t="s">
        <v>279</v>
      </c>
    </row>
    <row r="46" spans="1:4">
      <c r="A46">
        <v>12020800</v>
      </c>
      <c r="B46" t="s">
        <v>129</v>
      </c>
      <c r="C46" t="s">
        <v>56</v>
      </c>
      <c r="D46" t="s">
        <v>128</v>
      </c>
    </row>
    <row r="47" spans="1:4">
      <c r="A47">
        <v>12060800</v>
      </c>
      <c r="B47" t="s">
        <v>130</v>
      </c>
      <c r="C47" t="s">
        <v>56</v>
      </c>
      <c r="D47" t="s">
        <v>127</v>
      </c>
    </row>
    <row r="48" spans="1:4">
      <c r="A48">
        <v>12030800</v>
      </c>
      <c r="B48" t="s">
        <v>132</v>
      </c>
      <c r="C48" t="s">
        <v>56</v>
      </c>
      <c r="D48" t="s">
        <v>280</v>
      </c>
    </row>
    <row r="49" spans="1:4">
      <c r="A49">
        <v>12040800</v>
      </c>
      <c r="B49" t="s">
        <v>131</v>
      </c>
      <c r="C49" t="s">
        <v>56</v>
      </c>
      <c r="D49" t="s">
        <v>279</v>
      </c>
    </row>
  </sheetData>
  <autoFilter ref="A1:D4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66"/>
  <sheetViews>
    <sheetView workbookViewId="0">
      <selection activeCell="B3" sqref="B3:D24"/>
    </sheetView>
  </sheetViews>
  <sheetFormatPr defaultRowHeight="15"/>
  <cols>
    <col min="1" max="1" width="27.28515625" customWidth="1"/>
    <col min="2" max="2" width="13.5703125" customWidth="1"/>
    <col min="3" max="3" width="15" customWidth="1"/>
    <col min="4" max="4" width="18.42578125" customWidth="1"/>
    <col min="5" max="5" width="18.42578125" bestFit="1" customWidth="1"/>
    <col min="6" max="6" width="31" bestFit="1" customWidth="1"/>
    <col min="7" max="7" width="18.42578125" bestFit="1" customWidth="1"/>
    <col min="8" max="8" width="13.7109375" bestFit="1" customWidth="1"/>
  </cols>
  <sheetData>
    <row r="1" spans="1:9">
      <c r="B1" s="36" t="s">
        <v>287</v>
      </c>
      <c r="C1" s="36" t="s">
        <v>285</v>
      </c>
      <c r="D1" s="36" t="s">
        <v>286</v>
      </c>
    </row>
    <row r="2" spans="1:9">
      <c r="A2" s="33" t="s">
        <v>276</v>
      </c>
      <c r="B2" t="s">
        <v>108</v>
      </c>
      <c r="C2" t="s">
        <v>109</v>
      </c>
      <c r="D2" t="s">
        <v>110</v>
      </c>
    </row>
    <row r="3" spans="1:9">
      <c r="B3" s="34">
        <v>0</v>
      </c>
      <c r="C3" s="34">
        <v>0</v>
      </c>
      <c r="D3" s="34">
        <v>0</v>
      </c>
    </row>
    <row r="4" spans="1:9">
      <c r="A4" t="s">
        <v>115</v>
      </c>
      <c r="B4" s="34">
        <v>0</v>
      </c>
      <c r="C4" s="34">
        <v>1</v>
      </c>
      <c r="D4" s="34">
        <v>1</v>
      </c>
      <c r="F4" t="str">
        <f>A4&amp;$B$1</f>
        <v>Bris Customer CareOVERTIME FTE</v>
      </c>
      <c r="G4" t="str">
        <f>A4</f>
        <v>Bris Customer Care</v>
      </c>
      <c r="H4" t="str">
        <f>$B$1</f>
        <v>OVERTIME FTE</v>
      </c>
      <c r="I4">
        <f t="shared" ref="I4:I23" si="0">INDEX($A$1:$D$24,MATCH(G4,$A:$A),MATCH(H4,$1:$1))</f>
        <v>0</v>
      </c>
    </row>
    <row r="5" spans="1:9">
      <c r="A5" t="s">
        <v>282</v>
      </c>
      <c r="B5" s="34">
        <v>0</v>
      </c>
      <c r="C5" s="34">
        <v>1.9</v>
      </c>
      <c r="D5" s="34">
        <v>1.9</v>
      </c>
      <c r="F5" t="str">
        <f t="shared" ref="F5:F23" si="1">A5&amp;$B$1</f>
        <v>Brisbane Lab AdminOVERTIME FTE</v>
      </c>
      <c r="G5" t="str">
        <f t="shared" ref="G5:G23" si="2">A5</f>
        <v>Brisbane Lab Admin</v>
      </c>
      <c r="H5" t="str">
        <f t="shared" ref="H5:H24" si="3">$B$1</f>
        <v>OVERTIME FTE</v>
      </c>
      <c r="I5">
        <f t="shared" si="0"/>
        <v>0</v>
      </c>
    </row>
    <row r="6" spans="1:9">
      <c r="A6" t="s">
        <v>279</v>
      </c>
      <c r="B6" s="34">
        <v>0.20493289473684212</v>
      </c>
      <c r="C6" s="34">
        <v>11.327959210526314</v>
      </c>
      <c r="D6" s="34">
        <v>10.612169736842105</v>
      </c>
      <c r="F6" t="str">
        <f t="shared" si="1"/>
        <v>Brisbane MicroOVERTIME FTE</v>
      </c>
      <c r="G6" t="str">
        <f t="shared" si="2"/>
        <v>Brisbane Micro</v>
      </c>
      <c r="H6" t="str">
        <f t="shared" si="3"/>
        <v>OVERTIME FTE</v>
      </c>
      <c r="I6">
        <f t="shared" si="0"/>
        <v>0.20493289473684212</v>
      </c>
    </row>
    <row r="7" spans="1:9">
      <c r="A7" t="s">
        <v>277</v>
      </c>
      <c r="B7" s="34">
        <v>0.11337697368421053</v>
      </c>
      <c r="C7" s="34">
        <v>0.9097585526315789</v>
      </c>
      <c r="D7" s="34">
        <v>0.80975855263157892</v>
      </c>
      <c r="F7" t="str">
        <f t="shared" si="1"/>
        <v>Brisbane Milk TestingOVERTIME FTE</v>
      </c>
      <c r="G7" t="str">
        <f t="shared" si="2"/>
        <v>Brisbane Milk Testing</v>
      </c>
      <c r="H7" t="str">
        <f t="shared" si="3"/>
        <v>OVERTIME FTE</v>
      </c>
      <c r="I7">
        <f t="shared" si="0"/>
        <v>0.11337697368421053</v>
      </c>
    </row>
    <row r="8" spans="1:9">
      <c r="A8" t="s">
        <v>124</v>
      </c>
      <c r="B8" s="34">
        <v>0</v>
      </c>
      <c r="C8" s="34">
        <v>3</v>
      </c>
      <c r="D8" s="34">
        <v>3</v>
      </c>
      <c r="F8" t="str">
        <f t="shared" si="1"/>
        <v>Central Lab AdminOVERTIME FTE</v>
      </c>
      <c r="G8" t="str">
        <f t="shared" si="2"/>
        <v>Central Lab Admin</v>
      </c>
      <c r="H8" t="str">
        <f t="shared" si="3"/>
        <v>OVERTIME FTE</v>
      </c>
      <c r="I8">
        <f t="shared" si="0"/>
        <v>0</v>
      </c>
    </row>
    <row r="9" spans="1:9">
      <c r="A9" t="s">
        <v>288</v>
      </c>
      <c r="B9" s="34">
        <v>0</v>
      </c>
      <c r="C9" s="34">
        <v>1</v>
      </c>
      <c r="D9" s="34">
        <v>0.9</v>
      </c>
      <c r="F9" t="str">
        <f t="shared" si="1"/>
        <v>Consulting Micro  SCOVERTIME FTE</v>
      </c>
      <c r="G9" t="str">
        <f t="shared" si="2"/>
        <v>Consulting Micro  SC</v>
      </c>
      <c r="H9" t="str">
        <f t="shared" si="3"/>
        <v>OVERTIME FTE</v>
      </c>
      <c r="I9">
        <f t="shared" si="0"/>
        <v>0</v>
      </c>
    </row>
    <row r="10" spans="1:9">
      <c r="A10" t="s">
        <v>119</v>
      </c>
      <c r="B10" s="34">
        <v>0</v>
      </c>
      <c r="C10" s="34">
        <v>9</v>
      </c>
      <c r="D10" s="34">
        <v>8.7368421052631575</v>
      </c>
      <c r="F10" t="str">
        <f t="shared" si="1"/>
        <v>G&amp;AOVERTIME FTE</v>
      </c>
      <c r="G10" t="str">
        <f t="shared" si="2"/>
        <v>G&amp;A</v>
      </c>
      <c r="H10" t="str">
        <f t="shared" si="3"/>
        <v>OVERTIME FTE</v>
      </c>
      <c r="I10">
        <f t="shared" si="0"/>
        <v>0</v>
      </c>
    </row>
    <row r="11" spans="1:9">
      <c r="A11" t="s">
        <v>123</v>
      </c>
      <c r="B11" s="34">
        <v>0</v>
      </c>
      <c r="C11" s="34">
        <v>1.6</v>
      </c>
      <c r="D11" s="34">
        <v>1.6</v>
      </c>
      <c r="F11" t="str">
        <f t="shared" si="1"/>
        <v>ITOVERTIME FTE</v>
      </c>
      <c r="G11" t="str">
        <f t="shared" si="2"/>
        <v>IT</v>
      </c>
      <c r="H11" t="str">
        <f t="shared" si="3"/>
        <v>OVERTIME FTE</v>
      </c>
      <c r="I11">
        <f t="shared" si="0"/>
        <v>0</v>
      </c>
    </row>
    <row r="12" spans="1:9">
      <c r="A12" t="s">
        <v>116</v>
      </c>
      <c r="B12" s="34">
        <v>0</v>
      </c>
      <c r="C12" s="34">
        <v>1.1000000000000001</v>
      </c>
      <c r="D12" s="34">
        <v>0.8</v>
      </c>
      <c r="F12" t="str">
        <f t="shared" si="1"/>
        <v>Melb Customer CareOVERTIME FTE</v>
      </c>
      <c r="G12" t="str">
        <f t="shared" si="2"/>
        <v>Melb Customer Care</v>
      </c>
      <c r="H12" t="str">
        <f t="shared" si="3"/>
        <v>OVERTIME FTE</v>
      </c>
      <c r="I12">
        <f t="shared" si="0"/>
        <v>0</v>
      </c>
    </row>
    <row r="13" spans="1:9">
      <c r="A13" t="s">
        <v>281</v>
      </c>
      <c r="B13" s="34">
        <v>0</v>
      </c>
      <c r="C13" s="34">
        <v>1</v>
      </c>
      <c r="D13" s="34">
        <v>0.9118421052631579</v>
      </c>
      <c r="F13" t="str">
        <f t="shared" si="1"/>
        <v>Melbourne Lab AdminOVERTIME FTE</v>
      </c>
      <c r="G13" t="str">
        <f t="shared" si="2"/>
        <v>Melbourne Lab Admin</v>
      </c>
      <c r="H13" t="str">
        <f t="shared" si="3"/>
        <v>OVERTIME FTE</v>
      </c>
      <c r="I13">
        <f t="shared" si="0"/>
        <v>0</v>
      </c>
    </row>
    <row r="14" spans="1:9">
      <c r="A14" t="s">
        <v>280</v>
      </c>
      <c r="B14" s="34">
        <v>4.1472519736842104</v>
      </c>
      <c r="C14" s="34">
        <v>29.793521710526313</v>
      </c>
      <c r="D14" s="34">
        <v>26.443521710526309</v>
      </c>
      <c r="F14" t="str">
        <f t="shared" si="1"/>
        <v>Melbourne MicroOVERTIME FTE</v>
      </c>
      <c r="G14" t="str">
        <f t="shared" si="2"/>
        <v>Melbourne Micro</v>
      </c>
      <c r="H14" t="str">
        <f t="shared" si="3"/>
        <v>OVERTIME FTE</v>
      </c>
      <c r="I14">
        <f t="shared" si="0"/>
        <v>4.1472519736842104</v>
      </c>
    </row>
    <row r="15" spans="1:9">
      <c r="A15" t="s">
        <v>117</v>
      </c>
      <c r="B15" s="34">
        <v>0</v>
      </c>
      <c r="C15" s="34">
        <v>1</v>
      </c>
      <c r="D15" s="34">
        <v>0.5</v>
      </c>
      <c r="F15" t="str">
        <f t="shared" si="1"/>
        <v>Perth Customer CareOVERTIME FTE</v>
      </c>
      <c r="G15" t="str">
        <f t="shared" si="2"/>
        <v>Perth Customer Care</v>
      </c>
      <c r="H15" t="str">
        <f t="shared" si="3"/>
        <v>OVERTIME FTE</v>
      </c>
      <c r="I15">
        <f t="shared" si="0"/>
        <v>0</v>
      </c>
    </row>
    <row r="16" spans="1:9">
      <c r="A16" t="s">
        <v>127</v>
      </c>
      <c r="B16" s="34">
        <v>0.67204342105263148</v>
      </c>
      <c r="C16" s="34">
        <v>10.161517105263158</v>
      </c>
      <c r="D16" s="34">
        <v>8.8759907894736845</v>
      </c>
      <c r="F16" t="str">
        <f t="shared" si="1"/>
        <v>Perth MicroOVERTIME FTE</v>
      </c>
      <c r="G16" t="str">
        <f t="shared" si="2"/>
        <v>Perth Micro</v>
      </c>
      <c r="H16" t="str">
        <f t="shared" si="3"/>
        <v>OVERTIME FTE</v>
      </c>
      <c r="I16">
        <f t="shared" si="0"/>
        <v>0.67204342105263148</v>
      </c>
    </row>
    <row r="17" spans="1:9">
      <c r="A17" t="s">
        <v>133</v>
      </c>
      <c r="B17" s="34">
        <v>0</v>
      </c>
      <c r="C17" s="34">
        <v>2</v>
      </c>
      <c r="D17" s="34">
        <v>2</v>
      </c>
      <c r="F17" t="str">
        <f t="shared" si="1"/>
        <v>QualityOVERTIME FTE</v>
      </c>
      <c r="G17" t="str">
        <f t="shared" si="2"/>
        <v>Quality</v>
      </c>
      <c r="H17" t="str">
        <f t="shared" si="3"/>
        <v>OVERTIME FTE</v>
      </c>
      <c r="I17">
        <f t="shared" si="0"/>
        <v>0</v>
      </c>
    </row>
    <row r="18" spans="1:9">
      <c r="A18" t="s">
        <v>134</v>
      </c>
      <c r="B18" s="34">
        <v>0</v>
      </c>
      <c r="C18" s="34">
        <v>1</v>
      </c>
      <c r="D18" s="34">
        <v>0.79999999999999993</v>
      </c>
      <c r="F18" t="str">
        <f t="shared" si="1"/>
        <v>R&amp;DOVERTIME FTE</v>
      </c>
      <c r="G18" t="str">
        <f t="shared" si="2"/>
        <v>R&amp;D</v>
      </c>
      <c r="H18" t="str">
        <f t="shared" si="3"/>
        <v>OVERTIME FTE</v>
      </c>
      <c r="I18">
        <f t="shared" si="0"/>
        <v>0</v>
      </c>
    </row>
    <row r="19" spans="1:9">
      <c r="A19" t="s">
        <v>283</v>
      </c>
      <c r="B19" s="34">
        <v>0</v>
      </c>
      <c r="C19" s="34">
        <v>7.8236842105263165</v>
      </c>
      <c r="D19" s="34">
        <v>7.5486842105263161</v>
      </c>
      <c r="F19" t="str">
        <f t="shared" si="1"/>
        <v>S&amp;MOVERTIME FTE</v>
      </c>
      <c r="G19" t="str">
        <f t="shared" si="2"/>
        <v>S&amp;M</v>
      </c>
      <c r="H19" t="str">
        <f t="shared" si="3"/>
        <v>OVERTIME FTE</v>
      </c>
      <c r="I19">
        <f t="shared" si="0"/>
        <v>0</v>
      </c>
    </row>
    <row r="20" spans="1:9">
      <c r="A20" t="s">
        <v>137</v>
      </c>
      <c r="B20" s="34">
        <v>0</v>
      </c>
      <c r="C20" s="34">
        <v>5.3</v>
      </c>
      <c r="D20" s="34">
        <v>4.4499999999999993</v>
      </c>
      <c r="F20" t="str">
        <f t="shared" si="1"/>
        <v>Senior AuditOVERTIME FTE</v>
      </c>
      <c r="G20" t="str">
        <f t="shared" si="2"/>
        <v>Senior Audit</v>
      </c>
      <c r="H20" t="str">
        <f t="shared" si="3"/>
        <v>OVERTIME FTE</v>
      </c>
      <c r="I20">
        <f t="shared" si="0"/>
        <v>0</v>
      </c>
    </row>
    <row r="21" spans="1:9">
      <c r="A21" t="s">
        <v>113</v>
      </c>
      <c r="B21" s="34">
        <v>0.62960657894736838</v>
      </c>
      <c r="C21" s="34">
        <v>11.659541447368422</v>
      </c>
      <c r="D21" s="34">
        <v>9.8674361842105274</v>
      </c>
      <c r="F21" t="str">
        <f t="shared" si="1"/>
        <v>Sydney ChemOVERTIME FTE</v>
      </c>
      <c r="G21" t="str">
        <f t="shared" si="2"/>
        <v>Sydney Chem</v>
      </c>
      <c r="H21" t="str">
        <f t="shared" si="3"/>
        <v>OVERTIME FTE</v>
      </c>
      <c r="I21">
        <f t="shared" si="0"/>
        <v>0.62960657894736838</v>
      </c>
    </row>
    <row r="22" spans="1:9">
      <c r="A22" t="s">
        <v>118</v>
      </c>
      <c r="B22" s="34">
        <v>0</v>
      </c>
      <c r="C22" s="34">
        <v>1.6</v>
      </c>
      <c r="D22" s="34">
        <v>1.55</v>
      </c>
      <c r="F22" t="str">
        <f t="shared" si="1"/>
        <v>Sydney Customer CareOVERTIME FTE</v>
      </c>
      <c r="G22" t="str">
        <f t="shared" si="2"/>
        <v>Sydney Customer Care</v>
      </c>
      <c r="H22" t="str">
        <f t="shared" si="3"/>
        <v>OVERTIME FTE</v>
      </c>
      <c r="I22">
        <f t="shared" si="0"/>
        <v>0</v>
      </c>
    </row>
    <row r="23" spans="1:9">
      <c r="A23" t="s">
        <v>273</v>
      </c>
      <c r="B23" s="34">
        <v>0</v>
      </c>
      <c r="C23" s="34">
        <v>1.1263157894736842</v>
      </c>
      <c r="D23" s="34">
        <v>1.1263157894736842</v>
      </c>
      <c r="F23" t="str">
        <f t="shared" si="1"/>
        <v>Sydney Lab AdminOVERTIME FTE</v>
      </c>
      <c r="G23" t="str">
        <f t="shared" si="2"/>
        <v>Sydney Lab Admin</v>
      </c>
      <c r="H23" t="str">
        <f t="shared" si="3"/>
        <v>OVERTIME FTE</v>
      </c>
      <c r="I23">
        <f t="shared" si="0"/>
        <v>0</v>
      </c>
    </row>
    <row r="24" spans="1:9">
      <c r="A24" t="s">
        <v>128</v>
      </c>
      <c r="B24" s="34">
        <v>0.47105263157894739</v>
      </c>
      <c r="C24" s="34">
        <v>24.105263157894736</v>
      </c>
      <c r="D24" s="34">
        <v>22.788815789473684</v>
      </c>
      <c r="F24" t="str">
        <f t="shared" ref="F24" si="4">A24&amp;$B$1</f>
        <v>Sydney MicroOVERTIME FTE</v>
      </c>
      <c r="G24" t="str">
        <f t="shared" ref="G24" si="5">A24</f>
        <v>Sydney Micro</v>
      </c>
      <c r="H24" t="str">
        <f t="shared" si="3"/>
        <v>OVERTIME FTE</v>
      </c>
      <c r="I24">
        <f>INDEX($A$1:$D$24,MATCH(G24,$A:$A),MATCH(H24,$1:$1))</f>
        <v>0.47105263157894739</v>
      </c>
    </row>
    <row r="25" spans="1:9">
      <c r="F25" t="str">
        <f t="shared" ref="F25:F45" si="6">A4&amp;$C$1</f>
        <v>Bris Customer CarePAID FTE</v>
      </c>
      <c r="G25" t="str">
        <f t="shared" ref="G25:G45" si="7">A4</f>
        <v>Bris Customer Care</v>
      </c>
      <c r="H25" s="36" t="str">
        <f>$C$1</f>
        <v>PAID FTE</v>
      </c>
      <c r="I25">
        <f t="shared" ref="I25:I44" si="8">INDEX($A$1:$D$24,MATCH(G25,$A:$A),MATCH(H25,$1:$1))</f>
        <v>1</v>
      </c>
    </row>
    <row r="26" spans="1:9">
      <c r="B26">
        <f>SUM(B3:B25)-GETPIVOTDATA("Sum of OT FTE",Pivot!$A$2)</f>
        <v>0</v>
      </c>
      <c r="C26">
        <f>SUM(C3:C25)-GETPIVOTDATA("Sum of Paid FTE",Pivot!$A$2)</f>
        <v>0</v>
      </c>
      <c r="D26">
        <f>SUM(D3:D25)-GETPIVOTDATA("Sum of Worked FTE",Pivot!$A$2)</f>
        <v>0</v>
      </c>
      <c r="F26" t="str">
        <f t="shared" si="6"/>
        <v>Brisbane Lab AdminPAID FTE</v>
      </c>
      <c r="G26" t="str">
        <f t="shared" si="7"/>
        <v>Brisbane Lab Admin</v>
      </c>
      <c r="H26" s="36" t="str">
        <f t="shared" ref="H26:H45" si="9">$C$1</f>
        <v>PAID FTE</v>
      </c>
      <c r="I26">
        <f t="shared" si="8"/>
        <v>1.9</v>
      </c>
    </row>
    <row r="27" spans="1:9">
      <c r="F27" t="str">
        <f t="shared" si="6"/>
        <v>Brisbane MicroPAID FTE</v>
      </c>
      <c r="G27" t="str">
        <f t="shared" si="7"/>
        <v>Brisbane Micro</v>
      </c>
      <c r="H27" s="36" t="str">
        <f t="shared" si="9"/>
        <v>PAID FTE</v>
      </c>
      <c r="I27">
        <f t="shared" si="8"/>
        <v>11.327959210526314</v>
      </c>
    </row>
    <row r="28" spans="1:9">
      <c r="F28" t="str">
        <f t="shared" si="6"/>
        <v>Brisbane Milk TestingPAID FTE</v>
      </c>
      <c r="G28" t="str">
        <f t="shared" si="7"/>
        <v>Brisbane Milk Testing</v>
      </c>
      <c r="H28" s="36" t="str">
        <f t="shared" si="9"/>
        <v>PAID FTE</v>
      </c>
      <c r="I28">
        <f t="shared" si="8"/>
        <v>0.9097585526315789</v>
      </c>
    </row>
    <row r="29" spans="1:9">
      <c r="F29" t="str">
        <f t="shared" si="6"/>
        <v>Central Lab AdminPAID FTE</v>
      </c>
      <c r="G29" t="str">
        <f t="shared" si="7"/>
        <v>Central Lab Admin</v>
      </c>
      <c r="H29" s="36" t="str">
        <f t="shared" si="9"/>
        <v>PAID FTE</v>
      </c>
      <c r="I29">
        <f t="shared" si="8"/>
        <v>3</v>
      </c>
    </row>
    <row r="30" spans="1:9">
      <c r="F30" t="str">
        <f t="shared" si="6"/>
        <v>Consulting Micro  SCPAID FTE</v>
      </c>
      <c r="G30" t="str">
        <f t="shared" si="7"/>
        <v>Consulting Micro  SC</v>
      </c>
      <c r="H30" s="36" t="str">
        <f t="shared" si="9"/>
        <v>PAID FTE</v>
      </c>
      <c r="I30">
        <f t="shared" si="8"/>
        <v>1</v>
      </c>
    </row>
    <row r="31" spans="1:9">
      <c r="F31" t="str">
        <f t="shared" si="6"/>
        <v>G&amp;APAID FTE</v>
      </c>
      <c r="G31" t="str">
        <f t="shared" si="7"/>
        <v>G&amp;A</v>
      </c>
      <c r="H31" s="36" t="str">
        <f t="shared" si="9"/>
        <v>PAID FTE</v>
      </c>
      <c r="I31">
        <f t="shared" si="8"/>
        <v>9</v>
      </c>
    </row>
    <row r="32" spans="1:9">
      <c r="F32" t="str">
        <f t="shared" si="6"/>
        <v>ITPAID FTE</v>
      </c>
      <c r="G32" t="str">
        <f t="shared" si="7"/>
        <v>IT</v>
      </c>
      <c r="H32" s="36" t="str">
        <f t="shared" si="9"/>
        <v>PAID FTE</v>
      </c>
      <c r="I32">
        <f t="shared" si="8"/>
        <v>1.6</v>
      </c>
    </row>
    <row r="33" spans="6:9">
      <c r="F33" t="str">
        <f t="shared" si="6"/>
        <v>Melb Customer CarePAID FTE</v>
      </c>
      <c r="G33" t="str">
        <f t="shared" si="7"/>
        <v>Melb Customer Care</v>
      </c>
      <c r="H33" s="36" t="str">
        <f t="shared" si="9"/>
        <v>PAID FTE</v>
      </c>
      <c r="I33">
        <f t="shared" si="8"/>
        <v>1.1000000000000001</v>
      </c>
    </row>
    <row r="34" spans="6:9">
      <c r="F34" t="str">
        <f t="shared" si="6"/>
        <v>Melbourne Lab AdminPAID FTE</v>
      </c>
      <c r="G34" t="str">
        <f t="shared" si="7"/>
        <v>Melbourne Lab Admin</v>
      </c>
      <c r="H34" s="36" t="str">
        <f t="shared" si="9"/>
        <v>PAID FTE</v>
      </c>
      <c r="I34">
        <f t="shared" si="8"/>
        <v>1</v>
      </c>
    </row>
    <row r="35" spans="6:9">
      <c r="F35" t="str">
        <f t="shared" si="6"/>
        <v>Melbourne MicroPAID FTE</v>
      </c>
      <c r="G35" t="str">
        <f t="shared" si="7"/>
        <v>Melbourne Micro</v>
      </c>
      <c r="H35" s="36" t="str">
        <f t="shared" si="9"/>
        <v>PAID FTE</v>
      </c>
      <c r="I35">
        <f t="shared" si="8"/>
        <v>29.793521710526313</v>
      </c>
    </row>
    <row r="36" spans="6:9">
      <c r="F36" t="str">
        <f t="shared" si="6"/>
        <v>Perth Customer CarePAID FTE</v>
      </c>
      <c r="G36" t="str">
        <f t="shared" si="7"/>
        <v>Perth Customer Care</v>
      </c>
      <c r="H36" s="36" t="str">
        <f t="shared" si="9"/>
        <v>PAID FTE</v>
      </c>
      <c r="I36">
        <f t="shared" si="8"/>
        <v>1</v>
      </c>
    </row>
    <row r="37" spans="6:9">
      <c r="F37" t="str">
        <f t="shared" si="6"/>
        <v>Perth MicroPAID FTE</v>
      </c>
      <c r="G37" t="str">
        <f t="shared" si="7"/>
        <v>Perth Micro</v>
      </c>
      <c r="H37" s="36" t="str">
        <f t="shared" si="9"/>
        <v>PAID FTE</v>
      </c>
      <c r="I37">
        <f t="shared" si="8"/>
        <v>10.161517105263158</v>
      </c>
    </row>
    <row r="38" spans="6:9">
      <c r="F38" t="str">
        <f t="shared" si="6"/>
        <v>QualityPAID FTE</v>
      </c>
      <c r="G38" t="str">
        <f t="shared" si="7"/>
        <v>Quality</v>
      </c>
      <c r="H38" s="36" t="str">
        <f t="shared" si="9"/>
        <v>PAID FTE</v>
      </c>
      <c r="I38">
        <f t="shared" si="8"/>
        <v>2</v>
      </c>
    </row>
    <row r="39" spans="6:9">
      <c r="F39" t="str">
        <f t="shared" si="6"/>
        <v>R&amp;DPAID FTE</v>
      </c>
      <c r="G39" t="str">
        <f t="shared" si="7"/>
        <v>R&amp;D</v>
      </c>
      <c r="H39" s="36" t="str">
        <f t="shared" si="9"/>
        <v>PAID FTE</v>
      </c>
      <c r="I39">
        <f t="shared" si="8"/>
        <v>1</v>
      </c>
    </row>
    <row r="40" spans="6:9">
      <c r="F40" t="str">
        <f t="shared" si="6"/>
        <v>S&amp;MPAID FTE</v>
      </c>
      <c r="G40" t="str">
        <f t="shared" si="7"/>
        <v>S&amp;M</v>
      </c>
      <c r="H40" s="36" t="str">
        <f t="shared" si="9"/>
        <v>PAID FTE</v>
      </c>
      <c r="I40">
        <f t="shared" si="8"/>
        <v>7.8236842105263165</v>
      </c>
    </row>
    <row r="41" spans="6:9">
      <c r="F41" t="str">
        <f t="shared" si="6"/>
        <v>Senior AuditPAID FTE</v>
      </c>
      <c r="G41" t="str">
        <f t="shared" si="7"/>
        <v>Senior Audit</v>
      </c>
      <c r="H41" s="36" t="str">
        <f t="shared" si="9"/>
        <v>PAID FTE</v>
      </c>
      <c r="I41">
        <f t="shared" si="8"/>
        <v>5.3</v>
      </c>
    </row>
    <row r="42" spans="6:9">
      <c r="F42" t="str">
        <f t="shared" si="6"/>
        <v>Sydney ChemPAID FTE</v>
      </c>
      <c r="G42" t="str">
        <f t="shared" si="7"/>
        <v>Sydney Chem</v>
      </c>
      <c r="H42" s="36" t="str">
        <f t="shared" si="9"/>
        <v>PAID FTE</v>
      </c>
      <c r="I42">
        <f t="shared" si="8"/>
        <v>11.659541447368422</v>
      </c>
    </row>
    <row r="43" spans="6:9">
      <c r="F43" t="str">
        <f t="shared" si="6"/>
        <v>Sydney Customer CarePAID FTE</v>
      </c>
      <c r="G43" t="str">
        <f t="shared" si="7"/>
        <v>Sydney Customer Care</v>
      </c>
      <c r="H43" s="36" t="str">
        <f t="shared" si="9"/>
        <v>PAID FTE</v>
      </c>
      <c r="I43">
        <f t="shared" si="8"/>
        <v>1.6</v>
      </c>
    </row>
    <row r="44" spans="6:9">
      <c r="F44" t="str">
        <f t="shared" si="6"/>
        <v>Sydney Lab AdminPAID FTE</v>
      </c>
      <c r="G44" t="str">
        <f t="shared" si="7"/>
        <v>Sydney Lab Admin</v>
      </c>
      <c r="H44" s="36" t="str">
        <f t="shared" si="9"/>
        <v>PAID FTE</v>
      </c>
      <c r="I44">
        <f t="shared" si="8"/>
        <v>1.1263157894736842</v>
      </c>
    </row>
    <row r="45" spans="6:9">
      <c r="F45" t="str">
        <f t="shared" si="6"/>
        <v>Sydney MicroPAID FTE</v>
      </c>
      <c r="G45" t="str">
        <f t="shared" si="7"/>
        <v>Sydney Micro</v>
      </c>
      <c r="H45" s="36" t="str">
        <f t="shared" si="9"/>
        <v>PAID FTE</v>
      </c>
      <c r="I45">
        <f>INDEX($A$1:$D$24,MATCH(G45,$A:$A),MATCH(H45,$1:$1))</f>
        <v>24.105263157894736</v>
      </c>
    </row>
    <row r="46" spans="6:9">
      <c r="F46" t="str">
        <f t="shared" ref="F46:F66" si="10">A4&amp;$D$1</f>
        <v>Bris Customer CareWORKED FTE</v>
      </c>
      <c r="G46" t="str">
        <f t="shared" ref="G46:G66" si="11">A4</f>
        <v>Bris Customer Care</v>
      </c>
      <c r="H46" s="36" t="str">
        <f>$D$1</f>
        <v>WORKED FTE</v>
      </c>
      <c r="I46">
        <f t="shared" ref="I46:I66" si="12">INDEX($A$1:$D$24,MATCH(G46,$A:$A),MATCH(H46,$1:$1))</f>
        <v>1</v>
      </c>
    </row>
    <row r="47" spans="6:9">
      <c r="F47" t="str">
        <f t="shared" si="10"/>
        <v>Brisbane Lab AdminWORKED FTE</v>
      </c>
      <c r="G47" t="str">
        <f t="shared" si="11"/>
        <v>Brisbane Lab Admin</v>
      </c>
      <c r="H47" s="36" t="str">
        <f t="shared" ref="H47:H66" si="13">$D$1</f>
        <v>WORKED FTE</v>
      </c>
      <c r="I47">
        <f t="shared" si="12"/>
        <v>1.9</v>
      </c>
    </row>
    <row r="48" spans="6:9">
      <c r="F48" t="str">
        <f t="shared" si="10"/>
        <v>Brisbane MicroWORKED FTE</v>
      </c>
      <c r="G48" t="str">
        <f t="shared" si="11"/>
        <v>Brisbane Micro</v>
      </c>
      <c r="H48" s="36" t="str">
        <f t="shared" si="13"/>
        <v>WORKED FTE</v>
      </c>
      <c r="I48">
        <f t="shared" si="12"/>
        <v>10.612169736842105</v>
      </c>
    </row>
    <row r="49" spans="6:9">
      <c r="F49" t="str">
        <f t="shared" si="10"/>
        <v>Brisbane Milk TestingWORKED FTE</v>
      </c>
      <c r="G49" t="str">
        <f t="shared" si="11"/>
        <v>Brisbane Milk Testing</v>
      </c>
      <c r="H49" s="36" t="str">
        <f t="shared" si="13"/>
        <v>WORKED FTE</v>
      </c>
      <c r="I49">
        <f t="shared" si="12"/>
        <v>0.80975855263157892</v>
      </c>
    </row>
    <row r="50" spans="6:9">
      <c r="F50" t="str">
        <f t="shared" si="10"/>
        <v>Central Lab AdminWORKED FTE</v>
      </c>
      <c r="G50" t="str">
        <f t="shared" si="11"/>
        <v>Central Lab Admin</v>
      </c>
      <c r="H50" s="36" t="str">
        <f t="shared" si="13"/>
        <v>WORKED FTE</v>
      </c>
      <c r="I50">
        <f t="shared" si="12"/>
        <v>3</v>
      </c>
    </row>
    <row r="51" spans="6:9">
      <c r="F51" t="str">
        <f t="shared" si="10"/>
        <v>Consulting Micro  SCWORKED FTE</v>
      </c>
      <c r="G51" t="str">
        <f t="shared" si="11"/>
        <v>Consulting Micro  SC</v>
      </c>
      <c r="H51" s="36" t="str">
        <f t="shared" si="13"/>
        <v>WORKED FTE</v>
      </c>
      <c r="I51">
        <f t="shared" si="12"/>
        <v>0.9</v>
      </c>
    </row>
    <row r="52" spans="6:9">
      <c r="F52" t="str">
        <f t="shared" si="10"/>
        <v>G&amp;AWORKED FTE</v>
      </c>
      <c r="G52" t="str">
        <f t="shared" si="11"/>
        <v>G&amp;A</v>
      </c>
      <c r="H52" s="36" t="str">
        <f t="shared" si="13"/>
        <v>WORKED FTE</v>
      </c>
      <c r="I52">
        <f t="shared" si="12"/>
        <v>8.7368421052631575</v>
      </c>
    </row>
    <row r="53" spans="6:9">
      <c r="F53" t="str">
        <f t="shared" si="10"/>
        <v>ITWORKED FTE</v>
      </c>
      <c r="G53" t="str">
        <f t="shared" si="11"/>
        <v>IT</v>
      </c>
      <c r="H53" s="36" t="str">
        <f t="shared" si="13"/>
        <v>WORKED FTE</v>
      </c>
      <c r="I53">
        <f t="shared" si="12"/>
        <v>1.6</v>
      </c>
    </row>
    <row r="54" spans="6:9">
      <c r="F54" t="str">
        <f t="shared" si="10"/>
        <v>Melb Customer CareWORKED FTE</v>
      </c>
      <c r="G54" t="str">
        <f t="shared" si="11"/>
        <v>Melb Customer Care</v>
      </c>
      <c r="H54" s="36" t="str">
        <f t="shared" si="13"/>
        <v>WORKED FTE</v>
      </c>
      <c r="I54">
        <f t="shared" si="12"/>
        <v>0.8</v>
      </c>
    </row>
    <row r="55" spans="6:9">
      <c r="F55" t="str">
        <f t="shared" si="10"/>
        <v>Melbourne Lab AdminWORKED FTE</v>
      </c>
      <c r="G55" t="str">
        <f t="shared" si="11"/>
        <v>Melbourne Lab Admin</v>
      </c>
      <c r="H55" s="36" t="str">
        <f t="shared" si="13"/>
        <v>WORKED FTE</v>
      </c>
      <c r="I55">
        <f t="shared" si="12"/>
        <v>0.9118421052631579</v>
      </c>
    </row>
    <row r="56" spans="6:9">
      <c r="F56" t="str">
        <f t="shared" si="10"/>
        <v>Melbourne MicroWORKED FTE</v>
      </c>
      <c r="G56" t="str">
        <f t="shared" si="11"/>
        <v>Melbourne Micro</v>
      </c>
      <c r="H56" s="36" t="str">
        <f t="shared" si="13"/>
        <v>WORKED FTE</v>
      </c>
      <c r="I56">
        <f t="shared" si="12"/>
        <v>26.443521710526309</v>
      </c>
    </row>
    <row r="57" spans="6:9">
      <c r="F57" t="str">
        <f t="shared" si="10"/>
        <v>Perth Customer CareWORKED FTE</v>
      </c>
      <c r="G57" t="str">
        <f t="shared" si="11"/>
        <v>Perth Customer Care</v>
      </c>
      <c r="H57" s="36" t="str">
        <f t="shared" si="13"/>
        <v>WORKED FTE</v>
      </c>
      <c r="I57">
        <f t="shared" si="12"/>
        <v>0.5</v>
      </c>
    </row>
    <row r="58" spans="6:9">
      <c r="F58" t="str">
        <f t="shared" si="10"/>
        <v>Perth MicroWORKED FTE</v>
      </c>
      <c r="G58" t="str">
        <f t="shared" si="11"/>
        <v>Perth Micro</v>
      </c>
      <c r="H58" s="36" t="str">
        <f t="shared" si="13"/>
        <v>WORKED FTE</v>
      </c>
      <c r="I58">
        <f t="shared" si="12"/>
        <v>8.8759907894736845</v>
      </c>
    </row>
    <row r="59" spans="6:9">
      <c r="F59" t="str">
        <f t="shared" si="10"/>
        <v>QualityWORKED FTE</v>
      </c>
      <c r="G59" t="str">
        <f t="shared" si="11"/>
        <v>Quality</v>
      </c>
      <c r="H59" s="36" t="str">
        <f t="shared" si="13"/>
        <v>WORKED FTE</v>
      </c>
      <c r="I59">
        <f t="shared" si="12"/>
        <v>2</v>
      </c>
    </row>
    <row r="60" spans="6:9">
      <c r="F60" t="str">
        <f t="shared" si="10"/>
        <v>R&amp;DWORKED FTE</v>
      </c>
      <c r="G60" t="str">
        <f t="shared" si="11"/>
        <v>R&amp;D</v>
      </c>
      <c r="H60" s="36" t="str">
        <f t="shared" si="13"/>
        <v>WORKED FTE</v>
      </c>
      <c r="I60">
        <f t="shared" si="12"/>
        <v>0.79999999999999993</v>
      </c>
    </row>
    <row r="61" spans="6:9">
      <c r="F61" t="str">
        <f t="shared" si="10"/>
        <v>S&amp;MWORKED FTE</v>
      </c>
      <c r="G61" t="str">
        <f t="shared" si="11"/>
        <v>S&amp;M</v>
      </c>
      <c r="H61" s="36" t="str">
        <f t="shared" si="13"/>
        <v>WORKED FTE</v>
      </c>
      <c r="I61">
        <f t="shared" si="12"/>
        <v>7.5486842105263161</v>
      </c>
    </row>
    <row r="62" spans="6:9">
      <c r="F62" t="str">
        <f t="shared" si="10"/>
        <v>Senior AuditWORKED FTE</v>
      </c>
      <c r="G62" t="str">
        <f t="shared" si="11"/>
        <v>Senior Audit</v>
      </c>
      <c r="H62" s="36" t="str">
        <f t="shared" si="13"/>
        <v>WORKED FTE</v>
      </c>
      <c r="I62">
        <f t="shared" si="12"/>
        <v>4.4499999999999993</v>
      </c>
    </row>
    <row r="63" spans="6:9">
      <c r="F63" t="str">
        <f t="shared" si="10"/>
        <v>Sydney ChemWORKED FTE</v>
      </c>
      <c r="G63" t="str">
        <f t="shared" si="11"/>
        <v>Sydney Chem</v>
      </c>
      <c r="H63" s="36" t="str">
        <f t="shared" si="13"/>
        <v>WORKED FTE</v>
      </c>
      <c r="I63">
        <f t="shared" si="12"/>
        <v>9.8674361842105274</v>
      </c>
    </row>
    <row r="64" spans="6:9">
      <c r="F64" t="str">
        <f t="shared" si="10"/>
        <v>Sydney Customer CareWORKED FTE</v>
      </c>
      <c r="G64" t="str">
        <f t="shared" si="11"/>
        <v>Sydney Customer Care</v>
      </c>
      <c r="H64" s="36" t="str">
        <f t="shared" si="13"/>
        <v>WORKED FTE</v>
      </c>
      <c r="I64">
        <f t="shared" si="12"/>
        <v>1.55</v>
      </c>
    </row>
    <row r="65" spans="6:9">
      <c r="F65" t="str">
        <f t="shared" si="10"/>
        <v>Sydney Lab AdminWORKED FTE</v>
      </c>
      <c r="G65" t="str">
        <f t="shared" si="11"/>
        <v>Sydney Lab Admin</v>
      </c>
      <c r="H65" s="36" t="str">
        <f t="shared" si="13"/>
        <v>WORKED FTE</v>
      </c>
      <c r="I65">
        <f t="shared" si="12"/>
        <v>1.1263157894736842</v>
      </c>
    </row>
    <row r="66" spans="6:9">
      <c r="F66" t="str">
        <f t="shared" si="10"/>
        <v>Sydney MicroWORKED FTE</v>
      </c>
      <c r="G66" t="str">
        <f t="shared" si="11"/>
        <v>Sydney Micro</v>
      </c>
      <c r="H66" s="36" t="str">
        <f t="shared" si="13"/>
        <v>WORKED FTE</v>
      </c>
      <c r="I66">
        <f t="shared" si="12"/>
        <v>22.788815789473684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Instructions</vt:lpstr>
      <vt:lpstr>Pivot</vt:lpstr>
      <vt:lpstr>Ops - Pivot</vt:lpstr>
      <vt:lpstr>Overtime</vt:lpstr>
      <vt:lpstr>Sheet1</vt:lpstr>
      <vt:lpstr>Summary - Monthly</vt:lpstr>
      <vt:lpstr>TRANS EMP EXTRACT - COST CENTRE</vt:lpstr>
      <vt:lpstr>TRANS EMP EXTRACT - EMP CATEGOR</vt:lpstr>
      <vt:lpstr>Leave Balance</vt:lpstr>
      <vt:lpstr>Departments</vt:lpstr>
      <vt:lpstr>Management 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Bricknell</dc:creator>
  <cp:lastModifiedBy>M</cp:lastModifiedBy>
  <cp:lastPrinted>2019-08-13T23:44:00Z</cp:lastPrinted>
  <dcterms:created xsi:type="dcterms:W3CDTF">2019-08-01T01:59:00Z</dcterms:created>
  <dcterms:modified xsi:type="dcterms:W3CDTF">2023-03-06T22:56:23Z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5E0DAE24F6A24276A0708ED380A24680</vt:lpwstr>
  </property>
  <property fmtid="{D5CDD505-2E9C-101B-9397-08002B2CF9AE}" pid="3" name="KSOProductBuildVer">
    <vt:lpwstr>1033-11.2.0.11254</vt:lpwstr>
  </property>
</Properties>
</file>