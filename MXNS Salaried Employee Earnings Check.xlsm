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tthew.lee\Dropbox\Side Hussle\VBA\Finished Project\"/>
    </mc:Choice>
  </mc:AlternateContent>
  <bookViews>
    <workbookView xWindow="0" yWindow="0" windowWidth="25305" windowHeight="12270"/>
  </bookViews>
  <sheets>
    <sheet name="Employee Listing _Salaried" sheetId="1" r:id="rId1"/>
    <sheet name="PP1_Month Beginning" sheetId="2" r:id="rId2"/>
    <sheet name="PP2_Month End" sheetId="3" r:id="rId3"/>
  </sheets>
  <definedNames>
    <definedName name="_xlnm._FilterDatabase" localSheetId="0" hidden="1">'Employee Listing _Salaried'!$A$1:$G$49</definedName>
    <definedName name="_xlnm._FilterDatabase" localSheetId="1" hidden="1">'PP1_Month Beginning'!$A$1:$BC$145</definedName>
    <definedName name="_xlnm._FilterDatabase" localSheetId="2" hidden="1">'PP2_Month End'!$A$1:$BE$152</definedName>
    <definedName name="_xlnm.Print_Titles" localSheetId="0">'Employee Listing _Salaried'!$1:$1</definedName>
  </definedNames>
  <calcPr calcId="152511"/>
</workbook>
</file>

<file path=xl/calcChain.xml><?xml version="1.0" encoding="utf-8"?>
<calcChain xmlns="http://schemas.openxmlformats.org/spreadsheetml/2006/main">
  <c r="G48" i="1" l="1"/>
  <c r="K48" i="1" s="1"/>
  <c r="L48" i="1"/>
  <c r="N48" i="1"/>
  <c r="G47" i="1"/>
  <c r="K47" i="1" s="1"/>
  <c r="L47" i="1"/>
  <c r="N47" i="1"/>
  <c r="M48" i="1" l="1"/>
  <c r="O48" i="1"/>
  <c r="O47" i="1"/>
  <c r="M47" i="1"/>
  <c r="G49" i="1" l="1"/>
  <c r="K49" i="1" s="1"/>
  <c r="L49" i="1"/>
  <c r="N49" i="1"/>
  <c r="O49" i="1" l="1"/>
  <c r="M49" i="1"/>
  <c r="G46" i="1" l="1"/>
  <c r="K46" i="1" s="1"/>
  <c r="L46" i="1"/>
  <c r="N46" i="1"/>
  <c r="M46" i="1" l="1"/>
  <c r="O46" i="1"/>
  <c r="G45" i="1"/>
  <c r="K45" i="1" s="1"/>
  <c r="L45" i="1"/>
  <c r="N45" i="1"/>
  <c r="M45" i="1" l="1"/>
  <c r="O45" i="1"/>
  <c r="G44" i="1" l="1"/>
  <c r="K44" i="1" s="1"/>
  <c r="L44" i="1"/>
  <c r="N44" i="1"/>
  <c r="O44" i="1" l="1"/>
  <c r="G42" i="1"/>
  <c r="K42" i="1" s="1"/>
  <c r="L42" i="1"/>
  <c r="N42" i="1"/>
  <c r="M44" i="1" l="1"/>
  <c r="O42" i="1"/>
  <c r="M42" i="1" l="1"/>
  <c r="G36" i="1"/>
  <c r="K36" i="1" s="1"/>
  <c r="G35" i="1"/>
  <c r="K35" i="1" s="1"/>
  <c r="G28" i="1"/>
  <c r="K28" i="1" s="1"/>
  <c r="G23" i="1"/>
  <c r="K23" i="1" s="1"/>
  <c r="G14" i="1"/>
  <c r="K14" i="1" s="1"/>
  <c r="G43" i="1"/>
  <c r="K43" i="1" s="1"/>
  <c r="G5" i="1"/>
  <c r="K5" i="1" s="1"/>
  <c r="G15" i="1"/>
  <c r="K15" i="1" s="1"/>
  <c r="G25" i="1"/>
  <c r="K25" i="1" s="1"/>
  <c r="G18" i="1"/>
  <c r="K18" i="1" s="1"/>
  <c r="G41" i="1"/>
  <c r="K41" i="1" s="1"/>
  <c r="G37" i="1"/>
  <c r="K37" i="1" s="1"/>
  <c r="G20" i="1"/>
  <c r="K20" i="1" s="1"/>
  <c r="G32" i="1"/>
  <c r="K32" i="1" s="1"/>
  <c r="G12" i="1"/>
  <c r="K12" i="1" s="1"/>
  <c r="G6" i="1"/>
  <c r="K6" i="1" s="1"/>
  <c r="G27" i="1"/>
  <c r="K27" i="1" s="1"/>
  <c r="G22" i="1"/>
  <c r="K22" i="1" s="1"/>
  <c r="G30" i="1"/>
  <c r="K30" i="1" s="1"/>
  <c r="G10" i="1"/>
  <c r="K10" i="1" s="1"/>
  <c r="G8" i="1"/>
  <c r="K8" i="1" s="1"/>
  <c r="G26" i="1"/>
  <c r="K26" i="1" s="1"/>
  <c r="G2" i="1"/>
  <c r="G17" i="1"/>
  <c r="K17" i="1" s="1"/>
  <c r="G4" i="1"/>
  <c r="K4" i="1" s="1"/>
  <c r="G31" i="1"/>
  <c r="K31" i="1" s="1"/>
  <c r="G34" i="1"/>
  <c r="K34" i="1" s="1"/>
  <c r="G33" i="1"/>
  <c r="K33" i="1" s="1"/>
  <c r="G39" i="1"/>
  <c r="K39" i="1" s="1"/>
  <c r="G38" i="1"/>
  <c r="K38" i="1" s="1"/>
  <c r="G3" i="1"/>
  <c r="K3" i="1" s="1"/>
  <c r="G13" i="1"/>
  <c r="K13" i="1" s="1"/>
  <c r="G11" i="1"/>
  <c r="K11" i="1" s="1"/>
  <c r="G9" i="1"/>
  <c r="K9" i="1" s="1"/>
  <c r="G24" i="1"/>
  <c r="K24" i="1" s="1"/>
  <c r="G19" i="1"/>
  <c r="K19" i="1" s="1"/>
  <c r="G21" i="1"/>
  <c r="K21" i="1" s="1"/>
  <c r="G29" i="1"/>
  <c r="K29" i="1" s="1"/>
  <c r="G16" i="1"/>
  <c r="K16" i="1" s="1"/>
  <c r="G7" i="1"/>
  <c r="K7" i="1" s="1"/>
  <c r="G40" i="1"/>
  <c r="K40" i="1" s="1"/>
  <c r="L40" i="1"/>
  <c r="N40" i="1"/>
  <c r="O40" i="1" l="1"/>
  <c r="N36" i="1"/>
  <c r="N35" i="1"/>
  <c r="N28" i="1"/>
  <c r="N23" i="1"/>
  <c r="N14" i="1"/>
  <c r="N43" i="1"/>
  <c r="N5" i="1"/>
  <c r="N15" i="1"/>
  <c r="N25" i="1"/>
  <c r="N18" i="1"/>
  <c r="N41" i="1"/>
  <c r="N37" i="1"/>
  <c r="N20" i="1"/>
  <c r="N32" i="1"/>
  <c r="N12" i="1"/>
  <c r="N6" i="1"/>
  <c r="N27" i="1"/>
  <c r="N22" i="1"/>
  <c r="N30" i="1"/>
  <c r="N10" i="1"/>
  <c r="N8" i="1"/>
  <c r="N26" i="1"/>
  <c r="N2" i="1"/>
  <c r="O2" i="1" s="1"/>
  <c r="N17" i="1"/>
  <c r="N4" i="1"/>
  <c r="N31" i="1"/>
  <c r="N34" i="1"/>
  <c r="N33" i="1"/>
  <c r="N39" i="1"/>
  <c r="N38" i="1"/>
  <c r="N3" i="1"/>
  <c r="N13" i="1"/>
  <c r="N11" i="1"/>
  <c r="N9" i="1"/>
  <c r="N24" i="1"/>
  <c r="N19" i="1"/>
  <c r="N21" i="1"/>
  <c r="N29" i="1"/>
  <c r="N16" i="1"/>
  <c r="N7" i="1"/>
  <c r="L36" i="1"/>
  <c r="L35" i="1"/>
  <c r="L28" i="1"/>
  <c r="L23" i="1"/>
  <c r="L14" i="1"/>
  <c r="L43" i="1"/>
  <c r="L5" i="1"/>
  <c r="L15" i="1"/>
  <c r="L25" i="1"/>
  <c r="L18" i="1"/>
  <c r="L41" i="1"/>
  <c r="L37" i="1"/>
  <c r="L20" i="1"/>
  <c r="L32" i="1"/>
  <c r="L12" i="1"/>
  <c r="L6" i="1"/>
  <c r="L27" i="1"/>
  <c r="L22" i="1"/>
  <c r="L30" i="1"/>
  <c r="L10" i="1"/>
  <c r="L8" i="1"/>
  <c r="L26" i="1"/>
  <c r="L2" i="1"/>
  <c r="M2" i="1" s="1"/>
  <c r="L17" i="1"/>
  <c r="L4" i="1"/>
  <c r="L31" i="1"/>
  <c r="L34" i="1"/>
  <c r="L33" i="1"/>
  <c r="L39" i="1"/>
  <c r="L38" i="1"/>
  <c r="L3" i="1"/>
  <c r="L13" i="1"/>
  <c r="L11" i="1"/>
  <c r="L9" i="1"/>
  <c r="L24" i="1"/>
  <c r="L19" i="1"/>
  <c r="L21" i="1"/>
  <c r="L29" i="1"/>
  <c r="L16" i="1"/>
  <c r="L7" i="1"/>
  <c r="M40" i="1" l="1"/>
  <c r="O29" i="1"/>
  <c r="O9" i="1"/>
  <c r="M5" i="1"/>
  <c r="M17" i="1"/>
  <c r="M30" i="1"/>
  <c r="O11" i="1"/>
  <c r="M16" i="1"/>
  <c r="O6" i="1"/>
  <c r="M23" i="1"/>
  <c r="O33" i="1"/>
  <c r="M26" i="1"/>
  <c r="O28" i="1"/>
  <c r="O34" i="1"/>
  <c r="O32" i="1"/>
  <c r="M32" i="1"/>
  <c r="O20" i="1"/>
  <c r="M20" i="1"/>
  <c r="M3" i="1"/>
  <c r="O3" i="1"/>
  <c r="M4" i="1"/>
  <c r="O4" i="1"/>
  <c r="O36" i="1"/>
  <c r="M36" i="1"/>
  <c r="M22" i="1"/>
  <c r="O22" i="1"/>
  <c r="M37" i="1"/>
  <c r="O37" i="1"/>
  <c r="M43" i="1"/>
  <c r="O43" i="1"/>
  <c r="M21" i="1"/>
  <c r="O21" i="1"/>
  <c r="M41" i="1"/>
  <c r="O41" i="1"/>
  <c r="M39" i="1"/>
  <c r="O39" i="1"/>
  <c r="M18" i="1"/>
  <c r="O18" i="1"/>
  <c r="O10" i="1"/>
  <c r="M10" i="1"/>
  <c r="O13" i="1"/>
  <c r="M13" i="1"/>
  <c r="M14" i="1"/>
  <c r="O14" i="1"/>
  <c r="M19" i="1"/>
  <c r="O19" i="1"/>
  <c r="O7" i="1"/>
  <c r="M7" i="1"/>
  <c r="O12" i="1"/>
  <c r="M12" i="1"/>
  <c r="O25" i="1"/>
  <c r="M25" i="1"/>
  <c r="O15" i="1"/>
  <c r="M15" i="1"/>
  <c r="O31" i="1"/>
  <c r="M31" i="1"/>
  <c r="M38" i="1"/>
  <c r="O38" i="1"/>
  <c r="M27" i="1"/>
  <c r="O27" i="1"/>
  <c r="O24" i="1"/>
  <c r="M24" i="1"/>
  <c r="O8" i="1"/>
  <c r="M8" i="1"/>
  <c r="O35" i="1"/>
  <c r="M35" i="1"/>
  <c r="M9" i="1" l="1"/>
  <c r="M29" i="1"/>
  <c r="O5" i="1"/>
  <c r="M34" i="1"/>
  <c r="M28" i="1"/>
  <c r="O26" i="1"/>
  <c r="M33" i="1"/>
  <c r="M11" i="1"/>
  <c r="O17" i="1"/>
  <c r="O30" i="1"/>
  <c r="O16" i="1"/>
  <c r="M6" i="1"/>
  <c r="O23" i="1"/>
</calcChain>
</file>

<file path=xl/comments1.xml><?xml version="1.0" encoding="utf-8"?>
<comments xmlns="http://schemas.openxmlformats.org/spreadsheetml/2006/main">
  <authors>
    <author>M</author>
  </authors>
  <commentList>
    <comment ref="I10" authorId="0" shapeId="0">
      <text>
        <r>
          <rPr>
            <b/>
            <sz val="9"/>
            <color indexed="81"/>
            <rFont val="Tahoma"/>
            <family val="2"/>
          </rPr>
          <t>M:</t>
        </r>
        <r>
          <rPr>
            <sz val="9"/>
            <color indexed="81"/>
            <rFont val="Tahoma"/>
            <family val="2"/>
          </rPr>
          <t xml:space="preserve">
salary sacrifice by percentage</t>
        </r>
      </text>
    </comment>
  </commentList>
</comments>
</file>

<file path=xl/sharedStrings.xml><?xml version="1.0" encoding="utf-8"?>
<sst xmlns="http://schemas.openxmlformats.org/spreadsheetml/2006/main" count="1346" uniqueCount="285">
  <si>
    <t>Employee code</t>
  </si>
  <si>
    <t>Employee Name</t>
  </si>
  <si>
    <t>DENCH, MATTHEW MR</t>
  </si>
  <si>
    <t>MOORE, SALOTE MS</t>
  </si>
  <si>
    <t>SKIPPER, MELINDA MS</t>
  </si>
  <si>
    <t>CREMONESI, BRUCE MR</t>
  </si>
  <si>
    <t>MARKOSKA, KATERINA MRS</t>
  </si>
  <si>
    <t>STAMATOVA, ZORICA MRS</t>
  </si>
  <si>
    <t>TRIFON, MARIA MS</t>
  </si>
  <si>
    <t>FONG, LAWRENCE MR</t>
  </si>
  <si>
    <t>EVANS, LUCY MISS</t>
  </si>
  <si>
    <t>CHEN, SOK KIAN MS</t>
  </si>
  <si>
    <t>WU, JUN MRS</t>
  </si>
  <si>
    <t>CHANDRA, SHARON MRS</t>
  </si>
  <si>
    <t>MOORKANATH, ANU MRS</t>
  </si>
  <si>
    <t>GODWIN, COLLEEN MRS</t>
  </si>
  <si>
    <t>MCDONALD, WILMA MRS</t>
  </si>
  <si>
    <t>MOONSAMY, MAYEN MR</t>
  </si>
  <si>
    <t>HOLLY, DONNA MRS</t>
  </si>
  <si>
    <t>CHAN, CHARMAINE MS</t>
  </si>
  <si>
    <t>LETHBORG, GABRIELLA MISS</t>
  </si>
  <si>
    <t>ALISIC, SUVADA MRS</t>
  </si>
  <si>
    <t>HOLLEY, KRISTY MRS</t>
  </si>
  <si>
    <t>EDEN, ANTHONY MR</t>
  </si>
  <si>
    <t>CHARLTON, STEPHANIE MISS</t>
  </si>
  <si>
    <t>PARMAR, DINUSHA MRS</t>
  </si>
  <si>
    <t>DANIELLS, MARIE MISS</t>
  </si>
  <si>
    <t>GODDAER, KEVIN MR</t>
  </si>
  <si>
    <t>SCHWANKE, ANNMARIE MRS</t>
  </si>
  <si>
    <t>WHITE, TERESA MS</t>
  </si>
  <si>
    <t>NARAYANA SWAMY, KUSUMA MRS</t>
  </si>
  <si>
    <t>AKKOYUN, METE HAN MR</t>
  </si>
  <si>
    <t>AHMED, IMTIAZ MR</t>
  </si>
  <si>
    <t>LI, MATTHEW MR</t>
  </si>
  <si>
    <t>PETRAKIS, NICK MR</t>
  </si>
  <si>
    <t>GUEVARA LUJAN, GABRIELA MS</t>
  </si>
  <si>
    <t>CAMPBELL-MCKECHNIE, ALMA MS</t>
  </si>
  <si>
    <t>ESTORES, FELICIA MS</t>
  </si>
  <si>
    <t>HAMILTON, HAMILTON MR</t>
  </si>
  <si>
    <t>KARIMZADA, OMID MR</t>
  </si>
  <si>
    <t>DENG, OLIVER MR</t>
  </si>
  <si>
    <t>THEW, BENJAMIN MR</t>
  </si>
  <si>
    <t>Cost Centre</t>
  </si>
  <si>
    <t>CC Description</t>
  </si>
  <si>
    <t>SYD MICRO CONFIRMATION</t>
  </si>
  <si>
    <t>MEL MICRO LAB</t>
  </si>
  <si>
    <t>BRISBANE CUSTOMER CARE</t>
  </si>
  <si>
    <t>MEL MICRO SETUP</t>
  </si>
  <si>
    <t>MEL CENTRAL QUALITY</t>
  </si>
  <si>
    <t>MEL CENTRAL IT</t>
  </si>
  <si>
    <t>PERTH MICRO SETUP</t>
  </si>
  <si>
    <t>MEL LAB ADMIN</t>
  </si>
  <si>
    <t>PERTH CUSTOMER CARE</t>
  </si>
  <si>
    <t>MEL CENTRAL LAB ADMIN</t>
  </si>
  <si>
    <t>MEL FINANCE</t>
  </si>
  <si>
    <t>SYD RESEARCH &amp; DEVELOPMENT</t>
  </si>
  <si>
    <t>SYDNEY CUSTOMER CARE</t>
  </si>
  <si>
    <t>BRISBANE MICRO LAB</t>
  </si>
  <si>
    <t>BRISBANE LAB ADMIN</t>
  </si>
  <si>
    <t>MEL CENTRAL SALES</t>
  </si>
  <si>
    <t>MEL SENIOR AUDIT</t>
  </si>
  <si>
    <t>MEL SCIENTIFIC SERVICES</t>
  </si>
  <si>
    <t>MEL CUSTOMER CARE</t>
  </si>
  <si>
    <t>HUMAN RESOURCES</t>
  </si>
  <si>
    <t>PERTH Sales</t>
  </si>
  <si>
    <t>MANAGING DIRECTOR</t>
  </si>
  <si>
    <t>SYDNEY SALES</t>
  </si>
  <si>
    <t>SYD MICRO LAB</t>
  </si>
  <si>
    <t>BRISBANE SALES</t>
  </si>
  <si>
    <t>Pay Rate</t>
  </si>
  <si>
    <t>Hours/FN</t>
  </si>
  <si>
    <t>Extra Tax</t>
  </si>
  <si>
    <t>First Aid Allowance</t>
  </si>
  <si>
    <t>Car Allowance</t>
  </si>
  <si>
    <t>Report</t>
  </si>
  <si>
    <t>Company</t>
  </si>
  <si>
    <t>Emp Code</t>
  </si>
  <si>
    <t>Name</t>
  </si>
  <si>
    <t>Location</t>
  </si>
  <si>
    <t>Pay Point</t>
  </si>
  <si>
    <t>Pay Advice</t>
  </si>
  <si>
    <t>Pay Type</t>
  </si>
  <si>
    <t>No of Periods</t>
  </si>
  <si>
    <t>After Death</t>
  </si>
  <si>
    <t>Employer Contributions</t>
  </si>
  <si>
    <t>Gross</t>
  </si>
  <si>
    <t>Taxable Income</t>
  </si>
  <si>
    <t>Tax</t>
  </si>
  <si>
    <t>Untaxed Allowances</t>
  </si>
  <si>
    <t>Net Income</t>
  </si>
  <si>
    <t>Normal</t>
  </si>
  <si>
    <t>Casual Normal</t>
  </si>
  <si>
    <t>Saturday 150%</t>
  </si>
  <si>
    <t>Sunday 200%</t>
  </si>
  <si>
    <t>O/Time 1.5</t>
  </si>
  <si>
    <t>O/Time 2.0</t>
  </si>
  <si>
    <t>Annual Lve</t>
  </si>
  <si>
    <t>Sick/Personal</t>
  </si>
  <si>
    <t>LWOP</t>
  </si>
  <si>
    <t>First Aid</t>
  </si>
  <si>
    <t>Car Allw</t>
  </si>
  <si>
    <t>Car Alw NT</t>
  </si>
  <si>
    <t>Shift Allw</t>
  </si>
  <si>
    <t>CASLOAD25%</t>
  </si>
  <si>
    <t>Sup 10.5%</t>
  </si>
  <si>
    <t>Comp Su Ex</t>
  </si>
  <si>
    <t>Sal Sac</t>
  </si>
  <si>
    <t>STSL</t>
  </si>
  <si>
    <t>Term G L/L</t>
  </si>
  <si>
    <t>Term G A/L</t>
  </si>
  <si>
    <t>TermG</t>
  </si>
  <si>
    <t>Pay Preparation</t>
  </si>
  <si>
    <t>SILLK</t>
  </si>
  <si>
    <t>BOATWRIGHT ANNA</t>
  </si>
  <si>
    <t>Manual</t>
  </si>
  <si>
    <t>MOORE SALOTE</t>
  </si>
  <si>
    <t>Automatic</t>
  </si>
  <si>
    <t>RATTLE ROSE</t>
  </si>
  <si>
    <t>SAAD KAREN</t>
  </si>
  <si>
    <t>SCHOLZ ERAN</t>
  </si>
  <si>
    <t>SKIPPER MELINDA</t>
  </si>
  <si>
    <t>STILLITANO SUE</t>
  </si>
  <si>
    <t>CREMONESI BRUCE</t>
  </si>
  <si>
    <t>MARKOSKA KATERINA</t>
  </si>
  <si>
    <t>STAMATOVA ZORICA</t>
  </si>
  <si>
    <t>TRIFON MARIA</t>
  </si>
  <si>
    <t>FONG LAWRENCE</t>
  </si>
  <si>
    <t>EVANS LUCY</t>
  </si>
  <si>
    <t>CHEN SOK KIAN</t>
  </si>
  <si>
    <t>PATEL VIPUL</t>
  </si>
  <si>
    <t>ROY JISHA</t>
  </si>
  <si>
    <t>WU JUN</t>
  </si>
  <si>
    <t>BOGAHAPITIYA PRASANGA</t>
  </si>
  <si>
    <t>SUNDARA RAJAN KALAI SELVI</t>
  </si>
  <si>
    <t>CHANDRA SHARON</t>
  </si>
  <si>
    <t>MOORKANATH ANU</t>
  </si>
  <si>
    <t>FOROOGHI MARZIEH</t>
  </si>
  <si>
    <t>BERA KHUSHBU</t>
  </si>
  <si>
    <t>IQBAL SHABANA</t>
  </si>
  <si>
    <t>GODWIN COLLEEN</t>
  </si>
  <si>
    <t>DEMARCHI STELLA</t>
  </si>
  <si>
    <t>HWANG MI HEI</t>
  </si>
  <si>
    <t>HOLMES JULIAN</t>
  </si>
  <si>
    <t>RESUS ZARA</t>
  </si>
  <si>
    <t>JOYCE BLAKE</t>
  </si>
  <si>
    <t>MCDONALD WILMA</t>
  </si>
  <si>
    <t>MOONSAMY MAYEN</t>
  </si>
  <si>
    <t>HOLLY DONNA</t>
  </si>
  <si>
    <t>BANDI RENU</t>
  </si>
  <si>
    <t>STANICA ANDREEA</t>
  </si>
  <si>
    <t>CHAN CHARMAINE</t>
  </si>
  <si>
    <t>SOHNY THALITHA</t>
  </si>
  <si>
    <t>PREMTHONG VATCHAREE</t>
  </si>
  <si>
    <t>SIVARAMAN POORANI</t>
  </si>
  <si>
    <t>LETHBORG GABRIELLA</t>
  </si>
  <si>
    <t>MCCANN-DORAN CONOR</t>
  </si>
  <si>
    <t>RAMALINGAM JANSI</t>
  </si>
  <si>
    <t>KELLY KYLE</t>
  </si>
  <si>
    <t>SENTHURAN SUGANIYA</t>
  </si>
  <si>
    <t>ALISIC SUVADA</t>
  </si>
  <si>
    <t>MENDIVELSO-BOHORQUEZ SANDRA</t>
  </si>
  <si>
    <t>HOLLEY KRISTY</t>
  </si>
  <si>
    <t>KASHANI ANGELA</t>
  </si>
  <si>
    <t>EDEN ANTHONY</t>
  </si>
  <si>
    <t>RECHE SOLER YAIZA</t>
  </si>
  <si>
    <t>Termination</t>
  </si>
  <si>
    <t>CHARLTON STEPHANIE</t>
  </si>
  <si>
    <t>ALI MEHWISH</t>
  </si>
  <si>
    <t>PARMAR DINUSHA</t>
  </si>
  <si>
    <t>DANIELLS MARIE</t>
  </si>
  <si>
    <t>GODDAER KEVIN</t>
  </si>
  <si>
    <t>LIN LIN</t>
  </si>
  <si>
    <t>KODOR MARA</t>
  </si>
  <si>
    <t>TUIMASEVE AMENAH</t>
  </si>
  <si>
    <t>PATEL SWETA SHANTILAL</t>
  </si>
  <si>
    <t>SURYAVANSHI SNEHAL HEMANT</t>
  </si>
  <si>
    <t>SEAL MIHIKA</t>
  </si>
  <si>
    <t>YU SHAN</t>
  </si>
  <si>
    <t>TSELEKIDIS SIA</t>
  </si>
  <si>
    <t>XYLOPORTA MARIA</t>
  </si>
  <si>
    <t>HARRIS KYM</t>
  </si>
  <si>
    <t>SOLEIMANI MARYAM</t>
  </si>
  <si>
    <t>SCHWANKE ANNMARIE</t>
  </si>
  <si>
    <t>BATTY MELISA</t>
  </si>
  <si>
    <t>SAMANTHIPUDI VASUDEVAN KOKILA</t>
  </si>
  <si>
    <t>KAPADIA MUFFADAL</t>
  </si>
  <si>
    <t>DELANEY MEGAN FIONA</t>
  </si>
  <si>
    <t>WHITE TERESA</t>
  </si>
  <si>
    <t>NARAYANA SWAMY KUSUMA</t>
  </si>
  <si>
    <t>MENON SHIVANI</t>
  </si>
  <si>
    <t>CHEN JIAOYANG</t>
  </si>
  <si>
    <t>AKKOYUN METE HAN</t>
  </si>
  <si>
    <t>ZHAO ZHENJUN</t>
  </si>
  <si>
    <t>RANGARAJ USHA</t>
  </si>
  <si>
    <t>HANANIA FERRIZ</t>
  </si>
  <si>
    <t>AHMED IMTIAZ</t>
  </si>
  <si>
    <t>ISLAM MD FOKHRUL</t>
  </si>
  <si>
    <t>LI MATTHEW</t>
  </si>
  <si>
    <t>PETRAKIS NICK</t>
  </si>
  <si>
    <t>MAVRONICHOLAS CHRISTOPHER</t>
  </si>
  <si>
    <t>KANTHAN SU</t>
  </si>
  <si>
    <t>HOMAINEJAD DORNA</t>
  </si>
  <si>
    <t>GUEVARA LUJAN GABRIELA</t>
  </si>
  <si>
    <t>KO SOL</t>
  </si>
  <si>
    <t>YADAGIRI SIRI</t>
  </si>
  <si>
    <t>RAMIREZ CASTRO MARIA</t>
  </si>
  <si>
    <t>CAMPBELL-MCKECHNIE ALMA</t>
  </si>
  <si>
    <t>ESTORES FELICIA</t>
  </si>
  <si>
    <t>AHN ERIC</t>
  </si>
  <si>
    <t>GALLAGHER TROY</t>
  </si>
  <si>
    <t>PINDORIA NIKSHEE</t>
  </si>
  <si>
    <t>ABAZARI HASTI</t>
  </si>
  <si>
    <t>TRUONG DAVID</t>
  </si>
  <si>
    <t>YASEEN MISBAH</t>
  </si>
  <si>
    <t>RADHA IKSHITHA</t>
  </si>
  <si>
    <t>VASHISHTH DEEPIKA</t>
  </si>
  <si>
    <t>SIVARAJ DURGA</t>
  </si>
  <si>
    <t>TRIVEDI ARTI</t>
  </si>
  <si>
    <t>HO JOHN</t>
  </si>
  <si>
    <t>KARIMZADA OMID</t>
  </si>
  <si>
    <t>HUSSAIN EMRAN</t>
  </si>
  <si>
    <t>SINGH NAMARTA</t>
  </si>
  <si>
    <t>VOHRA ATEEV</t>
  </si>
  <si>
    <t>ONEILL CHRISTINE</t>
  </si>
  <si>
    <t>PRASHANTHAN ARANE</t>
  </si>
  <si>
    <t>LAWRENCE SHARON</t>
  </si>
  <si>
    <t>DENG OLIVER</t>
  </si>
  <si>
    <t>ALMASSI AREZOO</t>
  </si>
  <si>
    <t>NANAYAKKARA W V W SHALINI</t>
  </si>
  <si>
    <t>RUSSELL ADAM</t>
  </si>
  <si>
    <t>THEW BENJAMIN</t>
  </si>
  <si>
    <t>PP1 Gross</t>
  </si>
  <si>
    <t xml:space="preserve">Fortnightly Salary </t>
  </si>
  <si>
    <t>PP2 Gross</t>
  </si>
  <si>
    <t>Salary Sacrifice</t>
  </si>
  <si>
    <t>Fortnightly Total</t>
  </si>
  <si>
    <t>PP1 Compare</t>
  </si>
  <si>
    <t>PP2 Compare</t>
  </si>
  <si>
    <t>O'Neil Christine Mrs</t>
  </si>
  <si>
    <t>HADAGINAMAKKI SHILPA</t>
  </si>
  <si>
    <t>RAVI SOORYA NARAYANAN</t>
  </si>
  <si>
    <t>AVERY SUE</t>
  </si>
  <si>
    <t>EL-KLINK IMAN</t>
  </si>
  <si>
    <t>AHMADI MARYAM</t>
  </si>
  <si>
    <t>KHAMBAY BILL</t>
  </si>
  <si>
    <t>Avery, Sueanne MS</t>
  </si>
  <si>
    <t>Syd Chem</t>
  </si>
  <si>
    <t>Patel, Vipul Mr</t>
  </si>
  <si>
    <t>SANOBER FAHMI</t>
  </si>
  <si>
    <t>WIJESINGHE PULASTHI</t>
  </si>
  <si>
    <t>CHEUNG CINDY</t>
  </si>
  <si>
    <t>Unpaid Maternity</t>
  </si>
  <si>
    <t>JOKATAMA SIKITI</t>
  </si>
  <si>
    <t>PPL as at 07/11/2022</t>
  </si>
  <si>
    <t>Sal Sac %</t>
  </si>
  <si>
    <t>SAHIR KORISH</t>
  </si>
  <si>
    <t>CAO KIM</t>
  </si>
  <si>
    <t>ORAHA AFRAH</t>
  </si>
  <si>
    <t>ALZEYADI MAYTHAM</t>
  </si>
  <si>
    <t>GOVTPL</t>
  </si>
  <si>
    <t>TRAN KIM LUAN</t>
  </si>
  <si>
    <t>IMAD SYED</t>
  </si>
  <si>
    <t>Ramalingam, Jansi Ms</t>
  </si>
  <si>
    <t>BARAL RICHA</t>
  </si>
  <si>
    <t>Mileage</t>
  </si>
  <si>
    <t>HAMILTON PAUL</t>
  </si>
  <si>
    <t>TRUONG RICHARD</t>
  </si>
  <si>
    <t>HAMAD ESTHER</t>
  </si>
  <si>
    <t>AWAD JASMINE</t>
  </si>
  <si>
    <t>SHEN SHENDY</t>
  </si>
  <si>
    <t>Di Shen</t>
  </si>
  <si>
    <t>Naveen Doguparthy</t>
  </si>
  <si>
    <t>Par TopUp</t>
  </si>
  <si>
    <t>SMITH KAREN</t>
  </si>
  <si>
    <t>DOGUPARTHY NAVEEN</t>
  </si>
  <si>
    <t>HENRI BROOKE</t>
  </si>
  <si>
    <t>Prepay EFT</t>
  </si>
  <si>
    <t>QURASHI RAYEED AHMED</t>
  </si>
  <si>
    <t>MATTUPALLI MADHAVI</t>
  </si>
  <si>
    <t>SUBRAMANYA AKSHATHA</t>
  </si>
  <si>
    <t>Public Hol</t>
  </si>
  <si>
    <t>Compassion</t>
  </si>
  <si>
    <t>Back Pay</t>
  </si>
  <si>
    <t>ELHAGE AMOUN</t>
  </si>
  <si>
    <t>HAUSUANG NEM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</si>
</sst>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8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2" formatCode="0.00"/>
      <alignment horizontal="center" vertical="center" textRotation="0" indent="0" justifyLastLine="0" shrinkToFit="0" readingOrder="0"/>
    </dxf>
    <dxf>
      <numFmt numFmtId="164" formatCode="0.00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0</xdr:row>
          <xdr:rowOff>104775</xdr:rowOff>
        </xdr:from>
        <xdr:to>
          <xdr:col>17</xdr:col>
          <xdr:colOff>333375</xdr:colOff>
          <xdr:row>4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for New Salaried Employees in Pay Period Worksheet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O49" totalsRowShown="0" headerRowDxfId="16" dataDxfId="15">
  <autoFilter ref="A1:O49"/>
  <sortState ref="A2:O54">
    <sortCondition ref="A1:A54"/>
  </sortState>
  <tableColumns count="15">
    <tableColumn id="1" name="Employee code" dataDxfId="14"/>
    <tableColumn id="5" name="Employee Name" dataDxfId="13"/>
    <tableColumn id="9" name="Hours/FN" dataDxfId="12"/>
    <tableColumn id="14" name="Cost Centre" dataDxfId="11"/>
    <tableColumn id="15" name="CC Description" dataDxfId="10"/>
    <tableColumn id="18" name="Pay Rate" dataDxfId="9"/>
    <tableColumn id="19" name="Fortnightly Salary " dataDxfId="8">
      <calculatedColumnFormula>Table1[[#This Row],[Pay Rate]]*Table1[[#This Row],[Hours/FN]]</calculatedColumnFormula>
    </tableColumn>
    <tableColumn id="13" name="Car Allowance" dataDxfId="7"/>
    <tableColumn id="17" name="Salary Sacrifice" dataDxfId="6"/>
    <tableColumn id="20" name="First Aid Allowance" dataDxfId="5"/>
    <tableColumn id="16" name="Fortnightly Total" dataDxfId="4">
      <calculatedColumnFormula>G2+H2-I2+J2</calculatedColumnFormula>
    </tableColumn>
    <tableColumn id="21" name="PP1 Gross" dataDxfId="3">
      <calculatedColumnFormula>_xlfn.IFNA(VLOOKUP(Table1[[#This Row],[Employee code]],'PP1_Month Beginning'!C:M,11,FALSE),0)</calculatedColumnFormula>
    </tableColumn>
    <tableColumn id="22" name="PP1 Compare" dataDxfId="2">
      <calculatedColumnFormula>Table1[[#This Row],[Fortnightly Total]]-Table1[[#This Row],[PP1 Gross]]</calculatedColumnFormula>
    </tableColumn>
    <tableColumn id="23" name="PP2 Gross" dataDxfId="1">
      <calculatedColumnFormula>_xlfn.IFNA(VLOOKUP(Table1[[#This Row],[Employee code]],'PP2_Month End'!C:M,11,FALSE),0)</calculatedColumnFormula>
    </tableColumn>
    <tableColumn id="24" name="PP2 Compare" dataDxfId="0">
      <calculatedColumnFormula>Table1[[#This Row],[Fortnightly Total]]-Table1[[#This Row],[PP2 Gross]]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Q49"/>
  <sheetViews>
    <sheetView tabSelected="1" topLeftCell="A16" workbookViewId="0">
      <selection activeCell="G37" sqref="G37"/>
    </sheetView>
  </sheetViews>
  <sheetFormatPr defaultRowHeight="15" x14ac:dyDescent="0.25"/>
  <cols>
    <col min="1" max="1" width="16.7109375" style="2" customWidth="1"/>
    <col min="2" max="2" width="39.140625" style="2" bestFit="1" customWidth="1"/>
    <col min="3" max="3" width="11.42578125" style="2" customWidth="1"/>
    <col min="4" max="4" width="14.5703125" style="2" hidden="1" customWidth="1"/>
    <col min="5" max="5" width="33.140625" style="2" hidden="1" customWidth="1"/>
    <col min="6" max="6" width="11.42578125" style="2" customWidth="1"/>
    <col min="7" max="7" width="19.5703125" style="2" customWidth="1"/>
    <col min="8" max="10" width="10.28515625" style="2" customWidth="1"/>
    <col min="11" max="11" width="13.28515625" style="2" bestFit="1" customWidth="1"/>
    <col min="12" max="12" width="0" style="2" hidden="1" customWidth="1"/>
    <col min="13" max="13" width="9.140625" style="2"/>
    <col min="14" max="14" width="0" style="2" hidden="1" customWidth="1"/>
    <col min="15" max="16384" width="9.140625" style="2"/>
  </cols>
  <sheetData>
    <row r="1" spans="1:17" s="1" customFormat="1" ht="42.75" customHeight="1" x14ac:dyDescent="0.25">
      <c r="A1" s="1" t="s">
        <v>0</v>
      </c>
      <c r="B1" s="1" t="s">
        <v>1</v>
      </c>
      <c r="C1" s="1" t="s">
        <v>70</v>
      </c>
      <c r="D1" s="1" t="s">
        <v>42</v>
      </c>
      <c r="E1" s="1" t="s">
        <v>43</v>
      </c>
      <c r="F1" s="1" t="s">
        <v>69</v>
      </c>
      <c r="G1" s="1" t="s">
        <v>232</v>
      </c>
      <c r="H1" s="1" t="s">
        <v>73</v>
      </c>
      <c r="I1" s="1" t="s">
        <v>234</v>
      </c>
      <c r="J1" s="1" t="s">
        <v>72</v>
      </c>
      <c r="K1" s="1" t="s">
        <v>235</v>
      </c>
      <c r="L1" s="1" t="s">
        <v>231</v>
      </c>
      <c r="M1" s="1" t="s">
        <v>236</v>
      </c>
      <c r="N1" s="1" t="s">
        <v>233</v>
      </c>
      <c r="O1" s="1" t="s">
        <v>237</v>
      </c>
    </row>
    <row r="2" spans="1:17" x14ac:dyDescent="0.25">
      <c r="A2" s="2">
        <v>44</v>
      </c>
      <c r="B2" s="2" t="s">
        <v>2</v>
      </c>
      <c r="C2" s="2">
        <v>76</v>
      </c>
      <c r="D2" s="2">
        <v>12033011</v>
      </c>
      <c r="E2" s="2" t="s">
        <v>45</v>
      </c>
      <c r="F2" s="5">
        <v>44.028399999999998</v>
      </c>
      <c r="G2" s="3">
        <f>Table1[[#This Row],[Pay Rate]]*Table1[[#This Row],[Hours/FN]]</f>
        <v>3346.1583999999998</v>
      </c>
      <c r="H2" s="4">
        <v>0</v>
      </c>
      <c r="I2" s="4">
        <v>0</v>
      </c>
      <c r="J2" s="4">
        <v>0</v>
      </c>
      <c r="K2" s="3">
        <v>0</v>
      </c>
      <c r="L2" s="4">
        <f>_xlfn.IFNA(VLOOKUP(Table1[[#This Row],[Employee code]],'PP1_Month Beginning'!C:M,11,FALSE),0)</f>
        <v>0</v>
      </c>
      <c r="M2" s="4">
        <f>Table1[[#This Row],[Fortnightly Total]]-Table1[[#This Row],[PP1 Gross]]</f>
        <v>0</v>
      </c>
      <c r="N2" s="4">
        <f>_xlfn.IFNA(VLOOKUP(Table1[[#This Row],[Employee code]],'PP2_Month End'!C:M,11,FALSE),0)</f>
        <v>0</v>
      </c>
      <c r="O2" s="4">
        <f>Table1[[#This Row],[Fortnightly Total]]-Table1[[#This Row],[PP2 Gross]]</f>
        <v>0</v>
      </c>
    </row>
    <row r="3" spans="1:17" x14ac:dyDescent="0.25">
      <c r="A3" s="2">
        <v>115</v>
      </c>
      <c r="B3" s="2" t="s">
        <v>3</v>
      </c>
      <c r="C3" s="2">
        <v>76</v>
      </c>
      <c r="D3" s="2">
        <v>12040400</v>
      </c>
      <c r="E3" s="2" t="s">
        <v>46</v>
      </c>
      <c r="F3" s="5">
        <v>40.111336032388664</v>
      </c>
      <c r="G3" s="3">
        <f>Table1[[#This Row],[Pay Rate]]*Table1[[#This Row],[Hours/FN]]</f>
        <v>3048.4615384615386</v>
      </c>
      <c r="H3" s="4">
        <v>0</v>
      </c>
      <c r="I3" s="4">
        <v>0</v>
      </c>
      <c r="J3" s="4">
        <v>0</v>
      </c>
      <c r="K3" s="3">
        <f t="shared" ref="K3:K5" si="0">G3+H3-I3</f>
        <v>3048.4615384615386</v>
      </c>
      <c r="L3" s="4">
        <f>_xlfn.IFNA(VLOOKUP(Table1[[#This Row],[Employee code]],'PP1_Month Beginning'!C:M,11,FALSE),0)</f>
        <v>3048.46</v>
      </c>
      <c r="M3" s="4">
        <f>Table1[[#This Row],[Fortnightly Total]]-Table1[[#This Row],[PP1 Gross]]</f>
        <v>1.5384615385301004E-3</v>
      </c>
      <c r="N3" s="4">
        <f>_xlfn.IFNA(VLOOKUP(Table1[[#This Row],[Employee code]],'PP2_Month End'!C:M,11,FALSE),0)</f>
        <v>3048.46</v>
      </c>
      <c r="O3" s="4">
        <f>Table1[[#This Row],[Fortnightly Total]]-Table1[[#This Row],[PP2 Gross]]</f>
        <v>1.5384615385301004E-3</v>
      </c>
    </row>
    <row r="4" spans="1:17" x14ac:dyDescent="0.25">
      <c r="A4" s="2">
        <v>152</v>
      </c>
      <c r="B4" s="2" t="s">
        <v>4</v>
      </c>
      <c r="C4" s="2">
        <v>76</v>
      </c>
      <c r="D4" s="2">
        <v>12010700</v>
      </c>
      <c r="E4" s="2" t="s">
        <v>48</v>
      </c>
      <c r="F4" s="5">
        <v>52.631578947368418</v>
      </c>
      <c r="G4" s="3">
        <f>Table1[[#This Row],[Pay Rate]]*Table1[[#This Row],[Hours/FN]]</f>
        <v>3999.9999999999995</v>
      </c>
      <c r="H4" s="4">
        <v>0</v>
      </c>
      <c r="I4" s="4">
        <v>0</v>
      </c>
      <c r="J4" s="4">
        <v>0</v>
      </c>
      <c r="K4" s="3">
        <f t="shared" si="0"/>
        <v>3999.9999999999995</v>
      </c>
      <c r="L4" s="4">
        <f>_xlfn.IFNA(VLOOKUP(Table1[[#This Row],[Employee code]],'PP1_Month Beginning'!C:M,11,FALSE),0)</f>
        <v>4000</v>
      </c>
      <c r="M4" s="4">
        <f>Table1[[#This Row],[Fortnightly Total]]-Table1[[#This Row],[PP1 Gross]]</f>
        <v>0</v>
      </c>
      <c r="N4" s="4">
        <f>_xlfn.IFNA(VLOOKUP(Table1[[#This Row],[Employee code]],'PP2_Month End'!C:M,11,FALSE),0)</f>
        <v>4000</v>
      </c>
      <c r="O4" s="4">
        <f>Table1[[#This Row],[Fortnightly Total]]-Table1[[#This Row],[PP2 Gross]]</f>
        <v>0</v>
      </c>
    </row>
    <row r="5" spans="1:17" x14ac:dyDescent="0.25">
      <c r="A5" s="2">
        <v>220</v>
      </c>
      <c r="B5" s="2" t="s">
        <v>5</v>
      </c>
      <c r="C5" s="2">
        <v>76</v>
      </c>
      <c r="D5" s="2">
        <v>12013300</v>
      </c>
      <c r="E5" s="2" t="s">
        <v>49</v>
      </c>
      <c r="F5" s="5">
        <v>45.546558704453439</v>
      </c>
      <c r="G5" s="3">
        <f>Table1[[#This Row],[Pay Rate]]*Table1[[#This Row],[Hours/FN]]</f>
        <v>3461.5384615384614</v>
      </c>
      <c r="H5" s="4">
        <v>0</v>
      </c>
      <c r="I5" s="4">
        <v>75</v>
      </c>
      <c r="J5" s="4">
        <v>0</v>
      </c>
      <c r="K5" s="3">
        <f t="shared" si="0"/>
        <v>3386.5384615384614</v>
      </c>
      <c r="L5" s="4">
        <f>_xlfn.IFNA(VLOOKUP(Table1[[#This Row],[Employee code]],'PP1_Month Beginning'!C:M,11,FALSE),0)</f>
        <v>3386.54</v>
      </c>
      <c r="M5" s="4">
        <f>Table1[[#This Row],[Fortnightly Total]]-Table1[[#This Row],[PP1 Gross]]</f>
        <v>-1.5384615385301004E-3</v>
      </c>
      <c r="N5" s="4">
        <f>_xlfn.IFNA(VLOOKUP(Table1[[#This Row],[Employee code]],'PP2_Month End'!C:M,11,FALSE),0)</f>
        <v>3386.54</v>
      </c>
      <c r="O5" s="4">
        <f>Table1[[#This Row],[Fortnightly Total]]-Table1[[#This Row],[PP2 Gross]]</f>
        <v>-1.5384615385301004E-3</v>
      </c>
    </row>
    <row r="6" spans="1:17" x14ac:dyDescent="0.25">
      <c r="A6" s="2">
        <v>261</v>
      </c>
      <c r="B6" s="2" t="s">
        <v>6</v>
      </c>
      <c r="C6" s="2">
        <v>76</v>
      </c>
      <c r="D6" s="2">
        <v>12060611</v>
      </c>
      <c r="E6" s="2" t="s">
        <v>50</v>
      </c>
      <c r="F6" s="5">
        <v>42.10526315789474</v>
      </c>
      <c r="G6" s="3">
        <f>Table1[[#This Row],[Pay Rate]]*Table1[[#This Row],[Hours/FN]]</f>
        <v>3200</v>
      </c>
      <c r="H6" s="4">
        <v>0</v>
      </c>
      <c r="I6" s="4">
        <v>150</v>
      </c>
      <c r="J6" s="4">
        <v>36.46</v>
      </c>
      <c r="K6" s="3">
        <f>G6+H6-I6</f>
        <v>3050</v>
      </c>
      <c r="L6" s="4">
        <f>_xlfn.IFNA(VLOOKUP(Table1[[#This Row],[Employee code]],'PP1_Month Beginning'!C:M,11,FALSE),0)</f>
        <v>3050</v>
      </c>
      <c r="M6" s="4">
        <f>Table1[[#This Row],[Fortnightly Total]]-Table1[[#This Row],[PP1 Gross]]</f>
        <v>0</v>
      </c>
      <c r="N6" s="4">
        <f>_xlfn.IFNA(VLOOKUP(Table1[[#This Row],[Employee code]],'PP2_Month End'!C:M,11,FALSE),0)</f>
        <v>3050</v>
      </c>
      <c r="O6" s="4">
        <f>Table1[[#This Row],[Fortnightly Total]]-Table1[[#This Row],[PP2 Gross]]</f>
        <v>0</v>
      </c>
    </row>
    <row r="7" spans="1:17" x14ac:dyDescent="0.25">
      <c r="A7" s="2">
        <v>266</v>
      </c>
      <c r="B7" s="2" t="s">
        <v>7</v>
      </c>
      <c r="C7" s="2">
        <v>76</v>
      </c>
      <c r="D7" s="2">
        <v>12030500</v>
      </c>
      <c r="E7" s="2" t="s">
        <v>51</v>
      </c>
      <c r="F7" s="5">
        <v>34.539473684210527</v>
      </c>
      <c r="G7" s="3">
        <f>Table1[[#This Row],[Pay Rate]]*Table1[[#This Row],[Hours/FN]]</f>
        <v>2625</v>
      </c>
      <c r="H7" s="4">
        <v>0</v>
      </c>
      <c r="I7" s="4">
        <v>0</v>
      </c>
      <c r="J7" s="4">
        <v>0</v>
      </c>
      <c r="K7" s="3">
        <f t="shared" ref="K7:K44" si="1">G7+H7-I7</f>
        <v>2625</v>
      </c>
      <c r="L7" s="4">
        <f>_xlfn.IFNA(VLOOKUP(Table1[[#This Row],[Employee code]],'PP1_Month Beginning'!C:M,11,FALSE),0)</f>
        <v>2625</v>
      </c>
      <c r="M7" s="4">
        <f>Table1[[#This Row],[Fortnightly Total]]-Table1[[#This Row],[PP1 Gross]]</f>
        <v>0</v>
      </c>
      <c r="N7" s="4">
        <f>_xlfn.IFNA(VLOOKUP(Table1[[#This Row],[Employee code]],'PP2_Month End'!C:M,11,FALSE),0)</f>
        <v>2625</v>
      </c>
      <c r="O7" s="4">
        <f>Table1[[#This Row],[Fortnightly Total]]-Table1[[#This Row],[PP2 Gross]]</f>
        <v>0</v>
      </c>
    </row>
    <row r="8" spans="1:17" x14ac:dyDescent="0.25">
      <c r="A8" s="2">
        <v>302</v>
      </c>
      <c r="B8" s="2" t="s">
        <v>8</v>
      </c>
      <c r="C8" s="2">
        <v>76</v>
      </c>
      <c r="D8" s="2">
        <v>12030500</v>
      </c>
      <c r="E8" s="2" t="s">
        <v>51</v>
      </c>
      <c r="F8" s="5">
        <v>30.085999999999999</v>
      </c>
      <c r="G8" s="3">
        <f>Table1[[#This Row],[Pay Rate]]*Table1[[#This Row],[Hours/FN]]</f>
        <v>2286.5360000000001</v>
      </c>
      <c r="H8" s="4">
        <v>0</v>
      </c>
      <c r="I8" s="4">
        <v>0</v>
      </c>
      <c r="J8" s="4">
        <v>0</v>
      </c>
      <c r="K8" s="3">
        <f t="shared" si="1"/>
        <v>2286.5360000000001</v>
      </c>
      <c r="L8" s="4">
        <f>_xlfn.IFNA(VLOOKUP(Table1[[#This Row],[Employee code]],'PP1_Month Beginning'!C:M,11,FALSE),0)</f>
        <v>1624.9</v>
      </c>
      <c r="M8" s="4">
        <f>Table1[[#This Row],[Fortnightly Total]]-Table1[[#This Row],[PP1 Gross]]</f>
        <v>661.63599999999997</v>
      </c>
      <c r="N8" s="4">
        <f>_xlfn.IFNA(VLOOKUP(Table1[[#This Row],[Employee code]],'PP2_Month End'!C:M,11,FALSE),0)</f>
        <v>1624.9</v>
      </c>
      <c r="O8" s="4">
        <f>Table1[[#This Row],[Fortnightly Total]]-Table1[[#This Row],[PP2 Gross]]</f>
        <v>661.63599999999997</v>
      </c>
      <c r="Q8" s="2" t="s">
        <v>253</v>
      </c>
    </row>
    <row r="9" spans="1:17" x14ac:dyDescent="0.25">
      <c r="A9" s="2">
        <v>18442</v>
      </c>
      <c r="B9" s="2" t="s">
        <v>9</v>
      </c>
      <c r="C9" s="2">
        <v>76</v>
      </c>
      <c r="D9" s="2">
        <v>12060400</v>
      </c>
      <c r="E9" s="2" t="s">
        <v>52</v>
      </c>
      <c r="F9" s="5">
        <v>33.400799999999997</v>
      </c>
      <c r="G9" s="3">
        <f>Table1[[#This Row],[Pay Rate]]*Table1[[#This Row],[Hours/FN]]</f>
        <v>2538.4607999999998</v>
      </c>
      <c r="H9" s="4">
        <v>0</v>
      </c>
      <c r="I9" s="4">
        <v>0</v>
      </c>
      <c r="J9" s="4">
        <v>36.46</v>
      </c>
      <c r="K9" s="3">
        <f t="shared" si="1"/>
        <v>2538.4607999999998</v>
      </c>
      <c r="L9" s="4">
        <f>_xlfn.IFNA(VLOOKUP(Table1[[#This Row],[Employee code]],'PP1_Month Beginning'!C:M,11,FALSE),0)</f>
        <v>2538.46</v>
      </c>
      <c r="M9" s="4">
        <f>Table1[[#This Row],[Fortnightly Total]]-Table1[[#This Row],[PP1 Gross]]</f>
        <v>7.9999999979918357E-4</v>
      </c>
      <c r="N9" s="4">
        <f>_xlfn.IFNA(VLOOKUP(Table1[[#This Row],[Employee code]],'PP2_Month End'!C:M,11,FALSE),0)</f>
        <v>2538.46</v>
      </c>
      <c r="O9" s="4">
        <f>Table1[[#This Row],[Fortnightly Total]]-Table1[[#This Row],[PP2 Gross]]</f>
        <v>7.9999999979918357E-4</v>
      </c>
    </row>
    <row r="10" spans="1:17" x14ac:dyDescent="0.25">
      <c r="A10" s="2">
        <v>18517</v>
      </c>
      <c r="B10" s="2" t="s">
        <v>10</v>
      </c>
      <c r="C10" s="2">
        <v>76</v>
      </c>
      <c r="D10" s="2">
        <v>12010500</v>
      </c>
      <c r="E10" s="2" t="s">
        <v>53</v>
      </c>
      <c r="F10" s="5">
        <v>74.898782995951422</v>
      </c>
      <c r="G10" s="3">
        <f>Table1[[#This Row],[Pay Rate]]*Table1[[#This Row],[Hours/FN]]</f>
        <v>5692.3075076923078</v>
      </c>
      <c r="H10" s="4">
        <v>230.77</v>
      </c>
      <c r="I10" s="4">
        <v>266.54000000000002</v>
      </c>
      <c r="J10" s="4">
        <v>0</v>
      </c>
      <c r="K10" s="3">
        <f t="shared" si="1"/>
        <v>5656.5375076923083</v>
      </c>
      <c r="L10" s="4">
        <f>_xlfn.IFNA(VLOOKUP(Table1[[#This Row],[Employee code]],'PP1_Month Beginning'!C:M,11,FALSE),0)</f>
        <v>5656.54</v>
      </c>
      <c r="M10" s="4">
        <f>Table1[[#This Row],[Fortnightly Total]]-Table1[[#This Row],[PP1 Gross]]</f>
        <v>-2.4923076916820719E-3</v>
      </c>
      <c r="N10" s="4">
        <f>_xlfn.IFNA(VLOOKUP(Table1[[#This Row],[Employee code]],'PP2_Month End'!C:M,11,FALSE),0)</f>
        <v>5656.54</v>
      </c>
      <c r="O10" s="4">
        <f>Table1[[#This Row],[Fortnightly Total]]-Table1[[#This Row],[PP2 Gross]]</f>
        <v>-2.4923076916820719E-3</v>
      </c>
    </row>
    <row r="11" spans="1:17" x14ac:dyDescent="0.25">
      <c r="A11" s="2">
        <v>18550</v>
      </c>
      <c r="B11" s="2" t="s">
        <v>11</v>
      </c>
      <c r="C11" s="2">
        <v>76</v>
      </c>
      <c r="D11" s="2">
        <v>12019199</v>
      </c>
      <c r="E11" s="2" t="s">
        <v>54</v>
      </c>
      <c r="F11" s="5">
        <v>35.349190283400809</v>
      </c>
      <c r="G11" s="3">
        <f>Table1[[#This Row],[Pay Rate]]*Table1[[#This Row],[Hours/FN]]</f>
        <v>2686.5384615384614</v>
      </c>
      <c r="H11" s="4">
        <v>0</v>
      </c>
      <c r="I11" s="4">
        <v>780</v>
      </c>
      <c r="J11" s="4">
        <v>0</v>
      </c>
      <c r="K11" s="3">
        <f t="shared" si="1"/>
        <v>1906.5384615384614</v>
      </c>
      <c r="L11" s="4">
        <f>_xlfn.IFNA(VLOOKUP(Table1[[#This Row],[Employee code]],'PP1_Month Beginning'!C:M,11,FALSE),0)</f>
        <v>1906.54</v>
      </c>
      <c r="M11" s="4">
        <f>Table1[[#This Row],[Fortnightly Total]]-Table1[[#This Row],[PP1 Gross]]</f>
        <v>-1.5384615385301004E-3</v>
      </c>
      <c r="N11" s="4">
        <f>_xlfn.IFNA(VLOOKUP(Table1[[#This Row],[Employee code]],'PP2_Month End'!C:M,11,FALSE),0)</f>
        <v>1906.54</v>
      </c>
      <c r="O11" s="4">
        <f>Table1[[#This Row],[Fortnightly Total]]-Table1[[#This Row],[PP2 Gross]]</f>
        <v>-1.5384615385301004E-3</v>
      </c>
    </row>
    <row r="12" spans="1:17" x14ac:dyDescent="0.25">
      <c r="A12" s="2">
        <v>18581</v>
      </c>
      <c r="B12" s="2" t="s">
        <v>12</v>
      </c>
      <c r="C12" s="2">
        <v>76</v>
      </c>
      <c r="D12" s="2">
        <v>12024021</v>
      </c>
      <c r="E12" s="2" t="s">
        <v>55</v>
      </c>
      <c r="F12" s="5">
        <v>41.613100000000003</v>
      </c>
      <c r="G12" s="3">
        <f>Table1[[#This Row],[Pay Rate]]*Table1[[#This Row],[Hours/FN]]</f>
        <v>3162.5956000000001</v>
      </c>
      <c r="H12" s="4">
        <v>0</v>
      </c>
      <c r="I12" s="4">
        <v>0</v>
      </c>
      <c r="J12" s="4">
        <v>0</v>
      </c>
      <c r="K12" s="3">
        <f t="shared" si="1"/>
        <v>3162.5956000000001</v>
      </c>
      <c r="L12" s="4">
        <f>_xlfn.IFNA(VLOOKUP(Table1[[#This Row],[Employee code]],'PP1_Month Beginning'!C:M,11,FALSE),0)</f>
        <v>3162.6</v>
      </c>
      <c r="M12" s="4">
        <f>Table1[[#This Row],[Fortnightly Total]]-Table1[[#This Row],[PP1 Gross]]</f>
        <v>-4.3999999998050043E-3</v>
      </c>
      <c r="N12" s="4">
        <f>_xlfn.IFNA(VLOOKUP(Table1[[#This Row],[Employee code]],'PP2_Month End'!C:M,11,FALSE),0)</f>
        <v>3162.6</v>
      </c>
      <c r="O12" s="4">
        <f>Table1[[#This Row],[Fortnightly Total]]-Table1[[#This Row],[PP2 Gross]]</f>
        <v>-4.3999999998050043E-3</v>
      </c>
    </row>
    <row r="13" spans="1:17" x14ac:dyDescent="0.25">
      <c r="A13" s="2">
        <v>18619</v>
      </c>
      <c r="B13" s="2" t="s">
        <v>13</v>
      </c>
      <c r="C13" s="2">
        <v>76</v>
      </c>
      <c r="D13" s="2">
        <v>12020400</v>
      </c>
      <c r="E13" s="2" t="s">
        <v>56</v>
      </c>
      <c r="F13" s="5">
        <v>33.350200000000001</v>
      </c>
      <c r="G13" s="3">
        <f>Table1[[#This Row],[Pay Rate]]*Table1[[#This Row],[Hours/FN]]</f>
        <v>2534.6152000000002</v>
      </c>
      <c r="H13" s="4">
        <v>0</v>
      </c>
      <c r="I13" s="4">
        <v>0</v>
      </c>
      <c r="J13" s="4">
        <v>0</v>
      </c>
      <c r="K13" s="3">
        <f t="shared" si="1"/>
        <v>2534.6152000000002</v>
      </c>
      <c r="L13" s="4">
        <f>_xlfn.IFNA(VLOOKUP(Table1[[#This Row],[Employee code]],'PP1_Month Beginning'!C:M,11,FALSE),0)</f>
        <v>2534.62</v>
      </c>
      <c r="M13" s="4">
        <f>Table1[[#This Row],[Fortnightly Total]]-Table1[[#This Row],[PP1 Gross]]</f>
        <v>-4.7999999997045961E-3</v>
      </c>
      <c r="N13" s="4">
        <f>_xlfn.IFNA(VLOOKUP(Table1[[#This Row],[Employee code]],'PP2_Month End'!C:M,11,FALSE),0)</f>
        <v>2534.61</v>
      </c>
      <c r="O13" s="4">
        <f>Table1[[#This Row],[Fortnightly Total]]-Table1[[#This Row],[PP2 Gross]]</f>
        <v>5.2000000000589353E-3</v>
      </c>
    </row>
    <row r="14" spans="1:17" x14ac:dyDescent="0.25">
      <c r="A14" s="2">
        <v>18626</v>
      </c>
      <c r="B14" s="2" t="s">
        <v>14</v>
      </c>
      <c r="C14" s="2">
        <v>76</v>
      </c>
      <c r="D14" s="2">
        <v>12030611</v>
      </c>
      <c r="E14" s="2" t="s">
        <v>47</v>
      </c>
      <c r="F14" s="5">
        <v>50.607300000000002</v>
      </c>
      <c r="G14" s="3">
        <f>Table1[[#This Row],[Pay Rate]]*Table1[[#This Row],[Hours/FN]]</f>
        <v>3846.1548000000003</v>
      </c>
      <c r="H14" s="4">
        <v>0</v>
      </c>
      <c r="I14" s="4">
        <v>0</v>
      </c>
      <c r="J14" s="4">
        <v>0</v>
      </c>
      <c r="K14" s="3">
        <f t="shared" si="1"/>
        <v>3846.1548000000003</v>
      </c>
      <c r="L14" s="4">
        <f>_xlfn.IFNA(VLOOKUP(Table1[[#This Row],[Employee code]],'PP1_Month Beginning'!C:M,11,FALSE),0)</f>
        <v>3846.16</v>
      </c>
      <c r="M14" s="4">
        <f>Table1[[#This Row],[Fortnightly Total]]-Table1[[#This Row],[PP1 Gross]]</f>
        <v>-5.1999999996041879E-3</v>
      </c>
      <c r="N14" s="4">
        <f>_xlfn.IFNA(VLOOKUP(Table1[[#This Row],[Employee code]],'PP2_Month End'!C:M,11,FALSE),0)</f>
        <v>3846.15</v>
      </c>
      <c r="O14" s="4">
        <f>Table1[[#This Row],[Fortnightly Total]]-Table1[[#This Row],[PP2 Gross]]</f>
        <v>4.8000000001593435E-3</v>
      </c>
    </row>
    <row r="15" spans="1:17" x14ac:dyDescent="0.25">
      <c r="A15" s="2">
        <v>18649</v>
      </c>
      <c r="B15" s="2" t="s">
        <v>15</v>
      </c>
      <c r="C15" s="2">
        <v>76</v>
      </c>
      <c r="D15" s="2">
        <v>12040500</v>
      </c>
      <c r="E15" s="2" t="s">
        <v>58</v>
      </c>
      <c r="F15" s="5">
        <v>41.902834050000003</v>
      </c>
      <c r="G15" s="3">
        <f>Table1[[#This Row],[Pay Rate]]*Table1[[#This Row],[Hours/FN]]</f>
        <v>3184.6153878</v>
      </c>
      <c r="H15" s="4">
        <v>0</v>
      </c>
      <c r="I15" s="4">
        <v>0</v>
      </c>
      <c r="J15" s="4">
        <v>36.46</v>
      </c>
      <c r="K15" s="3">
        <f t="shared" si="1"/>
        <v>3184.6153878</v>
      </c>
      <c r="L15" s="4">
        <f>_xlfn.IFNA(VLOOKUP(Table1[[#This Row],[Employee code]],'PP1_Month Beginning'!C:M,11,FALSE),0)</f>
        <v>3184.61</v>
      </c>
      <c r="M15" s="4">
        <f>Table1[[#This Row],[Fortnightly Total]]-Table1[[#This Row],[PP1 Gross]]</f>
        <v>5.3877999998803716E-3</v>
      </c>
      <c r="N15" s="4">
        <f>_xlfn.IFNA(VLOOKUP(Table1[[#This Row],[Employee code]],'PP2_Month End'!C:M,11,FALSE),0)</f>
        <v>3184.61</v>
      </c>
      <c r="O15" s="4">
        <f>Table1[[#This Row],[Fortnightly Total]]-Table1[[#This Row],[PP2 Gross]]</f>
        <v>5.3877999998803716E-3</v>
      </c>
    </row>
    <row r="16" spans="1:17" x14ac:dyDescent="0.25">
      <c r="A16" s="2">
        <v>18713</v>
      </c>
      <c r="B16" s="2" t="s">
        <v>16</v>
      </c>
      <c r="C16" s="2">
        <v>76</v>
      </c>
      <c r="D16" s="2">
        <v>12043011</v>
      </c>
      <c r="E16" s="2" t="s">
        <v>57</v>
      </c>
      <c r="F16" s="5">
        <v>42.956983805668017</v>
      </c>
      <c r="G16" s="3">
        <f>Table1[[#This Row],[Pay Rate]]*Table1[[#This Row],[Hours/FN]]</f>
        <v>3264.7307692307695</v>
      </c>
      <c r="H16" s="4">
        <v>230.76</v>
      </c>
      <c r="I16" s="4">
        <v>0</v>
      </c>
      <c r="J16" s="4">
        <v>36.46</v>
      </c>
      <c r="K16" s="3">
        <f t="shared" si="1"/>
        <v>3495.4907692307697</v>
      </c>
      <c r="L16" s="4">
        <f>_xlfn.IFNA(VLOOKUP(Table1[[#This Row],[Employee code]],'PP1_Month Beginning'!C:M,11,FALSE),0)</f>
        <v>3495.49</v>
      </c>
      <c r="M16" s="4">
        <f>Table1[[#This Row],[Fortnightly Total]]-Table1[[#This Row],[PP1 Gross]]</f>
        <v>7.6923076994717121E-4</v>
      </c>
      <c r="N16" s="4">
        <f>_xlfn.IFNA(VLOOKUP(Table1[[#This Row],[Employee code]],'PP2_Month End'!C:M,11,FALSE),0)</f>
        <v>3495.49</v>
      </c>
      <c r="O16" s="4">
        <f>Table1[[#This Row],[Fortnightly Total]]-Table1[[#This Row],[PP2 Gross]]</f>
        <v>7.6923076994717121E-4</v>
      </c>
    </row>
    <row r="17" spans="1:15" x14ac:dyDescent="0.25">
      <c r="A17" s="2">
        <v>18716</v>
      </c>
      <c r="B17" s="2" t="s">
        <v>17</v>
      </c>
      <c r="C17" s="2">
        <v>76</v>
      </c>
      <c r="D17" s="2">
        <v>12018099</v>
      </c>
      <c r="E17" s="2" t="s">
        <v>59</v>
      </c>
      <c r="F17" s="5">
        <v>74.89878542510121</v>
      </c>
      <c r="G17" s="3">
        <f>Table1[[#This Row],[Pay Rate]]*Table1[[#This Row],[Hours/FN]]</f>
        <v>5692.3076923076915</v>
      </c>
      <c r="H17" s="4">
        <v>692.31</v>
      </c>
      <c r="I17" s="4">
        <v>0</v>
      </c>
      <c r="J17" s="4">
        <v>0</v>
      </c>
      <c r="K17" s="3">
        <f t="shared" si="1"/>
        <v>6384.617692307691</v>
      </c>
      <c r="L17" s="4">
        <f>_xlfn.IFNA(VLOOKUP(Table1[[#This Row],[Employee code]],'PP1_Month Beginning'!C:M,11,FALSE),0)</f>
        <v>6384.62</v>
      </c>
      <c r="M17" s="4">
        <f>Table1[[#This Row],[Fortnightly Total]]-Table1[[#This Row],[PP1 Gross]]</f>
        <v>-2.3076923089320189E-3</v>
      </c>
      <c r="N17" s="4">
        <f>_xlfn.IFNA(VLOOKUP(Table1[[#This Row],[Employee code]],'PP2_Month End'!C:M,11,FALSE),0)</f>
        <v>6384.62</v>
      </c>
      <c r="O17" s="4">
        <f>Table1[[#This Row],[Fortnightly Total]]-Table1[[#This Row],[PP2 Gross]]</f>
        <v>-2.3076923089320189E-3</v>
      </c>
    </row>
    <row r="18" spans="1:15" x14ac:dyDescent="0.25">
      <c r="A18" s="2">
        <v>18721</v>
      </c>
      <c r="B18" s="2" t="s">
        <v>18</v>
      </c>
      <c r="C18" s="2">
        <v>76</v>
      </c>
      <c r="D18" s="2">
        <v>12013250</v>
      </c>
      <c r="E18" s="2" t="s">
        <v>60</v>
      </c>
      <c r="F18" s="5">
        <v>39.473684210526315</v>
      </c>
      <c r="G18" s="3">
        <f>Table1[[#This Row],[Pay Rate]]*Table1[[#This Row],[Hours/FN]]</f>
        <v>3000</v>
      </c>
      <c r="H18" s="4">
        <v>0</v>
      </c>
      <c r="I18" s="4">
        <v>0</v>
      </c>
      <c r="J18" s="4">
        <v>0</v>
      </c>
      <c r="K18" s="3">
        <f t="shared" si="1"/>
        <v>3000</v>
      </c>
      <c r="L18" s="4">
        <f>_xlfn.IFNA(VLOOKUP(Table1[[#This Row],[Employee code]],'PP1_Month Beginning'!C:M,11,FALSE),0)</f>
        <v>3000</v>
      </c>
      <c r="M18" s="4">
        <f>Table1[[#This Row],[Fortnightly Total]]-Table1[[#This Row],[PP1 Gross]]</f>
        <v>0</v>
      </c>
      <c r="N18" s="4">
        <f>_xlfn.IFNA(VLOOKUP(Table1[[#This Row],[Employee code]],'PP2_Month End'!C:M,11,FALSE),0)</f>
        <v>3000</v>
      </c>
      <c r="O18" s="4">
        <f>Table1[[#This Row],[Fortnightly Total]]-Table1[[#This Row],[PP2 Gross]]</f>
        <v>0</v>
      </c>
    </row>
    <row r="19" spans="1:15" x14ac:dyDescent="0.25">
      <c r="A19" s="2">
        <v>18741</v>
      </c>
      <c r="B19" s="2" t="s">
        <v>19</v>
      </c>
      <c r="C19" s="2">
        <v>76</v>
      </c>
      <c r="D19" s="2">
        <v>12019199</v>
      </c>
      <c r="E19" s="2" t="s">
        <v>54</v>
      </c>
      <c r="F19" s="5">
        <v>46.811740890688256</v>
      </c>
      <c r="G19" s="3">
        <f>Table1[[#This Row],[Pay Rate]]*Table1[[#This Row],[Hours/FN]]</f>
        <v>3557.6923076923076</v>
      </c>
      <c r="H19" s="4">
        <v>0</v>
      </c>
      <c r="I19" s="4">
        <v>0</v>
      </c>
      <c r="J19" s="4">
        <v>0</v>
      </c>
      <c r="K19" s="3">
        <f t="shared" si="1"/>
        <v>3557.6923076923076</v>
      </c>
      <c r="L19" s="4">
        <f>_xlfn.IFNA(VLOOKUP(Table1[[#This Row],[Employee code]],'PP1_Month Beginning'!C:M,11,FALSE),0)</f>
        <v>3557.69</v>
      </c>
      <c r="M19" s="4">
        <f>Table1[[#This Row],[Fortnightly Total]]-Table1[[#This Row],[PP1 Gross]]</f>
        <v>2.3076923075677769E-3</v>
      </c>
      <c r="N19" s="4">
        <f>_xlfn.IFNA(VLOOKUP(Table1[[#This Row],[Employee code]],'PP2_Month End'!C:M,11,FALSE),0)</f>
        <v>3557.69</v>
      </c>
      <c r="O19" s="4">
        <f>Table1[[#This Row],[Fortnightly Total]]-Table1[[#This Row],[PP2 Gross]]</f>
        <v>2.3076923075677769E-3</v>
      </c>
    </row>
    <row r="20" spans="1:15" x14ac:dyDescent="0.25">
      <c r="A20" s="2">
        <v>18805</v>
      </c>
      <c r="B20" s="2" t="s">
        <v>20</v>
      </c>
      <c r="C20" s="2">
        <v>76</v>
      </c>
      <c r="D20" s="2">
        <v>12030400</v>
      </c>
      <c r="E20" s="2" t="s">
        <v>62</v>
      </c>
      <c r="F20" s="5">
        <v>31.882591093117405</v>
      </c>
      <c r="G20" s="3">
        <f>Table1[[#This Row],[Pay Rate]]*Table1[[#This Row],[Hours/FN]]</f>
        <v>2423.0769230769229</v>
      </c>
      <c r="H20" s="4">
        <v>0</v>
      </c>
      <c r="I20" s="4">
        <v>0</v>
      </c>
      <c r="J20" s="4">
        <v>0</v>
      </c>
      <c r="K20" s="3">
        <f t="shared" si="1"/>
        <v>2423.0769230769229</v>
      </c>
      <c r="L20" s="4">
        <f>_xlfn.IFNA(VLOOKUP(Table1[[#This Row],[Employee code]],'PP1_Month Beginning'!C:M,11,FALSE),0)</f>
        <v>2423.08</v>
      </c>
      <c r="M20" s="4">
        <f>Table1[[#This Row],[Fortnightly Total]]-Table1[[#This Row],[PP1 Gross]]</f>
        <v>-3.0769230770602007E-3</v>
      </c>
      <c r="N20" s="4">
        <f>_xlfn.IFNA(VLOOKUP(Table1[[#This Row],[Employee code]],'PP2_Month End'!C:M,11,FALSE),0)</f>
        <v>2423.08</v>
      </c>
      <c r="O20" s="4">
        <f>Table1[[#This Row],[Fortnightly Total]]-Table1[[#This Row],[PP2 Gross]]</f>
        <v>-3.0769230770602007E-3</v>
      </c>
    </row>
    <row r="21" spans="1:15" x14ac:dyDescent="0.25">
      <c r="A21" s="2">
        <v>18836</v>
      </c>
      <c r="B21" s="2" t="s">
        <v>21</v>
      </c>
      <c r="C21" s="2">
        <v>76</v>
      </c>
      <c r="D21" s="2">
        <v>12020400</v>
      </c>
      <c r="E21" s="2" t="s">
        <v>56</v>
      </c>
      <c r="F21" s="5">
        <v>45.546599999999998</v>
      </c>
      <c r="G21" s="3">
        <f>Table1[[#This Row],[Pay Rate]]*Table1[[#This Row],[Hours/FN]]</f>
        <v>3461.5416</v>
      </c>
      <c r="H21" s="4">
        <v>692.31</v>
      </c>
      <c r="I21" s="4">
        <v>0</v>
      </c>
      <c r="J21" s="4">
        <v>0</v>
      </c>
      <c r="K21" s="3">
        <f t="shared" si="1"/>
        <v>4153.8516</v>
      </c>
      <c r="L21" s="4">
        <f>_xlfn.IFNA(VLOOKUP(Table1[[#This Row],[Employee code]],'PP1_Month Beginning'!C:M,11,FALSE),0)</f>
        <v>4153.8500000000004</v>
      </c>
      <c r="M21" s="4">
        <f>Table1[[#This Row],[Fortnightly Total]]-Table1[[#This Row],[PP1 Gross]]</f>
        <v>1.5999999995983671E-3</v>
      </c>
      <c r="N21" s="4">
        <f>_xlfn.IFNA(VLOOKUP(Table1[[#This Row],[Employee code]],'PP2_Month End'!C:M,11,FALSE),0)</f>
        <v>4153.8500000000004</v>
      </c>
      <c r="O21" s="4">
        <f>Table1[[#This Row],[Fortnightly Total]]-Table1[[#This Row],[PP2 Gross]]</f>
        <v>1.5999999995983671E-3</v>
      </c>
    </row>
    <row r="22" spans="1:15" x14ac:dyDescent="0.25">
      <c r="A22" s="2">
        <v>18841</v>
      </c>
      <c r="B22" s="2" t="s">
        <v>22</v>
      </c>
      <c r="C22" s="2">
        <v>76</v>
      </c>
      <c r="D22" s="2">
        <v>12030500</v>
      </c>
      <c r="E22" s="2" t="s">
        <v>51</v>
      </c>
      <c r="F22" s="5">
        <v>29.473684210526315</v>
      </c>
      <c r="G22" s="3">
        <f>Table1[[#This Row],[Pay Rate]]*Table1[[#This Row],[Hours/FN]]</f>
        <v>2240</v>
      </c>
      <c r="H22" s="4">
        <v>0</v>
      </c>
      <c r="I22" s="4">
        <v>0</v>
      </c>
      <c r="J22" s="4">
        <v>0</v>
      </c>
      <c r="K22" s="3">
        <f t="shared" si="1"/>
        <v>2240</v>
      </c>
      <c r="L22" s="4">
        <f>_xlfn.IFNA(VLOOKUP(Table1[[#This Row],[Employee code]],'PP1_Month Beginning'!C:M,11,FALSE),0)</f>
        <v>2240.0100000000002</v>
      </c>
      <c r="M22" s="4">
        <f>Table1[[#This Row],[Fortnightly Total]]-Table1[[#This Row],[PP1 Gross]]</f>
        <v>-1.0000000000218279E-2</v>
      </c>
      <c r="N22" s="4">
        <f>_xlfn.IFNA(VLOOKUP(Table1[[#This Row],[Employee code]],'PP2_Month End'!C:M,11,FALSE),0)</f>
        <v>2240</v>
      </c>
      <c r="O22" s="4">
        <f>Table1[[#This Row],[Fortnightly Total]]-Table1[[#This Row],[PP2 Gross]]</f>
        <v>0</v>
      </c>
    </row>
    <row r="23" spans="1:15" x14ac:dyDescent="0.25">
      <c r="A23" s="2">
        <v>18853</v>
      </c>
      <c r="B23" s="2" t="s">
        <v>23</v>
      </c>
      <c r="C23" s="2">
        <v>76</v>
      </c>
      <c r="D23" s="2">
        <v>12019199</v>
      </c>
      <c r="E23" s="2" t="s">
        <v>54</v>
      </c>
      <c r="F23" s="5">
        <v>86.209008097165992</v>
      </c>
      <c r="G23" s="3">
        <f>Table1[[#This Row],[Pay Rate]]*Table1[[#This Row],[Hours/FN]]</f>
        <v>6551.8846153846152</v>
      </c>
      <c r="H23" s="4">
        <v>692.30769999999995</v>
      </c>
      <c r="I23" s="4">
        <v>400</v>
      </c>
      <c r="J23" s="4">
        <v>0</v>
      </c>
      <c r="K23" s="3">
        <f t="shared" si="1"/>
        <v>6844.1923153846155</v>
      </c>
      <c r="L23" s="4">
        <f>_xlfn.IFNA(VLOOKUP(Table1[[#This Row],[Employee code]],'PP1_Month Beginning'!C:M,11,FALSE),0)</f>
        <v>6844.2</v>
      </c>
      <c r="M23" s="4">
        <f>Table1[[#This Row],[Fortnightly Total]]-Table1[[#This Row],[PP1 Gross]]</f>
        <v>-7.6846153842780041E-3</v>
      </c>
      <c r="N23" s="4">
        <f>_xlfn.IFNA(VLOOKUP(Table1[[#This Row],[Employee code]],'PP2_Month End'!C:M,11,FALSE),0)</f>
        <v>6844.19</v>
      </c>
      <c r="O23" s="4">
        <f>Table1[[#This Row],[Fortnightly Total]]-Table1[[#This Row],[PP2 Gross]]</f>
        <v>2.3153846159402747E-3</v>
      </c>
    </row>
    <row r="24" spans="1:15" x14ac:dyDescent="0.25">
      <c r="A24" s="2">
        <v>18862</v>
      </c>
      <c r="B24" s="2" t="s">
        <v>24</v>
      </c>
      <c r="C24" s="2">
        <v>76</v>
      </c>
      <c r="D24" s="2">
        <v>12018599</v>
      </c>
      <c r="E24" s="2" t="s">
        <v>63</v>
      </c>
      <c r="F24" s="5">
        <v>35.678137651821864</v>
      </c>
      <c r="G24" s="3">
        <f>Table1[[#This Row],[Pay Rate]]*Table1[[#This Row],[Hours/FN]]</f>
        <v>2711.5384615384614</v>
      </c>
      <c r="H24" s="4">
        <v>0</v>
      </c>
      <c r="I24" s="4">
        <v>0</v>
      </c>
      <c r="J24" s="4">
        <v>36.46</v>
      </c>
      <c r="K24" s="3">
        <f t="shared" si="1"/>
        <v>2711.5384615384614</v>
      </c>
      <c r="L24" s="4">
        <f>_xlfn.IFNA(VLOOKUP(Table1[[#This Row],[Employee code]],'PP1_Month Beginning'!C:M,11,FALSE),0)</f>
        <v>2711.54</v>
      </c>
      <c r="M24" s="4">
        <f>Table1[[#This Row],[Fortnightly Total]]-Table1[[#This Row],[PP1 Gross]]</f>
        <v>-1.5384615385301004E-3</v>
      </c>
      <c r="N24" s="4">
        <f>_xlfn.IFNA(VLOOKUP(Table1[[#This Row],[Employee code]],'PP2_Month End'!C:M,11,FALSE),0)</f>
        <v>2711.54</v>
      </c>
      <c r="O24" s="4">
        <f>Table1[[#This Row],[Fortnightly Total]]-Table1[[#This Row],[PP2 Gross]]</f>
        <v>-1.5384615385301004E-3</v>
      </c>
    </row>
    <row r="25" spans="1:15" x14ac:dyDescent="0.25">
      <c r="A25" s="2">
        <v>18871</v>
      </c>
      <c r="B25" s="2" t="s">
        <v>25</v>
      </c>
      <c r="C25" s="2">
        <v>76</v>
      </c>
      <c r="D25" s="2">
        <v>12010500</v>
      </c>
      <c r="E25" s="2" t="s">
        <v>53</v>
      </c>
      <c r="F25" s="5">
        <v>57.727732793522271</v>
      </c>
      <c r="G25" s="3">
        <f>Table1[[#This Row],[Pay Rate]]*Table1[[#This Row],[Hours/FN]]</f>
        <v>4387.3076923076924</v>
      </c>
      <c r="H25" s="4">
        <v>0</v>
      </c>
      <c r="I25" s="4">
        <v>0</v>
      </c>
      <c r="J25" s="4">
        <v>0</v>
      </c>
      <c r="K25" s="3">
        <f t="shared" si="1"/>
        <v>4387.3076923076924</v>
      </c>
      <c r="L25" s="4">
        <f>_xlfn.IFNA(VLOOKUP(Table1[[#This Row],[Employee code]],'PP1_Month Beginning'!C:M,11,FALSE),0)</f>
        <v>4387.3100000000004</v>
      </c>
      <c r="M25" s="4">
        <f>Table1[[#This Row],[Fortnightly Total]]-Table1[[#This Row],[PP1 Gross]]</f>
        <v>-2.3076923080225242E-3</v>
      </c>
      <c r="N25" s="4">
        <f>_xlfn.IFNA(VLOOKUP(Table1[[#This Row],[Employee code]],'PP2_Month End'!C:M,11,FALSE),0)</f>
        <v>4387.3100000000004</v>
      </c>
      <c r="O25" s="4">
        <f>Table1[[#This Row],[Fortnightly Total]]-Table1[[#This Row],[PP2 Gross]]</f>
        <v>-2.3076923080225242E-3</v>
      </c>
    </row>
    <row r="26" spans="1:15" x14ac:dyDescent="0.25">
      <c r="A26" s="2">
        <v>18876</v>
      </c>
      <c r="B26" s="2" t="s">
        <v>26</v>
      </c>
      <c r="C26" s="2">
        <v>76</v>
      </c>
      <c r="D26" s="2">
        <v>12068099</v>
      </c>
      <c r="E26" s="2" t="s">
        <v>64</v>
      </c>
      <c r="F26" s="5">
        <v>38.904352226720647</v>
      </c>
      <c r="G26" s="3">
        <f>Table1[[#This Row],[Pay Rate]]*Table1[[#This Row],[Hours/FN]]</f>
        <v>2956.7307692307691</v>
      </c>
      <c r="H26" s="4">
        <v>692.31</v>
      </c>
      <c r="I26" s="4">
        <v>0</v>
      </c>
      <c r="J26" s="4">
        <v>0</v>
      </c>
      <c r="K26" s="3">
        <f t="shared" si="1"/>
        <v>3649.040769230769</v>
      </c>
      <c r="L26" s="4">
        <f>_xlfn.IFNA(VLOOKUP(Table1[[#This Row],[Employee code]],'PP1_Month Beginning'!C:M,11,FALSE),0)</f>
        <v>3649.04</v>
      </c>
      <c r="M26" s="4">
        <f>Table1[[#This Row],[Fortnightly Total]]-Table1[[#This Row],[PP1 Gross]]</f>
        <v>7.6923076903767651E-4</v>
      </c>
      <c r="N26" s="4">
        <f>_xlfn.IFNA(VLOOKUP(Table1[[#This Row],[Employee code]],'PP2_Month End'!C:M,11,FALSE),0)</f>
        <v>3649.04</v>
      </c>
      <c r="O26" s="4">
        <f>Table1[[#This Row],[Fortnightly Total]]-Table1[[#This Row],[PP2 Gross]]</f>
        <v>7.6923076903767651E-4</v>
      </c>
    </row>
    <row r="27" spans="1:15" x14ac:dyDescent="0.25">
      <c r="A27" s="2">
        <v>18886</v>
      </c>
      <c r="B27" s="2" t="s">
        <v>27</v>
      </c>
      <c r="C27" s="2">
        <v>76</v>
      </c>
      <c r="D27" s="2">
        <v>12019099</v>
      </c>
      <c r="E27" s="2" t="s">
        <v>65</v>
      </c>
      <c r="F27" s="5">
        <v>112.8181983805668</v>
      </c>
      <c r="G27" s="3">
        <f>Table1[[#This Row],[Pay Rate]]*Table1[[#This Row],[Hours/FN]]</f>
        <v>8574.1830769230764</v>
      </c>
      <c r="H27" s="4">
        <v>692.30769999999995</v>
      </c>
      <c r="I27" s="4">
        <v>0</v>
      </c>
      <c r="J27" s="4">
        <v>0</v>
      </c>
      <c r="K27" s="3">
        <f>G27-I27</f>
        <v>8574.1830769230764</v>
      </c>
      <c r="L27" s="4">
        <f>_xlfn.IFNA(VLOOKUP(Table1[[#This Row],[Employee code]],'PP1_Month Beginning'!C:M,11,FALSE),0)</f>
        <v>8574.18</v>
      </c>
      <c r="M27" s="4">
        <f>Table1[[#This Row],[Fortnightly Total]]-Table1[[#This Row],[PP1 Gross]]</f>
        <v>3.076923076150706E-3</v>
      </c>
      <c r="N27" s="4">
        <f>_xlfn.IFNA(VLOOKUP(Table1[[#This Row],[Employee code]],'PP2_Month End'!C:M,11,FALSE),0)</f>
        <v>8574.18</v>
      </c>
      <c r="O27" s="4">
        <f>Table1[[#This Row],[Fortnightly Total]]-Table1[[#This Row],[PP2 Gross]]</f>
        <v>3.076923076150706E-3</v>
      </c>
    </row>
    <row r="28" spans="1:15" x14ac:dyDescent="0.25">
      <c r="A28" s="2">
        <v>18920</v>
      </c>
      <c r="B28" s="2" t="s">
        <v>28</v>
      </c>
      <c r="C28" s="2">
        <v>76</v>
      </c>
      <c r="D28" s="2">
        <v>12013250</v>
      </c>
      <c r="E28" s="2" t="s">
        <v>60</v>
      </c>
      <c r="F28" s="5">
        <v>65.263157894736835</v>
      </c>
      <c r="G28" s="3">
        <f>Table1[[#This Row],[Pay Rate]]*Table1[[#This Row],[Hours/FN]]</f>
        <v>4959.9999999999991</v>
      </c>
      <c r="H28" s="4">
        <v>692.31</v>
      </c>
      <c r="I28" s="4">
        <v>0</v>
      </c>
      <c r="J28" s="4">
        <v>0</v>
      </c>
      <c r="K28" s="3">
        <f t="shared" si="1"/>
        <v>5652.3099999999995</v>
      </c>
      <c r="L28" s="4">
        <f>_xlfn.IFNA(VLOOKUP(Table1[[#This Row],[Employee code]],'PP1_Month Beginning'!C:M,11,FALSE),0)</f>
        <v>5652.31</v>
      </c>
      <c r="M28" s="4">
        <f>Table1[[#This Row],[Fortnightly Total]]-Table1[[#This Row],[PP1 Gross]]</f>
        <v>0</v>
      </c>
      <c r="N28" s="4">
        <f>_xlfn.IFNA(VLOOKUP(Table1[[#This Row],[Employee code]],'PP2_Month End'!C:M,11,FALSE),0)</f>
        <v>5652.31</v>
      </c>
      <c r="O28" s="4">
        <f>Table1[[#This Row],[Fortnightly Total]]-Table1[[#This Row],[PP2 Gross]]</f>
        <v>0</v>
      </c>
    </row>
    <row r="29" spans="1:15" x14ac:dyDescent="0.25">
      <c r="A29" s="2">
        <v>18946</v>
      </c>
      <c r="B29" s="2" t="s">
        <v>29</v>
      </c>
      <c r="C29" s="2">
        <v>76</v>
      </c>
      <c r="D29" s="2">
        <v>12013250</v>
      </c>
      <c r="E29" s="2" t="s">
        <v>60</v>
      </c>
      <c r="F29" s="5">
        <v>32.89473684210526</v>
      </c>
      <c r="G29" s="3">
        <f>Table1[[#This Row],[Pay Rate]]*Table1[[#This Row],[Hours/FN]]</f>
        <v>2500</v>
      </c>
      <c r="H29" s="4">
        <v>0</v>
      </c>
      <c r="I29" s="4">
        <v>300</v>
      </c>
      <c r="J29" s="4">
        <v>0</v>
      </c>
      <c r="K29" s="3">
        <f t="shared" si="1"/>
        <v>2200</v>
      </c>
      <c r="L29" s="4">
        <f>_xlfn.IFNA(VLOOKUP(Table1[[#This Row],[Employee code]],'PP1_Month Beginning'!C:M,11,FALSE),0)</f>
        <v>2200</v>
      </c>
      <c r="M29" s="4">
        <f>Table1[[#This Row],[Fortnightly Total]]-Table1[[#This Row],[PP1 Gross]]</f>
        <v>0</v>
      </c>
      <c r="N29" s="4">
        <f>_xlfn.IFNA(VLOOKUP(Table1[[#This Row],[Employee code]],'PP2_Month End'!C:M,11,FALSE),0)</f>
        <v>2200</v>
      </c>
      <c r="O29" s="4">
        <f>Table1[[#This Row],[Fortnightly Total]]-Table1[[#This Row],[PP2 Gross]]</f>
        <v>0</v>
      </c>
    </row>
    <row r="30" spans="1:15" x14ac:dyDescent="0.25">
      <c r="A30" s="2">
        <v>18948</v>
      </c>
      <c r="B30" s="2" t="s">
        <v>30</v>
      </c>
      <c r="C30" s="2">
        <v>76</v>
      </c>
      <c r="D30" s="2">
        <v>12018099</v>
      </c>
      <c r="E30" s="2" t="s">
        <v>59</v>
      </c>
      <c r="F30" s="5">
        <v>34.412999999999997</v>
      </c>
      <c r="G30" s="3">
        <f>Table1[[#This Row],[Pay Rate]]*Table1[[#This Row],[Hours/FN]]</f>
        <v>2615.3879999999999</v>
      </c>
      <c r="H30" s="4">
        <v>692.31</v>
      </c>
      <c r="I30" s="4">
        <v>0</v>
      </c>
      <c r="J30" s="4">
        <v>0</v>
      </c>
      <c r="K30" s="3">
        <f t="shared" si="1"/>
        <v>3307.6979999999999</v>
      </c>
      <c r="L30" s="4">
        <f>_xlfn.IFNA(VLOOKUP(Table1[[#This Row],[Employee code]],'PP1_Month Beginning'!C:M,11,FALSE),0)</f>
        <v>3307.7</v>
      </c>
      <c r="M30" s="4">
        <f>Table1[[#This Row],[Fortnightly Total]]-Table1[[#This Row],[PP1 Gross]]</f>
        <v>-1.9999999999527063E-3</v>
      </c>
      <c r="N30" s="4">
        <f>_xlfn.IFNA(VLOOKUP(Table1[[#This Row],[Employee code]],'PP2_Month End'!C:M,11,FALSE),0)</f>
        <v>3307.7</v>
      </c>
      <c r="O30" s="4">
        <f>Table1[[#This Row],[Fortnightly Total]]-Table1[[#This Row],[PP2 Gross]]</f>
        <v>-1.9999999999527063E-3</v>
      </c>
    </row>
    <row r="31" spans="1:15" x14ac:dyDescent="0.25">
      <c r="A31" s="2">
        <v>18954</v>
      </c>
      <c r="B31" s="2" t="s">
        <v>31</v>
      </c>
      <c r="C31" s="2">
        <v>76</v>
      </c>
      <c r="D31" s="2">
        <v>12020711</v>
      </c>
      <c r="E31" s="2" t="s">
        <v>44</v>
      </c>
      <c r="F31" s="5">
        <v>50.607300000000002</v>
      </c>
      <c r="G31" s="3">
        <f>Table1[[#This Row],[Pay Rate]]*Table1[[#This Row],[Hours/FN]]</f>
        <v>3846.1548000000003</v>
      </c>
      <c r="H31" s="4">
        <v>0</v>
      </c>
      <c r="I31" s="4">
        <v>0</v>
      </c>
      <c r="J31" s="4">
        <v>0</v>
      </c>
      <c r="K31" s="3">
        <f t="shared" si="1"/>
        <v>3846.1548000000003</v>
      </c>
      <c r="L31" s="4">
        <f>_xlfn.IFNA(VLOOKUP(Table1[[#This Row],[Employee code]],'PP1_Month Beginning'!C:M,11,FALSE),0)</f>
        <v>3846.15</v>
      </c>
      <c r="M31" s="4">
        <f>Table1[[#This Row],[Fortnightly Total]]-Table1[[#This Row],[PP1 Gross]]</f>
        <v>4.8000000001593435E-3</v>
      </c>
      <c r="N31" s="4">
        <f>_xlfn.IFNA(VLOOKUP(Table1[[#This Row],[Employee code]],'PP2_Month End'!C:M,11,FALSE),0)</f>
        <v>3846.15</v>
      </c>
      <c r="O31" s="4">
        <f>Table1[[#This Row],[Fortnightly Total]]-Table1[[#This Row],[PP2 Gross]]</f>
        <v>4.8000000001593435E-3</v>
      </c>
    </row>
    <row r="32" spans="1:15" x14ac:dyDescent="0.25">
      <c r="A32" s="2">
        <v>18962</v>
      </c>
      <c r="B32" s="2" t="s">
        <v>32</v>
      </c>
      <c r="C32" s="2">
        <v>76</v>
      </c>
      <c r="D32" s="2">
        <v>12023011</v>
      </c>
      <c r="E32" s="2" t="s">
        <v>67</v>
      </c>
      <c r="F32" s="5">
        <v>65.789500000000004</v>
      </c>
      <c r="G32" s="3">
        <f>Table1[[#This Row],[Pay Rate]]*Table1[[#This Row],[Hours/FN]]</f>
        <v>5000.0020000000004</v>
      </c>
      <c r="H32" s="4">
        <v>230.76920000000001</v>
      </c>
      <c r="I32" s="4">
        <v>0</v>
      </c>
      <c r="J32" s="4">
        <v>0</v>
      </c>
      <c r="K32" s="3">
        <f t="shared" si="1"/>
        <v>5230.7712000000001</v>
      </c>
      <c r="L32" s="4">
        <f>_xlfn.IFNA(VLOOKUP(Table1[[#This Row],[Employee code]],'PP1_Month Beginning'!C:M,11,FALSE),0)</f>
        <v>5230.7700000000004</v>
      </c>
      <c r="M32" s="4">
        <f>Table1[[#This Row],[Fortnightly Total]]-Table1[[#This Row],[PP1 Gross]]</f>
        <v>1.1999999996987754E-3</v>
      </c>
      <c r="N32" s="4">
        <f>_xlfn.IFNA(VLOOKUP(Table1[[#This Row],[Employee code]],'PP2_Month End'!C:M,11,FALSE),0)</f>
        <v>5230.7700000000004</v>
      </c>
      <c r="O32" s="4">
        <f>Table1[[#This Row],[Fortnightly Total]]-Table1[[#This Row],[PP2 Gross]]</f>
        <v>1.1999999996987754E-3</v>
      </c>
    </row>
    <row r="33" spans="1:15" x14ac:dyDescent="0.25">
      <c r="A33" s="2">
        <v>18968</v>
      </c>
      <c r="B33" s="2" t="s">
        <v>33</v>
      </c>
      <c r="C33" s="2">
        <v>76</v>
      </c>
      <c r="D33" s="2">
        <v>12019199</v>
      </c>
      <c r="E33" s="2" t="s">
        <v>54</v>
      </c>
      <c r="F33" s="5">
        <v>37.196355000000004</v>
      </c>
      <c r="G33" s="3">
        <f>Table1[[#This Row],[Pay Rate]]*Table1[[#This Row],[Hours/FN]]</f>
        <v>2826.9229800000003</v>
      </c>
      <c r="H33" s="4">
        <v>0</v>
      </c>
      <c r="I33" s="4">
        <v>400</v>
      </c>
      <c r="J33" s="4">
        <v>0</v>
      </c>
      <c r="K33" s="3">
        <f t="shared" si="1"/>
        <v>2426.9229800000003</v>
      </c>
      <c r="L33" s="4">
        <f>_xlfn.IFNA(VLOOKUP(Table1[[#This Row],[Employee code]],'PP1_Month Beginning'!C:M,11,FALSE),0)</f>
        <v>2426.92</v>
      </c>
      <c r="M33" s="4">
        <f>Table1[[#This Row],[Fortnightly Total]]-Table1[[#This Row],[PP1 Gross]]</f>
        <v>2.9800000002069282E-3</v>
      </c>
      <c r="N33" s="4">
        <f>_xlfn.IFNA(VLOOKUP(Table1[[#This Row],[Employee code]],'PP2_Month End'!C:M,11,FALSE),0)</f>
        <v>2426.9299999999998</v>
      </c>
      <c r="O33" s="4">
        <f>Table1[[#This Row],[Fortnightly Total]]-Table1[[#This Row],[PP2 Gross]]</f>
        <v>-7.0199999995566031E-3</v>
      </c>
    </row>
    <row r="34" spans="1:15" x14ac:dyDescent="0.25">
      <c r="A34" s="2">
        <v>18969</v>
      </c>
      <c r="B34" s="2" t="s">
        <v>34</v>
      </c>
      <c r="C34" s="2">
        <v>76</v>
      </c>
      <c r="D34" s="2">
        <v>12018599</v>
      </c>
      <c r="E34" s="2" t="s">
        <v>63</v>
      </c>
      <c r="F34" s="5">
        <v>74.898782995951422</v>
      </c>
      <c r="G34" s="3">
        <f>Table1[[#This Row],[Pay Rate]]*Table1[[#This Row],[Hours/FN]]</f>
        <v>5692.3075076923078</v>
      </c>
      <c r="H34" s="4">
        <v>230.77</v>
      </c>
      <c r="I34" s="4">
        <v>0</v>
      </c>
      <c r="J34" s="4">
        <v>36.46</v>
      </c>
      <c r="K34" s="3">
        <f t="shared" si="1"/>
        <v>5923.0775076923082</v>
      </c>
      <c r="L34" s="4">
        <f>_xlfn.IFNA(VLOOKUP(Table1[[#This Row],[Employee code]],'PP1_Month Beginning'!C:M,11,FALSE),0)</f>
        <v>5923.08</v>
      </c>
      <c r="M34" s="4">
        <f>Table1[[#This Row],[Fortnightly Total]]-Table1[[#This Row],[PP1 Gross]]</f>
        <v>-2.4923076916820719E-3</v>
      </c>
      <c r="N34" s="4">
        <f>_xlfn.IFNA(VLOOKUP(Table1[[#This Row],[Employee code]],'PP2_Month End'!C:M,11,FALSE),0)</f>
        <v>5923.08</v>
      </c>
      <c r="O34" s="4">
        <f>Table1[[#This Row],[Fortnightly Total]]-Table1[[#This Row],[PP2 Gross]]</f>
        <v>-2.4923076916820719E-3</v>
      </c>
    </row>
    <row r="35" spans="1:15" x14ac:dyDescent="0.25">
      <c r="A35" s="2">
        <v>18976</v>
      </c>
      <c r="B35" s="2" t="s">
        <v>35</v>
      </c>
      <c r="C35" s="2">
        <v>76</v>
      </c>
      <c r="D35" s="2">
        <v>12048099</v>
      </c>
      <c r="E35" s="2" t="s">
        <v>68</v>
      </c>
      <c r="F35" s="5">
        <v>30.364372469635626</v>
      </c>
      <c r="G35" s="3">
        <f>Table1[[#This Row],[Pay Rate]]*Table1[[#This Row],[Hours/FN]]</f>
        <v>2307.6923076923076</v>
      </c>
      <c r="H35" s="4">
        <v>0</v>
      </c>
      <c r="I35" s="4">
        <v>0</v>
      </c>
      <c r="J35" s="4">
        <v>0</v>
      </c>
      <c r="K35" s="3">
        <f t="shared" si="1"/>
        <v>2307.6923076923076</v>
      </c>
      <c r="L35" s="4">
        <f>_xlfn.IFNA(VLOOKUP(Table1[[#This Row],[Employee code]],'PP1_Month Beginning'!C:M,11,FALSE),0)</f>
        <v>2307.69</v>
      </c>
      <c r="M35" s="4">
        <f>Table1[[#This Row],[Fortnightly Total]]-Table1[[#This Row],[PP1 Gross]]</f>
        <v>2.3076923075677769E-3</v>
      </c>
      <c r="N35" s="4">
        <f>_xlfn.IFNA(VLOOKUP(Table1[[#This Row],[Employee code]],'PP2_Month End'!C:M,11,FALSE),0)</f>
        <v>2307.69</v>
      </c>
      <c r="O35" s="4">
        <f>Table1[[#This Row],[Fortnightly Total]]-Table1[[#This Row],[PP2 Gross]]</f>
        <v>2.3076923075677769E-3</v>
      </c>
    </row>
    <row r="36" spans="1:15" x14ac:dyDescent="0.25">
      <c r="A36" s="2">
        <v>18987</v>
      </c>
      <c r="B36" s="2" t="s">
        <v>36</v>
      </c>
      <c r="C36" s="2">
        <v>76</v>
      </c>
      <c r="D36" s="2">
        <v>12013250</v>
      </c>
      <c r="E36" s="2" t="s">
        <v>60</v>
      </c>
      <c r="F36" s="5">
        <v>41.497975708502025</v>
      </c>
      <c r="G36" s="3">
        <f>Table1[[#This Row],[Pay Rate]]*Table1[[#This Row],[Hours/FN]]</f>
        <v>3153.8461538461538</v>
      </c>
      <c r="H36" s="4">
        <v>0</v>
      </c>
      <c r="I36" s="4">
        <v>0</v>
      </c>
      <c r="J36" s="4">
        <v>0</v>
      </c>
      <c r="K36" s="3">
        <f t="shared" si="1"/>
        <v>3153.8461538461538</v>
      </c>
      <c r="L36" s="4">
        <f>_xlfn.IFNA(VLOOKUP(Table1[[#This Row],[Employee code]],'PP1_Month Beginning'!C:M,11,FALSE),0)</f>
        <v>3153.85</v>
      </c>
      <c r="M36" s="4">
        <f>Table1[[#This Row],[Fortnightly Total]]-Table1[[#This Row],[PP1 Gross]]</f>
        <v>-3.8461538460978772E-3</v>
      </c>
      <c r="N36" s="4">
        <f>_xlfn.IFNA(VLOOKUP(Table1[[#This Row],[Employee code]],'PP2_Month End'!C:M,11,FALSE),0)</f>
        <v>3153.85</v>
      </c>
      <c r="O36" s="4">
        <f>Table1[[#This Row],[Fortnightly Total]]-Table1[[#This Row],[PP2 Gross]]</f>
        <v>-3.8461538460978772E-3</v>
      </c>
    </row>
    <row r="37" spans="1:15" x14ac:dyDescent="0.25">
      <c r="A37" s="2">
        <v>18988</v>
      </c>
      <c r="B37" s="2" t="s">
        <v>37</v>
      </c>
      <c r="C37" s="2">
        <v>76</v>
      </c>
      <c r="D37" s="2">
        <v>12013250</v>
      </c>
      <c r="E37" s="2" t="s">
        <v>60</v>
      </c>
      <c r="F37" s="5">
        <v>37.955465587044536</v>
      </c>
      <c r="G37" s="3">
        <f>Table1[[#This Row],[Pay Rate]]*Table1[[#This Row],[Hours/FN]]</f>
        <v>2884.6153846153848</v>
      </c>
      <c r="H37" s="4">
        <v>0</v>
      </c>
      <c r="I37" s="4">
        <v>0</v>
      </c>
      <c r="J37" s="4">
        <v>0</v>
      </c>
      <c r="K37" s="3">
        <f t="shared" si="1"/>
        <v>2884.6153846153848</v>
      </c>
      <c r="L37" s="4">
        <f>_xlfn.IFNA(VLOOKUP(Table1[[#This Row],[Employee code]],'PP1_Month Beginning'!C:M,11,FALSE),0)</f>
        <v>2884.62</v>
      </c>
      <c r="M37" s="4">
        <f>Table1[[#This Row],[Fortnightly Total]]-Table1[[#This Row],[PP1 Gross]]</f>
        <v>-4.6153846151355538E-3</v>
      </c>
      <c r="N37" s="4">
        <f>_xlfn.IFNA(VLOOKUP(Table1[[#This Row],[Employee code]],'PP2_Month End'!C:M,11,FALSE),0)</f>
        <v>2884.62</v>
      </c>
      <c r="O37" s="4">
        <f>Table1[[#This Row],[Fortnightly Total]]-Table1[[#This Row],[PP2 Gross]]</f>
        <v>-4.6153846151355538E-3</v>
      </c>
    </row>
    <row r="38" spans="1:15" x14ac:dyDescent="0.25">
      <c r="A38" s="2">
        <v>19003</v>
      </c>
      <c r="B38" s="2" t="s">
        <v>38</v>
      </c>
      <c r="C38" s="2">
        <v>76</v>
      </c>
      <c r="D38" s="2">
        <v>12019199</v>
      </c>
      <c r="E38" s="2" t="s">
        <v>54</v>
      </c>
      <c r="F38" s="5">
        <v>42.40890688259109</v>
      </c>
      <c r="G38" s="3">
        <f>Table1[[#This Row],[Pay Rate]]*Table1[[#This Row],[Hours/FN]]</f>
        <v>3223.0769230769229</v>
      </c>
      <c r="H38" s="4">
        <v>0</v>
      </c>
      <c r="I38" s="4">
        <v>0</v>
      </c>
      <c r="J38" s="4">
        <v>0</v>
      </c>
      <c r="K38" s="3">
        <f t="shared" si="1"/>
        <v>3223.0769230769229</v>
      </c>
      <c r="L38" s="4">
        <f>_xlfn.IFNA(VLOOKUP(Table1[[#This Row],[Employee code]],'PP1_Month Beginning'!C:M,11,FALSE),0)</f>
        <v>3223.08</v>
      </c>
      <c r="M38" s="4">
        <f>Table1[[#This Row],[Fortnightly Total]]-Table1[[#This Row],[PP1 Gross]]</f>
        <v>-3.0769230770602007E-3</v>
      </c>
      <c r="N38" s="4">
        <f>_xlfn.IFNA(VLOOKUP(Table1[[#This Row],[Employee code]],'PP2_Month End'!C:M,11,FALSE),0)</f>
        <v>3223.08</v>
      </c>
      <c r="O38" s="4">
        <f>Table1[[#This Row],[Fortnightly Total]]-Table1[[#This Row],[PP2 Gross]]</f>
        <v>-3.0769230770602007E-3</v>
      </c>
    </row>
    <row r="39" spans="1:15" x14ac:dyDescent="0.25">
      <c r="A39" s="2">
        <v>19014</v>
      </c>
      <c r="B39" s="2" t="s">
        <v>39</v>
      </c>
      <c r="C39" s="2">
        <v>76</v>
      </c>
      <c r="D39" s="2">
        <v>12013012</v>
      </c>
      <c r="E39" s="2" t="s">
        <v>61</v>
      </c>
      <c r="F39" s="5">
        <v>33.906882591093122</v>
      </c>
      <c r="G39" s="3">
        <f>Table1[[#This Row],[Pay Rate]]*Table1[[#This Row],[Hours/FN]]</f>
        <v>2576.9230769230771</v>
      </c>
      <c r="H39" s="4">
        <v>0</v>
      </c>
      <c r="I39" s="4">
        <v>0</v>
      </c>
      <c r="J39" s="4">
        <v>0</v>
      </c>
      <c r="K39" s="3">
        <f t="shared" si="1"/>
        <v>2576.9230769230771</v>
      </c>
      <c r="L39" s="4">
        <f>_xlfn.IFNA(VLOOKUP(Table1[[#This Row],[Employee code]],'PP1_Month Beginning'!C:M,11,FALSE),0)</f>
        <v>2576.92</v>
      </c>
      <c r="M39" s="4">
        <f>Table1[[#This Row],[Fortnightly Total]]-Table1[[#This Row],[PP1 Gross]]</f>
        <v>3.0769230770602007E-3</v>
      </c>
      <c r="N39" s="4">
        <f>_xlfn.IFNA(VLOOKUP(Table1[[#This Row],[Employee code]],'PP2_Month End'!C:M,11,FALSE),0)</f>
        <v>2576.92</v>
      </c>
      <c r="O39" s="4">
        <f>Table1[[#This Row],[Fortnightly Total]]-Table1[[#This Row],[PP2 Gross]]</f>
        <v>3.0769230770602007E-3</v>
      </c>
    </row>
    <row r="40" spans="1:15" x14ac:dyDescent="0.25">
      <c r="A40" s="2">
        <v>19020</v>
      </c>
      <c r="B40" s="2" t="s">
        <v>238</v>
      </c>
      <c r="C40" s="2">
        <v>68.400000000000006</v>
      </c>
      <c r="D40" s="2">
        <v>12040500</v>
      </c>
      <c r="E40" s="2" t="s">
        <v>58</v>
      </c>
      <c r="F40" s="5">
        <v>30.903340500000002</v>
      </c>
      <c r="G40" s="3">
        <f>Table1[[#This Row],[Pay Rate]]*Table1[[#This Row],[Hours/FN]]</f>
        <v>2113.7884902000005</v>
      </c>
      <c r="H40" s="4">
        <v>0</v>
      </c>
      <c r="I40" s="4">
        <v>0</v>
      </c>
      <c r="J40" s="4">
        <v>0</v>
      </c>
      <c r="K40" s="3">
        <f t="shared" si="1"/>
        <v>2113.7884902000005</v>
      </c>
      <c r="L40" s="4">
        <f>_xlfn.IFNA(VLOOKUP(Table1[[#This Row],[Employee code]],'PP1_Month Beginning'!C:M,11,FALSE),0)</f>
        <v>2113.79</v>
      </c>
      <c r="M40" s="4">
        <f>Table1[[#This Row],[Fortnightly Total]]-Table1[[#This Row],[PP1 Gross]]</f>
        <v>-1.509799999439565E-3</v>
      </c>
      <c r="N40" s="4">
        <f>_xlfn.IFNA(VLOOKUP(Table1[[#This Row],[Employee code]],'PP2_Month End'!C:M,11,FALSE),0)</f>
        <v>2113.79</v>
      </c>
      <c r="O40" s="4">
        <f>Table1[[#This Row],[Fortnightly Total]]-Table1[[#This Row],[PP2 Gross]]</f>
        <v>-1.509799999439565E-3</v>
      </c>
    </row>
    <row r="41" spans="1:15" x14ac:dyDescent="0.25">
      <c r="A41" s="2">
        <v>19025</v>
      </c>
      <c r="B41" s="2" t="s">
        <v>40</v>
      </c>
      <c r="C41" s="2">
        <v>76</v>
      </c>
      <c r="D41" s="2">
        <v>12019199</v>
      </c>
      <c r="E41" s="2" t="s">
        <v>54</v>
      </c>
      <c r="F41" s="5">
        <v>36.43724696356275</v>
      </c>
      <c r="G41" s="3">
        <f>Table1[[#This Row],[Pay Rate]]*Table1[[#This Row],[Hours/FN]]</f>
        <v>2769.2307692307691</v>
      </c>
      <c r="H41" s="4">
        <v>0</v>
      </c>
      <c r="I41" s="4">
        <v>0</v>
      </c>
      <c r="J41" s="4">
        <v>0</v>
      </c>
      <c r="K41" s="3">
        <f t="shared" si="1"/>
        <v>2769.2307692307691</v>
      </c>
      <c r="L41" s="4">
        <f>_xlfn.IFNA(VLOOKUP(Table1[[#This Row],[Employee code]],'PP1_Month Beginning'!C:M,11,FALSE),0)</f>
        <v>2769.22</v>
      </c>
      <c r="M41" s="4">
        <f>Table1[[#This Row],[Fortnightly Total]]-Table1[[#This Row],[PP1 Gross]]</f>
        <v>1.0769230769255955E-2</v>
      </c>
      <c r="N41" s="4">
        <f>_xlfn.IFNA(VLOOKUP(Table1[[#This Row],[Employee code]],'PP2_Month End'!C:M,11,FALSE),0)</f>
        <v>2769.23</v>
      </c>
      <c r="O41" s="4">
        <f>Table1[[#This Row],[Fortnightly Total]]-Table1[[#This Row],[PP2 Gross]]</f>
        <v>7.6923076903767651E-4</v>
      </c>
    </row>
    <row r="42" spans="1:15" x14ac:dyDescent="0.25">
      <c r="A42" s="2">
        <v>19031</v>
      </c>
      <c r="B42" s="2" t="s">
        <v>245</v>
      </c>
      <c r="C42" s="2">
        <v>76</v>
      </c>
      <c r="D42" s="2">
        <v>12048099</v>
      </c>
      <c r="E42" s="2" t="s">
        <v>68</v>
      </c>
      <c r="F42" s="5">
        <v>43.016199999999998</v>
      </c>
      <c r="G42" s="3">
        <f>Table1[[#This Row],[Pay Rate]]*Table1[[#This Row],[Hours/FN]]</f>
        <v>3269.2311999999997</v>
      </c>
      <c r="H42" s="4">
        <v>692.31</v>
      </c>
      <c r="I42" s="4"/>
      <c r="J42" s="4"/>
      <c r="K42" s="3">
        <f t="shared" si="1"/>
        <v>3961.5411999999997</v>
      </c>
      <c r="L42" s="4">
        <f>_xlfn.IFNA(VLOOKUP(Table1[[#This Row],[Employee code]],'PP1_Month Beginning'!C:M,11,FALSE),0)</f>
        <v>3961.54</v>
      </c>
      <c r="M42" s="4">
        <f>Table1[[#This Row],[Fortnightly Total]]-Table1[[#This Row],[PP1 Gross]]</f>
        <v>1.1999999996987754E-3</v>
      </c>
      <c r="N42" s="4">
        <f>_xlfn.IFNA(VLOOKUP(Table1[[#This Row],[Employee code]],'PP2_Month End'!C:M,11,FALSE),0)</f>
        <v>3961.54</v>
      </c>
      <c r="O42" s="4">
        <f>Table1[[#This Row],[Fortnightly Total]]-Table1[[#This Row],[PP2 Gross]]</f>
        <v>1.1999999996987754E-3</v>
      </c>
    </row>
    <row r="43" spans="1:15" x14ac:dyDescent="0.25">
      <c r="A43" s="2">
        <v>44705</v>
      </c>
      <c r="B43" s="2" t="s">
        <v>41</v>
      </c>
      <c r="C43" s="2">
        <v>76</v>
      </c>
      <c r="D43" s="2">
        <v>12028099</v>
      </c>
      <c r="E43" s="2" t="s">
        <v>66</v>
      </c>
      <c r="F43" s="5">
        <v>72.621454999999997</v>
      </c>
      <c r="G43" s="3">
        <f>Table1[[#This Row],[Pay Rate]]*Table1[[#This Row],[Hours/FN]]</f>
        <v>5519.2305799999995</v>
      </c>
      <c r="H43" s="4">
        <v>846.15</v>
      </c>
      <c r="I43" s="4">
        <v>0</v>
      </c>
      <c r="J43" s="4">
        <v>0</v>
      </c>
      <c r="K43" s="3">
        <f t="shared" si="1"/>
        <v>6365.3805799999991</v>
      </c>
      <c r="L43" s="4">
        <f>_xlfn.IFNA(VLOOKUP(Table1[[#This Row],[Employee code]],'PP1_Month Beginning'!C:M,11,FALSE),0)</f>
        <v>6365.38</v>
      </c>
      <c r="M43" s="4">
        <f>Table1[[#This Row],[Fortnightly Total]]-Table1[[#This Row],[PP1 Gross]]</f>
        <v>5.7999999899038812E-4</v>
      </c>
      <c r="N43" s="4">
        <f>_xlfn.IFNA(VLOOKUP(Table1[[#This Row],[Employee code]],'PP2_Month End'!C:M,11,FALSE),0)</f>
        <v>6365.38</v>
      </c>
      <c r="O43" s="4">
        <f>Table1[[#This Row],[Fortnightly Total]]-Table1[[#This Row],[PP2 Gross]]</f>
        <v>5.7999999899038812E-4</v>
      </c>
    </row>
    <row r="44" spans="1:15" x14ac:dyDescent="0.25">
      <c r="A44" s="2">
        <v>18559</v>
      </c>
      <c r="B44" s="2" t="s">
        <v>247</v>
      </c>
      <c r="C44" s="2">
        <v>76</v>
      </c>
      <c r="D44" s="2">
        <v>12021021</v>
      </c>
      <c r="E44" s="2" t="s">
        <v>246</v>
      </c>
      <c r="F44" s="5">
        <v>53.137700000000002</v>
      </c>
      <c r="G44" s="3">
        <f>Table1[[#This Row],[Pay Rate]]*Table1[[#This Row],[Hours/FN]]</f>
        <v>4038.4652000000001</v>
      </c>
      <c r="H44" s="4">
        <v>0</v>
      </c>
      <c r="I44" s="4">
        <v>0</v>
      </c>
      <c r="J44" s="4">
        <v>0</v>
      </c>
      <c r="K44" s="3">
        <f t="shared" si="1"/>
        <v>4038.4652000000001</v>
      </c>
      <c r="L44" s="4">
        <f>_xlfn.IFNA(VLOOKUP(Table1[[#This Row],[Employee code]],'PP1_Month Beginning'!C:M,11,FALSE),0)</f>
        <v>4038.47</v>
      </c>
      <c r="M44" s="4">
        <f>Table1[[#This Row],[Fortnightly Total]]-Table1[[#This Row],[PP1 Gross]]</f>
        <v>-4.7999999997045961E-3</v>
      </c>
      <c r="N44" s="4">
        <f>_xlfn.IFNA(VLOOKUP(Table1[[#This Row],[Employee code]],'PP2_Month End'!C:M,11,FALSE),0)</f>
        <v>4038.47</v>
      </c>
      <c r="O44" s="4">
        <f>Table1[[#This Row],[Fortnightly Total]]-Table1[[#This Row],[PP2 Gross]]</f>
        <v>-4.7999999997045961E-3</v>
      </c>
    </row>
    <row r="45" spans="1:15" x14ac:dyDescent="0.25">
      <c r="A45" s="2">
        <v>19040</v>
      </c>
      <c r="B45" s="2" t="s">
        <v>252</v>
      </c>
      <c r="C45" s="2">
        <v>40</v>
      </c>
      <c r="F45" s="5">
        <v>31.3765</v>
      </c>
      <c r="G45" s="3">
        <f>Table1[[#This Row],[Pay Rate]]*Table1[[#This Row],[Hours/FN]]</f>
        <v>1255.06</v>
      </c>
      <c r="H45" s="4">
        <v>0</v>
      </c>
      <c r="I45" s="4">
        <v>0</v>
      </c>
      <c r="J45" s="4">
        <v>0</v>
      </c>
      <c r="K45" s="3">
        <f t="shared" ref="K45:K49" si="2">G45+H45-I45+J45</f>
        <v>1255.06</v>
      </c>
      <c r="L45" s="4">
        <f>_xlfn.IFNA(VLOOKUP(Table1[[#This Row],[Employee code]],'PP1_Month Beginning'!C:M,11,FALSE),0)</f>
        <v>1255.06</v>
      </c>
      <c r="M45" s="4">
        <f>Table1[[#This Row],[Fortnightly Total]]-Table1[[#This Row],[PP1 Gross]]</f>
        <v>0</v>
      </c>
      <c r="N45" s="4">
        <f>_xlfn.IFNA(VLOOKUP(Table1[[#This Row],[Employee code]],'PP2_Month End'!C:M,11,FALSE),0)</f>
        <v>1255.06</v>
      </c>
      <c r="O45" s="4">
        <f>Table1[[#This Row],[Fortnightly Total]]-Table1[[#This Row],[PP2 Gross]]</f>
        <v>0</v>
      </c>
    </row>
    <row r="46" spans="1:15" x14ac:dyDescent="0.25">
      <c r="A46" s="2">
        <v>18893</v>
      </c>
      <c r="B46" s="2" t="s">
        <v>248</v>
      </c>
      <c r="C46" s="2">
        <v>45.6</v>
      </c>
      <c r="F46" s="5">
        <v>29.6053</v>
      </c>
      <c r="G46" s="3">
        <f>Table1[[#This Row],[Pay Rate]]*Table1[[#This Row],[Hours/FN]]</f>
        <v>1350.0016800000001</v>
      </c>
      <c r="H46" s="4">
        <v>0</v>
      </c>
      <c r="I46" s="4">
        <v>0</v>
      </c>
      <c r="J46" s="4">
        <v>0</v>
      </c>
      <c r="K46" s="3">
        <f t="shared" si="2"/>
        <v>1350.0016800000001</v>
      </c>
      <c r="L46" s="4">
        <f>_xlfn.IFNA(VLOOKUP(Table1[[#This Row],[Employee code]],'PP1_Month Beginning'!C:M,11,FALSE),0)</f>
        <v>1350</v>
      </c>
      <c r="M46" s="4">
        <f>Table1[[#This Row],[Fortnightly Total]]-Table1[[#This Row],[PP1 Gross]]</f>
        <v>1.6800000000785076E-3</v>
      </c>
      <c r="N46" s="4">
        <f>_xlfn.IFNA(VLOOKUP(Table1[[#This Row],[Employee code]],'PP2_Month End'!C:M,11,FALSE),0)</f>
        <v>1269.23</v>
      </c>
      <c r="O46" s="4">
        <f>Table1[[#This Row],[Fortnightly Total]]-Table1[[#This Row],[PP2 Gross]]</f>
        <v>80.77168000000006</v>
      </c>
    </row>
    <row r="47" spans="1:15" x14ac:dyDescent="0.25">
      <c r="A47" s="2">
        <v>19054</v>
      </c>
      <c r="B47" s="2" t="s">
        <v>270</v>
      </c>
      <c r="C47" s="2">
        <v>76</v>
      </c>
      <c r="F47" s="5">
        <v>45.546599999999998</v>
      </c>
      <c r="G47" s="3">
        <f>Table1[[#This Row],[Pay Rate]]*Table1[[#This Row],[Hours/FN]]</f>
        <v>3461.5416</v>
      </c>
      <c r="H47" s="4">
        <v>0</v>
      </c>
      <c r="I47" s="4">
        <v>0</v>
      </c>
      <c r="J47" s="4">
        <v>0</v>
      </c>
      <c r="K47" s="3">
        <f t="shared" si="2"/>
        <v>3461.5416</v>
      </c>
      <c r="L47" s="4">
        <f>_xlfn.IFNA(VLOOKUP(Table1[[#This Row],[Employee code]],'PP1_Month Beginning'!C:M,11,FALSE),0)</f>
        <v>3461.54</v>
      </c>
      <c r="M47" s="4">
        <f>Table1[[#This Row],[Fortnightly Total]]-Table1[[#This Row],[PP1 Gross]]</f>
        <v>1.6000000000531145E-3</v>
      </c>
      <c r="N47" s="4">
        <f>_xlfn.IFNA(VLOOKUP(Table1[[#This Row],[Employee code]],'PP2_Month End'!C:M,11,FALSE),0)</f>
        <v>3461.54</v>
      </c>
      <c r="O47" s="4">
        <f>Table1[[#This Row],[Fortnightly Total]]-Table1[[#This Row],[PP2 Gross]]</f>
        <v>1.6000000000531145E-3</v>
      </c>
    </row>
    <row r="48" spans="1:15" x14ac:dyDescent="0.25">
      <c r="A48" s="2">
        <v>19056</v>
      </c>
      <c r="B48" s="2" t="s">
        <v>271</v>
      </c>
      <c r="C48" s="2">
        <v>45.6</v>
      </c>
      <c r="F48" s="5">
        <v>50.607300000000002</v>
      </c>
      <c r="G48" s="3">
        <f>Table1[[#This Row],[Pay Rate]]*Table1[[#This Row],[Hours/FN]]</f>
        <v>2307.6928800000001</v>
      </c>
      <c r="H48" s="4">
        <v>0</v>
      </c>
      <c r="I48" s="4">
        <v>0</v>
      </c>
      <c r="J48" s="4">
        <v>0</v>
      </c>
      <c r="K48" s="3">
        <f t="shared" si="2"/>
        <v>2307.6928800000001</v>
      </c>
      <c r="L48" s="4">
        <f>_xlfn.IFNA(VLOOKUP(Table1[[#This Row],[Employee code]],'PP1_Month Beginning'!C:M,11,FALSE),0)</f>
        <v>2307.6999999999998</v>
      </c>
      <c r="M48" s="4">
        <f>Table1[[#This Row],[Fortnightly Total]]-Table1[[#This Row],[PP1 Gross]]</f>
        <v>-7.1199999997588748E-3</v>
      </c>
      <c r="N48" s="4">
        <f>_xlfn.IFNA(VLOOKUP(Table1[[#This Row],[Employee code]],'PP2_Month End'!C:M,11,FALSE),0)</f>
        <v>2307.69</v>
      </c>
      <c r="O48" s="4">
        <f>Table1[[#This Row],[Fortnightly Total]]-Table1[[#This Row],[PP2 Gross]]</f>
        <v>2.8800000000046566E-3</v>
      </c>
    </row>
    <row r="49" spans="1:15" x14ac:dyDescent="0.25">
      <c r="A49" s="2">
        <v>18827</v>
      </c>
      <c r="B49" s="2" t="s">
        <v>262</v>
      </c>
      <c r="C49" s="2">
        <v>76</v>
      </c>
      <c r="F49" s="5">
        <v>36.690300000000001</v>
      </c>
      <c r="G49" s="3">
        <f>Table1[[#This Row],[Pay Rate]]*Table1[[#This Row],[Hours/FN]]</f>
        <v>2788.4628000000002</v>
      </c>
      <c r="H49" s="4">
        <v>0</v>
      </c>
      <c r="I49" s="4">
        <v>0</v>
      </c>
      <c r="J49" s="4">
        <v>0</v>
      </c>
      <c r="K49" s="3">
        <f t="shared" si="2"/>
        <v>2788.4628000000002</v>
      </c>
      <c r="L49" s="4">
        <f>_xlfn.IFNA(VLOOKUP(Table1[[#This Row],[Employee code]],'PP1_Month Beginning'!C:M,11,FALSE),0)</f>
        <v>2788.47</v>
      </c>
      <c r="M49" s="4">
        <f>Table1[[#This Row],[Fortnightly Total]]-Table1[[#This Row],[PP1 Gross]]</f>
        <v>-7.1999999995568942E-3</v>
      </c>
      <c r="N49" s="4">
        <f>_xlfn.IFNA(VLOOKUP(Table1[[#This Row],[Employee code]],'PP2_Month End'!C:M,11,FALSE),0)</f>
        <v>2788.5</v>
      </c>
      <c r="O49" s="4">
        <f>Table1[[#This Row],[Fortnightly Total]]-Table1[[#This Row],[PP2 Gross]]</f>
        <v>-3.7199999999756983E-2</v>
      </c>
    </row>
  </sheetData>
  <conditionalFormatting sqref="M2:M49 O2:O49">
    <cfRule type="expression" dxfId="17" priority="2">
      <formula>OR(M2&gt;1,M2&lt;-1)</formula>
    </cfRule>
  </conditionalFormatting>
  <pageMargins left="0.70866141732283472" right="0.70866141732283472" top="0.74803149606299213" bottom="0.74803149606299213" header="0.31496062992125984" footer="0.31496062992125984"/>
  <pageSetup paperSize="8" scale="4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heck_new_salaried_employees">
                <anchor moveWithCells="1" sizeWithCells="1">
                  <from>
                    <xdr:col>15</xdr:col>
                    <xdr:colOff>123825</xdr:colOff>
                    <xdr:row>0</xdr:row>
                    <xdr:rowOff>104775</xdr:rowOff>
                  </from>
                  <to>
                    <xdr:col>17</xdr:col>
                    <xdr:colOff>333375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S145"/>
  <sheetViews>
    <sheetView workbookViewId="0">
      <selection activeCell="L21" sqref="L21"/>
    </sheetView>
  </sheetViews>
  <sheetFormatPr defaultRowHeight="15" x14ac:dyDescent="0.25"/>
  <sheetData>
    <row r="1" spans="1:45" x14ac:dyDescent="0.25">
      <c r="A1" t="s">
        <v>74</v>
      </c>
      <c r="B1" t="s">
        <v>75</v>
      </c>
      <c r="C1" t="s">
        <v>76</v>
      </c>
      <c r="D1" t="s">
        <v>77</v>
      </c>
      <c r="E1" t="s">
        <v>78</v>
      </c>
      <c r="F1" t="s">
        <v>79</v>
      </c>
      <c r="G1" t="s">
        <v>80</v>
      </c>
      <c r="H1" t="s">
        <v>81</v>
      </c>
      <c r="I1" t="s">
        <v>82</v>
      </c>
      <c r="J1" t="s">
        <v>83</v>
      </c>
      <c r="K1" t="s">
        <v>84</v>
      </c>
      <c r="L1" t="s">
        <v>85</v>
      </c>
      <c r="M1" t="s">
        <v>86</v>
      </c>
      <c r="N1" t="s">
        <v>87</v>
      </c>
      <c r="O1" t="s">
        <v>88</v>
      </c>
      <c r="P1" t="s">
        <v>89</v>
      </c>
      <c r="Q1" t="s">
        <v>90</v>
      </c>
      <c r="R1" t="s">
        <v>91</v>
      </c>
      <c r="S1" t="s">
        <v>92</v>
      </c>
      <c r="T1" t="s">
        <v>93</v>
      </c>
      <c r="U1" t="s">
        <v>94</v>
      </c>
      <c r="V1" t="s">
        <v>95</v>
      </c>
      <c r="W1" t="s">
        <v>96</v>
      </c>
      <c r="X1" t="s">
        <v>97</v>
      </c>
      <c r="Y1" t="s">
        <v>280</v>
      </c>
      <c r="Z1" t="s">
        <v>98</v>
      </c>
      <c r="AA1" t="s">
        <v>251</v>
      </c>
      <c r="AB1" t="s">
        <v>281</v>
      </c>
      <c r="AC1" t="s">
        <v>282</v>
      </c>
      <c r="AD1" t="s">
        <v>99</v>
      </c>
      <c r="AE1" t="s">
        <v>100</v>
      </c>
      <c r="AF1" t="s">
        <v>101</v>
      </c>
      <c r="AG1" t="s">
        <v>102</v>
      </c>
      <c r="AH1" t="s">
        <v>103</v>
      </c>
      <c r="AI1" t="s">
        <v>259</v>
      </c>
      <c r="AJ1" t="s">
        <v>272</v>
      </c>
      <c r="AK1" t="s">
        <v>104</v>
      </c>
      <c r="AL1" t="s">
        <v>105</v>
      </c>
      <c r="AM1" t="s">
        <v>71</v>
      </c>
      <c r="AN1" t="s">
        <v>106</v>
      </c>
      <c r="AO1" t="s">
        <v>254</v>
      </c>
      <c r="AP1" t="s">
        <v>107</v>
      </c>
      <c r="AQ1" t="s">
        <v>108</v>
      </c>
      <c r="AR1" t="s">
        <v>109</v>
      </c>
      <c r="AS1" t="s">
        <v>110</v>
      </c>
    </row>
    <row r="2" spans="1:45" x14ac:dyDescent="0.25">
      <c r="A2" t="s">
        <v>111</v>
      </c>
      <c r="B2" t="s">
        <v>112</v>
      </c>
      <c r="C2">
        <v>18</v>
      </c>
      <c r="D2" t="s">
        <v>113</v>
      </c>
      <c r="G2">
        <v>1</v>
      </c>
      <c r="H2" t="s">
        <v>114</v>
      </c>
      <c r="I2">
        <v>1</v>
      </c>
      <c r="K2">
        <v>113.93</v>
      </c>
      <c r="L2">
        <v>1074.81</v>
      </c>
      <c r="M2">
        <v>1074.81</v>
      </c>
      <c r="N2">
        <v>88</v>
      </c>
      <c r="P2">
        <v>986.81</v>
      </c>
      <c r="Q2">
        <v>1074.81</v>
      </c>
      <c r="AK2">
        <v>112.86</v>
      </c>
      <c r="AL2">
        <v>1.07</v>
      </c>
    </row>
    <row r="3" spans="1:45" x14ac:dyDescent="0.25">
      <c r="A3" t="s">
        <v>111</v>
      </c>
      <c r="B3" t="s">
        <v>112</v>
      </c>
      <c r="C3">
        <v>115</v>
      </c>
      <c r="D3" t="s">
        <v>115</v>
      </c>
      <c r="G3">
        <v>1</v>
      </c>
      <c r="H3" t="s">
        <v>116</v>
      </c>
      <c r="I3">
        <v>1</v>
      </c>
      <c r="K3">
        <v>320.08999999999997</v>
      </c>
      <c r="L3">
        <v>3048.46</v>
      </c>
      <c r="M3">
        <v>3048.46</v>
      </c>
      <c r="N3">
        <v>706</v>
      </c>
      <c r="P3">
        <v>2342.46</v>
      </c>
      <c r="Q3">
        <v>2743.61</v>
      </c>
      <c r="W3">
        <v>304.85000000000002</v>
      </c>
      <c r="AK3">
        <v>320.08999999999997</v>
      </c>
      <c r="AM3">
        <v>20</v>
      </c>
    </row>
    <row r="4" spans="1:45" x14ac:dyDescent="0.25">
      <c r="A4" t="s">
        <v>111</v>
      </c>
      <c r="B4" t="s">
        <v>112</v>
      </c>
      <c r="C4">
        <v>134</v>
      </c>
      <c r="D4" t="s">
        <v>117</v>
      </c>
      <c r="G4">
        <v>1</v>
      </c>
      <c r="H4" t="s">
        <v>114</v>
      </c>
      <c r="I4">
        <v>1</v>
      </c>
      <c r="K4">
        <v>100.72</v>
      </c>
      <c r="L4">
        <v>1459.75</v>
      </c>
      <c r="M4">
        <v>1459.75</v>
      </c>
      <c r="N4">
        <v>170</v>
      </c>
      <c r="P4">
        <v>1289.75</v>
      </c>
      <c r="Q4">
        <v>831.43</v>
      </c>
      <c r="U4">
        <v>336.13</v>
      </c>
      <c r="V4">
        <v>173.41</v>
      </c>
      <c r="Y4">
        <v>118.78</v>
      </c>
      <c r="AK4">
        <v>99.77</v>
      </c>
      <c r="AL4">
        <v>0.95</v>
      </c>
    </row>
    <row r="5" spans="1:45" x14ac:dyDescent="0.25">
      <c r="A5" t="s">
        <v>111</v>
      </c>
      <c r="B5" t="s">
        <v>112</v>
      </c>
      <c r="C5">
        <v>141</v>
      </c>
      <c r="D5" t="s">
        <v>118</v>
      </c>
      <c r="G5">
        <v>1</v>
      </c>
      <c r="H5" t="s">
        <v>114</v>
      </c>
      <c r="I5">
        <v>1</v>
      </c>
      <c r="K5">
        <v>124.69</v>
      </c>
      <c r="L5">
        <v>1234.31</v>
      </c>
      <c r="M5">
        <v>1234.31</v>
      </c>
      <c r="N5">
        <v>132</v>
      </c>
      <c r="P5">
        <v>1102.31</v>
      </c>
      <c r="Q5">
        <v>1176.27</v>
      </c>
      <c r="U5">
        <v>58.04</v>
      </c>
      <c r="AK5">
        <v>123.51</v>
      </c>
      <c r="AL5">
        <v>1.18</v>
      </c>
      <c r="AM5">
        <v>10</v>
      </c>
    </row>
    <row r="6" spans="1:45" x14ac:dyDescent="0.25">
      <c r="A6" t="s">
        <v>111</v>
      </c>
      <c r="B6" t="s">
        <v>112</v>
      </c>
      <c r="C6">
        <v>145</v>
      </c>
      <c r="D6" t="s">
        <v>119</v>
      </c>
      <c r="G6">
        <v>1</v>
      </c>
      <c r="H6" t="s">
        <v>114</v>
      </c>
      <c r="I6">
        <v>1</v>
      </c>
      <c r="K6">
        <v>252.58</v>
      </c>
      <c r="L6">
        <v>2423.81</v>
      </c>
      <c r="M6">
        <v>2423.81</v>
      </c>
      <c r="N6">
        <v>542</v>
      </c>
      <c r="P6">
        <v>1881.81</v>
      </c>
      <c r="Q6">
        <v>2074.06</v>
      </c>
      <c r="U6">
        <v>40.94</v>
      </c>
      <c r="AG6">
        <v>308.81</v>
      </c>
      <c r="AK6">
        <v>250.2</v>
      </c>
      <c r="AL6">
        <v>2.38</v>
      </c>
      <c r="AP6">
        <v>72</v>
      </c>
    </row>
    <row r="7" spans="1:45" x14ac:dyDescent="0.25">
      <c r="A7" t="s">
        <v>111</v>
      </c>
      <c r="B7" t="s">
        <v>112</v>
      </c>
      <c r="C7">
        <v>152</v>
      </c>
      <c r="D7" t="s">
        <v>120</v>
      </c>
      <c r="G7">
        <v>1</v>
      </c>
      <c r="H7" t="s">
        <v>116</v>
      </c>
      <c r="I7">
        <v>1</v>
      </c>
      <c r="K7">
        <v>420</v>
      </c>
      <c r="L7">
        <v>4000</v>
      </c>
      <c r="M7">
        <v>4000</v>
      </c>
      <c r="N7">
        <v>1016</v>
      </c>
      <c r="P7">
        <v>2984</v>
      </c>
      <c r="Q7">
        <v>3200</v>
      </c>
      <c r="W7">
        <v>400</v>
      </c>
      <c r="Y7">
        <v>400</v>
      </c>
      <c r="AK7">
        <v>420</v>
      </c>
    </row>
    <row r="8" spans="1:45" x14ac:dyDescent="0.25">
      <c r="A8" t="s">
        <v>111</v>
      </c>
      <c r="B8" t="s">
        <v>112</v>
      </c>
      <c r="C8">
        <v>156</v>
      </c>
      <c r="D8" t="s">
        <v>121</v>
      </c>
      <c r="G8">
        <v>1</v>
      </c>
      <c r="H8" t="s">
        <v>114</v>
      </c>
      <c r="I8">
        <v>1</v>
      </c>
      <c r="K8">
        <v>58.5</v>
      </c>
      <c r="L8">
        <v>560.55999999999995</v>
      </c>
      <c r="M8">
        <v>560.55999999999995</v>
      </c>
      <c r="N8">
        <v>0</v>
      </c>
      <c r="P8">
        <v>560.55999999999995</v>
      </c>
      <c r="Q8">
        <v>367.96</v>
      </c>
      <c r="U8">
        <v>8.6199999999999992</v>
      </c>
      <c r="W8">
        <v>183.98</v>
      </c>
      <c r="AK8">
        <v>57.95</v>
      </c>
      <c r="AL8">
        <v>0.55000000000000004</v>
      </c>
    </row>
    <row r="9" spans="1:45" x14ac:dyDescent="0.25">
      <c r="A9" t="s">
        <v>111</v>
      </c>
      <c r="B9" t="s">
        <v>112</v>
      </c>
      <c r="C9">
        <v>220</v>
      </c>
      <c r="D9" t="s">
        <v>122</v>
      </c>
      <c r="G9">
        <v>1</v>
      </c>
      <c r="H9" t="s">
        <v>116</v>
      </c>
      <c r="I9">
        <v>1</v>
      </c>
      <c r="K9">
        <v>363.46</v>
      </c>
      <c r="L9">
        <v>3386.54</v>
      </c>
      <c r="M9">
        <v>3386.54</v>
      </c>
      <c r="N9">
        <v>854</v>
      </c>
      <c r="P9">
        <v>2532.54</v>
      </c>
      <c r="Q9">
        <v>3115.39</v>
      </c>
      <c r="Y9">
        <v>346.15</v>
      </c>
      <c r="AK9">
        <v>363.46</v>
      </c>
      <c r="AM9">
        <v>50</v>
      </c>
      <c r="AN9">
        <v>75</v>
      </c>
    </row>
    <row r="10" spans="1:45" x14ac:dyDescent="0.25">
      <c r="A10" t="s">
        <v>111</v>
      </c>
      <c r="B10" t="s">
        <v>112</v>
      </c>
      <c r="C10">
        <v>261</v>
      </c>
      <c r="D10" t="s">
        <v>123</v>
      </c>
      <c r="G10">
        <v>1</v>
      </c>
      <c r="H10" t="s">
        <v>116</v>
      </c>
      <c r="I10">
        <v>1</v>
      </c>
      <c r="K10">
        <v>336</v>
      </c>
      <c r="L10">
        <v>3086.46</v>
      </c>
      <c r="M10">
        <v>3050</v>
      </c>
      <c r="N10">
        <v>688</v>
      </c>
      <c r="O10">
        <v>36.46</v>
      </c>
      <c r="P10">
        <v>2398.46</v>
      </c>
      <c r="Q10">
        <v>2880</v>
      </c>
      <c r="Y10">
        <v>320</v>
      </c>
      <c r="AD10">
        <v>36.46</v>
      </c>
      <c r="AK10">
        <v>336</v>
      </c>
      <c r="AN10">
        <v>150</v>
      </c>
    </row>
    <row r="11" spans="1:45" x14ac:dyDescent="0.25">
      <c r="A11" t="s">
        <v>111</v>
      </c>
      <c r="B11" t="s">
        <v>112</v>
      </c>
      <c r="C11">
        <v>266</v>
      </c>
      <c r="D11" t="s">
        <v>124</v>
      </c>
      <c r="G11">
        <v>1</v>
      </c>
      <c r="H11" t="s">
        <v>116</v>
      </c>
      <c r="I11">
        <v>1</v>
      </c>
      <c r="K11">
        <v>275.63</v>
      </c>
      <c r="L11">
        <v>2625</v>
      </c>
      <c r="M11">
        <v>2625</v>
      </c>
      <c r="N11">
        <v>540</v>
      </c>
      <c r="P11">
        <v>2085</v>
      </c>
      <c r="Q11">
        <v>2362.5</v>
      </c>
      <c r="Y11">
        <v>262.5</v>
      </c>
      <c r="AK11">
        <v>275.63</v>
      </c>
    </row>
    <row r="12" spans="1:45" x14ac:dyDescent="0.25">
      <c r="A12" t="s">
        <v>111</v>
      </c>
      <c r="B12" t="s">
        <v>112</v>
      </c>
      <c r="C12">
        <v>302</v>
      </c>
      <c r="D12" t="s">
        <v>125</v>
      </c>
      <c r="G12">
        <v>1</v>
      </c>
      <c r="H12" t="s">
        <v>90</v>
      </c>
      <c r="I12">
        <v>1</v>
      </c>
      <c r="L12">
        <v>1624.9</v>
      </c>
      <c r="M12">
        <v>1624.9</v>
      </c>
      <c r="N12">
        <v>206</v>
      </c>
      <c r="P12">
        <v>1418.9</v>
      </c>
      <c r="AA12">
        <v>0</v>
      </c>
      <c r="AI12">
        <v>1624.9</v>
      </c>
    </row>
    <row r="13" spans="1:45" x14ac:dyDescent="0.25">
      <c r="A13" t="s">
        <v>111</v>
      </c>
      <c r="B13" t="s">
        <v>112</v>
      </c>
      <c r="C13">
        <v>18442</v>
      </c>
      <c r="D13" t="s">
        <v>126</v>
      </c>
      <c r="G13">
        <v>1</v>
      </c>
      <c r="H13" t="s">
        <v>116</v>
      </c>
      <c r="I13">
        <v>1</v>
      </c>
      <c r="K13">
        <v>266.54000000000002</v>
      </c>
      <c r="L13">
        <v>2574.92</v>
      </c>
      <c r="M13">
        <v>2538.46</v>
      </c>
      <c r="N13">
        <v>510</v>
      </c>
      <c r="O13">
        <v>36.46</v>
      </c>
      <c r="P13">
        <v>2064.92</v>
      </c>
      <c r="Q13">
        <v>2284.61</v>
      </c>
      <c r="Y13">
        <v>253.85</v>
      </c>
      <c r="AD13">
        <v>36.46</v>
      </c>
      <c r="AK13">
        <v>266.54000000000002</v>
      </c>
    </row>
    <row r="14" spans="1:45" x14ac:dyDescent="0.25">
      <c r="A14" t="s">
        <v>111</v>
      </c>
      <c r="B14" t="s">
        <v>112</v>
      </c>
      <c r="C14">
        <v>18506</v>
      </c>
      <c r="D14" t="s">
        <v>239</v>
      </c>
      <c r="G14">
        <v>1</v>
      </c>
      <c r="H14" t="s">
        <v>114</v>
      </c>
      <c r="I14">
        <v>1</v>
      </c>
      <c r="K14">
        <v>74.44</v>
      </c>
      <c r="L14">
        <v>725.65</v>
      </c>
      <c r="M14">
        <v>725.65</v>
      </c>
      <c r="N14">
        <v>2</v>
      </c>
      <c r="P14">
        <v>723.65</v>
      </c>
      <c r="Q14">
        <v>351.12</v>
      </c>
      <c r="U14">
        <v>23.41</v>
      </c>
      <c r="X14">
        <v>234.08</v>
      </c>
      <c r="Y14">
        <v>117.04</v>
      </c>
      <c r="AK14">
        <v>73.739999999999995</v>
      </c>
      <c r="AL14">
        <v>0.7</v>
      </c>
    </row>
    <row r="15" spans="1:45" x14ac:dyDescent="0.25">
      <c r="A15" t="s">
        <v>111</v>
      </c>
      <c r="B15" t="s">
        <v>112</v>
      </c>
      <c r="C15">
        <v>18517</v>
      </c>
      <c r="D15" t="s">
        <v>127</v>
      </c>
      <c r="G15">
        <v>1</v>
      </c>
      <c r="H15" t="s">
        <v>116</v>
      </c>
      <c r="I15">
        <v>1</v>
      </c>
      <c r="K15">
        <v>597.69000000000005</v>
      </c>
      <c r="L15">
        <v>5656.54</v>
      </c>
      <c r="M15">
        <v>5656.54</v>
      </c>
      <c r="N15">
        <v>1634</v>
      </c>
      <c r="P15">
        <v>4022.54</v>
      </c>
      <c r="Q15">
        <v>5123.08</v>
      </c>
      <c r="Y15">
        <v>569.23</v>
      </c>
      <c r="AE15">
        <v>230.77</v>
      </c>
      <c r="AK15">
        <v>597.69000000000005</v>
      </c>
      <c r="AO15">
        <v>266.54000000000002</v>
      </c>
    </row>
    <row r="16" spans="1:45" x14ac:dyDescent="0.25">
      <c r="A16" t="s">
        <v>111</v>
      </c>
      <c r="B16" t="s">
        <v>112</v>
      </c>
      <c r="C16">
        <v>18550</v>
      </c>
      <c r="D16" t="s">
        <v>128</v>
      </c>
      <c r="G16">
        <v>1</v>
      </c>
      <c r="H16" t="s">
        <v>116</v>
      </c>
      <c r="I16">
        <v>1</v>
      </c>
      <c r="K16">
        <v>282.08999999999997</v>
      </c>
      <c r="L16">
        <v>1906.54</v>
      </c>
      <c r="M16">
        <v>1906.54</v>
      </c>
      <c r="N16">
        <v>290</v>
      </c>
      <c r="P16">
        <v>1616.54</v>
      </c>
      <c r="Q16">
        <v>2417.89</v>
      </c>
      <c r="Y16">
        <v>268.64999999999998</v>
      </c>
      <c r="AK16">
        <v>282.08999999999997</v>
      </c>
      <c r="AN16">
        <v>780</v>
      </c>
    </row>
    <row r="17" spans="1:45" x14ac:dyDescent="0.25">
      <c r="A17" t="s">
        <v>111</v>
      </c>
      <c r="B17" t="s">
        <v>112</v>
      </c>
      <c r="C17">
        <v>18559</v>
      </c>
      <c r="D17" t="s">
        <v>129</v>
      </c>
      <c r="G17">
        <v>1</v>
      </c>
      <c r="H17" t="s">
        <v>116</v>
      </c>
      <c r="I17">
        <v>1</v>
      </c>
      <c r="K17">
        <v>424.04</v>
      </c>
      <c r="L17">
        <v>4038.47</v>
      </c>
      <c r="M17">
        <v>4038.47</v>
      </c>
      <c r="N17">
        <v>1028</v>
      </c>
      <c r="P17">
        <v>3010.47</v>
      </c>
      <c r="Q17">
        <v>4038.47</v>
      </c>
      <c r="AK17">
        <v>424.04</v>
      </c>
    </row>
    <row r="18" spans="1:45" x14ac:dyDescent="0.25">
      <c r="A18" t="s">
        <v>111</v>
      </c>
      <c r="B18" t="s">
        <v>112</v>
      </c>
      <c r="C18">
        <v>18561</v>
      </c>
      <c r="D18" t="s">
        <v>130</v>
      </c>
      <c r="G18">
        <v>1</v>
      </c>
      <c r="H18" t="s">
        <v>114</v>
      </c>
      <c r="I18">
        <v>1</v>
      </c>
      <c r="K18">
        <v>266.12</v>
      </c>
      <c r="L18">
        <v>2600.7800000000002</v>
      </c>
      <c r="M18">
        <v>2600.7800000000002</v>
      </c>
      <c r="N18">
        <v>532</v>
      </c>
      <c r="P18">
        <v>2068.7800000000002</v>
      </c>
      <c r="Q18">
        <v>2093.5300000000002</v>
      </c>
      <c r="U18">
        <v>90.2</v>
      </c>
      <c r="X18">
        <v>165.5</v>
      </c>
      <c r="Y18">
        <v>251.55</v>
      </c>
      <c r="AK18">
        <v>263.61</v>
      </c>
      <c r="AL18">
        <v>2.5099999999999998</v>
      </c>
    </row>
    <row r="19" spans="1:45" x14ac:dyDescent="0.25">
      <c r="A19" t="s">
        <v>111</v>
      </c>
      <c r="B19" t="s">
        <v>112</v>
      </c>
      <c r="C19">
        <v>18581</v>
      </c>
      <c r="D19" t="s">
        <v>131</v>
      </c>
      <c r="G19">
        <v>1</v>
      </c>
      <c r="H19" t="s">
        <v>116</v>
      </c>
      <c r="I19">
        <v>1</v>
      </c>
      <c r="K19">
        <v>332.07</v>
      </c>
      <c r="L19">
        <v>3162.6</v>
      </c>
      <c r="M19">
        <v>3162.6</v>
      </c>
      <c r="N19">
        <v>726</v>
      </c>
      <c r="P19">
        <v>2436.6</v>
      </c>
      <c r="Q19">
        <v>1897.56</v>
      </c>
      <c r="W19">
        <v>1265.04</v>
      </c>
      <c r="AK19">
        <v>332.07</v>
      </c>
    </row>
    <row r="20" spans="1:45" x14ac:dyDescent="0.25">
      <c r="A20" t="s">
        <v>111</v>
      </c>
      <c r="B20" t="s">
        <v>112</v>
      </c>
      <c r="C20">
        <v>18589</v>
      </c>
      <c r="D20" t="s">
        <v>132</v>
      </c>
      <c r="G20">
        <v>1</v>
      </c>
      <c r="H20" t="s">
        <v>114</v>
      </c>
      <c r="I20">
        <v>1</v>
      </c>
      <c r="K20">
        <v>282.86</v>
      </c>
      <c r="L20">
        <v>2946.45</v>
      </c>
      <c r="M20">
        <v>2946.45</v>
      </c>
      <c r="N20">
        <v>652</v>
      </c>
      <c r="P20">
        <v>2294.4499999999998</v>
      </c>
      <c r="Q20">
        <v>1556.62</v>
      </c>
      <c r="T20">
        <v>889.49</v>
      </c>
      <c r="U20">
        <v>131.66999999999999</v>
      </c>
      <c r="V20">
        <v>146.30000000000001</v>
      </c>
      <c r="W20">
        <v>222.37</v>
      </c>
      <c r="AK20">
        <v>280.19</v>
      </c>
      <c r="AL20">
        <v>2.67</v>
      </c>
    </row>
    <row r="21" spans="1:45" x14ac:dyDescent="0.25">
      <c r="A21" t="s">
        <v>111</v>
      </c>
      <c r="B21" t="s">
        <v>112</v>
      </c>
      <c r="C21">
        <v>18607</v>
      </c>
      <c r="D21" t="s">
        <v>133</v>
      </c>
      <c r="G21">
        <v>1</v>
      </c>
      <c r="H21" t="s">
        <v>114</v>
      </c>
      <c r="I21">
        <v>1</v>
      </c>
      <c r="K21">
        <v>140.08000000000001</v>
      </c>
      <c r="L21">
        <v>1802.4</v>
      </c>
      <c r="M21">
        <v>1802.4</v>
      </c>
      <c r="N21">
        <v>254</v>
      </c>
      <c r="P21">
        <v>1548.4</v>
      </c>
      <c r="Q21">
        <v>1099.19</v>
      </c>
      <c r="U21">
        <v>371.6</v>
      </c>
      <c r="V21">
        <v>109.24</v>
      </c>
      <c r="Y21">
        <v>222.37</v>
      </c>
      <c r="AK21">
        <v>138.76</v>
      </c>
      <c r="AL21">
        <v>1.32</v>
      </c>
    </row>
    <row r="22" spans="1:45" x14ac:dyDescent="0.25">
      <c r="A22" t="s">
        <v>111</v>
      </c>
      <c r="B22" t="s">
        <v>112</v>
      </c>
      <c r="C22">
        <v>18619</v>
      </c>
      <c r="D22" t="s">
        <v>134</v>
      </c>
      <c r="G22">
        <v>1</v>
      </c>
      <c r="H22" t="s">
        <v>116</v>
      </c>
      <c r="I22">
        <v>1</v>
      </c>
      <c r="K22">
        <v>266.14</v>
      </c>
      <c r="L22">
        <v>2534.62</v>
      </c>
      <c r="M22">
        <v>2534.62</v>
      </c>
      <c r="N22">
        <v>510</v>
      </c>
      <c r="P22">
        <v>2024.62</v>
      </c>
      <c r="Q22">
        <v>2534.62</v>
      </c>
      <c r="AK22">
        <v>266.14</v>
      </c>
    </row>
    <row r="23" spans="1:45" x14ac:dyDescent="0.25">
      <c r="A23" t="s">
        <v>111</v>
      </c>
      <c r="B23" t="s">
        <v>112</v>
      </c>
      <c r="C23">
        <v>18626</v>
      </c>
      <c r="D23" t="s">
        <v>135</v>
      </c>
      <c r="G23">
        <v>1</v>
      </c>
      <c r="H23" t="s">
        <v>116</v>
      </c>
      <c r="I23">
        <v>1</v>
      </c>
      <c r="K23">
        <v>403.85</v>
      </c>
      <c r="L23">
        <v>3846.16</v>
      </c>
      <c r="M23">
        <v>3846.16</v>
      </c>
      <c r="N23">
        <v>962</v>
      </c>
      <c r="P23">
        <v>2884.16</v>
      </c>
      <c r="Q23">
        <v>3461.54</v>
      </c>
      <c r="Y23">
        <v>384.62</v>
      </c>
      <c r="AK23">
        <v>403.85</v>
      </c>
    </row>
    <row r="24" spans="1:45" x14ac:dyDescent="0.25">
      <c r="A24" t="s">
        <v>111</v>
      </c>
      <c r="B24" t="s">
        <v>112</v>
      </c>
      <c r="C24">
        <v>18631</v>
      </c>
      <c r="D24" t="s">
        <v>136</v>
      </c>
      <c r="G24">
        <v>1</v>
      </c>
      <c r="H24" t="s">
        <v>114</v>
      </c>
      <c r="I24">
        <v>1</v>
      </c>
      <c r="K24">
        <v>149.85</v>
      </c>
      <c r="L24">
        <v>1662.75</v>
      </c>
      <c r="M24">
        <v>1626.29</v>
      </c>
      <c r="N24">
        <v>206</v>
      </c>
      <c r="O24">
        <v>36.46</v>
      </c>
      <c r="P24">
        <v>1456.75</v>
      </c>
      <c r="Q24">
        <v>605.87</v>
      </c>
      <c r="S24">
        <v>605.87</v>
      </c>
      <c r="U24">
        <v>159.44</v>
      </c>
      <c r="V24">
        <v>53.15</v>
      </c>
      <c r="X24">
        <v>201.96</v>
      </c>
      <c r="AD24">
        <v>36.46</v>
      </c>
      <c r="AK24">
        <v>148.44</v>
      </c>
      <c r="AL24">
        <v>1.41</v>
      </c>
    </row>
    <row r="25" spans="1:45" x14ac:dyDescent="0.25">
      <c r="A25" t="s">
        <v>111</v>
      </c>
      <c r="B25" t="s">
        <v>112</v>
      </c>
      <c r="C25">
        <v>18634</v>
      </c>
      <c r="D25" t="s">
        <v>137</v>
      </c>
      <c r="G25">
        <v>1</v>
      </c>
      <c r="H25" t="s">
        <v>114</v>
      </c>
      <c r="I25">
        <v>1</v>
      </c>
      <c r="K25">
        <v>66.459999999999994</v>
      </c>
      <c r="L25">
        <v>647.14</v>
      </c>
      <c r="M25">
        <v>647.14</v>
      </c>
      <c r="N25">
        <v>0</v>
      </c>
      <c r="P25">
        <v>647.14</v>
      </c>
      <c r="Q25">
        <v>248.7</v>
      </c>
      <c r="T25">
        <v>253.88</v>
      </c>
      <c r="U25">
        <v>20.21</v>
      </c>
      <c r="Y25">
        <v>124.35</v>
      </c>
      <c r="Z25">
        <v>0</v>
      </c>
      <c r="AK25">
        <v>65.83</v>
      </c>
      <c r="AL25">
        <v>0.63</v>
      </c>
    </row>
    <row r="26" spans="1:45" x14ac:dyDescent="0.25">
      <c r="A26" t="s">
        <v>111</v>
      </c>
      <c r="B26" t="s">
        <v>112</v>
      </c>
      <c r="C26">
        <v>18646</v>
      </c>
      <c r="D26" t="s">
        <v>138</v>
      </c>
      <c r="G26">
        <v>1</v>
      </c>
      <c r="H26" t="s">
        <v>114</v>
      </c>
      <c r="I26">
        <v>1</v>
      </c>
      <c r="K26">
        <v>260.51</v>
      </c>
      <c r="L26">
        <v>2510.6</v>
      </c>
      <c r="M26">
        <v>2510.6</v>
      </c>
      <c r="N26">
        <v>576</v>
      </c>
      <c r="P26">
        <v>1934.6</v>
      </c>
      <c r="Q26">
        <v>796.65</v>
      </c>
      <c r="S26">
        <v>710.5</v>
      </c>
      <c r="T26">
        <v>950.5</v>
      </c>
      <c r="U26">
        <v>52.95</v>
      </c>
      <c r="AK26">
        <v>258.05</v>
      </c>
      <c r="AL26">
        <v>2.46</v>
      </c>
      <c r="AP26">
        <v>76</v>
      </c>
    </row>
    <row r="27" spans="1:45" x14ac:dyDescent="0.25">
      <c r="A27" t="s">
        <v>111</v>
      </c>
      <c r="B27" t="s">
        <v>112</v>
      </c>
      <c r="C27">
        <v>18649</v>
      </c>
      <c r="D27" t="s">
        <v>139</v>
      </c>
      <c r="G27">
        <v>1</v>
      </c>
      <c r="H27" t="s">
        <v>116</v>
      </c>
      <c r="I27">
        <v>1</v>
      </c>
      <c r="K27">
        <v>334.38</v>
      </c>
      <c r="L27">
        <v>3221.07</v>
      </c>
      <c r="M27">
        <v>3184.61</v>
      </c>
      <c r="N27">
        <v>834</v>
      </c>
      <c r="O27">
        <v>36.46</v>
      </c>
      <c r="P27">
        <v>2387.0700000000002</v>
      </c>
      <c r="Q27">
        <v>3184.61</v>
      </c>
      <c r="AD27">
        <v>36.46</v>
      </c>
      <c r="AK27">
        <v>334.38</v>
      </c>
      <c r="AM27">
        <v>100</v>
      </c>
    </row>
    <row r="28" spans="1:45" x14ac:dyDescent="0.25">
      <c r="A28" t="s">
        <v>111</v>
      </c>
      <c r="B28" t="s">
        <v>112</v>
      </c>
      <c r="C28">
        <v>18650</v>
      </c>
      <c r="D28" t="s">
        <v>140</v>
      </c>
      <c r="G28">
        <v>1</v>
      </c>
      <c r="H28" t="s">
        <v>114</v>
      </c>
      <c r="I28">
        <v>1</v>
      </c>
      <c r="K28">
        <v>195.22</v>
      </c>
      <c r="L28">
        <v>1841.73</v>
      </c>
      <c r="M28">
        <v>1841.73</v>
      </c>
      <c r="N28">
        <v>268</v>
      </c>
      <c r="P28">
        <v>1573.73</v>
      </c>
      <c r="Q28">
        <v>1841.73</v>
      </c>
      <c r="AK28">
        <v>193.38</v>
      </c>
      <c r="AL28">
        <v>1.84</v>
      </c>
    </row>
    <row r="29" spans="1:45" x14ac:dyDescent="0.25">
      <c r="A29" t="s">
        <v>111</v>
      </c>
      <c r="B29" t="s">
        <v>112</v>
      </c>
      <c r="C29">
        <v>18659</v>
      </c>
      <c r="D29" t="s">
        <v>141</v>
      </c>
      <c r="G29">
        <v>1</v>
      </c>
      <c r="H29" t="s">
        <v>165</v>
      </c>
      <c r="I29">
        <v>1</v>
      </c>
      <c r="K29">
        <v>200.35</v>
      </c>
      <c r="L29">
        <v>7280.66</v>
      </c>
      <c r="M29">
        <v>7280.66</v>
      </c>
      <c r="N29">
        <v>2174</v>
      </c>
      <c r="P29">
        <v>5106.66</v>
      </c>
      <c r="Q29">
        <v>1890.14</v>
      </c>
      <c r="U29">
        <v>143.78</v>
      </c>
      <c r="AK29">
        <v>198.46</v>
      </c>
      <c r="AL29">
        <v>1.89</v>
      </c>
      <c r="AP29">
        <v>20</v>
      </c>
      <c r="AQ29">
        <v>243.08</v>
      </c>
      <c r="AR29">
        <v>5003.66</v>
      </c>
      <c r="AS29">
        <v>5246.74</v>
      </c>
    </row>
    <row r="30" spans="1:45" x14ac:dyDescent="0.25">
      <c r="A30" t="s">
        <v>111</v>
      </c>
      <c r="B30" t="s">
        <v>112</v>
      </c>
      <c r="C30">
        <v>18679</v>
      </c>
      <c r="D30" t="s">
        <v>142</v>
      </c>
      <c r="G30">
        <v>1</v>
      </c>
      <c r="H30" t="s">
        <v>114</v>
      </c>
      <c r="I30">
        <v>1</v>
      </c>
      <c r="K30">
        <v>185.03</v>
      </c>
      <c r="L30">
        <v>1745.52</v>
      </c>
      <c r="M30">
        <v>1745.52</v>
      </c>
      <c r="N30">
        <v>234</v>
      </c>
      <c r="P30">
        <v>1511.52</v>
      </c>
      <c r="Q30">
        <v>1570.74</v>
      </c>
      <c r="Y30">
        <v>174.78</v>
      </c>
      <c r="AK30">
        <v>183.28</v>
      </c>
      <c r="AL30">
        <v>1.75</v>
      </c>
    </row>
    <row r="31" spans="1:45" x14ac:dyDescent="0.25">
      <c r="A31" t="s">
        <v>111</v>
      </c>
      <c r="B31" t="s">
        <v>112</v>
      </c>
      <c r="C31">
        <v>18687</v>
      </c>
      <c r="D31" t="s">
        <v>143</v>
      </c>
      <c r="G31">
        <v>1</v>
      </c>
      <c r="H31" t="s">
        <v>114</v>
      </c>
      <c r="I31">
        <v>1</v>
      </c>
      <c r="K31">
        <v>240.44</v>
      </c>
      <c r="L31">
        <v>2559.2600000000002</v>
      </c>
      <c r="M31">
        <v>2559.2600000000002</v>
      </c>
      <c r="N31">
        <v>518</v>
      </c>
      <c r="P31">
        <v>2041.26</v>
      </c>
      <c r="Q31">
        <v>2268.2600000000002</v>
      </c>
      <c r="U31">
        <v>291</v>
      </c>
      <c r="AK31">
        <v>238.17</v>
      </c>
      <c r="AL31">
        <v>2.27</v>
      </c>
    </row>
    <row r="32" spans="1:45" x14ac:dyDescent="0.25">
      <c r="A32" t="s">
        <v>111</v>
      </c>
      <c r="B32" t="s">
        <v>112</v>
      </c>
      <c r="C32">
        <v>18703</v>
      </c>
      <c r="D32" t="s">
        <v>144</v>
      </c>
      <c r="G32">
        <v>1</v>
      </c>
      <c r="H32" t="s">
        <v>114</v>
      </c>
      <c r="I32">
        <v>1</v>
      </c>
      <c r="K32">
        <v>252.84</v>
      </c>
      <c r="L32">
        <v>2467.39</v>
      </c>
      <c r="M32">
        <v>2467.39</v>
      </c>
      <c r="N32">
        <v>560</v>
      </c>
      <c r="P32">
        <v>1907.39</v>
      </c>
      <c r="Q32">
        <v>2385.1999999999998</v>
      </c>
      <c r="U32">
        <v>82.19</v>
      </c>
      <c r="AK32">
        <v>250.45</v>
      </c>
      <c r="AL32">
        <v>2.39</v>
      </c>
      <c r="AP32">
        <v>74</v>
      </c>
    </row>
    <row r="33" spans="1:42" x14ac:dyDescent="0.25">
      <c r="A33" t="s">
        <v>111</v>
      </c>
      <c r="B33" t="s">
        <v>112</v>
      </c>
      <c r="C33">
        <v>18713</v>
      </c>
      <c r="D33" t="s">
        <v>145</v>
      </c>
      <c r="G33">
        <v>1</v>
      </c>
      <c r="H33" t="s">
        <v>116</v>
      </c>
      <c r="I33">
        <v>1</v>
      </c>
      <c r="K33">
        <v>342.8</v>
      </c>
      <c r="L33">
        <v>3531.95</v>
      </c>
      <c r="M33">
        <v>3495.49</v>
      </c>
      <c r="N33">
        <v>840</v>
      </c>
      <c r="O33">
        <v>36.46</v>
      </c>
      <c r="P33">
        <v>2691.95</v>
      </c>
      <c r="Q33">
        <v>3264.73</v>
      </c>
      <c r="AD33">
        <v>36.46</v>
      </c>
      <c r="AE33">
        <v>230.76</v>
      </c>
      <c r="AK33">
        <v>342.8</v>
      </c>
    </row>
    <row r="34" spans="1:42" x14ac:dyDescent="0.25">
      <c r="A34" t="s">
        <v>111</v>
      </c>
      <c r="B34" t="s">
        <v>112</v>
      </c>
      <c r="C34">
        <v>18716</v>
      </c>
      <c r="D34" t="s">
        <v>146</v>
      </c>
      <c r="G34">
        <v>1</v>
      </c>
      <c r="H34" t="s">
        <v>116</v>
      </c>
      <c r="I34">
        <v>1</v>
      </c>
      <c r="K34">
        <v>597.69000000000005</v>
      </c>
      <c r="L34">
        <v>6384.62</v>
      </c>
      <c r="M34">
        <v>6384.62</v>
      </c>
      <c r="N34">
        <v>1918</v>
      </c>
      <c r="P34">
        <v>4466.62</v>
      </c>
      <c r="Q34">
        <v>5692.31</v>
      </c>
      <c r="AE34">
        <v>692.31</v>
      </c>
      <c r="AK34">
        <v>597.69000000000005</v>
      </c>
    </row>
    <row r="35" spans="1:42" x14ac:dyDescent="0.25">
      <c r="A35" t="s">
        <v>111</v>
      </c>
      <c r="B35" t="s">
        <v>112</v>
      </c>
      <c r="C35">
        <v>18721</v>
      </c>
      <c r="D35" t="s">
        <v>147</v>
      </c>
      <c r="G35">
        <v>1</v>
      </c>
      <c r="H35" t="s">
        <v>116</v>
      </c>
      <c r="I35">
        <v>1</v>
      </c>
      <c r="K35">
        <v>315</v>
      </c>
      <c r="L35">
        <v>3000</v>
      </c>
      <c r="M35">
        <v>3000</v>
      </c>
      <c r="N35">
        <v>670</v>
      </c>
      <c r="P35">
        <v>2330</v>
      </c>
      <c r="Q35">
        <v>2700</v>
      </c>
      <c r="Y35">
        <v>300</v>
      </c>
      <c r="AK35">
        <v>315</v>
      </c>
    </row>
    <row r="36" spans="1:42" x14ac:dyDescent="0.25">
      <c r="A36" t="s">
        <v>111</v>
      </c>
      <c r="B36" t="s">
        <v>112</v>
      </c>
      <c r="C36">
        <v>18733</v>
      </c>
      <c r="D36" t="s">
        <v>148</v>
      </c>
      <c r="G36">
        <v>1</v>
      </c>
      <c r="H36" t="s">
        <v>114</v>
      </c>
      <c r="I36">
        <v>1</v>
      </c>
      <c r="K36">
        <v>235.71</v>
      </c>
      <c r="L36">
        <v>2419.79</v>
      </c>
      <c r="M36">
        <v>2419.79</v>
      </c>
      <c r="N36">
        <v>470</v>
      </c>
      <c r="P36">
        <v>1949.79</v>
      </c>
      <c r="Q36">
        <v>2223.7399999999998</v>
      </c>
      <c r="U36">
        <v>196.05</v>
      </c>
      <c r="AK36">
        <v>233.49</v>
      </c>
      <c r="AL36">
        <v>2.2200000000000002</v>
      </c>
    </row>
    <row r="37" spans="1:42" x14ac:dyDescent="0.25">
      <c r="A37" t="s">
        <v>111</v>
      </c>
      <c r="B37" t="s">
        <v>112</v>
      </c>
      <c r="C37">
        <v>18736</v>
      </c>
      <c r="D37" t="s">
        <v>149</v>
      </c>
      <c r="G37">
        <v>1</v>
      </c>
      <c r="H37" t="s">
        <v>114</v>
      </c>
      <c r="I37">
        <v>1</v>
      </c>
      <c r="K37">
        <v>220.96</v>
      </c>
      <c r="L37">
        <v>3215.75</v>
      </c>
      <c r="M37">
        <v>3215.75</v>
      </c>
      <c r="N37">
        <v>744</v>
      </c>
      <c r="P37">
        <v>2471.75</v>
      </c>
      <c r="Q37">
        <v>1856.31</v>
      </c>
      <c r="U37">
        <v>685.61</v>
      </c>
      <c r="V37">
        <v>445.55</v>
      </c>
      <c r="Y37">
        <v>228.28</v>
      </c>
      <c r="AK37">
        <v>218.88</v>
      </c>
      <c r="AL37">
        <v>2.08</v>
      </c>
    </row>
    <row r="38" spans="1:42" x14ac:dyDescent="0.25">
      <c r="A38" t="s">
        <v>111</v>
      </c>
      <c r="B38" t="s">
        <v>112</v>
      </c>
      <c r="C38">
        <v>18741</v>
      </c>
      <c r="D38" t="s">
        <v>150</v>
      </c>
      <c r="G38">
        <v>1</v>
      </c>
      <c r="H38" t="s">
        <v>116</v>
      </c>
      <c r="I38">
        <v>1</v>
      </c>
      <c r="K38">
        <v>373.56</v>
      </c>
      <c r="L38">
        <v>3557.69</v>
      </c>
      <c r="M38">
        <v>3557.69</v>
      </c>
      <c r="N38">
        <v>862</v>
      </c>
      <c r="P38">
        <v>2695.69</v>
      </c>
      <c r="Q38">
        <v>3201.92</v>
      </c>
      <c r="Y38">
        <v>355.77</v>
      </c>
      <c r="AK38">
        <v>373.56</v>
      </c>
    </row>
    <row r="39" spans="1:42" x14ac:dyDescent="0.25">
      <c r="A39" t="s">
        <v>111</v>
      </c>
      <c r="B39" t="s">
        <v>112</v>
      </c>
      <c r="C39">
        <v>18781</v>
      </c>
      <c r="D39" t="s">
        <v>151</v>
      </c>
      <c r="G39">
        <v>1</v>
      </c>
      <c r="H39" t="s">
        <v>114</v>
      </c>
      <c r="I39">
        <v>1</v>
      </c>
      <c r="K39">
        <v>272.01</v>
      </c>
      <c r="L39">
        <v>2604.08</v>
      </c>
      <c r="M39">
        <v>2604.08</v>
      </c>
      <c r="N39">
        <v>534</v>
      </c>
      <c r="P39">
        <v>2070.08</v>
      </c>
      <c r="Q39">
        <v>256.61</v>
      </c>
      <c r="U39">
        <v>37.979999999999997</v>
      </c>
      <c r="W39">
        <v>2309.4899999999998</v>
      </c>
      <c r="AK39">
        <v>269.44</v>
      </c>
      <c r="AL39">
        <v>2.57</v>
      </c>
    </row>
    <row r="40" spans="1:42" x14ac:dyDescent="0.25">
      <c r="A40" t="s">
        <v>111</v>
      </c>
      <c r="B40" t="s">
        <v>112</v>
      </c>
      <c r="C40">
        <v>18792</v>
      </c>
      <c r="D40" t="s">
        <v>152</v>
      </c>
      <c r="G40">
        <v>1</v>
      </c>
      <c r="H40" t="s">
        <v>114</v>
      </c>
      <c r="I40">
        <v>1</v>
      </c>
      <c r="K40">
        <v>213.93</v>
      </c>
      <c r="L40">
        <v>2177.67</v>
      </c>
      <c r="M40">
        <v>2177.67</v>
      </c>
      <c r="N40">
        <v>384</v>
      </c>
      <c r="P40">
        <v>1793.67</v>
      </c>
      <c r="Q40">
        <v>1816.27</v>
      </c>
      <c r="U40">
        <v>159.44</v>
      </c>
      <c r="Y40">
        <v>201.96</v>
      </c>
      <c r="AK40">
        <v>211.91</v>
      </c>
      <c r="AL40">
        <v>2.02</v>
      </c>
    </row>
    <row r="41" spans="1:42" x14ac:dyDescent="0.25">
      <c r="A41" t="s">
        <v>111</v>
      </c>
      <c r="B41" t="s">
        <v>112</v>
      </c>
      <c r="C41">
        <v>18793</v>
      </c>
      <c r="D41" t="s">
        <v>273</v>
      </c>
      <c r="G41">
        <v>1</v>
      </c>
      <c r="H41" t="s">
        <v>114</v>
      </c>
      <c r="I41">
        <v>1</v>
      </c>
      <c r="K41">
        <v>72.66</v>
      </c>
      <c r="L41">
        <v>685.42</v>
      </c>
      <c r="M41">
        <v>685.42</v>
      </c>
      <c r="N41">
        <v>154</v>
      </c>
      <c r="P41">
        <v>531.41999999999996</v>
      </c>
      <c r="T41">
        <v>685.42</v>
      </c>
      <c r="AK41">
        <v>71.97</v>
      </c>
      <c r="AL41">
        <v>0.69</v>
      </c>
    </row>
    <row r="42" spans="1:42" x14ac:dyDescent="0.25">
      <c r="A42" t="s">
        <v>111</v>
      </c>
      <c r="B42" t="s">
        <v>112</v>
      </c>
      <c r="C42">
        <v>18797</v>
      </c>
      <c r="D42" t="s">
        <v>153</v>
      </c>
      <c r="G42">
        <v>1</v>
      </c>
      <c r="H42" t="s">
        <v>114</v>
      </c>
      <c r="I42">
        <v>1</v>
      </c>
      <c r="K42">
        <v>260.2</v>
      </c>
      <c r="L42">
        <v>2738.58</v>
      </c>
      <c r="M42">
        <v>2738.58</v>
      </c>
      <c r="N42">
        <v>580</v>
      </c>
      <c r="P42">
        <v>2158.58</v>
      </c>
      <c r="Q42">
        <v>1560.92</v>
      </c>
      <c r="S42">
        <v>667.05</v>
      </c>
      <c r="U42">
        <v>202.2</v>
      </c>
      <c r="V42">
        <v>81.58</v>
      </c>
      <c r="W42">
        <v>226.83</v>
      </c>
      <c r="AK42">
        <v>257.75</v>
      </c>
      <c r="AL42">
        <v>2.4500000000000002</v>
      </c>
    </row>
    <row r="43" spans="1:42" x14ac:dyDescent="0.25">
      <c r="A43" t="s">
        <v>111</v>
      </c>
      <c r="B43" t="s">
        <v>112</v>
      </c>
      <c r="C43">
        <v>18805</v>
      </c>
      <c r="D43" t="s">
        <v>154</v>
      </c>
      <c r="G43">
        <v>1</v>
      </c>
      <c r="H43" t="s">
        <v>116</v>
      </c>
      <c r="I43">
        <v>1</v>
      </c>
      <c r="K43">
        <v>254.42</v>
      </c>
      <c r="L43">
        <v>2423.08</v>
      </c>
      <c r="M43">
        <v>2423.08</v>
      </c>
      <c r="N43">
        <v>470</v>
      </c>
      <c r="P43">
        <v>1953.08</v>
      </c>
      <c r="Q43">
        <v>2180.77</v>
      </c>
      <c r="Y43">
        <v>242.31</v>
      </c>
      <c r="AK43">
        <v>254.42</v>
      </c>
    </row>
    <row r="44" spans="1:42" x14ac:dyDescent="0.25">
      <c r="A44" t="s">
        <v>111</v>
      </c>
      <c r="B44" t="s">
        <v>112</v>
      </c>
      <c r="C44">
        <v>18823</v>
      </c>
      <c r="D44" t="s">
        <v>155</v>
      </c>
      <c r="G44">
        <v>1</v>
      </c>
      <c r="H44" t="s">
        <v>114</v>
      </c>
      <c r="I44">
        <v>1</v>
      </c>
      <c r="K44">
        <v>282.33</v>
      </c>
      <c r="L44">
        <v>3110.52</v>
      </c>
      <c r="M44">
        <v>3074.06</v>
      </c>
      <c r="N44">
        <v>850</v>
      </c>
      <c r="O44">
        <v>36.46</v>
      </c>
      <c r="P44">
        <v>2260.52</v>
      </c>
      <c r="Q44">
        <v>1334.44</v>
      </c>
      <c r="T44">
        <v>891.58</v>
      </c>
      <c r="U44">
        <v>377.29</v>
      </c>
      <c r="V44">
        <v>33.28</v>
      </c>
      <c r="X44">
        <v>214.33</v>
      </c>
      <c r="Y44">
        <v>223.14</v>
      </c>
      <c r="AD44">
        <v>36.46</v>
      </c>
      <c r="AK44">
        <v>279.67</v>
      </c>
      <c r="AL44">
        <v>2.66</v>
      </c>
      <c r="AP44">
        <v>154</v>
      </c>
    </row>
    <row r="45" spans="1:42" x14ac:dyDescent="0.25">
      <c r="A45" t="s">
        <v>111</v>
      </c>
      <c r="B45" t="s">
        <v>112</v>
      </c>
      <c r="C45">
        <v>18827</v>
      </c>
      <c r="D45" t="s">
        <v>156</v>
      </c>
      <c r="G45">
        <v>1</v>
      </c>
      <c r="H45" t="s">
        <v>116</v>
      </c>
      <c r="I45">
        <v>1</v>
      </c>
      <c r="K45">
        <v>295.58</v>
      </c>
      <c r="L45">
        <v>2788.47</v>
      </c>
      <c r="M45">
        <v>2788.47</v>
      </c>
      <c r="N45">
        <v>598</v>
      </c>
      <c r="P45">
        <v>2190.4699999999998</v>
      </c>
      <c r="Q45">
        <v>2230.77</v>
      </c>
      <c r="W45">
        <v>278.85000000000002</v>
      </c>
      <c r="Y45">
        <v>278.85000000000002</v>
      </c>
      <c r="AK45">
        <v>292.79000000000002</v>
      </c>
      <c r="AL45">
        <v>2.79</v>
      </c>
    </row>
    <row r="46" spans="1:42" x14ac:dyDescent="0.25">
      <c r="A46" t="s">
        <v>111</v>
      </c>
      <c r="B46" t="s">
        <v>112</v>
      </c>
      <c r="C46">
        <v>18829</v>
      </c>
      <c r="D46" t="s">
        <v>157</v>
      </c>
      <c r="G46">
        <v>1</v>
      </c>
      <c r="H46" t="s">
        <v>114</v>
      </c>
      <c r="I46">
        <v>1</v>
      </c>
      <c r="K46">
        <v>288.52</v>
      </c>
      <c r="L46">
        <v>4459.16</v>
      </c>
      <c r="M46">
        <v>4459.16</v>
      </c>
      <c r="N46">
        <v>1530</v>
      </c>
      <c r="P46">
        <v>2929.16</v>
      </c>
      <c r="Q46">
        <v>1360.95</v>
      </c>
      <c r="T46">
        <v>907.3</v>
      </c>
      <c r="U46">
        <v>903.57</v>
      </c>
      <c r="V46">
        <v>833.68</v>
      </c>
      <c r="W46">
        <v>226.83</v>
      </c>
      <c r="Y46">
        <v>226.83</v>
      </c>
      <c r="AK46">
        <v>285.8</v>
      </c>
      <c r="AL46">
        <v>2.72</v>
      </c>
      <c r="AP46">
        <v>356</v>
      </c>
    </row>
    <row r="47" spans="1:42" x14ac:dyDescent="0.25">
      <c r="A47" t="s">
        <v>111</v>
      </c>
      <c r="B47" t="s">
        <v>112</v>
      </c>
      <c r="C47">
        <v>18831</v>
      </c>
      <c r="D47" t="s">
        <v>158</v>
      </c>
      <c r="G47">
        <v>1</v>
      </c>
      <c r="H47" t="s">
        <v>114</v>
      </c>
      <c r="I47">
        <v>1</v>
      </c>
      <c r="K47">
        <v>95.15</v>
      </c>
      <c r="L47">
        <v>923.45</v>
      </c>
      <c r="M47">
        <v>923.45</v>
      </c>
      <c r="N47">
        <v>44</v>
      </c>
      <c r="P47">
        <v>879.45</v>
      </c>
      <c r="Q47">
        <v>196.05</v>
      </c>
      <c r="T47">
        <v>392.09</v>
      </c>
      <c r="V47">
        <v>25.8</v>
      </c>
      <c r="W47">
        <v>196.05</v>
      </c>
      <c r="Z47">
        <v>0</v>
      </c>
      <c r="AG47">
        <v>113.46</v>
      </c>
      <c r="AK47">
        <v>94.25</v>
      </c>
      <c r="AL47">
        <v>0.9</v>
      </c>
    </row>
    <row r="48" spans="1:42" x14ac:dyDescent="0.25">
      <c r="A48" t="s">
        <v>111</v>
      </c>
      <c r="B48" t="s">
        <v>112</v>
      </c>
      <c r="C48">
        <v>18836</v>
      </c>
      <c r="D48" t="s">
        <v>159</v>
      </c>
      <c r="G48">
        <v>1</v>
      </c>
      <c r="H48" t="s">
        <v>116</v>
      </c>
      <c r="I48">
        <v>1</v>
      </c>
      <c r="K48">
        <v>363.46</v>
      </c>
      <c r="L48">
        <v>4153.8500000000004</v>
      </c>
      <c r="M48">
        <v>4153.8500000000004</v>
      </c>
      <c r="N48">
        <v>1380</v>
      </c>
      <c r="P48">
        <v>2773.85</v>
      </c>
      <c r="Q48">
        <v>3461.54</v>
      </c>
      <c r="AE48">
        <v>692.31</v>
      </c>
      <c r="AK48">
        <v>363.46</v>
      </c>
      <c r="AP48">
        <v>312</v>
      </c>
    </row>
    <row r="49" spans="1:42" x14ac:dyDescent="0.25">
      <c r="A49" t="s">
        <v>111</v>
      </c>
      <c r="B49" t="s">
        <v>112</v>
      </c>
      <c r="C49">
        <v>18839</v>
      </c>
      <c r="D49" t="s">
        <v>160</v>
      </c>
      <c r="G49">
        <v>1</v>
      </c>
      <c r="H49" t="s">
        <v>114</v>
      </c>
      <c r="I49">
        <v>1</v>
      </c>
      <c r="K49">
        <v>127.74</v>
      </c>
      <c r="L49">
        <v>1280.82</v>
      </c>
      <c r="M49">
        <v>1280.82</v>
      </c>
      <c r="N49">
        <v>132</v>
      </c>
      <c r="P49">
        <v>1148.82</v>
      </c>
      <c r="Q49">
        <v>1205.0899999999999</v>
      </c>
      <c r="U49">
        <v>75.73</v>
      </c>
      <c r="AK49">
        <v>126.53</v>
      </c>
      <c r="AL49">
        <v>1.21</v>
      </c>
    </row>
    <row r="50" spans="1:42" x14ac:dyDescent="0.25">
      <c r="A50" t="s">
        <v>111</v>
      </c>
      <c r="B50" t="s">
        <v>112</v>
      </c>
      <c r="C50">
        <v>18841</v>
      </c>
      <c r="D50" t="s">
        <v>161</v>
      </c>
      <c r="G50">
        <v>1</v>
      </c>
      <c r="H50" t="s">
        <v>116</v>
      </c>
      <c r="I50">
        <v>1</v>
      </c>
      <c r="K50">
        <v>235.2</v>
      </c>
      <c r="L50">
        <v>2240.0100000000002</v>
      </c>
      <c r="M50">
        <v>2240.0100000000002</v>
      </c>
      <c r="N50">
        <v>452</v>
      </c>
      <c r="P50">
        <v>1788.01</v>
      </c>
      <c r="Q50">
        <v>1865.69</v>
      </c>
      <c r="X50">
        <v>150.32</v>
      </c>
      <c r="Y50">
        <v>224</v>
      </c>
      <c r="AK50">
        <v>235.2</v>
      </c>
      <c r="AP50">
        <v>44</v>
      </c>
    </row>
    <row r="51" spans="1:42" x14ac:dyDescent="0.25">
      <c r="A51" t="s">
        <v>111</v>
      </c>
      <c r="B51" t="s">
        <v>112</v>
      </c>
      <c r="C51">
        <v>18850</v>
      </c>
      <c r="D51" t="s">
        <v>162</v>
      </c>
      <c r="G51">
        <v>1</v>
      </c>
      <c r="H51" t="s">
        <v>114</v>
      </c>
      <c r="I51">
        <v>1</v>
      </c>
      <c r="K51">
        <v>264.37</v>
      </c>
      <c r="L51">
        <v>2580.54</v>
      </c>
      <c r="M51">
        <v>2544.08</v>
      </c>
      <c r="N51">
        <v>524</v>
      </c>
      <c r="O51">
        <v>36.46</v>
      </c>
      <c r="P51">
        <v>2056.54</v>
      </c>
      <c r="Q51">
        <v>1813.61</v>
      </c>
      <c r="S51">
        <v>680.48</v>
      </c>
      <c r="U51">
        <v>49.99</v>
      </c>
      <c r="AD51">
        <v>36.46</v>
      </c>
      <c r="AK51">
        <v>261.88</v>
      </c>
      <c r="AL51">
        <v>2.4900000000000002</v>
      </c>
      <c r="AM51">
        <v>12</v>
      </c>
    </row>
    <row r="52" spans="1:42" x14ac:dyDescent="0.25">
      <c r="A52" t="s">
        <v>111</v>
      </c>
      <c r="B52" t="s">
        <v>112</v>
      </c>
      <c r="C52">
        <v>18853</v>
      </c>
      <c r="D52" t="s">
        <v>163</v>
      </c>
      <c r="G52">
        <v>1</v>
      </c>
      <c r="H52" t="s">
        <v>116</v>
      </c>
      <c r="I52">
        <v>1</v>
      </c>
      <c r="K52">
        <v>687.95</v>
      </c>
      <c r="L52">
        <v>6844.2</v>
      </c>
      <c r="M52">
        <v>6844.2</v>
      </c>
      <c r="N52">
        <v>2096</v>
      </c>
      <c r="P52">
        <v>4748.2</v>
      </c>
      <c r="Q52">
        <v>3931.13</v>
      </c>
      <c r="W52">
        <v>1965.57</v>
      </c>
      <c r="Y52">
        <v>655.19000000000005</v>
      </c>
      <c r="AE52">
        <v>692.31</v>
      </c>
      <c r="AK52">
        <v>687.95</v>
      </c>
      <c r="AN52">
        <v>400</v>
      </c>
    </row>
    <row r="53" spans="1:42" x14ac:dyDescent="0.25">
      <c r="A53" t="s">
        <v>111</v>
      </c>
      <c r="B53" t="s">
        <v>112</v>
      </c>
      <c r="C53">
        <v>18858</v>
      </c>
      <c r="D53" t="s">
        <v>164</v>
      </c>
      <c r="G53">
        <v>1</v>
      </c>
      <c r="H53" t="s">
        <v>90</v>
      </c>
      <c r="I53">
        <v>1</v>
      </c>
      <c r="K53">
        <v>148.41999999999999</v>
      </c>
      <c r="L53">
        <v>1910.22</v>
      </c>
      <c r="M53">
        <v>1873.76</v>
      </c>
      <c r="N53">
        <v>280</v>
      </c>
      <c r="O53">
        <v>36.46</v>
      </c>
      <c r="P53">
        <v>1630.22</v>
      </c>
      <c r="S53">
        <v>595.9</v>
      </c>
      <c r="T53">
        <v>804.28</v>
      </c>
      <c r="AD53">
        <v>36.46</v>
      </c>
      <c r="AJ53">
        <v>473.58</v>
      </c>
      <c r="AK53">
        <v>147.02000000000001</v>
      </c>
      <c r="AL53">
        <v>1.4</v>
      </c>
    </row>
    <row r="54" spans="1:42" x14ac:dyDescent="0.25">
      <c r="A54" t="s">
        <v>111</v>
      </c>
      <c r="B54" t="s">
        <v>112</v>
      </c>
      <c r="C54">
        <v>18862</v>
      </c>
      <c r="D54" t="s">
        <v>166</v>
      </c>
      <c r="G54">
        <v>1</v>
      </c>
      <c r="H54" t="s">
        <v>116</v>
      </c>
      <c r="I54">
        <v>1</v>
      </c>
      <c r="K54">
        <v>284.70999999999998</v>
      </c>
      <c r="L54">
        <v>2748</v>
      </c>
      <c r="M54">
        <v>2711.54</v>
      </c>
      <c r="N54">
        <v>678</v>
      </c>
      <c r="O54">
        <v>36.46</v>
      </c>
      <c r="P54">
        <v>2070</v>
      </c>
      <c r="Q54">
        <v>2711.54</v>
      </c>
      <c r="AD54">
        <v>36.46</v>
      </c>
      <c r="AK54">
        <v>284.70999999999998</v>
      </c>
      <c r="AP54">
        <v>108</v>
      </c>
    </row>
    <row r="55" spans="1:42" x14ac:dyDescent="0.25">
      <c r="A55" t="s">
        <v>111</v>
      </c>
      <c r="B55" t="s">
        <v>112</v>
      </c>
      <c r="C55">
        <v>18866</v>
      </c>
      <c r="D55" t="s">
        <v>167</v>
      </c>
      <c r="G55">
        <v>1</v>
      </c>
      <c r="H55" t="s">
        <v>114</v>
      </c>
      <c r="I55">
        <v>1</v>
      </c>
      <c r="K55">
        <v>306.92</v>
      </c>
      <c r="L55">
        <v>3012.31</v>
      </c>
      <c r="M55">
        <v>2975.85</v>
      </c>
      <c r="N55">
        <v>662</v>
      </c>
      <c r="O55">
        <v>36.46</v>
      </c>
      <c r="P55">
        <v>2350.31</v>
      </c>
      <c r="Q55">
        <v>1334.24</v>
      </c>
      <c r="T55">
        <v>889.49</v>
      </c>
      <c r="U55">
        <v>21.94</v>
      </c>
      <c r="V55">
        <v>58.52</v>
      </c>
      <c r="X55">
        <v>444.74</v>
      </c>
      <c r="AD55">
        <v>36.46</v>
      </c>
      <c r="AG55">
        <v>226.92</v>
      </c>
      <c r="AK55">
        <v>304.02</v>
      </c>
      <c r="AL55">
        <v>2.9</v>
      </c>
    </row>
    <row r="56" spans="1:42" x14ac:dyDescent="0.25">
      <c r="A56" t="s">
        <v>111</v>
      </c>
      <c r="B56" t="s">
        <v>112</v>
      </c>
      <c r="C56">
        <v>18871</v>
      </c>
      <c r="D56" t="s">
        <v>168</v>
      </c>
      <c r="G56">
        <v>1</v>
      </c>
      <c r="H56" t="s">
        <v>116</v>
      </c>
      <c r="I56">
        <v>1</v>
      </c>
      <c r="K56">
        <v>460.67</v>
      </c>
      <c r="L56">
        <v>4387.3100000000004</v>
      </c>
      <c r="M56">
        <v>4387.3100000000004</v>
      </c>
      <c r="N56">
        <v>1148</v>
      </c>
      <c r="P56">
        <v>3239.31</v>
      </c>
      <c r="Q56">
        <v>4387.3100000000004</v>
      </c>
      <c r="AK56">
        <v>460.67</v>
      </c>
    </row>
    <row r="57" spans="1:42" x14ac:dyDescent="0.25">
      <c r="A57" t="s">
        <v>111</v>
      </c>
      <c r="B57" t="s">
        <v>112</v>
      </c>
      <c r="C57">
        <v>18876</v>
      </c>
      <c r="D57" t="s">
        <v>169</v>
      </c>
      <c r="G57">
        <v>1</v>
      </c>
      <c r="H57" t="s">
        <v>116</v>
      </c>
      <c r="I57">
        <v>1</v>
      </c>
      <c r="K57">
        <v>310.45999999999998</v>
      </c>
      <c r="L57">
        <v>3649.04</v>
      </c>
      <c r="M57">
        <v>3649.04</v>
      </c>
      <c r="N57">
        <v>1132</v>
      </c>
      <c r="P57">
        <v>2517.04</v>
      </c>
      <c r="Q57">
        <v>2661.06</v>
      </c>
      <c r="Y57">
        <v>295.67</v>
      </c>
      <c r="AE57">
        <v>692.31</v>
      </c>
      <c r="AK57">
        <v>310.45999999999998</v>
      </c>
      <c r="AP57">
        <v>238</v>
      </c>
    </row>
    <row r="58" spans="1:42" x14ac:dyDescent="0.25">
      <c r="A58" t="s">
        <v>111</v>
      </c>
      <c r="B58" t="s">
        <v>112</v>
      </c>
      <c r="C58">
        <v>18886</v>
      </c>
      <c r="D58" t="s">
        <v>170</v>
      </c>
      <c r="G58">
        <v>1</v>
      </c>
      <c r="H58" t="s">
        <v>116</v>
      </c>
      <c r="I58">
        <v>1</v>
      </c>
      <c r="K58">
        <v>900.29</v>
      </c>
      <c r="L58">
        <v>9266.49</v>
      </c>
      <c r="M58">
        <v>8574.18</v>
      </c>
      <c r="N58">
        <v>2904</v>
      </c>
      <c r="O58">
        <v>692.31</v>
      </c>
      <c r="P58">
        <v>6362.49</v>
      </c>
      <c r="Q58">
        <v>8574.18</v>
      </c>
      <c r="AF58">
        <v>692.31</v>
      </c>
      <c r="AK58">
        <v>900.29</v>
      </c>
    </row>
    <row r="59" spans="1:42" x14ac:dyDescent="0.25">
      <c r="A59" t="s">
        <v>111</v>
      </c>
      <c r="B59" t="s">
        <v>112</v>
      </c>
      <c r="C59">
        <v>18887</v>
      </c>
      <c r="D59" t="s">
        <v>171</v>
      </c>
      <c r="G59">
        <v>1</v>
      </c>
      <c r="H59" t="s">
        <v>114</v>
      </c>
      <c r="I59">
        <v>1</v>
      </c>
      <c r="K59">
        <v>207.81</v>
      </c>
      <c r="L59">
        <v>2967.55</v>
      </c>
      <c r="M59">
        <v>2967.55</v>
      </c>
      <c r="N59">
        <v>658</v>
      </c>
      <c r="P59">
        <v>2309.5500000000002</v>
      </c>
      <c r="Q59">
        <v>1568.36</v>
      </c>
      <c r="U59">
        <v>528.16</v>
      </c>
      <c r="V59">
        <v>478.93</v>
      </c>
      <c r="X59">
        <v>196.05</v>
      </c>
      <c r="Y59">
        <v>196.05</v>
      </c>
      <c r="AK59">
        <v>205.85</v>
      </c>
      <c r="AL59">
        <v>1.96</v>
      </c>
    </row>
    <row r="60" spans="1:42" x14ac:dyDescent="0.25">
      <c r="A60" t="s">
        <v>111</v>
      </c>
      <c r="B60" t="s">
        <v>112</v>
      </c>
      <c r="C60">
        <v>18891</v>
      </c>
      <c r="D60" t="s">
        <v>172</v>
      </c>
      <c r="G60">
        <v>1</v>
      </c>
      <c r="H60" t="s">
        <v>114</v>
      </c>
      <c r="I60">
        <v>1</v>
      </c>
      <c r="K60">
        <v>193.59</v>
      </c>
      <c r="L60">
        <v>2299.36</v>
      </c>
      <c r="M60">
        <v>2299.36</v>
      </c>
      <c r="N60">
        <v>428</v>
      </c>
      <c r="P60">
        <v>1871.36</v>
      </c>
      <c r="Q60">
        <v>1826.27</v>
      </c>
      <c r="U60">
        <v>202.75</v>
      </c>
      <c r="V60">
        <v>270.33999999999997</v>
      </c>
      <c r="AK60">
        <v>191.76</v>
      </c>
      <c r="AL60">
        <v>1.83</v>
      </c>
    </row>
    <row r="61" spans="1:42" x14ac:dyDescent="0.25">
      <c r="A61" t="s">
        <v>111</v>
      </c>
      <c r="B61" t="s">
        <v>112</v>
      </c>
      <c r="C61">
        <v>18892</v>
      </c>
      <c r="D61" t="s">
        <v>173</v>
      </c>
      <c r="G61">
        <v>1</v>
      </c>
      <c r="H61" t="s">
        <v>114</v>
      </c>
      <c r="I61">
        <v>1</v>
      </c>
      <c r="K61">
        <v>231.06</v>
      </c>
      <c r="L61">
        <v>2334.1799999999998</v>
      </c>
      <c r="M61">
        <v>2334.1799999999998</v>
      </c>
      <c r="N61">
        <v>440</v>
      </c>
      <c r="P61">
        <v>1894.18</v>
      </c>
      <c r="Q61">
        <v>2179.84</v>
      </c>
      <c r="U61">
        <v>154.34</v>
      </c>
      <c r="AK61">
        <v>228.88</v>
      </c>
      <c r="AL61">
        <v>2.1800000000000002</v>
      </c>
    </row>
    <row r="62" spans="1:42" x14ac:dyDescent="0.25">
      <c r="A62" t="s">
        <v>111</v>
      </c>
      <c r="B62" t="s">
        <v>112</v>
      </c>
      <c r="C62">
        <v>18893</v>
      </c>
      <c r="D62" t="s">
        <v>248</v>
      </c>
      <c r="G62">
        <v>1</v>
      </c>
      <c r="H62" t="s">
        <v>116</v>
      </c>
      <c r="I62">
        <v>1</v>
      </c>
      <c r="K62">
        <v>141.75</v>
      </c>
      <c r="L62">
        <v>1350</v>
      </c>
      <c r="M62">
        <v>1350</v>
      </c>
      <c r="N62">
        <v>148</v>
      </c>
      <c r="P62">
        <v>1202</v>
      </c>
      <c r="Q62">
        <v>1350</v>
      </c>
      <c r="AK62">
        <v>141.75</v>
      </c>
    </row>
    <row r="63" spans="1:42" x14ac:dyDescent="0.25">
      <c r="A63" t="s">
        <v>111</v>
      </c>
      <c r="B63" t="s">
        <v>112</v>
      </c>
      <c r="C63">
        <v>18894</v>
      </c>
      <c r="D63" t="s">
        <v>174</v>
      </c>
      <c r="G63">
        <v>1</v>
      </c>
      <c r="H63" t="s">
        <v>114</v>
      </c>
      <c r="I63">
        <v>1</v>
      </c>
      <c r="K63">
        <v>96.82</v>
      </c>
      <c r="L63">
        <v>951.98</v>
      </c>
      <c r="M63">
        <v>951.98</v>
      </c>
      <c r="N63">
        <v>52</v>
      </c>
      <c r="P63">
        <v>899.98</v>
      </c>
      <c r="Q63">
        <v>316.22000000000003</v>
      </c>
      <c r="S63">
        <v>597.23</v>
      </c>
      <c r="U63">
        <v>38.53</v>
      </c>
      <c r="AK63">
        <v>95.91</v>
      </c>
      <c r="AL63">
        <v>0.91</v>
      </c>
    </row>
    <row r="64" spans="1:42" x14ac:dyDescent="0.25">
      <c r="A64" t="s">
        <v>111</v>
      </c>
      <c r="B64" t="s">
        <v>112</v>
      </c>
      <c r="C64">
        <v>18895</v>
      </c>
      <c r="D64" t="s">
        <v>175</v>
      </c>
      <c r="G64">
        <v>1</v>
      </c>
      <c r="H64" t="s">
        <v>114</v>
      </c>
      <c r="I64">
        <v>1</v>
      </c>
      <c r="K64">
        <v>190.32</v>
      </c>
      <c r="L64">
        <v>1912.38</v>
      </c>
      <c r="M64">
        <v>1912.38</v>
      </c>
      <c r="N64">
        <v>294</v>
      </c>
      <c r="P64">
        <v>1618.38</v>
      </c>
      <c r="Q64">
        <v>1204.21</v>
      </c>
      <c r="S64">
        <v>591.25</v>
      </c>
      <c r="U64">
        <v>116.92</v>
      </c>
      <c r="AK64">
        <v>188.52</v>
      </c>
      <c r="AL64">
        <v>1.8</v>
      </c>
    </row>
    <row r="65" spans="1:45" x14ac:dyDescent="0.25">
      <c r="A65" t="s">
        <v>111</v>
      </c>
      <c r="B65" t="s">
        <v>112</v>
      </c>
      <c r="C65">
        <v>18898</v>
      </c>
      <c r="D65" t="s">
        <v>176</v>
      </c>
      <c r="G65">
        <v>1</v>
      </c>
      <c r="H65" t="s">
        <v>165</v>
      </c>
      <c r="I65">
        <v>1</v>
      </c>
      <c r="K65">
        <v>72.650000000000006</v>
      </c>
      <c r="L65">
        <v>1699.39</v>
      </c>
      <c r="M65">
        <v>1699.39</v>
      </c>
      <c r="N65">
        <v>298</v>
      </c>
      <c r="P65">
        <v>1401.39</v>
      </c>
      <c r="Q65">
        <v>489.25</v>
      </c>
      <c r="U65">
        <v>102.54</v>
      </c>
      <c r="V65">
        <v>112.64</v>
      </c>
      <c r="Y65">
        <v>196.05</v>
      </c>
      <c r="AK65">
        <v>71.959999999999994</v>
      </c>
      <c r="AL65">
        <v>0.69</v>
      </c>
      <c r="AQ65">
        <v>188.5</v>
      </c>
      <c r="AR65">
        <v>610.41</v>
      </c>
      <c r="AS65">
        <v>798.91</v>
      </c>
    </row>
    <row r="66" spans="1:45" x14ac:dyDescent="0.25">
      <c r="A66" t="s">
        <v>111</v>
      </c>
      <c r="B66" t="s">
        <v>112</v>
      </c>
      <c r="C66">
        <v>18903</v>
      </c>
      <c r="D66" t="s">
        <v>177</v>
      </c>
      <c r="G66">
        <v>1</v>
      </c>
      <c r="H66" t="s">
        <v>114</v>
      </c>
      <c r="I66">
        <v>1</v>
      </c>
      <c r="K66">
        <v>284.11</v>
      </c>
      <c r="L66">
        <v>3258.15</v>
      </c>
      <c r="M66">
        <v>3258.15</v>
      </c>
      <c r="N66">
        <v>760</v>
      </c>
      <c r="P66">
        <v>2498.15</v>
      </c>
      <c r="Q66">
        <v>1778.99</v>
      </c>
      <c r="S66">
        <v>667.12</v>
      </c>
      <c r="U66">
        <v>373.06</v>
      </c>
      <c r="V66">
        <v>204.82</v>
      </c>
      <c r="AG66">
        <v>234.16</v>
      </c>
      <c r="AK66">
        <v>281.43</v>
      </c>
      <c r="AL66">
        <v>2.68</v>
      </c>
    </row>
    <row r="67" spans="1:45" x14ac:dyDescent="0.25">
      <c r="A67" t="s">
        <v>111</v>
      </c>
      <c r="B67" t="s">
        <v>112</v>
      </c>
      <c r="C67">
        <v>18904</v>
      </c>
      <c r="D67" t="s">
        <v>178</v>
      </c>
      <c r="G67">
        <v>1</v>
      </c>
      <c r="H67" t="s">
        <v>114</v>
      </c>
      <c r="I67">
        <v>1</v>
      </c>
      <c r="K67">
        <v>212.85</v>
      </c>
      <c r="L67">
        <v>2176.79</v>
      </c>
      <c r="M67">
        <v>2176.79</v>
      </c>
      <c r="N67">
        <v>384</v>
      </c>
      <c r="P67">
        <v>1792.79</v>
      </c>
      <c r="Q67">
        <v>2008.04</v>
      </c>
      <c r="U67">
        <v>168.75</v>
      </c>
      <c r="AK67">
        <v>210.84</v>
      </c>
      <c r="AL67">
        <v>2.0099999999999998</v>
      </c>
    </row>
    <row r="68" spans="1:45" x14ac:dyDescent="0.25">
      <c r="A68" t="s">
        <v>111</v>
      </c>
      <c r="B68" t="s">
        <v>112</v>
      </c>
      <c r="C68">
        <v>18911</v>
      </c>
      <c r="D68" t="s">
        <v>179</v>
      </c>
      <c r="G68">
        <v>1</v>
      </c>
      <c r="H68" t="s">
        <v>114</v>
      </c>
      <c r="I68">
        <v>1</v>
      </c>
      <c r="K68">
        <v>266.64999999999998</v>
      </c>
      <c r="L68">
        <v>3202.69</v>
      </c>
      <c r="M68">
        <v>3166.23</v>
      </c>
      <c r="N68">
        <v>728</v>
      </c>
      <c r="O68">
        <v>36.46</v>
      </c>
      <c r="P68">
        <v>2474.69</v>
      </c>
      <c r="Q68">
        <v>2515.5500000000002</v>
      </c>
      <c r="U68">
        <v>646.26</v>
      </c>
      <c r="V68">
        <v>4.42</v>
      </c>
      <c r="AD68">
        <v>36.46</v>
      </c>
      <c r="AK68">
        <v>264.13</v>
      </c>
      <c r="AL68">
        <v>2.52</v>
      </c>
    </row>
    <row r="69" spans="1:45" x14ac:dyDescent="0.25">
      <c r="A69" t="s">
        <v>111</v>
      </c>
      <c r="B69" t="s">
        <v>112</v>
      </c>
      <c r="C69">
        <v>18917</v>
      </c>
      <c r="D69" t="s">
        <v>180</v>
      </c>
      <c r="G69">
        <v>1</v>
      </c>
      <c r="H69" t="s">
        <v>114</v>
      </c>
      <c r="I69">
        <v>1</v>
      </c>
      <c r="K69">
        <v>63.11</v>
      </c>
      <c r="L69">
        <v>595.36</v>
      </c>
      <c r="M69">
        <v>595.36</v>
      </c>
      <c r="N69">
        <v>0</v>
      </c>
      <c r="P69">
        <v>595.36</v>
      </c>
      <c r="R69">
        <v>476.29</v>
      </c>
      <c r="AH69">
        <v>119.07</v>
      </c>
      <c r="AK69">
        <v>62.51</v>
      </c>
      <c r="AL69">
        <v>0.6</v>
      </c>
    </row>
    <row r="70" spans="1:45" x14ac:dyDescent="0.25">
      <c r="A70" t="s">
        <v>111</v>
      </c>
      <c r="B70" t="s">
        <v>112</v>
      </c>
      <c r="C70">
        <v>18918</v>
      </c>
      <c r="D70" t="s">
        <v>181</v>
      </c>
      <c r="G70">
        <v>1</v>
      </c>
      <c r="H70" t="s">
        <v>114</v>
      </c>
      <c r="I70">
        <v>1</v>
      </c>
      <c r="K70">
        <v>264.11</v>
      </c>
      <c r="L70">
        <v>3107.89</v>
      </c>
      <c r="M70">
        <v>3107.89</v>
      </c>
      <c r="N70">
        <v>706</v>
      </c>
      <c r="P70">
        <v>2401.89</v>
      </c>
      <c r="Q70">
        <v>1826.27</v>
      </c>
      <c r="U70">
        <v>452.06</v>
      </c>
      <c r="V70">
        <v>164.21</v>
      </c>
      <c r="X70">
        <v>228.28</v>
      </c>
      <c r="Y70">
        <v>228.28</v>
      </c>
      <c r="AG70">
        <v>208.79</v>
      </c>
      <c r="AK70">
        <v>261.62</v>
      </c>
      <c r="AL70">
        <v>2.4900000000000002</v>
      </c>
    </row>
    <row r="71" spans="1:45" x14ac:dyDescent="0.25">
      <c r="A71" t="s">
        <v>111</v>
      </c>
      <c r="B71" t="s">
        <v>112</v>
      </c>
      <c r="C71">
        <v>18920</v>
      </c>
      <c r="D71" t="s">
        <v>182</v>
      </c>
      <c r="G71">
        <v>1</v>
      </c>
      <c r="H71" t="s">
        <v>116</v>
      </c>
      <c r="I71">
        <v>1</v>
      </c>
      <c r="K71">
        <v>520.79999999999995</v>
      </c>
      <c r="L71">
        <v>5652.31</v>
      </c>
      <c r="M71">
        <v>5652.31</v>
      </c>
      <c r="N71">
        <v>1632</v>
      </c>
      <c r="P71">
        <v>4020.31</v>
      </c>
      <c r="Q71">
        <v>4464</v>
      </c>
      <c r="AB71">
        <v>496</v>
      </c>
      <c r="AE71">
        <v>692.31</v>
      </c>
      <c r="AK71">
        <v>520.79999999999995</v>
      </c>
    </row>
    <row r="72" spans="1:45" x14ac:dyDescent="0.25">
      <c r="A72" t="s">
        <v>111</v>
      </c>
      <c r="B72" t="s">
        <v>112</v>
      </c>
      <c r="C72">
        <v>18923</v>
      </c>
      <c r="D72" t="s">
        <v>183</v>
      </c>
      <c r="G72">
        <v>1</v>
      </c>
      <c r="H72" t="s">
        <v>114</v>
      </c>
      <c r="I72">
        <v>1</v>
      </c>
      <c r="K72">
        <v>185.03</v>
      </c>
      <c r="L72">
        <v>1830.04</v>
      </c>
      <c r="M72">
        <v>1830.04</v>
      </c>
      <c r="N72">
        <v>264</v>
      </c>
      <c r="P72">
        <v>1566.04</v>
      </c>
      <c r="Q72">
        <v>1570.74</v>
      </c>
      <c r="U72">
        <v>84.52</v>
      </c>
      <c r="Y72">
        <v>174.78</v>
      </c>
      <c r="AK72">
        <v>183.28</v>
      </c>
      <c r="AL72">
        <v>1.75</v>
      </c>
    </row>
    <row r="73" spans="1:45" x14ac:dyDescent="0.25">
      <c r="A73" t="s">
        <v>111</v>
      </c>
      <c r="B73" t="s">
        <v>112</v>
      </c>
      <c r="C73">
        <v>18924</v>
      </c>
      <c r="D73" t="s">
        <v>184</v>
      </c>
      <c r="G73">
        <v>1</v>
      </c>
      <c r="H73" t="s">
        <v>114</v>
      </c>
      <c r="I73">
        <v>1</v>
      </c>
      <c r="K73">
        <v>164.33</v>
      </c>
      <c r="L73">
        <v>1594.18</v>
      </c>
      <c r="M73">
        <v>1594.18</v>
      </c>
      <c r="N73">
        <v>200</v>
      </c>
      <c r="P73">
        <v>1394.18</v>
      </c>
      <c r="Q73">
        <v>1289.3399999999999</v>
      </c>
      <c r="U73">
        <v>43.85</v>
      </c>
      <c r="AG73">
        <v>260.99</v>
      </c>
      <c r="AK73">
        <v>162.78</v>
      </c>
      <c r="AL73">
        <v>1.55</v>
      </c>
    </row>
    <row r="74" spans="1:45" x14ac:dyDescent="0.25">
      <c r="A74" t="s">
        <v>111</v>
      </c>
      <c r="B74" t="s">
        <v>112</v>
      </c>
      <c r="C74">
        <v>18932</v>
      </c>
      <c r="D74" t="s">
        <v>185</v>
      </c>
      <c r="G74">
        <v>1</v>
      </c>
      <c r="H74" t="s">
        <v>114</v>
      </c>
      <c r="I74">
        <v>1</v>
      </c>
      <c r="K74">
        <v>262.92</v>
      </c>
      <c r="L74">
        <v>2887.14</v>
      </c>
      <c r="M74">
        <v>2887.14</v>
      </c>
      <c r="N74">
        <v>630</v>
      </c>
      <c r="P74">
        <v>2257.14</v>
      </c>
      <c r="Q74">
        <v>2042.54</v>
      </c>
      <c r="U74">
        <v>227.54</v>
      </c>
      <c r="V74">
        <v>179.22</v>
      </c>
      <c r="Y74">
        <v>228.28</v>
      </c>
      <c r="AG74">
        <v>209.56</v>
      </c>
      <c r="AK74">
        <v>260.44</v>
      </c>
      <c r="AL74">
        <v>2.48</v>
      </c>
    </row>
    <row r="75" spans="1:45" x14ac:dyDescent="0.25">
      <c r="A75" t="s">
        <v>111</v>
      </c>
      <c r="B75" t="s">
        <v>112</v>
      </c>
      <c r="C75">
        <v>18942</v>
      </c>
      <c r="D75" t="s">
        <v>186</v>
      </c>
      <c r="G75">
        <v>1</v>
      </c>
      <c r="H75" t="s">
        <v>114</v>
      </c>
      <c r="I75">
        <v>1</v>
      </c>
      <c r="K75">
        <v>75.73</v>
      </c>
      <c r="L75">
        <v>714.46</v>
      </c>
      <c r="M75">
        <v>714.46</v>
      </c>
      <c r="N75">
        <v>0</v>
      </c>
      <c r="P75">
        <v>714.46</v>
      </c>
      <c r="Q75">
        <v>601</v>
      </c>
      <c r="AG75">
        <v>113.46</v>
      </c>
      <c r="AK75">
        <v>75.02</v>
      </c>
      <c r="AL75">
        <v>0.71</v>
      </c>
    </row>
    <row r="76" spans="1:45" x14ac:dyDescent="0.25">
      <c r="A76" t="s">
        <v>111</v>
      </c>
      <c r="B76" t="s">
        <v>112</v>
      </c>
      <c r="C76">
        <v>18946</v>
      </c>
      <c r="D76" t="s">
        <v>187</v>
      </c>
      <c r="G76">
        <v>1</v>
      </c>
      <c r="H76" t="s">
        <v>116</v>
      </c>
      <c r="I76">
        <v>1</v>
      </c>
      <c r="K76">
        <v>262.5</v>
      </c>
      <c r="L76">
        <v>2200</v>
      </c>
      <c r="M76">
        <v>2200</v>
      </c>
      <c r="N76">
        <v>394</v>
      </c>
      <c r="P76">
        <v>1806</v>
      </c>
      <c r="Q76">
        <v>2500</v>
      </c>
      <c r="AK76">
        <v>262.5</v>
      </c>
      <c r="AN76">
        <v>300</v>
      </c>
    </row>
    <row r="77" spans="1:45" x14ac:dyDescent="0.25">
      <c r="A77" t="s">
        <v>111</v>
      </c>
      <c r="B77" t="s">
        <v>112</v>
      </c>
      <c r="C77">
        <v>18948</v>
      </c>
      <c r="D77" t="s">
        <v>188</v>
      </c>
      <c r="G77">
        <v>1</v>
      </c>
      <c r="H77" t="s">
        <v>116</v>
      </c>
      <c r="I77">
        <v>1</v>
      </c>
      <c r="K77">
        <v>274.62</v>
      </c>
      <c r="L77">
        <v>3307.7</v>
      </c>
      <c r="M77">
        <v>3307.7</v>
      </c>
      <c r="N77">
        <v>776</v>
      </c>
      <c r="P77">
        <v>2531.6999999999998</v>
      </c>
      <c r="Q77">
        <v>2353.85</v>
      </c>
      <c r="Y77">
        <v>261.54000000000002</v>
      </c>
      <c r="AE77">
        <v>692.31</v>
      </c>
      <c r="AK77">
        <v>274.62</v>
      </c>
    </row>
    <row r="78" spans="1:45" x14ac:dyDescent="0.25">
      <c r="A78" t="s">
        <v>111</v>
      </c>
      <c r="B78" t="s">
        <v>112</v>
      </c>
      <c r="C78">
        <v>18949</v>
      </c>
      <c r="D78" t="s">
        <v>189</v>
      </c>
      <c r="G78">
        <v>1</v>
      </c>
      <c r="H78" t="s">
        <v>114</v>
      </c>
      <c r="I78">
        <v>1</v>
      </c>
      <c r="K78">
        <v>145.46</v>
      </c>
      <c r="L78">
        <v>2470.13</v>
      </c>
      <c r="M78">
        <v>2470.13</v>
      </c>
      <c r="N78">
        <v>488</v>
      </c>
      <c r="P78">
        <v>1982.13</v>
      </c>
      <c r="Q78">
        <v>1372.32</v>
      </c>
      <c r="U78">
        <v>457.22</v>
      </c>
      <c r="V78">
        <v>640.59</v>
      </c>
      <c r="AK78">
        <v>144.09</v>
      </c>
      <c r="AL78">
        <v>1.37</v>
      </c>
    </row>
    <row r="79" spans="1:45" x14ac:dyDescent="0.25">
      <c r="A79" t="s">
        <v>111</v>
      </c>
      <c r="B79" t="s">
        <v>112</v>
      </c>
      <c r="C79">
        <v>18953</v>
      </c>
      <c r="D79" t="s">
        <v>190</v>
      </c>
      <c r="G79">
        <v>1</v>
      </c>
      <c r="H79" t="s">
        <v>114</v>
      </c>
      <c r="I79">
        <v>1</v>
      </c>
      <c r="K79">
        <v>207.36</v>
      </c>
      <c r="L79">
        <v>2067.08</v>
      </c>
      <c r="M79">
        <v>2067.08</v>
      </c>
      <c r="N79">
        <v>346</v>
      </c>
      <c r="P79">
        <v>1721.08</v>
      </c>
      <c r="Q79">
        <v>1760.11</v>
      </c>
      <c r="U79">
        <v>110.92</v>
      </c>
      <c r="Y79">
        <v>196.05</v>
      </c>
      <c r="AK79">
        <v>205.4</v>
      </c>
      <c r="AL79">
        <v>1.96</v>
      </c>
    </row>
    <row r="80" spans="1:45" x14ac:dyDescent="0.25">
      <c r="A80" t="s">
        <v>111</v>
      </c>
      <c r="B80" t="s">
        <v>112</v>
      </c>
      <c r="C80">
        <v>18954</v>
      </c>
      <c r="D80" t="s">
        <v>191</v>
      </c>
      <c r="G80">
        <v>1</v>
      </c>
      <c r="H80" t="s">
        <v>116</v>
      </c>
      <c r="I80">
        <v>1</v>
      </c>
      <c r="K80">
        <v>403.85</v>
      </c>
      <c r="L80">
        <v>3846.15</v>
      </c>
      <c r="M80">
        <v>3846.15</v>
      </c>
      <c r="N80">
        <v>962</v>
      </c>
      <c r="P80">
        <v>2884.15</v>
      </c>
      <c r="Q80">
        <v>3846.15</v>
      </c>
      <c r="AK80">
        <v>403.85</v>
      </c>
    </row>
    <row r="81" spans="1:42" x14ac:dyDescent="0.25">
      <c r="A81" t="s">
        <v>111</v>
      </c>
      <c r="B81" t="s">
        <v>112</v>
      </c>
      <c r="C81">
        <v>18957</v>
      </c>
      <c r="D81" t="s">
        <v>192</v>
      </c>
      <c r="G81">
        <v>1</v>
      </c>
      <c r="H81" t="s">
        <v>114</v>
      </c>
      <c r="I81">
        <v>1</v>
      </c>
      <c r="K81">
        <v>272.01</v>
      </c>
      <c r="L81">
        <v>1706.09</v>
      </c>
      <c r="M81">
        <v>1706.09</v>
      </c>
      <c r="N81">
        <v>224</v>
      </c>
      <c r="P81">
        <v>1482.09</v>
      </c>
      <c r="Q81">
        <v>2566.09</v>
      </c>
      <c r="AK81">
        <v>269.44</v>
      </c>
      <c r="AL81">
        <v>2.57</v>
      </c>
      <c r="AN81">
        <v>860</v>
      </c>
    </row>
    <row r="82" spans="1:42" x14ac:dyDescent="0.25">
      <c r="A82" t="s">
        <v>111</v>
      </c>
      <c r="B82" t="s">
        <v>112</v>
      </c>
      <c r="C82">
        <v>18960</v>
      </c>
      <c r="D82" t="s">
        <v>193</v>
      </c>
      <c r="G82">
        <v>1</v>
      </c>
      <c r="H82" t="s">
        <v>114</v>
      </c>
      <c r="I82">
        <v>1</v>
      </c>
      <c r="K82">
        <v>99.61</v>
      </c>
      <c r="L82">
        <v>1435.56</v>
      </c>
      <c r="M82">
        <v>1435.56</v>
      </c>
      <c r="N82">
        <v>164</v>
      </c>
      <c r="P82">
        <v>1271.56</v>
      </c>
      <c r="Q82">
        <v>912.2</v>
      </c>
      <c r="U82">
        <v>239.33</v>
      </c>
      <c r="V82">
        <v>256.56</v>
      </c>
      <c r="AG82">
        <v>27.47</v>
      </c>
      <c r="AK82">
        <v>98.67</v>
      </c>
      <c r="AL82">
        <v>0.94</v>
      </c>
    </row>
    <row r="83" spans="1:42" x14ac:dyDescent="0.25">
      <c r="A83" t="s">
        <v>111</v>
      </c>
      <c r="B83" t="s">
        <v>112</v>
      </c>
      <c r="C83">
        <v>18961</v>
      </c>
      <c r="D83" t="s">
        <v>194</v>
      </c>
      <c r="G83">
        <v>1</v>
      </c>
      <c r="H83" t="s">
        <v>114</v>
      </c>
      <c r="I83">
        <v>1</v>
      </c>
      <c r="K83">
        <v>235.47</v>
      </c>
      <c r="L83">
        <v>2337.5300000000002</v>
      </c>
      <c r="M83">
        <v>2337.5300000000002</v>
      </c>
      <c r="N83">
        <v>682</v>
      </c>
      <c r="P83">
        <v>1655.53</v>
      </c>
      <c r="Q83">
        <v>1568.36</v>
      </c>
      <c r="U83">
        <v>116.08</v>
      </c>
      <c r="W83">
        <v>392.1</v>
      </c>
      <c r="AG83">
        <v>260.99</v>
      </c>
      <c r="AK83">
        <v>233.25</v>
      </c>
      <c r="AL83">
        <v>2.2200000000000002</v>
      </c>
    </row>
    <row r="84" spans="1:42" x14ac:dyDescent="0.25">
      <c r="A84" t="s">
        <v>111</v>
      </c>
      <c r="B84" t="s">
        <v>112</v>
      </c>
      <c r="C84">
        <v>18962</v>
      </c>
      <c r="D84" t="s">
        <v>195</v>
      </c>
      <c r="G84">
        <v>1</v>
      </c>
      <c r="H84" t="s">
        <v>116</v>
      </c>
      <c r="I84">
        <v>1</v>
      </c>
      <c r="K84">
        <v>525</v>
      </c>
      <c r="L84">
        <v>5230.7700000000004</v>
      </c>
      <c r="M84">
        <v>5230.7700000000004</v>
      </c>
      <c r="N84">
        <v>1468</v>
      </c>
      <c r="P84">
        <v>3762.77</v>
      </c>
      <c r="Q84">
        <v>5000</v>
      </c>
      <c r="AE84">
        <v>230.77</v>
      </c>
      <c r="AK84">
        <v>525</v>
      </c>
    </row>
    <row r="85" spans="1:42" x14ac:dyDescent="0.25">
      <c r="A85" t="s">
        <v>111</v>
      </c>
      <c r="B85" t="s">
        <v>112</v>
      </c>
      <c r="C85">
        <v>18967</v>
      </c>
      <c r="D85" t="s">
        <v>196</v>
      </c>
      <c r="G85">
        <v>1</v>
      </c>
      <c r="H85" t="s">
        <v>114</v>
      </c>
      <c r="I85">
        <v>1</v>
      </c>
      <c r="K85">
        <v>272.01</v>
      </c>
      <c r="L85">
        <v>3048.92</v>
      </c>
      <c r="M85">
        <v>3048.92</v>
      </c>
      <c r="N85">
        <v>686</v>
      </c>
      <c r="P85">
        <v>2362.92</v>
      </c>
      <c r="Q85">
        <v>2566.09</v>
      </c>
      <c r="U85">
        <v>482.83</v>
      </c>
      <c r="AK85">
        <v>269.44</v>
      </c>
      <c r="AL85">
        <v>2.57</v>
      </c>
    </row>
    <row r="86" spans="1:42" x14ac:dyDescent="0.25">
      <c r="A86" t="s">
        <v>111</v>
      </c>
      <c r="B86" t="s">
        <v>112</v>
      </c>
      <c r="C86">
        <v>18968</v>
      </c>
      <c r="D86" t="s">
        <v>197</v>
      </c>
      <c r="G86">
        <v>1</v>
      </c>
      <c r="H86" t="s">
        <v>116</v>
      </c>
      <c r="I86">
        <v>1</v>
      </c>
      <c r="K86">
        <v>296.83</v>
      </c>
      <c r="L86">
        <v>2426.92</v>
      </c>
      <c r="M86">
        <v>2426.92</v>
      </c>
      <c r="N86">
        <v>572</v>
      </c>
      <c r="P86">
        <v>1854.92</v>
      </c>
      <c r="Q86">
        <v>2544.23</v>
      </c>
      <c r="Y86">
        <v>282.69</v>
      </c>
      <c r="AK86">
        <v>296.83</v>
      </c>
      <c r="AM86">
        <v>100</v>
      </c>
      <c r="AN86">
        <v>400</v>
      </c>
    </row>
    <row r="87" spans="1:42" x14ac:dyDescent="0.25">
      <c r="A87" t="s">
        <v>111</v>
      </c>
      <c r="B87" t="s">
        <v>112</v>
      </c>
      <c r="C87">
        <v>18969</v>
      </c>
      <c r="D87" t="s">
        <v>198</v>
      </c>
      <c r="G87">
        <v>1</v>
      </c>
      <c r="H87" t="s">
        <v>116</v>
      </c>
      <c r="I87">
        <v>1</v>
      </c>
      <c r="K87">
        <v>597.69000000000005</v>
      </c>
      <c r="L87">
        <v>5959.54</v>
      </c>
      <c r="M87">
        <v>5923.08</v>
      </c>
      <c r="N87">
        <v>1738</v>
      </c>
      <c r="O87">
        <v>36.46</v>
      </c>
      <c r="P87">
        <v>4221.54</v>
      </c>
      <c r="Q87">
        <v>5123.08</v>
      </c>
      <c r="Y87">
        <v>569.23</v>
      </c>
      <c r="AD87">
        <v>36.46</v>
      </c>
      <c r="AE87">
        <v>230.77</v>
      </c>
      <c r="AK87">
        <v>597.69000000000005</v>
      </c>
    </row>
    <row r="88" spans="1:42" x14ac:dyDescent="0.25">
      <c r="A88" t="s">
        <v>111</v>
      </c>
      <c r="B88" t="s">
        <v>112</v>
      </c>
      <c r="C88">
        <v>18970</v>
      </c>
      <c r="D88" t="s">
        <v>199</v>
      </c>
      <c r="G88">
        <v>1</v>
      </c>
      <c r="H88" t="s">
        <v>114</v>
      </c>
      <c r="I88">
        <v>1</v>
      </c>
      <c r="K88">
        <v>186.53</v>
      </c>
      <c r="L88">
        <v>2258.1799999999998</v>
      </c>
      <c r="M88">
        <v>2258.1799999999998</v>
      </c>
      <c r="N88">
        <v>414</v>
      </c>
      <c r="P88">
        <v>1844.18</v>
      </c>
      <c r="Q88">
        <v>1171.54</v>
      </c>
      <c r="S88">
        <v>588.14</v>
      </c>
      <c r="U88">
        <v>266.33999999999997</v>
      </c>
      <c r="V88">
        <v>232.16</v>
      </c>
      <c r="AK88">
        <v>184.77</v>
      </c>
      <c r="AL88">
        <v>1.76</v>
      </c>
    </row>
    <row r="89" spans="1:42" x14ac:dyDescent="0.25">
      <c r="A89" t="s">
        <v>111</v>
      </c>
      <c r="B89" t="s">
        <v>112</v>
      </c>
      <c r="C89">
        <v>18973</v>
      </c>
      <c r="D89" t="s">
        <v>200</v>
      </c>
      <c r="G89">
        <v>1</v>
      </c>
      <c r="H89" t="s">
        <v>114</v>
      </c>
      <c r="I89">
        <v>1</v>
      </c>
      <c r="K89">
        <v>174.47</v>
      </c>
      <c r="L89">
        <v>1645.89</v>
      </c>
      <c r="M89">
        <v>1645.89</v>
      </c>
      <c r="N89">
        <v>210</v>
      </c>
      <c r="P89">
        <v>1435.89</v>
      </c>
      <c r="Q89">
        <v>1645.89</v>
      </c>
      <c r="AK89">
        <v>172.82</v>
      </c>
      <c r="AL89">
        <v>1.65</v>
      </c>
      <c r="AP89">
        <v>0</v>
      </c>
    </row>
    <row r="90" spans="1:42" x14ac:dyDescent="0.25">
      <c r="A90" t="s">
        <v>111</v>
      </c>
      <c r="B90" t="s">
        <v>112</v>
      </c>
      <c r="C90">
        <v>18974</v>
      </c>
      <c r="D90" t="s">
        <v>201</v>
      </c>
      <c r="G90">
        <v>1</v>
      </c>
      <c r="H90" t="s">
        <v>114</v>
      </c>
      <c r="I90">
        <v>1</v>
      </c>
      <c r="K90">
        <v>306.43</v>
      </c>
      <c r="L90">
        <v>4138.67</v>
      </c>
      <c r="M90">
        <v>4102.21</v>
      </c>
      <c r="N90">
        <v>1358</v>
      </c>
      <c r="O90">
        <v>36.46</v>
      </c>
      <c r="P90">
        <v>2780.67</v>
      </c>
      <c r="Q90">
        <v>1334.24</v>
      </c>
      <c r="S90">
        <v>667.12</v>
      </c>
      <c r="T90">
        <v>889.49</v>
      </c>
      <c r="U90">
        <v>351.12</v>
      </c>
      <c r="V90">
        <v>860.24</v>
      </c>
      <c r="AD90">
        <v>36.46</v>
      </c>
      <c r="AK90">
        <v>303.54000000000002</v>
      </c>
      <c r="AL90">
        <v>2.89</v>
      </c>
      <c r="AP90">
        <v>308</v>
      </c>
    </row>
    <row r="91" spans="1:42" x14ac:dyDescent="0.25">
      <c r="A91" t="s">
        <v>111</v>
      </c>
      <c r="B91" t="s">
        <v>112</v>
      </c>
      <c r="C91">
        <v>18976</v>
      </c>
      <c r="D91" t="s">
        <v>202</v>
      </c>
      <c r="G91">
        <v>1</v>
      </c>
      <c r="H91" t="s">
        <v>116</v>
      </c>
      <c r="I91">
        <v>1</v>
      </c>
      <c r="K91">
        <v>242.31</v>
      </c>
      <c r="L91">
        <v>2307.69</v>
      </c>
      <c r="M91">
        <v>2307.69</v>
      </c>
      <c r="N91">
        <v>430</v>
      </c>
      <c r="P91">
        <v>1877.69</v>
      </c>
      <c r="Q91">
        <v>2307.69</v>
      </c>
      <c r="AK91">
        <v>242.31</v>
      </c>
    </row>
    <row r="92" spans="1:42" x14ac:dyDescent="0.25">
      <c r="A92" t="s">
        <v>111</v>
      </c>
      <c r="B92" t="s">
        <v>112</v>
      </c>
      <c r="C92">
        <v>18979</v>
      </c>
      <c r="D92" t="s">
        <v>203</v>
      </c>
      <c r="G92">
        <v>1</v>
      </c>
      <c r="H92" t="s">
        <v>114</v>
      </c>
      <c r="I92">
        <v>1</v>
      </c>
      <c r="K92">
        <v>235.1</v>
      </c>
      <c r="L92">
        <v>2382.35</v>
      </c>
      <c r="M92">
        <v>2382.35</v>
      </c>
      <c r="N92">
        <v>456</v>
      </c>
      <c r="P92">
        <v>1926.35</v>
      </c>
      <c r="Q92">
        <v>1759.68</v>
      </c>
      <c r="U92">
        <v>164.45</v>
      </c>
      <c r="Y92">
        <v>196.05</v>
      </c>
      <c r="AG92">
        <v>262.17</v>
      </c>
      <c r="AK92">
        <v>232.88</v>
      </c>
      <c r="AL92">
        <v>2.2200000000000002</v>
      </c>
    </row>
    <row r="93" spans="1:42" x14ac:dyDescent="0.25">
      <c r="A93" t="s">
        <v>111</v>
      </c>
      <c r="B93" t="s">
        <v>112</v>
      </c>
      <c r="C93">
        <v>18983</v>
      </c>
      <c r="D93" t="s">
        <v>204</v>
      </c>
      <c r="G93">
        <v>1</v>
      </c>
      <c r="H93" t="s">
        <v>114</v>
      </c>
      <c r="I93">
        <v>1</v>
      </c>
      <c r="K93">
        <v>226.95</v>
      </c>
      <c r="L93">
        <v>2569.0100000000002</v>
      </c>
      <c r="M93">
        <v>2569.0100000000002</v>
      </c>
      <c r="N93">
        <v>522</v>
      </c>
      <c r="P93">
        <v>2047.01</v>
      </c>
      <c r="Q93">
        <v>1564.49</v>
      </c>
      <c r="S93">
        <v>576.53</v>
      </c>
      <c r="U93">
        <v>302.45</v>
      </c>
      <c r="V93">
        <v>125.54</v>
      </c>
      <c r="AK93">
        <v>224.81</v>
      </c>
      <c r="AL93">
        <v>2.14</v>
      </c>
    </row>
    <row r="94" spans="1:42" x14ac:dyDescent="0.25">
      <c r="A94" t="s">
        <v>111</v>
      </c>
      <c r="B94" t="s">
        <v>112</v>
      </c>
      <c r="C94">
        <v>18986</v>
      </c>
      <c r="D94" t="s">
        <v>205</v>
      </c>
      <c r="G94">
        <v>1</v>
      </c>
      <c r="H94" t="s">
        <v>114</v>
      </c>
      <c r="I94">
        <v>1</v>
      </c>
      <c r="K94">
        <v>216.94</v>
      </c>
      <c r="L94">
        <v>2053.7199999999998</v>
      </c>
      <c r="M94">
        <v>2053.7199999999998</v>
      </c>
      <c r="N94">
        <v>342</v>
      </c>
      <c r="P94">
        <v>1711.72</v>
      </c>
      <c r="Q94">
        <v>1605.06</v>
      </c>
      <c r="U94">
        <v>7.13</v>
      </c>
      <c r="X94">
        <v>180.54</v>
      </c>
      <c r="AG94">
        <v>260.99</v>
      </c>
      <c r="AK94">
        <v>214.89</v>
      </c>
      <c r="AL94">
        <v>2.0499999999999998</v>
      </c>
    </row>
    <row r="95" spans="1:42" x14ac:dyDescent="0.25">
      <c r="A95" t="s">
        <v>111</v>
      </c>
      <c r="B95" t="s">
        <v>112</v>
      </c>
      <c r="C95">
        <v>18987</v>
      </c>
      <c r="D95" t="s">
        <v>206</v>
      </c>
      <c r="G95">
        <v>1</v>
      </c>
      <c r="H95" t="s">
        <v>116</v>
      </c>
      <c r="I95">
        <v>1</v>
      </c>
      <c r="K95">
        <v>331.15</v>
      </c>
      <c r="L95">
        <v>3153.85</v>
      </c>
      <c r="M95">
        <v>3153.85</v>
      </c>
      <c r="N95">
        <v>722</v>
      </c>
      <c r="P95">
        <v>2431.85</v>
      </c>
      <c r="Q95">
        <v>3153.85</v>
      </c>
      <c r="AK95">
        <v>331.15</v>
      </c>
    </row>
    <row r="96" spans="1:42" x14ac:dyDescent="0.25">
      <c r="A96" t="s">
        <v>111</v>
      </c>
      <c r="B96" t="s">
        <v>112</v>
      </c>
      <c r="C96">
        <v>18988</v>
      </c>
      <c r="D96" t="s">
        <v>207</v>
      </c>
      <c r="G96">
        <v>1</v>
      </c>
      <c r="H96" t="s">
        <v>116</v>
      </c>
      <c r="I96">
        <v>1</v>
      </c>
      <c r="K96">
        <v>302.89</v>
      </c>
      <c r="L96">
        <v>2884.62</v>
      </c>
      <c r="M96">
        <v>2884.62</v>
      </c>
      <c r="N96">
        <v>630</v>
      </c>
      <c r="P96">
        <v>2254.62</v>
      </c>
      <c r="Q96">
        <v>2884.62</v>
      </c>
      <c r="AK96">
        <v>302.89</v>
      </c>
    </row>
    <row r="97" spans="1:42" x14ac:dyDescent="0.25">
      <c r="A97" t="s">
        <v>111</v>
      </c>
      <c r="B97" t="s">
        <v>112</v>
      </c>
      <c r="C97">
        <v>18989</v>
      </c>
      <c r="D97" t="s">
        <v>208</v>
      </c>
      <c r="G97">
        <v>1</v>
      </c>
      <c r="H97" t="s">
        <v>114</v>
      </c>
      <c r="I97">
        <v>1</v>
      </c>
      <c r="K97">
        <v>191.38</v>
      </c>
      <c r="L97">
        <v>1928.92</v>
      </c>
      <c r="M97">
        <v>1928.92</v>
      </c>
      <c r="N97">
        <v>298</v>
      </c>
      <c r="P97">
        <v>1630.92</v>
      </c>
      <c r="Q97">
        <v>902.7</v>
      </c>
      <c r="S97">
        <v>541.62</v>
      </c>
      <c r="U97">
        <v>123.52</v>
      </c>
      <c r="W97">
        <v>361.08</v>
      </c>
      <c r="AK97">
        <v>189.57</v>
      </c>
      <c r="AL97">
        <v>1.81</v>
      </c>
    </row>
    <row r="98" spans="1:42" x14ac:dyDescent="0.25">
      <c r="A98" t="s">
        <v>111</v>
      </c>
      <c r="B98" t="s">
        <v>112</v>
      </c>
      <c r="C98">
        <v>18990</v>
      </c>
      <c r="D98" t="s">
        <v>209</v>
      </c>
      <c r="G98">
        <v>1</v>
      </c>
      <c r="H98" t="s">
        <v>114</v>
      </c>
      <c r="I98">
        <v>1</v>
      </c>
      <c r="K98">
        <v>206.58</v>
      </c>
      <c r="L98">
        <v>2068.14</v>
      </c>
      <c r="M98">
        <v>2068.14</v>
      </c>
      <c r="N98">
        <v>368</v>
      </c>
      <c r="P98">
        <v>1700.14</v>
      </c>
      <c r="Q98">
        <v>1948.84</v>
      </c>
      <c r="U98">
        <v>119.3</v>
      </c>
      <c r="AK98">
        <v>204.63</v>
      </c>
      <c r="AL98">
        <v>1.95</v>
      </c>
      <c r="AP98">
        <v>20</v>
      </c>
    </row>
    <row r="99" spans="1:42" x14ac:dyDescent="0.25">
      <c r="A99" t="s">
        <v>111</v>
      </c>
      <c r="B99" t="s">
        <v>112</v>
      </c>
      <c r="C99">
        <v>18996</v>
      </c>
      <c r="D99" t="s">
        <v>210</v>
      </c>
      <c r="G99">
        <v>1</v>
      </c>
      <c r="H99" t="s">
        <v>114</v>
      </c>
      <c r="I99">
        <v>1</v>
      </c>
      <c r="K99">
        <v>167.88</v>
      </c>
      <c r="L99">
        <v>1795.36</v>
      </c>
      <c r="M99">
        <v>1795.36</v>
      </c>
      <c r="N99">
        <v>496</v>
      </c>
      <c r="P99">
        <v>1299.3599999999999</v>
      </c>
      <c r="Q99">
        <v>1190.46</v>
      </c>
      <c r="S99">
        <v>393.38</v>
      </c>
      <c r="U99">
        <v>211.52</v>
      </c>
      <c r="AK99">
        <v>166.3</v>
      </c>
      <c r="AL99">
        <v>1.58</v>
      </c>
    </row>
    <row r="100" spans="1:42" x14ac:dyDescent="0.25">
      <c r="A100" t="s">
        <v>111</v>
      </c>
      <c r="B100" t="s">
        <v>112</v>
      </c>
      <c r="C100">
        <v>18999</v>
      </c>
      <c r="D100" t="s">
        <v>211</v>
      </c>
      <c r="G100">
        <v>1</v>
      </c>
      <c r="H100" t="s">
        <v>114</v>
      </c>
      <c r="I100">
        <v>1</v>
      </c>
      <c r="K100">
        <v>235.48</v>
      </c>
      <c r="L100">
        <v>2281.3000000000002</v>
      </c>
      <c r="M100">
        <v>2281.3000000000002</v>
      </c>
      <c r="N100">
        <v>422</v>
      </c>
      <c r="P100">
        <v>1859.3</v>
      </c>
      <c r="Q100">
        <v>1615.64</v>
      </c>
      <c r="S100">
        <v>605.87</v>
      </c>
      <c r="U100">
        <v>59.79</v>
      </c>
      <c r="AK100">
        <v>233.26</v>
      </c>
      <c r="AL100">
        <v>2.2200000000000002</v>
      </c>
    </row>
    <row r="101" spans="1:42" x14ac:dyDescent="0.25">
      <c r="A101" t="s">
        <v>111</v>
      </c>
      <c r="B101" t="s">
        <v>112</v>
      </c>
      <c r="C101">
        <v>19003</v>
      </c>
      <c r="D101" t="s">
        <v>265</v>
      </c>
      <c r="G101">
        <v>1</v>
      </c>
      <c r="H101" t="s">
        <v>116</v>
      </c>
      <c r="I101">
        <v>1</v>
      </c>
      <c r="K101">
        <v>338.42</v>
      </c>
      <c r="L101">
        <v>3223.08</v>
      </c>
      <c r="M101">
        <v>3223.08</v>
      </c>
      <c r="N101">
        <v>746</v>
      </c>
      <c r="P101">
        <v>2477.08</v>
      </c>
      <c r="Q101">
        <v>2900.77</v>
      </c>
      <c r="Y101">
        <v>322.31</v>
      </c>
      <c r="AK101">
        <v>338.42</v>
      </c>
    </row>
    <row r="102" spans="1:42" x14ac:dyDescent="0.25">
      <c r="A102" t="s">
        <v>111</v>
      </c>
      <c r="B102" t="s">
        <v>112</v>
      </c>
      <c r="C102">
        <v>19006</v>
      </c>
      <c r="D102" t="s">
        <v>212</v>
      </c>
      <c r="G102">
        <v>1</v>
      </c>
      <c r="H102" t="s">
        <v>114</v>
      </c>
      <c r="I102">
        <v>1</v>
      </c>
      <c r="K102">
        <v>238.97</v>
      </c>
      <c r="L102">
        <v>2486.6799999999998</v>
      </c>
      <c r="M102">
        <v>2486.6799999999998</v>
      </c>
      <c r="N102">
        <v>566</v>
      </c>
      <c r="P102">
        <v>1920.68</v>
      </c>
      <c r="Q102">
        <v>1960.45</v>
      </c>
      <c r="U102">
        <v>232.16</v>
      </c>
      <c r="AG102">
        <v>294.07</v>
      </c>
      <c r="AK102">
        <v>236.72</v>
      </c>
      <c r="AL102">
        <v>2.25</v>
      </c>
      <c r="AP102">
        <v>74</v>
      </c>
    </row>
    <row r="103" spans="1:42" x14ac:dyDescent="0.25">
      <c r="A103" t="s">
        <v>111</v>
      </c>
      <c r="B103" t="s">
        <v>112</v>
      </c>
      <c r="C103">
        <v>19007</v>
      </c>
      <c r="D103" t="s">
        <v>213</v>
      </c>
      <c r="G103">
        <v>1</v>
      </c>
      <c r="H103" t="s">
        <v>114</v>
      </c>
      <c r="I103">
        <v>1</v>
      </c>
      <c r="K103">
        <v>242.26</v>
      </c>
      <c r="L103">
        <v>2304.75</v>
      </c>
      <c r="M103">
        <v>2304.75</v>
      </c>
      <c r="N103">
        <v>672</v>
      </c>
      <c r="P103">
        <v>1632.75</v>
      </c>
      <c r="Q103">
        <v>1503.87</v>
      </c>
      <c r="S103">
        <v>294.07</v>
      </c>
      <c r="U103">
        <v>19.350000000000001</v>
      </c>
      <c r="W103">
        <v>196.05</v>
      </c>
      <c r="AB103">
        <v>64.489999999999995</v>
      </c>
      <c r="AG103">
        <v>226.92</v>
      </c>
      <c r="AK103">
        <v>239.97</v>
      </c>
      <c r="AL103">
        <v>2.29</v>
      </c>
    </row>
    <row r="104" spans="1:42" x14ac:dyDescent="0.25">
      <c r="A104" t="s">
        <v>111</v>
      </c>
      <c r="B104" t="s">
        <v>112</v>
      </c>
      <c r="C104">
        <v>19008</v>
      </c>
      <c r="D104" t="s">
        <v>214</v>
      </c>
      <c r="G104">
        <v>1</v>
      </c>
      <c r="H104" t="s">
        <v>114</v>
      </c>
      <c r="I104">
        <v>1</v>
      </c>
      <c r="K104">
        <v>132.19999999999999</v>
      </c>
      <c r="L104">
        <v>1267.92</v>
      </c>
      <c r="M104">
        <v>1267.92</v>
      </c>
      <c r="N104">
        <v>130</v>
      </c>
      <c r="P104">
        <v>1137.92</v>
      </c>
      <c r="S104">
        <v>539.24</v>
      </c>
      <c r="T104">
        <v>707.9</v>
      </c>
      <c r="U104">
        <v>20.78</v>
      </c>
      <c r="AK104">
        <v>130.94999999999999</v>
      </c>
      <c r="AL104">
        <v>1.25</v>
      </c>
    </row>
    <row r="105" spans="1:42" x14ac:dyDescent="0.25">
      <c r="A105" t="s">
        <v>111</v>
      </c>
      <c r="B105" t="s">
        <v>112</v>
      </c>
      <c r="C105">
        <v>19009</v>
      </c>
      <c r="D105" t="s">
        <v>215</v>
      </c>
      <c r="G105">
        <v>1</v>
      </c>
      <c r="H105" t="s">
        <v>114</v>
      </c>
      <c r="I105">
        <v>1</v>
      </c>
      <c r="K105">
        <v>201.44</v>
      </c>
      <c r="L105">
        <v>2023.35</v>
      </c>
      <c r="M105">
        <v>2023.35</v>
      </c>
      <c r="N105">
        <v>332</v>
      </c>
      <c r="P105">
        <v>1691.35</v>
      </c>
      <c r="Q105">
        <v>1263.78</v>
      </c>
      <c r="S105">
        <v>541.62</v>
      </c>
      <c r="U105">
        <v>122.93</v>
      </c>
      <c r="X105">
        <v>95.02</v>
      </c>
      <c r="AK105">
        <v>199.54</v>
      </c>
      <c r="AL105">
        <v>1.9</v>
      </c>
    </row>
    <row r="106" spans="1:42" x14ac:dyDescent="0.25">
      <c r="A106" t="s">
        <v>111</v>
      </c>
      <c r="B106" t="s">
        <v>112</v>
      </c>
      <c r="C106">
        <v>19011</v>
      </c>
      <c r="D106" t="s">
        <v>216</v>
      </c>
      <c r="G106">
        <v>1</v>
      </c>
      <c r="H106" t="s">
        <v>114</v>
      </c>
      <c r="I106">
        <v>1</v>
      </c>
      <c r="K106">
        <v>191.28</v>
      </c>
      <c r="L106">
        <v>2266.04</v>
      </c>
      <c r="M106">
        <v>2266.04</v>
      </c>
      <c r="N106">
        <v>416</v>
      </c>
      <c r="P106">
        <v>1850.04</v>
      </c>
      <c r="Q106">
        <v>1624.06</v>
      </c>
      <c r="U106">
        <v>266.64999999999998</v>
      </c>
      <c r="V106">
        <v>194.79</v>
      </c>
      <c r="Y106">
        <v>180.54</v>
      </c>
      <c r="AK106">
        <v>189.48</v>
      </c>
      <c r="AL106">
        <v>1.8</v>
      </c>
    </row>
    <row r="107" spans="1:42" x14ac:dyDescent="0.25">
      <c r="A107" t="s">
        <v>111</v>
      </c>
      <c r="B107" t="s">
        <v>112</v>
      </c>
      <c r="C107">
        <v>19012</v>
      </c>
      <c r="D107" t="s">
        <v>217</v>
      </c>
      <c r="G107">
        <v>1</v>
      </c>
      <c r="H107" t="s">
        <v>114</v>
      </c>
      <c r="I107">
        <v>1</v>
      </c>
      <c r="K107">
        <v>200.95</v>
      </c>
      <c r="L107">
        <v>2324.25</v>
      </c>
      <c r="M107">
        <v>2324.25</v>
      </c>
      <c r="N107">
        <v>436</v>
      </c>
      <c r="P107">
        <v>1888.25</v>
      </c>
      <c r="Q107">
        <v>1444.32</v>
      </c>
      <c r="S107">
        <v>270.81</v>
      </c>
      <c r="U107">
        <v>339.1</v>
      </c>
      <c r="V107">
        <v>89.48</v>
      </c>
      <c r="W107">
        <v>180.54</v>
      </c>
      <c r="AK107">
        <v>199.05</v>
      </c>
      <c r="AL107">
        <v>1.9</v>
      </c>
    </row>
    <row r="108" spans="1:42" x14ac:dyDescent="0.25">
      <c r="A108" t="s">
        <v>111</v>
      </c>
      <c r="B108" t="s">
        <v>112</v>
      </c>
      <c r="C108">
        <v>19013</v>
      </c>
      <c r="D108" t="s">
        <v>218</v>
      </c>
      <c r="G108">
        <v>1</v>
      </c>
      <c r="H108" t="s">
        <v>114</v>
      </c>
      <c r="I108">
        <v>1</v>
      </c>
      <c r="K108">
        <v>276.83999999999997</v>
      </c>
      <c r="L108">
        <v>2895.21</v>
      </c>
      <c r="M108">
        <v>2895.21</v>
      </c>
      <c r="N108">
        <v>764</v>
      </c>
      <c r="P108">
        <v>2131.21</v>
      </c>
      <c r="Q108">
        <v>2611.6999999999998</v>
      </c>
      <c r="U108">
        <v>283.51</v>
      </c>
      <c r="AK108">
        <v>274.23</v>
      </c>
      <c r="AL108">
        <v>2.61</v>
      </c>
      <c r="AP108">
        <v>130</v>
      </c>
    </row>
    <row r="109" spans="1:42" x14ac:dyDescent="0.25">
      <c r="A109" t="s">
        <v>111</v>
      </c>
      <c r="B109" t="s">
        <v>112</v>
      </c>
      <c r="C109">
        <v>19014</v>
      </c>
      <c r="D109" t="s">
        <v>219</v>
      </c>
      <c r="G109">
        <v>1</v>
      </c>
      <c r="H109" t="s">
        <v>116</v>
      </c>
      <c r="I109">
        <v>1</v>
      </c>
      <c r="K109">
        <v>270.58</v>
      </c>
      <c r="L109">
        <v>2576.92</v>
      </c>
      <c r="M109">
        <v>2576.92</v>
      </c>
      <c r="N109">
        <v>614</v>
      </c>
      <c r="P109">
        <v>1962.92</v>
      </c>
      <c r="Q109">
        <v>2576.92</v>
      </c>
      <c r="AK109">
        <v>270.58</v>
      </c>
      <c r="AP109">
        <v>90</v>
      </c>
    </row>
    <row r="110" spans="1:42" x14ac:dyDescent="0.25">
      <c r="A110" t="s">
        <v>111</v>
      </c>
      <c r="B110" t="s">
        <v>112</v>
      </c>
      <c r="C110">
        <v>19015</v>
      </c>
      <c r="D110" t="s">
        <v>220</v>
      </c>
      <c r="G110">
        <v>1</v>
      </c>
      <c r="H110" t="s">
        <v>114</v>
      </c>
      <c r="I110">
        <v>1</v>
      </c>
      <c r="K110">
        <v>227.9</v>
      </c>
      <c r="L110">
        <v>2753</v>
      </c>
      <c r="M110">
        <v>2753</v>
      </c>
      <c r="N110">
        <v>584</v>
      </c>
      <c r="P110">
        <v>2169</v>
      </c>
      <c r="Q110">
        <v>1568.36</v>
      </c>
      <c r="S110">
        <v>581.67999999999995</v>
      </c>
      <c r="U110">
        <v>448.19</v>
      </c>
      <c r="V110">
        <v>154.77000000000001</v>
      </c>
      <c r="AK110">
        <v>225.75</v>
      </c>
      <c r="AL110">
        <v>2.15</v>
      </c>
    </row>
    <row r="111" spans="1:42" x14ac:dyDescent="0.25">
      <c r="A111" t="s">
        <v>111</v>
      </c>
      <c r="B111" t="s">
        <v>112</v>
      </c>
      <c r="C111">
        <v>19017</v>
      </c>
      <c r="D111" t="s">
        <v>221</v>
      </c>
      <c r="G111">
        <v>1</v>
      </c>
      <c r="H111" t="s">
        <v>114</v>
      </c>
      <c r="I111">
        <v>1</v>
      </c>
      <c r="K111">
        <v>198.51</v>
      </c>
      <c r="L111">
        <v>2422.52</v>
      </c>
      <c r="M111">
        <v>2422.52</v>
      </c>
      <c r="N111">
        <v>542</v>
      </c>
      <c r="P111">
        <v>1880.52</v>
      </c>
      <c r="Q111">
        <v>1425.29</v>
      </c>
      <c r="S111">
        <v>268.49</v>
      </c>
      <c r="U111">
        <v>395.08</v>
      </c>
      <c r="V111">
        <v>154.66</v>
      </c>
      <c r="W111">
        <v>179</v>
      </c>
      <c r="AK111">
        <v>196.64</v>
      </c>
      <c r="AL111">
        <v>1.87</v>
      </c>
      <c r="AP111">
        <v>72</v>
      </c>
    </row>
    <row r="112" spans="1:42" x14ac:dyDescent="0.25">
      <c r="A112" t="s">
        <v>111</v>
      </c>
      <c r="B112" t="s">
        <v>112</v>
      </c>
      <c r="C112">
        <v>19019</v>
      </c>
      <c r="D112" t="s">
        <v>222</v>
      </c>
      <c r="G112">
        <v>1</v>
      </c>
      <c r="H112" t="s">
        <v>114</v>
      </c>
      <c r="I112">
        <v>1</v>
      </c>
      <c r="K112">
        <v>226.54</v>
      </c>
      <c r="L112">
        <v>3147.03</v>
      </c>
      <c r="M112">
        <v>3147.03</v>
      </c>
      <c r="N112">
        <v>720</v>
      </c>
      <c r="P112">
        <v>2427.0300000000002</v>
      </c>
      <c r="Q112">
        <v>1568.36</v>
      </c>
      <c r="S112">
        <v>568.79</v>
      </c>
      <c r="U112">
        <v>576.52</v>
      </c>
      <c r="V112">
        <v>433.36</v>
      </c>
      <c r="AK112">
        <v>224.4</v>
      </c>
      <c r="AL112">
        <v>2.14</v>
      </c>
    </row>
    <row r="113" spans="1:45" x14ac:dyDescent="0.25">
      <c r="A113" t="s">
        <v>111</v>
      </c>
      <c r="B113" t="s">
        <v>112</v>
      </c>
      <c r="C113">
        <v>19020</v>
      </c>
      <c r="D113" t="s">
        <v>223</v>
      </c>
      <c r="G113">
        <v>1</v>
      </c>
      <c r="H113" t="s">
        <v>116</v>
      </c>
      <c r="I113">
        <v>1</v>
      </c>
      <c r="K113">
        <v>221.95</v>
      </c>
      <c r="L113">
        <v>2113.79</v>
      </c>
      <c r="M113">
        <v>2113.79</v>
      </c>
      <c r="N113">
        <v>362</v>
      </c>
      <c r="P113">
        <v>1751.79</v>
      </c>
      <c r="Q113">
        <v>2113.79</v>
      </c>
      <c r="AK113">
        <v>221.95</v>
      </c>
    </row>
    <row r="114" spans="1:45" x14ac:dyDescent="0.25">
      <c r="A114" t="s">
        <v>111</v>
      </c>
      <c r="B114" t="s">
        <v>112</v>
      </c>
      <c r="C114">
        <v>19021</v>
      </c>
      <c r="D114" t="s">
        <v>224</v>
      </c>
      <c r="G114">
        <v>1</v>
      </c>
      <c r="H114" t="s">
        <v>114</v>
      </c>
      <c r="I114">
        <v>1</v>
      </c>
      <c r="K114">
        <v>207.81</v>
      </c>
      <c r="L114">
        <v>2123.61</v>
      </c>
      <c r="M114">
        <v>2123.61</v>
      </c>
      <c r="N114">
        <v>366</v>
      </c>
      <c r="P114">
        <v>1757.61</v>
      </c>
      <c r="Q114">
        <v>1960.45</v>
      </c>
      <c r="U114">
        <v>163.16</v>
      </c>
      <c r="AK114">
        <v>205.85</v>
      </c>
      <c r="AL114">
        <v>1.96</v>
      </c>
    </row>
    <row r="115" spans="1:45" x14ac:dyDescent="0.25">
      <c r="A115" t="s">
        <v>111</v>
      </c>
      <c r="B115" t="s">
        <v>112</v>
      </c>
      <c r="C115">
        <v>19023</v>
      </c>
      <c r="D115" t="s">
        <v>225</v>
      </c>
      <c r="G115">
        <v>1</v>
      </c>
      <c r="H115" t="s">
        <v>114</v>
      </c>
      <c r="I115">
        <v>1</v>
      </c>
      <c r="K115">
        <v>86.03</v>
      </c>
      <c r="L115">
        <v>811.59</v>
      </c>
      <c r="M115">
        <v>811.59</v>
      </c>
      <c r="N115">
        <v>18</v>
      </c>
      <c r="P115">
        <v>793.59</v>
      </c>
      <c r="R115">
        <v>649.27</v>
      </c>
      <c r="AH115">
        <v>162.32</v>
      </c>
      <c r="AK115">
        <v>85.22</v>
      </c>
      <c r="AL115">
        <v>0.81</v>
      </c>
    </row>
    <row r="116" spans="1:45" x14ac:dyDescent="0.25">
      <c r="A116" t="s">
        <v>111</v>
      </c>
      <c r="B116" t="s">
        <v>112</v>
      </c>
      <c r="C116">
        <v>19025</v>
      </c>
      <c r="D116" t="s">
        <v>226</v>
      </c>
      <c r="G116">
        <v>1</v>
      </c>
      <c r="H116" t="s">
        <v>116</v>
      </c>
      <c r="I116">
        <v>1</v>
      </c>
      <c r="K116">
        <v>290.77</v>
      </c>
      <c r="L116">
        <v>2769.22</v>
      </c>
      <c r="M116">
        <v>2769.22</v>
      </c>
      <c r="N116">
        <v>590</v>
      </c>
      <c r="P116">
        <v>2179.2199999999998</v>
      </c>
      <c r="Q116">
        <v>2492.3000000000002</v>
      </c>
      <c r="Y116">
        <v>276.92</v>
      </c>
      <c r="AK116">
        <v>290.77</v>
      </c>
    </row>
    <row r="117" spans="1:45" x14ac:dyDescent="0.25">
      <c r="A117" t="s">
        <v>111</v>
      </c>
      <c r="B117" t="s">
        <v>112</v>
      </c>
      <c r="C117">
        <v>19026</v>
      </c>
      <c r="D117" t="s">
        <v>227</v>
      </c>
      <c r="G117">
        <v>1</v>
      </c>
      <c r="H117" t="s">
        <v>114</v>
      </c>
      <c r="I117">
        <v>1</v>
      </c>
      <c r="K117">
        <v>124.69</v>
      </c>
      <c r="L117">
        <v>1176.27</v>
      </c>
      <c r="M117">
        <v>1176.27</v>
      </c>
      <c r="N117">
        <v>280</v>
      </c>
      <c r="P117">
        <v>896.27</v>
      </c>
      <c r="Q117">
        <v>1111.78</v>
      </c>
      <c r="X117">
        <v>64.489999999999995</v>
      </c>
      <c r="AK117">
        <v>123.51</v>
      </c>
      <c r="AL117">
        <v>1.18</v>
      </c>
    </row>
    <row r="118" spans="1:45" x14ac:dyDescent="0.25">
      <c r="A118" t="s">
        <v>111</v>
      </c>
      <c r="B118" t="s">
        <v>112</v>
      </c>
      <c r="C118">
        <v>19027</v>
      </c>
      <c r="D118" t="s">
        <v>277</v>
      </c>
      <c r="G118">
        <v>1</v>
      </c>
      <c r="H118" t="s">
        <v>114</v>
      </c>
      <c r="I118">
        <v>1</v>
      </c>
      <c r="K118">
        <v>213.51</v>
      </c>
      <c r="L118">
        <v>2092.63</v>
      </c>
      <c r="M118">
        <v>2092.63</v>
      </c>
      <c r="N118">
        <v>356</v>
      </c>
      <c r="P118">
        <v>1736.63</v>
      </c>
      <c r="Q118">
        <v>2014.24</v>
      </c>
      <c r="U118">
        <v>78.39</v>
      </c>
      <c r="AK118">
        <v>211.5</v>
      </c>
      <c r="AL118">
        <v>2.0099999999999998</v>
      </c>
    </row>
    <row r="119" spans="1:45" x14ac:dyDescent="0.25">
      <c r="A119" t="s">
        <v>111</v>
      </c>
      <c r="B119" t="s">
        <v>112</v>
      </c>
      <c r="C119">
        <v>19028</v>
      </c>
      <c r="D119" t="s">
        <v>228</v>
      </c>
      <c r="G119">
        <v>1</v>
      </c>
      <c r="H119" t="s">
        <v>114</v>
      </c>
      <c r="I119">
        <v>1</v>
      </c>
      <c r="K119">
        <v>191.38</v>
      </c>
      <c r="L119">
        <v>2839.94</v>
      </c>
      <c r="M119">
        <v>2839.94</v>
      </c>
      <c r="N119">
        <v>614</v>
      </c>
      <c r="P119">
        <v>2225.94</v>
      </c>
      <c r="Q119">
        <v>1624.86</v>
      </c>
      <c r="U119">
        <v>732.85</v>
      </c>
      <c r="V119">
        <v>301.69</v>
      </c>
      <c r="Y119">
        <v>180.54</v>
      </c>
      <c r="AK119">
        <v>189.57</v>
      </c>
      <c r="AL119">
        <v>1.81</v>
      </c>
    </row>
    <row r="120" spans="1:45" x14ac:dyDescent="0.25">
      <c r="A120" t="s">
        <v>111</v>
      </c>
      <c r="B120" t="s">
        <v>112</v>
      </c>
      <c r="C120">
        <v>19029</v>
      </c>
      <c r="D120" t="s">
        <v>240</v>
      </c>
      <c r="G120">
        <v>1</v>
      </c>
      <c r="H120" t="s">
        <v>114</v>
      </c>
      <c r="I120">
        <v>1</v>
      </c>
      <c r="K120">
        <v>208.05</v>
      </c>
      <c r="L120">
        <v>2318.11</v>
      </c>
      <c r="M120">
        <v>2318.11</v>
      </c>
      <c r="N120">
        <v>434</v>
      </c>
      <c r="P120">
        <v>1884.11</v>
      </c>
      <c r="Q120">
        <v>1444.32</v>
      </c>
      <c r="S120">
        <v>518.46</v>
      </c>
      <c r="U120">
        <v>261.89999999999998</v>
      </c>
      <c r="V120">
        <v>93.43</v>
      </c>
      <c r="AK120">
        <v>206.09</v>
      </c>
      <c r="AL120">
        <v>1.96</v>
      </c>
    </row>
    <row r="121" spans="1:45" x14ac:dyDescent="0.25">
      <c r="A121" t="s">
        <v>111</v>
      </c>
      <c r="B121" t="s">
        <v>112</v>
      </c>
      <c r="C121">
        <v>19030</v>
      </c>
      <c r="D121" t="s">
        <v>229</v>
      </c>
      <c r="G121">
        <v>1</v>
      </c>
      <c r="H121" t="s">
        <v>114</v>
      </c>
      <c r="I121">
        <v>1</v>
      </c>
      <c r="K121">
        <v>199.6</v>
      </c>
      <c r="L121">
        <v>1883.09</v>
      </c>
      <c r="M121">
        <v>1883.09</v>
      </c>
      <c r="N121">
        <v>282</v>
      </c>
      <c r="P121">
        <v>1601.09</v>
      </c>
      <c r="R121">
        <v>1506.47</v>
      </c>
      <c r="AH121">
        <v>376.62</v>
      </c>
      <c r="AK121">
        <v>197.72</v>
      </c>
      <c r="AL121">
        <v>1.88</v>
      </c>
    </row>
    <row r="122" spans="1:45" x14ac:dyDescent="0.25">
      <c r="A122" t="s">
        <v>111</v>
      </c>
      <c r="B122" t="s">
        <v>112</v>
      </c>
      <c r="C122">
        <v>19031</v>
      </c>
      <c r="D122" t="s">
        <v>241</v>
      </c>
      <c r="G122">
        <v>1</v>
      </c>
      <c r="H122" t="s">
        <v>116</v>
      </c>
      <c r="I122">
        <v>1</v>
      </c>
      <c r="K122">
        <v>343.27</v>
      </c>
      <c r="L122">
        <v>3961.54</v>
      </c>
      <c r="M122">
        <v>3961.54</v>
      </c>
      <c r="N122">
        <v>1002</v>
      </c>
      <c r="P122">
        <v>2959.54</v>
      </c>
      <c r="Q122">
        <v>3269.23</v>
      </c>
      <c r="AE122">
        <v>692.31</v>
      </c>
      <c r="AK122">
        <v>343.27</v>
      </c>
    </row>
    <row r="123" spans="1:45" x14ac:dyDescent="0.25">
      <c r="A123" t="s">
        <v>111</v>
      </c>
      <c r="B123" t="s">
        <v>112</v>
      </c>
      <c r="C123">
        <v>19032</v>
      </c>
      <c r="D123" t="s">
        <v>242</v>
      </c>
      <c r="G123">
        <v>1</v>
      </c>
      <c r="H123" t="s">
        <v>114</v>
      </c>
      <c r="I123">
        <v>1</v>
      </c>
      <c r="K123">
        <v>124.69</v>
      </c>
      <c r="L123">
        <v>1176.28</v>
      </c>
      <c r="M123">
        <v>1176.28</v>
      </c>
      <c r="N123">
        <v>110</v>
      </c>
      <c r="P123">
        <v>1066.28</v>
      </c>
      <c r="Q123">
        <v>980.23</v>
      </c>
      <c r="X123">
        <v>196.05</v>
      </c>
      <c r="AK123">
        <v>123.51</v>
      </c>
      <c r="AL123">
        <v>1.18</v>
      </c>
    </row>
    <row r="124" spans="1:45" x14ac:dyDescent="0.25">
      <c r="A124" t="s">
        <v>111</v>
      </c>
      <c r="B124" t="s">
        <v>112</v>
      </c>
      <c r="C124">
        <v>19033</v>
      </c>
      <c r="D124" t="s">
        <v>243</v>
      </c>
      <c r="G124">
        <v>1</v>
      </c>
      <c r="H124" t="s">
        <v>165</v>
      </c>
      <c r="I124">
        <v>1</v>
      </c>
      <c r="K124">
        <v>57.41</v>
      </c>
      <c r="L124">
        <v>1735.48</v>
      </c>
      <c r="M124">
        <v>1735.48</v>
      </c>
      <c r="N124">
        <v>364</v>
      </c>
      <c r="P124">
        <v>1371.48</v>
      </c>
      <c r="Q124">
        <v>541.62</v>
      </c>
      <c r="U124">
        <v>73.05</v>
      </c>
      <c r="AK124">
        <v>56.87</v>
      </c>
      <c r="AL124">
        <v>0.54</v>
      </c>
      <c r="AQ124">
        <v>173.6</v>
      </c>
      <c r="AR124">
        <v>947.21</v>
      </c>
      <c r="AS124">
        <v>1120.81</v>
      </c>
    </row>
    <row r="125" spans="1:45" x14ac:dyDescent="0.25">
      <c r="A125" t="s">
        <v>111</v>
      </c>
      <c r="B125" t="s">
        <v>112</v>
      </c>
      <c r="C125">
        <v>19035</v>
      </c>
      <c r="D125" t="s">
        <v>244</v>
      </c>
      <c r="G125">
        <v>1</v>
      </c>
      <c r="H125" t="s">
        <v>114</v>
      </c>
      <c r="I125">
        <v>1</v>
      </c>
      <c r="K125">
        <v>175.88</v>
      </c>
      <c r="L125">
        <v>1659.25</v>
      </c>
      <c r="M125">
        <v>1659.25</v>
      </c>
      <c r="N125">
        <v>214</v>
      </c>
      <c r="P125">
        <v>1445.25</v>
      </c>
      <c r="Q125">
        <v>1244.43</v>
      </c>
      <c r="X125">
        <v>414.82</v>
      </c>
      <c r="Z125">
        <v>0</v>
      </c>
      <c r="AK125">
        <v>174.22</v>
      </c>
      <c r="AL125">
        <v>1.66</v>
      </c>
    </row>
    <row r="126" spans="1:45" x14ac:dyDescent="0.25">
      <c r="A126" t="s">
        <v>111</v>
      </c>
      <c r="B126" t="s">
        <v>112</v>
      </c>
      <c r="C126">
        <v>19037</v>
      </c>
      <c r="D126" t="s">
        <v>249</v>
      </c>
      <c r="G126">
        <v>1</v>
      </c>
      <c r="H126" t="s">
        <v>114</v>
      </c>
      <c r="I126">
        <v>1</v>
      </c>
      <c r="K126">
        <v>57.45</v>
      </c>
      <c r="L126">
        <v>558.65</v>
      </c>
      <c r="M126">
        <v>558.65</v>
      </c>
      <c r="N126">
        <v>0</v>
      </c>
      <c r="P126">
        <v>558.65</v>
      </c>
      <c r="Q126">
        <v>179.75</v>
      </c>
      <c r="S126">
        <v>362.27</v>
      </c>
      <c r="U126">
        <v>16.63</v>
      </c>
      <c r="AK126">
        <v>56.91</v>
      </c>
      <c r="AL126">
        <v>0.54</v>
      </c>
    </row>
    <row r="127" spans="1:45" x14ac:dyDescent="0.25">
      <c r="A127" t="s">
        <v>111</v>
      </c>
      <c r="B127" t="s">
        <v>112</v>
      </c>
      <c r="C127">
        <v>19039</v>
      </c>
      <c r="D127" t="s">
        <v>250</v>
      </c>
      <c r="G127">
        <v>1</v>
      </c>
      <c r="H127" t="s">
        <v>114</v>
      </c>
      <c r="I127">
        <v>1</v>
      </c>
      <c r="K127">
        <v>206.61</v>
      </c>
      <c r="L127">
        <v>1959.81</v>
      </c>
      <c r="M127">
        <v>1959.81</v>
      </c>
      <c r="N127">
        <v>310</v>
      </c>
      <c r="P127">
        <v>1649.81</v>
      </c>
      <c r="Q127">
        <v>1076.1099999999999</v>
      </c>
      <c r="T127">
        <v>712.66</v>
      </c>
      <c r="U127">
        <v>10.69</v>
      </c>
      <c r="AG127">
        <v>160.35</v>
      </c>
      <c r="AK127">
        <v>204.66</v>
      </c>
      <c r="AL127">
        <v>1.95</v>
      </c>
    </row>
    <row r="128" spans="1:45" x14ac:dyDescent="0.25">
      <c r="A128" t="s">
        <v>111</v>
      </c>
      <c r="B128" t="s">
        <v>112</v>
      </c>
      <c r="C128">
        <v>19040</v>
      </c>
      <c r="D128" t="s">
        <v>252</v>
      </c>
      <c r="G128">
        <v>1</v>
      </c>
      <c r="H128" t="s">
        <v>116</v>
      </c>
      <c r="I128">
        <v>1</v>
      </c>
      <c r="K128">
        <v>131.78</v>
      </c>
      <c r="L128">
        <v>1255.06</v>
      </c>
      <c r="M128">
        <v>1255.06</v>
      </c>
      <c r="N128">
        <v>128</v>
      </c>
      <c r="P128">
        <v>1127.06</v>
      </c>
      <c r="Q128">
        <v>1255.06</v>
      </c>
      <c r="AK128">
        <v>131.78</v>
      </c>
    </row>
    <row r="129" spans="1:45" x14ac:dyDescent="0.25">
      <c r="A129" t="s">
        <v>111</v>
      </c>
      <c r="B129" t="s">
        <v>112</v>
      </c>
      <c r="C129">
        <v>19042</v>
      </c>
      <c r="D129" t="s">
        <v>255</v>
      </c>
      <c r="G129">
        <v>1</v>
      </c>
      <c r="H129" t="s">
        <v>114</v>
      </c>
      <c r="I129">
        <v>1</v>
      </c>
      <c r="K129">
        <v>268.22000000000003</v>
      </c>
      <c r="L129">
        <v>2694.09</v>
      </c>
      <c r="M129">
        <v>2694.09</v>
      </c>
      <c r="N129">
        <v>564</v>
      </c>
      <c r="P129">
        <v>2130.09</v>
      </c>
      <c r="Q129">
        <v>1659.24</v>
      </c>
      <c r="S129">
        <v>622.22</v>
      </c>
      <c r="U129">
        <v>163.74</v>
      </c>
      <c r="AG129">
        <v>248.89</v>
      </c>
      <c r="AK129">
        <v>265.69</v>
      </c>
      <c r="AL129">
        <v>2.5299999999999998</v>
      </c>
    </row>
    <row r="130" spans="1:45" x14ac:dyDescent="0.25">
      <c r="A130" t="s">
        <v>111</v>
      </c>
      <c r="B130" t="s">
        <v>112</v>
      </c>
      <c r="C130">
        <v>19043</v>
      </c>
      <c r="D130" t="s">
        <v>256</v>
      </c>
      <c r="G130">
        <v>1</v>
      </c>
      <c r="H130" t="s">
        <v>114</v>
      </c>
      <c r="I130">
        <v>1</v>
      </c>
      <c r="K130">
        <v>190.78</v>
      </c>
      <c r="L130">
        <v>1915.06</v>
      </c>
      <c r="M130">
        <v>1915.06</v>
      </c>
      <c r="N130">
        <v>294</v>
      </c>
      <c r="P130">
        <v>1621.06</v>
      </c>
      <c r="Q130">
        <v>1619.31</v>
      </c>
      <c r="U130">
        <v>115.21</v>
      </c>
      <c r="Y130">
        <v>180.54</v>
      </c>
      <c r="AK130">
        <v>188.98</v>
      </c>
      <c r="AL130">
        <v>1.8</v>
      </c>
    </row>
    <row r="131" spans="1:45" x14ac:dyDescent="0.25">
      <c r="A131" t="s">
        <v>111</v>
      </c>
      <c r="B131" t="s">
        <v>112</v>
      </c>
      <c r="C131">
        <v>19045</v>
      </c>
      <c r="D131" t="s">
        <v>257</v>
      </c>
      <c r="G131">
        <v>1</v>
      </c>
      <c r="H131" t="s">
        <v>114</v>
      </c>
      <c r="I131">
        <v>1</v>
      </c>
      <c r="K131">
        <v>114.82</v>
      </c>
      <c r="L131">
        <v>1118.8699999999999</v>
      </c>
      <c r="M131">
        <v>1118.8699999999999</v>
      </c>
      <c r="N131">
        <v>98</v>
      </c>
      <c r="P131">
        <v>1020.87</v>
      </c>
      <c r="Q131">
        <v>1083.24</v>
      </c>
      <c r="U131">
        <v>35.630000000000003</v>
      </c>
      <c r="AK131">
        <v>113.74</v>
      </c>
      <c r="AL131">
        <v>1.08</v>
      </c>
      <c r="AP131">
        <v>0</v>
      </c>
    </row>
    <row r="132" spans="1:45" x14ac:dyDescent="0.25">
      <c r="A132" t="s">
        <v>111</v>
      </c>
      <c r="B132" t="s">
        <v>112</v>
      </c>
      <c r="C132">
        <v>19046</v>
      </c>
      <c r="D132" t="s">
        <v>258</v>
      </c>
      <c r="G132">
        <v>1</v>
      </c>
      <c r="H132" t="s">
        <v>114</v>
      </c>
      <c r="I132">
        <v>1</v>
      </c>
      <c r="K132">
        <v>238.97</v>
      </c>
      <c r="L132">
        <v>2544.7199999999998</v>
      </c>
      <c r="M132">
        <v>2544.7199999999998</v>
      </c>
      <c r="N132">
        <v>512</v>
      </c>
      <c r="P132">
        <v>2032.72</v>
      </c>
      <c r="Q132">
        <v>1960.45</v>
      </c>
      <c r="U132">
        <v>212.81</v>
      </c>
      <c r="V132">
        <v>77.39</v>
      </c>
      <c r="AG132">
        <v>294.07</v>
      </c>
      <c r="AK132">
        <v>236.72</v>
      </c>
      <c r="AL132">
        <v>2.25</v>
      </c>
    </row>
    <row r="133" spans="1:45" x14ac:dyDescent="0.25">
      <c r="A133" t="s">
        <v>111</v>
      </c>
      <c r="B133" t="s">
        <v>112</v>
      </c>
      <c r="C133">
        <v>19048</v>
      </c>
      <c r="D133" t="s">
        <v>260</v>
      </c>
      <c r="G133">
        <v>1</v>
      </c>
      <c r="H133" t="s">
        <v>114</v>
      </c>
      <c r="I133">
        <v>1</v>
      </c>
      <c r="K133">
        <v>191.38</v>
      </c>
      <c r="L133">
        <v>2393.54</v>
      </c>
      <c r="M133">
        <v>2393.54</v>
      </c>
      <c r="N133">
        <v>460</v>
      </c>
      <c r="P133">
        <v>1933.54</v>
      </c>
      <c r="Q133">
        <v>1624.86</v>
      </c>
      <c r="U133">
        <v>373.55</v>
      </c>
      <c r="V133">
        <v>214.59</v>
      </c>
      <c r="Y133">
        <v>180.54</v>
      </c>
      <c r="AK133">
        <v>189.57</v>
      </c>
      <c r="AL133">
        <v>1.81</v>
      </c>
    </row>
    <row r="134" spans="1:45" x14ac:dyDescent="0.25">
      <c r="A134" t="s">
        <v>111</v>
      </c>
      <c r="B134" t="s">
        <v>112</v>
      </c>
      <c r="C134">
        <v>19049</v>
      </c>
      <c r="D134" t="s">
        <v>261</v>
      </c>
      <c r="G134">
        <v>1</v>
      </c>
      <c r="H134" t="s">
        <v>114</v>
      </c>
      <c r="I134">
        <v>1</v>
      </c>
      <c r="K134">
        <v>152.55000000000001</v>
      </c>
      <c r="L134">
        <v>1492.62</v>
      </c>
      <c r="M134">
        <v>1492.62</v>
      </c>
      <c r="N134">
        <v>178</v>
      </c>
      <c r="P134">
        <v>1314.62</v>
      </c>
      <c r="Q134">
        <v>360.29</v>
      </c>
      <c r="S134">
        <v>526.17999999999995</v>
      </c>
      <c r="T134">
        <v>552.70000000000005</v>
      </c>
      <c r="U134">
        <v>53.45</v>
      </c>
      <c r="AK134">
        <v>151.11000000000001</v>
      </c>
      <c r="AL134">
        <v>1.44</v>
      </c>
    </row>
    <row r="135" spans="1:45" x14ac:dyDescent="0.25">
      <c r="A135" t="s">
        <v>111</v>
      </c>
      <c r="B135" t="s">
        <v>112</v>
      </c>
      <c r="C135">
        <v>19050</v>
      </c>
      <c r="D135" t="s">
        <v>278</v>
      </c>
      <c r="G135">
        <v>1</v>
      </c>
      <c r="H135" t="s">
        <v>114</v>
      </c>
      <c r="I135">
        <v>1</v>
      </c>
      <c r="K135">
        <v>67.349999999999994</v>
      </c>
      <c r="L135">
        <v>635.30999999999995</v>
      </c>
      <c r="M135">
        <v>635.30999999999995</v>
      </c>
      <c r="N135">
        <v>142</v>
      </c>
      <c r="P135">
        <v>493.31</v>
      </c>
      <c r="R135">
        <v>508.25</v>
      </c>
      <c r="AH135">
        <v>127.06</v>
      </c>
      <c r="AK135">
        <v>66.709999999999994</v>
      </c>
      <c r="AL135">
        <v>0.64</v>
      </c>
    </row>
    <row r="136" spans="1:45" x14ac:dyDescent="0.25">
      <c r="A136" t="s">
        <v>111</v>
      </c>
      <c r="B136" t="s">
        <v>112</v>
      </c>
      <c r="C136">
        <v>19051</v>
      </c>
      <c r="D136" t="s">
        <v>263</v>
      </c>
      <c r="G136">
        <v>1</v>
      </c>
      <c r="H136" t="s">
        <v>114</v>
      </c>
      <c r="I136">
        <v>1</v>
      </c>
      <c r="K136">
        <v>172.23</v>
      </c>
      <c r="L136">
        <v>1660.49</v>
      </c>
      <c r="M136">
        <v>1660.49</v>
      </c>
      <c r="N136">
        <v>214</v>
      </c>
      <c r="P136">
        <v>1446.49</v>
      </c>
      <c r="Q136">
        <v>1083.24</v>
      </c>
      <c r="S136">
        <v>541.62</v>
      </c>
      <c r="U136">
        <v>35.630000000000003</v>
      </c>
      <c r="AK136">
        <v>170.61</v>
      </c>
      <c r="AL136">
        <v>1.62</v>
      </c>
    </row>
    <row r="137" spans="1:45" x14ac:dyDescent="0.25">
      <c r="A137" t="s">
        <v>111</v>
      </c>
      <c r="B137" t="s">
        <v>112</v>
      </c>
      <c r="C137">
        <v>19052</v>
      </c>
      <c r="D137" t="s">
        <v>266</v>
      </c>
      <c r="G137">
        <v>1</v>
      </c>
      <c r="H137" t="s">
        <v>114</v>
      </c>
      <c r="I137">
        <v>1</v>
      </c>
      <c r="K137">
        <v>220.08</v>
      </c>
      <c r="L137">
        <v>2094.0300000000002</v>
      </c>
      <c r="M137">
        <v>2094.0300000000002</v>
      </c>
      <c r="N137">
        <v>376</v>
      </c>
      <c r="P137">
        <v>1718.03</v>
      </c>
      <c r="Q137">
        <v>1805.4</v>
      </c>
      <c r="U137">
        <v>17.82</v>
      </c>
      <c r="AG137">
        <v>270.81</v>
      </c>
      <c r="AK137">
        <v>218</v>
      </c>
      <c r="AL137">
        <v>2.08</v>
      </c>
      <c r="AP137">
        <v>20</v>
      </c>
    </row>
    <row r="138" spans="1:45" x14ac:dyDescent="0.25">
      <c r="A138" t="s">
        <v>111</v>
      </c>
      <c r="B138" t="s">
        <v>112</v>
      </c>
      <c r="C138">
        <v>19053</v>
      </c>
      <c r="D138" t="s">
        <v>267</v>
      </c>
      <c r="G138">
        <v>1</v>
      </c>
      <c r="H138" t="s">
        <v>114</v>
      </c>
      <c r="I138">
        <v>1</v>
      </c>
      <c r="K138">
        <v>207.81</v>
      </c>
      <c r="L138">
        <v>2018.49</v>
      </c>
      <c r="M138">
        <v>2018.49</v>
      </c>
      <c r="N138">
        <v>330</v>
      </c>
      <c r="P138">
        <v>1688.49</v>
      </c>
      <c r="Q138">
        <v>1960.45</v>
      </c>
      <c r="U138">
        <v>58.04</v>
      </c>
      <c r="AK138">
        <v>205.85</v>
      </c>
      <c r="AL138">
        <v>1.96</v>
      </c>
    </row>
    <row r="139" spans="1:45" x14ac:dyDescent="0.25">
      <c r="A139" t="s">
        <v>111</v>
      </c>
      <c r="B139" t="s">
        <v>112</v>
      </c>
      <c r="C139">
        <v>19054</v>
      </c>
      <c r="D139" t="s">
        <v>269</v>
      </c>
      <c r="G139">
        <v>1</v>
      </c>
      <c r="H139" t="s">
        <v>116</v>
      </c>
      <c r="I139">
        <v>1</v>
      </c>
      <c r="K139">
        <v>363.46</v>
      </c>
      <c r="L139">
        <v>3461.54</v>
      </c>
      <c r="M139">
        <v>3461.54</v>
      </c>
      <c r="N139">
        <v>828</v>
      </c>
      <c r="P139">
        <v>2633.54</v>
      </c>
      <c r="Q139">
        <v>3115.39</v>
      </c>
      <c r="Y139">
        <v>346.15</v>
      </c>
      <c r="AK139">
        <v>363.46</v>
      </c>
    </row>
    <row r="140" spans="1:45" x14ac:dyDescent="0.25">
      <c r="A140" t="s">
        <v>111</v>
      </c>
      <c r="B140" t="s">
        <v>112</v>
      </c>
      <c r="C140">
        <v>19056</v>
      </c>
      <c r="D140" t="s">
        <v>274</v>
      </c>
      <c r="G140">
        <v>1</v>
      </c>
      <c r="H140" t="s">
        <v>116</v>
      </c>
      <c r="I140">
        <v>1</v>
      </c>
      <c r="K140">
        <v>242.31</v>
      </c>
      <c r="L140">
        <v>2307.6999999999998</v>
      </c>
      <c r="M140">
        <v>2307.6999999999998</v>
      </c>
      <c r="N140">
        <v>488</v>
      </c>
      <c r="P140">
        <v>1819.7</v>
      </c>
      <c r="Q140">
        <v>1923.08</v>
      </c>
      <c r="Y140">
        <v>384.62</v>
      </c>
      <c r="AK140">
        <v>242.31</v>
      </c>
      <c r="AP140">
        <v>58</v>
      </c>
    </row>
    <row r="141" spans="1:45" x14ac:dyDescent="0.25">
      <c r="A141" t="s">
        <v>111</v>
      </c>
      <c r="B141" t="s">
        <v>112</v>
      </c>
      <c r="C141">
        <v>19057</v>
      </c>
      <c r="D141" t="s">
        <v>275</v>
      </c>
      <c r="G141">
        <v>1</v>
      </c>
      <c r="H141" t="s">
        <v>165</v>
      </c>
      <c r="I141">
        <v>1</v>
      </c>
      <c r="K141">
        <v>161.54</v>
      </c>
      <c r="L141">
        <v>1860.38</v>
      </c>
      <c r="M141">
        <v>1860.38</v>
      </c>
      <c r="N141">
        <v>292</v>
      </c>
      <c r="P141">
        <v>1568.38</v>
      </c>
      <c r="Q141">
        <v>1538.46</v>
      </c>
      <c r="AK141">
        <v>161.54</v>
      </c>
      <c r="AP141">
        <v>0</v>
      </c>
      <c r="AQ141">
        <v>47.95</v>
      </c>
      <c r="AR141">
        <v>273.97000000000003</v>
      </c>
      <c r="AS141">
        <v>321.92</v>
      </c>
    </row>
    <row r="142" spans="1:45" x14ac:dyDescent="0.25">
      <c r="A142" t="s">
        <v>111</v>
      </c>
      <c r="B142" t="s">
        <v>112</v>
      </c>
      <c r="C142">
        <v>19058</v>
      </c>
      <c r="D142" t="s">
        <v>279</v>
      </c>
      <c r="G142">
        <v>1</v>
      </c>
      <c r="H142" t="s">
        <v>114</v>
      </c>
      <c r="I142">
        <v>1</v>
      </c>
      <c r="K142">
        <v>153.09</v>
      </c>
      <c r="L142">
        <v>2115.41</v>
      </c>
      <c r="M142">
        <v>2115.41</v>
      </c>
      <c r="N142">
        <v>364</v>
      </c>
      <c r="P142">
        <v>1751.41</v>
      </c>
      <c r="Q142">
        <v>1444.32</v>
      </c>
      <c r="U142">
        <v>367.02</v>
      </c>
      <c r="V142">
        <v>304.07</v>
      </c>
      <c r="AK142">
        <v>151.65</v>
      </c>
      <c r="AL142">
        <v>1.44</v>
      </c>
    </row>
    <row r="143" spans="1:45" x14ac:dyDescent="0.25">
      <c r="A143" t="s">
        <v>111</v>
      </c>
      <c r="B143" t="s">
        <v>112</v>
      </c>
      <c r="C143">
        <v>19060</v>
      </c>
      <c r="D143" t="s">
        <v>283</v>
      </c>
      <c r="G143">
        <v>1</v>
      </c>
      <c r="H143" t="s">
        <v>114</v>
      </c>
      <c r="I143">
        <v>1</v>
      </c>
      <c r="K143">
        <v>103.41</v>
      </c>
      <c r="L143">
        <v>975.49</v>
      </c>
      <c r="M143">
        <v>975.49</v>
      </c>
      <c r="N143">
        <v>58</v>
      </c>
      <c r="P143">
        <v>917.49</v>
      </c>
      <c r="Q143">
        <v>975.49</v>
      </c>
      <c r="AK143">
        <v>102.43</v>
      </c>
      <c r="AL143">
        <v>0.98</v>
      </c>
    </row>
    <row r="144" spans="1:45" x14ac:dyDescent="0.25">
      <c r="A144" t="s">
        <v>111</v>
      </c>
      <c r="B144" t="s">
        <v>112</v>
      </c>
      <c r="C144">
        <v>19061</v>
      </c>
      <c r="D144" t="s">
        <v>284</v>
      </c>
      <c r="G144">
        <v>1</v>
      </c>
      <c r="H144" t="s">
        <v>90</v>
      </c>
      <c r="I144">
        <v>1</v>
      </c>
      <c r="K144">
        <v>233.99</v>
      </c>
      <c r="L144">
        <v>2349.4</v>
      </c>
      <c r="M144">
        <v>2349.4</v>
      </c>
      <c r="N144">
        <v>444</v>
      </c>
      <c r="P144">
        <v>1905.4</v>
      </c>
      <c r="Q144">
        <v>1618.92</v>
      </c>
      <c r="U144">
        <v>141.94</v>
      </c>
      <c r="Y144">
        <v>180.54</v>
      </c>
      <c r="AC144">
        <v>408</v>
      </c>
      <c r="AK144">
        <v>231.78</v>
      </c>
      <c r="AL144">
        <v>2.21</v>
      </c>
    </row>
    <row r="145" spans="1:37" x14ac:dyDescent="0.25">
      <c r="A145" t="s">
        <v>111</v>
      </c>
      <c r="B145" t="s">
        <v>112</v>
      </c>
      <c r="C145">
        <v>44705</v>
      </c>
      <c r="D145" t="s">
        <v>230</v>
      </c>
      <c r="G145">
        <v>1</v>
      </c>
      <c r="H145" t="s">
        <v>116</v>
      </c>
      <c r="I145">
        <v>1</v>
      </c>
      <c r="K145">
        <v>579.52</v>
      </c>
      <c r="L145">
        <v>6365.38</v>
      </c>
      <c r="M145">
        <v>6365.38</v>
      </c>
      <c r="N145">
        <v>1910</v>
      </c>
      <c r="P145">
        <v>4455.38</v>
      </c>
      <c r="Q145">
        <v>5519.23</v>
      </c>
      <c r="AE145">
        <v>846.15</v>
      </c>
      <c r="AK145">
        <v>579.52</v>
      </c>
    </row>
  </sheetData>
  <autoFilter ref="A1:BC145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P145"/>
  <sheetViews>
    <sheetView workbookViewId="0">
      <selection sqref="A1:XFD1048576"/>
    </sheetView>
  </sheetViews>
  <sheetFormatPr defaultRowHeight="15" x14ac:dyDescent="0.25"/>
  <sheetData>
    <row r="1" spans="1:42" x14ac:dyDescent="0.25">
      <c r="A1" t="s">
        <v>74</v>
      </c>
      <c r="B1" t="s">
        <v>75</v>
      </c>
      <c r="C1" t="s">
        <v>76</v>
      </c>
      <c r="D1" t="s">
        <v>77</v>
      </c>
      <c r="E1" t="s">
        <v>78</v>
      </c>
      <c r="F1" t="s">
        <v>79</v>
      </c>
      <c r="G1" t="s">
        <v>80</v>
      </c>
      <c r="H1" t="s">
        <v>81</v>
      </c>
      <c r="I1" t="s">
        <v>82</v>
      </c>
      <c r="J1" t="s">
        <v>83</v>
      </c>
      <c r="K1" t="s">
        <v>84</v>
      </c>
      <c r="L1" t="s">
        <v>85</v>
      </c>
      <c r="M1" t="s">
        <v>86</v>
      </c>
      <c r="N1" t="s">
        <v>87</v>
      </c>
      <c r="O1" t="s">
        <v>88</v>
      </c>
      <c r="P1" t="s">
        <v>89</v>
      </c>
      <c r="Q1" t="s">
        <v>90</v>
      </c>
      <c r="R1" t="s">
        <v>91</v>
      </c>
      <c r="S1" t="s">
        <v>92</v>
      </c>
      <c r="T1" t="s">
        <v>93</v>
      </c>
      <c r="U1" t="s">
        <v>94</v>
      </c>
      <c r="V1" t="s">
        <v>95</v>
      </c>
      <c r="W1" t="s">
        <v>96</v>
      </c>
      <c r="X1" t="s">
        <v>97</v>
      </c>
      <c r="Y1" t="s">
        <v>98</v>
      </c>
      <c r="Z1" t="s">
        <v>251</v>
      </c>
      <c r="AA1" t="s">
        <v>99</v>
      </c>
      <c r="AB1" t="s">
        <v>100</v>
      </c>
      <c r="AC1" t="s">
        <v>101</v>
      </c>
      <c r="AD1" t="s">
        <v>102</v>
      </c>
      <c r="AE1" t="s">
        <v>103</v>
      </c>
      <c r="AF1" t="s">
        <v>264</v>
      </c>
      <c r="AG1" t="s">
        <v>259</v>
      </c>
      <c r="AH1" t="s">
        <v>104</v>
      </c>
      <c r="AI1" t="s">
        <v>105</v>
      </c>
      <c r="AJ1" t="s">
        <v>71</v>
      </c>
      <c r="AK1" t="s">
        <v>106</v>
      </c>
      <c r="AL1" t="s">
        <v>254</v>
      </c>
      <c r="AM1" t="s">
        <v>107</v>
      </c>
      <c r="AN1" t="s">
        <v>108</v>
      </c>
      <c r="AO1" t="s">
        <v>109</v>
      </c>
      <c r="AP1" t="s">
        <v>110</v>
      </c>
    </row>
    <row r="2" spans="1:42" x14ac:dyDescent="0.25">
      <c r="A2" t="s">
        <v>111</v>
      </c>
      <c r="B2" t="s">
        <v>112</v>
      </c>
      <c r="C2">
        <v>18</v>
      </c>
      <c r="D2" t="s">
        <v>113</v>
      </c>
      <c r="G2">
        <v>1</v>
      </c>
      <c r="H2" t="s">
        <v>114</v>
      </c>
      <c r="I2">
        <v>1</v>
      </c>
      <c r="K2">
        <v>113.93</v>
      </c>
      <c r="L2">
        <v>1148.0899999999999</v>
      </c>
      <c r="M2">
        <v>1148.0899999999999</v>
      </c>
      <c r="N2">
        <v>104</v>
      </c>
      <c r="P2">
        <v>1044.0899999999999</v>
      </c>
      <c r="Q2">
        <v>1074.81</v>
      </c>
      <c r="U2">
        <v>73.28</v>
      </c>
      <c r="AH2">
        <v>112.86</v>
      </c>
      <c r="AI2">
        <v>1.07</v>
      </c>
    </row>
    <row r="3" spans="1:42" x14ac:dyDescent="0.25">
      <c r="A3" t="s">
        <v>111</v>
      </c>
      <c r="B3" t="s">
        <v>112</v>
      </c>
      <c r="C3">
        <v>115</v>
      </c>
      <c r="D3" t="s">
        <v>115</v>
      </c>
      <c r="G3">
        <v>1</v>
      </c>
      <c r="H3" t="s">
        <v>116</v>
      </c>
      <c r="I3">
        <v>1</v>
      </c>
      <c r="K3">
        <v>320.08999999999997</v>
      </c>
      <c r="L3">
        <v>3048.46</v>
      </c>
      <c r="M3">
        <v>3048.46</v>
      </c>
      <c r="N3">
        <v>706</v>
      </c>
      <c r="P3">
        <v>2342.46</v>
      </c>
      <c r="Q3">
        <v>3048.46</v>
      </c>
      <c r="AH3">
        <v>320.08999999999997</v>
      </c>
      <c r="AJ3">
        <v>20</v>
      </c>
    </row>
    <row r="4" spans="1:42" x14ac:dyDescent="0.25">
      <c r="A4" t="s">
        <v>111</v>
      </c>
      <c r="B4" t="s">
        <v>112</v>
      </c>
      <c r="C4">
        <v>134</v>
      </c>
      <c r="D4" t="s">
        <v>117</v>
      </c>
      <c r="G4">
        <v>1</v>
      </c>
      <c r="H4" t="s">
        <v>114</v>
      </c>
      <c r="I4">
        <v>1</v>
      </c>
      <c r="K4">
        <v>100.72</v>
      </c>
      <c r="L4">
        <v>1674.35</v>
      </c>
      <c r="M4">
        <v>1674.35</v>
      </c>
      <c r="N4">
        <v>218</v>
      </c>
      <c r="P4">
        <v>1456.35</v>
      </c>
      <c r="Q4">
        <v>950.21</v>
      </c>
      <c r="U4">
        <v>521.42999999999995</v>
      </c>
      <c r="V4">
        <v>202.71</v>
      </c>
      <c r="AH4">
        <v>99.77</v>
      </c>
      <c r="AI4">
        <v>0.95</v>
      </c>
    </row>
    <row r="5" spans="1:42" x14ac:dyDescent="0.25">
      <c r="A5" t="s">
        <v>111</v>
      </c>
      <c r="B5" t="s">
        <v>112</v>
      </c>
      <c r="C5">
        <v>141</v>
      </c>
      <c r="D5" t="s">
        <v>118</v>
      </c>
      <c r="G5">
        <v>1</v>
      </c>
      <c r="H5" t="s">
        <v>114</v>
      </c>
      <c r="I5">
        <v>1</v>
      </c>
      <c r="K5">
        <v>124.69</v>
      </c>
      <c r="L5">
        <v>1176.27</v>
      </c>
      <c r="M5">
        <v>1176.27</v>
      </c>
      <c r="N5">
        <v>120</v>
      </c>
      <c r="P5">
        <v>1056.27</v>
      </c>
      <c r="Q5">
        <v>1176.27</v>
      </c>
      <c r="AH5">
        <v>123.51</v>
      </c>
      <c r="AI5">
        <v>1.18</v>
      </c>
      <c r="AJ5">
        <v>10</v>
      </c>
    </row>
    <row r="6" spans="1:42" x14ac:dyDescent="0.25">
      <c r="A6" t="s">
        <v>111</v>
      </c>
      <c r="B6" t="s">
        <v>112</v>
      </c>
      <c r="C6">
        <v>145</v>
      </c>
      <c r="D6" t="s">
        <v>119</v>
      </c>
      <c r="G6">
        <v>1</v>
      </c>
      <c r="H6" t="s">
        <v>114</v>
      </c>
      <c r="I6">
        <v>1</v>
      </c>
      <c r="K6">
        <v>252.58</v>
      </c>
      <c r="L6">
        <v>2444.27</v>
      </c>
      <c r="M6">
        <v>2444.27</v>
      </c>
      <c r="N6">
        <v>552</v>
      </c>
      <c r="P6">
        <v>1892.27</v>
      </c>
      <c r="Q6">
        <v>2074.06</v>
      </c>
      <c r="U6">
        <v>61.4</v>
      </c>
      <c r="AD6">
        <v>308.81</v>
      </c>
      <c r="AH6">
        <v>250.2</v>
      </c>
      <c r="AI6">
        <v>2.38</v>
      </c>
      <c r="AM6">
        <v>74</v>
      </c>
    </row>
    <row r="7" spans="1:42" x14ac:dyDescent="0.25">
      <c r="A7" t="s">
        <v>111</v>
      </c>
      <c r="B7" t="s">
        <v>112</v>
      </c>
      <c r="C7">
        <v>152</v>
      </c>
      <c r="D7" t="s">
        <v>120</v>
      </c>
      <c r="G7">
        <v>1</v>
      </c>
      <c r="H7" t="s">
        <v>116</v>
      </c>
      <c r="I7">
        <v>1</v>
      </c>
      <c r="K7">
        <v>420</v>
      </c>
      <c r="L7">
        <v>4000</v>
      </c>
      <c r="M7">
        <v>4000</v>
      </c>
      <c r="N7">
        <v>1016</v>
      </c>
      <c r="P7">
        <v>2984</v>
      </c>
      <c r="Q7">
        <v>4000</v>
      </c>
      <c r="AH7">
        <v>420</v>
      </c>
    </row>
    <row r="8" spans="1:42" x14ac:dyDescent="0.25">
      <c r="A8" t="s">
        <v>111</v>
      </c>
      <c r="B8" t="s">
        <v>112</v>
      </c>
      <c r="C8">
        <v>156</v>
      </c>
      <c r="D8" t="s">
        <v>121</v>
      </c>
      <c r="G8">
        <v>1</v>
      </c>
      <c r="H8" t="s">
        <v>114</v>
      </c>
      <c r="I8">
        <v>1</v>
      </c>
      <c r="K8">
        <v>58.5</v>
      </c>
      <c r="L8">
        <v>555.96</v>
      </c>
      <c r="M8">
        <v>555.96</v>
      </c>
      <c r="N8">
        <v>0</v>
      </c>
      <c r="P8">
        <v>555.96</v>
      </c>
      <c r="Q8">
        <v>183.98</v>
      </c>
      <c r="U8">
        <v>4.0199999999999996</v>
      </c>
      <c r="W8">
        <v>367.96</v>
      </c>
      <c r="AH8">
        <v>57.95</v>
      </c>
      <c r="AI8">
        <v>0.55000000000000004</v>
      </c>
    </row>
    <row r="9" spans="1:42" x14ac:dyDescent="0.25">
      <c r="A9" t="s">
        <v>111</v>
      </c>
      <c r="B9" t="s">
        <v>112</v>
      </c>
      <c r="C9">
        <v>220</v>
      </c>
      <c r="D9" t="s">
        <v>122</v>
      </c>
      <c r="G9">
        <v>1</v>
      </c>
      <c r="H9" t="s">
        <v>116</v>
      </c>
      <c r="I9">
        <v>1</v>
      </c>
      <c r="K9">
        <v>363.46</v>
      </c>
      <c r="L9">
        <v>3386.54</v>
      </c>
      <c r="M9">
        <v>3386.54</v>
      </c>
      <c r="N9">
        <v>854</v>
      </c>
      <c r="P9">
        <v>2532.54</v>
      </c>
      <c r="Q9">
        <v>3461.54</v>
      </c>
      <c r="AH9">
        <v>363.46</v>
      </c>
      <c r="AJ9">
        <v>50</v>
      </c>
      <c r="AK9">
        <v>75</v>
      </c>
    </row>
    <row r="10" spans="1:42" x14ac:dyDescent="0.25">
      <c r="A10" t="s">
        <v>111</v>
      </c>
      <c r="B10" t="s">
        <v>112</v>
      </c>
      <c r="C10">
        <v>261</v>
      </c>
      <c r="D10" t="s">
        <v>123</v>
      </c>
      <c r="G10">
        <v>1</v>
      </c>
      <c r="H10" t="s">
        <v>116</v>
      </c>
      <c r="I10">
        <v>1</v>
      </c>
      <c r="K10">
        <v>336</v>
      </c>
      <c r="L10">
        <v>3086.46</v>
      </c>
      <c r="M10">
        <v>3050</v>
      </c>
      <c r="N10">
        <v>688</v>
      </c>
      <c r="O10">
        <v>36.46</v>
      </c>
      <c r="P10">
        <v>2398.46</v>
      </c>
      <c r="Q10">
        <v>3200</v>
      </c>
      <c r="AA10">
        <v>36.46</v>
      </c>
      <c r="AH10">
        <v>336</v>
      </c>
      <c r="AK10">
        <v>150</v>
      </c>
    </row>
    <row r="11" spans="1:42" x14ac:dyDescent="0.25">
      <c r="A11" t="s">
        <v>111</v>
      </c>
      <c r="B11" t="s">
        <v>112</v>
      </c>
      <c r="C11">
        <v>266</v>
      </c>
      <c r="D11" t="s">
        <v>124</v>
      </c>
      <c r="G11">
        <v>1</v>
      </c>
      <c r="H11" t="s">
        <v>116</v>
      </c>
      <c r="I11">
        <v>1</v>
      </c>
      <c r="K11">
        <v>275.63</v>
      </c>
      <c r="L11">
        <v>2625</v>
      </c>
      <c r="M11">
        <v>2625</v>
      </c>
      <c r="N11">
        <v>540</v>
      </c>
      <c r="P11">
        <v>2085</v>
      </c>
      <c r="Q11">
        <v>2625</v>
      </c>
      <c r="AH11">
        <v>275.63</v>
      </c>
    </row>
    <row r="12" spans="1:42" x14ac:dyDescent="0.25">
      <c r="A12" t="s">
        <v>111</v>
      </c>
      <c r="B12" t="s">
        <v>112</v>
      </c>
      <c r="C12">
        <v>302</v>
      </c>
      <c r="D12" t="s">
        <v>125</v>
      </c>
      <c r="G12">
        <v>1</v>
      </c>
      <c r="H12" t="s">
        <v>90</v>
      </c>
      <c r="I12">
        <v>1</v>
      </c>
      <c r="L12">
        <v>1624.9</v>
      </c>
      <c r="M12">
        <v>1624.9</v>
      </c>
      <c r="N12">
        <v>206</v>
      </c>
      <c r="P12">
        <v>1418.9</v>
      </c>
      <c r="Z12">
        <v>0</v>
      </c>
      <c r="AG12">
        <v>1624.9</v>
      </c>
    </row>
    <row r="13" spans="1:42" x14ac:dyDescent="0.25">
      <c r="A13" t="s">
        <v>111</v>
      </c>
      <c r="B13" t="s">
        <v>112</v>
      </c>
      <c r="C13">
        <v>18442</v>
      </c>
      <c r="D13" t="s">
        <v>126</v>
      </c>
      <c r="G13">
        <v>1</v>
      </c>
      <c r="H13" t="s">
        <v>116</v>
      </c>
      <c r="I13">
        <v>1</v>
      </c>
      <c r="K13">
        <v>266.54000000000002</v>
      </c>
      <c r="L13">
        <v>2574.92</v>
      </c>
      <c r="M13">
        <v>2538.46</v>
      </c>
      <c r="N13">
        <v>510</v>
      </c>
      <c r="O13">
        <v>36.46</v>
      </c>
      <c r="P13">
        <v>2064.92</v>
      </c>
      <c r="Q13">
        <v>1776.92</v>
      </c>
      <c r="W13">
        <v>761.54</v>
      </c>
      <c r="AA13">
        <v>36.46</v>
      </c>
      <c r="AH13">
        <v>266.54000000000002</v>
      </c>
    </row>
    <row r="14" spans="1:42" x14ac:dyDescent="0.25">
      <c r="A14" t="s">
        <v>111</v>
      </c>
      <c r="B14" t="s">
        <v>112</v>
      </c>
      <c r="C14">
        <v>18506</v>
      </c>
      <c r="D14" t="s">
        <v>239</v>
      </c>
      <c r="G14">
        <v>1</v>
      </c>
      <c r="H14" t="s">
        <v>114</v>
      </c>
      <c r="I14">
        <v>1</v>
      </c>
      <c r="K14">
        <v>74.430000000000007</v>
      </c>
      <c r="L14">
        <v>740.27</v>
      </c>
      <c r="M14">
        <v>740.27</v>
      </c>
      <c r="N14">
        <v>4</v>
      </c>
      <c r="P14">
        <v>736.27</v>
      </c>
      <c r="Q14">
        <v>702.23</v>
      </c>
      <c r="U14">
        <v>38.04</v>
      </c>
      <c r="AH14">
        <v>73.73</v>
      </c>
      <c r="AI14">
        <v>0.7</v>
      </c>
    </row>
    <row r="15" spans="1:42" x14ac:dyDescent="0.25">
      <c r="A15" t="s">
        <v>111</v>
      </c>
      <c r="B15" t="s">
        <v>112</v>
      </c>
      <c r="C15">
        <v>18517</v>
      </c>
      <c r="D15" t="s">
        <v>127</v>
      </c>
      <c r="G15">
        <v>1</v>
      </c>
      <c r="H15" t="s">
        <v>116</v>
      </c>
      <c r="I15">
        <v>1</v>
      </c>
      <c r="K15">
        <v>597.69000000000005</v>
      </c>
      <c r="L15">
        <v>5656.54</v>
      </c>
      <c r="M15">
        <v>5656.54</v>
      </c>
      <c r="N15">
        <v>1634</v>
      </c>
      <c r="P15">
        <v>4022.54</v>
      </c>
      <c r="Q15">
        <v>5692.31</v>
      </c>
      <c r="AB15">
        <v>230.77</v>
      </c>
      <c r="AH15">
        <v>597.69000000000005</v>
      </c>
      <c r="AL15">
        <v>266.54000000000002</v>
      </c>
    </row>
    <row r="16" spans="1:42" x14ac:dyDescent="0.25">
      <c r="A16" t="s">
        <v>111</v>
      </c>
      <c r="B16" t="s">
        <v>112</v>
      </c>
      <c r="C16">
        <v>18550</v>
      </c>
      <c r="D16" t="s">
        <v>128</v>
      </c>
      <c r="G16">
        <v>1</v>
      </c>
      <c r="H16" t="s">
        <v>116</v>
      </c>
      <c r="I16">
        <v>1</v>
      </c>
      <c r="K16">
        <v>282.08999999999997</v>
      </c>
      <c r="L16">
        <v>1906.54</v>
      </c>
      <c r="M16">
        <v>1906.54</v>
      </c>
      <c r="N16">
        <v>290</v>
      </c>
      <c r="P16">
        <v>1616.54</v>
      </c>
      <c r="Q16">
        <v>2686.54</v>
      </c>
      <c r="AH16">
        <v>282.08999999999997</v>
      </c>
      <c r="AK16">
        <v>780</v>
      </c>
    </row>
    <row r="17" spans="1:39" x14ac:dyDescent="0.25">
      <c r="A17" t="s">
        <v>111</v>
      </c>
      <c r="B17" t="s">
        <v>112</v>
      </c>
      <c r="C17">
        <v>18559</v>
      </c>
      <c r="D17" t="s">
        <v>129</v>
      </c>
      <c r="G17">
        <v>1</v>
      </c>
      <c r="H17" t="s">
        <v>116</v>
      </c>
      <c r="I17">
        <v>1</v>
      </c>
      <c r="K17">
        <v>424.04</v>
      </c>
      <c r="L17">
        <v>4038.47</v>
      </c>
      <c r="M17">
        <v>4038.47</v>
      </c>
      <c r="N17">
        <v>1028</v>
      </c>
      <c r="P17">
        <v>3010.47</v>
      </c>
      <c r="Q17">
        <v>4038.47</v>
      </c>
      <c r="AH17">
        <v>424.04</v>
      </c>
    </row>
    <row r="18" spans="1:39" x14ac:dyDescent="0.25">
      <c r="A18" t="s">
        <v>111</v>
      </c>
      <c r="B18" t="s">
        <v>112</v>
      </c>
      <c r="C18">
        <v>18561</v>
      </c>
      <c r="D18" t="s">
        <v>130</v>
      </c>
      <c r="G18">
        <v>1</v>
      </c>
      <c r="H18" t="s">
        <v>114</v>
      </c>
      <c r="I18">
        <v>1</v>
      </c>
      <c r="K18">
        <v>266.06</v>
      </c>
      <c r="L18">
        <v>2650.71</v>
      </c>
      <c r="M18">
        <v>2650.71</v>
      </c>
      <c r="N18">
        <v>550</v>
      </c>
      <c r="P18">
        <v>2100.71</v>
      </c>
      <c r="Q18">
        <v>2410.73</v>
      </c>
      <c r="U18">
        <v>140.68</v>
      </c>
      <c r="X18">
        <v>99.3</v>
      </c>
      <c r="AH18">
        <v>263.55</v>
      </c>
      <c r="AI18">
        <v>2.5099999999999998</v>
      </c>
    </row>
    <row r="19" spans="1:39" x14ac:dyDescent="0.25">
      <c r="A19" t="s">
        <v>111</v>
      </c>
      <c r="B19" t="s">
        <v>112</v>
      </c>
      <c r="C19">
        <v>18581</v>
      </c>
      <c r="D19" t="s">
        <v>131</v>
      </c>
      <c r="G19">
        <v>1</v>
      </c>
      <c r="H19" t="s">
        <v>116</v>
      </c>
      <c r="I19">
        <v>1</v>
      </c>
      <c r="K19">
        <v>332.07</v>
      </c>
      <c r="L19">
        <v>3162.6</v>
      </c>
      <c r="M19">
        <v>3162.6</v>
      </c>
      <c r="N19">
        <v>726</v>
      </c>
      <c r="P19">
        <v>2436.6</v>
      </c>
      <c r="Q19">
        <v>2530.08</v>
      </c>
      <c r="W19">
        <v>632.52</v>
      </c>
      <c r="AH19">
        <v>332.07</v>
      </c>
    </row>
    <row r="20" spans="1:39" x14ac:dyDescent="0.25">
      <c r="A20" t="s">
        <v>111</v>
      </c>
      <c r="B20" t="s">
        <v>112</v>
      </c>
      <c r="C20">
        <v>18589</v>
      </c>
      <c r="D20" t="s">
        <v>132</v>
      </c>
      <c r="G20">
        <v>1</v>
      </c>
      <c r="H20" t="s">
        <v>90</v>
      </c>
      <c r="I20">
        <v>1</v>
      </c>
      <c r="K20">
        <v>282.86</v>
      </c>
      <c r="L20">
        <v>2800.94</v>
      </c>
      <c r="M20">
        <v>2697.74</v>
      </c>
      <c r="N20">
        <v>566</v>
      </c>
      <c r="O20">
        <v>103.2</v>
      </c>
      <c r="P20">
        <v>2234.94</v>
      </c>
      <c r="Q20">
        <v>1778.99</v>
      </c>
      <c r="T20">
        <v>889.49</v>
      </c>
      <c r="V20">
        <v>29.26</v>
      </c>
      <c r="AF20">
        <v>103.2</v>
      </c>
      <c r="AH20">
        <v>280.19</v>
      </c>
      <c r="AI20">
        <v>2.67</v>
      </c>
    </row>
    <row r="21" spans="1:39" x14ac:dyDescent="0.25">
      <c r="A21" t="s">
        <v>111</v>
      </c>
      <c r="B21" t="s">
        <v>112</v>
      </c>
      <c r="C21">
        <v>18607</v>
      </c>
      <c r="D21" t="s">
        <v>133</v>
      </c>
      <c r="G21">
        <v>1</v>
      </c>
      <c r="H21" t="s">
        <v>114</v>
      </c>
      <c r="I21">
        <v>1</v>
      </c>
      <c r="K21">
        <v>141.07</v>
      </c>
      <c r="L21">
        <v>1995.76</v>
      </c>
      <c r="M21">
        <v>1995.76</v>
      </c>
      <c r="N21">
        <v>322</v>
      </c>
      <c r="P21">
        <v>1673.76</v>
      </c>
      <c r="Q21">
        <v>1330.83</v>
      </c>
      <c r="U21">
        <v>404.52</v>
      </c>
      <c r="V21">
        <v>260.41000000000003</v>
      </c>
      <c r="AH21">
        <v>139.74</v>
      </c>
      <c r="AI21">
        <v>1.33</v>
      </c>
    </row>
    <row r="22" spans="1:39" x14ac:dyDescent="0.25">
      <c r="A22" t="s">
        <v>111</v>
      </c>
      <c r="B22" t="s">
        <v>112</v>
      </c>
      <c r="C22">
        <v>18619</v>
      </c>
      <c r="D22" t="s">
        <v>134</v>
      </c>
      <c r="G22">
        <v>1</v>
      </c>
      <c r="H22" t="s">
        <v>116</v>
      </c>
      <c r="I22">
        <v>1</v>
      </c>
      <c r="K22">
        <v>266.13</v>
      </c>
      <c r="L22">
        <v>2534.61</v>
      </c>
      <c r="M22">
        <v>2534.61</v>
      </c>
      <c r="N22">
        <v>510</v>
      </c>
      <c r="P22">
        <v>2024.61</v>
      </c>
      <c r="Q22">
        <v>2281.15</v>
      </c>
      <c r="X22">
        <v>253.46</v>
      </c>
      <c r="AH22">
        <v>266.13</v>
      </c>
    </row>
    <row r="23" spans="1:39" x14ac:dyDescent="0.25">
      <c r="A23" t="s">
        <v>111</v>
      </c>
      <c r="B23" t="s">
        <v>112</v>
      </c>
      <c r="C23">
        <v>18626</v>
      </c>
      <c r="D23" t="s">
        <v>135</v>
      </c>
      <c r="G23">
        <v>1</v>
      </c>
      <c r="H23" t="s">
        <v>116</v>
      </c>
      <c r="I23">
        <v>1</v>
      </c>
      <c r="K23">
        <v>403.85</v>
      </c>
      <c r="L23">
        <v>3846.15</v>
      </c>
      <c r="M23">
        <v>3846.15</v>
      </c>
      <c r="N23">
        <v>962</v>
      </c>
      <c r="P23">
        <v>2884.15</v>
      </c>
      <c r="Q23">
        <v>3846.15</v>
      </c>
      <c r="AH23">
        <v>403.85</v>
      </c>
    </row>
    <row r="24" spans="1:39" x14ac:dyDescent="0.25">
      <c r="A24" t="s">
        <v>111</v>
      </c>
      <c r="B24" t="s">
        <v>112</v>
      </c>
      <c r="C24">
        <v>18631</v>
      </c>
      <c r="D24" t="s">
        <v>136</v>
      </c>
      <c r="G24">
        <v>1</v>
      </c>
      <c r="H24" t="s">
        <v>114</v>
      </c>
      <c r="I24">
        <v>1</v>
      </c>
      <c r="K24">
        <v>149.85</v>
      </c>
      <c r="L24">
        <v>1470.08</v>
      </c>
      <c r="M24">
        <v>1433.62</v>
      </c>
      <c r="N24">
        <v>164</v>
      </c>
      <c r="O24">
        <v>36.46</v>
      </c>
      <c r="P24">
        <v>1306.08</v>
      </c>
      <c r="Q24">
        <v>807.82</v>
      </c>
      <c r="S24">
        <v>605.87</v>
      </c>
      <c r="U24">
        <v>19.93</v>
      </c>
      <c r="AA24">
        <v>36.46</v>
      </c>
      <c r="AH24">
        <v>148.44</v>
      </c>
      <c r="AI24">
        <v>1.41</v>
      </c>
    </row>
    <row r="25" spans="1:39" x14ac:dyDescent="0.25">
      <c r="A25" t="s">
        <v>111</v>
      </c>
      <c r="B25" t="s">
        <v>112</v>
      </c>
      <c r="C25">
        <v>18634</v>
      </c>
      <c r="D25" t="s">
        <v>137</v>
      </c>
      <c r="G25">
        <v>1</v>
      </c>
      <c r="H25" t="s">
        <v>114</v>
      </c>
      <c r="I25">
        <v>1</v>
      </c>
      <c r="K25">
        <v>51.4</v>
      </c>
      <c r="L25">
        <v>484.97</v>
      </c>
      <c r="M25">
        <v>484.97</v>
      </c>
      <c r="N25">
        <v>0</v>
      </c>
      <c r="P25">
        <v>484.97</v>
      </c>
      <c r="W25">
        <v>484.97</v>
      </c>
      <c r="Y25">
        <v>0</v>
      </c>
      <c r="AH25">
        <v>50.92</v>
      </c>
      <c r="AI25">
        <v>0.48</v>
      </c>
    </row>
    <row r="26" spans="1:39" x14ac:dyDescent="0.25">
      <c r="A26" t="s">
        <v>111</v>
      </c>
      <c r="B26" t="s">
        <v>112</v>
      </c>
      <c r="C26">
        <v>18646</v>
      </c>
      <c r="D26" t="s">
        <v>138</v>
      </c>
      <c r="G26">
        <v>1</v>
      </c>
      <c r="H26" t="s">
        <v>114</v>
      </c>
      <c r="I26">
        <v>1</v>
      </c>
      <c r="K26">
        <v>262.72000000000003</v>
      </c>
      <c r="L26">
        <v>3255.89</v>
      </c>
      <c r="M26">
        <v>3255.89</v>
      </c>
      <c r="N26">
        <v>938</v>
      </c>
      <c r="P26">
        <v>2317.89</v>
      </c>
      <c r="Q26">
        <v>796.65</v>
      </c>
      <c r="S26">
        <v>720.78</v>
      </c>
      <c r="T26">
        <v>961.04</v>
      </c>
      <c r="U26">
        <v>187.31</v>
      </c>
      <c r="V26">
        <v>590.11</v>
      </c>
      <c r="AH26">
        <v>260.24</v>
      </c>
      <c r="AI26">
        <v>2.48</v>
      </c>
      <c r="AM26">
        <v>180</v>
      </c>
    </row>
    <row r="27" spans="1:39" x14ac:dyDescent="0.25">
      <c r="A27" t="s">
        <v>111</v>
      </c>
      <c r="B27" t="s">
        <v>112</v>
      </c>
      <c r="C27">
        <v>18649</v>
      </c>
      <c r="D27" t="s">
        <v>139</v>
      </c>
      <c r="G27">
        <v>1</v>
      </c>
      <c r="H27" t="s">
        <v>116</v>
      </c>
      <c r="I27">
        <v>1</v>
      </c>
      <c r="K27">
        <v>334.38</v>
      </c>
      <c r="L27">
        <v>3221.07</v>
      </c>
      <c r="M27">
        <v>3184.61</v>
      </c>
      <c r="N27">
        <v>834</v>
      </c>
      <c r="O27">
        <v>36.46</v>
      </c>
      <c r="P27">
        <v>2387.0700000000002</v>
      </c>
      <c r="Q27">
        <v>3184.61</v>
      </c>
      <c r="AA27">
        <v>36.46</v>
      </c>
      <c r="AH27">
        <v>334.38</v>
      </c>
      <c r="AJ27">
        <v>100</v>
      </c>
    </row>
    <row r="28" spans="1:39" x14ac:dyDescent="0.25">
      <c r="A28" t="s">
        <v>111</v>
      </c>
      <c r="B28" t="s">
        <v>112</v>
      </c>
      <c r="C28">
        <v>18650</v>
      </c>
      <c r="D28" t="s">
        <v>140</v>
      </c>
      <c r="G28">
        <v>1</v>
      </c>
      <c r="H28" t="s">
        <v>114</v>
      </c>
      <c r="I28">
        <v>1</v>
      </c>
      <c r="K28">
        <v>194.53</v>
      </c>
      <c r="L28">
        <v>1836.64</v>
      </c>
      <c r="M28">
        <v>1836.64</v>
      </c>
      <c r="N28">
        <v>266</v>
      </c>
      <c r="P28">
        <v>1570.64</v>
      </c>
      <c r="Q28">
        <v>1835.11</v>
      </c>
      <c r="U28">
        <v>1.53</v>
      </c>
      <c r="AH28">
        <v>192.69</v>
      </c>
      <c r="AI28">
        <v>1.84</v>
      </c>
    </row>
    <row r="29" spans="1:39" x14ac:dyDescent="0.25">
      <c r="A29" t="s">
        <v>111</v>
      </c>
      <c r="B29" t="s">
        <v>112</v>
      </c>
      <c r="C29">
        <v>18659</v>
      </c>
      <c r="D29" t="s">
        <v>141</v>
      </c>
      <c r="G29">
        <v>1</v>
      </c>
      <c r="H29" t="s">
        <v>114</v>
      </c>
      <c r="I29">
        <v>1</v>
      </c>
      <c r="K29">
        <v>250.44</v>
      </c>
      <c r="L29">
        <v>2698.43</v>
      </c>
      <c r="M29">
        <v>2698.43</v>
      </c>
      <c r="N29">
        <v>660</v>
      </c>
      <c r="P29">
        <v>2038.43</v>
      </c>
      <c r="Q29">
        <v>2126.41</v>
      </c>
      <c r="U29">
        <v>335.75</v>
      </c>
      <c r="W29">
        <v>236.27</v>
      </c>
      <c r="AH29">
        <v>248.08</v>
      </c>
      <c r="AI29">
        <v>2.36</v>
      </c>
      <c r="AM29">
        <v>94</v>
      </c>
    </row>
    <row r="30" spans="1:39" x14ac:dyDescent="0.25">
      <c r="A30" t="s">
        <v>111</v>
      </c>
      <c r="B30" t="s">
        <v>112</v>
      </c>
      <c r="C30">
        <v>18679</v>
      </c>
      <c r="D30" t="s">
        <v>142</v>
      </c>
      <c r="G30">
        <v>1</v>
      </c>
      <c r="H30" t="s">
        <v>114</v>
      </c>
      <c r="I30">
        <v>1</v>
      </c>
      <c r="K30">
        <v>185.03</v>
      </c>
      <c r="L30">
        <v>1750.13</v>
      </c>
      <c r="M30">
        <v>1750.13</v>
      </c>
      <c r="N30">
        <v>236</v>
      </c>
      <c r="P30">
        <v>1514.13</v>
      </c>
      <c r="Q30">
        <v>1745.53</v>
      </c>
      <c r="U30">
        <v>4.5999999999999996</v>
      </c>
      <c r="AH30">
        <v>183.28</v>
      </c>
      <c r="AI30">
        <v>1.75</v>
      </c>
    </row>
    <row r="31" spans="1:39" x14ac:dyDescent="0.25">
      <c r="A31" t="s">
        <v>111</v>
      </c>
      <c r="B31" t="s">
        <v>112</v>
      </c>
      <c r="C31">
        <v>18687</v>
      </c>
      <c r="D31" t="s">
        <v>143</v>
      </c>
      <c r="G31">
        <v>1</v>
      </c>
      <c r="H31" t="s">
        <v>114</v>
      </c>
      <c r="I31">
        <v>1</v>
      </c>
      <c r="K31">
        <v>240.44</v>
      </c>
      <c r="L31">
        <v>2671.17</v>
      </c>
      <c r="M31">
        <v>2671.17</v>
      </c>
      <c r="N31">
        <v>556</v>
      </c>
      <c r="P31">
        <v>2115.17</v>
      </c>
      <c r="Q31">
        <v>2268.2600000000002</v>
      </c>
      <c r="U31">
        <v>402.91</v>
      </c>
      <c r="AH31">
        <v>238.17</v>
      </c>
      <c r="AI31">
        <v>2.27</v>
      </c>
    </row>
    <row r="32" spans="1:39" x14ac:dyDescent="0.25">
      <c r="A32" t="s">
        <v>111</v>
      </c>
      <c r="B32" t="s">
        <v>112</v>
      </c>
      <c r="C32">
        <v>18703</v>
      </c>
      <c r="D32" t="s">
        <v>144</v>
      </c>
      <c r="G32">
        <v>1</v>
      </c>
      <c r="H32" t="s">
        <v>114</v>
      </c>
      <c r="I32">
        <v>1</v>
      </c>
      <c r="K32">
        <v>253.17</v>
      </c>
      <c r="L32">
        <v>2461.0700000000002</v>
      </c>
      <c r="M32">
        <v>2461.0700000000002</v>
      </c>
      <c r="N32">
        <v>558</v>
      </c>
      <c r="P32">
        <v>1903.07</v>
      </c>
      <c r="Q32">
        <v>2148.1</v>
      </c>
      <c r="U32">
        <v>72.709999999999994</v>
      </c>
      <c r="X32">
        <v>240.26</v>
      </c>
      <c r="AH32">
        <v>250.78</v>
      </c>
      <c r="AI32">
        <v>2.39</v>
      </c>
      <c r="AM32">
        <v>74</v>
      </c>
    </row>
    <row r="33" spans="1:39" x14ac:dyDescent="0.25">
      <c r="A33" t="s">
        <v>111</v>
      </c>
      <c r="B33" t="s">
        <v>112</v>
      </c>
      <c r="C33">
        <v>18713</v>
      </c>
      <c r="D33" t="s">
        <v>145</v>
      </c>
      <c r="G33">
        <v>1</v>
      </c>
      <c r="H33" t="s">
        <v>116</v>
      </c>
      <c r="I33">
        <v>1</v>
      </c>
      <c r="K33">
        <v>342.8</v>
      </c>
      <c r="L33">
        <v>3531.95</v>
      </c>
      <c r="M33">
        <v>3495.49</v>
      </c>
      <c r="N33">
        <v>840</v>
      </c>
      <c r="O33">
        <v>36.46</v>
      </c>
      <c r="P33">
        <v>2691.95</v>
      </c>
      <c r="Q33">
        <v>3264.73</v>
      </c>
      <c r="AA33">
        <v>36.46</v>
      </c>
      <c r="AB33">
        <v>230.76</v>
      </c>
      <c r="AH33">
        <v>342.8</v>
      </c>
    </row>
    <row r="34" spans="1:39" x14ac:dyDescent="0.25">
      <c r="A34" t="s">
        <v>111</v>
      </c>
      <c r="B34" t="s">
        <v>112</v>
      </c>
      <c r="C34">
        <v>18716</v>
      </c>
      <c r="D34" t="s">
        <v>146</v>
      </c>
      <c r="G34">
        <v>1</v>
      </c>
      <c r="H34" t="s">
        <v>116</v>
      </c>
      <c r="I34">
        <v>1</v>
      </c>
      <c r="K34">
        <v>597.69000000000005</v>
      </c>
      <c r="L34">
        <v>6384.62</v>
      </c>
      <c r="M34">
        <v>6384.62</v>
      </c>
      <c r="N34">
        <v>1918</v>
      </c>
      <c r="P34">
        <v>4466.62</v>
      </c>
      <c r="Q34">
        <v>5407.69</v>
      </c>
      <c r="W34">
        <v>284.62</v>
      </c>
      <c r="AB34">
        <v>692.31</v>
      </c>
      <c r="AH34">
        <v>597.69000000000005</v>
      </c>
    </row>
    <row r="35" spans="1:39" x14ac:dyDescent="0.25">
      <c r="A35" t="s">
        <v>111</v>
      </c>
      <c r="B35" t="s">
        <v>112</v>
      </c>
      <c r="C35">
        <v>18721</v>
      </c>
      <c r="D35" t="s">
        <v>147</v>
      </c>
      <c r="G35">
        <v>1</v>
      </c>
      <c r="H35" t="s">
        <v>116</v>
      </c>
      <c r="I35">
        <v>1</v>
      </c>
      <c r="K35">
        <v>315</v>
      </c>
      <c r="L35">
        <v>3000</v>
      </c>
      <c r="M35">
        <v>3000</v>
      </c>
      <c r="N35">
        <v>670</v>
      </c>
      <c r="P35">
        <v>2330</v>
      </c>
      <c r="Q35">
        <v>900</v>
      </c>
      <c r="W35">
        <v>2100</v>
      </c>
      <c r="AH35">
        <v>315</v>
      </c>
    </row>
    <row r="36" spans="1:39" x14ac:dyDescent="0.25">
      <c r="A36" t="s">
        <v>111</v>
      </c>
      <c r="B36" t="s">
        <v>112</v>
      </c>
      <c r="C36">
        <v>18733</v>
      </c>
      <c r="D36" t="s">
        <v>148</v>
      </c>
      <c r="G36">
        <v>1</v>
      </c>
      <c r="H36" t="s">
        <v>114</v>
      </c>
      <c r="I36">
        <v>1</v>
      </c>
      <c r="K36">
        <v>232.88</v>
      </c>
      <c r="L36">
        <v>2436.11</v>
      </c>
      <c r="M36">
        <v>2436.11</v>
      </c>
      <c r="N36">
        <v>476</v>
      </c>
      <c r="P36">
        <v>1960.11</v>
      </c>
      <c r="Q36">
        <v>2196.91</v>
      </c>
      <c r="U36">
        <v>239.2</v>
      </c>
      <c r="AH36">
        <v>230.68</v>
      </c>
      <c r="AI36">
        <v>2.2000000000000002</v>
      </c>
    </row>
    <row r="37" spans="1:39" x14ac:dyDescent="0.25">
      <c r="A37" t="s">
        <v>111</v>
      </c>
      <c r="B37" t="s">
        <v>112</v>
      </c>
      <c r="C37">
        <v>18736</v>
      </c>
      <c r="D37" t="s">
        <v>149</v>
      </c>
      <c r="G37">
        <v>1</v>
      </c>
      <c r="H37" t="s">
        <v>114</v>
      </c>
      <c r="I37">
        <v>1</v>
      </c>
      <c r="K37">
        <v>241.98</v>
      </c>
      <c r="L37">
        <v>3496.33</v>
      </c>
      <c r="M37">
        <v>3496.33</v>
      </c>
      <c r="N37">
        <v>842</v>
      </c>
      <c r="P37">
        <v>2654.33</v>
      </c>
      <c r="Q37">
        <v>1597.99</v>
      </c>
      <c r="U37">
        <v>630.79</v>
      </c>
      <c r="V37">
        <v>582.71</v>
      </c>
      <c r="W37">
        <v>684.84</v>
      </c>
      <c r="AH37">
        <v>239.7</v>
      </c>
      <c r="AI37">
        <v>2.2799999999999998</v>
      </c>
    </row>
    <row r="38" spans="1:39" x14ac:dyDescent="0.25">
      <c r="A38" t="s">
        <v>111</v>
      </c>
      <c r="B38" t="s">
        <v>112</v>
      </c>
      <c r="C38">
        <v>18741</v>
      </c>
      <c r="D38" t="s">
        <v>150</v>
      </c>
      <c r="G38">
        <v>1</v>
      </c>
      <c r="H38" t="s">
        <v>116</v>
      </c>
      <c r="I38">
        <v>1</v>
      </c>
      <c r="K38">
        <v>373.56</v>
      </c>
      <c r="L38">
        <v>3557.69</v>
      </c>
      <c r="M38">
        <v>3557.69</v>
      </c>
      <c r="N38">
        <v>862</v>
      </c>
      <c r="P38">
        <v>2695.69</v>
      </c>
      <c r="Q38">
        <v>3201.92</v>
      </c>
      <c r="X38">
        <v>355.77</v>
      </c>
      <c r="AH38">
        <v>373.56</v>
      </c>
    </row>
    <row r="39" spans="1:39" x14ac:dyDescent="0.25">
      <c r="A39" t="s">
        <v>111</v>
      </c>
      <c r="B39" t="s">
        <v>112</v>
      </c>
      <c r="C39">
        <v>18781</v>
      </c>
      <c r="D39" t="s">
        <v>151</v>
      </c>
      <c r="G39">
        <v>1</v>
      </c>
      <c r="H39" t="s">
        <v>114</v>
      </c>
      <c r="I39">
        <v>1</v>
      </c>
      <c r="K39">
        <v>272.01</v>
      </c>
      <c r="L39">
        <v>2566.1</v>
      </c>
      <c r="M39">
        <v>2566.1</v>
      </c>
      <c r="N39">
        <v>520</v>
      </c>
      <c r="P39">
        <v>2046.1</v>
      </c>
      <c r="W39">
        <v>769.83</v>
      </c>
      <c r="X39">
        <v>1796.27</v>
      </c>
      <c r="AH39">
        <v>269.44</v>
      </c>
      <c r="AI39">
        <v>2.57</v>
      </c>
    </row>
    <row r="40" spans="1:39" x14ac:dyDescent="0.25">
      <c r="A40" t="s">
        <v>111</v>
      </c>
      <c r="B40" t="s">
        <v>112</v>
      </c>
      <c r="C40">
        <v>18792</v>
      </c>
      <c r="D40" t="s">
        <v>152</v>
      </c>
      <c r="G40">
        <v>1</v>
      </c>
      <c r="H40" t="s">
        <v>114</v>
      </c>
      <c r="I40">
        <v>1</v>
      </c>
      <c r="K40">
        <v>214.07</v>
      </c>
      <c r="L40">
        <v>2208.23</v>
      </c>
      <c r="M40">
        <v>2208.23</v>
      </c>
      <c r="N40">
        <v>396</v>
      </c>
      <c r="P40">
        <v>1812.23</v>
      </c>
      <c r="Q40">
        <v>1817.6</v>
      </c>
      <c r="U40">
        <v>188.67</v>
      </c>
      <c r="X40">
        <v>201.96</v>
      </c>
      <c r="AH40">
        <v>212.05</v>
      </c>
      <c r="AI40">
        <v>2.02</v>
      </c>
    </row>
    <row r="41" spans="1:39" x14ac:dyDescent="0.25">
      <c r="A41" t="s">
        <v>111</v>
      </c>
      <c r="B41" t="s">
        <v>112</v>
      </c>
      <c r="C41">
        <v>18793</v>
      </c>
      <c r="D41" t="s">
        <v>273</v>
      </c>
      <c r="G41">
        <v>1</v>
      </c>
      <c r="H41" t="s">
        <v>114</v>
      </c>
      <c r="I41">
        <v>1</v>
      </c>
      <c r="K41">
        <v>75.400000000000006</v>
      </c>
      <c r="L41">
        <v>711.3</v>
      </c>
      <c r="M41">
        <v>711.3</v>
      </c>
      <c r="N41">
        <v>160</v>
      </c>
      <c r="P41">
        <v>551.29999999999995</v>
      </c>
      <c r="T41">
        <v>711.3</v>
      </c>
      <c r="AH41">
        <v>74.69</v>
      </c>
      <c r="AI41">
        <v>0.71</v>
      </c>
    </row>
    <row r="42" spans="1:39" x14ac:dyDescent="0.25">
      <c r="A42" t="s">
        <v>111</v>
      </c>
      <c r="B42" t="s">
        <v>112</v>
      </c>
      <c r="C42">
        <v>18797</v>
      </c>
      <c r="D42" t="s">
        <v>153</v>
      </c>
      <c r="G42">
        <v>1</v>
      </c>
      <c r="H42" t="s">
        <v>114</v>
      </c>
      <c r="I42">
        <v>1</v>
      </c>
      <c r="K42">
        <v>263.64</v>
      </c>
      <c r="L42">
        <v>3102.94</v>
      </c>
      <c r="M42">
        <v>3102.94</v>
      </c>
      <c r="N42">
        <v>706</v>
      </c>
      <c r="P42">
        <v>2396.94</v>
      </c>
      <c r="Q42">
        <v>1806.65</v>
      </c>
      <c r="S42">
        <v>680.48</v>
      </c>
      <c r="U42">
        <v>584.97</v>
      </c>
      <c r="V42">
        <v>30.84</v>
      </c>
      <c r="AH42">
        <v>261.14999999999998</v>
      </c>
      <c r="AI42">
        <v>2.4900000000000002</v>
      </c>
    </row>
    <row r="43" spans="1:39" x14ac:dyDescent="0.25">
      <c r="A43" t="s">
        <v>111</v>
      </c>
      <c r="B43" t="s">
        <v>112</v>
      </c>
      <c r="C43">
        <v>18805</v>
      </c>
      <c r="D43" t="s">
        <v>154</v>
      </c>
      <c r="G43">
        <v>1</v>
      </c>
      <c r="H43" t="s">
        <v>116</v>
      </c>
      <c r="I43">
        <v>1</v>
      </c>
      <c r="K43">
        <v>254.42</v>
      </c>
      <c r="L43">
        <v>2423.08</v>
      </c>
      <c r="M43">
        <v>2423.08</v>
      </c>
      <c r="N43">
        <v>470</v>
      </c>
      <c r="P43">
        <v>1953.08</v>
      </c>
      <c r="Q43">
        <v>2423.08</v>
      </c>
      <c r="AH43">
        <v>254.42</v>
      </c>
    </row>
    <row r="44" spans="1:39" x14ac:dyDescent="0.25">
      <c r="A44" t="s">
        <v>111</v>
      </c>
      <c r="B44" t="s">
        <v>112</v>
      </c>
      <c r="C44">
        <v>18823</v>
      </c>
      <c r="D44" t="s">
        <v>155</v>
      </c>
      <c r="G44">
        <v>1</v>
      </c>
      <c r="H44" t="s">
        <v>114</v>
      </c>
      <c r="I44">
        <v>1</v>
      </c>
      <c r="K44">
        <v>259.77</v>
      </c>
      <c r="L44">
        <v>2718.81</v>
      </c>
      <c r="M44">
        <v>2682.35</v>
      </c>
      <c r="N44">
        <v>654</v>
      </c>
      <c r="O44">
        <v>36.46</v>
      </c>
      <c r="P44">
        <v>2064.81</v>
      </c>
      <c r="Q44">
        <v>1338.85</v>
      </c>
      <c r="T44">
        <v>888.65</v>
      </c>
      <c r="U44">
        <v>168.1</v>
      </c>
      <c r="V44">
        <v>63.61</v>
      </c>
      <c r="W44">
        <v>223.14</v>
      </c>
      <c r="Y44">
        <v>0</v>
      </c>
      <c r="AA44">
        <v>36.46</v>
      </c>
      <c r="AH44">
        <v>257.32</v>
      </c>
      <c r="AI44">
        <v>2.4500000000000002</v>
      </c>
      <c r="AM44">
        <v>94</v>
      </c>
    </row>
    <row r="45" spans="1:39" x14ac:dyDescent="0.25">
      <c r="A45" t="s">
        <v>111</v>
      </c>
      <c r="B45" t="s">
        <v>112</v>
      </c>
      <c r="C45">
        <v>18827</v>
      </c>
      <c r="D45" t="s">
        <v>156</v>
      </c>
      <c r="G45">
        <v>1</v>
      </c>
      <c r="H45" t="s">
        <v>116</v>
      </c>
      <c r="I45">
        <v>1</v>
      </c>
      <c r="K45">
        <v>295.58</v>
      </c>
      <c r="L45">
        <v>2788.5</v>
      </c>
      <c r="M45">
        <v>2788.5</v>
      </c>
      <c r="N45">
        <v>598</v>
      </c>
      <c r="P45">
        <v>2190.5</v>
      </c>
      <c r="Q45">
        <v>0</v>
      </c>
      <c r="W45">
        <v>2788.5</v>
      </c>
      <c r="AH45">
        <v>292.79000000000002</v>
      </c>
      <c r="AI45">
        <v>2.79</v>
      </c>
    </row>
    <row r="46" spans="1:39" x14ac:dyDescent="0.25">
      <c r="A46" t="s">
        <v>111</v>
      </c>
      <c r="B46" t="s">
        <v>112</v>
      </c>
      <c r="C46">
        <v>18829</v>
      </c>
      <c r="D46" t="s">
        <v>157</v>
      </c>
      <c r="G46">
        <v>1</v>
      </c>
      <c r="H46" t="s">
        <v>114</v>
      </c>
      <c r="I46">
        <v>1</v>
      </c>
      <c r="K46">
        <v>288.52</v>
      </c>
      <c r="L46">
        <v>4580.04</v>
      </c>
      <c r="M46">
        <v>4580.04</v>
      </c>
      <c r="N46">
        <v>1606</v>
      </c>
      <c r="P46">
        <v>2974.04</v>
      </c>
      <c r="Q46">
        <v>1814.61</v>
      </c>
      <c r="T46">
        <v>907.3</v>
      </c>
      <c r="U46">
        <v>833.44</v>
      </c>
      <c r="V46">
        <v>1024.69</v>
      </c>
      <c r="AH46">
        <v>285.8</v>
      </c>
      <c r="AI46">
        <v>2.72</v>
      </c>
      <c r="AM46">
        <v>390</v>
      </c>
    </row>
    <row r="47" spans="1:39" x14ac:dyDescent="0.25">
      <c r="A47" t="s">
        <v>111</v>
      </c>
      <c r="B47" t="s">
        <v>112</v>
      </c>
      <c r="C47">
        <v>18831</v>
      </c>
      <c r="D47" t="s">
        <v>158</v>
      </c>
      <c r="G47">
        <v>1</v>
      </c>
      <c r="H47" t="s">
        <v>114</v>
      </c>
      <c r="I47">
        <v>1</v>
      </c>
      <c r="K47">
        <v>136.71</v>
      </c>
      <c r="L47">
        <v>1289.73</v>
      </c>
      <c r="M47">
        <v>1289.73</v>
      </c>
      <c r="N47">
        <v>134</v>
      </c>
      <c r="P47">
        <v>1155.73</v>
      </c>
      <c r="Q47">
        <v>392.09</v>
      </c>
      <c r="T47">
        <v>784.18</v>
      </c>
      <c r="AD47">
        <v>113.46</v>
      </c>
      <c r="AH47">
        <v>135.41999999999999</v>
      </c>
      <c r="AI47">
        <v>1.29</v>
      </c>
    </row>
    <row r="48" spans="1:39" x14ac:dyDescent="0.25">
      <c r="A48" t="s">
        <v>111</v>
      </c>
      <c r="B48" t="s">
        <v>112</v>
      </c>
      <c r="C48">
        <v>18836</v>
      </c>
      <c r="D48" t="s">
        <v>159</v>
      </c>
      <c r="G48">
        <v>1</v>
      </c>
      <c r="H48" t="s">
        <v>116</v>
      </c>
      <c r="I48">
        <v>1</v>
      </c>
      <c r="K48">
        <v>363.46</v>
      </c>
      <c r="L48">
        <v>4153.8500000000004</v>
      </c>
      <c r="M48">
        <v>4153.8500000000004</v>
      </c>
      <c r="N48">
        <v>1380</v>
      </c>
      <c r="P48">
        <v>2773.85</v>
      </c>
      <c r="Q48">
        <v>3461.54</v>
      </c>
      <c r="AB48">
        <v>692.31</v>
      </c>
      <c r="AH48">
        <v>363.46</v>
      </c>
      <c r="AM48">
        <v>312</v>
      </c>
    </row>
    <row r="49" spans="1:39" x14ac:dyDescent="0.25">
      <c r="A49" t="s">
        <v>111</v>
      </c>
      <c r="B49" t="s">
        <v>112</v>
      </c>
      <c r="C49">
        <v>18839</v>
      </c>
      <c r="D49" t="s">
        <v>160</v>
      </c>
      <c r="G49">
        <v>1</v>
      </c>
      <c r="H49" t="s">
        <v>114</v>
      </c>
      <c r="I49">
        <v>1</v>
      </c>
      <c r="K49">
        <v>127.32</v>
      </c>
      <c r="L49">
        <v>1201.0999999999999</v>
      </c>
      <c r="M49">
        <v>1201.0999999999999</v>
      </c>
      <c r="N49">
        <v>116</v>
      </c>
      <c r="P49">
        <v>1085.0999999999999</v>
      </c>
      <c r="Q49">
        <v>1201.0999999999999</v>
      </c>
      <c r="AH49">
        <v>126.12</v>
      </c>
      <c r="AI49">
        <v>1.2</v>
      </c>
    </row>
    <row r="50" spans="1:39" x14ac:dyDescent="0.25">
      <c r="A50" t="s">
        <v>111</v>
      </c>
      <c r="B50" t="s">
        <v>112</v>
      </c>
      <c r="C50">
        <v>18841</v>
      </c>
      <c r="D50" t="s">
        <v>161</v>
      </c>
      <c r="G50">
        <v>1</v>
      </c>
      <c r="H50" t="s">
        <v>116</v>
      </c>
      <c r="I50">
        <v>1</v>
      </c>
      <c r="K50">
        <v>235.2</v>
      </c>
      <c r="L50">
        <v>2240</v>
      </c>
      <c r="M50">
        <v>2240</v>
      </c>
      <c r="N50">
        <v>452</v>
      </c>
      <c r="P50">
        <v>1788</v>
      </c>
      <c r="Q50">
        <v>2240</v>
      </c>
      <c r="AH50">
        <v>235.2</v>
      </c>
      <c r="AM50">
        <v>44</v>
      </c>
    </row>
    <row r="51" spans="1:39" x14ac:dyDescent="0.25">
      <c r="A51" t="s">
        <v>111</v>
      </c>
      <c r="B51" t="s">
        <v>112</v>
      </c>
      <c r="C51">
        <v>18850</v>
      </c>
      <c r="D51" t="s">
        <v>162</v>
      </c>
      <c r="G51">
        <v>1</v>
      </c>
      <c r="H51" t="s">
        <v>114</v>
      </c>
      <c r="I51">
        <v>1</v>
      </c>
      <c r="K51">
        <v>264.48</v>
      </c>
      <c r="L51">
        <v>2661.39</v>
      </c>
      <c r="M51">
        <v>2624.93</v>
      </c>
      <c r="N51">
        <v>552</v>
      </c>
      <c r="O51">
        <v>36.46</v>
      </c>
      <c r="P51">
        <v>2109.39</v>
      </c>
      <c r="Q51">
        <v>1814.61</v>
      </c>
      <c r="S51">
        <v>680.48</v>
      </c>
      <c r="U51">
        <v>129.84</v>
      </c>
      <c r="AA51">
        <v>36.46</v>
      </c>
      <c r="AH51">
        <v>261.98</v>
      </c>
      <c r="AI51">
        <v>2.5</v>
      </c>
      <c r="AJ51">
        <v>12</v>
      </c>
    </row>
    <row r="52" spans="1:39" x14ac:dyDescent="0.25">
      <c r="A52" t="s">
        <v>111</v>
      </c>
      <c r="B52" t="s">
        <v>112</v>
      </c>
      <c r="C52">
        <v>18853</v>
      </c>
      <c r="D52" t="s">
        <v>163</v>
      </c>
      <c r="G52">
        <v>1</v>
      </c>
      <c r="H52" t="s">
        <v>116</v>
      </c>
      <c r="I52">
        <v>1</v>
      </c>
      <c r="K52">
        <v>687.95</v>
      </c>
      <c r="L52">
        <v>6844.19</v>
      </c>
      <c r="M52">
        <v>6844.19</v>
      </c>
      <c r="N52">
        <v>2096</v>
      </c>
      <c r="P52">
        <v>4748.1899999999996</v>
      </c>
      <c r="Q52">
        <v>6551.88</v>
      </c>
      <c r="AB52">
        <v>692.31</v>
      </c>
      <c r="AH52">
        <v>687.95</v>
      </c>
      <c r="AK52">
        <v>400</v>
      </c>
    </row>
    <row r="53" spans="1:39" x14ac:dyDescent="0.25">
      <c r="A53" t="s">
        <v>111</v>
      </c>
      <c r="B53" t="s">
        <v>112</v>
      </c>
      <c r="C53">
        <v>18858</v>
      </c>
      <c r="D53" t="s">
        <v>164</v>
      </c>
      <c r="G53">
        <v>1</v>
      </c>
      <c r="H53" t="s">
        <v>114</v>
      </c>
      <c r="I53">
        <v>1</v>
      </c>
      <c r="L53">
        <v>36.46</v>
      </c>
      <c r="N53">
        <v>0</v>
      </c>
      <c r="O53">
        <v>36.46</v>
      </c>
      <c r="P53">
        <v>36.46</v>
      </c>
      <c r="Z53">
        <v>0</v>
      </c>
      <c r="AA53">
        <v>36.46</v>
      </c>
    </row>
    <row r="54" spans="1:39" x14ac:dyDescent="0.25">
      <c r="A54" t="s">
        <v>111</v>
      </c>
      <c r="B54" t="s">
        <v>112</v>
      </c>
      <c r="C54">
        <v>18862</v>
      </c>
      <c r="D54" t="s">
        <v>166</v>
      </c>
      <c r="G54">
        <v>1</v>
      </c>
      <c r="H54" t="s">
        <v>116</v>
      </c>
      <c r="I54">
        <v>1</v>
      </c>
      <c r="K54">
        <v>284.70999999999998</v>
      </c>
      <c r="L54">
        <v>2748</v>
      </c>
      <c r="M54">
        <v>2711.54</v>
      </c>
      <c r="N54">
        <v>678</v>
      </c>
      <c r="O54">
        <v>36.46</v>
      </c>
      <c r="P54">
        <v>2070</v>
      </c>
      <c r="Q54">
        <v>2711.54</v>
      </c>
      <c r="AA54">
        <v>36.46</v>
      </c>
      <c r="AH54">
        <v>284.70999999999998</v>
      </c>
      <c r="AM54">
        <v>108</v>
      </c>
    </row>
    <row r="55" spans="1:39" x14ac:dyDescent="0.25">
      <c r="A55" t="s">
        <v>111</v>
      </c>
      <c r="B55" t="s">
        <v>112</v>
      </c>
      <c r="C55">
        <v>18866</v>
      </c>
      <c r="D55" t="s">
        <v>167</v>
      </c>
      <c r="G55">
        <v>1</v>
      </c>
      <c r="H55" t="s">
        <v>114</v>
      </c>
      <c r="I55">
        <v>1</v>
      </c>
      <c r="K55">
        <v>306.92</v>
      </c>
      <c r="L55">
        <v>2931.86</v>
      </c>
      <c r="M55">
        <v>2895.4</v>
      </c>
      <c r="N55">
        <v>634</v>
      </c>
      <c r="O55">
        <v>36.46</v>
      </c>
      <c r="P55">
        <v>2297.86</v>
      </c>
      <c r="Q55">
        <v>1778.99</v>
      </c>
      <c r="T55">
        <v>889.49</v>
      </c>
      <c r="AA55">
        <v>36.46</v>
      </c>
      <c r="AD55">
        <v>226.92</v>
      </c>
      <c r="AH55">
        <v>304.02</v>
      </c>
      <c r="AI55">
        <v>2.9</v>
      </c>
    </row>
    <row r="56" spans="1:39" x14ac:dyDescent="0.25">
      <c r="A56" t="s">
        <v>111</v>
      </c>
      <c r="B56" t="s">
        <v>112</v>
      </c>
      <c r="C56">
        <v>18871</v>
      </c>
      <c r="D56" t="s">
        <v>168</v>
      </c>
      <c r="G56">
        <v>1</v>
      </c>
      <c r="H56" t="s">
        <v>116</v>
      </c>
      <c r="I56">
        <v>1</v>
      </c>
      <c r="K56">
        <v>460.67</v>
      </c>
      <c r="L56">
        <v>4387.3100000000004</v>
      </c>
      <c r="M56">
        <v>4387.3100000000004</v>
      </c>
      <c r="N56">
        <v>1148</v>
      </c>
      <c r="P56">
        <v>3239.31</v>
      </c>
      <c r="Q56">
        <v>4387.3100000000004</v>
      </c>
      <c r="AH56">
        <v>460.67</v>
      </c>
    </row>
    <row r="57" spans="1:39" x14ac:dyDescent="0.25">
      <c r="A57" t="s">
        <v>111</v>
      </c>
      <c r="B57" t="s">
        <v>112</v>
      </c>
      <c r="C57">
        <v>18876</v>
      </c>
      <c r="D57" t="s">
        <v>169</v>
      </c>
      <c r="G57">
        <v>1</v>
      </c>
      <c r="H57" t="s">
        <v>116</v>
      </c>
      <c r="I57">
        <v>1</v>
      </c>
      <c r="K57">
        <v>310.45999999999998</v>
      </c>
      <c r="L57">
        <v>3649.04</v>
      </c>
      <c r="M57">
        <v>3649.04</v>
      </c>
      <c r="N57">
        <v>1132</v>
      </c>
      <c r="P57">
        <v>2517.04</v>
      </c>
      <c r="Q57">
        <v>2956.73</v>
      </c>
      <c r="AB57">
        <v>692.31</v>
      </c>
      <c r="AH57">
        <v>310.45999999999998</v>
      </c>
      <c r="AM57">
        <v>238</v>
      </c>
    </row>
    <row r="58" spans="1:39" x14ac:dyDescent="0.25">
      <c r="A58" t="s">
        <v>111</v>
      </c>
      <c r="B58" t="s">
        <v>112</v>
      </c>
      <c r="C58">
        <v>18886</v>
      </c>
      <c r="D58" t="s">
        <v>170</v>
      </c>
      <c r="G58">
        <v>1</v>
      </c>
      <c r="H58" t="s">
        <v>116</v>
      </c>
      <c r="I58">
        <v>1</v>
      </c>
      <c r="K58">
        <v>900.29</v>
      </c>
      <c r="L58">
        <v>9266.49</v>
      </c>
      <c r="M58">
        <v>8574.18</v>
      </c>
      <c r="N58">
        <v>2904</v>
      </c>
      <c r="O58">
        <v>692.31</v>
      </c>
      <c r="P58">
        <v>6362.49</v>
      </c>
      <c r="Q58">
        <v>8574.18</v>
      </c>
      <c r="AC58">
        <v>692.31</v>
      </c>
      <c r="AH58">
        <v>900.29</v>
      </c>
    </row>
    <row r="59" spans="1:39" x14ac:dyDescent="0.25">
      <c r="A59" t="s">
        <v>111</v>
      </c>
      <c r="B59" t="s">
        <v>112</v>
      </c>
      <c r="C59">
        <v>18887</v>
      </c>
      <c r="D59" t="s">
        <v>171</v>
      </c>
      <c r="G59">
        <v>1</v>
      </c>
      <c r="H59" t="s">
        <v>114</v>
      </c>
      <c r="I59">
        <v>1</v>
      </c>
      <c r="K59">
        <v>207.81</v>
      </c>
      <c r="L59">
        <v>2996.14</v>
      </c>
      <c r="M59">
        <v>2996.14</v>
      </c>
      <c r="N59">
        <v>668</v>
      </c>
      <c r="P59">
        <v>2328.14</v>
      </c>
      <c r="Q59">
        <v>1960.45</v>
      </c>
      <c r="U59">
        <v>741.62</v>
      </c>
      <c r="V59">
        <v>294.07</v>
      </c>
      <c r="AH59">
        <v>205.85</v>
      </c>
      <c r="AI59">
        <v>1.96</v>
      </c>
    </row>
    <row r="60" spans="1:39" x14ac:dyDescent="0.25">
      <c r="A60" t="s">
        <v>111</v>
      </c>
      <c r="B60" t="s">
        <v>112</v>
      </c>
      <c r="C60">
        <v>18891</v>
      </c>
      <c r="D60" t="s">
        <v>172</v>
      </c>
      <c r="G60">
        <v>1</v>
      </c>
      <c r="H60" t="s">
        <v>114</v>
      </c>
      <c r="I60">
        <v>1</v>
      </c>
      <c r="K60">
        <v>193.59</v>
      </c>
      <c r="L60">
        <v>1848.8</v>
      </c>
      <c r="M60">
        <v>1848.8</v>
      </c>
      <c r="N60">
        <v>270</v>
      </c>
      <c r="P60">
        <v>1578.8</v>
      </c>
      <c r="Q60">
        <v>1826.27</v>
      </c>
      <c r="U60">
        <v>22.53</v>
      </c>
      <c r="AH60">
        <v>191.76</v>
      </c>
      <c r="AI60">
        <v>1.83</v>
      </c>
    </row>
    <row r="61" spans="1:39" x14ac:dyDescent="0.25">
      <c r="A61" t="s">
        <v>111</v>
      </c>
      <c r="B61" t="s">
        <v>112</v>
      </c>
      <c r="C61">
        <v>18892</v>
      </c>
      <c r="D61" t="s">
        <v>173</v>
      </c>
      <c r="G61">
        <v>1</v>
      </c>
      <c r="H61" t="s">
        <v>114</v>
      </c>
      <c r="I61">
        <v>1</v>
      </c>
      <c r="K61">
        <v>223.05</v>
      </c>
      <c r="L61">
        <v>2104.2600000000002</v>
      </c>
      <c r="M61">
        <v>2104.2600000000002</v>
      </c>
      <c r="N61">
        <v>360</v>
      </c>
      <c r="P61">
        <v>1744.26</v>
      </c>
      <c r="Q61">
        <v>2104.2600000000002</v>
      </c>
      <c r="AH61">
        <v>220.95</v>
      </c>
      <c r="AI61">
        <v>2.1</v>
      </c>
    </row>
    <row r="62" spans="1:39" x14ac:dyDescent="0.25">
      <c r="A62" t="s">
        <v>111</v>
      </c>
      <c r="B62" t="s">
        <v>112</v>
      </c>
      <c r="C62">
        <v>18893</v>
      </c>
      <c r="D62" t="s">
        <v>248</v>
      </c>
      <c r="G62">
        <v>1</v>
      </c>
      <c r="H62" t="s">
        <v>116</v>
      </c>
      <c r="I62">
        <v>1</v>
      </c>
      <c r="K62">
        <v>133.27000000000001</v>
      </c>
      <c r="L62">
        <v>1269.23</v>
      </c>
      <c r="M62">
        <v>1269.23</v>
      </c>
      <c r="N62">
        <v>130</v>
      </c>
      <c r="P62">
        <v>1139.23</v>
      </c>
      <c r="Q62">
        <v>1269.23</v>
      </c>
      <c r="AH62">
        <v>133.27000000000001</v>
      </c>
    </row>
    <row r="63" spans="1:39" x14ac:dyDescent="0.25">
      <c r="A63" t="s">
        <v>111</v>
      </c>
      <c r="B63" t="s">
        <v>112</v>
      </c>
      <c r="C63">
        <v>18894</v>
      </c>
      <c r="D63" t="s">
        <v>174</v>
      </c>
      <c r="G63">
        <v>1</v>
      </c>
      <c r="H63" t="s">
        <v>114</v>
      </c>
      <c r="I63">
        <v>1</v>
      </c>
      <c r="K63">
        <v>72.75</v>
      </c>
      <c r="L63">
        <v>851.89</v>
      </c>
      <c r="M63">
        <v>851.89</v>
      </c>
      <c r="N63">
        <v>26</v>
      </c>
      <c r="P63">
        <v>825.89</v>
      </c>
      <c r="Q63">
        <v>395.94</v>
      </c>
      <c r="S63">
        <v>290.31</v>
      </c>
      <c r="U63">
        <v>79.72</v>
      </c>
      <c r="V63">
        <v>85.92</v>
      </c>
      <c r="AH63">
        <v>72.06</v>
      </c>
      <c r="AI63">
        <v>0.69</v>
      </c>
    </row>
    <row r="64" spans="1:39" x14ac:dyDescent="0.25">
      <c r="A64" t="s">
        <v>111</v>
      </c>
      <c r="B64" t="s">
        <v>112</v>
      </c>
      <c r="C64">
        <v>18895</v>
      </c>
      <c r="D64" t="s">
        <v>175</v>
      </c>
      <c r="G64">
        <v>1</v>
      </c>
      <c r="H64" t="s">
        <v>114</v>
      </c>
      <c r="I64">
        <v>1</v>
      </c>
      <c r="K64">
        <v>171.22</v>
      </c>
      <c r="L64">
        <v>2527.9899999999998</v>
      </c>
      <c r="M64">
        <v>2527.9899999999998</v>
      </c>
      <c r="N64">
        <v>506</v>
      </c>
      <c r="P64">
        <v>2021.99</v>
      </c>
      <c r="Q64">
        <v>1615.2</v>
      </c>
      <c r="U64">
        <v>522.16999999999996</v>
      </c>
      <c r="V64">
        <v>390.62</v>
      </c>
      <c r="AH64">
        <v>169.6</v>
      </c>
      <c r="AI64">
        <v>1.62</v>
      </c>
    </row>
    <row r="65" spans="1:37" x14ac:dyDescent="0.25">
      <c r="A65" t="s">
        <v>111</v>
      </c>
      <c r="B65" t="s">
        <v>112</v>
      </c>
      <c r="C65">
        <v>18898</v>
      </c>
      <c r="D65" t="s">
        <v>176</v>
      </c>
      <c r="G65">
        <v>1</v>
      </c>
      <c r="H65" t="s">
        <v>114</v>
      </c>
      <c r="I65">
        <v>1</v>
      </c>
      <c r="K65">
        <v>188.12</v>
      </c>
      <c r="L65">
        <v>2078.6999999999998</v>
      </c>
      <c r="M65">
        <v>2078.6999999999998</v>
      </c>
      <c r="N65">
        <v>350</v>
      </c>
      <c r="P65">
        <v>1728.7</v>
      </c>
      <c r="Q65">
        <v>980.23</v>
      </c>
      <c r="U65">
        <v>197.34</v>
      </c>
      <c r="V65">
        <v>106.62</v>
      </c>
      <c r="W65">
        <v>794.51</v>
      </c>
      <c r="AH65">
        <v>186.35</v>
      </c>
      <c r="AI65">
        <v>1.77</v>
      </c>
    </row>
    <row r="66" spans="1:37" x14ac:dyDescent="0.25">
      <c r="A66" t="s">
        <v>111</v>
      </c>
      <c r="B66" t="s">
        <v>112</v>
      </c>
      <c r="C66">
        <v>18903</v>
      </c>
      <c r="D66" t="s">
        <v>177</v>
      </c>
      <c r="G66">
        <v>1</v>
      </c>
      <c r="H66" t="s">
        <v>114</v>
      </c>
      <c r="I66">
        <v>1</v>
      </c>
      <c r="K66">
        <v>284.11</v>
      </c>
      <c r="L66">
        <v>2811.94</v>
      </c>
      <c r="M66">
        <v>2811.94</v>
      </c>
      <c r="N66">
        <v>604</v>
      </c>
      <c r="P66">
        <v>2207.94</v>
      </c>
      <c r="Q66">
        <v>1778.99</v>
      </c>
      <c r="S66">
        <v>667.12</v>
      </c>
      <c r="U66">
        <v>131.66999999999999</v>
      </c>
      <c r="AD66">
        <v>234.16</v>
      </c>
      <c r="AH66">
        <v>281.43</v>
      </c>
      <c r="AI66">
        <v>2.68</v>
      </c>
    </row>
    <row r="67" spans="1:37" x14ac:dyDescent="0.25">
      <c r="A67" t="s">
        <v>111</v>
      </c>
      <c r="B67" t="s">
        <v>112</v>
      </c>
      <c r="C67">
        <v>18904</v>
      </c>
      <c r="D67" t="s">
        <v>178</v>
      </c>
      <c r="G67">
        <v>1</v>
      </c>
      <c r="H67" t="s">
        <v>90</v>
      </c>
      <c r="I67">
        <v>1</v>
      </c>
      <c r="K67">
        <v>213.55</v>
      </c>
      <c r="L67">
        <v>2220.63</v>
      </c>
      <c r="M67">
        <v>2220.63</v>
      </c>
      <c r="N67">
        <v>400</v>
      </c>
      <c r="P67">
        <v>1820.63</v>
      </c>
      <c r="Q67">
        <v>2014.69</v>
      </c>
      <c r="U67">
        <v>205.94</v>
      </c>
      <c r="AH67">
        <v>211.54</v>
      </c>
      <c r="AI67">
        <v>2.0099999999999998</v>
      </c>
    </row>
    <row r="68" spans="1:37" x14ac:dyDescent="0.25">
      <c r="A68" t="s">
        <v>111</v>
      </c>
      <c r="B68" t="s">
        <v>112</v>
      </c>
      <c r="C68">
        <v>18904</v>
      </c>
      <c r="D68" t="s">
        <v>178</v>
      </c>
      <c r="G68">
        <v>3</v>
      </c>
      <c r="H68" t="s">
        <v>276</v>
      </c>
      <c r="I68">
        <v>1</v>
      </c>
      <c r="K68">
        <v>191.82</v>
      </c>
      <c r="L68">
        <v>1887.36</v>
      </c>
      <c r="M68">
        <v>1887.36</v>
      </c>
      <c r="N68">
        <v>284</v>
      </c>
      <c r="P68">
        <v>1603.36</v>
      </c>
      <c r="Q68">
        <v>1809.63</v>
      </c>
      <c r="U68">
        <v>77.73</v>
      </c>
      <c r="AH68">
        <v>190.01</v>
      </c>
      <c r="AI68">
        <v>1.81</v>
      </c>
    </row>
    <row r="69" spans="1:37" x14ac:dyDescent="0.25">
      <c r="A69" t="s">
        <v>111</v>
      </c>
      <c r="B69" t="s">
        <v>112</v>
      </c>
      <c r="C69">
        <v>18911</v>
      </c>
      <c r="D69" t="s">
        <v>179</v>
      </c>
      <c r="G69">
        <v>1</v>
      </c>
      <c r="H69" t="s">
        <v>114</v>
      </c>
      <c r="I69">
        <v>1</v>
      </c>
      <c r="K69">
        <v>266.64999999999998</v>
      </c>
      <c r="L69">
        <v>3095.65</v>
      </c>
      <c r="M69">
        <v>3059.19</v>
      </c>
      <c r="N69">
        <v>690</v>
      </c>
      <c r="O69">
        <v>36.46</v>
      </c>
      <c r="P69">
        <v>2405.65</v>
      </c>
      <c r="Q69">
        <v>2012.44</v>
      </c>
      <c r="U69">
        <v>540.34</v>
      </c>
      <c r="V69">
        <v>3.31</v>
      </c>
      <c r="W69">
        <v>503.1</v>
      </c>
      <c r="AA69">
        <v>36.46</v>
      </c>
      <c r="AH69">
        <v>264.13</v>
      </c>
      <c r="AI69">
        <v>2.52</v>
      </c>
    </row>
    <row r="70" spans="1:37" x14ac:dyDescent="0.25">
      <c r="A70" t="s">
        <v>111</v>
      </c>
      <c r="B70" t="s">
        <v>112</v>
      </c>
      <c r="C70">
        <v>18917</v>
      </c>
      <c r="D70" t="s">
        <v>180</v>
      </c>
      <c r="G70">
        <v>1</v>
      </c>
      <c r="H70" t="s">
        <v>114</v>
      </c>
      <c r="I70">
        <v>1</v>
      </c>
      <c r="K70">
        <v>50.37</v>
      </c>
      <c r="L70">
        <v>475.1</v>
      </c>
      <c r="M70">
        <v>475.1</v>
      </c>
      <c r="N70">
        <v>0</v>
      </c>
      <c r="P70">
        <v>475.1</v>
      </c>
      <c r="R70">
        <v>380.08</v>
      </c>
      <c r="AE70">
        <v>95.02</v>
      </c>
      <c r="AH70">
        <v>49.89</v>
      </c>
      <c r="AI70">
        <v>0.48</v>
      </c>
    </row>
    <row r="71" spans="1:37" x14ac:dyDescent="0.25">
      <c r="A71" t="s">
        <v>111</v>
      </c>
      <c r="B71" t="s">
        <v>112</v>
      </c>
      <c r="C71">
        <v>18918</v>
      </c>
      <c r="D71" t="s">
        <v>181</v>
      </c>
      <c r="G71">
        <v>1</v>
      </c>
      <c r="H71" t="s">
        <v>114</v>
      </c>
      <c r="I71">
        <v>1</v>
      </c>
      <c r="K71">
        <v>264.11</v>
      </c>
      <c r="L71">
        <v>3054.57</v>
      </c>
      <c r="M71">
        <v>3054.57</v>
      </c>
      <c r="N71">
        <v>688</v>
      </c>
      <c r="P71">
        <v>2366.5700000000002</v>
      </c>
      <c r="Q71">
        <v>2282.84</v>
      </c>
      <c r="U71">
        <v>494.86</v>
      </c>
      <c r="V71">
        <v>68.08</v>
      </c>
      <c r="AD71">
        <v>208.79</v>
      </c>
      <c r="AH71">
        <v>261.62</v>
      </c>
      <c r="AI71">
        <v>2.4900000000000002</v>
      </c>
    </row>
    <row r="72" spans="1:37" x14ac:dyDescent="0.25">
      <c r="A72" t="s">
        <v>111</v>
      </c>
      <c r="B72" t="s">
        <v>112</v>
      </c>
      <c r="C72">
        <v>18920</v>
      </c>
      <c r="D72" t="s">
        <v>182</v>
      </c>
      <c r="G72">
        <v>1</v>
      </c>
      <c r="H72" t="s">
        <v>116</v>
      </c>
      <c r="I72">
        <v>1</v>
      </c>
      <c r="K72">
        <v>520.79999999999995</v>
      </c>
      <c r="L72">
        <v>5652.31</v>
      </c>
      <c r="M72">
        <v>5652.31</v>
      </c>
      <c r="N72">
        <v>1632</v>
      </c>
      <c r="P72">
        <v>4020.31</v>
      </c>
      <c r="Q72">
        <v>4960</v>
      </c>
      <c r="AB72">
        <v>692.31</v>
      </c>
      <c r="AH72">
        <v>520.79999999999995</v>
      </c>
    </row>
    <row r="73" spans="1:37" x14ac:dyDescent="0.25">
      <c r="A73" t="s">
        <v>111</v>
      </c>
      <c r="B73" t="s">
        <v>112</v>
      </c>
      <c r="C73">
        <v>18923</v>
      </c>
      <c r="D73" t="s">
        <v>183</v>
      </c>
      <c r="G73">
        <v>1</v>
      </c>
      <c r="H73" t="s">
        <v>114</v>
      </c>
      <c r="I73">
        <v>1</v>
      </c>
      <c r="K73">
        <v>185.27</v>
      </c>
      <c r="L73">
        <v>1872.01</v>
      </c>
      <c r="M73">
        <v>1872.01</v>
      </c>
      <c r="N73">
        <v>280</v>
      </c>
      <c r="P73">
        <v>1592.01</v>
      </c>
      <c r="Q73">
        <v>1747.83</v>
      </c>
      <c r="U73">
        <v>124.18</v>
      </c>
      <c r="AH73">
        <v>183.52</v>
      </c>
      <c r="AI73">
        <v>1.75</v>
      </c>
    </row>
    <row r="74" spans="1:37" x14ac:dyDescent="0.25">
      <c r="A74" t="s">
        <v>111</v>
      </c>
      <c r="B74" t="s">
        <v>112</v>
      </c>
      <c r="C74">
        <v>18924</v>
      </c>
      <c r="D74" t="s">
        <v>184</v>
      </c>
      <c r="G74">
        <v>1</v>
      </c>
      <c r="H74" t="s">
        <v>114</v>
      </c>
      <c r="I74">
        <v>1</v>
      </c>
      <c r="K74">
        <v>164.38</v>
      </c>
      <c r="L74">
        <v>1610.73</v>
      </c>
      <c r="M74">
        <v>1610.73</v>
      </c>
      <c r="N74">
        <v>204</v>
      </c>
      <c r="P74">
        <v>1406.73</v>
      </c>
      <c r="Q74">
        <v>1289.77</v>
      </c>
      <c r="U74">
        <v>59.97</v>
      </c>
      <c r="AD74">
        <v>260.99</v>
      </c>
      <c r="AH74">
        <v>162.83000000000001</v>
      </c>
      <c r="AI74">
        <v>1.55</v>
      </c>
    </row>
    <row r="75" spans="1:37" x14ac:dyDescent="0.25">
      <c r="A75" t="s">
        <v>111</v>
      </c>
      <c r="B75" t="s">
        <v>112</v>
      </c>
      <c r="C75">
        <v>18932</v>
      </c>
      <c r="D75" t="s">
        <v>185</v>
      </c>
      <c r="G75">
        <v>1</v>
      </c>
      <c r="H75" t="s">
        <v>114</v>
      </c>
      <c r="I75">
        <v>1</v>
      </c>
      <c r="K75">
        <v>264.19</v>
      </c>
      <c r="L75">
        <v>3594.28</v>
      </c>
      <c r="M75">
        <v>3594.28</v>
      </c>
      <c r="N75">
        <v>876</v>
      </c>
      <c r="P75">
        <v>2718.28</v>
      </c>
      <c r="Q75">
        <v>2054.56</v>
      </c>
      <c r="U75">
        <v>629.29</v>
      </c>
      <c r="V75">
        <v>472.59</v>
      </c>
      <c r="X75">
        <v>228.28</v>
      </c>
      <c r="AD75">
        <v>209.56</v>
      </c>
      <c r="AH75">
        <v>261.7</v>
      </c>
      <c r="AI75">
        <v>2.4900000000000002</v>
      </c>
    </row>
    <row r="76" spans="1:37" x14ac:dyDescent="0.25">
      <c r="A76" t="s">
        <v>111</v>
      </c>
      <c r="B76" t="s">
        <v>112</v>
      </c>
      <c r="C76">
        <v>18942</v>
      </c>
      <c r="D76" t="s">
        <v>186</v>
      </c>
      <c r="G76">
        <v>1</v>
      </c>
      <c r="H76" t="s">
        <v>114</v>
      </c>
      <c r="I76">
        <v>1</v>
      </c>
      <c r="K76">
        <v>266.81</v>
      </c>
      <c r="L76">
        <v>3122.89</v>
      </c>
      <c r="M76">
        <v>3122.89</v>
      </c>
      <c r="N76">
        <v>712</v>
      </c>
      <c r="P76">
        <v>2410.89</v>
      </c>
      <c r="Q76">
        <v>797.64</v>
      </c>
      <c r="T76">
        <v>798.08</v>
      </c>
      <c r="U76">
        <v>79.72</v>
      </c>
      <c r="V76">
        <v>526.15</v>
      </c>
      <c r="W76">
        <v>244.48</v>
      </c>
      <c r="X76">
        <v>563.36</v>
      </c>
      <c r="AD76">
        <v>113.46</v>
      </c>
      <c r="AH76">
        <v>264.29000000000002</v>
      </c>
      <c r="AI76">
        <v>2.52</v>
      </c>
    </row>
    <row r="77" spans="1:37" x14ac:dyDescent="0.25">
      <c r="A77" t="s">
        <v>111</v>
      </c>
      <c r="B77" t="s">
        <v>112</v>
      </c>
      <c r="C77">
        <v>18946</v>
      </c>
      <c r="D77" t="s">
        <v>187</v>
      </c>
      <c r="G77">
        <v>1</v>
      </c>
      <c r="H77" t="s">
        <v>116</v>
      </c>
      <c r="I77">
        <v>1</v>
      </c>
      <c r="K77">
        <v>262.5</v>
      </c>
      <c r="L77">
        <v>2200</v>
      </c>
      <c r="M77">
        <v>2200</v>
      </c>
      <c r="N77">
        <v>394</v>
      </c>
      <c r="P77">
        <v>1806</v>
      </c>
      <c r="Q77">
        <v>2500</v>
      </c>
      <c r="AH77">
        <v>262.5</v>
      </c>
      <c r="AK77">
        <v>300</v>
      </c>
    </row>
    <row r="78" spans="1:37" x14ac:dyDescent="0.25">
      <c r="A78" t="s">
        <v>111</v>
      </c>
      <c r="B78" t="s">
        <v>112</v>
      </c>
      <c r="C78">
        <v>18948</v>
      </c>
      <c r="D78" t="s">
        <v>188</v>
      </c>
      <c r="G78">
        <v>1</v>
      </c>
      <c r="H78" t="s">
        <v>116</v>
      </c>
      <c r="I78">
        <v>1</v>
      </c>
      <c r="K78">
        <v>274.62</v>
      </c>
      <c r="L78">
        <v>3307.7</v>
      </c>
      <c r="M78">
        <v>3307.7</v>
      </c>
      <c r="N78">
        <v>776</v>
      </c>
      <c r="P78">
        <v>2531.6999999999998</v>
      </c>
      <c r="Q78">
        <v>2092.31</v>
      </c>
      <c r="W78">
        <v>523.08000000000004</v>
      </c>
      <c r="AB78">
        <v>692.31</v>
      </c>
      <c r="AH78">
        <v>274.62</v>
      </c>
    </row>
    <row r="79" spans="1:37" x14ac:dyDescent="0.25">
      <c r="A79" t="s">
        <v>111</v>
      </c>
      <c r="B79" t="s">
        <v>112</v>
      </c>
      <c r="C79">
        <v>18949</v>
      </c>
      <c r="D79" t="s">
        <v>189</v>
      </c>
      <c r="G79">
        <v>1</v>
      </c>
      <c r="H79" t="s">
        <v>114</v>
      </c>
      <c r="I79">
        <v>1</v>
      </c>
      <c r="K79">
        <v>166.25</v>
      </c>
      <c r="L79">
        <v>2952.07</v>
      </c>
      <c r="M79">
        <v>2952.07</v>
      </c>
      <c r="N79">
        <v>654</v>
      </c>
      <c r="P79">
        <v>2298.0700000000002</v>
      </c>
      <c r="Q79">
        <v>1568.36</v>
      </c>
      <c r="U79">
        <v>695.83</v>
      </c>
      <c r="V79">
        <v>687.88</v>
      </c>
      <c r="AH79">
        <v>164.68</v>
      </c>
      <c r="AI79">
        <v>1.57</v>
      </c>
    </row>
    <row r="80" spans="1:37" x14ac:dyDescent="0.25">
      <c r="A80" t="s">
        <v>111</v>
      </c>
      <c r="B80" t="s">
        <v>112</v>
      </c>
      <c r="C80">
        <v>18953</v>
      </c>
      <c r="D80" t="s">
        <v>190</v>
      </c>
      <c r="G80">
        <v>1</v>
      </c>
      <c r="H80" t="s">
        <v>114</v>
      </c>
      <c r="I80">
        <v>1</v>
      </c>
      <c r="K80">
        <v>207.76</v>
      </c>
      <c r="L80">
        <v>2054.1799999999998</v>
      </c>
      <c r="M80">
        <v>2054.1799999999998</v>
      </c>
      <c r="N80">
        <v>342</v>
      </c>
      <c r="P80">
        <v>1712.18</v>
      </c>
      <c r="Q80">
        <v>1960.02</v>
      </c>
      <c r="U80">
        <v>94.16</v>
      </c>
      <c r="AH80">
        <v>205.8</v>
      </c>
      <c r="AI80">
        <v>1.96</v>
      </c>
    </row>
    <row r="81" spans="1:39" x14ac:dyDescent="0.25">
      <c r="A81" t="s">
        <v>111</v>
      </c>
      <c r="B81" t="s">
        <v>112</v>
      </c>
      <c r="C81">
        <v>18954</v>
      </c>
      <c r="D81" t="s">
        <v>191</v>
      </c>
      <c r="G81">
        <v>1</v>
      </c>
      <c r="H81" t="s">
        <v>116</v>
      </c>
      <c r="I81">
        <v>1</v>
      </c>
      <c r="K81">
        <v>403.85</v>
      </c>
      <c r="L81">
        <v>3846.15</v>
      </c>
      <c r="M81">
        <v>3846.15</v>
      </c>
      <c r="N81">
        <v>962</v>
      </c>
      <c r="P81">
        <v>2884.15</v>
      </c>
      <c r="Q81">
        <v>3846.15</v>
      </c>
      <c r="AH81">
        <v>403.85</v>
      </c>
    </row>
    <row r="82" spans="1:39" x14ac:dyDescent="0.25">
      <c r="A82" t="s">
        <v>111</v>
      </c>
      <c r="B82" t="s">
        <v>112</v>
      </c>
      <c r="C82">
        <v>18957</v>
      </c>
      <c r="D82" t="s">
        <v>192</v>
      </c>
      <c r="G82">
        <v>1</v>
      </c>
      <c r="H82" t="s">
        <v>114</v>
      </c>
      <c r="I82">
        <v>1</v>
      </c>
      <c r="K82">
        <v>272.01</v>
      </c>
      <c r="L82">
        <v>1782.06</v>
      </c>
      <c r="M82">
        <v>1782.06</v>
      </c>
      <c r="N82">
        <v>248</v>
      </c>
      <c r="P82">
        <v>1534.06</v>
      </c>
      <c r="Q82">
        <v>2566.09</v>
      </c>
      <c r="U82">
        <v>75.97</v>
      </c>
      <c r="AH82">
        <v>269.44</v>
      </c>
      <c r="AI82">
        <v>2.57</v>
      </c>
      <c r="AK82">
        <v>860</v>
      </c>
    </row>
    <row r="83" spans="1:39" x14ac:dyDescent="0.25">
      <c r="A83" t="s">
        <v>111</v>
      </c>
      <c r="B83" t="s">
        <v>112</v>
      </c>
      <c r="C83">
        <v>18960</v>
      </c>
      <c r="D83" t="s">
        <v>193</v>
      </c>
      <c r="G83">
        <v>1</v>
      </c>
      <c r="H83" t="s">
        <v>114</v>
      </c>
      <c r="I83">
        <v>1</v>
      </c>
      <c r="K83">
        <v>119.67</v>
      </c>
      <c r="L83">
        <v>1209.0899999999999</v>
      </c>
      <c r="M83">
        <v>1209.0899999999999</v>
      </c>
      <c r="N83">
        <v>118</v>
      </c>
      <c r="P83">
        <v>1091.0899999999999</v>
      </c>
      <c r="Q83">
        <v>740.37</v>
      </c>
      <c r="U83">
        <v>80.17</v>
      </c>
      <c r="W83">
        <v>361.08</v>
      </c>
      <c r="AD83">
        <v>27.47</v>
      </c>
      <c r="AH83">
        <v>118.54</v>
      </c>
      <c r="AI83">
        <v>1.1299999999999999</v>
      </c>
    </row>
    <row r="84" spans="1:39" x14ac:dyDescent="0.25">
      <c r="A84" t="s">
        <v>111</v>
      </c>
      <c r="B84" t="s">
        <v>112</v>
      </c>
      <c r="C84">
        <v>18961</v>
      </c>
      <c r="D84" t="s">
        <v>194</v>
      </c>
      <c r="G84">
        <v>1</v>
      </c>
      <c r="H84" t="s">
        <v>114</v>
      </c>
      <c r="I84">
        <v>1</v>
      </c>
      <c r="K84">
        <v>235.47</v>
      </c>
      <c r="L84">
        <v>2337.52</v>
      </c>
      <c r="M84">
        <v>2337.52</v>
      </c>
      <c r="N84">
        <v>682</v>
      </c>
      <c r="P84">
        <v>1655.52</v>
      </c>
      <c r="Q84">
        <v>1960.45</v>
      </c>
      <c r="U84">
        <v>116.08</v>
      </c>
      <c r="AD84">
        <v>260.99</v>
      </c>
      <c r="AH84">
        <v>233.25</v>
      </c>
      <c r="AI84">
        <v>2.2200000000000002</v>
      </c>
    </row>
    <row r="85" spans="1:39" x14ac:dyDescent="0.25">
      <c r="A85" t="s">
        <v>111</v>
      </c>
      <c r="B85" t="s">
        <v>112</v>
      </c>
      <c r="C85">
        <v>18962</v>
      </c>
      <c r="D85" t="s">
        <v>195</v>
      </c>
      <c r="G85">
        <v>1</v>
      </c>
      <c r="H85" t="s">
        <v>116</v>
      </c>
      <c r="I85">
        <v>1</v>
      </c>
      <c r="K85">
        <v>525</v>
      </c>
      <c r="L85">
        <v>5230.7700000000004</v>
      </c>
      <c r="M85">
        <v>5230.7700000000004</v>
      </c>
      <c r="N85">
        <v>1468</v>
      </c>
      <c r="P85">
        <v>3762.77</v>
      </c>
      <c r="Q85">
        <v>5000</v>
      </c>
      <c r="AB85">
        <v>230.77</v>
      </c>
      <c r="AH85">
        <v>525</v>
      </c>
    </row>
    <row r="86" spans="1:39" x14ac:dyDescent="0.25">
      <c r="A86" t="s">
        <v>111</v>
      </c>
      <c r="B86" t="s">
        <v>112</v>
      </c>
      <c r="C86">
        <v>18967</v>
      </c>
      <c r="D86" t="s">
        <v>196</v>
      </c>
      <c r="G86">
        <v>1</v>
      </c>
      <c r="H86" t="s">
        <v>114</v>
      </c>
      <c r="I86">
        <v>1</v>
      </c>
      <c r="K86">
        <v>272.01</v>
      </c>
      <c r="L86">
        <v>3080.15</v>
      </c>
      <c r="M86">
        <v>3080.15</v>
      </c>
      <c r="N86">
        <v>698</v>
      </c>
      <c r="P86">
        <v>2382.15</v>
      </c>
      <c r="Q86">
        <v>2566.09</v>
      </c>
      <c r="U86">
        <v>514.05999999999995</v>
      </c>
      <c r="AH86">
        <v>269.44</v>
      </c>
      <c r="AI86">
        <v>2.57</v>
      </c>
    </row>
    <row r="87" spans="1:39" x14ac:dyDescent="0.25">
      <c r="A87" t="s">
        <v>111</v>
      </c>
      <c r="B87" t="s">
        <v>112</v>
      </c>
      <c r="C87">
        <v>18968</v>
      </c>
      <c r="D87" t="s">
        <v>197</v>
      </c>
      <c r="G87">
        <v>1</v>
      </c>
      <c r="H87" t="s">
        <v>116</v>
      </c>
      <c r="I87">
        <v>1</v>
      </c>
      <c r="K87">
        <v>296.83</v>
      </c>
      <c r="L87">
        <v>2426.9299999999998</v>
      </c>
      <c r="M87">
        <v>2426.9299999999998</v>
      </c>
      <c r="N87">
        <v>572</v>
      </c>
      <c r="P87">
        <v>1854.93</v>
      </c>
      <c r="Q87">
        <v>2826.93</v>
      </c>
      <c r="AH87">
        <v>296.83</v>
      </c>
      <c r="AJ87">
        <v>100</v>
      </c>
      <c r="AK87">
        <v>400</v>
      </c>
    </row>
    <row r="88" spans="1:39" x14ac:dyDescent="0.25">
      <c r="A88" t="s">
        <v>111</v>
      </c>
      <c r="B88" t="s">
        <v>112</v>
      </c>
      <c r="C88">
        <v>18969</v>
      </c>
      <c r="D88" t="s">
        <v>198</v>
      </c>
      <c r="G88">
        <v>1</v>
      </c>
      <c r="H88" t="s">
        <v>116</v>
      </c>
      <c r="I88">
        <v>1</v>
      </c>
      <c r="K88">
        <v>597.69000000000005</v>
      </c>
      <c r="L88">
        <v>5959.54</v>
      </c>
      <c r="M88">
        <v>5923.08</v>
      </c>
      <c r="N88">
        <v>1738</v>
      </c>
      <c r="O88">
        <v>36.46</v>
      </c>
      <c r="P88">
        <v>4221.54</v>
      </c>
      <c r="Q88">
        <v>5692.31</v>
      </c>
      <c r="AA88">
        <v>36.46</v>
      </c>
      <c r="AB88">
        <v>230.77</v>
      </c>
      <c r="AH88">
        <v>597.69000000000005</v>
      </c>
    </row>
    <row r="89" spans="1:39" x14ac:dyDescent="0.25">
      <c r="A89" t="s">
        <v>111</v>
      </c>
      <c r="B89" t="s">
        <v>112</v>
      </c>
      <c r="C89">
        <v>18970</v>
      </c>
      <c r="D89" t="s">
        <v>199</v>
      </c>
      <c r="G89">
        <v>1</v>
      </c>
      <c r="H89" t="s">
        <v>114</v>
      </c>
      <c r="I89">
        <v>1</v>
      </c>
      <c r="K89">
        <v>186.41</v>
      </c>
      <c r="L89">
        <v>2272.16</v>
      </c>
      <c r="M89">
        <v>2272.16</v>
      </c>
      <c r="N89">
        <v>418</v>
      </c>
      <c r="P89">
        <v>1854.16</v>
      </c>
      <c r="Q89">
        <v>980.23</v>
      </c>
      <c r="S89">
        <v>582.33000000000004</v>
      </c>
      <c r="U89">
        <v>283.11</v>
      </c>
      <c r="V89">
        <v>230.44</v>
      </c>
      <c r="X89">
        <v>196.05</v>
      </c>
      <c r="AH89">
        <v>184.65</v>
      </c>
      <c r="AI89">
        <v>1.76</v>
      </c>
    </row>
    <row r="90" spans="1:39" x14ac:dyDescent="0.25">
      <c r="A90" t="s">
        <v>111</v>
      </c>
      <c r="B90" t="s">
        <v>112</v>
      </c>
      <c r="C90">
        <v>18973</v>
      </c>
      <c r="D90" t="s">
        <v>200</v>
      </c>
      <c r="G90">
        <v>1</v>
      </c>
      <c r="H90" t="s">
        <v>114</v>
      </c>
      <c r="I90">
        <v>1</v>
      </c>
      <c r="K90">
        <v>174.47</v>
      </c>
      <c r="L90">
        <v>1645.88</v>
      </c>
      <c r="M90">
        <v>1645.88</v>
      </c>
      <c r="N90">
        <v>210</v>
      </c>
      <c r="P90">
        <v>1435.88</v>
      </c>
      <c r="Q90">
        <v>1371.57</v>
      </c>
      <c r="W90">
        <v>274.31</v>
      </c>
      <c r="AH90">
        <v>172.82</v>
      </c>
      <c r="AI90">
        <v>1.65</v>
      </c>
      <c r="AM90">
        <v>0</v>
      </c>
    </row>
    <row r="91" spans="1:39" x14ac:dyDescent="0.25">
      <c r="A91" t="s">
        <v>111</v>
      </c>
      <c r="B91" t="s">
        <v>112</v>
      </c>
      <c r="C91">
        <v>18974</v>
      </c>
      <c r="D91" t="s">
        <v>201</v>
      </c>
      <c r="G91">
        <v>1</v>
      </c>
      <c r="H91" t="s">
        <v>114</v>
      </c>
      <c r="I91">
        <v>1</v>
      </c>
      <c r="K91">
        <v>306.43</v>
      </c>
      <c r="L91">
        <v>3102.87</v>
      </c>
      <c r="M91">
        <v>3066.41</v>
      </c>
      <c r="N91">
        <v>846</v>
      </c>
      <c r="O91">
        <v>36.46</v>
      </c>
      <c r="P91">
        <v>2256.87</v>
      </c>
      <c r="Q91">
        <v>1334.24</v>
      </c>
      <c r="S91">
        <v>667.12</v>
      </c>
      <c r="T91">
        <v>889.49</v>
      </c>
      <c r="U91">
        <v>175.56</v>
      </c>
      <c r="AA91">
        <v>36.46</v>
      </c>
      <c r="AH91">
        <v>303.54000000000002</v>
      </c>
      <c r="AI91">
        <v>2.89</v>
      </c>
      <c r="AM91">
        <v>154</v>
      </c>
    </row>
    <row r="92" spans="1:39" x14ac:dyDescent="0.25">
      <c r="A92" t="s">
        <v>111</v>
      </c>
      <c r="B92" t="s">
        <v>112</v>
      </c>
      <c r="C92">
        <v>18976</v>
      </c>
      <c r="D92" t="s">
        <v>202</v>
      </c>
      <c r="G92">
        <v>1</v>
      </c>
      <c r="H92" t="s">
        <v>116</v>
      </c>
      <c r="I92">
        <v>1</v>
      </c>
      <c r="K92">
        <v>242.31</v>
      </c>
      <c r="L92">
        <v>2307.69</v>
      </c>
      <c r="M92">
        <v>2307.69</v>
      </c>
      <c r="N92">
        <v>430</v>
      </c>
      <c r="P92">
        <v>1877.69</v>
      </c>
      <c r="Q92">
        <v>2307.69</v>
      </c>
      <c r="AH92">
        <v>242.31</v>
      </c>
    </row>
    <row r="93" spans="1:39" x14ac:dyDescent="0.25">
      <c r="A93" t="s">
        <v>111</v>
      </c>
      <c r="B93" t="s">
        <v>112</v>
      </c>
      <c r="C93">
        <v>18979</v>
      </c>
      <c r="D93" t="s">
        <v>203</v>
      </c>
      <c r="G93">
        <v>1</v>
      </c>
      <c r="H93" t="s">
        <v>114</v>
      </c>
      <c r="I93">
        <v>1</v>
      </c>
      <c r="K93">
        <v>234.37</v>
      </c>
      <c r="L93">
        <v>2855.9</v>
      </c>
      <c r="M93">
        <v>2855.9</v>
      </c>
      <c r="N93">
        <v>620</v>
      </c>
      <c r="P93">
        <v>2235.9</v>
      </c>
      <c r="Q93">
        <v>1948.84</v>
      </c>
      <c r="U93">
        <v>423.05</v>
      </c>
      <c r="V93">
        <v>221.84</v>
      </c>
      <c r="AD93">
        <v>262.17</v>
      </c>
      <c r="AH93">
        <v>232.16</v>
      </c>
      <c r="AI93">
        <v>2.21</v>
      </c>
    </row>
    <row r="94" spans="1:39" x14ac:dyDescent="0.25">
      <c r="A94" t="s">
        <v>111</v>
      </c>
      <c r="B94" t="s">
        <v>112</v>
      </c>
      <c r="C94">
        <v>18983</v>
      </c>
      <c r="D94" t="s">
        <v>204</v>
      </c>
      <c r="G94">
        <v>1</v>
      </c>
      <c r="H94" t="s">
        <v>114</v>
      </c>
      <c r="I94">
        <v>1</v>
      </c>
      <c r="K94">
        <v>227.35</v>
      </c>
      <c r="L94">
        <v>2720.34</v>
      </c>
      <c r="M94">
        <v>2720.34</v>
      </c>
      <c r="N94">
        <v>574</v>
      </c>
      <c r="P94">
        <v>2146.34</v>
      </c>
      <c r="Q94">
        <v>1568.36</v>
      </c>
      <c r="S94">
        <v>576.53</v>
      </c>
      <c r="U94">
        <v>525.58000000000004</v>
      </c>
      <c r="V94">
        <v>49.87</v>
      </c>
      <c r="AH94">
        <v>225.21</v>
      </c>
      <c r="AI94">
        <v>2.14</v>
      </c>
    </row>
    <row r="95" spans="1:39" x14ac:dyDescent="0.25">
      <c r="A95" t="s">
        <v>111</v>
      </c>
      <c r="B95" t="s">
        <v>112</v>
      </c>
      <c r="C95">
        <v>18986</v>
      </c>
      <c r="D95" t="s">
        <v>205</v>
      </c>
      <c r="G95">
        <v>1</v>
      </c>
      <c r="H95" t="s">
        <v>114</v>
      </c>
      <c r="I95">
        <v>1</v>
      </c>
      <c r="K95">
        <v>215.93</v>
      </c>
      <c r="L95">
        <v>2041.84</v>
      </c>
      <c r="M95">
        <v>2041.84</v>
      </c>
      <c r="N95">
        <v>338</v>
      </c>
      <c r="P95">
        <v>1703.84</v>
      </c>
      <c r="Q95">
        <v>1776.1</v>
      </c>
      <c r="U95">
        <v>4.75</v>
      </c>
      <c r="AD95">
        <v>260.99</v>
      </c>
      <c r="AH95">
        <v>213.89</v>
      </c>
      <c r="AI95">
        <v>2.04</v>
      </c>
    </row>
    <row r="96" spans="1:39" x14ac:dyDescent="0.25">
      <c r="A96" t="s">
        <v>111</v>
      </c>
      <c r="B96" t="s">
        <v>112</v>
      </c>
      <c r="C96">
        <v>18987</v>
      </c>
      <c r="D96" t="s">
        <v>206</v>
      </c>
      <c r="G96">
        <v>1</v>
      </c>
      <c r="H96" t="s">
        <v>116</v>
      </c>
      <c r="I96">
        <v>1</v>
      </c>
      <c r="K96">
        <v>331.15</v>
      </c>
      <c r="L96">
        <v>3153.85</v>
      </c>
      <c r="M96">
        <v>3153.85</v>
      </c>
      <c r="N96">
        <v>722</v>
      </c>
      <c r="P96">
        <v>2431.85</v>
      </c>
      <c r="Q96">
        <v>3153.85</v>
      </c>
      <c r="AH96">
        <v>331.15</v>
      </c>
    </row>
    <row r="97" spans="1:39" x14ac:dyDescent="0.25">
      <c r="A97" t="s">
        <v>111</v>
      </c>
      <c r="B97" t="s">
        <v>112</v>
      </c>
      <c r="C97">
        <v>18988</v>
      </c>
      <c r="D97" t="s">
        <v>207</v>
      </c>
      <c r="G97">
        <v>1</v>
      </c>
      <c r="H97" t="s">
        <v>116</v>
      </c>
      <c r="I97">
        <v>1</v>
      </c>
      <c r="K97">
        <v>302.89</v>
      </c>
      <c r="L97">
        <v>2884.62</v>
      </c>
      <c r="M97">
        <v>2884.62</v>
      </c>
      <c r="N97">
        <v>630</v>
      </c>
      <c r="P97">
        <v>2254.62</v>
      </c>
      <c r="Q97">
        <v>2884.62</v>
      </c>
      <c r="AH97">
        <v>302.89</v>
      </c>
    </row>
    <row r="98" spans="1:39" x14ac:dyDescent="0.25">
      <c r="A98" t="s">
        <v>111</v>
      </c>
      <c r="B98" t="s">
        <v>112</v>
      </c>
      <c r="C98">
        <v>18989</v>
      </c>
      <c r="D98" t="s">
        <v>208</v>
      </c>
      <c r="G98">
        <v>1</v>
      </c>
      <c r="H98" t="s">
        <v>114</v>
      </c>
      <c r="I98">
        <v>1</v>
      </c>
      <c r="K98">
        <v>191.38</v>
      </c>
      <c r="L98">
        <v>1805.4</v>
      </c>
      <c r="M98">
        <v>1805.4</v>
      </c>
      <c r="N98">
        <v>256</v>
      </c>
      <c r="P98">
        <v>1549.4</v>
      </c>
      <c r="W98">
        <v>1805.4</v>
      </c>
      <c r="AH98">
        <v>189.57</v>
      </c>
      <c r="AI98">
        <v>1.81</v>
      </c>
    </row>
    <row r="99" spans="1:39" x14ac:dyDescent="0.25">
      <c r="A99" t="s">
        <v>111</v>
      </c>
      <c r="B99" t="s">
        <v>112</v>
      </c>
      <c r="C99">
        <v>18990</v>
      </c>
      <c r="D99" t="s">
        <v>209</v>
      </c>
      <c r="G99">
        <v>1</v>
      </c>
      <c r="H99" t="s">
        <v>114</v>
      </c>
      <c r="I99">
        <v>1</v>
      </c>
      <c r="K99">
        <v>190.33</v>
      </c>
      <c r="L99">
        <v>1904.77</v>
      </c>
      <c r="M99">
        <v>1904.77</v>
      </c>
      <c r="N99">
        <v>310</v>
      </c>
      <c r="P99">
        <v>1594.77</v>
      </c>
      <c r="Q99">
        <v>1795.5</v>
      </c>
      <c r="U99">
        <v>109.27</v>
      </c>
      <c r="AH99">
        <v>188.53</v>
      </c>
      <c r="AI99">
        <v>1.8</v>
      </c>
      <c r="AM99">
        <v>20</v>
      </c>
    </row>
    <row r="100" spans="1:39" x14ac:dyDescent="0.25">
      <c r="A100" t="s">
        <v>111</v>
      </c>
      <c r="B100" t="s">
        <v>112</v>
      </c>
      <c r="C100">
        <v>18996</v>
      </c>
      <c r="D100" t="s">
        <v>210</v>
      </c>
      <c r="G100">
        <v>1</v>
      </c>
      <c r="H100" t="s">
        <v>114</v>
      </c>
      <c r="I100">
        <v>1</v>
      </c>
      <c r="K100">
        <v>172.49</v>
      </c>
      <c r="L100">
        <v>1979.8</v>
      </c>
      <c r="M100">
        <v>1979.8</v>
      </c>
      <c r="N100">
        <v>560</v>
      </c>
      <c r="P100">
        <v>1419.8</v>
      </c>
      <c r="Q100">
        <v>1195.19</v>
      </c>
      <c r="S100">
        <v>432.07</v>
      </c>
      <c r="U100">
        <v>343.08</v>
      </c>
      <c r="V100">
        <v>9.4600000000000009</v>
      </c>
      <c r="AH100">
        <v>170.86</v>
      </c>
      <c r="AI100">
        <v>1.63</v>
      </c>
    </row>
    <row r="101" spans="1:39" x14ac:dyDescent="0.25">
      <c r="A101" t="s">
        <v>111</v>
      </c>
      <c r="B101" t="s">
        <v>112</v>
      </c>
      <c r="C101">
        <v>18999</v>
      </c>
      <c r="D101" t="s">
        <v>211</v>
      </c>
      <c r="G101">
        <v>1</v>
      </c>
      <c r="H101" t="s">
        <v>114</v>
      </c>
      <c r="I101">
        <v>1</v>
      </c>
      <c r="K101">
        <v>235.48</v>
      </c>
      <c r="L101">
        <v>2281.3200000000002</v>
      </c>
      <c r="M101">
        <v>2281.3200000000002</v>
      </c>
      <c r="N101">
        <v>422</v>
      </c>
      <c r="P101">
        <v>1859.32</v>
      </c>
      <c r="Q101">
        <v>1009.78</v>
      </c>
      <c r="S101">
        <v>605.87</v>
      </c>
      <c r="U101">
        <v>59.79</v>
      </c>
      <c r="W101">
        <v>605.88</v>
      </c>
      <c r="AH101">
        <v>233.26</v>
      </c>
      <c r="AI101">
        <v>2.2200000000000002</v>
      </c>
    </row>
    <row r="102" spans="1:39" x14ac:dyDescent="0.25">
      <c r="A102" t="s">
        <v>111</v>
      </c>
      <c r="B102" t="s">
        <v>112</v>
      </c>
      <c r="C102">
        <v>19003</v>
      </c>
      <c r="D102" t="s">
        <v>265</v>
      </c>
      <c r="G102">
        <v>1</v>
      </c>
      <c r="H102" t="s">
        <v>116</v>
      </c>
      <c r="I102">
        <v>1</v>
      </c>
      <c r="K102">
        <v>338.42</v>
      </c>
      <c r="L102">
        <v>3223.08</v>
      </c>
      <c r="M102">
        <v>3223.08</v>
      </c>
      <c r="N102">
        <v>746</v>
      </c>
      <c r="P102">
        <v>2477.08</v>
      </c>
      <c r="Q102">
        <v>2578.46</v>
      </c>
      <c r="W102">
        <v>322.31</v>
      </c>
      <c r="X102">
        <v>322.31</v>
      </c>
      <c r="AH102">
        <v>338.42</v>
      </c>
    </row>
    <row r="103" spans="1:39" x14ac:dyDescent="0.25">
      <c r="A103" t="s">
        <v>111</v>
      </c>
      <c r="B103" t="s">
        <v>112</v>
      </c>
      <c r="C103">
        <v>19006</v>
      </c>
      <c r="D103" t="s">
        <v>212</v>
      </c>
      <c r="G103">
        <v>1</v>
      </c>
      <c r="H103" t="s">
        <v>114</v>
      </c>
      <c r="I103">
        <v>1</v>
      </c>
      <c r="K103">
        <v>238.98</v>
      </c>
      <c r="L103">
        <v>2428.65</v>
      </c>
      <c r="M103">
        <v>2428.65</v>
      </c>
      <c r="N103">
        <v>544</v>
      </c>
      <c r="P103">
        <v>1884.65</v>
      </c>
      <c r="Q103">
        <v>1764.41</v>
      </c>
      <c r="U103">
        <v>174.12</v>
      </c>
      <c r="X103">
        <v>196.05</v>
      </c>
      <c r="AD103">
        <v>294.07</v>
      </c>
      <c r="AH103">
        <v>236.73</v>
      </c>
      <c r="AI103">
        <v>2.25</v>
      </c>
      <c r="AM103">
        <v>72</v>
      </c>
    </row>
    <row r="104" spans="1:39" x14ac:dyDescent="0.25">
      <c r="A104" t="s">
        <v>111</v>
      </c>
      <c r="B104" t="s">
        <v>112</v>
      </c>
      <c r="C104">
        <v>19007</v>
      </c>
      <c r="D104" t="s">
        <v>213</v>
      </c>
      <c r="G104">
        <v>1</v>
      </c>
      <c r="H104" t="s">
        <v>114</v>
      </c>
      <c r="I104">
        <v>1</v>
      </c>
      <c r="K104">
        <v>252.64</v>
      </c>
      <c r="L104">
        <v>2383.42</v>
      </c>
      <c r="M104">
        <v>2383.42</v>
      </c>
      <c r="N104">
        <v>698</v>
      </c>
      <c r="P104">
        <v>1685.42</v>
      </c>
      <c r="Q104">
        <v>1568.36</v>
      </c>
      <c r="S104">
        <v>588.14</v>
      </c>
      <c r="AD104">
        <v>226.92</v>
      </c>
      <c r="AH104">
        <v>250.26</v>
      </c>
      <c r="AI104">
        <v>2.38</v>
      </c>
    </row>
    <row r="105" spans="1:39" x14ac:dyDescent="0.25">
      <c r="A105" t="s">
        <v>111</v>
      </c>
      <c r="B105" t="s">
        <v>112</v>
      </c>
      <c r="C105">
        <v>19008</v>
      </c>
      <c r="D105" t="s">
        <v>214</v>
      </c>
      <c r="G105">
        <v>1</v>
      </c>
      <c r="H105" t="s">
        <v>114</v>
      </c>
      <c r="I105">
        <v>1</v>
      </c>
      <c r="K105">
        <v>133.96</v>
      </c>
      <c r="L105">
        <v>1583.49</v>
      </c>
      <c r="M105">
        <v>1583.49</v>
      </c>
      <c r="N105">
        <v>198</v>
      </c>
      <c r="P105">
        <v>1385.49</v>
      </c>
      <c r="S105">
        <v>541.62</v>
      </c>
      <c r="T105">
        <v>722.16</v>
      </c>
      <c r="U105">
        <v>174.01</v>
      </c>
      <c r="V105">
        <v>145.69999999999999</v>
      </c>
      <c r="AH105">
        <v>132.69999999999999</v>
      </c>
      <c r="AI105">
        <v>1.26</v>
      </c>
    </row>
    <row r="106" spans="1:39" x14ac:dyDescent="0.25">
      <c r="A106" t="s">
        <v>111</v>
      </c>
      <c r="B106" t="s">
        <v>112</v>
      </c>
      <c r="C106">
        <v>19009</v>
      </c>
      <c r="D106" t="s">
        <v>215</v>
      </c>
      <c r="G106">
        <v>1</v>
      </c>
      <c r="H106" t="s">
        <v>114</v>
      </c>
      <c r="I106">
        <v>1</v>
      </c>
      <c r="K106">
        <v>210.51</v>
      </c>
      <c r="L106">
        <v>2179.54</v>
      </c>
      <c r="M106">
        <v>2179.54</v>
      </c>
      <c r="N106">
        <v>386</v>
      </c>
      <c r="P106">
        <v>1793.54</v>
      </c>
      <c r="Q106">
        <v>1263.78</v>
      </c>
      <c r="S106">
        <v>541.62</v>
      </c>
      <c r="U106">
        <v>193.6</v>
      </c>
      <c r="X106">
        <v>180.54</v>
      </c>
      <c r="AH106">
        <v>208.52</v>
      </c>
      <c r="AI106">
        <v>1.99</v>
      </c>
    </row>
    <row r="107" spans="1:39" x14ac:dyDescent="0.25">
      <c r="A107" t="s">
        <v>111</v>
      </c>
      <c r="B107" t="s">
        <v>112</v>
      </c>
      <c r="C107">
        <v>19011</v>
      </c>
      <c r="D107" t="s">
        <v>216</v>
      </c>
      <c r="G107">
        <v>1</v>
      </c>
      <c r="H107" t="s">
        <v>114</v>
      </c>
      <c r="I107">
        <v>1</v>
      </c>
      <c r="K107">
        <v>191.38</v>
      </c>
      <c r="L107">
        <v>2001.98</v>
      </c>
      <c r="M107">
        <v>2001.98</v>
      </c>
      <c r="N107">
        <v>324</v>
      </c>
      <c r="P107">
        <v>1677.98</v>
      </c>
      <c r="Q107">
        <v>1624.86</v>
      </c>
      <c r="U107">
        <v>196.58</v>
      </c>
      <c r="W107">
        <v>180.54</v>
      </c>
      <c r="AH107">
        <v>189.57</v>
      </c>
      <c r="AI107">
        <v>1.81</v>
      </c>
    </row>
    <row r="108" spans="1:39" x14ac:dyDescent="0.25">
      <c r="A108" t="s">
        <v>111</v>
      </c>
      <c r="B108" t="s">
        <v>112</v>
      </c>
      <c r="C108">
        <v>19012</v>
      </c>
      <c r="D108" t="s">
        <v>217</v>
      </c>
      <c r="G108">
        <v>1</v>
      </c>
      <c r="H108" t="s">
        <v>114</v>
      </c>
      <c r="I108">
        <v>1</v>
      </c>
      <c r="K108">
        <v>210.13</v>
      </c>
      <c r="L108">
        <v>2311.38</v>
      </c>
      <c r="M108">
        <v>2311.38</v>
      </c>
      <c r="N108">
        <v>432</v>
      </c>
      <c r="P108">
        <v>1879.38</v>
      </c>
      <c r="Q108">
        <v>1440.75</v>
      </c>
      <c r="S108">
        <v>541.62</v>
      </c>
      <c r="U108">
        <v>300.5</v>
      </c>
      <c r="V108">
        <v>28.51</v>
      </c>
      <c r="AH108">
        <v>208.15</v>
      </c>
      <c r="AI108">
        <v>1.98</v>
      </c>
    </row>
    <row r="109" spans="1:39" x14ac:dyDescent="0.25">
      <c r="A109" t="s">
        <v>111</v>
      </c>
      <c r="B109" t="s">
        <v>112</v>
      </c>
      <c r="C109">
        <v>19013</v>
      </c>
      <c r="D109" t="s">
        <v>218</v>
      </c>
      <c r="G109">
        <v>1</v>
      </c>
      <c r="H109" t="s">
        <v>114</v>
      </c>
      <c r="I109">
        <v>1</v>
      </c>
      <c r="K109">
        <v>276.83999999999997</v>
      </c>
      <c r="L109">
        <v>2946.75</v>
      </c>
      <c r="M109">
        <v>2946.75</v>
      </c>
      <c r="N109">
        <v>784</v>
      </c>
      <c r="P109">
        <v>2162.75</v>
      </c>
      <c r="Q109">
        <v>2611.6999999999998</v>
      </c>
      <c r="U109">
        <v>335.05</v>
      </c>
      <c r="AH109">
        <v>274.23</v>
      </c>
      <c r="AI109">
        <v>2.61</v>
      </c>
      <c r="AM109">
        <v>132</v>
      </c>
    </row>
    <row r="110" spans="1:39" x14ac:dyDescent="0.25">
      <c r="A110" t="s">
        <v>111</v>
      </c>
      <c r="B110" t="s">
        <v>112</v>
      </c>
      <c r="C110">
        <v>19014</v>
      </c>
      <c r="D110" t="s">
        <v>219</v>
      </c>
      <c r="G110">
        <v>1</v>
      </c>
      <c r="H110" t="s">
        <v>116</v>
      </c>
      <c r="I110">
        <v>1</v>
      </c>
      <c r="K110">
        <v>270.58</v>
      </c>
      <c r="L110">
        <v>2576.92</v>
      </c>
      <c r="M110">
        <v>2576.92</v>
      </c>
      <c r="N110">
        <v>614</v>
      </c>
      <c r="P110">
        <v>1962.92</v>
      </c>
      <c r="Q110">
        <v>2319.23</v>
      </c>
      <c r="W110">
        <v>257.69</v>
      </c>
      <c r="AH110">
        <v>270.58</v>
      </c>
      <c r="AM110">
        <v>90</v>
      </c>
    </row>
    <row r="111" spans="1:39" x14ac:dyDescent="0.25">
      <c r="A111" t="s">
        <v>111</v>
      </c>
      <c r="B111" t="s">
        <v>112</v>
      </c>
      <c r="C111">
        <v>19015</v>
      </c>
      <c r="D111" t="s">
        <v>220</v>
      </c>
      <c r="G111">
        <v>1</v>
      </c>
      <c r="H111" t="s">
        <v>114</v>
      </c>
      <c r="I111">
        <v>1</v>
      </c>
      <c r="K111">
        <v>72.05</v>
      </c>
      <c r="L111">
        <v>801.81</v>
      </c>
      <c r="M111">
        <v>801.81</v>
      </c>
      <c r="N111">
        <v>16</v>
      </c>
      <c r="P111">
        <v>785.81</v>
      </c>
      <c r="Q111">
        <v>389.51</v>
      </c>
      <c r="S111">
        <v>290.2</v>
      </c>
      <c r="U111">
        <v>77.39</v>
      </c>
      <c r="V111">
        <v>44.71</v>
      </c>
      <c r="AH111">
        <v>71.37</v>
      </c>
      <c r="AI111">
        <v>0.68</v>
      </c>
    </row>
    <row r="112" spans="1:39" x14ac:dyDescent="0.25">
      <c r="A112" t="s">
        <v>111</v>
      </c>
      <c r="B112" t="s">
        <v>112</v>
      </c>
      <c r="C112">
        <v>19017</v>
      </c>
      <c r="D112" t="s">
        <v>221</v>
      </c>
      <c r="G112">
        <v>1</v>
      </c>
      <c r="H112" t="s">
        <v>114</v>
      </c>
      <c r="I112">
        <v>1</v>
      </c>
      <c r="K112">
        <v>208.71</v>
      </c>
      <c r="L112">
        <v>2629.58</v>
      </c>
      <c r="M112">
        <v>2629.58</v>
      </c>
      <c r="N112">
        <v>634</v>
      </c>
      <c r="P112">
        <v>1995.58</v>
      </c>
      <c r="Q112">
        <v>1431.96</v>
      </c>
      <c r="S112">
        <v>536.99</v>
      </c>
      <c r="U112">
        <v>441.6</v>
      </c>
      <c r="V112">
        <v>219.03</v>
      </c>
      <c r="AH112">
        <v>206.74</v>
      </c>
      <c r="AI112">
        <v>1.97</v>
      </c>
      <c r="AM112">
        <v>92</v>
      </c>
    </row>
    <row r="113" spans="1:35" x14ac:dyDescent="0.25">
      <c r="A113" t="s">
        <v>111</v>
      </c>
      <c r="B113" t="s">
        <v>112</v>
      </c>
      <c r="C113">
        <v>19019</v>
      </c>
      <c r="D113" t="s">
        <v>222</v>
      </c>
      <c r="G113">
        <v>1</v>
      </c>
      <c r="H113" t="s">
        <v>114</v>
      </c>
      <c r="I113">
        <v>1</v>
      </c>
      <c r="K113">
        <v>228.59</v>
      </c>
      <c r="L113">
        <v>2732.83</v>
      </c>
      <c r="M113">
        <v>2732.83</v>
      </c>
      <c r="N113">
        <v>578</v>
      </c>
      <c r="P113">
        <v>2154.83</v>
      </c>
      <c r="Q113">
        <v>1372.32</v>
      </c>
      <c r="S113">
        <v>588.14</v>
      </c>
      <c r="U113">
        <v>489.47</v>
      </c>
      <c r="V113">
        <v>86.85</v>
      </c>
      <c r="W113">
        <v>196.05</v>
      </c>
      <c r="AH113">
        <v>226.43</v>
      </c>
      <c r="AI113">
        <v>2.16</v>
      </c>
    </row>
    <row r="114" spans="1:35" x14ac:dyDescent="0.25">
      <c r="A114" t="s">
        <v>111</v>
      </c>
      <c r="B114" t="s">
        <v>112</v>
      </c>
      <c r="C114">
        <v>19020</v>
      </c>
      <c r="D114" t="s">
        <v>223</v>
      </c>
      <c r="G114">
        <v>1</v>
      </c>
      <c r="H114" t="s">
        <v>116</v>
      </c>
      <c r="I114">
        <v>1</v>
      </c>
      <c r="K114">
        <v>221.95</v>
      </c>
      <c r="L114">
        <v>2113.79</v>
      </c>
      <c r="M114">
        <v>2113.79</v>
      </c>
      <c r="N114">
        <v>362</v>
      </c>
      <c r="P114">
        <v>1751.79</v>
      </c>
      <c r="Q114">
        <v>2113.79</v>
      </c>
      <c r="AH114">
        <v>221.95</v>
      </c>
    </row>
    <row r="115" spans="1:35" x14ac:dyDescent="0.25">
      <c r="A115" t="s">
        <v>111</v>
      </c>
      <c r="B115" t="s">
        <v>112</v>
      </c>
      <c r="C115">
        <v>19021</v>
      </c>
      <c r="D115" t="s">
        <v>224</v>
      </c>
      <c r="G115">
        <v>1</v>
      </c>
      <c r="H115" t="s">
        <v>114</v>
      </c>
      <c r="I115">
        <v>1</v>
      </c>
      <c r="K115">
        <v>207.81</v>
      </c>
      <c r="L115">
        <v>2049.4499999999998</v>
      </c>
      <c r="M115">
        <v>2049.4499999999998</v>
      </c>
      <c r="N115">
        <v>340</v>
      </c>
      <c r="P115">
        <v>1709.45</v>
      </c>
      <c r="Q115">
        <v>1764.41</v>
      </c>
      <c r="U115">
        <v>88.99</v>
      </c>
      <c r="X115">
        <v>196.05</v>
      </c>
      <c r="AH115">
        <v>205.85</v>
      </c>
      <c r="AI115">
        <v>1.96</v>
      </c>
    </row>
    <row r="116" spans="1:35" x14ac:dyDescent="0.25">
      <c r="A116" t="s">
        <v>111</v>
      </c>
      <c r="B116" t="s">
        <v>112</v>
      </c>
      <c r="C116">
        <v>19023</v>
      </c>
      <c r="D116" t="s">
        <v>225</v>
      </c>
      <c r="G116">
        <v>1</v>
      </c>
      <c r="H116" t="s">
        <v>114</v>
      </c>
      <c r="I116">
        <v>1</v>
      </c>
      <c r="K116">
        <v>85.09</v>
      </c>
      <c r="L116">
        <v>802.73</v>
      </c>
      <c r="M116">
        <v>802.73</v>
      </c>
      <c r="N116">
        <v>16</v>
      </c>
      <c r="P116">
        <v>786.73</v>
      </c>
      <c r="R116">
        <v>642.17999999999995</v>
      </c>
      <c r="AE116">
        <v>160.55000000000001</v>
      </c>
      <c r="AH116">
        <v>84.29</v>
      </c>
      <c r="AI116">
        <v>0.8</v>
      </c>
    </row>
    <row r="117" spans="1:35" x14ac:dyDescent="0.25">
      <c r="A117" t="s">
        <v>111</v>
      </c>
      <c r="B117" t="s">
        <v>112</v>
      </c>
      <c r="C117">
        <v>19025</v>
      </c>
      <c r="D117" t="s">
        <v>226</v>
      </c>
      <c r="G117">
        <v>1</v>
      </c>
      <c r="H117" t="s">
        <v>116</v>
      </c>
      <c r="I117">
        <v>1</v>
      </c>
      <c r="K117">
        <v>290.77</v>
      </c>
      <c r="L117">
        <v>2769.23</v>
      </c>
      <c r="M117">
        <v>2769.23</v>
      </c>
      <c r="N117">
        <v>590</v>
      </c>
      <c r="P117">
        <v>2179.23</v>
      </c>
      <c r="Q117">
        <v>2601.62</v>
      </c>
      <c r="X117">
        <v>167.61</v>
      </c>
      <c r="AH117">
        <v>290.77</v>
      </c>
    </row>
    <row r="118" spans="1:35" x14ac:dyDescent="0.25">
      <c r="A118" t="s">
        <v>111</v>
      </c>
      <c r="B118" t="s">
        <v>112</v>
      </c>
      <c r="C118">
        <v>19026</v>
      </c>
      <c r="D118" t="s">
        <v>227</v>
      </c>
      <c r="G118">
        <v>1</v>
      </c>
      <c r="H118" t="s">
        <v>114</v>
      </c>
      <c r="I118">
        <v>1</v>
      </c>
      <c r="K118">
        <v>124.69</v>
      </c>
      <c r="L118">
        <v>1195.6199999999999</v>
      </c>
      <c r="M118">
        <v>1195.6199999999999</v>
      </c>
      <c r="N118">
        <v>286</v>
      </c>
      <c r="P118">
        <v>909.62</v>
      </c>
      <c r="Q118">
        <v>1176.27</v>
      </c>
      <c r="U118">
        <v>19.350000000000001</v>
      </c>
      <c r="AH118">
        <v>123.51</v>
      </c>
      <c r="AI118">
        <v>1.18</v>
      </c>
    </row>
    <row r="119" spans="1:35" x14ac:dyDescent="0.25">
      <c r="A119" t="s">
        <v>111</v>
      </c>
      <c r="B119" t="s">
        <v>112</v>
      </c>
      <c r="C119">
        <v>19027</v>
      </c>
      <c r="D119" t="s">
        <v>277</v>
      </c>
      <c r="G119">
        <v>1</v>
      </c>
      <c r="H119" t="s">
        <v>114</v>
      </c>
      <c r="I119">
        <v>1</v>
      </c>
      <c r="K119">
        <v>21.41</v>
      </c>
      <c r="L119">
        <v>201.96</v>
      </c>
      <c r="M119">
        <v>201.96</v>
      </c>
      <c r="N119">
        <v>0</v>
      </c>
      <c r="P119">
        <v>201.96</v>
      </c>
      <c r="Q119">
        <v>201.96</v>
      </c>
      <c r="AH119">
        <v>21.21</v>
      </c>
      <c r="AI119">
        <v>0.2</v>
      </c>
    </row>
    <row r="120" spans="1:35" x14ac:dyDescent="0.25">
      <c r="A120" t="s">
        <v>111</v>
      </c>
      <c r="B120" t="s">
        <v>112</v>
      </c>
      <c r="C120">
        <v>19028</v>
      </c>
      <c r="D120" t="s">
        <v>228</v>
      </c>
      <c r="G120">
        <v>1</v>
      </c>
      <c r="H120" t="s">
        <v>114</v>
      </c>
      <c r="I120">
        <v>1</v>
      </c>
      <c r="K120">
        <v>191.38</v>
      </c>
      <c r="L120">
        <v>2305.64</v>
      </c>
      <c r="M120">
        <v>2305.64</v>
      </c>
      <c r="N120">
        <v>430</v>
      </c>
      <c r="P120">
        <v>1875.64</v>
      </c>
      <c r="Q120">
        <v>1624.86</v>
      </c>
      <c r="U120">
        <v>430.56</v>
      </c>
      <c r="V120">
        <v>69.680000000000007</v>
      </c>
      <c r="X120">
        <v>180.54</v>
      </c>
      <c r="AH120">
        <v>189.57</v>
      </c>
      <c r="AI120">
        <v>1.81</v>
      </c>
    </row>
    <row r="121" spans="1:35" x14ac:dyDescent="0.25">
      <c r="A121" t="s">
        <v>111</v>
      </c>
      <c r="B121" t="s">
        <v>112</v>
      </c>
      <c r="C121">
        <v>19029</v>
      </c>
      <c r="D121" t="s">
        <v>240</v>
      </c>
      <c r="G121">
        <v>1</v>
      </c>
      <c r="H121" t="s">
        <v>114</v>
      </c>
      <c r="I121">
        <v>1</v>
      </c>
      <c r="K121">
        <v>210.32</v>
      </c>
      <c r="L121">
        <v>2293.37</v>
      </c>
      <c r="M121">
        <v>2293.37</v>
      </c>
      <c r="N121">
        <v>426</v>
      </c>
      <c r="P121">
        <v>1867.37</v>
      </c>
      <c r="Q121">
        <v>1444.32</v>
      </c>
      <c r="S121">
        <v>539.84</v>
      </c>
      <c r="U121">
        <v>283.87</v>
      </c>
      <c r="V121">
        <v>25.34</v>
      </c>
      <c r="AH121">
        <v>208.34</v>
      </c>
      <c r="AI121">
        <v>1.98</v>
      </c>
    </row>
    <row r="122" spans="1:35" x14ac:dyDescent="0.25">
      <c r="A122" t="s">
        <v>111</v>
      </c>
      <c r="B122" t="s">
        <v>112</v>
      </c>
      <c r="C122">
        <v>19030</v>
      </c>
      <c r="D122" t="s">
        <v>229</v>
      </c>
      <c r="G122">
        <v>1</v>
      </c>
      <c r="H122" t="s">
        <v>114</v>
      </c>
      <c r="I122">
        <v>1</v>
      </c>
      <c r="K122">
        <v>234.65</v>
      </c>
      <c r="L122">
        <v>2213.69</v>
      </c>
      <c r="M122">
        <v>2213.69</v>
      </c>
      <c r="N122">
        <v>398</v>
      </c>
      <c r="P122">
        <v>1815.69</v>
      </c>
      <c r="R122">
        <v>1770.95</v>
      </c>
      <c r="AE122">
        <v>442.74</v>
      </c>
      <c r="AH122">
        <v>232.44</v>
      </c>
      <c r="AI122">
        <v>2.21</v>
      </c>
    </row>
    <row r="123" spans="1:35" x14ac:dyDescent="0.25">
      <c r="A123" t="s">
        <v>111</v>
      </c>
      <c r="B123" t="s">
        <v>112</v>
      </c>
      <c r="C123">
        <v>19031</v>
      </c>
      <c r="D123" t="s">
        <v>241</v>
      </c>
      <c r="G123">
        <v>1</v>
      </c>
      <c r="H123" t="s">
        <v>116</v>
      </c>
      <c r="I123">
        <v>1</v>
      </c>
      <c r="K123">
        <v>343.27</v>
      </c>
      <c r="L123">
        <v>3961.54</v>
      </c>
      <c r="M123">
        <v>3961.54</v>
      </c>
      <c r="N123">
        <v>1002</v>
      </c>
      <c r="P123">
        <v>2959.54</v>
      </c>
      <c r="Q123">
        <v>2942.31</v>
      </c>
      <c r="X123">
        <v>326.92</v>
      </c>
      <c r="AB123">
        <v>692.31</v>
      </c>
      <c r="AH123">
        <v>343.27</v>
      </c>
    </row>
    <row r="124" spans="1:35" x14ac:dyDescent="0.25">
      <c r="A124" t="s">
        <v>111</v>
      </c>
      <c r="B124" t="s">
        <v>112</v>
      </c>
      <c r="C124">
        <v>19032</v>
      </c>
      <c r="D124" t="s">
        <v>242</v>
      </c>
      <c r="G124">
        <v>1</v>
      </c>
      <c r="H124" t="s">
        <v>114</v>
      </c>
      <c r="I124">
        <v>1</v>
      </c>
      <c r="K124">
        <v>124.69</v>
      </c>
      <c r="L124">
        <v>1195.6199999999999</v>
      </c>
      <c r="M124">
        <v>1195.6199999999999</v>
      </c>
      <c r="N124">
        <v>114</v>
      </c>
      <c r="P124">
        <v>1081.6199999999999</v>
      </c>
      <c r="Q124">
        <v>1176.27</v>
      </c>
      <c r="U124">
        <v>19.350000000000001</v>
      </c>
      <c r="AH124">
        <v>123.51</v>
      </c>
      <c r="AI124">
        <v>1.18</v>
      </c>
    </row>
    <row r="125" spans="1:35" x14ac:dyDescent="0.25">
      <c r="A125" t="s">
        <v>111</v>
      </c>
      <c r="B125" t="s">
        <v>112</v>
      </c>
      <c r="C125">
        <v>19033</v>
      </c>
      <c r="D125" t="s">
        <v>243</v>
      </c>
      <c r="G125">
        <v>1</v>
      </c>
      <c r="H125" t="s">
        <v>114</v>
      </c>
      <c r="I125">
        <v>1</v>
      </c>
      <c r="K125">
        <v>191.38</v>
      </c>
      <c r="L125">
        <v>2165.89</v>
      </c>
      <c r="M125">
        <v>2165.89</v>
      </c>
      <c r="N125">
        <v>380</v>
      </c>
      <c r="P125">
        <v>1785.89</v>
      </c>
      <c r="Q125">
        <v>1805.4</v>
      </c>
      <c r="U125">
        <v>360.49</v>
      </c>
      <c r="AH125">
        <v>189.57</v>
      </c>
      <c r="AI125">
        <v>1.81</v>
      </c>
    </row>
    <row r="126" spans="1:35" x14ac:dyDescent="0.25">
      <c r="A126" t="s">
        <v>111</v>
      </c>
      <c r="B126" t="s">
        <v>112</v>
      </c>
      <c r="C126">
        <v>19035</v>
      </c>
      <c r="D126" t="s">
        <v>244</v>
      </c>
      <c r="G126">
        <v>1</v>
      </c>
      <c r="H126" t="s">
        <v>114</v>
      </c>
      <c r="I126">
        <v>1</v>
      </c>
      <c r="K126">
        <v>219.85</v>
      </c>
      <c r="L126">
        <v>2074.06</v>
      </c>
      <c r="M126">
        <v>2074.06</v>
      </c>
      <c r="N126">
        <v>350</v>
      </c>
      <c r="P126">
        <v>1724.06</v>
      </c>
      <c r="Q126">
        <v>1978.54</v>
      </c>
      <c r="W126">
        <v>95.52</v>
      </c>
      <c r="AH126">
        <v>217.78</v>
      </c>
      <c r="AI126">
        <v>2.0699999999999998</v>
      </c>
    </row>
    <row r="127" spans="1:35" x14ac:dyDescent="0.25">
      <c r="A127" t="s">
        <v>111</v>
      </c>
      <c r="B127" t="s">
        <v>112</v>
      </c>
      <c r="C127">
        <v>19037</v>
      </c>
      <c r="D127" t="s">
        <v>249</v>
      </c>
      <c r="G127">
        <v>1</v>
      </c>
      <c r="H127" t="s">
        <v>114</v>
      </c>
      <c r="I127">
        <v>1</v>
      </c>
      <c r="K127">
        <v>163.05000000000001</v>
      </c>
      <c r="L127">
        <v>1702.65</v>
      </c>
      <c r="M127">
        <v>1702.65</v>
      </c>
      <c r="N127">
        <v>224</v>
      </c>
      <c r="P127">
        <v>1478.65</v>
      </c>
      <c r="Q127">
        <v>1263.78</v>
      </c>
      <c r="S127">
        <v>274.37</v>
      </c>
      <c r="U127">
        <v>164.5</v>
      </c>
      <c r="AH127">
        <v>161.51</v>
      </c>
      <c r="AI127">
        <v>1.54</v>
      </c>
    </row>
    <row r="128" spans="1:35" x14ac:dyDescent="0.25">
      <c r="A128" t="s">
        <v>111</v>
      </c>
      <c r="B128" t="s">
        <v>112</v>
      </c>
      <c r="C128">
        <v>19039</v>
      </c>
      <c r="D128" t="s">
        <v>250</v>
      </c>
      <c r="G128">
        <v>1</v>
      </c>
      <c r="H128" t="s">
        <v>114</v>
      </c>
      <c r="I128">
        <v>1</v>
      </c>
      <c r="K128">
        <v>204.88</v>
      </c>
      <c r="L128">
        <v>1945.35</v>
      </c>
      <c r="M128">
        <v>1945.35</v>
      </c>
      <c r="N128">
        <v>304</v>
      </c>
      <c r="P128">
        <v>1641.35</v>
      </c>
      <c r="Q128">
        <v>1055.92</v>
      </c>
      <c r="T128">
        <v>716.61</v>
      </c>
      <c r="U128">
        <v>12.47</v>
      </c>
      <c r="AD128">
        <v>160.35</v>
      </c>
      <c r="AH128">
        <v>202.95</v>
      </c>
      <c r="AI128">
        <v>1.93</v>
      </c>
    </row>
    <row r="129" spans="1:42" x14ac:dyDescent="0.25">
      <c r="A129" t="s">
        <v>111</v>
      </c>
      <c r="B129" t="s">
        <v>112</v>
      </c>
      <c r="C129">
        <v>19040</v>
      </c>
      <c r="D129" t="s">
        <v>252</v>
      </c>
      <c r="G129">
        <v>1</v>
      </c>
      <c r="H129" t="s">
        <v>116</v>
      </c>
      <c r="I129">
        <v>1</v>
      </c>
      <c r="K129">
        <v>131.78</v>
      </c>
      <c r="L129">
        <v>1255.06</v>
      </c>
      <c r="M129">
        <v>1255.06</v>
      </c>
      <c r="N129">
        <v>128</v>
      </c>
      <c r="P129">
        <v>1127.06</v>
      </c>
      <c r="Q129">
        <v>1255.06</v>
      </c>
      <c r="AH129">
        <v>131.78</v>
      </c>
    </row>
    <row r="130" spans="1:42" x14ac:dyDescent="0.25">
      <c r="A130" t="s">
        <v>111</v>
      </c>
      <c r="B130" t="s">
        <v>112</v>
      </c>
      <c r="C130">
        <v>19042</v>
      </c>
      <c r="D130" t="s">
        <v>255</v>
      </c>
      <c r="G130">
        <v>1</v>
      </c>
      <c r="H130" t="s">
        <v>114</v>
      </c>
      <c r="I130">
        <v>1</v>
      </c>
      <c r="K130">
        <v>268.22000000000003</v>
      </c>
      <c r="L130">
        <v>2632.69</v>
      </c>
      <c r="M130">
        <v>2632.69</v>
      </c>
      <c r="N130">
        <v>544</v>
      </c>
      <c r="P130">
        <v>2088.69</v>
      </c>
      <c r="Q130">
        <v>1659.24</v>
      </c>
      <c r="S130">
        <v>622.22</v>
      </c>
      <c r="U130">
        <v>102.34</v>
      </c>
      <c r="AD130">
        <v>248.89</v>
      </c>
      <c r="AH130">
        <v>265.69</v>
      </c>
      <c r="AI130">
        <v>2.5299999999999998</v>
      </c>
    </row>
    <row r="131" spans="1:42" x14ac:dyDescent="0.25">
      <c r="A131" t="s">
        <v>111</v>
      </c>
      <c r="B131" t="s">
        <v>112</v>
      </c>
      <c r="C131">
        <v>19043</v>
      </c>
      <c r="D131" t="s">
        <v>256</v>
      </c>
      <c r="G131">
        <v>1</v>
      </c>
      <c r="H131" t="s">
        <v>114</v>
      </c>
      <c r="I131">
        <v>1</v>
      </c>
      <c r="K131">
        <v>114.82</v>
      </c>
      <c r="L131">
        <v>1171.1400000000001</v>
      </c>
      <c r="M131">
        <v>1171.1400000000001</v>
      </c>
      <c r="N131">
        <v>110</v>
      </c>
      <c r="P131">
        <v>1061.1400000000001</v>
      </c>
      <c r="Q131">
        <v>541.62</v>
      </c>
      <c r="U131">
        <v>87.9</v>
      </c>
      <c r="W131">
        <v>541.62</v>
      </c>
      <c r="Y131">
        <v>0</v>
      </c>
      <c r="AH131">
        <v>113.74</v>
      </c>
      <c r="AI131">
        <v>1.08</v>
      </c>
    </row>
    <row r="132" spans="1:42" x14ac:dyDescent="0.25">
      <c r="A132" t="s">
        <v>111</v>
      </c>
      <c r="B132" t="s">
        <v>112</v>
      </c>
      <c r="C132">
        <v>19045</v>
      </c>
      <c r="D132" t="s">
        <v>257</v>
      </c>
      <c r="G132">
        <v>1</v>
      </c>
      <c r="H132" t="s">
        <v>114</v>
      </c>
      <c r="I132">
        <v>1</v>
      </c>
      <c r="K132">
        <v>114.82</v>
      </c>
      <c r="L132">
        <v>1083.24</v>
      </c>
      <c r="M132">
        <v>1083.24</v>
      </c>
      <c r="N132">
        <v>90</v>
      </c>
      <c r="P132">
        <v>993.24</v>
      </c>
      <c r="Q132">
        <v>1083.24</v>
      </c>
      <c r="AH132">
        <v>113.74</v>
      </c>
      <c r="AI132">
        <v>1.08</v>
      </c>
      <c r="AM132">
        <v>0</v>
      </c>
    </row>
    <row r="133" spans="1:42" x14ac:dyDescent="0.25">
      <c r="A133" t="s">
        <v>111</v>
      </c>
      <c r="B133" t="s">
        <v>112</v>
      </c>
      <c r="C133">
        <v>19046</v>
      </c>
      <c r="D133" t="s">
        <v>258</v>
      </c>
      <c r="G133">
        <v>1</v>
      </c>
      <c r="H133" t="s">
        <v>114</v>
      </c>
      <c r="I133">
        <v>1</v>
      </c>
      <c r="K133">
        <v>238.97</v>
      </c>
      <c r="L133">
        <v>2312.56</v>
      </c>
      <c r="M133">
        <v>2312.56</v>
      </c>
      <c r="N133">
        <v>432</v>
      </c>
      <c r="P133">
        <v>1880.56</v>
      </c>
      <c r="Q133">
        <v>1960.45</v>
      </c>
      <c r="U133">
        <v>58.04</v>
      </c>
      <c r="AD133">
        <v>294.07</v>
      </c>
      <c r="AH133">
        <v>236.72</v>
      </c>
      <c r="AI133">
        <v>2.25</v>
      </c>
    </row>
    <row r="134" spans="1:42" x14ac:dyDescent="0.25">
      <c r="A134" t="s">
        <v>111</v>
      </c>
      <c r="B134" t="s">
        <v>112</v>
      </c>
      <c r="C134">
        <v>19048</v>
      </c>
      <c r="D134" t="s">
        <v>260</v>
      </c>
      <c r="G134">
        <v>1</v>
      </c>
      <c r="H134" t="s">
        <v>114</v>
      </c>
      <c r="I134">
        <v>1</v>
      </c>
      <c r="K134">
        <v>183.65</v>
      </c>
      <c r="L134">
        <v>2238.73</v>
      </c>
      <c r="M134">
        <v>2238.73</v>
      </c>
      <c r="N134">
        <v>406</v>
      </c>
      <c r="P134">
        <v>1832.73</v>
      </c>
      <c r="Q134">
        <v>1732.55</v>
      </c>
      <c r="U134">
        <v>393.74</v>
      </c>
      <c r="V134">
        <v>112.44</v>
      </c>
      <c r="AH134">
        <v>181.92</v>
      </c>
      <c r="AI134">
        <v>1.73</v>
      </c>
    </row>
    <row r="135" spans="1:42" x14ac:dyDescent="0.25">
      <c r="A135" t="s">
        <v>111</v>
      </c>
      <c r="B135" t="s">
        <v>112</v>
      </c>
      <c r="C135">
        <v>19049</v>
      </c>
      <c r="D135" t="s">
        <v>261</v>
      </c>
      <c r="G135">
        <v>1</v>
      </c>
      <c r="H135" t="s">
        <v>114</v>
      </c>
      <c r="I135">
        <v>1</v>
      </c>
      <c r="K135">
        <v>158.05000000000001</v>
      </c>
      <c r="L135">
        <v>1886.75</v>
      </c>
      <c r="M135">
        <v>1886.75</v>
      </c>
      <c r="N135">
        <v>284</v>
      </c>
      <c r="P135">
        <v>1602.75</v>
      </c>
      <c r="Q135">
        <v>359.49</v>
      </c>
      <c r="S135">
        <v>541.62</v>
      </c>
      <c r="T135">
        <v>589.91999999999996</v>
      </c>
      <c r="U135">
        <v>188.26</v>
      </c>
      <c r="V135">
        <v>207.46</v>
      </c>
      <c r="AH135">
        <v>156.56</v>
      </c>
      <c r="AI135">
        <v>1.49</v>
      </c>
    </row>
    <row r="136" spans="1:42" x14ac:dyDescent="0.25">
      <c r="A136" t="s">
        <v>111</v>
      </c>
      <c r="B136" t="s">
        <v>112</v>
      </c>
      <c r="C136">
        <v>19050</v>
      </c>
      <c r="D136" t="s">
        <v>278</v>
      </c>
      <c r="G136">
        <v>1</v>
      </c>
      <c r="H136" t="s">
        <v>114</v>
      </c>
      <c r="I136">
        <v>1</v>
      </c>
      <c r="K136">
        <v>67.95</v>
      </c>
      <c r="L136">
        <v>641.05999999999995</v>
      </c>
      <c r="M136">
        <v>641.05999999999995</v>
      </c>
      <c r="N136">
        <v>142</v>
      </c>
      <c r="P136">
        <v>499.06</v>
      </c>
      <c r="R136">
        <v>512.85</v>
      </c>
      <c r="AE136">
        <v>128.21</v>
      </c>
      <c r="AH136">
        <v>67.31</v>
      </c>
      <c r="AI136">
        <v>0.64</v>
      </c>
    </row>
    <row r="137" spans="1:42" x14ac:dyDescent="0.25">
      <c r="A137" t="s">
        <v>111</v>
      </c>
      <c r="B137" t="s">
        <v>112</v>
      </c>
      <c r="C137">
        <v>19051</v>
      </c>
      <c r="D137" t="s">
        <v>263</v>
      </c>
      <c r="G137">
        <v>1</v>
      </c>
      <c r="H137" t="s">
        <v>114</v>
      </c>
      <c r="I137">
        <v>1</v>
      </c>
      <c r="K137">
        <v>172.23</v>
      </c>
      <c r="L137">
        <v>1624.86</v>
      </c>
      <c r="M137">
        <v>1624.86</v>
      </c>
      <c r="N137">
        <v>206</v>
      </c>
      <c r="P137">
        <v>1418.86</v>
      </c>
      <c r="Q137">
        <v>902.7</v>
      </c>
      <c r="S137">
        <v>541.62</v>
      </c>
      <c r="W137">
        <v>180.54</v>
      </c>
      <c r="AH137">
        <v>170.61</v>
      </c>
      <c r="AI137">
        <v>1.62</v>
      </c>
    </row>
    <row r="138" spans="1:42" x14ac:dyDescent="0.25">
      <c r="A138" t="s">
        <v>111</v>
      </c>
      <c r="B138" t="s">
        <v>112</v>
      </c>
      <c r="C138">
        <v>19052</v>
      </c>
      <c r="D138" t="s">
        <v>266</v>
      </c>
      <c r="G138">
        <v>1</v>
      </c>
      <c r="H138" t="s">
        <v>114</v>
      </c>
      <c r="I138">
        <v>1</v>
      </c>
      <c r="K138">
        <v>220.08</v>
      </c>
      <c r="L138">
        <v>2094.0300000000002</v>
      </c>
      <c r="M138">
        <v>2094.0300000000002</v>
      </c>
      <c r="N138">
        <v>376</v>
      </c>
      <c r="P138">
        <v>1718.03</v>
      </c>
      <c r="Q138">
        <v>1805.4</v>
      </c>
      <c r="U138">
        <v>17.82</v>
      </c>
      <c r="AD138">
        <v>270.81</v>
      </c>
      <c r="AH138">
        <v>218</v>
      </c>
      <c r="AI138">
        <v>2.08</v>
      </c>
      <c r="AM138">
        <v>20</v>
      </c>
    </row>
    <row r="139" spans="1:42" x14ac:dyDescent="0.25">
      <c r="A139" t="s">
        <v>111</v>
      </c>
      <c r="B139" t="s">
        <v>112</v>
      </c>
      <c r="C139">
        <v>19053</v>
      </c>
      <c r="D139" t="s">
        <v>267</v>
      </c>
      <c r="G139">
        <v>1</v>
      </c>
      <c r="H139" t="s">
        <v>114</v>
      </c>
      <c r="I139">
        <v>1</v>
      </c>
      <c r="K139">
        <v>207.81</v>
      </c>
      <c r="L139">
        <v>1960.47</v>
      </c>
      <c r="M139">
        <v>1960.47</v>
      </c>
      <c r="N139">
        <v>310</v>
      </c>
      <c r="P139">
        <v>1650.47</v>
      </c>
      <c r="Q139">
        <v>1372.32</v>
      </c>
      <c r="W139">
        <v>392.1</v>
      </c>
      <c r="X139">
        <v>196.05</v>
      </c>
      <c r="AH139">
        <v>205.85</v>
      </c>
      <c r="AI139">
        <v>1.96</v>
      </c>
    </row>
    <row r="140" spans="1:42" x14ac:dyDescent="0.25">
      <c r="A140" t="s">
        <v>111</v>
      </c>
      <c r="B140" t="s">
        <v>112</v>
      </c>
      <c r="C140">
        <v>19054</v>
      </c>
      <c r="D140" t="s">
        <v>269</v>
      </c>
      <c r="G140">
        <v>1</v>
      </c>
      <c r="H140" t="s">
        <v>116</v>
      </c>
      <c r="I140">
        <v>1</v>
      </c>
      <c r="K140">
        <v>363.46</v>
      </c>
      <c r="L140">
        <v>3461.54</v>
      </c>
      <c r="M140">
        <v>3461.54</v>
      </c>
      <c r="N140">
        <v>828</v>
      </c>
      <c r="P140">
        <v>2633.54</v>
      </c>
      <c r="Q140">
        <v>3461.54</v>
      </c>
      <c r="AH140">
        <v>363.46</v>
      </c>
    </row>
    <row r="141" spans="1:42" x14ac:dyDescent="0.25">
      <c r="A141" t="s">
        <v>111</v>
      </c>
      <c r="B141" t="s">
        <v>112</v>
      </c>
      <c r="C141">
        <v>19055</v>
      </c>
      <c r="D141" t="s">
        <v>268</v>
      </c>
      <c r="G141">
        <v>1</v>
      </c>
      <c r="H141" t="s">
        <v>165</v>
      </c>
      <c r="I141">
        <v>1</v>
      </c>
      <c r="K141">
        <v>193.85</v>
      </c>
      <c r="L141">
        <v>2440.77</v>
      </c>
      <c r="M141">
        <v>2440.77</v>
      </c>
      <c r="N141">
        <v>778</v>
      </c>
      <c r="P141">
        <v>1662.77</v>
      </c>
      <c r="Q141">
        <v>1846.16</v>
      </c>
      <c r="AH141">
        <v>193.85</v>
      </c>
      <c r="AM141">
        <v>56</v>
      </c>
      <c r="AN141">
        <v>88.82</v>
      </c>
      <c r="AO141">
        <v>505.79</v>
      </c>
      <c r="AP141">
        <v>594.61</v>
      </c>
    </row>
    <row r="142" spans="1:42" x14ac:dyDescent="0.25">
      <c r="A142" t="s">
        <v>111</v>
      </c>
      <c r="B142" t="s">
        <v>112</v>
      </c>
      <c r="C142">
        <v>19056</v>
      </c>
      <c r="D142" t="s">
        <v>274</v>
      </c>
      <c r="G142">
        <v>1</v>
      </c>
      <c r="H142" t="s">
        <v>116</v>
      </c>
      <c r="I142">
        <v>1</v>
      </c>
      <c r="K142">
        <v>242.31</v>
      </c>
      <c r="L142">
        <v>2307.69</v>
      </c>
      <c r="M142">
        <v>2307.69</v>
      </c>
      <c r="N142">
        <v>488</v>
      </c>
      <c r="P142">
        <v>1819.69</v>
      </c>
      <c r="Q142">
        <v>2307.69</v>
      </c>
      <c r="AH142">
        <v>242.31</v>
      </c>
      <c r="AM142">
        <v>58</v>
      </c>
    </row>
    <row r="143" spans="1:42" x14ac:dyDescent="0.25">
      <c r="A143" t="s">
        <v>111</v>
      </c>
      <c r="B143" t="s">
        <v>112</v>
      </c>
      <c r="C143">
        <v>19057</v>
      </c>
      <c r="D143" t="s">
        <v>275</v>
      </c>
      <c r="G143">
        <v>1</v>
      </c>
      <c r="H143" t="s">
        <v>116</v>
      </c>
      <c r="I143">
        <v>1</v>
      </c>
      <c r="K143">
        <v>201.92</v>
      </c>
      <c r="L143">
        <v>1923.08</v>
      </c>
      <c r="M143">
        <v>1923.08</v>
      </c>
      <c r="N143">
        <v>316</v>
      </c>
      <c r="P143">
        <v>1607.08</v>
      </c>
      <c r="Q143">
        <v>1923.08</v>
      </c>
      <c r="AH143">
        <v>201.92</v>
      </c>
      <c r="AM143">
        <v>20</v>
      </c>
    </row>
    <row r="144" spans="1:42" x14ac:dyDescent="0.25">
      <c r="A144" t="s">
        <v>111</v>
      </c>
      <c r="B144" t="s">
        <v>112</v>
      </c>
      <c r="C144">
        <v>19058</v>
      </c>
      <c r="D144" t="s">
        <v>279</v>
      </c>
      <c r="G144">
        <v>1</v>
      </c>
      <c r="H144" t="s">
        <v>114</v>
      </c>
      <c r="I144">
        <v>1</v>
      </c>
      <c r="K144">
        <v>66.599999999999994</v>
      </c>
      <c r="L144">
        <v>3710.18</v>
      </c>
      <c r="M144">
        <v>3710.18</v>
      </c>
      <c r="N144">
        <v>916</v>
      </c>
      <c r="P144">
        <v>2794.18</v>
      </c>
      <c r="Q144">
        <v>361.08</v>
      </c>
      <c r="S144">
        <v>267.25</v>
      </c>
      <c r="U144">
        <v>940.71</v>
      </c>
      <c r="V144">
        <v>2141.14</v>
      </c>
      <c r="AH144">
        <v>65.97</v>
      </c>
      <c r="AI144">
        <v>0.63</v>
      </c>
    </row>
    <row r="145" spans="1:34" x14ac:dyDescent="0.25">
      <c r="A145" t="s">
        <v>111</v>
      </c>
      <c r="B145" t="s">
        <v>112</v>
      </c>
      <c r="C145">
        <v>44705</v>
      </c>
      <c r="D145" t="s">
        <v>230</v>
      </c>
      <c r="G145">
        <v>1</v>
      </c>
      <c r="H145" t="s">
        <v>116</v>
      </c>
      <c r="I145">
        <v>1</v>
      </c>
      <c r="K145">
        <v>579.52</v>
      </c>
      <c r="L145">
        <v>6365.38</v>
      </c>
      <c r="M145">
        <v>6365.38</v>
      </c>
      <c r="N145">
        <v>1910</v>
      </c>
      <c r="P145">
        <v>4455.38</v>
      </c>
      <c r="Q145">
        <v>5519.23</v>
      </c>
      <c r="AB145">
        <v>846.15</v>
      </c>
      <c r="AH145">
        <v>579.52</v>
      </c>
    </row>
  </sheetData>
  <autoFilter ref="A1:BE15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Employee Listing _Salaried</vt:lpstr>
      <vt:lpstr>PP1_Month Beginning</vt:lpstr>
      <vt:lpstr>PP2_Month End</vt:lpstr>
      <vt:lpstr>'Employee Listing _Salaried'!Print_Titles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Lee</dc:creator>
  <cp:lastModifiedBy>M</cp:lastModifiedBy>
  <cp:lastPrinted>2022-08-22T02:54:51Z</cp:lastPrinted>
  <dcterms:created xsi:type="dcterms:W3CDTF">2022-08-22T02:04:08Z</dcterms:created>
  <dcterms:modified xsi:type="dcterms:W3CDTF">2023-03-15T04:37:14Z</dcterms:modified>
</cp:coreProperties>
</file>